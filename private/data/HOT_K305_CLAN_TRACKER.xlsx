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FERJEN\01_PROJECTS\HOT01_HOT_Admin\clan_admin\"/>
    </mc:Choice>
  </mc:AlternateContent>
  <xr:revisionPtr revIDLastSave="0" documentId="13_ncr:1_{0DC77C89-8451-40EA-9527-E914F7D02E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hests_Dashboard" sheetId="8" r:id="rId1"/>
    <sheet name="contributions_2026-05" sheetId="10" r:id="rId2"/>
    <sheet name="chests_counter" sheetId="7" r:id="rId3"/>
    <sheet name="ChestType" sheetId="3" state="hidden" r:id="rId4"/>
  </sheets>
  <definedNames>
    <definedName name="_xlnm._FilterDatabase" localSheetId="0" hidden="1">Chests_Dashboard!$A$4:$BO$4</definedName>
    <definedName name="ExternalData_2" localSheetId="2" hidden="1">chests_counter!$A$1:$E$3139</definedName>
    <definedName name="ExternalData_3" localSheetId="1" hidden="1">'contributions_2026-05'!$A$1:$G$862</definedName>
  </definedNames>
  <calcPr calcId="191029"/>
  <pivotCaches>
    <pivotCache cacheId="1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C5" i="8" l="1"/>
  <c r="AB136" i="8"/>
  <c r="AA136" i="8"/>
  <c r="L136" i="8"/>
  <c r="Z136" i="8"/>
  <c r="X136" i="8"/>
  <c r="Y136" i="8"/>
  <c r="AJ136" i="8"/>
  <c r="AK136" i="8"/>
  <c r="AL136" i="8"/>
  <c r="K136" i="8"/>
  <c r="J136" i="8"/>
  <c r="I136" i="8"/>
  <c r="H136" i="8"/>
  <c r="AH136" i="8"/>
  <c r="G136" i="8"/>
  <c r="F136" i="8"/>
  <c r="E136" i="8"/>
  <c r="M136" i="8"/>
  <c r="N136" i="8"/>
  <c r="O136" i="8"/>
  <c r="AM136" i="8"/>
  <c r="P136" i="8"/>
  <c r="Q136" i="8"/>
  <c r="AD136" i="8"/>
  <c r="AE136" i="8"/>
  <c r="AF136" i="8"/>
  <c r="AG136" i="8"/>
  <c r="D136" i="8"/>
  <c r="R136" i="8"/>
  <c r="S136" i="8"/>
  <c r="T136" i="8"/>
  <c r="U136" i="8"/>
  <c r="W136" i="8"/>
  <c r="V136" i="8"/>
  <c r="AI136" i="8"/>
  <c r="C136" i="8"/>
  <c r="AC136" i="8"/>
  <c r="AG135" i="8"/>
  <c r="AH135" i="8"/>
  <c r="AI135" i="8"/>
  <c r="AJ135" i="8"/>
  <c r="AK135" i="8"/>
  <c r="AL135" i="8"/>
  <c r="AM135" i="8"/>
  <c r="J135" i="8"/>
  <c r="C135" i="8"/>
  <c r="D135" i="8"/>
  <c r="E135" i="8"/>
  <c r="F135" i="8"/>
  <c r="G135" i="8"/>
  <c r="H135" i="8"/>
  <c r="I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F134" i="8"/>
  <c r="AG134" i="8"/>
  <c r="AH134" i="8"/>
  <c r="M134" i="8"/>
  <c r="L134" i="8"/>
  <c r="K134" i="8"/>
  <c r="AK134" i="8"/>
  <c r="AM134" i="8"/>
  <c r="AJ134" i="8"/>
  <c r="AL134" i="8"/>
  <c r="AI134" i="8"/>
  <c r="F134" i="8"/>
  <c r="C134" i="8"/>
  <c r="D134" i="8"/>
  <c r="E134" i="8"/>
  <c r="G134" i="8"/>
  <c r="H134" i="8"/>
  <c r="I134" i="8"/>
  <c r="J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X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W133" i="8"/>
  <c r="V133" i="8"/>
  <c r="T132" i="8"/>
  <c r="U132" i="8"/>
  <c r="V132" i="8"/>
  <c r="W132" i="8"/>
  <c r="X132" i="8"/>
  <c r="Y132" i="8"/>
  <c r="Z132" i="8"/>
  <c r="R132" i="8"/>
  <c r="AA132" i="8"/>
  <c r="AB132" i="8"/>
  <c r="AC132" i="8"/>
  <c r="AD132" i="8"/>
  <c r="S132" i="8"/>
  <c r="AL132" i="8"/>
  <c r="D132" i="8"/>
  <c r="AM132" i="8"/>
  <c r="AH132" i="8"/>
  <c r="AK132" i="8"/>
  <c r="AJ132" i="8"/>
  <c r="L132" i="8"/>
  <c r="K132" i="8"/>
  <c r="J132" i="8"/>
  <c r="I132" i="8"/>
  <c r="H132" i="8"/>
  <c r="G132" i="8"/>
  <c r="F132" i="8"/>
  <c r="E132" i="8"/>
  <c r="AI132" i="8"/>
  <c r="C132" i="8"/>
  <c r="M132" i="8"/>
  <c r="N132" i="8"/>
  <c r="AG132" i="8"/>
  <c r="AF132" i="8"/>
  <c r="AE132" i="8"/>
  <c r="O132" i="8"/>
  <c r="P132" i="8"/>
  <c r="Q132" i="8"/>
  <c r="AM131" i="8"/>
  <c r="Q131" i="8"/>
  <c r="I131" i="8"/>
  <c r="R131" i="8"/>
  <c r="AI131" i="8"/>
  <c r="AF131" i="8"/>
  <c r="E131" i="8"/>
  <c r="H131" i="8"/>
  <c r="K131" i="8"/>
  <c r="C131" i="8"/>
  <c r="P131" i="8"/>
  <c r="G131" i="8"/>
  <c r="AL131" i="8"/>
  <c r="AK131" i="8"/>
  <c r="AJ131" i="8"/>
  <c r="O131" i="8"/>
  <c r="J131" i="8"/>
  <c r="F131" i="8"/>
  <c r="M131" i="8"/>
  <c r="AG131" i="8"/>
  <c r="D131" i="8"/>
  <c r="L131" i="8"/>
  <c r="N131" i="8"/>
  <c r="AE131" i="8"/>
  <c r="AD131" i="8"/>
  <c r="AC131" i="8"/>
  <c r="AB131" i="8"/>
  <c r="AH131" i="8"/>
  <c r="AA131" i="8"/>
  <c r="Z131" i="8"/>
  <c r="Y131" i="8"/>
  <c r="X131" i="8"/>
  <c r="W131" i="8"/>
  <c r="V131" i="8"/>
  <c r="U131" i="8"/>
  <c r="T131" i="8"/>
  <c r="S131" i="8"/>
  <c r="R130" i="8"/>
  <c r="E130" i="8"/>
  <c r="J130" i="8"/>
  <c r="F130" i="8"/>
  <c r="AH130" i="8"/>
  <c r="M130" i="8"/>
  <c r="V130" i="8"/>
  <c r="AA130" i="8"/>
  <c r="AI130" i="8"/>
  <c r="L130" i="8"/>
  <c r="AE130" i="8"/>
  <c r="N130" i="8"/>
  <c r="AC130" i="8"/>
  <c r="AG130" i="8"/>
  <c r="AK130" i="8"/>
  <c r="AF130" i="8"/>
  <c r="P130" i="8"/>
  <c r="K130" i="8"/>
  <c r="D130" i="8"/>
  <c r="H130" i="8"/>
  <c r="Y130" i="8"/>
  <c r="AD130" i="8"/>
  <c r="AJ130" i="8"/>
  <c r="AL130" i="8"/>
  <c r="AM130" i="8"/>
  <c r="S130" i="8"/>
  <c r="O130" i="8"/>
  <c r="AB130" i="8"/>
  <c r="C130" i="8"/>
  <c r="Z130" i="8"/>
  <c r="W130" i="8"/>
  <c r="T130" i="8"/>
  <c r="Q130" i="8"/>
  <c r="I130" i="8"/>
  <c r="X130" i="8"/>
  <c r="U130" i="8"/>
  <c r="G130" i="8"/>
  <c r="X129" i="8"/>
  <c r="AM129" i="8"/>
  <c r="AI129" i="8"/>
  <c r="P129" i="8"/>
  <c r="J129" i="8"/>
  <c r="H129" i="8"/>
  <c r="AA129" i="8"/>
  <c r="T129" i="8"/>
  <c r="R129" i="8"/>
  <c r="M129" i="8"/>
  <c r="AJ129" i="8"/>
  <c r="Z129" i="8"/>
  <c r="S129" i="8"/>
  <c r="Q129" i="8"/>
  <c r="N129" i="8"/>
  <c r="I129" i="8"/>
  <c r="AD129" i="8"/>
  <c r="O129" i="8"/>
  <c r="D129" i="8"/>
  <c r="V129" i="8"/>
  <c r="AL129" i="8"/>
  <c r="AF129" i="8"/>
  <c r="AC129" i="8"/>
  <c r="C129" i="8"/>
  <c r="U129" i="8"/>
  <c r="AE129" i="8"/>
  <c r="AK129" i="8"/>
  <c r="Y129" i="8"/>
  <c r="AH129" i="8"/>
  <c r="AG129" i="8"/>
  <c r="AB129" i="8"/>
  <c r="W129" i="8"/>
  <c r="K129" i="8"/>
  <c r="F129" i="8"/>
  <c r="E129" i="8"/>
  <c r="G129" i="8"/>
  <c r="L129" i="8"/>
  <c r="S128" i="8"/>
  <c r="AH128" i="8"/>
  <c r="AC128" i="8"/>
  <c r="Y128" i="8"/>
  <c r="T128" i="8"/>
  <c r="I128" i="8"/>
  <c r="M128" i="8"/>
  <c r="P128" i="8"/>
  <c r="Q128" i="8"/>
  <c r="H128" i="8"/>
  <c r="N128" i="8"/>
  <c r="W128" i="8"/>
  <c r="AF128" i="8"/>
  <c r="AK128" i="8"/>
  <c r="AM128" i="8"/>
  <c r="D128" i="8"/>
  <c r="AI128" i="8"/>
  <c r="C128" i="8"/>
  <c r="Z128" i="8"/>
  <c r="V128" i="8"/>
  <c r="O128" i="8"/>
  <c r="E128" i="8"/>
  <c r="F128" i="8"/>
  <c r="J128" i="8"/>
  <c r="L128" i="8"/>
  <c r="R128" i="8"/>
  <c r="AD128" i="8"/>
  <c r="G128" i="8"/>
  <c r="U128" i="8"/>
  <c r="X128" i="8"/>
  <c r="AE128" i="8"/>
  <c r="AG128" i="8"/>
  <c r="AJ128" i="8"/>
  <c r="AL128" i="8"/>
  <c r="AB128" i="8"/>
  <c r="AA128" i="8"/>
  <c r="K128" i="8"/>
  <c r="L127" i="8"/>
  <c r="G127" i="8"/>
  <c r="N127" i="8"/>
  <c r="T127" i="8"/>
  <c r="AI127" i="8"/>
  <c r="I127" i="8"/>
  <c r="X127" i="8"/>
  <c r="Z127" i="8"/>
  <c r="AH127" i="8"/>
  <c r="U127" i="8"/>
  <c r="Y127" i="8"/>
  <c r="AG127" i="8"/>
  <c r="M127" i="8"/>
  <c r="V127" i="8"/>
  <c r="Q127" i="8"/>
  <c r="AD127" i="8"/>
  <c r="S127" i="8"/>
  <c r="K127" i="8"/>
  <c r="F127" i="8"/>
  <c r="C127" i="8"/>
  <c r="E127" i="8"/>
  <c r="AJ127" i="8"/>
  <c r="AB127" i="8"/>
  <c r="AC127" i="8"/>
  <c r="AF127" i="8"/>
  <c r="AK127" i="8"/>
  <c r="AA127" i="8"/>
  <c r="AM127" i="8"/>
  <c r="AE127" i="8"/>
  <c r="W127" i="8"/>
  <c r="P127" i="8"/>
  <c r="H127" i="8"/>
  <c r="J127" i="8"/>
  <c r="O127" i="8"/>
  <c r="R127" i="8"/>
  <c r="AL127" i="8"/>
  <c r="D127" i="8"/>
  <c r="AI126" i="8"/>
  <c r="AD126" i="8"/>
  <c r="AH126" i="8"/>
  <c r="AJ126" i="8"/>
  <c r="AL126" i="8"/>
  <c r="W126" i="8"/>
  <c r="V126" i="8"/>
  <c r="U126" i="8"/>
  <c r="F126" i="8"/>
  <c r="N126" i="8"/>
  <c r="M126" i="8"/>
  <c r="L126" i="8"/>
  <c r="K126" i="8"/>
  <c r="J126" i="8"/>
  <c r="I126" i="8"/>
  <c r="H126" i="8"/>
  <c r="G126" i="8"/>
  <c r="X126" i="8"/>
  <c r="E126" i="8"/>
  <c r="C126" i="8"/>
  <c r="AM126" i="8"/>
  <c r="D126" i="8"/>
  <c r="T126" i="8"/>
  <c r="S126" i="8"/>
  <c r="R126" i="8"/>
  <c r="Q126" i="8"/>
  <c r="P126" i="8"/>
  <c r="AK126" i="8"/>
  <c r="AG126" i="8"/>
  <c r="AF126" i="8"/>
  <c r="AE126" i="8"/>
  <c r="AC126" i="8"/>
  <c r="AB126" i="8"/>
  <c r="AA126" i="8"/>
  <c r="Z126" i="8"/>
  <c r="O126" i="8"/>
  <c r="Y126" i="8"/>
  <c r="G125" i="8"/>
  <c r="I125" i="8"/>
  <c r="J125" i="8"/>
  <c r="K125" i="8"/>
  <c r="C125" i="8"/>
  <c r="D125" i="8"/>
  <c r="E125" i="8"/>
  <c r="F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R125" i="8"/>
  <c r="Q125" i="8"/>
  <c r="P125" i="8"/>
  <c r="V125" i="8"/>
  <c r="O125" i="8"/>
  <c r="N125" i="8"/>
  <c r="M125" i="8"/>
  <c r="H125" i="8"/>
  <c r="L125" i="8"/>
  <c r="U125" i="8"/>
  <c r="T125" i="8"/>
  <c r="S125" i="8"/>
  <c r="W125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F124" i="8"/>
  <c r="E124" i="8"/>
  <c r="D124" i="8"/>
  <c r="C124" i="8"/>
  <c r="G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AC123" i="8"/>
  <c r="K123" i="8"/>
  <c r="J123" i="8"/>
  <c r="I123" i="8"/>
  <c r="H123" i="8"/>
  <c r="G123" i="8"/>
  <c r="F123" i="8"/>
  <c r="E123" i="8"/>
  <c r="D123" i="8"/>
  <c r="AM123" i="8"/>
  <c r="AL123" i="8"/>
  <c r="AK123" i="8"/>
  <c r="AJ123" i="8"/>
  <c r="AI123" i="8"/>
  <c r="AH123" i="8"/>
  <c r="AG123" i="8"/>
  <c r="AF123" i="8"/>
  <c r="AE123" i="8"/>
  <c r="AD123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M122" i="8"/>
  <c r="AL122" i="8"/>
  <c r="AK122" i="8"/>
  <c r="AJ122" i="8"/>
  <c r="AI122" i="8"/>
  <c r="AH122" i="8"/>
  <c r="AG122" i="8"/>
  <c r="AF122" i="8"/>
  <c r="AE122" i="8"/>
  <c r="AD122" i="8"/>
  <c r="AC122" i="8"/>
  <c r="AM121" i="8"/>
  <c r="AL121" i="8"/>
  <c r="AK121" i="8"/>
  <c r="AJ121" i="8"/>
  <c r="AI121" i="8"/>
  <c r="AH121" i="8"/>
  <c r="AG121" i="8"/>
  <c r="AF121" i="8"/>
  <c r="AA121" i="8"/>
  <c r="AE121" i="8"/>
  <c r="AD121" i="8"/>
  <c r="AC121" i="8"/>
  <c r="AB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T120" i="8"/>
  <c r="AA120" i="8"/>
  <c r="Z120" i="8"/>
  <c r="Y120" i="8"/>
  <c r="X120" i="8"/>
  <c r="W120" i="8"/>
  <c r="V120" i="8"/>
  <c r="U120" i="8"/>
  <c r="S120" i="8"/>
  <c r="R120" i="8"/>
  <c r="Q120" i="8"/>
  <c r="P120" i="8"/>
  <c r="O120" i="8"/>
  <c r="N120" i="8"/>
  <c r="G120" i="8"/>
  <c r="E120" i="8"/>
  <c r="D120" i="8"/>
  <c r="C120" i="8"/>
  <c r="M120" i="8"/>
  <c r="H120" i="8"/>
  <c r="I120" i="8"/>
  <c r="J120" i="8"/>
  <c r="K120" i="8"/>
  <c r="L120" i="8"/>
  <c r="F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Y118" i="8"/>
  <c r="X118" i="8"/>
  <c r="W118" i="8"/>
  <c r="V118" i="8"/>
  <c r="U118" i="8"/>
  <c r="T118" i="8"/>
  <c r="S118" i="8"/>
  <c r="R118" i="8"/>
  <c r="C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Q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AG116" i="8"/>
  <c r="J116" i="8"/>
  <c r="I116" i="8"/>
  <c r="H116" i="8"/>
  <c r="G116" i="8"/>
  <c r="F116" i="8"/>
  <c r="E116" i="8"/>
  <c r="D116" i="8"/>
  <c r="AM116" i="8"/>
  <c r="AL116" i="8"/>
  <c r="AK116" i="8"/>
  <c r="AJ116" i="8"/>
  <c r="AI116" i="8"/>
  <c r="AH116" i="8"/>
  <c r="C116" i="8"/>
  <c r="AF116" i="8"/>
  <c r="AE116" i="8"/>
  <c r="AD116" i="8"/>
  <c r="AC116" i="8"/>
  <c r="AB116" i="8"/>
  <c r="AA116" i="8"/>
  <c r="Z116" i="8"/>
  <c r="Y116" i="8"/>
  <c r="X116" i="8"/>
  <c r="W115" i="8"/>
  <c r="AM115" i="8"/>
  <c r="AL115" i="8"/>
  <c r="AK115" i="8"/>
  <c r="AJ115" i="8"/>
  <c r="AI115" i="8"/>
  <c r="AH115" i="8"/>
  <c r="AG115" i="8"/>
  <c r="V115" i="8"/>
  <c r="AF115" i="8"/>
  <c r="AE115" i="8"/>
  <c r="AD115" i="8"/>
  <c r="AC115" i="8"/>
  <c r="AB115" i="8"/>
  <c r="AA115" i="8"/>
  <c r="Z115" i="8"/>
  <c r="F115" i="8"/>
  <c r="Y115" i="8"/>
  <c r="X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D115" i="8"/>
  <c r="G115" i="8"/>
  <c r="E115" i="8"/>
  <c r="C115" i="8"/>
  <c r="U114" i="8"/>
  <c r="J114" i="8"/>
  <c r="L114" i="8"/>
  <c r="M114" i="8"/>
  <c r="O114" i="8"/>
  <c r="P114" i="8"/>
  <c r="R114" i="8"/>
  <c r="T114" i="8"/>
  <c r="V114" i="8"/>
  <c r="W114" i="8"/>
  <c r="Y114" i="8"/>
  <c r="AB114" i="8"/>
  <c r="AC114" i="8"/>
  <c r="AE114" i="8"/>
  <c r="G114" i="8"/>
  <c r="AG114" i="8"/>
  <c r="AM114" i="8"/>
  <c r="AL114" i="8"/>
  <c r="AJ114" i="8"/>
  <c r="AI114" i="8"/>
  <c r="D114" i="8"/>
  <c r="E114" i="8"/>
  <c r="AA114" i="8"/>
  <c r="AK114" i="8"/>
  <c r="AH114" i="8"/>
  <c r="AF114" i="8"/>
  <c r="AD114" i="8"/>
  <c r="Z114" i="8"/>
  <c r="X114" i="8"/>
  <c r="S114" i="8"/>
  <c r="Q114" i="8"/>
  <c r="N114" i="8"/>
  <c r="K114" i="8"/>
  <c r="I114" i="8"/>
  <c r="H114" i="8"/>
  <c r="F114" i="8"/>
  <c r="C114" i="8"/>
  <c r="B114" i="8" s="1" a="1"/>
  <c r="B114" i="8" s="1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L113" i="8"/>
  <c r="AH113" i="8"/>
  <c r="AD113" i="8"/>
  <c r="Z113" i="8"/>
  <c r="AB113" i="8"/>
  <c r="AM113" i="8"/>
  <c r="AK113" i="8"/>
  <c r="AJ113" i="8"/>
  <c r="AI113" i="8"/>
  <c r="AG113" i="8"/>
  <c r="AF113" i="8"/>
  <c r="AE113" i="8"/>
  <c r="AC113" i="8"/>
  <c r="AA113" i="8"/>
  <c r="Y113" i="8"/>
  <c r="X113" i="8"/>
  <c r="W113" i="8"/>
  <c r="V113" i="8"/>
  <c r="Q112" i="8"/>
  <c r="S112" i="8"/>
  <c r="V112" i="8"/>
  <c r="X112" i="8"/>
  <c r="Z112" i="8"/>
  <c r="AA112" i="8"/>
  <c r="AB112" i="8"/>
  <c r="AC112" i="8"/>
  <c r="AD112" i="8"/>
  <c r="AE112" i="8"/>
  <c r="AF112" i="8"/>
  <c r="AG112" i="8"/>
  <c r="AL112" i="8"/>
  <c r="AH112" i="8"/>
  <c r="AI112" i="8"/>
  <c r="AJ112" i="8"/>
  <c r="AK112" i="8"/>
  <c r="AM112" i="8"/>
  <c r="Y112" i="8"/>
  <c r="W112" i="8"/>
  <c r="U112" i="8"/>
  <c r="R112" i="8"/>
  <c r="P112" i="8"/>
  <c r="M112" i="8"/>
  <c r="J112" i="8"/>
  <c r="G112" i="8"/>
  <c r="C112" i="8"/>
  <c r="T112" i="8"/>
  <c r="D112" i="8"/>
  <c r="E112" i="8"/>
  <c r="F112" i="8"/>
  <c r="H112" i="8"/>
  <c r="I112" i="8"/>
  <c r="K112" i="8"/>
  <c r="L112" i="8"/>
  <c r="N112" i="8"/>
  <c r="O112" i="8"/>
  <c r="L111" i="8"/>
  <c r="J111" i="8"/>
  <c r="I111" i="8"/>
  <c r="G111" i="8"/>
  <c r="F111" i="8"/>
  <c r="D111" i="8"/>
  <c r="C111" i="8"/>
  <c r="P111" i="8"/>
  <c r="AM111" i="8"/>
  <c r="AL111" i="8"/>
  <c r="AK111" i="8"/>
  <c r="AI111" i="8"/>
  <c r="AH111" i="8"/>
  <c r="AF111" i="8"/>
  <c r="AC111" i="8"/>
  <c r="AJ111" i="8"/>
  <c r="AG111" i="8"/>
  <c r="AE111" i="8"/>
  <c r="AD111" i="8"/>
  <c r="Z111" i="8"/>
  <c r="V111" i="8"/>
  <c r="S111" i="8"/>
  <c r="O111" i="8"/>
  <c r="M111" i="8"/>
  <c r="K111" i="8"/>
  <c r="H111" i="8"/>
  <c r="E111" i="8"/>
  <c r="AB111" i="8"/>
  <c r="AA111" i="8"/>
  <c r="Y111" i="8"/>
  <c r="X111" i="8"/>
  <c r="W111" i="8"/>
  <c r="U111" i="8"/>
  <c r="T111" i="8"/>
  <c r="R111" i="8"/>
  <c r="Q111" i="8"/>
  <c r="N111" i="8"/>
  <c r="L110" i="8"/>
  <c r="AI110" i="8"/>
  <c r="N110" i="8"/>
  <c r="O110" i="8"/>
  <c r="P110" i="8"/>
  <c r="C110" i="8"/>
  <c r="G110" i="8"/>
  <c r="J110" i="8"/>
  <c r="AH110" i="8"/>
  <c r="K110" i="8"/>
  <c r="M110" i="8"/>
  <c r="R110" i="8"/>
  <c r="T110" i="8"/>
  <c r="U110" i="8"/>
  <c r="AM110" i="8"/>
  <c r="AK110" i="8"/>
  <c r="AJ110" i="8"/>
  <c r="W110" i="8"/>
  <c r="AF110" i="8"/>
  <c r="AD110" i="8"/>
  <c r="AB110" i="8"/>
  <c r="Z110" i="8"/>
  <c r="X110" i="8"/>
  <c r="V110" i="8"/>
  <c r="S110" i="8"/>
  <c r="Q110" i="8"/>
  <c r="Y110" i="8"/>
  <c r="AA110" i="8"/>
  <c r="AC110" i="8"/>
  <c r="AE110" i="8"/>
  <c r="AG110" i="8"/>
  <c r="AL110" i="8"/>
  <c r="I110" i="8"/>
  <c r="H110" i="8"/>
  <c r="F110" i="8"/>
  <c r="E110" i="8"/>
  <c r="D110" i="8"/>
  <c r="R109" i="8"/>
  <c r="T109" i="8"/>
  <c r="U109" i="8"/>
  <c r="Y109" i="8"/>
  <c r="AA109" i="8"/>
  <c r="AC109" i="8"/>
  <c r="AD109" i="8"/>
  <c r="AE109" i="8"/>
  <c r="W109" i="8"/>
  <c r="D109" i="8"/>
  <c r="C109" i="8"/>
  <c r="E109" i="8"/>
  <c r="G109" i="8"/>
  <c r="K109" i="8"/>
  <c r="N109" i="8"/>
  <c r="P109" i="8"/>
  <c r="S109" i="8"/>
  <c r="V109" i="8"/>
  <c r="X109" i="8"/>
  <c r="Z109" i="8"/>
  <c r="Q109" i="8"/>
  <c r="M109" i="8"/>
  <c r="L109" i="8"/>
  <c r="O109" i="8"/>
  <c r="J109" i="8"/>
  <c r="I109" i="8"/>
  <c r="H109" i="8"/>
  <c r="AB109" i="8"/>
  <c r="F109" i="8"/>
  <c r="AL109" i="8"/>
  <c r="AF109" i="8"/>
  <c r="AI109" i="8"/>
  <c r="AG109" i="8"/>
  <c r="AM109" i="8"/>
  <c r="AK109" i="8"/>
  <c r="AJ109" i="8"/>
  <c r="AH109" i="8"/>
  <c r="AI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H108" i="8"/>
  <c r="G108" i="8"/>
  <c r="I108" i="8"/>
  <c r="AM108" i="8"/>
  <c r="AL108" i="8"/>
  <c r="AH108" i="8"/>
  <c r="F108" i="8"/>
  <c r="E108" i="8"/>
  <c r="C108" i="8"/>
  <c r="D108" i="8"/>
  <c r="AJ108" i="8"/>
  <c r="AK108" i="8"/>
  <c r="AG108" i="8"/>
  <c r="AF108" i="8"/>
  <c r="AE108" i="8"/>
  <c r="AD108" i="8"/>
  <c r="AC108" i="8"/>
  <c r="AB108" i="8"/>
  <c r="AA108" i="8"/>
  <c r="Z108" i="8"/>
  <c r="C107" i="8"/>
  <c r="AL107" i="8"/>
  <c r="AE107" i="8"/>
  <c r="AD107" i="8"/>
  <c r="AC107" i="8"/>
  <c r="AA107" i="8"/>
  <c r="Z107" i="8"/>
  <c r="X107" i="8"/>
  <c r="V107" i="8"/>
  <c r="AG107" i="8"/>
  <c r="T107" i="8"/>
  <c r="Q107" i="8"/>
  <c r="O107" i="8"/>
  <c r="N107" i="8"/>
  <c r="H107" i="8"/>
  <c r="J107" i="8"/>
  <c r="K107" i="8"/>
  <c r="M107" i="8"/>
  <c r="W107" i="8"/>
  <c r="F107" i="8"/>
  <c r="I107" i="8"/>
  <c r="L107" i="8"/>
  <c r="P107" i="8"/>
  <c r="R107" i="8"/>
  <c r="S107" i="8"/>
  <c r="U107" i="8"/>
  <c r="D107" i="8"/>
  <c r="Y107" i="8"/>
  <c r="AB107" i="8"/>
  <c r="E107" i="8"/>
  <c r="AF107" i="8"/>
  <c r="AI107" i="8"/>
  <c r="AK107" i="8"/>
  <c r="AM107" i="8"/>
  <c r="G107" i="8"/>
  <c r="AJ107" i="8"/>
  <c r="AH107" i="8"/>
  <c r="AG106" i="8"/>
  <c r="AI106" i="8"/>
  <c r="AJ106" i="8"/>
  <c r="AD106" i="8"/>
  <c r="AL106" i="8"/>
  <c r="G106" i="8"/>
  <c r="J106" i="8"/>
  <c r="L106" i="8"/>
  <c r="S106" i="8"/>
  <c r="V106" i="8"/>
  <c r="Y106" i="8"/>
  <c r="AC106" i="8"/>
  <c r="AM106" i="8"/>
  <c r="AF106" i="8"/>
  <c r="AH106" i="8"/>
  <c r="AK106" i="8"/>
  <c r="O106" i="8"/>
  <c r="AB106" i="8"/>
  <c r="AA106" i="8"/>
  <c r="Z106" i="8"/>
  <c r="X106" i="8"/>
  <c r="W106" i="8"/>
  <c r="U106" i="8"/>
  <c r="T106" i="8"/>
  <c r="C106" i="8"/>
  <c r="R106" i="8"/>
  <c r="Q106" i="8"/>
  <c r="AE106" i="8"/>
  <c r="N106" i="8"/>
  <c r="M106" i="8"/>
  <c r="K106" i="8"/>
  <c r="I106" i="8"/>
  <c r="H106" i="8"/>
  <c r="F106" i="8"/>
  <c r="E106" i="8"/>
  <c r="D106" i="8"/>
  <c r="P106" i="8"/>
  <c r="AK105" i="8"/>
  <c r="AH105" i="8"/>
  <c r="AF105" i="8"/>
  <c r="AD105" i="8"/>
  <c r="AA105" i="8"/>
  <c r="X105" i="8"/>
  <c r="U105" i="8"/>
  <c r="S105" i="8"/>
  <c r="O105" i="8"/>
  <c r="N105" i="8"/>
  <c r="M105" i="8"/>
  <c r="I105" i="8"/>
  <c r="G105" i="8"/>
  <c r="E105" i="8"/>
  <c r="L105" i="8"/>
  <c r="AM105" i="8"/>
  <c r="AL105" i="8"/>
  <c r="AJ105" i="8"/>
  <c r="AI105" i="8"/>
  <c r="AG105" i="8"/>
  <c r="AE105" i="8"/>
  <c r="AC105" i="8"/>
  <c r="AB105" i="8"/>
  <c r="Z105" i="8"/>
  <c r="Y105" i="8"/>
  <c r="W105" i="8"/>
  <c r="V105" i="8"/>
  <c r="T105" i="8"/>
  <c r="R105" i="8"/>
  <c r="Q105" i="8"/>
  <c r="P105" i="8"/>
  <c r="K105" i="8"/>
  <c r="J105" i="8"/>
  <c r="H105" i="8"/>
  <c r="F105" i="8"/>
  <c r="D105" i="8"/>
  <c r="C105" i="8"/>
  <c r="AA104" i="8"/>
  <c r="L104" i="8"/>
  <c r="K104" i="8"/>
  <c r="J104" i="8"/>
  <c r="I104" i="8"/>
  <c r="H104" i="8"/>
  <c r="G104" i="8"/>
  <c r="F104" i="8"/>
  <c r="E104" i="8"/>
  <c r="AL104" i="8"/>
  <c r="AB104" i="8"/>
  <c r="AD104" i="8"/>
  <c r="AF104" i="8"/>
  <c r="AH104" i="8"/>
  <c r="AI104" i="8"/>
  <c r="AK104" i="8"/>
  <c r="AM104" i="8"/>
  <c r="C104" i="8"/>
  <c r="AJ104" i="8"/>
  <c r="AG104" i="8"/>
  <c r="AE104" i="8"/>
  <c r="AC104" i="8"/>
  <c r="D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K103" i="8"/>
  <c r="J103" i="8"/>
  <c r="I103" i="8"/>
  <c r="H103" i="8"/>
  <c r="G103" i="8"/>
  <c r="F103" i="8"/>
  <c r="E103" i="8"/>
  <c r="D103" i="8"/>
  <c r="C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J102" i="8"/>
  <c r="I102" i="8"/>
  <c r="H102" i="8"/>
  <c r="G102" i="8"/>
  <c r="F102" i="8"/>
  <c r="E102" i="8"/>
  <c r="D102" i="8"/>
  <c r="C102" i="8"/>
  <c r="AF102" i="8"/>
  <c r="AM102" i="8"/>
  <c r="AL102" i="8"/>
  <c r="AK102" i="8"/>
  <c r="AJ102" i="8"/>
  <c r="AI102" i="8"/>
  <c r="AH102" i="8"/>
  <c r="AG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Q101" i="8"/>
  <c r="P101" i="8"/>
  <c r="O101" i="8"/>
  <c r="N101" i="8"/>
  <c r="M101" i="8"/>
  <c r="L101" i="8"/>
  <c r="K101" i="8"/>
  <c r="J101" i="8"/>
  <c r="AK101" i="8"/>
  <c r="I101" i="8"/>
  <c r="H101" i="8"/>
  <c r="G101" i="8"/>
  <c r="F101" i="8"/>
  <c r="E101" i="8"/>
  <c r="D101" i="8"/>
  <c r="AM101" i="8"/>
  <c r="AL101" i="8"/>
  <c r="C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O100" i="8"/>
  <c r="N100" i="8"/>
  <c r="M100" i="8"/>
  <c r="L100" i="8"/>
  <c r="K100" i="8"/>
  <c r="J100" i="8"/>
  <c r="I100" i="8"/>
  <c r="Q100" i="8"/>
  <c r="D100" i="8"/>
  <c r="E100" i="8"/>
  <c r="F100" i="8"/>
  <c r="G100" i="8"/>
  <c r="C100" i="8"/>
  <c r="P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H100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AJ98" i="8"/>
  <c r="AI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L98" i="8"/>
  <c r="AK98" i="8"/>
  <c r="AH98" i="8"/>
  <c r="AG98" i="8"/>
  <c r="AF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AE98" i="8"/>
  <c r="AM98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C97" i="8"/>
  <c r="M97" i="8"/>
  <c r="L97" i="8"/>
  <c r="K97" i="8"/>
  <c r="J97" i="8"/>
  <c r="I97" i="8"/>
  <c r="H97" i="8"/>
  <c r="G97" i="8"/>
  <c r="F97" i="8"/>
  <c r="E97" i="8"/>
  <c r="D97" i="8"/>
  <c r="AM96" i="8"/>
  <c r="AL96" i="8"/>
  <c r="AK96" i="8"/>
  <c r="V96" i="8"/>
  <c r="W96" i="8"/>
  <c r="AG96" i="8"/>
  <c r="AI96" i="8"/>
  <c r="AH96" i="8"/>
  <c r="C96" i="8"/>
  <c r="D96" i="8"/>
  <c r="X96" i="8"/>
  <c r="Y96" i="8"/>
  <c r="Z96" i="8"/>
  <c r="AA96" i="8"/>
  <c r="AB96" i="8"/>
  <c r="AC96" i="8"/>
  <c r="AD96" i="8"/>
  <c r="AE96" i="8"/>
  <c r="AF96" i="8"/>
  <c r="E96" i="8"/>
  <c r="F96" i="8"/>
  <c r="G96" i="8"/>
  <c r="AJ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G95" i="8"/>
  <c r="F95" i="8"/>
  <c r="E95" i="8"/>
  <c r="D95" i="8"/>
  <c r="C95" i="8"/>
  <c r="H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4" i="8"/>
  <c r="W94" i="8"/>
  <c r="X94" i="8"/>
  <c r="Y94" i="8"/>
  <c r="AA94" i="8"/>
  <c r="AB94" i="8"/>
  <c r="AC94" i="8"/>
  <c r="AD94" i="8"/>
  <c r="AE94" i="8"/>
  <c r="AF94" i="8"/>
  <c r="AG94" i="8"/>
  <c r="AH94" i="8"/>
  <c r="AI94" i="8"/>
  <c r="AJ94" i="8"/>
  <c r="AK94" i="8"/>
  <c r="Z94" i="8"/>
  <c r="AL94" i="8"/>
  <c r="AM94" i="8"/>
  <c r="D94" i="8"/>
  <c r="E94" i="8"/>
  <c r="F94" i="8"/>
  <c r="G94" i="8"/>
  <c r="C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O93" i="8"/>
  <c r="N93" i="8"/>
  <c r="M93" i="8"/>
  <c r="L93" i="8"/>
  <c r="K93" i="8"/>
  <c r="J93" i="8"/>
  <c r="I93" i="8"/>
  <c r="H93" i="8"/>
  <c r="G93" i="8"/>
  <c r="E93" i="8"/>
  <c r="D93" i="8"/>
  <c r="C93" i="8"/>
  <c r="P93" i="8"/>
  <c r="F93" i="8"/>
  <c r="AM92" i="8"/>
  <c r="AL92" i="8"/>
  <c r="AK92" i="8"/>
  <c r="AJ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P92" i="8"/>
  <c r="Q92" i="8"/>
  <c r="AI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AJ91" i="8"/>
  <c r="AK91" i="8"/>
  <c r="AL91" i="8"/>
  <c r="AM91" i="8"/>
  <c r="T91" i="8"/>
  <c r="U91" i="8"/>
  <c r="X91" i="8"/>
  <c r="Y91" i="8"/>
  <c r="Z91" i="8"/>
  <c r="AA91" i="8"/>
  <c r="R91" i="8"/>
  <c r="AI91" i="8"/>
  <c r="Q91" i="8"/>
  <c r="P91" i="8"/>
  <c r="O91" i="8"/>
  <c r="N91" i="8"/>
  <c r="M91" i="8"/>
  <c r="L91" i="8"/>
  <c r="K91" i="8"/>
  <c r="W91" i="8"/>
  <c r="I91" i="8"/>
  <c r="H91" i="8"/>
  <c r="G91" i="8"/>
  <c r="F91" i="8"/>
  <c r="E91" i="8"/>
  <c r="D91" i="8"/>
  <c r="C91" i="8"/>
  <c r="J91" i="8"/>
  <c r="S91" i="8"/>
  <c r="AG91" i="8"/>
  <c r="AF91" i="8"/>
  <c r="AE91" i="8"/>
  <c r="AD91" i="8"/>
  <c r="AC91" i="8"/>
  <c r="AB91" i="8"/>
  <c r="V91" i="8"/>
  <c r="AH91" i="8"/>
  <c r="AC90" i="8"/>
  <c r="AL90" i="8"/>
  <c r="M90" i="8"/>
  <c r="AJ90" i="8"/>
  <c r="AI90" i="8"/>
  <c r="AH90" i="8"/>
  <c r="AM90" i="8"/>
  <c r="AG90" i="8"/>
  <c r="AF90" i="8"/>
  <c r="C90" i="8"/>
  <c r="D90" i="8"/>
  <c r="E90" i="8"/>
  <c r="F90" i="8"/>
  <c r="AE90" i="8"/>
  <c r="G90" i="8"/>
  <c r="H90" i="8"/>
  <c r="I90" i="8"/>
  <c r="J90" i="8"/>
  <c r="K90" i="8"/>
  <c r="L90" i="8"/>
  <c r="AD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K90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M89" i="8"/>
  <c r="AL89" i="8"/>
  <c r="AK89" i="8"/>
  <c r="AJ89" i="8"/>
  <c r="Z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AM88" i="8"/>
  <c r="AK88" i="8"/>
  <c r="AL88" i="8"/>
  <c r="R88" i="8"/>
  <c r="S88" i="8"/>
  <c r="T88" i="8"/>
  <c r="U88" i="8"/>
  <c r="V88" i="8"/>
  <c r="W88" i="8"/>
  <c r="X88" i="8"/>
  <c r="Y88" i="8"/>
  <c r="AA88" i="8"/>
  <c r="C88" i="8"/>
  <c r="AB88" i="8"/>
  <c r="AC88" i="8"/>
  <c r="AD88" i="8"/>
  <c r="AE88" i="8"/>
  <c r="AF88" i="8"/>
  <c r="AG88" i="8"/>
  <c r="AH88" i="8"/>
  <c r="AI88" i="8"/>
  <c r="AJ88" i="8"/>
  <c r="X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C87" i="8"/>
  <c r="V87" i="8"/>
  <c r="W87" i="8"/>
  <c r="Y87" i="8"/>
  <c r="Z87" i="8"/>
  <c r="AA87" i="8"/>
  <c r="AB87" i="8"/>
  <c r="AC87" i="8"/>
  <c r="AD87" i="8"/>
  <c r="U87" i="8"/>
  <c r="AF87" i="8"/>
  <c r="AG87" i="8"/>
  <c r="AH87" i="8"/>
  <c r="AI87" i="8"/>
  <c r="AJ87" i="8"/>
  <c r="AK87" i="8"/>
  <c r="AL87" i="8"/>
  <c r="AM87" i="8"/>
  <c r="AE87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D86" i="8"/>
  <c r="C86" i="8"/>
  <c r="E86" i="8"/>
  <c r="AM86" i="8"/>
  <c r="AL86" i="8"/>
  <c r="AK86" i="8"/>
  <c r="AJ86" i="8"/>
  <c r="AI86" i="8"/>
  <c r="AH86" i="8"/>
  <c r="AG86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N85" i="8"/>
  <c r="Y85" i="8"/>
  <c r="M85" i="8"/>
  <c r="L85" i="8"/>
  <c r="K85" i="8"/>
  <c r="X85" i="8"/>
  <c r="C85" i="8"/>
  <c r="W85" i="8"/>
  <c r="V85" i="8"/>
  <c r="J85" i="8"/>
  <c r="U85" i="8"/>
  <c r="T85" i="8"/>
  <c r="I85" i="8"/>
  <c r="S85" i="8"/>
  <c r="H85" i="8"/>
  <c r="G85" i="8"/>
  <c r="F85" i="8"/>
  <c r="E85" i="8"/>
  <c r="D85" i="8"/>
  <c r="R85" i="8"/>
  <c r="Q85" i="8"/>
  <c r="P85" i="8"/>
  <c r="O85" i="8"/>
  <c r="AH84" i="8"/>
  <c r="R84" i="8"/>
  <c r="Q84" i="8"/>
  <c r="P84" i="8"/>
  <c r="O84" i="8"/>
  <c r="N84" i="8"/>
  <c r="M84" i="8"/>
  <c r="C84" i="8"/>
  <c r="D84" i="8"/>
  <c r="F84" i="8"/>
  <c r="G84" i="8"/>
  <c r="H84" i="8"/>
  <c r="I84" i="8"/>
  <c r="L84" i="8"/>
  <c r="U84" i="8"/>
  <c r="J84" i="8"/>
  <c r="S84" i="8"/>
  <c r="T84" i="8"/>
  <c r="E84" i="8"/>
  <c r="V84" i="8"/>
  <c r="W84" i="8"/>
  <c r="X84" i="8"/>
  <c r="Y84" i="8"/>
  <c r="Z84" i="8"/>
  <c r="AA84" i="8"/>
  <c r="K84" i="8"/>
  <c r="AB84" i="8"/>
  <c r="AC84" i="8"/>
  <c r="AD84" i="8"/>
  <c r="AE84" i="8"/>
  <c r="AF84" i="8"/>
  <c r="AG84" i="8"/>
  <c r="AI84" i="8"/>
  <c r="AJ84" i="8"/>
  <c r="AK84" i="8"/>
  <c r="AL84" i="8"/>
  <c r="AM84" i="8"/>
  <c r="J83" i="8"/>
  <c r="C83" i="8"/>
  <c r="D83" i="8"/>
  <c r="E83" i="8"/>
  <c r="F83" i="8"/>
  <c r="G83" i="8"/>
  <c r="H83" i="8"/>
  <c r="I83" i="8"/>
  <c r="K83" i="8"/>
  <c r="L83" i="8"/>
  <c r="M83" i="8"/>
  <c r="N83" i="8"/>
  <c r="O83" i="8"/>
  <c r="P83" i="8"/>
  <c r="Q83" i="8"/>
  <c r="R83" i="8"/>
  <c r="S83" i="8"/>
  <c r="T83" i="8"/>
  <c r="AM83" i="8"/>
  <c r="AL83" i="8"/>
  <c r="AK83" i="8"/>
  <c r="AJ83" i="8"/>
  <c r="AH83" i="8"/>
  <c r="AI83" i="8"/>
  <c r="AG83" i="8"/>
  <c r="AF83" i="8"/>
  <c r="AE83" i="8"/>
  <c r="AD83" i="8"/>
  <c r="AC83" i="8"/>
  <c r="AB83" i="8"/>
  <c r="U83" i="8"/>
  <c r="V83" i="8"/>
  <c r="W83" i="8"/>
  <c r="X83" i="8"/>
  <c r="Y83" i="8"/>
  <c r="Z83" i="8"/>
  <c r="AA83" i="8"/>
  <c r="AB82" i="8"/>
  <c r="AA82" i="8"/>
  <c r="Z82" i="8"/>
  <c r="Y82" i="8"/>
  <c r="O82" i="8"/>
  <c r="G82" i="8"/>
  <c r="D82" i="8"/>
  <c r="C82" i="8"/>
  <c r="P82" i="8"/>
  <c r="H82" i="8"/>
  <c r="M82" i="8"/>
  <c r="R82" i="8"/>
  <c r="U82" i="8"/>
  <c r="J82" i="8"/>
  <c r="E82" i="8"/>
  <c r="K82" i="8"/>
  <c r="Q82" i="8"/>
  <c r="S82" i="8"/>
  <c r="V82" i="8"/>
  <c r="N82" i="8"/>
  <c r="L82" i="8"/>
  <c r="X82" i="8"/>
  <c r="AM82" i="8"/>
  <c r="AL82" i="8"/>
  <c r="F82" i="8"/>
  <c r="AK82" i="8"/>
  <c r="AJ82" i="8"/>
  <c r="W82" i="8"/>
  <c r="T82" i="8"/>
  <c r="I82" i="8"/>
  <c r="AI82" i="8"/>
  <c r="AH82" i="8"/>
  <c r="AG82" i="8"/>
  <c r="AF82" i="8"/>
  <c r="AE82" i="8"/>
  <c r="AD82" i="8"/>
  <c r="AC82" i="8"/>
  <c r="T81" i="8"/>
  <c r="P81" i="8"/>
  <c r="K81" i="8"/>
  <c r="C81" i="8"/>
  <c r="AM81" i="8"/>
  <c r="I81" i="8"/>
  <c r="L81" i="8"/>
  <c r="X81" i="8"/>
  <c r="Y81" i="8"/>
  <c r="AA81" i="8"/>
  <c r="AE81" i="8"/>
  <c r="G81" i="8"/>
  <c r="D81" i="8"/>
  <c r="AF81" i="8"/>
  <c r="F81" i="8"/>
  <c r="U81" i="8"/>
  <c r="V81" i="8"/>
  <c r="O81" i="8"/>
  <c r="J81" i="8"/>
  <c r="E81" i="8"/>
  <c r="W81" i="8"/>
  <c r="AL81" i="8"/>
  <c r="S81" i="8"/>
  <c r="AH81" i="8"/>
  <c r="AK81" i="8"/>
  <c r="AD81" i="8"/>
  <c r="AG81" i="8"/>
  <c r="AI81" i="8"/>
  <c r="Q81" i="8"/>
  <c r="N81" i="8"/>
  <c r="M81" i="8"/>
  <c r="H81" i="8"/>
  <c r="AJ81" i="8"/>
  <c r="AC81" i="8"/>
  <c r="R81" i="8"/>
  <c r="Z81" i="8"/>
  <c r="AB81" i="8"/>
  <c r="AB80" i="8"/>
  <c r="U80" i="8"/>
  <c r="P80" i="8"/>
  <c r="AF80" i="8"/>
  <c r="D80" i="8"/>
  <c r="L80" i="8"/>
  <c r="W80" i="8"/>
  <c r="G80" i="8"/>
  <c r="O80" i="8"/>
  <c r="AM80" i="8"/>
  <c r="I80" i="8"/>
  <c r="R80" i="8"/>
  <c r="V80" i="8"/>
  <c r="T80" i="8"/>
  <c r="M80" i="8"/>
  <c r="H80" i="8"/>
  <c r="Y80" i="8"/>
  <c r="AA80" i="8"/>
  <c r="AD80" i="8"/>
  <c r="AJ80" i="8"/>
  <c r="AK80" i="8"/>
  <c r="AI80" i="8"/>
  <c r="AG80" i="8"/>
  <c r="Q80" i="8"/>
  <c r="N80" i="8"/>
  <c r="Z80" i="8"/>
  <c r="AE80" i="8"/>
  <c r="AC80" i="8"/>
  <c r="K80" i="8"/>
  <c r="AH80" i="8"/>
  <c r="C80" i="8"/>
  <c r="E80" i="8"/>
  <c r="J80" i="8"/>
  <c r="X80" i="8"/>
  <c r="F80" i="8"/>
  <c r="S80" i="8"/>
  <c r="AL80" i="8"/>
  <c r="AJ79" i="8"/>
  <c r="AH79" i="8"/>
  <c r="X79" i="8"/>
  <c r="U79" i="8"/>
  <c r="T79" i="8"/>
  <c r="I79" i="8"/>
  <c r="V79" i="8"/>
  <c r="Q79" i="8"/>
  <c r="K79" i="8"/>
  <c r="E79" i="8"/>
  <c r="Y79" i="8"/>
  <c r="AI79" i="8"/>
  <c r="AD79" i="8"/>
  <c r="AB79" i="8"/>
  <c r="S79" i="8"/>
  <c r="R79" i="8"/>
  <c r="M79" i="8"/>
  <c r="G79" i="8"/>
  <c r="O79" i="8"/>
  <c r="AE79" i="8"/>
  <c r="J79" i="8"/>
  <c r="H79" i="8"/>
  <c r="AL79" i="8"/>
  <c r="W79" i="8"/>
  <c r="AA79" i="8"/>
  <c r="AG79" i="8"/>
  <c r="AM79" i="8"/>
  <c r="AK79" i="8"/>
  <c r="P79" i="8"/>
  <c r="Z79" i="8"/>
  <c r="L79" i="8"/>
  <c r="C79" i="8"/>
  <c r="D79" i="8"/>
  <c r="F79" i="8"/>
  <c r="N79" i="8"/>
  <c r="AC79" i="8"/>
  <c r="AF79" i="8"/>
  <c r="J78" i="8"/>
  <c r="X78" i="8"/>
  <c r="AJ78" i="8"/>
  <c r="AA78" i="8"/>
  <c r="V78" i="8"/>
  <c r="T78" i="8"/>
  <c r="P78" i="8"/>
  <c r="W78" i="8"/>
  <c r="F78" i="8"/>
  <c r="Z78" i="8"/>
  <c r="E78" i="8"/>
  <c r="R78" i="8"/>
  <c r="L78" i="8"/>
  <c r="H78" i="8"/>
  <c r="K78" i="8"/>
  <c r="S78" i="8"/>
  <c r="AB78" i="8"/>
  <c r="AC78" i="8"/>
  <c r="D78" i="8"/>
  <c r="AE78" i="8"/>
  <c r="AG78" i="8"/>
  <c r="AH78" i="8"/>
  <c r="Y78" i="8"/>
  <c r="U78" i="8"/>
  <c r="AM78" i="8"/>
  <c r="M78" i="8"/>
  <c r="O78" i="8"/>
  <c r="AF78" i="8"/>
  <c r="AI78" i="8"/>
  <c r="I78" i="8"/>
  <c r="AK78" i="8"/>
  <c r="Q78" i="8"/>
  <c r="AD78" i="8"/>
  <c r="N78" i="8"/>
  <c r="G78" i="8"/>
  <c r="C78" i="8"/>
  <c r="AL78" i="8"/>
  <c r="AM77" i="8"/>
  <c r="AE77" i="8"/>
  <c r="Q77" i="8"/>
  <c r="K77" i="8"/>
  <c r="W77" i="8"/>
  <c r="D77" i="8"/>
  <c r="AC77" i="8"/>
  <c r="X77" i="8"/>
  <c r="T77" i="8"/>
  <c r="AL77" i="8"/>
  <c r="AG77" i="8"/>
  <c r="AA77" i="8"/>
  <c r="P77" i="8"/>
  <c r="L77" i="8"/>
  <c r="H77" i="8"/>
  <c r="F77" i="8"/>
  <c r="AK77" i="8"/>
  <c r="R77" i="8"/>
  <c r="C77" i="8"/>
  <c r="G77" i="8"/>
  <c r="Z77" i="8"/>
  <c r="AF77" i="8"/>
  <c r="Y77" i="8"/>
  <c r="V77" i="8"/>
  <c r="M77" i="8"/>
  <c r="J77" i="8"/>
  <c r="I77" i="8"/>
  <c r="E77" i="8"/>
  <c r="AI77" i="8"/>
  <c r="N77" i="8"/>
  <c r="O77" i="8"/>
  <c r="S77" i="8"/>
  <c r="U77" i="8"/>
  <c r="AB77" i="8"/>
  <c r="AD77" i="8"/>
  <c r="AH77" i="8"/>
  <c r="AJ77" i="8"/>
  <c r="AG76" i="8"/>
  <c r="AC76" i="8"/>
  <c r="U76" i="8"/>
  <c r="Q76" i="8"/>
  <c r="N76" i="8"/>
  <c r="J76" i="8"/>
  <c r="AI76" i="8"/>
  <c r="AB76" i="8"/>
  <c r="Y76" i="8"/>
  <c r="AD76" i="8"/>
  <c r="AL76" i="8"/>
  <c r="AH76" i="8"/>
  <c r="AF76" i="8"/>
  <c r="AK76" i="8"/>
  <c r="AJ76" i="8"/>
  <c r="AM76" i="8"/>
  <c r="W76" i="8"/>
  <c r="O76" i="8"/>
  <c r="L76" i="8"/>
  <c r="P76" i="8"/>
  <c r="T76" i="8"/>
  <c r="V76" i="8"/>
  <c r="M76" i="8"/>
  <c r="I76" i="8"/>
  <c r="AE76" i="8"/>
  <c r="H76" i="8"/>
  <c r="G76" i="8"/>
  <c r="C76" i="8"/>
  <c r="E76" i="8"/>
  <c r="D76" i="8"/>
  <c r="F76" i="8"/>
  <c r="AA76" i="8"/>
  <c r="Z76" i="8"/>
  <c r="X76" i="8"/>
  <c r="S76" i="8"/>
  <c r="R76" i="8"/>
  <c r="K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M75" i="8"/>
  <c r="AL75" i="8"/>
  <c r="AK75" i="8"/>
  <c r="AJ75" i="8"/>
  <c r="AI75" i="8"/>
  <c r="AH75" i="8"/>
  <c r="AG75" i="8"/>
  <c r="AF75" i="8"/>
  <c r="AE75" i="8"/>
  <c r="AD75" i="8"/>
  <c r="AC75" i="8"/>
  <c r="AF74" i="8"/>
  <c r="AA74" i="8"/>
  <c r="Z74" i="8"/>
  <c r="Y74" i="8"/>
  <c r="X74" i="8"/>
  <c r="W74" i="8"/>
  <c r="V74" i="8"/>
  <c r="U74" i="8"/>
  <c r="T74" i="8"/>
  <c r="S74" i="8"/>
  <c r="R74" i="8"/>
  <c r="Q74" i="8"/>
  <c r="P74" i="8"/>
  <c r="AK74" i="8"/>
  <c r="O74" i="8"/>
  <c r="N74" i="8"/>
  <c r="M74" i="8"/>
  <c r="L74" i="8"/>
  <c r="K74" i="8"/>
  <c r="J74" i="8"/>
  <c r="I74" i="8"/>
  <c r="H74" i="8"/>
  <c r="G74" i="8"/>
  <c r="F74" i="8"/>
  <c r="E74" i="8"/>
  <c r="AM74" i="8"/>
  <c r="AL74" i="8"/>
  <c r="D74" i="8"/>
  <c r="AJ74" i="8"/>
  <c r="AI74" i="8"/>
  <c r="AH74" i="8"/>
  <c r="AG74" i="8"/>
  <c r="C74" i="8"/>
  <c r="AE74" i="8"/>
  <c r="AD74" i="8"/>
  <c r="AC74" i="8"/>
  <c r="AB74" i="8"/>
  <c r="AJ73" i="8"/>
  <c r="AI73" i="8"/>
  <c r="AH73" i="8"/>
  <c r="AG73" i="8"/>
  <c r="AF73" i="8"/>
  <c r="AE73" i="8"/>
  <c r="AD73" i="8"/>
  <c r="AC73" i="8"/>
  <c r="Z73" i="8"/>
  <c r="AB73" i="8"/>
  <c r="AA73" i="8"/>
  <c r="AM73" i="8"/>
  <c r="AL73" i="8"/>
  <c r="AK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V72" i="8"/>
  <c r="U72" i="8"/>
  <c r="T72" i="8"/>
  <c r="S72" i="8"/>
  <c r="R72" i="8"/>
  <c r="Q72" i="8"/>
  <c r="P72" i="8"/>
  <c r="O72" i="8"/>
  <c r="N72" i="8"/>
  <c r="L72" i="8"/>
  <c r="K72" i="8"/>
  <c r="J72" i="8"/>
  <c r="H72" i="8"/>
  <c r="G72" i="8"/>
  <c r="F72" i="8"/>
  <c r="E72" i="8"/>
  <c r="D72" i="8"/>
  <c r="M72" i="8"/>
  <c r="Y72" i="8"/>
  <c r="X72" i="8"/>
  <c r="I72" i="8"/>
  <c r="W72" i="8"/>
  <c r="C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C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W70" i="8"/>
  <c r="E70" i="8"/>
  <c r="D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AM68" i="8"/>
  <c r="AL68" i="8"/>
  <c r="AK68" i="8"/>
  <c r="AJ68" i="8"/>
  <c r="AI68" i="8"/>
  <c r="AH68" i="8"/>
  <c r="AG68" i="8"/>
  <c r="AF68" i="8"/>
  <c r="U68" i="8"/>
  <c r="AE68" i="8"/>
  <c r="AD68" i="8"/>
  <c r="AC68" i="8"/>
  <c r="AB68" i="8"/>
  <c r="AA68" i="8"/>
  <c r="Z68" i="8"/>
  <c r="Y68" i="8"/>
  <c r="X68" i="8"/>
  <c r="W68" i="8"/>
  <c r="V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 s="1" a="1"/>
  <c r="B68" i="8" s="1"/>
  <c r="M67" i="8"/>
  <c r="T67" i="8"/>
  <c r="S67" i="8"/>
  <c r="R67" i="8"/>
  <c r="Q67" i="8"/>
  <c r="P67" i="8"/>
  <c r="O67" i="8"/>
  <c r="N67" i="8"/>
  <c r="L67" i="8"/>
  <c r="K67" i="8"/>
  <c r="J67" i="8"/>
  <c r="I67" i="8"/>
  <c r="H67" i="8"/>
  <c r="G67" i="8"/>
  <c r="F67" i="8"/>
  <c r="D67" i="8"/>
  <c r="C67" i="8"/>
  <c r="E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S66" i="8"/>
  <c r="R66" i="8"/>
  <c r="Q66" i="8"/>
  <c r="P66" i="8"/>
  <c r="G66" i="8"/>
  <c r="M66" i="8"/>
  <c r="L66" i="8"/>
  <c r="C66" i="8"/>
  <c r="H66" i="8"/>
  <c r="J66" i="8"/>
  <c r="D66" i="8"/>
  <c r="F66" i="8"/>
  <c r="K66" i="8"/>
  <c r="I66" i="8"/>
  <c r="O66" i="8"/>
  <c r="E66" i="8"/>
  <c r="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J65" i="8"/>
  <c r="AF65" i="8"/>
  <c r="H65" i="8"/>
  <c r="U65" i="8"/>
  <c r="K65" i="8"/>
  <c r="N65" i="8"/>
  <c r="X65" i="8"/>
  <c r="Z65" i="8"/>
  <c r="AC65" i="8"/>
  <c r="AG65" i="8"/>
  <c r="AH65" i="8"/>
  <c r="AD65" i="8"/>
  <c r="AJ65" i="8"/>
  <c r="AL65" i="8"/>
  <c r="AK65" i="8"/>
  <c r="AA65" i="8"/>
  <c r="V65" i="8"/>
  <c r="AM65" i="8"/>
  <c r="AB65" i="8"/>
  <c r="S65" i="8"/>
  <c r="G65" i="8"/>
  <c r="AI65" i="8"/>
  <c r="AE65" i="8"/>
  <c r="O65" i="8"/>
  <c r="I65" i="8"/>
  <c r="F65" i="8"/>
  <c r="Q65" i="8"/>
  <c r="M65" i="8"/>
  <c r="Y65" i="8"/>
  <c r="P65" i="8"/>
  <c r="T65" i="8"/>
  <c r="E65" i="8"/>
  <c r="D65" i="8"/>
  <c r="L65" i="8"/>
  <c r="C65" i="8"/>
  <c r="R65" i="8"/>
  <c r="W65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C64" i="8"/>
  <c r="N64" i="8"/>
  <c r="M64" i="8"/>
  <c r="L64" i="8"/>
  <c r="O64" i="8"/>
  <c r="K64" i="8"/>
  <c r="J64" i="8"/>
  <c r="I64" i="8"/>
  <c r="H64" i="8"/>
  <c r="G64" i="8"/>
  <c r="F64" i="8"/>
  <c r="E64" i="8"/>
  <c r="D64" i="8"/>
  <c r="AM64" i="8"/>
  <c r="N63" i="8"/>
  <c r="M63" i="8"/>
  <c r="L63" i="8"/>
  <c r="K63" i="8"/>
  <c r="J63" i="8"/>
  <c r="I63" i="8"/>
  <c r="H63" i="8"/>
  <c r="G63" i="8"/>
  <c r="F63" i="8"/>
  <c r="E63" i="8"/>
  <c r="D63" i="8"/>
  <c r="C63" i="8"/>
  <c r="W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V63" i="8"/>
  <c r="U63" i="8"/>
  <c r="T63" i="8"/>
  <c r="S63" i="8"/>
  <c r="R63" i="8"/>
  <c r="Q63" i="8"/>
  <c r="P63" i="8"/>
  <c r="O63" i="8"/>
  <c r="M62" i="8"/>
  <c r="L62" i="8"/>
  <c r="K62" i="8"/>
  <c r="J62" i="8"/>
  <c r="I62" i="8"/>
  <c r="H62" i="8"/>
  <c r="G62" i="8"/>
  <c r="F62" i="8"/>
  <c r="E62" i="8"/>
  <c r="D62" i="8"/>
  <c r="AL62" i="8"/>
  <c r="AK62" i="8"/>
  <c r="AJ62" i="8"/>
  <c r="AI62" i="8"/>
  <c r="AH62" i="8"/>
  <c r="AG62" i="8"/>
  <c r="AF62" i="8"/>
  <c r="N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AM62" i="8"/>
  <c r="Q62" i="8"/>
  <c r="P62" i="8"/>
  <c r="O62" i="8"/>
  <c r="C62" i="8"/>
  <c r="R62" i="8"/>
  <c r="L61" i="8"/>
  <c r="K61" i="8"/>
  <c r="J61" i="8"/>
  <c r="I61" i="8"/>
  <c r="H61" i="8"/>
  <c r="G61" i="8"/>
  <c r="F61" i="8"/>
  <c r="E61" i="8"/>
  <c r="D61" i="8"/>
  <c r="C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K60" i="8"/>
  <c r="J60" i="8"/>
  <c r="I60" i="8"/>
  <c r="H60" i="8"/>
  <c r="G60" i="8"/>
  <c r="F60" i="8"/>
  <c r="E60" i="8"/>
  <c r="D60" i="8"/>
  <c r="C60" i="8"/>
  <c r="AF60" i="8"/>
  <c r="AG60" i="8"/>
  <c r="AH60" i="8"/>
  <c r="AI60" i="8"/>
  <c r="AJ60" i="8"/>
  <c r="AK60" i="8"/>
  <c r="AL60" i="8"/>
  <c r="AM60" i="8"/>
  <c r="AE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M59" i="8"/>
  <c r="AL59" i="8"/>
  <c r="AK59" i="8"/>
  <c r="AJ59" i="8"/>
  <c r="AI59" i="8"/>
  <c r="AH59" i="8"/>
  <c r="AG59" i="8"/>
  <c r="AF59" i="8"/>
  <c r="AE59" i="8"/>
  <c r="AD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C59" i="8"/>
  <c r="AM58" i="8"/>
  <c r="AL58" i="8"/>
  <c r="G58" i="8"/>
  <c r="F58" i="8"/>
  <c r="E58" i="8"/>
  <c r="D58" i="8"/>
  <c r="C58" i="8"/>
  <c r="J58" i="8"/>
  <c r="K58" i="8"/>
  <c r="AC58" i="8"/>
  <c r="H58" i="8"/>
  <c r="L58" i="8"/>
  <c r="M58" i="8"/>
  <c r="N58" i="8"/>
  <c r="O58" i="8"/>
  <c r="P58" i="8"/>
  <c r="Q58" i="8"/>
  <c r="R58" i="8"/>
  <c r="S58" i="8"/>
  <c r="I58" i="8"/>
  <c r="T58" i="8"/>
  <c r="U58" i="8"/>
  <c r="V58" i="8"/>
  <c r="W58" i="8"/>
  <c r="X58" i="8"/>
  <c r="Y58" i="8"/>
  <c r="Z58" i="8"/>
  <c r="AA58" i="8"/>
  <c r="AB58" i="8"/>
  <c r="AD58" i="8"/>
  <c r="AE58" i="8"/>
  <c r="AF58" i="8"/>
  <c r="AG58" i="8"/>
  <c r="AH58" i="8"/>
  <c r="AI58" i="8"/>
  <c r="AJ58" i="8"/>
  <c r="AK58" i="8"/>
  <c r="AK57" i="8"/>
  <c r="G57" i="8"/>
  <c r="F57" i="8"/>
  <c r="E57" i="8"/>
  <c r="D57" i="8"/>
  <c r="C57" i="8"/>
  <c r="AM57" i="8"/>
  <c r="AL57" i="8"/>
  <c r="H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Q57" i="8"/>
  <c r="R57" i="8"/>
  <c r="P57" i="8"/>
  <c r="O57" i="8"/>
  <c r="N57" i="8"/>
  <c r="M57" i="8"/>
  <c r="L57" i="8"/>
  <c r="K57" i="8"/>
  <c r="J57" i="8"/>
  <c r="I57" i="8"/>
  <c r="G56" i="8"/>
  <c r="F56" i="8"/>
  <c r="E56" i="8"/>
  <c r="D56" i="8"/>
  <c r="C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E55" i="8"/>
  <c r="D55" i="8"/>
  <c r="C55" i="8"/>
  <c r="O55" i="8"/>
  <c r="J55" i="8"/>
  <c r="AL55" i="8"/>
  <c r="AK55" i="8"/>
  <c r="AJ55" i="8"/>
  <c r="AM55" i="8"/>
  <c r="AI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H55" i="8"/>
  <c r="N55" i="8"/>
  <c r="M55" i="8"/>
  <c r="L55" i="8"/>
  <c r="K55" i="8"/>
  <c r="I55" i="8"/>
  <c r="H55" i="8"/>
  <c r="G55" i="8"/>
  <c r="F55" i="8"/>
  <c r="AM54" i="8"/>
  <c r="AL54" i="8"/>
  <c r="AK54" i="8"/>
  <c r="AJ54" i="8"/>
  <c r="AI54" i="8"/>
  <c r="AH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L54" i="8"/>
  <c r="K54" i="8"/>
  <c r="J54" i="8"/>
  <c r="I54" i="8"/>
  <c r="H54" i="8"/>
  <c r="G54" i="8"/>
  <c r="F54" i="8"/>
  <c r="E54" i="8"/>
  <c r="C54" i="8"/>
  <c r="D54" i="8"/>
  <c r="M54" i="8"/>
  <c r="AG54" i="8"/>
  <c r="D53" i="8"/>
  <c r="C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C52" i="8"/>
  <c r="V52" i="8"/>
  <c r="AM52" i="8"/>
  <c r="AL52" i="8"/>
  <c r="AK52" i="8"/>
  <c r="AJ52" i="8"/>
  <c r="AI52" i="8"/>
  <c r="AH52" i="8"/>
  <c r="AG52" i="8"/>
  <c r="AF52" i="8"/>
  <c r="U52" i="8"/>
  <c r="W52" i="8"/>
  <c r="X52" i="8"/>
  <c r="Y52" i="8"/>
  <c r="Z52" i="8"/>
  <c r="AA52" i="8"/>
  <c r="AB52" i="8"/>
  <c r="AC52" i="8"/>
  <c r="AD52" i="8"/>
  <c r="AE52" i="8"/>
  <c r="E52" i="8"/>
  <c r="F52" i="8"/>
  <c r="D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Q51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I50" i="8"/>
  <c r="G50" i="8"/>
  <c r="F50" i="8"/>
  <c r="D50" i="8"/>
  <c r="E50" i="8"/>
  <c r="H50" i="8"/>
  <c r="P50" i="8"/>
  <c r="O50" i="8"/>
  <c r="N50" i="8"/>
  <c r="M50" i="8"/>
  <c r="L50" i="8"/>
  <c r="K50" i="8"/>
  <c r="C50" i="8"/>
  <c r="J50" i="8"/>
  <c r="Q50" i="8"/>
  <c r="R50" i="8"/>
  <c r="S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G49" i="8"/>
  <c r="Z49" i="8"/>
  <c r="AA49" i="8"/>
  <c r="AB49" i="8"/>
  <c r="AC49" i="8"/>
  <c r="AD49" i="8"/>
  <c r="AE49" i="8"/>
  <c r="AF49" i="8"/>
  <c r="AJ49" i="8"/>
  <c r="AH49" i="8"/>
  <c r="AI49" i="8"/>
  <c r="Y49" i="8"/>
  <c r="AL49" i="8"/>
  <c r="AK49" i="8"/>
  <c r="AM49" i="8"/>
  <c r="X49" i="8"/>
  <c r="W49" i="8"/>
  <c r="V49" i="8"/>
  <c r="E48" i="8"/>
  <c r="D48" i="8"/>
  <c r="C48" i="8"/>
  <c r="V48" i="8"/>
  <c r="U48" i="8"/>
  <c r="T48" i="8"/>
  <c r="S48" i="8"/>
  <c r="R48" i="8"/>
  <c r="Q48" i="8"/>
  <c r="Y48" i="8"/>
  <c r="Z48" i="8"/>
  <c r="P48" i="8"/>
  <c r="O48" i="8"/>
  <c r="W48" i="8"/>
  <c r="M48" i="8"/>
  <c r="L48" i="8"/>
  <c r="AA48" i="8"/>
  <c r="K48" i="8"/>
  <c r="AB48" i="8"/>
  <c r="J48" i="8"/>
  <c r="AC48" i="8"/>
  <c r="AD48" i="8"/>
  <c r="X48" i="8"/>
  <c r="AE48" i="8"/>
  <c r="AF48" i="8"/>
  <c r="AG48" i="8"/>
  <c r="AH48" i="8"/>
  <c r="AI48" i="8"/>
  <c r="AJ48" i="8"/>
  <c r="I48" i="8"/>
  <c r="AK48" i="8"/>
  <c r="AL48" i="8"/>
  <c r="AM48" i="8"/>
  <c r="H48" i="8"/>
  <c r="G48" i="8"/>
  <c r="F48" i="8"/>
  <c r="N48" i="8"/>
  <c r="D47" i="8"/>
  <c r="C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C46" i="8"/>
  <c r="X46" i="8"/>
  <c r="AL46" i="8"/>
  <c r="Y46" i="8"/>
  <c r="Z46" i="8"/>
  <c r="AA46" i="8"/>
  <c r="AB46" i="8"/>
  <c r="AC46" i="8"/>
  <c r="AM46" i="8"/>
  <c r="AD46" i="8"/>
  <c r="AE46" i="8"/>
  <c r="AF46" i="8"/>
  <c r="AG46" i="8"/>
  <c r="AH46" i="8"/>
  <c r="N46" i="8"/>
  <c r="AI46" i="8"/>
  <c r="AJ46" i="8"/>
  <c r="AK46" i="8"/>
  <c r="T46" i="8"/>
  <c r="U46" i="8"/>
  <c r="V46" i="8"/>
  <c r="W46" i="8"/>
  <c r="S46" i="8"/>
  <c r="R46" i="8"/>
  <c r="Q46" i="8"/>
  <c r="P46" i="8"/>
  <c r="O46" i="8"/>
  <c r="M46" i="8"/>
  <c r="L46" i="8"/>
  <c r="K46" i="8"/>
  <c r="J46" i="8"/>
  <c r="I46" i="8"/>
  <c r="H46" i="8"/>
  <c r="G46" i="8"/>
  <c r="F46" i="8"/>
  <c r="E46" i="8"/>
  <c r="D46" i="8"/>
  <c r="V45" i="8"/>
  <c r="U45" i="8"/>
  <c r="T45" i="8"/>
  <c r="S45" i="8"/>
  <c r="R45" i="8"/>
  <c r="Q45" i="8"/>
  <c r="P45" i="8"/>
  <c r="O45" i="8"/>
  <c r="N45" i="8"/>
  <c r="M45" i="8"/>
  <c r="L45" i="8"/>
  <c r="J45" i="8"/>
  <c r="I45" i="8"/>
  <c r="H45" i="8"/>
  <c r="G45" i="8"/>
  <c r="F45" i="8"/>
  <c r="E45" i="8"/>
  <c r="D45" i="8"/>
  <c r="C45" i="8"/>
  <c r="Z45" i="8"/>
  <c r="AM45" i="8"/>
  <c r="AL45" i="8"/>
  <c r="AK45" i="8"/>
  <c r="AJ45" i="8"/>
  <c r="AI45" i="8"/>
  <c r="K45" i="8"/>
  <c r="AH45" i="8"/>
  <c r="AG45" i="8"/>
  <c r="AF45" i="8"/>
  <c r="AE45" i="8"/>
  <c r="AD45" i="8"/>
  <c r="AC45" i="8"/>
  <c r="AB45" i="8"/>
  <c r="AA45" i="8"/>
  <c r="Y45" i="8"/>
  <c r="X45" i="8"/>
  <c r="W45" i="8"/>
  <c r="T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I44" i="8"/>
  <c r="AJ44" i="8"/>
  <c r="AK44" i="8"/>
  <c r="AL44" i="8"/>
  <c r="AM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AH44" i="8"/>
  <c r="E44" i="8"/>
  <c r="D44" i="8"/>
  <c r="C44" i="8"/>
  <c r="U44" i="8"/>
  <c r="F44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M43" i="8"/>
  <c r="AL43" i="8"/>
  <c r="U42" i="8"/>
  <c r="C42" i="8"/>
  <c r="D42" i="8"/>
  <c r="E42" i="8"/>
  <c r="F42" i="8"/>
  <c r="G42" i="8"/>
  <c r="H42" i="8"/>
  <c r="I42" i="8"/>
  <c r="J42" i="8"/>
  <c r="K42" i="8"/>
  <c r="L42" i="8"/>
  <c r="M42" i="8"/>
  <c r="N42" i="8"/>
  <c r="P42" i="8"/>
  <c r="Q42" i="8"/>
  <c r="R42" i="8"/>
  <c r="S42" i="8"/>
  <c r="T42" i="8"/>
  <c r="O42" i="8"/>
  <c r="V42" i="8"/>
  <c r="W42" i="8"/>
  <c r="X42" i="8"/>
  <c r="Y42" i="8"/>
  <c r="Z42" i="8"/>
  <c r="AM42" i="8"/>
  <c r="AA42" i="8"/>
  <c r="AB42" i="8"/>
  <c r="AC42" i="8"/>
  <c r="AL42" i="8"/>
  <c r="AD42" i="8"/>
  <c r="AE42" i="8"/>
  <c r="AF42" i="8"/>
  <c r="AG42" i="8"/>
  <c r="AH42" i="8"/>
  <c r="AI42" i="8"/>
  <c r="AJ42" i="8"/>
  <c r="AK42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Q41" i="8"/>
  <c r="AM41" i="8"/>
  <c r="AL41" i="8"/>
  <c r="AK41" i="8"/>
  <c r="AM40" i="8"/>
  <c r="AL40" i="8"/>
  <c r="AK40" i="8"/>
  <c r="AJ40" i="8"/>
  <c r="AI40" i="8"/>
  <c r="AD40" i="8"/>
  <c r="D40" i="8"/>
  <c r="E40" i="8"/>
  <c r="F40" i="8"/>
  <c r="N40" i="8"/>
  <c r="H40" i="8"/>
  <c r="I40" i="8"/>
  <c r="J40" i="8"/>
  <c r="L40" i="8"/>
  <c r="M40" i="8"/>
  <c r="O40" i="8"/>
  <c r="K40" i="8"/>
  <c r="P40" i="8"/>
  <c r="Q40" i="8"/>
  <c r="R40" i="8"/>
  <c r="S40" i="8"/>
  <c r="T40" i="8"/>
  <c r="U40" i="8"/>
  <c r="V40" i="8"/>
  <c r="W40" i="8"/>
  <c r="X40" i="8"/>
  <c r="Y40" i="8"/>
  <c r="Z40" i="8"/>
  <c r="AA40" i="8"/>
  <c r="C40" i="8"/>
  <c r="AB40" i="8"/>
  <c r="AC40" i="8"/>
  <c r="G40" i="8"/>
  <c r="AE40" i="8"/>
  <c r="AF40" i="8"/>
  <c r="AG40" i="8"/>
  <c r="AH40" i="8"/>
  <c r="AC39" i="8"/>
  <c r="AB39" i="8"/>
  <c r="AA39" i="8"/>
  <c r="Z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D39" i="8"/>
  <c r="C39" i="8"/>
  <c r="AI39" i="8"/>
  <c r="AJ39" i="8"/>
  <c r="AK39" i="8"/>
  <c r="AL39" i="8"/>
  <c r="AM39" i="8"/>
  <c r="AH39" i="8"/>
  <c r="AG39" i="8"/>
  <c r="Y39" i="8"/>
  <c r="E39" i="8"/>
  <c r="AF39" i="8"/>
  <c r="AE39" i="8"/>
  <c r="AD39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M38" i="8"/>
  <c r="AL38" i="8"/>
  <c r="AK38" i="8"/>
  <c r="AJ38" i="8"/>
  <c r="AI38" i="8"/>
  <c r="AH38" i="8"/>
  <c r="AG38" i="8"/>
  <c r="AC37" i="8"/>
  <c r="AB37" i="8"/>
  <c r="AA37" i="8"/>
  <c r="Z37" i="8"/>
  <c r="Y37" i="8"/>
  <c r="X37" i="8"/>
  <c r="W37" i="8"/>
  <c r="V37" i="8"/>
  <c r="U37" i="8"/>
  <c r="M37" i="8"/>
  <c r="T37" i="8"/>
  <c r="S37" i="8"/>
  <c r="R37" i="8"/>
  <c r="Q37" i="8"/>
  <c r="P37" i="8"/>
  <c r="O37" i="8"/>
  <c r="N37" i="8"/>
  <c r="AL37" i="8"/>
  <c r="L37" i="8"/>
  <c r="K37" i="8"/>
  <c r="J37" i="8"/>
  <c r="I37" i="8"/>
  <c r="H37" i="8"/>
  <c r="G37" i="8"/>
  <c r="F37" i="8"/>
  <c r="E37" i="8"/>
  <c r="D37" i="8"/>
  <c r="C37" i="8"/>
  <c r="AK37" i="8"/>
  <c r="AJ37" i="8"/>
  <c r="AI37" i="8"/>
  <c r="AH37" i="8"/>
  <c r="AM37" i="8"/>
  <c r="AF37" i="8"/>
  <c r="AE37" i="8"/>
  <c r="AD37" i="8"/>
  <c r="AG37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M36" i="8"/>
  <c r="AL36" i="8"/>
  <c r="AK36" i="8"/>
  <c r="AJ36" i="8"/>
  <c r="AI36" i="8"/>
  <c r="AH36" i="8"/>
  <c r="AG36" i="8"/>
  <c r="AF36" i="8"/>
  <c r="AE36" i="8"/>
  <c r="AJ35" i="8"/>
  <c r="L35" i="8"/>
  <c r="AL35" i="8"/>
  <c r="AK35" i="8"/>
  <c r="AM35" i="8"/>
  <c r="AI35" i="8"/>
  <c r="AH35" i="8"/>
  <c r="AG35" i="8"/>
  <c r="V35" i="8"/>
  <c r="U35" i="8"/>
  <c r="T35" i="8"/>
  <c r="S35" i="8"/>
  <c r="R35" i="8"/>
  <c r="W35" i="8"/>
  <c r="X35" i="8"/>
  <c r="Z35" i="8"/>
  <c r="AA35" i="8"/>
  <c r="K35" i="8"/>
  <c r="M35" i="8"/>
  <c r="Q35" i="8"/>
  <c r="P35" i="8"/>
  <c r="O35" i="8"/>
  <c r="AB35" i="8"/>
  <c r="AC35" i="8"/>
  <c r="AD35" i="8"/>
  <c r="AE35" i="8"/>
  <c r="AF35" i="8"/>
  <c r="N35" i="8"/>
  <c r="J35" i="8"/>
  <c r="I35" i="8"/>
  <c r="H35" i="8"/>
  <c r="G35" i="8"/>
  <c r="F35" i="8"/>
  <c r="E35" i="8"/>
  <c r="Y35" i="8"/>
  <c r="D35" i="8"/>
  <c r="C35" i="8"/>
  <c r="B35" i="8" s="1" a="1"/>
  <c r="B35" i="8" s="1"/>
  <c r="AJ34" i="8"/>
  <c r="AB34" i="8"/>
  <c r="AA34" i="8"/>
  <c r="Z34" i="8"/>
  <c r="AD34" i="8"/>
  <c r="Y34" i="8"/>
  <c r="X34" i="8"/>
  <c r="W34" i="8"/>
  <c r="V34" i="8"/>
  <c r="AC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L34" i="8"/>
  <c r="AK34" i="8"/>
  <c r="AI34" i="8"/>
  <c r="AH34" i="8"/>
  <c r="AG34" i="8"/>
  <c r="AF34" i="8"/>
  <c r="AE34" i="8"/>
  <c r="AM34" i="8"/>
  <c r="AM33" i="8"/>
  <c r="AL33" i="8"/>
  <c r="AK33" i="8"/>
  <c r="AJ33" i="8"/>
  <c r="AI33" i="8"/>
  <c r="AH33" i="8"/>
  <c r="AG33" i="8"/>
  <c r="S33" i="8"/>
  <c r="AD33" i="8"/>
  <c r="Y33" i="8"/>
  <c r="T33" i="8"/>
  <c r="P33" i="8"/>
  <c r="L33" i="8"/>
  <c r="H33" i="8"/>
  <c r="Z33" i="8"/>
  <c r="AF33" i="8"/>
  <c r="M33" i="8"/>
  <c r="U33" i="8"/>
  <c r="R33" i="8"/>
  <c r="J33" i="8"/>
  <c r="C33" i="8"/>
  <c r="AC33" i="8"/>
  <c r="V33" i="8"/>
  <c r="E33" i="8"/>
  <c r="N33" i="8"/>
  <c r="K33" i="8"/>
  <c r="AE33" i="8"/>
  <c r="AB33" i="8"/>
  <c r="X33" i="8"/>
  <c r="G33" i="8"/>
  <c r="D33" i="8"/>
  <c r="AA33" i="8"/>
  <c r="W33" i="8"/>
  <c r="Q33" i="8"/>
  <c r="O33" i="8"/>
  <c r="I33" i="8"/>
  <c r="F33" i="8"/>
  <c r="E32" i="8"/>
  <c r="AM32" i="8"/>
  <c r="AJ32" i="8"/>
  <c r="AC32" i="8"/>
  <c r="Y32" i="8"/>
  <c r="W32" i="8"/>
  <c r="T32" i="8"/>
  <c r="N32" i="8"/>
  <c r="K32" i="8"/>
  <c r="AB32" i="8"/>
  <c r="C32" i="8"/>
  <c r="J32" i="8"/>
  <c r="G32" i="8"/>
  <c r="AE32" i="8"/>
  <c r="AL32" i="8"/>
  <c r="H32" i="8"/>
  <c r="O32" i="8"/>
  <c r="L32" i="8"/>
  <c r="P32" i="8"/>
  <c r="D32" i="8"/>
  <c r="S32" i="8"/>
  <c r="X32" i="8"/>
  <c r="R32" i="8"/>
  <c r="F32" i="8"/>
  <c r="M32" i="8"/>
  <c r="AK32" i="8"/>
  <c r="AG32" i="8"/>
  <c r="AA32" i="8"/>
  <c r="V32" i="8"/>
  <c r="U32" i="8"/>
  <c r="Q32" i="8"/>
  <c r="I32" i="8"/>
  <c r="AD32" i="8"/>
  <c r="AI32" i="8"/>
  <c r="AF32" i="8"/>
  <c r="AH32" i="8"/>
  <c r="Z32" i="8"/>
  <c r="AG31" i="8"/>
  <c r="AC31" i="8"/>
  <c r="V31" i="8"/>
  <c r="P31" i="8"/>
  <c r="N31" i="8"/>
  <c r="G31" i="8"/>
  <c r="D31" i="8"/>
  <c r="AL31" i="8"/>
  <c r="E31" i="8"/>
  <c r="U31" i="8"/>
  <c r="O31" i="8"/>
  <c r="AB31" i="8"/>
  <c r="AE31" i="8"/>
  <c r="AF31" i="8"/>
  <c r="J31" i="8"/>
  <c r="Z31" i="8"/>
  <c r="X31" i="8"/>
  <c r="AJ31" i="8"/>
  <c r="AK31" i="8"/>
  <c r="W31" i="8"/>
  <c r="AH31" i="8"/>
  <c r="AA31" i="8"/>
  <c r="T31" i="8"/>
  <c r="S31" i="8"/>
  <c r="I31" i="8"/>
  <c r="C31" i="8"/>
  <c r="R31" i="8"/>
  <c r="H31" i="8"/>
  <c r="AM31" i="8"/>
  <c r="Q31" i="8"/>
  <c r="F31" i="8"/>
  <c r="Y31" i="8"/>
  <c r="AD31" i="8"/>
  <c r="AI31" i="8"/>
  <c r="L31" i="8"/>
  <c r="M31" i="8"/>
  <c r="K31" i="8"/>
  <c r="AI30" i="8"/>
  <c r="AD30" i="8"/>
  <c r="X30" i="8"/>
  <c r="R30" i="8"/>
  <c r="L30" i="8"/>
  <c r="AF30" i="8"/>
  <c r="AH30" i="8"/>
  <c r="AB30" i="8"/>
  <c r="Y30" i="8"/>
  <c r="P30" i="8"/>
  <c r="S30" i="8"/>
  <c r="AJ30" i="8"/>
  <c r="AG30" i="8"/>
  <c r="AA30" i="8"/>
  <c r="W30" i="8"/>
  <c r="K30" i="8"/>
  <c r="U30" i="8"/>
  <c r="G30" i="8"/>
  <c r="E30" i="8"/>
  <c r="AE30" i="8"/>
  <c r="AC30" i="8"/>
  <c r="V30" i="8"/>
  <c r="O30" i="8"/>
  <c r="N30" i="8"/>
  <c r="J30" i="8"/>
  <c r="C30" i="8"/>
  <c r="Q30" i="8"/>
  <c r="I30" i="8"/>
  <c r="D30" i="8"/>
  <c r="AM30" i="8"/>
  <c r="T30" i="8"/>
  <c r="M30" i="8"/>
  <c r="H30" i="8"/>
  <c r="Z30" i="8"/>
  <c r="AL30" i="8"/>
  <c r="F30" i="8"/>
  <c r="AK30" i="8"/>
  <c r="AK29" i="8"/>
  <c r="AI29" i="8"/>
  <c r="AA29" i="8"/>
  <c r="Z29" i="8"/>
  <c r="Y29" i="8"/>
  <c r="X29" i="8"/>
  <c r="W29" i="8"/>
  <c r="F29" i="8"/>
  <c r="AL29" i="8"/>
  <c r="AH29" i="8"/>
  <c r="AJ29" i="8"/>
  <c r="G29" i="8"/>
  <c r="H29" i="8"/>
  <c r="I29" i="8"/>
  <c r="J29" i="8"/>
  <c r="K29" i="8"/>
  <c r="L29" i="8"/>
  <c r="M29" i="8"/>
  <c r="AC29" i="8"/>
  <c r="N29" i="8"/>
  <c r="AF29" i="8"/>
  <c r="AD29" i="8"/>
  <c r="O29" i="8"/>
  <c r="AE29" i="8"/>
  <c r="P29" i="8"/>
  <c r="Q29" i="8"/>
  <c r="R29" i="8"/>
  <c r="AG29" i="8"/>
  <c r="AB29" i="8"/>
  <c r="C29" i="8"/>
  <c r="AM29" i="8"/>
  <c r="S29" i="8"/>
  <c r="T29" i="8"/>
  <c r="D29" i="8"/>
  <c r="U29" i="8"/>
  <c r="V29" i="8"/>
  <c r="E29" i="8"/>
  <c r="C28" i="8"/>
  <c r="G28" i="8"/>
  <c r="H28" i="8"/>
  <c r="I28" i="8"/>
  <c r="AF28" i="8"/>
  <c r="AG28" i="8"/>
  <c r="AH28" i="8"/>
  <c r="AI28" i="8"/>
  <c r="AJ28" i="8"/>
  <c r="AK28" i="8"/>
  <c r="J28" i="8"/>
  <c r="K28" i="8"/>
  <c r="AL28" i="8"/>
  <c r="AM28" i="8"/>
  <c r="L28" i="8"/>
  <c r="M28" i="8"/>
  <c r="N28" i="8"/>
  <c r="P28" i="8"/>
  <c r="Q28" i="8"/>
  <c r="R28" i="8"/>
  <c r="S28" i="8"/>
  <c r="T28" i="8"/>
  <c r="U28" i="8"/>
  <c r="Y28" i="8"/>
  <c r="Z28" i="8"/>
  <c r="F28" i="8"/>
  <c r="AB28" i="8"/>
  <c r="AC28" i="8"/>
  <c r="AA28" i="8"/>
  <c r="E28" i="8"/>
  <c r="AE28" i="8"/>
  <c r="D28" i="8"/>
  <c r="V28" i="8"/>
  <c r="X28" i="8"/>
  <c r="AD28" i="8"/>
  <c r="W28" i="8"/>
  <c r="O28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A27" i="8"/>
  <c r="Q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C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C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Y25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I24" i="8"/>
  <c r="H24" i="8"/>
  <c r="G24" i="8"/>
  <c r="F24" i="8"/>
  <c r="E24" i="8"/>
  <c r="D24" i="8"/>
  <c r="C24" i="8"/>
  <c r="J24" i="8"/>
  <c r="AM24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M23" i="8"/>
  <c r="AL23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M22" i="8"/>
  <c r="AL22" i="8"/>
  <c r="AK22" i="8"/>
  <c r="AI21" i="8"/>
  <c r="AH21" i="8"/>
  <c r="AG21" i="8"/>
  <c r="AF21" i="8"/>
  <c r="AE21" i="8"/>
  <c r="AD21" i="8"/>
  <c r="AC21" i="8"/>
  <c r="AB21" i="8"/>
  <c r="AA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Z21" i="8"/>
  <c r="AM21" i="8"/>
  <c r="AL21" i="8"/>
  <c r="AK21" i="8"/>
  <c r="AJ21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J20" i="8"/>
  <c r="AI20" i="8"/>
  <c r="AH20" i="8"/>
  <c r="AL20" i="8"/>
  <c r="AK20" i="8"/>
  <c r="AM20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O18" i="8"/>
  <c r="N18" i="8"/>
  <c r="M18" i="8"/>
  <c r="L18" i="8"/>
  <c r="AM18" i="8"/>
  <c r="AL18" i="8"/>
  <c r="AK18" i="8"/>
  <c r="AJ18" i="8"/>
  <c r="AI18" i="8"/>
  <c r="AH18" i="8"/>
  <c r="AG18" i="8"/>
  <c r="AF18" i="8"/>
  <c r="AE18" i="8"/>
  <c r="K18" i="8"/>
  <c r="J18" i="8"/>
  <c r="D18" i="8"/>
  <c r="I18" i="8"/>
  <c r="H18" i="8"/>
  <c r="E18" i="8"/>
  <c r="F18" i="8"/>
  <c r="G18" i="8"/>
  <c r="AD18" i="8"/>
  <c r="AC18" i="8"/>
  <c r="AB18" i="8"/>
  <c r="AA18" i="8"/>
  <c r="Z18" i="8"/>
  <c r="C18" i="8"/>
  <c r="X18" i="8"/>
  <c r="W18" i="8"/>
  <c r="V18" i="8"/>
  <c r="U18" i="8"/>
  <c r="T18" i="8"/>
  <c r="S18" i="8"/>
  <c r="R18" i="8"/>
  <c r="Q18" i="8"/>
  <c r="P18" i="8"/>
  <c r="O17" i="8"/>
  <c r="M17" i="8"/>
  <c r="K17" i="8"/>
  <c r="U17" i="8"/>
  <c r="R17" i="8"/>
  <c r="N17" i="8"/>
  <c r="H17" i="8"/>
  <c r="I17" i="8"/>
  <c r="G17" i="8"/>
  <c r="D17" i="8"/>
  <c r="S17" i="8"/>
  <c r="T17" i="8"/>
  <c r="P17" i="8"/>
  <c r="L17" i="8"/>
  <c r="F17" i="8"/>
  <c r="J17" i="8"/>
  <c r="C17" i="8"/>
  <c r="E17" i="8"/>
  <c r="AE17" i="8"/>
  <c r="AM17" i="8"/>
  <c r="AL17" i="8"/>
  <c r="AK17" i="8"/>
  <c r="AJ17" i="8"/>
  <c r="AI17" i="8"/>
  <c r="AH17" i="8"/>
  <c r="AG17" i="8"/>
  <c r="AF17" i="8"/>
  <c r="AD17" i="8"/>
  <c r="AC17" i="8"/>
  <c r="AB17" i="8"/>
  <c r="AA17" i="8"/>
  <c r="Z17" i="8"/>
  <c r="Y17" i="8"/>
  <c r="X17" i="8"/>
  <c r="W17" i="8"/>
  <c r="V17" i="8"/>
  <c r="Q17" i="8"/>
  <c r="Y16" i="8"/>
  <c r="Q16" i="8"/>
  <c r="L16" i="8"/>
  <c r="I16" i="8"/>
  <c r="AC16" i="8"/>
  <c r="D16" i="8"/>
  <c r="O16" i="8"/>
  <c r="C16" i="8"/>
  <c r="AL16" i="8"/>
  <c r="AH16" i="8"/>
  <c r="AE16" i="8"/>
  <c r="AK16" i="8"/>
  <c r="AI16" i="8"/>
  <c r="AA16" i="8"/>
  <c r="T16" i="8"/>
  <c r="E16" i="8"/>
  <c r="U16" i="8"/>
  <c r="AM16" i="8"/>
  <c r="AF16" i="8"/>
  <c r="AB16" i="8"/>
  <c r="V16" i="8"/>
  <c r="R16" i="8"/>
  <c r="P16" i="8"/>
  <c r="K16" i="8"/>
  <c r="F16" i="8"/>
  <c r="Z16" i="8"/>
  <c r="J16" i="8"/>
  <c r="AG16" i="8"/>
  <c r="X16" i="8"/>
  <c r="N16" i="8"/>
  <c r="G16" i="8"/>
  <c r="M16" i="8"/>
  <c r="AJ16" i="8"/>
  <c r="AD16" i="8"/>
  <c r="W16" i="8"/>
  <c r="S16" i="8"/>
  <c r="H16" i="8"/>
  <c r="P15" i="8"/>
  <c r="H15" i="8"/>
  <c r="S15" i="8"/>
  <c r="AA15" i="8"/>
  <c r="AG15" i="8"/>
  <c r="C15" i="8"/>
  <c r="E15" i="8"/>
  <c r="G15" i="8"/>
  <c r="M15" i="8"/>
  <c r="Q15" i="8"/>
  <c r="V15" i="8"/>
  <c r="Y15" i="8"/>
  <c r="Z15" i="8"/>
  <c r="AE15" i="8"/>
  <c r="AJ15" i="8"/>
  <c r="AL15" i="8"/>
  <c r="D15" i="8"/>
  <c r="I15" i="8"/>
  <c r="U15" i="8"/>
  <c r="AC15" i="8"/>
  <c r="AI15" i="8"/>
  <c r="L15" i="8"/>
  <c r="F15" i="8"/>
  <c r="K15" i="8"/>
  <c r="N15" i="8"/>
  <c r="R15" i="8"/>
  <c r="X15" i="8"/>
  <c r="AD15" i="8"/>
  <c r="AK15" i="8"/>
  <c r="T15" i="8"/>
  <c r="AB15" i="8"/>
  <c r="AH15" i="8"/>
  <c r="J15" i="8"/>
  <c r="O15" i="8"/>
  <c r="W15" i="8"/>
  <c r="AF15" i="8"/>
  <c r="AM15" i="8"/>
  <c r="V14" i="8"/>
  <c r="I14" i="8"/>
  <c r="S14" i="8"/>
  <c r="P14" i="8"/>
  <c r="E14" i="8"/>
  <c r="O14" i="8"/>
  <c r="X14" i="8"/>
  <c r="K14" i="8"/>
  <c r="T14" i="8"/>
  <c r="W14" i="8"/>
  <c r="AE14" i="8"/>
  <c r="AK14" i="8"/>
  <c r="AD14" i="8"/>
  <c r="F14" i="8"/>
  <c r="H14" i="8"/>
  <c r="L14" i="8"/>
  <c r="U14" i="8"/>
  <c r="AA14" i="8"/>
  <c r="AF14" i="8"/>
  <c r="R14" i="8"/>
  <c r="AM14" i="8"/>
  <c r="AB14" i="8"/>
  <c r="C14" i="8"/>
  <c r="M14" i="8"/>
  <c r="Q14" i="8"/>
  <c r="Y14" i="8"/>
  <c r="AC14" i="8"/>
  <c r="AJ14" i="8"/>
  <c r="AH14" i="8"/>
  <c r="N14" i="8"/>
  <c r="J14" i="8"/>
  <c r="AL14" i="8"/>
  <c r="G14" i="8"/>
  <c r="D14" i="8"/>
  <c r="AG14" i="8"/>
  <c r="AI14" i="8"/>
  <c r="Z14" i="8"/>
  <c r="AI13" i="8"/>
  <c r="J13" i="8"/>
  <c r="Q13" i="8"/>
  <c r="Y13" i="8"/>
  <c r="AF13" i="8"/>
  <c r="AM13" i="8"/>
  <c r="AL13" i="8"/>
  <c r="H13" i="8"/>
  <c r="C13" i="8"/>
  <c r="AD13" i="8"/>
  <c r="T13" i="8"/>
  <c r="P13" i="8"/>
  <c r="K13" i="8"/>
  <c r="D13" i="8"/>
  <c r="AA13" i="8"/>
  <c r="AK13" i="8"/>
  <c r="V13" i="8"/>
  <c r="M13" i="8"/>
  <c r="F13" i="8"/>
  <c r="AE13" i="8"/>
  <c r="E13" i="8"/>
  <c r="L13" i="8"/>
  <c r="S13" i="8"/>
  <c r="Z13" i="8"/>
  <c r="G13" i="8"/>
  <c r="O13" i="8"/>
  <c r="W13" i="8"/>
  <c r="AB13" i="8"/>
  <c r="AH13" i="8"/>
  <c r="AJ13" i="8"/>
  <c r="AG13" i="8"/>
  <c r="AC13" i="8"/>
  <c r="X13" i="8"/>
  <c r="U13" i="8"/>
  <c r="R13" i="8"/>
  <c r="N13" i="8"/>
  <c r="I13" i="8"/>
  <c r="AK12" i="8"/>
  <c r="X12" i="8"/>
  <c r="Q12" i="8"/>
  <c r="I12" i="8"/>
  <c r="V12" i="8"/>
  <c r="AE12" i="8"/>
  <c r="AB12" i="8"/>
  <c r="AF12" i="8"/>
  <c r="D12" i="8"/>
  <c r="J12" i="8"/>
  <c r="M12" i="8"/>
  <c r="S12" i="8"/>
  <c r="Z12" i="8"/>
  <c r="AC12" i="8"/>
  <c r="Y12" i="8"/>
  <c r="N12" i="8"/>
  <c r="C12" i="8"/>
  <c r="AJ12" i="8"/>
  <c r="AH12" i="8"/>
  <c r="AA12" i="8"/>
  <c r="W12" i="8"/>
  <c r="T12" i="8"/>
  <c r="K12" i="8"/>
  <c r="E12" i="8"/>
  <c r="AM12" i="8"/>
  <c r="AI12" i="8"/>
  <c r="U12" i="8"/>
  <c r="P12" i="8"/>
  <c r="G12" i="8"/>
  <c r="AD12" i="8"/>
  <c r="AL12" i="8"/>
  <c r="R12" i="8"/>
  <c r="O12" i="8"/>
  <c r="L12" i="8"/>
  <c r="H12" i="8"/>
  <c r="AG12" i="8"/>
  <c r="F12" i="8"/>
  <c r="I11" i="8"/>
  <c r="N11" i="8"/>
  <c r="U11" i="8"/>
  <c r="V11" i="8"/>
  <c r="AC11" i="8"/>
  <c r="AG11" i="8"/>
  <c r="AJ11" i="8"/>
  <c r="R11" i="8"/>
  <c r="M11" i="8"/>
  <c r="K11" i="8"/>
  <c r="H11" i="8"/>
  <c r="G11" i="8"/>
  <c r="D11" i="8"/>
  <c r="AH11" i="8"/>
  <c r="Q11" i="8"/>
  <c r="J11" i="8"/>
  <c r="C11" i="8"/>
  <c r="AM11" i="8"/>
  <c r="AD11" i="8"/>
  <c r="S11" i="8"/>
  <c r="AE11" i="8"/>
  <c r="AA11" i="8"/>
  <c r="P11" i="8"/>
  <c r="L11" i="8"/>
  <c r="E11" i="8"/>
  <c r="Z11" i="8"/>
  <c r="AK11" i="8"/>
  <c r="AB11" i="8"/>
  <c r="AI11" i="8"/>
  <c r="AL11" i="8"/>
  <c r="F11" i="8"/>
  <c r="AF11" i="8"/>
  <c r="X11" i="8"/>
  <c r="Y11" i="8"/>
  <c r="T11" i="8"/>
  <c r="W11" i="8"/>
  <c r="O11" i="8"/>
  <c r="F10" i="8"/>
  <c r="P10" i="8"/>
  <c r="W10" i="8"/>
  <c r="AJ10" i="8"/>
  <c r="L10" i="8"/>
  <c r="R10" i="8"/>
  <c r="AB10" i="8"/>
  <c r="AK10" i="8"/>
  <c r="I10" i="8"/>
  <c r="U10" i="8"/>
  <c r="AA10" i="8"/>
  <c r="AC10" i="8"/>
  <c r="C10" i="8"/>
  <c r="E10" i="8"/>
  <c r="H10" i="8"/>
  <c r="J10" i="8"/>
  <c r="K10" i="8"/>
  <c r="N10" i="8"/>
  <c r="S10" i="8"/>
  <c r="V10" i="8"/>
  <c r="Z10" i="8"/>
  <c r="AE10" i="8"/>
  <c r="AG10" i="8"/>
  <c r="AH10" i="8"/>
  <c r="Q10" i="8"/>
  <c r="Y10" i="8"/>
  <c r="AD10" i="8"/>
  <c r="AM10" i="8"/>
  <c r="D10" i="8"/>
  <c r="G10" i="8"/>
  <c r="M10" i="8"/>
  <c r="O10" i="8"/>
  <c r="T10" i="8"/>
  <c r="X10" i="8"/>
  <c r="AF10" i="8"/>
  <c r="AI10" i="8"/>
  <c r="AL10" i="8"/>
  <c r="Z9" i="8"/>
  <c r="U9" i="8"/>
  <c r="E9" i="8"/>
  <c r="F9" i="8"/>
  <c r="AD9" i="8"/>
  <c r="AL9" i="8"/>
  <c r="AK9" i="8"/>
  <c r="AJ9" i="8"/>
  <c r="AI9" i="8"/>
  <c r="AH9" i="8"/>
  <c r="AE9" i="8"/>
  <c r="AB9" i="8"/>
  <c r="AA9" i="8"/>
  <c r="Q9" i="8"/>
  <c r="H9" i="8"/>
  <c r="Y9" i="8"/>
  <c r="W9" i="8"/>
  <c r="O9" i="8"/>
  <c r="P9" i="8"/>
  <c r="R9" i="8"/>
  <c r="S9" i="8"/>
  <c r="V9" i="8"/>
  <c r="G9" i="8"/>
  <c r="AC9" i="8"/>
  <c r="C9" i="8"/>
  <c r="AM9" i="8"/>
  <c r="D9" i="8"/>
  <c r="T9" i="8"/>
  <c r="AF9" i="8"/>
  <c r="N9" i="8"/>
  <c r="M9" i="8"/>
  <c r="L9" i="8"/>
  <c r="X9" i="8"/>
  <c r="K9" i="8"/>
  <c r="J9" i="8"/>
  <c r="I9" i="8"/>
  <c r="AG9" i="8"/>
  <c r="I8" i="8"/>
  <c r="H8" i="8"/>
  <c r="N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C8" i="8"/>
  <c r="D8" i="8"/>
  <c r="G8" i="8"/>
  <c r="E8" i="8"/>
  <c r="F8" i="8"/>
  <c r="K8" i="8"/>
  <c r="L8" i="8"/>
  <c r="M8" i="8"/>
  <c r="O8" i="8"/>
  <c r="P8" i="8"/>
  <c r="Q8" i="8"/>
  <c r="R8" i="8"/>
  <c r="S8" i="8"/>
  <c r="T8" i="8"/>
  <c r="U8" i="8"/>
  <c r="V8" i="8"/>
  <c r="W8" i="8"/>
  <c r="J8" i="8"/>
  <c r="Z7" i="8"/>
  <c r="Y7" i="8"/>
  <c r="X7" i="8"/>
  <c r="W7" i="8"/>
  <c r="V7" i="8"/>
  <c r="U7" i="8"/>
  <c r="T7" i="8"/>
  <c r="S7" i="8"/>
  <c r="R7" i="8"/>
  <c r="AF7" i="8"/>
  <c r="AE7" i="8"/>
  <c r="AD7" i="8"/>
  <c r="AL7" i="8"/>
  <c r="AK7" i="8"/>
  <c r="AJ7" i="8"/>
  <c r="AI7" i="8"/>
  <c r="AH7" i="8"/>
  <c r="AG7" i="8"/>
  <c r="AM7" i="8"/>
  <c r="AC7" i="8"/>
  <c r="AB7" i="8"/>
  <c r="Q7" i="8"/>
  <c r="P7" i="8"/>
  <c r="O7" i="8"/>
  <c r="N7" i="8"/>
  <c r="M7" i="8"/>
  <c r="L7" i="8"/>
  <c r="K7" i="8"/>
  <c r="J7" i="8"/>
  <c r="I7" i="8"/>
  <c r="H7" i="8"/>
  <c r="G7" i="8"/>
  <c r="E7" i="8"/>
  <c r="D7" i="8"/>
  <c r="C7" i="8"/>
  <c r="AA7" i="8"/>
  <c r="F7" i="8"/>
  <c r="J6" i="8"/>
  <c r="I6" i="8"/>
  <c r="C6" i="8"/>
  <c r="W6" i="8"/>
  <c r="V6" i="8"/>
  <c r="U6" i="8"/>
  <c r="T6" i="8"/>
  <c r="Y6" i="8"/>
  <c r="Z6" i="8"/>
  <c r="AA6" i="8"/>
  <c r="AB6" i="8"/>
  <c r="AC6" i="8"/>
  <c r="AD6" i="8"/>
  <c r="S6" i="8"/>
  <c r="R6" i="8"/>
  <c r="Q6" i="8"/>
  <c r="P6" i="8"/>
  <c r="O6" i="8"/>
  <c r="N6" i="8"/>
  <c r="M6" i="8"/>
  <c r="AM6" i="8"/>
  <c r="AL6" i="8"/>
  <c r="AK6" i="8"/>
  <c r="AJ6" i="8"/>
  <c r="AI6" i="8"/>
  <c r="AH6" i="8"/>
  <c r="AG6" i="8"/>
  <c r="AF6" i="8"/>
  <c r="AE6" i="8"/>
  <c r="D6" i="8"/>
  <c r="E6" i="8"/>
  <c r="F6" i="8"/>
  <c r="X6" i="8"/>
  <c r="G6" i="8"/>
  <c r="H6" i="8"/>
  <c r="L6" i="8"/>
  <c r="K6" i="8"/>
  <c r="AK5" i="8"/>
  <c r="F5" i="8"/>
  <c r="AH5" i="8"/>
  <c r="AG5" i="8"/>
  <c r="AI5" i="8"/>
  <c r="AJ5" i="8"/>
  <c r="AB5" i="8"/>
  <c r="AC5" i="8"/>
  <c r="X5" i="8"/>
  <c r="W5" i="8"/>
  <c r="V5" i="8"/>
  <c r="U5" i="8"/>
  <c r="I5" i="8"/>
  <c r="T5" i="8"/>
  <c r="S5" i="8"/>
  <c r="R5" i="8"/>
  <c r="Q5" i="8"/>
  <c r="P5" i="8"/>
  <c r="Z5" i="8"/>
  <c r="O5" i="8"/>
  <c r="N5" i="8"/>
  <c r="M5" i="8"/>
  <c r="L5" i="8"/>
  <c r="K5" i="8"/>
  <c r="J5" i="8"/>
  <c r="H5" i="8"/>
  <c r="AA5" i="8"/>
  <c r="G5" i="8"/>
  <c r="E5" i="8"/>
  <c r="AL5" i="8"/>
  <c r="AM5" i="8"/>
  <c r="Y5" i="8"/>
  <c r="AD5" i="8"/>
  <c r="AE5" i="8"/>
  <c r="AF5" i="8"/>
  <c r="D5" i="8"/>
  <c r="BO73" i="8"/>
  <c r="BN73" i="8"/>
  <c r="BM73" i="8"/>
  <c r="BL73" i="8"/>
  <c r="BK73" i="8"/>
  <c r="BJ73" i="8"/>
  <c r="BI73" i="8"/>
  <c r="BH73" i="8"/>
  <c r="BG73" i="8"/>
  <c r="BF73" i="8"/>
  <c r="BF36" i="8"/>
  <c r="BN36" i="8"/>
  <c r="BM36" i="8"/>
  <c r="BL36" i="8"/>
  <c r="BK36" i="8"/>
  <c r="BJ36" i="8"/>
  <c r="BO36" i="8"/>
  <c r="BI36" i="8"/>
  <c r="BH36" i="8"/>
  <c r="BG36" i="8"/>
  <c r="BN58" i="8"/>
  <c r="BM58" i="8"/>
  <c r="BK58" i="8"/>
  <c r="BJ58" i="8"/>
  <c r="BI58" i="8"/>
  <c r="BH58" i="8"/>
  <c r="BG58" i="8"/>
  <c r="BF58" i="8"/>
  <c r="BL58" i="8"/>
  <c r="BO58" i="8"/>
  <c r="BO48" i="8"/>
  <c r="BN48" i="8"/>
  <c r="BM48" i="8"/>
  <c r="BL48" i="8"/>
  <c r="BK48" i="8"/>
  <c r="BJ48" i="8"/>
  <c r="BI48" i="8"/>
  <c r="BH48" i="8"/>
  <c r="BG48" i="8"/>
  <c r="BF48" i="8"/>
  <c r="BJ42" i="8"/>
  <c r="BO42" i="8"/>
  <c r="BN42" i="8"/>
  <c r="BM42" i="8"/>
  <c r="BL42" i="8"/>
  <c r="BK42" i="8"/>
  <c r="BI42" i="8"/>
  <c r="BH42" i="8"/>
  <c r="BG42" i="8"/>
  <c r="BF42" i="8"/>
  <c r="B5" i="8" l="1" a="1"/>
  <c r="B5" i="8" s="1"/>
  <c r="B19" i="8" a="1"/>
  <c r="B19" i="8" s="1"/>
  <c r="B73" i="8" a="1"/>
  <c r="B73" i="8" s="1"/>
  <c r="B105" i="8" a="1"/>
  <c r="B105" i="8" s="1"/>
  <c r="B115" i="8" a="1"/>
  <c r="B115" i="8" s="1"/>
  <c r="B132" i="8" a="1"/>
  <c r="B132" i="8" s="1"/>
  <c r="B127" i="8" a="1"/>
  <c r="B127" i="8" s="1"/>
  <c r="B104" i="8" a="1"/>
  <c r="B104" i="8" s="1"/>
  <c r="B136" i="8" a="1"/>
  <c r="B136" i="8" s="1"/>
  <c r="B135" i="8" a="1"/>
  <c r="B135" i="8" s="1"/>
  <c r="B134" i="8" a="1"/>
  <c r="B134" i="8" s="1"/>
  <c r="B128" i="8" a="1"/>
  <c r="B128" i="8" s="1"/>
  <c r="B131" i="8" a="1"/>
  <c r="B131" i="8" s="1"/>
  <c r="B130" i="8" a="1"/>
  <c r="B130" i="8" s="1"/>
  <c r="B122" i="8" a="1"/>
  <c r="B122" i="8" s="1"/>
  <c r="B103" i="8" a="1"/>
  <c r="B103" i="8" s="1"/>
  <c r="B126" i="8" a="1"/>
  <c r="B126" i="8" s="1"/>
  <c r="B125" i="8" a="1"/>
  <c r="B125" i="8" s="1"/>
  <c r="B124" i="8" a="1"/>
  <c r="B124" i="8" s="1"/>
  <c r="B123" i="8" a="1"/>
  <c r="B123" i="8" s="1"/>
  <c r="B117" i="8" a="1"/>
  <c r="B117" i="8" s="1"/>
  <c r="B116" i="8" a="1"/>
  <c r="B116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3" i="8" a="1"/>
  <c r="B93" i="8" s="1"/>
  <c r="B92" i="8" a="1"/>
  <c r="B92" i="8" s="1"/>
  <c r="B91" i="8" a="1"/>
  <c r="B91" i="8" s="1"/>
  <c r="B90" i="8" a="1"/>
  <c r="B90" i="8" s="1"/>
  <c r="B80" i="8" a="1"/>
  <c r="B80" i="8" s="1"/>
  <c r="B89" i="8" a="1"/>
  <c r="B89" i="8" s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118" i="8" a="1"/>
  <c r="B118" i="8" s="1"/>
  <c r="B74" i="8" a="1"/>
  <c r="B74" i="8" s="1"/>
  <c r="B72" i="8" a="1"/>
  <c r="B72" i="8" s="1"/>
  <c r="B71" i="8" a="1"/>
  <c r="B71" i="8" s="1"/>
  <c r="B70" i="8" a="1"/>
  <c r="B70" i="8" s="1"/>
  <c r="B69" i="8" a="1"/>
  <c r="B69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23" i="8" a="1"/>
  <c r="B23" i="8" s="1"/>
  <c r="B94" i="8" a="1"/>
  <c r="B94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37" i="8" a="1"/>
  <c r="B37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119" i="8" a="1"/>
  <c r="B119" i="8" s="1"/>
  <c r="B36" i="8" a="1"/>
  <c r="B36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2" i="8" a="1"/>
  <c r="B22" i="8" s="1"/>
  <c r="B21" i="8" a="1"/>
  <c r="B21" i="8" s="1"/>
  <c r="B20" i="8" a="1"/>
  <c r="B20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1" i="8" a="1"/>
  <c r="B121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133" i="8" a="1"/>
  <c r="B133" i="8" s="1"/>
  <c r="B129" i="8" a="1"/>
  <c r="B129" i="8" s="1"/>
  <c r="B120" i="8" a="1"/>
  <c r="B120" i="8" s="1"/>
  <c r="H4" i="8"/>
  <c r="AI4" i="8"/>
  <c r="AJ4" i="8"/>
  <c r="AK4" i="8"/>
  <c r="AL4" i="8"/>
  <c r="AM4" i="8"/>
  <c r="AG4" i="8"/>
  <c r="AF4" i="8"/>
  <c r="AE4" i="8"/>
  <c r="AD4" i="8"/>
  <c r="AC4" i="8"/>
  <c r="D4" i="8"/>
  <c r="E4" i="8"/>
  <c r="I4" i="8"/>
  <c r="F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AH4" i="8"/>
  <c r="Y4" i="8"/>
  <c r="Z4" i="8"/>
  <c r="AA4" i="8"/>
  <c r="AB4" i="8"/>
  <c r="G4" i="8"/>
  <c r="C4" i="8"/>
  <c r="B4" i="8" l="1"/>
  <c r="H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A5009-B691-4902-A23B-F5438B20B39B}" keepAlive="1" name="Query - chests_2026-05" description="Connection to the 'chests_2026-05' query in the workbook." type="5" refreshedVersion="8" background="1" saveData="1">
    <dbPr connection="Provider=Microsoft.Mashup.OleDb.1;Data Source=$Workbook$;Location=chests_2026-05;Extended Properties=&quot;&quot;" command="SELECT * FROM [chests_2026-05]"/>
  </connection>
  <connection id="2" xr16:uid="{D5EE42EA-9B29-4A7D-A6D4-9AD5C5B53CA4}" keepAlive="1" name="Query - contributions_2026-05" description="Connection to the 'contributions_2026-05' query in the workbook." type="5" refreshedVersion="8" background="1" saveData="1">
    <dbPr connection="Provider=Microsoft.Mashup.OleDb.1;Data Source=$Workbook$;Location=contributions_2026-05;Extended Properties=&quot;&quot;" command="SELECT * FROM [contributions_2026-0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<sst xmlns="http://schemas.openxmlformats.org/spreadsheetml/2006/main" count="15626" uniqueCount="849">
  <si>
    <t>L5 Crypt</t>
  </si>
  <si>
    <t>L10 Crypt</t>
  </si>
  <si>
    <t>L15 Crypt</t>
  </si>
  <si>
    <t>L20 Crypt</t>
  </si>
  <si>
    <t>L25 Crypt</t>
  </si>
  <si>
    <t>L10 rare Crypt</t>
  </si>
  <si>
    <t>L15 rare Crypt</t>
  </si>
  <si>
    <t>L20 rare Crypt</t>
  </si>
  <si>
    <t>L25 rare Crypt</t>
  </si>
  <si>
    <t>L30 rare Crypt</t>
  </si>
  <si>
    <t>L15 epic Crypt</t>
  </si>
  <si>
    <t>L20 epic Crypt</t>
  </si>
  <si>
    <t>L25 epic Crypt</t>
  </si>
  <si>
    <t>L30 epic Crypt</t>
  </si>
  <si>
    <t>L35 epic Crypt</t>
  </si>
  <si>
    <t>L10 Citadel</t>
  </si>
  <si>
    <t>L15 Citadel</t>
  </si>
  <si>
    <t>L20 Citadel</t>
  </si>
  <si>
    <t>L25 Citadel</t>
  </si>
  <si>
    <t>L30 Citadel</t>
  </si>
  <si>
    <t>L16-24 Heroic</t>
  </si>
  <si>
    <t>L25-30 Heroic</t>
  </si>
  <si>
    <t>L31+ Heroic</t>
  </si>
  <si>
    <t>L40+ Heroic</t>
  </si>
  <si>
    <t>Bank</t>
  </si>
  <si>
    <t>Ragnarok Chests</t>
  </si>
  <si>
    <t>Olympus Chests</t>
  </si>
  <si>
    <t>Ancients vaults</t>
  </si>
  <si>
    <t>Others</t>
  </si>
  <si>
    <t>L10 Tartaros Crypt</t>
  </si>
  <si>
    <t>L15 Tartaros Crypt</t>
  </si>
  <si>
    <t>L20 Tartaros Crypt</t>
  </si>
  <si>
    <t>L25 Tartaros Crypt</t>
  </si>
  <si>
    <t>L30 Tartaros Crypt</t>
  </si>
  <si>
    <t>L35 Tartaros Crypt</t>
  </si>
  <si>
    <t>Ancients Chests</t>
  </si>
  <si>
    <t>Epic Monster Chests</t>
  </si>
  <si>
    <t>Points per chest:</t>
  </si>
  <si>
    <t>Weekly requirement -&gt;</t>
  </si>
  <si>
    <t>Total Chest Count -&gt;</t>
  </si>
  <si>
    <t>Total Chest Point -&gt;</t>
  </si>
  <si>
    <t>Level 25 Citadel</t>
  </si>
  <si>
    <t>Level 25 Crypt</t>
  </si>
  <si>
    <t>Level 35-39 Vault of the Ancients</t>
  </si>
  <si>
    <t>Level 20 Citadel</t>
  </si>
  <si>
    <t>Clan wealth</t>
  </si>
  <si>
    <t>Level 30 Citadel</t>
  </si>
  <si>
    <t>Level 40-44 Vault of the Ancients</t>
  </si>
  <si>
    <t>Level 20 Crypt</t>
  </si>
  <si>
    <t>Level 15 Crypt</t>
  </si>
  <si>
    <t>Level 10 Crypt</t>
  </si>
  <si>
    <t>Level 25 rare Crypt</t>
  </si>
  <si>
    <t>Level 5 Crypt</t>
  </si>
  <si>
    <t>Level 30 rare Crypt</t>
  </si>
  <si>
    <t>Level 20 rare Crypt</t>
  </si>
  <si>
    <t>Level 18 heroic Monster</t>
  </si>
  <si>
    <t>Level 19 heroic Monster</t>
  </si>
  <si>
    <t>Level 20 heroic Monster</t>
  </si>
  <si>
    <t>Level 21 heroic Monster</t>
  </si>
  <si>
    <t>Level 22 heroic Monster</t>
  </si>
  <si>
    <t>Arena</t>
  </si>
  <si>
    <t>Mercenary Exchange</t>
  </si>
  <si>
    <t>Level 25 epic Crypt</t>
  </si>
  <si>
    <t>Level 15 Citadel</t>
  </si>
  <si>
    <t>Level 15 epic Crypt</t>
  </si>
  <si>
    <t>Level 20 epic Crypt</t>
  </si>
  <si>
    <t>Rise of the Ancients event</t>
  </si>
  <si>
    <t>Epic Ancient squad</t>
  </si>
  <si>
    <t>Level 30 epic Crypt</t>
  </si>
  <si>
    <t>Level 35 epic Crypt</t>
  </si>
  <si>
    <t>Level 10 Citadel</t>
  </si>
  <si>
    <t>Level 15 rare Crypt</t>
  </si>
  <si>
    <t>Union of Triumph personal reward</t>
  </si>
  <si>
    <t>Mimic Chest</t>
  </si>
  <si>
    <t>Epic Inferno squad</t>
  </si>
  <si>
    <t>Level 10 rare Crypt</t>
  </si>
  <si>
    <t>Level 17 heroic Monster</t>
  </si>
  <si>
    <t>Lvl 40-44 Raid Runic squad</t>
  </si>
  <si>
    <t>Level 40 heroic Monster</t>
  </si>
  <si>
    <t>Epic Undead squad</t>
  </si>
  <si>
    <t>Level 29 heroic Monster</t>
  </si>
  <si>
    <t>Lvl 45 Raid Runic squad</t>
  </si>
  <si>
    <t>Arachne's Swarm Epic squad</t>
  </si>
  <si>
    <t>Level 44 heroic Monster</t>
  </si>
  <si>
    <t>Level 27 heroic Monster</t>
  </si>
  <si>
    <t>Level 28 heroic Monster</t>
  </si>
  <si>
    <t>Level 45 Vault of the Ancients</t>
  </si>
  <si>
    <t>Level 30-34 Vault of the Ancients</t>
  </si>
  <si>
    <t>Level 25 heroic Monster</t>
  </si>
  <si>
    <t>Level 43 heroic Monster</t>
  </si>
  <si>
    <t>Level 26 heroic Monster</t>
  </si>
  <si>
    <t>Level 23 heroic Monster</t>
  </si>
  <si>
    <t>Level 24 heroic Monster</t>
  </si>
  <si>
    <t>L10 Rare Crypt</t>
  </si>
  <si>
    <t>L15 Rare Crypt</t>
  </si>
  <si>
    <t>L20 Rare Crypt</t>
  </si>
  <si>
    <t>L25 Rare Crypt</t>
  </si>
  <si>
    <t>L30 Rare Crypt</t>
  </si>
  <si>
    <t>L15 Epic Crypt</t>
  </si>
  <si>
    <t>L20 Epic Crypt</t>
  </si>
  <si>
    <t>L25 Epic Crypt</t>
  </si>
  <si>
    <t>L30 Epic Crypt</t>
  </si>
  <si>
    <t>L35 Epic Crypt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</si>
  <si>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</si>
  <si>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</si>
  <si>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</si>
  <si>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</si>
  <si>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</si>
  <si>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</si>
  <si>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Level 16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</si>
  <si>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</si>
  <si>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</si>
  <si>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</si>
  <si>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</si>
  <si>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</si>
  <si>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</si>
  <si>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</si>
  <si>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</si>
  <si>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</si>
  <si>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</si>
  <si>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41 heroic Monster</t>
  </si>
  <si>
    <t>Level 42 heroic Monster</t>
  </si>
  <si>
    <t>Level 45 heroic Monster</t>
  </si>
  <si>
    <t>Level 10-14 Vault of the Ancients</t>
  </si>
  <si>
    <t>Ancients Vault</t>
  </si>
  <si>
    <t>Level 15-19 Vault of the Ancients</t>
  </si>
  <si>
    <t>Level 20-24 Vault of the Ancients</t>
  </si>
  <si>
    <t>Level 25-29 Vault of the Ancients</t>
  </si>
  <si>
    <t>Epic Briareus squad</t>
  </si>
  <si>
    <t>Epic Fenrir squad</t>
  </si>
  <si>
    <t>Epic Jormungandr squad</t>
  </si>
  <si>
    <t>Shadow City</t>
  </si>
  <si>
    <t>Ragnarok event</t>
  </si>
  <si>
    <t>Jormungandr Shop</t>
  </si>
  <si>
    <t>Event "Trials of Olympus"</t>
  </si>
  <si>
    <t>Hermes' Store</t>
  </si>
  <si>
    <t>Clash for the Throne tournament</t>
  </si>
  <si>
    <t>Story</t>
  </si>
  <si>
    <t>Beastman</t>
  </si>
  <si>
    <t>Shadow</t>
  </si>
  <si>
    <t>Epic Inferno Sguad</t>
  </si>
  <si>
    <t>Epic Undead sguad</t>
  </si>
  <si>
    <t>Arachne's Swarm Epic sguad</t>
  </si>
  <si>
    <t>Epic Basilisk squad</t>
  </si>
  <si>
    <t>Epic Chimera squad</t>
  </si>
  <si>
    <t>tab</t>
  </si>
  <si>
    <t>chest</t>
  </si>
  <si>
    <t>from</t>
  </si>
  <si>
    <t>source</t>
  </si>
  <si>
    <t>Gifts</t>
  </si>
  <si>
    <t>Kaachou</t>
  </si>
  <si>
    <t>Orc Chest</t>
  </si>
  <si>
    <t>Chili Peppers</t>
  </si>
  <si>
    <t>BORU</t>
  </si>
  <si>
    <t>datetime</t>
  </si>
  <si>
    <t>Jennifer</t>
  </si>
  <si>
    <t>Lil Thog of Boomtown</t>
  </si>
  <si>
    <t>Burgs</t>
  </si>
  <si>
    <t>Elegant Chest</t>
  </si>
  <si>
    <t>Earar</t>
  </si>
  <si>
    <t>Luchfirilas</t>
  </si>
  <si>
    <t>Lirosin</t>
  </si>
  <si>
    <t>Nettle</t>
  </si>
  <si>
    <t>Totaur</t>
  </si>
  <si>
    <t>Amr ibn al Aas</t>
  </si>
  <si>
    <t>crabb</t>
  </si>
  <si>
    <t>CarpeVino</t>
  </si>
  <si>
    <t>Eyvening</t>
  </si>
  <si>
    <t>Yondu</t>
  </si>
  <si>
    <t>ARBA33</t>
  </si>
  <si>
    <t>legalized</t>
  </si>
  <si>
    <t>Mayan Chest</t>
  </si>
  <si>
    <t>Braided Chest</t>
  </si>
  <si>
    <t>Stone Chest</t>
  </si>
  <si>
    <t>Titansteel Chest</t>
  </si>
  <si>
    <t>Gnome Workshop Chest</t>
  </si>
  <si>
    <t>Elven Citadel Chest</t>
  </si>
  <si>
    <t>Fire Chest</t>
  </si>
  <si>
    <t>Governor's Chest</t>
  </si>
  <si>
    <t>Stuff</t>
  </si>
  <si>
    <t>ROD</t>
  </si>
  <si>
    <t>Infernal Chest</t>
  </si>
  <si>
    <t>Bone Chest</t>
  </si>
  <si>
    <t>Sand Chest</t>
  </si>
  <si>
    <t>Barbarian Chest</t>
  </si>
  <si>
    <t>Forgotten Chest</t>
  </si>
  <si>
    <t>bb steboulet 2</t>
  </si>
  <si>
    <t>Rare Dragon Chest</t>
  </si>
  <si>
    <t>Common Chest of Wealth</t>
  </si>
  <si>
    <t>Uncommon Chest of Wealth</t>
  </si>
  <si>
    <t>Cobra Chest</t>
  </si>
  <si>
    <t>Der Morg</t>
  </si>
  <si>
    <t>Gladiator's Chest</t>
  </si>
  <si>
    <t>Van Jazzle</t>
  </si>
  <si>
    <t>Rayan</t>
  </si>
  <si>
    <t>Triumphal Gifts</t>
  </si>
  <si>
    <t>Bronze Chest</t>
  </si>
  <si>
    <t>Silver Chest</t>
  </si>
  <si>
    <t>Wooden Chest</t>
  </si>
  <si>
    <t>Elaref</t>
  </si>
  <si>
    <t>Sapphire Chest</t>
  </si>
  <si>
    <t>Maedrafir</t>
  </si>
  <si>
    <t>Pfunk</t>
  </si>
  <si>
    <t>Union Chest</t>
  </si>
  <si>
    <t>Celmeena</t>
  </si>
  <si>
    <t>SalahTime</t>
  </si>
  <si>
    <t>Golden Guardian Epic Chest</t>
  </si>
  <si>
    <t>Chest</t>
  </si>
  <si>
    <t>Quick March Chest</t>
  </si>
  <si>
    <t>Golden Chest</t>
  </si>
  <si>
    <t>Precious Chest</t>
  </si>
  <si>
    <t>Trillium Chest</t>
  </si>
  <si>
    <t>wiiikaaaa</t>
  </si>
  <si>
    <t>White Wood Chest</t>
  </si>
  <si>
    <t>Scorpion Chest</t>
  </si>
  <si>
    <t>Warrior's Chest</t>
  </si>
  <si>
    <t>Bilesi</t>
  </si>
  <si>
    <t>Minotaur Chest</t>
  </si>
  <si>
    <t>Priest's Chest</t>
  </si>
  <si>
    <t>Kathrilis</t>
  </si>
  <si>
    <t>Chest of the Cursed</t>
  </si>
  <si>
    <t>Agagas</t>
  </si>
  <si>
    <t>Tomuro</t>
  </si>
  <si>
    <t>Cobalt Chest</t>
  </si>
  <si>
    <t>Arardin</t>
  </si>
  <si>
    <t>Mohamed</t>
  </si>
  <si>
    <t>Scarab Chest</t>
  </si>
  <si>
    <t>Harpy Chest</t>
  </si>
  <si>
    <t>Bastion Chest</t>
  </si>
  <si>
    <t>Rhys</t>
  </si>
  <si>
    <t>Abandoned Chest</t>
  </si>
  <si>
    <t>Ferodad</t>
  </si>
  <si>
    <t>Cursed Citadel Chest</t>
  </si>
  <si>
    <t>Glitched</t>
  </si>
  <si>
    <t>Mario</t>
  </si>
  <si>
    <t>Pacified Mimic Chest</t>
  </si>
  <si>
    <t>Vasfris</t>
  </si>
  <si>
    <t>Level 15 Citadel}</t>
  </si>
  <si>
    <t>Lefinan</t>
  </si>
  <si>
    <t>Rare Chest of Wealth</t>
  </si>
  <si>
    <t>Thommy Black</t>
  </si>
  <si>
    <t>Aurithris</t>
  </si>
  <si>
    <t>Railrining</t>
  </si>
  <si>
    <t>Iver</t>
  </si>
  <si>
    <t>Volk</t>
  </si>
  <si>
    <t>Bella</t>
  </si>
  <si>
    <t>sillovr</t>
  </si>
  <si>
    <t>Darus735</t>
  </si>
  <si>
    <t>Grand Total</t>
  </si>
  <si>
    <t>Row Labels</t>
  </si>
  <si>
    <t>Luar</t>
  </si>
  <si>
    <t>Angel</t>
  </si>
  <si>
    <t>CongulusMurat</t>
  </si>
  <si>
    <t>Zulkigore</t>
  </si>
  <si>
    <t>Attila the hun</t>
  </si>
  <si>
    <t>Ascendant Ashen Chest</t>
  </si>
  <si>
    <t>Epic Ashen Squad</t>
  </si>
  <si>
    <t>Finfiring</t>
  </si>
  <si>
    <t>Megrinad</t>
  </si>
  <si>
    <t>Absolutus</t>
  </si>
  <si>
    <t>Kibur</t>
  </si>
  <si>
    <t>Rooster</t>
  </si>
  <si>
    <t>AL CAPONE</t>
  </si>
  <si>
    <t>TEAM GB</t>
  </si>
  <si>
    <t>Tiimo807</t>
  </si>
  <si>
    <t>Toastman</t>
  </si>
  <si>
    <t>MindraNivera</t>
  </si>
  <si>
    <t>morgana</t>
  </si>
  <si>
    <t>Sinwing</t>
  </si>
  <si>
    <t>aladred</t>
  </si>
  <si>
    <t>Column Labels</t>
  </si>
  <si>
    <t>Count of source</t>
  </si>
  <si>
    <t>date</t>
  </si>
  <si>
    <t>player</t>
  </si>
  <si>
    <t>amount</t>
  </si>
  <si>
    <t>type</t>
  </si>
  <si>
    <t>2717000</t>
  </si>
  <si>
    <t>Lumber</t>
  </si>
  <si>
    <t>1000000</t>
  </si>
  <si>
    <t>Stone</t>
  </si>
  <si>
    <t>elm3alim</t>
  </si>
  <si>
    <t>7d 0h</t>
  </si>
  <si>
    <t>Clan Speedup</t>
  </si>
  <si>
    <t>Gleranir</t>
  </si>
  <si>
    <t>1872000</t>
  </si>
  <si>
    <t>Food</t>
  </si>
  <si>
    <t>Silver</t>
  </si>
  <si>
    <t>11d 16h</t>
  </si>
  <si>
    <t>13d 3h</t>
  </si>
  <si>
    <t>18400000</t>
  </si>
  <si>
    <t>4587518</t>
  </si>
  <si>
    <t>Morn</t>
  </si>
  <si>
    <t>1248000</t>
  </si>
  <si>
    <t>848000</t>
  </si>
  <si>
    <t>2690000</t>
  </si>
  <si>
    <t>4428000</t>
  </si>
  <si>
    <t>2026</t>
  </si>
  <si>
    <t>2926000</t>
  </si>
  <si>
    <t>8229000</t>
  </si>
  <si>
    <t>Steel</t>
  </si>
  <si>
    <t>1890000</t>
  </si>
  <si>
    <t>Iron</t>
  </si>
  <si>
    <t>948000</t>
  </si>
  <si>
    <t>105856</t>
  </si>
  <si>
    <t>3758479</t>
  </si>
  <si>
    <t>2584672</t>
  </si>
  <si>
    <t>1150054</t>
  </si>
  <si>
    <t>706134</t>
  </si>
  <si>
    <t>737452</t>
  </si>
  <si>
    <t>823863</t>
  </si>
  <si>
    <t>208337</t>
  </si>
  <si>
    <t>198544</t>
  </si>
  <si>
    <t>1036</t>
  </si>
  <si>
    <t>100000</t>
  </si>
  <si>
    <t>431452</t>
  </si>
  <si>
    <t>6270000</t>
  </si>
  <si>
    <t>1063155</t>
  </si>
  <si>
    <t>1007106</t>
  </si>
  <si>
    <t>2339879</t>
  </si>
  <si>
    <t>3290000</t>
  </si>
  <si>
    <t>403139</t>
  </si>
  <si>
    <t>1794</t>
  </si>
  <si>
    <t>7481771</t>
  </si>
  <si>
    <t>1339713</t>
  </si>
  <si>
    <t>3500000</t>
  </si>
  <si>
    <t>400000</t>
  </si>
  <si>
    <t>2196908</t>
  </si>
  <si>
    <t>1108357</t>
  </si>
  <si>
    <t>50000</t>
  </si>
  <si>
    <t>3998821</t>
  </si>
  <si>
    <t>404000</t>
  </si>
  <si>
    <t>8862000</t>
  </si>
  <si>
    <t>994541</t>
  </si>
  <si>
    <t>200</t>
  </si>
  <si>
    <t>2912000</t>
  </si>
  <si>
    <t>2920000</t>
  </si>
  <si>
    <t>293</t>
  </si>
  <si>
    <t>2782000</t>
  </si>
  <si>
    <t>1011581</t>
  </si>
  <si>
    <t>1025449</t>
  </si>
  <si>
    <t>1023603</t>
  </si>
  <si>
    <t>29285</t>
  </si>
  <si>
    <t>1537891</t>
  </si>
  <si>
    <t>1880</t>
  </si>
  <si>
    <t/>
  </si>
  <si>
    <t>1353</t>
  </si>
  <si>
    <t>1250</t>
  </si>
  <si>
    <t>924000</t>
  </si>
  <si>
    <t>10d 15h</t>
  </si>
  <si>
    <t>Dragon Coins</t>
  </si>
  <si>
    <t>9d 9h</t>
  </si>
  <si>
    <t>7d 21h</t>
  </si>
  <si>
    <t>3d 18h</t>
  </si>
  <si>
    <t>104d 16h</t>
  </si>
  <si>
    <t>3744000</t>
  </si>
  <si>
    <t>89d 21h</t>
  </si>
  <si>
    <t>1314</t>
  </si>
  <si>
    <t>1313573</t>
  </si>
  <si>
    <t>1076737</t>
  </si>
  <si>
    <t>2175346</t>
  </si>
  <si>
    <t>26d 0h</t>
  </si>
  <si>
    <t>100367</t>
  </si>
  <si>
    <t>1d 2h</t>
  </si>
  <si>
    <t>763</t>
  </si>
  <si>
    <t>1883409</t>
  </si>
  <si>
    <t>11d 21h</t>
  </si>
  <si>
    <t>3d 8h</t>
  </si>
  <si>
    <t>2304851</t>
  </si>
  <si>
    <t>1041285</t>
  </si>
  <si>
    <t>18d 15h</t>
  </si>
  <si>
    <t>755</t>
  </si>
  <si>
    <t>1098</t>
  </si>
  <si>
    <t>543</t>
  </si>
  <si>
    <t>531</t>
  </si>
  <si>
    <t>1273</t>
  </si>
  <si>
    <t>8d 9h</t>
  </si>
  <si>
    <t>3276000</t>
  </si>
  <si>
    <t>8736000</t>
  </si>
  <si>
    <t>5474748</t>
  </si>
  <si>
    <t>4987071</t>
  </si>
  <si>
    <t>19d 9h</t>
  </si>
  <si>
    <t>silovr</t>
  </si>
  <si>
    <t>7d 14h</t>
  </si>
  <si>
    <t>17960</t>
  </si>
  <si>
    <t>1293</t>
  </si>
  <si>
    <t>2250000</t>
  </si>
  <si>
    <t>22144000</t>
  </si>
  <si>
    <t>2249036</t>
  </si>
  <si>
    <t>4952200</t>
  </si>
  <si>
    <t>4981467</t>
  </si>
  <si>
    <t>5045290</t>
  </si>
  <si>
    <t>2149046</t>
  </si>
  <si>
    <t>3000</t>
  </si>
  <si>
    <t>270</t>
  </si>
  <si>
    <t>250000</t>
  </si>
  <si>
    <t>254</t>
  </si>
  <si>
    <t>5230</t>
  </si>
  <si>
    <t>216</t>
  </si>
  <si>
    <t>1399</t>
  </si>
  <si>
    <t>1001146</t>
  </si>
  <si>
    <t>155</t>
  </si>
  <si>
    <t>1938527</t>
  </si>
  <si>
    <t>879393</t>
  </si>
  <si>
    <t>6055</t>
  </si>
  <si>
    <t>782</t>
  </si>
  <si>
    <t>5243</t>
  </si>
  <si>
    <t>212</t>
  </si>
  <si>
    <t>523</t>
  </si>
  <si>
    <t>278</t>
  </si>
  <si>
    <t>850</t>
  </si>
  <si>
    <t>1153</t>
  </si>
  <si>
    <t>917</t>
  </si>
  <si>
    <t>9179</t>
  </si>
  <si>
    <t>748</t>
  </si>
  <si>
    <t>28223</t>
  </si>
  <si>
    <t>12487</t>
  </si>
  <si>
    <t>17429</t>
  </si>
  <si>
    <t>19841</t>
  </si>
  <si>
    <t>11651</t>
  </si>
  <si>
    <t>27828</t>
  </si>
  <si>
    <t>13147</t>
  </si>
  <si>
    <t>274</t>
  </si>
  <si>
    <t>228</t>
  </si>
  <si>
    <t>357</t>
  </si>
  <si>
    <t>3764</t>
  </si>
  <si>
    <t>313</t>
  </si>
  <si>
    <t>159</t>
  </si>
  <si>
    <t>434</t>
  </si>
  <si>
    <t>7768</t>
  </si>
  <si>
    <t>1715</t>
  </si>
  <si>
    <t>1095</t>
  </si>
  <si>
    <t>483</t>
  </si>
  <si>
    <t>285</t>
  </si>
  <si>
    <t>979</t>
  </si>
  <si>
    <t>263</t>
  </si>
  <si>
    <t>221</t>
  </si>
  <si>
    <t>724</t>
  </si>
  <si>
    <t>7814</t>
  </si>
  <si>
    <t>2310</t>
  </si>
  <si>
    <t>2420</t>
  </si>
  <si>
    <t>663</t>
  </si>
  <si>
    <t>166</t>
  </si>
  <si>
    <t>1855</t>
  </si>
  <si>
    <t>179</t>
  </si>
  <si>
    <t>201943</t>
  </si>
  <si>
    <t>496</t>
  </si>
  <si>
    <t>851</t>
  </si>
  <si>
    <t>1834</t>
  </si>
  <si>
    <t>14849</t>
  </si>
  <si>
    <t>822</t>
  </si>
  <si>
    <t>6375</t>
  </si>
  <si>
    <t>4654</t>
  </si>
  <si>
    <t>253</t>
  </si>
  <si>
    <t>4019</t>
  </si>
  <si>
    <t>3049979</t>
  </si>
  <si>
    <t>7409978</t>
  </si>
  <si>
    <t>6957478</t>
  </si>
  <si>
    <t>7811465</t>
  </si>
  <si>
    <t>38800000</t>
  </si>
  <si>
    <t>21d 16h</t>
  </si>
  <si>
    <t>5434000</t>
  </si>
  <si>
    <t>2769000</t>
  </si>
  <si>
    <t>5d 14h</t>
  </si>
  <si>
    <t>50d 5h</t>
  </si>
  <si>
    <t>2d 6h</t>
  </si>
  <si>
    <t>1d 23h</t>
  </si>
  <si>
    <t>1d 22h</t>
  </si>
  <si>
    <t>712</t>
  </si>
  <si>
    <t>5852000</t>
  </si>
  <si>
    <t>844000</t>
  </si>
  <si>
    <t>5868000</t>
  </si>
  <si>
    <t>55d 9h</t>
  </si>
  <si>
    <t>412</t>
  </si>
  <si>
    <t>5824000</t>
  </si>
  <si>
    <t>1780659</t>
  </si>
  <si>
    <t>1039956</t>
  </si>
  <si>
    <t>2195092</t>
  </si>
  <si>
    <t>725779</t>
  </si>
  <si>
    <t>117d 3h</t>
  </si>
  <si>
    <t>210</t>
  </si>
  <si>
    <t>238162</t>
  </si>
  <si>
    <t>World Order</t>
  </si>
  <si>
    <t>150546</t>
  </si>
  <si>
    <t>198911</t>
  </si>
  <si>
    <t>264926</t>
  </si>
  <si>
    <t>377200</t>
  </si>
  <si>
    <t>1595579</t>
  </si>
  <si>
    <t>1881000</t>
  </si>
  <si>
    <t>1523651</t>
  </si>
  <si>
    <t>1860268</t>
  </si>
  <si>
    <t>76d 9h</t>
  </si>
  <si>
    <t>3679692</t>
  </si>
  <si>
    <t>1491188</t>
  </si>
  <si>
    <t>2389204</t>
  </si>
  <si>
    <t>22d 0h</t>
  </si>
  <si>
    <t>301216</t>
  </si>
  <si>
    <t>1021025</t>
  </si>
  <si>
    <t>512649</t>
  </si>
  <si>
    <t>5d 21h</t>
  </si>
  <si>
    <t>2243080</t>
  </si>
  <si>
    <t>1384343</t>
  </si>
  <si>
    <t>SHIOVF</t>
  </si>
  <si>
    <t>14911565</t>
  </si>
  <si>
    <t>34d 16h</t>
  </si>
  <si>
    <t>303617</t>
  </si>
  <si>
    <t>981214</t>
  </si>
  <si>
    <t>404114</t>
  </si>
  <si>
    <t>24d 0h</t>
  </si>
  <si>
    <t>38d 8h</t>
  </si>
  <si>
    <t>2026002</t>
  </si>
  <si>
    <t>2496000</t>
  </si>
  <si>
    <t>2568000</t>
  </si>
  <si>
    <t>18d 10h</t>
  </si>
  <si>
    <t>8d 23h</t>
  </si>
  <si>
    <t>739082</t>
  </si>
  <si>
    <t>1616186</t>
  </si>
  <si>
    <t>102d 20h</t>
  </si>
  <si>
    <t>21736000</t>
  </si>
  <si>
    <t>1336141</t>
  </si>
  <si>
    <t>174920</t>
  </si>
  <si>
    <t>11d 10h</t>
  </si>
  <si>
    <t>600244</t>
  </si>
  <si>
    <t>19306713</t>
  </si>
  <si>
    <t>395551</t>
  </si>
  <si>
    <t>597769</t>
  </si>
  <si>
    <t>918098</t>
  </si>
  <si>
    <t>109448</t>
  </si>
  <si>
    <t>205858</t>
  </si>
  <si>
    <t>194239</t>
  </si>
  <si>
    <t>203497</t>
  </si>
  <si>
    <t>136571</t>
  </si>
  <si>
    <t>10868000</t>
  </si>
  <si>
    <t>16211093</t>
  </si>
  <si>
    <t>95481</t>
  </si>
  <si>
    <t>1023991</t>
  </si>
  <si>
    <t>290170</t>
  </si>
  <si>
    <t>885889</t>
  </si>
  <si>
    <t>275328</t>
  </si>
  <si>
    <t>395670</t>
  </si>
  <si>
    <t>1045008</t>
  </si>
  <si>
    <t>1d 14h</t>
  </si>
  <si>
    <t>2d 22h</t>
  </si>
  <si>
    <t>1377552</t>
  </si>
  <si>
    <t>1356833</t>
  </si>
  <si>
    <t>1160966</t>
  </si>
  <si>
    <t>1690000</t>
  </si>
  <si>
    <t>1114124</t>
  </si>
  <si>
    <t>750000</t>
  </si>
  <si>
    <t>2704000</t>
  </si>
  <si>
    <t>2420718</t>
  </si>
  <si>
    <t>2453786</t>
  </si>
  <si>
    <t>2449059</t>
  </si>
  <si>
    <t>Colis</t>
  </si>
  <si>
    <t>2070000</t>
  </si>
  <si>
    <t>2322000</t>
  </si>
  <si>
    <t>Gozahn</t>
  </si>
  <si>
    <t>432</t>
  </si>
  <si>
    <t>155027</t>
  </si>
  <si>
    <t>1027496</t>
  </si>
  <si>
    <t>1386246</t>
  </si>
  <si>
    <t>1908000</t>
  </si>
  <si>
    <t>1675458</t>
  </si>
  <si>
    <t>1443532</t>
  </si>
  <si>
    <t>31d 8h</t>
  </si>
  <si>
    <t>10d 20h</t>
  </si>
  <si>
    <t>2d 18h</t>
  </si>
  <si>
    <t>7d 2h</t>
  </si>
  <si>
    <t>299796</t>
  </si>
  <si>
    <t>1067</t>
  </si>
  <si>
    <t>5727</t>
  </si>
  <si>
    <t>966</t>
  </si>
  <si>
    <t>11253</t>
  </si>
  <si>
    <t>4d 0h</t>
  </si>
  <si>
    <t>3753</t>
  </si>
  <si>
    <t>965</t>
  </si>
  <si>
    <t>5734</t>
  </si>
  <si>
    <t>922742</t>
  </si>
  <si>
    <t>11d 15h</t>
  </si>
  <si>
    <t>1729321</t>
  </si>
  <si>
    <t>20d 3h</t>
  </si>
  <si>
    <t>7d 11h</t>
  </si>
  <si>
    <t>4d 20h</t>
  </si>
  <si>
    <t>4585733</t>
  </si>
  <si>
    <t>126761</t>
  </si>
  <si>
    <t>506112</t>
  </si>
  <si>
    <t>252860</t>
  </si>
  <si>
    <t>134902</t>
  </si>
  <si>
    <t>467837</t>
  </si>
  <si>
    <t>2071221</t>
  </si>
  <si>
    <t>2198748</t>
  </si>
  <si>
    <t>17000</t>
  </si>
  <si>
    <t>2800</t>
  </si>
  <si>
    <t>246576</t>
  </si>
  <si>
    <t>2387256</t>
  </si>
  <si>
    <t>2014538</t>
  </si>
  <si>
    <t>62452</t>
  </si>
  <si>
    <t>269564</t>
  </si>
  <si>
    <t>81152</t>
  </si>
  <si>
    <t>Osvajac666</t>
  </si>
  <si>
    <t>1004814</t>
  </si>
  <si>
    <t>1013864</t>
  </si>
  <si>
    <t>1023935</t>
  </si>
  <si>
    <t>356</t>
  </si>
  <si>
    <t>Tygohn</t>
  </si>
  <si>
    <t>Nakor</t>
  </si>
  <si>
    <t>775192</t>
  </si>
  <si>
    <t>18d 8h</t>
  </si>
  <si>
    <t>4781988</t>
  </si>
  <si>
    <t>6156540</t>
  </si>
  <si>
    <t>Jon Snow</t>
  </si>
  <si>
    <t>5d 3h</t>
  </si>
  <si>
    <t>30d 12h</t>
  </si>
  <si>
    <t>35d 12h</t>
  </si>
  <si>
    <t>Hunter</t>
  </si>
  <si>
    <t>95562</t>
  </si>
  <si>
    <t>1241605</t>
  </si>
  <si>
    <t>314123</t>
  </si>
  <si>
    <t>317426</t>
  </si>
  <si>
    <t>298145</t>
  </si>
  <si>
    <t>846</t>
  </si>
  <si>
    <t>2019538</t>
  </si>
  <si>
    <t>Tafari Makonnen</t>
  </si>
  <si>
    <t>Comand KGH</t>
  </si>
  <si>
    <t>10000</t>
  </si>
  <si>
    <t>15000</t>
  </si>
  <si>
    <t>500000</t>
  </si>
  <si>
    <t>25000</t>
  </si>
  <si>
    <t>108605</t>
  </si>
  <si>
    <t>20000</t>
  </si>
  <si>
    <t>4444113</t>
  </si>
  <si>
    <t>132</t>
  </si>
  <si>
    <t>1839410</t>
  </si>
  <si>
    <t>190000</t>
  </si>
  <si>
    <t>1965088</t>
  </si>
  <si>
    <t>1898472</t>
  </si>
  <si>
    <t>1999761</t>
  </si>
  <si>
    <t>107987</t>
  </si>
  <si>
    <t>13d 12h</t>
  </si>
  <si>
    <t>28d 15h</t>
  </si>
  <si>
    <t>3412079</t>
  </si>
  <si>
    <t>3261646</t>
  </si>
  <si>
    <t>16d 0h</t>
  </si>
  <si>
    <t>857</t>
  </si>
  <si>
    <t>1023947</t>
  </si>
  <si>
    <t>1133682</t>
  </si>
  <si>
    <t>1598638</t>
  </si>
  <si>
    <t>1013672</t>
  </si>
  <si>
    <t>4708000</t>
  </si>
  <si>
    <t>1467921</t>
  </si>
  <si>
    <t>1386138</t>
  </si>
  <si>
    <t>2908828</t>
  </si>
  <si>
    <t>1052143</t>
  </si>
  <si>
    <t>1188627</t>
  </si>
  <si>
    <t>102746</t>
  </si>
  <si>
    <t>100743</t>
  </si>
  <si>
    <t>101179</t>
  </si>
  <si>
    <t>100581</t>
  </si>
  <si>
    <t>472910</t>
  </si>
  <si>
    <t>345719</t>
  </si>
  <si>
    <t>499117</t>
  </si>
  <si>
    <t>340049</t>
  </si>
  <si>
    <t>643</t>
  </si>
  <si>
    <t>2050000</t>
  </si>
  <si>
    <t>3408000</t>
  </si>
  <si>
    <t>6446111</t>
  </si>
  <si>
    <t>1806970</t>
  </si>
  <si>
    <t>6298507</t>
  </si>
  <si>
    <t>440000</t>
  </si>
  <si>
    <t>1890188</t>
  </si>
  <si>
    <t>2014710</t>
  </si>
  <si>
    <t>5142530</t>
  </si>
  <si>
    <t>6290507</t>
  </si>
  <si>
    <t>267000</t>
  </si>
  <si>
    <t>477286</t>
  </si>
  <si>
    <t>4389030</t>
  </si>
  <si>
    <t>3327441</t>
  </si>
  <si>
    <t>1650454</t>
  </si>
  <si>
    <t>1380469</t>
  </si>
  <si>
    <t>1350000</t>
  </si>
  <si>
    <t>350000</t>
  </si>
  <si>
    <t>51213</t>
  </si>
  <si>
    <t>1377898</t>
  </si>
  <si>
    <t>3748916</t>
  </si>
  <si>
    <t>1376900</t>
  </si>
  <si>
    <t>973148</t>
  </si>
  <si>
    <t>2679890</t>
  </si>
  <si>
    <t>2153129</t>
  </si>
  <si>
    <t>1090261</t>
  </si>
  <si>
    <t>2676000</t>
  </si>
  <si>
    <t>1240206</t>
  </si>
  <si>
    <t>1017080</t>
  </si>
  <si>
    <t>1017980</t>
  </si>
  <si>
    <t>1020835</t>
  </si>
  <si>
    <t>1018892</t>
  </si>
  <si>
    <t>1013599</t>
  </si>
  <si>
    <t>589</t>
  </si>
  <si>
    <t>25d 3h</t>
  </si>
  <si>
    <t>2d 8h</t>
  </si>
  <si>
    <t>86d 11h</t>
  </si>
  <si>
    <t>12d 19h</t>
  </si>
  <si>
    <t>1010692</t>
  </si>
  <si>
    <t>22d 1h</t>
  </si>
  <si>
    <t>20d 19h</t>
  </si>
  <si>
    <t>13d 17h</t>
  </si>
  <si>
    <t>45990</t>
  </si>
  <si>
    <t>593661</t>
  </si>
  <si>
    <t>lver</t>
  </si>
  <si>
    <t>538993</t>
  </si>
  <si>
    <t>1500560</t>
  </si>
  <si>
    <t>1418888</t>
  </si>
  <si>
    <t>42000000</t>
  </si>
  <si>
    <t>879055</t>
  </si>
  <si>
    <t>3909551</t>
  </si>
  <si>
    <t>4819622</t>
  </si>
  <si>
    <t>6055768</t>
  </si>
  <si>
    <t>7000000</t>
  </si>
  <si>
    <t>22464000</t>
  </si>
  <si>
    <t>Red Hot</t>
  </si>
  <si>
    <t>1142156</t>
  </si>
  <si>
    <t>1225415</t>
  </si>
  <si>
    <t>1138634</t>
  </si>
  <si>
    <t>9240000</t>
  </si>
  <si>
    <t>10320000</t>
  </si>
  <si>
    <t>25091</t>
  </si>
  <si>
    <t>12542</t>
  </si>
  <si>
    <t>29582</t>
  </si>
  <si>
    <t>24745</t>
  </si>
  <si>
    <t>1766</t>
  </si>
  <si>
    <t>25772</t>
  </si>
  <si>
    <t>817845</t>
  </si>
  <si>
    <t>257263</t>
  </si>
  <si>
    <t>879663</t>
  </si>
  <si>
    <t>413384</t>
  </si>
  <si>
    <t>773285</t>
  </si>
  <si>
    <t>4502</t>
  </si>
  <si>
    <t>1088</t>
  </si>
  <si>
    <t>1856</t>
  </si>
  <si>
    <t>1025</t>
  </si>
  <si>
    <t>987</t>
  </si>
  <si>
    <t>350</t>
  </si>
  <si>
    <t>4287275</t>
  </si>
  <si>
    <t>3550</t>
  </si>
  <si>
    <t>205</t>
  </si>
  <si>
    <t>700000</t>
  </si>
  <si>
    <t>989</t>
  </si>
  <si>
    <t>1311</t>
  </si>
  <si>
    <t>50199</t>
  </si>
  <si>
    <t>1093367</t>
  </si>
  <si>
    <t>188599</t>
  </si>
  <si>
    <t>59043</t>
  </si>
  <si>
    <t>16830</t>
  </si>
  <si>
    <t>46351</t>
  </si>
  <si>
    <t>11430</t>
  </si>
  <si>
    <t>2215</t>
  </si>
  <si>
    <t>1517</t>
  </si>
  <si>
    <t>1746</t>
  </si>
  <si>
    <t>601</t>
  </si>
  <si>
    <t>598</t>
  </si>
  <si>
    <t>51548</t>
  </si>
  <si>
    <t>basket ball</t>
  </si>
  <si>
    <t>7686000</t>
  </si>
  <si>
    <t>2600495</t>
  </si>
  <si>
    <t>141587</t>
  </si>
  <si>
    <t>Gabriel</t>
  </si>
  <si>
    <t>410177</t>
  </si>
  <si>
    <t>2743000</t>
  </si>
  <si>
    <t>1389847</t>
  </si>
  <si>
    <t>1096865</t>
  </si>
  <si>
    <t>1000924</t>
  </si>
  <si>
    <t>1283133</t>
  </si>
  <si>
    <t>1081245</t>
  </si>
  <si>
    <t>1125000</t>
  </si>
  <si>
    <t>1553</t>
  </si>
  <si>
    <t>18289</t>
  </si>
  <si>
    <t>2348</t>
  </si>
  <si>
    <t>487</t>
  </si>
  <si>
    <t>4513</t>
  </si>
  <si>
    <t>994</t>
  </si>
  <si>
    <t>17904</t>
  </si>
  <si>
    <t>251053</t>
  </si>
  <si>
    <t>1907</t>
  </si>
  <si>
    <t>1405</t>
  </si>
  <si>
    <t>768</t>
  </si>
  <si>
    <t>4709</t>
  </si>
  <si>
    <t>838</t>
  </si>
  <si>
    <t>535</t>
  </si>
  <si>
    <t>767</t>
  </si>
  <si>
    <t>1984</t>
  </si>
  <si>
    <t>193</t>
  </si>
  <si>
    <t>220</t>
  </si>
  <si>
    <t>Doberman</t>
  </si>
  <si>
    <t>152</t>
  </si>
  <si>
    <t>425</t>
  </si>
  <si>
    <t>250880</t>
  </si>
  <si>
    <t>Railrinine</t>
  </si>
  <si>
    <t>124</t>
  </si>
  <si>
    <t>484</t>
  </si>
  <si>
    <t>396</t>
  </si>
  <si>
    <t>577</t>
  </si>
  <si>
    <t>LeTinan</t>
  </si>
  <si>
    <t>330</t>
  </si>
  <si>
    <t>4500</t>
  </si>
  <si>
    <t>18060000</t>
  </si>
  <si>
    <t>6000</t>
  </si>
  <si>
    <t>185466</t>
  </si>
  <si>
    <t>1289351</t>
  </si>
  <si>
    <t>1110706</t>
  </si>
  <si>
    <t>1212047</t>
  </si>
  <si>
    <t>1015986</t>
  </si>
  <si>
    <t>1000088</t>
  </si>
  <si>
    <t>1101197</t>
  </si>
  <si>
    <t>1111211</t>
  </si>
  <si>
    <t>14000000</t>
  </si>
  <si>
    <t>1353049</t>
  </si>
  <si>
    <t>264</t>
  </si>
  <si>
    <t>500746</t>
  </si>
  <si>
    <t>10680666</t>
  </si>
  <si>
    <t>1038274</t>
  </si>
  <si>
    <t>8112000</t>
  </si>
  <si>
    <t>615836</t>
  </si>
  <si>
    <t>1050109</t>
  </si>
  <si>
    <t>1010329</t>
  </si>
  <si>
    <t>149422</t>
  </si>
  <si>
    <t>7620000</t>
  </si>
  <si>
    <t>814642</t>
  </si>
  <si>
    <t>272023</t>
  </si>
  <si>
    <t>17145000</t>
  </si>
  <si>
    <t>1827147</t>
  </si>
  <si>
    <t>821722</t>
  </si>
  <si>
    <t>1250000</t>
  </si>
  <si>
    <t>8d 2h</t>
  </si>
  <si>
    <t>1d 6h</t>
  </si>
  <si>
    <t>77d 7h</t>
  </si>
  <si>
    <t>3d 5h</t>
  </si>
  <si>
    <t>1009841</t>
  </si>
  <si>
    <t>8946000</t>
  </si>
  <si>
    <t>amount_num</t>
  </si>
  <si>
    <t>speedup_hours</t>
  </si>
  <si>
    <t>Sum of amount_num</t>
  </si>
  <si>
    <t>speedup_days</t>
  </si>
  <si>
    <t>Turtle Chest</t>
  </si>
  <si>
    <t>King Oliver</t>
  </si>
  <si>
    <t>CAPONE</t>
  </si>
  <si>
    <t>Runic Chest</t>
  </si>
  <si>
    <t>Lvl 20-24 Raid Runic squad</t>
  </si>
  <si>
    <t>Chest of Authority</t>
  </si>
  <si>
    <t>Authority Rush tournament</t>
  </si>
  <si>
    <t>Lvl 25-29 Raid Runic squad</t>
  </si>
  <si>
    <t>House of Horrors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</si>
</sst>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B2E5FF"/>
        <bgColor rgb="FFB2E5FF"/>
      </patternFill>
    </fill>
    <fill>
      <patternFill patternType="solid">
        <fgColor rgb="FFE5B2FF"/>
        <bgColor rgb="FFE5B2FF"/>
      </patternFill>
    </fill>
    <fill>
      <patternFill patternType="solid">
        <fgColor rgb="FFFFA400"/>
        <bgColor rgb="FFFFA400"/>
      </patternFill>
    </fill>
    <fill>
      <patternFill patternType="solid">
        <fgColor rgb="FFFFFFDF"/>
        <bgColor rgb="FFFFFFDF"/>
      </patternFill>
    </fill>
    <fill>
      <patternFill patternType="solid">
        <fgColor rgb="FFC2D69B"/>
        <bgColor rgb="FFC2D69B"/>
      </patternFill>
    </fill>
    <fill>
      <patternFill patternType="solid">
        <fgColor rgb="FF46BDC6"/>
        <bgColor rgb="FF46BDC6"/>
      </patternFill>
    </fill>
    <fill>
      <patternFill patternType="solid">
        <fgColor rgb="FFE5B8B7"/>
        <bgColor rgb="FFE5B8B7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medium">
        <color rgb="FF000000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medium">
        <color rgb="FF000000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/>
      <diagonal/>
    </border>
    <border>
      <left style="medium">
        <color rgb="FF00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rgb="FF000000"/>
      </top>
      <bottom style="thin">
        <color theme="0" tint="-0.24994659260841701"/>
      </bottom>
      <diagonal/>
    </border>
    <border>
      <left/>
      <right/>
      <top style="medium">
        <color rgb="FF000000"/>
      </top>
      <bottom style="thin">
        <color theme="0" tint="-0.24994659260841701"/>
      </bottom>
      <diagonal/>
    </border>
    <border>
      <left/>
      <right style="medium">
        <color rgb="FF000000"/>
      </right>
      <top style="medium">
        <color rgb="FF000000"/>
      </top>
      <bottom style="thin">
        <color theme="0" tint="-0.24994659260841701"/>
      </bottom>
      <diagonal/>
    </border>
    <border>
      <left style="medium">
        <color rgb="FF000000"/>
      </left>
      <right/>
      <top style="medium">
        <color rgb="FF000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rgb="FF000000"/>
      </top>
      <bottom style="thin">
        <color theme="0" tint="-0.24994659260841701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wrapText="1"/>
    </xf>
    <xf numFmtId="0" fontId="12" fillId="0" borderId="0" xfId="1"/>
    <xf numFmtId="0" fontId="4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pivotButton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1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left" vertical="center"/>
    </xf>
    <xf numFmtId="0" fontId="1" fillId="0" borderId="0" xfId="0" applyFont="1"/>
    <xf numFmtId="0" fontId="4" fillId="2" borderId="2" xfId="0" applyFont="1" applyFill="1" applyBorder="1" applyAlignment="1">
      <alignment horizontal="center" textRotation="90" wrapText="1"/>
    </xf>
    <xf numFmtId="0" fontId="4" fillId="3" borderId="2" xfId="0" applyFont="1" applyFill="1" applyBorder="1" applyAlignment="1">
      <alignment horizontal="center" textRotation="90" wrapText="1"/>
    </xf>
    <xf numFmtId="0" fontId="4" fillId="4" borderId="2" xfId="0" applyFont="1" applyFill="1" applyBorder="1" applyAlignment="1">
      <alignment horizontal="center" textRotation="90" wrapText="1"/>
    </xf>
    <xf numFmtId="0" fontId="4" fillId="4" borderId="2" xfId="0" applyFont="1" applyFill="1" applyBorder="1" applyAlignment="1">
      <alignment horizontal="center" textRotation="90"/>
    </xf>
    <xf numFmtId="0" fontId="4" fillId="5" borderId="2" xfId="0" applyFont="1" applyFill="1" applyBorder="1" applyAlignment="1">
      <alignment horizontal="center" textRotation="90"/>
    </xf>
    <xf numFmtId="0" fontId="4" fillId="5" borderId="2" xfId="0" applyFont="1" applyFill="1" applyBorder="1" applyAlignment="1">
      <alignment horizontal="center" textRotation="90" wrapText="1"/>
    </xf>
    <xf numFmtId="0" fontId="4" fillId="0" borderId="2" xfId="0" applyFont="1" applyBorder="1" applyAlignment="1">
      <alignment horizontal="center" textRotation="90" wrapText="1"/>
    </xf>
    <xf numFmtId="0" fontId="4" fillId="6" borderId="2" xfId="0" applyFont="1" applyFill="1" applyBorder="1" applyAlignment="1">
      <alignment horizontal="center" textRotation="90"/>
    </xf>
    <xf numFmtId="0" fontId="4" fillId="6" borderId="2" xfId="0" applyFont="1" applyFill="1" applyBorder="1" applyAlignment="1">
      <alignment horizontal="center" textRotation="90" wrapText="1"/>
    </xf>
    <xf numFmtId="0" fontId="4" fillId="7" borderId="2" xfId="0" applyFont="1" applyFill="1" applyBorder="1" applyAlignment="1">
      <alignment horizontal="center" textRotation="90"/>
    </xf>
    <xf numFmtId="0" fontId="4" fillId="8" borderId="2" xfId="0" applyFont="1" applyFill="1" applyBorder="1" applyAlignment="1">
      <alignment horizontal="center" textRotation="90"/>
    </xf>
    <xf numFmtId="0" fontId="4" fillId="8" borderId="3" xfId="0" applyFont="1" applyFill="1" applyBorder="1" applyAlignment="1">
      <alignment horizontal="center" textRotation="90" wrapText="1"/>
    </xf>
    <xf numFmtId="0" fontId="4" fillId="0" borderId="4" xfId="0" applyFont="1" applyBorder="1" applyAlignment="1">
      <alignment horizontal="center" vertical="center"/>
    </xf>
    <xf numFmtId="1" fontId="4" fillId="0" borderId="5" xfId="0" applyNumberFormat="1" applyFont="1" applyBorder="1"/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0" borderId="8" xfId="0" applyNumberFormat="1" applyFont="1" applyBorder="1"/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 wrapText="1"/>
    </xf>
    <xf numFmtId="1" fontId="7" fillId="3" borderId="11" xfId="0" applyNumberFormat="1" applyFont="1" applyFill="1" applyBorder="1" applyAlignment="1">
      <alignment horizontal="center" vertical="center" wrapText="1"/>
    </xf>
    <xf numFmtId="1" fontId="7" fillId="4" borderId="11" xfId="0" applyNumberFormat="1" applyFont="1" applyFill="1" applyBorder="1" applyAlignment="1">
      <alignment horizontal="center" vertical="center" wrapText="1"/>
    </xf>
    <xf numFmtId="1" fontId="7" fillId="4" borderId="11" xfId="0" applyNumberFormat="1" applyFont="1" applyFill="1" applyBorder="1" applyAlignment="1">
      <alignment horizontal="center" vertical="center"/>
    </xf>
    <xf numFmtId="1" fontId="7" fillId="5" borderId="11" xfId="0" applyNumberFormat="1" applyFont="1" applyFill="1" applyBorder="1" applyAlignment="1">
      <alignment horizontal="center" vertical="center"/>
    </xf>
    <xf numFmtId="1" fontId="7" fillId="5" borderId="11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1" fontId="7" fillId="6" borderId="11" xfId="0" applyNumberFormat="1" applyFont="1" applyFill="1" applyBorder="1" applyAlignment="1">
      <alignment horizontal="center" vertical="center"/>
    </xf>
    <xf numFmtId="1" fontId="7" fillId="6" borderId="11" xfId="0" applyNumberFormat="1" applyFont="1" applyFill="1" applyBorder="1" applyAlignment="1">
      <alignment horizontal="center" vertical="center" wrapText="1"/>
    </xf>
    <xf numFmtId="1" fontId="7" fillId="7" borderId="11" xfId="0" applyNumberFormat="1" applyFont="1" applyFill="1" applyBorder="1" applyAlignment="1">
      <alignment horizontal="center" vertical="center"/>
    </xf>
    <xf numFmtId="1" fontId="7" fillId="8" borderId="11" xfId="0" applyNumberFormat="1" applyFont="1" applyFill="1" applyBorder="1" applyAlignment="1">
      <alignment horizontal="center" vertical="center"/>
    </xf>
    <xf numFmtId="1" fontId="7" fillId="8" borderId="12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1" fontId="4" fillId="0" borderId="14" xfId="0" applyNumberFormat="1" applyFont="1" applyBorder="1"/>
    <xf numFmtId="1" fontId="4" fillId="0" borderId="14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" fontId="9" fillId="9" borderId="8" xfId="0" applyNumberFormat="1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 vertical="center" wrapText="1"/>
    </xf>
    <xf numFmtId="22" fontId="0" fillId="0" borderId="0" xfId="0" applyNumberFormat="1"/>
    <xf numFmtId="3" fontId="0" fillId="0" borderId="0" xfId="0" applyNumberFormat="1"/>
    <xf numFmtId="3" fontId="0" fillId="0" borderId="0" xfId="0" pivotButton="1" applyNumberFormat="1"/>
    <xf numFmtId="3" fontId="0" fillId="0" borderId="0" xfId="0" applyNumberFormat="1" applyAlignment="1">
      <alignment horizontal="left"/>
    </xf>
    <xf numFmtId="0" fontId="4" fillId="10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0" fillId="0" borderId="11" xfId="0" applyBorder="1"/>
    <xf numFmtId="0" fontId="9" fillId="0" borderId="2" xfId="0" applyFont="1" applyBorder="1" applyAlignment="1">
      <alignment horizontal="center" vertical="center" wrapText="1"/>
    </xf>
    <xf numFmtId="0" fontId="0" fillId="0" borderId="2" xfId="0" applyBorder="1"/>
    <xf numFmtId="1" fontId="9" fillId="9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  <alignment horizontal="left" vertical="bottom" textRotation="0" wrapText="0" indent="0" justifyLastLine="0" shrinkToFit="0" readingOrder="0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Jensen" refreshedDate="46147.066725810182" createdVersion="8" refreshedVersion="8" minRefreshableVersion="3" recordCount="861" xr:uid="{9A4A2899-47E0-4575-9AAF-A111F68BE3BE}">
  <cacheSource type="worksheet">
    <worksheetSource name="contributions_2026_05"/>
  </cacheSource>
  <cacheFields count="7">
    <cacheField name="date" numFmtId="22">
      <sharedItems containsSemiMixedTypes="0" containsNonDate="0" containsDate="1" containsString="0" minDate="2026-05-04T00:00:00" maxDate="2026-05-05T00:00:00"/>
    </cacheField>
    <cacheField name="player" numFmtId="0">
      <sharedItems count="77">
        <s v="sillovr"/>
        <s v="MindraNivera"/>
        <s v="elm3alim"/>
        <s v="Gleranir"/>
        <s v="Nettle"/>
        <s v="Chili Peppers"/>
        <s v="Der Morg"/>
        <s v="Morn"/>
        <s v="Glitched"/>
        <s v="aladred"/>
        <s v="Zulkigore"/>
        <s v="Totaur"/>
        <s v="Pfunk"/>
        <s v="Yondu"/>
        <s v="Toastman"/>
        <s v="Sinwing"/>
        <s v="Absolutus"/>
        <s v="Megrinad"/>
        <s v="wiiikaaaa"/>
        <s v="Attila the hun"/>
        <s v="Ferodad"/>
        <s v="ARBA33"/>
        <s v="crabb"/>
        <s v="Amr ibn al Aas"/>
        <s v="Burgs"/>
        <s v="Angel"/>
        <s v="Earar"/>
        <s v="Tomuro"/>
        <s v="Bella"/>
        <s v="Rayan"/>
        <s v="Elaref"/>
        <s v="CongulusMurat"/>
        <s v="Volk"/>
        <s v="Mario"/>
        <s v="Darus735"/>
        <s v="Vasfris"/>
        <s v="bb steboulet 2"/>
        <s v="silovr"/>
        <s v="Stuff"/>
        <s v="Rhys"/>
        <s v="Agagas"/>
        <s v="Lil Thog of Boomtown"/>
        <s v="Luar"/>
        <s v="SalahTime"/>
        <s v="Maedrafir"/>
        <s v="BORU"/>
        <s v="Kaachou"/>
        <s v="Celmeena"/>
        <s v="Lirosin"/>
        <s v="Jennifer"/>
        <s v="ROD"/>
        <s v="Lefinan"/>
        <s v="Arardin"/>
        <s v="World Order"/>
        <s v="Kathrilis"/>
        <s v="AL CAPONE"/>
        <s v="SHIOVF"/>
        <s v="Eyvening"/>
        <s v="Railrining"/>
        <s v="Iver"/>
        <s v="Colis"/>
        <s v="Gozahn"/>
        <s v="CarpeVino"/>
        <s v="Osvajac666"/>
        <s v="Tygohn"/>
        <s v="Nakor"/>
        <s v="Jon Snow"/>
        <s v="Hunter"/>
        <s v="Tafari Makonnen"/>
        <s v="Comand KGH"/>
        <s v="lver"/>
        <s v="Red Hot"/>
        <s v="basket ball"/>
        <s v="Gabriel"/>
        <s v="Doberman"/>
        <s v="Railrinine"/>
        <s v="LeTinan"/>
      </sharedItems>
    </cacheField>
    <cacheField name="amount" numFmtId="0">
      <sharedItems/>
    </cacheField>
    <cacheField name="type" numFmtId="0">
      <sharedItems count="9">
        <s v="Lumber"/>
        <s v="Stone"/>
        <s v="Clan Speedup"/>
        <s v="Food"/>
        <s v="Silver"/>
        <s v="Steel"/>
        <s v="Iron"/>
        <s v=""/>
        <s v="Dragon Coins"/>
      </sharedItems>
    </cacheField>
    <cacheField name="amount_num" numFmtId="3">
      <sharedItems containsString="0" containsBlank="1" containsNumber="1" containsInteger="1" minValue="124" maxValue="42000000"/>
    </cacheField>
    <cacheField name="speedup_days" numFmtId="3">
      <sharedItems containsString="0" containsBlank="1" containsNumber="1" containsInteger="1" minValue="1" maxValue="117"/>
    </cacheField>
    <cacheField name="speedup_hours" numFmtId="3">
      <sharedItems containsString="0" containsBlank="1" containsNumber="1" containsInteger="1" minValue="26" maxValue="2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Jensen" refreshedDate="46148.582073032405" createdVersion="8" refreshedVersion="8" minRefreshableVersion="3" recordCount="3108" xr:uid="{1A1A0633-4CE7-406B-B276-E296A546EDF6}">
  <cacheSource type="worksheet">
    <worksheetSource name="tbl_chests"/>
  </cacheSource>
  <cacheFields count="6">
    <cacheField name="datetime" numFmtId="22">
      <sharedItems containsSemiMixedTypes="0" containsNonDate="0" containsDate="1" containsString="0" minDate="2026-05-01T01:06:00" maxDate="2026-05-06T13:04:00"/>
    </cacheField>
    <cacheField name="tab" numFmtId="0">
      <sharedItems/>
    </cacheField>
    <cacheField name="chest" numFmtId="0">
      <sharedItems/>
    </cacheField>
    <cacheField name="from" numFmtId="0">
      <sharedItems count="104">
        <s v="Railrining"/>
        <s v="Bella"/>
        <s v="Burgs"/>
        <s v="Tomuro"/>
        <s v="CongulusMurat"/>
        <s v="Zulkigore"/>
        <s v="Ferodad"/>
        <s v="Attila the hun"/>
        <s v="Chili Peppers"/>
        <s v="Lil Thog of Boomtown"/>
        <s v="Yondu"/>
        <s v="Luchfirilas"/>
        <s v="Darus735"/>
        <s v="Kathrilis"/>
        <s v="Totaur"/>
        <s v="Kaachou"/>
        <s v="Lirosin"/>
        <s v="Van Jazzle"/>
        <s v="Stuff"/>
        <s v="Angel"/>
        <s v="crabb"/>
        <s v="BORU"/>
        <s v="Vasfris"/>
        <s v="Aurithris"/>
        <s v="SalahTime"/>
        <s v="Earar"/>
        <s v="Lefinan"/>
        <s v="Rhys"/>
        <s v="bb steboulet 2"/>
        <s v="Thommy Black"/>
        <s v="sillovr"/>
        <s v="Elaref"/>
        <s v="Agagas"/>
        <s v="Jennifer"/>
        <s v="Celmeena"/>
        <s v="Bilesi"/>
        <s v="Mario"/>
        <s v="Luar"/>
        <s v="Der Morg"/>
        <s v="Maedrafir"/>
        <s v="ROD"/>
        <s v="Nettle"/>
        <s v="Finfiring"/>
        <s v="Pfunk"/>
        <s v="Eyvening"/>
        <s v="Amr ibn al Aas"/>
        <s v="Arardin"/>
        <s v="Megrinad"/>
        <s v="Absolutus"/>
        <s v="Glitched"/>
        <s v="Rayan"/>
        <s v="CarpeVino"/>
        <s v="Kibur"/>
        <s v="Iver"/>
        <s v="wiiikaaaa"/>
        <s v="Volk"/>
        <s v="Rooster"/>
        <s v="AL CAPONE"/>
        <s v="TEAM GB"/>
        <s v="Mohamed"/>
        <s v="Tiimo807"/>
        <s v="Toastman"/>
        <s v="ARBA33"/>
        <s v="MindraNivera"/>
        <s v="morgana"/>
        <s v="Sinwing"/>
        <s v="aladred"/>
        <s v="King Oliver"/>
        <s v="CAPONE"/>
        <s v="Gleranir"/>
        <s v="Gozahn"/>
        <s v="Trdat" u="1"/>
        <s v="Gabriel" u="1"/>
        <s v="Fobor" u="1"/>
        <s v="Tygohn" u="1"/>
        <s v="Colis" u="1"/>
        <s v="Lanien" u="1"/>
        <s v="lronsinger" u="1"/>
        <s v="Comand" u="1"/>
        <s v="Jon Snow" u="1"/>
        <s v="Nakor" u="1"/>
        <s v="Peregrine Falcon" u="1"/>
        <s v="Areda" u="1"/>
        <s v="hottie BOSS" u="1"/>
        <s v="Felkhabor" u="1"/>
        <s v="Ron" u="1"/>
        <s v="Hunter" u="1"/>
        <s v="Morn" u="1"/>
        <s v="Osvajac666" u="1"/>
        <s v="NurSo" u="1"/>
        <s v="Follador" u="1"/>
        <s v="World Order" u="1"/>
        <s v="Filloten" u="1"/>
        <s v="Red Hot" u="1"/>
        <s v="Funving" u="1"/>
        <s v="Eyareyl" u="1"/>
        <s v="Purefont" u="1"/>
        <s v="basket ball" u="1"/>
        <s v="Orodbrimir" u="1"/>
        <s v="CENGIZHAN" u="1"/>
        <s v="Comand KGH" u="1"/>
        <s v="Ironside" u="1"/>
        <s v="Doberman" u="1"/>
        <s v="Deldisel" u="1"/>
      </sharedItems>
    </cacheField>
    <cacheField name="source" numFmtId="0">
      <sharedItems/>
    </cacheField>
    <cacheField name="legalized" numFmtId="0">
      <sharedItems count="16">
        <s v="L15 Crypt"/>
        <s v="Others"/>
        <s v="L10 Crypt"/>
        <s v="L5 Crypt"/>
        <s v="L20 Crypt"/>
        <s v="Bank"/>
        <s v="L20 Citadel"/>
        <s v="L20 Rare Crypt"/>
        <s v="L10 Rare Crypt"/>
        <s v="L20 Epic Crypt"/>
        <s v="L15 Epic Crypt"/>
        <s v="L10 Citadel"/>
        <s v="L15 Citadel"/>
        <s v="L15 Rare Crypt"/>
        <s v="Ancients Vault"/>
        <s v="Ancients Ches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d v="2026-05-04T00:00:00"/>
    <x v="0"/>
    <s v="2717000"/>
    <x v="0"/>
    <n v="2717000"/>
    <m/>
    <m/>
  </r>
  <r>
    <d v="2026-05-04T00:00:00"/>
    <x v="1"/>
    <s v="1000000"/>
    <x v="0"/>
    <n v="1000000"/>
    <m/>
    <m/>
  </r>
  <r>
    <d v="2026-05-04T00:00:00"/>
    <x v="0"/>
    <s v="2717000"/>
    <x v="1"/>
    <n v="2717000"/>
    <m/>
    <m/>
  </r>
  <r>
    <d v="2026-05-04T00:00:00"/>
    <x v="2"/>
    <s v="7d 0h"/>
    <x v="2"/>
    <m/>
    <n v="7"/>
    <n v="168"/>
  </r>
  <r>
    <d v="2026-05-04T00:00:00"/>
    <x v="3"/>
    <s v="1872000"/>
    <x v="3"/>
    <n v="1872000"/>
    <m/>
    <m/>
  </r>
  <r>
    <d v="2026-05-04T00:00:00"/>
    <x v="3"/>
    <s v="1872000"/>
    <x v="3"/>
    <n v="1872000"/>
    <m/>
    <m/>
  </r>
  <r>
    <d v="2026-05-04T00:00:00"/>
    <x v="3"/>
    <s v="1872000"/>
    <x v="4"/>
    <n v="1872000"/>
    <m/>
    <m/>
  </r>
  <r>
    <d v="2026-05-04T00:00:00"/>
    <x v="4"/>
    <s v="11d 16h"/>
    <x v="2"/>
    <m/>
    <n v="12"/>
    <n v="280"/>
  </r>
  <r>
    <d v="2026-05-04T00:00:00"/>
    <x v="5"/>
    <s v="13d 3h"/>
    <x v="2"/>
    <m/>
    <n v="13"/>
    <n v="315"/>
  </r>
  <r>
    <d v="2026-05-04T00:00:00"/>
    <x v="4"/>
    <s v="18400000"/>
    <x v="3"/>
    <n v="18400000"/>
    <m/>
    <m/>
  </r>
  <r>
    <d v="2026-05-04T00:00:00"/>
    <x v="6"/>
    <s v="4587518"/>
    <x v="0"/>
    <n v="4587518"/>
    <m/>
    <m/>
  </r>
  <r>
    <d v="2026-05-04T00:00:00"/>
    <x v="7"/>
    <s v="1248000"/>
    <x v="3"/>
    <n v="1248000"/>
    <m/>
    <m/>
  </r>
  <r>
    <d v="2026-05-04T00:00:00"/>
    <x v="8"/>
    <s v="848000"/>
    <x v="3"/>
    <n v="848000"/>
    <m/>
    <m/>
  </r>
  <r>
    <d v="2026-05-04T00:00:00"/>
    <x v="9"/>
    <s v="2690000"/>
    <x v="1"/>
    <n v="2690000"/>
    <m/>
    <m/>
  </r>
  <r>
    <d v="2026-05-04T00:00:00"/>
    <x v="10"/>
    <s v="4428000"/>
    <x v="4"/>
    <n v="4428000"/>
    <m/>
    <m/>
  </r>
  <r>
    <d v="2026-05-04T00:00:00"/>
    <x v="1"/>
    <s v="1000000"/>
    <x v="4"/>
    <n v="1000000"/>
    <m/>
    <m/>
  </r>
  <r>
    <d v="2026-05-04T00:00:00"/>
    <x v="0"/>
    <s v="2717000"/>
    <x v="3"/>
    <n v="2717000"/>
    <m/>
    <m/>
  </r>
  <r>
    <d v="2026-05-04T00:00:00"/>
    <x v="3"/>
    <s v="1872000"/>
    <x v="4"/>
    <n v="1872000"/>
    <m/>
    <m/>
  </r>
  <r>
    <d v="2026-05-04T00:00:00"/>
    <x v="4"/>
    <s v="18400000"/>
    <x v="0"/>
    <n v="18400000"/>
    <m/>
    <m/>
  </r>
  <r>
    <d v="2026-05-04T00:00:00"/>
    <x v="6"/>
    <s v="4587518"/>
    <x v="3"/>
    <n v="4587518"/>
    <m/>
    <m/>
  </r>
  <r>
    <d v="2026-05-04T00:00:00"/>
    <x v="9"/>
    <s v="2690000"/>
    <x v="0"/>
    <n v="2690000"/>
    <m/>
    <m/>
  </r>
  <r>
    <d v="2026-05-04T00:00:00"/>
    <x v="11"/>
    <s v="2026"/>
    <x v="3"/>
    <n v="2026"/>
    <m/>
    <m/>
  </r>
  <r>
    <d v="2026-05-04T00:00:00"/>
    <x v="6"/>
    <s v="4587518"/>
    <x v="4"/>
    <n v="4587518"/>
    <m/>
    <m/>
  </r>
  <r>
    <d v="2026-05-04T00:00:00"/>
    <x v="9"/>
    <s v="2690000"/>
    <x v="4"/>
    <n v="2690000"/>
    <m/>
    <m/>
  </r>
  <r>
    <d v="2026-05-04T00:00:00"/>
    <x v="11"/>
    <s v="2926000"/>
    <x v="4"/>
    <n v="2926000"/>
    <m/>
    <m/>
  </r>
  <r>
    <d v="2026-05-04T00:00:00"/>
    <x v="11"/>
    <s v="2926000"/>
    <x v="1"/>
    <n v="2926000"/>
    <m/>
    <m/>
  </r>
  <r>
    <d v="2026-05-04T00:00:00"/>
    <x v="0"/>
    <s v="8229000"/>
    <x v="5"/>
    <n v="8229000"/>
    <m/>
    <m/>
  </r>
  <r>
    <d v="2026-05-04T00:00:00"/>
    <x v="12"/>
    <s v="1890000"/>
    <x v="3"/>
    <n v="1890000"/>
    <m/>
    <m/>
  </r>
  <r>
    <d v="2026-05-04T00:00:00"/>
    <x v="10"/>
    <s v="4428000"/>
    <x v="3"/>
    <n v="4428000"/>
    <m/>
    <m/>
  </r>
  <r>
    <d v="2026-05-04T00:00:00"/>
    <x v="11"/>
    <s v="2926000"/>
    <x v="3"/>
    <n v="2926000"/>
    <m/>
    <m/>
  </r>
  <r>
    <d v="2026-05-04T00:00:00"/>
    <x v="0"/>
    <s v="8229000"/>
    <x v="3"/>
    <n v="8229000"/>
    <m/>
    <m/>
  </r>
  <r>
    <d v="2026-05-04T00:00:00"/>
    <x v="12"/>
    <s v="1890000"/>
    <x v="6"/>
    <n v="1890000"/>
    <m/>
    <m/>
  </r>
  <r>
    <d v="2026-05-04T00:00:00"/>
    <x v="10"/>
    <s v="948000"/>
    <x v="0"/>
    <n v="948000"/>
    <m/>
    <m/>
  </r>
  <r>
    <d v="2026-05-04T00:00:00"/>
    <x v="12"/>
    <s v="105856"/>
    <x v="4"/>
    <n v="105856"/>
    <m/>
    <m/>
  </r>
  <r>
    <d v="2026-05-04T00:00:00"/>
    <x v="12"/>
    <s v="1890000"/>
    <x v="1"/>
    <n v="1890000"/>
    <m/>
    <m/>
  </r>
  <r>
    <d v="2026-05-04T00:00:00"/>
    <x v="9"/>
    <s v="3758479"/>
    <x v="0"/>
    <n v="3758479"/>
    <m/>
    <m/>
  </r>
  <r>
    <d v="2026-05-04T00:00:00"/>
    <x v="13"/>
    <s v="2584672"/>
    <x v="3"/>
    <n v="2584672"/>
    <m/>
    <m/>
  </r>
  <r>
    <d v="2026-05-04T00:00:00"/>
    <x v="0"/>
    <s v="8229000"/>
    <x v="4"/>
    <n v="8229000"/>
    <m/>
    <m/>
  </r>
  <r>
    <d v="2026-05-04T00:00:00"/>
    <x v="12"/>
    <s v="105856"/>
    <x v="3"/>
    <n v="105856"/>
    <m/>
    <m/>
  </r>
  <r>
    <d v="2026-05-04T00:00:00"/>
    <x v="9"/>
    <s v="3758479"/>
    <x v="4"/>
    <n v="3758479"/>
    <m/>
    <m/>
  </r>
  <r>
    <d v="2026-05-04T00:00:00"/>
    <x v="13"/>
    <s v="1150054"/>
    <x v="4"/>
    <n v="1150054"/>
    <m/>
    <m/>
  </r>
  <r>
    <d v="2026-05-04T00:00:00"/>
    <x v="13"/>
    <s v="706134"/>
    <x v="6"/>
    <n v="706134"/>
    <m/>
    <m/>
  </r>
  <r>
    <d v="2026-05-04T00:00:00"/>
    <x v="13"/>
    <s v="737452"/>
    <x v="3"/>
    <n v="737452"/>
    <m/>
    <m/>
  </r>
  <r>
    <d v="2026-05-04T00:00:00"/>
    <x v="13"/>
    <s v="823863"/>
    <x v="4"/>
    <n v="823863"/>
    <m/>
    <m/>
  </r>
  <r>
    <d v="2026-05-04T00:00:00"/>
    <x v="9"/>
    <s v="208337"/>
    <x v="1"/>
    <n v="208337"/>
    <m/>
    <m/>
  </r>
  <r>
    <d v="2026-05-04T00:00:00"/>
    <x v="9"/>
    <s v="198544"/>
    <x v="4"/>
    <n v="198544"/>
    <m/>
    <m/>
  </r>
  <r>
    <d v="2026-05-04T00:00:00"/>
    <x v="9"/>
    <s v="3758479"/>
    <x v="3"/>
    <n v="3758479"/>
    <m/>
    <m/>
  </r>
  <r>
    <d v="2026-05-04T00:00:00"/>
    <x v="13"/>
    <s v="2584672"/>
    <x v="1"/>
    <n v="2584672"/>
    <m/>
    <m/>
  </r>
  <r>
    <d v="2026-05-04T00:00:00"/>
    <x v="13"/>
    <s v="823863"/>
    <x v="1"/>
    <n v="823863"/>
    <m/>
    <m/>
  </r>
  <r>
    <d v="2026-05-04T00:00:00"/>
    <x v="14"/>
    <s v="1036"/>
    <x v="3"/>
    <n v="1036"/>
    <m/>
    <m/>
  </r>
  <r>
    <d v="2026-05-04T00:00:00"/>
    <x v="15"/>
    <s v="100000"/>
    <x v="3"/>
    <n v="100000"/>
    <m/>
    <m/>
  </r>
  <r>
    <d v="2026-05-04T00:00:00"/>
    <x v="16"/>
    <s v="431452"/>
    <x v="3"/>
    <n v="431452"/>
    <m/>
    <m/>
  </r>
  <r>
    <d v="2026-05-04T00:00:00"/>
    <x v="17"/>
    <s v="6270000"/>
    <x v="0"/>
    <n v="6270000"/>
    <m/>
    <m/>
  </r>
  <r>
    <d v="2026-05-04T00:00:00"/>
    <x v="16"/>
    <s v="1063155"/>
    <x v="5"/>
    <n v="1063155"/>
    <m/>
    <m/>
  </r>
  <r>
    <d v="2026-05-04T00:00:00"/>
    <x v="16"/>
    <s v="1063155"/>
    <x v="3"/>
    <n v="1063155"/>
    <m/>
    <m/>
  </r>
  <r>
    <d v="2026-05-04T00:00:00"/>
    <x v="17"/>
    <s v="1007106"/>
    <x v="6"/>
    <n v="1007106"/>
    <m/>
    <m/>
  </r>
  <r>
    <d v="2026-05-04T00:00:00"/>
    <x v="17"/>
    <s v="2339879"/>
    <x v="4"/>
    <n v="2339879"/>
    <m/>
    <m/>
  </r>
  <r>
    <d v="2026-05-04T00:00:00"/>
    <x v="18"/>
    <s v="3290000"/>
    <x v="1"/>
    <n v="3290000"/>
    <m/>
    <m/>
  </r>
  <r>
    <d v="2026-05-04T00:00:00"/>
    <x v="17"/>
    <s v="403139"/>
    <x v="3"/>
    <n v="403139"/>
    <m/>
    <m/>
  </r>
  <r>
    <d v="2026-05-04T00:00:00"/>
    <x v="18"/>
    <s v="3290000"/>
    <x v="4"/>
    <n v="3290000"/>
    <m/>
    <m/>
  </r>
  <r>
    <d v="2026-05-04T00:00:00"/>
    <x v="17"/>
    <s v="6270000"/>
    <x v="4"/>
    <n v="6270000"/>
    <m/>
    <m/>
  </r>
  <r>
    <d v="2026-05-04T00:00:00"/>
    <x v="17"/>
    <s v="2339879"/>
    <x v="3"/>
    <n v="2339879"/>
    <m/>
    <m/>
  </r>
  <r>
    <d v="2026-05-04T00:00:00"/>
    <x v="18"/>
    <s v="3290000"/>
    <x v="4"/>
    <n v="3290000"/>
    <m/>
    <m/>
  </r>
  <r>
    <d v="2026-05-04T00:00:00"/>
    <x v="17"/>
    <s v="403139"/>
    <x v="1"/>
    <n v="403139"/>
    <m/>
    <m/>
  </r>
  <r>
    <d v="2026-05-04T00:00:00"/>
    <x v="19"/>
    <s v="1794"/>
    <x v="3"/>
    <n v="1794"/>
    <m/>
    <m/>
  </r>
  <r>
    <d v="2026-05-04T00:00:00"/>
    <x v="0"/>
    <s v="7481771"/>
    <x v="0"/>
    <n v="7481771"/>
    <m/>
    <m/>
  </r>
  <r>
    <d v="2026-05-04T00:00:00"/>
    <x v="0"/>
    <s v="1339713"/>
    <x v="3"/>
    <n v="1339713"/>
    <m/>
    <m/>
  </r>
  <r>
    <d v="2026-05-04T00:00:00"/>
    <x v="20"/>
    <s v="3500000"/>
    <x v="6"/>
    <n v="3500000"/>
    <m/>
    <m/>
  </r>
  <r>
    <d v="2026-05-04T00:00:00"/>
    <x v="21"/>
    <s v="400000"/>
    <x v="1"/>
    <n v="400000"/>
    <m/>
    <m/>
  </r>
  <r>
    <d v="2026-05-04T00:00:00"/>
    <x v="18"/>
    <s v="3290000"/>
    <x v="3"/>
    <n v="3290000"/>
    <m/>
    <m/>
  </r>
  <r>
    <d v="2026-05-04T00:00:00"/>
    <x v="17"/>
    <s v="403139"/>
    <x v="4"/>
    <n v="403139"/>
    <m/>
    <m/>
  </r>
  <r>
    <d v="2026-05-04T00:00:00"/>
    <x v="1"/>
    <s v="1000000"/>
    <x v="3"/>
    <n v="1000000"/>
    <m/>
    <m/>
  </r>
  <r>
    <d v="2026-05-04T00:00:00"/>
    <x v="0"/>
    <s v="7481771"/>
    <x v="4"/>
    <n v="7481771"/>
    <m/>
    <m/>
  </r>
  <r>
    <d v="2026-05-04T00:00:00"/>
    <x v="0"/>
    <s v="1339713"/>
    <x v="4"/>
    <n v="1339713"/>
    <m/>
    <m/>
  </r>
  <r>
    <d v="2026-05-04T00:00:00"/>
    <x v="21"/>
    <s v="400000"/>
    <x v="3"/>
    <n v="400000"/>
    <m/>
    <m/>
  </r>
  <r>
    <d v="2026-05-04T00:00:00"/>
    <x v="0"/>
    <s v="2196908"/>
    <x v="3"/>
    <n v="2196908"/>
    <m/>
    <m/>
  </r>
  <r>
    <d v="2026-05-04T00:00:00"/>
    <x v="21"/>
    <s v="400000"/>
    <x v="4"/>
    <n v="400000"/>
    <m/>
    <m/>
  </r>
  <r>
    <d v="2026-05-04T00:00:00"/>
    <x v="0"/>
    <s v="1108357"/>
    <x v="6"/>
    <n v="1108357"/>
    <m/>
    <m/>
  </r>
  <r>
    <d v="2026-05-04T00:00:00"/>
    <x v="22"/>
    <s v="50000"/>
    <x v="3"/>
    <n v="50000"/>
    <m/>
    <m/>
  </r>
  <r>
    <d v="2026-05-04T00:00:00"/>
    <x v="23"/>
    <s v="3998821"/>
    <x v="4"/>
    <n v="3998821"/>
    <m/>
    <m/>
  </r>
  <r>
    <d v="2026-05-04T00:00:00"/>
    <x v="20"/>
    <s v="3500000"/>
    <x v="3"/>
    <n v="3500000"/>
    <m/>
    <m/>
  </r>
  <r>
    <d v="2026-05-04T00:00:00"/>
    <x v="22"/>
    <s v="50000"/>
    <x v="6"/>
    <n v="50000"/>
    <m/>
    <m/>
  </r>
  <r>
    <d v="2026-05-04T00:00:00"/>
    <x v="23"/>
    <s v="3998821"/>
    <x v="1"/>
    <n v="3998821"/>
    <m/>
    <m/>
  </r>
  <r>
    <d v="2026-05-04T00:00:00"/>
    <x v="1"/>
    <s v="404000"/>
    <x v="4"/>
    <n v="404000"/>
    <m/>
    <m/>
  </r>
  <r>
    <d v="2026-05-04T00:00:00"/>
    <x v="22"/>
    <s v="50000"/>
    <x v="4"/>
    <n v="50000"/>
    <m/>
    <m/>
  </r>
  <r>
    <d v="2026-05-04T00:00:00"/>
    <x v="22"/>
    <s v="50000"/>
    <x v="4"/>
    <n v="50000"/>
    <m/>
    <m/>
  </r>
  <r>
    <d v="2026-05-04T00:00:00"/>
    <x v="19"/>
    <s v="8862000"/>
    <x v="4"/>
    <n v="8862000"/>
    <m/>
    <m/>
  </r>
  <r>
    <d v="2026-05-04T00:00:00"/>
    <x v="0"/>
    <s v="1108357"/>
    <x v="3"/>
    <n v="1108357"/>
    <m/>
    <m/>
  </r>
  <r>
    <d v="2026-05-04T00:00:00"/>
    <x v="1"/>
    <s v="1000000"/>
    <x v="5"/>
    <n v="1000000"/>
    <m/>
    <m/>
  </r>
  <r>
    <d v="2026-05-04T00:00:00"/>
    <x v="22"/>
    <s v="50000"/>
    <x v="3"/>
    <n v="50000"/>
    <m/>
    <m/>
  </r>
  <r>
    <d v="2026-05-04T00:00:00"/>
    <x v="19"/>
    <s v="8862000"/>
    <x v="0"/>
    <n v="8862000"/>
    <m/>
    <m/>
  </r>
  <r>
    <d v="2026-05-04T00:00:00"/>
    <x v="11"/>
    <s v="2926000"/>
    <x v="6"/>
    <n v="2926000"/>
    <m/>
    <m/>
  </r>
  <r>
    <d v="2026-05-04T00:00:00"/>
    <x v="11"/>
    <s v="2926000"/>
    <x v="4"/>
    <n v="2926000"/>
    <m/>
    <m/>
  </r>
  <r>
    <d v="2026-05-04T00:00:00"/>
    <x v="24"/>
    <s v="994541"/>
    <x v="4"/>
    <n v="994541"/>
    <m/>
    <m/>
  </r>
  <r>
    <d v="2026-05-04T00:00:00"/>
    <x v="25"/>
    <s v="200"/>
    <x v="3"/>
    <n v="200"/>
    <m/>
    <m/>
  </r>
  <r>
    <d v="2026-05-04T00:00:00"/>
    <x v="22"/>
    <s v="50000"/>
    <x v="1"/>
    <n v="50000"/>
    <m/>
    <m/>
  </r>
  <r>
    <d v="2026-05-04T00:00:00"/>
    <x v="11"/>
    <s v="2926000"/>
    <x v="3"/>
    <n v="2926000"/>
    <m/>
    <m/>
  </r>
  <r>
    <d v="2026-05-04T00:00:00"/>
    <x v="24"/>
    <s v="994541"/>
    <x v="3"/>
    <n v="994541"/>
    <m/>
    <m/>
  </r>
  <r>
    <d v="2026-05-04T00:00:00"/>
    <x v="25"/>
    <s v="200"/>
    <x v="3"/>
    <n v="200"/>
    <m/>
    <m/>
  </r>
  <r>
    <d v="2026-05-04T00:00:00"/>
    <x v="25"/>
    <s v="200"/>
    <x v="6"/>
    <n v="200"/>
    <m/>
    <m/>
  </r>
  <r>
    <d v="2026-05-04T00:00:00"/>
    <x v="25"/>
    <s v="200"/>
    <x v="4"/>
    <n v="200"/>
    <m/>
    <m/>
  </r>
  <r>
    <d v="2026-05-04T00:00:00"/>
    <x v="25"/>
    <s v="200"/>
    <x v="4"/>
    <n v="200"/>
    <m/>
    <m/>
  </r>
  <r>
    <d v="2026-05-04T00:00:00"/>
    <x v="20"/>
    <s v="2912000"/>
    <x v="3"/>
    <n v="2912000"/>
    <m/>
    <m/>
  </r>
  <r>
    <d v="2026-05-04T00:00:00"/>
    <x v="20"/>
    <s v="2912000"/>
    <x v="3"/>
    <n v="2912000"/>
    <m/>
    <m/>
  </r>
  <r>
    <d v="2026-05-04T00:00:00"/>
    <x v="11"/>
    <s v="2920000"/>
    <x v="3"/>
    <n v="2920000"/>
    <m/>
    <m/>
  </r>
  <r>
    <d v="2026-05-04T00:00:00"/>
    <x v="25"/>
    <s v="200"/>
    <x v="0"/>
    <n v="200"/>
    <m/>
    <m/>
  </r>
  <r>
    <d v="2026-05-04T00:00:00"/>
    <x v="25"/>
    <s v="200"/>
    <x v="1"/>
    <n v="200"/>
    <m/>
    <m/>
  </r>
  <r>
    <d v="2026-05-04T00:00:00"/>
    <x v="20"/>
    <s v="2912000"/>
    <x v="1"/>
    <n v="2912000"/>
    <m/>
    <m/>
  </r>
  <r>
    <d v="2026-05-04T00:00:00"/>
    <x v="19"/>
    <s v="293"/>
    <x v="3"/>
    <n v="293"/>
    <m/>
    <m/>
  </r>
  <r>
    <d v="2026-05-04T00:00:00"/>
    <x v="0"/>
    <s v="2782000"/>
    <x v="0"/>
    <n v="2782000"/>
    <m/>
    <m/>
  </r>
  <r>
    <d v="2026-05-04T00:00:00"/>
    <x v="26"/>
    <s v="1011581"/>
    <x v="6"/>
    <n v="1011581"/>
    <m/>
    <m/>
  </r>
  <r>
    <d v="2026-05-04T00:00:00"/>
    <x v="26"/>
    <s v="1025449"/>
    <x v="3"/>
    <n v="1025449"/>
    <m/>
    <m/>
  </r>
  <r>
    <d v="2026-05-04T00:00:00"/>
    <x v="26"/>
    <s v="1023603"/>
    <x v="4"/>
    <n v="1023603"/>
    <m/>
    <m/>
  </r>
  <r>
    <d v="2026-05-04T00:00:00"/>
    <x v="27"/>
    <s v="29285"/>
    <x v="4"/>
    <n v="29285"/>
    <m/>
    <m/>
  </r>
  <r>
    <d v="2026-05-04T00:00:00"/>
    <x v="8"/>
    <s v="1537891"/>
    <x v="3"/>
    <n v="1537891"/>
    <m/>
    <m/>
  </r>
  <r>
    <d v="2026-05-04T00:00:00"/>
    <x v="27"/>
    <s v="1880"/>
    <x v="7"/>
    <n v="1880"/>
    <m/>
    <m/>
  </r>
  <r>
    <d v="2026-05-04T00:00:00"/>
    <x v="26"/>
    <s v="1011581"/>
    <x v="3"/>
    <n v="1011581"/>
    <m/>
    <m/>
  </r>
  <r>
    <d v="2026-05-04T00:00:00"/>
    <x v="26"/>
    <s v="1023603"/>
    <x v="1"/>
    <n v="1023603"/>
    <m/>
    <m/>
  </r>
  <r>
    <d v="2026-05-04T00:00:00"/>
    <x v="27"/>
    <s v="1880"/>
    <x v="3"/>
    <n v="1880"/>
    <m/>
    <m/>
  </r>
  <r>
    <d v="2026-05-04T00:00:00"/>
    <x v="19"/>
    <s v="1353"/>
    <x v="7"/>
    <n v="1353"/>
    <m/>
    <m/>
  </r>
  <r>
    <d v="2026-05-04T00:00:00"/>
    <x v="28"/>
    <s v="1250"/>
    <x v="3"/>
    <n v="1250"/>
    <m/>
    <m/>
  </r>
  <r>
    <d v="2026-05-04T00:00:00"/>
    <x v="10"/>
    <s v="924000"/>
    <x v="3"/>
    <n v="924000"/>
    <m/>
    <m/>
  </r>
  <r>
    <d v="2026-05-04T00:00:00"/>
    <x v="10"/>
    <s v="10d 15h"/>
    <x v="2"/>
    <m/>
    <n v="11"/>
    <n v="255"/>
  </r>
  <r>
    <d v="2026-05-04T00:00:00"/>
    <x v="19"/>
    <s v="1353"/>
    <x v="3"/>
    <n v="1353"/>
    <m/>
    <m/>
  </r>
  <r>
    <d v="2026-05-04T00:00:00"/>
    <x v="28"/>
    <s v="1250"/>
    <x v="8"/>
    <n v="1250"/>
    <m/>
    <m/>
  </r>
  <r>
    <d v="2026-05-04T00:00:00"/>
    <x v="10"/>
    <s v="924000"/>
    <x v="4"/>
    <n v="924000"/>
    <m/>
    <m/>
  </r>
  <r>
    <d v="2026-05-04T00:00:00"/>
    <x v="16"/>
    <s v="9d 9h"/>
    <x v="2"/>
    <m/>
    <n v="9"/>
    <n v="225"/>
  </r>
  <r>
    <d v="2026-05-04T00:00:00"/>
    <x v="4"/>
    <s v="7d 21h"/>
    <x v="2"/>
    <m/>
    <n v="8"/>
    <n v="189"/>
  </r>
  <r>
    <d v="2026-05-04T00:00:00"/>
    <x v="29"/>
    <s v="3d 18h"/>
    <x v="2"/>
    <m/>
    <n v="4"/>
    <n v="90"/>
  </r>
  <r>
    <d v="2026-05-04T00:00:00"/>
    <x v="30"/>
    <s v="104d 16h"/>
    <x v="2"/>
    <m/>
    <n v="105"/>
    <n v="2512"/>
  </r>
  <r>
    <d v="2026-05-04T00:00:00"/>
    <x v="31"/>
    <s v="3744000"/>
    <x v="4"/>
    <n v="3744000"/>
    <m/>
    <m/>
  </r>
  <r>
    <d v="2026-05-04T00:00:00"/>
    <x v="32"/>
    <s v="89d 21h"/>
    <x v="2"/>
    <m/>
    <n v="90"/>
    <n v="2157"/>
  </r>
  <r>
    <d v="2026-05-04T00:00:00"/>
    <x v="19"/>
    <s v="1314"/>
    <x v="3"/>
    <n v="1314"/>
    <m/>
    <m/>
  </r>
  <r>
    <d v="2026-05-04T00:00:00"/>
    <x v="0"/>
    <s v="1313573"/>
    <x v="3"/>
    <n v="1313573"/>
    <m/>
    <m/>
  </r>
  <r>
    <d v="2026-05-04T00:00:00"/>
    <x v="0"/>
    <s v="1076737"/>
    <x v="3"/>
    <n v="1076737"/>
    <m/>
    <m/>
  </r>
  <r>
    <d v="2026-05-04T00:00:00"/>
    <x v="0"/>
    <s v="1076737"/>
    <x v="6"/>
    <n v="1076737"/>
    <m/>
    <m/>
  </r>
  <r>
    <d v="2026-05-04T00:00:00"/>
    <x v="0"/>
    <s v="2175346"/>
    <x v="4"/>
    <n v="2175346"/>
    <m/>
    <m/>
  </r>
  <r>
    <d v="2026-05-04T00:00:00"/>
    <x v="12"/>
    <s v="1890000"/>
    <x v="3"/>
    <n v="1890000"/>
    <m/>
    <m/>
  </r>
  <r>
    <d v="2026-05-04T00:00:00"/>
    <x v="30"/>
    <s v="26d 0h"/>
    <x v="2"/>
    <m/>
    <n v="26"/>
    <n v="624"/>
  </r>
  <r>
    <d v="2026-05-04T00:00:00"/>
    <x v="20"/>
    <s v="2912000"/>
    <x v="4"/>
    <n v="2912000"/>
    <m/>
    <m/>
  </r>
  <r>
    <d v="2026-05-04T00:00:00"/>
    <x v="0"/>
    <s v="2175346"/>
    <x v="0"/>
    <n v="2175346"/>
    <m/>
    <m/>
  </r>
  <r>
    <d v="2026-05-04T00:00:00"/>
    <x v="12"/>
    <s v="1890000"/>
    <x v="0"/>
    <n v="1890000"/>
    <m/>
    <m/>
  </r>
  <r>
    <d v="2026-05-04T00:00:00"/>
    <x v="12"/>
    <s v="100367"/>
    <x v="3"/>
    <n v="100367"/>
    <m/>
    <m/>
  </r>
  <r>
    <d v="2026-05-04T00:00:00"/>
    <x v="12"/>
    <s v="1d 2h"/>
    <x v="2"/>
    <m/>
    <n v="1"/>
    <n v="26"/>
  </r>
  <r>
    <d v="2026-05-04T00:00:00"/>
    <x v="12"/>
    <s v="1890000"/>
    <x v="5"/>
    <n v="1890000"/>
    <m/>
    <m/>
  </r>
  <r>
    <d v="2026-05-04T00:00:00"/>
    <x v="20"/>
    <s v="2912000"/>
    <x v="0"/>
    <n v="2912000"/>
    <m/>
    <m/>
  </r>
  <r>
    <d v="2026-05-04T00:00:00"/>
    <x v="12"/>
    <s v="100367"/>
    <x v="4"/>
    <n v="100367"/>
    <m/>
    <m/>
  </r>
  <r>
    <d v="2026-05-04T00:00:00"/>
    <x v="12"/>
    <s v="1890000"/>
    <x v="4"/>
    <n v="1890000"/>
    <m/>
    <m/>
  </r>
  <r>
    <d v="2026-05-04T00:00:00"/>
    <x v="20"/>
    <s v="2912000"/>
    <x v="6"/>
    <n v="2912000"/>
    <m/>
    <m/>
  </r>
  <r>
    <d v="2026-05-04T00:00:00"/>
    <x v="29"/>
    <s v="763"/>
    <x v="3"/>
    <n v="763"/>
    <m/>
    <m/>
  </r>
  <r>
    <d v="2026-05-04T00:00:00"/>
    <x v="20"/>
    <s v="1883409"/>
    <x v="3"/>
    <n v="1883409"/>
    <m/>
    <m/>
  </r>
  <r>
    <d v="2026-05-04T00:00:00"/>
    <x v="33"/>
    <s v="11d 21h"/>
    <x v="2"/>
    <m/>
    <n v="12"/>
    <n v="285"/>
  </r>
  <r>
    <d v="2026-05-04T00:00:00"/>
    <x v="8"/>
    <s v="3d 8h"/>
    <x v="2"/>
    <m/>
    <n v="3"/>
    <n v="80"/>
  </r>
  <r>
    <d v="2026-05-04T00:00:00"/>
    <x v="24"/>
    <s v="2304851"/>
    <x v="6"/>
    <n v="2304851"/>
    <m/>
    <m/>
  </r>
  <r>
    <d v="2026-05-04T00:00:00"/>
    <x v="24"/>
    <s v="1041285"/>
    <x v="4"/>
    <n v="1041285"/>
    <m/>
    <m/>
  </r>
  <r>
    <d v="2026-05-04T00:00:00"/>
    <x v="24"/>
    <s v="1041285"/>
    <x v="3"/>
    <n v="1041285"/>
    <m/>
    <m/>
  </r>
  <r>
    <d v="2026-05-04T00:00:00"/>
    <x v="24"/>
    <s v="2912000"/>
    <x v="4"/>
    <n v="2912000"/>
    <m/>
    <m/>
  </r>
  <r>
    <d v="2026-05-04T00:00:00"/>
    <x v="22"/>
    <s v="18d 15h"/>
    <x v="2"/>
    <m/>
    <n v="19"/>
    <n v="447"/>
  </r>
  <r>
    <d v="2026-05-04T00:00:00"/>
    <x v="34"/>
    <s v="755"/>
    <x v="4"/>
    <n v="755"/>
    <m/>
    <m/>
  </r>
  <r>
    <d v="2026-05-04T00:00:00"/>
    <x v="35"/>
    <s v="1098"/>
    <x v="4"/>
    <n v="1098"/>
    <m/>
    <m/>
  </r>
  <r>
    <d v="2026-05-04T00:00:00"/>
    <x v="23"/>
    <s v="543"/>
    <x v="4"/>
    <n v="543"/>
    <m/>
    <m/>
  </r>
  <r>
    <d v="2026-05-04T00:00:00"/>
    <x v="0"/>
    <s v="531"/>
    <x v="4"/>
    <n v="531"/>
    <m/>
    <m/>
  </r>
  <r>
    <d v="2026-05-04T00:00:00"/>
    <x v="29"/>
    <s v="1273"/>
    <x v="4"/>
    <n v="1273"/>
    <m/>
    <m/>
  </r>
  <r>
    <d v="2026-05-04T00:00:00"/>
    <x v="36"/>
    <s v="8d 9h"/>
    <x v="2"/>
    <m/>
    <n v="8"/>
    <n v="201"/>
  </r>
  <r>
    <d v="2026-05-04T00:00:00"/>
    <x v="20"/>
    <s v="3276000"/>
    <x v="3"/>
    <n v="3276000"/>
    <m/>
    <m/>
  </r>
  <r>
    <d v="2026-05-04T00:00:00"/>
    <x v="20"/>
    <s v="8736000"/>
    <x v="1"/>
    <n v="8736000"/>
    <m/>
    <m/>
  </r>
  <r>
    <d v="2026-05-04T00:00:00"/>
    <x v="20"/>
    <s v="5474748"/>
    <x v="6"/>
    <n v="5474748"/>
    <m/>
    <m/>
  </r>
  <r>
    <d v="2026-05-04T00:00:00"/>
    <x v="20"/>
    <s v="4987071"/>
    <x v="3"/>
    <n v="4987071"/>
    <m/>
    <m/>
  </r>
  <r>
    <d v="2026-05-04T00:00:00"/>
    <x v="29"/>
    <s v="19d 9h"/>
    <x v="2"/>
    <m/>
    <n v="19"/>
    <n v="465"/>
  </r>
  <r>
    <d v="2026-05-04T00:00:00"/>
    <x v="37"/>
    <s v="531"/>
    <x v="3"/>
    <n v="531"/>
    <m/>
    <m/>
  </r>
  <r>
    <d v="2026-05-04T00:00:00"/>
    <x v="6"/>
    <s v="7d 14h"/>
    <x v="2"/>
    <m/>
    <n v="8"/>
    <n v="182"/>
  </r>
  <r>
    <d v="2026-05-04T00:00:00"/>
    <x v="5"/>
    <s v="17960"/>
    <x v="3"/>
    <n v="17960"/>
    <m/>
    <m/>
  </r>
  <r>
    <d v="2026-05-04T00:00:00"/>
    <x v="38"/>
    <s v="1293"/>
    <x v="3"/>
    <n v="1293"/>
    <m/>
    <m/>
  </r>
  <r>
    <d v="2026-05-04T00:00:00"/>
    <x v="38"/>
    <s v="2250000"/>
    <x v="3"/>
    <n v="2250000"/>
    <m/>
    <m/>
  </r>
  <r>
    <d v="2026-05-04T00:00:00"/>
    <x v="13"/>
    <s v="22144000"/>
    <x v="3"/>
    <n v="22144000"/>
    <m/>
    <m/>
  </r>
  <r>
    <d v="2026-05-04T00:00:00"/>
    <x v="13"/>
    <s v="2249036"/>
    <x v="4"/>
    <n v="2249036"/>
    <m/>
    <m/>
  </r>
  <r>
    <d v="2026-05-04T00:00:00"/>
    <x v="13"/>
    <s v="4952200"/>
    <x v="6"/>
    <n v="4952200"/>
    <m/>
    <m/>
  </r>
  <r>
    <d v="2026-05-04T00:00:00"/>
    <x v="13"/>
    <s v="4981467"/>
    <x v="4"/>
    <n v="4981467"/>
    <m/>
    <m/>
  </r>
  <r>
    <d v="2026-05-04T00:00:00"/>
    <x v="13"/>
    <s v="5045290"/>
    <x v="3"/>
    <n v="5045290"/>
    <m/>
    <m/>
  </r>
  <r>
    <d v="2026-05-04T00:00:00"/>
    <x v="0"/>
    <s v="2149046"/>
    <x v="3"/>
    <n v="2149046"/>
    <m/>
    <m/>
  </r>
  <r>
    <d v="2026-05-04T00:00:00"/>
    <x v="38"/>
    <s v="1293"/>
    <x v="7"/>
    <n v="1293"/>
    <m/>
    <m/>
  </r>
  <r>
    <d v="2026-05-04T00:00:00"/>
    <x v="13"/>
    <s v="22144000"/>
    <x v="4"/>
    <n v="22144000"/>
    <m/>
    <m/>
  </r>
  <r>
    <d v="2026-05-04T00:00:00"/>
    <x v="13"/>
    <s v="4952200"/>
    <x v="3"/>
    <n v="4952200"/>
    <m/>
    <m/>
  </r>
  <r>
    <d v="2026-05-04T00:00:00"/>
    <x v="13"/>
    <s v="4981467"/>
    <x v="1"/>
    <n v="4981467"/>
    <m/>
    <m/>
  </r>
  <r>
    <d v="2026-05-04T00:00:00"/>
    <x v="0"/>
    <s v="2149046"/>
    <x v="4"/>
    <n v="2149046"/>
    <m/>
    <m/>
  </r>
  <r>
    <d v="2026-05-04T00:00:00"/>
    <x v="39"/>
    <s v="3000"/>
    <x v="3"/>
    <n v="3000"/>
    <m/>
    <m/>
  </r>
  <r>
    <d v="2026-05-04T00:00:00"/>
    <x v="40"/>
    <s v="270"/>
    <x v="4"/>
    <n v="270"/>
    <m/>
    <m/>
  </r>
  <r>
    <d v="2026-05-04T00:00:00"/>
    <x v="39"/>
    <s v="3000"/>
    <x v="7"/>
    <n v="3000"/>
    <m/>
    <m/>
  </r>
  <r>
    <d v="2026-05-04T00:00:00"/>
    <x v="19"/>
    <s v="250000"/>
    <x v="4"/>
    <n v="250000"/>
    <m/>
    <m/>
  </r>
  <r>
    <d v="2026-05-04T00:00:00"/>
    <x v="41"/>
    <s v="254"/>
    <x v="4"/>
    <n v="254"/>
    <m/>
    <m/>
  </r>
  <r>
    <d v="2026-05-04T00:00:00"/>
    <x v="28"/>
    <s v="5230"/>
    <x v="4"/>
    <n v="5230"/>
    <m/>
    <m/>
  </r>
  <r>
    <d v="2026-05-04T00:00:00"/>
    <x v="34"/>
    <s v="216"/>
    <x v="4"/>
    <n v="216"/>
    <m/>
    <m/>
  </r>
  <r>
    <d v="2026-05-04T00:00:00"/>
    <x v="27"/>
    <s v="1399"/>
    <x v="4"/>
    <n v="1399"/>
    <m/>
    <m/>
  </r>
  <r>
    <d v="2026-05-04T00:00:00"/>
    <x v="29"/>
    <s v="1001146"/>
    <x v="4"/>
    <n v="1001146"/>
    <m/>
    <m/>
  </r>
  <r>
    <d v="2026-05-04T00:00:00"/>
    <x v="11"/>
    <s v="155"/>
    <x v="4"/>
    <n v="155"/>
    <m/>
    <m/>
  </r>
  <r>
    <d v="2026-05-04T00:00:00"/>
    <x v="0"/>
    <s v="1938527"/>
    <x v="1"/>
    <n v="1938527"/>
    <m/>
    <m/>
  </r>
  <r>
    <d v="2026-05-04T00:00:00"/>
    <x v="0"/>
    <s v="879393"/>
    <x v="4"/>
    <n v="879393"/>
    <m/>
    <m/>
  </r>
  <r>
    <d v="2026-05-04T00:00:00"/>
    <x v="24"/>
    <s v="6055"/>
    <x v="4"/>
    <n v="6055"/>
    <m/>
    <m/>
  </r>
  <r>
    <d v="2026-05-04T00:00:00"/>
    <x v="23"/>
    <s v="782"/>
    <x v="4"/>
    <n v="782"/>
    <m/>
    <m/>
  </r>
  <r>
    <d v="2026-05-04T00:00:00"/>
    <x v="5"/>
    <s v="5243"/>
    <x v="4"/>
    <n v="5243"/>
    <m/>
    <m/>
  </r>
  <r>
    <d v="2026-05-04T00:00:00"/>
    <x v="0"/>
    <s v="1938527"/>
    <x v="4"/>
    <n v="1938527"/>
    <m/>
    <m/>
  </r>
  <r>
    <d v="2026-05-04T00:00:00"/>
    <x v="20"/>
    <s v="212"/>
    <x v="4"/>
    <n v="212"/>
    <m/>
    <m/>
  </r>
  <r>
    <d v="2026-05-04T00:00:00"/>
    <x v="12"/>
    <s v="523"/>
    <x v="4"/>
    <n v="523"/>
    <m/>
    <m/>
  </r>
  <r>
    <d v="2026-05-04T00:00:00"/>
    <x v="30"/>
    <s v="278"/>
    <x v="3"/>
    <n v="278"/>
    <m/>
    <m/>
  </r>
  <r>
    <d v="2026-05-04T00:00:00"/>
    <x v="30"/>
    <s v="850"/>
    <x v="4"/>
    <n v="850"/>
    <m/>
    <m/>
  </r>
  <r>
    <d v="2026-05-04T00:00:00"/>
    <x v="42"/>
    <s v="1153"/>
    <x v="4"/>
    <n v="1153"/>
    <m/>
    <m/>
  </r>
  <r>
    <d v="2026-05-04T00:00:00"/>
    <x v="42"/>
    <s v="917"/>
    <x v="3"/>
    <n v="917"/>
    <m/>
    <m/>
  </r>
  <r>
    <d v="2026-05-04T00:00:00"/>
    <x v="27"/>
    <s v="9179"/>
    <x v="4"/>
    <n v="9179"/>
    <m/>
    <m/>
  </r>
  <r>
    <d v="2026-05-04T00:00:00"/>
    <x v="0"/>
    <s v="748"/>
    <x v="4"/>
    <n v="748"/>
    <m/>
    <m/>
  </r>
  <r>
    <d v="2026-05-04T00:00:00"/>
    <x v="43"/>
    <s v="28223"/>
    <x v="4"/>
    <n v="28223"/>
    <m/>
    <m/>
  </r>
  <r>
    <d v="2026-05-04T00:00:00"/>
    <x v="44"/>
    <s v="12487"/>
    <x v="4"/>
    <n v="12487"/>
    <m/>
    <m/>
  </r>
  <r>
    <d v="2026-05-04T00:00:00"/>
    <x v="13"/>
    <s v="17429"/>
    <x v="4"/>
    <n v="17429"/>
    <m/>
    <m/>
  </r>
  <r>
    <d v="2026-05-04T00:00:00"/>
    <x v="5"/>
    <s v="19841"/>
    <x v="4"/>
    <n v="19841"/>
    <m/>
    <m/>
  </r>
  <r>
    <d v="2026-05-04T00:00:00"/>
    <x v="24"/>
    <s v="11651"/>
    <x v="4"/>
    <n v="11651"/>
    <m/>
    <m/>
  </r>
  <r>
    <d v="2026-05-04T00:00:00"/>
    <x v="43"/>
    <s v="27828"/>
    <x v="4"/>
    <n v="27828"/>
    <m/>
    <m/>
  </r>
  <r>
    <d v="2026-05-04T00:00:00"/>
    <x v="13"/>
    <s v="13147"/>
    <x v="4"/>
    <n v="13147"/>
    <m/>
    <m/>
  </r>
  <r>
    <d v="2026-05-04T00:00:00"/>
    <x v="0"/>
    <s v="274"/>
    <x v="4"/>
    <n v="274"/>
    <m/>
    <m/>
  </r>
  <r>
    <d v="2026-05-04T00:00:00"/>
    <x v="6"/>
    <s v="228"/>
    <x v="4"/>
    <n v="228"/>
    <m/>
    <m/>
  </r>
  <r>
    <d v="2026-05-04T00:00:00"/>
    <x v="23"/>
    <s v="357"/>
    <x v="4"/>
    <n v="357"/>
    <m/>
    <m/>
  </r>
  <r>
    <d v="2026-05-04T00:00:00"/>
    <x v="13"/>
    <s v="3764"/>
    <x v="4"/>
    <n v="3764"/>
    <m/>
    <m/>
  </r>
  <r>
    <d v="2026-05-04T00:00:00"/>
    <x v="25"/>
    <s v="313"/>
    <x v="4"/>
    <n v="313"/>
    <m/>
    <m/>
  </r>
  <r>
    <d v="2026-05-04T00:00:00"/>
    <x v="34"/>
    <s v="159"/>
    <x v="4"/>
    <n v="159"/>
    <m/>
    <m/>
  </r>
  <r>
    <d v="2026-05-04T00:00:00"/>
    <x v="0"/>
    <s v="434"/>
    <x v="4"/>
    <n v="434"/>
    <m/>
    <m/>
  </r>
  <r>
    <d v="2026-05-04T00:00:00"/>
    <x v="24"/>
    <s v="7768"/>
    <x v="4"/>
    <n v="7768"/>
    <m/>
    <m/>
  </r>
  <r>
    <d v="2026-05-04T00:00:00"/>
    <x v="42"/>
    <s v="1715"/>
    <x v="4"/>
    <n v="1715"/>
    <m/>
    <m/>
  </r>
  <r>
    <d v="2026-05-04T00:00:00"/>
    <x v="45"/>
    <s v="1095"/>
    <x v="3"/>
    <n v="1095"/>
    <m/>
    <m/>
  </r>
  <r>
    <d v="2026-05-04T00:00:00"/>
    <x v="4"/>
    <s v="18400000"/>
    <x v="1"/>
    <n v="18400000"/>
    <m/>
    <m/>
  </r>
  <r>
    <d v="2026-05-04T00:00:00"/>
    <x v="46"/>
    <s v="483"/>
    <x v="4"/>
    <n v="483"/>
    <m/>
    <m/>
  </r>
  <r>
    <d v="2026-05-04T00:00:00"/>
    <x v="29"/>
    <s v="285"/>
    <x v="4"/>
    <n v="285"/>
    <m/>
    <m/>
  </r>
  <r>
    <d v="2026-05-04T00:00:00"/>
    <x v="47"/>
    <s v="979"/>
    <x v="4"/>
    <n v="979"/>
    <m/>
    <m/>
  </r>
  <r>
    <d v="2026-05-04T00:00:00"/>
    <x v="38"/>
    <s v="263"/>
    <x v="4"/>
    <n v="263"/>
    <m/>
    <m/>
  </r>
  <r>
    <d v="2026-05-04T00:00:00"/>
    <x v="19"/>
    <s v="221"/>
    <x v="4"/>
    <n v="221"/>
    <m/>
    <m/>
  </r>
  <r>
    <d v="2026-05-04T00:00:00"/>
    <x v="0"/>
    <s v="434"/>
    <x v="3"/>
    <n v="434"/>
    <m/>
    <m/>
  </r>
  <r>
    <d v="2026-05-04T00:00:00"/>
    <x v="45"/>
    <s v="1095"/>
    <x v="4"/>
    <n v="1095"/>
    <m/>
    <m/>
  </r>
  <r>
    <d v="2026-05-04T00:00:00"/>
    <x v="29"/>
    <s v="724"/>
    <x v="4"/>
    <n v="724"/>
    <m/>
    <m/>
  </r>
  <r>
    <d v="2026-05-04T00:00:00"/>
    <x v="24"/>
    <s v="7814"/>
    <x v="4"/>
    <n v="7814"/>
    <m/>
    <m/>
  </r>
  <r>
    <d v="2026-05-04T00:00:00"/>
    <x v="13"/>
    <s v="2310"/>
    <x v="4"/>
    <n v="2310"/>
    <m/>
    <m/>
  </r>
  <r>
    <d v="2026-05-04T00:00:00"/>
    <x v="42"/>
    <s v="2420"/>
    <x v="4"/>
    <n v="2420"/>
    <m/>
    <m/>
  </r>
  <r>
    <d v="2026-05-04T00:00:00"/>
    <x v="11"/>
    <s v="663"/>
    <x v="4"/>
    <n v="663"/>
    <m/>
    <m/>
  </r>
  <r>
    <d v="2026-05-04T00:00:00"/>
    <x v="25"/>
    <s v="166"/>
    <x v="4"/>
    <n v="166"/>
    <m/>
    <m/>
  </r>
  <r>
    <d v="2026-05-04T00:00:00"/>
    <x v="20"/>
    <s v="1855"/>
    <x v="4"/>
    <n v="1855"/>
    <m/>
    <m/>
  </r>
  <r>
    <d v="2026-05-04T00:00:00"/>
    <x v="45"/>
    <s v="179"/>
    <x v="4"/>
    <n v="179"/>
    <m/>
    <m/>
  </r>
  <r>
    <d v="2026-05-04T00:00:00"/>
    <x v="12"/>
    <s v="201943"/>
    <x v="4"/>
    <n v="201943"/>
    <m/>
    <m/>
  </r>
  <r>
    <d v="2026-05-04T00:00:00"/>
    <x v="19"/>
    <s v="496"/>
    <x v="4"/>
    <n v="496"/>
    <m/>
    <m/>
  </r>
  <r>
    <d v="2026-05-04T00:00:00"/>
    <x v="25"/>
    <s v="851"/>
    <x v="4"/>
    <n v="851"/>
    <m/>
    <m/>
  </r>
  <r>
    <d v="2026-05-04T00:00:00"/>
    <x v="45"/>
    <s v="179"/>
    <x v="3"/>
    <n v="179"/>
    <m/>
    <m/>
  </r>
  <r>
    <d v="2026-05-04T00:00:00"/>
    <x v="19"/>
    <s v="1834"/>
    <x v="4"/>
    <n v="1834"/>
    <m/>
    <m/>
  </r>
  <r>
    <d v="2026-05-04T00:00:00"/>
    <x v="13"/>
    <s v="14849"/>
    <x v="4"/>
    <n v="14849"/>
    <m/>
    <m/>
  </r>
  <r>
    <d v="2026-05-04T00:00:00"/>
    <x v="11"/>
    <s v="822"/>
    <x v="4"/>
    <n v="822"/>
    <m/>
    <m/>
  </r>
  <r>
    <d v="2026-05-04T00:00:00"/>
    <x v="4"/>
    <s v="6375"/>
    <x v="4"/>
    <n v="6375"/>
    <m/>
    <m/>
  </r>
  <r>
    <d v="2026-05-04T00:00:00"/>
    <x v="42"/>
    <s v="4654"/>
    <x v="4"/>
    <n v="4654"/>
    <m/>
    <m/>
  </r>
  <r>
    <d v="2026-05-04T00:00:00"/>
    <x v="48"/>
    <s v="253"/>
    <x v="4"/>
    <n v="253"/>
    <m/>
    <m/>
  </r>
  <r>
    <d v="2026-05-04T00:00:00"/>
    <x v="28"/>
    <s v="4019"/>
    <x v="4"/>
    <n v="4019"/>
    <m/>
    <m/>
  </r>
  <r>
    <d v="2026-05-04T00:00:00"/>
    <x v="49"/>
    <s v="3049979"/>
    <x v="4"/>
    <n v="3049979"/>
    <m/>
    <m/>
  </r>
  <r>
    <d v="2026-05-04T00:00:00"/>
    <x v="49"/>
    <s v="3049979"/>
    <x v="3"/>
    <n v="3049979"/>
    <m/>
    <m/>
  </r>
  <r>
    <d v="2026-05-04T00:00:00"/>
    <x v="25"/>
    <s v="200"/>
    <x v="5"/>
    <n v="200"/>
    <m/>
    <m/>
  </r>
  <r>
    <d v="2026-05-04T00:00:00"/>
    <x v="4"/>
    <s v="7409978"/>
    <x v="6"/>
    <n v="7409978"/>
    <m/>
    <m/>
  </r>
  <r>
    <d v="2026-05-04T00:00:00"/>
    <x v="4"/>
    <s v="6957478"/>
    <x v="3"/>
    <n v="6957478"/>
    <m/>
    <m/>
  </r>
  <r>
    <d v="2026-05-04T00:00:00"/>
    <x v="4"/>
    <s v="7811465"/>
    <x v="4"/>
    <n v="7811465"/>
    <m/>
    <m/>
  </r>
  <r>
    <d v="2026-05-04T00:00:00"/>
    <x v="4"/>
    <s v="38800000"/>
    <x v="0"/>
    <n v="38800000"/>
    <m/>
    <m/>
  </r>
  <r>
    <d v="2026-05-04T00:00:00"/>
    <x v="4"/>
    <s v="7811465"/>
    <x v="3"/>
    <n v="7811465"/>
    <m/>
    <m/>
  </r>
  <r>
    <d v="2026-05-04T00:00:00"/>
    <x v="4"/>
    <s v="21d 16h"/>
    <x v="2"/>
    <m/>
    <n v="22"/>
    <n v="520"/>
  </r>
  <r>
    <d v="2026-05-04T00:00:00"/>
    <x v="6"/>
    <s v="5434000"/>
    <x v="3"/>
    <n v="5434000"/>
    <m/>
    <m/>
  </r>
  <r>
    <d v="2026-05-04T00:00:00"/>
    <x v="50"/>
    <s v="250000"/>
    <x v="4"/>
    <n v="250000"/>
    <m/>
    <m/>
  </r>
  <r>
    <d v="2026-05-04T00:00:00"/>
    <x v="46"/>
    <s v="2769000"/>
    <x v="4"/>
    <n v="2769000"/>
    <m/>
    <m/>
  </r>
  <r>
    <d v="2026-05-04T00:00:00"/>
    <x v="4"/>
    <s v="7409978"/>
    <x v="3"/>
    <n v="7409978"/>
    <m/>
    <m/>
  </r>
  <r>
    <d v="2026-05-04T00:00:00"/>
    <x v="4"/>
    <s v="38800000"/>
    <x v="4"/>
    <n v="38800000"/>
    <m/>
    <m/>
  </r>
  <r>
    <d v="2026-05-04T00:00:00"/>
    <x v="6"/>
    <s v="5434000"/>
    <x v="4"/>
    <n v="5434000"/>
    <m/>
    <m/>
  </r>
  <r>
    <d v="2026-05-04T00:00:00"/>
    <x v="6"/>
    <s v="5d 14h"/>
    <x v="2"/>
    <m/>
    <n v="6"/>
    <n v="134"/>
  </r>
  <r>
    <d v="2026-05-04T00:00:00"/>
    <x v="33"/>
    <s v="50d 5h"/>
    <x v="2"/>
    <m/>
    <n v="50"/>
    <n v="1205"/>
  </r>
  <r>
    <d v="2026-05-04T00:00:00"/>
    <x v="8"/>
    <s v="2d 6h"/>
    <x v="2"/>
    <m/>
    <n v="2"/>
    <n v="54"/>
  </r>
  <r>
    <d v="2026-05-04T00:00:00"/>
    <x v="5"/>
    <s v="1d 23h"/>
    <x v="2"/>
    <m/>
    <n v="2"/>
    <n v="47"/>
  </r>
  <r>
    <d v="2026-05-04T00:00:00"/>
    <x v="47"/>
    <s v="1d 22h"/>
    <x v="2"/>
    <m/>
    <n v="2"/>
    <n v="46"/>
  </r>
  <r>
    <d v="2026-05-04T00:00:00"/>
    <x v="34"/>
    <s v="712"/>
    <x v="4"/>
    <n v="712"/>
    <m/>
    <m/>
  </r>
  <r>
    <d v="2026-05-04T00:00:00"/>
    <x v="11"/>
    <s v="5852000"/>
    <x v="1"/>
    <n v="5852000"/>
    <m/>
    <m/>
  </r>
  <r>
    <d v="2026-05-04T00:00:00"/>
    <x v="10"/>
    <s v="844000"/>
    <x v="4"/>
    <n v="844000"/>
    <m/>
    <m/>
  </r>
  <r>
    <d v="2026-05-04T00:00:00"/>
    <x v="10"/>
    <s v="844000"/>
    <x v="0"/>
    <n v="844000"/>
    <m/>
    <m/>
  </r>
  <r>
    <d v="2026-05-04T00:00:00"/>
    <x v="49"/>
    <s v="5868000"/>
    <x v="4"/>
    <n v="5868000"/>
    <m/>
    <m/>
  </r>
  <r>
    <d v="2026-05-04T00:00:00"/>
    <x v="30"/>
    <s v="250000"/>
    <x v="4"/>
    <n v="250000"/>
    <m/>
    <m/>
  </r>
  <r>
    <d v="2026-05-04T00:00:00"/>
    <x v="12"/>
    <s v="55d 9h"/>
    <x v="2"/>
    <m/>
    <n v="55"/>
    <n v="1329"/>
  </r>
  <r>
    <d v="2026-05-04T00:00:00"/>
    <x v="4"/>
    <s v="250000"/>
    <x v="4"/>
    <n v="250000"/>
    <m/>
    <m/>
  </r>
  <r>
    <d v="2026-05-04T00:00:00"/>
    <x v="18"/>
    <s v="250000"/>
    <x v="4"/>
    <n v="250000"/>
    <m/>
    <m/>
  </r>
  <r>
    <d v="2026-05-04T00:00:00"/>
    <x v="19"/>
    <s v="412"/>
    <x v="3"/>
    <n v="412"/>
    <m/>
    <m/>
  </r>
  <r>
    <d v="2026-05-04T00:00:00"/>
    <x v="24"/>
    <s v="250000"/>
    <x v="4"/>
    <n v="250000"/>
    <m/>
    <m/>
  </r>
  <r>
    <d v="2026-05-04T00:00:00"/>
    <x v="20"/>
    <s v="5824000"/>
    <x v="3"/>
    <n v="5824000"/>
    <m/>
    <m/>
  </r>
  <r>
    <d v="2026-05-04T00:00:00"/>
    <x v="49"/>
    <s v="5868000"/>
    <x v="0"/>
    <n v="5868000"/>
    <m/>
    <m/>
  </r>
  <r>
    <d v="2026-05-04T00:00:00"/>
    <x v="51"/>
    <s v="250000"/>
    <x v="4"/>
    <n v="250000"/>
    <m/>
    <m/>
  </r>
  <r>
    <d v="2026-05-04T00:00:00"/>
    <x v="0"/>
    <s v="1780659"/>
    <x v="3"/>
    <n v="1780659"/>
    <m/>
    <m/>
  </r>
  <r>
    <d v="2026-05-04T00:00:00"/>
    <x v="0"/>
    <s v="1039956"/>
    <x v="6"/>
    <n v="1039956"/>
    <m/>
    <m/>
  </r>
  <r>
    <d v="2026-05-04T00:00:00"/>
    <x v="0"/>
    <s v="2195092"/>
    <x v="1"/>
    <n v="2195092"/>
    <m/>
    <m/>
  </r>
  <r>
    <d v="2026-05-04T00:00:00"/>
    <x v="43"/>
    <s v="250000"/>
    <x v="4"/>
    <n v="250000"/>
    <m/>
    <m/>
  </r>
  <r>
    <d v="2026-05-04T00:00:00"/>
    <x v="0"/>
    <s v="2195092"/>
    <x v="4"/>
    <n v="2195092"/>
    <m/>
    <m/>
  </r>
  <r>
    <d v="2026-05-04T00:00:00"/>
    <x v="39"/>
    <s v="250000"/>
    <x v="4"/>
    <n v="250000"/>
    <m/>
    <m/>
  </r>
  <r>
    <d v="2026-05-04T00:00:00"/>
    <x v="6"/>
    <s v="725779"/>
    <x v="6"/>
    <n v="725779"/>
    <m/>
    <m/>
  </r>
  <r>
    <d v="2026-05-04T00:00:00"/>
    <x v="22"/>
    <s v="250000"/>
    <x v="4"/>
    <n v="250000"/>
    <m/>
    <m/>
  </r>
  <r>
    <d v="2026-05-04T00:00:00"/>
    <x v="52"/>
    <s v="117d 3h"/>
    <x v="2"/>
    <m/>
    <n v="117"/>
    <n v="2811"/>
  </r>
  <r>
    <d v="2026-05-04T00:00:00"/>
    <x v="47"/>
    <s v="250000"/>
    <x v="4"/>
    <n v="250000"/>
    <m/>
    <m/>
  </r>
  <r>
    <d v="2026-05-04T00:00:00"/>
    <x v="0"/>
    <s v="2195092"/>
    <x v="3"/>
    <n v="2195092"/>
    <m/>
    <m/>
  </r>
  <r>
    <d v="2026-05-04T00:00:00"/>
    <x v="25"/>
    <s v="210"/>
    <x v="1"/>
    <n v="210"/>
    <m/>
    <m/>
  </r>
  <r>
    <d v="2026-05-04T00:00:00"/>
    <x v="25"/>
    <s v="238162"/>
    <x v="3"/>
    <n v="238162"/>
    <m/>
    <m/>
  </r>
  <r>
    <d v="2026-05-04T00:00:00"/>
    <x v="53"/>
    <s v="150546"/>
    <x v="4"/>
    <n v="150546"/>
    <m/>
    <m/>
  </r>
  <r>
    <d v="2026-05-04T00:00:00"/>
    <x v="25"/>
    <s v="238162"/>
    <x v="4"/>
    <n v="238162"/>
    <m/>
    <m/>
  </r>
  <r>
    <d v="2026-05-04T00:00:00"/>
    <x v="25"/>
    <s v="250000"/>
    <x v="4"/>
    <n v="250000"/>
    <m/>
    <m/>
  </r>
  <r>
    <d v="2026-05-04T00:00:00"/>
    <x v="54"/>
    <s v="250000"/>
    <x v="4"/>
    <n v="250000"/>
    <m/>
    <m/>
  </r>
  <r>
    <d v="2026-05-04T00:00:00"/>
    <x v="28"/>
    <s v="250000"/>
    <x v="4"/>
    <n v="250000"/>
    <m/>
    <m/>
  </r>
  <r>
    <d v="2026-05-04T00:00:00"/>
    <x v="48"/>
    <s v="198911"/>
    <x v="6"/>
    <n v="198911"/>
    <m/>
    <m/>
  </r>
  <r>
    <d v="2026-05-04T00:00:00"/>
    <x v="48"/>
    <s v="264926"/>
    <x v="4"/>
    <n v="264926"/>
    <m/>
    <m/>
  </r>
  <r>
    <d v="2026-05-04T00:00:00"/>
    <x v="48"/>
    <s v="377200"/>
    <x v="3"/>
    <n v="377200"/>
    <m/>
    <m/>
  </r>
  <r>
    <d v="2026-05-04T00:00:00"/>
    <x v="53"/>
    <s v="150546"/>
    <x v="0"/>
    <n v="150546"/>
    <m/>
    <m/>
  </r>
  <r>
    <d v="2026-05-04T00:00:00"/>
    <x v="44"/>
    <s v="250000"/>
    <x v="4"/>
    <n v="250000"/>
    <m/>
    <m/>
  </r>
  <r>
    <d v="2026-05-04T00:00:00"/>
    <x v="26"/>
    <s v="1595579"/>
    <x v="6"/>
    <n v="1595579"/>
    <m/>
    <m/>
  </r>
  <r>
    <d v="2026-05-04T00:00:00"/>
    <x v="26"/>
    <s v="1881000"/>
    <x v="4"/>
    <n v="1881000"/>
    <m/>
    <m/>
  </r>
  <r>
    <d v="2026-05-04T00:00:00"/>
    <x v="45"/>
    <s v="250000"/>
    <x v="4"/>
    <n v="250000"/>
    <m/>
    <m/>
  </r>
  <r>
    <d v="2026-05-04T00:00:00"/>
    <x v="26"/>
    <s v="1523651"/>
    <x v="3"/>
    <n v="1523651"/>
    <m/>
    <m/>
  </r>
  <r>
    <d v="2026-05-04T00:00:00"/>
    <x v="26"/>
    <s v="1881000"/>
    <x v="1"/>
    <n v="1881000"/>
    <m/>
    <m/>
  </r>
  <r>
    <d v="2026-05-04T00:00:00"/>
    <x v="11"/>
    <s v="1860268"/>
    <x v="6"/>
    <n v="1860268"/>
    <m/>
    <m/>
  </r>
  <r>
    <d v="2026-05-04T00:00:00"/>
    <x v="46"/>
    <s v="1000000"/>
    <x v="4"/>
    <n v="1000000"/>
    <m/>
    <m/>
  </r>
  <r>
    <d v="2026-05-04T00:00:00"/>
    <x v="36"/>
    <s v="76d 9h"/>
    <x v="2"/>
    <m/>
    <n v="76"/>
    <n v="1833"/>
  </r>
  <r>
    <d v="2026-05-04T00:00:00"/>
    <x v="20"/>
    <s v="2912000"/>
    <x v="4"/>
    <n v="2912000"/>
    <m/>
    <m/>
  </r>
  <r>
    <d v="2026-05-04T00:00:00"/>
    <x v="0"/>
    <s v="3679692"/>
    <x v="1"/>
    <n v="3679692"/>
    <m/>
    <m/>
  </r>
  <r>
    <d v="2026-05-04T00:00:00"/>
    <x v="0"/>
    <s v="1491188"/>
    <x v="6"/>
    <n v="1491188"/>
    <m/>
    <m/>
  </r>
  <r>
    <d v="2026-05-04T00:00:00"/>
    <x v="42"/>
    <s v="2389204"/>
    <x v="4"/>
    <n v="2389204"/>
    <m/>
    <m/>
  </r>
  <r>
    <d v="2026-05-04T00:00:00"/>
    <x v="55"/>
    <s v="22d 0h"/>
    <x v="2"/>
    <m/>
    <n v="22"/>
    <n v="528"/>
  </r>
  <r>
    <d v="2026-05-04T00:00:00"/>
    <x v="42"/>
    <s v="301216"/>
    <x v="3"/>
    <n v="301216"/>
    <m/>
    <m/>
  </r>
  <r>
    <d v="2026-05-04T00:00:00"/>
    <x v="0"/>
    <s v="3679692"/>
    <x v="4"/>
    <n v="3679692"/>
    <m/>
    <m/>
  </r>
  <r>
    <d v="2026-05-04T00:00:00"/>
    <x v="42"/>
    <s v="1021025"/>
    <x v="3"/>
    <n v="1021025"/>
    <m/>
    <m/>
  </r>
  <r>
    <d v="2026-05-04T00:00:00"/>
    <x v="42"/>
    <s v="512649"/>
    <x v="1"/>
    <n v="512649"/>
    <m/>
    <m/>
  </r>
  <r>
    <d v="2026-05-04T00:00:00"/>
    <x v="54"/>
    <s v="5d 21h"/>
    <x v="2"/>
    <m/>
    <n v="6"/>
    <n v="141"/>
  </r>
  <r>
    <d v="2026-05-04T00:00:00"/>
    <x v="13"/>
    <s v="2243080"/>
    <x v="3"/>
    <n v="2243080"/>
    <m/>
    <m/>
  </r>
  <r>
    <d v="2026-05-04T00:00:00"/>
    <x v="13"/>
    <s v="1384343"/>
    <x v="3"/>
    <n v="1384343"/>
    <m/>
    <m/>
  </r>
  <r>
    <d v="2026-05-04T00:00:00"/>
    <x v="56"/>
    <s v="14911565"/>
    <x v="3"/>
    <n v="14911565"/>
    <m/>
    <m/>
  </r>
  <r>
    <d v="2026-05-04T00:00:00"/>
    <x v="42"/>
    <s v="2389204"/>
    <x v="0"/>
    <n v="2389204"/>
    <m/>
    <m/>
  </r>
  <r>
    <d v="2026-05-04T00:00:00"/>
    <x v="42"/>
    <s v="1021025"/>
    <x v="6"/>
    <n v="1021025"/>
    <m/>
    <m/>
  </r>
  <r>
    <d v="2026-05-04T00:00:00"/>
    <x v="42"/>
    <s v="512649"/>
    <x v="4"/>
    <n v="512649"/>
    <m/>
    <m/>
  </r>
  <r>
    <d v="2026-05-04T00:00:00"/>
    <x v="13"/>
    <s v="2243080"/>
    <x v="4"/>
    <n v="2243080"/>
    <m/>
    <m/>
  </r>
  <r>
    <d v="2026-05-04T00:00:00"/>
    <x v="8"/>
    <s v="34d 16h"/>
    <x v="2"/>
    <m/>
    <n v="35"/>
    <n v="832"/>
  </r>
  <r>
    <d v="2026-05-04T00:00:00"/>
    <x v="13"/>
    <s v="303617"/>
    <x v="4"/>
    <n v="303617"/>
    <m/>
    <m/>
  </r>
  <r>
    <d v="2026-05-04T00:00:00"/>
    <x v="13"/>
    <s v="981214"/>
    <x v="3"/>
    <n v="981214"/>
    <m/>
    <m/>
  </r>
  <r>
    <d v="2026-05-04T00:00:00"/>
    <x v="13"/>
    <s v="404114"/>
    <x v="6"/>
    <n v="404114"/>
    <m/>
    <m/>
  </r>
  <r>
    <d v="2026-05-04T00:00:00"/>
    <x v="13"/>
    <s v="1384343"/>
    <x v="4"/>
    <n v="1384343"/>
    <m/>
    <m/>
  </r>
  <r>
    <d v="2026-05-04T00:00:00"/>
    <x v="13"/>
    <s v="24d 0h"/>
    <x v="2"/>
    <m/>
    <n v="24"/>
    <n v="576"/>
  </r>
  <r>
    <d v="2026-05-04T00:00:00"/>
    <x v="5"/>
    <s v="250000"/>
    <x v="4"/>
    <n v="250000"/>
    <m/>
    <m/>
  </r>
  <r>
    <d v="2026-05-04T00:00:00"/>
    <x v="41"/>
    <s v="250000"/>
    <x v="4"/>
    <n v="250000"/>
    <m/>
    <m/>
  </r>
  <r>
    <d v="2026-05-04T00:00:00"/>
    <x v="12"/>
    <s v="38d 8h"/>
    <x v="2"/>
    <m/>
    <n v="38"/>
    <n v="920"/>
  </r>
  <r>
    <d v="2026-05-04T00:00:00"/>
    <x v="42"/>
    <s v="2026002"/>
    <x v="3"/>
    <n v="2026002"/>
    <m/>
    <m/>
  </r>
  <r>
    <d v="2026-05-04T00:00:00"/>
    <x v="13"/>
    <s v="303617"/>
    <x v="1"/>
    <n v="303617"/>
    <m/>
    <m/>
  </r>
  <r>
    <d v="2026-05-04T00:00:00"/>
    <x v="27"/>
    <s v="250000"/>
    <x v="4"/>
    <n v="250000"/>
    <m/>
    <m/>
  </r>
  <r>
    <d v="2026-05-04T00:00:00"/>
    <x v="12"/>
    <s v="250000"/>
    <x v="4"/>
    <n v="250000"/>
    <m/>
    <m/>
  </r>
  <r>
    <d v="2026-05-04T00:00:00"/>
    <x v="42"/>
    <s v="2496000"/>
    <x v="1"/>
    <n v="2496000"/>
    <m/>
    <m/>
  </r>
  <r>
    <d v="2026-05-04T00:00:00"/>
    <x v="42"/>
    <s v="2496000"/>
    <x v="4"/>
    <n v="2496000"/>
    <m/>
    <m/>
  </r>
  <r>
    <d v="2026-05-04T00:00:00"/>
    <x v="42"/>
    <s v="2568000"/>
    <x v="6"/>
    <n v="2568000"/>
    <m/>
    <m/>
  </r>
  <r>
    <d v="2026-05-04T00:00:00"/>
    <x v="42"/>
    <s v="2496000"/>
    <x v="0"/>
    <n v="2496000"/>
    <m/>
    <m/>
  </r>
  <r>
    <d v="2026-05-04T00:00:00"/>
    <x v="20"/>
    <s v="250000"/>
    <x v="4"/>
    <n v="250000"/>
    <m/>
    <m/>
  </r>
  <r>
    <d v="2026-05-04T00:00:00"/>
    <x v="57"/>
    <s v="250000"/>
    <x v="4"/>
    <n v="250000"/>
    <m/>
    <m/>
  </r>
  <r>
    <d v="2026-05-04T00:00:00"/>
    <x v="42"/>
    <s v="250000"/>
    <x v="4"/>
    <n v="250000"/>
    <m/>
    <m/>
  </r>
  <r>
    <d v="2026-05-04T00:00:00"/>
    <x v="13"/>
    <s v="250000"/>
    <x v="4"/>
    <n v="250000"/>
    <m/>
    <m/>
  </r>
  <r>
    <d v="2026-05-04T00:00:00"/>
    <x v="42"/>
    <s v="2496000"/>
    <x v="4"/>
    <n v="2496000"/>
    <m/>
    <m/>
  </r>
  <r>
    <d v="2026-05-04T00:00:00"/>
    <x v="27"/>
    <s v="18d 10h"/>
    <x v="2"/>
    <m/>
    <n v="18"/>
    <n v="442"/>
  </r>
  <r>
    <d v="2026-05-04T00:00:00"/>
    <x v="58"/>
    <s v="8d 23h"/>
    <x v="2"/>
    <m/>
    <n v="9"/>
    <n v="215"/>
  </r>
  <r>
    <d v="2026-05-04T00:00:00"/>
    <x v="0"/>
    <s v="739082"/>
    <x v="3"/>
    <n v="739082"/>
    <m/>
    <m/>
  </r>
  <r>
    <d v="2026-05-04T00:00:00"/>
    <x v="0"/>
    <s v="1616186"/>
    <x v="3"/>
    <n v="1616186"/>
    <m/>
    <m/>
  </r>
  <r>
    <d v="2026-05-04T00:00:00"/>
    <x v="42"/>
    <s v="250000"/>
    <x v="3"/>
    <n v="250000"/>
    <m/>
    <m/>
  </r>
  <r>
    <d v="2026-05-04T00:00:00"/>
    <x v="0"/>
    <s v="739082"/>
    <x v="6"/>
    <n v="739082"/>
    <m/>
    <m/>
  </r>
  <r>
    <d v="2026-05-04T00:00:00"/>
    <x v="13"/>
    <s v="102d 20h"/>
    <x v="2"/>
    <m/>
    <n v="103"/>
    <n v="2468"/>
  </r>
  <r>
    <d v="2026-05-04T00:00:00"/>
    <x v="6"/>
    <s v="21736000"/>
    <x v="0"/>
    <n v="21736000"/>
    <m/>
    <m/>
  </r>
  <r>
    <d v="2026-05-04T00:00:00"/>
    <x v="0"/>
    <s v="1336141"/>
    <x v="1"/>
    <n v="1336141"/>
    <m/>
    <m/>
  </r>
  <r>
    <d v="2026-05-04T00:00:00"/>
    <x v="0"/>
    <s v="174920"/>
    <x v="3"/>
    <n v="174920"/>
    <m/>
    <m/>
  </r>
  <r>
    <d v="2026-05-04T00:00:00"/>
    <x v="58"/>
    <s v="1250"/>
    <x v="3"/>
    <n v="1250"/>
    <m/>
    <m/>
  </r>
  <r>
    <d v="2026-05-04T00:00:00"/>
    <x v="6"/>
    <s v="21736000"/>
    <x v="4"/>
    <n v="21736000"/>
    <m/>
    <m/>
  </r>
  <r>
    <d v="2026-05-04T00:00:00"/>
    <x v="0"/>
    <s v="1336141"/>
    <x v="4"/>
    <n v="1336141"/>
    <m/>
    <m/>
  </r>
  <r>
    <d v="2026-05-04T00:00:00"/>
    <x v="58"/>
    <s v="1250"/>
    <x v="8"/>
    <n v="1250"/>
    <m/>
    <m/>
  </r>
  <r>
    <d v="2026-05-04T00:00:00"/>
    <x v="6"/>
    <s v="11d 10h"/>
    <x v="2"/>
    <m/>
    <n v="11"/>
    <n v="274"/>
  </r>
  <r>
    <d v="2026-05-04T00:00:00"/>
    <x v="6"/>
    <s v="600244"/>
    <x v="6"/>
    <n v="600244"/>
    <m/>
    <m/>
  </r>
  <r>
    <d v="2026-05-04T00:00:00"/>
    <x v="6"/>
    <s v="19306713"/>
    <x v="3"/>
    <n v="19306713"/>
    <m/>
    <m/>
  </r>
  <r>
    <d v="2026-05-04T00:00:00"/>
    <x v="24"/>
    <s v="395551"/>
    <x v="3"/>
    <n v="395551"/>
    <m/>
    <m/>
  </r>
  <r>
    <d v="2026-05-04T00:00:00"/>
    <x v="24"/>
    <s v="597769"/>
    <x v="3"/>
    <n v="597769"/>
    <m/>
    <m/>
  </r>
  <r>
    <d v="2026-05-04T00:00:00"/>
    <x v="58"/>
    <s v="1250"/>
    <x v="7"/>
    <n v="1250"/>
    <m/>
    <m/>
  </r>
  <r>
    <d v="2026-05-04T00:00:00"/>
    <x v="24"/>
    <s v="395551"/>
    <x v="0"/>
    <n v="395551"/>
    <m/>
    <m/>
  </r>
  <r>
    <d v="2026-05-04T00:00:00"/>
    <x v="24"/>
    <s v="918098"/>
    <x v="1"/>
    <n v="918098"/>
    <m/>
    <m/>
  </r>
  <r>
    <d v="2026-05-04T00:00:00"/>
    <x v="25"/>
    <s v="109448"/>
    <x v="6"/>
    <n v="109448"/>
    <m/>
    <m/>
  </r>
  <r>
    <d v="2026-05-04T00:00:00"/>
    <x v="25"/>
    <s v="205858"/>
    <x v="3"/>
    <n v="205858"/>
    <m/>
    <m/>
  </r>
  <r>
    <d v="2026-05-04T00:00:00"/>
    <x v="24"/>
    <s v="194239"/>
    <x v="4"/>
    <n v="194239"/>
    <m/>
    <m/>
  </r>
  <r>
    <d v="2026-05-04T00:00:00"/>
    <x v="25"/>
    <s v="203497"/>
    <x v="1"/>
    <n v="203497"/>
    <m/>
    <m/>
  </r>
  <r>
    <d v="2026-05-04T00:00:00"/>
    <x v="24"/>
    <s v="395551"/>
    <x v="5"/>
    <n v="395551"/>
    <m/>
    <m/>
  </r>
  <r>
    <d v="2026-05-04T00:00:00"/>
    <x v="24"/>
    <s v="918098"/>
    <x v="4"/>
    <n v="918098"/>
    <m/>
    <m/>
  </r>
  <r>
    <d v="2026-05-04T00:00:00"/>
    <x v="24"/>
    <s v="194239"/>
    <x v="3"/>
    <n v="194239"/>
    <m/>
    <m/>
  </r>
  <r>
    <d v="2026-05-04T00:00:00"/>
    <x v="25"/>
    <s v="203497"/>
    <x v="3"/>
    <n v="203497"/>
    <m/>
    <m/>
  </r>
  <r>
    <d v="2026-05-04T00:00:00"/>
    <x v="24"/>
    <s v="136571"/>
    <x v="6"/>
    <n v="136571"/>
    <m/>
    <m/>
  </r>
  <r>
    <d v="2026-05-04T00:00:00"/>
    <x v="6"/>
    <s v="10868000"/>
    <x v="6"/>
    <n v="10868000"/>
    <m/>
    <m/>
  </r>
  <r>
    <d v="2026-05-04T00:00:00"/>
    <x v="6"/>
    <s v="16211093"/>
    <x v="4"/>
    <n v="16211093"/>
    <m/>
    <m/>
  </r>
  <r>
    <d v="2026-05-04T00:00:00"/>
    <x v="27"/>
    <s v="1250"/>
    <x v="7"/>
    <n v="1250"/>
    <m/>
    <m/>
  </r>
  <r>
    <d v="2026-05-04T00:00:00"/>
    <x v="13"/>
    <s v="95481"/>
    <x v="4"/>
    <n v="95481"/>
    <m/>
    <m/>
  </r>
  <r>
    <d v="2026-05-04T00:00:00"/>
    <x v="42"/>
    <s v="1023991"/>
    <x v="6"/>
    <n v="1023991"/>
    <m/>
    <m/>
  </r>
  <r>
    <d v="2026-05-04T00:00:00"/>
    <x v="25"/>
    <s v="203497"/>
    <x v="4"/>
    <n v="203497"/>
    <m/>
    <m/>
  </r>
  <r>
    <d v="2026-05-04T00:00:00"/>
    <x v="6"/>
    <s v="16211093"/>
    <x v="1"/>
    <n v="16211093"/>
    <m/>
    <m/>
  </r>
  <r>
    <d v="2026-05-04T00:00:00"/>
    <x v="27"/>
    <s v="1250"/>
    <x v="8"/>
    <n v="1250"/>
    <m/>
    <m/>
  </r>
  <r>
    <d v="2026-05-04T00:00:00"/>
    <x v="13"/>
    <s v="95481"/>
    <x v="3"/>
    <n v="95481"/>
    <m/>
    <m/>
  </r>
  <r>
    <d v="2026-05-04T00:00:00"/>
    <x v="13"/>
    <s v="290170"/>
    <x v="3"/>
    <n v="290170"/>
    <m/>
    <m/>
  </r>
  <r>
    <d v="2026-05-04T00:00:00"/>
    <x v="13"/>
    <s v="885889"/>
    <x v="3"/>
    <n v="885889"/>
    <m/>
    <m/>
  </r>
  <r>
    <d v="2026-05-04T00:00:00"/>
    <x v="13"/>
    <s v="275328"/>
    <x v="6"/>
    <n v="275328"/>
    <m/>
    <m/>
  </r>
  <r>
    <d v="2026-05-04T00:00:00"/>
    <x v="28"/>
    <s v="1880"/>
    <x v="7"/>
    <n v="1880"/>
    <m/>
    <m/>
  </r>
  <r>
    <d v="2026-05-04T00:00:00"/>
    <x v="16"/>
    <s v="395670"/>
    <x v="6"/>
    <n v="395670"/>
    <m/>
    <m/>
  </r>
  <r>
    <d v="2026-05-04T00:00:00"/>
    <x v="6"/>
    <s v="16211093"/>
    <x v="3"/>
    <n v="16211093"/>
    <m/>
    <m/>
  </r>
  <r>
    <d v="2026-05-04T00:00:00"/>
    <x v="13"/>
    <s v="885889"/>
    <x v="0"/>
    <n v="885889"/>
    <m/>
    <m/>
  </r>
  <r>
    <d v="2026-05-04T00:00:00"/>
    <x v="28"/>
    <s v="1880"/>
    <x v="3"/>
    <n v="1880"/>
    <m/>
    <m/>
  </r>
  <r>
    <d v="2026-05-04T00:00:00"/>
    <x v="16"/>
    <s v="1045008"/>
    <x v="4"/>
    <n v="1045008"/>
    <m/>
    <m/>
  </r>
  <r>
    <d v="2026-05-04T00:00:00"/>
    <x v="42"/>
    <s v="2496000"/>
    <x v="6"/>
    <n v="2496000"/>
    <m/>
    <m/>
  </r>
  <r>
    <d v="2026-05-04T00:00:00"/>
    <x v="33"/>
    <s v="1d 14h"/>
    <x v="2"/>
    <m/>
    <n v="2"/>
    <n v="38"/>
  </r>
  <r>
    <d v="2026-05-04T00:00:00"/>
    <x v="5"/>
    <s v="2d 22h"/>
    <x v="2"/>
    <m/>
    <n v="3"/>
    <n v="70"/>
  </r>
  <r>
    <d v="2026-05-04T00:00:00"/>
    <x v="50"/>
    <s v="1377552"/>
    <x v="3"/>
    <n v="1377552"/>
    <m/>
    <m/>
  </r>
  <r>
    <d v="2026-05-04T00:00:00"/>
    <x v="50"/>
    <s v="1356833"/>
    <x v="6"/>
    <n v="1356833"/>
    <m/>
    <m/>
  </r>
  <r>
    <d v="2026-05-04T00:00:00"/>
    <x v="50"/>
    <s v="1160966"/>
    <x v="3"/>
    <n v="1160966"/>
    <m/>
    <m/>
  </r>
  <r>
    <d v="2026-05-04T00:00:00"/>
    <x v="12"/>
    <s v="1690000"/>
    <x v="3"/>
    <n v="1690000"/>
    <m/>
    <m/>
  </r>
  <r>
    <d v="2026-05-04T00:00:00"/>
    <x v="50"/>
    <s v="1160966"/>
    <x v="1"/>
    <n v="1160966"/>
    <m/>
    <m/>
  </r>
  <r>
    <d v="2026-05-04T00:00:00"/>
    <x v="50"/>
    <s v="1114124"/>
    <x v="4"/>
    <n v="1114124"/>
    <m/>
    <m/>
  </r>
  <r>
    <d v="2026-05-04T00:00:00"/>
    <x v="30"/>
    <s v="750000"/>
    <x v="4"/>
    <n v="750000"/>
    <m/>
    <m/>
  </r>
  <r>
    <d v="2026-05-04T00:00:00"/>
    <x v="54"/>
    <s v="2704000"/>
    <x v="4"/>
    <n v="2704000"/>
    <m/>
    <m/>
  </r>
  <r>
    <d v="2026-05-04T00:00:00"/>
    <x v="54"/>
    <s v="2704000"/>
    <x v="6"/>
    <n v="2704000"/>
    <m/>
    <m/>
  </r>
  <r>
    <d v="2026-05-04T00:00:00"/>
    <x v="20"/>
    <s v="2420718"/>
    <x v="3"/>
    <n v="2420718"/>
    <m/>
    <m/>
  </r>
  <r>
    <d v="2026-05-04T00:00:00"/>
    <x v="20"/>
    <s v="2453786"/>
    <x v="4"/>
    <n v="2453786"/>
    <m/>
    <m/>
  </r>
  <r>
    <d v="2026-05-04T00:00:00"/>
    <x v="20"/>
    <s v="2449059"/>
    <x v="6"/>
    <n v="2449059"/>
    <m/>
    <m/>
  </r>
  <r>
    <d v="2026-05-04T00:00:00"/>
    <x v="54"/>
    <s v="2704000"/>
    <x v="3"/>
    <n v="2704000"/>
    <m/>
    <m/>
  </r>
  <r>
    <d v="2026-05-04T00:00:00"/>
    <x v="59"/>
    <s v="1881000"/>
    <x v="4"/>
    <n v="1881000"/>
    <m/>
    <m/>
  </r>
  <r>
    <d v="2026-05-04T00:00:00"/>
    <x v="60"/>
    <s v="2070000"/>
    <x v="4"/>
    <n v="2070000"/>
    <m/>
    <m/>
  </r>
  <r>
    <d v="2026-05-04T00:00:00"/>
    <x v="60"/>
    <s v="2070000"/>
    <x v="4"/>
    <n v="2070000"/>
    <m/>
    <m/>
  </r>
  <r>
    <d v="2026-05-04T00:00:00"/>
    <x v="60"/>
    <s v="2322000"/>
    <x v="4"/>
    <n v="2322000"/>
    <m/>
    <m/>
  </r>
  <r>
    <d v="2026-05-04T00:00:00"/>
    <x v="60"/>
    <s v="2070000"/>
    <x v="6"/>
    <n v="2070000"/>
    <m/>
    <m/>
  </r>
  <r>
    <d v="2026-05-04T00:00:00"/>
    <x v="20"/>
    <s v="2453786"/>
    <x v="3"/>
    <n v="2453786"/>
    <m/>
    <m/>
  </r>
  <r>
    <d v="2026-05-04T00:00:00"/>
    <x v="60"/>
    <s v="2070000"/>
    <x v="3"/>
    <n v="2070000"/>
    <m/>
    <m/>
  </r>
  <r>
    <d v="2026-05-04T00:00:00"/>
    <x v="60"/>
    <s v="2070000"/>
    <x v="1"/>
    <n v="2070000"/>
    <m/>
    <m/>
  </r>
  <r>
    <d v="2026-05-04T00:00:00"/>
    <x v="60"/>
    <s v="2322000"/>
    <x v="3"/>
    <n v="2322000"/>
    <m/>
    <m/>
  </r>
  <r>
    <d v="2026-05-04T00:00:00"/>
    <x v="61"/>
    <s v="432"/>
    <x v="4"/>
    <n v="432"/>
    <m/>
    <m/>
  </r>
  <r>
    <d v="2026-05-04T00:00:00"/>
    <x v="53"/>
    <s v="155027"/>
    <x v="0"/>
    <n v="155027"/>
    <m/>
    <m/>
  </r>
  <r>
    <d v="2026-05-04T00:00:00"/>
    <x v="61"/>
    <s v="1027496"/>
    <x v="3"/>
    <n v="1027496"/>
    <m/>
    <m/>
  </r>
  <r>
    <d v="2026-05-04T00:00:00"/>
    <x v="61"/>
    <s v="1386246"/>
    <x v="1"/>
    <n v="1386246"/>
    <m/>
    <m/>
  </r>
  <r>
    <d v="2026-05-04T00:00:00"/>
    <x v="53"/>
    <s v="155027"/>
    <x v="4"/>
    <n v="155027"/>
    <m/>
    <m/>
  </r>
  <r>
    <d v="2026-05-04T00:00:00"/>
    <x v="61"/>
    <s v="1386246"/>
    <x v="4"/>
    <n v="1386246"/>
    <m/>
    <m/>
  </r>
  <r>
    <d v="2026-05-04T00:00:00"/>
    <x v="61"/>
    <s v="1908000"/>
    <x v="3"/>
    <n v="1908000"/>
    <m/>
    <m/>
  </r>
  <r>
    <d v="2026-05-04T00:00:00"/>
    <x v="26"/>
    <s v="1675458"/>
    <x v="6"/>
    <n v="1675458"/>
    <m/>
    <m/>
  </r>
  <r>
    <d v="2026-05-04T00:00:00"/>
    <x v="26"/>
    <s v="1443532"/>
    <x v="3"/>
    <n v="1443532"/>
    <m/>
    <m/>
  </r>
  <r>
    <d v="2026-05-04T00:00:00"/>
    <x v="61"/>
    <s v="1908000"/>
    <x v="0"/>
    <n v="1908000"/>
    <m/>
    <m/>
  </r>
  <r>
    <d v="2026-05-04T00:00:00"/>
    <x v="6"/>
    <s v="31d 8h"/>
    <x v="2"/>
    <m/>
    <n v="31"/>
    <n v="752"/>
  </r>
  <r>
    <d v="2026-05-04T00:00:00"/>
    <x v="55"/>
    <s v="10d 20h"/>
    <x v="2"/>
    <m/>
    <n v="11"/>
    <n v="260"/>
  </r>
  <r>
    <d v="2026-05-04T00:00:00"/>
    <x v="47"/>
    <s v="2d 18h"/>
    <x v="2"/>
    <m/>
    <n v="3"/>
    <n v="66"/>
  </r>
  <r>
    <d v="2026-05-04T00:00:00"/>
    <x v="4"/>
    <s v="7d 2h"/>
    <x v="2"/>
    <m/>
    <n v="7"/>
    <n v="170"/>
  </r>
  <r>
    <d v="2026-05-04T00:00:00"/>
    <x v="42"/>
    <s v="299796"/>
    <x v="3"/>
    <n v="299796"/>
    <m/>
    <m/>
  </r>
  <r>
    <d v="2026-05-04T00:00:00"/>
    <x v="28"/>
    <s v="1067"/>
    <x v="4"/>
    <n v="1067"/>
    <m/>
    <m/>
  </r>
  <r>
    <d v="2026-05-04T00:00:00"/>
    <x v="43"/>
    <s v="5727"/>
    <x v="4"/>
    <n v="5727"/>
    <m/>
    <m/>
  </r>
  <r>
    <d v="2026-05-04T00:00:00"/>
    <x v="18"/>
    <s v="966"/>
    <x v="4"/>
    <n v="966"/>
    <m/>
    <m/>
  </r>
  <r>
    <d v="2026-05-04T00:00:00"/>
    <x v="5"/>
    <s v="11253"/>
    <x v="4"/>
    <n v="11253"/>
    <m/>
    <m/>
  </r>
  <r>
    <d v="2026-05-04T00:00:00"/>
    <x v="62"/>
    <s v="4d 0h"/>
    <x v="2"/>
    <m/>
    <n v="4"/>
    <n v="96"/>
  </r>
  <r>
    <d v="2026-05-04T00:00:00"/>
    <x v="44"/>
    <s v="3753"/>
    <x v="4"/>
    <n v="3753"/>
    <m/>
    <m/>
  </r>
  <r>
    <d v="2026-05-04T00:00:00"/>
    <x v="28"/>
    <s v="965"/>
    <x v="4"/>
    <n v="965"/>
    <m/>
    <m/>
  </r>
  <r>
    <d v="2026-05-04T00:00:00"/>
    <x v="27"/>
    <s v="5734"/>
    <x v="4"/>
    <n v="5734"/>
    <m/>
    <m/>
  </r>
  <r>
    <d v="2026-05-04T00:00:00"/>
    <x v="11"/>
    <s v="922742"/>
    <x v="6"/>
    <n v="922742"/>
    <m/>
    <m/>
  </r>
  <r>
    <d v="2026-05-04T00:00:00"/>
    <x v="27"/>
    <s v="11d 15h"/>
    <x v="2"/>
    <m/>
    <n v="12"/>
    <n v="279"/>
  </r>
  <r>
    <d v="2026-05-04T00:00:00"/>
    <x v="11"/>
    <s v="1729321"/>
    <x v="3"/>
    <n v="1729321"/>
    <m/>
    <m/>
  </r>
  <r>
    <d v="2026-05-04T00:00:00"/>
    <x v="58"/>
    <s v="20d 3h"/>
    <x v="2"/>
    <m/>
    <n v="20"/>
    <n v="483"/>
  </r>
  <r>
    <d v="2026-05-04T00:00:00"/>
    <x v="29"/>
    <s v="7d 11h"/>
    <x v="2"/>
    <m/>
    <n v="7"/>
    <n v="179"/>
  </r>
  <r>
    <d v="2026-05-04T00:00:00"/>
    <x v="27"/>
    <s v="5734"/>
    <x v="3"/>
    <n v="5734"/>
    <m/>
    <m/>
  </r>
  <r>
    <d v="2026-05-04T00:00:00"/>
    <x v="11"/>
    <s v="1729321"/>
    <x v="1"/>
    <n v="1729321"/>
    <m/>
    <m/>
  </r>
  <r>
    <d v="2026-05-04T00:00:00"/>
    <x v="5"/>
    <s v="4d 20h"/>
    <x v="2"/>
    <m/>
    <n v="5"/>
    <n v="116"/>
  </r>
  <r>
    <d v="2026-05-04T00:00:00"/>
    <x v="5"/>
    <s v="4585733"/>
    <x v="3"/>
    <n v="4585733"/>
    <m/>
    <m/>
  </r>
  <r>
    <d v="2026-05-04T00:00:00"/>
    <x v="13"/>
    <s v="126761"/>
    <x v="3"/>
    <n v="126761"/>
    <m/>
    <m/>
  </r>
  <r>
    <d v="2026-05-04T00:00:00"/>
    <x v="13"/>
    <s v="506112"/>
    <x v="3"/>
    <n v="506112"/>
    <m/>
    <m/>
  </r>
  <r>
    <d v="2026-05-04T00:00:00"/>
    <x v="13"/>
    <s v="252860"/>
    <x v="4"/>
    <n v="252860"/>
    <m/>
    <m/>
  </r>
  <r>
    <d v="2026-05-04T00:00:00"/>
    <x v="13"/>
    <s v="506112"/>
    <x v="0"/>
    <n v="506112"/>
    <m/>
    <m/>
  </r>
  <r>
    <d v="2026-05-04T00:00:00"/>
    <x v="13"/>
    <s v="134902"/>
    <x v="6"/>
    <n v="134902"/>
    <m/>
    <m/>
  </r>
  <r>
    <d v="2026-05-04T00:00:00"/>
    <x v="13"/>
    <s v="467837"/>
    <x v="3"/>
    <n v="467837"/>
    <m/>
    <m/>
  </r>
  <r>
    <d v="2026-05-04T00:00:00"/>
    <x v="20"/>
    <s v="2071221"/>
    <x v="3"/>
    <n v="2071221"/>
    <m/>
    <m/>
  </r>
  <r>
    <d v="2026-05-04T00:00:00"/>
    <x v="20"/>
    <s v="2198748"/>
    <x v="1"/>
    <n v="2198748"/>
    <m/>
    <m/>
  </r>
  <r>
    <d v="2026-05-04T00:00:00"/>
    <x v="13"/>
    <s v="252860"/>
    <x v="1"/>
    <n v="252860"/>
    <m/>
    <m/>
  </r>
  <r>
    <d v="2026-05-04T00:00:00"/>
    <x v="13"/>
    <s v="467837"/>
    <x v="4"/>
    <n v="467837"/>
    <m/>
    <m/>
  </r>
  <r>
    <d v="2026-05-04T00:00:00"/>
    <x v="20"/>
    <s v="2198748"/>
    <x v="3"/>
    <n v="2198748"/>
    <m/>
    <m/>
  </r>
  <r>
    <d v="2026-05-04T00:00:00"/>
    <x v="12"/>
    <s v="750000"/>
    <x v="4"/>
    <n v="750000"/>
    <m/>
    <m/>
  </r>
  <r>
    <d v="2026-05-04T00:00:00"/>
    <x v="38"/>
    <s v="17000"/>
    <x v="4"/>
    <n v="17000"/>
    <m/>
    <m/>
  </r>
  <r>
    <d v="2026-05-04T00:00:00"/>
    <x v="28"/>
    <s v="17000"/>
    <x v="4"/>
    <n v="17000"/>
    <m/>
    <m/>
  </r>
  <r>
    <d v="2026-05-04T00:00:00"/>
    <x v="11"/>
    <s v="17000"/>
    <x v="4"/>
    <n v="17000"/>
    <m/>
    <m/>
  </r>
  <r>
    <d v="2026-05-04T00:00:00"/>
    <x v="33"/>
    <s v="2800"/>
    <x v="4"/>
    <n v="2800"/>
    <m/>
    <m/>
  </r>
  <r>
    <d v="2026-05-04T00:00:00"/>
    <x v="41"/>
    <s v="17000"/>
    <x v="4"/>
    <n v="17000"/>
    <m/>
    <m/>
  </r>
  <r>
    <d v="2026-05-04T00:00:00"/>
    <x v="24"/>
    <s v="246576"/>
    <x v="6"/>
    <n v="246576"/>
    <m/>
    <m/>
  </r>
  <r>
    <d v="2026-05-04T00:00:00"/>
    <x v="20"/>
    <s v="2387256"/>
    <x v="3"/>
    <n v="2387256"/>
    <m/>
    <m/>
  </r>
  <r>
    <d v="2026-05-04T00:00:00"/>
    <x v="20"/>
    <s v="2014538"/>
    <x v="4"/>
    <n v="2014538"/>
    <m/>
    <m/>
  </r>
  <r>
    <d v="2026-05-04T00:00:00"/>
    <x v="24"/>
    <s v="246576"/>
    <x v="3"/>
    <n v="246576"/>
    <m/>
    <m/>
  </r>
  <r>
    <d v="2026-05-04T00:00:00"/>
    <x v="24"/>
    <s v="62452"/>
    <x v="0"/>
    <n v="62452"/>
    <m/>
    <m/>
  </r>
  <r>
    <d v="2026-05-04T00:00:00"/>
    <x v="24"/>
    <s v="269564"/>
    <x v="3"/>
    <n v="269564"/>
    <m/>
    <m/>
  </r>
  <r>
    <d v="2026-05-04T00:00:00"/>
    <x v="12"/>
    <s v="81152"/>
    <x v="4"/>
    <n v="81152"/>
    <m/>
    <m/>
  </r>
  <r>
    <d v="2026-05-04T00:00:00"/>
    <x v="22"/>
    <s v="100000"/>
    <x v="6"/>
    <n v="100000"/>
    <m/>
    <m/>
  </r>
  <r>
    <d v="2026-05-04T00:00:00"/>
    <x v="22"/>
    <s v="100000"/>
    <x v="3"/>
    <n v="100000"/>
    <m/>
    <m/>
  </r>
  <r>
    <d v="2026-05-04T00:00:00"/>
    <x v="24"/>
    <s v="62452"/>
    <x v="3"/>
    <n v="62452"/>
    <m/>
    <m/>
  </r>
  <r>
    <d v="2026-05-04T00:00:00"/>
    <x v="24"/>
    <s v="269564"/>
    <x v="4"/>
    <n v="269564"/>
    <m/>
    <m/>
  </r>
  <r>
    <d v="2026-05-04T00:00:00"/>
    <x v="22"/>
    <s v="100000"/>
    <x v="4"/>
    <n v="100000"/>
    <m/>
    <m/>
  </r>
  <r>
    <d v="2026-05-04T00:00:00"/>
    <x v="63"/>
    <s v="1004814"/>
    <x v="6"/>
    <n v="1004814"/>
    <m/>
    <m/>
  </r>
  <r>
    <d v="2026-05-04T00:00:00"/>
    <x v="63"/>
    <s v="1013864"/>
    <x v="1"/>
    <n v="1013864"/>
    <m/>
    <m/>
  </r>
  <r>
    <d v="2026-05-04T00:00:00"/>
    <x v="63"/>
    <s v="1023935"/>
    <x v="4"/>
    <n v="1023935"/>
    <m/>
    <m/>
  </r>
  <r>
    <d v="2026-05-04T00:00:00"/>
    <x v="22"/>
    <s v="100000"/>
    <x v="3"/>
    <n v="100000"/>
    <m/>
    <m/>
  </r>
  <r>
    <d v="2026-05-04T00:00:00"/>
    <x v="63"/>
    <s v="1013864"/>
    <x v="4"/>
    <n v="1013864"/>
    <m/>
    <m/>
  </r>
  <r>
    <d v="2026-05-04T00:00:00"/>
    <x v="63"/>
    <s v="1023935"/>
    <x v="0"/>
    <n v="1023935"/>
    <m/>
    <m/>
  </r>
  <r>
    <d v="2026-05-04T00:00:00"/>
    <x v="42"/>
    <s v="356"/>
    <x v="3"/>
    <n v="356"/>
    <m/>
    <m/>
  </r>
  <r>
    <d v="2026-05-04T00:00:00"/>
    <x v="64"/>
    <s v="250000"/>
    <x v="4"/>
    <n v="250000"/>
    <m/>
    <m/>
  </r>
  <r>
    <d v="2026-05-04T00:00:00"/>
    <x v="65"/>
    <s v="250000"/>
    <x v="4"/>
    <n v="250000"/>
    <m/>
    <m/>
  </r>
  <r>
    <d v="2026-05-04T00:00:00"/>
    <x v="63"/>
    <s v="1023935"/>
    <x v="3"/>
    <n v="1023935"/>
    <m/>
    <m/>
  </r>
  <r>
    <d v="2026-05-04T00:00:00"/>
    <x v="11"/>
    <s v="775192"/>
    <x v="6"/>
    <n v="775192"/>
    <m/>
    <m/>
  </r>
  <r>
    <d v="2026-05-04T00:00:00"/>
    <x v="55"/>
    <s v="18d 8h"/>
    <x v="2"/>
    <m/>
    <n v="18"/>
    <n v="440"/>
  </r>
  <r>
    <d v="2026-05-04T00:00:00"/>
    <x v="42"/>
    <s v="2800"/>
    <x v="4"/>
    <n v="2800"/>
    <m/>
    <m/>
  </r>
  <r>
    <d v="2026-05-04T00:00:00"/>
    <x v="5"/>
    <s v="4781988"/>
    <x v="3"/>
    <n v="4781988"/>
    <m/>
    <m/>
  </r>
  <r>
    <d v="2026-05-04T00:00:00"/>
    <x v="5"/>
    <s v="6156540"/>
    <x v="6"/>
    <n v="6156540"/>
    <m/>
    <m/>
  </r>
  <r>
    <d v="2026-05-04T00:00:00"/>
    <x v="66"/>
    <s v="250000"/>
    <x v="4"/>
    <n v="250000"/>
    <m/>
    <m/>
  </r>
  <r>
    <d v="2026-05-04T00:00:00"/>
    <x v="5"/>
    <s v="5d 3h"/>
    <x v="2"/>
    <m/>
    <n v="5"/>
    <n v="123"/>
  </r>
  <r>
    <d v="2026-05-04T00:00:00"/>
    <x v="29"/>
    <s v="30d 12h"/>
    <x v="2"/>
    <m/>
    <n v="30"/>
    <n v="732"/>
  </r>
  <r>
    <d v="2026-05-04T00:00:00"/>
    <x v="5"/>
    <s v="6156540"/>
    <x v="3"/>
    <n v="6156540"/>
    <m/>
    <m/>
  </r>
  <r>
    <d v="2026-05-04T00:00:00"/>
    <x v="27"/>
    <s v="35d 12h"/>
    <x v="2"/>
    <m/>
    <n v="36"/>
    <n v="852"/>
  </r>
  <r>
    <d v="2026-05-04T00:00:00"/>
    <x v="20"/>
    <s v="17000"/>
    <x v="4"/>
    <n v="17000"/>
    <m/>
    <m/>
  </r>
  <r>
    <d v="2026-05-04T00:00:00"/>
    <x v="67"/>
    <s v="250000"/>
    <x v="4"/>
    <n v="250000"/>
    <m/>
    <m/>
  </r>
  <r>
    <d v="2026-05-04T00:00:00"/>
    <x v="13"/>
    <s v="95562"/>
    <x v="3"/>
    <n v="95562"/>
    <m/>
    <m/>
  </r>
  <r>
    <d v="2026-05-04T00:00:00"/>
    <x v="13"/>
    <s v="95562"/>
    <x v="4"/>
    <n v="95562"/>
    <m/>
    <m/>
  </r>
  <r>
    <d v="2026-05-04T00:00:00"/>
    <x v="13"/>
    <s v="1241605"/>
    <x v="4"/>
    <n v="1241605"/>
    <m/>
    <m/>
  </r>
  <r>
    <d v="2026-05-04T00:00:00"/>
    <x v="13"/>
    <s v="314123"/>
    <x v="3"/>
    <n v="314123"/>
    <m/>
    <m/>
  </r>
  <r>
    <d v="2026-05-04T00:00:00"/>
    <x v="13"/>
    <s v="317426"/>
    <x v="6"/>
    <n v="317426"/>
    <m/>
    <m/>
  </r>
  <r>
    <d v="2026-05-04T00:00:00"/>
    <x v="13"/>
    <s v="298145"/>
    <x v="4"/>
    <n v="298145"/>
    <m/>
    <m/>
  </r>
  <r>
    <d v="2026-05-04T00:00:00"/>
    <x v="54"/>
    <s v="846"/>
    <x v="4"/>
    <n v="846"/>
    <m/>
    <m/>
  </r>
  <r>
    <d v="2026-05-04T00:00:00"/>
    <x v="54"/>
    <s v="750000"/>
    <x v="4"/>
    <n v="750000"/>
    <m/>
    <m/>
  </r>
  <r>
    <d v="2026-05-04T00:00:00"/>
    <x v="13"/>
    <s v="1241605"/>
    <x v="3"/>
    <n v="1241605"/>
    <m/>
    <m/>
  </r>
  <r>
    <d v="2026-05-04T00:00:00"/>
    <x v="13"/>
    <s v="298145"/>
    <x v="3"/>
    <n v="298145"/>
    <m/>
    <m/>
  </r>
  <r>
    <d v="2026-05-04T00:00:00"/>
    <x v="13"/>
    <s v="317426"/>
    <x v="3"/>
    <n v="317426"/>
    <m/>
    <m/>
  </r>
  <r>
    <d v="2026-05-04T00:00:00"/>
    <x v="23"/>
    <s v="1890000"/>
    <x v="6"/>
    <n v="1890000"/>
    <m/>
    <m/>
  </r>
  <r>
    <d v="2026-05-04T00:00:00"/>
    <x v="23"/>
    <s v="2019538"/>
    <x v="3"/>
    <n v="2019538"/>
    <m/>
    <m/>
  </r>
  <r>
    <d v="2026-05-04T00:00:00"/>
    <x v="68"/>
    <s v="250000"/>
    <x v="4"/>
    <n v="250000"/>
    <m/>
    <m/>
  </r>
  <r>
    <d v="2026-05-04T00:00:00"/>
    <x v="69"/>
    <s v="250000"/>
    <x v="4"/>
    <n v="250000"/>
    <m/>
    <m/>
  </r>
  <r>
    <d v="2026-05-04T00:00:00"/>
    <x v="51"/>
    <s v="10000"/>
    <x v="3"/>
    <n v="10000"/>
    <m/>
    <m/>
  </r>
  <r>
    <d v="2026-05-04T00:00:00"/>
    <x v="13"/>
    <s v="250000"/>
    <x v="3"/>
    <n v="250000"/>
    <m/>
    <m/>
  </r>
  <r>
    <d v="2026-05-04T00:00:00"/>
    <x v="51"/>
    <s v="10000"/>
    <x v="8"/>
    <n v="10000"/>
    <m/>
    <m/>
  </r>
  <r>
    <d v="2026-05-04T00:00:00"/>
    <x v="39"/>
    <s v="15000"/>
    <x v="7"/>
    <n v="15000"/>
    <m/>
    <m/>
  </r>
  <r>
    <d v="2026-05-04T00:00:00"/>
    <x v="54"/>
    <s v="500000"/>
    <x v="4"/>
    <n v="500000"/>
    <m/>
    <m/>
  </r>
  <r>
    <d v="2026-05-04T00:00:00"/>
    <x v="50"/>
    <s v="10000"/>
    <x v="8"/>
    <n v="10000"/>
    <m/>
    <m/>
  </r>
  <r>
    <d v="2026-05-04T00:00:00"/>
    <x v="48"/>
    <s v="10000"/>
    <x v="7"/>
    <n v="10000"/>
    <m/>
    <m/>
  </r>
  <r>
    <d v="2026-05-04T00:00:00"/>
    <x v="65"/>
    <s v="25000"/>
    <x v="8"/>
    <n v="25000"/>
    <m/>
    <m/>
  </r>
  <r>
    <d v="2026-05-04T00:00:00"/>
    <x v="51"/>
    <s v="10000"/>
    <x v="7"/>
    <n v="10000"/>
    <m/>
    <m/>
  </r>
  <r>
    <d v="2026-05-04T00:00:00"/>
    <x v="48"/>
    <s v="10000"/>
    <x v="8"/>
    <n v="10000"/>
    <m/>
    <m/>
  </r>
  <r>
    <d v="2026-05-04T00:00:00"/>
    <x v="44"/>
    <s v="500000"/>
    <x v="4"/>
    <n v="500000"/>
    <m/>
    <m/>
  </r>
  <r>
    <d v="2026-05-04T00:00:00"/>
    <x v="64"/>
    <s v="10000"/>
    <x v="8"/>
    <n v="10000"/>
    <m/>
    <m/>
  </r>
  <r>
    <d v="2026-05-04T00:00:00"/>
    <x v="12"/>
    <s v="108605"/>
    <x v="4"/>
    <n v="108605"/>
    <m/>
    <m/>
  </r>
  <r>
    <d v="2026-05-04T00:00:00"/>
    <x v="4"/>
    <s v="10000"/>
    <x v="3"/>
    <n v="10000"/>
    <m/>
    <m/>
  </r>
  <r>
    <d v="2026-05-04T00:00:00"/>
    <x v="47"/>
    <s v="10000"/>
    <x v="4"/>
    <n v="10000"/>
    <m/>
    <m/>
  </r>
  <r>
    <d v="2026-05-04T00:00:00"/>
    <x v="64"/>
    <s v="10000"/>
    <x v="7"/>
    <n v="10000"/>
    <m/>
    <m/>
  </r>
  <r>
    <d v="2026-05-04T00:00:00"/>
    <x v="4"/>
    <s v="10000"/>
    <x v="8"/>
    <n v="10000"/>
    <m/>
    <m/>
  </r>
  <r>
    <d v="2026-05-04T00:00:00"/>
    <x v="47"/>
    <s v="10000"/>
    <x v="8"/>
    <n v="10000"/>
    <m/>
    <m/>
  </r>
  <r>
    <d v="2026-05-04T00:00:00"/>
    <x v="69"/>
    <s v="20000"/>
    <x v="7"/>
    <n v="20000"/>
    <m/>
    <m/>
  </r>
  <r>
    <d v="2026-05-04T00:00:00"/>
    <x v="66"/>
    <s v="20000"/>
    <x v="7"/>
    <n v="20000"/>
    <m/>
    <m/>
  </r>
  <r>
    <d v="2026-05-04T00:00:00"/>
    <x v="5"/>
    <s v="15000"/>
    <x v="8"/>
    <n v="15000"/>
    <m/>
    <m/>
  </r>
  <r>
    <d v="2026-05-04T00:00:00"/>
    <x v="50"/>
    <s v="4444113"/>
    <x v="1"/>
    <n v="4444113"/>
    <m/>
    <m/>
  </r>
  <r>
    <d v="2026-05-04T00:00:00"/>
    <x v="4"/>
    <s v="10000"/>
    <x v="7"/>
    <n v="10000"/>
    <m/>
    <m/>
  </r>
  <r>
    <d v="2026-05-04T00:00:00"/>
    <x v="47"/>
    <s v="10000"/>
    <x v="7"/>
    <n v="10000"/>
    <m/>
    <m/>
  </r>
  <r>
    <d v="2026-05-04T00:00:00"/>
    <x v="66"/>
    <s v="20000"/>
    <x v="8"/>
    <n v="20000"/>
    <m/>
    <m/>
  </r>
  <r>
    <d v="2026-05-04T00:00:00"/>
    <x v="50"/>
    <s v="4444113"/>
    <x v="4"/>
    <n v="4444113"/>
    <m/>
    <m/>
  </r>
  <r>
    <d v="2026-05-04T00:00:00"/>
    <x v="54"/>
    <s v="132"/>
    <x v="4"/>
    <n v="132"/>
    <m/>
    <m/>
  </r>
  <r>
    <d v="2026-05-04T00:00:00"/>
    <x v="49"/>
    <s v="1839410"/>
    <x v="4"/>
    <n v="1839410"/>
    <m/>
    <m/>
  </r>
  <r>
    <d v="2026-05-04T00:00:00"/>
    <x v="27"/>
    <s v="190000"/>
    <x v="4"/>
    <n v="190000"/>
    <m/>
    <m/>
  </r>
  <r>
    <d v="2026-05-04T00:00:00"/>
    <x v="29"/>
    <s v="17000"/>
    <x v="4"/>
    <n v="17000"/>
    <m/>
    <m/>
  </r>
  <r>
    <d v="2026-05-04T00:00:00"/>
    <x v="50"/>
    <s v="1965088"/>
    <x v="6"/>
    <n v="1965088"/>
    <m/>
    <m/>
  </r>
  <r>
    <d v="2026-05-04T00:00:00"/>
    <x v="50"/>
    <s v="4444113"/>
    <x v="3"/>
    <n v="4444113"/>
    <m/>
    <m/>
  </r>
  <r>
    <d v="2026-05-04T00:00:00"/>
    <x v="49"/>
    <s v="1839410"/>
    <x v="5"/>
    <n v="1839410"/>
    <m/>
    <m/>
  </r>
  <r>
    <d v="2026-05-04T00:00:00"/>
    <x v="50"/>
    <s v="1898472"/>
    <x v="3"/>
    <n v="1898472"/>
    <m/>
    <m/>
  </r>
  <r>
    <d v="2026-05-04T00:00:00"/>
    <x v="50"/>
    <s v="1999761"/>
    <x v="1"/>
    <n v="1999761"/>
    <m/>
    <m/>
  </r>
  <r>
    <d v="2026-05-04T00:00:00"/>
    <x v="53"/>
    <s v="107987"/>
    <x v="3"/>
    <n v="107987"/>
    <m/>
    <m/>
  </r>
  <r>
    <d v="2026-05-04T00:00:00"/>
    <x v="32"/>
    <s v="2704000"/>
    <x v="3"/>
    <n v="2704000"/>
    <m/>
    <m/>
  </r>
  <r>
    <d v="2026-05-04T00:00:00"/>
    <x v="55"/>
    <s v="13d 12h"/>
    <x v="2"/>
    <m/>
    <n v="14"/>
    <n v="324"/>
  </r>
  <r>
    <d v="2026-05-04T00:00:00"/>
    <x v="53"/>
    <s v="107987"/>
    <x v="4"/>
    <n v="107987"/>
    <m/>
    <m/>
  </r>
  <r>
    <d v="2026-05-04T00:00:00"/>
    <x v="32"/>
    <s v="2704000"/>
    <x v="4"/>
    <n v="2704000"/>
    <m/>
    <m/>
  </r>
  <r>
    <d v="2026-05-04T00:00:00"/>
    <x v="27"/>
    <s v="24d 0h"/>
    <x v="2"/>
    <m/>
    <n v="24"/>
    <n v="576"/>
  </r>
  <r>
    <d v="2026-05-04T00:00:00"/>
    <x v="4"/>
    <s v="28d 15h"/>
    <x v="2"/>
    <m/>
    <n v="29"/>
    <n v="687"/>
  </r>
  <r>
    <d v="2026-05-04T00:00:00"/>
    <x v="5"/>
    <s v="3412079"/>
    <x v="3"/>
    <n v="3412079"/>
    <m/>
    <m/>
  </r>
  <r>
    <d v="2026-05-04T00:00:00"/>
    <x v="5"/>
    <s v="3261646"/>
    <x v="6"/>
    <n v="3261646"/>
    <m/>
    <m/>
  </r>
  <r>
    <d v="2026-05-04T00:00:00"/>
    <x v="5"/>
    <s v="3261646"/>
    <x v="3"/>
    <n v="3261646"/>
    <m/>
    <m/>
  </r>
  <r>
    <d v="2026-05-04T00:00:00"/>
    <x v="62"/>
    <s v="16d 0h"/>
    <x v="2"/>
    <m/>
    <n v="16"/>
    <n v="384"/>
  </r>
  <r>
    <d v="2026-05-04T00:00:00"/>
    <x v="35"/>
    <s v="857"/>
    <x v="3"/>
    <n v="857"/>
    <m/>
    <m/>
  </r>
  <r>
    <d v="2026-05-04T00:00:00"/>
    <x v="63"/>
    <s v="1023947"/>
    <x v="6"/>
    <n v="1023947"/>
    <m/>
    <m/>
  </r>
  <r>
    <d v="2026-05-04T00:00:00"/>
    <x v="63"/>
    <s v="1133682"/>
    <x v="3"/>
    <n v="1133682"/>
    <m/>
    <m/>
  </r>
  <r>
    <d v="2026-05-04T00:00:00"/>
    <x v="26"/>
    <s v="1598638"/>
    <x v="6"/>
    <n v="1598638"/>
    <m/>
    <m/>
  </r>
  <r>
    <d v="2026-05-04T00:00:00"/>
    <x v="35"/>
    <s v="857"/>
    <x v="4"/>
    <n v="857"/>
    <m/>
    <m/>
  </r>
  <r>
    <d v="2026-05-04T00:00:00"/>
    <x v="63"/>
    <s v="1013672"/>
    <x v="4"/>
    <n v="1013672"/>
    <m/>
    <m/>
  </r>
  <r>
    <d v="2026-05-04T00:00:00"/>
    <x v="42"/>
    <s v="4708000"/>
    <x v="4"/>
    <n v="4708000"/>
    <m/>
    <m/>
  </r>
  <r>
    <d v="2026-05-04T00:00:00"/>
    <x v="26"/>
    <s v="1467921"/>
    <x v="3"/>
    <n v="1467921"/>
    <m/>
    <m/>
  </r>
  <r>
    <d v="2026-05-04T00:00:00"/>
    <x v="26"/>
    <s v="1386138"/>
    <x v="4"/>
    <n v="1386138"/>
    <m/>
    <m/>
  </r>
  <r>
    <d v="2026-05-04T00:00:00"/>
    <x v="42"/>
    <s v="4708000"/>
    <x v="3"/>
    <n v="4708000"/>
    <m/>
    <m/>
  </r>
  <r>
    <d v="2026-05-04T00:00:00"/>
    <x v="26"/>
    <s v="1386138"/>
    <x v="1"/>
    <n v="1386138"/>
    <m/>
    <m/>
  </r>
  <r>
    <d v="2026-05-04T00:00:00"/>
    <x v="24"/>
    <s v="2908828"/>
    <x v="5"/>
    <n v="2908828"/>
    <m/>
    <m/>
  </r>
  <r>
    <d v="2026-05-04T00:00:00"/>
    <x v="43"/>
    <s v="1052143"/>
    <x v="4"/>
    <n v="1052143"/>
    <m/>
    <m/>
  </r>
  <r>
    <d v="2026-05-04T00:00:00"/>
    <x v="13"/>
    <s v="1188627"/>
    <x v="4"/>
    <n v="1188627"/>
    <m/>
    <m/>
  </r>
  <r>
    <d v="2026-05-04T00:00:00"/>
    <x v="24"/>
    <s v="2908828"/>
    <x v="3"/>
    <n v="2908828"/>
    <m/>
    <m/>
  </r>
  <r>
    <d v="2026-05-04T00:00:00"/>
    <x v="43"/>
    <s v="1052143"/>
    <x v="3"/>
    <n v="1052143"/>
    <m/>
    <m/>
  </r>
  <r>
    <d v="2026-05-04T00:00:00"/>
    <x v="24"/>
    <s v="102746"/>
    <x v="3"/>
    <n v="102746"/>
    <m/>
    <m/>
  </r>
  <r>
    <d v="2026-05-04T00:00:00"/>
    <x v="24"/>
    <s v="100743"/>
    <x v="6"/>
    <n v="100743"/>
    <m/>
    <m/>
  </r>
  <r>
    <d v="2026-05-04T00:00:00"/>
    <x v="24"/>
    <s v="101179"/>
    <x v="1"/>
    <n v="101179"/>
    <m/>
    <m/>
  </r>
  <r>
    <d v="2026-05-04T00:00:00"/>
    <x v="24"/>
    <s v="100581"/>
    <x v="4"/>
    <n v="100581"/>
    <m/>
    <m/>
  </r>
  <r>
    <d v="2026-05-04T00:00:00"/>
    <x v="13"/>
    <s v="472910"/>
    <x v="6"/>
    <n v="472910"/>
    <m/>
    <m/>
  </r>
  <r>
    <d v="2026-05-04T00:00:00"/>
    <x v="24"/>
    <s v="101179"/>
    <x v="4"/>
    <n v="101179"/>
    <m/>
    <m/>
  </r>
  <r>
    <d v="2026-05-04T00:00:00"/>
    <x v="24"/>
    <s v="100581"/>
    <x v="3"/>
    <n v="100581"/>
    <m/>
    <m/>
  </r>
  <r>
    <d v="2026-05-04T00:00:00"/>
    <x v="13"/>
    <s v="345719"/>
    <x v="3"/>
    <n v="345719"/>
    <m/>
    <m/>
  </r>
  <r>
    <d v="2026-05-04T00:00:00"/>
    <x v="13"/>
    <s v="499117"/>
    <x v="1"/>
    <n v="499117"/>
    <m/>
    <m/>
  </r>
  <r>
    <d v="2026-05-04T00:00:00"/>
    <x v="13"/>
    <s v="340049"/>
    <x v="0"/>
    <n v="340049"/>
    <m/>
    <m/>
  </r>
  <r>
    <d v="2026-05-04T00:00:00"/>
    <x v="42"/>
    <s v="643"/>
    <x v="3"/>
    <n v="643"/>
    <m/>
    <m/>
  </r>
  <r>
    <d v="2026-05-04T00:00:00"/>
    <x v="13"/>
    <s v="499117"/>
    <x v="4"/>
    <n v="499117"/>
    <m/>
    <m/>
  </r>
  <r>
    <d v="2026-05-04T00:00:00"/>
    <x v="13"/>
    <s v="340049"/>
    <x v="4"/>
    <n v="340049"/>
    <m/>
    <m/>
  </r>
  <r>
    <d v="2026-05-04T00:00:00"/>
    <x v="42"/>
    <s v="1872000"/>
    <x v="4"/>
    <n v="1872000"/>
    <m/>
    <m/>
  </r>
  <r>
    <d v="2026-05-04T00:00:00"/>
    <x v="21"/>
    <s v="2050000"/>
    <x v="4"/>
    <n v="2050000"/>
    <m/>
    <m/>
  </r>
  <r>
    <d v="2026-05-04T00:00:00"/>
    <x v="47"/>
    <s v="3408000"/>
    <x v="4"/>
    <n v="3408000"/>
    <m/>
    <m/>
  </r>
  <r>
    <d v="2026-05-04T00:00:00"/>
    <x v="13"/>
    <s v="340049"/>
    <x v="3"/>
    <n v="340049"/>
    <m/>
    <m/>
  </r>
  <r>
    <d v="2026-05-04T00:00:00"/>
    <x v="21"/>
    <s v="2050000"/>
    <x v="3"/>
    <n v="2050000"/>
    <m/>
    <m/>
  </r>
  <r>
    <d v="2026-05-04T00:00:00"/>
    <x v="47"/>
    <s v="3408000"/>
    <x v="3"/>
    <n v="3408000"/>
    <m/>
    <m/>
  </r>
  <r>
    <d v="2026-05-04T00:00:00"/>
    <x v="6"/>
    <s v="6446111"/>
    <x v="4"/>
    <n v="6446111"/>
    <m/>
    <m/>
  </r>
  <r>
    <d v="2026-05-04T00:00:00"/>
    <x v="23"/>
    <s v="1806970"/>
    <x v="4"/>
    <n v="1806970"/>
    <m/>
    <m/>
  </r>
  <r>
    <d v="2026-05-04T00:00:00"/>
    <x v="48"/>
    <s v="6298507"/>
    <x v="4"/>
    <n v="6298507"/>
    <m/>
    <m/>
  </r>
  <r>
    <d v="2026-05-04T00:00:00"/>
    <x v="65"/>
    <s v="440000"/>
    <x v="4"/>
    <n v="440000"/>
    <m/>
    <m/>
  </r>
  <r>
    <d v="2026-05-04T00:00:00"/>
    <x v="32"/>
    <s v="1890188"/>
    <x v="1"/>
    <n v="1890188"/>
    <m/>
    <m/>
  </r>
  <r>
    <d v="2026-05-04T00:00:00"/>
    <x v="23"/>
    <s v="1806970"/>
    <x v="1"/>
    <n v="1806970"/>
    <m/>
    <m/>
  </r>
  <r>
    <d v="2026-05-04T00:00:00"/>
    <x v="32"/>
    <s v="1890188"/>
    <x v="4"/>
    <n v="1890188"/>
    <m/>
    <m/>
  </r>
  <r>
    <d v="2026-05-04T00:00:00"/>
    <x v="48"/>
    <s v="3744000"/>
    <x v="3"/>
    <n v="3744000"/>
    <m/>
    <m/>
  </r>
  <r>
    <d v="2026-05-04T00:00:00"/>
    <x v="32"/>
    <s v="2014710"/>
    <x v="0"/>
    <n v="2014710"/>
    <m/>
    <m/>
  </r>
  <r>
    <d v="2026-05-04T00:00:00"/>
    <x v="50"/>
    <s v="1000000"/>
    <x v="4"/>
    <n v="1000000"/>
    <m/>
    <m/>
  </r>
  <r>
    <d v="2026-05-04T00:00:00"/>
    <x v="32"/>
    <s v="5142530"/>
    <x v="4"/>
    <n v="5142530"/>
    <m/>
    <m/>
  </r>
  <r>
    <d v="2026-05-04T00:00:00"/>
    <x v="13"/>
    <s v="440000"/>
    <x v="4"/>
    <n v="440000"/>
    <m/>
    <m/>
  </r>
  <r>
    <d v="2026-05-04T00:00:00"/>
    <x v="48"/>
    <s v="6290507"/>
    <x v="3"/>
    <n v="6290507"/>
    <m/>
    <m/>
  </r>
  <r>
    <d v="2026-05-04T00:00:00"/>
    <x v="48"/>
    <s v="3744000"/>
    <x v="4"/>
    <n v="3744000"/>
    <m/>
    <m/>
  </r>
  <r>
    <d v="2026-05-04T00:00:00"/>
    <x v="32"/>
    <s v="2014710"/>
    <x v="4"/>
    <n v="2014710"/>
    <m/>
    <m/>
  </r>
  <r>
    <d v="2026-05-04T00:00:00"/>
    <x v="50"/>
    <s v="1000000"/>
    <x v="3"/>
    <n v="1000000"/>
    <m/>
    <m/>
  </r>
  <r>
    <d v="2026-05-04T00:00:00"/>
    <x v="32"/>
    <s v="5142530"/>
    <x v="3"/>
    <n v="5142530"/>
    <m/>
    <m/>
  </r>
  <r>
    <d v="2026-05-04T00:00:00"/>
    <x v="50"/>
    <s v="267000"/>
    <x v="4"/>
    <n v="267000"/>
    <m/>
    <m/>
  </r>
  <r>
    <d v="2026-05-04T00:00:00"/>
    <x v="13"/>
    <s v="477286"/>
    <x v="4"/>
    <n v="477286"/>
    <m/>
    <m/>
  </r>
  <r>
    <d v="2026-05-04T00:00:00"/>
    <x v="64"/>
    <s v="440000"/>
    <x v="4"/>
    <n v="440000"/>
    <m/>
    <m/>
  </r>
  <r>
    <d v="2026-05-04T00:00:00"/>
    <x v="34"/>
    <s v="17000"/>
    <x v="4"/>
    <n v="17000"/>
    <m/>
    <m/>
  </r>
  <r>
    <d v="2026-05-04T00:00:00"/>
    <x v="21"/>
    <s v="4389030"/>
    <x v="4"/>
    <n v="4389030"/>
    <m/>
    <m/>
  </r>
  <r>
    <d v="2026-05-04T00:00:00"/>
    <x v="60"/>
    <s v="3327441"/>
    <x v="4"/>
    <n v="3327441"/>
    <m/>
    <m/>
  </r>
  <r>
    <d v="2026-05-04T00:00:00"/>
    <x v="60"/>
    <s v="1650454"/>
    <x v="3"/>
    <n v="1650454"/>
    <m/>
    <m/>
  </r>
  <r>
    <d v="2026-05-04T00:00:00"/>
    <x v="60"/>
    <s v="1380469"/>
    <x v="6"/>
    <n v="1380469"/>
    <m/>
    <m/>
  </r>
  <r>
    <d v="2026-05-04T00:00:00"/>
    <x v="60"/>
    <s v="3327441"/>
    <x v="3"/>
    <n v="3327441"/>
    <m/>
    <m/>
  </r>
  <r>
    <d v="2026-05-04T00:00:00"/>
    <x v="4"/>
    <s v="1350000"/>
    <x v="4"/>
    <n v="1350000"/>
    <m/>
    <m/>
  </r>
  <r>
    <d v="2026-05-04T00:00:00"/>
    <x v="60"/>
    <s v="1380469"/>
    <x v="3"/>
    <n v="1380469"/>
    <m/>
    <m/>
  </r>
  <r>
    <d v="2026-05-04T00:00:00"/>
    <x v="21"/>
    <s v="350000"/>
    <x v="1"/>
    <n v="350000"/>
    <m/>
    <m/>
  </r>
  <r>
    <d v="2026-05-04T00:00:00"/>
    <x v="12"/>
    <s v="51213"/>
    <x v="4"/>
    <n v="51213"/>
    <m/>
    <m/>
  </r>
  <r>
    <d v="2026-05-04T00:00:00"/>
    <x v="21"/>
    <s v="350000"/>
    <x v="4"/>
    <n v="350000"/>
    <m/>
    <m/>
  </r>
  <r>
    <d v="2026-05-04T00:00:00"/>
    <x v="11"/>
    <s v="2926000"/>
    <x v="5"/>
    <n v="2926000"/>
    <m/>
    <m/>
  </r>
  <r>
    <d v="2026-05-04T00:00:00"/>
    <x v="11"/>
    <s v="1377898"/>
    <x v="6"/>
    <n v="1377898"/>
    <m/>
    <m/>
  </r>
  <r>
    <d v="2026-05-04T00:00:00"/>
    <x v="49"/>
    <s v="3748916"/>
    <x v="3"/>
    <n v="3748916"/>
    <m/>
    <m/>
  </r>
  <r>
    <d v="2026-05-04T00:00:00"/>
    <x v="32"/>
    <s v="1376900"/>
    <x v="3"/>
    <n v="1376900"/>
    <m/>
    <m/>
  </r>
  <r>
    <d v="2026-05-04T00:00:00"/>
    <x v="32"/>
    <s v="973148"/>
    <x v="4"/>
    <n v="973148"/>
    <m/>
    <m/>
  </r>
  <r>
    <d v="2026-05-04T00:00:00"/>
    <x v="11"/>
    <s v="2926000"/>
    <x v="0"/>
    <n v="2926000"/>
    <m/>
    <m/>
  </r>
  <r>
    <d v="2026-05-04T00:00:00"/>
    <x v="49"/>
    <s v="3748916"/>
    <x v="4"/>
    <n v="3748916"/>
    <m/>
    <m/>
  </r>
  <r>
    <d v="2026-05-04T00:00:00"/>
    <x v="32"/>
    <s v="2679890"/>
    <x v="3"/>
    <n v="2679890"/>
    <m/>
    <m/>
  </r>
  <r>
    <d v="2026-05-04T00:00:00"/>
    <x v="41"/>
    <s v="2153129"/>
    <x v="0"/>
    <n v="2153129"/>
    <m/>
    <m/>
  </r>
  <r>
    <d v="2026-05-04T00:00:00"/>
    <x v="32"/>
    <s v="2679890"/>
    <x v="0"/>
    <n v="2679890"/>
    <m/>
    <m/>
  </r>
  <r>
    <d v="2026-05-04T00:00:00"/>
    <x v="41"/>
    <s v="2153129"/>
    <x v="4"/>
    <n v="2153129"/>
    <m/>
    <m/>
  </r>
  <r>
    <d v="2026-05-04T00:00:00"/>
    <x v="63"/>
    <s v="1090261"/>
    <x v="3"/>
    <n v="1090261"/>
    <m/>
    <m/>
  </r>
  <r>
    <d v="2026-05-04T00:00:00"/>
    <x v="38"/>
    <s v="2250000"/>
    <x v="4"/>
    <n v="2250000"/>
    <m/>
    <m/>
  </r>
  <r>
    <d v="2026-05-04T00:00:00"/>
    <x v="50"/>
    <s v="2676000"/>
    <x v="4"/>
    <n v="2676000"/>
    <m/>
    <m/>
  </r>
  <r>
    <d v="2026-05-04T00:00:00"/>
    <x v="50"/>
    <s v="1240206"/>
    <x v="3"/>
    <n v="1240206"/>
    <m/>
    <m/>
  </r>
  <r>
    <d v="2026-05-04T00:00:00"/>
    <x v="50"/>
    <s v="1017080"/>
    <x v="3"/>
    <n v="1017080"/>
    <m/>
    <m/>
  </r>
  <r>
    <d v="2026-05-04T00:00:00"/>
    <x v="50"/>
    <s v="2676000"/>
    <x v="1"/>
    <n v="2676000"/>
    <m/>
    <m/>
  </r>
  <r>
    <d v="2026-05-04T00:00:00"/>
    <x v="50"/>
    <s v="1017980"/>
    <x v="6"/>
    <n v="1017980"/>
    <m/>
    <m/>
  </r>
  <r>
    <d v="2026-05-04T00:00:00"/>
    <x v="63"/>
    <s v="1020835"/>
    <x v="6"/>
    <n v="1020835"/>
    <m/>
    <m/>
  </r>
  <r>
    <d v="2026-05-04T00:00:00"/>
    <x v="63"/>
    <s v="1018892"/>
    <x v="4"/>
    <n v="1018892"/>
    <m/>
    <m/>
  </r>
  <r>
    <d v="2026-05-04T00:00:00"/>
    <x v="63"/>
    <s v="1013599"/>
    <x v="4"/>
    <n v="1013599"/>
    <m/>
    <m/>
  </r>
  <r>
    <d v="2026-05-04T00:00:00"/>
    <x v="27"/>
    <s v="589"/>
    <x v="4"/>
    <n v="589"/>
    <m/>
    <m/>
  </r>
  <r>
    <d v="2026-05-04T00:00:00"/>
    <x v="12"/>
    <s v="25d 3h"/>
    <x v="2"/>
    <m/>
    <n v="25"/>
    <n v="603"/>
  </r>
  <r>
    <d v="2026-05-04T00:00:00"/>
    <x v="38"/>
    <s v="2250000"/>
    <x v="0"/>
    <n v="2250000"/>
    <m/>
    <m/>
  </r>
  <r>
    <d v="2026-05-04T00:00:00"/>
    <x v="50"/>
    <s v="2676000"/>
    <x v="3"/>
    <n v="2676000"/>
    <m/>
    <m/>
  </r>
  <r>
    <d v="2026-05-04T00:00:00"/>
    <x v="66"/>
    <s v="2d 8h"/>
    <x v="2"/>
    <m/>
    <n v="2"/>
    <n v="56"/>
  </r>
  <r>
    <d v="2026-05-04T00:00:00"/>
    <x v="23"/>
    <s v="86d 11h"/>
    <x v="2"/>
    <m/>
    <n v="86"/>
    <n v="2075"/>
  </r>
  <r>
    <d v="2026-05-04T00:00:00"/>
    <x v="5"/>
    <s v="12d 19h"/>
    <x v="2"/>
    <m/>
    <n v="13"/>
    <n v="307"/>
  </r>
  <r>
    <d v="2026-05-04T00:00:00"/>
    <x v="63"/>
    <s v="1010692"/>
    <x v="3"/>
    <n v="1010692"/>
    <m/>
    <m/>
  </r>
  <r>
    <d v="2026-05-04T00:00:00"/>
    <x v="59"/>
    <s v="22d 1h"/>
    <x v="2"/>
    <m/>
    <n v="22"/>
    <n v="529"/>
  </r>
  <r>
    <d v="2026-05-04T00:00:00"/>
    <x v="58"/>
    <s v="20d 19h"/>
    <x v="2"/>
    <m/>
    <n v="21"/>
    <n v="499"/>
  </r>
  <r>
    <d v="2026-05-04T00:00:00"/>
    <x v="26"/>
    <s v="13d 17h"/>
    <x v="2"/>
    <m/>
    <n v="14"/>
    <n v="329"/>
  </r>
  <r>
    <d v="2026-05-04T00:00:00"/>
    <x v="42"/>
    <s v="45990"/>
    <x v="6"/>
    <n v="45990"/>
    <m/>
    <m/>
  </r>
  <r>
    <d v="2026-05-04T00:00:00"/>
    <x v="42"/>
    <s v="593661"/>
    <x v="4"/>
    <n v="593661"/>
    <m/>
    <m/>
  </r>
  <r>
    <d v="2026-05-04T00:00:00"/>
    <x v="70"/>
    <s v="22d 1h"/>
    <x v="2"/>
    <m/>
    <n v="22"/>
    <n v="529"/>
  </r>
  <r>
    <d v="2026-05-04T00:00:00"/>
    <x v="42"/>
    <s v="538993"/>
    <x v="3"/>
    <n v="538993"/>
    <m/>
    <m/>
  </r>
  <r>
    <d v="2026-05-04T00:00:00"/>
    <x v="32"/>
    <s v="1500560"/>
    <x v="3"/>
    <n v="1500560"/>
    <m/>
    <m/>
  </r>
  <r>
    <d v="2026-05-04T00:00:00"/>
    <x v="41"/>
    <s v="1418888"/>
    <x v="4"/>
    <n v="1418888"/>
    <m/>
    <m/>
  </r>
  <r>
    <d v="2026-05-04T00:00:00"/>
    <x v="65"/>
    <s v="42000000"/>
    <x v="0"/>
    <n v="42000000"/>
    <m/>
    <m/>
  </r>
  <r>
    <d v="2026-05-04T00:00:00"/>
    <x v="42"/>
    <s v="593661"/>
    <x v="1"/>
    <n v="593661"/>
    <m/>
    <m/>
  </r>
  <r>
    <d v="2026-05-04T00:00:00"/>
    <x v="42"/>
    <s v="538993"/>
    <x v="4"/>
    <n v="538993"/>
    <m/>
    <m/>
  </r>
  <r>
    <d v="2026-05-04T00:00:00"/>
    <x v="32"/>
    <s v="1500560"/>
    <x v="0"/>
    <n v="1500560"/>
    <m/>
    <m/>
  </r>
  <r>
    <d v="2026-05-04T00:00:00"/>
    <x v="65"/>
    <s v="42000000"/>
    <x v="4"/>
    <n v="42000000"/>
    <m/>
    <m/>
  </r>
  <r>
    <d v="2026-05-04T00:00:00"/>
    <x v="22"/>
    <s v="879055"/>
    <x v="4"/>
    <n v="879055"/>
    <m/>
    <m/>
  </r>
  <r>
    <d v="2026-05-04T00:00:00"/>
    <x v="65"/>
    <s v="3909551"/>
    <x v="3"/>
    <n v="3909551"/>
    <m/>
    <m/>
  </r>
  <r>
    <d v="2026-05-04T00:00:00"/>
    <x v="65"/>
    <s v="4819622"/>
    <x v="6"/>
    <n v="4819622"/>
    <m/>
    <m/>
  </r>
  <r>
    <d v="2026-05-04T00:00:00"/>
    <x v="65"/>
    <s v="6055768"/>
    <x v="4"/>
    <n v="6055768"/>
    <m/>
    <m/>
  </r>
  <r>
    <d v="2026-05-04T00:00:00"/>
    <x v="65"/>
    <s v="7000000"/>
    <x v="3"/>
    <n v="7000000"/>
    <m/>
    <m/>
  </r>
  <r>
    <d v="2026-05-04T00:00:00"/>
    <x v="34"/>
    <s v="22464000"/>
    <x v="3"/>
    <n v="22464000"/>
    <m/>
    <m/>
  </r>
  <r>
    <d v="2026-05-04T00:00:00"/>
    <x v="22"/>
    <s v="879055"/>
    <x v="3"/>
    <n v="879055"/>
    <m/>
    <m/>
  </r>
  <r>
    <d v="2026-05-04T00:00:00"/>
    <x v="65"/>
    <s v="3909551"/>
    <x v="4"/>
    <n v="3909551"/>
    <m/>
    <m/>
  </r>
  <r>
    <d v="2026-05-04T00:00:00"/>
    <x v="65"/>
    <s v="6055768"/>
    <x v="1"/>
    <n v="6055768"/>
    <m/>
    <m/>
  </r>
  <r>
    <d v="2026-05-04T00:00:00"/>
    <x v="34"/>
    <s v="22464000"/>
    <x v="4"/>
    <n v="22464000"/>
    <m/>
    <m/>
  </r>
  <r>
    <d v="2026-05-04T00:00:00"/>
    <x v="71"/>
    <s v="1142156"/>
    <x v="3"/>
    <n v="1142156"/>
    <m/>
    <m/>
  </r>
  <r>
    <d v="2026-05-04T00:00:00"/>
    <x v="71"/>
    <s v="1225415"/>
    <x v="1"/>
    <n v="1225415"/>
    <m/>
    <m/>
  </r>
  <r>
    <d v="2026-05-04T00:00:00"/>
    <x v="71"/>
    <s v="1138634"/>
    <x v="6"/>
    <n v="1138634"/>
    <m/>
    <m/>
  </r>
  <r>
    <d v="2026-05-04T00:00:00"/>
    <x v="71"/>
    <s v="9240000"/>
    <x v="3"/>
    <n v="9240000"/>
    <m/>
    <m/>
  </r>
  <r>
    <d v="2026-05-04T00:00:00"/>
    <x v="67"/>
    <s v="10320000"/>
    <x v="3"/>
    <n v="10320000"/>
    <m/>
    <m/>
  </r>
  <r>
    <d v="2026-05-04T00:00:00"/>
    <x v="34"/>
    <s v="22464000"/>
    <x v="0"/>
    <n v="22464000"/>
    <m/>
    <m/>
  </r>
  <r>
    <d v="2026-05-04T00:00:00"/>
    <x v="71"/>
    <s v="1225415"/>
    <x v="3"/>
    <n v="1225415"/>
    <m/>
    <m/>
  </r>
  <r>
    <d v="2026-05-04T00:00:00"/>
    <x v="71"/>
    <s v="9240000"/>
    <x v="4"/>
    <n v="9240000"/>
    <m/>
    <m/>
  </r>
  <r>
    <d v="2026-05-04T00:00:00"/>
    <x v="67"/>
    <s v="25091"/>
    <x v="4"/>
    <n v="25091"/>
    <m/>
    <m/>
  </r>
  <r>
    <d v="2026-05-04T00:00:00"/>
    <x v="43"/>
    <s v="12542"/>
    <x v="4"/>
    <n v="12542"/>
    <m/>
    <m/>
  </r>
  <r>
    <d v="2026-05-04T00:00:00"/>
    <x v="13"/>
    <s v="29582"/>
    <x v="4"/>
    <n v="29582"/>
    <m/>
    <m/>
  </r>
  <r>
    <d v="2026-05-04T00:00:00"/>
    <x v="68"/>
    <s v="24745"/>
    <x v="4"/>
    <n v="24745"/>
    <m/>
    <m/>
  </r>
  <r>
    <d v="2026-05-04T00:00:00"/>
    <x v="41"/>
    <s v="1766"/>
    <x v="4"/>
    <n v="1766"/>
    <m/>
    <m/>
  </r>
  <r>
    <d v="2026-05-04T00:00:00"/>
    <x v="21"/>
    <s v="250000"/>
    <x v="3"/>
    <n v="250000"/>
    <m/>
    <m/>
  </r>
  <r>
    <d v="2026-05-04T00:00:00"/>
    <x v="67"/>
    <s v="10320000"/>
    <x v="0"/>
    <n v="10320000"/>
    <m/>
    <m/>
  </r>
  <r>
    <d v="2026-05-04T00:00:00"/>
    <x v="21"/>
    <s v="250000"/>
    <x v="4"/>
    <n v="250000"/>
    <m/>
    <m/>
  </r>
  <r>
    <d v="2026-05-04T00:00:00"/>
    <x v="43"/>
    <s v="25772"/>
    <x v="4"/>
    <n v="25772"/>
    <m/>
    <m/>
  </r>
  <r>
    <d v="2026-05-04T00:00:00"/>
    <x v="13"/>
    <s v="817845"/>
    <x v="4"/>
    <n v="817845"/>
    <m/>
    <m/>
  </r>
  <r>
    <d v="2026-05-04T00:00:00"/>
    <x v="18"/>
    <s v="257263"/>
    <x v="4"/>
    <n v="257263"/>
    <m/>
    <m/>
  </r>
  <r>
    <d v="2026-05-04T00:00:00"/>
    <x v="13"/>
    <s v="879663"/>
    <x v="1"/>
    <n v="879663"/>
    <m/>
    <m/>
  </r>
  <r>
    <d v="2026-05-04T00:00:00"/>
    <x v="13"/>
    <s v="413384"/>
    <x v="3"/>
    <n v="413384"/>
    <m/>
    <m/>
  </r>
  <r>
    <d v="2026-05-04T00:00:00"/>
    <x v="13"/>
    <s v="879663"/>
    <x v="4"/>
    <n v="879663"/>
    <m/>
    <m/>
  </r>
  <r>
    <d v="2026-05-04T00:00:00"/>
    <x v="13"/>
    <s v="773285"/>
    <x v="6"/>
    <n v="773285"/>
    <m/>
    <m/>
  </r>
  <r>
    <d v="2026-05-04T00:00:00"/>
    <x v="50"/>
    <s v="4502"/>
    <x v="4"/>
    <n v="4502"/>
    <m/>
    <m/>
  </r>
  <r>
    <d v="2026-05-04T00:00:00"/>
    <x v="0"/>
    <s v="1088"/>
    <x v="4"/>
    <n v="1088"/>
    <m/>
    <m/>
  </r>
  <r>
    <d v="2026-05-04T00:00:00"/>
    <x v="65"/>
    <s v="1856"/>
    <x v="4"/>
    <n v="1856"/>
    <m/>
    <m/>
  </r>
  <r>
    <d v="2026-05-04T00:00:00"/>
    <x v="6"/>
    <s v="10868000"/>
    <x v="0"/>
    <n v="10868000"/>
    <m/>
    <m/>
  </r>
  <r>
    <d v="2026-05-04T00:00:00"/>
    <x v="6"/>
    <s v="10868000"/>
    <x v="4"/>
    <n v="10868000"/>
    <m/>
    <m/>
  </r>
  <r>
    <d v="2026-05-04T00:00:00"/>
    <x v="68"/>
    <s v="1025"/>
    <x v="4"/>
    <n v="1025"/>
    <m/>
    <m/>
  </r>
  <r>
    <d v="2026-05-04T00:00:00"/>
    <x v="46"/>
    <s v="987"/>
    <x v="4"/>
    <n v="987"/>
    <m/>
    <m/>
  </r>
  <r>
    <d v="2026-05-04T00:00:00"/>
    <x v="23"/>
    <s v="350"/>
    <x v="4"/>
    <n v="350"/>
    <m/>
    <m/>
  </r>
  <r>
    <d v="2026-05-04T00:00:00"/>
    <x v="29"/>
    <s v="965"/>
    <x v="4"/>
    <n v="965"/>
    <m/>
    <m/>
  </r>
  <r>
    <d v="2026-05-04T00:00:00"/>
    <x v="6"/>
    <s v="4287275"/>
    <x v="3"/>
    <n v="4287275"/>
    <m/>
    <m/>
  </r>
  <r>
    <d v="2026-05-04T00:00:00"/>
    <x v="44"/>
    <s v="3550"/>
    <x v="4"/>
    <n v="3550"/>
    <m/>
    <m/>
  </r>
  <r>
    <d v="2026-05-04T00:00:00"/>
    <x v="55"/>
    <s v="205"/>
    <x v="4"/>
    <n v="205"/>
    <m/>
    <m/>
  </r>
  <r>
    <d v="2026-05-04T00:00:00"/>
    <x v="22"/>
    <s v="700000"/>
    <x v="6"/>
    <n v="700000"/>
    <m/>
    <m/>
  </r>
  <r>
    <d v="2026-05-04T00:00:00"/>
    <x v="62"/>
    <s v="989"/>
    <x v="3"/>
    <n v="989"/>
    <m/>
    <m/>
  </r>
  <r>
    <d v="2026-05-04T00:00:00"/>
    <x v="6"/>
    <s v="1766"/>
    <x v="4"/>
    <n v="1766"/>
    <m/>
    <m/>
  </r>
  <r>
    <d v="2026-05-04T00:00:00"/>
    <x v="71"/>
    <s v="1311"/>
    <x v="4"/>
    <n v="1311"/>
    <m/>
    <m/>
  </r>
  <r>
    <d v="2026-05-04T00:00:00"/>
    <x v="22"/>
    <s v="700000"/>
    <x v="3"/>
    <n v="700000"/>
    <m/>
    <m/>
  </r>
  <r>
    <d v="2026-05-04T00:00:00"/>
    <x v="12"/>
    <s v="50199"/>
    <x v="4"/>
    <n v="50199"/>
    <m/>
    <m/>
  </r>
  <r>
    <d v="2026-05-04T00:00:00"/>
    <x v="22"/>
    <s v="700000"/>
    <x v="7"/>
    <n v="700000"/>
    <m/>
    <m/>
  </r>
  <r>
    <d v="2026-05-04T00:00:00"/>
    <x v="12"/>
    <s v="50199"/>
    <x v="3"/>
    <n v="50199"/>
    <m/>
    <m/>
  </r>
  <r>
    <d v="2026-05-04T00:00:00"/>
    <x v="6"/>
    <s v="2717000"/>
    <x v="1"/>
    <n v="2717000"/>
    <m/>
    <m/>
  </r>
  <r>
    <d v="2026-05-04T00:00:00"/>
    <x v="6"/>
    <s v="1093367"/>
    <x v="6"/>
    <n v="1093367"/>
    <m/>
    <m/>
  </r>
  <r>
    <d v="2026-05-04T00:00:00"/>
    <x v="6"/>
    <s v="2717000"/>
    <x v="7"/>
    <n v="2717000"/>
    <m/>
    <m/>
  </r>
  <r>
    <d v="2026-05-04T00:00:00"/>
    <x v="4"/>
    <s v="188599"/>
    <x v="4"/>
    <n v="188599"/>
    <m/>
    <m/>
  </r>
  <r>
    <d v="2026-05-04T00:00:00"/>
    <x v="5"/>
    <s v="59043"/>
    <x v="4"/>
    <n v="59043"/>
    <m/>
    <m/>
  </r>
  <r>
    <d v="2026-05-04T00:00:00"/>
    <x v="39"/>
    <s v="16830"/>
    <x v="4"/>
    <n v="16830"/>
    <m/>
    <m/>
  </r>
  <r>
    <d v="2026-05-04T00:00:00"/>
    <x v="67"/>
    <s v="46351"/>
    <x v="4"/>
    <n v="46351"/>
    <m/>
    <m/>
  </r>
  <r>
    <d v="2026-05-04T00:00:00"/>
    <x v="43"/>
    <s v="11430"/>
    <x v="3"/>
    <n v="11430"/>
    <m/>
    <m/>
  </r>
  <r>
    <d v="2026-05-04T00:00:00"/>
    <x v="43"/>
    <s v="11430"/>
    <x v="4"/>
    <n v="11430"/>
    <m/>
    <m/>
  </r>
  <r>
    <d v="2026-05-04T00:00:00"/>
    <x v="18"/>
    <s v="2215"/>
    <x v="4"/>
    <n v="2215"/>
    <m/>
    <m/>
  </r>
  <r>
    <d v="2026-05-04T00:00:00"/>
    <x v="51"/>
    <s v="1517"/>
    <x v="4"/>
    <n v="1517"/>
    <m/>
    <m/>
  </r>
  <r>
    <d v="2026-05-04T00:00:00"/>
    <x v="62"/>
    <s v="1746"/>
    <x v="4"/>
    <n v="1746"/>
    <m/>
    <m/>
  </r>
  <r>
    <d v="2026-05-04T00:00:00"/>
    <x v="24"/>
    <s v="601"/>
    <x v="4"/>
    <n v="601"/>
    <m/>
    <m/>
  </r>
  <r>
    <d v="2026-05-04T00:00:00"/>
    <x v="29"/>
    <s v="598"/>
    <x v="4"/>
    <n v="598"/>
    <m/>
    <m/>
  </r>
  <r>
    <d v="2026-05-04T00:00:00"/>
    <x v="65"/>
    <s v="51548"/>
    <x v="4"/>
    <n v="51548"/>
    <m/>
    <m/>
  </r>
  <r>
    <d v="2026-05-04T00:00:00"/>
    <x v="72"/>
    <s v="7686000"/>
    <x v="4"/>
    <n v="7686000"/>
    <m/>
    <m/>
  </r>
  <r>
    <d v="2026-05-04T00:00:00"/>
    <x v="6"/>
    <s v="2600495"/>
    <x v="1"/>
    <n v="2600495"/>
    <m/>
    <m/>
  </r>
  <r>
    <d v="2026-05-04T00:00:00"/>
    <x v="53"/>
    <s v="141587"/>
    <x v="5"/>
    <n v="141587"/>
    <m/>
    <m/>
  </r>
  <r>
    <d v="2026-05-04T00:00:00"/>
    <x v="73"/>
    <s v="250000"/>
    <x v="4"/>
    <n v="250000"/>
    <m/>
    <m/>
  </r>
  <r>
    <d v="2026-05-04T00:00:00"/>
    <x v="11"/>
    <s v="410177"/>
    <x v="6"/>
    <n v="410177"/>
    <m/>
    <m/>
  </r>
  <r>
    <d v="2026-05-04T00:00:00"/>
    <x v="6"/>
    <s v="2600495"/>
    <x v="4"/>
    <n v="2600495"/>
    <m/>
    <m/>
  </r>
  <r>
    <d v="2026-05-04T00:00:00"/>
    <x v="53"/>
    <s v="141587"/>
    <x v="4"/>
    <n v="141587"/>
    <m/>
    <m/>
  </r>
  <r>
    <d v="2026-05-04T00:00:00"/>
    <x v="28"/>
    <s v="2743000"/>
    <x v="4"/>
    <n v="2743000"/>
    <m/>
    <m/>
  </r>
  <r>
    <d v="2026-05-04T00:00:00"/>
    <x v="53"/>
    <s v="141587"/>
    <x v="3"/>
    <n v="141587"/>
    <m/>
    <m/>
  </r>
  <r>
    <d v="2026-05-04T00:00:00"/>
    <x v="28"/>
    <s v="2743000"/>
    <x v="0"/>
    <n v="2743000"/>
    <m/>
    <m/>
  </r>
  <r>
    <d v="2026-05-04T00:00:00"/>
    <x v="63"/>
    <s v="1389847"/>
    <x v="4"/>
    <n v="1389847"/>
    <m/>
    <m/>
  </r>
  <r>
    <d v="2026-05-04T00:00:00"/>
    <x v="63"/>
    <s v="1096865"/>
    <x v="3"/>
    <n v="1096865"/>
    <m/>
    <m/>
  </r>
  <r>
    <d v="2026-05-04T00:00:00"/>
    <x v="63"/>
    <s v="1000924"/>
    <x v="4"/>
    <n v="1000924"/>
    <m/>
    <m/>
  </r>
  <r>
    <d v="2026-05-04T00:00:00"/>
    <x v="63"/>
    <s v="1283133"/>
    <x v="6"/>
    <n v="1283133"/>
    <m/>
    <m/>
  </r>
  <r>
    <d v="2026-05-04T00:00:00"/>
    <x v="63"/>
    <s v="1389847"/>
    <x v="0"/>
    <n v="1389847"/>
    <m/>
    <m/>
  </r>
  <r>
    <d v="2026-05-04T00:00:00"/>
    <x v="23"/>
    <s v="1081245"/>
    <x v="3"/>
    <n v="1081245"/>
    <m/>
    <m/>
  </r>
  <r>
    <d v="2026-05-04T00:00:00"/>
    <x v="22"/>
    <s v="1125000"/>
    <x v="4"/>
    <n v="1125000"/>
    <m/>
    <m/>
  </r>
  <r>
    <d v="2026-05-04T00:00:00"/>
    <x v="23"/>
    <s v="1553"/>
    <x v="4"/>
    <n v="1553"/>
    <m/>
    <m/>
  </r>
  <r>
    <d v="2026-05-04T00:00:00"/>
    <x v="5"/>
    <s v="18289"/>
    <x v="4"/>
    <n v="18289"/>
    <m/>
    <m/>
  </r>
  <r>
    <d v="2026-05-04T00:00:00"/>
    <x v="29"/>
    <s v="2348"/>
    <x v="4"/>
    <n v="2348"/>
    <m/>
    <m/>
  </r>
  <r>
    <d v="2026-05-04T00:00:00"/>
    <x v="63"/>
    <s v="1000924"/>
    <x v="3"/>
    <n v="1000924"/>
    <m/>
    <m/>
  </r>
  <r>
    <d v="2026-05-04T00:00:00"/>
    <x v="22"/>
    <s v="1125000"/>
    <x v="3"/>
    <n v="1125000"/>
    <m/>
    <m/>
  </r>
  <r>
    <d v="2026-05-04T00:00:00"/>
    <x v="6"/>
    <s v="487"/>
    <x v="4"/>
    <n v="487"/>
    <m/>
    <m/>
  </r>
  <r>
    <d v="2026-05-04T00:00:00"/>
    <x v="43"/>
    <s v="4513"/>
    <x v="4"/>
    <n v="4513"/>
    <m/>
    <m/>
  </r>
  <r>
    <d v="2026-05-04T00:00:00"/>
    <x v="24"/>
    <s v="285"/>
    <x v="4"/>
    <n v="285"/>
    <m/>
    <m/>
  </r>
  <r>
    <d v="2026-05-04T00:00:00"/>
    <x v="12"/>
    <s v="994"/>
    <x v="4"/>
    <n v="994"/>
    <m/>
    <m/>
  </r>
  <r>
    <d v="2026-05-04T00:00:00"/>
    <x v="43"/>
    <s v="17904"/>
    <x v="4"/>
    <n v="17904"/>
    <m/>
    <m/>
  </r>
  <r>
    <d v="2026-05-04T00:00:00"/>
    <x v="51"/>
    <s v="251053"/>
    <x v="4"/>
    <n v="251053"/>
    <m/>
    <m/>
  </r>
  <r>
    <d v="2026-05-04T00:00:00"/>
    <x v="44"/>
    <s v="1907"/>
    <x v="4"/>
    <n v="1907"/>
    <m/>
    <m/>
  </r>
  <r>
    <d v="2026-05-04T00:00:00"/>
    <x v="29"/>
    <s v="1405"/>
    <x v="4"/>
    <n v="1405"/>
    <m/>
    <m/>
  </r>
  <r>
    <d v="2026-05-04T00:00:00"/>
    <x v="63"/>
    <s v="768"/>
    <x v="4"/>
    <n v="768"/>
    <m/>
    <m/>
  </r>
  <r>
    <d v="2026-05-04T00:00:00"/>
    <x v="44"/>
    <s v="4709"/>
    <x v="4"/>
    <n v="4709"/>
    <m/>
    <m/>
  </r>
  <r>
    <d v="2026-05-04T00:00:00"/>
    <x v="23"/>
    <s v="838"/>
    <x v="4"/>
    <n v="838"/>
    <m/>
    <m/>
  </r>
  <r>
    <d v="2026-05-04T00:00:00"/>
    <x v="0"/>
    <s v="535"/>
    <x v="4"/>
    <n v="535"/>
    <m/>
    <m/>
  </r>
  <r>
    <d v="2026-05-04T00:00:00"/>
    <x v="50"/>
    <s v="767"/>
    <x v="4"/>
    <n v="767"/>
    <m/>
    <m/>
  </r>
  <r>
    <d v="2026-05-04T00:00:00"/>
    <x v="6"/>
    <s v="1984"/>
    <x v="4"/>
    <n v="1984"/>
    <m/>
    <m/>
  </r>
  <r>
    <d v="2026-05-04T00:00:00"/>
    <x v="28"/>
    <s v="193"/>
    <x v="4"/>
    <n v="193"/>
    <m/>
    <m/>
  </r>
  <r>
    <d v="2026-05-04T00:00:00"/>
    <x v="12"/>
    <s v="535"/>
    <x v="4"/>
    <n v="535"/>
    <m/>
    <m/>
  </r>
  <r>
    <d v="2026-05-04T00:00:00"/>
    <x v="20"/>
    <s v="220"/>
    <x v="4"/>
    <n v="220"/>
    <m/>
    <m/>
  </r>
  <r>
    <d v="2026-05-04T00:00:00"/>
    <x v="74"/>
    <s v="152"/>
    <x v="4"/>
    <n v="152"/>
    <m/>
    <m/>
  </r>
  <r>
    <d v="2026-05-04T00:00:00"/>
    <x v="29"/>
    <s v="425"/>
    <x v="4"/>
    <n v="425"/>
    <m/>
    <m/>
  </r>
  <r>
    <d v="2026-05-04T00:00:00"/>
    <x v="68"/>
    <s v="250880"/>
    <x v="4"/>
    <n v="250880"/>
    <m/>
    <m/>
  </r>
  <r>
    <d v="2026-05-04T00:00:00"/>
    <x v="75"/>
    <s v="124"/>
    <x v="3"/>
    <n v="124"/>
    <m/>
    <m/>
  </r>
  <r>
    <d v="2026-05-04T00:00:00"/>
    <x v="41"/>
    <s v="250000"/>
    <x v="3"/>
    <n v="250000"/>
    <m/>
    <m/>
  </r>
  <r>
    <d v="2026-05-04T00:00:00"/>
    <x v="58"/>
    <s v="124"/>
    <x v="4"/>
    <n v="124"/>
    <m/>
    <m/>
  </r>
  <r>
    <d v="2026-05-04T00:00:00"/>
    <x v="71"/>
    <s v="484"/>
    <x v="4"/>
    <n v="484"/>
    <m/>
    <m/>
  </r>
  <r>
    <d v="2026-05-04T00:00:00"/>
    <x v="51"/>
    <s v="396"/>
    <x v="4"/>
    <n v="396"/>
    <m/>
    <m/>
  </r>
  <r>
    <d v="2026-05-04T00:00:00"/>
    <x v="6"/>
    <s v="577"/>
    <x v="4"/>
    <n v="577"/>
    <m/>
    <m/>
  </r>
  <r>
    <d v="2026-05-04T00:00:00"/>
    <x v="76"/>
    <s v="330"/>
    <x v="3"/>
    <n v="330"/>
    <m/>
    <m/>
  </r>
  <r>
    <d v="2026-05-04T00:00:00"/>
    <x v="13"/>
    <s v="4500"/>
    <x v="3"/>
    <n v="4500"/>
    <m/>
    <m/>
  </r>
  <r>
    <d v="2026-05-04T00:00:00"/>
    <x v="18"/>
    <s v="1880"/>
    <x v="3"/>
    <n v="1880"/>
    <m/>
    <m/>
  </r>
  <r>
    <d v="2026-05-04T00:00:00"/>
    <x v="39"/>
    <s v="7d 0h"/>
    <x v="2"/>
    <m/>
    <n v="7"/>
    <n v="168"/>
  </r>
  <r>
    <d v="2026-05-04T00:00:00"/>
    <x v="67"/>
    <s v="18060000"/>
    <x v="4"/>
    <n v="18060000"/>
    <m/>
    <m/>
  </r>
  <r>
    <d v="2026-05-04T00:00:00"/>
    <x v="13"/>
    <s v="4500"/>
    <x v="8"/>
    <n v="4500"/>
    <m/>
    <m/>
  </r>
  <r>
    <d v="2026-05-04T00:00:00"/>
    <x v="67"/>
    <s v="18060000"/>
    <x v="0"/>
    <n v="18060000"/>
    <m/>
    <m/>
  </r>
  <r>
    <d v="2026-05-04T00:00:00"/>
    <x v="67"/>
    <s v="6000"/>
    <x v="3"/>
    <n v="6000"/>
    <m/>
    <m/>
  </r>
  <r>
    <d v="2026-05-04T00:00:00"/>
    <x v="39"/>
    <s v="4500"/>
    <x v="7"/>
    <n v="4500"/>
    <m/>
    <m/>
  </r>
  <r>
    <d v="2026-05-04T00:00:00"/>
    <x v="22"/>
    <s v="50000"/>
    <x v="0"/>
    <n v="50000"/>
    <m/>
    <m/>
  </r>
  <r>
    <d v="2026-05-04T00:00:00"/>
    <x v="67"/>
    <s v="6000"/>
    <x v="8"/>
    <n v="6000"/>
    <m/>
    <m/>
  </r>
  <r>
    <d v="2026-05-04T00:00:00"/>
    <x v="39"/>
    <s v="4500"/>
    <x v="8"/>
    <n v="4500"/>
    <m/>
    <m/>
  </r>
  <r>
    <d v="2026-05-04T00:00:00"/>
    <x v="12"/>
    <s v="185466"/>
    <x v="4"/>
    <n v="185466"/>
    <m/>
    <m/>
  </r>
  <r>
    <d v="2026-05-04T00:00:00"/>
    <x v="50"/>
    <s v="1289351"/>
    <x v="6"/>
    <n v="1289351"/>
    <m/>
    <m/>
  </r>
  <r>
    <d v="2026-05-04T00:00:00"/>
    <x v="50"/>
    <s v="1110706"/>
    <x v="4"/>
    <n v="1110706"/>
    <m/>
    <m/>
  </r>
  <r>
    <d v="2026-05-04T00:00:00"/>
    <x v="50"/>
    <s v="1212047"/>
    <x v="3"/>
    <n v="1212047"/>
    <m/>
    <m/>
  </r>
  <r>
    <d v="2026-05-04T00:00:00"/>
    <x v="50"/>
    <s v="1110706"/>
    <x v="1"/>
    <n v="1110706"/>
    <m/>
    <m/>
  </r>
  <r>
    <d v="2026-05-04T00:00:00"/>
    <x v="0"/>
    <s v="1015986"/>
    <x v="4"/>
    <n v="1015986"/>
    <m/>
    <m/>
  </r>
  <r>
    <d v="2026-05-04T00:00:00"/>
    <x v="0"/>
    <s v="1000088"/>
    <x v="6"/>
    <n v="1000088"/>
    <m/>
    <m/>
  </r>
  <r>
    <d v="2026-05-04T00:00:00"/>
    <x v="0"/>
    <s v="1101197"/>
    <x v="4"/>
    <n v="1101197"/>
    <m/>
    <m/>
  </r>
  <r>
    <d v="2026-05-04T00:00:00"/>
    <x v="0"/>
    <s v="1111211"/>
    <x v="3"/>
    <n v="1111211"/>
    <m/>
    <m/>
  </r>
  <r>
    <d v="2026-05-04T00:00:00"/>
    <x v="21"/>
    <s v="350000"/>
    <x v="0"/>
    <n v="350000"/>
    <m/>
    <m/>
  </r>
  <r>
    <d v="2026-05-04T00:00:00"/>
    <x v="65"/>
    <s v="14000000"/>
    <x v="4"/>
    <n v="14000000"/>
    <m/>
    <m/>
  </r>
  <r>
    <d v="2026-05-04T00:00:00"/>
    <x v="0"/>
    <s v="1015986"/>
    <x v="3"/>
    <n v="1015986"/>
    <m/>
    <m/>
  </r>
  <r>
    <d v="2026-05-04T00:00:00"/>
    <x v="65"/>
    <s v="14000000"/>
    <x v="0"/>
    <n v="14000000"/>
    <m/>
    <m/>
  </r>
  <r>
    <d v="2026-05-04T00:00:00"/>
    <x v="0"/>
    <s v="1353049"/>
    <x v="3"/>
    <n v="1353049"/>
    <m/>
    <m/>
  </r>
  <r>
    <d v="2026-05-04T00:00:00"/>
    <x v="11"/>
    <s v="264"/>
    <x v="4"/>
    <n v="264"/>
    <m/>
    <m/>
  </r>
  <r>
    <d v="2026-05-04T00:00:00"/>
    <x v="42"/>
    <s v="500746"/>
    <x v="3"/>
    <n v="500746"/>
    <m/>
    <m/>
  </r>
  <r>
    <d v="2026-05-04T00:00:00"/>
    <x v="42"/>
    <s v="10680666"/>
    <x v="4"/>
    <n v="10680666"/>
    <m/>
    <m/>
  </r>
  <r>
    <d v="2026-05-04T00:00:00"/>
    <x v="63"/>
    <s v="1038274"/>
    <x v="6"/>
    <n v="1038274"/>
    <m/>
    <m/>
  </r>
  <r>
    <d v="2026-05-04T00:00:00"/>
    <x v="0"/>
    <s v="1101197"/>
    <x v="3"/>
    <n v="1101197"/>
    <m/>
    <m/>
  </r>
  <r>
    <d v="2026-05-04T00:00:00"/>
    <x v="21"/>
    <s v="350000"/>
    <x v="3"/>
    <n v="350000"/>
    <m/>
    <m/>
  </r>
  <r>
    <d v="2026-05-04T00:00:00"/>
    <x v="0"/>
    <s v="1353049"/>
    <x v="0"/>
    <n v="1353049"/>
    <m/>
    <m/>
  </r>
  <r>
    <d v="2026-05-04T00:00:00"/>
    <x v="42"/>
    <s v="10680666"/>
    <x v="0"/>
    <n v="10680666"/>
    <m/>
    <m/>
  </r>
  <r>
    <d v="2026-05-04T00:00:00"/>
    <x v="32"/>
    <s v="8112000"/>
    <x v="4"/>
    <n v="8112000"/>
    <m/>
    <m/>
  </r>
  <r>
    <d v="2026-05-04T00:00:00"/>
    <x v="42"/>
    <s v="615836"/>
    <x v="4"/>
    <n v="615836"/>
    <m/>
    <m/>
  </r>
  <r>
    <d v="2026-05-04T00:00:00"/>
    <x v="63"/>
    <s v="1050109"/>
    <x v="4"/>
    <n v="1050109"/>
    <m/>
    <m/>
  </r>
  <r>
    <d v="2026-05-04T00:00:00"/>
    <x v="63"/>
    <s v="1010329"/>
    <x v="3"/>
    <n v="1010329"/>
    <m/>
    <m/>
  </r>
  <r>
    <d v="2026-05-04T00:00:00"/>
    <x v="53"/>
    <s v="149422"/>
    <x v="4"/>
    <n v="149422"/>
    <m/>
    <m/>
  </r>
  <r>
    <d v="2026-05-04T00:00:00"/>
    <x v="73"/>
    <s v="7620000"/>
    <x v="6"/>
    <n v="7620000"/>
    <m/>
    <m/>
  </r>
  <r>
    <d v="2026-05-04T00:00:00"/>
    <x v="32"/>
    <s v="8112000"/>
    <x v="0"/>
    <n v="8112000"/>
    <m/>
    <m/>
  </r>
  <r>
    <d v="2026-05-04T00:00:00"/>
    <x v="63"/>
    <s v="1050109"/>
    <x v="1"/>
    <n v="1050109"/>
    <m/>
    <m/>
  </r>
  <r>
    <d v="2026-05-04T00:00:00"/>
    <x v="53"/>
    <s v="149422"/>
    <x v="0"/>
    <n v="149422"/>
    <m/>
    <m/>
  </r>
  <r>
    <d v="2026-05-04T00:00:00"/>
    <x v="73"/>
    <s v="7620000"/>
    <x v="3"/>
    <n v="7620000"/>
    <m/>
    <m/>
  </r>
  <r>
    <d v="2026-05-04T00:00:00"/>
    <x v="11"/>
    <s v="814642"/>
    <x v="1"/>
    <n v="814642"/>
    <m/>
    <m/>
  </r>
  <r>
    <d v="2026-05-04T00:00:00"/>
    <x v="11"/>
    <s v="272023"/>
    <x v="3"/>
    <n v="272023"/>
    <m/>
    <m/>
  </r>
  <r>
    <d v="2026-05-04T00:00:00"/>
    <x v="66"/>
    <s v="17145000"/>
    <x v="4"/>
    <n v="17145000"/>
    <m/>
    <m/>
  </r>
  <r>
    <d v="2026-05-04T00:00:00"/>
    <x v="11"/>
    <s v="1827147"/>
    <x v="4"/>
    <n v="1827147"/>
    <m/>
    <m/>
  </r>
  <r>
    <d v="2026-05-04T00:00:00"/>
    <x v="24"/>
    <s v="821722"/>
    <x v="3"/>
    <n v="821722"/>
    <m/>
    <m/>
  </r>
  <r>
    <d v="2026-05-04T00:00:00"/>
    <x v="63"/>
    <s v="1050109"/>
    <x v="3"/>
    <n v="1050109"/>
    <m/>
    <m/>
  </r>
  <r>
    <d v="2026-05-04T00:00:00"/>
    <x v="66"/>
    <s v="17145000"/>
    <x v="1"/>
    <n v="17145000"/>
    <m/>
    <m/>
  </r>
  <r>
    <d v="2026-05-04T00:00:00"/>
    <x v="11"/>
    <s v="1827147"/>
    <x v="0"/>
    <n v="1827147"/>
    <m/>
    <m/>
  </r>
  <r>
    <d v="2026-05-04T00:00:00"/>
    <x v="24"/>
    <s v="821722"/>
    <x v="4"/>
    <n v="821722"/>
    <m/>
    <m/>
  </r>
  <r>
    <d v="2026-05-04T00:00:00"/>
    <x v="35"/>
    <s v="1250000"/>
    <x v="4"/>
    <n v="1250000"/>
    <m/>
    <m/>
  </r>
  <r>
    <d v="2026-05-04T00:00:00"/>
    <x v="29"/>
    <s v="8d 2h"/>
    <x v="2"/>
    <m/>
    <n v="8"/>
    <n v="194"/>
  </r>
  <r>
    <d v="2026-05-04T00:00:00"/>
    <x v="58"/>
    <s v="1d 6h"/>
    <x v="2"/>
    <m/>
    <n v="1"/>
    <n v="30"/>
  </r>
  <r>
    <d v="2026-05-04T00:00:00"/>
    <x v="24"/>
    <s v="821722"/>
    <x v="1"/>
    <n v="821722"/>
    <m/>
    <m/>
  </r>
  <r>
    <d v="2026-05-04T00:00:00"/>
    <x v="69"/>
    <s v="77d 7h"/>
    <x v="2"/>
    <m/>
    <n v="77"/>
    <n v="1855"/>
  </r>
  <r>
    <d v="2026-05-04T00:00:00"/>
    <x v="68"/>
    <s v="3d 5h"/>
    <x v="2"/>
    <m/>
    <n v="3"/>
    <n v="77"/>
  </r>
  <r>
    <d v="2026-05-04T00:00:00"/>
    <x v="23"/>
    <s v="1009841"/>
    <x v="3"/>
    <n v="1009841"/>
    <m/>
    <m/>
  </r>
  <r>
    <d v="2026-05-04T00:00:00"/>
    <x v="43"/>
    <s v="8946000"/>
    <x v="4"/>
    <n v="894600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8">
  <r>
    <d v="2026-05-01T01:06:00"/>
    <s v="Gifts"/>
    <s v="Elegant Chest"/>
    <x v="0"/>
    <s v="Level 15 Crypt"/>
    <x v="0"/>
  </r>
  <r>
    <d v="2026-05-01T01:06:00"/>
    <s v="Gifts"/>
    <s v="Pacified Mimic Chest"/>
    <x v="1"/>
    <s v="Mimic Chest"/>
    <x v="1"/>
  </r>
  <r>
    <d v="2026-05-01T01:06:00"/>
    <s v="Gifts"/>
    <s v="Gnome Workshop Chest"/>
    <x v="2"/>
    <s v="Level 10 Crypt"/>
    <x v="2"/>
  </r>
  <r>
    <d v="2026-05-01T01:06:00"/>
    <s v="Gifts"/>
    <s v="Bone Chest"/>
    <x v="2"/>
    <s v="Level 10 Crypt"/>
    <x v="2"/>
  </r>
  <r>
    <d v="2026-05-01T01:06:00"/>
    <s v="Gifts"/>
    <s v="Pacified Mimic Chest"/>
    <x v="2"/>
    <s v="Mimic Chest"/>
    <x v="1"/>
  </r>
  <r>
    <d v="2026-05-01T01:06:00"/>
    <s v="Gifts"/>
    <s v="Infernal Chest"/>
    <x v="3"/>
    <s v="Level 15 Crypt"/>
    <x v="0"/>
  </r>
  <r>
    <d v="2026-05-01T01:06:00"/>
    <s v="Gifts"/>
    <s v="Elegant Chest"/>
    <x v="4"/>
    <s v="Level 5 Crypt"/>
    <x v="3"/>
  </r>
  <r>
    <d v="2026-05-01T01:06:00"/>
    <s v="Gifts"/>
    <s v="Gnome Workshop Chest"/>
    <x v="5"/>
    <s v="Level 5 Crypt"/>
    <x v="3"/>
  </r>
  <r>
    <d v="2026-05-01T01:06:00"/>
    <s v="Gifts"/>
    <s v="Cobra Chest"/>
    <x v="3"/>
    <s v="Level 20 Crypt"/>
    <x v="4"/>
  </r>
  <r>
    <d v="2026-05-01T01:06:00"/>
    <s v="Gifts"/>
    <s v="Stone Chest"/>
    <x v="6"/>
    <s v="Level 15 Crypt"/>
    <x v="0"/>
  </r>
  <r>
    <d v="2026-05-01T01:06:00"/>
    <s v="Gifts"/>
    <s v="Cobra Chest"/>
    <x v="6"/>
    <s v="Level 10 Crypt"/>
    <x v="2"/>
  </r>
  <r>
    <d v="2026-05-01T01:06:00"/>
    <s v="Triumphal Gifts"/>
    <s v="Golden Chest"/>
    <x v="3"/>
    <s v="Bank"/>
    <x v="5"/>
  </r>
  <r>
    <d v="2026-05-01T01:06:00"/>
    <s v="Triumphal Gifts"/>
    <s v="Golden Chest"/>
    <x v="3"/>
    <s v="Bank"/>
    <x v="5"/>
  </r>
  <r>
    <d v="2026-05-01T01:06:00"/>
    <s v="Triumphal Gifts"/>
    <s v="Golden Chest"/>
    <x v="3"/>
    <s v="Bank"/>
    <x v="5"/>
  </r>
  <r>
    <d v="2026-05-01T01:06:00"/>
    <s v="Triumphal Gifts"/>
    <s v="Wooden Chest"/>
    <x v="7"/>
    <s v="Bank"/>
    <x v="5"/>
  </r>
  <r>
    <d v="2026-05-01T01:06:00"/>
    <s v="Triumphal Gifts"/>
    <s v="Wooden Chest"/>
    <x v="7"/>
    <s v="Bank"/>
    <x v="5"/>
  </r>
  <r>
    <d v="2026-05-01T01:06:00"/>
    <s v="Triumphal Gifts"/>
    <s v="Wooden Chest"/>
    <x v="7"/>
    <s v="Bank"/>
    <x v="5"/>
  </r>
  <r>
    <d v="2026-05-01T01:46:00"/>
    <s v="Gifts"/>
    <s v="Cursed Citadel Chest"/>
    <x v="3"/>
    <s v="Level 20 Citadel"/>
    <x v="6"/>
  </r>
  <r>
    <d v="2026-05-01T01:46:00"/>
    <s v="Gifts"/>
    <s v="Rare Dragon Chest"/>
    <x v="8"/>
    <s v="Level 20 rare Crypt"/>
    <x v="7"/>
  </r>
  <r>
    <d v="2026-05-01T01:46:00"/>
    <s v="Gifts"/>
    <s v="Rare Dragon Chest"/>
    <x v="9"/>
    <s v="Level 10 rare Crypt"/>
    <x v="8"/>
  </r>
  <r>
    <d v="2026-05-01T01:46:00"/>
    <s v="Gifts"/>
    <s v="Rare Dragon Chest"/>
    <x v="9"/>
    <s v="Level 10 rare Crypt"/>
    <x v="8"/>
  </r>
  <r>
    <d v="2026-05-01T01:46:00"/>
    <s v="Gifts"/>
    <s v="Infernal Chest"/>
    <x v="10"/>
    <s v="Level 10 Crypt"/>
    <x v="2"/>
  </r>
  <r>
    <d v="2026-05-01T01:46:00"/>
    <s v="Gifts"/>
    <s v="Rare Dragon Chest"/>
    <x v="9"/>
    <s v="Level 10 rare Crypt"/>
    <x v="8"/>
  </r>
  <r>
    <d v="2026-05-01T01:46:00"/>
    <s v="Gifts"/>
    <s v="Mayan Chest"/>
    <x v="10"/>
    <s v="Level 15 Crypt"/>
    <x v="0"/>
  </r>
  <r>
    <d v="2026-05-01T01:46:00"/>
    <s v="Gifts"/>
    <s v="Barbarian Chest"/>
    <x v="10"/>
    <s v="Level 10 Crypt"/>
    <x v="2"/>
  </r>
  <r>
    <d v="2026-05-01T01:46:00"/>
    <s v="Gifts"/>
    <s v="Stone Chest"/>
    <x v="11"/>
    <s v="Level 5 Crypt"/>
    <x v="3"/>
  </r>
  <r>
    <d v="2026-05-01T01:46:00"/>
    <s v="Gifts"/>
    <s v="Mayan Chest"/>
    <x v="10"/>
    <s v="Level 15 Crypt"/>
    <x v="0"/>
  </r>
  <r>
    <d v="2026-05-01T01:46:00"/>
    <s v="Gifts"/>
    <s v="Bone Chest"/>
    <x v="10"/>
    <s v="Level 10 Crypt"/>
    <x v="2"/>
  </r>
  <r>
    <d v="2026-05-01T01:46:00"/>
    <s v="Gifts"/>
    <s v="Rare Dragon Chest"/>
    <x v="9"/>
    <s v="Level 10 rare Crypt"/>
    <x v="8"/>
  </r>
  <r>
    <d v="2026-05-01T01:46:00"/>
    <s v="Gifts"/>
    <s v="Bone Chest"/>
    <x v="11"/>
    <s v="Level 10 Crypt"/>
    <x v="2"/>
  </r>
  <r>
    <d v="2026-05-01T01:46:00"/>
    <s v="Gifts"/>
    <s v="Forgotten Chest"/>
    <x v="10"/>
    <s v="Level 10 Crypt"/>
    <x v="2"/>
  </r>
  <r>
    <d v="2026-05-01T01:46:00"/>
    <s v="Gifts"/>
    <s v="Rare Dragon Chest"/>
    <x v="9"/>
    <s v="Level 10 rare Crypt"/>
    <x v="8"/>
  </r>
  <r>
    <d v="2026-05-01T01:46:00"/>
    <s v="Gifts"/>
    <s v="Mayan Chest"/>
    <x v="10"/>
    <s v="Level 15 Crypt"/>
    <x v="0"/>
  </r>
  <r>
    <d v="2026-05-01T01:46:00"/>
    <s v="Gifts"/>
    <s v="Rare Dragon Chest"/>
    <x v="9"/>
    <s v="Level 10 rare Crypt"/>
    <x v="8"/>
  </r>
  <r>
    <d v="2026-05-01T01:46:00"/>
    <s v="Gifts"/>
    <s v="Warrior's Chest"/>
    <x v="10"/>
    <s v="Level 20 epic Crypt"/>
    <x v="9"/>
  </r>
  <r>
    <d v="2026-05-01T01:46:00"/>
    <s v="Gifts"/>
    <s v="Rare Dragon Chest"/>
    <x v="9"/>
    <s v="Level 10 rare Crypt"/>
    <x v="8"/>
  </r>
  <r>
    <d v="2026-05-01T01:46:00"/>
    <s v="Gifts"/>
    <s v="Scarab Chest"/>
    <x v="10"/>
    <s v="Level 15 epic Crypt"/>
    <x v="10"/>
  </r>
  <r>
    <d v="2026-05-01T01:46:00"/>
    <s v="Gifts"/>
    <s v="Rare Dragon Chest"/>
    <x v="9"/>
    <s v="Level 10 rare Crypt"/>
    <x v="8"/>
  </r>
  <r>
    <d v="2026-05-01T01:46:00"/>
    <s v="Gifts"/>
    <s v="Minotaur Chest"/>
    <x v="8"/>
    <s v="Level 20 epic Crypt"/>
    <x v="9"/>
  </r>
  <r>
    <d v="2026-05-01T01:46:00"/>
    <s v="Gifts"/>
    <s v="Mayan Chest"/>
    <x v="10"/>
    <s v="Level 20 Crypt"/>
    <x v="4"/>
  </r>
  <r>
    <d v="2026-05-01T01:46:00"/>
    <s v="Gifts"/>
    <s v="Rare Dragon Chest"/>
    <x v="9"/>
    <s v="Level 10 rare Crypt"/>
    <x v="8"/>
  </r>
  <r>
    <d v="2026-05-01T01:46:00"/>
    <s v="Triumphal Gifts"/>
    <s v="Wooden Chest"/>
    <x v="12"/>
    <s v="Bank"/>
    <x v="5"/>
  </r>
  <r>
    <d v="2026-05-01T01:46:00"/>
    <s v="Triumphal Gifts"/>
    <s v="Wooden Chest"/>
    <x v="12"/>
    <s v="Bank"/>
    <x v="5"/>
  </r>
  <r>
    <d v="2026-05-01T01:46:00"/>
    <s v="Triumphal Gifts"/>
    <s v="Wooden Chest"/>
    <x v="12"/>
    <s v="Bank"/>
    <x v="5"/>
  </r>
  <r>
    <d v="2026-05-01T01:46:00"/>
    <s v="Triumphal Gifts"/>
    <s v="Wooden Chest"/>
    <x v="13"/>
    <s v="Bank"/>
    <x v="5"/>
  </r>
  <r>
    <d v="2026-05-01T01:46:00"/>
    <s v="Triumphal Gifts"/>
    <s v="Wooden Chest"/>
    <x v="13"/>
    <s v="Bank"/>
    <x v="5"/>
  </r>
  <r>
    <d v="2026-05-01T01:46:00"/>
    <s v="Triumphal Gifts"/>
    <s v="Wooden Chest"/>
    <x v="13"/>
    <s v="Bank"/>
    <x v="5"/>
  </r>
  <r>
    <d v="2026-05-01T02:53:00"/>
    <s v="Gifts"/>
    <s v="Elegant Chest"/>
    <x v="14"/>
    <s v="Level 10 Crypt"/>
    <x v="2"/>
  </r>
  <r>
    <d v="2026-05-01T02:53:00"/>
    <s v="Gifts"/>
    <s v="Union Chest"/>
    <x v="15"/>
    <s v="Union of Triumph personal reward"/>
    <x v="1"/>
  </r>
  <r>
    <d v="2026-05-01T02:53:00"/>
    <s v="Gifts"/>
    <s v="Union Chest"/>
    <x v="15"/>
    <s v="Union of Triumph personal reward"/>
    <x v="1"/>
  </r>
  <r>
    <d v="2026-05-01T02:53:00"/>
    <s v="Gifts"/>
    <s v="Union Chest"/>
    <x v="15"/>
    <s v="Union of Triumph personal reward"/>
    <x v="1"/>
  </r>
  <r>
    <d v="2026-05-01T02:53:00"/>
    <s v="Gifts"/>
    <s v="Union Chest"/>
    <x v="15"/>
    <s v="Union of Triumph personal reward"/>
    <x v="1"/>
  </r>
  <r>
    <d v="2026-05-01T02:53:00"/>
    <s v="Gifts"/>
    <s v="Union Chest"/>
    <x v="15"/>
    <s v="Union of Triumph personal reward"/>
    <x v="1"/>
  </r>
  <r>
    <d v="2026-05-01T02:53:00"/>
    <s v="Gifts"/>
    <s v="Union Chest"/>
    <x v="15"/>
    <s v="Union of Triumph personal reward"/>
    <x v="1"/>
  </r>
  <r>
    <d v="2026-05-01T02:53:00"/>
    <s v="Gifts"/>
    <s v="Forgotten Chest"/>
    <x v="16"/>
    <s v="Level 10 Crypt"/>
    <x v="2"/>
  </r>
  <r>
    <d v="2026-05-01T02:53:00"/>
    <s v="Gifts"/>
    <s v="Elven Citadel Chest"/>
    <x v="14"/>
    <s v="Level 10 Citadel"/>
    <x v="11"/>
  </r>
  <r>
    <d v="2026-05-01T02:53:00"/>
    <s v="Gifts"/>
    <s v="Orc Chest"/>
    <x v="8"/>
    <s v="Level 10 Crypt"/>
    <x v="2"/>
  </r>
  <r>
    <d v="2026-05-01T02:53:00"/>
    <s v="Gifts"/>
    <s v="Bone Chest"/>
    <x v="8"/>
    <s v="Level 10 Crypt"/>
    <x v="2"/>
  </r>
  <r>
    <d v="2026-05-01T02:53:00"/>
    <s v="Gifts"/>
    <s v="Gnome Workshop Chest"/>
    <x v="8"/>
    <s v="Level 10 Crypt"/>
    <x v="2"/>
  </r>
  <r>
    <d v="2026-05-01T02:53:00"/>
    <s v="Gifts"/>
    <s v="Sand Chest"/>
    <x v="5"/>
    <s v="Level 5 Crypt"/>
    <x v="3"/>
  </r>
  <r>
    <d v="2026-05-01T02:53:00"/>
    <s v="Triumphal Gifts"/>
    <s v="Wooden Chest"/>
    <x v="14"/>
    <s v="Bank"/>
    <x v="5"/>
  </r>
  <r>
    <d v="2026-05-01T02:53:00"/>
    <s v="Triumphal Gifts"/>
    <s v="Wooden Chest"/>
    <x v="14"/>
    <s v="Bank"/>
    <x v="5"/>
  </r>
  <r>
    <d v="2026-05-01T02:53:00"/>
    <s v="Triumphal Gifts"/>
    <s v="Wooden Chest"/>
    <x v="14"/>
    <s v="Bank"/>
    <x v="5"/>
  </r>
  <r>
    <d v="2026-05-01T12:40:00"/>
    <s v="Gifts"/>
    <s v="Elven Citadel Chest"/>
    <x v="3"/>
    <s v="Level 15 Citadel"/>
    <x v="12"/>
  </r>
  <r>
    <d v="2026-05-01T12:40:00"/>
    <s v="Gifts"/>
    <s v="Gladiator's Chest"/>
    <x v="11"/>
    <s v="Arena"/>
    <x v="1"/>
  </r>
  <r>
    <d v="2026-05-01T12:40:00"/>
    <s v="Gifts"/>
    <s v="Elven Citadel Chest"/>
    <x v="3"/>
    <s v="Level 20 Citadel"/>
    <x v="6"/>
  </r>
  <r>
    <d v="2026-05-01T12:40:00"/>
    <s v="Gifts"/>
    <s v="Gladiator's Chest"/>
    <x v="11"/>
    <s v="Arena"/>
    <x v="1"/>
  </r>
  <r>
    <d v="2026-05-01T12:40:00"/>
    <s v="Gifts"/>
    <s v="Sand Chest"/>
    <x v="11"/>
    <s v="Level 5 Crypt"/>
    <x v="3"/>
  </r>
  <r>
    <d v="2026-05-01T12:40:00"/>
    <s v="Gifts"/>
    <s v="Stone Chest"/>
    <x v="11"/>
    <s v="Level 5 Crypt"/>
    <x v="3"/>
  </r>
  <r>
    <d v="2026-05-01T12:40:00"/>
    <s v="Gifts"/>
    <s v="Forgotten Chest"/>
    <x v="11"/>
    <s v="Level 5 Crypt"/>
    <x v="3"/>
  </r>
  <r>
    <d v="2026-05-01T12:40:00"/>
    <s v="Gifts"/>
    <s v="Infernal Chest"/>
    <x v="11"/>
    <s v="Level 5 Crypt"/>
    <x v="3"/>
  </r>
  <r>
    <d v="2026-05-01T12:40:00"/>
    <s v="Gifts"/>
    <s v="Barbarian Chest"/>
    <x v="17"/>
    <s v="Level 10 Crypt"/>
    <x v="2"/>
  </r>
  <r>
    <d v="2026-05-01T12:40:00"/>
    <s v="Gifts"/>
    <s v="Barbarian Chest"/>
    <x v="17"/>
    <s v="Level 10 Crypt"/>
    <x v="2"/>
  </r>
  <r>
    <d v="2026-05-01T12:40:00"/>
    <s v="Gifts"/>
    <s v="Gladiator's Chest"/>
    <x v="1"/>
    <s v="Arena"/>
    <x v="1"/>
  </r>
  <r>
    <d v="2026-05-01T12:40:00"/>
    <s v="Gifts"/>
    <s v="Mayan Chest"/>
    <x v="18"/>
    <s v="Level 10 Crypt"/>
    <x v="2"/>
  </r>
  <r>
    <d v="2026-05-01T12:40:00"/>
    <s v="Gifts"/>
    <s v="Sand Chest"/>
    <x v="17"/>
    <s v="Level 5 Crypt"/>
    <x v="3"/>
  </r>
  <r>
    <d v="2026-05-01T12:40:00"/>
    <s v="Gifts"/>
    <s v="Stone Chest"/>
    <x v="17"/>
    <s v="Level 10 Crypt"/>
    <x v="2"/>
  </r>
  <r>
    <d v="2026-05-01T12:40:00"/>
    <s v="Gifts"/>
    <s v="Stone Chest"/>
    <x v="19"/>
    <s v="Level 15 Crypt"/>
    <x v="0"/>
  </r>
  <r>
    <d v="2026-05-01T12:40:00"/>
    <s v="Gifts"/>
    <s v="Elegant Chest"/>
    <x v="20"/>
    <s v="Level 10 Crypt"/>
    <x v="2"/>
  </r>
  <r>
    <d v="2026-05-01T12:40:00"/>
    <s v="Gifts"/>
    <s v="Abandoned Chest"/>
    <x v="11"/>
    <s v="Level 15 epic Crypt"/>
    <x v="10"/>
  </r>
  <r>
    <d v="2026-05-01T12:40:00"/>
    <s v="Gifts"/>
    <s v="Elegant Chest"/>
    <x v="20"/>
    <s v="Level 10 Crypt"/>
    <x v="2"/>
  </r>
  <r>
    <d v="2026-05-01T12:40:00"/>
    <s v="Gifts"/>
    <s v="Stone Chest"/>
    <x v="20"/>
    <s v="Level 10 Crypt"/>
    <x v="2"/>
  </r>
  <r>
    <d v="2026-05-01T12:40:00"/>
    <s v="Gifts"/>
    <s v="Elven Citadel Chest"/>
    <x v="21"/>
    <s v="Level 10 Citadel"/>
    <x v="11"/>
  </r>
  <r>
    <d v="2026-05-01T12:40:00"/>
    <s v="Gifts"/>
    <s v="Elegant Chest"/>
    <x v="22"/>
    <s v="Level 10 Crypt"/>
    <x v="2"/>
  </r>
  <r>
    <d v="2026-05-01T12:40:00"/>
    <s v="Gifts"/>
    <s v="Orc Chest"/>
    <x v="21"/>
    <s v="Level 10 Crypt"/>
    <x v="2"/>
  </r>
  <r>
    <d v="2026-05-01T12:40:00"/>
    <s v="Gifts"/>
    <s v="Cursed Citadel Chest"/>
    <x v="3"/>
    <s v="Level 20 Citadel"/>
    <x v="6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Rare Dragon Chest"/>
    <x v="3"/>
    <s v="Level 10 rare Crypt"/>
    <x v="8"/>
  </r>
  <r>
    <d v="2026-05-01T12:40:00"/>
    <s v="Gifts"/>
    <s v="Elven Citadel Chest"/>
    <x v="3"/>
    <s v="Level 10 Citadel"/>
    <x v="11"/>
  </r>
  <r>
    <d v="2026-05-01T12:40:00"/>
    <s v="Gifts"/>
    <s v="Gladiator's Chest"/>
    <x v="12"/>
    <s v="Arena"/>
    <x v="1"/>
  </r>
  <r>
    <d v="2026-05-01T12:40:00"/>
    <s v="Gifts"/>
    <s v="Rare Dragon Chest"/>
    <x v="12"/>
    <s v="Level 10 rare Crypt"/>
    <x v="8"/>
  </r>
  <r>
    <d v="2026-05-01T12:40:00"/>
    <s v="Gifts"/>
    <s v="Ascendant Ashen Chest"/>
    <x v="23"/>
    <s v="Epic Ashen Squad"/>
    <x v="1"/>
  </r>
  <r>
    <d v="2026-05-01T12:40:00"/>
    <s v="Gifts"/>
    <s v="Rare Dragon Chest"/>
    <x v="12"/>
    <s v="Level 10 rare Crypt"/>
    <x v="8"/>
  </r>
  <r>
    <d v="2026-05-01T12:40:00"/>
    <s v="Gifts"/>
    <s v="Rare Dragon Chest"/>
    <x v="24"/>
    <s v="Level 10 rare Crypt"/>
    <x v="8"/>
  </r>
  <r>
    <d v="2026-05-01T12:40:00"/>
    <s v="Gifts"/>
    <s v="Elven Citadel Chest"/>
    <x v="24"/>
    <s v="Level 15 Citadel}"/>
    <x v="1"/>
  </r>
  <r>
    <d v="2026-05-01T12:40:00"/>
    <s v="Gifts"/>
    <s v="Elven Citadel Chest"/>
    <x v="6"/>
    <s v="Level 10 Citadel"/>
    <x v="11"/>
  </r>
  <r>
    <d v="2026-05-01T12:40:00"/>
    <s v="Gifts"/>
    <s v="Elven Citadel Chest"/>
    <x v="24"/>
    <s v="Level 15 Citadel}"/>
    <x v="1"/>
  </r>
  <r>
    <d v="2026-05-01T12:40:00"/>
    <s v="Gifts"/>
    <s v="Rare Dragon Chest"/>
    <x v="24"/>
    <s v="Level 15 rare Crypt"/>
    <x v="13"/>
  </r>
  <r>
    <d v="2026-05-01T12:40:00"/>
    <s v="Gifts"/>
    <s v="Rare Dragon Chest"/>
    <x v="6"/>
    <s v="Level 10 rare Crypt"/>
    <x v="8"/>
  </r>
  <r>
    <d v="2026-05-01T12:40:00"/>
    <s v="Gifts"/>
    <s v="Ascendant Ashen Chest"/>
    <x v="24"/>
    <s v="Epic Ashen Squad"/>
    <x v="1"/>
  </r>
  <r>
    <d v="2026-05-01T12:40:00"/>
    <s v="Gifts"/>
    <s v="Cobalt Chest"/>
    <x v="6"/>
    <s v="Level 15 epic Crypt"/>
    <x v="10"/>
  </r>
  <r>
    <d v="2026-05-01T12:40:00"/>
    <s v="Gifts"/>
    <s v="Ascendant Ashen Chest"/>
    <x v="25"/>
    <s v="Epic Ashen Squad"/>
    <x v="1"/>
  </r>
  <r>
    <d v="2026-05-01T12:40:00"/>
    <s v="Gifts"/>
    <s v="Gnome Workshop Chest"/>
    <x v="26"/>
    <s v="Level 5 Crypt"/>
    <x v="3"/>
  </r>
  <r>
    <d v="2026-05-01T12:40:00"/>
    <s v="Gifts"/>
    <s v="Infernal Chest"/>
    <x v="6"/>
    <s v="Level 15 Crypt"/>
    <x v="0"/>
  </r>
  <r>
    <d v="2026-05-01T12:40:00"/>
    <s v="Gifts"/>
    <s v="Infernal Chest"/>
    <x v="2"/>
    <s v="Level 15 Crypt"/>
    <x v="0"/>
  </r>
  <r>
    <d v="2026-05-01T12:40:00"/>
    <s v="Gifts"/>
    <s v="Ascendant Ashen Chest"/>
    <x v="27"/>
    <s v="Epic Ashen Squad"/>
    <x v="1"/>
  </r>
  <r>
    <d v="2026-05-01T12:40:00"/>
    <s v="Gifts"/>
    <s v="Cobra Chest"/>
    <x v="27"/>
    <s v="Level 10 Crypt"/>
    <x v="2"/>
  </r>
  <r>
    <d v="2026-05-01T12:40:00"/>
    <s v="Gifts"/>
    <s v="Mayan Chest"/>
    <x v="27"/>
    <s v="Level 10 Crypt"/>
    <x v="2"/>
  </r>
  <r>
    <d v="2026-05-01T12:40:00"/>
    <s v="Gifts"/>
    <s v="Ascendant Ashen Chest"/>
    <x v="28"/>
    <s v="Epic Ashen Squad"/>
    <x v="1"/>
  </r>
  <r>
    <d v="2026-05-01T12:40:00"/>
    <s v="Gifts"/>
    <s v="Elegant Chest"/>
    <x v="1"/>
    <s v="Level 15 Crypt"/>
    <x v="0"/>
  </r>
  <r>
    <d v="2026-05-01T12:40:00"/>
    <s v="Gifts"/>
    <s v="Elegant Chest"/>
    <x v="2"/>
    <s v="Level 10 Crypt"/>
    <x v="2"/>
  </r>
  <r>
    <d v="2026-05-01T12:40:00"/>
    <s v="Gifts"/>
    <s v="Barbarian Chest"/>
    <x v="2"/>
    <s v="Level 10 Crypt"/>
    <x v="2"/>
  </r>
  <r>
    <d v="2026-05-01T12:40:00"/>
    <s v="Gifts"/>
    <s v="Mayan Chest"/>
    <x v="2"/>
    <s v="Level 10 Crypt"/>
    <x v="2"/>
  </r>
  <r>
    <d v="2026-05-01T12:40:00"/>
    <s v="Gifts"/>
    <s v="Mayan Chest"/>
    <x v="2"/>
    <s v="Level 10 Crypt"/>
    <x v="2"/>
  </r>
  <r>
    <d v="2026-05-01T12:40:00"/>
    <s v="Gifts"/>
    <s v="Stone Chest"/>
    <x v="29"/>
    <s v="Level 5 Crypt"/>
    <x v="3"/>
  </r>
  <r>
    <d v="2026-05-01T12:40:00"/>
    <s v="Gifts"/>
    <s v="Orc Chest"/>
    <x v="27"/>
    <s v="Level 15 Crypt"/>
    <x v="0"/>
  </r>
  <r>
    <d v="2026-05-01T12:40:00"/>
    <s v="Gifts"/>
    <s v="Elegant Chest"/>
    <x v="27"/>
    <s v="Level 15 Crypt"/>
    <x v="0"/>
  </r>
  <r>
    <d v="2026-05-01T12:40:00"/>
    <s v="Gifts"/>
    <s v="Elven Citadel Chest"/>
    <x v="6"/>
    <s v="Level 10 Citadel"/>
    <x v="11"/>
  </r>
  <r>
    <d v="2026-05-01T12:40:00"/>
    <s v="Gifts"/>
    <s v="Cobra Chest"/>
    <x v="27"/>
    <s v="Level 5 Crypt"/>
    <x v="3"/>
  </r>
  <r>
    <d v="2026-05-01T12:40:00"/>
    <s v="Gifts"/>
    <s v="Bone Chest"/>
    <x v="29"/>
    <s v="Level 5 Crypt"/>
    <x v="3"/>
  </r>
  <r>
    <d v="2026-05-01T12:40:00"/>
    <s v="Gifts"/>
    <s v="Rare Dragon Chest"/>
    <x v="6"/>
    <s v="Level 10 rare Crypt"/>
    <x v="8"/>
  </r>
  <r>
    <d v="2026-05-01T12:40:00"/>
    <s v="Gifts"/>
    <s v="Sand Chest"/>
    <x v="27"/>
    <s v="Level 5 Crypt"/>
    <x v="3"/>
  </r>
  <r>
    <d v="2026-05-01T12:40:00"/>
    <s v="Gifts"/>
    <s v="Fire Chest"/>
    <x v="27"/>
    <s v="Level 20 Crypt"/>
    <x v="4"/>
  </r>
  <r>
    <d v="2026-05-01T12:40:00"/>
    <s v="Gifts"/>
    <s v="Orc Chest"/>
    <x v="30"/>
    <s v="Level 10 Crypt"/>
    <x v="2"/>
  </r>
  <r>
    <d v="2026-05-01T12:40:00"/>
    <s v="Gifts"/>
    <s v="Barbarian Chest"/>
    <x v="30"/>
    <s v="Level 5 Crypt"/>
    <x v="3"/>
  </r>
  <r>
    <d v="2026-05-01T12:40:00"/>
    <s v="Gifts"/>
    <s v="Governor's Chest"/>
    <x v="0"/>
    <s v="Story"/>
    <x v="1"/>
  </r>
  <r>
    <d v="2026-05-01T12:40:00"/>
    <s v="Gifts"/>
    <s v="Union Chest"/>
    <x v="15"/>
    <s v="Union of Triumph personal reward"/>
    <x v="1"/>
  </r>
  <r>
    <d v="2026-05-01T12:40:00"/>
    <s v="Gifts"/>
    <s v="Union Chest"/>
    <x v="15"/>
    <s v="Union of Triumph personal reward"/>
    <x v="1"/>
  </r>
  <r>
    <d v="2026-05-01T12:40:00"/>
    <s v="Gifts"/>
    <s v="Union Chest"/>
    <x v="15"/>
    <s v="Union of Triumph personal reward"/>
    <x v="1"/>
  </r>
  <r>
    <d v="2026-05-01T12:40:00"/>
    <s v="Gifts"/>
    <s v="Union Chest"/>
    <x v="15"/>
    <s v="Union of Triumph personal reward"/>
    <x v="1"/>
  </r>
  <r>
    <d v="2026-05-01T12:40:00"/>
    <s v="Gifts"/>
    <s v="Union Chest"/>
    <x v="15"/>
    <s v="Union of Triumph personal reward"/>
    <x v="1"/>
  </r>
  <r>
    <d v="2026-05-01T12:40:00"/>
    <s v="Gifts"/>
    <s v="Ascendant Ashen Chest"/>
    <x v="19"/>
    <s v="Epic Ashen Squad"/>
    <x v="1"/>
  </r>
  <r>
    <d v="2026-05-01T12:40:00"/>
    <s v="Gifts"/>
    <s v="Infernal Chest"/>
    <x v="31"/>
    <s v="Level 15 Crypt"/>
    <x v="0"/>
  </r>
  <r>
    <d v="2026-05-01T12:40:00"/>
    <s v="Gifts"/>
    <s v="Infernal Chest"/>
    <x v="14"/>
    <s v="Level 5 Crypt"/>
    <x v="3"/>
  </r>
  <r>
    <d v="2026-05-01T12:40:00"/>
    <s v="Gifts"/>
    <s v="Sand Chest"/>
    <x v="31"/>
    <s v="Level 15 Crypt"/>
    <x v="0"/>
  </r>
  <r>
    <d v="2026-05-01T12:40:00"/>
    <s v="Gifts"/>
    <s v="Mayan Chest"/>
    <x v="5"/>
    <s v="Level 10 Crypt"/>
    <x v="2"/>
  </r>
  <r>
    <d v="2026-05-01T12:40:00"/>
    <s v="Gifts"/>
    <s v="Bone Chest"/>
    <x v="31"/>
    <s v="Level 10 Crypt"/>
    <x v="2"/>
  </r>
  <r>
    <d v="2026-05-01T12:40:00"/>
    <s v="Gifts"/>
    <s v="Stone Chest"/>
    <x v="31"/>
    <s v="Level 5 Crypt"/>
    <x v="3"/>
  </r>
  <r>
    <d v="2026-05-01T12:40:00"/>
    <s v="Gifts"/>
    <s v="Bone Chest"/>
    <x v="5"/>
    <s v="Level 5 Crypt"/>
    <x v="3"/>
  </r>
  <r>
    <d v="2026-05-01T12:40:00"/>
    <s v="Gifts"/>
    <s v="Mayan Chest"/>
    <x v="5"/>
    <s v="Level 5 Crypt"/>
    <x v="3"/>
  </r>
  <r>
    <d v="2026-05-01T12:40:00"/>
    <s v="Gifts"/>
    <s v="Forgotten Chest"/>
    <x v="32"/>
    <s v="Level 5 Crypt"/>
    <x v="3"/>
  </r>
  <r>
    <d v="2026-05-01T12:40:00"/>
    <s v="Gifts"/>
    <s v="Mayan Chest"/>
    <x v="5"/>
    <s v="Level 5 Crypt"/>
    <x v="3"/>
  </r>
  <r>
    <d v="2026-05-01T12:40:00"/>
    <s v="Gifts"/>
    <s v="Elegant Chest"/>
    <x v="31"/>
    <s v="Level 5 Crypt"/>
    <x v="3"/>
  </r>
  <r>
    <d v="2026-05-01T12:40:00"/>
    <s v="Gifts"/>
    <s v="Gladiator's Chest"/>
    <x v="5"/>
    <s v="Arena"/>
    <x v="1"/>
  </r>
  <r>
    <d v="2026-05-01T12:40:00"/>
    <s v="Gifts"/>
    <s v="Ascendant Ashen Chest"/>
    <x v="33"/>
    <s v="Epic Ashen Squad"/>
    <x v="1"/>
  </r>
  <r>
    <d v="2026-05-01T12:40:00"/>
    <s v="Gifts"/>
    <s v="Orc Chest"/>
    <x v="33"/>
    <s v="Level 10 Crypt"/>
    <x v="2"/>
  </r>
  <r>
    <d v="2026-05-01T12:40:00"/>
    <s v="Gifts"/>
    <s v="Infernal Chest"/>
    <x v="33"/>
    <s v="Level 10 Crypt"/>
    <x v="2"/>
  </r>
  <r>
    <d v="2026-05-01T12:40:00"/>
    <s v="Gifts"/>
    <s v="Gnome Workshop Chest"/>
    <x v="5"/>
    <s v="Level 5 Crypt"/>
    <x v="3"/>
  </r>
  <r>
    <d v="2026-05-01T12:40:00"/>
    <s v="Triumphal Gifts"/>
    <s v="Wooden Chest"/>
    <x v="15"/>
    <s v="Bank"/>
    <x v="5"/>
  </r>
  <r>
    <d v="2026-05-01T12:40:00"/>
    <s v="Triumphal Gifts"/>
    <s v="Wooden Chest"/>
    <x v="15"/>
    <s v="Bank"/>
    <x v="5"/>
  </r>
  <r>
    <d v="2026-05-01T12:40:00"/>
    <s v="Triumphal Gifts"/>
    <s v="Wooden Chest"/>
    <x v="15"/>
    <s v="Bank"/>
    <x v="5"/>
  </r>
  <r>
    <d v="2026-05-01T12:40:00"/>
    <s v="Triumphal Gifts"/>
    <s v="Bronze Chest"/>
    <x v="3"/>
    <s v="Bank"/>
    <x v="5"/>
  </r>
  <r>
    <d v="2026-05-01T12:40:00"/>
    <s v="Triumphal Gifts"/>
    <s v="Bronze Chest"/>
    <x v="3"/>
    <s v="Bank"/>
    <x v="5"/>
  </r>
  <r>
    <d v="2026-05-01T12:40:00"/>
    <s v="Triumphal Gifts"/>
    <s v="Bronze Chest"/>
    <x v="3"/>
    <s v="Bank"/>
    <x v="5"/>
  </r>
  <r>
    <d v="2026-05-01T12:40:00"/>
    <s v="Triumphal Gifts"/>
    <s v="Wooden Chest"/>
    <x v="3"/>
    <s v="Bank"/>
    <x v="5"/>
  </r>
  <r>
    <d v="2026-05-01T12:40:00"/>
    <s v="Triumphal Gifts"/>
    <s v="Wooden Chest"/>
    <x v="3"/>
    <s v="Bank"/>
    <x v="5"/>
  </r>
  <r>
    <d v="2026-05-01T12:40:00"/>
    <s v="Triumphal Gifts"/>
    <s v="Wooden Chest"/>
    <x v="3"/>
    <s v="Bank"/>
    <x v="5"/>
  </r>
  <r>
    <d v="2026-05-01T12:40:00"/>
    <s v="Triumphal Gifts"/>
    <s v="Precious Chest"/>
    <x v="3"/>
    <s v="Bank"/>
    <x v="5"/>
  </r>
  <r>
    <d v="2026-05-01T12:40:00"/>
    <s v="Triumphal Gifts"/>
    <s v="Precious Chest"/>
    <x v="3"/>
    <s v="Bank"/>
    <x v="5"/>
  </r>
  <r>
    <d v="2026-05-01T12:40:00"/>
    <s v="Triumphal Gifts"/>
    <s v="Precious Chest"/>
    <x v="3"/>
    <s v="Bank"/>
    <x v="5"/>
  </r>
  <r>
    <d v="2026-05-01T12:40:00"/>
    <s v="Triumphal Gifts"/>
    <s v="Wooden Chest"/>
    <x v="27"/>
    <s v="Bank"/>
    <x v="5"/>
  </r>
  <r>
    <d v="2026-05-01T12:40:00"/>
    <s v="Triumphal Gifts"/>
    <s v="Wooden Chest"/>
    <x v="27"/>
    <s v="Bank"/>
    <x v="5"/>
  </r>
  <r>
    <d v="2026-05-01T12:40:00"/>
    <s v="Triumphal Gifts"/>
    <s v="Wooden Chest"/>
    <x v="27"/>
    <s v="Bank"/>
    <x v="5"/>
  </r>
  <r>
    <d v="2026-05-01T12:40:00"/>
    <s v="Triumphal Gifts"/>
    <s v="Wooden Chest"/>
    <x v="6"/>
    <s v="Bank"/>
    <x v="5"/>
  </r>
  <r>
    <d v="2026-05-01T12:40:00"/>
    <s v="Triumphal Gifts"/>
    <s v="Wooden Chest"/>
    <x v="6"/>
    <s v="Bank"/>
    <x v="5"/>
  </r>
  <r>
    <d v="2026-05-01T12:40:00"/>
    <s v="Triumphal Gifts"/>
    <s v="Wooden Chest"/>
    <x v="6"/>
    <s v="Bank"/>
    <x v="5"/>
  </r>
  <r>
    <d v="2026-05-01T12:40:00"/>
    <s v="Triumphal Gifts"/>
    <s v="Wooden Chest"/>
    <x v="31"/>
    <s v="Bank"/>
    <x v="5"/>
  </r>
  <r>
    <d v="2026-05-01T12:40:00"/>
    <s v="Triumphal Gifts"/>
    <s v="Wooden Chest"/>
    <x v="31"/>
    <s v="Bank"/>
    <x v="5"/>
  </r>
  <r>
    <d v="2026-05-01T12:40:00"/>
    <s v="Triumphal Gifts"/>
    <s v="Wooden Chest"/>
    <x v="31"/>
    <s v="Bank"/>
    <x v="5"/>
  </r>
  <r>
    <d v="2026-05-01T12:40:00"/>
    <s v="Triumphal Gifts"/>
    <s v="Silver Chest"/>
    <x v="31"/>
    <s v="Bank"/>
    <x v="5"/>
  </r>
  <r>
    <d v="2026-05-01T12:40:00"/>
    <s v="Triumphal Gifts"/>
    <s v="Silver Chest"/>
    <x v="31"/>
    <s v="Bank"/>
    <x v="5"/>
  </r>
  <r>
    <d v="2026-05-01T12:40:00"/>
    <s v="Triumphal Gifts"/>
    <s v="Silver Chest"/>
    <x v="31"/>
    <s v="Bank"/>
    <x v="5"/>
  </r>
  <r>
    <d v="2026-05-01T13:27:00"/>
    <s v="Gifts"/>
    <s v="Mayan Chest"/>
    <x v="5"/>
    <s v="Level 5 Crypt"/>
    <x v="3"/>
  </r>
  <r>
    <d v="2026-05-01T13:27:00"/>
    <s v="Gifts"/>
    <s v="Ascendant Ashen Chest"/>
    <x v="34"/>
    <s v="Epic Ashen Squad"/>
    <x v="1"/>
  </r>
  <r>
    <d v="2026-05-01T13:27:00"/>
    <s v="Gifts"/>
    <s v="Gnome Workshop Chest"/>
    <x v="34"/>
    <s v="Level 15 Crypt"/>
    <x v="0"/>
  </r>
  <r>
    <d v="2026-05-01T13:27:00"/>
    <s v="Gifts"/>
    <s v="Barbarian Chest"/>
    <x v="34"/>
    <s v="Level 10 Crypt"/>
    <x v="2"/>
  </r>
  <r>
    <d v="2026-05-01T13:27:00"/>
    <s v="Gifts"/>
    <s v="Fire Chest"/>
    <x v="34"/>
    <s v="Level 10 Crypt"/>
    <x v="2"/>
  </r>
  <r>
    <d v="2026-05-01T13:27:00"/>
    <s v="Gifts"/>
    <s v="Mayan Chest"/>
    <x v="34"/>
    <s v="Level 10 Crypt"/>
    <x v="2"/>
  </r>
  <r>
    <d v="2026-05-01T13:27:00"/>
    <s v="Gifts"/>
    <s v="Elegant Chest"/>
    <x v="1"/>
    <s v="Level 15 Crypt"/>
    <x v="0"/>
  </r>
  <r>
    <d v="2026-05-01T13:27:00"/>
    <s v="Gifts"/>
    <s v="Rare Dragon Chest"/>
    <x v="14"/>
    <s v="Level 10 rare Crypt"/>
    <x v="8"/>
  </r>
  <r>
    <d v="2026-05-01T13:27:00"/>
    <s v="Gifts"/>
    <s v="Ascendant Ashen Chest"/>
    <x v="35"/>
    <s v="Epic Ashen Squad"/>
    <x v="1"/>
  </r>
  <r>
    <d v="2026-05-01T13:27:00"/>
    <s v="Gifts"/>
    <s v="Rare Dragon Chest"/>
    <x v="14"/>
    <s v="Level 10 rare Crypt"/>
    <x v="8"/>
  </r>
  <r>
    <d v="2026-05-01T13:36:00"/>
    <s v="Gifts"/>
    <s v="Infernal Chest"/>
    <x v="33"/>
    <s v="Level 10 Crypt"/>
    <x v="2"/>
  </r>
  <r>
    <d v="2026-05-01T13:36:00"/>
    <s v="Gifts"/>
    <s v="Ascendant Ashen Chest"/>
    <x v="15"/>
    <s v="Epic Ashen Squad"/>
    <x v="1"/>
  </r>
  <r>
    <d v="2026-05-01T13:36:00"/>
    <s v="Gifts"/>
    <s v="Ascendant Ashen Chest"/>
    <x v="15"/>
    <s v="Epic Ashen Squad"/>
    <x v="1"/>
  </r>
  <r>
    <d v="2026-05-01T13:36:00"/>
    <s v="Gifts"/>
    <s v="Ascendant Ashen Chest"/>
    <x v="36"/>
    <s v="Epic Ashen Squad"/>
    <x v="1"/>
  </r>
  <r>
    <d v="2026-05-01T13:41:00"/>
    <s v="Gifts"/>
    <s v="Common Chest of Wealth"/>
    <x v="8"/>
    <s v="Clan wealth"/>
    <x v="1"/>
  </r>
  <r>
    <d v="2026-05-01T13:41:00"/>
    <s v="Gifts"/>
    <s v="Uncommon Chest of Wealth"/>
    <x v="8"/>
    <s v="Clan wealth"/>
    <x v="1"/>
  </r>
  <r>
    <d v="2026-05-01T13:41:00"/>
    <s v="Gifts"/>
    <s v="Rare Chest of Wealth"/>
    <x v="8"/>
    <s v="Clan wealth"/>
    <x v="1"/>
  </r>
  <r>
    <d v="2026-05-01T14:50:00"/>
    <s v="Gifts"/>
    <s v="Ascendant Ashen Chest"/>
    <x v="36"/>
    <s v="Epic Ashen Squad"/>
    <x v="1"/>
  </r>
  <r>
    <d v="2026-05-01T14:50:00"/>
    <s v="Gifts"/>
    <s v="Ascendant Ashen Chest"/>
    <x v="36"/>
    <s v="Epic Ashen Squad"/>
    <x v="1"/>
  </r>
  <r>
    <d v="2026-05-01T14:50:00"/>
    <s v="Gifts"/>
    <s v="Ascendant Ashen Chest"/>
    <x v="15"/>
    <s v="Epic Ashen Squad"/>
    <x v="1"/>
  </r>
  <r>
    <d v="2026-05-01T14:50:00"/>
    <s v="Gifts"/>
    <s v="Ascendant Ashen Chest"/>
    <x v="15"/>
    <s v="Epic Ashen Squad"/>
    <x v="1"/>
  </r>
  <r>
    <d v="2026-05-01T14:50:00"/>
    <s v="Gifts"/>
    <s v="Elegant Chest"/>
    <x v="11"/>
    <s v="Level 5 Crypt"/>
    <x v="3"/>
  </r>
  <r>
    <d v="2026-05-01T14:50:00"/>
    <s v="Gifts"/>
    <s v="Fire Chest"/>
    <x v="11"/>
    <s v="Level 5 Crypt"/>
    <x v="3"/>
  </r>
  <r>
    <d v="2026-05-01T14:50:00"/>
    <s v="Gifts"/>
    <s v="Infernal Chest"/>
    <x v="11"/>
    <s v="Level 5 Crypt"/>
    <x v="3"/>
  </r>
  <r>
    <d v="2026-05-01T14:50:00"/>
    <s v="Gifts"/>
    <s v="Gnome Workshop Chest"/>
    <x v="37"/>
    <s v="Level 10 Crypt"/>
    <x v="2"/>
  </r>
  <r>
    <d v="2026-05-01T14:50:00"/>
    <s v="Gifts"/>
    <s v="Barbarian Chest"/>
    <x v="37"/>
    <s v="Level 10 Crypt"/>
    <x v="2"/>
  </r>
  <r>
    <d v="2026-05-01T14:50:00"/>
    <s v="Gifts"/>
    <s v="Barbarian Chest"/>
    <x v="38"/>
    <s v="Level 15 Crypt"/>
    <x v="0"/>
  </r>
  <r>
    <d v="2026-05-01T14:50:00"/>
    <s v="Gifts"/>
    <s v="Stone Chest"/>
    <x v="4"/>
    <s v="Level 5 Crypt"/>
    <x v="3"/>
  </r>
  <r>
    <d v="2026-05-01T14:50:00"/>
    <s v="Gifts"/>
    <s v="Orc Chest"/>
    <x v="34"/>
    <s v="Level 10 Crypt"/>
    <x v="2"/>
  </r>
  <r>
    <d v="2026-05-01T14:50:00"/>
    <s v="Gifts"/>
    <s v="Infernal Chest"/>
    <x v="19"/>
    <s v="Level 15 Crypt"/>
    <x v="0"/>
  </r>
  <r>
    <d v="2026-05-01T14:50:00"/>
    <s v="Gifts"/>
    <s v="Sand Chest"/>
    <x v="4"/>
    <s v="Level 5 Crypt"/>
    <x v="3"/>
  </r>
  <r>
    <d v="2026-05-01T14:50:00"/>
    <s v="Gifts"/>
    <s v="Gnome Workshop Chest"/>
    <x v="37"/>
    <s v="Level 5 Crypt"/>
    <x v="3"/>
  </r>
  <r>
    <d v="2026-05-01T14:50:00"/>
    <s v="Gifts"/>
    <s v="Barbarian Chest"/>
    <x v="34"/>
    <s v="Level 10 Crypt"/>
    <x v="2"/>
  </r>
  <r>
    <d v="2026-05-01T14:50:00"/>
    <s v="Gifts"/>
    <s v="Fire Chest"/>
    <x v="34"/>
    <s v="Level 10 Crypt"/>
    <x v="2"/>
  </r>
  <r>
    <d v="2026-05-01T14:50:00"/>
    <s v="Gifts"/>
    <s v="Fire Chest"/>
    <x v="37"/>
    <s v="Level 5 Crypt"/>
    <x v="3"/>
  </r>
  <r>
    <d v="2026-05-01T14:50:00"/>
    <s v="Gifts"/>
    <s v="Ascendant Ashen Chest"/>
    <x v="39"/>
    <s v="Epic Ashen Squad"/>
    <x v="1"/>
  </r>
  <r>
    <d v="2026-05-01T14:50:00"/>
    <s v="Gifts"/>
    <s v="Gladiator's Chest"/>
    <x v="4"/>
    <s v="Arena"/>
    <x v="1"/>
  </r>
  <r>
    <d v="2026-05-01T14:50:00"/>
    <s v="Gifts"/>
    <s v="Infernal Chest"/>
    <x v="37"/>
    <s v="Level 10 Crypt"/>
    <x v="2"/>
  </r>
  <r>
    <d v="2026-05-01T14:50:00"/>
    <s v="Gifts"/>
    <s v="Gladiator's Chest"/>
    <x v="19"/>
    <s v="Arena"/>
    <x v="1"/>
  </r>
  <r>
    <d v="2026-05-01T14:50:00"/>
    <s v="Gifts"/>
    <s v="Gnome Workshop Chest"/>
    <x v="15"/>
    <s v="Level 10 Crypt"/>
    <x v="2"/>
  </r>
  <r>
    <d v="2026-05-01T14:50:00"/>
    <s v="Gifts"/>
    <s v="Ascendant Ashen Chest"/>
    <x v="40"/>
    <s v="Epic Ashen Squad"/>
    <x v="1"/>
  </r>
  <r>
    <d v="2026-05-01T14:50:00"/>
    <s v="Gifts"/>
    <s v="Bone Chest"/>
    <x v="15"/>
    <s v="Level 10 Crypt"/>
    <x v="2"/>
  </r>
  <r>
    <d v="2026-05-01T14:50:00"/>
    <s v="Gifts"/>
    <s v="Gnome Workshop Chest"/>
    <x v="5"/>
    <s v="Level 5 Crypt"/>
    <x v="3"/>
  </r>
  <r>
    <d v="2026-05-01T14:50:00"/>
    <s v="Gifts"/>
    <s v="Ascendant Ashen Chest"/>
    <x v="40"/>
    <s v="Epic Ashen Squad"/>
    <x v="1"/>
  </r>
  <r>
    <d v="2026-05-01T14:50:00"/>
    <s v="Gifts"/>
    <s v="Barbarian Chest"/>
    <x v="15"/>
    <s v="Level 10 Crypt"/>
    <x v="2"/>
  </r>
  <r>
    <d v="2026-05-01T14:50:00"/>
    <s v="Gifts"/>
    <s v="Sand Chest"/>
    <x v="15"/>
    <s v="Level 10 Crypt"/>
    <x v="2"/>
  </r>
  <r>
    <d v="2026-05-01T14:50:00"/>
    <s v="Gifts"/>
    <s v="White Wood Chest"/>
    <x v="19"/>
    <s v="Level 15 epic Crypt"/>
    <x v="10"/>
  </r>
  <r>
    <d v="2026-05-01T14:50:00"/>
    <s v="Gifts"/>
    <s v="Elegant Chest"/>
    <x v="6"/>
    <s v="Level 5 Crypt"/>
    <x v="3"/>
  </r>
  <r>
    <d v="2026-05-01T14:50:00"/>
    <s v="Gifts"/>
    <s v="Elegant Chest"/>
    <x v="15"/>
    <s v="Level 10 Crypt"/>
    <x v="2"/>
  </r>
  <r>
    <d v="2026-05-01T14:50:00"/>
    <s v="Gifts"/>
    <s v="Fire Chest"/>
    <x v="15"/>
    <s v="Level 10 Crypt"/>
    <x v="2"/>
  </r>
  <r>
    <d v="2026-05-01T14:50:00"/>
    <s v="Gifts"/>
    <s v="Forgotten Chest"/>
    <x v="6"/>
    <s v="Level 5 Crypt"/>
    <x v="3"/>
  </r>
  <r>
    <d v="2026-05-01T14:50:00"/>
    <s v="Gifts"/>
    <s v="Fire Chest"/>
    <x v="15"/>
    <s v="Level 10 Crypt"/>
    <x v="2"/>
  </r>
  <r>
    <d v="2026-05-01T14:50:00"/>
    <s v="Gifts"/>
    <s v="Orc Chest"/>
    <x v="6"/>
    <s v="Level 5 Crypt"/>
    <x v="3"/>
  </r>
  <r>
    <d v="2026-05-01T14:50:00"/>
    <s v="Gifts"/>
    <s v="Elven Citadel Chest"/>
    <x v="15"/>
    <s v="Level 10 Citadel"/>
    <x v="11"/>
  </r>
  <r>
    <d v="2026-05-01T14:50:00"/>
    <s v="Gifts"/>
    <s v="Orc Chest"/>
    <x v="41"/>
    <s v="Level 15 Crypt"/>
    <x v="0"/>
  </r>
  <r>
    <d v="2026-05-01T14:50:00"/>
    <s v="Gifts"/>
    <s v="Gnome Workshop Chest"/>
    <x v="11"/>
    <s v="Level 10 Crypt"/>
    <x v="2"/>
  </r>
  <r>
    <d v="2026-05-01T14:50:00"/>
    <s v="Gifts"/>
    <s v="Elven Citadel Chest"/>
    <x v="15"/>
    <s v="Level 10 Citadel"/>
    <x v="11"/>
  </r>
  <r>
    <d v="2026-05-01T14:50:00"/>
    <s v="Gifts"/>
    <s v="Elven Citadel Chest"/>
    <x v="15"/>
    <s v="Level 10 Citadel"/>
    <x v="11"/>
  </r>
  <r>
    <d v="2026-05-01T14:50:00"/>
    <s v="Gifts"/>
    <s v="Fire Chest"/>
    <x v="12"/>
    <s v="Level 15 Crypt"/>
    <x v="0"/>
  </r>
  <r>
    <d v="2026-05-01T14:50:00"/>
    <s v="Gifts"/>
    <s v="Elven Citadel Chest"/>
    <x v="6"/>
    <s v="Level 10 Citadel"/>
    <x v="11"/>
  </r>
  <r>
    <d v="2026-05-01T14:50:00"/>
    <s v="Gifts"/>
    <s v="Orc Chest"/>
    <x v="19"/>
    <s v="Level 15 Crypt"/>
    <x v="0"/>
  </r>
  <r>
    <d v="2026-05-01T14:50:00"/>
    <s v="Triumphal Gifts"/>
    <s v="Bronze Chest"/>
    <x v="1"/>
    <s v="Bank"/>
    <x v="5"/>
  </r>
  <r>
    <d v="2026-05-01T14:50:00"/>
    <s v="Triumphal Gifts"/>
    <s v="Bronze Chest"/>
    <x v="1"/>
    <s v="Bank"/>
    <x v="5"/>
  </r>
  <r>
    <d v="2026-05-01T14:50:00"/>
    <s v="Triumphal Gifts"/>
    <s v="Bronze Chest"/>
    <x v="1"/>
    <s v="Bank"/>
    <x v="5"/>
  </r>
  <r>
    <d v="2026-05-01T14:50:00"/>
    <s v="Triumphal Gifts"/>
    <s v="Wooden Chest"/>
    <x v="17"/>
    <s v="Bank"/>
    <x v="5"/>
  </r>
  <r>
    <d v="2026-05-01T14:50:00"/>
    <s v="Triumphal Gifts"/>
    <s v="Wooden Chest"/>
    <x v="17"/>
    <s v="Bank"/>
    <x v="5"/>
  </r>
  <r>
    <d v="2026-05-01T14:50:00"/>
    <s v="Triumphal Gifts"/>
    <s v="Wooden Chest"/>
    <x v="17"/>
    <s v="Bank"/>
    <x v="5"/>
  </r>
  <r>
    <d v="2026-05-01T16:17:00"/>
    <s v="Gifts"/>
    <s v="Stone Chest"/>
    <x v="15"/>
    <s v="Level 10 Crypt"/>
    <x v="2"/>
  </r>
  <r>
    <d v="2026-05-01T16:17:00"/>
    <s v="Gifts"/>
    <s v="Rare Dragon Chest"/>
    <x v="6"/>
    <s v="Level 10 rare Crypt"/>
    <x v="8"/>
  </r>
  <r>
    <d v="2026-05-01T16:17:00"/>
    <s v="Gifts"/>
    <s v="Fire Chest"/>
    <x v="15"/>
    <s v="Level 10 Crypt"/>
    <x v="2"/>
  </r>
  <r>
    <d v="2026-05-01T16:17:00"/>
    <s v="Gifts"/>
    <s v="Mayan Chest"/>
    <x v="19"/>
    <s v="Level 15 Crypt"/>
    <x v="0"/>
  </r>
  <r>
    <d v="2026-05-01T16:17:00"/>
    <s v="Gifts"/>
    <s v="Stone Chest"/>
    <x v="15"/>
    <s v="Level 10 Crypt"/>
    <x v="2"/>
  </r>
  <r>
    <d v="2026-05-01T16:17:00"/>
    <s v="Gifts"/>
    <s v="Elven Citadel Chest"/>
    <x v="15"/>
    <s v="Level 10 Citadel"/>
    <x v="11"/>
  </r>
  <r>
    <d v="2026-05-01T16:17:00"/>
    <s v="Gifts"/>
    <s v="Cobra Chest"/>
    <x v="15"/>
    <s v="Level 10 Crypt"/>
    <x v="2"/>
  </r>
  <r>
    <d v="2026-05-01T16:17:00"/>
    <s v="Gifts"/>
    <s v="Elven Citadel Chest"/>
    <x v="15"/>
    <s v="Level 15 Citadel"/>
    <x v="12"/>
  </r>
  <r>
    <d v="2026-05-01T16:17:00"/>
    <s v="Gifts"/>
    <s v="Fire Chest"/>
    <x v="17"/>
    <s v="Level 10 Crypt"/>
    <x v="2"/>
  </r>
  <r>
    <d v="2026-05-01T16:17:00"/>
    <s v="Gifts"/>
    <s v="Gladiator's Chest"/>
    <x v="1"/>
    <s v="Arena"/>
    <x v="1"/>
  </r>
  <r>
    <d v="2026-05-01T16:17:00"/>
    <s v="Gifts"/>
    <s v="Stone Chest"/>
    <x v="17"/>
    <s v="Level 10 Crypt"/>
    <x v="2"/>
  </r>
  <r>
    <d v="2026-05-01T16:17:00"/>
    <s v="Gifts"/>
    <s v="Infernal Chest"/>
    <x v="42"/>
    <s v="Level 5 Crypt"/>
    <x v="3"/>
  </r>
  <r>
    <d v="2026-05-01T16:17:00"/>
    <s v="Gifts"/>
    <s v="Orc Chest"/>
    <x v="11"/>
    <s v="Level 15 Crypt"/>
    <x v="0"/>
  </r>
  <r>
    <d v="2026-05-01T16:17:00"/>
    <s v="Gifts"/>
    <s v="Mayan Chest"/>
    <x v="43"/>
    <s v="Level 15 Crypt"/>
    <x v="0"/>
  </r>
  <r>
    <d v="2026-05-01T16:17:00"/>
    <s v="Gifts"/>
    <s v="Orc Chest"/>
    <x v="29"/>
    <s v="Level 5 Crypt"/>
    <x v="3"/>
  </r>
  <r>
    <d v="2026-05-01T16:17:00"/>
    <s v="Gifts"/>
    <s v="Ascendant Ashen Chest"/>
    <x v="43"/>
    <s v="Epic Ashen Squad"/>
    <x v="1"/>
  </r>
  <r>
    <d v="2026-05-01T16:17:00"/>
    <s v="Gifts"/>
    <s v="Fire Chest"/>
    <x v="42"/>
    <s v="Level 5 Crypt"/>
    <x v="3"/>
  </r>
  <r>
    <d v="2026-05-01T16:17:00"/>
    <s v="Gifts"/>
    <s v="Mayan Chest"/>
    <x v="1"/>
    <s v="Level 15 Crypt"/>
    <x v="0"/>
  </r>
  <r>
    <d v="2026-05-01T16:17:00"/>
    <s v="Gifts"/>
    <s v="Stone Chest"/>
    <x v="44"/>
    <s v="Level 15 Crypt"/>
    <x v="0"/>
  </r>
  <r>
    <d v="2026-05-01T16:17:00"/>
    <s v="Gifts"/>
    <s v="Forgotten Chest"/>
    <x v="19"/>
    <s v="Level 15 Crypt"/>
    <x v="0"/>
  </r>
  <r>
    <d v="2026-05-01T16:17:00"/>
    <s v="Gifts"/>
    <s v="Ascendant Ashen Chest"/>
    <x v="37"/>
    <s v="Epic Ashen Squad"/>
    <x v="1"/>
  </r>
  <r>
    <d v="2026-05-01T16:17:00"/>
    <s v="Gifts"/>
    <s v="Gnome Workshop Chest"/>
    <x v="33"/>
    <s v="Level 10 Crypt"/>
    <x v="2"/>
  </r>
  <r>
    <d v="2026-05-01T16:17:00"/>
    <s v="Gifts"/>
    <s v="Ascendant Ashen Chest"/>
    <x v="43"/>
    <s v="Epic Ashen Squad"/>
    <x v="1"/>
  </r>
  <r>
    <d v="2026-05-01T16:17:00"/>
    <s v="Gifts"/>
    <s v="Fire Chest"/>
    <x v="42"/>
    <s v="Level 5 Crypt"/>
    <x v="3"/>
  </r>
  <r>
    <d v="2026-05-01T16:17:00"/>
    <s v="Gifts"/>
    <s v="Cobra Chest"/>
    <x v="33"/>
    <s v="Level 10 Crypt"/>
    <x v="2"/>
  </r>
  <r>
    <d v="2026-05-01T16:17:00"/>
    <s v="Gifts"/>
    <s v="Elegant Chest"/>
    <x v="19"/>
    <s v="Level 15 Crypt"/>
    <x v="0"/>
  </r>
  <r>
    <d v="2026-05-01T16:17:00"/>
    <s v="Gifts"/>
    <s v="Sapphire Chest"/>
    <x v="10"/>
    <s v="Level 15-19 Vault of the Ancients"/>
    <x v="14"/>
  </r>
  <r>
    <d v="2026-05-01T20:05:00"/>
    <s v="Gifts"/>
    <s v="Ascendant Ashen Chest"/>
    <x v="7"/>
    <s v="Epic Ashen Squad"/>
    <x v="1"/>
  </r>
  <r>
    <d v="2026-05-01T20:05:00"/>
    <s v="Gifts"/>
    <s v="Sapphire Chest"/>
    <x v="10"/>
    <s v="Level 20-24 Vault of the Ancients"/>
    <x v="14"/>
  </r>
  <r>
    <d v="2026-05-01T20:05:00"/>
    <s v="Gifts"/>
    <s v="Sapphire Chest"/>
    <x v="41"/>
    <s v="Level 15-19 Vault of the Ancients"/>
    <x v="14"/>
  </r>
  <r>
    <d v="2026-05-01T20:05:00"/>
    <s v="Gifts"/>
    <s v="Stone Chest"/>
    <x v="29"/>
    <s v="Level 10 Crypt"/>
    <x v="2"/>
  </r>
  <r>
    <d v="2026-05-01T20:05:00"/>
    <s v="Gifts"/>
    <s v="Gnome Workshop Chest"/>
    <x v="29"/>
    <s v="Level 10 Crypt"/>
    <x v="2"/>
  </r>
  <r>
    <d v="2026-05-01T20:05:00"/>
    <s v="Gifts"/>
    <s v="Sapphire Chest"/>
    <x v="10"/>
    <s v="Level 15-19 Vault of the Ancients"/>
    <x v="14"/>
  </r>
  <r>
    <d v="2026-05-01T20:05:00"/>
    <s v="Gifts"/>
    <s v="Stone Chest"/>
    <x v="29"/>
    <s v="Level 5 Crypt"/>
    <x v="3"/>
  </r>
  <r>
    <d v="2026-05-01T20:05:00"/>
    <s v="Gifts"/>
    <s v="Orc Chest"/>
    <x v="37"/>
    <s v="Level 5 Crypt"/>
    <x v="3"/>
  </r>
  <r>
    <d v="2026-05-01T20:05:00"/>
    <s v="Gifts"/>
    <s v="Forgotten Chest"/>
    <x v="42"/>
    <s v="Level 10 Crypt"/>
    <x v="2"/>
  </r>
  <r>
    <d v="2026-05-01T20:05:00"/>
    <s v="Gifts"/>
    <s v="Infernal Chest"/>
    <x v="10"/>
    <s v="Level 10 Crypt"/>
    <x v="2"/>
  </r>
  <r>
    <d v="2026-05-01T20:05:00"/>
    <s v="Gifts"/>
    <s v="Elegant Chest"/>
    <x v="6"/>
    <s v="Level 15 Crypt"/>
    <x v="0"/>
  </r>
  <r>
    <d v="2026-05-01T20:05:00"/>
    <s v="Gifts"/>
    <s v="Bone Chest"/>
    <x v="10"/>
    <s v="Level 5 Crypt"/>
    <x v="3"/>
  </r>
  <r>
    <d v="2026-05-01T20:05:00"/>
    <s v="Gifts"/>
    <s v="Sapphire Chest"/>
    <x v="41"/>
    <s v="Level 15-19 Vault of the Ancients"/>
    <x v="14"/>
  </r>
  <r>
    <d v="2026-05-01T20:05:00"/>
    <s v="Gifts"/>
    <s v="Bone Chest"/>
    <x v="10"/>
    <s v="Level 5 Crypt"/>
    <x v="3"/>
  </r>
  <r>
    <d v="2026-05-01T20:05:00"/>
    <s v="Gifts"/>
    <s v="Gnome Workshop Chest"/>
    <x v="16"/>
    <s v="Level 10 Crypt"/>
    <x v="2"/>
  </r>
  <r>
    <d v="2026-05-01T20:05:00"/>
    <s v="Gifts"/>
    <s v="Ascendant Ashen Chest"/>
    <x v="37"/>
    <s v="Epic Ashen Squad"/>
    <x v="1"/>
  </r>
  <r>
    <d v="2026-05-01T20:05:00"/>
    <s v="Gifts"/>
    <s v="Infernal Chest"/>
    <x v="2"/>
    <s v="Level 10 Crypt"/>
    <x v="2"/>
  </r>
  <r>
    <d v="2026-05-01T20:05:00"/>
    <s v="Gifts"/>
    <s v="Gnome Workshop Chest"/>
    <x v="31"/>
    <s v="Level 15 Crypt"/>
    <x v="0"/>
  </r>
  <r>
    <d v="2026-05-01T20:05:00"/>
    <s v="Gifts"/>
    <s v="Forgotten Chest"/>
    <x v="2"/>
    <s v="Level 5 Crypt"/>
    <x v="3"/>
  </r>
  <r>
    <d v="2026-05-01T20:05:00"/>
    <s v="Gifts"/>
    <s v="Cobra Chest"/>
    <x v="2"/>
    <s v="Level 10 Crypt"/>
    <x v="2"/>
  </r>
  <r>
    <d v="2026-05-01T20:05:00"/>
    <s v="Gifts"/>
    <s v="Cobra Chest"/>
    <x v="2"/>
    <s v="Level 10 Crypt"/>
    <x v="2"/>
  </r>
  <r>
    <d v="2026-05-01T20:05:00"/>
    <s v="Gifts"/>
    <s v="Gnome Workshop Chest"/>
    <x v="42"/>
    <s v="Level 5 Crypt"/>
    <x v="3"/>
  </r>
  <r>
    <d v="2026-05-01T20:05:00"/>
    <s v="Gifts"/>
    <s v="Sapphire Chest"/>
    <x v="10"/>
    <s v="Level 15-19 Vault of the Ancients"/>
    <x v="14"/>
  </r>
  <r>
    <d v="2026-05-01T20:05:00"/>
    <s v="Gifts"/>
    <s v="Orc Chest"/>
    <x v="21"/>
    <s v="Level 5 Crypt"/>
    <x v="3"/>
  </r>
  <r>
    <d v="2026-05-01T20:05:00"/>
    <s v="Gifts"/>
    <s v="Infernal Chest"/>
    <x v="2"/>
    <s v="Level 10 Crypt"/>
    <x v="2"/>
  </r>
  <r>
    <d v="2026-05-01T20:05:00"/>
    <s v="Gifts"/>
    <s v="Mayan Chest"/>
    <x v="21"/>
    <s v="Level 5 Crypt"/>
    <x v="3"/>
  </r>
  <r>
    <d v="2026-05-01T20:05:00"/>
    <s v="Gifts"/>
    <s v="Gnome Workshop Chest"/>
    <x v="2"/>
    <s v="Level 10 Crypt"/>
    <x v="2"/>
  </r>
  <r>
    <d v="2026-05-01T20:05:00"/>
    <s v="Gifts"/>
    <s v="Fire Chest"/>
    <x v="21"/>
    <s v="Level 15 Crypt"/>
    <x v="0"/>
  </r>
  <r>
    <d v="2026-05-01T20:05:00"/>
    <s v="Gifts"/>
    <s v="Sapphire Chest"/>
    <x v="10"/>
    <s v="Level 15-19 Vault of the Ancients"/>
    <x v="14"/>
  </r>
  <r>
    <d v="2026-05-01T20:05:00"/>
    <s v="Gifts"/>
    <s v="Forgotten Chest"/>
    <x v="42"/>
    <s v="Level 5 Crypt"/>
    <x v="3"/>
  </r>
  <r>
    <d v="2026-05-01T20:05:00"/>
    <s v="Gifts"/>
    <s v="Ascendant Ashen Chest"/>
    <x v="37"/>
    <s v="Epic Ashen Squad"/>
    <x v="1"/>
  </r>
  <r>
    <d v="2026-05-01T20:05:00"/>
    <s v="Gifts"/>
    <s v="Infernal Chest"/>
    <x v="16"/>
    <s v="Level 10 Crypt"/>
    <x v="2"/>
  </r>
  <r>
    <d v="2026-05-01T20:05:00"/>
    <s v="Gifts"/>
    <s v="Orc Chest"/>
    <x v="42"/>
    <s v="Level 5 Crypt"/>
    <x v="3"/>
  </r>
  <r>
    <d v="2026-05-01T20:05:00"/>
    <s v="Gifts"/>
    <s v="Infernal Chest"/>
    <x v="16"/>
    <s v="Level 10 Crypt"/>
    <x v="2"/>
  </r>
  <r>
    <d v="2026-05-01T20:05:00"/>
    <s v="Gifts"/>
    <s v="Sapphire Chest"/>
    <x v="10"/>
    <s v="Level 15-19 Vault of the Ancients"/>
    <x v="14"/>
  </r>
  <r>
    <d v="2026-05-01T20:05:00"/>
    <s v="Gifts"/>
    <s v="Bone Chest"/>
    <x v="14"/>
    <s v="Level 5 Crypt"/>
    <x v="3"/>
  </r>
  <r>
    <d v="2026-05-01T20:05:00"/>
    <s v="Gifts"/>
    <s v="Sapphire Chest"/>
    <x v="21"/>
    <s v="Level 10-14 Vault of the Ancients"/>
    <x v="14"/>
  </r>
  <r>
    <d v="2026-05-01T20:05:00"/>
    <s v="Gifts"/>
    <s v="Ascendant Ashen Chest"/>
    <x v="16"/>
    <s v="Epic Ashen Squad"/>
    <x v="1"/>
  </r>
  <r>
    <d v="2026-05-01T20:05:00"/>
    <s v="Gifts"/>
    <s v="Cobra Chest"/>
    <x v="42"/>
    <s v="Level 5 Crypt"/>
    <x v="3"/>
  </r>
  <r>
    <d v="2026-05-01T20:05:00"/>
    <s v="Gifts"/>
    <s v="Stone Chest"/>
    <x v="44"/>
    <s v="Level 15 Crypt"/>
    <x v="0"/>
  </r>
  <r>
    <d v="2026-05-01T20:05:00"/>
    <s v="Gifts"/>
    <s v="Mayan Chest"/>
    <x v="14"/>
    <s v="Level 10 Crypt"/>
    <x v="2"/>
  </r>
  <r>
    <d v="2026-05-01T20:05:00"/>
    <s v="Gifts"/>
    <s v="Stone Chest"/>
    <x v="44"/>
    <s v="Level 15 Crypt"/>
    <x v="0"/>
  </r>
  <r>
    <d v="2026-05-01T20:05:00"/>
    <s v="Gifts"/>
    <s v="Sapphire Chest"/>
    <x v="2"/>
    <s v="Level 15-19 Vault of the Ancients"/>
    <x v="14"/>
  </r>
  <r>
    <d v="2026-05-01T20:05:00"/>
    <s v="Gifts"/>
    <s v="Barbarian Chest"/>
    <x v="44"/>
    <s v="Level 15 epic Crypt"/>
    <x v="10"/>
  </r>
  <r>
    <d v="2026-05-01T20:05:00"/>
    <s v="Gifts"/>
    <s v="Bastion Chest"/>
    <x v="44"/>
    <s v="Level 15 epic Crypt"/>
    <x v="10"/>
  </r>
  <r>
    <d v="2026-05-01T20:05:00"/>
    <s v="Gifts"/>
    <s v="Sapphire Chest"/>
    <x v="10"/>
    <s v="Level 15-19 Vault of the Ancients"/>
    <x v="14"/>
  </r>
  <r>
    <d v="2026-05-01T20:05:00"/>
    <s v="Gifts"/>
    <s v="Stone Chest"/>
    <x v="44"/>
    <s v="Level 10 Crypt"/>
    <x v="2"/>
  </r>
  <r>
    <d v="2026-05-01T20:05:00"/>
    <s v="Gifts"/>
    <s v="Scarab Chest"/>
    <x v="14"/>
    <s v="Level 15 epic Crypt"/>
    <x v="10"/>
  </r>
  <r>
    <d v="2026-05-01T20:05:00"/>
    <s v="Gifts"/>
    <s v="Stone Chest"/>
    <x v="44"/>
    <s v="Level 15 Crypt"/>
    <x v="0"/>
  </r>
  <r>
    <d v="2026-05-01T20:05:00"/>
    <s v="Gifts"/>
    <s v="Fire Chest"/>
    <x v="45"/>
    <s v="Level 10 Crypt"/>
    <x v="2"/>
  </r>
  <r>
    <d v="2026-05-01T20:05:00"/>
    <s v="Gifts"/>
    <s v="Stone Chest"/>
    <x v="44"/>
    <s v="Level 10 Crypt"/>
    <x v="2"/>
  </r>
  <r>
    <d v="2026-05-01T20:05:00"/>
    <s v="Gifts"/>
    <s v="Orc Chest"/>
    <x v="37"/>
    <s v="Level 15 Crypt"/>
    <x v="0"/>
  </r>
  <r>
    <d v="2026-05-01T20:05:00"/>
    <s v="Gifts"/>
    <s v="Bone Chest"/>
    <x v="37"/>
    <s v="Level 15 Crypt"/>
    <x v="0"/>
  </r>
  <r>
    <d v="2026-05-01T20:05:00"/>
    <s v="Gifts"/>
    <s v="Stone Chest"/>
    <x v="44"/>
    <s v="Level 10 Crypt"/>
    <x v="2"/>
  </r>
  <r>
    <d v="2026-05-01T20:05:00"/>
    <s v="Gifts"/>
    <s v="Elven Citadel Chest"/>
    <x v="46"/>
    <s v="Level 10 Citadel"/>
    <x v="11"/>
  </r>
  <r>
    <d v="2026-05-01T20:05:00"/>
    <s v="Gifts"/>
    <s v="Forgotten Chest"/>
    <x v="42"/>
    <s v="Level 5 Crypt"/>
    <x v="3"/>
  </r>
  <r>
    <d v="2026-05-01T20:05:00"/>
    <s v="Gifts"/>
    <s v="Infernal Chest"/>
    <x v="37"/>
    <s v="Level 15 Crypt"/>
    <x v="0"/>
  </r>
  <r>
    <d v="2026-05-01T20:05:00"/>
    <s v="Gifts"/>
    <s v="Elegant Chest"/>
    <x v="18"/>
    <s v="Level 10 Crypt"/>
    <x v="2"/>
  </r>
  <r>
    <d v="2026-05-01T20:05:00"/>
    <s v="Gifts"/>
    <s v="Sand Chest"/>
    <x v="18"/>
    <s v="Level 10 Crypt"/>
    <x v="2"/>
  </r>
  <r>
    <d v="2026-05-01T20:05:00"/>
    <s v="Gifts"/>
    <s v="Sand Chest"/>
    <x v="37"/>
    <s v="Level 10 Crypt"/>
    <x v="2"/>
  </r>
  <r>
    <d v="2026-05-01T20:05:00"/>
    <s v="Gifts"/>
    <s v="Stone Chest"/>
    <x v="44"/>
    <s v="Level 10 Crypt"/>
    <x v="2"/>
  </r>
  <r>
    <d v="2026-05-01T20:05:00"/>
    <s v="Gifts"/>
    <s v="Stone Chest"/>
    <x v="18"/>
    <s v="Level 10 Crypt"/>
    <x v="2"/>
  </r>
  <r>
    <d v="2026-05-01T20:05:00"/>
    <s v="Gifts"/>
    <s v="Infernal Chest"/>
    <x v="37"/>
    <s v="Level 15 Crypt"/>
    <x v="0"/>
  </r>
  <r>
    <d v="2026-05-01T20:05:00"/>
    <s v="Gifts"/>
    <s v="Barbarian Chest"/>
    <x v="42"/>
    <s v="Level 5 Crypt"/>
    <x v="3"/>
  </r>
  <r>
    <d v="2026-05-01T20:05:00"/>
    <s v="Gifts"/>
    <s v="Elven Citadel Chest"/>
    <x v="15"/>
    <s v="Level 10 Citadel"/>
    <x v="11"/>
  </r>
  <r>
    <d v="2026-05-01T20:05:00"/>
    <s v="Gifts"/>
    <s v="Barbarian Chest"/>
    <x v="18"/>
    <s v="Level 10 Crypt"/>
    <x v="2"/>
  </r>
  <r>
    <d v="2026-05-01T20:05:00"/>
    <s v="Gifts"/>
    <s v="Stone Chest"/>
    <x v="44"/>
    <s v="Level 15 Crypt"/>
    <x v="0"/>
  </r>
  <r>
    <d v="2026-05-01T20:05:00"/>
    <s v="Gifts"/>
    <s v="Elven Citadel Chest"/>
    <x v="15"/>
    <s v="Level 10 Citadel"/>
    <x v="11"/>
  </r>
  <r>
    <d v="2026-05-01T20:05:00"/>
    <s v="Gifts"/>
    <s v="Forgotten Chest"/>
    <x v="18"/>
    <s v="Level 10 Crypt"/>
    <x v="2"/>
  </r>
  <r>
    <d v="2026-05-01T20:05:00"/>
    <s v="Gifts"/>
    <s v="Sapphire Chest"/>
    <x v="2"/>
    <s v="Level 15-19 Vault of the Ancients"/>
    <x v="14"/>
  </r>
  <r>
    <d v="2026-05-01T20:05:00"/>
    <s v="Gifts"/>
    <s v="Cobra Chest"/>
    <x v="24"/>
    <s v="Level 5 Crypt"/>
    <x v="3"/>
  </r>
  <r>
    <d v="2026-05-01T20:05:00"/>
    <s v="Gifts"/>
    <s v="Bone Chest"/>
    <x v="24"/>
    <s v="Level 5 Crypt"/>
    <x v="3"/>
  </r>
  <r>
    <d v="2026-05-01T20:05:00"/>
    <s v="Gifts"/>
    <s v="Stone Chest"/>
    <x v="44"/>
    <s v="Level 10 Crypt"/>
    <x v="2"/>
  </r>
  <r>
    <d v="2026-05-01T20:05:00"/>
    <s v="Gifts"/>
    <s v="Ascendant Ashen Chest"/>
    <x v="15"/>
    <s v="Epic Ashen Squad"/>
    <x v="1"/>
  </r>
  <r>
    <d v="2026-05-01T20:05:00"/>
    <s v="Gifts"/>
    <s v="Gladiator's Chest"/>
    <x v="41"/>
    <s v="Arena"/>
    <x v="1"/>
  </r>
  <r>
    <d v="2026-05-01T20:05:00"/>
    <s v="Gifts"/>
    <s v="Stone Chest"/>
    <x v="44"/>
    <s v="Level 15 Crypt"/>
    <x v="0"/>
  </r>
  <r>
    <d v="2026-05-01T20:05:00"/>
    <s v="Gifts"/>
    <s v="Sapphire Chest"/>
    <x v="2"/>
    <s v="Level 15-19 Vault of the Ancients"/>
    <x v="14"/>
  </r>
  <r>
    <d v="2026-05-01T20:05:00"/>
    <s v="Gifts"/>
    <s v="Infernal Chest"/>
    <x v="30"/>
    <s v="Level 5 Crypt"/>
    <x v="3"/>
  </r>
  <r>
    <d v="2026-05-01T20:05:00"/>
    <s v="Gifts"/>
    <s v="Ascendant Ashen Chest"/>
    <x v="37"/>
    <s v="Epic Ashen Squad"/>
    <x v="1"/>
  </r>
  <r>
    <d v="2026-05-01T20:05:00"/>
    <s v="Gifts"/>
    <s v="Fire Chest"/>
    <x v="24"/>
    <s v="Level 5 Crypt"/>
    <x v="3"/>
  </r>
  <r>
    <d v="2026-05-01T20:05:00"/>
    <s v="Gifts"/>
    <s v="Mayan Chest"/>
    <x v="24"/>
    <s v="Level 5 Crypt"/>
    <x v="3"/>
  </r>
  <r>
    <d v="2026-05-01T20:05:00"/>
    <s v="Gifts"/>
    <s v="Elegant Chest"/>
    <x v="21"/>
    <s v="Level 10 Crypt"/>
    <x v="2"/>
  </r>
  <r>
    <d v="2026-05-01T20:05:00"/>
    <s v="Gifts"/>
    <s v="Forgotten Chest"/>
    <x v="24"/>
    <s v="Level 10 Crypt"/>
    <x v="2"/>
  </r>
  <r>
    <d v="2026-05-01T20:05:00"/>
    <s v="Gifts"/>
    <s v="Elegant Chest"/>
    <x v="24"/>
    <s v="Level 10 Crypt"/>
    <x v="2"/>
  </r>
  <r>
    <d v="2026-05-01T20:05:00"/>
    <s v="Gifts"/>
    <s v="Sapphire Chest"/>
    <x v="10"/>
    <s v="Level 15-19 Vault of the Ancients"/>
    <x v="14"/>
  </r>
  <r>
    <d v="2026-05-01T20:05:00"/>
    <s v="Gifts"/>
    <s v="Stone Chest"/>
    <x v="44"/>
    <s v="Level 10 Crypt"/>
    <x v="2"/>
  </r>
  <r>
    <d v="2026-05-01T20:05:00"/>
    <s v="Gifts"/>
    <s v="Forgotten Chest"/>
    <x v="30"/>
    <s v="Level 10 Crypt"/>
    <x v="2"/>
  </r>
  <r>
    <d v="2026-05-01T20:05:00"/>
    <s v="Gifts"/>
    <s v="Stone Chest"/>
    <x v="44"/>
    <s v="Level 10 Crypt"/>
    <x v="2"/>
  </r>
  <r>
    <d v="2026-05-01T20:05:00"/>
    <s v="Gifts"/>
    <s v="Gnome Workshop Chest"/>
    <x v="21"/>
    <s v="Level 5 Crypt"/>
    <x v="3"/>
  </r>
  <r>
    <d v="2026-05-01T20:05:00"/>
    <s v="Gifts"/>
    <s v="Fire Chest"/>
    <x v="5"/>
    <s v="Level 10 Crypt"/>
    <x v="2"/>
  </r>
  <r>
    <d v="2026-05-01T20:05:00"/>
    <s v="Gifts"/>
    <s v="Elven Citadel Chest"/>
    <x v="6"/>
    <s v="Level 10 Citadel"/>
    <x v="11"/>
  </r>
  <r>
    <d v="2026-05-01T20:05:00"/>
    <s v="Gifts"/>
    <s v="Ascendant Ashen Chest"/>
    <x v="34"/>
    <s v="Epic Ashen Squad"/>
    <x v="1"/>
  </r>
  <r>
    <d v="2026-05-01T20:05:00"/>
    <s v="Gifts"/>
    <s v="Stone Chest"/>
    <x v="44"/>
    <s v="Level 10 Crypt"/>
    <x v="2"/>
  </r>
  <r>
    <d v="2026-05-01T20:05:00"/>
    <s v="Gifts"/>
    <s v="Rare Dragon Chest"/>
    <x v="6"/>
    <s v="Level 10 rare Crypt"/>
    <x v="8"/>
  </r>
  <r>
    <d v="2026-05-01T20:05:00"/>
    <s v="Gifts"/>
    <s v="Ascendant Ashen Chest"/>
    <x v="34"/>
    <s v="Epic Ashen Squad"/>
    <x v="1"/>
  </r>
  <r>
    <d v="2026-05-01T20:05:00"/>
    <s v="Gifts"/>
    <s v="Stone Chest"/>
    <x v="44"/>
    <s v="Level 10 Crypt"/>
    <x v="2"/>
  </r>
  <r>
    <d v="2026-05-01T20:05:00"/>
    <s v="Gifts"/>
    <s v="Elven Citadel Chest"/>
    <x v="6"/>
    <s v="Level 10 Citadel"/>
    <x v="11"/>
  </r>
  <r>
    <d v="2026-05-01T20:05:00"/>
    <s v="Gifts"/>
    <s v="Rare Dragon Chest"/>
    <x v="6"/>
    <s v="Level 10 rare Crypt"/>
    <x v="8"/>
  </r>
  <r>
    <d v="2026-05-01T20:05:00"/>
    <s v="Gifts"/>
    <s v="Orc Chest"/>
    <x v="5"/>
    <s v="Level 5 Crypt"/>
    <x v="3"/>
  </r>
  <r>
    <d v="2026-05-01T20:05:00"/>
    <s v="Gifts"/>
    <s v="Stone Chest"/>
    <x v="44"/>
    <s v="Level 10 Crypt"/>
    <x v="2"/>
  </r>
  <r>
    <d v="2026-05-01T20:05:00"/>
    <s v="Gifts"/>
    <s v="Stone Chest"/>
    <x v="44"/>
    <s v="Level 5 Crypt"/>
    <x v="3"/>
  </r>
  <r>
    <d v="2026-05-01T20:05:00"/>
    <s v="Gifts"/>
    <s v="Stone Chest"/>
    <x v="44"/>
    <s v="Level 10 Crypt"/>
    <x v="2"/>
  </r>
  <r>
    <d v="2026-05-01T20:05:00"/>
    <s v="Gifts"/>
    <s v="Sapphire Chest"/>
    <x v="2"/>
    <s v="Level 15-19 Vault of the Ancients"/>
    <x v="14"/>
  </r>
  <r>
    <d v="2026-05-01T20:05:00"/>
    <s v="Gifts"/>
    <s v="Orc Chest"/>
    <x v="2"/>
    <s v="Level 10 Crypt"/>
    <x v="2"/>
  </r>
  <r>
    <d v="2026-05-01T20:05:00"/>
    <s v="Gifts"/>
    <s v="Stone Chest"/>
    <x v="44"/>
    <s v="Level 10 Crypt"/>
    <x v="2"/>
  </r>
  <r>
    <d v="2026-05-01T20:05:00"/>
    <s v="Gifts"/>
    <s v="Ascendant Ashen Chest"/>
    <x v="0"/>
    <s v="Epic Ashen Squad"/>
    <x v="1"/>
  </r>
  <r>
    <d v="2026-05-01T20:05:00"/>
    <s v="Gifts"/>
    <s v="Bone Chest"/>
    <x v="42"/>
    <s v="Level 5 Crypt"/>
    <x v="3"/>
  </r>
  <r>
    <d v="2026-05-01T20:05:00"/>
    <s v="Gifts"/>
    <s v="Warrior's Chest"/>
    <x v="37"/>
    <s v="Level 15 epic Crypt"/>
    <x v="10"/>
  </r>
  <r>
    <d v="2026-05-01T20:05:00"/>
    <s v="Gifts"/>
    <s v="Fire Chest"/>
    <x v="12"/>
    <s v="Level 10 Crypt"/>
    <x v="2"/>
  </r>
  <r>
    <d v="2026-05-01T20:05:00"/>
    <s v="Gifts"/>
    <s v="Forgotten Chest"/>
    <x v="47"/>
    <s v="Level 10 Crypt"/>
    <x v="2"/>
  </r>
  <r>
    <d v="2026-05-01T20:05:00"/>
    <s v="Gifts"/>
    <s v="Rare Dragon Chest"/>
    <x v="1"/>
    <s v="Level 10 rare Crypt"/>
    <x v="8"/>
  </r>
  <r>
    <d v="2026-05-01T20:05:00"/>
    <s v="Gifts"/>
    <s v="Rare Dragon Chest"/>
    <x v="24"/>
    <s v="Level 15 rare Crypt"/>
    <x v="13"/>
  </r>
  <r>
    <d v="2026-05-01T20:05:00"/>
    <s v="Gifts"/>
    <s v="Cobra Chest"/>
    <x v="2"/>
    <s v="Level 10 Crypt"/>
    <x v="2"/>
  </r>
  <r>
    <d v="2026-05-01T20:05:00"/>
    <s v="Gifts"/>
    <s v="Stone Chest"/>
    <x v="2"/>
    <s v="Level 10 Crypt"/>
    <x v="2"/>
  </r>
  <r>
    <d v="2026-05-01T20:05:00"/>
    <s v="Gifts"/>
    <s v="Sapphire Chest"/>
    <x v="24"/>
    <s v="Level 15-19 Vault of the Ancients"/>
    <x v="14"/>
  </r>
  <r>
    <d v="2026-05-01T20:05:00"/>
    <s v="Gifts"/>
    <s v="Sapphire Chest"/>
    <x v="10"/>
    <s v="Level 15-19 Vault of the Ancients"/>
    <x v="14"/>
  </r>
  <r>
    <d v="2026-05-01T20:05:00"/>
    <s v="Gifts"/>
    <s v="Orc Chest"/>
    <x v="42"/>
    <s v="Level 5 Crypt"/>
    <x v="3"/>
  </r>
  <r>
    <d v="2026-05-01T20:05:00"/>
    <s v="Gifts"/>
    <s v="Sapphire Chest"/>
    <x v="24"/>
    <s v="Level 20-24 Vault of the Ancients"/>
    <x v="14"/>
  </r>
  <r>
    <d v="2026-05-01T20:05:00"/>
    <s v="Triumphal Gifts"/>
    <s v="Wooden Chest"/>
    <x v="41"/>
    <s v="Bank"/>
    <x v="5"/>
  </r>
  <r>
    <d v="2026-05-01T20:05:00"/>
    <s v="Triumphal Gifts"/>
    <s v="Wooden Chest"/>
    <x v="41"/>
    <s v="Bank"/>
    <x v="5"/>
  </r>
  <r>
    <d v="2026-05-01T20:05:00"/>
    <s v="Triumphal Gifts"/>
    <s v="Wooden Chest"/>
    <x v="41"/>
    <s v="Bank"/>
    <x v="5"/>
  </r>
  <r>
    <d v="2026-05-01T20:05:00"/>
    <s v="Triumphal Gifts"/>
    <s v="Bronze Chest"/>
    <x v="41"/>
    <s v="Bank"/>
    <x v="5"/>
  </r>
  <r>
    <d v="2026-05-01T20:05:00"/>
    <s v="Triumphal Gifts"/>
    <s v="Bronze Chest"/>
    <x v="41"/>
    <s v="Bank"/>
    <x v="5"/>
  </r>
  <r>
    <d v="2026-05-01T20:05:00"/>
    <s v="Triumphal Gifts"/>
    <s v="Bronze Chest"/>
    <x v="41"/>
    <s v="Bank"/>
    <x v="5"/>
  </r>
  <r>
    <d v="2026-05-01T20:05:00"/>
    <s v="Triumphal Gifts"/>
    <s v="Silver Chest"/>
    <x v="41"/>
    <s v="Bank"/>
    <x v="5"/>
  </r>
  <r>
    <d v="2026-05-01T20:05:00"/>
    <s v="Triumphal Gifts"/>
    <s v="Silver Chest"/>
    <x v="41"/>
    <s v="Bank"/>
    <x v="5"/>
  </r>
  <r>
    <d v="2026-05-01T20:05:00"/>
    <s v="Triumphal Gifts"/>
    <s v="Silver Chest"/>
    <x v="41"/>
    <s v="Bank"/>
    <x v="5"/>
  </r>
  <r>
    <d v="2026-05-01T20:05:00"/>
    <s v="Triumphal Gifts"/>
    <s v="Golden Chest"/>
    <x v="41"/>
    <s v="Bank"/>
    <x v="5"/>
  </r>
  <r>
    <d v="2026-05-01T20:05:00"/>
    <s v="Triumphal Gifts"/>
    <s v="Golden Chest"/>
    <x v="41"/>
    <s v="Bank"/>
    <x v="5"/>
  </r>
  <r>
    <d v="2026-05-01T20:05:00"/>
    <s v="Triumphal Gifts"/>
    <s v="Golden Chest"/>
    <x v="41"/>
    <s v="Bank"/>
    <x v="5"/>
  </r>
  <r>
    <d v="2026-05-01T20:05:00"/>
    <s v="Triumphal Gifts"/>
    <s v="Wooden Chest"/>
    <x v="24"/>
    <s v="Bank"/>
    <x v="5"/>
  </r>
  <r>
    <d v="2026-05-01T20:05:00"/>
    <s v="Triumphal Gifts"/>
    <s v="Wooden Chest"/>
    <x v="24"/>
    <s v="Bank"/>
    <x v="5"/>
  </r>
  <r>
    <d v="2026-05-01T20:05:00"/>
    <s v="Triumphal Gifts"/>
    <s v="Wooden Chest"/>
    <x v="24"/>
    <s v="Bank"/>
    <x v="5"/>
  </r>
  <r>
    <d v="2026-05-01T20:05:00"/>
    <s v="Triumphal Gifts"/>
    <s v="Bronze Chest"/>
    <x v="24"/>
    <s v="Bank"/>
    <x v="5"/>
  </r>
  <r>
    <d v="2026-05-01T20:05:00"/>
    <s v="Triumphal Gifts"/>
    <s v="Bronze Chest"/>
    <x v="24"/>
    <s v="Bank"/>
    <x v="5"/>
  </r>
  <r>
    <d v="2026-05-01T20:05:00"/>
    <s v="Triumphal Gifts"/>
    <s v="Bronze Chest"/>
    <x v="24"/>
    <s v="Bank"/>
    <x v="5"/>
  </r>
  <r>
    <d v="2026-05-01T20:05:00"/>
    <s v="Triumphal Gifts"/>
    <s v="Silver Chest"/>
    <x v="24"/>
    <s v="Bank"/>
    <x v="5"/>
  </r>
  <r>
    <d v="2026-05-01T20:05:00"/>
    <s v="Triumphal Gifts"/>
    <s v="Silver Chest"/>
    <x v="24"/>
    <s v="Bank"/>
    <x v="5"/>
  </r>
  <r>
    <d v="2026-05-01T20:05:00"/>
    <s v="Triumphal Gifts"/>
    <s v="Silver Chest"/>
    <x v="24"/>
    <s v="Bank"/>
    <x v="5"/>
  </r>
  <r>
    <d v="2026-05-01T20:05:00"/>
    <s v="Triumphal Gifts"/>
    <s v="Wooden Chest"/>
    <x v="37"/>
    <s v="Bank"/>
    <x v="5"/>
  </r>
  <r>
    <d v="2026-05-01T20:05:00"/>
    <s v="Triumphal Gifts"/>
    <s v="Wooden Chest"/>
    <x v="37"/>
    <s v="Bank"/>
    <x v="5"/>
  </r>
  <r>
    <d v="2026-05-01T20:05:00"/>
    <s v="Triumphal Gifts"/>
    <s v="Wooden Chest"/>
    <x v="37"/>
    <s v="Bank"/>
    <x v="5"/>
  </r>
  <r>
    <d v="2026-05-01T20:05:00"/>
    <s v="Triumphal Gifts"/>
    <s v="Wooden Chest"/>
    <x v="1"/>
    <s v="Bank"/>
    <x v="5"/>
  </r>
  <r>
    <d v="2026-05-01T20:05:00"/>
    <s v="Triumphal Gifts"/>
    <s v="Wooden Chest"/>
    <x v="1"/>
    <s v="Bank"/>
    <x v="5"/>
  </r>
  <r>
    <d v="2026-05-01T20:05:00"/>
    <s v="Triumphal Gifts"/>
    <s v="Wooden Chest"/>
    <x v="1"/>
    <s v="Bank"/>
    <x v="5"/>
  </r>
  <r>
    <d v="2026-05-01T20:05:00"/>
    <s v="Triumphal Gifts"/>
    <s v="Silver Chest"/>
    <x v="37"/>
    <s v="Bank"/>
    <x v="5"/>
  </r>
  <r>
    <d v="2026-05-01T20:05:00"/>
    <s v="Triumphal Gifts"/>
    <s v="Silver Chest"/>
    <x v="37"/>
    <s v="Bank"/>
    <x v="5"/>
  </r>
  <r>
    <d v="2026-05-01T20:05:00"/>
    <s v="Triumphal Gifts"/>
    <s v="Silver Chest"/>
    <x v="37"/>
    <s v="Bank"/>
    <x v="5"/>
  </r>
  <r>
    <d v="2026-05-01T22:25:00"/>
    <s v="Gifts"/>
    <s v="Orc Chest"/>
    <x v="0"/>
    <s v="Level 15 Crypt"/>
    <x v="0"/>
  </r>
  <r>
    <d v="2026-05-01T22:25:00"/>
    <s v="Gifts"/>
    <s v="Sapphire Chest"/>
    <x v="8"/>
    <s v="Level 15-19 Vault of the Ancients"/>
    <x v="14"/>
  </r>
  <r>
    <d v="2026-05-01T22:25:00"/>
    <s v="Gifts"/>
    <s v="Sapphire Chest"/>
    <x v="24"/>
    <s v="Level 15-19 Vault of the Ancients"/>
    <x v="14"/>
  </r>
  <r>
    <d v="2026-05-01T22:25:00"/>
    <s v="Gifts"/>
    <s v="Barbarian Chest"/>
    <x v="20"/>
    <s v="Level 5 Crypt"/>
    <x v="3"/>
  </r>
  <r>
    <d v="2026-05-01T22:25:00"/>
    <s v="Gifts"/>
    <s v="Gnome Workshop Chest"/>
    <x v="2"/>
    <s v="Level 10 Crypt"/>
    <x v="2"/>
  </r>
  <r>
    <d v="2026-05-01T22:25:00"/>
    <s v="Gifts"/>
    <s v="Cobra Chest"/>
    <x v="6"/>
    <s v="Level 5 Crypt"/>
    <x v="3"/>
  </r>
  <r>
    <d v="2026-05-01T22:25:00"/>
    <s v="Gifts"/>
    <s v="Forgotten Chest"/>
    <x v="6"/>
    <s v="Level 15 Crypt"/>
    <x v="0"/>
  </r>
  <r>
    <d v="2026-05-01T22:25:00"/>
    <s v="Gifts"/>
    <s v="Stone Chest"/>
    <x v="6"/>
    <s v="Level 15 Crypt"/>
    <x v="0"/>
  </r>
  <r>
    <d v="2026-05-01T22:25:00"/>
    <s v="Gifts"/>
    <s v="Orc Chest"/>
    <x v="2"/>
    <s v="Level 10 Crypt"/>
    <x v="2"/>
  </r>
  <r>
    <d v="2026-05-01T22:25:00"/>
    <s v="Gifts"/>
    <s v="Sapphire Chest"/>
    <x v="8"/>
    <s v="Level 10-14 Vault of the Ancients"/>
    <x v="14"/>
  </r>
  <r>
    <d v="2026-05-01T22:25:00"/>
    <s v="Gifts"/>
    <s v="Barbarian Chest"/>
    <x v="4"/>
    <s v="Level 10 Crypt"/>
    <x v="2"/>
  </r>
  <r>
    <d v="2026-05-01T22:25:00"/>
    <s v="Gifts"/>
    <s v="Infernal Chest"/>
    <x v="37"/>
    <s v="Level 5 Crypt"/>
    <x v="3"/>
  </r>
  <r>
    <d v="2026-05-01T22:25:00"/>
    <s v="Gifts"/>
    <s v="Sapphire Chest"/>
    <x v="24"/>
    <s v="Level 20-24 Vault of the Ancients"/>
    <x v="14"/>
  </r>
  <r>
    <d v="2026-05-01T22:25:00"/>
    <s v="Gifts"/>
    <s v="Sand Chest"/>
    <x v="25"/>
    <s v="Level 5 Crypt"/>
    <x v="3"/>
  </r>
  <r>
    <d v="2026-05-01T22:25:00"/>
    <s v="Gifts"/>
    <s v="Fire Chest"/>
    <x v="37"/>
    <s v="Level 10 Crypt"/>
    <x v="2"/>
  </r>
  <r>
    <d v="2026-05-01T22:25:00"/>
    <s v="Gifts"/>
    <s v="Stone Chest"/>
    <x v="6"/>
    <s v="Level 15 Crypt"/>
    <x v="0"/>
  </r>
  <r>
    <d v="2026-05-01T22:25:00"/>
    <s v="Gifts"/>
    <s v="Orc Chest"/>
    <x v="25"/>
    <s v="Level 10 Crypt"/>
    <x v="2"/>
  </r>
  <r>
    <d v="2026-05-01T22:25:00"/>
    <s v="Gifts"/>
    <s v="Sapphire Chest"/>
    <x v="24"/>
    <s v="Level 20-24 Vault of the Ancients"/>
    <x v="14"/>
  </r>
  <r>
    <d v="2026-05-01T22:25:00"/>
    <s v="Gifts"/>
    <s v="Minotaur Chest"/>
    <x v="6"/>
    <s v="Level 15 epic Crypt"/>
    <x v="10"/>
  </r>
  <r>
    <d v="2026-05-01T22:25:00"/>
    <s v="Gifts"/>
    <s v="Fire Chest"/>
    <x v="2"/>
    <s v="Level 10 Crypt"/>
    <x v="2"/>
  </r>
  <r>
    <d v="2026-05-01T22:25:00"/>
    <s v="Gifts"/>
    <s v="Ascendant Ashen Chest"/>
    <x v="37"/>
    <s v="Epic Ashen Squad"/>
    <x v="1"/>
  </r>
  <r>
    <d v="2026-05-01T22:25:00"/>
    <s v="Gifts"/>
    <s v="Sapphire Chest"/>
    <x v="24"/>
    <s v="Level 15-19 Vault of the Ancients"/>
    <x v="14"/>
  </r>
  <r>
    <d v="2026-05-01T22:25:00"/>
    <s v="Gifts"/>
    <s v="Barbarian Chest"/>
    <x v="6"/>
    <s v="Level 15 Crypt"/>
    <x v="0"/>
  </r>
  <r>
    <d v="2026-05-01T22:25:00"/>
    <s v="Gifts"/>
    <s v="Rare Dragon Chest"/>
    <x v="24"/>
    <s v="Level 10 rare Crypt"/>
    <x v="8"/>
  </r>
  <r>
    <d v="2026-05-01T22:25:00"/>
    <s v="Gifts"/>
    <s v="Elven Citadel Chest"/>
    <x v="37"/>
    <s v="Level 10 Citadel"/>
    <x v="11"/>
  </r>
  <r>
    <d v="2026-05-01T22:25:00"/>
    <s v="Gifts"/>
    <s v="Sapphire Chest"/>
    <x v="8"/>
    <s v="Level 20-24 Vault of the Ancients"/>
    <x v="14"/>
  </r>
  <r>
    <d v="2026-05-01T22:25:00"/>
    <s v="Gifts"/>
    <s v="Sapphire Chest"/>
    <x v="10"/>
    <s v="Level 20-24 Vault of the Ancients"/>
    <x v="14"/>
  </r>
  <r>
    <d v="2026-05-01T22:25:00"/>
    <s v="Gifts"/>
    <s v="Bone Chest"/>
    <x v="37"/>
    <s v="Level 5 Crypt"/>
    <x v="3"/>
  </r>
  <r>
    <d v="2026-05-01T22:25:00"/>
    <s v="Gifts"/>
    <s v="Sand Chest"/>
    <x v="37"/>
    <s v="Level 5 Crypt"/>
    <x v="3"/>
  </r>
  <r>
    <d v="2026-05-01T22:25:00"/>
    <s v="Gifts"/>
    <s v="Bone Chest"/>
    <x v="31"/>
    <s v="Level 15 Crypt"/>
    <x v="0"/>
  </r>
  <r>
    <d v="2026-05-01T22:25:00"/>
    <s v="Gifts"/>
    <s v="Forgotten Chest"/>
    <x v="37"/>
    <s v="Level 5 Crypt"/>
    <x v="3"/>
  </r>
  <r>
    <d v="2026-05-01T22:25:00"/>
    <s v="Gifts"/>
    <s v="Sapphire Chest"/>
    <x v="24"/>
    <s v="Level 20-24 Vault of the Ancients"/>
    <x v="14"/>
  </r>
  <r>
    <d v="2026-05-01T22:25:00"/>
    <s v="Gifts"/>
    <s v="Bone Chest"/>
    <x v="37"/>
    <s v="Level 5 Crypt"/>
    <x v="3"/>
  </r>
  <r>
    <d v="2026-05-01T22:25:00"/>
    <s v="Gifts"/>
    <s v="Forgotten Chest"/>
    <x v="2"/>
    <s v="Level 10 Crypt"/>
    <x v="2"/>
  </r>
  <r>
    <d v="2026-05-01T22:25:00"/>
    <s v="Gifts"/>
    <s v="Bone Chest"/>
    <x v="2"/>
    <s v="Level 10 Crypt"/>
    <x v="2"/>
  </r>
  <r>
    <d v="2026-05-01T22:25:00"/>
    <s v="Gifts"/>
    <s v="Orc Chest"/>
    <x v="2"/>
    <s v="Level 10 Crypt"/>
    <x v="2"/>
  </r>
  <r>
    <d v="2026-05-01T22:25:00"/>
    <s v="Gifts"/>
    <s v="Ascendant Ashen Chest"/>
    <x v="3"/>
    <s v="Epic Ashen Squad"/>
    <x v="1"/>
  </r>
  <r>
    <d v="2026-05-01T22:25:00"/>
    <s v="Gifts"/>
    <s v="Ascendant Ashen Chest"/>
    <x v="3"/>
    <s v="Epic Ashen Squad"/>
    <x v="1"/>
  </r>
  <r>
    <d v="2026-05-01T22:25:00"/>
    <s v="Gifts"/>
    <s v="Infernal Chest"/>
    <x v="6"/>
    <s v="Level 15 Crypt"/>
    <x v="0"/>
  </r>
  <r>
    <d v="2026-05-01T22:25:00"/>
    <s v="Gifts"/>
    <s v="Sapphire Chest"/>
    <x v="3"/>
    <s v="Level 15-19 Vault of the Ancients"/>
    <x v="14"/>
  </r>
  <r>
    <d v="2026-05-01T22:25:00"/>
    <s v="Gifts"/>
    <s v="Ascendant Ashen Chest"/>
    <x v="31"/>
    <s v="Epic Ashen Squad"/>
    <x v="1"/>
  </r>
  <r>
    <d v="2026-05-01T22:25:00"/>
    <s v="Gifts"/>
    <s v="Infernal Chest"/>
    <x v="2"/>
    <s v="Level 10 Crypt"/>
    <x v="2"/>
  </r>
  <r>
    <d v="2026-05-01T22:25:00"/>
    <s v="Gifts"/>
    <s v="Union Chest"/>
    <x v="24"/>
    <s v="Union of Triumph personal reward"/>
    <x v="1"/>
  </r>
  <r>
    <d v="2026-05-01T22:25:00"/>
    <s v="Gifts"/>
    <s v="Ascendant Ashen Chest"/>
    <x v="24"/>
    <s v="Epic Ashen Squad"/>
    <x v="1"/>
  </r>
  <r>
    <d v="2026-05-01T22:25:00"/>
    <s v="Gifts"/>
    <s v="Ascendant Ashen Chest"/>
    <x v="24"/>
    <s v="Epic Ashen Squad"/>
    <x v="1"/>
  </r>
  <r>
    <d v="2026-05-01T22:25:00"/>
    <s v="Gifts"/>
    <s v="Ascendant Ashen Chest"/>
    <x v="24"/>
    <s v="Epic Ashen Squad"/>
    <x v="1"/>
  </r>
  <r>
    <d v="2026-05-01T22:25:00"/>
    <s v="Gifts"/>
    <s v="Gnome Workshop Chest"/>
    <x v="5"/>
    <s v="Level 10 Crypt"/>
    <x v="2"/>
  </r>
  <r>
    <d v="2026-05-01T22:25:00"/>
    <s v="Gifts"/>
    <s v="Barbarian Chest"/>
    <x v="24"/>
    <s v="Level 15 Crypt"/>
    <x v="0"/>
  </r>
  <r>
    <d v="2026-05-01T22:25:00"/>
    <s v="Gifts"/>
    <s v="Sand Chest"/>
    <x v="24"/>
    <s v="Level 15 Crypt"/>
    <x v="0"/>
  </r>
  <r>
    <d v="2026-05-01T22:25:00"/>
    <s v="Gifts"/>
    <s v="Stone Chest"/>
    <x v="2"/>
    <s v="Level 10 Crypt"/>
    <x v="2"/>
  </r>
  <r>
    <d v="2026-05-01T22:25:00"/>
    <s v="Gifts"/>
    <s v="Gnome Workshop Chest"/>
    <x v="37"/>
    <s v="Level 15 Crypt"/>
    <x v="0"/>
  </r>
  <r>
    <d v="2026-05-01T22:25:00"/>
    <s v="Gifts"/>
    <s v="Bone Chest"/>
    <x v="37"/>
    <s v="Level 5 Crypt"/>
    <x v="3"/>
  </r>
  <r>
    <d v="2026-05-01T22:25:00"/>
    <s v="Gifts"/>
    <s v="Sapphire Chest"/>
    <x v="8"/>
    <s v="Level 15-19 Vault of the Ancients"/>
    <x v="14"/>
  </r>
  <r>
    <d v="2026-05-01T22:25:00"/>
    <s v="Gifts"/>
    <s v="Orc Chest"/>
    <x v="2"/>
    <s v="Level 10 Crypt"/>
    <x v="2"/>
  </r>
  <r>
    <d v="2026-05-01T22:25:00"/>
    <s v="Gifts"/>
    <s v="Orc Chest"/>
    <x v="20"/>
    <s v="Level 10 Crypt"/>
    <x v="2"/>
  </r>
  <r>
    <d v="2026-05-01T22:25:00"/>
    <s v="Gifts"/>
    <s v="Infernal Chest"/>
    <x v="2"/>
    <s v="Level 10 Crypt"/>
    <x v="2"/>
  </r>
  <r>
    <d v="2026-05-01T22:25:00"/>
    <s v="Gifts"/>
    <s v="Infernal Chest"/>
    <x v="5"/>
    <s v="Level 5 Crypt"/>
    <x v="3"/>
  </r>
  <r>
    <d v="2026-05-01T22:25:00"/>
    <s v="Gifts"/>
    <s v="Orc Chest"/>
    <x v="2"/>
    <s v="Level 10 Crypt"/>
    <x v="2"/>
  </r>
  <r>
    <d v="2026-05-01T22:25:00"/>
    <s v="Gifts"/>
    <s v="Elven Citadel Chest"/>
    <x v="2"/>
    <s v="Level 10 Citadel"/>
    <x v="11"/>
  </r>
  <r>
    <d v="2026-05-01T22:25:00"/>
    <s v="Gifts"/>
    <s v="Infernal Chest"/>
    <x v="31"/>
    <s v="Level 10 Crypt"/>
    <x v="2"/>
  </r>
  <r>
    <d v="2026-05-01T22:25:00"/>
    <s v="Gifts"/>
    <s v="Elven Citadel Chest"/>
    <x v="2"/>
    <s v="Level 10 Citadel"/>
    <x v="11"/>
  </r>
  <r>
    <d v="2026-05-01T22:25:00"/>
    <s v="Triumphal Gifts"/>
    <s v="Wooden Chest"/>
    <x v="2"/>
    <s v="Bank"/>
    <x v="5"/>
  </r>
  <r>
    <d v="2026-05-01T22:25:00"/>
    <s v="Triumphal Gifts"/>
    <s v="Wooden Chest"/>
    <x v="2"/>
    <s v="Bank"/>
    <x v="5"/>
  </r>
  <r>
    <d v="2026-05-01T22:25:00"/>
    <s v="Triumphal Gifts"/>
    <s v="Wooden Chest"/>
    <x v="2"/>
    <s v="Bank"/>
    <x v="5"/>
  </r>
  <r>
    <d v="2026-05-02T06:40:00"/>
    <s v="Gifts"/>
    <s v="Mayan Chest"/>
    <x v="48"/>
    <s v="Level 5 Crypt"/>
    <x v="3"/>
  </r>
  <r>
    <d v="2026-05-02T06:40:00"/>
    <s v="Gifts"/>
    <s v="Mayan Chest"/>
    <x v="48"/>
    <s v="Level 10 Crypt"/>
    <x v="2"/>
  </r>
  <r>
    <d v="2026-05-02T06:40:00"/>
    <s v="Gifts"/>
    <s v="Barbarian Chest"/>
    <x v="48"/>
    <s v="Level 10 Crypt"/>
    <x v="2"/>
  </r>
  <r>
    <d v="2026-05-02T06:40:00"/>
    <s v="Gifts"/>
    <s v="Gladiator's Chest"/>
    <x v="20"/>
    <s v="Arena"/>
    <x v="1"/>
  </r>
  <r>
    <d v="2026-05-02T06:40:00"/>
    <s v="Gifts"/>
    <s v="Elegant Chest"/>
    <x v="49"/>
    <s v="Level 5 Crypt"/>
    <x v="3"/>
  </r>
  <r>
    <d v="2026-05-02T06:40:00"/>
    <s v="Gifts"/>
    <s v="Mayan Chest"/>
    <x v="49"/>
    <s v="Level 5 Crypt"/>
    <x v="3"/>
  </r>
  <r>
    <d v="2026-05-02T06:40:00"/>
    <s v="Gifts"/>
    <s v="Sapphire Chest"/>
    <x v="2"/>
    <s v="Level 10-14 Vault of the Ancients"/>
    <x v="14"/>
  </r>
  <r>
    <d v="2026-05-02T06:40:00"/>
    <s v="Gifts"/>
    <s v="Common Chest of Wealth"/>
    <x v="9"/>
    <s v="Clan wealth"/>
    <x v="1"/>
  </r>
  <r>
    <d v="2026-05-02T06:40:00"/>
    <s v="Gifts"/>
    <s v="Uncommon Chest of Wealth"/>
    <x v="9"/>
    <s v="Clan wealth"/>
    <x v="1"/>
  </r>
  <r>
    <d v="2026-05-02T06:40:00"/>
    <s v="Gifts"/>
    <s v="Rare Chest of Wealth"/>
    <x v="9"/>
    <s v="Clan wealth"/>
    <x v="1"/>
  </r>
  <r>
    <d v="2026-05-02T06:40:00"/>
    <s v="Gifts"/>
    <s v="Bone Chest"/>
    <x v="44"/>
    <s v="Level 10 Crypt"/>
    <x v="2"/>
  </r>
  <r>
    <d v="2026-05-02T06:40:00"/>
    <s v="Gifts"/>
    <s v="Infernal Chest"/>
    <x v="44"/>
    <s v="Level 10 Crypt"/>
    <x v="2"/>
  </r>
  <r>
    <d v="2026-05-02T06:40:00"/>
    <s v="Gifts"/>
    <s v="Ascendant Ashen Chest"/>
    <x v="3"/>
    <s v="Epic Ashen Squad"/>
    <x v="1"/>
  </r>
  <r>
    <d v="2026-05-02T06:40:00"/>
    <s v="Gifts"/>
    <s v="Elegant Chest"/>
    <x v="1"/>
    <s v="Level 15 Crypt"/>
    <x v="0"/>
  </r>
  <r>
    <d v="2026-05-02T06:40:00"/>
    <s v="Gifts"/>
    <s v="Priest's Chest"/>
    <x v="3"/>
    <s v="Level 15 epic Crypt"/>
    <x v="10"/>
  </r>
  <r>
    <d v="2026-05-02T06:40:00"/>
    <s v="Gifts"/>
    <s v="Elegant Chest"/>
    <x v="3"/>
    <s v="Level 10 Crypt"/>
    <x v="2"/>
  </r>
  <r>
    <d v="2026-05-02T06:40:00"/>
    <s v="Gifts"/>
    <s v="Sand Chest"/>
    <x v="3"/>
    <s v="Level 15 Crypt"/>
    <x v="0"/>
  </r>
  <r>
    <d v="2026-05-02T06:40:00"/>
    <s v="Gifts"/>
    <s v="Union Chest"/>
    <x v="50"/>
    <s v="Union of Triumph personal reward"/>
    <x v="1"/>
  </r>
  <r>
    <d v="2026-05-02T06:40:00"/>
    <s v="Gifts"/>
    <s v="Union Chest"/>
    <x v="50"/>
    <s v="Union of Triumph personal reward"/>
    <x v="1"/>
  </r>
  <r>
    <d v="2026-05-02T06:40:00"/>
    <s v="Gifts"/>
    <s v="Union Chest"/>
    <x v="50"/>
    <s v="Union of Triumph personal reward"/>
    <x v="1"/>
  </r>
  <r>
    <d v="2026-05-02T06:40:00"/>
    <s v="Gifts"/>
    <s v="Union Chest"/>
    <x v="50"/>
    <s v="Union of Triumph personal reward"/>
    <x v="1"/>
  </r>
  <r>
    <d v="2026-05-02T06:40:00"/>
    <s v="Gifts"/>
    <s v="Union Chest"/>
    <x v="50"/>
    <s v="Union of Triumph personal reward"/>
    <x v="1"/>
  </r>
  <r>
    <d v="2026-05-02T06:40:00"/>
    <s v="Gifts"/>
    <s v="Union Chest"/>
    <x v="50"/>
    <s v="Union of Triumph personal reward"/>
    <x v="1"/>
  </r>
  <r>
    <d v="2026-05-02T06:40:00"/>
    <s v="Gifts"/>
    <s v="Infernal Chest"/>
    <x v="12"/>
    <s v="Level 10 Crypt"/>
    <x v="2"/>
  </r>
  <r>
    <d v="2026-05-02T06:40:00"/>
    <s v="Gifts"/>
    <s v="Mayan Chest"/>
    <x v="1"/>
    <s v="Level 15 Crypt"/>
    <x v="0"/>
  </r>
  <r>
    <d v="2026-05-02T06:40:00"/>
    <s v="Gifts"/>
    <s v="Elven Citadel Chest"/>
    <x v="13"/>
    <s v="Level 10 Citadel"/>
    <x v="11"/>
  </r>
  <r>
    <d v="2026-05-02T06:40:00"/>
    <s v="Gifts"/>
    <s v="Sapphire Chest"/>
    <x v="1"/>
    <s v="Level 15-19 Vault of the Ancients"/>
    <x v="14"/>
  </r>
  <r>
    <d v="2026-05-02T06:40:00"/>
    <s v="Gifts"/>
    <s v="Bone Chest"/>
    <x v="5"/>
    <s v="Level 10 Crypt"/>
    <x v="2"/>
  </r>
  <r>
    <d v="2026-05-02T06:40:00"/>
    <s v="Gifts"/>
    <s v="Fire Chest"/>
    <x v="9"/>
    <s v="Level 15 Crypt"/>
    <x v="0"/>
  </r>
  <r>
    <d v="2026-05-02T06:40:00"/>
    <s v="Gifts"/>
    <s v="Fire Chest"/>
    <x v="5"/>
    <s v="Level 10 Crypt"/>
    <x v="2"/>
  </r>
  <r>
    <d v="2026-05-02T06:40:00"/>
    <s v="Gifts"/>
    <s v="Fire Chest"/>
    <x v="14"/>
    <s v="Level 10 Crypt"/>
    <x v="2"/>
  </r>
  <r>
    <d v="2026-05-02T06:40:00"/>
    <s v="Gifts"/>
    <s v="Mayan Chest"/>
    <x v="12"/>
    <s v="Level 5 Crypt"/>
    <x v="3"/>
  </r>
  <r>
    <d v="2026-05-02T06:40:00"/>
    <s v="Gifts"/>
    <s v="Cobra Chest"/>
    <x v="5"/>
    <s v="Level 10 Crypt"/>
    <x v="2"/>
  </r>
  <r>
    <d v="2026-05-02T06:40:00"/>
    <s v="Gifts"/>
    <s v="Bone Chest"/>
    <x v="5"/>
    <s v="Level 5 Crypt"/>
    <x v="3"/>
  </r>
  <r>
    <d v="2026-05-02T06:40:00"/>
    <s v="Gifts"/>
    <s v="Infernal Chest"/>
    <x v="9"/>
    <s v="Level 15 Crypt"/>
    <x v="0"/>
  </r>
  <r>
    <d v="2026-05-02T06:40:00"/>
    <s v="Gifts"/>
    <s v="Barbarian Chest"/>
    <x v="12"/>
    <s v="Level 10 Crypt"/>
    <x v="2"/>
  </r>
  <r>
    <d v="2026-05-02T06:40:00"/>
    <s v="Gifts"/>
    <s v="Stone Chest"/>
    <x v="9"/>
    <s v="Level 15 Crypt"/>
    <x v="0"/>
  </r>
  <r>
    <d v="2026-05-02T06:40:00"/>
    <s v="Gifts"/>
    <s v="Gnome Workshop Chest"/>
    <x v="9"/>
    <s v="Level 15 Crypt"/>
    <x v="0"/>
  </r>
  <r>
    <d v="2026-05-02T06:40:00"/>
    <s v="Gifts"/>
    <s v="Cobra Chest"/>
    <x v="9"/>
    <s v="Level 15 Crypt"/>
    <x v="0"/>
  </r>
  <r>
    <d v="2026-05-02T06:40:00"/>
    <s v="Gifts"/>
    <s v="Stone Chest"/>
    <x v="9"/>
    <s v="Level 15 Crypt"/>
    <x v="0"/>
  </r>
  <r>
    <d v="2026-05-02T06:40:00"/>
    <s v="Gifts"/>
    <s v="Forgotten Chest"/>
    <x v="9"/>
    <s v="Level 15 Crypt"/>
    <x v="0"/>
  </r>
  <r>
    <d v="2026-05-02T06:40:00"/>
    <s v="Gifts"/>
    <s v="Gladiator's Chest"/>
    <x v="12"/>
    <s v="Arena"/>
    <x v="1"/>
  </r>
  <r>
    <d v="2026-05-02T06:40:00"/>
    <s v="Gifts"/>
    <s v="Gnome Workshop Chest"/>
    <x v="9"/>
    <s v="Level 15 Crypt"/>
    <x v="0"/>
  </r>
  <r>
    <d v="2026-05-02T06:40:00"/>
    <s v="Gifts"/>
    <s v="Mayan Chest"/>
    <x v="5"/>
    <s v="Level 10 Crypt"/>
    <x v="2"/>
  </r>
  <r>
    <d v="2026-05-02T06:40:00"/>
    <s v="Gifts"/>
    <s v="Barbarian Chest"/>
    <x v="14"/>
    <s v="Level 15 Crypt"/>
    <x v="0"/>
  </r>
  <r>
    <d v="2026-05-02T06:40:00"/>
    <s v="Gifts"/>
    <s v="Rare Dragon Chest"/>
    <x v="3"/>
    <s v="Level 15 rare Crypt"/>
    <x v="13"/>
  </r>
  <r>
    <d v="2026-05-02T06:40:00"/>
    <s v="Gifts"/>
    <s v="Forgotten Chest"/>
    <x v="9"/>
    <s v="Level 15 Crypt"/>
    <x v="0"/>
  </r>
  <r>
    <d v="2026-05-02T06:40:00"/>
    <s v="Gifts"/>
    <s v="Orc Chest"/>
    <x v="9"/>
    <s v="Level 15 Crypt"/>
    <x v="0"/>
  </r>
  <r>
    <d v="2026-05-02T06:40:00"/>
    <s v="Gifts"/>
    <s v="Cobra Chest"/>
    <x v="9"/>
    <s v="Level 15 Crypt"/>
    <x v="0"/>
  </r>
  <r>
    <d v="2026-05-02T06:40:00"/>
    <s v="Gifts"/>
    <s v="Cobra Chest"/>
    <x v="9"/>
    <s v="Level 15 Crypt"/>
    <x v="0"/>
  </r>
  <r>
    <d v="2026-05-02T06:40:00"/>
    <s v="Gifts"/>
    <s v="Mayan Chest"/>
    <x v="5"/>
    <s v="Level 10 Crypt"/>
    <x v="2"/>
  </r>
  <r>
    <d v="2026-05-02T06:40:00"/>
    <s v="Gifts"/>
    <s v="Cobra Chest"/>
    <x v="9"/>
    <s v="Level 15 Crypt"/>
    <x v="0"/>
  </r>
  <r>
    <d v="2026-05-02T06:40:00"/>
    <s v="Gifts"/>
    <s v="Fire Chest"/>
    <x v="9"/>
    <s v="Level 15 Crypt"/>
    <x v="0"/>
  </r>
  <r>
    <d v="2026-05-02T06:40:00"/>
    <s v="Gifts"/>
    <s v="Ascendant Ashen Chest"/>
    <x v="3"/>
    <s v="Epic Ashen Squad"/>
    <x v="1"/>
  </r>
  <r>
    <d v="2026-05-02T06:40:00"/>
    <s v="Gifts"/>
    <s v="Ascendant Ashen Chest"/>
    <x v="3"/>
    <s v="Epic Ashen Squad"/>
    <x v="1"/>
  </r>
  <r>
    <d v="2026-05-02T06:40:00"/>
    <s v="Gifts"/>
    <s v="Bone Chest"/>
    <x v="5"/>
    <s v="Level 10 Crypt"/>
    <x v="2"/>
  </r>
  <r>
    <d v="2026-05-02T06:40:00"/>
    <s v="Gifts"/>
    <s v="Ascendant Ashen Chest"/>
    <x v="14"/>
    <s v="Epic Ashen Squad"/>
    <x v="1"/>
  </r>
  <r>
    <d v="2026-05-02T06:40:00"/>
    <s v="Gifts"/>
    <s v="Sapphire Chest"/>
    <x v="1"/>
    <s v="Level 15-19 Vault of the Ancients"/>
    <x v="14"/>
  </r>
  <r>
    <d v="2026-05-02T06:40:00"/>
    <s v="Gifts"/>
    <s v="Barbarian Chest"/>
    <x v="1"/>
    <s v="Level 15 Crypt"/>
    <x v="0"/>
  </r>
  <r>
    <d v="2026-05-02T06:40:00"/>
    <s v="Gifts"/>
    <s v="Elegant Chest"/>
    <x v="5"/>
    <s v="Level 5 Crypt"/>
    <x v="3"/>
  </r>
  <r>
    <d v="2026-05-02T06:40:00"/>
    <s v="Gifts"/>
    <s v="Mayan Chest"/>
    <x v="14"/>
    <s v="Level 10 Crypt"/>
    <x v="2"/>
  </r>
  <r>
    <d v="2026-05-02T06:40:00"/>
    <s v="Gifts"/>
    <s v="Ascendant Ashen Chest"/>
    <x v="1"/>
    <s v="Epic Ashen Squad"/>
    <x v="1"/>
  </r>
  <r>
    <d v="2026-05-02T06:40:00"/>
    <s v="Gifts"/>
    <s v="Ascendant Ashen Chest"/>
    <x v="1"/>
    <s v="Epic Ashen Squad"/>
    <x v="1"/>
  </r>
  <r>
    <d v="2026-05-02T06:40:00"/>
    <s v="Gifts"/>
    <s v="Warrior's Chest"/>
    <x v="14"/>
    <s v="Level 15 epic Crypt"/>
    <x v="10"/>
  </r>
  <r>
    <d v="2026-05-02T06:40:00"/>
    <s v="Gifts"/>
    <s v="Gnome Workshop Chest"/>
    <x v="29"/>
    <s v="Level 10 Crypt"/>
    <x v="2"/>
  </r>
  <r>
    <d v="2026-05-02T06:40:00"/>
    <s v="Gifts"/>
    <s v="Cobra Chest"/>
    <x v="14"/>
    <s v="Level 5 Crypt"/>
    <x v="3"/>
  </r>
  <r>
    <d v="2026-05-02T06:40:00"/>
    <s v="Gifts"/>
    <s v="Gnome Workshop Chest"/>
    <x v="5"/>
    <s v="Level 10 Crypt"/>
    <x v="2"/>
  </r>
  <r>
    <d v="2026-05-02T06:40:00"/>
    <s v="Gifts"/>
    <s v="Fire Chest"/>
    <x v="14"/>
    <s v="Level 10 Crypt"/>
    <x v="2"/>
  </r>
  <r>
    <d v="2026-05-02T06:40:00"/>
    <s v="Gifts"/>
    <s v="Cobra Chest"/>
    <x v="12"/>
    <s v="Level 10 Crypt"/>
    <x v="2"/>
  </r>
  <r>
    <d v="2026-05-02T06:40:00"/>
    <s v="Gifts"/>
    <s v="Bone Chest"/>
    <x v="29"/>
    <s v="Level 10 Crypt"/>
    <x v="2"/>
  </r>
  <r>
    <d v="2026-05-02T06:40:00"/>
    <s v="Gifts"/>
    <s v="Cobra Chest"/>
    <x v="29"/>
    <s v="Level 5 Crypt"/>
    <x v="3"/>
  </r>
  <r>
    <d v="2026-05-02T06:40:00"/>
    <s v="Gifts"/>
    <s v="Sand Chest"/>
    <x v="29"/>
    <s v="Level 10 Crypt"/>
    <x v="2"/>
  </r>
  <r>
    <d v="2026-05-02T06:40:00"/>
    <s v="Gifts"/>
    <s v="Barbarian Chest"/>
    <x v="29"/>
    <s v="Level 10 Crypt"/>
    <x v="2"/>
  </r>
  <r>
    <d v="2026-05-02T06:40:00"/>
    <s v="Gifts"/>
    <s v="Braided Chest"/>
    <x v="3"/>
    <s v="Level 15 epic Crypt"/>
    <x v="10"/>
  </r>
  <r>
    <d v="2026-05-02T06:40:00"/>
    <s v="Gifts"/>
    <s v="Chest of the Cursed"/>
    <x v="3"/>
    <s v="Level 20 epic Crypt"/>
    <x v="9"/>
  </r>
  <r>
    <d v="2026-05-02T06:40:00"/>
    <s v="Gifts"/>
    <s v="Forgotten Chest"/>
    <x v="33"/>
    <s v="Level 10 Crypt"/>
    <x v="2"/>
  </r>
  <r>
    <d v="2026-05-02T06:40:00"/>
    <s v="Gifts"/>
    <s v="Gnome Workshop Chest"/>
    <x v="33"/>
    <s v="Level 10 Crypt"/>
    <x v="2"/>
  </r>
  <r>
    <d v="2026-05-02T06:40:00"/>
    <s v="Gifts"/>
    <s v="Ascendant Ashen Chest"/>
    <x v="3"/>
    <s v="Epic Ashen Squad"/>
    <x v="1"/>
  </r>
  <r>
    <d v="2026-05-02T06:40:00"/>
    <s v="Gifts"/>
    <s v="Ascendant Ashen Chest"/>
    <x v="3"/>
    <s v="Epic Ashen Squad"/>
    <x v="1"/>
  </r>
  <r>
    <d v="2026-05-02T06:40:00"/>
    <s v="Gifts"/>
    <s v="Elven Citadel Chest"/>
    <x v="12"/>
    <s v="Level 10 Citadel"/>
    <x v="11"/>
  </r>
  <r>
    <d v="2026-05-02T06:40:00"/>
    <s v="Gifts"/>
    <s v="Orc Chest"/>
    <x v="33"/>
    <s v="Level 10 Crypt"/>
    <x v="2"/>
  </r>
  <r>
    <d v="2026-05-02T06:40:00"/>
    <s v="Gifts"/>
    <s v="Gladiator's Chest"/>
    <x v="33"/>
    <s v="Arena"/>
    <x v="1"/>
  </r>
  <r>
    <d v="2026-05-02T06:40:00"/>
    <s v="Gifts"/>
    <s v="White Wood Chest"/>
    <x v="3"/>
    <s v="Level 15 epic Crypt"/>
    <x v="10"/>
  </r>
  <r>
    <d v="2026-05-02T06:40:00"/>
    <s v="Gifts"/>
    <s v="Fire Chest"/>
    <x v="22"/>
    <s v="Level 10 Crypt"/>
    <x v="2"/>
  </r>
  <r>
    <d v="2026-05-02T06:40:00"/>
    <s v="Gifts"/>
    <s v="Sapphire Chest"/>
    <x v="22"/>
    <s v="Level 10-14 Vault of the Ancients"/>
    <x v="14"/>
  </r>
  <r>
    <d v="2026-05-02T06:40:00"/>
    <s v="Gifts"/>
    <s v="Stone Chest"/>
    <x v="51"/>
    <s v="Level 10 Crypt"/>
    <x v="2"/>
  </r>
  <r>
    <d v="2026-05-02T06:40:00"/>
    <s v="Gifts"/>
    <s v="Gnome Workshop Chest"/>
    <x v="9"/>
    <s v="Level 15 Crypt"/>
    <x v="0"/>
  </r>
  <r>
    <d v="2026-05-02T06:40:00"/>
    <s v="Gifts"/>
    <s v="Fire Chest"/>
    <x v="14"/>
    <s v="Level 5 Crypt"/>
    <x v="3"/>
  </r>
  <r>
    <d v="2026-05-02T06:40:00"/>
    <s v="Gifts"/>
    <s v="Bone Chest"/>
    <x v="22"/>
    <s v="Level 10 Crypt"/>
    <x v="2"/>
  </r>
  <r>
    <d v="2026-05-02T06:40:00"/>
    <s v="Gifts"/>
    <s v="Ascendant Ashen Chest"/>
    <x v="3"/>
    <s v="Epic Ashen Squad"/>
    <x v="1"/>
  </r>
  <r>
    <d v="2026-05-02T06:40:00"/>
    <s v="Gifts"/>
    <s v="Ascendant Ashen Chest"/>
    <x v="3"/>
    <s v="Epic Ashen Squad"/>
    <x v="1"/>
  </r>
  <r>
    <d v="2026-05-02T06:40:00"/>
    <s v="Gifts"/>
    <s v="Ascendant Ashen Chest"/>
    <x v="25"/>
    <s v="Epic Ashen Squad"/>
    <x v="1"/>
  </r>
  <r>
    <d v="2026-05-02T06:40:00"/>
    <s v="Gifts"/>
    <s v="Fire Chest"/>
    <x v="19"/>
    <s v="Level 15 Crypt"/>
    <x v="0"/>
  </r>
  <r>
    <d v="2026-05-02T06:40:00"/>
    <s v="Gifts"/>
    <s v="Elven Citadel Chest"/>
    <x v="3"/>
    <s v="Level 20 Citadel"/>
    <x v="6"/>
  </r>
  <r>
    <d v="2026-05-02T06:40:00"/>
    <s v="Gifts"/>
    <s v="Orc Chest"/>
    <x v="19"/>
    <s v="Level 15 Crypt"/>
    <x v="0"/>
  </r>
  <r>
    <d v="2026-05-02T06:40:00"/>
    <s v="Gifts"/>
    <s v="Elegant Chest"/>
    <x v="19"/>
    <s v="Level 10 Crypt"/>
    <x v="2"/>
  </r>
  <r>
    <d v="2026-05-02T06:40:00"/>
    <s v="Gifts"/>
    <s v="Infernal Chest"/>
    <x v="19"/>
    <s v="Level 15 Crypt"/>
    <x v="0"/>
  </r>
  <r>
    <d v="2026-05-02T06:40:00"/>
    <s v="Gifts"/>
    <s v="Gladiator's Chest"/>
    <x v="38"/>
    <s v="Arena"/>
    <x v="1"/>
  </r>
  <r>
    <d v="2026-05-02T06:40:00"/>
    <s v="Gifts"/>
    <s v="Sand Chest"/>
    <x v="32"/>
    <s v="Level 5 Crypt"/>
    <x v="3"/>
  </r>
  <r>
    <d v="2026-05-02T06:40:00"/>
    <s v="Gifts"/>
    <s v="Ascendant Ashen Chest"/>
    <x v="40"/>
    <s v="Epic Ashen Squad"/>
    <x v="1"/>
  </r>
  <r>
    <d v="2026-05-02T06:40:00"/>
    <s v="Gifts"/>
    <s v="Fire Chest"/>
    <x v="42"/>
    <s v="Level 5 Crypt"/>
    <x v="3"/>
  </r>
  <r>
    <d v="2026-05-02T06:40:00"/>
    <s v="Gifts"/>
    <s v="Cobra Chest"/>
    <x v="32"/>
    <s v="Level 5 Crypt"/>
    <x v="3"/>
  </r>
  <r>
    <d v="2026-05-02T06:40:00"/>
    <s v="Gifts"/>
    <s v="Mayan Chest"/>
    <x v="38"/>
    <s v="Level 5 Crypt"/>
    <x v="3"/>
  </r>
  <r>
    <d v="2026-05-02T06:40:00"/>
    <s v="Gifts"/>
    <s v="Braided Chest"/>
    <x v="19"/>
    <s v="Level 15 epic Crypt"/>
    <x v="10"/>
  </r>
  <r>
    <d v="2026-05-02T06:40:00"/>
    <s v="Gifts"/>
    <s v="Infernal Chest"/>
    <x v="7"/>
    <s v="Level 10 Crypt"/>
    <x v="2"/>
  </r>
  <r>
    <d v="2026-05-02T06:40:00"/>
    <s v="Gifts"/>
    <s v="Elegant Chest"/>
    <x v="40"/>
    <s v="Level 10 Crypt"/>
    <x v="2"/>
  </r>
  <r>
    <d v="2026-05-02T06:40:00"/>
    <s v="Gifts"/>
    <s v="Stone Chest"/>
    <x v="38"/>
    <s v="Level 10 Crypt"/>
    <x v="2"/>
  </r>
  <r>
    <d v="2026-05-02T06:40:00"/>
    <s v="Gifts"/>
    <s v="Gnome Workshop Chest"/>
    <x v="40"/>
    <s v="Level 10 Crypt"/>
    <x v="2"/>
  </r>
  <r>
    <d v="2026-05-02T06:40:00"/>
    <s v="Gifts"/>
    <s v="Stone Chest"/>
    <x v="40"/>
    <s v="Level 5 Crypt"/>
    <x v="3"/>
  </r>
  <r>
    <d v="2026-05-02T06:40:00"/>
    <s v="Gifts"/>
    <s v="Fire Chest"/>
    <x v="42"/>
    <s v="Level 5 Crypt"/>
    <x v="3"/>
  </r>
  <r>
    <d v="2026-05-02T06:40:00"/>
    <s v="Gifts"/>
    <s v="Elven Citadel Chest"/>
    <x v="40"/>
    <s v="Level 10 Citadel"/>
    <x v="11"/>
  </r>
  <r>
    <d v="2026-05-02T06:40:00"/>
    <s v="Gifts"/>
    <s v="Harpy Chest"/>
    <x v="18"/>
    <s v="Level 15 epic Crypt"/>
    <x v="10"/>
  </r>
  <r>
    <d v="2026-05-02T06:40:00"/>
    <s v="Gifts"/>
    <s v="Elegant Chest"/>
    <x v="40"/>
    <s v="Level 5 Crypt"/>
    <x v="3"/>
  </r>
  <r>
    <d v="2026-05-02T06:40:00"/>
    <s v="Gifts"/>
    <s v="Orc Chest"/>
    <x v="40"/>
    <s v="Level 5 Crypt"/>
    <x v="3"/>
  </r>
  <r>
    <d v="2026-05-02T06:40:00"/>
    <s v="Gifts"/>
    <s v="Rare Dragon Chest"/>
    <x v="51"/>
    <s v="Level 10 rare Crypt"/>
    <x v="8"/>
  </r>
  <r>
    <d v="2026-05-02T06:40:00"/>
    <s v="Gifts"/>
    <s v="Forgotten Chest"/>
    <x v="40"/>
    <s v="Level 10 Crypt"/>
    <x v="2"/>
  </r>
  <r>
    <d v="2026-05-02T06:40:00"/>
    <s v="Gifts"/>
    <s v="Stone Chest"/>
    <x v="51"/>
    <s v="Level 10 Crypt"/>
    <x v="2"/>
  </r>
  <r>
    <d v="2026-05-02T06:40:00"/>
    <s v="Gifts"/>
    <s v="Cobra Chest"/>
    <x v="51"/>
    <s v="Level 10 Crypt"/>
    <x v="2"/>
  </r>
  <r>
    <d v="2026-05-02T06:40:00"/>
    <s v="Gifts"/>
    <s v="Elegant Chest"/>
    <x v="42"/>
    <s v="Level 10 Crypt"/>
    <x v="2"/>
  </r>
  <r>
    <d v="2026-05-02T06:40:00"/>
    <s v="Gifts"/>
    <s v="Forgotten Chest"/>
    <x v="40"/>
    <s v="Level 10 Crypt"/>
    <x v="2"/>
  </r>
  <r>
    <d v="2026-05-02T06:40:00"/>
    <s v="Gifts"/>
    <s v="Mayan Chest"/>
    <x v="30"/>
    <s v="Level 10 Crypt"/>
    <x v="2"/>
  </r>
  <r>
    <d v="2026-05-02T06:40:00"/>
    <s v="Gifts"/>
    <s v="Sand Chest"/>
    <x v="21"/>
    <s v="Level 10 Crypt"/>
    <x v="2"/>
  </r>
  <r>
    <d v="2026-05-02T06:40:00"/>
    <s v="Gifts"/>
    <s v="Ascendant Ashen Chest"/>
    <x v="10"/>
    <s v="Epic Ashen Squad"/>
    <x v="1"/>
  </r>
  <r>
    <d v="2026-05-02T06:40:00"/>
    <s v="Gifts"/>
    <s v="Forgotten Chest"/>
    <x v="42"/>
    <s v="Level 5 Crypt"/>
    <x v="3"/>
  </r>
  <r>
    <d v="2026-05-02T06:40:00"/>
    <s v="Gifts"/>
    <s v="Ascendant Ashen Chest"/>
    <x v="19"/>
    <s v="Epic Ashen Squad"/>
    <x v="1"/>
  </r>
  <r>
    <d v="2026-05-02T06:40:00"/>
    <s v="Gifts"/>
    <s v="Stone Chest"/>
    <x v="51"/>
    <s v="Level 10 Crypt"/>
    <x v="2"/>
  </r>
  <r>
    <d v="2026-05-02T06:40:00"/>
    <s v="Gifts"/>
    <s v="Bone Chest"/>
    <x v="21"/>
    <s v="Level 10 Crypt"/>
    <x v="2"/>
  </r>
  <r>
    <d v="2026-05-02T06:40:00"/>
    <s v="Gifts"/>
    <s v="Barbarian Chest"/>
    <x v="42"/>
    <s v="Level 10 Crypt"/>
    <x v="2"/>
  </r>
  <r>
    <d v="2026-05-02T06:40:00"/>
    <s v="Gifts"/>
    <s v="Forgotten Chest"/>
    <x v="51"/>
    <s v="Level 10 Crypt"/>
    <x v="2"/>
  </r>
  <r>
    <d v="2026-05-02T06:40:00"/>
    <s v="Gifts"/>
    <s v="Barbarian Chest"/>
    <x v="42"/>
    <s v="Level 10 Crypt"/>
    <x v="2"/>
  </r>
  <r>
    <d v="2026-05-02T06:40:00"/>
    <s v="Gifts"/>
    <s v="Bone Chest"/>
    <x v="42"/>
    <s v="Level 5 Crypt"/>
    <x v="3"/>
  </r>
  <r>
    <d v="2026-05-02T06:40:00"/>
    <s v="Gifts"/>
    <s v="Infernal Chest"/>
    <x v="8"/>
    <s v="Level 15 Crypt"/>
    <x v="0"/>
  </r>
  <r>
    <d v="2026-05-02T06:40:00"/>
    <s v="Gifts"/>
    <s v="Orc Chest"/>
    <x v="8"/>
    <s v="Level 15 Crypt"/>
    <x v="0"/>
  </r>
  <r>
    <d v="2026-05-02T06:40:00"/>
    <s v="Gifts"/>
    <s v="Orc Chest"/>
    <x v="51"/>
    <s v="Level 10 Crypt"/>
    <x v="2"/>
  </r>
  <r>
    <d v="2026-05-02T06:40:00"/>
    <s v="Gifts"/>
    <s v="Gnome Workshop Chest"/>
    <x v="8"/>
    <s v="Level 15 Crypt"/>
    <x v="0"/>
  </r>
  <r>
    <d v="2026-05-02T06:40:00"/>
    <s v="Gifts"/>
    <s v="Bone Chest"/>
    <x v="8"/>
    <s v="Level 15 Crypt"/>
    <x v="0"/>
  </r>
  <r>
    <d v="2026-05-02T06:40:00"/>
    <s v="Gifts"/>
    <s v="Sand Chest"/>
    <x v="8"/>
    <s v="Level 15 Crypt"/>
    <x v="0"/>
  </r>
  <r>
    <d v="2026-05-02T06:40:00"/>
    <s v="Gifts"/>
    <s v="Sand Chest"/>
    <x v="8"/>
    <s v="Level 15 Crypt"/>
    <x v="0"/>
  </r>
  <r>
    <d v="2026-05-02T06:40:00"/>
    <s v="Gifts"/>
    <s v="Elegant Chest"/>
    <x v="8"/>
    <s v="Level 15 Crypt"/>
    <x v="0"/>
  </r>
  <r>
    <d v="2026-05-02T06:40:00"/>
    <s v="Gifts"/>
    <s v="Cobra Chest"/>
    <x v="8"/>
    <s v="Level 15 Crypt"/>
    <x v="0"/>
  </r>
  <r>
    <d v="2026-05-02T06:40:00"/>
    <s v="Gifts"/>
    <s v="Infernal Chest"/>
    <x v="8"/>
    <s v="Level 15 Crypt"/>
    <x v="0"/>
  </r>
  <r>
    <d v="2026-05-02T06:40:00"/>
    <s v="Gifts"/>
    <s v="Gnome Workshop Chest"/>
    <x v="8"/>
    <s v="Level 15 Crypt"/>
    <x v="0"/>
  </r>
  <r>
    <d v="2026-05-02T06:40:00"/>
    <s v="Gifts"/>
    <s v="Bone Chest"/>
    <x v="8"/>
    <s v="Level 15 Crypt"/>
    <x v="0"/>
  </r>
  <r>
    <d v="2026-05-02T06:40:00"/>
    <s v="Gifts"/>
    <s v="Forgotten Chest"/>
    <x v="8"/>
    <s v="Level 15 Crypt"/>
    <x v="0"/>
  </r>
  <r>
    <d v="2026-05-02T06:40:00"/>
    <s v="Gifts"/>
    <s v="Sand Chest"/>
    <x v="8"/>
    <s v="Level 15 Crypt"/>
    <x v="0"/>
  </r>
  <r>
    <d v="2026-05-02T06:40:00"/>
    <s v="Gifts"/>
    <s v="Orc Chest"/>
    <x v="8"/>
    <s v="Level 15 Crypt"/>
    <x v="0"/>
  </r>
  <r>
    <d v="2026-05-02T06:40:00"/>
    <s v="Gifts"/>
    <s v="Forgotten Chest"/>
    <x v="8"/>
    <s v="Level 15 Crypt"/>
    <x v="0"/>
  </r>
  <r>
    <d v="2026-05-02T06:40:00"/>
    <s v="Gifts"/>
    <s v="Rare Dragon Chest"/>
    <x v="8"/>
    <s v="Level 15 rare Crypt"/>
    <x v="13"/>
  </r>
  <r>
    <d v="2026-05-02T06:40:00"/>
    <s v="Gifts"/>
    <s v="Infernal Chest"/>
    <x v="8"/>
    <s v="Level 15 Crypt"/>
    <x v="0"/>
  </r>
  <r>
    <d v="2026-05-02T06:40:00"/>
    <s v="Gifts"/>
    <s v="Gnome Workshop Chest"/>
    <x v="8"/>
    <s v="Level 15 Crypt"/>
    <x v="0"/>
  </r>
  <r>
    <d v="2026-05-02T06:40:00"/>
    <s v="Gifts"/>
    <s v="Elegant Chest"/>
    <x v="13"/>
    <s v="Level 5 Crypt"/>
    <x v="3"/>
  </r>
  <r>
    <d v="2026-05-02T06:40:00"/>
    <s v="Gifts"/>
    <s v="Infernal Chest"/>
    <x v="17"/>
    <s v="Level 10 Crypt"/>
    <x v="2"/>
  </r>
  <r>
    <d v="2026-05-02T06:40:00"/>
    <s v="Gifts"/>
    <s v="Cobra Chest"/>
    <x v="8"/>
    <s v="Level 15 Crypt"/>
    <x v="0"/>
  </r>
  <r>
    <d v="2026-05-02T06:40:00"/>
    <s v="Gifts"/>
    <s v="Mayan Chest"/>
    <x v="8"/>
    <s v="Level 15 Crypt"/>
    <x v="0"/>
  </r>
  <r>
    <d v="2026-05-02T06:40:00"/>
    <s v="Gifts"/>
    <s v="Barbarian Chest"/>
    <x v="8"/>
    <s v="Level 15 Crypt"/>
    <x v="0"/>
  </r>
  <r>
    <d v="2026-05-02T06:40:00"/>
    <s v="Gifts"/>
    <s v="Sand Chest"/>
    <x v="17"/>
    <s v="Level 10 Crypt"/>
    <x v="2"/>
  </r>
  <r>
    <d v="2026-05-02T06:40:00"/>
    <s v="Gifts"/>
    <s v="Common Chest of Wealth"/>
    <x v="18"/>
    <s v="Clan wealth"/>
    <x v="1"/>
  </r>
  <r>
    <d v="2026-05-02T06:40:00"/>
    <s v="Gifts"/>
    <s v="Uncommon Chest of Wealth"/>
    <x v="18"/>
    <s v="Clan wealth"/>
    <x v="1"/>
  </r>
  <r>
    <d v="2026-05-02T06:40:00"/>
    <s v="Gifts"/>
    <s v="Rare Chest of Wealth"/>
    <x v="18"/>
    <s v="Clan wealth"/>
    <x v="1"/>
  </r>
  <r>
    <d v="2026-05-02T06:40:00"/>
    <s v="Gifts"/>
    <s v="Gnome Workshop Chest"/>
    <x v="17"/>
    <s v="Level 10 Crypt"/>
    <x v="2"/>
  </r>
  <r>
    <d v="2026-05-02T06:40:00"/>
    <s v="Gifts"/>
    <s v="Orc Chest"/>
    <x v="17"/>
    <s v="Level 10 Crypt"/>
    <x v="2"/>
  </r>
  <r>
    <d v="2026-05-02T06:40:00"/>
    <s v="Gifts"/>
    <s v="Stone Chest"/>
    <x v="38"/>
    <s v="Level 5 Crypt"/>
    <x v="3"/>
  </r>
  <r>
    <d v="2026-05-02T06:40:00"/>
    <s v="Gifts"/>
    <s v="Stone Chest"/>
    <x v="51"/>
    <s v="Level 10 Crypt"/>
    <x v="2"/>
  </r>
  <r>
    <d v="2026-05-02T06:40:00"/>
    <s v="Gifts"/>
    <s v="Orc Chest"/>
    <x v="17"/>
    <s v="Level 10 Crypt"/>
    <x v="2"/>
  </r>
  <r>
    <d v="2026-05-02T06:40:00"/>
    <s v="Triumphal Gifts"/>
    <s v="Bronze Chest"/>
    <x v="12"/>
    <s v="Bank"/>
    <x v="5"/>
  </r>
  <r>
    <d v="2026-05-02T06:40:00"/>
    <s v="Triumphal Gifts"/>
    <s v="Bronze Chest"/>
    <x v="12"/>
    <s v="Bank"/>
    <x v="5"/>
  </r>
  <r>
    <d v="2026-05-02T06:40:00"/>
    <s v="Triumphal Gifts"/>
    <s v="Bronze Chest"/>
    <x v="12"/>
    <s v="Bank"/>
    <x v="5"/>
  </r>
  <r>
    <d v="2026-05-02T06:40:00"/>
    <s v="Triumphal Gifts"/>
    <s v="Golden Chest"/>
    <x v="3"/>
    <s v="Bank"/>
    <x v="5"/>
  </r>
  <r>
    <d v="2026-05-02T06:40:00"/>
    <s v="Triumphal Gifts"/>
    <s v="Golden Chest"/>
    <x v="3"/>
    <s v="Bank"/>
    <x v="5"/>
  </r>
  <r>
    <d v="2026-05-02T06:40:00"/>
    <s v="Triumphal Gifts"/>
    <s v="Golden Chest"/>
    <x v="3"/>
    <s v="Bank"/>
    <x v="5"/>
  </r>
  <r>
    <d v="2026-05-02T06:40:00"/>
    <s v="Triumphal Gifts"/>
    <s v="Silver Chest"/>
    <x v="3"/>
    <s v="Bank"/>
    <x v="5"/>
  </r>
  <r>
    <d v="2026-05-02T06:40:00"/>
    <s v="Triumphal Gifts"/>
    <s v="Silver Chest"/>
    <x v="3"/>
    <s v="Bank"/>
    <x v="5"/>
  </r>
  <r>
    <d v="2026-05-02T06:40:00"/>
    <s v="Triumphal Gifts"/>
    <s v="Silver Chest"/>
    <x v="3"/>
    <s v="Bank"/>
    <x v="5"/>
  </r>
  <r>
    <d v="2026-05-02T06:40:00"/>
    <s v="Triumphal Gifts"/>
    <s v="Wooden Chest"/>
    <x v="10"/>
    <s v="Bank"/>
    <x v="5"/>
  </r>
  <r>
    <d v="2026-05-02T06:40:00"/>
    <s v="Triumphal Gifts"/>
    <s v="Wooden Chest"/>
    <x v="10"/>
    <s v="Bank"/>
    <x v="5"/>
  </r>
  <r>
    <d v="2026-05-02T06:40:00"/>
    <s v="Triumphal Gifts"/>
    <s v="Wooden Chest"/>
    <x v="10"/>
    <s v="Bank"/>
    <x v="5"/>
  </r>
  <r>
    <d v="2026-05-02T06:40:00"/>
    <s v="Triumphal Gifts"/>
    <s v="Bronze Chest"/>
    <x v="10"/>
    <s v="Bank"/>
    <x v="5"/>
  </r>
  <r>
    <d v="2026-05-02T06:40:00"/>
    <s v="Triumphal Gifts"/>
    <s v="Bronze Chest"/>
    <x v="10"/>
    <s v="Bank"/>
    <x v="5"/>
  </r>
  <r>
    <d v="2026-05-02T06:40:00"/>
    <s v="Triumphal Gifts"/>
    <s v="Bronze Chest"/>
    <x v="10"/>
    <s v="Bank"/>
    <x v="5"/>
  </r>
  <r>
    <d v="2026-05-02T06:40:00"/>
    <s v="Triumphal Gifts"/>
    <s v="Bronze Chest"/>
    <x v="27"/>
    <s v="Bank"/>
    <x v="5"/>
  </r>
  <r>
    <d v="2026-05-02T06:40:00"/>
    <s v="Triumphal Gifts"/>
    <s v="Bronze Chest"/>
    <x v="27"/>
    <s v="Bank"/>
    <x v="5"/>
  </r>
  <r>
    <d v="2026-05-02T06:40:00"/>
    <s v="Triumphal Gifts"/>
    <s v="Bronze Chest"/>
    <x v="27"/>
    <s v="Bank"/>
    <x v="5"/>
  </r>
  <r>
    <d v="2026-05-02T07:18:00"/>
    <s v="Gifts"/>
    <s v="Rare Dragon Chest"/>
    <x v="17"/>
    <s v="Level 10 rare Crypt"/>
    <x v="8"/>
  </r>
  <r>
    <d v="2026-05-02T07:18:00"/>
    <s v="Gifts"/>
    <s v="Barbarian Chest"/>
    <x v="10"/>
    <s v="Level 10 Crypt"/>
    <x v="2"/>
  </r>
  <r>
    <d v="2026-05-02T07:18:00"/>
    <s v="Gifts"/>
    <s v="Barbarian Chest"/>
    <x v="10"/>
    <s v="Level 10 Crypt"/>
    <x v="2"/>
  </r>
  <r>
    <d v="2026-05-02T07:18:00"/>
    <s v="Gifts"/>
    <s v="Fire Chest"/>
    <x v="10"/>
    <s v="Level 10 Crypt"/>
    <x v="2"/>
  </r>
  <r>
    <d v="2026-05-02T07:18:00"/>
    <s v="Gifts"/>
    <s v="Forgotten Chest"/>
    <x v="10"/>
    <s v="Level 15 Crypt"/>
    <x v="0"/>
  </r>
  <r>
    <d v="2026-05-02T07:18:00"/>
    <s v="Gifts"/>
    <s v="Forgotten Chest"/>
    <x v="42"/>
    <s v="Level 10 Crypt"/>
    <x v="2"/>
  </r>
  <r>
    <d v="2026-05-02T07:18:00"/>
    <s v="Gifts"/>
    <s v="Mayan Chest"/>
    <x v="10"/>
    <s v="Level 10 Crypt"/>
    <x v="2"/>
  </r>
  <r>
    <d v="2026-05-02T07:18:00"/>
    <s v="Gifts"/>
    <s v="Orc Chest"/>
    <x v="10"/>
    <s v="Level 10 Crypt"/>
    <x v="2"/>
  </r>
  <r>
    <d v="2026-05-02T07:18:00"/>
    <s v="Gifts"/>
    <s v="Orc Chest"/>
    <x v="10"/>
    <s v="Level 10 Crypt"/>
    <x v="2"/>
  </r>
  <r>
    <d v="2026-05-02T07:18:00"/>
    <s v="Gifts"/>
    <s v="Fire Chest"/>
    <x v="8"/>
    <s v="Level 15 Crypt"/>
    <x v="0"/>
  </r>
  <r>
    <d v="2026-05-02T07:18:00"/>
    <s v="Gifts"/>
    <s v="Bone Chest"/>
    <x v="10"/>
    <s v="Level 15 Crypt"/>
    <x v="0"/>
  </r>
  <r>
    <d v="2026-05-02T07:18:00"/>
    <s v="Gifts"/>
    <s v="Mayan Chest"/>
    <x v="10"/>
    <s v="Level 15 Crypt"/>
    <x v="0"/>
  </r>
  <r>
    <d v="2026-05-02T07:18:00"/>
    <s v="Gifts"/>
    <s v="Sand Chest"/>
    <x v="42"/>
    <s v="Level 5 Crypt"/>
    <x v="3"/>
  </r>
  <r>
    <d v="2026-05-02T07:18:00"/>
    <s v="Gifts"/>
    <s v="Forgotten Chest"/>
    <x v="6"/>
    <s v="Level 10 Crypt"/>
    <x v="2"/>
  </r>
  <r>
    <d v="2026-05-02T07:18:00"/>
    <s v="Gifts"/>
    <s v="Scarab Chest"/>
    <x v="6"/>
    <s v="Level 15 epic Crypt"/>
    <x v="10"/>
  </r>
  <r>
    <d v="2026-05-02T07:18:00"/>
    <s v="Gifts"/>
    <s v="Elven Citadel Chest"/>
    <x v="21"/>
    <s v="Level 10 Citadel"/>
    <x v="11"/>
  </r>
  <r>
    <d v="2026-05-02T07:18:00"/>
    <s v="Gifts"/>
    <s v="Infernal Chest"/>
    <x v="6"/>
    <s v="Level 5 Crypt"/>
    <x v="3"/>
  </r>
  <r>
    <d v="2026-05-02T07:18:00"/>
    <s v="Gifts"/>
    <s v="Elven Citadel Chest"/>
    <x v="6"/>
    <s v="Level 10 Citadel"/>
    <x v="11"/>
  </r>
  <r>
    <d v="2026-05-02T07:18:00"/>
    <s v="Gifts"/>
    <s v="Orc Chest"/>
    <x v="6"/>
    <s v="Level 5 Crypt"/>
    <x v="3"/>
  </r>
  <r>
    <d v="2026-05-02T07:18:00"/>
    <s v="Gifts"/>
    <s v="Mayan Chest"/>
    <x v="6"/>
    <s v="Level 5 Crypt"/>
    <x v="3"/>
  </r>
  <r>
    <d v="2026-05-02T07:18:00"/>
    <s v="Gifts"/>
    <s v="Elven Citadel Chest"/>
    <x v="27"/>
    <s v="Level 15 Citadel"/>
    <x v="12"/>
  </r>
  <r>
    <d v="2026-05-02T07:18:00"/>
    <s v="Gifts"/>
    <s v="Bone Chest"/>
    <x v="42"/>
    <s v="Level 5 Crypt"/>
    <x v="3"/>
  </r>
  <r>
    <d v="2026-05-02T07:18:00"/>
    <s v="Gifts"/>
    <s v="Elven Citadel Chest"/>
    <x v="6"/>
    <s v="Level 10 Citadel"/>
    <x v="11"/>
  </r>
  <r>
    <d v="2026-05-02T07:25:00"/>
    <s v="Gifts"/>
    <s v="Rare Dragon Chest"/>
    <x v="6"/>
    <s v="Level 10 rare Crypt"/>
    <x v="8"/>
  </r>
  <r>
    <d v="2026-05-02T07:25:00"/>
    <s v="Gifts"/>
    <s v="Rare Dragon Chest"/>
    <x v="6"/>
    <s v="Level 10 rare Crypt"/>
    <x v="8"/>
  </r>
  <r>
    <d v="2026-05-02T07:25:00"/>
    <s v="Gifts"/>
    <s v="Forgotten Chest"/>
    <x v="27"/>
    <s v="Level 15 Crypt"/>
    <x v="0"/>
  </r>
  <r>
    <d v="2026-05-02T07:25:00"/>
    <s v="Gifts"/>
    <s v="Gladiator's Chest"/>
    <x v="27"/>
    <s v="Arena"/>
    <x v="1"/>
  </r>
  <r>
    <d v="2026-05-02T07:25:00"/>
    <s v="Gifts"/>
    <s v="Rare Dragon Chest"/>
    <x v="6"/>
    <s v="Level 10 rare Crypt"/>
    <x v="8"/>
  </r>
  <r>
    <d v="2026-05-02T07:25:00"/>
    <s v="Gifts"/>
    <s v="Forgotten Chest"/>
    <x v="27"/>
    <s v="Level 10 Crypt"/>
    <x v="2"/>
  </r>
  <r>
    <d v="2026-05-02T07:25:00"/>
    <s v="Gifts"/>
    <s v="Bone Chest"/>
    <x v="42"/>
    <s v="Level 10 Crypt"/>
    <x v="2"/>
  </r>
  <r>
    <d v="2026-05-02T07:25:00"/>
    <s v="Gifts"/>
    <s v="Gnome Workshop Chest"/>
    <x v="27"/>
    <s v="Level 5 Crypt"/>
    <x v="3"/>
  </r>
  <r>
    <d v="2026-05-02T09:21:00"/>
    <s v="Gifts"/>
    <s v="Barbarian Chest"/>
    <x v="52"/>
    <s v="Level 10 Crypt"/>
    <x v="2"/>
  </r>
  <r>
    <d v="2026-05-02T09:21:00"/>
    <s v="Gifts"/>
    <s v="Warrior's Chest"/>
    <x v="27"/>
    <s v="Level 15 epic Crypt"/>
    <x v="10"/>
  </r>
  <r>
    <d v="2026-05-02T09:21:00"/>
    <s v="Gifts"/>
    <s v="Priest's Chest"/>
    <x v="27"/>
    <s v="Level 15 epic Crypt"/>
    <x v="10"/>
  </r>
  <r>
    <d v="2026-05-02T09:21:00"/>
    <s v="Gifts"/>
    <s v="Mayan Chest"/>
    <x v="52"/>
    <s v="Level 10 Crypt"/>
    <x v="2"/>
  </r>
  <r>
    <d v="2026-05-02T09:21:00"/>
    <s v="Gifts"/>
    <s v="Cobra Chest"/>
    <x v="52"/>
    <s v="Level 10 Crypt"/>
    <x v="2"/>
  </r>
  <r>
    <d v="2026-05-02T09:21:00"/>
    <s v="Gifts"/>
    <s v="Elegant Chest"/>
    <x v="52"/>
    <s v="Level 10 Crypt"/>
    <x v="2"/>
  </r>
  <r>
    <d v="2026-05-02T09:21:00"/>
    <s v="Gifts"/>
    <s v="Barbarian Chest"/>
    <x v="52"/>
    <s v="Level 10 Crypt"/>
    <x v="2"/>
  </r>
  <r>
    <d v="2026-05-02T09:21:00"/>
    <s v="Gifts"/>
    <s v="Rare Dragon Chest"/>
    <x v="27"/>
    <s v="Level 15 rare Crypt"/>
    <x v="13"/>
  </r>
  <r>
    <d v="2026-05-02T09:21:00"/>
    <s v="Gifts"/>
    <s v="Cobra Chest"/>
    <x v="52"/>
    <s v="Level 10 Crypt"/>
    <x v="2"/>
  </r>
  <r>
    <d v="2026-05-02T09:21:00"/>
    <s v="Gifts"/>
    <s v="Bone Chest"/>
    <x v="15"/>
    <s v="Level 10 Crypt"/>
    <x v="2"/>
  </r>
  <r>
    <d v="2026-05-02T09:21:00"/>
    <s v="Gifts"/>
    <s v="Elegant Chest"/>
    <x v="15"/>
    <s v="Level 10 Crypt"/>
    <x v="2"/>
  </r>
  <r>
    <d v="2026-05-02T09:21:00"/>
    <s v="Gifts"/>
    <s v="Barbarian Chest"/>
    <x v="15"/>
    <s v="Level 10 Crypt"/>
    <x v="2"/>
  </r>
  <r>
    <d v="2026-05-02T09:21:00"/>
    <s v="Gifts"/>
    <s v="Elven Citadel Chest"/>
    <x v="21"/>
    <s v="Level 10 Citadel"/>
    <x v="11"/>
  </r>
  <r>
    <d v="2026-05-02T09:21:00"/>
    <s v="Gifts"/>
    <s v="Forgotten Chest"/>
    <x v="52"/>
    <s v="Level 10 Crypt"/>
    <x v="2"/>
  </r>
  <r>
    <d v="2026-05-02T09:21:00"/>
    <s v="Gifts"/>
    <s v="Sand Chest"/>
    <x v="15"/>
    <s v="Level 15 Crypt"/>
    <x v="0"/>
  </r>
  <r>
    <d v="2026-05-02T09:21:00"/>
    <s v="Gifts"/>
    <s v="Cobra Chest"/>
    <x v="15"/>
    <s v="Level 10 Crypt"/>
    <x v="2"/>
  </r>
  <r>
    <d v="2026-05-02T09:21:00"/>
    <s v="Gifts"/>
    <s v="Infernal Chest"/>
    <x v="15"/>
    <s v="Level 10 Crypt"/>
    <x v="2"/>
  </r>
  <r>
    <d v="2026-05-02T09:21:00"/>
    <s v="Gifts"/>
    <s v="Bone Chest"/>
    <x v="52"/>
    <s v="Level 5 Crypt"/>
    <x v="3"/>
  </r>
  <r>
    <d v="2026-05-02T09:21:00"/>
    <s v="Gifts"/>
    <s v="Barbarian Chest"/>
    <x v="15"/>
    <s v="Level 10 Crypt"/>
    <x v="2"/>
  </r>
  <r>
    <d v="2026-05-02T09:21:00"/>
    <s v="Gifts"/>
    <s v="Stone Chest"/>
    <x v="15"/>
    <s v="Level 10 Crypt"/>
    <x v="2"/>
  </r>
  <r>
    <d v="2026-05-02T09:21:00"/>
    <s v="Gifts"/>
    <s v="Bone Chest"/>
    <x v="15"/>
    <s v="Level 10 Crypt"/>
    <x v="2"/>
  </r>
  <r>
    <d v="2026-05-02T09:21:00"/>
    <s v="Gifts"/>
    <s v="Bone Chest"/>
    <x v="15"/>
    <s v="Level 10 Crypt"/>
    <x v="2"/>
  </r>
  <r>
    <d v="2026-05-02T09:21:00"/>
    <s v="Gifts"/>
    <s v="Gnome Workshop Chest"/>
    <x v="15"/>
    <s v="Level 10 Crypt"/>
    <x v="2"/>
  </r>
  <r>
    <d v="2026-05-02T09:21:00"/>
    <s v="Gifts"/>
    <s v="Orc Chest"/>
    <x v="15"/>
    <s v="Level 15 Crypt"/>
    <x v="0"/>
  </r>
  <r>
    <d v="2026-05-02T09:21:00"/>
    <s v="Gifts"/>
    <s v="Rare Dragon Chest"/>
    <x v="21"/>
    <s v="Level 10 rare Crypt"/>
    <x v="8"/>
  </r>
  <r>
    <d v="2026-05-02T09:21:00"/>
    <s v="Gifts"/>
    <s v="Bone Chest"/>
    <x v="15"/>
    <s v="Level 15 Crypt"/>
    <x v="0"/>
  </r>
  <r>
    <d v="2026-05-02T09:21:00"/>
    <s v="Gifts"/>
    <s v="Fire Chest"/>
    <x v="47"/>
    <s v="Level 10 Crypt"/>
    <x v="2"/>
  </r>
  <r>
    <d v="2026-05-02T09:21:00"/>
    <s v="Gifts"/>
    <s v="Gnome Workshop Chest"/>
    <x v="15"/>
    <s v="Level 15 Crypt"/>
    <x v="0"/>
  </r>
  <r>
    <d v="2026-05-02T09:21:00"/>
    <s v="Gifts"/>
    <s v="Stone Chest"/>
    <x v="15"/>
    <s v="Level 15 Crypt"/>
    <x v="0"/>
  </r>
  <r>
    <d v="2026-05-02T09:21:00"/>
    <s v="Gifts"/>
    <s v="Barbarian Chest"/>
    <x v="15"/>
    <s v="Level 15 Crypt"/>
    <x v="0"/>
  </r>
  <r>
    <d v="2026-05-02T09:21:00"/>
    <s v="Gifts"/>
    <s v="Forgotten Chest"/>
    <x v="47"/>
    <s v="Level 5 Crypt"/>
    <x v="3"/>
  </r>
  <r>
    <d v="2026-05-02T09:21:00"/>
    <s v="Gifts"/>
    <s v="Gnome Workshop Chest"/>
    <x v="52"/>
    <s v="Level 5 Crypt"/>
    <x v="3"/>
  </r>
  <r>
    <d v="2026-05-02T09:21:00"/>
    <s v="Gifts"/>
    <s v="Elegant Chest"/>
    <x v="52"/>
    <s v="Level 10 Crypt"/>
    <x v="2"/>
  </r>
  <r>
    <d v="2026-05-02T09:21:00"/>
    <s v="Gifts"/>
    <s v="Elegant Chest"/>
    <x v="52"/>
    <s v="Level 5 Crypt"/>
    <x v="3"/>
  </r>
  <r>
    <d v="2026-05-02T09:21:00"/>
    <s v="Gifts"/>
    <s v="Mayan Chest"/>
    <x v="52"/>
    <s v="Level 10 Crypt"/>
    <x v="2"/>
  </r>
  <r>
    <d v="2026-05-02T09:21:00"/>
    <s v="Gifts"/>
    <s v="Bone Chest"/>
    <x v="52"/>
    <s v="Level 10 Crypt"/>
    <x v="2"/>
  </r>
  <r>
    <d v="2026-05-02T09:21:00"/>
    <s v="Gifts"/>
    <s v="Ascendant Ashen Chest"/>
    <x v="22"/>
    <s v="Epic Ashen Squad"/>
    <x v="1"/>
  </r>
  <r>
    <d v="2026-05-02T09:21:00"/>
    <s v="Gifts"/>
    <s v="Mayan Chest"/>
    <x v="53"/>
    <s v="Level 15 Crypt"/>
    <x v="0"/>
  </r>
  <r>
    <d v="2026-05-02T09:21:00"/>
    <s v="Gifts"/>
    <s v="Orc Chest"/>
    <x v="47"/>
    <s v="Level 5 Crypt"/>
    <x v="3"/>
  </r>
  <r>
    <d v="2026-05-02T09:21:00"/>
    <s v="Gifts"/>
    <s v="Ascendant Ashen Chest"/>
    <x v="50"/>
    <s v="Epic Ashen Squad"/>
    <x v="1"/>
  </r>
  <r>
    <d v="2026-05-02T09:21:00"/>
    <s v="Gifts"/>
    <s v="Ascendant Ashen Chest"/>
    <x v="50"/>
    <s v="Epic Ashen Squad"/>
    <x v="1"/>
  </r>
  <r>
    <d v="2026-05-02T09:21:00"/>
    <s v="Gifts"/>
    <s v="Sapphire Chest"/>
    <x v="50"/>
    <s v="Level 15-19 Vault of the Ancients"/>
    <x v="14"/>
  </r>
  <r>
    <d v="2026-05-02T09:21:00"/>
    <s v="Triumphal Gifts"/>
    <s v="Bronze Chest"/>
    <x v="6"/>
    <s v="Bank"/>
    <x v="5"/>
  </r>
  <r>
    <d v="2026-05-02T09:21:00"/>
    <s v="Triumphal Gifts"/>
    <s v="Bronze Chest"/>
    <x v="6"/>
    <s v="Bank"/>
    <x v="5"/>
  </r>
  <r>
    <d v="2026-05-02T09:21:00"/>
    <s v="Triumphal Gifts"/>
    <s v="Bronze Chest"/>
    <x v="6"/>
    <s v="Bank"/>
    <x v="5"/>
  </r>
  <r>
    <d v="2026-05-02T10:16:00"/>
    <s v="Gifts"/>
    <s v="Ascendant Ashen Chest"/>
    <x v="22"/>
    <s v="Epic Ashen Squad"/>
    <x v="1"/>
  </r>
  <r>
    <d v="2026-05-02T10:16:00"/>
    <s v="Gifts"/>
    <s v="Elven Citadel Chest"/>
    <x v="2"/>
    <s v="Level 10 Citadel"/>
    <x v="11"/>
  </r>
  <r>
    <d v="2026-05-02T10:16:00"/>
    <s v="Gifts"/>
    <s v="Mayan Chest"/>
    <x v="42"/>
    <s v="Level 5 Crypt"/>
    <x v="3"/>
  </r>
  <r>
    <d v="2026-05-02T10:16:00"/>
    <s v="Gifts"/>
    <s v="Rare Dragon Chest"/>
    <x v="2"/>
    <s v="Level 10 rare Crypt"/>
    <x v="8"/>
  </r>
  <r>
    <d v="2026-05-02T10:16:00"/>
    <s v="Gifts"/>
    <s v="Infernal Chest"/>
    <x v="20"/>
    <s v="Level 10 Crypt"/>
    <x v="2"/>
  </r>
  <r>
    <d v="2026-05-02T10:16:00"/>
    <s v="Gifts"/>
    <s v="Bone Chest"/>
    <x v="6"/>
    <s v="Level 5 Crypt"/>
    <x v="3"/>
  </r>
  <r>
    <d v="2026-05-02T10:16:00"/>
    <s v="Gifts"/>
    <s v="Rare Dragon Chest"/>
    <x v="2"/>
    <s v="Level 10 rare Crypt"/>
    <x v="8"/>
  </r>
  <r>
    <d v="2026-05-02T10:16:00"/>
    <s v="Gifts"/>
    <s v="Rare Dragon Chest"/>
    <x v="2"/>
    <s v="Level 10 rare Crypt"/>
    <x v="8"/>
  </r>
  <r>
    <d v="2026-05-02T10:16:00"/>
    <s v="Gifts"/>
    <s v="Forgotten Chest"/>
    <x v="6"/>
    <s v="Level 15 Crypt"/>
    <x v="0"/>
  </r>
  <r>
    <d v="2026-05-02T10:16:00"/>
    <s v="Triumphal Gifts"/>
    <s v="Wooden Chest"/>
    <x v="47"/>
    <s v="Bank"/>
    <x v="5"/>
  </r>
  <r>
    <d v="2026-05-02T10:16:00"/>
    <s v="Triumphal Gifts"/>
    <s v="Wooden Chest"/>
    <x v="47"/>
    <s v="Bank"/>
    <x v="5"/>
  </r>
  <r>
    <d v="2026-05-02T10:16:00"/>
    <s v="Triumphal Gifts"/>
    <s v="Wooden Chest"/>
    <x v="47"/>
    <s v="Bank"/>
    <x v="5"/>
  </r>
  <r>
    <d v="2026-05-02T11:42:00"/>
    <s v="Gifts"/>
    <s v="Forgotten Chest"/>
    <x v="6"/>
    <s v="Level 5 Crypt"/>
    <x v="3"/>
  </r>
  <r>
    <d v="2026-05-02T11:42:00"/>
    <s v="Gifts"/>
    <s v="Infernal Chest"/>
    <x v="6"/>
    <s v="Level 5 Crypt"/>
    <x v="3"/>
  </r>
  <r>
    <d v="2026-05-02T11:42:00"/>
    <s v="Gifts"/>
    <s v="Elegant Chest"/>
    <x v="36"/>
    <s v="Level 10 Crypt"/>
    <x v="2"/>
  </r>
  <r>
    <d v="2026-05-02T11:42:00"/>
    <s v="Gifts"/>
    <s v="Infernal Chest"/>
    <x v="20"/>
    <s v="Level 10 Crypt"/>
    <x v="2"/>
  </r>
  <r>
    <d v="2026-05-02T11:42:00"/>
    <s v="Gifts"/>
    <s v="Sapphire Chest"/>
    <x v="50"/>
    <s v="Level 10-14 Vault of the Ancients"/>
    <x v="14"/>
  </r>
  <r>
    <d v="2026-05-02T11:42:00"/>
    <s v="Gifts"/>
    <s v="Gnome Workshop Chest"/>
    <x v="14"/>
    <s v="Level 15 Crypt"/>
    <x v="0"/>
  </r>
  <r>
    <d v="2026-05-02T11:42:00"/>
    <s v="Gifts"/>
    <s v="Elven Citadel Chest"/>
    <x v="6"/>
    <s v="Level 10 Citadel"/>
    <x v="11"/>
  </r>
  <r>
    <d v="2026-05-02T11:42:00"/>
    <s v="Gifts"/>
    <s v="Bone Chest"/>
    <x v="42"/>
    <s v="Level 10 Crypt"/>
    <x v="2"/>
  </r>
  <r>
    <d v="2026-05-02T11:42:00"/>
    <s v="Gifts"/>
    <s v="Bone Chest"/>
    <x v="42"/>
    <s v="Level 5 Crypt"/>
    <x v="3"/>
  </r>
  <r>
    <d v="2026-05-02T11:42:00"/>
    <s v="Gifts"/>
    <s v="Gnome Workshop Chest"/>
    <x v="2"/>
    <s v="Level 10 Crypt"/>
    <x v="2"/>
  </r>
  <r>
    <d v="2026-05-02T11:42:00"/>
    <s v="Gifts"/>
    <s v="Rare Dragon Chest"/>
    <x v="6"/>
    <s v="Level 10 rare Crypt"/>
    <x v="8"/>
  </r>
  <r>
    <d v="2026-05-02T11:42:00"/>
    <s v="Gifts"/>
    <s v="Sand Chest"/>
    <x v="52"/>
    <s v="Level 10 Crypt"/>
    <x v="2"/>
  </r>
  <r>
    <d v="2026-05-02T11:42:00"/>
    <s v="Gifts"/>
    <s v="Bone Chest"/>
    <x v="36"/>
    <s v="Level 5 Crypt"/>
    <x v="3"/>
  </r>
  <r>
    <d v="2026-05-02T11:42:00"/>
    <s v="Gifts"/>
    <s v="Gladiator's Chest"/>
    <x v="2"/>
    <s v="Arena"/>
    <x v="1"/>
  </r>
  <r>
    <d v="2026-05-02T11:42:00"/>
    <s v="Gifts"/>
    <s v="Bone Chest"/>
    <x v="36"/>
    <s v="Level 10 Crypt"/>
    <x v="2"/>
  </r>
  <r>
    <d v="2026-05-02T11:42:00"/>
    <s v="Gifts"/>
    <s v="Fire Chest"/>
    <x v="52"/>
    <s v="Level 10 Crypt"/>
    <x v="2"/>
  </r>
  <r>
    <d v="2026-05-02T11:42:00"/>
    <s v="Gifts"/>
    <s v="Stone Chest"/>
    <x v="18"/>
    <s v="Level 10 Crypt"/>
    <x v="2"/>
  </r>
  <r>
    <d v="2026-05-02T11:42:00"/>
    <s v="Gifts"/>
    <s v="Fire Chest"/>
    <x v="18"/>
    <s v="Level 10 Crypt"/>
    <x v="2"/>
  </r>
  <r>
    <d v="2026-05-02T11:42:00"/>
    <s v="Gifts"/>
    <s v="Forgotten Chest"/>
    <x v="36"/>
    <s v="Level 10 Crypt"/>
    <x v="2"/>
  </r>
  <r>
    <d v="2026-05-02T11:42:00"/>
    <s v="Gifts"/>
    <s v="Elven Citadel Chest"/>
    <x v="2"/>
    <s v="Level 10 Citadel"/>
    <x v="11"/>
  </r>
  <r>
    <d v="2026-05-02T11:42:00"/>
    <s v="Gifts"/>
    <s v="Forgotten Chest"/>
    <x v="14"/>
    <s v="Level 5 Crypt"/>
    <x v="3"/>
  </r>
  <r>
    <d v="2026-05-02T11:42:00"/>
    <s v="Gifts"/>
    <s v="Rare Dragon Chest"/>
    <x v="31"/>
    <s v="Level 10 rare Crypt"/>
    <x v="8"/>
  </r>
  <r>
    <d v="2026-05-02T11:42:00"/>
    <s v="Gifts"/>
    <s v="Elven Citadel Chest"/>
    <x v="2"/>
    <s v="Level 15 Citadel"/>
    <x v="12"/>
  </r>
  <r>
    <d v="2026-05-02T11:42:00"/>
    <s v="Gifts"/>
    <s v="Infernal Chest"/>
    <x v="30"/>
    <s v="Level 5 Crypt"/>
    <x v="3"/>
  </r>
  <r>
    <d v="2026-05-02T11:42:00"/>
    <s v="Gifts"/>
    <s v="Orc Chest"/>
    <x v="30"/>
    <s v="Level 5 Crypt"/>
    <x v="3"/>
  </r>
  <r>
    <d v="2026-05-02T11:42:00"/>
    <s v="Gifts"/>
    <s v="Stone Chest"/>
    <x v="30"/>
    <s v="Level 5 Crypt"/>
    <x v="3"/>
  </r>
  <r>
    <d v="2026-05-02T11:42:00"/>
    <s v="Gifts"/>
    <s v="Ascendant Ashen Chest"/>
    <x v="50"/>
    <s v="Epic Ashen Squad"/>
    <x v="1"/>
  </r>
  <r>
    <d v="2026-05-02T11:42:00"/>
    <s v="Gifts"/>
    <s v="Bone Chest"/>
    <x v="31"/>
    <s v="Level 15 Crypt"/>
    <x v="0"/>
  </r>
  <r>
    <d v="2026-05-02T11:42:00"/>
    <s v="Gifts"/>
    <s v="Barbarian Chest"/>
    <x v="31"/>
    <s v="Level 10 Crypt"/>
    <x v="2"/>
  </r>
  <r>
    <d v="2026-05-02T11:42:00"/>
    <s v="Gifts"/>
    <s v="Elegant Chest"/>
    <x v="30"/>
    <s v="Level 5 Crypt"/>
    <x v="3"/>
  </r>
  <r>
    <d v="2026-05-02T11:42:00"/>
    <s v="Gifts"/>
    <s v="Sand Chest"/>
    <x v="31"/>
    <s v="Level 10 Crypt"/>
    <x v="2"/>
  </r>
  <r>
    <d v="2026-05-02T11:42:00"/>
    <s v="Gifts"/>
    <s v="Elven Citadel Chest"/>
    <x v="2"/>
    <s v="Level 15 Citadel"/>
    <x v="12"/>
  </r>
  <r>
    <d v="2026-05-02T11:42:00"/>
    <s v="Gifts"/>
    <s v="Stone Chest"/>
    <x v="44"/>
    <s v="Level 10 Crypt"/>
    <x v="2"/>
  </r>
  <r>
    <d v="2026-05-02T11:42:00"/>
    <s v="Gifts"/>
    <s v="Gnome Workshop Chest"/>
    <x v="31"/>
    <s v="Level 10 Crypt"/>
    <x v="2"/>
  </r>
  <r>
    <d v="2026-05-02T14:52:00"/>
    <s v="Gifts"/>
    <s v="Stone Chest"/>
    <x v="44"/>
    <s v="Level 10 Crypt"/>
    <x v="2"/>
  </r>
  <r>
    <d v="2026-05-02T14:52:00"/>
    <s v="Gifts"/>
    <s v="Elven Citadel Chest"/>
    <x v="7"/>
    <s v="Level 10 Citadel"/>
    <x v="11"/>
  </r>
  <r>
    <d v="2026-05-02T14:52:00"/>
    <s v="Gifts"/>
    <s v="Stone Chest"/>
    <x v="44"/>
    <s v="Level 5 Crypt"/>
    <x v="3"/>
  </r>
  <r>
    <d v="2026-05-02T14:52:00"/>
    <s v="Gifts"/>
    <s v="Sapphire Chest"/>
    <x v="43"/>
    <s v="Level 10-14 Vault of the Ancients"/>
    <x v="14"/>
  </r>
  <r>
    <d v="2026-05-02T14:52:00"/>
    <s v="Gifts"/>
    <s v="Stone Chest"/>
    <x v="44"/>
    <s v="Level 10 Crypt"/>
    <x v="2"/>
  </r>
  <r>
    <d v="2026-05-02T14:52:00"/>
    <s v="Gifts"/>
    <s v="Elven Citadel Chest"/>
    <x v="7"/>
    <s v="Level 10 Citadel"/>
    <x v="11"/>
  </r>
  <r>
    <d v="2026-05-02T14:52:00"/>
    <s v="Gifts"/>
    <s v="Orc Chest"/>
    <x v="50"/>
    <s v="Level 10 Crypt"/>
    <x v="2"/>
  </r>
  <r>
    <d v="2026-05-02T14:52:00"/>
    <s v="Gifts"/>
    <s v="Stone Chest"/>
    <x v="44"/>
    <s v="Level 10 Crypt"/>
    <x v="2"/>
  </r>
  <r>
    <d v="2026-05-02T14:52:00"/>
    <s v="Gifts"/>
    <s v="Cobra Chest"/>
    <x v="50"/>
    <s v="Level 10 Crypt"/>
    <x v="2"/>
  </r>
  <r>
    <d v="2026-05-02T14:52:00"/>
    <s v="Gifts"/>
    <s v="Forgotten Chest"/>
    <x v="7"/>
    <s v="Level 10 Crypt"/>
    <x v="2"/>
  </r>
  <r>
    <d v="2026-05-02T14:52:00"/>
    <s v="Gifts"/>
    <s v="Stone Chest"/>
    <x v="44"/>
    <s v="Level 10 Crypt"/>
    <x v="2"/>
  </r>
  <r>
    <d v="2026-05-02T14:52:00"/>
    <s v="Gifts"/>
    <s v="Cobra Chest"/>
    <x v="14"/>
    <s v="Level 5 Crypt"/>
    <x v="3"/>
  </r>
  <r>
    <d v="2026-05-02T14:52:00"/>
    <s v="Gifts"/>
    <s v="Stone Chest"/>
    <x v="44"/>
    <s v="Level 10 Crypt"/>
    <x v="2"/>
  </r>
  <r>
    <d v="2026-05-02T14:52:00"/>
    <s v="Gifts"/>
    <s v="Orc Chest"/>
    <x v="6"/>
    <s v="Level 15 Crypt"/>
    <x v="0"/>
  </r>
  <r>
    <d v="2026-05-02T14:52:00"/>
    <s v="Gifts"/>
    <s v="Elegant Chest"/>
    <x v="6"/>
    <s v="Level 15 Crypt"/>
    <x v="0"/>
  </r>
  <r>
    <d v="2026-05-02T14:52:00"/>
    <s v="Gifts"/>
    <s v="Stone Chest"/>
    <x v="44"/>
    <s v="Level 10 Crypt"/>
    <x v="2"/>
  </r>
  <r>
    <d v="2026-05-02T14:52:00"/>
    <s v="Gifts"/>
    <s v="Bone Chest"/>
    <x v="6"/>
    <s v="Level 5 Crypt"/>
    <x v="3"/>
  </r>
  <r>
    <d v="2026-05-02T14:52:00"/>
    <s v="Gifts"/>
    <s v="Elven Citadel Chest"/>
    <x v="7"/>
    <s v="Level 10 Citadel"/>
    <x v="11"/>
  </r>
  <r>
    <d v="2026-05-02T14:52:00"/>
    <s v="Gifts"/>
    <s v="Elven Citadel Chest"/>
    <x v="7"/>
    <s v="Level 10 Citadel"/>
    <x v="11"/>
  </r>
  <r>
    <d v="2026-05-02T14:52:00"/>
    <s v="Gifts"/>
    <s v="Elven Citadel Chest"/>
    <x v="7"/>
    <s v="Level 10 Citadel"/>
    <x v="11"/>
  </r>
  <r>
    <d v="2026-05-02T14:52:00"/>
    <s v="Gifts"/>
    <s v="Stone Chest"/>
    <x v="44"/>
    <s v="Level 10 Crypt"/>
    <x v="2"/>
  </r>
  <r>
    <d v="2026-05-02T14:52:00"/>
    <s v="Gifts"/>
    <s v="Elven Citadel Chest"/>
    <x v="7"/>
    <s v="Level 10 Citadel"/>
    <x v="11"/>
  </r>
  <r>
    <d v="2026-05-02T14:52:00"/>
    <s v="Gifts"/>
    <s v="Rare Dragon Chest"/>
    <x v="7"/>
    <s v="Level 10 rare Crypt"/>
    <x v="8"/>
  </r>
  <r>
    <d v="2026-05-02T14:52:00"/>
    <s v="Gifts"/>
    <s v="Rare Dragon Chest"/>
    <x v="7"/>
    <s v="Level 10 rare Crypt"/>
    <x v="8"/>
  </r>
  <r>
    <d v="2026-05-02T14:52:00"/>
    <s v="Gifts"/>
    <s v="Rare Dragon Chest"/>
    <x v="7"/>
    <s v="Level 10 rare Crypt"/>
    <x v="8"/>
  </r>
  <r>
    <d v="2026-05-02T14:52:00"/>
    <s v="Gifts"/>
    <s v="Orc Chest"/>
    <x v="18"/>
    <s v="Level 10 Crypt"/>
    <x v="2"/>
  </r>
  <r>
    <d v="2026-05-02T14:52:00"/>
    <s v="Gifts"/>
    <s v="Ascendant Ashen Chest"/>
    <x v="7"/>
    <s v="Epic Ashen Squad"/>
    <x v="1"/>
  </r>
  <r>
    <d v="2026-05-02T14:52:00"/>
    <s v="Gifts"/>
    <s v="Infernal Chest"/>
    <x v="43"/>
    <s v="Level 15 Crypt"/>
    <x v="0"/>
  </r>
  <r>
    <d v="2026-05-02T14:52:00"/>
    <s v="Gifts"/>
    <s v="Orc Chest"/>
    <x v="43"/>
    <s v="Level 15 Crypt"/>
    <x v="0"/>
  </r>
  <r>
    <d v="2026-05-02T14:52:00"/>
    <s v="Gifts"/>
    <s v="Rare Dragon Chest"/>
    <x v="22"/>
    <s v="Level 15 rare Crypt"/>
    <x v="13"/>
  </r>
  <r>
    <d v="2026-05-02T14:52:00"/>
    <s v="Gifts"/>
    <s v="Elegant Chest"/>
    <x v="6"/>
    <s v="Level 5 Crypt"/>
    <x v="3"/>
  </r>
  <r>
    <d v="2026-05-02T14:52:00"/>
    <s v="Gifts"/>
    <s v="Rare Dragon Chest"/>
    <x v="2"/>
    <s v="Level 15 rare Crypt"/>
    <x v="13"/>
  </r>
  <r>
    <d v="2026-05-02T14:52:00"/>
    <s v="Gifts"/>
    <s v="Rare Dragon Chest"/>
    <x v="2"/>
    <s v="Level 15 rare Crypt"/>
    <x v="13"/>
  </r>
  <r>
    <d v="2026-05-02T14:52:00"/>
    <s v="Gifts"/>
    <s v="Elegant Chest"/>
    <x v="22"/>
    <s v="Level 10 Crypt"/>
    <x v="2"/>
  </r>
  <r>
    <d v="2026-05-02T14:52:00"/>
    <s v="Gifts"/>
    <s v="Rare Dragon Chest"/>
    <x v="2"/>
    <s v="Level 10 rare Crypt"/>
    <x v="8"/>
  </r>
  <r>
    <d v="2026-05-02T14:52:00"/>
    <s v="Gifts"/>
    <s v="Bone Chest"/>
    <x v="14"/>
    <s v="Level 5 Crypt"/>
    <x v="3"/>
  </r>
  <r>
    <d v="2026-05-02T14:52:00"/>
    <s v="Gifts"/>
    <s v="Cursed Citadel Chest"/>
    <x v="2"/>
    <s v="Level 20 Citadel"/>
    <x v="6"/>
  </r>
  <r>
    <d v="2026-05-02T14:52:00"/>
    <s v="Gifts"/>
    <s v="Bone Chest"/>
    <x v="54"/>
    <s v="Level 15 Crypt"/>
    <x v="0"/>
  </r>
  <r>
    <d v="2026-05-02T14:52:00"/>
    <s v="Gifts"/>
    <s v="Stone Chest"/>
    <x v="45"/>
    <s v="Level 5 Crypt"/>
    <x v="3"/>
  </r>
  <r>
    <d v="2026-05-02T14:52:00"/>
    <s v="Gifts"/>
    <s v="Sand Chest"/>
    <x v="45"/>
    <s v="Level 10 Crypt"/>
    <x v="2"/>
  </r>
  <r>
    <d v="2026-05-02T14:52:00"/>
    <s v="Gifts"/>
    <s v="Barbarian Chest"/>
    <x v="43"/>
    <s v="Level 10 Crypt"/>
    <x v="2"/>
  </r>
  <r>
    <d v="2026-05-02T14:52:00"/>
    <s v="Gifts"/>
    <s v="Mayan Chest"/>
    <x v="54"/>
    <s v="Level 15 Crypt"/>
    <x v="0"/>
  </r>
  <r>
    <d v="2026-05-02T14:52:00"/>
    <s v="Gifts"/>
    <s v="Orc Chest"/>
    <x v="47"/>
    <s v="Level 5 Crypt"/>
    <x v="3"/>
  </r>
  <r>
    <d v="2026-05-02T14:52:00"/>
    <s v="Gifts"/>
    <s v="Mayan Chest"/>
    <x v="19"/>
    <s v="Level 15 Crypt"/>
    <x v="0"/>
  </r>
  <r>
    <d v="2026-05-02T14:52:00"/>
    <s v="Gifts"/>
    <s v="Mayan Chest"/>
    <x v="45"/>
    <s v="Level 10 Crypt"/>
    <x v="2"/>
  </r>
  <r>
    <d v="2026-05-02T14:52:00"/>
    <s v="Gifts"/>
    <s v="Barbarian Chest"/>
    <x v="2"/>
    <s v="Level 15 epic Crypt"/>
    <x v="10"/>
  </r>
  <r>
    <d v="2026-05-02T14:52:00"/>
    <s v="Gifts"/>
    <s v="Rare Dragon Chest"/>
    <x v="39"/>
    <s v="Level 10 rare Crypt"/>
    <x v="8"/>
  </r>
  <r>
    <d v="2026-05-02T14:52:00"/>
    <s v="Gifts"/>
    <s v="Gnome Workshop Chest"/>
    <x v="54"/>
    <s v="Level 15 Crypt"/>
    <x v="0"/>
  </r>
  <r>
    <d v="2026-05-02T14:52:00"/>
    <s v="Gifts"/>
    <s v="Common Chest of Wealth"/>
    <x v="18"/>
    <s v="Clan wealth"/>
    <x v="1"/>
  </r>
  <r>
    <d v="2026-05-02T14:52:00"/>
    <s v="Gifts"/>
    <s v="Uncommon Chest of Wealth"/>
    <x v="18"/>
    <s v="Clan wealth"/>
    <x v="1"/>
  </r>
  <r>
    <d v="2026-05-02T14:52:00"/>
    <s v="Gifts"/>
    <s v="Rare Chest of Wealth"/>
    <x v="18"/>
    <s v="Clan wealth"/>
    <x v="1"/>
  </r>
  <r>
    <d v="2026-05-02T14:52:00"/>
    <s v="Gifts"/>
    <s v="Barbarian Chest"/>
    <x v="39"/>
    <s v="Level 15 Crypt"/>
    <x v="0"/>
  </r>
  <r>
    <d v="2026-05-02T14:52:00"/>
    <s v="Gifts"/>
    <s v="Elegant Chest"/>
    <x v="39"/>
    <s v="Level 15 Crypt"/>
    <x v="0"/>
  </r>
  <r>
    <d v="2026-05-02T14:52:00"/>
    <s v="Gifts"/>
    <s v="Elegant Chest"/>
    <x v="29"/>
    <s v="Level 10 Crypt"/>
    <x v="2"/>
  </r>
  <r>
    <d v="2026-05-02T14:52:00"/>
    <s v="Gifts"/>
    <s v="Gnome Workshop Chest"/>
    <x v="18"/>
    <s v="Level 10 Crypt"/>
    <x v="2"/>
  </r>
  <r>
    <d v="2026-05-02T14:52:00"/>
    <s v="Gifts"/>
    <s v="Sand Chest"/>
    <x v="54"/>
    <s v="Level 15 Crypt"/>
    <x v="0"/>
  </r>
  <r>
    <d v="2026-05-02T14:52:00"/>
    <s v="Gifts"/>
    <s v="Fire Chest"/>
    <x v="29"/>
    <s v="Level 10 Crypt"/>
    <x v="2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Quick March Chest"/>
    <x v="34"/>
    <s v="Rise of the Ancients event"/>
    <x v="15"/>
  </r>
  <r>
    <d v="2026-05-02T14:52:00"/>
    <s v="Gifts"/>
    <s v="Chest"/>
    <x v="38"/>
    <s v="Rise of the Ancients event"/>
    <x v="15"/>
  </r>
  <r>
    <d v="2026-05-02T14:52:00"/>
    <s v="Gifts"/>
    <s v="Chest"/>
    <x v="38"/>
    <s v="Rise of the Ancients event"/>
    <x v="15"/>
  </r>
  <r>
    <d v="2026-05-02T14:52:00"/>
    <s v="Gifts"/>
    <s v="Chest"/>
    <x v="38"/>
    <s v="Rise of the Ancients event"/>
    <x v="15"/>
  </r>
  <r>
    <d v="2026-05-02T14:52:00"/>
    <s v="Gifts"/>
    <s v="Chest"/>
    <x v="38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Chest"/>
    <x v="34"/>
    <s v="Rise of the Ancients event"/>
    <x v="15"/>
  </r>
  <r>
    <d v="2026-05-02T14:52:00"/>
    <s v="Gifts"/>
    <s v="Quick March Chest"/>
    <x v="39"/>
    <s v="Rise of the Ancients event"/>
    <x v="15"/>
  </r>
  <r>
    <d v="2026-05-02T14:52:00"/>
    <s v="Gifts"/>
    <s v="Chest"/>
    <x v="15"/>
    <s v="Rise of the Ancients event"/>
    <x v="15"/>
  </r>
  <r>
    <d v="2026-05-02T14:52:00"/>
    <s v="Gifts"/>
    <s v="Chest"/>
    <x v="15"/>
    <s v="Rise of the Ancients event"/>
    <x v="15"/>
  </r>
  <r>
    <d v="2026-05-02T14:52:00"/>
    <s v="Gifts"/>
    <s v="Chest"/>
    <x v="15"/>
    <s v="Rise of the Ancients event"/>
    <x v="15"/>
  </r>
  <r>
    <d v="2026-05-02T14:52:00"/>
    <s v="Gifts"/>
    <s v="Chest"/>
    <x v="15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Quick March Chest"/>
    <x v="9"/>
    <s v="Rise of the Ancients event"/>
    <x v="15"/>
  </r>
  <r>
    <d v="2026-05-02T14:52:00"/>
    <s v="Gifts"/>
    <s v="Chest"/>
    <x v="55"/>
    <s v="Rise of the Ancients event"/>
    <x v="15"/>
  </r>
  <r>
    <d v="2026-05-02T14:52:00"/>
    <s v="Gifts"/>
    <s v="Chest"/>
    <x v="55"/>
    <s v="Rise of the Ancients event"/>
    <x v="15"/>
  </r>
  <r>
    <d v="2026-05-02T14:52:00"/>
    <s v="Gifts"/>
    <s v="Chest"/>
    <x v="55"/>
    <s v="Rise of the Ancients event"/>
    <x v="15"/>
  </r>
  <r>
    <d v="2026-05-02T14:52:00"/>
    <s v="Gifts"/>
    <s v="Chest"/>
    <x v="55"/>
    <s v="Rise of the Ancients event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Golden Guardian Epic Chest"/>
    <x v="41"/>
    <s v="Epic Ancient squad"/>
    <x v="15"/>
  </r>
  <r>
    <d v="2026-05-02T14:52:00"/>
    <s v="Gifts"/>
    <s v="Quick March Chest"/>
    <x v="38"/>
    <s v="Rise of the Ancients event"/>
    <x v="15"/>
  </r>
  <r>
    <d v="2026-05-02T14:52:00"/>
    <s v="Gifts"/>
    <s v="Cobra Chest"/>
    <x v="29"/>
    <s v="Level 10 Crypt"/>
    <x v="2"/>
  </r>
  <r>
    <d v="2026-05-02T14:52:00"/>
    <s v="Gifts"/>
    <s v="Chest"/>
    <x v="2"/>
    <s v="Rise of the Ancients event"/>
    <x v="15"/>
  </r>
  <r>
    <d v="2026-05-02T14:52:00"/>
    <s v="Gifts"/>
    <s v="Chest"/>
    <x v="2"/>
    <s v="Rise of the Ancients event"/>
    <x v="15"/>
  </r>
  <r>
    <d v="2026-05-02T14:52:00"/>
    <s v="Gifts"/>
    <s v="Chest"/>
    <x v="2"/>
    <s v="Rise of the Ancients event"/>
    <x v="15"/>
  </r>
  <r>
    <d v="2026-05-02T14:52:00"/>
    <s v="Gifts"/>
    <s v="Chest"/>
    <x v="2"/>
    <s v="Rise of the Ancients event"/>
    <x v="15"/>
  </r>
  <r>
    <d v="2026-05-02T14:52:00"/>
    <s v="Gifts"/>
    <s v="Chest"/>
    <x v="50"/>
    <s v="Rise of the Ancients event"/>
    <x v="15"/>
  </r>
  <r>
    <d v="2026-05-02T14:52:00"/>
    <s v="Gifts"/>
    <s v="Chest"/>
    <x v="50"/>
    <s v="Rise of the Ancients event"/>
    <x v="15"/>
  </r>
  <r>
    <d v="2026-05-02T14:52:00"/>
    <s v="Gifts"/>
    <s v="Chest"/>
    <x v="50"/>
    <s v="Rise of the Ancients event"/>
    <x v="15"/>
  </r>
  <r>
    <d v="2026-05-02T14:52:00"/>
    <s v="Gifts"/>
    <s v="Chest"/>
    <x v="50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Quick March Chest"/>
    <x v="19"/>
    <s v="Rise of the Ancients event"/>
    <x v="15"/>
  </r>
  <r>
    <d v="2026-05-02T14:52:00"/>
    <s v="Gifts"/>
    <s v="Chest"/>
    <x v="41"/>
    <s v="Rise of the Ancients event"/>
    <x v="15"/>
  </r>
  <r>
    <d v="2026-05-02T14:52:00"/>
    <s v="Gifts"/>
    <s v="Chest"/>
    <x v="41"/>
    <s v="Rise of the Ancients event"/>
    <x v="15"/>
  </r>
  <r>
    <d v="2026-05-02T14:52:00"/>
    <s v="Gifts"/>
    <s v="Chest"/>
    <x v="41"/>
    <s v="Rise of the Ancients event"/>
    <x v="15"/>
  </r>
  <r>
    <d v="2026-05-02T14:52:00"/>
    <s v="Gifts"/>
    <s v="Chest"/>
    <x v="41"/>
    <s v="Rise of the Ancients event"/>
    <x v="15"/>
  </r>
  <r>
    <d v="2026-05-02T14:52:00"/>
    <s v="Gifts"/>
    <s v="Quick March Chest"/>
    <x v="41"/>
    <s v="Rise of the Ancients event"/>
    <x v="15"/>
  </r>
  <r>
    <d v="2026-05-02T14:52:00"/>
    <s v="Gifts"/>
    <s v="Quick March 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Sand Chest"/>
    <x v="2"/>
    <s v="Level 15 Crypt"/>
    <x v="0"/>
  </r>
  <r>
    <d v="2026-05-02T14:52:00"/>
    <s v="Gifts"/>
    <s v="Quick March Chest"/>
    <x v="50"/>
    <s v="Rise of the Ancients event"/>
    <x v="15"/>
  </r>
  <r>
    <d v="2026-05-02T14:52:00"/>
    <s v="Gifts"/>
    <s v="Quick March Chest"/>
    <x v="15"/>
    <s v="Rise of the Ancients event"/>
    <x v="15"/>
  </r>
  <r>
    <d v="2026-05-02T14:52:00"/>
    <s v="Gifts"/>
    <s v="Chest"/>
    <x v="44"/>
    <s v="Rise of the Ancients event"/>
    <x v="15"/>
  </r>
  <r>
    <d v="2026-05-02T14:52:00"/>
    <s v="Gifts"/>
    <s v="Chest"/>
    <x v="44"/>
    <s v="Rise of the Ancients event"/>
    <x v="15"/>
  </r>
  <r>
    <d v="2026-05-02T14:52:00"/>
    <s v="Gifts"/>
    <s v="Chest"/>
    <x v="44"/>
    <s v="Rise of the Ancients event"/>
    <x v="15"/>
  </r>
  <r>
    <d v="2026-05-02T14:52:00"/>
    <s v="Gifts"/>
    <s v="Chest"/>
    <x v="44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39"/>
    <s v="Rise of the Ancients event"/>
    <x v="15"/>
  </r>
  <r>
    <d v="2026-05-02T14:52:00"/>
    <s v="Gifts"/>
    <s v="Chest"/>
    <x v="18"/>
    <s v="Rise of the Ancients event"/>
    <x v="15"/>
  </r>
  <r>
    <d v="2026-05-02T14:52:00"/>
    <s v="Gifts"/>
    <s v="Chest"/>
    <x v="18"/>
    <s v="Rise of the Ancients event"/>
    <x v="15"/>
  </r>
  <r>
    <d v="2026-05-02T14:52:00"/>
    <s v="Gifts"/>
    <s v="Chest"/>
    <x v="18"/>
    <s v="Rise of the Ancients event"/>
    <x v="15"/>
  </r>
  <r>
    <d v="2026-05-02T14:52:00"/>
    <s v="Gifts"/>
    <s v="Chest"/>
    <x v="18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hest"/>
    <x v="19"/>
    <s v="Rise of the Ancients event"/>
    <x v="15"/>
  </r>
  <r>
    <d v="2026-05-02T14:52:00"/>
    <s v="Gifts"/>
    <s v="Cobra Chest"/>
    <x v="4"/>
    <s v="Level 10 Crypt"/>
    <x v="2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10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Quick March 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Chest"/>
    <x v="24"/>
    <s v="Rise of the Ancients event"/>
    <x v="15"/>
  </r>
  <r>
    <d v="2026-05-02T14:52:00"/>
    <s v="Gifts"/>
    <s v="Sand Chest"/>
    <x v="17"/>
    <s v="Level 10 Crypt"/>
    <x v="2"/>
  </r>
  <r>
    <d v="2026-05-02T14:52:00"/>
    <s v="Gifts"/>
    <s v="Chest"/>
    <x v="6"/>
    <s v="Rise of the Ancients event"/>
    <x v="15"/>
  </r>
  <r>
    <d v="2026-05-02T14:52:00"/>
    <s v="Gifts"/>
    <s v="Chest"/>
    <x v="6"/>
    <s v="Rise of the Ancients event"/>
    <x v="15"/>
  </r>
  <r>
    <d v="2026-05-02T14:52:00"/>
    <s v="Gifts"/>
    <s v="Chest"/>
    <x v="6"/>
    <s v="Rise of the Ancients event"/>
    <x v="15"/>
  </r>
  <r>
    <d v="2026-05-02T14:52:00"/>
    <s v="Gifts"/>
    <s v="Chest"/>
    <x v="6"/>
    <s v="Rise of the Ancients event"/>
    <x v="15"/>
  </r>
  <r>
    <d v="2026-05-02T14:52:00"/>
    <s v="Gifts"/>
    <s v="Fire Chest"/>
    <x v="45"/>
    <s v="Level 10 Crypt"/>
    <x v="2"/>
  </r>
  <r>
    <d v="2026-05-02T14:52:00"/>
    <s v="Gifts"/>
    <s v="Quick March Chest"/>
    <x v="6"/>
    <s v="Rise of the Ancients event"/>
    <x v="15"/>
  </r>
  <r>
    <d v="2026-05-02T14:52:00"/>
    <s v="Gifts"/>
    <s v="Mayan Chest"/>
    <x v="4"/>
    <s v="Level 5 Crypt"/>
    <x v="3"/>
  </r>
  <r>
    <d v="2026-05-02T14:52:00"/>
    <s v="Gifts"/>
    <s v="Gladiator's Chest"/>
    <x v="4"/>
    <s v="Arena"/>
    <x v="1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Chest"/>
    <x v="9"/>
    <s v="Rise of the Ancients event"/>
    <x v="15"/>
  </r>
  <r>
    <d v="2026-05-02T14:52:00"/>
    <s v="Gifts"/>
    <s v="Elegant Chest"/>
    <x v="2"/>
    <s v="Level 15 Crypt"/>
    <x v="0"/>
  </r>
  <r>
    <d v="2026-05-02T14:52:00"/>
    <s v="Gifts"/>
    <s v="Gladiator's Chest"/>
    <x v="36"/>
    <s v="Arena"/>
    <x v="1"/>
  </r>
  <r>
    <d v="2026-05-02T14:52:00"/>
    <s v="Gifts"/>
    <s v="Barbarian Chest"/>
    <x v="6"/>
    <s v="Level 5 Crypt"/>
    <x v="3"/>
  </r>
  <r>
    <d v="2026-05-02T14:52:00"/>
    <s v="Gifts"/>
    <s v="Sand Chest"/>
    <x v="29"/>
    <s v="Level 10 Crypt"/>
    <x v="2"/>
  </r>
  <r>
    <d v="2026-05-02T14:52:00"/>
    <s v="Gifts"/>
    <s v="Cobra Chest"/>
    <x v="36"/>
    <s v="Level 15 Crypt"/>
    <x v="0"/>
  </r>
  <r>
    <d v="2026-05-02T14:52:00"/>
    <s v="Gifts"/>
    <s v="Sand Chest"/>
    <x v="6"/>
    <s v="Level 5 Crypt"/>
    <x v="3"/>
  </r>
  <r>
    <d v="2026-05-02T14:52:00"/>
    <s v="Triumphal Gifts"/>
    <s v="Wooden Chest"/>
    <x v="7"/>
    <s v="Bank"/>
    <x v="5"/>
  </r>
  <r>
    <d v="2026-05-02T14:52:00"/>
    <s v="Triumphal Gifts"/>
    <s v="Wooden Chest"/>
    <x v="7"/>
    <s v="Bank"/>
    <x v="5"/>
  </r>
  <r>
    <d v="2026-05-02T14:52:00"/>
    <s v="Triumphal Gifts"/>
    <s v="Wooden Chest"/>
    <x v="7"/>
    <s v="Bank"/>
    <x v="5"/>
  </r>
  <r>
    <d v="2026-05-02T14:52:00"/>
    <s v="Triumphal Gifts"/>
    <s v="Golden Chest"/>
    <x v="7"/>
    <s v="Bank"/>
    <x v="5"/>
  </r>
  <r>
    <d v="2026-05-02T14:52:00"/>
    <s v="Triumphal Gifts"/>
    <s v="Golden Chest"/>
    <x v="7"/>
    <s v="Bank"/>
    <x v="5"/>
  </r>
  <r>
    <d v="2026-05-02T14:52:00"/>
    <s v="Triumphal Gifts"/>
    <s v="Golden Chest"/>
    <x v="7"/>
    <s v="Bank"/>
    <x v="5"/>
  </r>
  <r>
    <d v="2026-05-02T19:17:00"/>
    <s v="Gifts"/>
    <s v="Stone Chest"/>
    <x v="2"/>
    <s v="Level 10 Crypt"/>
    <x v="2"/>
  </r>
  <r>
    <d v="2026-05-02T19:17:00"/>
    <s v="Gifts"/>
    <s v="Stone Chest"/>
    <x v="12"/>
    <s v="Level 10 Crypt"/>
    <x v="2"/>
  </r>
  <r>
    <d v="2026-05-02T19:17:00"/>
    <s v="Gifts"/>
    <s v="Orc Chest"/>
    <x v="21"/>
    <s v="Level 15 Crypt"/>
    <x v="0"/>
  </r>
  <r>
    <d v="2026-05-02T19:17:00"/>
    <s v="Gifts"/>
    <s v="White Wood Chest"/>
    <x v="10"/>
    <s v="Level 15 epic Crypt"/>
    <x v="10"/>
  </r>
  <r>
    <d v="2026-05-02T19:17:00"/>
    <s v="Gifts"/>
    <s v="Mayan Chest"/>
    <x v="10"/>
    <s v="Level 15 Crypt"/>
    <x v="0"/>
  </r>
  <r>
    <d v="2026-05-02T19:17:00"/>
    <s v="Gifts"/>
    <s v="Barbarian Chest"/>
    <x v="10"/>
    <s v="Level 15 Crypt"/>
    <x v="0"/>
  </r>
  <r>
    <d v="2026-05-02T19:17:00"/>
    <s v="Gifts"/>
    <s v="Gnome Workshop Chest"/>
    <x v="10"/>
    <s v="Level 15 Crypt"/>
    <x v="0"/>
  </r>
  <r>
    <d v="2026-05-02T19:17:00"/>
    <s v="Gifts"/>
    <s v="Minotaur Chest"/>
    <x v="10"/>
    <s v="Level 15 epic Crypt"/>
    <x v="10"/>
  </r>
  <r>
    <d v="2026-05-02T19:17:00"/>
    <s v="Gifts"/>
    <s v="Fire Chest"/>
    <x v="10"/>
    <s v="Level 15 Crypt"/>
    <x v="0"/>
  </r>
  <r>
    <d v="2026-05-02T19:17:00"/>
    <s v="Gifts"/>
    <s v="Fire Chest"/>
    <x v="10"/>
    <s v="Level 15 Crypt"/>
    <x v="0"/>
  </r>
  <r>
    <d v="2026-05-02T19:17:00"/>
    <s v="Gifts"/>
    <s v="Fire Chest"/>
    <x v="10"/>
    <s v="Level 10 Crypt"/>
    <x v="2"/>
  </r>
  <r>
    <d v="2026-05-02T19:17:00"/>
    <s v="Gifts"/>
    <s v="Fire Chest"/>
    <x v="10"/>
    <s v="Level 20 Crypt"/>
    <x v="4"/>
  </r>
  <r>
    <d v="2026-05-02T19:17:00"/>
    <s v="Gifts"/>
    <s v="Orc Chest"/>
    <x v="10"/>
    <s v="Level 20 Crypt"/>
    <x v="4"/>
  </r>
  <r>
    <d v="2026-05-02T19:17:00"/>
    <s v="Gifts"/>
    <s v="Elven Citadel Chest"/>
    <x v="7"/>
    <s v="Level 10 Citadel"/>
    <x v="11"/>
  </r>
  <r>
    <d v="2026-05-02T19:17:00"/>
    <s v="Gifts"/>
    <s v="Sand Chest"/>
    <x v="10"/>
    <s v="Level 15 Crypt"/>
    <x v="0"/>
  </r>
  <r>
    <d v="2026-05-02T19:17:00"/>
    <s v="Gifts"/>
    <s v="Elven Citadel Chest"/>
    <x v="6"/>
    <s v="Level 10 Citadel"/>
    <x v="11"/>
  </r>
  <r>
    <d v="2026-05-02T19:17:00"/>
    <s v="Gifts"/>
    <s v="Mayan Chest"/>
    <x v="54"/>
    <s v="Level 15 Crypt"/>
    <x v="0"/>
  </r>
  <r>
    <d v="2026-05-02T19:17:00"/>
    <s v="Gifts"/>
    <s v="Gnome Workshop Chest"/>
    <x v="54"/>
    <s v="Level 10 Crypt"/>
    <x v="2"/>
  </r>
  <r>
    <d v="2026-05-02T19:17:00"/>
    <s v="Gifts"/>
    <s v="Elven Citadel Chest"/>
    <x v="7"/>
    <s v="Level 10 Citadel"/>
    <x v="11"/>
  </r>
  <r>
    <d v="2026-05-02T19:17:00"/>
    <s v="Gifts"/>
    <s v="Orc Chest"/>
    <x v="14"/>
    <s v="Level 10 Crypt"/>
    <x v="2"/>
  </r>
  <r>
    <d v="2026-05-02T19:17:00"/>
    <s v="Gifts"/>
    <s v="Bone Chest"/>
    <x v="37"/>
    <s v="Level 15 Crypt"/>
    <x v="0"/>
  </r>
  <r>
    <d v="2026-05-02T19:17:00"/>
    <s v="Gifts"/>
    <s v="Rare Dragon Chest"/>
    <x v="6"/>
    <s v="Level 10 rare Crypt"/>
    <x v="8"/>
  </r>
  <r>
    <d v="2026-05-02T19:17:00"/>
    <s v="Gifts"/>
    <s v="Barbarian Chest"/>
    <x v="29"/>
    <s v="Level 5 Crypt"/>
    <x v="3"/>
  </r>
  <r>
    <d v="2026-05-02T19:17:00"/>
    <s v="Gifts"/>
    <s v="Forgotten Chest"/>
    <x v="14"/>
    <s v="Level 10 Crypt"/>
    <x v="2"/>
  </r>
  <r>
    <d v="2026-05-02T19:17:00"/>
    <s v="Gifts"/>
    <s v="Elven Citadel Chest"/>
    <x v="44"/>
    <s v="Level 10 Citadel"/>
    <x v="11"/>
  </r>
  <r>
    <d v="2026-05-02T19:17:00"/>
    <s v="Gifts"/>
    <s v="Elegant Chest"/>
    <x v="48"/>
    <s v="Level 10 Crypt"/>
    <x v="2"/>
  </r>
  <r>
    <d v="2026-05-02T19:17:00"/>
    <s v="Gifts"/>
    <s v="Elven Citadel Chest"/>
    <x v="44"/>
    <s v="Level 10 Citadel"/>
    <x v="11"/>
  </r>
  <r>
    <d v="2026-05-02T19:17:00"/>
    <s v="Gifts"/>
    <s v="Gladiator's Chest"/>
    <x v="42"/>
    <s v="Arena"/>
    <x v="1"/>
  </r>
  <r>
    <d v="2026-05-02T19:17:00"/>
    <s v="Gifts"/>
    <s v="Gladiator's Chest"/>
    <x v="10"/>
    <s v="Arena"/>
    <x v="1"/>
  </r>
  <r>
    <d v="2026-05-02T19:17:00"/>
    <s v="Gifts"/>
    <s v="Cobra Chest"/>
    <x v="2"/>
    <s v="Level 10 Crypt"/>
    <x v="2"/>
  </r>
  <r>
    <d v="2026-05-02T19:17:00"/>
    <s v="Gifts"/>
    <s v="Barbarian Chest"/>
    <x v="10"/>
    <s v="Level 20 Crypt"/>
    <x v="4"/>
  </r>
  <r>
    <d v="2026-05-02T19:17:00"/>
    <s v="Gifts"/>
    <s v="Mayan Chest"/>
    <x v="10"/>
    <s v="Level 20 Crypt"/>
    <x v="4"/>
  </r>
  <r>
    <d v="2026-05-02T19:17:00"/>
    <s v="Gifts"/>
    <s v="Barbarian Chest"/>
    <x v="10"/>
    <s v="Level 20 Crypt"/>
    <x v="4"/>
  </r>
  <r>
    <d v="2026-05-02T19:17:00"/>
    <s v="Gifts"/>
    <s v="Stone Chest"/>
    <x v="10"/>
    <s v="Level 20 Crypt"/>
    <x v="4"/>
  </r>
  <r>
    <d v="2026-05-02T19:17:00"/>
    <s v="Gifts"/>
    <s v="Bone Chest"/>
    <x v="2"/>
    <s v="Level 10 Crypt"/>
    <x v="2"/>
  </r>
  <r>
    <d v="2026-05-02T19:17:00"/>
    <s v="Gifts"/>
    <s v="Fire Chest"/>
    <x v="10"/>
    <s v="Level 20 Crypt"/>
    <x v="4"/>
  </r>
  <r>
    <d v="2026-05-02T19:17:00"/>
    <s v="Gifts"/>
    <s v="Forgotten Chest"/>
    <x v="42"/>
    <s v="Level 10 Crypt"/>
    <x v="2"/>
  </r>
  <r>
    <d v="2026-05-02T19:17:00"/>
    <s v="Gifts"/>
    <s v="Forgotten Chest"/>
    <x v="10"/>
    <s v="Level 15 Crypt"/>
    <x v="0"/>
  </r>
  <r>
    <d v="2026-05-02T19:17:00"/>
    <s v="Gifts"/>
    <s v="Gnome Workshop Chest"/>
    <x v="10"/>
    <s v="Level 15 Crypt"/>
    <x v="0"/>
  </r>
  <r>
    <d v="2026-05-02T19:17:00"/>
    <s v="Gifts"/>
    <s v="Fire Chest"/>
    <x v="10"/>
    <s v="Level 10 Crypt"/>
    <x v="2"/>
  </r>
  <r>
    <d v="2026-05-02T19:17:00"/>
    <s v="Gifts"/>
    <s v="Stone Chest"/>
    <x v="10"/>
    <s v="Level 15 Crypt"/>
    <x v="0"/>
  </r>
  <r>
    <d v="2026-05-02T19:17:00"/>
    <s v="Gifts"/>
    <s v="Gnome Workshop Chest"/>
    <x v="47"/>
    <s v="Level 5 Crypt"/>
    <x v="3"/>
  </r>
  <r>
    <d v="2026-05-02T19:17:00"/>
    <s v="Gifts"/>
    <s v="Sand Chest"/>
    <x v="29"/>
    <s v="Level 10 Crypt"/>
    <x v="2"/>
  </r>
  <r>
    <d v="2026-05-02T19:17:00"/>
    <s v="Gifts"/>
    <s v="Elegant Chest"/>
    <x v="29"/>
    <s v="Level 5 Crypt"/>
    <x v="3"/>
  </r>
  <r>
    <d v="2026-05-02T19:17:00"/>
    <s v="Gifts"/>
    <s v="Elven Citadel Chest"/>
    <x v="44"/>
    <s v="Level 10 Citadel"/>
    <x v="11"/>
  </r>
  <r>
    <d v="2026-05-02T19:17:00"/>
    <s v="Gifts"/>
    <s v="Barbarian Chest"/>
    <x v="5"/>
    <s v="Level 10 Crypt"/>
    <x v="2"/>
  </r>
  <r>
    <d v="2026-05-02T19:17:00"/>
    <s v="Gifts"/>
    <s v="Barbarian Chest"/>
    <x v="18"/>
    <s v="Level 10 Crypt"/>
    <x v="2"/>
  </r>
  <r>
    <d v="2026-05-02T19:17:00"/>
    <s v="Gifts"/>
    <s v="Bone Chest"/>
    <x v="29"/>
    <s v="Level 5 Crypt"/>
    <x v="3"/>
  </r>
  <r>
    <d v="2026-05-02T19:17:00"/>
    <s v="Gifts"/>
    <s v="Elegant Chest"/>
    <x v="56"/>
    <s v="Level 10 Crypt"/>
    <x v="2"/>
  </r>
  <r>
    <d v="2026-05-02T19:17:00"/>
    <s v="Gifts"/>
    <s v="Fire Chest"/>
    <x v="29"/>
    <s v="Level 5 Crypt"/>
    <x v="3"/>
  </r>
  <r>
    <d v="2026-05-02T19:17:00"/>
    <s v="Gifts"/>
    <s v="Infernal Chest"/>
    <x v="18"/>
    <s v="Level 10 Crypt"/>
    <x v="2"/>
  </r>
  <r>
    <d v="2026-05-02T19:17:00"/>
    <s v="Gifts"/>
    <s v="Bone Chest"/>
    <x v="56"/>
    <s v="Level 10 Crypt"/>
    <x v="2"/>
  </r>
  <r>
    <d v="2026-05-02T19:17:00"/>
    <s v="Gifts"/>
    <s v="Barbarian Chest"/>
    <x v="56"/>
    <s v="Level 10 Crypt"/>
    <x v="2"/>
  </r>
  <r>
    <d v="2026-05-02T19:17:00"/>
    <s v="Gifts"/>
    <s v="Cobra Chest"/>
    <x v="56"/>
    <s v="Level 10 Crypt"/>
    <x v="2"/>
  </r>
  <r>
    <d v="2026-05-02T19:17:00"/>
    <s v="Gifts"/>
    <s v="Bone Chest"/>
    <x v="56"/>
    <s v="Level 10 Crypt"/>
    <x v="2"/>
  </r>
  <r>
    <d v="2026-05-02T19:17:00"/>
    <s v="Gifts"/>
    <s v="Bone Chest"/>
    <x v="18"/>
    <s v="Level 10 Crypt"/>
    <x v="2"/>
  </r>
  <r>
    <d v="2026-05-02T19:17:00"/>
    <s v="Gifts"/>
    <s v="Sand Chest"/>
    <x v="56"/>
    <s v="Level 10 Crypt"/>
    <x v="2"/>
  </r>
  <r>
    <d v="2026-05-02T19:17:00"/>
    <s v="Gifts"/>
    <s v="Mayan Chest"/>
    <x v="15"/>
    <s v="Level 15 Crypt"/>
    <x v="0"/>
  </r>
  <r>
    <d v="2026-05-02T19:17:00"/>
    <s v="Gifts"/>
    <s v="Orc Chest"/>
    <x v="15"/>
    <s v="Level 15 Crypt"/>
    <x v="0"/>
  </r>
  <r>
    <d v="2026-05-02T19:17:00"/>
    <s v="Gifts"/>
    <s v="Cobra Chest"/>
    <x v="15"/>
    <s v="Level 15 Crypt"/>
    <x v="0"/>
  </r>
  <r>
    <d v="2026-05-02T19:17:00"/>
    <s v="Gifts"/>
    <s v="Gnome Workshop Chest"/>
    <x v="15"/>
    <s v="Level 15 Crypt"/>
    <x v="0"/>
  </r>
  <r>
    <d v="2026-05-02T19:17:00"/>
    <s v="Gifts"/>
    <s v="Orc Chest"/>
    <x v="42"/>
    <s v="Level 5 Crypt"/>
    <x v="3"/>
  </r>
  <r>
    <d v="2026-05-02T19:17:00"/>
    <s v="Gifts"/>
    <s v="Elegant Chest"/>
    <x v="15"/>
    <s v="Level 15 Crypt"/>
    <x v="0"/>
  </r>
  <r>
    <d v="2026-05-02T19:17:00"/>
    <s v="Gifts"/>
    <s v="Cobra Chest"/>
    <x v="15"/>
    <s v="Level 15 Crypt"/>
    <x v="0"/>
  </r>
  <r>
    <d v="2026-05-02T19:17:00"/>
    <s v="Gifts"/>
    <s v="Stone Chest"/>
    <x v="15"/>
    <s v="Level 15 Crypt"/>
    <x v="0"/>
  </r>
  <r>
    <d v="2026-05-02T19:17:00"/>
    <s v="Gifts"/>
    <s v="Infernal Chest"/>
    <x v="15"/>
    <s v="Level 15 Crypt"/>
    <x v="0"/>
  </r>
  <r>
    <d v="2026-05-02T19:17:00"/>
    <s v="Gifts"/>
    <s v="Elven Citadel Chest"/>
    <x v="43"/>
    <s v="Level 10 Citadel"/>
    <x v="11"/>
  </r>
  <r>
    <d v="2026-05-02T19:17:00"/>
    <s v="Gifts"/>
    <s v="Orc Chest"/>
    <x v="15"/>
    <s v="Level 10 Crypt"/>
    <x v="2"/>
  </r>
  <r>
    <d v="2026-05-02T19:17:00"/>
    <s v="Gifts"/>
    <s v="Orc Chest"/>
    <x v="15"/>
    <s v="Level 10 Crypt"/>
    <x v="2"/>
  </r>
  <r>
    <d v="2026-05-02T19:17:00"/>
    <s v="Gifts"/>
    <s v="Rare Dragon Chest"/>
    <x v="15"/>
    <s v="Level 15 rare Crypt"/>
    <x v="13"/>
  </r>
  <r>
    <d v="2026-05-02T19:17:00"/>
    <s v="Gifts"/>
    <s v="Rare Dragon Chest"/>
    <x v="43"/>
    <s v="Level 10 rare Crypt"/>
    <x v="8"/>
  </r>
  <r>
    <d v="2026-05-02T19:17:00"/>
    <s v="Gifts"/>
    <s v="Rare Dragon Chest"/>
    <x v="15"/>
    <s v="Level 10 rare Crypt"/>
    <x v="8"/>
  </r>
  <r>
    <d v="2026-05-02T19:17:00"/>
    <s v="Gifts"/>
    <s v="Sand Chest"/>
    <x v="33"/>
    <s v="Level 10 Crypt"/>
    <x v="2"/>
  </r>
  <r>
    <d v="2026-05-02T19:17:00"/>
    <s v="Gifts"/>
    <s v="Rare Dragon Chest"/>
    <x v="15"/>
    <s v="Level 10 rare Crypt"/>
    <x v="8"/>
  </r>
  <r>
    <d v="2026-05-02T19:17:00"/>
    <s v="Gifts"/>
    <s v="Elegant Chest"/>
    <x v="33"/>
    <s v="Level 10 Crypt"/>
    <x v="2"/>
  </r>
  <r>
    <d v="2026-05-02T19:17:00"/>
    <s v="Gifts"/>
    <s v="Rare Dragon Chest"/>
    <x v="15"/>
    <s v="Level 10 rare Crypt"/>
    <x v="8"/>
  </r>
  <r>
    <d v="2026-05-02T19:17:00"/>
    <s v="Gifts"/>
    <s v="Stone Chest"/>
    <x v="33"/>
    <s v="Level 10 Crypt"/>
    <x v="2"/>
  </r>
  <r>
    <d v="2026-05-02T19:17:00"/>
    <s v="Gifts"/>
    <s v="Fire Chest"/>
    <x v="34"/>
    <s v="Level 15 Crypt"/>
    <x v="0"/>
  </r>
  <r>
    <d v="2026-05-02T19:17:00"/>
    <s v="Gifts"/>
    <s v="Sand Chest"/>
    <x v="42"/>
    <s v="Level 10 Crypt"/>
    <x v="2"/>
  </r>
  <r>
    <d v="2026-05-02T19:17:00"/>
    <s v="Gifts"/>
    <s v="Bone Chest"/>
    <x v="33"/>
    <s v="Level 10 Crypt"/>
    <x v="2"/>
  </r>
  <r>
    <d v="2026-05-02T19:17:00"/>
    <s v="Gifts"/>
    <s v="Gnome Workshop Chest"/>
    <x v="34"/>
    <s v="Level 10 Crypt"/>
    <x v="2"/>
  </r>
  <r>
    <d v="2026-05-02T19:17:00"/>
    <s v="Gifts"/>
    <s v="Mayan Chest"/>
    <x v="34"/>
    <s v="Level 15 Crypt"/>
    <x v="0"/>
  </r>
  <r>
    <d v="2026-05-02T19:17:00"/>
    <s v="Gifts"/>
    <s v="Sand Chest"/>
    <x v="5"/>
    <s v="Level 10 Crypt"/>
    <x v="2"/>
  </r>
  <r>
    <d v="2026-05-02T19:17:00"/>
    <s v="Gifts"/>
    <s v="Gladiator's Chest"/>
    <x v="34"/>
    <s v="Arena"/>
    <x v="1"/>
  </r>
  <r>
    <d v="2026-05-02T19:17:00"/>
    <s v="Gifts"/>
    <s v="Bone Chest"/>
    <x v="46"/>
    <s v="Level 5 Crypt"/>
    <x v="3"/>
  </r>
  <r>
    <d v="2026-05-02T19:17:00"/>
    <s v="Gifts"/>
    <s v="Sand Chest"/>
    <x v="37"/>
    <s v="Level 15 Crypt"/>
    <x v="0"/>
  </r>
  <r>
    <d v="2026-05-02T19:17:00"/>
    <s v="Gifts"/>
    <s v="Orc Chest"/>
    <x v="42"/>
    <s v="Level 10 Crypt"/>
    <x v="2"/>
  </r>
  <r>
    <d v="2026-05-02T19:17:00"/>
    <s v="Gifts"/>
    <s v="Elven Citadel Chest"/>
    <x v="24"/>
    <s v="Level 20 Citadel"/>
    <x v="6"/>
  </r>
  <r>
    <d v="2026-05-02T19:17:00"/>
    <s v="Gifts"/>
    <s v="Sand Chest"/>
    <x v="15"/>
    <s v="Level 10 Crypt"/>
    <x v="2"/>
  </r>
  <r>
    <d v="2026-05-02T19:17:00"/>
    <s v="Gifts"/>
    <s v="Rare Dragon Chest"/>
    <x v="37"/>
    <s v="Level 10 rare Crypt"/>
    <x v="8"/>
  </r>
  <r>
    <d v="2026-05-02T19:17:00"/>
    <s v="Gifts"/>
    <s v="Mayan Chest"/>
    <x v="47"/>
    <s v="Level 5 Crypt"/>
    <x v="3"/>
  </r>
  <r>
    <d v="2026-05-02T19:17:00"/>
    <s v="Gifts"/>
    <s v="Forgotten Chest"/>
    <x v="42"/>
    <s v="Level 5 Crypt"/>
    <x v="3"/>
  </r>
  <r>
    <d v="2026-05-02T19:17:00"/>
    <s v="Gifts"/>
    <s v="Barbarian Chest"/>
    <x v="56"/>
    <s v="Level 10 Crypt"/>
    <x v="2"/>
  </r>
  <r>
    <d v="2026-05-02T19:17:00"/>
    <s v="Gifts"/>
    <s v="Gladiator's Chest"/>
    <x v="56"/>
    <s v="Arena"/>
    <x v="1"/>
  </r>
  <r>
    <d v="2026-05-02T19:17:00"/>
    <s v="Gifts"/>
    <s v="Orc Chest"/>
    <x v="56"/>
    <s v="Level 5 Crypt"/>
    <x v="3"/>
  </r>
  <r>
    <d v="2026-05-02T19:17:00"/>
    <s v="Gifts"/>
    <s v="Stone Chest"/>
    <x v="42"/>
    <s v="Level 5 Crypt"/>
    <x v="3"/>
  </r>
  <r>
    <d v="2026-05-02T19:17:00"/>
    <s v="Gifts"/>
    <s v="Orc Chest"/>
    <x v="44"/>
    <s v="Level 10 Crypt"/>
    <x v="2"/>
  </r>
  <r>
    <d v="2026-05-02T19:17:00"/>
    <s v="Gifts"/>
    <s v="Bone Chest"/>
    <x v="2"/>
    <s v="Level 10 Crypt"/>
    <x v="2"/>
  </r>
  <r>
    <d v="2026-05-02T19:17:00"/>
    <s v="Gifts"/>
    <s v="Forgotten Chest"/>
    <x v="38"/>
    <s v="Level 15 Crypt"/>
    <x v="0"/>
  </r>
  <r>
    <d v="2026-05-02T19:17:00"/>
    <s v="Gifts"/>
    <s v="Trillium Chest"/>
    <x v="18"/>
    <s v="Level 15 epic Crypt"/>
    <x v="10"/>
  </r>
  <r>
    <d v="2026-05-02T19:17:00"/>
    <s v="Gifts"/>
    <s v="Sand Chest"/>
    <x v="55"/>
    <s v="Level 15 Crypt"/>
    <x v="0"/>
  </r>
  <r>
    <d v="2026-05-02T19:17:00"/>
    <s v="Gifts"/>
    <s v="Orc Chest"/>
    <x v="44"/>
    <s v="Level 10 Crypt"/>
    <x v="2"/>
  </r>
  <r>
    <d v="2026-05-02T19:17:00"/>
    <s v="Gifts"/>
    <s v="Stone Chest"/>
    <x v="55"/>
    <s v="Level 15 Crypt"/>
    <x v="0"/>
  </r>
  <r>
    <d v="2026-05-02T19:17:00"/>
    <s v="Gifts"/>
    <s v="Orc Chest"/>
    <x v="18"/>
    <s v="Level 10 Crypt"/>
    <x v="2"/>
  </r>
  <r>
    <d v="2026-05-02T19:17:00"/>
    <s v="Gifts"/>
    <s v="Orc Chest"/>
    <x v="44"/>
    <s v="Level 10 Crypt"/>
    <x v="2"/>
  </r>
  <r>
    <d v="2026-05-02T19:17:00"/>
    <s v="Gifts"/>
    <s v="Gladiator's Chest"/>
    <x v="56"/>
    <s v="Arena"/>
    <x v="1"/>
  </r>
  <r>
    <d v="2026-05-02T19:17:00"/>
    <s v="Gifts"/>
    <s v="Infernal Chest"/>
    <x v="2"/>
    <s v="Level 10 Crypt"/>
    <x v="2"/>
  </r>
  <r>
    <d v="2026-05-02T19:17:00"/>
    <s v="Gifts"/>
    <s v="Orc Chest"/>
    <x v="6"/>
    <s v="Level 5 Crypt"/>
    <x v="3"/>
  </r>
  <r>
    <d v="2026-05-02T19:17:00"/>
    <s v="Gifts"/>
    <s v="Stone Chest"/>
    <x v="44"/>
    <s v="Level 10 Crypt"/>
    <x v="2"/>
  </r>
  <r>
    <d v="2026-05-02T19:17:00"/>
    <s v="Gifts"/>
    <s v="Sand Chest"/>
    <x v="6"/>
    <s v="Level 5 Crypt"/>
    <x v="3"/>
  </r>
  <r>
    <d v="2026-05-02T19:17:00"/>
    <s v="Gifts"/>
    <s v="Orc Chest"/>
    <x v="44"/>
    <s v="Level 10 Crypt"/>
    <x v="2"/>
  </r>
  <r>
    <d v="2026-05-02T19:17:00"/>
    <s v="Gifts"/>
    <s v="Forgotten Chest"/>
    <x v="2"/>
    <s v="Level 10 Crypt"/>
    <x v="2"/>
  </r>
  <r>
    <d v="2026-05-02T19:17:00"/>
    <s v="Gifts"/>
    <s v="Mayan Chest"/>
    <x v="46"/>
    <s v="Level 10 Crypt"/>
    <x v="2"/>
  </r>
  <r>
    <d v="2026-05-02T19:17:00"/>
    <s v="Gifts"/>
    <s v="Stone Chest"/>
    <x v="44"/>
    <s v="Level 10 Crypt"/>
    <x v="2"/>
  </r>
  <r>
    <d v="2026-05-02T19:17:00"/>
    <s v="Gifts"/>
    <s v="Cobra Chest"/>
    <x v="2"/>
    <s v="Level 10 Crypt"/>
    <x v="2"/>
  </r>
  <r>
    <d v="2026-05-02T19:17:00"/>
    <s v="Gifts"/>
    <s v="Gladiator's Chest"/>
    <x v="37"/>
    <s v="Arena"/>
    <x v="1"/>
  </r>
  <r>
    <d v="2026-05-02T19:17:00"/>
    <s v="Gifts"/>
    <s v="Sand Chest"/>
    <x v="42"/>
    <s v="Level 5 Crypt"/>
    <x v="3"/>
  </r>
  <r>
    <d v="2026-05-02T19:17:00"/>
    <s v="Gifts"/>
    <s v="Titansteel Chest"/>
    <x v="44"/>
    <s v="Level 15 epic Crypt"/>
    <x v="10"/>
  </r>
  <r>
    <d v="2026-05-02T19:17:00"/>
    <s v="Gifts"/>
    <s v="Forgotten Chest"/>
    <x v="42"/>
    <s v="Level 5 Crypt"/>
    <x v="3"/>
  </r>
  <r>
    <d v="2026-05-02T19:17:00"/>
    <s v="Gifts"/>
    <s v="Orc Chest"/>
    <x v="44"/>
    <s v="Level 10 Crypt"/>
    <x v="2"/>
  </r>
  <r>
    <d v="2026-05-02T19:17:00"/>
    <s v="Gifts"/>
    <s v="Elegant Chest"/>
    <x v="42"/>
    <s v="Level 5 Crypt"/>
    <x v="3"/>
  </r>
  <r>
    <d v="2026-05-02T19:17:00"/>
    <s v="Gifts"/>
    <s v="Mayan Chest"/>
    <x v="47"/>
    <s v="Level 5 Crypt"/>
    <x v="3"/>
  </r>
  <r>
    <d v="2026-05-02T19:34:00"/>
    <s v="Gifts"/>
    <s v="Bone Chest"/>
    <x v="38"/>
    <s v="Level 15 Crypt"/>
    <x v="0"/>
  </r>
  <r>
    <d v="2026-05-02T19:34:00"/>
    <s v="Gifts"/>
    <s v="Orc Chest"/>
    <x v="44"/>
    <s v="Level 10 Crypt"/>
    <x v="2"/>
  </r>
  <r>
    <d v="2026-05-02T19:34:00"/>
    <s v="Gifts"/>
    <s v="Fire Chest"/>
    <x v="57"/>
    <s v="Level 5 Crypt"/>
    <x v="3"/>
  </r>
  <r>
    <d v="2026-05-02T19:34:00"/>
    <s v="Gifts"/>
    <s v="Orc Chest"/>
    <x v="44"/>
    <s v="Level 10 Crypt"/>
    <x v="2"/>
  </r>
  <r>
    <d v="2026-05-02T19:34:00"/>
    <s v="Gifts"/>
    <s v="Forgotten Chest"/>
    <x v="57"/>
    <s v="Level 5 Crypt"/>
    <x v="3"/>
  </r>
  <r>
    <d v="2026-05-02T21:34:00"/>
    <s v="Gifts"/>
    <s v="Orc Chest"/>
    <x v="44"/>
    <s v="Level 10 Crypt"/>
    <x v="2"/>
  </r>
  <r>
    <d v="2026-05-02T21:34:00"/>
    <s v="Gifts"/>
    <s v="Forgotten Chest"/>
    <x v="57"/>
    <s v="Level 5 Crypt"/>
    <x v="3"/>
  </r>
  <r>
    <d v="2026-05-02T21:34:00"/>
    <s v="Gifts"/>
    <s v="Orc Chest"/>
    <x v="2"/>
    <s v="Level 15 Crypt"/>
    <x v="0"/>
  </r>
  <r>
    <d v="2026-05-02T21:34:00"/>
    <s v="Gifts"/>
    <s v="Fire Chest"/>
    <x v="2"/>
    <s v="Level 15 Crypt"/>
    <x v="0"/>
  </r>
  <r>
    <d v="2026-05-02T21:34:00"/>
    <s v="Gifts"/>
    <s v="Stone Chest"/>
    <x v="44"/>
    <s v="Level 10 Crypt"/>
    <x v="2"/>
  </r>
  <r>
    <d v="2026-05-02T21:34:00"/>
    <s v="Gifts"/>
    <s v="Barbarian Chest"/>
    <x v="2"/>
    <s v="Level 15 Crypt"/>
    <x v="0"/>
  </r>
  <r>
    <d v="2026-05-02T21:34:00"/>
    <s v="Gifts"/>
    <s v="Elven Citadel Chest"/>
    <x v="57"/>
    <s v="Level 10 Citadel"/>
    <x v="11"/>
  </r>
  <r>
    <d v="2026-05-02T21:34:00"/>
    <s v="Gifts"/>
    <s v="Stone Chest"/>
    <x v="44"/>
    <s v="Level 10 Crypt"/>
    <x v="2"/>
  </r>
  <r>
    <d v="2026-05-02T21:34:00"/>
    <s v="Gifts"/>
    <s v="Stone Chest"/>
    <x v="30"/>
    <s v="Level 15 Crypt"/>
    <x v="0"/>
  </r>
  <r>
    <d v="2026-05-02T21:34:00"/>
    <s v="Gifts"/>
    <s v="Stone Chest"/>
    <x v="44"/>
    <s v="Level 10 Crypt"/>
    <x v="2"/>
  </r>
  <r>
    <d v="2026-05-02T21:34:00"/>
    <s v="Gifts"/>
    <s v="Elven Citadel Chest"/>
    <x v="6"/>
    <s v="Level 10 Citadel"/>
    <x v="11"/>
  </r>
  <r>
    <d v="2026-05-02T21:34:00"/>
    <s v="Gifts"/>
    <s v="Rare Dragon Chest"/>
    <x v="2"/>
    <s v="Level 10 rare Crypt"/>
    <x v="8"/>
  </r>
  <r>
    <d v="2026-05-02T21:34:00"/>
    <s v="Gifts"/>
    <s v="Elven Citadel Chest"/>
    <x v="44"/>
    <s v="Level 10 Citadel"/>
    <x v="11"/>
  </r>
  <r>
    <d v="2026-05-02T21:34:00"/>
    <s v="Gifts"/>
    <s v="Elven Citadel Chest"/>
    <x v="6"/>
    <s v="Level 10 Citadel"/>
    <x v="11"/>
  </r>
  <r>
    <d v="2026-05-02T21:34:00"/>
    <s v="Gifts"/>
    <s v="Elegant Chest"/>
    <x v="3"/>
    <s v="Level 20 Crypt"/>
    <x v="4"/>
  </r>
  <r>
    <d v="2026-05-02T21:34:00"/>
    <s v="Gifts"/>
    <s v="Elven Citadel Chest"/>
    <x v="6"/>
    <s v="Level 10 Citadel"/>
    <x v="11"/>
  </r>
  <r>
    <d v="2026-05-02T21:34:00"/>
    <s v="Gifts"/>
    <s v="Sand Chest"/>
    <x v="31"/>
    <s v="Level 5 Crypt"/>
    <x v="3"/>
  </r>
  <r>
    <d v="2026-05-02T21:34:00"/>
    <s v="Gifts"/>
    <s v="Stone Chest"/>
    <x v="44"/>
    <s v="Level 10 Crypt"/>
    <x v="2"/>
  </r>
  <r>
    <d v="2026-05-02T21:34:00"/>
    <s v="Gifts"/>
    <s v="Barbarian Chest"/>
    <x v="58"/>
    <s v="Level 10 Crypt"/>
    <x v="2"/>
  </r>
  <r>
    <d v="2026-05-02T21:34:00"/>
    <s v="Gifts"/>
    <s v="Barbarian Chest"/>
    <x v="31"/>
    <s v="Level 5 Crypt"/>
    <x v="3"/>
  </r>
  <r>
    <d v="2026-05-02T21:34:00"/>
    <s v="Gifts"/>
    <s v="Infernal Chest"/>
    <x v="44"/>
    <s v="Level 10 Crypt"/>
    <x v="2"/>
  </r>
  <r>
    <d v="2026-05-02T21:34:00"/>
    <s v="Gifts"/>
    <s v="Elven Citadel Chest"/>
    <x v="24"/>
    <s v="Level 15 Citadel}"/>
    <x v="1"/>
  </r>
  <r>
    <d v="2026-05-02T21:34:00"/>
    <s v="Gifts"/>
    <s v="Cobra Chest"/>
    <x v="24"/>
    <s v="Level 5 Crypt"/>
    <x v="3"/>
  </r>
  <r>
    <d v="2026-05-02T21:34:00"/>
    <s v="Gifts"/>
    <s v="Rare Dragon Chest"/>
    <x v="6"/>
    <s v="Level 15 rare Crypt"/>
    <x v="13"/>
  </r>
  <r>
    <d v="2026-05-02T21:34:00"/>
    <s v="Gifts"/>
    <s v="Barbarian Chest"/>
    <x v="56"/>
    <s v="Level 10 Crypt"/>
    <x v="2"/>
  </r>
  <r>
    <d v="2026-05-02T21:34:00"/>
    <s v="Gifts"/>
    <s v="Infernal Chest"/>
    <x v="44"/>
    <s v="Level 10 Crypt"/>
    <x v="2"/>
  </r>
  <r>
    <d v="2026-05-02T21:34:00"/>
    <s v="Gifts"/>
    <s v="Bone Chest"/>
    <x v="44"/>
    <s v="Level 10 Crypt"/>
    <x v="2"/>
  </r>
  <r>
    <d v="2026-05-02T21:34:00"/>
    <s v="Gifts"/>
    <s v="Cobra Chest"/>
    <x v="58"/>
    <s v="Level 10 Crypt"/>
    <x v="2"/>
  </r>
  <r>
    <d v="2026-05-02T21:34:00"/>
    <s v="Gifts"/>
    <s v="Stone Chest"/>
    <x v="56"/>
    <s v="Level 10 Crypt"/>
    <x v="2"/>
  </r>
  <r>
    <d v="2026-05-02T21:34:00"/>
    <s v="Gifts"/>
    <s v="Orc Chest"/>
    <x v="3"/>
    <s v="Level 20 Crypt"/>
    <x v="4"/>
  </r>
  <r>
    <d v="2026-05-02T21:34:00"/>
    <s v="Gifts"/>
    <s v="Stone Chest"/>
    <x v="44"/>
    <s v="Level 10 Crypt"/>
    <x v="2"/>
  </r>
  <r>
    <d v="2026-05-02T21:34:00"/>
    <s v="Gifts"/>
    <s v="Infernal Chest"/>
    <x v="3"/>
    <s v="Level 20 Crypt"/>
    <x v="4"/>
  </r>
  <r>
    <d v="2026-05-02T21:34:00"/>
    <s v="Gifts"/>
    <s v="Elven Citadel Chest"/>
    <x v="2"/>
    <s v="Level 15 Citadel"/>
    <x v="12"/>
  </r>
  <r>
    <d v="2026-05-02T21:34:00"/>
    <s v="Gifts"/>
    <s v="Barbarian Chest"/>
    <x v="56"/>
    <s v="Level 10 Crypt"/>
    <x v="2"/>
  </r>
  <r>
    <d v="2026-05-02T21:34:00"/>
    <s v="Gifts"/>
    <s v="Barbarian Chest"/>
    <x v="50"/>
    <s v="Level 5 Crypt"/>
    <x v="3"/>
  </r>
  <r>
    <d v="2026-05-02T21:34:00"/>
    <s v="Gifts"/>
    <s v="Barbarian Chest"/>
    <x v="56"/>
    <s v="Level 10 Crypt"/>
    <x v="2"/>
  </r>
  <r>
    <d v="2026-05-02T21:34:00"/>
    <s v="Gifts"/>
    <s v="Stone Chest"/>
    <x v="44"/>
    <s v="Level 10 Crypt"/>
    <x v="2"/>
  </r>
  <r>
    <d v="2026-05-02T21:34:00"/>
    <s v="Gifts"/>
    <s v="Infernal Chest"/>
    <x v="56"/>
    <s v="Level 10 Crypt"/>
    <x v="2"/>
  </r>
  <r>
    <d v="2026-05-02T21:34:00"/>
    <s v="Gifts"/>
    <s v="Orc Chest"/>
    <x v="50"/>
    <s v="Level 5 Crypt"/>
    <x v="3"/>
  </r>
  <r>
    <d v="2026-05-02T22:58:00"/>
    <s v="Gifts"/>
    <s v="Cobra Chest"/>
    <x v="56"/>
    <s v="Level 5 Crypt"/>
    <x v="3"/>
  </r>
  <r>
    <d v="2026-05-02T22:58:00"/>
    <s v="Gifts"/>
    <s v="Cobra Chest"/>
    <x v="56"/>
    <s v="Level 5 Crypt"/>
    <x v="3"/>
  </r>
  <r>
    <d v="2026-05-02T22:58:00"/>
    <s v="Gifts"/>
    <s v="Forgotten Chest"/>
    <x v="56"/>
    <s v="Level 10 Crypt"/>
    <x v="2"/>
  </r>
  <r>
    <d v="2026-05-02T22:58:00"/>
    <s v="Gifts"/>
    <s v="Fire Chest"/>
    <x v="56"/>
    <s v="Level 5 Crypt"/>
    <x v="3"/>
  </r>
  <r>
    <d v="2026-05-02T22:58:00"/>
    <s v="Gifts"/>
    <s v="Rare Dragon Chest"/>
    <x v="2"/>
    <s v="Level 15 rare Crypt"/>
    <x v="13"/>
  </r>
  <r>
    <d v="2026-05-02T22:58:00"/>
    <s v="Gifts"/>
    <s v="Bone Chest"/>
    <x v="56"/>
    <s v="Level 5 Crypt"/>
    <x v="3"/>
  </r>
  <r>
    <d v="2026-05-02T22:58:00"/>
    <s v="Gifts"/>
    <s v="Orc Chest"/>
    <x v="20"/>
    <s v="Level 5 Crypt"/>
    <x v="3"/>
  </r>
  <r>
    <d v="2026-05-02T22:58:00"/>
    <s v="Gifts"/>
    <s v="Forgotten Chest"/>
    <x v="8"/>
    <s v="Level 20 Crypt"/>
    <x v="4"/>
  </r>
  <r>
    <d v="2026-05-02T22:58:00"/>
    <s v="Gifts"/>
    <s v="Sand Chest"/>
    <x v="1"/>
    <s v="Level 15 Crypt"/>
    <x v="0"/>
  </r>
  <r>
    <d v="2026-05-02T22:58:00"/>
    <s v="Gifts"/>
    <s v="Fire Chest"/>
    <x v="8"/>
    <s v="Level 15 Crypt"/>
    <x v="0"/>
  </r>
  <r>
    <d v="2026-05-02T22:58:00"/>
    <s v="Gifts"/>
    <s v="Warrior's Chest"/>
    <x v="8"/>
    <s v="Level 15 epic Crypt"/>
    <x v="10"/>
  </r>
  <r>
    <d v="2026-05-02T22:58:00"/>
    <s v="Gifts"/>
    <s v="Scarab Chest"/>
    <x v="8"/>
    <s v="Level 15 epic Crypt"/>
    <x v="10"/>
  </r>
  <r>
    <d v="2026-05-02T22:58:00"/>
    <s v="Gifts"/>
    <s v="Titansteel Chest"/>
    <x v="8"/>
    <s v="Level 15 epic Crypt"/>
    <x v="10"/>
  </r>
  <r>
    <d v="2026-05-02T22:58:00"/>
    <s v="Gifts"/>
    <s v="Abandoned Chest"/>
    <x v="8"/>
    <s v="Level 15 epic Crypt"/>
    <x v="10"/>
  </r>
  <r>
    <d v="2026-05-02T22:58:00"/>
    <s v="Gifts"/>
    <s v="Harpy Chest"/>
    <x v="8"/>
    <s v="Level 15 epic Crypt"/>
    <x v="10"/>
  </r>
  <r>
    <d v="2026-05-02T22:58:00"/>
    <s v="Gifts"/>
    <s v="Bone Chest"/>
    <x v="49"/>
    <s v="Level 5 Crypt"/>
    <x v="3"/>
  </r>
  <r>
    <d v="2026-05-03T08:56:00"/>
    <s v="Gifts"/>
    <s v="Infernal Chest"/>
    <x v="49"/>
    <s v="Level 5 Crypt"/>
    <x v="3"/>
  </r>
  <r>
    <d v="2026-05-03T08:56:00"/>
    <s v="Gifts"/>
    <s v="Cobra Chest"/>
    <x v="8"/>
    <s v="Level 20 Crypt"/>
    <x v="4"/>
  </r>
  <r>
    <d v="2026-05-03T08:56:00"/>
    <s v="Gifts"/>
    <s v="Orc Chest"/>
    <x v="20"/>
    <s v="Level 10 Crypt"/>
    <x v="2"/>
  </r>
  <r>
    <d v="2026-05-03T08:56:00"/>
    <s v="Gifts"/>
    <s v="Common Chest of Wealth"/>
    <x v="8"/>
    <s v="Clan wealth"/>
    <x v="1"/>
  </r>
  <r>
    <d v="2026-05-03T08:56:00"/>
    <s v="Gifts"/>
    <s v="Uncommon Chest of Wealth"/>
    <x v="8"/>
    <s v="Clan wealth"/>
    <x v="1"/>
  </r>
  <r>
    <d v="2026-05-03T08:56:00"/>
    <s v="Gifts"/>
    <s v="Rare Chest of Wealth"/>
    <x v="8"/>
    <s v="Clan wealth"/>
    <x v="1"/>
  </r>
  <r>
    <d v="2026-05-03T08:56:00"/>
    <s v="Gifts"/>
    <s v="Cobra Chest"/>
    <x v="8"/>
    <s v="Level 20 Crypt"/>
    <x v="4"/>
  </r>
  <r>
    <d v="2026-05-03T08:56:00"/>
    <s v="Gifts"/>
    <s v="Gnome Workshop Chest"/>
    <x v="56"/>
    <s v="Level 10 Crypt"/>
    <x v="2"/>
  </r>
  <r>
    <d v="2026-05-03T08:56:00"/>
    <s v="Gifts"/>
    <s v="Gladiator's Chest"/>
    <x v="20"/>
    <s v="Arena"/>
    <x v="1"/>
  </r>
  <r>
    <d v="2026-05-03T08:56:00"/>
    <s v="Gifts"/>
    <s v="Barbarian Chest"/>
    <x v="1"/>
    <s v="Level 10 Crypt"/>
    <x v="2"/>
  </r>
  <r>
    <d v="2026-05-03T08:56:00"/>
    <s v="Gifts"/>
    <s v="Infernal Chest"/>
    <x v="4"/>
    <s v="Level 10 Crypt"/>
    <x v="2"/>
  </r>
  <r>
    <d v="2026-05-03T08:56:00"/>
    <s v="Gifts"/>
    <s v="Infernal Chest"/>
    <x v="56"/>
    <s v="Level 10 Crypt"/>
    <x v="2"/>
  </r>
  <r>
    <d v="2026-05-03T08:56:00"/>
    <s v="Gifts"/>
    <s v="Mayan Chest"/>
    <x v="8"/>
    <s v="Level 15 Crypt"/>
    <x v="0"/>
  </r>
  <r>
    <d v="2026-05-03T08:56:00"/>
    <s v="Gifts"/>
    <s v="Barbarian Chest"/>
    <x v="1"/>
    <s v="Level 15 Crypt"/>
    <x v="0"/>
  </r>
  <r>
    <d v="2026-05-03T08:56:00"/>
    <s v="Gifts"/>
    <s v="Sand Chest"/>
    <x v="20"/>
    <s v="Level 10 Crypt"/>
    <x v="2"/>
  </r>
  <r>
    <d v="2026-05-03T08:56:00"/>
    <s v="Gifts"/>
    <s v="Gnome Workshop Chest"/>
    <x v="1"/>
    <s v="Level 15 Crypt"/>
    <x v="0"/>
  </r>
  <r>
    <d v="2026-05-03T08:56:00"/>
    <s v="Gifts"/>
    <s v="Elven Citadel Chest"/>
    <x v="20"/>
    <s v="Level 10 Citadel"/>
    <x v="11"/>
  </r>
  <r>
    <d v="2026-05-03T08:56:00"/>
    <s v="Gifts"/>
    <s v="Orc Chest"/>
    <x v="1"/>
    <s v="Level 15 Crypt"/>
    <x v="0"/>
  </r>
  <r>
    <d v="2026-05-03T08:56:00"/>
    <s v="Gifts"/>
    <s v="Fire Chest"/>
    <x v="45"/>
    <s v="Level 15 Crypt"/>
    <x v="0"/>
  </r>
  <r>
    <d v="2026-05-03T08:56:00"/>
    <s v="Gifts"/>
    <s v="Barbarian Chest"/>
    <x v="45"/>
    <s v="Level 15 Crypt"/>
    <x v="0"/>
  </r>
  <r>
    <d v="2026-05-03T08:56:00"/>
    <s v="Gifts"/>
    <s v="Stone Chest"/>
    <x v="45"/>
    <s v="Level 15 Crypt"/>
    <x v="0"/>
  </r>
  <r>
    <d v="2026-05-03T08:56:00"/>
    <s v="Gifts"/>
    <s v="Infernal Chest"/>
    <x v="1"/>
    <s v="Level 15 Crypt"/>
    <x v="0"/>
  </r>
  <r>
    <d v="2026-05-03T08:56:00"/>
    <s v="Gifts"/>
    <s v="Cobra Chest"/>
    <x v="37"/>
    <s v="Level 10 Crypt"/>
    <x v="2"/>
  </r>
  <r>
    <d v="2026-05-03T08:56:00"/>
    <s v="Gifts"/>
    <s v="Bone Chest"/>
    <x v="26"/>
    <s v="Level 5 Crypt"/>
    <x v="3"/>
  </r>
  <r>
    <d v="2026-05-03T08:56:00"/>
    <s v="Gifts"/>
    <s v="Sand Chest"/>
    <x v="37"/>
    <s v="Level 15 Crypt"/>
    <x v="0"/>
  </r>
  <r>
    <d v="2026-05-03T08:56:00"/>
    <s v="Gifts"/>
    <s v="Elven Citadel Chest"/>
    <x v="6"/>
    <s v="Level 10 Citadel"/>
    <x v="11"/>
  </r>
  <r>
    <d v="2026-05-03T08:56:00"/>
    <s v="Gifts"/>
    <s v="Infernal Chest"/>
    <x v="57"/>
    <s v="Level 5 Crypt"/>
    <x v="3"/>
  </r>
  <r>
    <d v="2026-05-03T08:56:00"/>
    <s v="Gifts"/>
    <s v="Gladiator's Chest"/>
    <x v="57"/>
    <s v="Arena"/>
    <x v="1"/>
  </r>
  <r>
    <d v="2026-05-03T08:56:00"/>
    <s v="Gifts"/>
    <s v="Mayan Chest"/>
    <x v="59"/>
    <s v="Level 10 Crypt"/>
    <x v="2"/>
  </r>
  <r>
    <d v="2026-05-03T08:56:00"/>
    <s v="Gifts"/>
    <s v="Fire Chest"/>
    <x v="57"/>
    <s v="Level 5 Crypt"/>
    <x v="3"/>
  </r>
  <r>
    <d v="2026-05-03T08:56:00"/>
    <s v="Gifts"/>
    <s v="Gnome Workshop Chest"/>
    <x v="59"/>
    <s v="Level 10 Crypt"/>
    <x v="2"/>
  </r>
  <r>
    <d v="2026-05-03T08:56:00"/>
    <s v="Gifts"/>
    <s v="Bone Chest"/>
    <x v="20"/>
    <s v="Level 10 Crypt"/>
    <x v="2"/>
  </r>
  <r>
    <d v="2026-05-03T08:56:00"/>
    <s v="Gifts"/>
    <s v="Gnome Workshop Chest"/>
    <x v="57"/>
    <s v="Level 5 Crypt"/>
    <x v="3"/>
  </r>
  <r>
    <d v="2026-05-03T08:56:00"/>
    <s v="Gifts"/>
    <s v="Gnome Workshop Chest"/>
    <x v="57"/>
    <s v="Level 5 Crypt"/>
    <x v="3"/>
  </r>
  <r>
    <d v="2026-05-03T08:56:00"/>
    <s v="Gifts"/>
    <s v="Cobra Chest"/>
    <x v="57"/>
    <s v="Level 10 Crypt"/>
    <x v="2"/>
  </r>
  <r>
    <d v="2026-05-03T08:56:00"/>
    <s v="Gifts"/>
    <s v="Elven Citadel Chest"/>
    <x v="44"/>
    <s v="Level 10 Citadel"/>
    <x v="11"/>
  </r>
  <r>
    <d v="2026-05-03T08:56:00"/>
    <s v="Gifts"/>
    <s v="Sand Chest"/>
    <x v="20"/>
    <s v="Level 10 Crypt"/>
    <x v="2"/>
  </r>
  <r>
    <d v="2026-05-03T08:56:00"/>
    <s v="Gifts"/>
    <s v="Elven Citadel Chest"/>
    <x v="44"/>
    <s v="Level 10 Citadel"/>
    <x v="11"/>
  </r>
  <r>
    <d v="2026-05-03T08:56:00"/>
    <s v="Gifts"/>
    <s v="Elven Citadel Chest"/>
    <x v="44"/>
    <s v="Level 10 Citadel"/>
    <x v="11"/>
  </r>
  <r>
    <d v="2026-05-03T08:56:00"/>
    <s v="Gifts"/>
    <s v="Stone Chest"/>
    <x v="44"/>
    <s v="Level 10 Crypt"/>
    <x v="2"/>
  </r>
  <r>
    <d v="2026-05-03T08:56:00"/>
    <s v="Gifts"/>
    <s v="Stone Chest"/>
    <x v="44"/>
    <s v="Level 10 Crypt"/>
    <x v="2"/>
  </r>
  <r>
    <d v="2026-05-03T08:56:00"/>
    <s v="Gifts"/>
    <s v="Elven Citadel Chest"/>
    <x v="44"/>
    <s v="Level 10 Citadel"/>
    <x v="11"/>
  </r>
  <r>
    <d v="2026-05-03T08:56:00"/>
    <s v="Gifts"/>
    <s v="Elven Citadel Chest"/>
    <x v="44"/>
    <s v="Level 10 Citadel"/>
    <x v="11"/>
  </r>
  <r>
    <d v="2026-05-03T08:56:00"/>
    <s v="Gifts"/>
    <s v="Elegant Chest"/>
    <x v="44"/>
    <s v="Level 10 Crypt"/>
    <x v="2"/>
  </r>
  <r>
    <d v="2026-05-03T08:56:00"/>
    <s v="Gifts"/>
    <s v="Stone Chest"/>
    <x v="44"/>
    <s v="Level 10 Crypt"/>
    <x v="2"/>
  </r>
  <r>
    <d v="2026-05-03T08:56:00"/>
    <s v="Gifts"/>
    <s v="Elegant Chest"/>
    <x v="44"/>
    <s v="Level 10 Crypt"/>
    <x v="2"/>
  </r>
  <r>
    <d v="2026-05-03T08:56:00"/>
    <s v="Gifts"/>
    <s v="Elegant Chest"/>
    <x v="44"/>
    <s v="Level 10 Crypt"/>
    <x v="2"/>
  </r>
  <r>
    <d v="2026-05-03T08:56:00"/>
    <s v="Gifts"/>
    <s v="Elegant Chest"/>
    <x v="44"/>
    <s v="Level 10 Crypt"/>
    <x v="2"/>
  </r>
  <r>
    <d v="2026-05-03T08:56:00"/>
    <s v="Gifts"/>
    <s v="Elven Citadel Chest"/>
    <x v="44"/>
    <s v="Level 10 Citadel"/>
    <x v="11"/>
  </r>
  <r>
    <d v="2026-05-03T08:56:00"/>
    <s v="Gifts"/>
    <s v="Elegant Chest"/>
    <x v="44"/>
    <s v="Level 10 Crypt"/>
    <x v="2"/>
  </r>
  <r>
    <d v="2026-05-03T08:56:00"/>
    <s v="Gifts"/>
    <s v="Elegant Chest"/>
    <x v="44"/>
    <s v="Level 10 Crypt"/>
    <x v="2"/>
  </r>
  <r>
    <d v="2026-05-03T08:56:00"/>
    <s v="Gifts"/>
    <s v="Elven Citadel Chest"/>
    <x v="6"/>
    <s v="Level 10 Citadel"/>
    <x v="11"/>
  </r>
  <r>
    <d v="2026-05-03T08:56:00"/>
    <s v="Gifts"/>
    <s v="Barbarian Chest"/>
    <x v="17"/>
    <s v="Level 10 Crypt"/>
    <x v="2"/>
  </r>
  <r>
    <d v="2026-05-03T08:56:00"/>
    <s v="Gifts"/>
    <s v="Stone Chest"/>
    <x v="44"/>
    <s v="Level 10 Crypt"/>
    <x v="2"/>
  </r>
  <r>
    <d v="2026-05-03T08:56:00"/>
    <s v="Gifts"/>
    <s v="Elegant Chest"/>
    <x v="44"/>
    <s v="Level 10 Crypt"/>
    <x v="2"/>
  </r>
  <r>
    <d v="2026-05-03T08:56:00"/>
    <s v="Gifts"/>
    <s v="Bone Chest"/>
    <x v="17"/>
    <s v="Level 10 Crypt"/>
    <x v="2"/>
  </r>
  <r>
    <d v="2026-05-03T08:56:00"/>
    <s v="Gifts"/>
    <s v="Forgotten Chest"/>
    <x v="17"/>
    <s v="Level 10 Crypt"/>
    <x v="2"/>
  </r>
  <r>
    <d v="2026-05-03T08:56:00"/>
    <s v="Gifts"/>
    <s v="Stone Chest"/>
    <x v="44"/>
    <s v="Level 10 Crypt"/>
    <x v="2"/>
  </r>
  <r>
    <d v="2026-05-03T08:56:00"/>
    <s v="Gifts"/>
    <s v="Rare Dragon Chest"/>
    <x v="15"/>
    <s v="Level 10 rare Crypt"/>
    <x v="8"/>
  </r>
  <r>
    <d v="2026-05-03T08:56:00"/>
    <s v="Gifts"/>
    <s v="Cobra Chest"/>
    <x v="15"/>
    <s v="Level 10 Crypt"/>
    <x v="2"/>
  </r>
  <r>
    <d v="2026-05-03T08:56:00"/>
    <s v="Gifts"/>
    <s v="Cobra Chest"/>
    <x v="15"/>
    <s v="Level 10 Crypt"/>
    <x v="2"/>
  </r>
  <r>
    <d v="2026-05-03T08:56:00"/>
    <s v="Gifts"/>
    <s v="Stone Chest"/>
    <x v="44"/>
    <s v="Level 10 Crypt"/>
    <x v="2"/>
  </r>
  <r>
    <d v="2026-05-03T08:56:00"/>
    <s v="Gifts"/>
    <s v="Infernal Chest"/>
    <x v="17"/>
    <s v="Level 10 Crypt"/>
    <x v="2"/>
  </r>
  <r>
    <d v="2026-05-03T08:56:00"/>
    <s v="Gifts"/>
    <s v="Infernal Chest"/>
    <x v="15"/>
    <s v="Level 10 Crypt"/>
    <x v="2"/>
  </r>
  <r>
    <d v="2026-05-03T08:56:00"/>
    <s v="Gifts"/>
    <s v="Gnome Workshop Chest"/>
    <x v="15"/>
    <s v="Level 10 Crypt"/>
    <x v="2"/>
  </r>
  <r>
    <d v="2026-05-03T08:56:00"/>
    <s v="Gifts"/>
    <s v="Bone Chest"/>
    <x v="15"/>
    <s v="Level 15 Crypt"/>
    <x v="0"/>
  </r>
  <r>
    <d v="2026-05-03T08:56:00"/>
    <s v="Gifts"/>
    <s v="Elven Citadel Chest"/>
    <x v="44"/>
    <s v="Level 10 Citadel"/>
    <x v="11"/>
  </r>
  <r>
    <d v="2026-05-03T08:56:00"/>
    <s v="Gifts"/>
    <s v="Gnome Workshop Chest"/>
    <x v="18"/>
    <s v="Level 10 Crypt"/>
    <x v="2"/>
  </r>
  <r>
    <d v="2026-05-03T08:56:00"/>
    <s v="Gifts"/>
    <s v="Forgotten Chest"/>
    <x v="17"/>
    <s v="Level 10 Crypt"/>
    <x v="2"/>
  </r>
  <r>
    <d v="2026-05-03T08:56:00"/>
    <s v="Gifts"/>
    <s v="Sand Chest"/>
    <x v="44"/>
    <s v="Level 10 Crypt"/>
    <x v="2"/>
  </r>
  <r>
    <d v="2026-05-03T08:56:00"/>
    <s v="Gifts"/>
    <s v="Elven Citadel Chest"/>
    <x v="7"/>
    <s v="Level 10 Citadel"/>
    <x v="11"/>
  </r>
  <r>
    <d v="2026-05-03T08:56:00"/>
    <s v="Gifts"/>
    <s v="Stone Chest"/>
    <x v="58"/>
    <s v="Level 5 Crypt"/>
    <x v="3"/>
  </r>
  <r>
    <d v="2026-05-03T08:56:00"/>
    <s v="Gifts"/>
    <s v="Elven Citadel Chest"/>
    <x v="7"/>
    <s v="Level 10 Citadel"/>
    <x v="11"/>
  </r>
  <r>
    <d v="2026-05-03T08:56:00"/>
    <s v="Gifts"/>
    <s v="Elven Citadel Chest"/>
    <x v="7"/>
    <s v="Level 10 Citadel"/>
    <x v="11"/>
  </r>
  <r>
    <d v="2026-05-03T08:56:00"/>
    <s v="Gifts"/>
    <s v="Elven Citadel Chest"/>
    <x v="7"/>
    <s v="Level 10 Citadel"/>
    <x v="11"/>
  </r>
  <r>
    <d v="2026-05-03T08:56:00"/>
    <s v="Gifts"/>
    <s v="Cobra Chest"/>
    <x v="51"/>
    <s v="Level 10 Crypt"/>
    <x v="2"/>
  </r>
  <r>
    <d v="2026-05-03T08:56:00"/>
    <s v="Gifts"/>
    <s v="Stone Chest"/>
    <x v="51"/>
    <s v="Level 10 Crypt"/>
    <x v="2"/>
  </r>
  <r>
    <d v="2026-05-03T08:56:00"/>
    <s v="Gifts"/>
    <s v="Bone Chest"/>
    <x v="19"/>
    <s v="Level 15 Crypt"/>
    <x v="0"/>
  </r>
  <r>
    <d v="2026-05-03T08:56:00"/>
    <s v="Gifts"/>
    <s v="Stone Chest"/>
    <x v="51"/>
    <s v="Level 10 Crypt"/>
    <x v="2"/>
  </r>
  <r>
    <d v="2026-05-03T08:56:00"/>
    <s v="Gifts"/>
    <s v="Mayan Chest"/>
    <x v="30"/>
    <s v="Level 5 Crypt"/>
    <x v="3"/>
  </r>
  <r>
    <d v="2026-05-03T08:56:00"/>
    <s v="Gifts"/>
    <s v="Fire Chest"/>
    <x v="30"/>
    <s v="Level 5 Crypt"/>
    <x v="3"/>
  </r>
  <r>
    <d v="2026-05-03T08:56:00"/>
    <s v="Gifts"/>
    <s v="Elegant Chest"/>
    <x v="19"/>
    <s v="Level 15 Crypt"/>
    <x v="0"/>
  </r>
  <r>
    <d v="2026-05-03T08:56:00"/>
    <s v="Gifts"/>
    <s v="Elegant Chest"/>
    <x v="22"/>
    <s v="Level 10 Crypt"/>
    <x v="2"/>
  </r>
  <r>
    <d v="2026-05-03T08:56:00"/>
    <s v="Gifts"/>
    <s v="Mayan Chest"/>
    <x v="14"/>
    <s v="Level 5 Crypt"/>
    <x v="3"/>
  </r>
  <r>
    <d v="2026-05-03T08:56:00"/>
    <s v="Gifts"/>
    <s v="Elegant Chest"/>
    <x v="27"/>
    <s v="Level 15 Crypt"/>
    <x v="0"/>
  </r>
  <r>
    <d v="2026-05-03T08:56:00"/>
    <s v="Gifts"/>
    <s v="Orc Chest"/>
    <x v="27"/>
    <s v="Level 5 Crypt"/>
    <x v="3"/>
  </r>
  <r>
    <d v="2026-05-03T08:56:00"/>
    <s v="Gifts"/>
    <s v="Rare Dragon Chest"/>
    <x v="27"/>
    <s v="Level 15 rare Crypt"/>
    <x v="13"/>
  </r>
  <r>
    <d v="2026-05-03T08:56:00"/>
    <s v="Gifts"/>
    <s v="Orc Chest"/>
    <x v="27"/>
    <s v="Level 10 Crypt"/>
    <x v="2"/>
  </r>
  <r>
    <d v="2026-05-03T08:56:00"/>
    <s v="Gifts"/>
    <s v="Mayan Chest"/>
    <x v="27"/>
    <s v="Level 10 Crypt"/>
    <x v="2"/>
  </r>
  <r>
    <d v="2026-05-03T08:56:00"/>
    <s v="Gifts"/>
    <s v="Forgotten Chest"/>
    <x v="27"/>
    <s v="Level 10 Crypt"/>
    <x v="2"/>
  </r>
  <r>
    <d v="2026-05-03T08:56:00"/>
    <s v="Gifts"/>
    <s v="Cobra Chest"/>
    <x v="19"/>
    <s v="Level 15 Crypt"/>
    <x v="0"/>
  </r>
  <r>
    <d v="2026-05-03T08:56:00"/>
    <s v="Gifts"/>
    <s v="Fire Chest"/>
    <x v="21"/>
    <s v="Level 10 Crypt"/>
    <x v="2"/>
  </r>
  <r>
    <d v="2026-05-03T08:56:00"/>
    <s v="Gifts"/>
    <s v="Mayan Chest"/>
    <x v="21"/>
    <s v="Level 10 Crypt"/>
    <x v="2"/>
  </r>
  <r>
    <d v="2026-05-03T08:56:00"/>
    <s v="Gifts"/>
    <s v="Rare Dragon Chest"/>
    <x v="56"/>
    <s v="Level 10 rare Crypt"/>
    <x v="8"/>
  </r>
  <r>
    <d v="2026-05-03T08:56:00"/>
    <s v="Gifts"/>
    <s v="Elegant Chest"/>
    <x v="56"/>
    <s v="Level 10 Crypt"/>
    <x v="2"/>
  </r>
  <r>
    <d v="2026-05-03T08:56:00"/>
    <s v="Gifts"/>
    <s v="Barbarian Chest"/>
    <x v="56"/>
    <s v="Level 5 Crypt"/>
    <x v="3"/>
  </r>
  <r>
    <d v="2026-05-03T08:56:00"/>
    <s v="Gifts"/>
    <s v="Cobra Chest"/>
    <x v="56"/>
    <s v="Level 5 Crypt"/>
    <x v="3"/>
  </r>
  <r>
    <d v="2026-05-03T08:56:00"/>
    <s v="Gifts"/>
    <s v="Orc Chest"/>
    <x v="56"/>
    <s v="Level 5 Crypt"/>
    <x v="3"/>
  </r>
  <r>
    <d v="2026-05-03T08:56:00"/>
    <s v="Gifts"/>
    <s v="Fire Chest"/>
    <x v="56"/>
    <s v="Level 5 Crypt"/>
    <x v="3"/>
  </r>
  <r>
    <d v="2026-05-03T08:56:00"/>
    <s v="Gifts"/>
    <s v="Stone Chest"/>
    <x v="56"/>
    <s v="Level 5 Crypt"/>
    <x v="3"/>
  </r>
  <r>
    <d v="2026-05-03T08:56:00"/>
    <s v="Gifts"/>
    <s v="Orc Chest"/>
    <x v="56"/>
    <s v="Level 5 Crypt"/>
    <x v="3"/>
  </r>
  <r>
    <d v="2026-05-03T08:56:00"/>
    <s v="Gifts"/>
    <s v="Gladiator's Chest"/>
    <x v="47"/>
    <s v="Arena"/>
    <x v="1"/>
  </r>
  <r>
    <d v="2026-05-03T08:56:00"/>
    <s v="Gifts"/>
    <s v="Fire Chest"/>
    <x v="56"/>
    <s v="Level 5 Crypt"/>
    <x v="3"/>
  </r>
  <r>
    <d v="2026-05-03T08:56:00"/>
    <s v="Gifts"/>
    <s v="Fire Chest"/>
    <x v="47"/>
    <s v="Level 5 Crypt"/>
    <x v="3"/>
  </r>
  <r>
    <d v="2026-05-03T08:56:00"/>
    <s v="Gifts"/>
    <s v="Rare Dragon Chest"/>
    <x v="56"/>
    <s v="Level 10 rare Crypt"/>
    <x v="8"/>
  </r>
  <r>
    <d v="2026-05-03T08:56:00"/>
    <s v="Gifts"/>
    <s v="Stone Chest"/>
    <x v="56"/>
    <s v="Level 5 Crypt"/>
    <x v="3"/>
  </r>
  <r>
    <d v="2026-05-03T08:56:00"/>
    <s v="Gifts"/>
    <s v="Cobra Chest"/>
    <x v="56"/>
    <s v="Level 5 Crypt"/>
    <x v="3"/>
  </r>
  <r>
    <d v="2026-05-03T08:56:00"/>
    <s v="Gifts"/>
    <s v="Common Chest of Wealth"/>
    <x v="18"/>
    <s v="Clan wealth"/>
    <x v="1"/>
  </r>
  <r>
    <d v="2026-05-03T08:56:00"/>
    <s v="Gifts"/>
    <s v="Uncommon Chest of Wealth"/>
    <x v="18"/>
    <s v="Clan wealth"/>
    <x v="1"/>
  </r>
  <r>
    <d v="2026-05-03T08:56:00"/>
    <s v="Gifts"/>
    <s v="Rare Chest of Wealth"/>
    <x v="18"/>
    <s v="Clan wealth"/>
    <x v="1"/>
  </r>
  <r>
    <d v="2026-05-03T08:56:00"/>
    <s v="Gifts"/>
    <s v="Elegant Chest"/>
    <x v="18"/>
    <s v="Level 10 Crypt"/>
    <x v="2"/>
  </r>
  <r>
    <d v="2026-05-03T08:56:00"/>
    <s v="Gifts"/>
    <s v="Barbarian Chest"/>
    <x v="18"/>
    <s v="Level 10 Crypt"/>
    <x v="2"/>
  </r>
  <r>
    <d v="2026-05-03T08:56:00"/>
    <s v="Gifts"/>
    <s v="Pacified Mimic Chest"/>
    <x v="50"/>
    <s v="Mimic Chest"/>
    <x v="1"/>
  </r>
  <r>
    <d v="2026-05-03T08:56:00"/>
    <s v="Gifts"/>
    <s v="Barbarian Chest"/>
    <x v="37"/>
    <s v="Level 5 Crypt"/>
    <x v="3"/>
  </r>
  <r>
    <d v="2026-05-03T08:56:00"/>
    <s v="Triumphal Gifts"/>
    <s v="Wooden Chest"/>
    <x v="6"/>
    <s v="Bank"/>
    <x v="5"/>
  </r>
  <r>
    <d v="2026-05-03T08:56:00"/>
    <s v="Triumphal Gifts"/>
    <s v="Wooden Chest"/>
    <x v="6"/>
    <s v="Bank"/>
    <x v="5"/>
  </r>
  <r>
    <d v="2026-05-03T08:56:00"/>
    <s v="Triumphal Gifts"/>
    <s v="Wooden Chest"/>
    <x v="6"/>
    <s v="Bank"/>
    <x v="5"/>
  </r>
  <r>
    <d v="2026-05-03T08:56:00"/>
    <s v="Triumphal Gifts"/>
    <s v="Silver Chest"/>
    <x v="14"/>
    <s v="Bank"/>
    <x v="5"/>
  </r>
  <r>
    <d v="2026-05-03T08:56:00"/>
    <s v="Triumphal Gifts"/>
    <s v="Silver Chest"/>
    <x v="14"/>
    <s v="Bank"/>
    <x v="5"/>
  </r>
  <r>
    <d v="2026-05-03T08:56:00"/>
    <s v="Triumphal Gifts"/>
    <s v="Silver Chest"/>
    <x v="14"/>
    <s v="Bank"/>
    <x v="5"/>
  </r>
  <r>
    <d v="2026-05-03T09:14:00"/>
    <s v="Gifts"/>
    <s v="Chest"/>
    <x v="25"/>
    <s v="Rise of the Ancients event"/>
    <x v="15"/>
  </r>
  <r>
    <d v="2026-05-03T09:14:00"/>
    <s v="Gifts"/>
    <s v="Chest"/>
    <x v="25"/>
    <s v="Rise of the Ancients event"/>
    <x v="15"/>
  </r>
  <r>
    <d v="2026-05-03T09:14:00"/>
    <s v="Gifts"/>
    <s v="Chest"/>
    <x v="25"/>
    <s v="Rise of the Ancients event"/>
    <x v="15"/>
  </r>
  <r>
    <d v="2026-05-03T09:14:00"/>
    <s v="Gifts"/>
    <s v="Chest"/>
    <x v="25"/>
    <s v="Rise of the Ancients event"/>
    <x v="15"/>
  </r>
  <r>
    <d v="2026-05-03T09:14:00"/>
    <s v="Gifts"/>
    <s v="Quick March Chest"/>
    <x v="2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15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Chest"/>
    <x v="50"/>
    <s v="Rise of the Ancients event"/>
    <x v="15"/>
  </r>
  <r>
    <d v="2026-05-03T09:14:00"/>
    <s v="Gifts"/>
    <s v="Fire Chest"/>
    <x v="18"/>
    <s v="Level 10 Crypt"/>
    <x v="2"/>
  </r>
  <r>
    <d v="2026-05-03T09:14:00"/>
    <s v="Gifts"/>
    <s v="Chest"/>
    <x v="12"/>
    <s v="Rise of the Ancients event"/>
    <x v="15"/>
  </r>
  <r>
    <d v="2026-05-03T09:14:00"/>
    <s v="Gifts"/>
    <s v="Chest"/>
    <x v="12"/>
    <s v="Rise of the Ancients event"/>
    <x v="15"/>
  </r>
  <r>
    <d v="2026-05-03T09:14:00"/>
    <s v="Gifts"/>
    <s v="Chest"/>
    <x v="12"/>
    <s v="Rise of the Ancients event"/>
    <x v="15"/>
  </r>
  <r>
    <d v="2026-05-03T09:14:00"/>
    <s v="Gifts"/>
    <s v="Chest"/>
    <x v="12"/>
    <s v="Rise of the Ancients event"/>
    <x v="15"/>
  </r>
  <r>
    <d v="2026-05-03T09:14:00"/>
    <s v="Gifts"/>
    <s v="Chest"/>
    <x v="54"/>
    <s v="Rise of the Ancients event"/>
    <x v="15"/>
  </r>
  <r>
    <d v="2026-05-03T09:14:00"/>
    <s v="Gifts"/>
    <s v="Chest"/>
    <x v="54"/>
    <s v="Rise of the Ancients event"/>
    <x v="15"/>
  </r>
  <r>
    <d v="2026-05-03T09:14:00"/>
    <s v="Gifts"/>
    <s v="Chest"/>
    <x v="54"/>
    <s v="Rise of the Ancients event"/>
    <x v="15"/>
  </r>
  <r>
    <d v="2026-05-03T09:14:00"/>
    <s v="Gifts"/>
    <s v="Chest"/>
    <x v="54"/>
    <s v="Rise of the Ancients event"/>
    <x v="15"/>
  </r>
  <r>
    <d v="2026-05-03T09:14:00"/>
    <s v="Gifts"/>
    <s v="Chest"/>
    <x v="14"/>
    <s v="Rise of the Ancients event"/>
    <x v="15"/>
  </r>
  <r>
    <d v="2026-05-03T09:14:00"/>
    <s v="Gifts"/>
    <s v="Chest"/>
    <x v="14"/>
    <s v="Rise of the Ancients event"/>
    <x v="15"/>
  </r>
  <r>
    <d v="2026-05-03T09:14:00"/>
    <s v="Gifts"/>
    <s v="Chest"/>
    <x v="14"/>
    <s v="Rise of the Ancients event"/>
    <x v="15"/>
  </r>
  <r>
    <d v="2026-05-03T09:14:00"/>
    <s v="Gifts"/>
    <s v="Chest"/>
    <x v="14"/>
    <s v="Rise of the Ancients event"/>
    <x v="15"/>
  </r>
  <r>
    <d v="2026-05-03T09:14:00"/>
    <s v="Gifts"/>
    <s v="Sand Chest"/>
    <x v="54"/>
    <s v="Level 5 Crypt"/>
    <x v="3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Quick March 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37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6"/>
    <s v="Rise of the Ancients event"/>
    <x v="15"/>
  </r>
  <r>
    <d v="2026-05-03T09:14:00"/>
    <s v="Gifts"/>
    <s v="Chest"/>
    <x v="56"/>
    <s v="Rise of the Ancients event"/>
    <x v="15"/>
  </r>
  <r>
    <d v="2026-05-03T09:14:00"/>
    <s v="Gifts"/>
    <s v="Chest"/>
    <x v="56"/>
    <s v="Rise of the Ancients event"/>
    <x v="15"/>
  </r>
  <r>
    <d v="2026-05-03T09:14:00"/>
    <s v="Gifts"/>
    <s v="Chest"/>
    <x v="56"/>
    <s v="Rise of the Ancients event"/>
    <x v="15"/>
  </r>
  <r>
    <d v="2026-05-03T09:14:00"/>
    <s v="Gifts"/>
    <s v="Chest"/>
    <x v="56"/>
    <s v="Rise of the Ancients event"/>
    <x v="15"/>
  </r>
  <r>
    <d v="2026-05-03T09:14:00"/>
    <s v="Gifts"/>
    <s v="Infernal Chest"/>
    <x v="55"/>
    <s v="Level 15 Crypt"/>
    <x v="0"/>
  </r>
  <r>
    <d v="2026-05-03T09:14:00"/>
    <s v="Gifts"/>
    <s v="Infernal Chest"/>
    <x v="29"/>
    <s v="Level 5 Crypt"/>
    <x v="3"/>
  </r>
  <r>
    <d v="2026-05-04T04:19:00"/>
    <s v="Gifts"/>
    <s v="Elegant Chest"/>
    <x v="47"/>
    <s v="Level 5 Crypt"/>
    <x v="3"/>
  </r>
  <r>
    <d v="2026-05-04T04:19:00"/>
    <s v="Gifts"/>
    <s v="Infernal Chest"/>
    <x v="9"/>
    <s v="Level 15 Crypt"/>
    <x v="0"/>
  </r>
  <r>
    <d v="2026-05-04T04:19:00"/>
    <s v="Gifts"/>
    <s v="Gnome Workshop Chest"/>
    <x v="9"/>
    <s v="Level 15 Crypt"/>
    <x v="0"/>
  </r>
  <r>
    <d v="2026-05-04T04:19:00"/>
    <s v="Gifts"/>
    <s v="Rare Dragon Chest"/>
    <x v="9"/>
    <s v="Level 10 rare Crypt"/>
    <x v="8"/>
  </r>
  <r>
    <d v="2026-05-04T04:19:00"/>
    <s v="Gifts"/>
    <s v="Forgotten Chest"/>
    <x v="9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Fire Chest"/>
    <x v="47"/>
    <s v="Level 5 Crypt"/>
    <x v="3"/>
  </r>
  <r>
    <d v="2026-05-04T04:19:00"/>
    <s v="Gifts"/>
    <s v="Cobra Chest"/>
    <x v="47"/>
    <s v="Level 5 Crypt"/>
    <x v="3"/>
  </r>
  <r>
    <d v="2026-05-04T04:19:00"/>
    <s v="Gifts"/>
    <s v="Sand Chest"/>
    <x v="56"/>
    <s v="Level 5 Crypt"/>
    <x v="3"/>
  </r>
  <r>
    <d v="2026-05-04T04:19:00"/>
    <s v="Gifts"/>
    <s v="Fire Chest"/>
    <x v="45"/>
    <s v="Level 15 Crypt"/>
    <x v="0"/>
  </r>
  <r>
    <d v="2026-05-04T04:19:00"/>
    <s v="Gifts"/>
    <s v="Gladiator's Chest"/>
    <x v="47"/>
    <s v="Arena"/>
    <x v="1"/>
  </r>
  <r>
    <d v="2026-05-04T04:19:00"/>
    <s v="Gifts"/>
    <s v="Infernal Chest"/>
    <x v="40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White Wood Chest"/>
    <x v="40"/>
    <s v="Level 15 epic Crypt"/>
    <x v="10"/>
  </r>
  <r>
    <d v="2026-05-04T04:19:00"/>
    <s v="Gifts"/>
    <s v="Gnome Workshop Chest"/>
    <x v="56"/>
    <s v="Level 5 Crypt"/>
    <x v="3"/>
  </r>
  <r>
    <d v="2026-05-04T04:19:00"/>
    <s v="Gifts"/>
    <s v="Orc Chest"/>
    <x v="14"/>
    <s v="Level 10 Crypt"/>
    <x v="2"/>
  </r>
  <r>
    <d v="2026-05-04T04:19:00"/>
    <s v="Gifts"/>
    <s v="Sand Chest"/>
    <x v="45"/>
    <s v="Level 10 Crypt"/>
    <x v="2"/>
  </r>
  <r>
    <d v="2026-05-04T04:19:00"/>
    <s v="Gifts"/>
    <s v="Elegant Chest"/>
    <x v="48"/>
    <s v="Level 10 Crypt"/>
    <x v="2"/>
  </r>
  <r>
    <d v="2026-05-04T04:19:00"/>
    <s v="Gifts"/>
    <s v="Cobra Chest"/>
    <x v="56"/>
    <s v="Level 5 Crypt"/>
    <x v="3"/>
  </r>
  <r>
    <d v="2026-05-04T04:19:00"/>
    <s v="Gifts"/>
    <s v="Mayan Chest"/>
    <x v="48"/>
    <s v="Level 10 Crypt"/>
    <x v="2"/>
  </r>
  <r>
    <d v="2026-05-04T04:19:00"/>
    <s v="Gifts"/>
    <s v="Forgotten Chest"/>
    <x v="56"/>
    <s v="Level 5 Crypt"/>
    <x v="3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44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Infernal Chest"/>
    <x v="9"/>
    <s v="Level 15 Crypt"/>
    <x v="0"/>
  </r>
  <r>
    <d v="2026-05-04T04:19:00"/>
    <s v="Gifts"/>
    <s v="Elven Citadel Chest"/>
    <x v="31"/>
    <s v="Level 15 Citadel"/>
    <x v="12"/>
  </r>
  <r>
    <d v="2026-05-04T04:19:00"/>
    <s v="Gifts"/>
    <s v="Rare Dragon Chest"/>
    <x v="9"/>
    <s v="Level 10 rare Crypt"/>
    <x v="8"/>
  </r>
  <r>
    <d v="2026-05-04T04:19:00"/>
    <s v="Gifts"/>
    <s v="Bone Chest"/>
    <x v="44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Mayan Chest"/>
    <x v="41"/>
    <s v="Level 15 Crypt"/>
    <x v="0"/>
  </r>
  <r>
    <d v="2026-05-04T04:19:00"/>
    <s v="Gifts"/>
    <s v="Fire Chest"/>
    <x v="41"/>
    <s v="Level 10 Crypt"/>
    <x v="2"/>
  </r>
  <r>
    <d v="2026-05-04T04:19:00"/>
    <s v="Gifts"/>
    <s v="Sand Chest"/>
    <x v="41"/>
    <s v="Level 10 Crypt"/>
    <x v="2"/>
  </r>
  <r>
    <d v="2026-05-04T04:19:00"/>
    <s v="Gifts"/>
    <s v="Gnome Workshop Chest"/>
    <x v="41"/>
    <s v="Level 15 Crypt"/>
    <x v="0"/>
  </r>
  <r>
    <d v="2026-05-04T04:19:00"/>
    <s v="Gifts"/>
    <s v="Orc Chest"/>
    <x v="41"/>
    <s v="Level 10 Crypt"/>
    <x v="2"/>
  </r>
  <r>
    <d v="2026-05-04T04:19:00"/>
    <s v="Gifts"/>
    <s v="Barbarian Chest"/>
    <x v="41"/>
    <s v="Level 10 Crypt"/>
    <x v="2"/>
  </r>
  <r>
    <d v="2026-05-04T04:19:00"/>
    <s v="Gifts"/>
    <s v="Mayan Chest"/>
    <x v="41"/>
    <s v="Level 15 Crypt"/>
    <x v="0"/>
  </r>
  <r>
    <d v="2026-05-04T04:19:00"/>
    <s v="Gifts"/>
    <s v="Barbarian Chest"/>
    <x v="41"/>
    <s v="Level 10 Crypt"/>
    <x v="2"/>
  </r>
  <r>
    <d v="2026-05-04T04:19:00"/>
    <s v="Gifts"/>
    <s v="Mayan Chest"/>
    <x v="41"/>
    <s v="Level 10 Crypt"/>
    <x v="2"/>
  </r>
  <r>
    <d v="2026-05-04T04:19:00"/>
    <s v="Gifts"/>
    <s v="Bone Chest"/>
    <x v="41"/>
    <s v="Level 15 Crypt"/>
    <x v="0"/>
  </r>
  <r>
    <d v="2026-05-04T04:19:00"/>
    <s v="Gifts"/>
    <s v="Mayan Chest"/>
    <x v="41"/>
    <s v="Level 10 Crypt"/>
    <x v="2"/>
  </r>
  <r>
    <d v="2026-05-04T04:19:00"/>
    <s v="Gifts"/>
    <s v="Infernal Chest"/>
    <x v="41"/>
    <s v="Level 15 Crypt"/>
    <x v="0"/>
  </r>
  <r>
    <d v="2026-05-04T04:19:00"/>
    <s v="Gifts"/>
    <s v="Mayan Chest"/>
    <x v="41"/>
    <s v="Level 10 Crypt"/>
    <x v="2"/>
  </r>
  <r>
    <d v="2026-05-04T04:19:00"/>
    <s v="Gifts"/>
    <s v="Mayan Chest"/>
    <x v="41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Mayan Chest"/>
    <x v="41"/>
    <s v="Level 15 Crypt"/>
    <x v="0"/>
  </r>
  <r>
    <d v="2026-05-04T04:19:00"/>
    <s v="Gifts"/>
    <s v="Fire Chest"/>
    <x v="41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Gnome Workshop Chest"/>
    <x v="41"/>
    <s v="Level 10 Crypt"/>
    <x v="2"/>
  </r>
  <r>
    <d v="2026-05-04T04:19:00"/>
    <s v="Gifts"/>
    <s v="Barbarian Chest"/>
    <x v="41"/>
    <s v="Level 15 Crypt"/>
    <x v="0"/>
  </r>
  <r>
    <d v="2026-05-04T04:19:00"/>
    <s v="Gifts"/>
    <s v="Sand Chest"/>
    <x v="41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Forgotten Chest"/>
    <x v="41"/>
    <s v="Level 15 Crypt"/>
    <x v="0"/>
  </r>
  <r>
    <d v="2026-05-04T04:19:00"/>
    <s v="Gifts"/>
    <s v="Barbarian Chest"/>
    <x v="41"/>
    <s v="Level 10 Crypt"/>
    <x v="2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Rare Dragon Chest"/>
    <x v="9"/>
    <s v="Level 10 rare Crypt"/>
    <x v="8"/>
  </r>
  <r>
    <d v="2026-05-04T04:19:00"/>
    <s v="Gifts"/>
    <s v="Mayan Chest"/>
    <x v="14"/>
    <s v="Level 10 Crypt"/>
    <x v="2"/>
  </r>
  <r>
    <d v="2026-05-04T04:19:00"/>
    <s v="Gifts"/>
    <s v="Barbarian Chest"/>
    <x v="14"/>
    <s v="Level 10 Crypt"/>
    <x v="2"/>
  </r>
  <r>
    <d v="2026-05-04T04:19:00"/>
    <s v="Gifts"/>
    <s v="Cobra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Bone Chest"/>
    <x v="29"/>
    <s v="Level 5 Crypt"/>
    <x v="3"/>
  </r>
  <r>
    <d v="2026-05-04T04:19:00"/>
    <s v="Gifts"/>
    <s v="Elven Citadel Chest"/>
    <x v="7"/>
    <s v="Level 10 Citadel"/>
    <x v="11"/>
  </r>
  <r>
    <d v="2026-05-04T04:19:00"/>
    <s v="Gifts"/>
    <s v="Bone Chest"/>
    <x v="41"/>
    <s v="Level 10 Crypt"/>
    <x v="2"/>
  </r>
  <r>
    <d v="2026-05-04T04:19:00"/>
    <s v="Gifts"/>
    <s v="Gnome Workshop Chest"/>
    <x v="41"/>
    <s v="Level 15 Crypt"/>
    <x v="0"/>
  </r>
  <r>
    <d v="2026-05-04T04:19:00"/>
    <s v="Gifts"/>
    <s v="Orc Chest"/>
    <x v="41"/>
    <s v="Level 10 Crypt"/>
    <x v="2"/>
  </r>
  <r>
    <d v="2026-05-04T04:19:00"/>
    <s v="Gifts"/>
    <s v="Gnome Workshop Chest"/>
    <x v="41"/>
    <s v="Level 15 Crypt"/>
    <x v="0"/>
  </r>
  <r>
    <d v="2026-05-04T04:19:00"/>
    <s v="Gifts"/>
    <s v="Gnome Workshop Chest"/>
    <x v="41"/>
    <s v="Level 10 Crypt"/>
    <x v="2"/>
  </r>
  <r>
    <d v="2026-05-04T04:19:00"/>
    <s v="Gifts"/>
    <s v="Orc Chest"/>
    <x v="41"/>
    <s v="Level 10 Crypt"/>
    <x v="2"/>
  </r>
  <r>
    <d v="2026-05-04T04:19:00"/>
    <s v="Gifts"/>
    <s v="Sand Chest"/>
    <x v="41"/>
    <s v="Level 15 Crypt"/>
    <x v="0"/>
  </r>
  <r>
    <d v="2026-05-04T04:19:00"/>
    <s v="Gifts"/>
    <s v="Barbarian Chest"/>
    <x v="41"/>
    <s v="Level 10 Crypt"/>
    <x v="2"/>
  </r>
  <r>
    <d v="2026-05-04T04:19:00"/>
    <s v="Gifts"/>
    <s v="Barbarian Chest"/>
    <x v="41"/>
    <s v="Level 10 Crypt"/>
    <x v="2"/>
  </r>
  <r>
    <d v="2026-05-04T04:19:00"/>
    <s v="Gifts"/>
    <s v="Infernal Chest"/>
    <x v="41"/>
    <s v="Level 15 Crypt"/>
    <x v="0"/>
  </r>
  <r>
    <d v="2026-05-04T04:19:00"/>
    <s v="Gifts"/>
    <s v="Infernal Chest"/>
    <x v="41"/>
    <s v="Level 10 Crypt"/>
    <x v="2"/>
  </r>
  <r>
    <d v="2026-05-04T04:19:00"/>
    <s v="Gifts"/>
    <s v="Sand Chest"/>
    <x v="41"/>
    <s v="Level 15 Crypt"/>
    <x v="0"/>
  </r>
  <r>
    <d v="2026-05-04T04:19:00"/>
    <s v="Gifts"/>
    <s v="Barbarian Chest"/>
    <x v="41"/>
    <s v="Level 15 Crypt"/>
    <x v="0"/>
  </r>
  <r>
    <d v="2026-05-04T04:19:00"/>
    <s v="Gifts"/>
    <s v="Elven Citadel Chest"/>
    <x v="6"/>
    <s v="Level 15 Citadel"/>
    <x v="12"/>
  </r>
  <r>
    <d v="2026-05-04T04:19:00"/>
    <s v="Gifts"/>
    <s v="Rare Dragon Chest"/>
    <x v="6"/>
    <s v="Level 15 rare Crypt"/>
    <x v="13"/>
  </r>
  <r>
    <d v="2026-05-04T04:19:00"/>
    <s v="Gifts"/>
    <s v="Barbarian Chest"/>
    <x v="9"/>
    <s v="Level 15 Crypt"/>
    <x v="0"/>
  </r>
  <r>
    <d v="2026-05-04T04:19:00"/>
    <s v="Gifts"/>
    <s v="Barbarian Chest"/>
    <x v="9"/>
    <s v="Level 15 Crypt"/>
    <x v="0"/>
  </r>
  <r>
    <d v="2026-05-04T04:19:00"/>
    <s v="Gifts"/>
    <s v="Barbarian Chest"/>
    <x v="9"/>
    <s v="Level 15 Crypt"/>
    <x v="0"/>
  </r>
  <r>
    <d v="2026-05-04T04:19:00"/>
    <s v="Gifts"/>
    <s v="Elven Citadel Chest"/>
    <x v="7"/>
    <s v="Level 10 Citadel"/>
    <x v="11"/>
  </r>
  <r>
    <d v="2026-05-04T04:19:00"/>
    <s v="Gifts"/>
    <s v="Scarab Chest"/>
    <x v="19"/>
    <s v="Level 15 epic Crypt"/>
    <x v="10"/>
  </r>
  <r>
    <d v="2026-05-04T04:19:00"/>
    <s v="Gifts"/>
    <s v="Cobra Chest"/>
    <x v="14"/>
    <s v="Level 10 Crypt"/>
    <x v="2"/>
  </r>
  <r>
    <d v="2026-05-04T04:19:00"/>
    <s v="Gifts"/>
    <s v="Mayan Chest"/>
    <x v="14"/>
    <s v="Level 10 Crypt"/>
    <x v="2"/>
  </r>
  <r>
    <d v="2026-05-04T04:19:00"/>
    <s v="Gifts"/>
    <s v="Cobra Chest"/>
    <x v="58"/>
    <s v="Level 5 Crypt"/>
    <x v="3"/>
  </r>
  <r>
    <d v="2026-05-04T04:19:00"/>
    <s v="Gifts"/>
    <s v="Fire Chest"/>
    <x v="19"/>
    <s v="Level 15 Crypt"/>
    <x v="0"/>
  </r>
  <r>
    <d v="2026-05-04T04:19:00"/>
    <s v="Gifts"/>
    <s v="Infernal Chest"/>
    <x v="30"/>
    <s v="Level 10 Crypt"/>
    <x v="2"/>
  </r>
  <r>
    <d v="2026-05-04T04:19:00"/>
    <s v="Gifts"/>
    <s v="Fire Chest"/>
    <x v="57"/>
    <s v="Level 10 Crypt"/>
    <x v="2"/>
  </r>
  <r>
    <d v="2026-05-04T04:19:00"/>
    <s v="Gifts"/>
    <s v="Stone Chest"/>
    <x v="60"/>
    <s v="Level 5 Crypt"/>
    <x v="3"/>
  </r>
  <r>
    <d v="2026-05-04T04:19:00"/>
    <s v="Gifts"/>
    <s v="Gnome Workshop Chest"/>
    <x v="57"/>
    <s v="Level 5 Crypt"/>
    <x v="3"/>
  </r>
  <r>
    <d v="2026-05-04T04:19:00"/>
    <s v="Gifts"/>
    <s v="Forgotten Chest"/>
    <x v="33"/>
    <s v="Level 10 Crypt"/>
    <x v="2"/>
  </r>
  <r>
    <d v="2026-05-04T04:19:00"/>
    <s v="Gifts"/>
    <s v="Gnome Workshop Chest"/>
    <x v="33"/>
    <s v="Level 10 Crypt"/>
    <x v="2"/>
  </r>
  <r>
    <d v="2026-05-04T04:19:00"/>
    <s v="Gifts"/>
    <s v="Cobra Chest"/>
    <x v="57"/>
    <s v="Level 15 Crypt"/>
    <x v="0"/>
  </r>
  <r>
    <d v="2026-05-04T04:19:00"/>
    <s v="Gifts"/>
    <s v="Gnome Workshop Chest"/>
    <x v="39"/>
    <s v="Level 15 Crypt"/>
    <x v="0"/>
  </r>
  <r>
    <d v="2026-05-04T04:19:00"/>
    <s v="Gifts"/>
    <s v="Gladiator's Chest"/>
    <x v="33"/>
    <s v="Arena"/>
    <x v="1"/>
  </r>
  <r>
    <d v="2026-05-04T04:19:00"/>
    <s v="Gifts"/>
    <s v="Stone Chest"/>
    <x v="19"/>
    <s v="Level 15 Crypt"/>
    <x v="0"/>
  </r>
  <r>
    <d v="2026-05-04T04:19:00"/>
    <s v="Gifts"/>
    <s v="Elegant Chest"/>
    <x v="53"/>
    <s v="Level 15 Crypt"/>
    <x v="0"/>
  </r>
  <r>
    <d v="2026-05-04T04:19:00"/>
    <s v="Gifts"/>
    <s v="Orc Chest"/>
    <x v="30"/>
    <s v="Level 5 Crypt"/>
    <x v="3"/>
  </r>
  <r>
    <d v="2026-05-04T04:19:00"/>
    <s v="Gifts"/>
    <s v="Bone Chest"/>
    <x v="36"/>
    <s v="Level 10 Crypt"/>
    <x v="2"/>
  </r>
  <r>
    <d v="2026-05-04T04:19:00"/>
    <s v="Gifts"/>
    <s v="Gladiator's Chest"/>
    <x v="37"/>
    <s v="Arena"/>
    <x v="1"/>
  </r>
  <r>
    <d v="2026-05-04T04:19:00"/>
    <s v="Gifts"/>
    <s v="Rare Dragon Chest"/>
    <x v="37"/>
    <s v="Level 15 rare Crypt"/>
    <x v="13"/>
  </r>
  <r>
    <d v="2026-05-04T04:19:00"/>
    <s v="Gifts"/>
    <s v="Forgotten Chest"/>
    <x v="36"/>
    <s v="Level 10 Crypt"/>
    <x v="2"/>
  </r>
  <r>
    <d v="2026-05-04T04:19:00"/>
    <s v="Gifts"/>
    <s v="Gladiator's Chest"/>
    <x v="53"/>
    <s v="Arena"/>
    <x v="1"/>
  </r>
  <r>
    <d v="2026-05-04T04:19:00"/>
    <s v="Gifts"/>
    <s v="Orc Chest"/>
    <x v="6"/>
    <s v="Level 10 Crypt"/>
    <x v="2"/>
  </r>
  <r>
    <d v="2026-05-04T04:19:00"/>
    <s v="Gifts"/>
    <s v="Fire Chest"/>
    <x v="30"/>
    <s v="Level 15 Crypt"/>
    <x v="0"/>
  </r>
  <r>
    <d v="2026-05-04T04:19:00"/>
    <s v="Gifts"/>
    <s v="Cobra Chest"/>
    <x v="9"/>
    <s v="Level 10 Crypt"/>
    <x v="2"/>
  </r>
  <r>
    <d v="2026-05-04T04:19:00"/>
    <s v="Gifts"/>
    <s v="Barbarian Chest"/>
    <x v="9"/>
    <s v="Level 10 Crypt"/>
    <x v="2"/>
  </r>
  <r>
    <d v="2026-05-04T04:19:00"/>
    <s v="Gifts"/>
    <s v="Cobra Chest"/>
    <x v="9"/>
    <s v="Level 10 Crypt"/>
    <x v="2"/>
  </r>
  <r>
    <d v="2026-05-04T04:19:00"/>
    <s v="Gifts"/>
    <s v="Barbarian Chest"/>
    <x v="9"/>
    <s v="Level 10 Crypt"/>
    <x v="2"/>
  </r>
  <r>
    <d v="2026-05-04T04:19:00"/>
    <s v="Gifts"/>
    <s v="Stone Chest"/>
    <x v="29"/>
    <s v="Level 5 Crypt"/>
    <x v="3"/>
  </r>
  <r>
    <d v="2026-05-04T04:19:00"/>
    <s v="Gifts"/>
    <s v="Cobra Chest"/>
    <x v="9"/>
    <s v="Level 10 Crypt"/>
    <x v="2"/>
  </r>
  <r>
    <d v="2026-05-04T04:19:00"/>
    <s v="Gifts"/>
    <s v="Cobra Chest"/>
    <x v="9"/>
    <s v="Level 10 Crypt"/>
    <x v="2"/>
  </r>
  <r>
    <d v="2026-05-04T04:19:00"/>
    <s v="Gifts"/>
    <s v="Barbarian Chest"/>
    <x v="9"/>
    <s v="Level 10 Crypt"/>
    <x v="2"/>
  </r>
  <r>
    <d v="2026-05-04T04:19:00"/>
    <s v="Gifts"/>
    <s v="Forgotten Chest"/>
    <x v="9"/>
    <s v="Level 10 Crypt"/>
    <x v="2"/>
  </r>
  <r>
    <d v="2026-05-04T04:19:00"/>
    <s v="Gifts"/>
    <s v="Cobra Chest"/>
    <x v="9"/>
    <s v="Level 10 Crypt"/>
    <x v="2"/>
  </r>
  <r>
    <d v="2026-05-04T04:19:00"/>
    <s v="Gifts"/>
    <s v="Gnome Workshop Chest"/>
    <x v="43"/>
    <s v="Level 15 Crypt"/>
    <x v="0"/>
  </r>
  <r>
    <d v="2026-05-04T04:19:00"/>
    <s v="Gifts"/>
    <s v="Stone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Cobra Chest"/>
    <x v="9"/>
    <s v="Level 15 Crypt"/>
    <x v="0"/>
  </r>
  <r>
    <d v="2026-05-04T04:19:00"/>
    <s v="Gifts"/>
    <s v="Gladiator's Chest"/>
    <x v="19"/>
    <s v="Arena"/>
    <x v="1"/>
  </r>
  <r>
    <d v="2026-05-04T04:19:00"/>
    <s v="Gifts"/>
    <s v="Cobra Chest"/>
    <x v="9"/>
    <s v="Level 15 Crypt"/>
    <x v="0"/>
  </r>
  <r>
    <d v="2026-05-04T04:19:00"/>
    <s v="Gifts"/>
    <s v="Mayan Chest"/>
    <x v="9"/>
    <s v="Level 15 Crypt"/>
    <x v="0"/>
  </r>
  <r>
    <d v="2026-05-04T04:19:00"/>
    <s v="Gifts"/>
    <s v="Common Chest of Wealth"/>
    <x v="18"/>
    <s v="Clan wealth"/>
    <x v="1"/>
  </r>
  <r>
    <d v="2026-05-04T04:19:00"/>
    <s v="Gifts"/>
    <s v="Uncommon Chest of Wealth"/>
    <x v="18"/>
    <s v="Clan wealth"/>
    <x v="1"/>
  </r>
  <r>
    <d v="2026-05-04T04:19:00"/>
    <s v="Gifts"/>
    <s v="Rare Chest of Wealth"/>
    <x v="18"/>
    <s v="Clan wealth"/>
    <x v="1"/>
  </r>
  <r>
    <d v="2026-05-04T04:19:00"/>
    <s v="Gifts"/>
    <s v="Cobra Chest"/>
    <x v="9"/>
    <s v="Level 15 Crypt"/>
    <x v="0"/>
  </r>
  <r>
    <d v="2026-05-04T04:19:00"/>
    <s v="Gifts"/>
    <s v="Gnome Workshop Chest"/>
    <x v="9"/>
    <s v="Level 15 Crypt"/>
    <x v="0"/>
  </r>
  <r>
    <d v="2026-05-04T04:19:00"/>
    <s v="Gifts"/>
    <s v="Elven Citadel Chest"/>
    <x v="43"/>
    <s v="Level 10 Citadel"/>
    <x v="11"/>
  </r>
  <r>
    <d v="2026-05-04T04:19:00"/>
    <s v="Gifts"/>
    <s v="Infernal Chest"/>
    <x v="9"/>
    <s v="Level 15 Crypt"/>
    <x v="0"/>
  </r>
  <r>
    <d v="2026-05-04T04:19:00"/>
    <s v="Gifts"/>
    <s v="Sand Chest"/>
    <x v="45"/>
    <s v="Level 10 Crypt"/>
    <x v="2"/>
  </r>
  <r>
    <d v="2026-05-04T04:19:00"/>
    <s v="Gifts"/>
    <s v="Infernal Chest"/>
    <x v="45"/>
    <s v="Level 10 Crypt"/>
    <x v="2"/>
  </r>
  <r>
    <d v="2026-05-04T04:19:00"/>
    <s v="Gifts"/>
    <s v="Barbarian Chest"/>
    <x v="38"/>
    <s v="Level 10 Crypt"/>
    <x v="2"/>
  </r>
  <r>
    <d v="2026-05-04T04:19:00"/>
    <s v="Gifts"/>
    <s v="Gnome Workshop Chest"/>
    <x v="2"/>
    <s v="Level 5 Crypt"/>
    <x v="3"/>
  </r>
  <r>
    <d v="2026-05-04T04:19:00"/>
    <s v="Gifts"/>
    <s v="Mayan Chest"/>
    <x v="2"/>
    <s v="Level 5 Crypt"/>
    <x v="3"/>
  </r>
  <r>
    <d v="2026-05-04T04:19:00"/>
    <s v="Gifts"/>
    <s v="Stone Chest"/>
    <x v="38"/>
    <s v="Level 10 Crypt"/>
    <x v="2"/>
  </r>
  <r>
    <d v="2026-05-04T04:19:00"/>
    <s v="Gifts"/>
    <s v="Orc Chest"/>
    <x v="2"/>
    <s v="Level 5 Crypt"/>
    <x v="3"/>
  </r>
  <r>
    <d v="2026-05-04T04:19:00"/>
    <s v="Gifts"/>
    <s v="Gladiator's Chest"/>
    <x v="45"/>
    <s v="Arena"/>
    <x v="1"/>
  </r>
  <r>
    <d v="2026-05-04T04:19:00"/>
    <s v="Gifts"/>
    <s v="Fire Chest"/>
    <x v="9"/>
    <s v="Level 15 Crypt"/>
    <x v="0"/>
  </r>
  <r>
    <d v="2026-05-04T04:19:00"/>
    <s v="Gifts"/>
    <s v="Mayan Chest"/>
    <x v="32"/>
    <s v="Level 10 Crypt"/>
    <x v="2"/>
  </r>
  <r>
    <d v="2026-05-04T04:19:00"/>
    <s v="Gifts"/>
    <s v="Gnome Workshop Chest"/>
    <x v="31"/>
    <s v="Level 10 Crypt"/>
    <x v="2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1"/>
    <s v="Level 10 Crypt"/>
    <x v="2"/>
  </r>
  <r>
    <d v="2026-05-04T04:19:00"/>
    <s v="Gifts"/>
    <s v="Mayan Chest"/>
    <x v="62"/>
    <s v="Level 10 Crypt"/>
    <x v="2"/>
  </r>
  <r>
    <d v="2026-05-04T04:19:00"/>
    <s v="Gifts"/>
    <s v="Orc Chest"/>
    <x v="62"/>
    <s v="Level 10 Crypt"/>
    <x v="2"/>
  </r>
  <r>
    <d v="2026-05-04T04:19:00"/>
    <s v="Gifts"/>
    <s v="Barbarian Chest"/>
    <x v="62"/>
    <s v="Level 5 Crypt"/>
    <x v="3"/>
  </r>
  <r>
    <d v="2026-05-04T04:19:00"/>
    <s v="Gifts"/>
    <s v="Sand Chest"/>
    <x v="62"/>
    <s v="Level 10 Crypt"/>
    <x v="2"/>
  </r>
  <r>
    <d v="2026-05-04T04:19:00"/>
    <s v="Gifts"/>
    <s v="Elven Citadel Chest"/>
    <x v="34"/>
    <s v="Level 10 Citadel"/>
    <x v="11"/>
  </r>
  <r>
    <d v="2026-05-04T04:19:00"/>
    <s v="Gifts"/>
    <s v="Stone Chest"/>
    <x v="34"/>
    <s v="Level 10 Crypt"/>
    <x v="2"/>
  </r>
  <r>
    <d v="2026-05-04T04:19:00"/>
    <s v="Gifts"/>
    <s v="Mayan Chest"/>
    <x v="34"/>
    <s v="Level 10 Crypt"/>
    <x v="2"/>
  </r>
  <r>
    <d v="2026-05-04T04:19:00"/>
    <s v="Gifts"/>
    <s v="Sand Chest"/>
    <x v="34"/>
    <s v="Level 10 Crypt"/>
    <x v="2"/>
  </r>
  <r>
    <d v="2026-05-04T04:19:00"/>
    <s v="Gifts"/>
    <s v="Gladiator's Chest"/>
    <x v="63"/>
    <s v="Arena"/>
    <x v="1"/>
  </r>
  <r>
    <d v="2026-05-04T04:19:00"/>
    <s v="Gifts"/>
    <s v="Barbarian Chest"/>
    <x v="21"/>
    <s v="Level 10 Crypt"/>
    <x v="2"/>
  </r>
  <r>
    <d v="2026-05-04T04:19:00"/>
    <s v="Gifts"/>
    <s v="Gnome Workshop Chest"/>
    <x v="21"/>
    <s v="Level 5 Crypt"/>
    <x v="3"/>
  </r>
  <r>
    <d v="2026-05-04T04:19:00"/>
    <s v="Gifts"/>
    <s v="Titansteel Chest"/>
    <x v="31"/>
    <s v="Level 15 epic Crypt"/>
    <x v="10"/>
  </r>
  <r>
    <d v="2026-05-04T04:19:00"/>
    <s v="Gifts"/>
    <s v="Barbarian Chest"/>
    <x v="21"/>
    <s v="Level 5 Crypt"/>
    <x v="3"/>
  </r>
  <r>
    <d v="2026-05-04T04:19:00"/>
    <s v="Gifts"/>
    <s v="Gladiator's Chest"/>
    <x v="21"/>
    <s v="Arena"/>
    <x v="1"/>
  </r>
  <r>
    <d v="2026-05-04T04:19:00"/>
    <s v="Gifts"/>
    <s v="Gnome Workshop Chest"/>
    <x v="15"/>
    <s v="Level 10 Crypt"/>
    <x v="2"/>
  </r>
  <r>
    <d v="2026-05-04T04:19:00"/>
    <s v="Gifts"/>
    <s v="White Wood Chest"/>
    <x v="21"/>
    <s v="Level 15 epic Crypt"/>
    <x v="10"/>
  </r>
  <r>
    <d v="2026-05-04T04:19:00"/>
    <s v="Gifts"/>
    <s v="Orc Chest"/>
    <x v="62"/>
    <s v="Level 5 Crypt"/>
    <x v="3"/>
  </r>
  <r>
    <d v="2026-05-04T04:19:00"/>
    <s v="Gifts"/>
    <s v="Cobra Chest"/>
    <x v="15"/>
    <s v="Level 10 Crypt"/>
    <x v="2"/>
  </r>
  <r>
    <d v="2026-05-04T04:19:00"/>
    <s v="Gifts"/>
    <s v="Gnome Workshop Chest"/>
    <x v="62"/>
    <s v="Level 5 Crypt"/>
    <x v="3"/>
  </r>
  <r>
    <d v="2026-05-04T04:19:00"/>
    <s v="Gifts"/>
    <s v="Bone Chest"/>
    <x v="62"/>
    <s v="Level 5 Crypt"/>
    <x v="3"/>
  </r>
  <r>
    <d v="2026-05-04T04:19:00"/>
    <s v="Gifts"/>
    <s v="Stone Chest"/>
    <x v="62"/>
    <s v="Level 5 Crypt"/>
    <x v="3"/>
  </r>
  <r>
    <d v="2026-05-04T04:19:00"/>
    <s v="Gifts"/>
    <s v="Bone Chest"/>
    <x v="62"/>
    <s v="Level 5 Crypt"/>
    <x v="3"/>
  </r>
  <r>
    <d v="2026-05-04T04:19:00"/>
    <s v="Gifts"/>
    <s v="Sand Chest"/>
    <x v="15"/>
    <s v="Level 10 Crypt"/>
    <x v="2"/>
  </r>
  <r>
    <d v="2026-05-04T04:19:00"/>
    <s v="Gifts"/>
    <s v="Barbarian Chest"/>
    <x v="33"/>
    <s v="Level 10 Crypt"/>
    <x v="2"/>
  </r>
  <r>
    <d v="2026-05-04T04:19:00"/>
    <s v="Gifts"/>
    <s v="Cobra Chest"/>
    <x v="62"/>
    <s v="Level 10 Crypt"/>
    <x v="2"/>
  </r>
  <r>
    <d v="2026-05-04T04:19:00"/>
    <s v="Gifts"/>
    <s v="Sand Chest"/>
    <x v="21"/>
    <s v="Level 10 Crypt"/>
    <x v="2"/>
  </r>
  <r>
    <d v="2026-05-04T04:19:00"/>
    <s v="Gifts"/>
    <s v="Mayan Chest"/>
    <x v="33"/>
    <s v="Level 10 Crypt"/>
    <x v="2"/>
  </r>
  <r>
    <d v="2026-05-04T04:19:00"/>
    <s v="Gifts"/>
    <s v="Mayan Chest"/>
    <x v="33"/>
    <s v="Level 10 Crypt"/>
    <x v="2"/>
  </r>
  <r>
    <d v="2026-05-04T04:19:00"/>
    <s v="Gifts"/>
    <s v="Bone Chest"/>
    <x v="33"/>
    <s v="Level 10 Crypt"/>
    <x v="2"/>
  </r>
  <r>
    <d v="2026-05-04T04:19:00"/>
    <s v="Gifts"/>
    <s v="Sand Chest"/>
    <x v="33"/>
    <s v="Level 10 Crypt"/>
    <x v="2"/>
  </r>
  <r>
    <d v="2026-05-04T04:19:00"/>
    <s v="Gifts"/>
    <s v="Barbarian Chest"/>
    <x v="33"/>
    <s v="Level 10 Crypt"/>
    <x v="2"/>
  </r>
  <r>
    <d v="2026-05-04T04:19:00"/>
    <s v="Gifts"/>
    <s v="Forgotten Chest"/>
    <x v="33"/>
    <s v="Level 10 Crypt"/>
    <x v="2"/>
  </r>
  <r>
    <d v="2026-05-04T04:19:00"/>
    <s v="Gifts"/>
    <s v="Orc Chest"/>
    <x v="33"/>
    <s v="Level 10 Crypt"/>
    <x v="2"/>
  </r>
  <r>
    <d v="2026-05-04T04:19:00"/>
    <s v="Gifts"/>
    <s v="Bone Chest"/>
    <x v="33"/>
    <s v="Level 10 Crypt"/>
    <x v="2"/>
  </r>
  <r>
    <d v="2026-05-04T04:19:00"/>
    <s v="Gifts"/>
    <s v="Elegant Chest"/>
    <x v="62"/>
    <s v="Level 5 Crypt"/>
    <x v="3"/>
  </r>
  <r>
    <d v="2026-05-04T04:19:00"/>
    <s v="Gifts"/>
    <s v="Orc Chest"/>
    <x v="47"/>
    <s v="Level 5 Crypt"/>
    <x v="3"/>
  </r>
  <r>
    <d v="2026-05-04T04:19:00"/>
    <s v="Gifts"/>
    <s v="Elegant Chest"/>
    <x v="47"/>
    <s v="Level 5 Crypt"/>
    <x v="3"/>
  </r>
  <r>
    <d v="2026-05-04T04:19:00"/>
    <s v="Gifts"/>
    <s v="Barbarian Chest"/>
    <x v="54"/>
    <s v="Level 15 Crypt"/>
    <x v="0"/>
  </r>
  <r>
    <d v="2026-05-04T04:19:00"/>
    <s v="Gifts"/>
    <s v="White Wood Chest"/>
    <x v="21"/>
    <s v="Level 15 epic Crypt"/>
    <x v="10"/>
  </r>
  <r>
    <d v="2026-05-04T04:19:00"/>
    <s v="Gifts"/>
    <s v="Rare Dragon Chest"/>
    <x v="21"/>
    <s v="Level 10 rare Crypt"/>
    <x v="8"/>
  </r>
  <r>
    <d v="2026-05-04T04:19:00"/>
    <s v="Gifts"/>
    <s v="Gladiator's Chest"/>
    <x v="54"/>
    <s v="Arena"/>
    <x v="1"/>
  </r>
  <r>
    <d v="2026-05-04T04:19:00"/>
    <s v="Gifts"/>
    <s v="Rare Dragon Chest"/>
    <x v="6"/>
    <s v="Level 10 rare Crypt"/>
    <x v="8"/>
  </r>
  <r>
    <d v="2026-05-04T04:19:00"/>
    <s v="Gifts"/>
    <s v="Forgotten Chest"/>
    <x v="54"/>
    <s v="Level 15 Crypt"/>
    <x v="0"/>
  </r>
  <r>
    <d v="2026-05-04T04:19:00"/>
    <s v="Gifts"/>
    <s v="Cobra Chest"/>
    <x v="54"/>
    <s v="Level 15 Crypt"/>
    <x v="0"/>
  </r>
  <r>
    <d v="2026-05-04T04:19:00"/>
    <s v="Gifts"/>
    <s v="Fire Chest"/>
    <x v="54"/>
    <s v="Level 15 Crypt"/>
    <x v="0"/>
  </r>
  <r>
    <d v="2026-05-04T04:19:00"/>
    <s v="Gifts"/>
    <s v="Forgotten Chest"/>
    <x v="54"/>
    <s v="Level 10 Crypt"/>
    <x v="2"/>
  </r>
  <r>
    <d v="2026-05-04T04:19:00"/>
    <s v="Gifts"/>
    <s v="Rare Dragon Chest"/>
    <x v="6"/>
    <s v="Level 10 rare Crypt"/>
    <x v="8"/>
  </r>
  <r>
    <d v="2026-05-04T04:19:00"/>
    <s v="Gifts"/>
    <s v="Rare Dragon Chest"/>
    <x v="21"/>
    <s v="Level 10 rare Crypt"/>
    <x v="8"/>
  </r>
  <r>
    <d v="2026-05-04T04:19:00"/>
    <s v="Gifts"/>
    <s v="Gnome Workshop Chest"/>
    <x v="54"/>
    <s v="Level 15 Crypt"/>
    <x v="0"/>
  </r>
  <r>
    <d v="2026-05-04T04:19:00"/>
    <s v="Gifts"/>
    <s v="Rare Dragon Chest"/>
    <x v="6"/>
    <s v="Level 10 rare Crypt"/>
    <x v="8"/>
  </r>
  <r>
    <d v="2026-05-04T04:19:00"/>
    <s v="Gifts"/>
    <s v="Mayan Chest"/>
    <x v="54"/>
    <s v="Level 15 Crypt"/>
    <x v="0"/>
  </r>
  <r>
    <d v="2026-05-04T04:19:00"/>
    <s v="Gifts"/>
    <s v="Braided Chest"/>
    <x v="54"/>
    <s v="Level 15 epic Crypt"/>
    <x v="10"/>
  </r>
  <r>
    <d v="2026-05-04T04:19:00"/>
    <s v="Gifts"/>
    <s v="Sand Chest"/>
    <x v="54"/>
    <s v="Level 15 Crypt"/>
    <x v="0"/>
  </r>
  <r>
    <d v="2026-05-04T04:19:00"/>
    <s v="Gifts"/>
    <s v="Forgotten Chest"/>
    <x v="54"/>
    <s v="Level 15 Crypt"/>
    <x v="0"/>
  </r>
  <r>
    <d v="2026-05-04T04:19:00"/>
    <s v="Gifts"/>
    <s v="Elven Citadel Chest"/>
    <x v="6"/>
    <s v="Level 15 Citadel"/>
    <x v="12"/>
  </r>
  <r>
    <d v="2026-05-04T04:19:00"/>
    <s v="Gifts"/>
    <s v="Stone Chest"/>
    <x v="54"/>
    <s v="Level 15 Crypt"/>
    <x v="0"/>
  </r>
  <r>
    <d v="2026-05-04T04:19:00"/>
    <s v="Gifts"/>
    <s v="Infernal Chest"/>
    <x v="10"/>
    <s v="Level 10 Crypt"/>
    <x v="2"/>
  </r>
  <r>
    <d v="2026-05-04T04:19:00"/>
    <s v="Gifts"/>
    <s v="Bone Chest"/>
    <x v="44"/>
    <s v="Level 10 Crypt"/>
    <x v="2"/>
  </r>
  <r>
    <d v="2026-05-04T04:19:00"/>
    <s v="Gifts"/>
    <s v="Infernal Chest"/>
    <x v="54"/>
    <s v="Level 15 Crypt"/>
    <x v="0"/>
  </r>
  <r>
    <d v="2026-05-04T04:19:00"/>
    <s v="Gifts"/>
    <s v="Bone Chest"/>
    <x v="54"/>
    <s v="Level 5 Crypt"/>
    <x v="3"/>
  </r>
  <r>
    <d v="2026-05-04T04:19:00"/>
    <s v="Gifts"/>
    <s v="Stone Chest"/>
    <x v="10"/>
    <s v="Level 15 Crypt"/>
    <x v="0"/>
  </r>
  <r>
    <d v="2026-05-04T04:19:00"/>
    <s v="Gifts"/>
    <s v="Fire Chest"/>
    <x v="54"/>
    <s v="Level 10 Crypt"/>
    <x v="2"/>
  </r>
  <r>
    <d v="2026-05-04T04:19:00"/>
    <s v="Gifts"/>
    <s v="Sand Chest"/>
    <x v="54"/>
    <s v="Level 10 Crypt"/>
    <x v="2"/>
  </r>
  <r>
    <d v="2026-05-04T04:19:00"/>
    <s v="Gifts"/>
    <s v="Cobra Chest"/>
    <x v="54"/>
    <s v="Level 10 Crypt"/>
    <x v="2"/>
  </r>
  <r>
    <d v="2026-05-04T04:19:00"/>
    <s v="Gifts"/>
    <s v="Bone Chest"/>
    <x v="44"/>
    <s v="Level 10 Crypt"/>
    <x v="2"/>
  </r>
  <r>
    <d v="2026-05-04T04:19:00"/>
    <s v="Gifts"/>
    <s v="Elven Citadel Chest"/>
    <x v="6"/>
    <s v="Level 15 Citadel"/>
    <x v="12"/>
  </r>
  <r>
    <d v="2026-05-04T04:19:00"/>
    <s v="Gifts"/>
    <s v="Gladiator's Chest"/>
    <x v="63"/>
    <s v="Arena"/>
    <x v="1"/>
  </r>
  <r>
    <d v="2026-05-04T04:19:00"/>
    <s v="Gifts"/>
    <s v="Stone Chest"/>
    <x v="44"/>
    <s v="Level 10 Crypt"/>
    <x v="2"/>
  </r>
  <r>
    <d v="2026-05-04T04:19:00"/>
    <s v="Gifts"/>
    <s v="Bone Chest"/>
    <x v="10"/>
    <s v="Level 10 Crypt"/>
    <x v="2"/>
  </r>
  <r>
    <d v="2026-05-04T04:19:00"/>
    <s v="Gifts"/>
    <s v="Gnome Workshop Chest"/>
    <x v="10"/>
    <s v="Level 15 Crypt"/>
    <x v="0"/>
  </r>
  <r>
    <d v="2026-05-04T04:19:00"/>
    <s v="Gifts"/>
    <s v="Bone Chest"/>
    <x v="10"/>
    <s v="Level 15 Crypt"/>
    <x v="0"/>
  </r>
  <r>
    <d v="2026-05-04T04:19:00"/>
    <s v="Gifts"/>
    <s v="Bone Chest"/>
    <x v="10"/>
    <s v="Level 15 Crypt"/>
    <x v="0"/>
  </r>
  <r>
    <d v="2026-05-04T04:19:00"/>
    <s v="Gifts"/>
    <s v="Fire Chest"/>
    <x v="10"/>
    <s v="Level 15 Crypt"/>
    <x v="0"/>
  </r>
  <r>
    <d v="2026-05-04T04:19:00"/>
    <s v="Gifts"/>
    <s v="Mayan Chest"/>
    <x v="4"/>
    <s v="Level 10 Crypt"/>
    <x v="2"/>
  </r>
  <r>
    <d v="2026-05-04T04:19:00"/>
    <s v="Gifts"/>
    <s v="Mayan Chest"/>
    <x v="10"/>
    <s v="Level 10 Crypt"/>
    <x v="2"/>
  </r>
  <r>
    <d v="2026-05-04T04:19:00"/>
    <s v="Gifts"/>
    <s v="Cobra Chest"/>
    <x v="10"/>
    <s v="Level 10 Crypt"/>
    <x v="2"/>
  </r>
  <r>
    <d v="2026-05-04T04:19:00"/>
    <s v="Gifts"/>
    <s v="Mayan Chest"/>
    <x v="4"/>
    <s v="Level 5 Crypt"/>
    <x v="3"/>
  </r>
  <r>
    <d v="2026-05-04T04:19:00"/>
    <s v="Gifts"/>
    <s v="Elegant Chest"/>
    <x v="10"/>
    <s v="Level 10 Crypt"/>
    <x v="2"/>
  </r>
  <r>
    <d v="2026-05-04T04:19:00"/>
    <s v="Gifts"/>
    <s v="Bone Chest"/>
    <x v="56"/>
    <s v="Level 10 Crypt"/>
    <x v="2"/>
  </r>
  <r>
    <d v="2026-05-04T04:19:00"/>
    <s v="Gifts"/>
    <s v="Cobra Chest"/>
    <x v="10"/>
    <s v="Level 10 Crypt"/>
    <x v="2"/>
  </r>
  <r>
    <d v="2026-05-04T04:19:00"/>
    <s v="Gifts"/>
    <s v="Mayan Chest"/>
    <x v="56"/>
    <s v="Level 10 Crypt"/>
    <x v="2"/>
  </r>
  <r>
    <d v="2026-05-04T04:19:00"/>
    <s v="Gifts"/>
    <s v="Cobra Chest"/>
    <x v="58"/>
    <s v="Level 5 Crypt"/>
    <x v="3"/>
  </r>
  <r>
    <d v="2026-05-04T04:19:00"/>
    <s v="Gifts"/>
    <s v="Mayan Chest"/>
    <x v="56"/>
    <s v="Level 5 Crypt"/>
    <x v="3"/>
  </r>
  <r>
    <d v="2026-05-04T04:19:00"/>
    <s v="Gifts"/>
    <s v="Fire Chest"/>
    <x v="24"/>
    <s v="Level 10 Crypt"/>
    <x v="2"/>
  </r>
  <r>
    <d v="2026-05-04T04:19:00"/>
    <s v="Gifts"/>
    <s v="Infernal Chest"/>
    <x v="56"/>
    <s v="Level 5 Crypt"/>
    <x v="3"/>
  </r>
  <r>
    <d v="2026-05-04T04:19:00"/>
    <s v="Gifts"/>
    <s v="Infernal Chest"/>
    <x v="56"/>
    <s v="Level 10 Crypt"/>
    <x v="2"/>
  </r>
  <r>
    <d v="2026-05-04T04:19:00"/>
    <s v="Gifts"/>
    <s v="Gladiator's Chest"/>
    <x v="56"/>
    <s v="Arena"/>
    <x v="1"/>
  </r>
  <r>
    <d v="2026-05-04T04:19:00"/>
    <s v="Gifts"/>
    <s v="Fire Chest"/>
    <x v="56"/>
    <s v="Level 5 Crypt"/>
    <x v="3"/>
  </r>
  <r>
    <d v="2026-05-04T04:19:00"/>
    <s v="Gifts"/>
    <s v="Elegant Chest"/>
    <x v="64"/>
    <s v="Level 5 Crypt"/>
    <x v="3"/>
  </r>
  <r>
    <d v="2026-05-04T04:19:00"/>
    <s v="Gifts"/>
    <s v="Gnome Workshop Chest"/>
    <x v="47"/>
    <s v="Level 5 Crypt"/>
    <x v="3"/>
  </r>
  <r>
    <d v="2026-05-04T04:19:00"/>
    <s v="Gifts"/>
    <s v="Elven Citadel Chest"/>
    <x v="6"/>
    <s v="Level 15 Citadel"/>
    <x v="12"/>
  </r>
  <r>
    <d v="2026-05-04T04:19:00"/>
    <s v="Gifts"/>
    <s v="Gnome Workshop Chest"/>
    <x v="10"/>
    <s v="Level 10 Crypt"/>
    <x v="2"/>
  </r>
  <r>
    <d v="2026-05-04T04:19:00"/>
    <s v="Gifts"/>
    <s v="Sand Chest"/>
    <x v="10"/>
    <s v="Level 10 Crypt"/>
    <x v="2"/>
  </r>
  <r>
    <d v="2026-05-04T04:19:00"/>
    <s v="Gifts"/>
    <s v="Cobra Chest"/>
    <x v="10"/>
    <s v="Level 10 Crypt"/>
    <x v="2"/>
  </r>
  <r>
    <d v="2026-05-04T04:19:00"/>
    <s v="Gifts"/>
    <s v="Barbarian Chest"/>
    <x v="10"/>
    <s v="Level 5 Crypt"/>
    <x v="3"/>
  </r>
  <r>
    <d v="2026-05-04T04:19:00"/>
    <s v="Gifts"/>
    <s v="Infernal Chest"/>
    <x v="10"/>
    <s v="Level 5 Crypt"/>
    <x v="3"/>
  </r>
  <r>
    <d v="2026-05-04T04:19:00"/>
    <s v="Gifts"/>
    <s v="Elegant Chest"/>
    <x v="10"/>
    <s v="Level 5 Crypt"/>
    <x v="3"/>
  </r>
  <r>
    <d v="2026-05-04T04:19:00"/>
    <s v="Gifts"/>
    <s v="Cobra Chest"/>
    <x v="10"/>
    <s v="Level 5 Crypt"/>
    <x v="3"/>
  </r>
  <r>
    <d v="2026-05-04T04:19:00"/>
    <s v="Gifts"/>
    <s v="Sand Chest"/>
    <x v="10"/>
    <s v="Level 5 Crypt"/>
    <x v="3"/>
  </r>
  <r>
    <d v="2026-05-04T04:19:00"/>
    <s v="Gifts"/>
    <s v="Elegant Chest"/>
    <x v="10"/>
    <s v="Level 5 Crypt"/>
    <x v="3"/>
  </r>
  <r>
    <d v="2026-05-04T04:19:00"/>
    <s v="Gifts"/>
    <s v="Barbarian Chest"/>
    <x v="10"/>
    <s v="Level 5 Crypt"/>
    <x v="3"/>
  </r>
  <r>
    <d v="2026-05-04T04:19:00"/>
    <s v="Gifts"/>
    <s v="Infernal Chest"/>
    <x v="10"/>
    <s v="Level 5 Crypt"/>
    <x v="3"/>
  </r>
  <r>
    <d v="2026-05-04T04:19:00"/>
    <s v="Gifts"/>
    <s v="Chest of the Cursed"/>
    <x v="10"/>
    <s v="Level 15 epic Crypt"/>
    <x v="10"/>
  </r>
  <r>
    <d v="2026-05-04T04:19:00"/>
    <s v="Gifts"/>
    <s v="Sand Chest"/>
    <x v="10"/>
    <s v="Level 15 Crypt"/>
    <x v="0"/>
  </r>
  <r>
    <d v="2026-05-04T04:19:00"/>
    <s v="Gifts"/>
    <s v="Gnome Workshop Chest"/>
    <x v="10"/>
    <s v="Level 5 Crypt"/>
    <x v="3"/>
  </r>
  <r>
    <d v="2026-05-04T04:19:00"/>
    <s v="Gifts"/>
    <s v="Barbarian Chest"/>
    <x v="10"/>
    <s v="Level 5 Crypt"/>
    <x v="3"/>
  </r>
  <r>
    <d v="2026-05-04T04:19:00"/>
    <s v="Gifts"/>
    <s v="Elegant Chest"/>
    <x v="10"/>
    <s v="Level 10 Crypt"/>
    <x v="2"/>
  </r>
  <r>
    <d v="2026-05-04T04:19:00"/>
    <s v="Gifts"/>
    <s v="Fire Chest"/>
    <x v="10"/>
    <s v="Level 10 Crypt"/>
    <x v="2"/>
  </r>
  <r>
    <d v="2026-05-04T04:19:00"/>
    <s v="Gifts"/>
    <s v="Stone Chest"/>
    <x v="26"/>
    <s v="Level 5 Crypt"/>
    <x v="3"/>
  </r>
  <r>
    <d v="2026-05-04T04:19:00"/>
    <s v="Gifts"/>
    <s v="Mayan Chest"/>
    <x v="65"/>
    <s v="Level 15 Crypt"/>
    <x v="0"/>
  </r>
  <r>
    <d v="2026-05-04T04:19:00"/>
    <s v="Gifts"/>
    <s v="Gnome Workshop Chest"/>
    <x v="10"/>
    <s v="Level 10 Crypt"/>
    <x v="2"/>
  </r>
  <r>
    <d v="2026-05-04T04:19:00"/>
    <s v="Gifts"/>
    <s v="Stone Chest"/>
    <x v="10"/>
    <s v="Level 10 Crypt"/>
    <x v="2"/>
  </r>
  <r>
    <d v="2026-05-04T04:19:00"/>
    <s v="Gifts"/>
    <s v="Fire Chest"/>
    <x v="26"/>
    <s v="Level 10 Crypt"/>
    <x v="2"/>
  </r>
  <r>
    <d v="2026-05-04T04:19:00"/>
    <s v="Gifts"/>
    <s v="Bone Chest"/>
    <x v="10"/>
    <s v="Level 15 Crypt"/>
    <x v="0"/>
  </r>
  <r>
    <d v="2026-05-04T04:19:00"/>
    <s v="Gifts"/>
    <s v="Elven Citadel Chest"/>
    <x v="44"/>
    <s v="Level 10 Citadel"/>
    <x v="11"/>
  </r>
  <r>
    <d v="2026-05-04T04:19:00"/>
    <s v="Gifts"/>
    <s v="Union Chest"/>
    <x v="10"/>
    <s v="Union of Triumph personal reward"/>
    <x v="1"/>
  </r>
  <r>
    <d v="2026-05-04T04:19:00"/>
    <s v="Gifts"/>
    <s v="Elegant Chest"/>
    <x v="56"/>
    <s v="Level 10 Crypt"/>
    <x v="2"/>
  </r>
  <r>
    <d v="2026-05-04T04:19:00"/>
    <s v="Gifts"/>
    <s v="Sand Chest"/>
    <x v="56"/>
    <s v="Level 10 Crypt"/>
    <x v="2"/>
  </r>
  <r>
    <d v="2026-05-04T04:19:00"/>
    <s v="Gifts"/>
    <s v="Forgotten Chest"/>
    <x v="44"/>
    <s v="Level 15 Crypt"/>
    <x v="0"/>
  </r>
  <r>
    <d v="2026-05-04T04:19:00"/>
    <s v="Gifts"/>
    <s v="Rare Dragon Chest"/>
    <x v="20"/>
    <s v="Level 10 rare Crypt"/>
    <x v="8"/>
  </r>
  <r>
    <d v="2026-05-04T04:19:00"/>
    <s v="Gifts"/>
    <s v="Gladiator's Chest"/>
    <x v="20"/>
    <s v="Arena"/>
    <x v="1"/>
  </r>
  <r>
    <d v="2026-05-04T04:19:00"/>
    <s v="Gifts"/>
    <s v="Forgotten Chest"/>
    <x v="44"/>
    <s v="Level 15 Crypt"/>
    <x v="0"/>
  </r>
  <r>
    <d v="2026-05-04T04:19:00"/>
    <s v="Gifts"/>
    <s v="Stone Chest"/>
    <x v="20"/>
    <s v="Level 10 Crypt"/>
    <x v="2"/>
  </r>
  <r>
    <d v="2026-05-04T04:19:00"/>
    <s v="Gifts"/>
    <s v="Forgotten Chest"/>
    <x v="44"/>
    <s v="Level 15 Crypt"/>
    <x v="0"/>
  </r>
  <r>
    <d v="2026-05-04T04:19:00"/>
    <s v="Gifts"/>
    <s v="Cobra Chest"/>
    <x v="24"/>
    <s v="Level 5 Crypt"/>
    <x v="3"/>
  </r>
  <r>
    <d v="2026-05-04T04:19:00"/>
    <s v="Gifts"/>
    <s v="Mayan Chest"/>
    <x v="48"/>
    <s v="Level 10 Crypt"/>
    <x v="2"/>
  </r>
  <r>
    <d v="2026-05-04T04:19:00"/>
    <s v="Gifts"/>
    <s v="Sand Chest"/>
    <x v="63"/>
    <s v="Level 10 Crypt"/>
    <x v="2"/>
  </r>
  <r>
    <d v="2026-05-04T04:19:00"/>
    <s v="Gifts"/>
    <s v="Forgotten Chest"/>
    <x v="30"/>
    <s v="Level 10 Crypt"/>
    <x v="2"/>
  </r>
  <r>
    <d v="2026-05-04T04:19:00"/>
    <s v="Gifts"/>
    <s v="Infernal Chest"/>
    <x v="45"/>
    <s v="Level 10 Crypt"/>
    <x v="2"/>
  </r>
  <r>
    <d v="2026-05-04T04:19:00"/>
    <s v="Gifts"/>
    <s v="Rare Dragon Chest"/>
    <x v="31"/>
    <s v="Level 15 rare Crypt"/>
    <x v="13"/>
  </r>
  <r>
    <d v="2026-05-04T04:19:00"/>
    <s v="Gifts"/>
    <s v="Orc Chest"/>
    <x v="31"/>
    <s v="Level 5 Crypt"/>
    <x v="3"/>
  </r>
  <r>
    <d v="2026-05-04T04:19:00"/>
    <s v="Gifts"/>
    <s v="Fire Chest"/>
    <x v="48"/>
    <s v="Level 10 Crypt"/>
    <x v="2"/>
  </r>
  <r>
    <d v="2026-05-04T04:19:00"/>
    <s v="Gifts"/>
    <s v="Mayan Chest"/>
    <x v="45"/>
    <s v="Level 10 Crypt"/>
    <x v="2"/>
  </r>
  <r>
    <d v="2026-05-04T04:19:00"/>
    <s v="Gifts"/>
    <s v="Gladiator's Chest"/>
    <x v="56"/>
    <s v="Arena"/>
    <x v="1"/>
  </r>
  <r>
    <d v="2026-05-04T04:19:00"/>
    <s v="Gifts"/>
    <s v="Stone Chest"/>
    <x v="2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Cobra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Infernal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Stone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Orc Chest"/>
    <x v="61"/>
    <s v="Level 15 Crypt"/>
    <x v="0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Rare Dragon Chest"/>
    <x v="61"/>
    <s v="Level 10 rare Crypt"/>
    <x v="8"/>
  </r>
  <r>
    <d v="2026-05-04T04:19:00"/>
    <s v="Gifts"/>
    <s v="Elegant Chest"/>
    <x v="30"/>
    <s v="Level 5 Crypt"/>
    <x v="3"/>
  </r>
  <r>
    <d v="2026-05-04T04:19:00"/>
    <s v="Gifts"/>
    <s v="Barbarian Chest"/>
    <x v="56"/>
    <s v="Level 10 Crypt"/>
    <x v="2"/>
  </r>
  <r>
    <d v="2026-05-04T04:19:00"/>
    <s v="Gifts"/>
    <s v="Elven Citadel Chest"/>
    <x v="2"/>
    <s v="Level 10 Citadel"/>
    <x v="11"/>
  </r>
  <r>
    <d v="2026-05-04T04:19:00"/>
    <s v="Gifts"/>
    <s v="Barbarian Chest"/>
    <x v="56"/>
    <s v="Level 10 Crypt"/>
    <x v="2"/>
  </r>
  <r>
    <d v="2026-05-04T04:19:00"/>
    <s v="Gifts"/>
    <s v="Gnome Workshop Chest"/>
    <x v="56"/>
    <s v="Level 5 Crypt"/>
    <x v="3"/>
  </r>
  <r>
    <d v="2026-05-04T04:19:00"/>
    <s v="Gifts"/>
    <s v="Elven Citadel Chest"/>
    <x v="2"/>
    <s v="Level 10 Citadel"/>
    <x v="11"/>
  </r>
  <r>
    <d v="2026-05-04T04:19:00"/>
    <s v="Gifts"/>
    <s v="Bone Chest"/>
    <x v="56"/>
    <s v="Level 10 Crypt"/>
    <x v="2"/>
  </r>
  <r>
    <d v="2026-05-04T04:19:00"/>
    <s v="Gifts"/>
    <s v="Barbarian Chest"/>
    <x v="56"/>
    <s v="Level 5 Crypt"/>
    <x v="3"/>
  </r>
  <r>
    <d v="2026-05-04T04:19:00"/>
    <s v="Gifts"/>
    <s v="Bone Chest"/>
    <x v="56"/>
    <s v="Level 10 Crypt"/>
    <x v="2"/>
  </r>
  <r>
    <d v="2026-05-04T04:19:00"/>
    <s v="Gifts"/>
    <s v="Infernal Chest"/>
    <x v="56"/>
    <s v="Level 10 Crypt"/>
    <x v="2"/>
  </r>
  <r>
    <d v="2026-05-04T04:19:00"/>
    <s v="Gifts"/>
    <s v="Sand Chest"/>
    <x v="56"/>
    <s v="Level 10 Crypt"/>
    <x v="2"/>
  </r>
  <r>
    <d v="2026-05-04T04:19:00"/>
    <s v="Gifts"/>
    <s v="Rare Dragon Chest"/>
    <x v="2"/>
    <s v="Level 10 rare Crypt"/>
    <x v="8"/>
  </r>
  <r>
    <d v="2026-05-04T04:19:00"/>
    <s v="Gifts"/>
    <s v="Rare Dragon Chest"/>
    <x v="2"/>
    <s v="Level 10 rare Crypt"/>
    <x v="8"/>
  </r>
  <r>
    <d v="2026-05-04T04:19:00"/>
    <s v="Gifts"/>
    <s v="Rare Dragon Chest"/>
    <x v="2"/>
    <s v="Level 10 rare Crypt"/>
    <x v="8"/>
  </r>
  <r>
    <d v="2026-05-04T04:19:00"/>
    <s v="Gifts"/>
    <s v="Forgotten Chest"/>
    <x v="66"/>
    <s v="Level 10 Crypt"/>
    <x v="2"/>
  </r>
  <r>
    <d v="2026-05-04T04:19:00"/>
    <s v="Gifts"/>
    <s v="Bone Chest"/>
    <x v="37"/>
    <s v="Level 5 Crypt"/>
    <x v="3"/>
  </r>
  <r>
    <d v="2026-05-04T04:19:00"/>
    <s v="Gifts"/>
    <s v="Bone Chest"/>
    <x v="5"/>
    <s v="Level 10 Crypt"/>
    <x v="2"/>
  </r>
  <r>
    <d v="2026-05-04T04:19:00"/>
    <s v="Gifts"/>
    <s v="Stone Chest"/>
    <x v="51"/>
    <s v="Level 10 Crypt"/>
    <x v="2"/>
  </r>
  <r>
    <d v="2026-05-04T04:19:00"/>
    <s v="Gifts"/>
    <s v="Cobra Chest"/>
    <x v="51"/>
    <s v="Level 10 Crypt"/>
    <x v="2"/>
  </r>
  <r>
    <d v="2026-05-04T04:19:00"/>
    <s v="Gifts"/>
    <s v="Gnome Workshop Chest"/>
    <x v="2"/>
    <s v="Level 20 Crypt"/>
    <x v="4"/>
  </r>
  <r>
    <d v="2026-05-04T04:19:00"/>
    <s v="Gifts"/>
    <s v="Elegant Chest"/>
    <x v="20"/>
    <s v="Level 10 Crypt"/>
    <x v="2"/>
  </r>
  <r>
    <d v="2026-05-04T04:19:00"/>
    <s v="Gifts"/>
    <s v="Elegant Chest"/>
    <x v="56"/>
    <s v="Level 5 Crypt"/>
    <x v="3"/>
  </r>
  <r>
    <d v="2026-05-04T04:19:00"/>
    <s v="Gifts"/>
    <s v="Common Chest of Wealth"/>
    <x v="9"/>
    <s v="Clan wealth"/>
    <x v="1"/>
  </r>
  <r>
    <d v="2026-05-04T04:19:00"/>
    <s v="Gifts"/>
    <s v="Uncommon Chest of Wealth"/>
    <x v="9"/>
    <s v="Clan wealth"/>
    <x v="1"/>
  </r>
  <r>
    <d v="2026-05-04T04:19:00"/>
    <s v="Gifts"/>
    <s v="Rare Chest of Wealth"/>
    <x v="9"/>
    <s v="Clan wealth"/>
    <x v="1"/>
  </r>
  <r>
    <d v="2026-05-04T04:19:00"/>
    <s v="Gifts"/>
    <s v="Sand Chest"/>
    <x v="37"/>
    <s v="Level 5 Crypt"/>
    <x v="3"/>
  </r>
  <r>
    <d v="2026-05-04T04:19:00"/>
    <s v="Gifts"/>
    <s v="Warrior's Chest"/>
    <x v="37"/>
    <s v="Level 15 epic Crypt"/>
    <x v="10"/>
  </r>
  <r>
    <d v="2026-05-04T04:19:00"/>
    <s v="Gifts"/>
    <s v="Gnome Workshop Chest"/>
    <x v="14"/>
    <s v="Level 10 Crypt"/>
    <x v="2"/>
  </r>
  <r>
    <d v="2026-05-04T04:19:00"/>
    <s v="Gifts"/>
    <s v="Bone Chest"/>
    <x v="56"/>
    <s v="Level 5 Crypt"/>
    <x v="3"/>
  </r>
  <r>
    <d v="2026-05-04T04:19:00"/>
    <s v="Gifts"/>
    <s v="Fire Chest"/>
    <x v="56"/>
    <s v="Level 5 Crypt"/>
    <x v="3"/>
  </r>
  <r>
    <d v="2026-05-04T04:19:00"/>
    <s v="Gifts"/>
    <s v="Orc Chest"/>
    <x v="57"/>
    <s v="Level 5 Crypt"/>
    <x v="3"/>
  </r>
  <r>
    <d v="2026-05-04T04:19:00"/>
    <s v="Gifts"/>
    <s v="Mayan Chest"/>
    <x v="56"/>
    <s v="Level 5 Crypt"/>
    <x v="3"/>
  </r>
  <r>
    <d v="2026-05-04T04:19:00"/>
    <s v="Gifts"/>
    <s v="Bone Chest"/>
    <x v="29"/>
    <s v="Level 5 Crypt"/>
    <x v="3"/>
  </r>
  <r>
    <d v="2026-05-04T04:19:00"/>
    <s v="Gifts"/>
    <s v="Barbarian Chest"/>
    <x v="57"/>
    <s v="Level 5 Crypt"/>
    <x v="3"/>
  </r>
  <r>
    <d v="2026-05-04T04:19:00"/>
    <s v="Gifts"/>
    <s v="Stone Chest"/>
    <x v="57"/>
    <s v="Level 5 Crypt"/>
    <x v="3"/>
  </r>
  <r>
    <d v="2026-05-04T04:19:00"/>
    <s v="Gifts"/>
    <s v="Fire Chest"/>
    <x v="57"/>
    <s v="Level 5 Crypt"/>
    <x v="3"/>
  </r>
  <r>
    <d v="2026-05-04T04:19:00"/>
    <s v="Gifts"/>
    <s v="Cobra Chest"/>
    <x v="3"/>
    <s v="Level 10 Crypt"/>
    <x v="2"/>
  </r>
  <r>
    <d v="2026-05-04T04:19:00"/>
    <s v="Gifts"/>
    <s v="Gnome Workshop Chest"/>
    <x v="55"/>
    <s v="Level 10 Crypt"/>
    <x v="2"/>
  </r>
  <r>
    <d v="2026-05-04T04:19:00"/>
    <s v="Gifts"/>
    <s v="Mayan Chest"/>
    <x v="22"/>
    <s v="Level 10 Crypt"/>
    <x v="2"/>
  </r>
  <r>
    <d v="2026-05-04T04:19:00"/>
    <s v="Gifts"/>
    <s v="Forgotten Chest"/>
    <x v="42"/>
    <s v="Level 5 Crypt"/>
    <x v="3"/>
  </r>
  <r>
    <d v="2026-05-04T04:19:00"/>
    <s v="Gifts"/>
    <s v="Elegant Chest"/>
    <x v="32"/>
    <s v="Level 10 Crypt"/>
    <x v="2"/>
  </r>
  <r>
    <d v="2026-05-04T04:19:00"/>
    <s v="Gifts"/>
    <s v="Infernal Chest"/>
    <x v="42"/>
    <s v="Level 5 Crypt"/>
    <x v="3"/>
  </r>
  <r>
    <d v="2026-05-04T04:19:00"/>
    <s v="Gifts"/>
    <s v="Gnome Workshop Chest"/>
    <x v="57"/>
    <s v="Level 5 Crypt"/>
    <x v="3"/>
  </r>
  <r>
    <d v="2026-05-04T04:19:00"/>
    <s v="Gifts"/>
    <s v="Cobra Chest"/>
    <x v="18"/>
    <s v="Level 10 Crypt"/>
    <x v="2"/>
  </r>
  <r>
    <d v="2026-05-04T04:19:00"/>
    <s v="Gifts"/>
    <s v="Elegant Chest"/>
    <x v="57"/>
    <s v="Level 5 Crypt"/>
    <x v="3"/>
  </r>
  <r>
    <d v="2026-05-04T04:19:00"/>
    <s v="Gifts"/>
    <s v="Infernal Chest"/>
    <x v="18"/>
    <s v="Level 10 Crypt"/>
    <x v="2"/>
  </r>
  <r>
    <d v="2026-05-04T04:19:00"/>
    <s v="Gifts"/>
    <s v="Fire Chest"/>
    <x v="16"/>
    <s v="Level 10 Crypt"/>
    <x v="2"/>
  </r>
  <r>
    <d v="2026-05-04T04:19:00"/>
    <s v="Gifts"/>
    <s v="Infernal Chest"/>
    <x v="16"/>
    <s v="Level 10 Crypt"/>
    <x v="2"/>
  </r>
  <r>
    <d v="2026-05-04T04:19:00"/>
    <s v="Gifts"/>
    <s v="Elegant Chest"/>
    <x v="3"/>
    <s v="Level 20 Crypt"/>
    <x v="4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Silver Chest"/>
    <x v="31"/>
    <s v="Bank"/>
    <x v="5"/>
  </r>
  <r>
    <d v="2026-05-04T04:19:00"/>
    <s v="Triumphal Gifts"/>
    <s v="Bronze Chest"/>
    <x v="61"/>
    <s v="Bank"/>
    <x v="5"/>
  </r>
  <r>
    <d v="2026-05-04T04:19:00"/>
    <s v="Triumphal Gifts"/>
    <s v="Bronze Chest"/>
    <x v="61"/>
    <s v="Bank"/>
    <x v="5"/>
  </r>
  <r>
    <d v="2026-05-04T04:19:00"/>
    <s v="Triumphal Gifts"/>
    <s v="Bronze Chest"/>
    <x v="61"/>
    <s v="Bank"/>
    <x v="5"/>
  </r>
  <r>
    <d v="2026-05-04T04:19:00"/>
    <s v="Triumphal Gifts"/>
    <s v="Wooden Chest"/>
    <x v="58"/>
    <s v="Bank"/>
    <x v="5"/>
  </r>
  <r>
    <d v="2026-05-04T04:19:00"/>
    <s v="Triumphal Gifts"/>
    <s v="Wooden Chest"/>
    <x v="58"/>
    <s v="Bank"/>
    <x v="5"/>
  </r>
  <r>
    <d v="2026-05-04T04:19:00"/>
    <s v="Triumphal Gifts"/>
    <s v="Wooden Chest"/>
    <x v="58"/>
    <s v="Bank"/>
    <x v="5"/>
  </r>
  <r>
    <d v="2026-05-04T04:19:00"/>
    <s v="Triumphal Gifts"/>
    <s v="Silver Chest"/>
    <x v="61"/>
    <s v="Bank"/>
    <x v="5"/>
  </r>
  <r>
    <d v="2026-05-04T04:19:00"/>
    <s v="Triumphal Gifts"/>
    <s v="Silver Chest"/>
    <x v="61"/>
    <s v="Bank"/>
    <x v="5"/>
  </r>
  <r>
    <d v="2026-05-04T04:19:00"/>
    <s v="Triumphal Gifts"/>
    <s v="Silver Chest"/>
    <x v="61"/>
    <s v="Bank"/>
    <x v="5"/>
  </r>
  <r>
    <d v="2026-05-04T04:19:00"/>
    <s v="Triumphal Gifts"/>
    <s v="Golden Chest"/>
    <x v="0"/>
    <s v="Bank"/>
    <x v="5"/>
  </r>
  <r>
    <d v="2026-05-04T04:19:00"/>
    <s v="Triumphal Gifts"/>
    <s v="Golden Chest"/>
    <x v="0"/>
    <s v="Bank"/>
    <x v="5"/>
  </r>
  <r>
    <d v="2026-05-04T04:19:00"/>
    <s v="Triumphal Gifts"/>
    <s v="Golden Chest"/>
    <x v="0"/>
    <s v="Bank"/>
    <x v="5"/>
  </r>
  <r>
    <d v="2026-05-04T04:19:00"/>
    <s v="Triumphal Gifts"/>
    <s v="Wooden Chest"/>
    <x v="51"/>
    <s v="Bank"/>
    <x v="5"/>
  </r>
  <r>
    <d v="2026-05-04T04:19:00"/>
    <s v="Triumphal Gifts"/>
    <s v="Wooden Chest"/>
    <x v="51"/>
    <s v="Bank"/>
    <x v="5"/>
  </r>
  <r>
    <d v="2026-05-04T04:19:00"/>
    <s v="Triumphal Gifts"/>
    <s v="Wooden Chest"/>
    <x v="51"/>
    <s v="Bank"/>
    <x v="5"/>
  </r>
  <r>
    <d v="2026-05-04T04:19:00"/>
    <s v="Triumphal Gifts"/>
    <s v="Wooden Chest"/>
    <x v="15"/>
    <s v="Bank"/>
    <x v="5"/>
  </r>
  <r>
    <d v="2026-05-04T04:19:00"/>
    <s v="Triumphal Gifts"/>
    <s v="Wooden Chest"/>
    <x v="15"/>
    <s v="Bank"/>
    <x v="5"/>
  </r>
  <r>
    <d v="2026-05-04T04:19:00"/>
    <s v="Triumphal Gifts"/>
    <s v="Wooden Chest"/>
    <x v="15"/>
    <s v="Bank"/>
    <x v="5"/>
  </r>
  <r>
    <d v="2026-05-04T05:13:00"/>
    <s v="Gifts"/>
    <s v="Elegant Chest"/>
    <x v="64"/>
    <s v="Level 5 Crypt"/>
    <x v="3"/>
  </r>
  <r>
    <d v="2026-05-04T05:13:00"/>
    <s v="Gifts"/>
    <s v="Cobra Chest"/>
    <x v="57"/>
    <s v="Level 5 Crypt"/>
    <x v="3"/>
  </r>
  <r>
    <d v="2026-05-04T05:13:00"/>
    <s v="Gifts"/>
    <s v="Bone Chest"/>
    <x v="56"/>
    <s v="Level 5 Crypt"/>
    <x v="3"/>
  </r>
  <r>
    <d v="2026-05-04T05:13:00"/>
    <s v="Gifts"/>
    <s v="Gladiator's Chest"/>
    <x v="64"/>
    <s v="Arena"/>
    <x v="1"/>
  </r>
  <r>
    <d v="2026-05-04T05:13:00"/>
    <s v="Gifts"/>
    <s v="Stone Chest"/>
    <x v="56"/>
    <s v="Level 5 Crypt"/>
    <x v="3"/>
  </r>
  <r>
    <d v="2026-05-04T05:13:00"/>
    <s v="Gifts"/>
    <s v="Mayan Chest"/>
    <x v="56"/>
    <s v="Level 5 Crypt"/>
    <x v="3"/>
  </r>
  <r>
    <d v="2026-05-04T05:13:00"/>
    <s v="Gifts"/>
    <s v="Stone Chest"/>
    <x v="42"/>
    <s v="Level 10 Crypt"/>
    <x v="2"/>
  </r>
  <r>
    <d v="2026-05-04T05:13:00"/>
    <s v="Gifts"/>
    <s v="Gladiator's Chest"/>
    <x v="56"/>
    <s v="Arena"/>
    <x v="1"/>
  </r>
  <r>
    <d v="2026-05-04T05:13:00"/>
    <s v="Gifts"/>
    <s v="Orc Chest"/>
    <x v="58"/>
    <s v="Level 10 Crypt"/>
    <x v="2"/>
  </r>
  <r>
    <d v="2026-05-04T06:14:00"/>
    <s v="Gifts"/>
    <s v="Forgotten Chest"/>
    <x v="51"/>
    <s v="Level 10 Crypt"/>
    <x v="2"/>
  </r>
  <r>
    <d v="2026-05-04T06:14:00"/>
    <s v="Gifts"/>
    <s v="Orc Chest"/>
    <x v="14"/>
    <s v="Level 5 Crypt"/>
    <x v="3"/>
  </r>
  <r>
    <d v="2026-05-04T06:14:00"/>
    <s v="Gifts"/>
    <s v="Fire Chest"/>
    <x v="56"/>
    <s v="Level 5 Crypt"/>
    <x v="3"/>
  </r>
  <r>
    <d v="2026-05-04T06:14:00"/>
    <s v="Gifts"/>
    <s v="Stone Chest"/>
    <x v="56"/>
    <s v="Level 5 Crypt"/>
    <x v="3"/>
  </r>
  <r>
    <d v="2026-05-04T06:14:00"/>
    <s v="Gifts"/>
    <s v="Rare Dragon Chest"/>
    <x v="27"/>
    <s v="Level 20 rare Crypt"/>
    <x v="7"/>
  </r>
  <r>
    <d v="2026-05-04T06:14:00"/>
    <s v="Gifts"/>
    <s v="Bone Chest"/>
    <x v="27"/>
    <s v="Level 15 Crypt"/>
    <x v="0"/>
  </r>
  <r>
    <d v="2026-05-04T06:14:00"/>
    <s v="Gifts"/>
    <s v="Gnome Workshop Chest"/>
    <x v="27"/>
    <s v="Level 10 Crypt"/>
    <x v="2"/>
  </r>
  <r>
    <d v="2026-05-04T06:14:00"/>
    <s v="Gifts"/>
    <s v="Cobra Chest"/>
    <x v="27"/>
    <s v="Level 10 Crypt"/>
    <x v="2"/>
  </r>
  <r>
    <d v="2026-05-04T06:46:00"/>
    <s v="Gifts"/>
    <s v="Stone Chest"/>
    <x v="27"/>
    <s v="Level 5 Crypt"/>
    <x v="3"/>
  </r>
  <r>
    <d v="2026-05-04T06:46:00"/>
    <s v="Gifts"/>
    <s v="Bone Chest"/>
    <x v="51"/>
    <s v="Level 10 Crypt"/>
    <x v="2"/>
  </r>
  <r>
    <d v="2026-05-04T06:46:00"/>
    <s v="Gifts"/>
    <s v="Cobalt Chest"/>
    <x v="27"/>
    <s v="Level 15 epic Crypt"/>
    <x v="10"/>
  </r>
  <r>
    <d v="2026-05-04T06:46:00"/>
    <s v="Gifts"/>
    <s v="Infernal Chest"/>
    <x v="56"/>
    <s v="Level 5 Crypt"/>
    <x v="3"/>
  </r>
  <r>
    <d v="2026-05-04T06:46:00"/>
    <s v="Gifts"/>
    <s v="Scorpion Chest"/>
    <x v="27"/>
    <s v="Level 20 epic Crypt"/>
    <x v="9"/>
  </r>
  <r>
    <d v="2026-05-04T06:46:00"/>
    <s v="Gifts"/>
    <s v="Fire Chest"/>
    <x v="27"/>
    <s v="Level 10 Crypt"/>
    <x v="2"/>
  </r>
  <r>
    <d v="2026-05-04T06:46:00"/>
    <s v="Gifts"/>
    <s v="Sand Chest"/>
    <x v="27"/>
    <s v="Level 15 Crypt"/>
    <x v="0"/>
  </r>
  <r>
    <d v="2026-05-04T06:46:00"/>
    <s v="Gifts"/>
    <s v="Orc Chest"/>
    <x v="51"/>
    <s v="Level 10 Crypt"/>
    <x v="2"/>
  </r>
  <r>
    <d v="2026-05-04T06:46:00"/>
    <s v="Gifts"/>
    <s v="Infernal Chest"/>
    <x v="27"/>
    <s v="Level 20 Crypt"/>
    <x v="4"/>
  </r>
  <r>
    <d v="2026-05-04T06:46:00"/>
    <s v="Gifts"/>
    <s v="Forgotten Chest"/>
    <x v="27"/>
    <s v="Level 10 Crypt"/>
    <x v="2"/>
  </r>
  <r>
    <d v="2026-05-04T06:46:00"/>
    <s v="Gifts"/>
    <s v="Sand Chest"/>
    <x v="27"/>
    <s v="Level 10 Crypt"/>
    <x v="2"/>
  </r>
  <r>
    <d v="2026-05-04T06:46:00"/>
    <s v="Gifts"/>
    <s v="Barbarian Chest"/>
    <x v="27"/>
    <s v="Level 10 Crypt"/>
    <x v="2"/>
  </r>
  <r>
    <d v="2026-05-04T06:46:00"/>
    <s v="Gifts"/>
    <s v="Bone Chest"/>
    <x v="27"/>
    <s v="Level 5 Crypt"/>
    <x v="3"/>
  </r>
  <r>
    <d v="2026-05-04T06:46:00"/>
    <s v="Gifts"/>
    <s v="Stone Chest"/>
    <x v="51"/>
    <s v="Level 5 Crypt"/>
    <x v="3"/>
  </r>
  <r>
    <d v="2026-05-04T06:46:00"/>
    <s v="Gifts"/>
    <s v="Barbarian Chest"/>
    <x v="51"/>
    <s v="Level 10 Crypt"/>
    <x v="2"/>
  </r>
  <r>
    <d v="2026-05-04T06:46:00"/>
    <s v="Gifts"/>
    <s v="Infernal Chest"/>
    <x v="27"/>
    <s v="Level 10 Crypt"/>
    <x v="2"/>
  </r>
  <r>
    <d v="2026-05-04T06:46:00"/>
    <s v="Gifts"/>
    <s v="Forgotten Chest"/>
    <x v="27"/>
    <s v="Level 5 Crypt"/>
    <x v="3"/>
  </r>
  <r>
    <d v="2026-05-04T06:46:00"/>
    <s v="Gifts"/>
    <s v="Forgotten Chest"/>
    <x v="51"/>
    <s v="Level 10 Crypt"/>
    <x v="2"/>
  </r>
  <r>
    <d v="2026-05-04T12:33:00"/>
    <s v="Gifts"/>
    <s v="Infernal Chest"/>
    <x v="30"/>
    <s v="Level 5 Crypt"/>
    <x v="3"/>
  </r>
  <r>
    <d v="2026-05-04T12:33:00"/>
    <s v="Gifts"/>
    <s v="Stone Chest"/>
    <x v="51"/>
    <s v="Level 10 Crypt"/>
    <x v="2"/>
  </r>
  <r>
    <d v="2026-05-04T12:33:00"/>
    <s v="Gifts"/>
    <s v="Forgotten Chest"/>
    <x v="56"/>
    <s v="Level 5 Crypt"/>
    <x v="3"/>
  </r>
  <r>
    <d v="2026-05-04T12:33:00"/>
    <s v="Gifts"/>
    <s v="Gnome Workshop Chest"/>
    <x v="56"/>
    <s v="Level 5 Crypt"/>
    <x v="3"/>
  </r>
  <r>
    <d v="2026-05-04T12:33:00"/>
    <s v="Gifts"/>
    <s v="Orc Chest"/>
    <x v="51"/>
    <s v="Level 10 Crypt"/>
    <x v="2"/>
  </r>
  <r>
    <d v="2026-05-04T12:33:00"/>
    <s v="Gifts"/>
    <s v="Mayan Chest"/>
    <x v="51"/>
    <s v="Level 10 Crypt"/>
    <x v="2"/>
  </r>
  <r>
    <d v="2026-05-04T12:33:00"/>
    <s v="Gifts"/>
    <s v="Orc Chest"/>
    <x v="51"/>
    <s v="Level 10 Crypt"/>
    <x v="2"/>
  </r>
  <r>
    <d v="2026-05-04T12:33:00"/>
    <s v="Gifts"/>
    <s v="Barbarian Chest"/>
    <x v="51"/>
    <s v="Level 10 Crypt"/>
    <x v="2"/>
  </r>
  <r>
    <d v="2026-05-04T12:33:00"/>
    <s v="Gifts"/>
    <s v="Elven Citadel Chest"/>
    <x v="44"/>
    <s v="Level 10 Citadel"/>
    <x v="11"/>
  </r>
  <r>
    <d v="2026-05-04T12:33:00"/>
    <s v="Gifts"/>
    <s v="Common Chest of Wealth"/>
    <x v="2"/>
    <s v="Clan wealth"/>
    <x v="1"/>
  </r>
  <r>
    <d v="2026-05-04T12:33:00"/>
    <s v="Gifts"/>
    <s v="Uncommon Chest of Wealth"/>
    <x v="2"/>
    <s v="Clan wealth"/>
    <x v="1"/>
  </r>
  <r>
    <d v="2026-05-04T12:33:00"/>
    <s v="Gifts"/>
    <s v="Rare Chest of Wealth"/>
    <x v="2"/>
    <s v="Clan wealth"/>
    <x v="1"/>
  </r>
  <r>
    <d v="2026-05-04T12:33:00"/>
    <s v="Gifts"/>
    <s v="Forgotten Chest"/>
    <x v="21"/>
    <s v="Level 10 Crypt"/>
    <x v="2"/>
  </r>
  <r>
    <d v="2026-05-04T12:33:00"/>
    <s v="Gifts"/>
    <s v="Elven Citadel Chest"/>
    <x v="44"/>
    <s v="Level 10 Citadel"/>
    <x v="1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Barbarian Chest"/>
    <x v="21"/>
    <s v="Level 10 Crypt"/>
    <x v="2"/>
  </r>
  <r>
    <d v="2026-05-04T12:33:00"/>
    <s v="Gifts"/>
    <s v="Bone Chest"/>
    <x v="44"/>
    <s v="Level 15 Crypt"/>
    <x v="0"/>
  </r>
  <r>
    <d v="2026-05-04T12:33:00"/>
    <s v="Gifts"/>
    <s v="Forgotten Chest"/>
    <x v="56"/>
    <s v="Level 5 Crypt"/>
    <x v="3"/>
  </r>
  <r>
    <d v="2026-05-04T12:33:00"/>
    <s v="Gifts"/>
    <s v="Orc Chest"/>
    <x v="57"/>
    <s v="Level 5 Crypt"/>
    <x v="3"/>
  </r>
  <r>
    <d v="2026-05-04T12:33:00"/>
    <s v="Gifts"/>
    <s v="Mayan Chest"/>
    <x v="17"/>
    <s v="Level 10 Crypt"/>
    <x v="2"/>
  </r>
  <r>
    <d v="2026-05-04T12:33:00"/>
    <s v="Gifts"/>
    <s v="Sand Chest"/>
    <x v="44"/>
    <s v="Level 15 Crypt"/>
    <x v="0"/>
  </r>
  <r>
    <d v="2026-05-04T12:33:00"/>
    <s v="Gifts"/>
    <s v="Elegant Chest"/>
    <x v="44"/>
    <s v="Level 15 Crypt"/>
    <x v="0"/>
  </r>
  <r>
    <d v="2026-05-04T12:33:00"/>
    <s v="Gifts"/>
    <s v="Forgotten Chest"/>
    <x v="51"/>
    <s v="Level 5 Crypt"/>
    <x v="3"/>
  </r>
  <r>
    <d v="2026-05-04T12:33:00"/>
    <s v="Gifts"/>
    <s v="Bone Chest"/>
    <x v="56"/>
    <s v="Level 5 Crypt"/>
    <x v="3"/>
  </r>
  <r>
    <d v="2026-05-04T12:33:00"/>
    <s v="Gifts"/>
    <s v="Forgotten Chest"/>
    <x v="57"/>
    <s v="Level 5 Crypt"/>
    <x v="3"/>
  </r>
  <r>
    <d v="2026-05-04T12:33:00"/>
    <s v="Gifts"/>
    <s v="Bone Chest"/>
    <x v="44"/>
    <s v="Level 10 Crypt"/>
    <x v="2"/>
  </r>
  <r>
    <d v="2026-05-04T12:33:00"/>
    <s v="Gifts"/>
    <s v="Gnome Workshop Chest"/>
    <x v="65"/>
    <s v="Level 10 Crypt"/>
    <x v="2"/>
  </r>
  <r>
    <d v="2026-05-04T12:33:00"/>
    <s v="Gifts"/>
    <s v="Bone Chest"/>
    <x v="44"/>
    <s v="Level 15 Crypt"/>
    <x v="0"/>
  </r>
  <r>
    <d v="2026-05-04T12:33:00"/>
    <s v="Gifts"/>
    <s v="Orc Chest"/>
    <x v="56"/>
    <s v="Level 5 Crypt"/>
    <x v="3"/>
  </r>
  <r>
    <d v="2026-05-04T12:33:00"/>
    <s v="Gifts"/>
    <s v="Rare Dragon Chest"/>
    <x v="44"/>
    <s v="Level 10 rare Crypt"/>
    <x v="8"/>
  </r>
  <r>
    <d v="2026-05-04T12:33:00"/>
    <s v="Gifts"/>
    <s v="Rare Dragon Chest"/>
    <x v="44"/>
    <s v="Level 10 rare Crypt"/>
    <x v="8"/>
  </r>
  <r>
    <d v="2026-05-04T12:33:00"/>
    <s v="Gifts"/>
    <s v="Rare Dragon Chest"/>
    <x v="44"/>
    <s v="Level 10 rare Crypt"/>
    <x v="8"/>
  </r>
  <r>
    <d v="2026-05-04T12:33:00"/>
    <s v="Gifts"/>
    <s v="Bone Chest"/>
    <x v="48"/>
    <s v="Level 5 Crypt"/>
    <x v="3"/>
  </r>
  <r>
    <d v="2026-05-04T12:33:00"/>
    <s v="Gifts"/>
    <s v="Forgotten Chest"/>
    <x v="30"/>
    <s v="Level 5 Crypt"/>
    <x v="3"/>
  </r>
  <r>
    <d v="2026-05-04T12:33:00"/>
    <s v="Gifts"/>
    <s v="Fire Chest"/>
    <x v="17"/>
    <s v="Level 10 Crypt"/>
    <x v="2"/>
  </r>
  <r>
    <d v="2026-05-04T12:33:00"/>
    <s v="Gifts"/>
    <s v="Elegant Chest"/>
    <x v="65"/>
    <s v="Level 10 Crypt"/>
    <x v="2"/>
  </r>
  <r>
    <d v="2026-05-04T12:33:00"/>
    <s v="Gifts"/>
    <s v="Fire Chest"/>
    <x v="17"/>
    <s v="Level 10 Crypt"/>
    <x v="2"/>
  </r>
  <r>
    <d v="2026-05-04T12:33:00"/>
    <s v="Gifts"/>
    <s v="Bone Chest"/>
    <x v="17"/>
    <s v="Level 10 Crypt"/>
    <x v="2"/>
  </r>
  <r>
    <d v="2026-05-04T12:33:00"/>
    <s v="Gifts"/>
    <s v="Infernal Chest"/>
    <x v="56"/>
    <s v="Level 5 Crypt"/>
    <x v="3"/>
  </r>
  <r>
    <d v="2026-05-04T12:33:00"/>
    <s v="Gifts"/>
    <s v="Cobra Chest"/>
    <x v="56"/>
    <s v="Level 10 Crypt"/>
    <x v="2"/>
  </r>
  <r>
    <d v="2026-05-04T12:33:00"/>
    <s v="Gifts"/>
    <s v="Forgotten Chest"/>
    <x v="17"/>
    <s v="Level 10 Crypt"/>
    <x v="2"/>
  </r>
  <r>
    <d v="2026-05-04T12:33:00"/>
    <s v="Gifts"/>
    <s v="Sand Chest"/>
    <x v="17"/>
    <s v="Level 10 Crypt"/>
    <x v="2"/>
  </r>
  <r>
    <d v="2026-05-04T12:33:00"/>
    <s v="Gifts"/>
    <s v="Mayan Chest"/>
    <x v="56"/>
    <s v="Level 5 Crypt"/>
    <x v="3"/>
  </r>
  <r>
    <d v="2026-05-04T12:33:00"/>
    <s v="Gifts"/>
    <s v="Gladiator's Chest"/>
    <x v="56"/>
    <s v="Arena"/>
    <x v="1"/>
  </r>
  <r>
    <d v="2026-05-04T12:33:00"/>
    <s v="Gifts"/>
    <s v="Infernal Chest"/>
    <x v="17"/>
    <s v="Level 10 Crypt"/>
    <x v="2"/>
  </r>
  <r>
    <d v="2026-05-04T12:33:00"/>
    <s v="Gifts"/>
    <s v="Forgotten Chest"/>
    <x v="56"/>
    <s v="Level 5 Crypt"/>
    <x v="3"/>
  </r>
  <r>
    <d v="2026-05-04T12:33:00"/>
    <s v="Gifts"/>
    <s v="Sand Chest"/>
    <x v="63"/>
    <s v="Level 5 Crypt"/>
    <x v="3"/>
  </r>
  <r>
    <d v="2026-05-04T12:33:00"/>
    <s v="Gifts"/>
    <s v="Stone Chest"/>
    <x v="17"/>
    <s v="Level 10 Crypt"/>
    <x v="2"/>
  </r>
  <r>
    <d v="2026-05-04T12:33:00"/>
    <s v="Gifts"/>
    <s v="Sand Chest"/>
    <x v="56"/>
    <s v="Level 5 Crypt"/>
    <x v="3"/>
  </r>
  <r>
    <d v="2026-05-04T12:33:00"/>
    <s v="Gifts"/>
    <s v="Barbarian Chest"/>
    <x v="56"/>
    <s v="Level 5 Crypt"/>
    <x v="3"/>
  </r>
  <r>
    <d v="2026-05-04T12:33:00"/>
    <s v="Gifts"/>
    <s v="Forgotten Chest"/>
    <x v="17"/>
    <s v="Level 10 Crypt"/>
    <x v="2"/>
  </r>
  <r>
    <d v="2026-05-04T12:33:00"/>
    <s v="Gifts"/>
    <s v="Gnome Workshop Chest"/>
    <x v="20"/>
    <s v="Level 10 Crypt"/>
    <x v="2"/>
  </r>
  <r>
    <d v="2026-05-04T12:33:00"/>
    <s v="Gifts"/>
    <s v="Gnome Workshop Chest"/>
    <x v="17"/>
    <s v="Level 10 Crypt"/>
    <x v="2"/>
  </r>
  <r>
    <d v="2026-05-04T12:33:00"/>
    <s v="Gifts"/>
    <s v="Rare Dragon Chest"/>
    <x v="3"/>
    <s v="Level 20 rare Crypt"/>
    <x v="7"/>
  </r>
  <r>
    <d v="2026-05-04T12:33:00"/>
    <s v="Gifts"/>
    <s v="Forgotten Chest"/>
    <x v="17"/>
    <s v="Level 10 Crypt"/>
    <x v="2"/>
  </r>
  <r>
    <d v="2026-05-04T12:33:00"/>
    <s v="Gifts"/>
    <s v="Elven Citadel Chest"/>
    <x v="51"/>
    <s v="Level 10 Citadel"/>
    <x v="11"/>
  </r>
  <r>
    <d v="2026-05-04T12:33:00"/>
    <s v="Gifts"/>
    <s v="Gladiator's Chest"/>
    <x v="63"/>
    <s v="Arena"/>
    <x v="1"/>
  </r>
  <r>
    <d v="2026-05-04T12:33:00"/>
    <s v="Gifts"/>
    <s v="Orc Chest"/>
    <x v="17"/>
    <s v="Level 5 Crypt"/>
    <x v="3"/>
  </r>
  <r>
    <d v="2026-05-04T12:33:00"/>
    <s v="Gifts"/>
    <s v="Rare Dragon Chest"/>
    <x v="3"/>
    <s v="Level 20 rare Crypt"/>
    <x v="7"/>
  </r>
  <r>
    <d v="2026-05-04T12:33:00"/>
    <s v="Gifts"/>
    <s v="Gnome Workshop Chest"/>
    <x v="20"/>
    <s v="Level 10 Crypt"/>
    <x v="2"/>
  </r>
  <r>
    <d v="2026-05-04T12:33:00"/>
    <s v="Gifts"/>
    <s v="Mayan Chest"/>
    <x v="20"/>
    <s v="Level 5 Crypt"/>
    <x v="3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Union Chest"/>
    <x v="17"/>
    <s v="Union of Triumph personal reward"/>
    <x v="1"/>
  </r>
  <r>
    <d v="2026-05-04T12:33:00"/>
    <s v="Gifts"/>
    <s v="Gnome Workshop Chest"/>
    <x v="6"/>
    <s v="Level 10 Crypt"/>
    <x v="2"/>
  </r>
  <r>
    <d v="2026-05-04T12:33:00"/>
    <s v="Gifts"/>
    <s v="Sand Chest"/>
    <x v="20"/>
    <s v="Level 10 Crypt"/>
    <x v="2"/>
  </r>
  <r>
    <d v="2026-05-04T12:33:00"/>
    <s v="Gifts"/>
    <s v="Forgotten Chest"/>
    <x v="20"/>
    <s v="Level 10 Crypt"/>
    <x v="2"/>
  </r>
  <r>
    <d v="2026-05-04T12:33:00"/>
    <s v="Gifts"/>
    <s v="Bone Chest"/>
    <x v="20"/>
    <s v="Level 10 Crypt"/>
    <x v="2"/>
  </r>
  <r>
    <d v="2026-05-04T12:33:00"/>
    <s v="Gifts"/>
    <s v="Barbarian Chest"/>
    <x v="17"/>
    <s v="Level 5 Crypt"/>
    <x v="3"/>
  </r>
  <r>
    <d v="2026-05-04T12:33:00"/>
    <s v="Gifts"/>
    <s v="Orc Chest"/>
    <x v="20"/>
    <s v="Level 10 Crypt"/>
    <x v="2"/>
  </r>
  <r>
    <d v="2026-05-04T12:33:00"/>
    <s v="Gifts"/>
    <s v="Gnome Workshop Chest"/>
    <x v="20"/>
    <s v="Level 5 Crypt"/>
    <x v="3"/>
  </r>
  <r>
    <d v="2026-05-04T12:33:00"/>
    <s v="Gifts"/>
    <s v="Orc Chest"/>
    <x v="17"/>
    <s v="Level 10 Crypt"/>
    <x v="2"/>
  </r>
  <r>
    <d v="2026-05-04T12:33:00"/>
    <s v="Gifts"/>
    <s v="Bone Chest"/>
    <x v="17"/>
    <s v="Level 5 Crypt"/>
    <x v="3"/>
  </r>
  <r>
    <d v="2026-05-04T12:33:00"/>
    <s v="Gifts"/>
    <s v="Rare Dragon Chest"/>
    <x v="20"/>
    <s v="Level 10 rare Crypt"/>
    <x v="8"/>
  </r>
  <r>
    <d v="2026-05-04T12:33:00"/>
    <s v="Gifts"/>
    <s v="Barbarian Chest"/>
    <x v="20"/>
    <s v="Level 10 Crypt"/>
    <x v="2"/>
  </r>
  <r>
    <d v="2026-05-04T12:33:00"/>
    <s v="Gifts"/>
    <s v="Stone Chest"/>
    <x v="20"/>
    <s v="Level 10 Crypt"/>
    <x v="2"/>
  </r>
  <r>
    <d v="2026-05-04T12:33:00"/>
    <s v="Gifts"/>
    <s v="Sand Chest"/>
    <x v="17"/>
    <s v="Level 10 Crypt"/>
    <x v="2"/>
  </r>
  <r>
    <d v="2026-05-04T12:33:00"/>
    <s v="Gifts"/>
    <s v="Cobra Chest"/>
    <x v="17"/>
    <s v="Level 10 Crypt"/>
    <x v="2"/>
  </r>
  <r>
    <d v="2026-05-04T12:33:00"/>
    <s v="Gifts"/>
    <s v="Infernal Chest"/>
    <x v="43"/>
    <s v="Level 15 Crypt"/>
    <x v="0"/>
  </r>
  <r>
    <d v="2026-05-04T12:33:00"/>
    <s v="Gifts"/>
    <s v="Mayan Chest"/>
    <x v="20"/>
    <s v="Level 5 Crypt"/>
    <x v="3"/>
  </r>
  <r>
    <d v="2026-05-04T12:33:00"/>
    <s v="Gifts"/>
    <s v="Gnome Workshop Chest"/>
    <x v="3"/>
    <s v="Level 20 Crypt"/>
    <x v="4"/>
  </r>
  <r>
    <d v="2026-05-04T12:33:00"/>
    <s v="Gifts"/>
    <s v="Orc Chest"/>
    <x v="56"/>
    <s v="Level 10 Crypt"/>
    <x v="2"/>
  </r>
  <r>
    <d v="2026-05-04T12:33:00"/>
    <s v="Gifts"/>
    <s v="Gnome Workshop Chest"/>
    <x v="20"/>
    <s v="Level 10 Crypt"/>
    <x v="2"/>
  </r>
  <r>
    <d v="2026-05-04T12:33:00"/>
    <s v="Gifts"/>
    <s v="Stone Chest"/>
    <x v="20"/>
    <s v="Level 10 Crypt"/>
    <x v="2"/>
  </r>
  <r>
    <d v="2026-05-04T12:33:00"/>
    <s v="Gifts"/>
    <s v="Barbarian Chest"/>
    <x v="56"/>
    <s v="Level 5 Crypt"/>
    <x v="3"/>
  </r>
  <r>
    <d v="2026-05-04T12:33:00"/>
    <s v="Gifts"/>
    <s v="Fire Chest"/>
    <x v="20"/>
    <s v="Level 10 Crypt"/>
    <x v="2"/>
  </r>
  <r>
    <d v="2026-05-04T12:33:00"/>
    <s v="Gifts"/>
    <s v="Minotaur Chest"/>
    <x v="41"/>
    <s v="Level 20 epic Crypt"/>
    <x v="9"/>
  </r>
  <r>
    <d v="2026-05-04T12:33:00"/>
    <s v="Gifts"/>
    <s v="Rare Dragon Chest"/>
    <x v="20"/>
    <s v="Level 10 rare Crypt"/>
    <x v="8"/>
  </r>
  <r>
    <d v="2026-05-04T12:33:00"/>
    <s v="Gifts"/>
    <s v="Minotaur Chest"/>
    <x v="41"/>
    <s v="Level 15 epic Crypt"/>
    <x v="10"/>
  </r>
  <r>
    <d v="2026-05-04T12:33:00"/>
    <s v="Gifts"/>
    <s v="Elven Citadel Chest"/>
    <x v="44"/>
    <s v="Level 10 Citadel"/>
    <x v="11"/>
  </r>
  <r>
    <d v="2026-05-04T12:33:00"/>
    <s v="Gifts"/>
    <s v="Rare Dragon Chest"/>
    <x v="20"/>
    <s v="Level 10 rare Crypt"/>
    <x v="8"/>
  </r>
  <r>
    <d v="2026-05-04T12:33:00"/>
    <s v="Gifts"/>
    <s v="Sand Chest"/>
    <x v="56"/>
    <s v="Level 5 Crypt"/>
    <x v="3"/>
  </r>
  <r>
    <d v="2026-05-04T12:33:00"/>
    <s v="Gifts"/>
    <s v="Cobra Chest"/>
    <x v="20"/>
    <s v="Level 10 Crypt"/>
    <x v="2"/>
  </r>
  <r>
    <d v="2026-05-04T12:33:00"/>
    <s v="Gifts"/>
    <s v="Elven Citadel Chest"/>
    <x v="44"/>
    <s v="Level 10 Citadel"/>
    <x v="11"/>
  </r>
  <r>
    <d v="2026-05-04T12:33:00"/>
    <s v="Gifts"/>
    <s v="Rare Dragon Chest"/>
    <x v="44"/>
    <s v="Level 10 rare Crypt"/>
    <x v="8"/>
  </r>
  <r>
    <d v="2026-05-04T12:33:00"/>
    <s v="Gifts"/>
    <s v="Mayan Chest"/>
    <x v="45"/>
    <s v="Level 15 Crypt"/>
    <x v="0"/>
  </r>
  <r>
    <d v="2026-05-04T12:33:00"/>
    <s v="Gifts"/>
    <s v="Rare Dragon Chest"/>
    <x v="44"/>
    <s v="Level 10 rare Crypt"/>
    <x v="8"/>
  </r>
  <r>
    <d v="2026-05-04T12:33:00"/>
    <s v="Gifts"/>
    <s v="Infernal Chest"/>
    <x v="45"/>
    <s v="Level 5 Crypt"/>
    <x v="3"/>
  </r>
  <r>
    <d v="2026-05-04T12:33:00"/>
    <s v="Gifts"/>
    <s v="Elven Citadel Chest"/>
    <x v="44"/>
    <s v="Level 10 Citadel"/>
    <x v="11"/>
  </r>
  <r>
    <d v="2026-05-04T12:33:00"/>
    <s v="Gifts"/>
    <s v="Mayan Chest"/>
    <x v="45"/>
    <s v="Level 10 Crypt"/>
    <x v="2"/>
  </r>
  <r>
    <d v="2026-05-04T12:33:00"/>
    <s v="Gifts"/>
    <s v="Rare Dragon Chest"/>
    <x v="44"/>
    <s v="Level 10 rare Crypt"/>
    <x v="8"/>
  </r>
  <r>
    <d v="2026-05-04T12:33:00"/>
    <s v="Gifts"/>
    <s v="Fire Chest"/>
    <x v="56"/>
    <s v="Level 5 Crypt"/>
    <x v="3"/>
  </r>
  <r>
    <d v="2026-05-04T12:33:00"/>
    <s v="Gifts"/>
    <s v="Elegant Chest"/>
    <x v="44"/>
    <s v="Level 10 Crypt"/>
    <x v="2"/>
  </r>
  <r>
    <d v="2026-05-04T12:33:00"/>
    <s v="Gifts"/>
    <s v="Infernal Chest"/>
    <x v="45"/>
    <s v="Level 10 Crypt"/>
    <x v="2"/>
  </r>
  <r>
    <d v="2026-05-04T12:33:00"/>
    <s v="Gifts"/>
    <s v="Elven Citadel Chest"/>
    <x v="44"/>
    <s v="Level 10 Citadel"/>
    <x v="11"/>
  </r>
  <r>
    <d v="2026-05-04T12:33:00"/>
    <s v="Gifts"/>
    <s v="Elven Citadel Chest"/>
    <x v="56"/>
    <s v="Level 10 Citadel"/>
    <x v="11"/>
  </r>
  <r>
    <d v="2026-05-04T12:33:00"/>
    <s v="Gifts"/>
    <s v="Stone Chest"/>
    <x v="9"/>
    <s v="Level 15 Crypt"/>
    <x v="0"/>
  </r>
  <r>
    <d v="2026-05-04T12:33:00"/>
    <s v="Gifts"/>
    <s v="Forgotten Chest"/>
    <x v="45"/>
    <s v="Level 15 Crypt"/>
    <x v="0"/>
  </r>
  <r>
    <d v="2026-05-04T12:33:00"/>
    <s v="Gifts"/>
    <s v="Priest's Chest"/>
    <x v="9"/>
    <s v="Level 15 epic Crypt"/>
    <x v="10"/>
  </r>
  <r>
    <d v="2026-05-04T12:33:00"/>
    <s v="Gifts"/>
    <s v="Rare Dragon Chest"/>
    <x v="44"/>
    <s v="Level 10 rare Crypt"/>
    <x v="8"/>
  </r>
  <r>
    <d v="2026-05-04T12:33:00"/>
    <s v="Gifts"/>
    <s v="Forgotten Chest"/>
    <x v="56"/>
    <s v="Level 10 Crypt"/>
    <x v="2"/>
  </r>
  <r>
    <d v="2026-05-04T12:33:00"/>
    <s v="Gifts"/>
    <s v="Priest's Chest"/>
    <x v="9"/>
    <s v="Level 15 epic Crypt"/>
    <x v="10"/>
  </r>
  <r>
    <d v="2026-05-04T12:33:00"/>
    <s v="Gifts"/>
    <s v="Fire Chest"/>
    <x v="45"/>
    <s v="Level 5 Crypt"/>
    <x v="3"/>
  </r>
  <r>
    <d v="2026-05-04T12:33:00"/>
    <s v="Gifts"/>
    <s v="Infernal Chest"/>
    <x v="56"/>
    <s v="Level 10 Crypt"/>
    <x v="2"/>
  </r>
  <r>
    <d v="2026-05-04T12:33:00"/>
    <s v="Gifts"/>
    <s v="Priest's Chest"/>
    <x v="9"/>
    <s v="Level 15 epic Crypt"/>
    <x v="10"/>
  </r>
  <r>
    <d v="2026-05-04T12:33:00"/>
    <s v="Gifts"/>
    <s v="Rare Dragon Chest"/>
    <x v="56"/>
    <s v="Level 10 rare Crypt"/>
    <x v="8"/>
  </r>
  <r>
    <d v="2026-05-04T12:33:00"/>
    <s v="Gifts"/>
    <s v="Rare Dragon Chest"/>
    <x v="45"/>
    <s v="Level 10 rare Crypt"/>
    <x v="8"/>
  </r>
  <r>
    <d v="2026-05-04T12:33:00"/>
    <s v="Gifts"/>
    <s v="Rare Dragon Chest"/>
    <x v="45"/>
    <s v="Level 10 rare Crypt"/>
    <x v="8"/>
  </r>
  <r>
    <d v="2026-05-04T12:33:00"/>
    <s v="Gifts"/>
    <s v="Priest's Chest"/>
    <x v="9"/>
    <s v="Level 15 epic Crypt"/>
    <x v="10"/>
  </r>
  <r>
    <d v="2026-05-04T12:33:00"/>
    <s v="Gifts"/>
    <s v="Barbarian Chest"/>
    <x v="45"/>
    <s v="Level 15 epic Crypt"/>
    <x v="10"/>
  </r>
  <r>
    <d v="2026-05-04T12:33:00"/>
    <s v="Gifts"/>
    <s v="Turtle Chest"/>
    <x v="9"/>
    <s v="Level 15 epic Crypt"/>
    <x v="10"/>
  </r>
  <r>
    <d v="2026-05-04T12:33:00"/>
    <s v="Triumphal Gifts"/>
    <s v="Wooden Chest"/>
    <x v="51"/>
    <s v="Bank"/>
    <x v="5"/>
  </r>
  <r>
    <d v="2026-05-04T12:33:00"/>
    <s v="Triumphal Gifts"/>
    <s v="Wooden Chest"/>
    <x v="51"/>
    <s v="Bank"/>
    <x v="5"/>
  </r>
  <r>
    <d v="2026-05-04T12:33:00"/>
    <s v="Triumphal Gifts"/>
    <s v="Wooden Chest"/>
    <x v="51"/>
    <s v="Bank"/>
    <x v="5"/>
  </r>
  <r>
    <d v="2026-05-04T12:33:00"/>
    <s v="Triumphal Gifts"/>
    <s v="Golden Chest"/>
    <x v="3"/>
    <s v="Bank"/>
    <x v="5"/>
  </r>
  <r>
    <d v="2026-05-04T12:33:00"/>
    <s v="Triumphal Gifts"/>
    <s v="Golden Chest"/>
    <x v="3"/>
    <s v="Bank"/>
    <x v="5"/>
  </r>
  <r>
    <d v="2026-05-04T12:33:00"/>
    <s v="Triumphal Gifts"/>
    <s v="Golden Chest"/>
    <x v="3"/>
    <s v="Bank"/>
    <x v="5"/>
  </r>
  <r>
    <d v="2026-05-04T12:33:00"/>
    <s v="Triumphal Gifts"/>
    <s v="Silver Chest"/>
    <x v="26"/>
    <s v="Bank"/>
    <x v="5"/>
  </r>
  <r>
    <d v="2026-05-04T12:33:00"/>
    <s v="Triumphal Gifts"/>
    <s v="Silver Chest"/>
    <x v="26"/>
    <s v="Bank"/>
    <x v="5"/>
  </r>
  <r>
    <d v="2026-05-04T12:33:00"/>
    <s v="Triumphal Gifts"/>
    <s v="Silver Chest"/>
    <x v="26"/>
    <s v="Bank"/>
    <x v="5"/>
  </r>
  <r>
    <d v="2026-05-04T12:33:00"/>
    <s v="Triumphal Gifts"/>
    <s v="Silver Chest"/>
    <x v="41"/>
    <s v="Bank"/>
    <x v="5"/>
  </r>
  <r>
    <d v="2026-05-04T12:33:00"/>
    <s v="Triumphal Gifts"/>
    <s v="Silver Chest"/>
    <x v="41"/>
    <s v="Bank"/>
    <x v="5"/>
  </r>
  <r>
    <d v="2026-05-04T12:33:00"/>
    <s v="Triumphal Gifts"/>
    <s v="Silver Chest"/>
    <x v="41"/>
    <s v="Bank"/>
    <x v="5"/>
  </r>
  <r>
    <d v="2026-05-04T18:14:00"/>
    <s v="Gifts"/>
    <s v="Gladiator's Chest"/>
    <x v="63"/>
    <s v="Arena"/>
    <x v="1"/>
  </r>
  <r>
    <d v="2026-05-04T18:14:00"/>
    <s v="Gifts"/>
    <s v="Gnome Workshop Chest"/>
    <x v="63"/>
    <s v="Level 5 Crypt"/>
    <x v="3"/>
  </r>
  <r>
    <d v="2026-05-04T18:14:00"/>
    <s v="Gifts"/>
    <s v="Elven Citadel Chest"/>
    <x v="44"/>
    <s v="Level 10 Citadel"/>
    <x v="11"/>
  </r>
  <r>
    <d v="2026-05-04T18:14:00"/>
    <s v="Gifts"/>
    <s v="Fire Chest"/>
    <x v="47"/>
    <s v="Level 5 Crypt"/>
    <x v="3"/>
  </r>
  <r>
    <d v="2026-05-04T18:14:00"/>
    <s v="Gifts"/>
    <s v="Elven Citadel Chest"/>
    <x v="44"/>
    <s v="Level 10 Citadel"/>
    <x v="11"/>
  </r>
  <r>
    <d v="2026-05-04T18:14:00"/>
    <s v="Gifts"/>
    <s v="Elven Citadel Chest"/>
    <x v="44"/>
    <s v="Level 10 Citadel"/>
    <x v="11"/>
  </r>
  <r>
    <d v="2026-05-04T18:14:00"/>
    <s v="Gifts"/>
    <s v="Rare Dragon Chest"/>
    <x v="51"/>
    <s v="Level 10 rare Crypt"/>
    <x v="8"/>
  </r>
  <r>
    <d v="2026-05-04T18:14:00"/>
    <s v="Gifts"/>
    <s v="Fire Chest"/>
    <x v="18"/>
    <s v="Level 10 Crypt"/>
    <x v="2"/>
  </r>
  <r>
    <d v="2026-05-04T18:14:00"/>
    <s v="Gifts"/>
    <s v="Elegant Chest"/>
    <x v="40"/>
    <s v="Level 10 Crypt"/>
    <x v="2"/>
  </r>
  <r>
    <d v="2026-05-04T18:14:00"/>
    <s v="Gifts"/>
    <s v="Barbarian Chest"/>
    <x v="17"/>
    <s v="Level 10 Crypt"/>
    <x v="2"/>
  </r>
  <r>
    <d v="2026-05-04T18:14:00"/>
    <s v="Gifts"/>
    <s v="Infernal Chest"/>
    <x v="62"/>
    <s v="Level 5 Crypt"/>
    <x v="3"/>
  </r>
  <r>
    <d v="2026-05-04T18:14:00"/>
    <s v="Gifts"/>
    <s v="Cobra Chest"/>
    <x v="18"/>
    <s v="Level 10 Crypt"/>
    <x v="2"/>
  </r>
  <r>
    <d v="2026-05-04T18:14:00"/>
    <s v="Gifts"/>
    <s v="Bone Chest"/>
    <x v="14"/>
    <s v="Level 10 Crypt"/>
    <x v="2"/>
  </r>
  <r>
    <d v="2026-05-04T18:14:00"/>
    <s v="Gifts"/>
    <s v="Gladiator's Chest"/>
    <x v="38"/>
    <s v="Arena"/>
    <x v="1"/>
  </r>
  <r>
    <d v="2026-05-04T18:14:00"/>
    <s v="Gifts"/>
    <s v="Elven Citadel Chest"/>
    <x v="7"/>
    <s v="Level 10 Citadel"/>
    <x v="11"/>
  </r>
  <r>
    <d v="2026-05-04T18:14:00"/>
    <s v="Gifts"/>
    <s v="Elegant Chest"/>
    <x v="38"/>
    <s v="Level 15 Crypt"/>
    <x v="0"/>
  </r>
  <r>
    <d v="2026-05-04T18:14:00"/>
    <s v="Gifts"/>
    <s v="Elegant Chest"/>
    <x v="45"/>
    <s v="Level 10 Crypt"/>
    <x v="2"/>
  </r>
  <r>
    <d v="2026-05-04T18:14:00"/>
    <s v="Gifts"/>
    <s v="Infernal Chest"/>
    <x v="45"/>
    <s v="Level 10 Crypt"/>
    <x v="2"/>
  </r>
  <r>
    <d v="2026-05-04T18:14:00"/>
    <s v="Gifts"/>
    <s v="Forgotten Chest"/>
    <x v="65"/>
    <s v="Level 5 Crypt"/>
    <x v="3"/>
  </r>
  <r>
    <d v="2026-05-04T18:14:00"/>
    <s v="Gifts"/>
    <s v="Bone Chest"/>
    <x v="65"/>
    <s v="Level 5 Crypt"/>
    <x v="3"/>
  </r>
  <r>
    <d v="2026-05-04T18:14:00"/>
    <s v="Gifts"/>
    <s v="Bone Chest"/>
    <x v="48"/>
    <s v="Level 10 Crypt"/>
    <x v="2"/>
  </r>
  <r>
    <d v="2026-05-04T18:14:00"/>
    <s v="Gifts"/>
    <s v="Gnome Workshop Chest"/>
    <x v="65"/>
    <s v="Level 15 Crypt"/>
    <x v="0"/>
  </r>
  <r>
    <d v="2026-05-04T18:14:00"/>
    <s v="Gifts"/>
    <s v="Elegant Chest"/>
    <x v="65"/>
    <s v="Level 10 Crypt"/>
    <x v="2"/>
  </r>
  <r>
    <d v="2026-05-04T18:14:00"/>
    <s v="Gifts"/>
    <s v="Infernal Chest"/>
    <x v="37"/>
    <s v="Level 15 Crypt"/>
    <x v="0"/>
  </r>
  <r>
    <d v="2026-05-04T18:14:00"/>
    <s v="Gifts"/>
    <s v="Orc Chest"/>
    <x v="60"/>
    <s v="Level 5 Crypt"/>
    <x v="3"/>
  </r>
  <r>
    <d v="2026-05-04T18:14:00"/>
    <s v="Gifts"/>
    <s v="Elegant Chest"/>
    <x v="39"/>
    <s v="Level 20 Crypt"/>
    <x v="4"/>
  </r>
  <r>
    <d v="2026-05-04T18:14:00"/>
    <s v="Gifts"/>
    <s v="Mayan Chest"/>
    <x v="4"/>
    <s v="Level 10 Crypt"/>
    <x v="2"/>
  </r>
  <r>
    <d v="2026-05-04T18:14:00"/>
    <s v="Gifts"/>
    <s v="Fire Chest"/>
    <x v="4"/>
    <s v="Level 10 Crypt"/>
    <x v="2"/>
  </r>
  <r>
    <d v="2026-05-04T18:14:00"/>
    <s v="Gifts"/>
    <s v="Infernal Chest"/>
    <x v="61"/>
    <s v="Level 5 Crypt"/>
    <x v="3"/>
  </r>
  <r>
    <d v="2026-05-04T18:14:00"/>
    <s v="Gifts"/>
    <s v="Chest of the Cursed"/>
    <x v="61"/>
    <s v="Level 15 epic Crypt"/>
    <x v="10"/>
  </r>
  <r>
    <d v="2026-05-04T18:14:00"/>
    <s v="Gifts"/>
    <s v="Common Chest of Wealth"/>
    <x v="9"/>
    <s v="Clan wealth"/>
    <x v="1"/>
  </r>
  <r>
    <d v="2026-05-04T18:14:00"/>
    <s v="Gifts"/>
    <s v="Uncommon Chest of Wealth"/>
    <x v="9"/>
    <s v="Clan wealth"/>
    <x v="1"/>
  </r>
  <r>
    <d v="2026-05-04T18:14:00"/>
    <s v="Gifts"/>
    <s v="Rare Chest of Wealth"/>
    <x v="9"/>
    <s v="Clan wealth"/>
    <x v="1"/>
  </r>
  <r>
    <d v="2026-05-04T18:14:00"/>
    <s v="Gifts"/>
    <s v="Fire Chest"/>
    <x v="32"/>
    <s v="Level 5 Crypt"/>
    <x v="3"/>
  </r>
  <r>
    <d v="2026-05-04T18:14:00"/>
    <s v="Gifts"/>
    <s v="Cobra Chest"/>
    <x v="20"/>
    <s v="Level 5 Crypt"/>
    <x v="3"/>
  </r>
  <r>
    <d v="2026-05-04T18:14:00"/>
    <s v="Gifts"/>
    <s v="Rare Dragon Chest"/>
    <x v="20"/>
    <s v="Level 10 rare Crypt"/>
    <x v="8"/>
  </r>
  <r>
    <d v="2026-05-04T18:14:00"/>
    <s v="Gifts"/>
    <s v="Fire Chest"/>
    <x v="20"/>
    <s v="Level 10 Crypt"/>
    <x v="2"/>
  </r>
  <r>
    <d v="2026-05-04T18:14:00"/>
    <s v="Gifts"/>
    <s v="Cobra Chest"/>
    <x v="33"/>
    <s v="Level 10 Crypt"/>
    <x v="2"/>
  </r>
  <r>
    <d v="2026-05-04T18:14:00"/>
    <s v="Gifts"/>
    <s v="Gnome Workshop Chest"/>
    <x v="33"/>
    <s v="Level 10 Crypt"/>
    <x v="2"/>
  </r>
  <r>
    <d v="2026-05-04T18:14:00"/>
    <s v="Gifts"/>
    <s v="Gnome Workshop Chest"/>
    <x v="26"/>
    <s v="Level 10 Crypt"/>
    <x v="2"/>
  </r>
  <r>
    <d v="2026-05-04T18:14:00"/>
    <s v="Gifts"/>
    <s v="Gnome Workshop Chest"/>
    <x v="7"/>
    <s v="Level 10 Crypt"/>
    <x v="2"/>
  </r>
  <r>
    <d v="2026-05-04T18:14:00"/>
    <s v="Gifts"/>
    <s v="Elegant Chest"/>
    <x v="63"/>
    <s v="Level 10 Crypt"/>
    <x v="2"/>
  </r>
  <r>
    <d v="2026-05-04T18:14:00"/>
    <s v="Gifts"/>
    <s v="Mayan Chest"/>
    <x v="64"/>
    <s v="Level 10 Crypt"/>
    <x v="2"/>
  </r>
  <r>
    <d v="2026-05-04T18:14:00"/>
    <s v="Gifts"/>
    <s v="Gnome Workshop Chest"/>
    <x v="40"/>
    <s v="Level 15 Crypt"/>
    <x v="0"/>
  </r>
  <r>
    <d v="2026-05-04T18:14:00"/>
    <s v="Gifts"/>
    <s v="Fire Chest"/>
    <x v="40"/>
    <s v="Level 5 Crypt"/>
    <x v="3"/>
  </r>
  <r>
    <d v="2026-05-04T18:14:00"/>
    <s v="Gifts"/>
    <s v="Elegant Chest"/>
    <x v="40"/>
    <s v="Level 10 Crypt"/>
    <x v="2"/>
  </r>
  <r>
    <d v="2026-05-04T18:14:00"/>
    <s v="Gifts"/>
    <s v="Forgotten Chest"/>
    <x v="32"/>
    <s v="Level 10 Crypt"/>
    <x v="2"/>
  </r>
  <r>
    <d v="2026-05-04T18:14:00"/>
    <s v="Gifts"/>
    <s v="Fire Chest"/>
    <x v="32"/>
    <s v="Level 10 Crypt"/>
    <x v="2"/>
  </r>
  <r>
    <d v="2026-05-04T18:14:00"/>
    <s v="Gifts"/>
    <s v="Orc Chest"/>
    <x v="18"/>
    <s v="Level 10 Crypt"/>
    <x v="2"/>
  </r>
  <r>
    <d v="2026-05-04T18:14:00"/>
    <s v="Gifts"/>
    <s v="Forgotten Chest"/>
    <x v="6"/>
    <s v="Level 10 Crypt"/>
    <x v="2"/>
  </r>
  <r>
    <d v="2026-05-04T18:14:00"/>
    <s v="Gifts"/>
    <s v="Gladiator's Chest"/>
    <x v="16"/>
    <s v="Arena"/>
    <x v="1"/>
  </r>
  <r>
    <d v="2026-05-04T18:14:00"/>
    <s v="Gifts"/>
    <s v="Rare Dragon Chest"/>
    <x v="6"/>
    <s v="Level 10 rare Crypt"/>
    <x v="8"/>
  </r>
  <r>
    <d v="2026-05-04T18:14:00"/>
    <s v="Gifts"/>
    <s v="Barbarian Chest"/>
    <x v="6"/>
    <s v="Level 10 Crypt"/>
    <x v="2"/>
  </r>
  <r>
    <d v="2026-05-04T18:14:00"/>
    <s v="Gifts"/>
    <s v="Forgotten Chest"/>
    <x v="6"/>
    <s v="Level 10 Crypt"/>
    <x v="2"/>
  </r>
  <r>
    <d v="2026-05-04T18:14:00"/>
    <s v="Gifts"/>
    <s v="Orc Chest"/>
    <x v="50"/>
    <s v="Level 5 Crypt"/>
    <x v="3"/>
  </r>
  <r>
    <d v="2026-05-04T18:14:00"/>
    <s v="Gifts"/>
    <s v="Rare Dragon Chest"/>
    <x v="6"/>
    <s v="Level 10 rare Crypt"/>
    <x v="8"/>
  </r>
  <r>
    <d v="2026-05-04T18:14:00"/>
    <s v="Gifts"/>
    <s v="Gladiator's Chest"/>
    <x v="50"/>
    <s v="Arena"/>
    <x v="1"/>
  </r>
  <r>
    <d v="2026-05-04T18:14:00"/>
    <s v="Gifts"/>
    <s v="Gnome Workshop Chest"/>
    <x v="16"/>
    <s v="Level 10 Crypt"/>
    <x v="2"/>
  </r>
  <r>
    <d v="2026-05-04T18:14:00"/>
    <s v="Gifts"/>
    <s v="Gnome Workshop Chest"/>
    <x v="31"/>
    <s v="Level 10 Crypt"/>
    <x v="2"/>
  </r>
  <r>
    <d v="2026-05-04T18:14:00"/>
    <s v="Gifts"/>
    <s v="Rare Dragon Chest"/>
    <x v="44"/>
    <s v="Level 10 rare Crypt"/>
    <x v="8"/>
  </r>
  <r>
    <d v="2026-05-04T18:14:00"/>
    <s v="Gifts"/>
    <s v="Elegant Chest"/>
    <x v="18"/>
    <s v="Level 15 Crypt"/>
    <x v="0"/>
  </r>
  <r>
    <d v="2026-05-04T18:14:00"/>
    <s v="Gifts"/>
    <s v="Rare Dragon Chest"/>
    <x v="44"/>
    <s v="Level 10 rare Crypt"/>
    <x v="8"/>
  </r>
  <r>
    <d v="2026-05-04T18:14:00"/>
    <s v="Gifts"/>
    <s v="Forgotten Chest"/>
    <x v="18"/>
    <s v="Level 10 Crypt"/>
    <x v="2"/>
  </r>
  <r>
    <d v="2026-05-04T18:14:00"/>
    <s v="Gifts"/>
    <s v="Gnome Workshop Chest"/>
    <x v="18"/>
    <s v="Level 10 Crypt"/>
    <x v="2"/>
  </r>
  <r>
    <d v="2026-05-04T18:14:00"/>
    <s v="Gifts"/>
    <s v="Orc Chest"/>
    <x v="18"/>
    <s v="Level 10 Crypt"/>
    <x v="2"/>
  </r>
  <r>
    <d v="2026-05-04T18:14:00"/>
    <s v="Gifts"/>
    <s v="Orc Chest"/>
    <x v="16"/>
    <s v="Level 10 Crypt"/>
    <x v="2"/>
  </r>
  <r>
    <d v="2026-05-04T18:14:00"/>
    <s v="Gifts"/>
    <s v="Fire Chest"/>
    <x v="16"/>
    <s v="Level 5 Crypt"/>
    <x v="3"/>
  </r>
  <r>
    <d v="2026-05-04T18:14:00"/>
    <s v="Gifts"/>
    <s v="Fire Chest"/>
    <x v="57"/>
    <s v="Level 10 Crypt"/>
    <x v="2"/>
  </r>
  <r>
    <d v="2026-05-04T18:14:00"/>
    <s v="Gifts"/>
    <s v="Orc Chest"/>
    <x v="57"/>
    <s v="Level 5 Crypt"/>
    <x v="3"/>
  </r>
  <r>
    <d v="2026-05-04T18:14:00"/>
    <s v="Gifts"/>
    <s v="Stone Chest"/>
    <x v="64"/>
    <s v="Level 5 Crypt"/>
    <x v="3"/>
  </r>
  <r>
    <d v="2026-05-04T18:14:00"/>
    <s v="Gifts"/>
    <s v="Gnome Workshop Chest"/>
    <x v="66"/>
    <s v="Level 5 Crypt"/>
    <x v="3"/>
  </r>
  <r>
    <d v="2026-05-04T18:14:00"/>
    <s v="Gifts"/>
    <s v="Stone Chest"/>
    <x v="31"/>
    <s v="Level 10 Crypt"/>
    <x v="2"/>
  </r>
  <r>
    <d v="2026-05-04T18:14:00"/>
    <s v="Gifts"/>
    <s v="Gladiator's Chest"/>
    <x v="31"/>
    <s v="Arena"/>
    <x v="1"/>
  </r>
  <r>
    <d v="2026-05-04T18:14:00"/>
    <s v="Gifts"/>
    <s v="Fire Chest"/>
    <x v="20"/>
    <s v="Level 10 Crypt"/>
    <x v="2"/>
  </r>
  <r>
    <d v="2026-05-04T18:14:00"/>
    <s v="Gifts"/>
    <s v="Elegant Chest"/>
    <x v="62"/>
    <s v="Level 15 Crypt"/>
    <x v="0"/>
  </r>
  <r>
    <d v="2026-05-04T18:14:00"/>
    <s v="Gifts"/>
    <s v="Orc Chest"/>
    <x v="18"/>
    <s v="Level 10 Crypt"/>
    <x v="2"/>
  </r>
  <r>
    <d v="2026-05-04T18:14:00"/>
    <s v="Gifts"/>
    <s v="Mayan Chest"/>
    <x v="62"/>
    <s v="Level 5 Crypt"/>
    <x v="3"/>
  </r>
  <r>
    <d v="2026-05-04T18:14:00"/>
    <s v="Gifts"/>
    <s v="Sand Chest"/>
    <x v="65"/>
    <s v="Level 5 Crypt"/>
    <x v="3"/>
  </r>
  <r>
    <d v="2026-05-04T18:14:00"/>
    <s v="Gifts"/>
    <s v="Fire Chest"/>
    <x v="18"/>
    <s v="Level 10 Crypt"/>
    <x v="2"/>
  </r>
  <r>
    <d v="2026-05-04T18:14:00"/>
    <s v="Gifts"/>
    <s v="Gnome Workshop Chest"/>
    <x v="18"/>
    <s v="Level 10 Crypt"/>
    <x v="2"/>
  </r>
  <r>
    <d v="2026-05-04T18:14:00"/>
    <s v="Gifts"/>
    <s v="Forgotten Chest"/>
    <x v="21"/>
    <s v="Level 15 Crypt"/>
    <x v="0"/>
  </r>
  <r>
    <d v="2026-05-04T18:14:00"/>
    <s v="Gifts"/>
    <s v="Bone Chest"/>
    <x v="45"/>
    <s v="Level 10 Crypt"/>
    <x v="2"/>
  </r>
  <r>
    <d v="2026-05-04T18:14:00"/>
    <s v="Gifts"/>
    <s v="Orc Chest"/>
    <x v="30"/>
    <s v="Level 5 Crypt"/>
    <x v="3"/>
  </r>
  <r>
    <d v="2026-05-04T18:14:00"/>
    <s v="Gifts"/>
    <s v="Elegant Chest"/>
    <x v="21"/>
    <s v="Level 10 Crypt"/>
    <x v="2"/>
  </r>
  <r>
    <d v="2026-05-04T18:14:00"/>
    <s v="Gifts"/>
    <s v="Rare Dragon Chest"/>
    <x v="44"/>
    <s v="Level 10 rare Crypt"/>
    <x v="8"/>
  </r>
  <r>
    <d v="2026-05-04T18:14:00"/>
    <s v="Gifts"/>
    <s v="Fire Chest"/>
    <x v="45"/>
    <s v="Level 15 Crypt"/>
    <x v="0"/>
  </r>
  <r>
    <d v="2026-05-04T18:14:00"/>
    <s v="Gifts"/>
    <s v="Bone Chest"/>
    <x v="31"/>
    <s v="Level 15 Crypt"/>
    <x v="0"/>
  </r>
  <r>
    <d v="2026-05-04T18:14:00"/>
    <s v="Gifts"/>
    <s v="Fire Chest"/>
    <x v="18"/>
    <s v="Level 10 Crypt"/>
    <x v="2"/>
  </r>
  <r>
    <d v="2026-05-04T18:14:00"/>
    <s v="Gifts"/>
    <s v="Stone Chest"/>
    <x v="30"/>
    <s v="Level 10 Crypt"/>
    <x v="2"/>
  </r>
  <r>
    <d v="2026-05-04T18:14:00"/>
    <s v="Gifts"/>
    <s v="Stone Chest"/>
    <x v="45"/>
    <s v="Level 10 Crypt"/>
    <x v="2"/>
  </r>
  <r>
    <d v="2026-05-04T18:14:00"/>
    <s v="Gifts"/>
    <s v="Stone Chest"/>
    <x v="10"/>
    <s v="Level 10 Crypt"/>
    <x v="2"/>
  </r>
  <r>
    <d v="2026-05-04T18:14:00"/>
    <s v="Gifts"/>
    <s v="Elven Citadel Chest"/>
    <x v="44"/>
    <s v="Level 10 Citadel"/>
    <x v="11"/>
  </r>
  <r>
    <d v="2026-05-04T18:14:00"/>
    <s v="Gifts"/>
    <s v="Elven Citadel Chest"/>
    <x v="6"/>
    <s v="Level 10 Citadel"/>
    <x v="11"/>
  </r>
  <r>
    <d v="2026-05-04T18:14:00"/>
    <s v="Gifts"/>
    <s v="Bone Chest"/>
    <x v="18"/>
    <s v="Level 10 Crypt"/>
    <x v="2"/>
  </r>
  <r>
    <d v="2026-05-04T18:14:00"/>
    <s v="Gifts"/>
    <s v="Rare Dragon Chest"/>
    <x v="6"/>
    <s v="Level 10 rare Crypt"/>
    <x v="8"/>
  </r>
  <r>
    <d v="2026-05-04T18:14:00"/>
    <s v="Gifts"/>
    <s v="Bone Chest"/>
    <x v="10"/>
    <s v="Level 10 Crypt"/>
    <x v="2"/>
  </r>
  <r>
    <d v="2026-05-04T18:14:00"/>
    <s v="Gifts"/>
    <s v="Infernal Chest"/>
    <x v="19"/>
    <s v="Level 15 Crypt"/>
    <x v="0"/>
  </r>
  <r>
    <d v="2026-05-04T18:14:00"/>
    <s v="Gifts"/>
    <s v="Barbarian Chest"/>
    <x v="10"/>
    <s v="Level 10 Crypt"/>
    <x v="2"/>
  </r>
  <r>
    <d v="2026-05-04T18:14:00"/>
    <s v="Gifts"/>
    <s v="Bone Chest"/>
    <x v="6"/>
    <s v="Level 10 Crypt"/>
    <x v="2"/>
  </r>
  <r>
    <d v="2026-05-04T18:14:00"/>
    <s v="Gifts"/>
    <s v="Barbarian Chest"/>
    <x v="45"/>
    <s v="Level 10 Crypt"/>
    <x v="2"/>
  </r>
  <r>
    <d v="2026-05-04T18:14:00"/>
    <s v="Gifts"/>
    <s v="Infernal Chest"/>
    <x v="6"/>
    <s v="Level 5 Crypt"/>
    <x v="3"/>
  </r>
  <r>
    <d v="2026-05-04T18:14:00"/>
    <s v="Gifts"/>
    <s v="Rare Dragon Chest"/>
    <x v="44"/>
    <s v="Level 10 rare Crypt"/>
    <x v="8"/>
  </r>
  <r>
    <d v="2026-05-04T18:14:00"/>
    <s v="Gifts"/>
    <s v="Gnome Workshop Chest"/>
    <x v="6"/>
    <s v="Level 10 Crypt"/>
    <x v="2"/>
  </r>
  <r>
    <d v="2026-05-04T18:14:00"/>
    <s v="Gifts"/>
    <s v="Bone Chest"/>
    <x v="27"/>
    <s v="Level 20 Crypt"/>
    <x v="4"/>
  </r>
  <r>
    <d v="2026-05-04T18:14:00"/>
    <s v="Gifts"/>
    <s v="Elven Citadel Chest"/>
    <x v="44"/>
    <s v="Level 10 Citadel"/>
    <x v="11"/>
  </r>
  <r>
    <d v="2026-05-04T18:14:00"/>
    <s v="Gifts"/>
    <s v="Union Chest"/>
    <x v="39"/>
    <s v="Union of Triumph personal reward"/>
    <x v="1"/>
  </r>
  <r>
    <d v="2026-05-04T18:14:00"/>
    <s v="Gifts"/>
    <s v="Union Chest"/>
    <x v="39"/>
    <s v="Union of Triumph personal reward"/>
    <x v="1"/>
  </r>
  <r>
    <d v="2026-05-04T18:14:00"/>
    <s v="Gifts"/>
    <s v="Union Chest"/>
    <x v="39"/>
    <s v="Union of Triumph personal reward"/>
    <x v="1"/>
  </r>
  <r>
    <d v="2026-05-04T18:14:00"/>
    <s v="Gifts"/>
    <s v="Union Chest"/>
    <x v="39"/>
    <s v="Union of Triumph personal reward"/>
    <x v="1"/>
  </r>
  <r>
    <d v="2026-05-04T18:14:00"/>
    <s v="Gifts"/>
    <s v="Union Chest"/>
    <x v="39"/>
    <s v="Union of Triumph personal reward"/>
    <x v="1"/>
  </r>
  <r>
    <d v="2026-05-04T18:14:00"/>
    <s v="Gifts"/>
    <s v="Bone Chest"/>
    <x v="19"/>
    <s v="Level 15 Crypt"/>
    <x v="0"/>
  </r>
  <r>
    <d v="2026-05-04T18:14:00"/>
    <s v="Gifts"/>
    <s v="Sand Chest"/>
    <x v="10"/>
    <s v="Level 10 Crypt"/>
    <x v="2"/>
  </r>
  <r>
    <d v="2026-05-04T18:14:00"/>
    <s v="Gifts"/>
    <s v="Orc Chest"/>
    <x v="10"/>
    <s v="Level 10 Crypt"/>
    <x v="2"/>
  </r>
  <r>
    <d v="2026-05-04T18:14:00"/>
    <s v="Gifts"/>
    <s v="Sand Chest"/>
    <x v="10"/>
    <s v="Level 10 Crypt"/>
    <x v="2"/>
  </r>
  <r>
    <d v="2026-05-04T18:14:00"/>
    <s v="Gifts"/>
    <s v="Forgotten Chest"/>
    <x v="10"/>
    <s v="Level 10 Crypt"/>
    <x v="2"/>
  </r>
  <r>
    <d v="2026-05-04T18:14:00"/>
    <s v="Gifts"/>
    <s v="Elven Citadel Chest"/>
    <x v="44"/>
    <s v="Level 10 Citadel"/>
    <x v="11"/>
  </r>
  <r>
    <d v="2026-05-04T18:14:00"/>
    <s v="Gifts"/>
    <s v="Barbarian Chest"/>
    <x v="10"/>
    <s v="Level 10 Crypt"/>
    <x v="2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15 Crypt"/>
    <x v="0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Fire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Infernal Chest"/>
    <x v="41"/>
    <s v="Level 20 Crypt"/>
    <x v="4"/>
  </r>
  <r>
    <d v="2026-05-04T18:14:00"/>
    <s v="Gifts"/>
    <s v="Sand Chest"/>
    <x v="10"/>
    <s v="Level 10 Crypt"/>
    <x v="2"/>
  </r>
  <r>
    <d v="2026-05-04T18:14:00"/>
    <s v="Gifts"/>
    <s v="Cobra Chest"/>
    <x v="10"/>
    <s v="Level 10 Crypt"/>
    <x v="2"/>
  </r>
  <r>
    <d v="2026-05-04T18:14:00"/>
    <s v="Gifts"/>
    <s v="Gladiator's Chest"/>
    <x v="58"/>
    <s v="Arena"/>
    <x v="1"/>
  </r>
  <r>
    <d v="2026-05-04T18:14:00"/>
    <s v="Gifts"/>
    <s v="Cobra Chest"/>
    <x v="64"/>
    <s v="Level 10 Crypt"/>
    <x v="2"/>
  </r>
  <r>
    <d v="2026-05-04T18:14:00"/>
    <s v="Gifts"/>
    <s v="Forgotten Chest"/>
    <x v="19"/>
    <s v="Level 15 Crypt"/>
    <x v="0"/>
  </r>
  <r>
    <d v="2026-05-04T18:14:00"/>
    <s v="Gifts"/>
    <s v="Cobra Chest"/>
    <x v="10"/>
    <s v="Level 10 Crypt"/>
    <x v="2"/>
  </r>
  <r>
    <d v="2026-05-04T18:14:00"/>
    <s v="Gifts"/>
    <s v="Elven Citadel Chest"/>
    <x v="44"/>
    <s v="Level 10 Citadel"/>
    <x v="11"/>
  </r>
  <r>
    <d v="2026-05-04T18:14:00"/>
    <s v="Gifts"/>
    <s v="Bone Chest"/>
    <x v="10"/>
    <s v="Level 15 Crypt"/>
    <x v="0"/>
  </r>
  <r>
    <d v="2026-05-04T18:14:00"/>
    <s v="Gifts"/>
    <s v="Orc Chest"/>
    <x v="19"/>
    <s v="Level 10 Crypt"/>
    <x v="2"/>
  </r>
  <r>
    <d v="2026-05-04T18:14:00"/>
    <s v="Gifts"/>
    <s v="Elegant Chest"/>
    <x v="10"/>
    <s v="Level 15 Crypt"/>
    <x v="0"/>
  </r>
  <r>
    <d v="2026-05-04T18:14:00"/>
    <s v="Gifts"/>
    <s v="Infernal Chest"/>
    <x v="10"/>
    <s v="Level 10 Crypt"/>
    <x v="2"/>
  </r>
  <r>
    <d v="2026-05-04T18:14:00"/>
    <s v="Gifts"/>
    <s v="Stone Chest"/>
    <x v="10"/>
    <s v="Level 10 Crypt"/>
    <x v="2"/>
  </r>
  <r>
    <d v="2026-05-04T18:14:00"/>
    <s v="Gifts"/>
    <s v="Elven Citadel Chest"/>
    <x v="44"/>
    <s v="Level 10 Citadel"/>
    <x v="11"/>
  </r>
  <r>
    <d v="2026-05-04T18:14:00"/>
    <s v="Gifts"/>
    <s v="Elven Citadel Chest"/>
    <x v="19"/>
    <s v="Level 10 Citadel"/>
    <x v="11"/>
  </r>
  <r>
    <d v="2026-05-04T18:14:00"/>
    <s v="Gifts"/>
    <s v="Mayan Chest"/>
    <x v="37"/>
    <s v="Level 15 Crypt"/>
    <x v="0"/>
  </r>
  <r>
    <d v="2026-05-04T18:14:00"/>
    <s v="Gifts"/>
    <s v="Infernal Chest"/>
    <x v="37"/>
    <s v="Level 15 Crypt"/>
    <x v="0"/>
  </r>
  <r>
    <d v="2026-05-04T18:14:00"/>
    <s v="Gifts"/>
    <s v="Infernal Chest"/>
    <x v="10"/>
    <s v="Level 15 Crypt"/>
    <x v="0"/>
  </r>
  <r>
    <d v="2026-05-04T18:14:00"/>
    <s v="Triumphal Gifts"/>
    <s v="Silver Chest"/>
    <x v="14"/>
    <s v="Bank"/>
    <x v="5"/>
  </r>
  <r>
    <d v="2026-05-04T18:14:00"/>
    <s v="Triumphal Gifts"/>
    <s v="Silver Chest"/>
    <x v="14"/>
    <s v="Bank"/>
    <x v="5"/>
  </r>
  <r>
    <d v="2026-05-04T18:14:00"/>
    <s v="Triumphal Gifts"/>
    <s v="Silver Chest"/>
    <x v="14"/>
    <s v="Bank"/>
    <x v="5"/>
  </r>
  <r>
    <d v="2026-05-04T18:14:00"/>
    <s v="Triumphal Gifts"/>
    <s v="Wooden Chest"/>
    <x v="7"/>
    <s v="Bank"/>
    <x v="5"/>
  </r>
  <r>
    <d v="2026-05-04T18:14:00"/>
    <s v="Triumphal Gifts"/>
    <s v="Wooden Chest"/>
    <x v="7"/>
    <s v="Bank"/>
    <x v="5"/>
  </r>
  <r>
    <d v="2026-05-04T18:14:00"/>
    <s v="Triumphal Gifts"/>
    <s v="Wooden Chest"/>
    <x v="7"/>
    <s v="Bank"/>
    <x v="5"/>
  </r>
  <r>
    <d v="2026-05-04T18:14:00"/>
    <s v="Triumphal Gifts"/>
    <s v="Wooden Chest"/>
    <x v="66"/>
    <s v="Bank"/>
    <x v="5"/>
  </r>
  <r>
    <d v="2026-05-04T18:14:00"/>
    <s v="Triumphal Gifts"/>
    <s v="Wooden Chest"/>
    <x v="66"/>
    <s v="Bank"/>
    <x v="5"/>
  </r>
  <r>
    <d v="2026-05-04T18:14:00"/>
    <s v="Triumphal Gifts"/>
    <s v="Wooden Chest"/>
    <x v="66"/>
    <s v="Bank"/>
    <x v="5"/>
  </r>
  <r>
    <d v="2026-05-04T18:14:00"/>
    <s v="Triumphal Gifts"/>
    <s v="Wooden Chest"/>
    <x v="19"/>
    <s v="Bank"/>
    <x v="5"/>
  </r>
  <r>
    <d v="2026-05-04T18:14:00"/>
    <s v="Triumphal Gifts"/>
    <s v="Wooden Chest"/>
    <x v="19"/>
    <s v="Bank"/>
    <x v="5"/>
  </r>
  <r>
    <d v="2026-05-04T18:14:00"/>
    <s v="Triumphal Gifts"/>
    <s v="Wooden Chest"/>
    <x v="19"/>
    <s v="Bank"/>
    <x v="5"/>
  </r>
  <r>
    <d v="2026-05-04T18:14:00"/>
    <s v="Triumphal Gifts"/>
    <s v="Bronze Chest"/>
    <x v="19"/>
    <s v="Bank"/>
    <x v="5"/>
  </r>
  <r>
    <d v="2026-05-04T18:14:00"/>
    <s v="Triumphal Gifts"/>
    <s v="Bronze Chest"/>
    <x v="19"/>
    <s v="Bank"/>
    <x v="5"/>
  </r>
  <r>
    <d v="2026-05-04T18:14:00"/>
    <s v="Triumphal Gifts"/>
    <s v="Bronze Chest"/>
    <x v="19"/>
    <s v="Bank"/>
    <x v="5"/>
  </r>
  <r>
    <d v="2026-05-04T18:14:00"/>
    <s v="Triumphal Gifts"/>
    <s v="Silver Chest"/>
    <x v="19"/>
    <s v="Bank"/>
    <x v="5"/>
  </r>
  <r>
    <d v="2026-05-04T18:14:00"/>
    <s v="Triumphal Gifts"/>
    <s v="Silver Chest"/>
    <x v="19"/>
    <s v="Bank"/>
    <x v="5"/>
  </r>
  <r>
    <d v="2026-05-04T18:14:00"/>
    <s v="Triumphal Gifts"/>
    <s v="Silver Chest"/>
    <x v="19"/>
    <s v="Bank"/>
    <x v="5"/>
  </r>
  <r>
    <d v="2026-05-04T18:14:00"/>
    <s v="Triumphal Gifts"/>
    <s v="Wooden Chest"/>
    <x v="41"/>
    <s v="Bank"/>
    <x v="5"/>
  </r>
  <r>
    <d v="2026-05-04T18:14:00"/>
    <s v="Triumphal Gifts"/>
    <s v="Wooden Chest"/>
    <x v="41"/>
    <s v="Bank"/>
    <x v="5"/>
  </r>
  <r>
    <d v="2026-05-04T18:14:00"/>
    <s v="Triumphal Gifts"/>
    <s v="Wooden Chest"/>
    <x v="41"/>
    <s v="Bank"/>
    <x v="5"/>
  </r>
  <r>
    <d v="2026-05-04T18:14:00"/>
    <s v="Triumphal Gifts"/>
    <s v="Bronze Chest"/>
    <x v="41"/>
    <s v="Bank"/>
    <x v="5"/>
  </r>
  <r>
    <d v="2026-05-04T18:14:00"/>
    <s v="Triumphal Gifts"/>
    <s v="Bronze Chest"/>
    <x v="41"/>
    <s v="Bank"/>
    <x v="5"/>
  </r>
  <r>
    <d v="2026-05-04T18:14:00"/>
    <s v="Triumphal Gifts"/>
    <s v="Bronze Chest"/>
    <x v="41"/>
    <s v="Bank"/>
    <x v="5"/>
  </r>
  <r>
    <d v="2026-05-04T18:14:00"/>
    <s v="Triumphal Gifts"/>
    <s v="Wooden Chest"/>
    <x v="61"/>
    <s v="Bank"/>
    <x v="5"/>
  </r>
  <r>
    <d v="2026-05-04T18:14:00"/>
    <s v="Triumphal Gifts"/>
    <s v="Wooden Chest"/>
    <x v="61"/>
    <s v="Bank"/>
    <x v="5"/>
  </r>
  <r>
    <d v="2026-05-04T18:14:00"/>
    <s v="Triumphal Gifts"/>
    <s v="Wooden Chest"/>
    <x v="61"/>
    <s v="Bank"/>
    <x v="5"/>
  </r>
  <r>
    <d v="2026-05-04T18:14:00"/>
    <s v="Triumphal Gifts"/>
    <s v="Wooden Chest"/>
    <x v="27"/>
    <s v="Bank"/>
    <x v="5"/>
  </r>
  <r>
    <d v="2026-05-04T18:14:00"/>
    <s v="Triumphal Gifts"/>
    <s v="Wooden Chest"/>
    <x v="27"/>
    <s v="Bank"/>
    <x v="5"/>
  </r>
  <r>
    <d v="2026-05-04T18:14:00"/>
    <s v="Triumphal Gifts"/>
    <s v="Wooden Chest"/>
    <x v="27"/>
    <s v="Bank"/>
    <x v="5"/>
  </r>
  <r>
    <d v="2026-05-04T18:14:00"/>
    <s v="Triumphal Gifts"/>
    <s v="Golden Chest"/>
    <x v="19"/>
    <s v="Bank"/>
    <x v="5"/>
  </r>
  <r>
    <d v="2026-05-04T18:14:00"/>
    <s v="Triumphal Gifts"/>
    <s v="Golden Chest"/>
    <x v="19"/>
    <s v="Bank"/>
    <x v="5"/>
  </r>
  <r>
    <d v="2026-05-04T18:14:00"/>
    <s v="Triumphal Gifts"/>
    <s v="Golden Chest"/>
    <x v="19"/>
    <s v="Bank"/>
    <x v="5"/>
  </r>
  <r>
    <d v="2026-05-04T18:14:00"/>
    <s v="Triumphal Gifts"/>
    <s v="Wooden Chest"/>
    <x v="41"/>
    <s v="Bank"/>
    <x v="5"/>
  </r>
  <r>
    <d v="2026-05-04T18:14:00"/>
    <s v="Triumphal Gifts"/>
    <s v="Wooden Chest"/>
    <x v="41"/>
    <s v="Bank"/>
    <x v="5"/>
  </r>
  <r>
    <d v="2026-05-04T18:14:00"/>
    <s v="Triumphal Gifts"/>
    <s v="Wooden Chest"/>
    <x v="41"/>
    <s v="Bank"/>
    <x v="5"/>
  </r>
  <r>
    <d v="2026-05-04T21:59:00"/>
    <s v="Gifts"/>
    <s v="Stone Chest"/>
    <x v="63"/>
    <s v="Level 5 Crypt"/>
    <x v="3"/>
  </r>
  <r>
    <d v="2026-05-04T21:59:00"/>
    <s v="Gifts"/>
    <s v="Titansteel Chest"/>
    <x v="24"/>
    <s v="Level 15 epic Crypt"/>
    <x v="10"/>
  </r>
  <r>
    <d v="2026-05-04T21:59:00"/>
    <s v="Gifts"/>
    <s v="Fire Chest"/>
    <x v="42"/>
    <s v="Level 5 Crypt"/>
    <x v="3"/>
  </r>
  <r>
    <d v="2026-05-04T21:59:00"/>
    <s v="Gifts"/>
    <s v="Fire Chest"/>
    <x v="24"/>
    <s v="Level 15 Crypt"/>
    <x v="0"/>
  </r>
  <r>
    <d v="2026-05-04T21:59:00"/>
    <s v="Gifts"/>
    <s v="Infernal Chest"/>
    <x v="42"/>
    <s v="Level 5 Crypt"/>
    <x v="3"/>
  </r>
  <r>
    <d v="2026-05-04T21:59:00"/>
    <s v="Gifts"/>
    <s v="Bone Chest"/>
    <x v="8"/>
    <s v="Level 15 Crypt"/>
    <x v="0"/>
  </r>
  <r>
    <d v="2026-05-04T21:59:00"/>
    <s v="Gifts"/>
    <s v="Forgotten Chest"/>
    <x v="2"/>
    <s v="Level 10 Crypt"/>
    <x v="2"/>
  </r>
  <r>
    <d v="2026-05-04T21:59:00"/>
    <s v="Gifts"/>
    <s v="Stone Chest"/>
    <x v="8"/>
    <s v="Level 15 Crypt"/>
    <x v="0"/>
  </r>
  <r>
    <d v="2026-05-04T21:59:00"/>
    <s v="Gifts"/>
    <s v="Elven Citadel Chest"/>
    <x v="24"/>
    <s v="Level 10 Citadel"/>
    <x v="11"/>
  </r>
  <r>
    <d v="2026-05-04T21:59:00"/>
    <s v="Gifts"/>
    <s v="Gnome Workshop Chest"/>
    <x v="8"/>
    <s v="Level 15 Crypt"/>
    <x v="0"/>
  </r>
  <r>
    <d v="2026-05-04T21:59:00"/>
    <s v="Gifts"/>
    <s v="Infernal Chest"/>
    <x v="8"/>
    <s v="Level 15 Crypt"/>
    <x v="0"/>
  </r>
  <r>
    <d v="2026-05-04T21:59:00"/>
    <s v="Gifts"/>
    <s v="Barbarian Chest"/>
    <x v="8"/>
    <s v="Level 15 Crypt"/>
    <x v="0"/>
  </r>
  <r>
    <d v="2026-05-04T21:59:00"/>
    <s v="Gifts"/>
    <s v="Forgotten Chest"/>
    <x v="48"/>
    <s v="Level 5 Crypt"/>
    <x v="3"/>
  </r>
  <r>
    <d v="2026-05-04T21:59:00"/>
    <s v="Gifts"/>
    <s v="Sand Chest"/>
    <x v="8"/>
    <s v="Level 15 Crypt"/>
    <x v="0"/>
  </r>
  <r>
    <d v="2026-05-04T21:59:00"/>
    <s v="Gifts"/>
    <s v="Forgotten Chest"/>
    <x v="8"/>
    <s v="Level 15 Crypt"/>
    <x v="0"/>
  </r>
  <r>
    <d v="2026-05-04T21:59:00"/>
    <s v="Gifts"/>
    <s v="Forgotten Chest"/>
    <x v="48"/>
    <s v="Level 10 Crypt"/>
    <x v="2"/>
  </r>
  <r>
    <d v="2026-05-04T21:59:00"/>
    <s v="Gifts"/>
    <s v="Elven Citadel Chest"/>
    <x v="24"/>
    <s v="Level 10 Citadel"/>
    <x v="11"/>
  </r>
  <r>
    <d v="2026-05-04T21:59:00"/>
    <s v="Gifts"/>
    <s v="Fire Chest"/>
    <x v="2"/>
    <s v="Level 10 Crypt"/>
    <x v="2"/>
  </r>
  <r>
    <d v="2026-05-04T21:59:00"/>
    <s v="Gifts"/>
    <s v="Barbarian Chest"/>
    <x v="20"/>
    <s v="Level 5 Crypt"/>
    <x v="3"/>
  </r>
  <r>
    <d v="2026-05-04T21:59:00"/>
    <s v="Gifts"/>
    <s v="Forgotten Chest"/>
    <x v="44"/>
    <s v="Level 15 Crypt"/>
    <x v="0"/>
  </r>
  <r>
    <d v="2026-05-04T21:59:00"/>
    <s v="Gifts"/>
    <s v="Stone Chest"/>
    <x v="20"/>
    <s v="Level 10 Crypt"/>
    <x v="2"/>
  </r>
  <r>
    <d v="2026-05-04T21:59:00"/>
    <s v="Gifts"/>
    <s v="Sand Chest"/>
    <x v="20"/>
    <s v="Level 10 Crypt"/>
    <x v="2"/>
  </r>
  <r>
    <d v="2026-05-04T21:59:00"/>
    <s v="Gifts"/>
    <s v="Gladiator's Chest"/>
    <x v="20"/>
    <s v="Arena"/>
    <x v="1"/>
  </r>
  <r>
    <d v="2026-05-04T21:59:00"/>
    <s v="Gifts"/>
    <s v="Stone Chest"/>
    <x v="20"/>
    <s v="Level 5 Crypt"/>
    <x v="3"/>
  </r>
  <r>
    <d v="2026-05-04T21:59:00"/>
    <s v="Gifts"/>
    <s v="Elegant Chest"/>
    <x v="2"/>
    <s v="Level 10 Crypt"/>
    <x v="2"/>
  </r>
  <r>
    <d v="2026-05-04T21:59:00"/>
    <s v="Gifts"/>
    <s v="Rare Dragon Chest"/>
    <x v="20"/>
    <s v="Level 10 rare Crypt"/>
    <x v="8"/>
  </r>
  <r>
    <d v="2026-05-04T21:59:00"/>
    <s v="Gifts"/>
    <s v="Gnome Workshop Chest"/>
    <x v="8"/>
    <s v="Level 15 Crypt"/>
    <x v="0"/>
  </r>
  <r>
    <d v="2026-05-04T21:59:00"/>
    <s v="Gifts"/>
    <s v="Mayan Chest"/>
    <x v="2"/>
    <s v="Level 10 Crypt"/>
    <x v="2"/>
  </r>
  <r>
    <d v="2026-05-04T21:59:00"/>
    <s v="Gifts"/>
    <s v="Forgotten Chest"/>
    <x v="44"/>
    <s v="Level 15 Crypt"/>
    <x v="0"/>
  </r>
  <r>
    <d v="2026-05-04T21:59:00"/>
    <s v="Gifts"/>
    <s v="Cobra Chest"/>
    <x v="20"/>
    <s v="Level 10 Crypt"/>
    <x v="2"/>
  </r>
  <r>
    <d v="2026-05-04T21:59:00"/>
    <s v="Gifts"/>
    <s v="Trillium Chest"/>
    <x v="24"/>
    <s v="Level 15 epic Crypt"/>
    <x v="10"/>
  </r>
  <r>
    <d v="2026-05-04T21:59:00"/>
    <s v="Gifts"/>
    <s v="Cobalt Chest"/>
    <x v="24"/>
    <s v="Level 15 epic Crypt"/>
    <x v="10"/>
  </r>
  <r>
    <d v="2026-05-04T21:59:00"/>
    <s v="Gifts"/>
    <s v="Rare Dragon Chest"/>
    <x v="44"/>
    <s v="Level 10 rare Crypt"/>
    <x v="8"/>
  </r>
  <r>
    <d v="2026-05-04T21:59:00"/>
    <s v="Gifts"/>
    <s v="Gnome Workshop Chest"/>
    <x v="24"/>
    <s v="Level 10 Crypt"/>
    <x v="2"/>
  </r>
  <r>
    <d v="2026-05-04T21:59:00"/>
    <s v="Gifts"/>
    <s v="Rare Dragon Chest"/>
    <x v="44"/>
    <s v="Level 10 rare Crypt"/>
    <x v="8"/>
  </r>
  <r>
    <d v="2026-05-04T21:59:00"/>
    <s v="Gifts"/>
    <s v="Forgotten Chest"/>
    <x v="45"/>
    <s v="Level 10 Crypt"/>
    <x v="2"/>
  </r>
  <r>
    <d v="2026-05-04T21:59:00"/>
    <s v="Gifts"/>
    <s v="Barbarian Chest"/>
    <x v="2"/>
    <s v="Level 10 Crypt"/>
    <x v="2"/>
  </r>
  <r>
    <d v="2026-05-04T21:59:00"/>
    <s v="Gifts"/>
    <s v="Trillium Chest"/>
    <x v="45"/>
    <s v="Level 15 epic Crypt"/>
    <x v="10"/>
  </r>
  <r>
    <d v="2026-05-04T21:59:00"/>
    <s v="Gifts"/>
    <s v="Cobra Chest"/>
    <x v="2"/>
    <s v="Level 10 Crypt"/>
    <x v="2"/>
  </r>
  <r>
    <d v="2026-05-04T21:59:00"/>
    <s v="Gifts"/>
    <s v="Cobalt Chest"/>
    <x v="2"/>
    <s v="Level 15 epic Crypt"/>
    <x v="10"/>
  </r>
  <r>
    <d v="2026-05-04T21:59:00"/>
    <s v="Gifts"/>
    <s v="Barbarian Chest"/>
    <x v="2"/>
    <s v="Level 10 Crypt"/>
    <x v="2"/>
  </r>
  <r>
    <d v="2026-05-04T21:59:00"/>
    <s v="Gifts"/>
    <s v="Scarab Chest"/>
    <x v="2"/>
    <s v="Level 15 epic Crypt"/>
    <x v="10"/>
  </r>
  <r>
    <d v="2026-05-04T21:59:00"/>
    <s v="Gifts"/>
    <s v="Rare Dragon Chest"/>
    <x v="45"/>
    <s v="Level 10 rare Crypt"/>
    <x v="8"/>
  </r>
  <r>
    <d v="2026-05-04T21:59:00"/>
    <s v="Gifts"/>
    <s v="Cobra Chest"/>
    <x v="2"/>
    <s v="Level 5 Crypt"/>
    <x v="3"/>
  </r>
  <r>
    <d v="2026-05-04T21:59:00"/>
    <s v="Gifts"/>
    <s v="Orc Chest"/>
    <x v="45"/>
    <s v="Level 15 Crypt"/>
    <x v="0"/>
  </r>
  <r>
    <d v="2026-05-04T21:59:00"/>
    <s v="Gifts"/>
    <s v="Gnome Workshop Chest"/>
    <x v="6"/>
    <s v="Level 5 Crypt"/>
    <x v="3"/>
  </r>
  <r>
    <d v="2026-05-04T21:59:00"/>
    <s v="Gifts"/>
    <s v="Fire Chest"/>
    <x v="6"/>
    <s v="Level 10 Crypt"/>
    <x v="2"/>
  </r>
  <r>
    <d v="2026-05-04T21:59:00"/>
    <s v="Gifts"/>
    <s v="Elegant Chest"/>
    <x v="6"/>
    <s v="Level 10 Crypt"/>
    <x v="2"/>
  </r>
  <r>
    <d v="2026-05-04T21:59:00"/>
    <s v="Gifts"/>
    <s v="Gladiator's Chest"/>
    <x v="6"/>
    <s v="Arena"/>
    <x v="1"/>
  </r>
  <r>
    <d v="2026-05-04T21:59:00"/>
    <s v="Gifts"/>
    <s v="Orc Chest"/>
    <x v="6"/>
    <s v="Level 10 Crypt"/>
    <x v="2"/>
  </r>
  <r>
    <d v="2026-05-04T21:59:00"/>
    <s v="Gifts"/>
    <s v="Forgotten Chest"/>
    <x v="6"/>
    <s v="Level 10 Crypt"/>
    <x v="2"/>
  </r>
  <r>
    <d v="2026-05-04T21:59:00"/>
    <s v="Gifts"/>
    <s v="Stone Chest"/>
    <x v="6"/>
    <s v="Level 10 Crypt"/>
    <x v="2"/>
  </r>
  <r>
    <d v="2026-05-04T21:59:00"/>
    <s v="Gifts"/>
    <s v="Forgotten Chest"/>
    <x v="20"/>
    <s v="Level 5 Crypt"/>
    <x v="3"/>
  </r>
  <r>
    <d v="2026-05-04T21:59:00"/>
    <s v="Gifts"/>
    <s v="Infernal Chest"/>
    <x v="6"/>
    <s v="Level 10 Crypt"/>
    <x v="2"/>
  </r>
  <r>
    <d v="2026-05-04T21:59:00"/>
    <s v="Gifts"/>
    <s v="Bone Chest"/>
    <x v="6"/>
    <s v="Level 10 Crypt"/>
    <x v="2"/>
  </r>
  <r>
    <d v="2026-05-04T21:59:00"/>
    <s v="Gifts"/>
    <s v="Cobra Chest"/>
    <x v="6"/>
    <s v="Level 10 Crypt"/>
    <x v="2"/>
  </r>
  <r>
    <d v="2026-05-04T21:59:00"/>
    <s v="Gifts"/>
    <s v="Sand Chest"/>
    <x v="45"/>
    <s v="Level 15 Crypt"/>
    <x v="0"/>
  </r>
  <r>
    <d v="2026-05-04T21:59:00"/>
    <s v="Gifts"/>
    <s v="Fire Chest"/>
    <x v="6"/>
    <s v="Level 10 Crypt"/>
    <x v="2"/>
  </r>
  <r>
    <d v="2026-05-04T21:59:00"/>
    <s v="Gifts"/>
    <s v="Rare Dragon Chest"/>
    <x v="6"/>
    <s v="Level 15 rare Crypt"/>
    <x v="13"/>
  </r>
  <r>
    <d v="2026-05-04T21:59:00"/>
    <s v="Gifts"/>
    <s v="Gladiator's Chest"/>
    <x v="45"/>
    <s v="Arena"/>
    <x v="1"/>
  </r>
  <r>
    <d v="2026-05-04T21:59:00"/>
    <s v="Gifts"/>
    <s v="Infernal Chest"/>
    <x v="49"/>
    <s v="Level 5 Crypt"/>
    <x v="3"/>
  </r>
  <r>
    <d v="2026-05-04T21:59:00"/>
    <s v="Gifts"/>
    <s v="Rare Dragon Chest"/>
    <x v="6"/>
    <s v="Level 15 rare Crypt"/>
    <x v="13"/>
  </r>
  <r>
    <d v="2026-05-04T21:59:00"/>
    <s v="Gifts"/>
    <s v="Gnome Workshop Chest"/>
    <x v="8"/>
    <s v="Level 10 Crypt"/>
    <x v="2"/>
  </r>
  <r>
    <d v="2026-05-04T21:59:00"/>
    <s v="Gifts"/>
    <s v="Elegant Chest"/>
    <x v="6"/>
    <s v="Level 5 Crypt"/>
    <x v="3"/>
  </r>
  <r>
    <d v="2026-05-04T21:59:00"/>
    <s v="Gifts"/>
    <s v="Orc Chest"/>
    <x v="6"/>
    <s v="Level 5 Crypt"/>
    <x v="3"/>
  </r>
  <r>
    <d v="2026-05-04T21:59:00"/>
    <s v="Gifts"/>
    <s v="Mayan Chest"/>
    <x v="6"/>
    <s v="Level 10 Crypt"/>
    <x v="2"/>
  </r>
  <r>
    <d v="2026-05-04T21:59:00"/>
    <s v="Gifts"/>
    <s v="Rare Dragon Chest"/>
    <x v="45"/>
    <s v="Level 10 rare Crypt"/>
    <x v="8"/>
  </r>
  <r>
    <d v="2026-05-04T21:59:00"/>
    <s v="Triumphal Gifts"/>
    <s v="Wooden Chest"/>
    <x v="37"/>
    <s v="Bank"/>
    <x v="5"/>
  </r>
  <r>
    <d v="2026-05-04T21:59:00"/>
    <s v="Triumphal Gifts"/>
    <s v="Wooden Chest"/>
    <x v="37"/>
    <s v="Bank"/>
    <x v="5"/>
  </r>
  <r>
    <d v="2026-05-04T21:59:00"/>
    <s v="Triumphal Gifts"/>
    <s v="Wooden Chest"/>
    <x v="37"/>
    <s v="Bank"/>
    <x v="5"/>
  </r>
  <r>
    <d v="2026-05-04T21:59:00"/>
    <s v="Triumphal Gifts"/>
    <s v="Wooden Chest"/>
    <x v="24"/>
    <s v="Bank"/>
    <x v="5"/>
  </r>
  <r>
    <d v="2026-05-04T21:59:00"/>
    <s v="Triumphal Gifts"/>
    <s v="Wooden Chest"/>
    <x v="24"/>
    <s v="Bank"/>
    <x v="5"/>
  </r>
  <r>
    <d v="2026-05-04T21:59:00"/>
    <s v="Triumphal Gifts"/>
    <s v="Wooden Chest"/>
    <x v="24"/>
    <s v="Bank"/>
    <x v="5"/>
  </r>
  <r>
    <d v="2026-05-04T21:59:00"/>
    <s v="Triumphal Gifts"/>
    <s v="Bronze Chest"/>
    <x v="24"/>
    <s v="Bank"/>
    <x v="5"/>
  </r>
  <r>
    <d v="2026-05-04T21:59:00"/>
    <s v="Triumphal Gifts"/>
    <s v="Bronze Chest"/>
    <x v="24"/>
    <s v="Bank"/>
    <x v="5"/>
  </r>
  <r>
    <d v="2026-05-04T21:59:00"/>
    <s v="Triumphal Gifts"/>
    <s v="Bronze Chest"/>
    <x v="24"/>
    <s v="Bank"/>
    <x v="5"/>
  </r>
  <r>
    <d v="2026-05-04T23:28:00"/>
    <s v="Gifts"/>
    <s v="Elven Citadel Chest"/>
    <x v="2"/>
    <s v="Level 10 Citadel"/>
    <x v="11"/>
  </r>
  <r>
    <d v="2026-05-04T23:28:00"/>
    <s v="Gifts"/>
    <s v="Elegant Chest"/>
    <x v="8"/>
    <s v="Level 10 Crypt"/>
    <x v="2"/>
  </r>
  <r>
    <d v="2026-05-04T23:28:00"/>
    <s v="Gifts"/>
    <s v="Rare Dragon Chest"/>
    <x v="2"/>
    <s v="Level 10 rare Crypt"/>
    <x v="8"/>
  </r>
  <r>
    <d v="2026-05-04T23:28:00"/>
    <s v="Gifts"/>
    <s v="Infernal Chest"/>
    <x v="8"/>
    <s v="Level 10 Crypt"/>
    <x v="2"/>
  </r>
  <r>
    <d v="2026-05-04T23:28:00"/>
    <s v="Gifts"/>
    <s v="Fire Chest"/>
    <x v="8"/>
    <s v="Level 10 Crypt"/>
    <x v="2"/>
  </r>
  <r>
    <d v="2026-05-04T23:28:00"/>
    <s v="Gifts"/>
    <s v="Sand Chest"/>
    <x v="8"/>
    <s v="Level 10 Crypt"/>
    <x v="2"/>
  </r>
  <r>
    <d v="2026-05-04T23:28:00"/>
    <s v="Gifts"/>
    <s v="Infernal Chest"/>
    <x v="8"/>
    <s v="Level 10 Crypt"/>
    <x v="2"/>
  </r>
  <r>
    <d v="2026-05-04T23:28:00"/>
    <s v="Gifts"/>
    <s v="Infernal Chest"/>
    <x v="8"/>
    <s v="Level 10 Crypt"/>
    <x v="2"/>
  </r>
  <r>
    <d v="2026-05-04T23:28:00"/>
    <s v="Gifts"/>
    <s v="Mayan Chest"/>
    <x v="2"/>
    <s v="Level 10 Crypt"/>
    <x v="2"/>
  </r>
  <r>
    <d v="2026-05-04T23:28:00"/>
    <s v="Gifts"/>
    <s v="Priest's Chest"/>
    <x v="9"/>
    <s v="Level 15 epic Crypt"/>
    <x v="10"/>
  </r>
  <r>
    <d v="2026-05-04T23:28:00"/>
    <s v="Gifts"/>
    <s v="Priest's Chest"/>
    <x v="9"/>
    <s v="Level 15 epic Crypt"/>
    <x v="10"/>
  </r>
  <r>
    <d v="2026-05-04T23:28:00"/>
    <s v="Gifts"/>
    <s v="Priest's Chest"/>
    <x v="9"/>
    <s v="Level 15 epic Crypt"/>
    <x v="10"/>
  </r>
  <r>
    <d v="2026-05-04T23:28:00"/>
    <s v="Gifts"/>
    <s v="Gnome Workshop Chest"/>
    <x v="61"/>
    <s v="Level 15 Crypt"/>
    <x v="0"/>
  </r>
  <r>
    <d v="2026-05-04T23:28:00"/>
    <s v="Gifts"/>
    <s v="Bone Chest"/>
    <x v="8"/>
    <s v="Level 10 Crypt"/>
    <x v="2"/>
  </r>
  <r>
    <d v="2026-05-04T23:28:00"/>
    <s v="Gifts"/>
    <s v="Gnome Workshop Chest"/>
    <x v="2"/>
    <s v="Level 10 Crypt"/>
    <x v="2"/>
  </r>
  <r>
    <d v="2026-05-04T23:28:00"/>
    <s v="Gifts"/>
    <s v="Infernal Chest"/>
    <x v="8"/>
    <s v="Level 10 Crypt"/>
    <x v="2"/>
  </r>
  <r>
    <d v="2026-05-04T23:28:00"/>
    <s v="Gifts"/>
    <s v="Cobra Chest"/>
    <x v="8"/>
    <s v="Level 10 Crypt"/>
    <x v="2"/>
  </r>
  <r>
    <d v="2026-05-04T23:28:00"/>
    <s v="Gifts"/>
    <s v="Common Chest of Wealth"/>
    <x v="9"/>
    <s v="Clan wealth"/>
    <x v="1"/>
  </r>
  <r>
    <d v="2026-05-04T23:28:00"/>
    <s v="Gifts"/>
    <s v="Uncommon Chest of Wealth"/>
    <x v="9"/>
    <s v="Clan wealth"/>
    <x v="1"/>
  </r>
  <r>
    <d v="2026-05-04T23:28:00"/>
    <s v="Gifts"/>
    <s v="Rare Chest of Wealth"/>
    <x v="9"/>
    <s v="Clan wealth"/>
    <x v="1"/>
  </r>
  <r>
    <d v="2026-05-04T23:28:00"/>
    <s v="Gifts"/>
    <s v="Orc Chest"/>
    <x v="8"/>
    <s v="Level 10 Crypt"/>
    <x v="2"/>
  </r>
  <r>
    <d v="2026-05-04T23:28:00"/>
    <s v="Gifts"/>
    <s v="Sand Chest"/>
    <x v="8"/>
    <s v="Level 10 Crypt"/>
    <x v="2"/>
  </r>
  <r>
    <d v="2026-05-04T23:28:00"/>
    <s v="Gifts"/>
    <s v="Mayan Chest"/>
    <x v="2"/>
    <s v="Level 10 Crypt"/>
    <x v="2"/>
  </r>
  <r>
    <d v="2026-05-04T23:28:00"/>
    <s v="Gifts"/>
    <s v="Bone Chest"/>
    <x v="8"/>
    <s v="Level 10 Crypt"/>
    <x v="2"/>
  </r>
  <r>
    <d v="2026-05-04T23:28:00"/>
    <s v="Gifts"/>
    <s v="Orc Chest"/>
    <x v="8"/>
    <s v="Level 10 Crypt"/>
    <x v="2"/>
  </r>
  <r>
    <d v="2026-05-04T23:28:00"/>
    <s v="Gifts"/>
    <s v="Bone Chest"/>
    <x v="8"/>
    <s v="Level 10 Crypt"/>
    <x v="2"/>
  </r>
  <r>
    <d v="2026-05-04T23:28:00"/>
    <s v="Gifts"/>
    <s v="Stone Chest"/>
    <x v="8"/>
    <s v="Level 10 Crypt"/>
    <x v="2"/>
  </r>
  <r>
    <d v="2026-05-04T23:28:00"/>
    <s v="Gifts"/>
    <s v="Bone Chest"/>
    <x v="8"/>
    <s v="Level 10 Crypt"/>
    <x v="2"/>
  </r>
  <r>
    <d v="2026-05-04T23:28:00"/>
    <s v="Gifts"/>
    <s v="Fire Chest"/>
    <x v="8"/>
    <s v="Level 10 Crypt"/>
    <x v="2"/>
  </r>
  <r>
    <d v="2026-05-04T23:28:00"/>
    <s v="Gifts"/>
    <s v="Stone Chest"/>
    <x v="8"/>
    <s v="Level 10 Crypt"/>
    <x v="2"/>
  </r>
  <r>
    <d v="2026-05-04T23:28:00"/>
    <s v="Gifts"/>
    <s v="Elegant Chest"/>
    <x v="8"/>
    <s v="Level 10 Crypt"/>
    <x v="2"/>
  </r>
  <r>
    <d v="2026-05-04T23:28:00"/>
    <s v="Gifts"/>
    <s v="Elegant Chest"/>
    <x v="8"/>
    <s v="Level 10 Crypt"/>
    <x v="2"/>
  </r>
  <r>
    <d v="2026-05-04T23:28:00"/>
    <s v="Gifts"/>
    <s v="Bone Chest"/>
    <x v="8"/>
    <s v="Level 10 Crypt"/>
    <x v="2"/>
  </r>
  <r>
    <d v="2026-05-04T23:28:00"/>
    <s v="Gifts"/>
    <s v="Cobra Chest"/>
    <x v="8"/>
    <s v="Level 10 Crypt"/>
    <x v="2"/>
  </r>
  <r>
    <d v="2026-05-04T23:28:00"/>
    <s v="Gifts"/>
    <s v="Barbarian Chest"/>
    <x v="8"/>
    <s v="Level 10 Crypt"/>
    <x v="2"/>
  </r>
  <r>
    <d v="2026-05-04T23:28:00"/>
    <s v="Gifts"/>
    <s v="Bone Chest"/>
    <x v="8"/>
    <s v="Level 10 Crypt"/>
    <x v="2"/>
  </r>
  <r>
    <d v="2026-05-04T23:28:00"/>
    <s v="Gifts"/>
    <s v="Gladiator's Chest"/>
    <x v="63"/>
    <s v="Arena"/>
    <x v="1"/>
  </r>
  <r>
    <d v="2026-05-04T23:28:00"/>
    <s v="Gifts"/>
    <s v="Cobra Chest"/>
    <x v="8"/>
    <s v="Level 10 Crypt"/>
    <x v="2"/>
  </r>
  <r>
    <d v="2026-05-04T23:28:00"/>
    <s v="Gifts"/>
    <s v="Gnome Workshop Chest"/>
    <x v="8"/>
    <s v="Level 10 Crypt"/>
    <x v="2"/>
  </r>
  <r>
    <d v="2026-05-04T23:28:00"/>
    <s v="Gifts"/>
    <s v="Sand Chest"/>
    <x v="8"/>
    <s v="Level 10 Crypt"/>
    <x v="2"/>
  </r>
  <r>
    <d v="2026-05-04T23:28:00"/>
    <s v="Gifts"/>
    <s v="Fire Chest"/>
    <x v="9"/>
    <s v="Level 15 Crypt"/>
    <x v="0"/>
  </r>
  <r>
    <d v="2026-05-04T23:28:00"/>
    <s v="Gifts"/>
    <s v="Gnome Workshop Chest"/>
    <x v="8"/>
    <s v="Level 10 Crypt"/>
    <x v="2"/>
  </r>
  <r>
    <d v="2026-05-04T23:28:00"/>
    <s v="Gifts"/>
    <s v="Stone Chest"/>
    <x v="8"/>
    <s v="Level 10 Crypt"/>
    <x v="2"/>
  </r>
  <r>
    <d v="2026-05-04T23:28:00"/>
    <s v="Gifts"/>
    <s v="Gnome Workshop Chest"/>
    <x v="8"/>
    <s v="Level 10 Crypt"/>
    <x v="2"/>
  </r>
  <r>
    <d v="2026-05-04T23:28:00"/>
    <s v="Gifts"/>
    <s v="Cobra Chest"/>
    <x v="8"/>
    <s v="Level 10 Crypt"/>
    <x v="2"/>
  </r>
  <r>
    <d v="2026-05-04T23:28:00"/>
    <s v="Gifts"/>
    <s v="Elegant Chest"/>
    <x v="8"/>
    <s v="Level 10 Crypt"/>
    <x v="2"/>
  </r>
  <r>
    <d v="2026-05-04T23:28:00"/>
    <s v="Gifts"/>
    <s v="Sand Chest"/>
    <x v="8"/>
    <s v="Level 10 Crypt"/>
    <x v="2"/>
  </r>
  <r>
    <d v="2026-05-04T23:28:00"/>
    <s v="Gifts"/>
    <s v="Sand Chest"/>
    <x v="49"/>
    <s v="Level 5 Crypt"/>
    <x v="3"/>
  </r>
  <r>
    <d v="2026-05-04T23:28:00"/>
    <s v="Gifts"/>
    <s v="Forgotten Chest"/>
    <x v="49"/>
    <s v="Level 5 Crypt"/>
    <x v="3"/>
  </r>
  <r>
    <d v="2026-05-04T23:28:00"/>
    <s v="Triumphal Gifts"/>
    <s v="Bronze Chest"/>
    <x v="61"/>
    <s v="Bank"/>
    <x v="5"/>
  </r>
  <r>
    <d v="2026-05-04T23:28:00"/>
    <s v="Triumphal Gifts"/>
    <s v="Bronze Chest"/>
    <x v="61"/>
    <s v="Bank"/>
    <x v="5"/>
  </r>
  <r>
    <d v="2026-05-04T23:28:00"/>
    <s v="Triumphal Gifts"/>
    <s v="Bronze Chest"/>
    <x v="61"/>
    <s v="Bank"/>
    <x v="5"/>
  </r>
  <r>
    <d v="2026-05-04T23:28:00"/>
    <s v="Triumphal Gifts"/>
    <s v="Silver Chest"/>
    <x v="61"/>
    <s v="Bank"/>
    <x v="5"/>
  </r>
  <r>
    <d v="2026-05-04T23:28:00"/>
    <s v="Triumphal Gifts"/>
    <s v="Silver Chest"/>
    <x v="61"/>
    <s v="Bank"/>
    <x v="5"/>
  </r>
  <r>
    <d v="2026-05-04T23:28:00"/>
    <s v="Triumphal Gifts"/>
    <s v="Silver Chest"/>
    <x v="61"/>
    <s v="Bank"/>
    <x v="5"/>
  </r>
  <r>
    <d v="2026-05-04T23:28:00"/>
    <s v="Triumphal Gifts"/>
    <s v="Wooden Chest"/>
    <x v="14"/>
    <s v="Bank"/>
    <x v="5"/>
  </r>
  <r>
    <d v="2026-05-04T23:28:00"/>
    <s v="Triumphal Gifts"/>
    <s v="Wooden Chest"/>
    <x v="14"/>
    <s v="Bank"/>
    <x v="5"/>
  </r>
  <r>
    <d v="2026-05-04T23:28:00"/>
    <s v="Triumphal Gifts"/>
    <s v="Wooden Chest"/>
    <x v="14"/>
    <s v="Bank"/>
    <x v="5"/>
  </r>
  <r>
    <d v="2026-05-05T00:28:00"/>
    <s v="Gifts"/>
    <s v="Infernal Chest"/>
    <x v="8"/>
    <s v="Level 10 Crypt"/>
    <x v="2"/>
  </r>
  <r>
    <d v="2026-05-05T00:28:00"/>
    <s v="Gifts"/>
    <s v="Fire Chest"/>
    <x v="2"/>
    <s v="Level 10 Crypt"/>
    <x v="2"/>
  </r>
  <r>
    <d v="2026-05-05T00:28:00"/>
    <s v="Gifts"/>
    <s v="Infernal Chest"/>
    <x v="32"/>
    <s v="Level 10 Crypt"/>
    <x v="2"/>
  </r>
  <r>
    <d v="2026-05-05T00:28:00"/>
    <s v="Gifts"/>
    <s v="Bone Chest"/>
    <x v="5"/>
    <s v="Level 10 Crypt"/>
    <x v="2"/>
  </r>
  <r>
    <d v="2026-05-05T00:28:00"/>
    <s v="Gifts"/>
    <s v="Fire Chest"/>
    <x v="5"/>
    <s v="Level 10 Crypt"/>
    <x v="2"/>
  </r>
  <r>
    <d v="2026-05-05T00:28:00"/>
    <s v="Gifts"/>
    <s v="Cobra Chest"/>
    <x v="63"/>
    <s v="Level 5 Crypt"/>
    <x v="3"/>
  </r>
  <r>
    <d v="2026-05-05T00:28:00"/>
    <s v="Gifts"/>
    <s v="Gnome Workshop Chest"/>
    <x v="9"/>
    <s v="Level 15 Crypt"/>
    <x v="0"/>
  </r>
  <r>
    <d v="2026-05-05T00:28:00"/>
    <s v="Gifts"/>
    <s v="Gnome Workshop Chest"/>
    <x v="2"/>
    <s v="Level 10 Crypt"/>
    <x v="2"/>
  </r>
  <r>
    <d v="2026-05-05T00:28:00"/>
    <s v="Gifts"/>
    <s v="Orc Chest"/>
    <x v="5"/>
    <s v="Level 10 Crypt"/>
    <x v="2"/>
  </r>
  <r>
    <d v="2026-05-05T00:28:00"/>
    <s v="Gifts"/>
    <s v="Fire Chest"/>
    <x v="67"/>
    <s v="Level 5 Crypt"/>
    <x v="3"/>
  </r>
  <r>
    <d v="2026-05-05T00:28:00"/>
    <s v="Gifts"/>
    <s v="Fire Chest"/>
    <x v="5"/>
    <s v="Level 5 Crypt"/>
    <x v="3"/>
  </r>
  <r>
    <d v="2026-05-05T00:28:00"/>
    <s v="Gifts"/>
    <s v="Elven Citadel Chest"/>
    <x v="3"/>
    <s v="Level 20 Citadel"/>
    <x v="6"/>
  </r>
  <r>
    <d v="2026-05-05T00:28:00"/>
    <s v="Gifts"/>
    <s v="Elegant Chest"/>
    <x v="5"/>
    <s v="Level 5 Crypt"/>
    <x v="3"/>
  </r>
  <r>
    <d v="2026-05-05T00:28:00"/>
    <s v="Gifts"/>
    <s v="Fire Chest"/>
    <x v="2"/>
    <s v="Level 20 Crypt"/>
    <x v="4"/>
  </r>
  <r>
    <d v="2026-05-05T00:28:00"/>
    <s v="Gifts"/>
    <s v="Cobra Chest"/>
    <x v="9"/>
    <s v="Level 15 Crypt"/>
    <x v="0"/>
  </r>
  <r>
    <d v="2026-05-05T00:28:00"/>
    <s v="Gifts"/>
    <s v="Gnome Workshop Chest"/>
    <x v="9"/>
    <s v="Level 15 Crypt"/>
    <x v="0"/>
  </r>
  <r>
    <d v="2026-05-05T00:28:00"/>
    <s v="Gifts"/>
    <s v="Gnome Workshop Chest"/>
    <x v="43"/>
    <s v="Level 15 Crypt"/>
    <x v="0"/>
  </r>
  <r>
    <d v="2026-05-05T00:28:00"/>
    <s v="Gifts"/>
    <s v="Mayan Chest"/>
    <x v="14"/>
    <s v="Level 5 Crypt"/>
    <x v="3"/>
  </r>
  <r>
    <d v="2026-05-05T00:28:00"/>
    <s v="Gifts"/>
    <s v="Bone Chest"/>
    <x v="9"/>
    <s v="Level 15 Crypt"/>
    <x v="0"/>
  </r>
  <r>
    <d v="2026-05-05T00:28:00"/>
    <s v="Gifts"/>
    <s v="Cobra Chest"/>
    <x v="60"/>
    <s v="Level 5 Crypt"/>
    <x v="3"/>
  </r>
  <r>
    <d v="2026-05-05T00:28:00"/>
    <s v="Gifts"/>
    <s v="Mayan Chest"/>
    <x v="9"/>
    <s v="Level 15 Crypt"/>
    <x v="0"/>
  </r>
  <r>
    <d v="2026-05-05T00:28:00"/>
    <s v="Gifts"/>
    <s v="Cursed Citadel Chest"/>
    <x v="3"/>
    <s v="Level 20 Citadel"/>
    <x v="6"/>
  </r>
  <r>
    <d v="2026-05-05T00:28:00"/>
    <s v="Gifts"/>
    <s v="Infernal Chest"/>
    <x v="9"/>
    <s v="Level 15 Crypt"/>
    <x v="0"/>
  </r>
  <r>
    <d v="2026-05-05T00:28:00"/>
    <s v="Gifts"/>
    <s v="Forgotten Chest"/>
    <x v="14"/>
    <s v="Level 10 Crypt"/>
    <x v="2"/>
  </r>
  <r>
    <d v="2026-05-05T00:28:00"/>
    <s v="Gifts"/>
    <s v="Forgotten Chest"/>
    <x v="9"/>
    <s v="Level 15 Crypt"/>
    <x v="0"/>
  </r>
  <r>
    <d v="2026-05-05T00:28:00"/>
    <s v="Gifts"/>
    <s v="Elegant Chest"/>
    <x v="9"/>
    <s v="Level 15 Crypt"/>
    <x v="0"/>
  </r>
  <r>
    <d v="2026-05-05T00:28:00"/>
    <s v="Gifts"/>
    <s v="Gnome Workshop Chest"/>
    <x v="8"/>
    <s v="Level 10 Crypt"/>
    <x v="2"/>
  </r>
  <r>
    <d v="2026-05-05T00:28:00"/>
    <s v="Gifts"/>
    <s v="Mayan Chest"/>
    <x v="9"/>
    <s v="Level 15 Crypt"/>
    <x v="0"/>
  </r>
  <r>
    <d v="2026-05-05T00:28:00"/>
    <s v="Gifts"/>
    <s v="Forgotten Chest"/>
    <x v="9"/>
    <s v="Level 15 Crypt"/>
    <x v="0"/>
  </r>
  <r>
    <d v="2026-05-05T00:28:00"/>
    <s v="Gifts"/>
    <s v="Forgotten Chest"/>
    <x v="9"/>
    <s v="Level 15 Crypt"/>
    <x v="0"/>
  </r>
  <r>
    <d v="2026-05-05T00:28:00"/>
    <s v="Gifts"/>
    <s v="Elegant Chest"/>
    <x v="9"/>
    <s v="Level 15 Crypt"/>
    <x v="0"/>
  </r>
  <r>
    <d v="2026-05-05T00:28:00"/>
    <s v="Gifts"/>
    <s v="Cobra Chest"/>
    <x v="9"/>
    <s v="Level 15 Crypt"/>
    <x v="0"/>
  </r>
  <r>
    <d v="2026-05-05T00:28:00"/>
    <s v="Gifts"/>
    <s v="Infernal Chest"/>
    <x v="2"/>
    <s v="Level 10 Crypt"/>
    <x v="2"/>
  </r>
  <r>
    <d v="2026-05-05T00:28:00"/>
    <s v="Gifts"/>
    <s v="Mayan Chest"/>
    <x v="9"/>
    <s v="Level 15 Crypt"/>
    <x v="0"/>
  </r>
  <r>
    <d v="2026-05-05T00:28:00"/>
    <s v="Gifts"/>
    <s v="Stone Chest"/>
    <x v="9"/>
    <s v="Level 15 Crypt"/>
    <x v="0"/>
  </r>
  <r>
    <d v="2026-05-05T00:28:00"/>
    <s v="Triumphal Gifts"/>
    <s v="Wooden Chest"/>
    <x v="3"/>
    <s v="Bank"/>
    <x v="5"/>
  </r>
  <r>
    <d v="2026-05-05T00:28:00"/>
    <s v="Triumphal Gifts"/>
    <s v="Wooden Chest"/>
    <x v="3"/>
    <s v="Bank"/>
    <x v="5"/>
  </r>
  <r>
    <d v="2026-05-05T00:28:00"/>
    <s v="Triumphal Gifts"/>
    <s v="Wooden Chest"/>
    <x v="3"/>
    <s v="Bank"/>
    <x v="5"/>
  </r>
  <r>
    <d v="2026-05-05T00:28:00"/>
    <s v="Triumphal Gifts"/>
    <s v="Precious Chest"/>
    <x v="3"/>
    <s v="Bank"/>
    <x v="5"/>
  </r>
  <r>
    <d v="2026-05-05T00:28:00"/>
    <s v="Triumphal Gifts"/>
    <s v="Precious Chest"/>
    <x v="3"/>
    <s v="Bank"/>
    <x v="5"/>
  </r>
  <r>
    <d v="2026-05-05T00:28:00"/>
    <s v="Triumphal Gifts"/>
    <s v="Precious Chest"/>
    <x v="3"/>
    <s v="Bank"/>
    <x v="5"/>
  </r>
  <r>
    <d v="2026-05-05T00:59:00"/>
    <s v="Gifts"/>
    <s v="Mayan Chest"/>
    <x v="2"/>
    <s v="Level 10 Crypt"/>
    <x v="2"/>
  </r>
  <r>
    <d v="2026-05-05T00:59:00"/>
    <s v="Gifts"/>
    <s v="Sand Chest"/>
    <x v="8"/>
    <s v="Level 10 Crypt"/>
    <x v="2"/>
  </r>
  <r>
    <d v="2026-05-05T00:59:00"/>
    <s v="Gifts"/>
    <s v="Barbarian Chest"/>
    <x v="8"/>
    <s v="Level 10 Crypt"/>
    <x v="2"/>
  </r>
  <r>
    <d v="2026-05-05T00:59:00"/>
    <s v="Gifts"/>
    <s v="Infernal Chest"/>
    <x v="8"/>
    <s v="Level 10 Crypt"/>
    <x v="2"/>
  </r>
  <r>
    <d v="2026-05-05T00:59:00"/>
    <s v="Gifts"/>
    <s v="Elegant Chest"/>
    <x v="8"/>
    <s v="Level 10 Crypt"/>
    <x v="2"/>
  </r>
  <r>
    <d v="2026-05-05T00:59:00"/>
    <s v="Gifts"/>
    <s v="Elven Citadel Chest"/>
    <x v="25"/>
    <s v="Level 10 Citadel"/>
    <x v="11"/>
  </r>
  <r>
    <d v="2026-05-05T00:59:00"/>
    <s v="Gifts"/>
    <s v="Elegant Chest"/>
    <x v="9"/>
    <s v="Level 15 Crypt"/>
    <x v="0"/>
  </r>
  <r>
    <d v="2026-05-05T00:59:00"/>
    <s v="Gifts"/>
    <s v="Barbarian Chest"/>
    <x v="9"/>
    <s v="Level 15 Crypt"/>
    <x v="0"/>
  </r>
  <r>
    <d v="2026-05-05T00:59:00"/>
    <s v="Gifts"/>
    <s v="Elegant Chest"/>
    <x v="8"/>
    <s v="Level 10 Crypt"/>
    <x v="2"/>
  </r>
  <r>
    <d v="2026-05-05T01:34:00"/>
    <s v="Gifts"/>
    <s v="Infernal Chest"/>
    <x v="8"/>
    <s v="Level 15 Crypt"/>
    <x v="0"/>
  </r>
  <r>
    <d v="2026-05-05T01:34:00"/>
    <s v="Gifts"/>
    <s v="Barbarian Chest"/>
    <x v="8"/>
    <s v="Level 15 Crypt"/>
    <x v="0"/>
  </r>
  <r>
    <d v="2026-05-05T01:34:00"/>
    <s v="Gifts"/>
    <s v="Stone Chest"/>
    <x v="8"/>
    <s v="Level 15 Crypt"/>
    <x v="0"/>
  </r>
  <r>
    <d v="2026-05-05T01:34:00"/>
    <s v="Gifts"/>
    <s v="Fire Chest"/>
    <x v="8"/>
    <s v="Level 15 Crypt"/>
    <x v="0"/>
  </r>
  <r>
    <d v="2026-05-05T01:34:00"/>
    <s v="Gifts"/>
    <s v="Gnome Workshop Chest"/>
    <x v="8"/>
    <s v="Level 15 Crypt"/>
    <x v="0"/>
  </r>
  <r>
    <d v="2026-05-05T01:34:00"/>
    <s v="Gifts"/>
    <s v="Stone Chest"/>
    <x v="8"/>
    <s v="Level 15 Crypt"/>
    <x v="0"/>
  </r>
  <r>
    <d v="2026-05-05T01:34:00"/>
    <s v="Gifts"/>
    <s v="Stone Chest"/>
    <x v="8"/>
    <s v="Level 15 Crypt"/>
    <x v="0"/>
  </r>
  <r>
    <d v="2026-05-05T01:34:00"/>
    <s v="Gifts"/>
    <s v="Barbarian Chest"/>
    <x v="8"/>
    <s v="Level 15 Crypt"/>
    <x v="0"/>
  </r>
  <r>
    <d v="2026-05-05T01:34:00"/>
    <s v="Gifts"/>
    <s v="Gnome Workshop Chest"/>
    <x v="8"/>
    <s v="Level 15 Crypt"/>
    <x v="0"/>
  </r>
  <r>
    <d v="2026-05-05T01:34:00"/>
    <s v="Gifts"/>
    <s v="Infernal Chest"/>
    <x v="8"/>
    <s v="Level 15 Crypt"/>
    <x v="0"/>
  </r>
  <r>
    <d v="2026-05-05T01:34:00"/>
    <s v="Gifts"/>
    <s v="Gnome Workshop Chest"/>
    <x v="8"/>
    <s v="Level 15 Crypt"/>
    <x v="0"/>
  </r>
  <r>
    <d v="2026-05-05T01:34:00"/>
    <s v="Gifts"/>
    <s v="Fire Chest"/>
    <x v="8"/>
    <s v="Level 15 Crypt"/>
    <x v="0"/>
  </r>
  <r>
    <d v="2026-05-05T01:34:00"/>
    <s v="Gifts"/>
    <s v="Barbarian Chest"/>
    <x v="8"/>
    <s v="Level 15 Crypt"/>
    <x v="0"/>
  </r>
  <r>
    <d v="2026-05-05T01:34:00"/>
    <s v="Gifts"/>
    <s v="Gnome Workshop Chest"/>
    <x v="56"/>
    <s v="Level 10 Crypt"/>
    <x v="2"/>
  </r>
  <r>
    <d v="2026-05-05T01:34:00"/>
    <s v="Gifts"/>
    <s v="Elegant Chest"/>
    <x v="8"/>
    <s v="Level 15 Crypt"/>
    <x v="0"/>
  </r>
  <r>
    <d v="2026-05-05T01:34:00"/>
    <s v="Gifts"/>
    <s v="Gnome Workshop Chest"/>
    <x v="8"/>
    <s v="Level 15 Crypt"/>
    <x v="0"/>
  </r>
  <r>
    <d v="2026-05-05T01:34:00"/>
    <s v="Gifts"/>
    <s v="Barbarian Chest"/>
    <x v="8"/>
    <s v="Level 15 Crypt"/>
    <x v="0"/>
  </r>
  <r>
    <d v="2026-05-05T01:34:00"/>
    <s v="Gifts"/>
    <s v="Gnome Workshop Chest"/>
    <x v="8"/>
    <s v="Level 15 Crypt"/>
    <x v="0"/>
  </r>
  <r>
    <d v="2026-05-05T01:34:00"/>
    <s v="Gifts"/>
    <s v="Forgotten Chest"/>
    <x v="8"/>
    <s v="Level 15 Crypt"/>
    <x v="0"/>
  </r>
  <r>
    <d v="2026-05-05T01:34:00"/>
    <s v="Gifts"/>
    <s v="Fire Chest"/>
    <x v="8"/>
    <s v="Level 15 Crypt"/>
    <x v="0"/>
  </r>
  <r>
    <d v="2026-05-05T01:34:00"/>
    <s v="Gifts"/>
    <s v="Elegant Chest"/>
    <x v="8"/>
    <s v="Level 15 Crypt"/>
    <x v="0"/>
  </r>
  <r>
    <d v="2026-05-05T01:34:00"/>
    <s v="Gifts"/>
    <s v="Elven Citadel Chest"/>
    <x v="3"/>
    <s v="Level 20 Citadel"/>
    <x v="6"/>
  </r>
  <r>
    <d v="2026-05-05T01:34:00"/>
    <s v="Gifts"/>
    <s v="Infernal Chest"/>
    <x v="8"/>
    <s v="Level 15 Crypt"/>
    <x v="0"/>
  </r>
  <r>
    <d v="2026-05-05T01:34:00"/>
    <s v="Gifts"/>
    <s v="Barbarian Chest"/>
    <x v="8"/>
    <s v="Level 15 Crypt"/>
    <x v="0"/>
  </r>
  <r>
    <d v="2026-05-05T01:34:00"/>
    <s v="Gifts"/>
    <s v="Elven Citadel Chest"/>
    <x v="3"/>
    <s v="Level 10 Citadel"/>
    <x v="11"/>
  </r>
  <r>
    <d v="2026-05-05T13:42:00"/>
    <s v="Gifts"/>
    <s v="Forgotten Chest"/>
    <x v="68"/>
    <s v="Level 5 Crypt"/>
    <x v="3"/>
  </r>
  <r>
    <d v="2026-05-05T13:42:00"/>
    <s v="Gifts"/>
    <s v="Stone Chest"/>
    <x v="69"/>
    <s v="Level 5 Crypt"/>
    <x v="3"/>
  </r>
  <r>
    <d v="2026-05-05T13:42:00"/>
    <s v="Gifts"/>
    <s v="Orc Chest"/>
    <x v="68"/>
    <s v="Level 5 Crypt"/>
    <x v="3"/>
  </r>
  <r>
    <d v="2026-05-05T13:42:00"/>
    <s v="Gifts"/>
    <s v="Fire Chest"/>
    <x v="68"/>
    <s v="Level 5 Crypt"/>
    <x v="3"/>
  </r>
  <r>
    <d v="2026-05-05T13:42:00"/>
    <s v="Gifts"/>
    <s v="Infernal Chest"/>
    <x v="3"/>
    <s v="Level 15 Crypt"/>
    <x v="0"/>
  </r>
  <r>
    <d v="2026-05-05T13:42:00"/>
    <s v="Gifts"/>
    <s v="Fire Chest"/>
    <x v="8"/>
    <s v="Level 15 Crypt"/>
    <x v="0"/>
  </r>
  <r>
    <d v="2026-05-05T13:42:00"/>
    <s v="Gifts"/>
    <s v="Orc Chest"/>
    <x v="8"/>
    <s v="Level 15 Crypt"/>
    <x v="0"/>
  </r>
  <r>
    <d v="2026-05-05T13:42:00"/>
    <s v="Gifts"/>
    <s v="Elegant Chest"/>
    <x v="68"/>
    <s v="Level 5 Crypt"/>
    <x v="3"/>
  </r>
  <r>
    <d v="2026-05-05T13:42:00"/>
    <s v="Gifts"/>
    <s v="Orc Chest"/>
    <x v="8"/>
    <s v="Level 15 Crypt"/>
    <x v="0"/>
  </r>
  <r>
    <d v="2026-05-05T13:42:00"/>
    <s v="Gifts"/>
    <s v="Infernal Chest"/>
    <x v="8"/>
    <s v="Level 15 Crypt"/>
    <x v="0"/>
  </r>
  <r>
    <d v="2026-05-05T13:42:00"/>
    <s v="Gifts"/>
    <s v="Stone Chest"/>
    <x v="29"/>
    <s v="Level 5 Crypt"/>
    <x v="3"/>
  </r>
  <r>
    <d v="2026-05-05T13:42:00"/>
    <s v="Gifts"/>
    <s v="Infernal Chest"/>
    <x v="68"/>
    <s v="Level 5 Crypt"/>
    <x v="3"/>
  </r>
  <r>
    <d v="2026-05-05T13:42:00"/>
    <s v="Gifts"/>
    <s v="Fire Chest"/>
    <x v="68"/>
    <s v="Level 5 Crypt"/>
    <x v="3"/>
  </r>
  <r>
    <d v="2026-05-05T13:42:00"/>
    <s v="Gifts"/>
    <s v="Infernal Chest"/>
    <x v="68"/>
    <s v="Level 5 Crypt"/>
    <x v="3"/>
  </r>
  <r>
    <d v="2026-05-05T13:42:00"/>
    <s v="Gifts"/>
    <s v="Sand Chest"/>
    <x v="68"/>
    <s v="Level 5 Crypt"/>
    <x v="3"/>
  </r>
  <r>
    <d v="2026-05-05T13:42:00"/>
    <s v="Gifts"/>
    <s v="Cobra Chest"/>
    <x v="68"/>
    <s v="Level 5 Crypt"/>
    <x v="3"/>
  </r>
  <r>
    <d v="2026-05-05T13:42:00"/>
    <s v="Gifts"/>
    <s v="Infernal Chest"/>
    <x v="68"/>
    <s v="Level 5 Crypt"/>
    <x v="3"/>
  </r>
  <r>
    <d v="2026-05-05T13:42:00"/>
    <s v="Gifts"/>
    <s v="Orc Chest"/>
    <x v="68"/>
    <s v="Level 5 Crypt"/>
    <x v="3"/>
  </r>
  <r>
    <d v="2026-05-05T13:42:00"/>
    <s v="Gifts"/>
    <s v="Infernal Chest"/>
    <x v="68"/>
    <s v="Level 5 Crypt"/>
    <x v="3"/>
  </r>
  <r>
    <d v="2026-05-05T13:42:00"/>
    <s v="Gifts"/>
    <s v="Mayan Chest"/>
    <x v="68"/>
    <s v="Level 5 Crypt"/>
    <x v="3"/>
  </r>
  <r>
    <d v="2026-05-05T13:42:00"/>
    <s v="Gifts"/>
    <s v="Gnome Workshop Chest"/>
    <x v="56"/>
    <s v="Level 5 Crypt"/>
    <x v="3"/>
  </r>
  <r>
    <d v="2026-05-05T13:42:00"/>
    <s v="Gifts"/>
    <s v="Mayan Chest"/>
    <x v="56"/>
    <s v="Level 10 Crypt"/>
    <x v="2"/>
  </r>
  <r>
    <d v="2026-05-05T13:42:00"/>
    <s v="Gifts"/>
    <s v="Forgotten Chest"/>
    <x v="56"/>
    <s v="Level 5 Crypt"/>
    <x v="3"/>
  </r>
  <r>
    <d v="2026-05-05T13:42:00"/>
    <s v="Gifts"/>
    <s v="Gladiator's Chest"/>
    <x v="51"/>
    <s v="Arena"/>
    <x v="1"/>
  </r>
  <r>
    <d v="2026-05-05T13:42:00"/>
    <s v="Gifts"/>
    <s v="Barbarian Chest"/>
    <x v="18"/>
    <s v="Level 5 Crypt"/>
    <x v="3"/>
  </r>
  <r>
    <d v="2026-05-05T13:42:00"/>
    <s v="Gifts"/>
    <s v="Mayan Chest"/>
    <x v="51"/>
    <s v="Level 10 Crypt"/>
    <x v="2"/>
  </r>
  <r>
    <d v="2026-05-05T13:42:00"/>
    <s v="Gifts"/>
    <s v="Cobra Chest"/>
    <x v="56"/>
    <s v="Level 10 Crypt"/>
    <x v="2"/>
  </r>
  <r>
    <d v="2026-05-05T13:42:00"/>
    <s v="Gifts"/>
    <s v="Forgotten Chest"/>
    <x v="56"/>
    <s v="Level 5 Crypt"/>
    <x v="3"/>
  </r>
  <r>
    <d v="2026-05-05T13:42:00"/>
    <s v="Gifts"/>
    <s v="Mayan Chest"/>
    <x v="56"/>
    <s v="Level 5 Crypt"/>
    <x v="3"/>
  </r>
  <r>
    <d v="2026-05-05T13:42:00"/>
    <s v="Gifts"/>
    <s v="Orc Chest"/>
    <x v="56"/>
    <s v="Level 5 Crypt"/>
    <x v="3"/>
  </r>
  <r>
    <d v="2026-05-05T13:42:00"/>
    <s v="Gifts"/>
    <s v="Orc Chest"/>
    <x v="51"/>
    <s v="Level 10 Crypt"/>
    <x v="2"/>
  </r>
  <r>
    <d v="2026-05-05T13:42:00"/>
    <s v="Gifts"/>
    <s v="Gladiator's Chest"/>
    <x v="56"/>
    <s v="Arena"/>
    <x v="1"/>
  </r>
  <r>
    <d v="2026-05-05T13:42:00"/>
    <s v="Gifts"/>
    <s v="Mayan Chest"/>
    <x v="51"/>
    <s v="Level 10 Crypt"/>
    <x v="2"/>
  </r>
  <r>
    <d v="2026-05-05T13:42:00"/>
    <s v="Gifts"/>
    <s v="Orc Chest"/>
    <x v="51"/>
    <s v="Level 10 Crypt"/>
    <x v="2"/>
  </r>
  <r>
    <d v="2026-05-05T13:42:00"/>
    <s v="Gifts"/>
    <s v="Barbarian Chest"/>
    <x v="51"/>
    <s v="Level 10 Crypt"/>
    <x v="2"/>
  </r>
  <r>
    <d v="2026-05-05T13:42:00"/>
    <s v="Gifts"/>
    <s v="Orc Chest"/>
    <x v="68"/>
    <s v="Level 5 Crypt"/>
    <x v="3"/>
  </r>
  <r>
    <d v="2026-05-05T13:42:00"/>
    <s v="Gifts"/>
    <s v="Cobra Chest"/>
    <x v="51"/>
    <s v="Level 10 Crypt"/>
    <x v="2"/>
  </r>
  <r>
    <d v="2026-05-05T13:42:00"/>
    <s v="Gifts"/>
    <s v="Forgotten Chest"/>
    <x v="68"/>
    <s v="Level 5 Crypt"/>
    <x v="3"/>
  </r>
  <r>
    <d v="2026-05-05T13:42:00"/>
    <s v="Gifts"/>
    <s v="Forgotten Chest"/>
    <x v="51"/>
    <s v="Level 10 Crypt"/>
    <x v="2"/>
  </r>
  <r>
    <d v="2026-05-05T13:42:00"/>
    <s v="Gifts"/>
    <s v="Gnome Workshop Chest"/>
    <x v="68"/>
    <s v="Level 5 Crypt"/>
    <x v="3"/>
  </r>
  <r>
    <d v="2026-05-05T13:42:00"/>
    <s v="Gifts"/>
    <s v="Stone Chest"/>
    <x v="68"/>
    <s v="Level 5 Crypt"/>
    <x v="3"/>
  </r>
  <r>
    <d v="2026-05-05T13:42:00"/>
    <s v="Gifts"/>
    <s v="Gnome Workshop Chest"/>
    <x v="68"/>
    <s v="Level 5 Crypt"/>
    <x v="3"/>
  </r>
  <r>
    <d v="2026-05-05T13:42:00"/>
    <s v="Gifts"/>
    <s v="Stone Chest"/>
    <x v="51"/>
    <s v="Level 10 Crypt"/>
    <x v="2"/>
  </r>
  <r>
    <d v="2026-05-05T13:42:00"/>
    <s v="Gifts"/>
    <s v="Fire Chest"/>
    <x v="51"/>
    <s v="Level 10 Crypt"/>
    <x v="2"/>
  </r>
  <r>
    <d v="2026-05-05T13:42:00"/>
    <s v="Gifts"/>
    <s v="Infernal Chest"/>
    <x v="51"/>
    <s v="Level 10 Crypt"/>
    <x v="2"/>
  </r>
  <r>
    <d v="2026-05-05T13:42:00"/>
    <s v="Gifts"/>
    <s v="Elven Citadel Chest"/>
    <x v="51"/>
    <s v="Level 10 Citadel"/>
    <x v="11"/>
  </r>
  <r>
    <d v="2026-05-05T13:42:00"/>
    <s v="Gifts"/>
    <s v="Orc Chest"/>
    <x v="51"/>
    <s v="Level 10 Crypt"/>
    <x v="2"/>
  </r>
  <r>
    <d v="2026-05-05T13:42:00"/>
    <s v="Gifts"/>
    <s v="Rare Dragon Chest"/>
    <x v="51"/>
    <s v="Level 10 rare Crypt"/>
    <x v="8"/>
  </r>
  <r>
    <d v="2026-05-05T13:42:00"/>
    <s v="Gifts"/>
    <s v="Orc Chest"/>
    <x v="51"/>
    <s v="Level 10 Crypt"/>
    <x v="2"/>
  </r>
  <r>
    <d v="2026-05-05T13:42:00"/>
    <s v="Gifts"/>
    <s v="Sand Chest"/>
    <x v="56"/>
    <s v="Level 5 Crypt"/>
    <x v="3"/>
  </r>
  <r>
    <d v="2026-05-05T13:42:00"/>
    <s v="Gifts"/>
    <s v="Cobra Chest"/>
    <x v="42"/>
    <s v="Level 5 Crypt"/>
    <x v="3"/>
  </r>
  <r>
    <d v="2026-05-05T13:42:00"/>
    <s v="Gifts"/>
    <s v="Elegant Chest"/>
    <x v="34"/>
    <s v="Level 10 Crypt"/>
    <x v="2"/>
  </r>
  <r>
    <d v="2026-05-05T13:42:00"/>
    <s v="Gifts"/>
    <s v="Fire Chest"/>
    <x v="34"/>
    <s v="Level 10 Crypt"/>
    <x v="2"/>
  </r>
  <r>
    <d v="2026-05-05T13:42:00"/>
    <s v="Gifts"/>
    <s v="Bone Chest"/>
    <x v="34"/>
    <s v="Level 15 Crypt"/>
    <x v="0"/>
  </r>
  <r>
    <d v="2026-05-05T13:42:00"/>
    <s v="Gifts"/>
    <s v="Infernal Chest"/>
    <x v="56"/>
    <s v="Level 5 Crypt"/>
    <x v="3"/>
  </r>
  <r>
    <d v="2026-05-05T13:42:00"/>
    <s v="Gifts"/>
    <s v="Elven Citadel Chest"/>
    <x v="69"/>
    <s v="Level 10 Citadel"/>
    <x v="11"/>
  </r>
  <r>
    <d v="2026-05-05T13:42:00"/>
    <s v="Gifts"/>
    <s v="Elven Citadel Chest"/>
    <x v="51"/>
    <s v="Level 10 Citadel"/>
    <x v="11"/>
  </r>
  <r>
    <d v="2026-05-05T13:42:00"/>
    <s v="Gifts"/>
    <s v="Stone Chest"/>
    <x v="6"/>
    <s v="Level 10 Crypt"/>
    <x v="2"/>
  </r>
  <r>
    <d v="2026-05-05T13:42:00"/>
    <s v="Gifts"/>
    <s v="Elegant Chest"/>
    <x v="6"/>
    <s v="Level 10 Crypt"/>
    <x v="2"/>
  </r>
  <r>
    <d v="2026-05-05T13:42:00"/>
    <s v="Gifts"/>
    <s v="Elegant Chest"/>
    <x v="6"/>
    <s v="Level 10 Crypt"/>
    <x v="2"/>
  </r>
  <r>
    <d v="2026-05-05T13:42:00"/>
    <s v="Gifts"/>
    <s v="Mayan Chest"/>
    <x v="6"/>
    <s v="Level 10 Crypt"/>
    <x v="2"/>
  </r>
  <r>
    <d v="2026-05-05T13:42:00"/>
    <s v="Gifts"/>
    <s v="Forgotten Chest"/>
    <x v="18"/>
    <s v="Level 10 Crypt"/>
    <x v="2"/>
  </r>
  <r>
    <d v="2026-05-05T13:42:00"/>
    <s v="Gifts"/>
    <s v="Sand Chest"/>
    <x v="40"/>
    <s v="Level 10 Crypt"/>
    <x v="2"/>
  </r>
  <r>
    <d v="2026-05-05T13:42:00"/>
    <s v="Gifts"/>
    <s v="Stone Chest"/>
    <x v="51"/>
    <s v="Level 10 Crypt"/>
    <x v="2"/>
  </r>
  <r>
    <d v="2026-05-05T13:42:00"/>
    <s v="Gifts"/>
    <s v="Gnome Workshop Chest"/>
    <x v="14"/>
    <s v="Level 10 Crypt"/>
    <x v="2"/>
  </r>
  <r>
    <d v="2026-05-05T13:42:00"/>
    <s v="Gifts"/>
    <s v="Stone Chest"/>
    <x v="51"/>
    <s v="Level 15 Crypt"/>
    <x v="0"/>
  </r>
  <r>
    <d v="2026-05-05T13:42:00"/>
    <s v="Gifts"/>
    <s v="Rare Dragon Chest"/>
    <x v="51"/>
    <s v="Level 10 rare Crypt"/>
    <x v="8"/>
  </r>
  <r>
    <d v="2026-05-05T13:42:00"/>
    <s v="Gifts"/>
    <s v="Gnome Workshop Chest"/>
    <x v="56"/>
    <s v="Level 5 Crypt"/>
    <x v="3"/>
  </r>
  <r>
    <d v="2026-05-05T13:42:00"/>
    <s v="Gifts"/>
    <s v="Stone Chest"/>
    <x v="18"/>
    <s v="Level 10 Crypt"/>
    <x v="2"/>
  </r>
  <r>
    <d v="2026-05-05T13:42:00"/>
    <s v="Gifts"/>
    <s v="Cobra Chest"/>
    <x v="18"/>
    <s v="Level 10 Crypt"/>
    <x v="2"/>
  </r>
  <r>
    <d v="2026-05-05T13:42:00"/>
    <s v="Gifts"/>
    <s v="Forgotten Chest"/>
    <x v="18"/>
    <s v="Level 10 Crypt"/>
    <x v="2"/>
  </r>
  <r>
    <d v="2026-05-05T13:42:00"/>
    <s v="Gifts"/>
    <s v="Orc Chest"/>
    <x v="68"/>
    <s v="Level 5 Crypt"/>
    <x v="3"/>
  </r>
  <r>
    <d v="2026-05-05T13:42:00"/>
    <s v="Gifts"/>
    <s v="Barbarian Chest"/>
    <x v="68"/>
    <s v="Level 5 Crypt"/>
    <x v="3"/>
  </r>
  <r>
    <d v="2026-05-05T13:42:00"/>
    <s v="Gifts"/>
    <s v="Forgotten Chest"/>
    <x v="68"/>
    <s v="Level 5 Crypt"/>
    <x v="3"/>
  </r>
  <r>
    <d v="2026-05-05T13:42:00"/>
    <s v="Gifts"/>
    <s v="Barbarian Chest"/>
    <x v="68"/>
    <s v="Level 10 Crypt"/>
    <x v="2"/>
  </r>
  <r>
    <d v="2026-05-05T13:42:00"/>
    <s v="Gifts"/>
    <s v="Forgotten Chest"/>
    <x v="68"/>
    <s v="Level 5 Crypt"/>
    <x v="3"/>
  </r>
  <r>
    <d v="2026-05-05T13:42:00"/>
    <s v="Gifts"/>
    <s v="Gnome Workshop Chest"/>
    <x v="47"/>
    <s v="Level 5 Crypt"/>
    <x v="3"/>
  </r>
  <r>
    <d v="2026-05-05T13:42:00"/>
    <s v="Gifts"/>
    <s v="Bone Chest"/>
    <x v="18"/>
    <s v="Level 10 Crypt"/>
    <x v="2"/>
  </r>
  <r>
    <d v="2026-05-05T13:42:00"/>
    <s v="Gifts"/>
    <s v="Forgotten Chest"/>
    <x v="18"/>
    <s v="Level 10 Crypt"/>
    <x v="2"/>
  </r>
  <r>
    <d v="2026-05-05T13:42:00"/>
    <s v="Gifts"/>
    <s v="Gnome Workshop Chest"/>
    <x v="17"/>
    <s v="Level 10 Crypt"/>
    <x v="2"/>
  </r>
  <r>
    <d v="2026-05-05T13:42:00"/>
    <s v="Gifts"/>
    <s v="Barbarian Chest"/>
    <x v="68"/>
    <s v="Level 5 Crypt"/>
    <x v="3"/>
  </r>
  <r>
    <d v="2026-05-05T13:42:00"/>
    <s v="Gifts"/>
    <s v="Gladiator's Chest"/>
    <x v="56"/>
    <s v="Arena"/>
    <x v="1"/>
  </r>
  <r>
    <d v="2026-05-05T13:42:00"/>
    <s v="Gifts"/>
    <s v="Rare Dragon Chest"/>
    <x v="44"/>
    <s v="Level 10 rare Crypt"/>
    <x v="8"/>
  </r>
  <r>
    <d v="2026-05-05T13:42:00"/>
    <s v="Gifts"/>
    <s v="Bone Chest"/>
    <x v="44"/>
    <s v="Level 10 Crypt"/>
    <x v="2"/>
  </r>
  <r>
    <d v="2026-05-05T13:42:00"/>
    <s v="Gifts"/>
    <s v="Elven Citadel Chest"/>
    <x v="51"/>
    <s v="Level 10 Citadel"/>
    <x v="11"/>
  </r>
  <r>
    <d v="2026-05-05T13:42:00"/>
    <s v="Gifts"/>
    <s v="Rare Dragon Chest"/>
    <x v="44"/>
    <s v="Level 10 rare Crypt"/>
    <x v="8"/>
  </r>
  <r>
    <d v="2026-05-05T13:42:00"/>
    <s v="Gifts"/>
    <s v="Elven Citadel Chest"/>
    <x v="6"/>
    <s v="Level 10 Citadel"/>
    <x v="11"/>
  </r>
  <r>
    <d v="2026-05-05T13:42:00"/>
    <s v="Gifts"/>
    <s v="Forgotten Chest"/>
    <x v="17"/>
    <s v="Level 10 Crypt"/>
    <x v="2"/>
  </r>
  <r>
    <d v="2026-05-05T13:42:00"/>
    <s v="Gifts"/>
    <s v="Sand Chest"/>
    <x v="17"/>
    <s v="Level 10 Crypt"/>
    <x v="2"/>
  </r>
  <r>
    <d v="2026-05-05T13:42:00"/>
    <s v="Gifts"/>
    <s v="Elven Citadel Chest"/>
    <x v="6"/>
    <s v="Level 15 Citadel"/>
    <x v="12"/>
  </r>
  <r>
    <d v="2026-05-05T13:42:00"/>
    <s v="Gifts"/>
    <s v="Barbarian Chest"/>
    <x v="17"/>
    <s v="Level 10 Crypt"/>
    <x v="2"/>
  </r>
  <r>
    <d v="2026-05-05T13:42:00"/>
    <s v="Gifts"/>
    <s v="Elven Citadel Chest"/>
    <x v="6"/>
    <s v="Level 15 Citadel"/>
    <x v="12"/>
  </r>
  <r>
    <d v="2026-05-05T13:42:00"/>
    <s v="Gifts"/>
    <s v="Scorpion Chest"/>
    <x v="44"/>
    <s v="Level 15 epic Crypt"/>
    <x v="10"/>
  </r>
  <r>
    <d v="2026-05-05T13:42:00"/>
    <s v="Gifts"/>
    <s v="Scarab Chest"/>
    <x v="44"/>
    <s v="Level 15 epic Crypt"/>
    <x v="10"/>
  </r>
  <r>
    <d v="2026-05-05T13:42:00"/>
    <s v="Gifts"/>
    <s v="Elven Citadel Chest"/>
    <x v="6"/>
    <s v="Level 15 Citadel"/>
    <x v="12"/>
  </r>
  <r>
    <d v="2026-05-05T13:42:00"/>
    <s v="Gifts"/>
    <s v="Stone Chest"/>
    <x v="47"/>
    <s v="Level 5 Crypt"/>
    <x v="3"/>
  </r>
  <r>
    <d v="2026-05-05T13:42:00"/>
    <s v="Gifts"/>
    <s v="Infernal Chest"/>
    <x v="47"/>
    <s v="Level 5 Crypt"/>
    <x v="3"/>
  </r>
  <r>
    <d v="2026-05-05T13:42:00"/>
    <s v="Gifts"/>
    <s v="Elven Citadel Chest"/>
    <x v="6"/>
    <s v="Level 10 Citadel"/>
    <x v="11"/>
  </r>
  <r>
    <d v="2026-05-05T13:42:00"/>
    <s v="Gifts"/>
    <s v="Infernal Chest"/>
    <x v="26"/>
    <s v="Level 10 Crypt"/>
    <x v="2"/>
  </r>
  <r>
    <d v="2026-05-05T13:42:00"/>
    <s v="Gifts"/>
    <s v="Gnome Workshop Chest"/>
    <x v="68"/>
    <s v="Level 10 Crypt"/>
    <x v="2"/>
  </r>
  <r>
    <d v="2026-05-05T13:42:00"/>
    <s v="Gifts"/>
    <s v="Elven Citadel Chest"/>
    <x v="6"/>
    <s v="Level 15 Citadel"/>
    <x v="12"/>
  </r>
  <r>
    <d v="2026-05-05T13:42:00"/>
    <s v="Gifts"/>
    <s v="Stone Chest"/>
    <x v="68"/>
    <s v="Level 5 Crypt"/>
    <x v="3"/>
  </r>
  <r>
    <d v="2026-05-05T13:42:00"/>
    <s v="Gifts"/>
    <s v="Cobra Chest"/>
    <x v="68"/>
    <s v="Level 5 Crypt"/>
    <x v="3"/>
  </r>
  <r>
    <d v="2026-05-05T13:42:00"/>
    <s v="Gifts"/>
    <s v="Infernal Chest"/>
    <x v="68"/>
    <s v="Level 5 Crypt"/>
    <x v="3"/>
  </r>
  <r>
    <d v="2026-05-05T13:42:00"/>
    <s v="Gifts"/>
    <s v="Rare Dragon Chest"/>
    <x v="6"/>
    <s v="Level 15 rare Crypt"/>
    <x v="13"/>
  </r>
  <r>
    <d v="2026-05-05T13:42:00"/>
    <s v="Gifts"/>
    <s v="Rare Dragon Chest"/>
    <x v="6"/>
    <s v="Level 10 rare Crypt"/>
    <x v="8"/>
  </r>
  <r>
    <d v="2026-05-05T13:42:00"/>
    <s v="Gifts"/>
    <s v="Rare Dragon Chest"/>
    <x v="6"/>
    <s v="Level 15 rare Crypt"/>
    <x v="13"/>
  </r>
  <r>
    <d v="2026-05-05T13:42:00"/>
    <s v="Gifts"/>
    <s v="Mayan Chest"/>
    <x v="68"/>
    <s v="Level 5 Crypt"/>
    <x v="3"/>
  </r>
  <r>
    <d v="2026-05-05T13:42:00"/>
    <s v="Gifts"/>
    <s v="Rare Dragon Chest"/>
    <x v="6"/>
    <s v="Level 15 rare Crypt"/>
    <x v="13"/>
  </r>
  <r>
    <d v="2026-05-05T13:42:00"/>
    <s v="Gifts"/>
    <s v="Elegant Chest"/>
    <x v="68"/>
    <s v="Level 5 Crypt"/>
    <x v="3"/>
  </r>
  <r>
    <d v="2026-05-05T13:42:00"/>
    <s v="Gifts"/>
    <s v="Gnome Workshop Chest"/>
    <x v="68"/>
    <s v="Level 5 Crypt"/>
    <x v="3"/>
  </r>
  <r>
    <d v="2026-05-05T13:42:00"/>
    <s v="Gifts"/>
    <s v="Fire Chest"/>
    <x v="68"/>
    <s v="Level 5 Crypt"/>
    <x v="3"/>
  </r>
  <r>
    <d v="2026-05-05T13:42:00"/>
    <s v="Gifts"/>
    <s v="Orc Chest"/>
    <x v="2"/>
    <s v="Level 10 Crypt"/>
    <x v="2"/>
  </r>
  <r>
    <d v="2026-05-05T13:42:00"/>
    <s v="Gifts"/>
    <s v="Mayan Chest"/>
    <x v="2"/>
    <s v="Level 10 Crypt"/>
    <x v="2"/>
  </r>
  <r>
    <d v="2026-05-05T13:42:00"/>
    <s v="Gifts"/>
    <s v="Forgotten Chest"/>
    <x v="2"/>
    <s v="Level 10 Crypt"/>
    <x v="2"/>
  </r>
  <r>
    <d v="2026-05-05T13:42:00"/>
    <s v="Gifts"/>
    <s v="Infernal Chest"/>
    <x v="22"/>
    <s v="Level 15 Crypt"/>
    <x v="0"/>
  </r>
  <r>
    <d v="2026-05-05T13:42:00"/>
    <s v="Gifts"/>
    <s v="Gnome Workshop Chest"/>
    <x v="2"/>
    <s v="Level 10 Crypt"/>
    <x v="2"/>
  </r>
  <r>
    <d v="2026-05-05T13:42:00"/>
    <s v="Gifts"/>
    <s v="Common Chest of Wealth"/>
    <x v="18"/>
    <s v="Clan wealth"/>
    <x v="1"/>
  </r>
  <r>
    <d v="2026-05-05T13:42:00"/>
    <s v="Gifts"/>
    <s v="Uncommon Chest of Wealth"/>
    <x v="18"/>
    <s v="Clan wealth"/>
    <x v="1"/>
  </r>
  <r>
    <d v="2026-05-05T13:42:00"/>
    <s v="Gifts"/>
    <s v="Rare Chest of Wealth"/>
    <x v="18"/>
    <s v="Clan wealth"/>
    <x v="1"/>
  </r>
  <r>
    <d v="2026-05-05T13:42:00"/>
    <s v="Gifts"/>
    <s v="Mayan Chest"/>
    <x v="56"/>
    <s v="Level 5 Crypt"/>
    <x v="3"/>
  </r>
  <r>
    <d v="2026-05-05T13:42:00"/>
    <s v="Gifts"/>
    <s v="Orc Chest"/>
    <x v="18"/>
    <s v="Level 10 Crypt"/>
    <x v="2"/>
  </r>
  <r>
    <d v="2026-05-05T13:42:00"/>
    <s v="Gifts"/>
    <s v="Mayan Chest"/>
    <x v="68"/>
    <s v="Level 5 Crypt"/>
    <x v="3"/>
  </r>
  <r>
    <d v="2026-05-05T13:42:00"/>
    <s v="Gifts"/>
    <s v="Gnome Workshop Chest"/>
    <x v="68"/>
    <s v="Level 5 Crypt"/>
    <x v="3"/>
  </r>
  <r>
    <d v="2026-05-05T13:42:00"/>
    <s v="Gifts"/>
    <s v="Bone Chest"/>
    <x v="68"/>
    <s v="Level 10 Crypt"/>
    <x v="2"/>
  </r>
  <r>
    <d v="2026-05-05T13:42:00"/>
    <s v="Gifts"/>
    <s v="Gnome Workshop Chest"/>
    <x v="63"/>
    <s v="Level 5 Crypt"/>
    <x v="3"/>
  </r>
  <r>
    <d v="2026-05-05T13:42:00"/>
    <s v="Gifts"/>
    <s v="Forgotten Chest"/>
    <x v="17"/>
    <s v="Level 10 Crypt"/>
    <x v="2"/>
  </r>
  <r>
    <d v="2026-05-05T13:42:00"/>
    <s v="Gifts"/>
    <s v="Barbarian Chest"/>
    <x v="17"/>
    <s v="Level 10 Crypt"/>
    <x v="2"/>
  </r>
  <r>
    <d v="2026-05-05T13:42:00"/>
    <s v="Gifts"/>
    <s v="Gnome Workshop Chest"/>
    <x v="17"/>
    <s v="Level 10 Crypt"/>
    <x v="2"/>
  </r>
  <r>
    <d v="2026-05-05T13:42:00"/>
    <s v="Gifts"/>
    <s v="Sand Chest"/>
    <x v="17"/>
    <s v="Level 10 Crypt"/>
    <x v="2"/>
  </r>
  <r>
    <d v="2026-05-05T13:42:00"/>
    <s v="Gifts"/>
    <s v="Elegant Chest"/>
    <x v="70"/>
    <s v="Level 5 Crypt"/>
    <x v="3"/>
  </r>
  <r>
    <d v="2026-05-05T13:42:00"/>
    <s v="Gifts"/>
    <s v="Cobra Chest"/>
    <x v="70"/>
    <s v="Level 10 Crypt"/>
    <x v="2"/>
  </r>
  <r>
    <d v="2026-05-05T13:42:00"/>
    <s v="Gifts"/>
    <s v="Gnome Workshop Chest"/>
    <x v="70"/>
    <s v="Level 5 Crypt"/>
    <x v="3"/>
  </r>
  <r>
    <d v="2026-05-05T13:42:00"/>
    <s v="Gifts"/>
    <s v="Forgotten Chest"/>
    <x v="48"/>
    <s v="Level 10 Crypt"/>
    <x v="2"/>
  </r>
  <r>
    <d v="2026-05-05T13:42:00"/>
    <s v="Gifts"/>
    <s v="Barbarian Chest"/>
    <x v="48"/>
    <s v="Level 10 Crypt"/>
    <x v="2"/>
  </r>
  <r>
    <d v="2026-05-05T13:42:00"/>
    <s v="Gifts"/>
    <s v="Infernal Chest"/>
    <x v="32"/>
    <s v="Level 5 Crypt"/>
    <x v="3"/>
  </r>
  <r>
    <d v="2026-05-05T13:42:00"/>
    <s v="Gifts"/>
    <s v="Elven Citadel Chest"/>
    <x v="9"/>
    <s v="Level 10 Citadel"/>
    <x v="11"/>
  </r>
  <r>
    <d v="2026-05-05T13:42:00"/>
    <s v="Gifts"/>
    <s v="Gnome Workshop Chest"/>
    <x v="47"/>
    <s v="Level 5 Crypt"/>
    <x v="3"/>
  </r>
  <r>
    <d v="2026-05-05T13:42:00"/>
    <s v="Triumphal Gifts"/>
    <s v="Wooden Chest"/>
    <x v="56"/>
    <s v="Bank"/>
    <x v="5"/>
  </r>
  <r>
    <d v="2026-05-05T13:42:00"/>
    <s v="Triumphal Gifts"/>
    <s v="Wooden Chest"/>
    <x v="56"/>
    <s v="Bank"/>
    <x v="5"/>
  </r>
  <r>
    <d v="2026-05-05T13:42:00"/>
    <s v="Triumphal Gifts"/>
    <s v="Wooden Chest"/>
    <x v="56"/>
    <s v="Bank"/>
    <x v="5"/>
  </r>
  <r>
    <d v="2026-05-05T13:42:00"/>
    <s v="Triumphal Gifts"/>
    <s v="Wooden Chest"/>
    <x v="6"/>
    <s v="Bank"/>
    <x v="5"/>
  </r>
  <r>
    <d v="2026-05-05T13:42:00"/>
    <s v="Triumphal Gifts"/>
    <s v="Wooden Chest"/>
    <x v="6"/>
    <s v="Bank"/>
    <x v="5"/>
  </r>
  <r>
    <d v="2026-05-05T13:42:00"/>
    <s v="Triumphal Gifts"/>
    <s v="Wooden Chest"/>
    <x v="6"/>
    <s v="Bank"/>
    <x v="5"/>
  </r>
  <r>
    <d v="2026-05-05T13:42:00"/>
    <s v="Triumphal Gifts"/>
    <s v="Bronze Chest"/>
    <x v="41"/>
    <s v="Bank"/>
    <x v="5"/>
  </r>
  <r>
    <d v="2026-05-05T13:42:00"/>
    <s v="Triumphal Gifts"/>
    <s v="Bronze Chest"/>
    <x v="41"/>
    <s v="Bank"/>
    <x v="5"/>
  </r>
  <r>
    <d v="2026-05-05T13:42:00"/>
    <s v="Triumphal Gifts"/>
    <s v="Bronze Chest"/>
    <x v="41"/>
    <s v="Bank"/>
    <x v="5"/>
  </r>
  <r>
    <d v="2026-05-05T13:42:00"/>
    <s v="Triumphal Gifts"/>
    <s v="Bronze Chest"/>
    <x v="6"/>
    <s v="Bank"/>
    <x v="5"/>
  </r>
  <r>
    <d v="2026-05-05T13:42:00"/>
    <s v="Triumphal Gifts"/>
    <s v="Bronze Chest"/>
    <x v="6"/>
    <s v="Bank"/>
    <x v="5"/>
  </r>
  <r>
    <d v="2026-05-05T13:42:00"/>
    <s v="Triumphal Gifts"/>
    <s v="Bronze Chest"/>
    <x v="6"/>
    <s v="Bank"/>
    <x v="5"/>
  </r>
  <r>
    <d v="2026-05-05T13:42:00"/>
    <s v="Triumphal Gifts"/>
    <s v="Wooden Chest"/>
    <x v="41"/>
    <s v="Bank"/>
    <x v="5"/>
  </r>
  <r>
    <d v="2026-05-05T13:42:00"/>
    <s v="Triumphal Gifts"/>
    <s v="Wooden Chest"/>
    <x v="41"/>
    <s v="Bank"/>
    <x v="5"/>
  </r>
  <r>
    <d v="2026-05-05T13:42:00"/>
    <s v="Triumphal Gifts"/>
    <s v="Wooden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Wooden Chest"/>
    <x v="41"/>
    <s v="Bank"/>
    <x v="5"/>
  </r>
  <r>
    <d v="2026-05-05T13:42:00"/>
    <s v="Triumphal Gifts"/>
    <s v="Wooden Chest"/>
    <x v="41"/>
    <s v="Bank"/>
    <x v="5"/>
  </r>
  <r>
    <d v="2026-05-05T13:42:00"/>
    <s v="Triumphal Gifts"/>
    <s v="Wooden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Silver Chest"/>
    <x v="41"/>
    <s v="Bank"/>
    <x v="5"/>
  </r>
  <r>
    <d v="2026-05-05T13:42:00"/>
    <s v="Triumphal Gifts"/>
    <s v="Golden Chest"/>
    <x v="41"/>
    <s v="Bank"/>
    <x v="5"/>
  </r>
  <r>
    <d v="2026-05-05T13:42:00"/>
    <s v="Triumphal Gifts"/>
    <s v="Golden Chest"/>
    <x v="41"/>
    <s v="Bank"/>
    <x v="5"/>
  </r>
  <r>
    <d v="2026-05-05T13:42:00"/>
    <s v="Triumphal Gifts"/>
    <s v="Golden Chest"/>
    <x v="41"/>
    <s v="Bank"/>
    <x v="5"/>
  </r>
  <r>
    <d v="2026-05-05T13:42:00"/>
    <s v="Triumphal Gifts"/>
    <s v="Wooden Chest"/>
    <x v="17"/>
    <s v="Bank"/>
    <x v="5"/>
  </r>
  <r>
    <d v="2026-05-05T13:42:00"/>
    <s v="Triumphal Gifts"/>
    <s v="Wooden Chest"/>
    <x v="17"/>
    <s v="Bank"/>
    <x v="5"/>
  </r>
  <r>
    <d v="2026-05-05T13:42:00"/>
    <s v="Triumphal Gifts"/>
    <s v="Wooden Chest"/>
    <x v="17"/>
    <s v="Bank"/>
    <x v="5"/>
  </r>
  <r>
    <d v="2026-05-05T13:42:00"/>
    <s v="Triumphal Gifts"/>
    <s v="Bronze Chest"/>
    <x v="27"/>
    <s v="Bank"/>
    <x v="5"/>
  </r>
  <r>
    <d v="2026-05-05T13:42:00"/>
    <s v="Triumphal Gifts"/>
    <s v="Bronze Chest"/>
    <x v="27"/>
    <s v="Bank"/>
    <x v="5"/>
  </r>
  <r>
    <d v="2026-05-05T13:42:00"/>
    <s v="Triumphal Gifts"/>
    <s v="Bronze Chest"/>
    <x v="27"/>
    <s v="Bank"/>
    <x v="5"/>
  </r>
  <r>
    <d v="2026-05-05T18:46:00"/>
    <s v="Gifts"/>
    <s v="Barbarian Chest"/>
    <x v="6"/>
    <s v="Level 5 Crypt"/>
    <x v="3"/>
  </r>
  <r>
    <d v="2026-05-05T18:46:00"/>
    <s v="Gifts"/>
    <s v="Sand Chest"/>
    <x v="68"/>
    <s v="Level 5 Crypt"/>
    <x v="3"/>
  </r>
  <r>
    <d v="2026-05-05T18:46:00"/>
    <s v="Gifts"/>
    <s v="Mayan Chest"/>
    <x v="4"/>
    <s v="Level 10 Crypt"/>
    <x v="2"/>
  </r>
  <r>
    <d v="2026-05-05T18:46:00"/>
    <s v="Gifts"/>
    <s v="Bone Chest"/>
    <x v="68"/>
    <s v="Level 10 Crypt"/>
    <x v="2"/>
  </r>
  <r>
    <d v="2026-05-05T18:46:00"/>
    <s v="Gifts"/>
    <s v="Barbarian Chest"/>
    <x v="6"/>
    <s v="Level 10 Crypt"/>
    <x v="2"/>
  </r>
  <r>
    <d v="2026-05-05T18:46:00"/>
    <s v="Gifts"/>
    <s v="Barbarian Chest"/>
    <x v="69"/>
    <s v="Level 10 Crypt"/>
    <x v="2"/>
  </r>
  <r>
    <d v="2026-05-05T18:46:00"/>
    <s v="Gifts"/>
    <s v="Elegant Chest"/>
    <x v="6"/>
    <s v="Level 10 Crypt"/>
    <x v="2"/>
  </r>
  <r>
    <d v="2026-05-05T18:46:00"/>
    <s v="Gifts"/>
    <s v="Runic Chest"/>
    <x v="41"/>
    <s v="Lvl 20-24 Raid Runic squad"/>
    <x v="1"/>
  </r>
  <r>
    <d v="2026-05-05T18:46:00"/>
    <s v="Gifts"/>
    <s v="Chest of the Cursed"/>
    <x v="39"/>
    <s v="Level 15 epic Crypt"/>
    <x v="10"/>
  </r>
  <r>
    <d v="2026-05-05T18:46:00"/>
    <s v="Gifts"/>
    <s v="Barbarian Chest"/>
    <x v="65"/>
    <s v="Level 10 Crypt"/>
    <x v="2"/>
  </r>
  <r>
    <d v="2026-05-05T18:46:00"/>
    <s v="Gifts"/>
    <s v="Elegant Chest"/>
    <x v="47"/>
    <s v="Level 5 Crypt"/>
    <x v="3"/>
  </r>
  <r>
    <d v="2026-05-05T18:46:00"/>
    <s v="Gifts"/>
    <s v="Stone Chest"/>
    <x v="16"/>
    <s v="Level 10 Crypt"/>
    <x v="2"/>
  </r>
  <r>
    <d v="2026-05-05T18:46:00"/>
    <s v="Gifts"/>
    <s v="Cobra Chest"/>
    <x v="65"/>
    <s v="Level 10 Crypt"/>
    <x v="2"/>
  </r>
  <r>
    <d v="2026-05-05T18:46:00"/>
    <s v="Gifts"/>
    <s v="Elven Citadel Chest"/>
    <x v="66"/>
    <s v="Level 10 Citadel"/>
    <x v="11"/>
  </r>
  <r>
    <d v="2026-05-05T18:46:00"/>
    <s v="Gifts"/>
    <s v="Fire Chest"/>
    <x v="29"/>
    <s v="Level 5 Crypt"/>
    <x v="3"/>
  </r>
  <r>
    <d v="2026-05-05T18:46:00"/>
    <s v="Gifts"/>
    <s v="Cobra Chest"/>
    <x v="24"/>
    <s v="Level 10 Crypt"/>
    <x v="2"/>
  </r>
  <r>
    <d v="2026-05-05T18:46:00"/>
    <s v="Gifts"/>
    <s v="Infernal Chest"/>
    <x v="48"/>
    <s v="Level 5 Crypt"/>
    <x v="3"/>
  </r>
  <r>
    <d v="2026-05-05T18:46:00"/>
    <s v="Gifts"/>
    <s v="Gladiator's Chest"/>
    <x v="63"/>
    <s v="Arena"/>
    <x v="1"/>
  </r>
  <r>
    <d v="2026-05-05T18:46:00"/>
    <s v="Gifts"/>
    <s v="Stone Chest"/>
    <x v="40"/>
    <s v="Level 15 Crypt"/>
    <x v="0"/>
  </r>
  <r>
    <d v="2026-05-05T18:46:00"/>
    <s v="Gifts"/>
    <s v="Chest of Authority"/>
    <x v="41"/>
    <s v="Authority Rush tournament"/>
    <x v="1"/>
  </r>
  <r>
    <d v="2026-05-05T18:46:00"/>
    <s v="Gifts"/>
    <s v="Chest of Authority"/>
    <x v="2"/>
    <s v="Authority Rush tournament"/>
    <x v="1"/>
  </r>
  <r>
    <d v="2026-05-05T18:46:00"/>
    <s v="Gifts"/>
    <s v="Barbarian Chest"/>
    <x v="64"/>
    <s v="Level 5 Crypt"/>
    <x v="3"/>
  </r>
  <r>
    <d v="2026-05-05T18:46:00"/>
    <s v="Gifts"/>
    <s v="Elegant Chest"/>
    <x v="64"/>
    <s v="Level 5 Crypt"/>
    <x v="3"/>
  </r>
  <r>
    <d v="2026-05-05T18:46:00"/>
    <s v="Gifts"/>
    <s v="Runic Chest"/>
    <x v="41"/>
    <s v="Lvl 25-29 Raid Runic squad"/>
    <x v="1"/>
  </r>
  <r>
    <d v="2026-05-05T18:46:00"/>
    <s v="Gifts"/>
    <s v="Mayan Chest"/>
    <x v="64"/>
    <s v="Level 5 Crypt"/>
    <x v="3"/>
  </r>
  <r>
    <d v="2026-05-05T18:46:00"/>
    <s v="Gifts"/>
    <s v="Gnome Workshop Chest"/>
    <x v="10"/>
    <s v="Level 10 Crypt"/>
    <x v="2"/>
  </r>
  <r>
    <d v="2026-05-05T18:46:00"/>
    <s v="Gifts"/>
    <s v="Mayan Chest"/>
    <x v="10"/>
    <s v="Level 10 Crypt"/>
    <x v="2"/>
  </r>
  <r>
    <d v="2026-05-05T18:46:00"/>
    <s v="Gifts"/>
    <s v="Gnome Workshop Chest"/>
    <x v="10"/>
    <s v="Level 5 Crypt"/>
    <x v="3"/>
  </r>
  <r>
    <d v="2026-05-05T18:46:00"/>
    <s v="Gifts"/>
    <s v="Barbarian Chest"/>
    <x v="48"/>
    <s v="Level 5 Crypt"/>
    <x v="3"/>
  </r>
  <r>
    <d v="2026-05-05T18:46:00"/>
    <s v="Gifts"/>
    <s v="Runic Chest"/>
    <x v="2"/>
    <s v="Lvl 20-24 Raid Runic squad"/>
    <x v="1"/>
  </r>
  <r>
    <d v="2026-05-05T18:46:00"/>
    <s v="Gifts"/>
    <s v="Bone Chest"/>
    <x v="34"/>
    <s v="Level 15 Crypt"/>
    <x v="0"/>
  </r>
  <r>
    <d v="2026-05-05T18:46:00"/>
    <s v="Gifts"/>
    <s v="Bone Chest"/>
    <x v="44"/>
    <s v="Level 5 Crypt"/>
    <x v="3"/>
  </r>
  <r>
    <d v="2026-05-05T18:46:00"/>
    <s v="Gifts"/>
    <s v="Barbarian Chest"/>
    <x v="34"/>
    <s v="Level 15 Crypt"/>
    <x v="0"/>
  </r>
  <r>
    <d v="2026-05-05T18:46:00"/>
    <s v="Gifts"/>
    <s v="Gladiator's Chest"/>
    <x v="7"/>
    <s v="Arena"/>
    <x v="1"/>
  </r>
  <r>
    <d v="2026-05-05T18:46:00"/>
    <s v="Gifts"/>
    <s v="Runic Chest"/>
    <x v="41"/>
    <s v="Lvl 20-24 Raid Runic squad"/>
    <x v="1"/>
  </r>
  <r>
    <d v="2026-05-05T18:46:00"/>
    <s v="Gifts"/>
    <s v="Gnome Workshop Chest"/>
    <x v="34"/>
    <s v="Level 15 Crypt"/>
    <x v="0"/>
  </r>
  <r>
    <d v="2026-05-05T18:46:00"/>
    <s v="Gifts"/>
    <s v="Gladiator's Chest"/>
    <x v="29"/>
    <s v="Arena"/>
    <x v="1"/>
  </r>
  <r>
    <d v="2026-05-05T18:46:00"/>
    <s v="Gifts"/>
    <s v="Chest of Authority"/>
    <x v="2"/>
    <s v="Authority Rush tournament"/>
    <x v="1"/>
  </r>
  <r>
    <d v="2026-05-05T18:46:00"/>
    <s v="Gifts"/>
    <s v="Chest of Authority"/>
    <x v="41"/>
    <s v="Authority Rush tournament"/>
    <x v="1"/>
  </r>
  <r>
    <d v="2026-05-05T18:46:00"/>
    <s v="Gifts"/>
    <s v="Elven Citadel Chest"/>
    <x v="7"/>
    <s v="Level 10 Citadel"/>
    <x v="11"/>
  </r>
  <r>
    <d v="2026-05-05T18:46:00"/>
    <s v="Gifts"/>
    <s v="Runic Chest"/>
    <x v="41"/>
    <s v="Lvl 25-29 Raid Runic squad"/>
    <x v="1"/>
  </r>
  <r>
    <d v="2026-05-05T18:46:00"/>
    <s v="Gifts"/>
    <s v="Elven Citadel Chest"/>
    <x v="7"/>
    <s v="Level 10 Citadel"/>
    <x v="11"/>
  </r>
  <r>
    <d v="2026-05-05T18:46:00"/>
    <s v="Gifts"/>
    <s v="Bone Chest"/>
    <x v="44"/>
    <s v="Level 10 Crypt"/>
    <x v="2"/>
  </r>
  <r>
    <d v="2026-05-05T18:46:00"/>
    <s v="Gifts"/>
    <s v="Elven Citadel Chest"/>
    <x v="7"/>
    <s v="Level 10 Citadel"/>
    <x v="11"/>
  </r>
  <r>
    <d v="2026-05-05T18:46:00"/>
    <s v="Gifts"/>
    <s v="Elegant Chest"/>
    <x v="30"/>
    <s v="Level 5 Crypt"/>
    <x v="3"/>
  </r>
  <r>
    <d v="2026-05-05T18:46:00"/>
    <s v="Gifts"/>
    <s v="Chest of Authority"/>
    <x v="2"/>
    <s v="Authority Rush tournament"/>
    <x v="1"/>
  </r>
  <r>
    <d v="2026-05-05T18:46:00"/>
    <s v="Gifts"/>
    <s v="Fire Chest"/>
    <x v="2"/>
    <s v="Level 10 Crypt"/>
    <x v="2"/>
  </r>
  <r>
    <d v="2026-05-05T18:46:00"/>
    <s v="Gifts"/>
    <s v="Barbarian Chest"/>
    <x v="2"/>
    <s v="Level 10 Crypt"/>
    <x v="2"/>
  </r>
  <r>
    <d v="2026-05-05T18:46:00"/>
    <s v="Gifts"/>
    <s v="Infernal Chest"/>
    <x v="62"/>
    <s v="Level 10 Crypt"/>
    <x v="2"/>
  </r>
  <r>
    <d v="2026-05-05T18:46:00"/>
    <s v="Gifts"/>
    <s v="Fire Chest"/>
    <x v="62"/>
    <s v="Level 10 Crypt"/>
    <x v="2"/>
  </r>
  <r>
    <d v="2026-05-05T18:46:00"/>
    <s v="Gifts"/>
    <s v="Cobalt Chest"/>
    <x v="6"/>
    <s v="Level 15 epic Crypt"/>
    <x v="10"/>
  </r>
  <r>
    <d v="2026-05-05T18:46:00"/>
    <s v="Gifts"/>
    <s v="Infernal Chest"/>
    <x v="6"/>
    <s v="Level 15 Crypt"/>
    <x v="0"/>
  </r>
  <r>
    <d v="2026-05-05T18:46:00"/>
    <s v="Gifts"/>
    <s v="Orc Chest"/>
    <x v="9"/>
    <s v="Level 15 Crypt"/>
    <x v="0"/>
  </r>
  <r>
    <d v="2026-05-05T18:46:00"/>
    <s v="Gifts"/>
    <s v="Rare Dragon Chest"/>
    <x v="6"/>
    <s v="Level 15 rare Crypt"/>
    <x v="13"/>
  </r>
  <r>
    <d v="2026-05-05T18:46:00"/>
    <s v="Gifts"/>
    <s v="Orc Chest"/>
    <x v="9"/>
    <s v="Level 15 Crypt"/>
    <x v="0"/>
  </r>
  <r>
    <d v="2026-05-05T18:46:00"/>
    <s v="Gifts"/>
    <s v="Rare Dragon Chest"/>
    <x v="6"/>
    <s v="Level 10 rare Crypt"/>
    <x v="8"/>
  </r>
  <r>
    <d v="2026-05-05T18:46:00"/>
    <s v="Gifts"/>
    <s v="Rare Dragon Chest"/>
    <x v="6"/>
    <s v="Level 15 rare Crypt"/>
    <x v="13"/>
  </r>
  <r>
    <d v="2026-05-05T18:46:00"/>
    <s v="Gifts"/>
    <s v="Cobra Chest"/>
    <x v="48"/>
    <s v="Level 10 Crypt"/>
    <x v="2"/>
  </r>
  <r>
    <d v="2026-05-05T18:46:00"/>
    <s v="Gifts"/>
    <s v="Sand Chest"/>
    <x v="10"/>
    <s v="Level 10 Crypt"/>
    <x v="2"/>
  </r>
  <r>
    <d v="2026-05-05T18:46:00"/>
    <s v="Gifts"/>
    <s v="Elegant Chest"/>
    <x v="10"/>
    <s v="Level 15 Crypt"/>
    <x v="0"/>
  </r>
  <r>
    <d v="2026-05-05T18:46:00"/>
    <s v="Gifts"/>
    <s v="Sand Chest"/>
    <x v="10"/>
    <s v="Level 15 Crypt"/>
    <x v="0"/>
  </r>
  <r>
    <d v="2026-05-05T18:46:00"/>
    <s v="Gifts"/>
    <s v="Barbarian Chest"/>
    <x v="10"/>
    <s v="Level 15 Crypt"/>
    <x v="0"/>
  </r>
  <r>
    <d v="2026-05-05T18:46:00"/>
    <s v="Gifts"/>
    <s v="Forgotten Chest"/>
    <x v="10"/>
    <s v="Level 15 Crypt"/>
    <x v="0"/>
  </r>
  <r>
    <d v="2026-05-05T18:46:00"/>
    <s v="Gifts"/>
    <s v="Barbarian Chest"/>
    <x v="10"/>
    <s v="Level 10 Crypt"/>
    <x v="2"/>
  </r>
  <r>
    <d v="2026-05-05T18:46:00"/>
    <s v="Gifts"/>
    <s v="Forgotten Chest"/>
    <x v="10"/>
    <s v="Level 10 Crypt"/>
    <x v="2"/>
  </r>
  <r>
    <d v="2026-05-05T18:46:00"/>
    <s v="Gifts"/>
    <s v="Fire Chest"/>
    <x v="10"/>
    <s v="Level 10 Crypt"/>
    <x v="2"/>
  </r>
  <r>
    <d v="2026-05-05T18:46:00"/>
    <s v="Gifts"/>
    <s v="Orc Chest"/>
    <x v="9"/>
    <s v="Level 15 Crypt"/>
    <x v="0"/>
  </r>
  <r>
    <d v="2026-05-05T18:46:00"/>
    <s v="Gifts"/>
    <s v="Cobra Chest"/>
    <x v="10"/>
    <s v="Level 15 Crypt"/>
    <x v="0"/>
  </r>
  <r>
    <d v="2026-05-05T18:46:00"/>
    <s v="Gifts"/>
    <s v="Gnome Workshop Chest"/>
    <x v="10"/>
    <s v="Level 10 Crypt"/>
    <x v="2"/>
  </r>
  <r>
    <d v="2026-05-05T18:46:00"/>
    <s v="Gifts"/>
    <s v="Forgotten Chest"/>
    <x v="10"/>
    <s v="Level 10 Crypt"/>
    <x v="2"/>
  </r>
  <r>
    <d v="2026-05-05T18:46:00"/>
    <s v="Gifts"/>
    <s v="Sand Chest"/>
    <x v="10"/>
    <s v="Level 10 Crypt"/>
    <x v="2"/>
  </r>
  <r>
    <d v="2026-05-05T18:46:00"/>
    <s v="Gifts"/>
    <s v="Orc Chest"/>
    <x v="10"/>
    <s v="Level 10 Crypt"/>
    <x v="2"/>
  </r>
  <r>
    <d v="2026-05-05T18:46:00"/>
    <s v="Gifts"/>
    <s v="Stone Chest"/>
    <x v="10"/>
    <s v="Level 10 Crypt"/>
    <x v="2"/>
  </r>
  <r>
    <d v="2026-05-05T18:46:00"/>
    <s v="Gifts"/>
    <s v="Sand Chest"/>
    <x v="43"/>
    <s v="Level 15 Crypt"/>
    <x v="0"/>
  </r>
  <r>
    <d v="2026-05-05T18:46:00"/>
    <s v="Gifts"/>
    <s v="Gnome Workshop Chest"/>
    <x v="10"/>
    <s v="Level 5 Crypt"/>
    <x v="3"/>
  </r>
  <r>
    <d v="2026-05-05T18:46:00"/>
    <s v="Gifts"/>
    <s v="Elegant Chest"/>
    <x v="10"/>
    <s v="Level 5 Crypt"/>
    <x v="3"/>
  </r>
  <r>
    <d v="2026-05-05T18:46:00"/>
    <s v="Gifts"/>
    <s v="Cobra Chest"/>
    <x v="58"/>
    <s v="Level 10 Crypt"/>
    <x v="2"/>
  </r>
  <r>
    <d v="2026-05-05T18:46:00"/>
    <s v="Gifts"/>
    <s v="Barbarian Chest"/>
    <x v="10"/>
    <s v="Level 10 Crypt"/>
    <x v="2"/>
  </r>
  <r>
    <d v="2026-05-05T18:46:00"/>
    <s v="Gifts"/>
    <s v="Forgotten Chest"/>
    <x v="10"/>
    <s v="Level 5 Crypt"/>
    <x v="3"/>
  </r>
  <r>
    <d v="2026-05-05T18:46:00"/>
    <s v="Gifts"/>
    <s v="Forgotten Chest"/>
    <x v="10"/>
    <s v="Level 5 Crypt"/>
    <x v="3"/>
  </r>
  <r>
    <d v="2026-05-05T18:46:00"/>
    <s v="Gifts"/>
    <s v="Bone Chest"/>
    <x v="10"/>
    <s v="Level 10 Crypt"/>
    <x v="2"/>
  </r>
  <r>
    <d v="2026-05-05T18:46:00"/>
    <s v="Gifts"/>
    <s v="Orc Chest"/>
    <x v="9"/>
    <s v="Level 15 Crypt"/>
    <x v="0"/>
  </r>
  <r>
    <d v="2026-05-05T18:46:00"/>
    <s v="Gifts"/>
    <s v="Barbarian Chest"/>
    <x v="10"/>
    <s v="Level 5 Crypt"/>
    <x v="3"/>
  </r>
  <r>
    <d v="2026-05-05T18:46:00"/>
    <s v="Gifts"/>
    <s v="Infernal Chest"/>
    <x v="9"/>
    <s v="Level 10 Crypt"/>
    <x v="2"/>
  </r>
  <r>
    <d v="2026-05-05T18:46:00"/>
    <s v="Gifts"/>
    <s v="Chest of Authority"/>
    <x v="43"/>
    <s v="Authority Rush tournament"/>
    <x v="1"/>
  </r>
  <r>
    <d v="2026-05-05T18:46:00"/>
    <s v="Gifts"/>
    <s v="Bone Chest"/>
    <x v="10"/>
    <s v="Level 5 Crypt"/>
    <x v="3"/>
  </r>
  <r>
    <d v="2026-05-05T18:46:00"/>
    <s v="Gifts"/>
    <s v="Infernal Chest"/>
    <x v="9"/>
    <s v="Level 10 Crypt"/>
    <x v="2"/>
  </r>
  <r>
    <d v="2026-05-05T18:46:00"/>
    <s v="Gifts"/>
    <s v="Common Chest of Wealth"/>
    <x v="18"/>
    <s v="Clan wealth"/>
    <x v="1"/>
  </r>
  <r>
    <d v="2026-05-05T18:46:00"/>
    <s v="Gifts"/>
    <s v="Uncommon Chest of Wealth"/>
    <x v="18"/>
    <s v="Clan wealth"/>
    <x v="1"/>
  </r>
  <r>
    <d v="2026-05-05T18:46:00"/>
    <s v="Gifts"/>
    <s v="Rare Chest of Wealth"/>
    <x v="18"/>
    <s v="Clan wealth"/>
    <x v="1"/>
  </r>
  <r>
    <d v="2026-05-05T18:46:00"/>
    <s v="Gifts"/>
    <s v="Forgotten Chest"/>
    <x v="10"/>
    <s v="Level 5 Crypt"/>
    <x v="3"/>
  </r>
  <r>
    <d v="2026-05-05T18:46:00"/>
    <s v="Gifts"/>
    <s v="Gnome Workshop Chest"/>
    <x v="10"/>
    <s v="Level 5 Crypt"/>
    <x v="3"/>
  </r>
  <r>
    <d v="2026-05-05T18:46:00"/>
    <s v="Gifts"/>
    <s v="Sand Chest"/>
    <x v="10"/>
    <s v="Level 10 Crypt"/>
    <x v="2"/>
  </r>
  <r>
    <d v="2026-05-05T18:46:00"/>
    <s v="Gifts"/>
    <s v="Sand Chest"/>
    <x v="10"/>
    <s v="Level 5 Crypt"/>
    <x v="3"/>
  </r>
  <r>
    <d v="2026-05-05T18:46:00"/>
    <s v="Gifts"/>
    <s v="Rare Dragon Chest"/>
    <x v="9"/>
    <s v="Level 10 rare Crypt"/>
    <x v="8"/>
  </r>
  <r>
    <d v="2026-05-05T18:46:00"/>
    <s v="Gifts"/>
    <s v="Cobra Chest"/>
    <x v="10"/>
    <s v="Level 5 Crypt"/>
    <x v="3"/>
  </r>
  <r>
    <d v="2026-05-05T18:46:00"/>
    <s v="Gifts"/>
    <s v="Fire Chest"/>
    <x v="10"/>
    <s v="Level 5 Crypt"/>
    <x v="3"/>
  </r>
  <r>
    <d v="2026-05-05T18:46:00"/>
    <s v="Gifts"/>
    <s v="Gnome Workshop Chest"/>
    <x v="18"/>
    <s v="Level 10 Crypt"/>
    <x v="2"/>
  </r>
  <r>
    <d v="2026-05-05T18:46:00"/>
    <s v="Gifts"/>
    <s v="Rare Dragon Chest"/>
    <x v="10"/>
    <s v="Level 10 rare Crypt"/>
    <x v="8"/>
  </r>
  <r>
    <d v="2026-05-05T18:46:00"/>
    <s v="Gifts"/>
    <s v="Bone Chest"/>
    <x v="10"/>
    <s v="Level 5 Crypt"/>
    <x v="3"/>
  </r>
  <r>
    <d v="2026-05-05T18:46:00"/>
    <s v="Gifts"/>
    <s v="Infernal Chest"/>
    <x v="10"/>
    <s v="Level 10 Crypt"/>
    <x v="2"/>
  </r>
  <r>
    <d v="2026-05-05T18:46:00"/>
    <s v="Gifts"/>
    <s v="Sand Chest"/>
    <x v="37"/>
    <s v="Level 5 Crypt"/>
    <x v="3"/>
  </r>
  <r>
    <d v="2026-05-05T18:46:00"/>
    <s v="Gifts"/>
    <s v="Sand Chest"/>
    <x v="10"/>
    <s v="Level 10 Crypt"/>
    <x v="2"/>
  </r>
  <r>
    <d v="2026-05-05T18:46:00"/>
    <s v="Gifts"/>
    <s v="Barbarian Chest"/>
    <x v="10"/>
    <s v="Level 10 Crypt"/>
    <x v="2"/>
  </r>
  <r>
    <d v="2026-05-05T18:46:00"/>
    <s v="Gifts"/>
    <s v="Forgotten Chest"/>
    <x v="10"/>
    <s v="Level 10 Crypt"/>
    <x v="2"/>
  </r>
  <r>
    <d v="2026-05-05T18:46:00"/>
    <s v="Gifts"/>
    <s v="Elven Citadel Chest"/>
    <x v="9"/>
    <s v="Level 10 Citadel"/>
    <x v="11"/>
  </r>
  <r>
    <d v="2026-05-05T18:46:00"/>
    <s v="Gifts"/>
    <s v="Forgotten Chest"/>
    <x v="10"/>
    <s v="Level 10 Crypt"/>
    <x v="2"/>
  </r>
  <r>
    <d v="2026-05-05T18:46:00"/>
    <s v="Gifts"/>
    <s v="Elegant Chest"/>
    <x v="10"/>
    <s v="Level 10 Crypt"/>
    <x v="2"/>
  </r>
  <r>
    <d v="2026-05-05T18:46:00"/>
    <s v="Gifts"/>
    <s v="Mayan Chest"/>
    <x v="10"/>
    <s v="Level 10 Crypt"/>
    <x v="2"/>
  </r>
  <r>
    <d v="2026-05-05T18:46:00"/>
    <s v="Gifts"/>
    <s v="Bone Chest"/>
    <x v="10"/>
    <s v="Level 5 Crypt"/>
    <x v="3"/>
  </r>
  <r>
    <d v="2026-05-05T18:46:00"/>
    <s v="Gifts"/>
    <s v="Sand Chest"/>
    <x v="10"/>
    <s v="Level 5 Crypt"/>
    <x v="3"/>
  </r>
  <r>
    <d v="2026-05-05T18:46:00"/>
    <s v="Gifts"/>
    <s v="Sand Chest"/>
    <x v="10"/>
    <s v="Level 5 Crypt"/>
    <x v="3"/>
  </r>
  <r>
    <d v="2026-05-05T18:46:00"/>
    <s v="Gifts"/>
    <s v="Mayan Chest"/>
    <x v="10"/>
    <s v="Level 10 Crypt"/>
    <x v="2"/>
  </r>
  <r>
    <d v="2026-05-05T18:46:00"/>
    <s v="Gifts"/>
    <s v="Gnome Workshop Chest"/>
    <x v="37"/>
    <s v="Level 10 Crypt"/>
    <x v="2"/>
  </r>
  <r>
    <d v="2026-05-05T18:46:00"/>
    <s v="Gifts"/>
    <s v="Stone Chest"/>
    <x v="10"/>
    <s v="Level 10 Crypt"/>
    <x v="2"/>
  </r>
  <r>
    <d v="2026-05-05T18:46:00"/>
    <s v="Gifts"/>
    <s v="Fire Chest"/>
    <x v="10"/>
    <s v="Level 5 Crypt"/>
    <x v="3"/>
  </r>
  <r>
    <d v="2026-05-05T18:46:00"/>
    <s v="Gifts"/>
    <s v="Sand Chest"/>
    <x v="10"/>
    <s v="Level 5 Crypt"/>
    <x v="3"/>
  </r>
  <r>
    <d v="2026-05-05T18:46:00"/>
    <s v="Gifts"/>
    <s v="Sand Chest"/>
    <x v="64"/>
    <s v="Level 5 Crypt"/>
    <x v="3"/>
  </r>
  <r>
    <d v="2026-05-05T18:46:00"/>
    <s v="Gifts"/>
    <s v="Stone Chest"/>
    <x v="64"/>
    <s v="Level 5 Crypt"/>
    <x v="3"/>
  </r>
  <r>
    <d v="2026-05-05T18:46:00"/>
    <s v="Gifts"/>
    <s v="Gnome Workshop Chest"/>
    <x v="10"/>
    <s v="Level 10 Crypt"/>
    <x v="2"/>
  </r>
  <r>
    <d v="2026-05-05T18:46:00"/>
    <s v="Gifts"/>
    <s v="Cobra Chest"/>
    <x v="10"/>
    <s v="Level 5 Crypt"/>
    <x v="3"/>
  </r>
  <r>
    <d v="2026-05-05T18:46:00"/>
    <s v="Gifts"/>
    <s v="Orc Chest"/>
    <x v="10"/>
    <s v="Level 5 Crypt"/>
    <x v="3"/>
  </r>
  <r>
    <d v="2026-05-05T18:46:00"/>
    <s v="Gifts"/>
    <s v="Barbarian Chest"/>
    <x v="10"/>
    <s v="Level 10 Crypt"/>
    <x v="2"/>
  </r>
  <r>
    <d v="2026-05-05T18:46:00"/>
    <s v="Gifts"/>
    <s v="Chest of Authority"/>
    <x v="31"/>
    <s v="Authority Rush tournament"/>
    <x v="1"/>
  </r>
  <r>
    <d v="2026-05-05T18:46:00"/>
    <s v="Gifts"/>
    <s v="Elegant Chest"/>
    <x v="10"/>
    <s v="Level 5 Crypt"/>
    <x v="3"/>
  </r>
  <r>
    <d v="2026-05-05T18:46:00"/>
    <s v="Gifts"/>
    <s v="Fire Chest"/>
    <x v="10"/>
    <s v="Level 10 Crypt"/>
    <x v="2"/>
  </r>
  <r>
    <d v="2026-05-05T18:46:00"/>
    <s v="Gifts"/>
    <s v="Gnome Workshop Chest"/>
    <x v="10"/>
    <s v="Level 10 Crypt"/>
    <x v="2"/>
  </r>
  <r>
    <d v="2026-05-05T18:46:00"/>
    <s v="Gifts"/>
    <s v="Barbarian Chest"/>
    <x v="10"/>
    <s v="Level 10 Crypt"/>
    <x v="2"/>
  </r>
  <r>
    <d v="2026-05-05T18:46:00"/>
    <s v="Gifts"/>
    <s v="Elegant Chest"/>
    <x v="10"/>
    <s v="Level 10 Crypt"/>
    <x v="2"/>
  </r>
  <r>
    <d v="2026-05-05T18:46:00"/>
    <s v="Gifts"/>
    <s v="Forgotten Chest"/>
    <x v="18"/>
    <s v="Level 10 Crypt"/>
    <x v="2"/>
  </r>
  <r>
    <d v="2026-05-05T18:46:00"/>
    <s v="Gifts"/>
    <s v="Orc Chest"/>
    <x v="10"/>
    <s v="Level 10 Crypt"/>
    <x v="2"/>
  </r>
  <r>
    <d v="2026-05-05T18:46:00"/>
    <s v="Gifts"/>
    <s v="Stone Chest"/>
    <x v="10"/>
    <s v="Level 5 Crypt"/>
    <x v="3"/>
  </r>
  <r>
    <d v="2026-05-05T18:46:00"/>
    <s v="Gifts"/>
    <s v="Mayan Chest"/>
    <x v="10"/>
    <s v="Level 10 Crypt"/>
    <x v="2"/>
  </r>
  <r>
    <d v="2026-05-05T18:46:00"/>
    <s v="Gifts"/>
    <s v="Gnome Workshop Chest"/>
    <x v="10"/>
    <s v="Level 5 Crypt"/>
    <x v="3"/>
  </r>
  <r>
    <d v="2026-05-05T18:46:00"/>
    <s v="Gifts"/>
    <s v="Elven Citadel Chest"/>
    <x v="9"/>
    <s v="Level 10 Citadel"/>
    <x v="11"/>
  </r>
  <r>
    <d v="2026-05-05T18:46:00"/>
    <s v="Gifts"/>
    <s v="Stone Chest"/>
    <x v="6"/>
    <s v="Level 15 Crypt"/>
    <x v="0"/>
  </r>
  <r>
    <d v="2026-05-05T18:46:00"/>
    <s v="Gifts"/>
    <s v="Orc Chest"/>
    <x v="37"/>
    <s v="Level 10 Crypt"/>
    <x v="2"/>
  </r>
  <r>
    <d v="2026-05-05T18:46:00"/>
    <s v="Triumphal Gifts"/>
    <s v="Golden Chest"/>
    <x v="61"/>
    <s v="Bank"/>
    <x v="5"/>
  </r>
  <r>
    <d v="2026-05-05T18:46:00"/>
    <s v="Triumphal Gifts"/>
    <s v="Golden Chest"/>
    <x v="61"/>
    <s v="Bank"/>
    <x v="5"/>
  </r>
  <r>
    <d v="2026-05-05T18:46:00"/>
    <s v="Triumphal Gifts"/>
    <s v="Golden Chest"/>
    <x v="61"/>
    <s v="Bank"/>
    <x v="5"/>
  </r>
  <r>
    <d v="2026-05-05T18:46:00"/>
    <s v="Triumphal Gifts"/>
    <s v="Bronze Chest"/>
    <x v="7"/>
    <s v="Bank"/>
    <x v="5"/>
  </r>
  <r>
    <d v="2026-05-05T18:46:00"/>
    <s v="Triumphal Gifts"/>
    <s v="Bronze Chest"/>
    <x v="7"/>
    <s v="Bank"/>
    <x v="5"/>
  </r>
  <r>
    <d v="2026-05-05T18:46:00"/>
    <s v="Triumphal Gifts"/>
    <s v="Bronze Chest"/>
    <x v="7"/>
    <s v="Bank"/>
    <x v="5"/>
  </r>
  <r>
    <d v="2026-05-05T18:46:00"/>
    <s v="Triumphal Gifts"/>
    <s v="Wooden Chest"/>
    <x v="9"/>
    <s v="Bank"/>
    <x v="5"/>
  </r>
  <r>
    <d v="2026-05-05T18:46:00"/>
    <s v="Triumphal Gifts"/>
    <s v="Wooden Chest"/>
    <x v="9"/>
    <s v="Bank"/>
    <x v="5"/>
  </r>
  <r>
    <d v="2026-05-05T18:46:00"/>
    <s v="Triumphal Gifts"/>
    <s v="Wooden Chest"/>
    <x v="9"/>
    <s v="Bank"/>
    <x v="5"/>
  </r>
  <r>
    <d v="2026-05-05T18:46:00"/>
    <s v="Triumphal Gifts"/>
    <s v="Bronze Chest"/>
    <x v="37"/>
    <s v="Bank"/>
    <x v="5"/>
  </r>
  <r>
    <d v="2026-05-05T18:46:00"/>
    <s v="Triumphal Gifts"/>
    <s v="Bronze Chest"/>
    <x v="37"/>
    <s v="Bank"/>
    <x v="5"/>
  </r>
  <r>
    <d v="2026-05-05T18:46:00"/>
    <s v="Triumphal Gifts"/>
    <s v="Bronze Chest"/>
    <x v="37"/>
    <s v="Bank"/>
    <x v="5"/>
  </r>
  <r>
    <d v="2026-05-05T21:37:00"/>
    <s v="Gifts"/>
    <s v="Sand Chest"/>
    <x v="31"/>
    <s v="Level 15 Crypt"/>
    <x v="0"/>
  </r>
  <r>
    <d v="2026-05-05T21:37:00"/>
    <s v="Gifts"/>
    <s v="Infernal Chest"/>
    <x v="19"/>
    <s v="Level 15 Crypt"/>
    <x v="0"/>
  </r>
  <r>
    <d v="2026-05-05T21:37:00"/>
    <s v="Gifts"/>
    <s v="Barbarian Chest"/>
    <x v="37"/>
    <s v="Level 10 Crypt"/>
    <x v="2"/>
  </r>
  <r>
    <d v="2026-05-05T21:37:00"/>
    <s v="Gifts"/>
    <s v="Fire Chest"/>
    <x v="37"/>
    <s v="Level 10 Crypt"/>
    <x v="2"/>
  </r>
  <r>
    <d v="2026-05-05T21:37:00"/>
    <s v="Gifts"/>
    <s v="Elven Citadel Chest"/>
    <x v="44"/>
    <s v="Level 10 Citadel"/>
    <x v="11"/>
  </r>
  <r>
    <d v="2026-05-05T21:37:00"/>
    <s v="Gifts"/>
    <s v="Bone Chest"/>
    <x v="37"/>
    <s v="Level 10 Crypt"/>
    <x v="2"/>
  </r>
  <r>
    <d v="2026-05-05T21:37:00"/>
    <s v="Gifts"/>
    <s v="Elegant Chest"/>
    <x v="37"/>
    <s v="Level 10 Crypt"/>
    <x v="2"/>
  </r>
  <r>
    <d v="2026-05-05T21:37:00"/>
    <s v="Gifts"/>
    <s v="Elegant Chest"/>
    <x v="37"/>
    <s v="Level 10 Crypt"/>
    <x v="2"/>
  </r>
  <r>
    <d v="2026-05-05T21:37:00"/>
    <s v="Gifts"/>
    <s v="Bone Chest"/>
    <x v="37"/>
    <s v="Level 10 Crypt"/>
    <x v="2"/>
  </r>
  <r>
    <d v="2026-05-05T21:37:00"/>
    <s v="Gifts"/>
    <s v="Mayan Chest"/>
    <x v="37"/>
    <s v="Level 10 Crypt"/>
    <x v="2"/>
  </r>
  <r>
    <d v="2026-05-05T21:37:00"/>
    <s v="Gifts"/>
    <s v="Bone Chest"/>
    <x v="24"/>
    <s v="Level 10 Crypt"/>
    <x v="2"/>
  </r>
  <r>
    <d v="2026-05-05T21:37:00"/>
    <s v="Gifts"/>
    <s v="Rare Dragon Chest"/>
    <x v="24"/>
    <s v="Level 10 rare Crypt"/>
    <x v="8"/>
  </r>
  <r>
    <d v="2026-05-05T21:37:00"/>
    <s v="Gifts"/>
    <s v="Elven Citadel Chest"/>
    <x v="43"/>
    <s v="Level 10 Citadel"/>
    <x v="11"/>
  </r>
  <r>
    <d v="2026-05-05T21:37:00"/>
    <s v="Gifts"/>
    <s v="Fire Chest"/>
    <x v="19"/>
    <s v="Level 15 Crypt"/>
    <x v="0"/>
  </r>
  <r>
    <d v="2026-05-05T21:37:00"/>
    <s v="Gifts"/>
    <s v="Elven Citadel Chest"/>
    <x v="44"/>
    <s v="Level 10 Citadel"/>
    <x v="11"/>
  </r>
  <r>
    <d v="2026-05-05T21:37:00"/>
    <s v="Gifts"/>
    <s v="Rare Dragon Chest"/>
    <x v="43"/>
    <s v="Level 10 rare Crypt"/>
    <x v="8"/>
  </r>
  <r>
    <d v="2026-05-05T21:37:00"/>
    <s v="Gifts"/>
    <s v="Chest of Authority"/>
    <x v="24"/>
    <s v="Authority Rush tournament"/>
    <x v="1"/>
  </r>
  <r>
    <d v="2026-05-05T21:37:00"/>
    <s v="Gifts"/>
    <s v="Rare Dragon Chest"/>
    <x v="43"/>
    <s v="Level 10 rare Crypt"/>
    <x v="8"/>
  </r>
  <r>
    <d v="2026-05-05T21:37:00"/>
    <s v="Gifts"/>
    <s v="Bone Chest"/>
    <x v="44"/>
    <s v="Level 10 Crypt"/>
    <x v="2"/>
  </r>
  <r>
    <d v="2026-05-05T21:37:00"/>
    <s v="Gifts"/>
    <s v="Rare Dragon Chest"/>
    <x v="44"/>
    <s v="Level 10 rare Crypt"/>
    <x v="8"/>
  </r>
  <r>
    <d v="2026-05-05T21:37:00"/>
    <s v="Gifts"/>
    <s v="Gladiator's Chest"/>
    <x v="38"/>
    <s v="Arena"/>
    <x v="1"/>
  </r>
  <r>
    <d v="2026-05-05T21:37:00"/>
    <s v="Gifts"/>
    <s v="Rare Dragon Chest"/>
    <x v="44"/>
    <s v="Level 10 rare Crypt"/>
    <x v="8"/>
  </r>
  <r>
    <d v="2026-05-05T21:37:00"/>
    <s v="Gifts"/>
    <s v="Cobra Chest"/>
    <x v="64"/>
    <s v="Level 5 Crypt"/>
    <x v="3"/>
  </r>
  <r>
    <d v="2026-05-05T21:37:00"/>
    <s v="Gifts"/>
    <s v="Scorpion Chest"/>
    <x v="24"/>
    <s v="Level 15 epic Crypt"/>
    <x v="10"/>
  </r>
  <r>
    <d v="2026-05-05T21:37:00"/>
    <s v="Gifts"/>
    <s v="Bone Chest"/>
    <x v="44"/>
    <s v="Level 10 Crypt"/>
    <x v="2"/>
  </r>
  <r>
    <d v="2026-05-05T21:37:00"/>
    <s v="Gifts"/>
    <s v="Chest of Authority"/>
    <x v="24"/>
    <s v="Authority Rush tournament"/>
    <x v="1"/>
  </r>
  <r>
    <d v="2026-05-05T21:37:00"/>
    <s v="Gifts"/>
    <s v="Rare Dragon Chest"/>
    <x v="51"/>
    <s v="Level 10 rare Crypt"/>
    <x v="8"/>
  </r>
  <r>
    <d v="2026-05-05T21:37:00"/>
    <s v="Gifts"/>
    <s v="Forgotten Chest"/>
    <x v="20"/>
    <s v="Level 10 Crypt"/>
    <x v="2"/>
  </r>
  <r>
    <d v="2026-05-05T21:37:00"/>
    <s v="Gifts"/>
    <s v="Bone Chest"/>
    <x v="44"/>
    <s v="Level 10 Crypt"/>
    <x v="2"/>
  </r>
  <r>
    <d v="2026-05-05T21:37:00"/>
    <s v="Gifts"/>
    <s v="Infernal Chest"/>
    <x v="20"/>
    <s v="Level 10 Crypt"/>
    <x v="2"/>
  </r>
  <r>
    <d v="2026-05-05T21:37:00"/>
    <s v="Gifts"/>
    <s v="Chest of Authority"/>
    <x v="24"/>
    <s v="Authority Rush tournament"/>
    <x v="1"/>
  </r>
  <r>
    <d v="2026-05-05T21:37:00"/>
    <s v="Gifts"/>
    <s v="Cobra Chest"/>
    <x v="51"/>
    <s v="Level 10 Crypt"/>
    <x v="2"/>
  </r>
  <r>
    <d v="2026-05-05T21:37:00"/>
    <s v="Gifts"/>
    <s v="Chest of Authority"/>
    <x v="37"/>
    <s v="Authority Rush tournament"/>
    <x v="1"/>
  </r>
  <r>
    <d v="2026-05-05T21:37:00"/>
    <s v="Gifts"/>
    <s v="Fire Chest"/>
    <x v="38"/>
    <s v="Level 5 Crypt"/>
    <x v="3"/>
  </r>
  <r>
    <d v="2026-05-05T21:37:00"/>
    <s v="Gifts"/>
    <s v="Cobra Chest"/>
    <x v="38"/>
    <s v="Level 5 Crypt"/>
    <x v="3"/>
  </r>
  <r>
    <d v="2026-05-05T21:37:00"/>
    <s v="Gifts"/>
    <s v="Cobra Chest"/>
    <x v="38"/>
    <s v="Level 10 Crypt"/>
    <x v="2"/>
  </r>
  <r>
    <d v="2026-05-05T21:37:00"/>
    <s v="Gifts"/>
    <s v="Gnome Workshop Chest"/>
    <x v="38"/>
    <s v="Level 10 Crypt"/>
    <x v="2"/>
  </r>
  <r>
    <d v="2026-05-05T21:37:00"/>
    <s v="Gifts"/>
    <s v="Cobra Chest"/>
    <x v="38"/>
    <s v="Level 10 Crypt"/>
    <x v="2"/>
  </r>
  <r>
    <d v="2026-05-05T21:37:00"/>
    <s v="Gifts"/>
    <s v="Gnome Workshop Chest"/>
    <x v="6"/>
    <s v="Level 15 Crypt"/>
    <x v="0"/>
  </r>
  <r>
    <d v="2026-05-05T21:37:00"/>
    <s v="Gifts"/>
    <s v="Stone Chest"/>
    <x v="6"/>
    <s v="Level 5 Crypt"/>
    <x v="3"/>
  </r>
  <r>
    <d v="2026-05-05T21:37:00"/>
    <s v="Gifts"/>
    <s v="Cobra Chest"/>
    <x v="38"/>
    <s v="Level 15 Crypt"/>
    <x v="0"/>
  </r>
  <r>
    <d v="2026-05-05T21:37:00"/>
    <s v="Gifts"/>
    <s v="Minotaur Chest"/>
    <x v="6"/>
    <s v="Level 15 epic Crypt"/>
    <x v="10"/>
  </r>
  <r>
    <d v="2026-05-05T21:37:00"/>
    <s v="Gifts"/>
    <s v="Titansteel Chest"/>
    <x v="6"/>
    <s v="Level 15 epic Crypt"/>
    <x v="10"/>
  </r>
  <r>
    <d v="2026-05-05T21:37:00"/>
    <s v="Gifts"/>
    <s v="Cobra Chest"/>
    <x v="38"/>
    <s v="Level 10 Crypt"/>
    <x v="2"/>
  </r>
  <r>
    <d v="2026-05-05T21:37:00"/>
    <s v="Gifts"/>
    <s v="Stone Chest"/>
    <x v="6"/>
    <s v="Level 15 Crypt"/>
    <x v="0"/>
  </r>
  <r>
    <d v="2026-05-05T21:37:00"/>
    <s v="Gifts"/>
    <s v="Barbarian Chest"/>
    <x v="6"/>
    <s v="Level 10 Crypt"/>
    <x v="2"/>
  </r>
  <r>
    <d v="2026-05-05T21:37:00"/>
    <s v="Gifts"/>
    <s v="Forgotten Chest"/>
    <x v="51"/>
    <s v="Level 10 Crypt"/>
    <x v="2"/>
  </r>
  <r>
    <d v="2026-05-05T21:37:00"/>
    <s v="Gifts"/>
    <s v="Trillium Chest"/>
    <x v="6"/>
    <s v="Level 15 epic Crypt"/>
    <x v="10"/>
  </r>
  <r>
    <d v="2026-05-05T21:37:00"/>
    <s v="Gifts"/>
    <s v="Elven Citadel Chest"/>
    <x v="44"/>
    <s v="Level 10 Citadel"/>
    <x v="11"/>
  </r>
  <r>
    <d v="2026-05-05T21:37:00"/>
    <s v="Gifts"/>
    <s v="Bone Chest"/>
    <x v="4"/>
    <s v="Level 10 Crypt"/>
    <x v="2"/>
  </r>
  <r>
    <d v="2026-05-05T21:37:00"/>
    <s v="Gifts"/>
    <s v="Gnome Workshop Chest"/>
    <x v="2"/>
    <s v="Level 10 Crypt"/>
    <x v="2"/>
  </r>
  <r>
    <d v="2026-05-05T21:37:00"/>
    <s v="Gifts"/>
    <s v="Elven Citadel Chest"/>
    <x v="44"/>
    <s v="Level 10 Citadel"/>
    <x v="11"/>
  </r>
  <r>
    <d v="2026-05-05T21:37:00"/>
    <s v="Gifts"/>
    <s v="Elven Citadel Chest"/>
    <x v="51"/>
    <s v="Level 10 Citadel"/>
    <x v="11"/>
  </r>
  <r>
    <d v="2026-05-05T21:37:00"/>
    <s v="Gifts"/>
    <s v="Chest of Authority"/>
    <x v="31"/>
    <s v="Authority Rush tournament"/>
    <x v="1"/>
  </r>
  <r>
    <d v="2026-05-05T21:37:00"/>
    <s v="Gifts"/>
    <s v="Rare Dragon Chest"/>
    <x v="44"/>
    <s v="Level 10 rare Crypt"/>
    <x v="8"/>
  </r>
  <r>
    <d v="2026-05-05T21:37:00"/>
    <s v="Triumphal Gifts"/>
    <s v="Wooden Chest"/>
    <x v="51"/>
    <s v="Bank"/>
    <x v="5"/>
  </r>
  <r>
    <d v="2026-05-05T21:37:00"/>
    <s v="Triumphal Gifts"/>
    <s v="Wooden Chest"/>
    <x v="51"/>
    <s v="Bank"/>
    <x v="5"/>
  </r>
  <r>
    <d v="2026-05-05T21:37:00"/>
    <s v="Triumphal Gifts"/>
    <s v="Wooden Chest"/>
    <x v="51"/>
    <s v="Bank"/>
    <x v="5"/>
  </r>
  <r>
    <d v="2026-05-05T21:37:00"/>
    <s v="Triumphal Gifts"/>
    <s v="Bronze Chest"/>
    <x v="51"/>
    <s v="Bank"/>
    <x v="5"/>
  </r>
  <r>
    <d v="2026-05-05T21:37:00"/>
    <s v="Triumphal Gifts"/>
    <s v="Bronze Chest"/>
    <x v="51"/>
    <s v="Bank"/>
    <x v="5"/>
  </r>
  <r>
    <d v="2026-05-05T21:37:00"/>
    <s v="Triumphal Gifts"/>
    <s v="Bronze Chest"/>
    <x v="51"/>
    <s v="Bank"/>
    <x v="5"/>
  </r>
  <r>
    <d v="2026-05-05T22:28:00"/>
    <s v="Gifts"/>
    <s v="Rare Dragon Chest"/>
    <x v="44"/>
    <s v="Level 10 rare Crypt"/>
    <x v="8"/>
  </r>
  <r>
    <d v="2026-05-05T22:28:00"/>
    <s v="Gifts"/>
    <s v="Chest of Authority"/>
    <x v="6"/>
    <s v="Authority Rush tournament"/>
    <x v="1"/>
  </r>
  <r>
    <d v="2026-05-05T22:28:00"/>
    <s v="Gifts"/>
    <s v="Stone Chest"/>
    <x v="20"/>
    <s v="Level 10 Crypt"/>
    <x v="2"/>
  </r>
  <r>
    <d v="2026-05-05T22:28:00"/>
    <s v="Triumphal Gifts"/>
    <s v="Wooden Chest"/>
    <x v="8"/>
    <s v="Bank"/>
    <x v="5"/>
  </r>
  <r>
    <d v="2026-05-05T22:28:00"/>
    <s v="Triumphal Gifts"/>
    <s v="Wooden Chest"/>
    <x v="8"/>
    <s v="Bank"/>
    <x v="5"/>
  </r>
  <r>
    <d v="2026-05-05T22:28:00"/>
    <s v="Triumphal Gifts"/>
    <s v="Wooden Chest"/>
    <x v="8"/>
    <s v="Bank"/>
    <x v="5"/>
  </r>
  <r>
    <d v="2026-05-06T10:48:00"/>
    <s v="Gifts"/>
    <s v="Bone Chest"/>
    <x v="20"/>
    <s v="Level 10 Crypt"/>
    <x v="2"/>
  </r>
  <r>
    <d v="2026-05-06T10:48:00"/>
    <s v="Gifts"/>
    <s v="Fire Chest"/>
    <x v="60"/>
    <s v="Level 10 Crypt"/>
    <x v="2"/>
  </r>
  <r>
    <d v="2026-05-06T10:48:00"/>
    <s v="Gifts"/>
    <s v="Rare Dragon Chest"/>
    <x v="20"/>
    <s v="Level 10 rare Crypt"/>
    <x v="8"/>
  </r>
  <r>
    <d v="2026-05-06T10:48:00"/>
    <s v="Gifts"/>
    <s v="Chest of Authority"/>
    <x v="61"/>
    <s v="Authority Rush tournament"/>
    <x v="1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Barbarian Chest"/>
    <x v="0"/>
    <s v="Level 10 Crypt"/>
    <x v="2"/>
  </r>
  <r>
    <d v="2026-05-06T10:48:00"/>
    <s v="Gifts"/>
    <s v="Elegant Chest"/>
    <x v="0"/>
    <s v="Level 15 Crypt"/>
    <x v="0"/>
  </r>
  <r>
    <d v="2026-05-06T10:48:00"/>
    <s v="Gifts"/>
    <s v="Elven Citadel Chest"/>
    <x v="9"/>
    <s v="Level 10 Citadel"/>
    <x v="11"/>
  </r>
  <r>
    <d v="2026-05-06T10:48:00"/>
    <s v="Gifts"/>
    <s v="Elegant Chest"/>
    <x v="9"/>
    <s v="Level 15 Crypt"/>
    <x v="0"/>
  </r>
  <r>
    <d v="2026-05-06T10:48:00"/>
    <s v="Gifts"/>
    <s v="Rare Dragon Chest"/>
    <x v="9"/>
    <s v="Level 10 rare Crypt"/>
    <x v="8"/>
  </r>
  <r>
    <d v="2026-05-06T10:48:00"/>
    <s v="Gifts"/>
    <s v="Rare Dragon Chest"/>
    <x v="9"/>
    <s v="Level 10 rare Crypt"/>
    <x v="8"/>
  </r>
  <r>
    <d v="2026-05-06T10:48:00"/>
    <s v="Gifts"/>
    <s v="Rare Dragon Chest"/>
    <x v="9"/>
    <s v="Level 10 rare Crypt"/>
    <x v="8"/>
  </r>
  <r>
    <d v="2026-05-06T10:48:00"/>
    <s v="Gifts"/>
    <s v="Common Chest of Wealth"/>
    <x v="9"/>
    <s v="Clan wealth"/>
    <x v="1"/>
  </r>
  <r>
    <d v="2026-05-06T10:48:00"/>
    <s v="Gifts"/>
    <s v="Uncommon Chest of Wealth"/>
    <x v="9"/>
    <s v="Clan wealth"/>
    <x v="1"/>
  </r>
  <r>
    <d v="2026-05-06T10:48:00"/>
    <s v="Gifts"/>
    <s v="Chest of Authority"/>
    <x v="65"/>
    <s v="Authority Rush tournament"/>
    <x v="1"/>
  </r>
  <r>
    <d v="2026-05-06T10:48:00"/>
    <s v="Gifts"/>
    <s v="Chest of Authority"/>
    <x v="65"/>
    <s v="Authority Rush tournament"/>
    <x v="1"/>
  </r>
  <r>
    <d v="2026-05-06T10:48:00"/>
    <s v="Gifts"/>
    <s v="Chest of Authority"/>
    <x v="65"/>
    <s v="Authority Rush tournament"/>
    <x v="1"/>
  </r>
  <r>
    <d v="2026-05-06T10:48:00"/>
    <s v="Gifts"/>
    <s v="Bone Chest"/>
    <x v="29"/>
    <s v="Level 5 Crypt"/>
    <x v="3"/>
  </r>
  <r>
    <d v="2026-05-06T10:48:00"/>
    <s v="Gifts"/>
    <s v="Chest of Authority"/>
    <x v="65"/>
    <s v="Authority Rush tournament"/>
    <x v="1"/>
  </r>
  <r>
    <d v="2026-05-06T10:48:00"/>
    <s v="Gifts"/>
    <s v="Stone Chest"/>
    <x v="5"/>
    <s v="Level 5 Crypt"/>
    <x v="3"/>
  </r>
  <r>
    <d v="2026-05-06T10:48:00"/>
    <s v="Gifts"/>
    <s v="Orc Chest"/>
    <x v="51"/>
    <s v="Level 10 Crypt"/>
    <x v="2"/>
  </r>
  <r>
    <d v="2026-05-06T10:48:00"/>
    <s v="Gifts"/>
    <s v="Forgotten Chest"/>
    <x v="5"/>
    <s v="Level 5 Crypt"/>
    <x v="3"/>
  </r>
  <r>
    <d v="2026-05-06T10:48:00"/>
    <s v="Gifts"/>
    <s v="Braided Chest"/>
    <x v="51"/>
    <s v="Level 15 epic Crypt"/>
    <x v="10"/>
  </r>
  <r>
    <d v="2026-05-06T10:48:00"/>
    <s v="Gifts"/>
    <s v="House of Horrors Chest"/>
    <x v="51"/>
    <s v="Level 15 epic Crypt"/>
    <x v="10"/>
  </r>
  <r>
    <d v="2026-05-06T10:48:00"/>
    <s v="Gifts"/>
    <s v="Braided Chest"/>
    <x v="51"/>
    <s v="Level 15 epic Crypt"/>
    <x v="10"/>
  </r>
  <r>
    <d v="2026-05-06T10:48:00"/>
    <s v="Gifts"/>
    <s v="Rare Dragon Chest"/>
    <x v="51"/>
    <s v="Level 10 rare Crypt"/>
    <x v="8"/>
  </r>
  <r>
    <d v="2026-05-06T10:48:00"/>
    <s v="Gifts"/>
    <s v="Fire Chest"/>
    <x v="56"/>
    <s v="Level 5 Crypt"/>
    <x v="3"/>
  </r>
  <r>
    <d v="2026-05-06T10:48:00"/>
    <s v="Gifts"/>
    <s v="Stone Chest"/>
    <x v="25"/>
    <s v="Level 5 Crypt"/>
    <x v="3"/>
  </r>
  <r>
    <d v="2026-05-06T10:48:00"/>
    <s v="Gifts"/>
    <s v="Infernal Chest"/>
    <x v="25"/>
    <s v="Level 10 Crypt"/>
    <x v="2"/>
  </r>
  <r>
    <d v="2026-05-06T10:48:00"/>
    <s v="Gifts"/>
    <s v="Stone Chest"/>
    <x v="18"/>
    <s v="Level 5 Crypt"/>
    <x v="3"/>
  </r>
  <r>
    <d v="2026-05-06T10:48:00"/>
    <s v="Gifts"/>
    <s v="Orc Chest"/>
    <x v="56"/>
    <s v="Level 5 Crypt"/>
    <x v="3"/>
  </r>
  <r>
    <d v="2026-05-06T10:48:00"/>
    <s v="Gifts"/>
    <s v="Barbarian Chest"/>
    <x v="17"/>
    <s v="Level 10 Crypt"/>
    <x v="2"/>
  </r>
  <r>
    <d v="2026-05-06T10:48:00"/>
    <s v="Gifts"/>
    <s v="Bone Chest"/>
    <x v="56"/>
    <s v="Level 5 Crypt"/>
    <x v="3"/>
  </r>
  <r>
    <d v="2026-05-06T10:48:00"/>
    <s v="Gifts"/>
    <s v="Infernal Chest"/>
    <x v="56"/>
    <s v="Level 5 Crypt"/>
    <x v="3"/>
  </r>
  <r>
    <d v="2026-05-06T10:48:00"/>
    <s v="Gifts"/>
    <s v="Bone Chest"/>
    <x v="17"/>
    <s v="Level 10 Crypt"/>
    <x v="2"/>
  </r>
  <r>
    <d v="2026-05-06T10:48:00"/>
    <s v="Gifts"/>
    <s v="Cobra Chest"/>
    <x v="17"/>
    <s v="Level 10 Crypt"/>
    <x v="2"/>
  </r>
  <r>
    <d v="2026-05-06T10:48:00"/>
    <s v="Gifts"/>
    <s v="Elegant Chest"/>
    <x v="41"/>
    <s v="Level 15 Crypt"/>
    <x v="0"/>
  </r>
  <r>
    <d v="2026-05-06T10:48:00"/>
    <s v="Gifts"/>
    <s v="Fire Chest"/>
    <x v="41"/>
    <s v="Level 10 Crypt"/>
    <x v="2"/>
  </r>
  <r>
    <d v="2026-05-06T10:48:00"/>
    <s v="Gifts"/>
    <s v="Infernal Chest"/>
    <x v="41"/>
    <s v="Level 10 Crypt"/>
    <x v="2"/>
  </r>
  <r>
    <d v="2026-05-06T10:48:00"/>
    <s v="Gifts"/>
    <s v="Mayan Chest"/>
    <x v="41"/>
    <s v="Level 15 Crypt"/>
    <x v="0"/>
  </r>
  <r>
    <d v="2026-05-06T10:48:00"/>
    <s v="Gifts"/>
    <s v="Sand Chest"/>
    <x v="41"/>
    <s v="Level 10 Crypt"/>
    <x v="2"/>
  </r>
  <r>
    <d v="2026-05-06T10:48:00"/>
    <s v="Gifts"/>
    <s v="Fire Chest"/>
    <x v="41"/>
    <s v="Level 10 Crypt"/>
    <x v="2"/>
  </r>
  <r>
    <d v="2026-05-06T10:48:00"/>
    <s v="Gifts"/>
    <s v="Infernal Chest"/>
    <x v="41"/>
    <s v="Level 10 Crypt"/>
    <x v="2"/>
  </r>
  <r>
    <d v="2026-05-06T10:48:00"/>
    <s v="Gifts"/>
    <s v="Sand Chest"/>
    <x v="41"/>
    <s v="Level 15 Crypt"/>
    <x v="0"/>
  </r>
  <r>
    <d v="2026-05-06T10:48:00"/>
    <s v="Gifts"/>
    <s v="Bone Chest"/>
    <x v="41"/>
    <s v="Level 15 Crypt"/>
    <x v="0"/>
  </r>
  <r>
    <d v="2026-05-06T10:48:00"/>
    <s v="Gifts"/>
    <s v="Stone Chest"/>
    <x v="41"/>
    <s v="Level 10 Crypt"/>
    <x v="2"/>
  </r>
  <r>
    <d v="2026-05-06T10:48:00"/>
    <s v="Gifts"/>
    <s v="Gnome Workshop Chest"/>
    <x v="41"/>
    <s v="Level 10 Crypt"/>
    <x v="2"/>
  </r>
  <r>
    <d v="2026-05-06T10:48:00"/>
    <s v="Gifts"/>
    <s v="Bone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Mayan Chest"/>
    <x v="41"/>
    <s v="Level 15 Crypt"/>
    <x v="0"/>
  </r>
  <r>
    <d v="2026-05-06T10:48:00"/>
    <s v="Gifts"/>
    <s v="Gnome Workshop Chest"/>
    <x v="41"/>
    <s v="Level 10 Crypt"/>
    <x v="2"/>
  </r>
  <r>
    <d v="2026-05-06T10:48:00"/>
    <s v="Gifts"/>
    <s v="Stone Chest"/>
    <x v="41"/>
    <s v="Level 10 Crypt"/>
    <x v="2"/>
  </r>
  <r>
    <d v="2026-05-06T10:48:00"/>
    <s v="Gifts"/>
    <s v="Gnome Workshop Chest"/>
    <x v="41"/>
    <s v="Level 15 Crypt"/>
    <x v="0"/>
  </r>
  <r>
    <d v="2026-05-06T10:48:00"/>
    <s v="Gifts"/>
    <s v="Fire Chest"/>
    <x v="21"/>
    <s v="Level 15 Crypt"/>
    <x v="0"/>
  </r>
  <r>
    <d v="2026-05-06T10:48:00"/>
    <s v="Gifts"/>
    <s v="Sand Chest"/>
    <x v="21"/>
    <s v="Level 5 Crypt"/>
    <x v="3"/>
  </r>
  <r>
    <d v="2026-05-06T10:48:00"/>
    <s v="Gifts"/>
    <s v="Gnome Workshop Chest"/>
    <x v="21"/>
    <s v="Level 5 Crypt"/>
    <x v="3"/>
  </r>
  <r>
    <d v="2026-05-06T10:48:00"/>
    <s v="Gifts"/>
    <s v="Elven Citadel Chest"/>
    <x v="21"/>
    <s v="Level 10 Citadel"/>
    <x v="11"/>
  </r>
  <r>
    <d v="2026-05-06T10:48:00"/>
    <s v="Gifts"/>
    <s v="Rare Dragon Chest"/>
    <x v="21"/>
    <s v="Level 10 rare Crypt"/>
    <x v="8"/>
  </r>
  <r>
    <d v="2026-05-06T10:48:00"/>
    <s v="Gifts"/>
    <s v="Infernal Chest"/>
    <x v="22"/>
    <s v="Level 10 Crypt"/>
    <x v="2"/>
  </r>
  <r>
    <d v="2026-05-06T10:48:00"/>
    <s v="Gifts"/>
    <s v="Orc Chest"/>
    <x v="21"/>
    <s v="Level 10 Crypt"/>
    <x v="2"/>
  </r>
  <r>
    <d v="2026-05-06T10:48:00"/>
    <s v="Gifts"/>
    <s v="Fire Chest"/>
    <x v="21"/>
    <s v="Level 10 Crypt"/>
    <x v="2"/>
  </r>
  <r>
    <d v="2026-05-06T10:48:00"/>
    <s v="Gifts"/>
    <s v="Mayan Chest"/>
    <x v="56"/>
    <s v="Level 10 Crypt"/>
    <x v="2"/>
  </r>
  <r>
    <d v="2026-05-06T10:48:00"/>
    <s v="Gifts"/>
    <s v="Mayan Chest"/>
    <x v="56"/>
    <s v="Level 5 Crypt"/>
    <x v="3"/>
  </r>
  <r>
    <d v="2026-05-06T10:48:00"/>
    <s v="Gifts"/>
    <s v="Stone Chest"/>
    <x v="56"/>
    <s v="Level 5 Crypt"/>
    <x v="3"/>
  </r>
  <r>
    <d v="2026-05-06T10:48:00"/>
    <s v="Gifts"/>
    <s v="Gnome Workshop Chest"/>
    <x v="56"/>
    <s v="Level 10 Crypt"/>
    <x v="2"/>
  </r>
  <r>
    <d v="2026-05-06T10:48:00"/>
    <s v="Gifts"/>
    <s v="Orc Chest"/>
    <x v="56"/>
    <s v="Level 10 Crypt"/>
    <x v="2"/>
  </r>
  <r>
    <d v="2026-05-06T10:48:00"/>
    <s v="Gifts"/>
    <s v="Elegant Chest"/>
    <x v="56"/>
    <s v="Level 10 Crypt"/>
    <x v="2"/>
  </r>
  <r>
    <d v="2026-05-06T10:48:00"/>
    <s v="Gifts"/>
    <s v="Cobra Chest"/>
    <x v="56"/>
    <s v="Level 10 Crypt"/>
    <x v="2"/>
  </r>
  <r>
    <d v="2026-05-06T10:48:00"/>
    <s v="Gifts"/>
    <s v="Sand Chest"/>
    <x v="56"/>
    <s v="Level 10 Crypt"/>
    <x v="2"/>
  </r>
  <r>
    <d v="2026-05-06T10:48:00"/>
    <s v="Gifts"/>
    <s v="Forgotten Chest"/>
    <x v="56"/>
    <s v="Level 5 Crypt"/>
    <x v="3"/>
  </r>
  <r>
    <d v="2026-05-06T10:48:00"/>
    <s v="Gifts"/>
    <s v="Sand Chest"/>
    <x v="56"/>
    <s v="Level 10 Crypt"/>
    <x v="2"/>
  </r>
  <r>
    <d v="2026-05-06T10:48:00"/>
    <s v="Gifts"/>
    <s v="Cobra Chest"/>
    <x v="6"/>
    <s v="Level 10 Crypt"/>
    <x v="2"/>
  </r>
  <r>
    <d v="2026-05-06T10:48:00"/>
    <s v="Gifts"/>
    <s v="Stone Chest"/>
    <x v="6"/>
    <s v="Level 10 Crypt"/>
    <x v="2"/>
  </r>
  <r>
    <d v="2026-05-06T10:48:00"/>
    <s v="Gifts"/>
    <s v="Stone Chest"/>
    <x v="6"/>
    <s v="Level 15 Crypt"/>
    <x v="0"/>
  </r>
  <r>
    <d v="2026-05-06T10:48:00"/>
    <s v="Gifts"/>
    <s v="Orc Chest"/>
    <x v="56"/>
    <s v="Level 5 Crypt"/>
    <x v="3"/>
  </r>
  <r>
    <d v="2026-05-06T10:48:00"/>
    <s v="Gifts"/>
    <s v="Elegant Chest"/>
    <x v="6"/>
    <s v="Level 10 Crypt"/>
    <x v="2"/>
  </r>
  <r>
    <d v="2026-05-06T10:48:00"/>
    <s v="Gifts"/>
    <s v="Cobra Chest"/>
    <x v="56"/>
    <s v="Level 10 Crypt"/>
    <x v="2"/>
  </r>
  <r>
    <d v="2026-05-06T10:48:00"/>
    <s v="Gifts"/>
    <s v="Fire Chest"/>
    <x v="41"/>
    <s v="Level 15 Crypt"/>
    <x v="0"/>
  </r>
  <r>
    <d v="2026-05-06T10:48:00"/>
    <s v="Gifts"/>
    <s v="Orc Chest"/>
    <x v="41"/>
    <s v="Level 10 Crypt"/>
    <x v="2"/>
  </r>
  <r>
    <d v="2026-05-06T10:48:00"/>
    <s v="Gifts"/>
    <s v="Sand Chest"/>
    <x v="41"/>
    <s v="Level 10 Crypt"/>
    <x v="2"/>
  </r>
  <r>
    <d v="2026-05-06T10:48:00"/>
    <s v="Gifts"/>
    <s v="Stone Chest"/>
    <x v="41"/>
    <s v="Level 10 Crypt"/>
    <x v="2"/>
  </r>
  <r>
    <d v="2026-05-06T10:48:00"/>
    <s v="Gifts"/>
    <s v="Orc Chest"/>
    <x v="41"/>
    <s v="Level 15 Crypt"/>
    <x v="0"/>
  </r>
  <r>
    <d v="2026-05-06T10:48:00"/>
    <s v="Gifts"/>
    <s v="Infernal Chest"/>
    <x v="41"/>
    <s v="Level 10 Crypt"/>
    <x v="2"/>
  </r>
  <r>
    <d v="2026-05-06T10:48:00"/>
    <s v="Gifts"/>
    <s v="Barbarian Chest"/>
    <x v="41"/>
    <s v="Level 10 Crypt"/>
    <x v="2"/>
  </r>
  <r>
    <d v="2026-05-06T10:48:00"/>
    <s v="Gifts"/>
    <s v="Bone Chest"/>
    <x v="41"/>
    <s v="Level 15 Crypt"/>
    <x v="0"/>
  </r>
  <r>
    <d v="2026-05-06T10:48:00"/>
    <s v="Gifts"/>
    <s v="Cobra Chest"/>
    <x v="41"/>
    <s v="Level 10 Crypt"/>
    <x v="2"/>
  </r>
  <r>
    <d v="2026-05-06T10:48:00"/>
    <s v="Gifts"/>
    <s v="Bone Chest"/>
    <x v="56"/>
    <s v="Level 5 Crypt"/>
    <x v="3"/>
  </r>
  <r>
    <d v="2026-05-06T10:48:00"/>
    <s v="Gifts"/>
    <s v="Orc Chest"/>
    <x v="41"/>
    <s v="Level 20 Crypt"/>
    <x v="4"/>
  </r>
  <r>
    <d v="2026-05-06T10:48:00"/>
    <s v="Gifts"/>
    <s v="Barbarian Chest"/>
    <x v="41"/>
    <s v="Level 10 Crypt"/>
    <x v="2"/>
  </r>
  <r>
    <d v="2026-05-06T10:48:00"/>
    <s v="Gifts"/>
    <s v="Gnome Workshop Chest"/>
    <x v="41"/>
    <s v="Level 10 Crypt"/>
    <x v="2"/>
  </r>
  <r>
    <d v="2026-05-06T10:48:00"/>
    <s v="Gifts"/>
    <s v="Mayan Chest"/>
    <x v="41"/>
    <s v="Level 10 Crypt"/>
    <x v="2"/>
  </r>
  <r>
    <d v="2026-05-06T10:48:00"/>
    <s v="Gifts"/>
    <s v="Forgotten Chest"/>
    <x v="56"/>
    <s v="Level 5 Crypt"/>
    <x v="3"/>
  </r>
  <r>
    <d v="2026-05-06T10:48:00"/>
    <s v="Gifts"/>
    <s v="Cobra Chest"/>
    <x v="41"/>
    <s v="Level 15 Crypt"/>
    <x v="0"/>
  </r>
  <r>
    <d v="2026-05-06T10:48:00"/>
    <s v="Gifts"/>
    <s v="Barbarian Chest"/>
    <x v="41"/>
    <s v="Level 10 Crypt"/>
    <x v="2"/>
  </r>
  <r>
    <d v="2026-05-06T10:48:00"/>
    <s v="Gifts"/>
    <s v="Barbarian Chest"/>
    <x v="41"/>
    <s v="Level 15 Crypt"/>
    <x v="0"/>
  </r>
  <r>
    <d v="2026-05-06T10:48:00"/>
    <s v="Gifts"/>
    <s v="Infernal Chest"/>
    <x v="41"/>
    <s v="Level 15 Crypt"/>
    <x v="0"/>
  </r>
  <r>
    <d v="2026-05-06T10:48:00"/>
    <s v="Gifts"/>
    <s v="Barbarian Chest"/>
    <x v="41"/>
    <s v="Level 15 Crypt"/>
    <x v="0"/>
  </r>
  <r>
    <d v="2026-05-06T10:48:00"/>
    <s v="Gifts"/>
    <s v="Sand Chest"/>
    <x v="41"/>
    <s v="Level 15 Crypt"/>
    <x v="0"/>
  </r>
  <r>
    <d v="2026-05-06T10:48:00"/>
    <s v="Gifts"/>
    <s v="Forgotten Chest"/>
    <x v="41"/>
    <s v="Level 15 Crypt"/>
    <x v="0"/>
  </r>
  <r>
    <d v="2026-05-06T10:48:00"/>
    <s v="Gifts"/>
    <s v="Infernal Chest"/>
    <x v="41"/>
    <s v="Level 15 Crypt"/>
    <x v="0"/>
  </r>
  <r>
    <d v="2026-05-06T10:48:00"/>
    <s v="Gifts"/>
    <s v="Mayan Chest"/>
    <x v="41"/>
    <s v="Level 15 Crypt"/>
    <x v="0"/>
  </r>
  <r>
    <d v="2026-05-06T10:48:00"/>
    <s v="Gifts"/>
    <s v="Sand Chest"/>
    <x v="41"/>
    <s v="Level 20 Crypt"/>
    <x v="4"/>
  </r>
  <r>
    <d v="2026-05-06T10:48:00"/>
    <s v="Gifts"/>
    <s v="Stone Chest"/>
    <x v="42"/>
    <s v="Level 10 Crypt"/>
    <x v="2"/>
  </r>
  <r>
    <d v="2026-05-06T10:48:00"/>
    <s v="Gifts"/>
    <s v="Stone Chest"/>
    <x v="42"/>
    <s v="Level 5 Crypt"/>
    <x v="3"/>
  </r>
  <r>
    <d v="2026-05-06T10:48:00"/>
    <s v="Gifts"/>
    <s v="Orc Chest"/>
    <x v="63"/>
    <s v="Level 5 Crypt"/>
    <x v="3"/>
  </r>
  <r>
    <d v="2026-05-06T10:48:00"/>
    <s v="Gifts"/>
    <s v="Chest of Authority"/>
    <x v="6"/>
    <s v="Authority Rush tournament"/>
    <x v="1"/>
  </r>
  <r>
    <d v="2026-05-06T10:48:00"/>
    <s v="Gifts"/>
    <s v="Orc Chest"/>
    <x v="56"/>
    <s v="Level 5 Crypt"/>
    <x v="3"/>
  </r>
  <r>
    <d v="2026-05-06T10:48:00"/>
    <s v="Gifts"/>
    <s v="Elven Citadel Chest"/>
    <x v="14"/>
    <s v="Level 10 Citadel"/>
    <x v="11"/>
  </r>
  <r>
    <d v="2026-05-06T10:48:00"/>
    <s v="Gifts"/>
    <s v="Sand Chest"/>
    <x v="56"/>
    <s v="Level 5 Crypt"/>
    <x v="3"/>
  </r>
  <r>
    <d v="2026-05-06T10:48:00"/>
    <s v="Gifts"/>
    <s v="Bone Chest"/>
    <x v="56"/>
    <s v="Level 5 Crypt"/>
    <x v="3"/>
  </r>
  <r>
    <d v="2026-05-06T10:48:00"/>
    <s v="Gifts"/>
    <s v="Sand Chest"/>
    <x v="55"/>
    <s v="Level 5 Crypt"/>
    <x v="3"/>
  </r>
  <r>
    <d v="2026-05-06T10:48:00"/>
    <s v="Gifts"/>
    <s v="Mayan Chest"/>
    <x v="56"/>
    <s v="Level 10 Crypt"/>
    <x v="2"/>
  </r>
  <r>
    <d v="2026-05-06T10:48:00"/>
    <s v="Gifts"/>
    <s v="Bone Chest"/>
    <x v="56"/>
    <s v="Level 10 Crypt"/>
    <x v="2"/>
  </r>
  <r>
    <d v="2026-05-06T10:48:00"/>
    <s v="Gifts"/>
    <s v="Bone Chest"/>
    <x v="56"/>
    <s v="Level 5 Crypt"/>
    <x v="3"/>
  </r>
  <r>
    <d v="2026-05-06T10:48:00"/>
    <s v="Gifts"/>
    <s v="Gnome Workshop Chest"/>
    <x v="56"/>
    <s v="Level 5 Crypt"/>
    <x v="3"/>
  </r>
  <r>
    <d v="2026-05-06T10:48:00"/>
    <s v="Gifts"/>
    <s v="Gnome Workshop Chest"/>
    <x v="56"/>
    <s v="Level 5 Crypt"/>
    <x v="3"/>
  </r>
  <r>
    <d v="2026-05-06T10:48:00"/>
    <s v="Gifts"/>
    <s v="Infernal Chest"/>
    <x v="32"/>
    <s v="Level 10 Crypt"/>
    <x v="2"/>
  </r>
  <r>
    <d v="2026-05-06T10:48:00"/>
    <s v="Gifts"/>
    <s v="Fire Chest"/>
    <x v="8"/>
    <s v="Level 15 Crypt"/>
    <x v="0"/>
  </r>
  <r>
    <d v="2026-05-06T10:48:00"/>
    <s v="Gifts"/>
    <s v="Orc Chest"/>
    <x v="8"/>
    <s v="Level 15 Crypt"/>
    <x v="0"/>
  </r>
  <r>
    <d v="2026-05-06T10:48:00"/>
    <s v="Gifts"/>
    <s v="Orc Chest"/>
    <x v="8"/>
    <s v="Level 15 Crypt"/>
    <x v="0"/>
  </r>
  <r>
    <d v="2026-05-06T10:48:00"/>
    <s v="Gifts"/>
    <s v="Infernal Chest"/>
    <x v="8"/>
    <s v="Level 15 Crypt"/>
    <x v="0"/>
  </r>
  <r>
    <d v="2026-05-06T10:48:00"/>
    <s v="Gifts"/>
    <s v="Orc Chest"/>
    <x v="8"/>
    <s v="Level 15 Crypt"/>
    <x v="0"/>
  </r>
  <r>
    <d v="2026-05-06T10:48:00"/>
    <s v="Gifts"/>
    <s v="Mayan Chest"/>
    <x v="56"/>
    <s v="Level 5 Crypt"/>
    <x v="3"/>
  </r>
  <r>
    <d v="2026-05-06T10:48:00"/>
    <s v="Gifts"/>
    <s v="Gnome Workshop Chest"/>
    <x v="8"/>
    <s v="Level 15 Crypt"/>
    <x v="0"/>
  </r>
  <r>
    <d v="2026-05-06T10:48:00"/>
    <s v="Gifts"/>
    <s v="Infernal Chest"/>
    <x v="8"/>
    <s v="Level 15 Crypt"/>
    <x v="0"/>
  </r>
  <r>
    <d v="2026-05-06T10:48:00"/>
    <s v="Gifts"/>
    <s v="Stone Chest"/>
    <x v="6"/>
    <s v="Level 10 Crypt"/>
    <x v="2"/>
  </r>
  <r>
    <d v="2026-05-06T10:48:00"/>
    <s v="Gifts"/>
    <s v="Gnome Workshop Chest"/>
    <x v="56"/>
    <s v="Level 5 Crypt"/>
    <x v="3"/>
  </r>
  <r>
    <d v="2026-05-06T10:48:00"/>
    <s v="Gifts"/>
    <s v="Orc Chest"/>
    <x v="48"/>
    <s v="Level 5 Crypt"/>
    <x v="3"/>
  </r>
  <r>
    <d v="2026-05-06T10:48:00"/>
    <s v="Gifts"/>
    <s v="Cobra Chest"/>
    <x v="56"/>
    <s v="Level 5 Crypt"/>
    <x v="3"/>
  </r>
  <r>
    <d v="2026-05-06T10:48:00"/>
    <s v="Gifts"/>
    <s v="Stone Chest"/>
    <x v="6"/>
    <s v="Level 5 Crypt"/>
    <x v="3"/>
  </r>
  <r>
    <d v="2026-05-06T10:48:00"/>
    <s v="Gifts"/>
    <s v="Bone Chest"/>
    <x v="56"/>
    <s v="Level 5 Crypt"/>
    <x v="3"/>
  </r>
  <r>
    <d v="2026-05-06T10:48:00"/>
    <s v="Gifts"/>
    <s v="Bone Chest"/>
    <x v="16"/>
    <s v="Level 10 Crypt"/>
    <x v="2"/>
  </r>
  <r>
    <d v="2026-05-06T10:48:00"/>
    <s v="Gifts"/>
    <s v="Chest of Authority"/>
    <x v="56"/>
    <s v="Authority Rush tournament"/>
    <x v="1"/>
  </r>
  <r>
    <d v="2026-05-06T10:48:00"/>
    <s v="Gifts"/>
    <s v="Elegant Chest"/>
    <x v="16"/>
    <s v="Level 5 Crypt"/>
    <x v="3"/>
  </r>
  <r>
    <d v="2026-05-06T10:48:00"/>
    <s v="Gifts"/>
    <s v="Stone Chest"/>
    <x v="56"/>
    <s v="Level 5 Crypt"/>
    <x v="3"/>
  </r>
  <r>
    <d v="2026-05-06T10:48:00"/>
    <s v="Gifts"/>
    <s v="Bone Chest"/>
    <x v="16"/>
    <s v="Level 5 Crypt"/>
    <x v="3"/>
  </r>
  <r>
    <d v="2026-05-06T10:48:00"/>
    <s v="Gifts"/>
    <s v="Fire Chest"/>
    <x v="56"/>
    <s v="Level 5 Crypt"/>
    <x v="3"/>
  </r>
  <r>
    <d v="2026-05-06T10:48:00"/>
    <s v="Gifts"/>
    <s v="Forgotten Chest"/>
    <x v="56"/>
    <s v="Level 5 Crypt"/>
    <x v="3"/>
  </r>
  <r>
    <d v="2026-05-06T10:48:00"/>
    <s v="Gifts"/>
    <s v="Stone Chest"/>
    <x v="6"/>
    <s v="Level 10 Crypt"/>
    <x v="2"/>
  </r>
  <r>
    <d v="2026-05-06T10:48:00"/>
    <s v="Gifts"/>
    <s v="Stone Chest"/>
    <x v="56"/>
    <s v="Level 5 Crypt"/>
    <x v="3"/>
  </r>
  <r>
    <d v="2026-05-06T10:48:00"/>
    <s v="Gifts"/>
    <s v="Barbarian Chest"/>
    <x v="6"/>
    <s v="Level 5 Crypt"/>
    <x v="3"/>
  </r>
  <r>
    <d v="2026-05-06T10:48:00"/>
    <s v="Gifts"/>
    <s v="Fire Chest"/>
    <x v="56"/>
    <s v="Level 5 Crypt"/>
    <x v="3"/>
  </r>
  <r>
    <d v="2026-05-06T10:48:00"/>
    <s v="Gifts"/>
    <s v="Orc Chest"/>
    <x v="6"/>
    <s v="Level 15 Crypt"/>
    <x v="0"/>
  </r>
  <r>
    <d v="2026-05-06T10:48:00"/>
    <s v="Gifts"/>
    <s v="Mayan Chest"/>
    <x v="14"/>
    <s v="Level 10 Crypt"/>
    <x v="2"/>
  </r>
  <r>
    <d v="2026-05-06T10:48:00"/>
    <s v="Gifts"/>
    <s v="Elegant Chest"/>
    <x v="68"/>
    <s v="Level 5 Crypt"/>
    <x v="3"/>
  </r>
  <r>
    <d v="2026-05-06T10:48:00"/>
    <s v="Gifts"/>
    <s v="Bone Chest"/>
    <x v="68"/>
    <s v="Level 5 Crypt"/>
    <x v="3"/>
  </r>
  <r>
    <d v="2026-05-06T10:48:00"/>
    <s v="Gifts"/>
    <s v="Mayan Chest"/>
    <x v="45"/>
    <s v="Level 10 Crypt"/>
    <x v="2"/>
  </r>
  <r>
    <d v="2026-05-06T10:48:00"/>
    <s v="Gifts"/>
    <s v="Gnome Workshop Chest"/>
    <x v="68"/>
    <s v="Level 5 Crypt"/>
    <x v="3"/>
  </r>
  <r>
    <d v="2026-05-06T10:48:00"/>
    <s v="Gifts"/>
    <s v="Elegant Chest"/>
    <x v="26"/>
    <s v="Level 15 Crypt"/>
    <x v="0"/>
  </r>
  <r>
    <d v="2026-05-06T10:48:00"/>
    <s v="Gifts"/>
    <s v="Cobra Chest"/>
    <x v="26"/>
    <s v="Level 15 Crypt"/>
    <x v="0"/>
  </r>
  <r>
    <d v="2026-05-06T10:48:00"/>
    <s v="Gifts"/>
    <s v="Elegant Chest"/>
    <x v="26"/>
    <s v="Level 15 Crypt"/>
    <x v="0"/>
  </r>
  <r>
    <d v="2026-05-06T10:48:00"/>
    <s v="Gifts"/>
    <s v="Governor's Chest"/>
    <x v="26"/>
    <s v="Story"/>
    <x v="1"/>
  </r>
  <r>
    <d v="2026-05-06T10:48:00"/>
    <s v="Gifts"/>
    <s v="Chest of Authority"/>
    <x v="67"/>
    <s v="Authority Rush tournament"/>
    <x v="1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Mayan Chest"/>
    <x v="41"/>
    <s v="Level 20 Crypt"/>
    <x v="4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Orc Chest"/>
    <x v="41"/>
    <s v="Level 15 Crypt"/>
    <x v="0"/>
  </r>
  <r>
    <d v="2026-05-06T10:48:00"/>
    <s v="Gifts"/>
    <s v="Cobalt Chest"/>
    <x v="41"/>
    <s v="Level 15 epic Crypt"/>
    <x v="10"/>
  </r>
  <r>
    <d v="2026-05-06T10:48:00"/>
    <s v="Gifts"/>
    <s v="Cobalt Chest"/>
    <x v="41"/>
    <s v="Level 15 epic Crypt"/>
    <x v="10"/>
  </r>
  <r>
    <d v="2026-05-06T10:48:00"/>
    <s v="Gifts"/>
    <s v="Scarab Chest"/>
    <x v="51"/>
    <s v="Level 15 epic Crypt"/>
    <x v="10"/>
  </r>
  <r>
    <d v="2026-05-06T10:48:00"/>
    <s v="Gifts"/>
    <s v="Abandoned Chest"/>
    <x v="51"/>
    <s v="Level 15 epic Crypt"/>
    <x v="10"/>
  </r>
  <r>
    <d v="2026-05-06T10:48:00"/>
    <s v="Gifts"/>
    <s v="Titansteel Chest"/>
    <x v="51"/>
    <s v="Level 15 epic Crypt"/>
    <x v="10"/>
  </r>
  <r>
    <d v="2026-05-06T10:48:00"/>
    <s v="Gifts"/>
    <s v="Forgotten Chest"/>
    <x v="65"/>
    <s v="Level 15 Crypt"/>
    <x v="0"/>
  </r>
  <r>
    <d v="2026-05-06T10:48:00"/>
    <s v="Gifts"/>
    <s v="Fire Chest"/>
    <x v="63"/>
    <s v="Level 5 Crypt"/>
    <x v="3"/>
  </r>
  <r>
    <d v="2026-05-06T10:48:00"/>
    <s v="Gifts"/>
    <s v="Common Chest of Wealth"/>
    <x v="9"/>
    <s v="Clan wealth"/>
    <x v="1"/>
  </r>
  <r>
    <d v="2026-05-06T10:48:00"/>
    <s v="Gifts"/>
    <s v="Uncommon Chest of Wealth"/>
    <x v="9"/>
    <s v="Clan wealth"/>
    <x v="1"/>
  </r>
  <r>
    <d v="2026-05-06T10:48:00"/>
    <s v="Gifts"/>
    <s v="Rare Chest of Wealth"/>
    <x v="9"/>
    <s v="Clan wealth"/>
    <x v="1"/>
  </r>
  <r>
    <d v="2026-05-06T10:48:00"/>
    <s v="Gifts"/>
    <s v="Elven Citadel Chest"/>
    <x v="51"/>
    <s v="Level 10 Citadel"/>
    <x v="11"/>
  </r>
  <r>
    <d v="2026-05-06T10:48:00"/>
    <s v="Gifts"/>
    <s v="Gnome Workshop Chest"/>
    <x v="65"/>
    <s v="Level 15 Crypt"/>
    <x v="0"/>
  </r>
  <r>
    <d v="2026-05-06T10:48:00"/>
    <s v="Gifts"/>
    <s v="Rare Dragon Chest"/>
    <x v="20"/>
    <s v="Level 10 rare Crypt"/>
    <x v="8"/>
  </r>
  <r>
    <d v="2026-05-06T10:48:00"/>
    <s v="Gifts"/>
    <s v="Elegant Chest"/>
    <x v="20"/>
    <s v="Level 5 Crypt"/>
    <x v="3"/>
  </r>
  <r>
    <d v="2026-05-06T10:48:00"/>
    <s v="Gifts"/>
    <s v="Chest of Authority"/>
    <x v="9"/>
    <s v="Authority Rush tournament"/>
    <x v="1"/>
  </r>
  <r>
    <d v="2026-05-06T10:48:00"/>
    <s v="Gifts"/>
    <s v="Elegant Chest"/>
    <x v="20"/>
    <s v="Level 10 Crypt"/>
    <x v="2"/>
  </r>
  <r>
    <d v="2026-05-06T10:48:00"/>
    <s v="Gifts"/>
    <s v="Fire Chest"/>
    <x v="65"/>
    <s v="Level 10 Crypt"/>
    <x v="2"/>
  </r>
  <r>
    <d v="2026-05-06T10:48:00"/>
    <s v="Gifts"/>
    <s v="Rare Dragon Chest"/>
    <x v="20"/>
    <s v="Level 10 rare Crypt"/>
    <x v="8"/>
  </r>
  <r>
    <d v="2026-05-06T10:48:00"/>
    <s v="Gifts"/>
    <s v="Gnome Workshop Chest"/>
    <x v="20"/>
    <s v="Level 10 Crypt"/>
    <x v="2"/>
  </r>
  <r>
    <d v="2026-05-06T10:48:00"/>
    <s v="Gifts"/>
    <s v="Rare Dragon Chest"/>
    <x v="20"/>
    <s v="Level 10 rare Crypt"/>
    <x v="8"/>
  </r>
  <r>
    <d v="2026-05-06T10:48:00"/>
    <s v="Gifts"/>
    <s v="Elegant Chest"/>
    <x v="20"/>
    <s v="Level 10 Crypt"/>
    <x v="2"/>
  </r>
  <r>
    <d v="2026-05-06T10:48:00"/>
    <s v="Gifts"/>
    <s v="Gladiator's Chest"/>
    <x v="46"/>
    <s v="Arena"/>
    <x v="1"/>
  </r>
  <r>
    <d v="2026-05-06T10:48:00"/>
    <s v="Gifts"/>
    <s v="Sand Chest"/>
    <x v="65"/>
    <s v="Level 10 Crypt"/>
    <x v="2"/>
  </r>
  <r>
    <d v="2026-05-06T10:48:00"/>
    <s v="Gifts"/>
    <s v="Stone Chest"/>
    <x v="46"/>
    <s v="Level 5 Crypt"/>
    <x v="3"/>
  </r>
  <r>
    <d v="2026-05-06T10:48:00"/>
    <s v="Gifts"/>
    <s v="Fire Chest"/>
    <x v="20"/>
    <s v="Level 10 Crypt"/>
    <x v="2"/>
  </r>
  <r>
    <d v="2026-05-06T10:48:00"/>
    <s v="Gifts"/>
    <s v="Stone Chest"/>
    <x v="46"/>
    <s v="Level 10 Crypt"/>
    <x v="2"/>
  </r>
  <r>
    <d v="2026-05-06T10:48:00"/>
    <s v="Triumphal Gifts"/>
    <s v="Wooden Chest"/>
    <x v="0"/>
    <s v="Bank"/>
    <x v="5"/>
  </r>
  <r>
    <d v="2026-05-06T10:48:00"/>
    <s v="Triumphal Gifts"/>
    <s v="Wooden Chest"/>
    <x v="0"/>
    <s v="Bank"/>
    <x v="5"/>
  </r>
  <r>
    <d v="2026-05-06T10:48:00"/>
    <s v="Triumphal Gifts"/>
    <s v="Wooden Chest"/>
    <x v="0"/>
    <s v="Bank"/>
    <x v="5"/>
  </r>
  <r>
    <d v="2026-05-06T10:48:00"/>
    <s v="Triumphal Gifts"/>
    <s v="Wooden Chest"/>
    <x v="0"/>
    <s v="Bank"/>
    <x v="5"/>
  </r>
  <r>
    <d v="2026-05-06T10:48:00"/>
    <s v="Triumphal Gifts"/>
    <s v="Wooden Chest"/>
    <x v="0"/>
    <s v="Bank"/>
    <x v="5"/>
  </r>
  <r>
    <d v="2026-05-06T10:48:00"/>
    <s v="Triumphal Gifts"/>
    <s v="Wooden Chest"/>
    <x v="0"/>
    <s v="Bank"/>
    <x v="5"/>
  </r>
  <r>
    <d v="2026-05-06T10:48:00"/>
    <s v="Triumphal Gifts"/>
    <s v="Silver Chest"/>
    <x v="0"/>
    <s v="Bank"/>
    <x v="5"/>
  </r>
  <r>
    <d v="2026-05-06T10:48:00"/>
    <s v="Triumphal Gifts"/>
    <s v="Silver Chest"/>
    <x v="0"/>
    <s v="Bank"/>
    <x v="5"/>
  </r>
  <r>
    <d v="2026-05-06T10:48:00"/>
    <s v="Triumphal Gifts"/>
    <s v="Silver Chest"/>
    <x v="0"/>
    <s v="Bank"/>
    <x v="5"/>
  </r>
  <r>
    <d v="2026-05-06T10:48:00"/>
    <s v="Triumphal Gifts"/>
    <s v="Wooden Chest"/>
    <x v="9"/>
    <s v="Bank"/>
    <x v="5"/>
  </r>
  <r>
    <d v="2026-05-06T10:48:00"/>
    <s v="Triumphal Gifts"/>
    <s v="Wooden Chest"/>
    <x v="9"/>
    <s v="Bank"/>
    <x v="5"/>
  </r>
  <r>
    <d v="2026-05-06T10:48:00"/>
    <s v="Triumphal Gifts"/>
    <s v="Wooden Chest"/>
    <x v="9"/>
    <s v="Bank"/>
    <x v="5"/>
  </r>
  <r>
    <d v="2026-05-06T10:48:00"/>
    <s v="Triumphal Gifts"/>
    <s v="Silver Chest"/>
    <x v="6"/>
    <s v="Bank"/>
    <x v="5"/>
  </r>
  <r>
    <d v="2026-05-06T10:48:00"/>
    <s v="Triumphal Gifts"/>
    <s v="Silver Chest"/>
    <x v="6"/>
    <s v="Bank"/>
    <x v="5"/>
  </r>
  <r>
    <d v="2026-05-06T10:48:00"/>
    <s v="Triumphal Gifts"/>
    <s v="Silver Chest"/>
    <x v="6"/>
    <s v="Bank"/>
    <x v="5"/>
  </r>
  <r>
    <d v="2026-05-06T11:33:00"/>
    <s v="Gifts"/>
    <s v="Gnome Workshop Chest"/>
    <x v="20"/>
    <s v="Level 10 Crypt"/>
    <x v="2"/>
  </r>
  <r>
    <d v="2026-05-06T11:33:00"/>
    <s v="Gifts"/>
    <s v="Stone Chest"/>
    <x v="6"/>
    <s v="Level 15 Crypt"/>
    <x v="0"/>
  </r>
  <r>
    <d v="2026-05-06T11:33:00"/>
    <s v="Gifts"/>
    <s v="Gnome Workshop Chest"/>
    <x v="6"/>
    <s v="Level 5 Crypt"/>
    <x v="3"/>
  </r>
  <r>
    <d v="2026-05-06T11:33:00"/>
    <s v="Gifts"/>
    <s v="Fire Chest"/>
    <x v="20"/>
    <s v="Level 10 Crypt"/>
    <x v="2"/>
  </r>
  <r>
    <d v="2026-05-06T11:33:00"/>
    <s v="Gifts"/>
    <s v="Gladiator's Chest"/>
    <x v="20"/>
    <s v="Arena"/>
    <x v="1"/>
  </r>
  <r>
    <d v="2026-05-06T11:33:00"/>
    <s v="Gifts"/>
    <s v="Orc Chest"/>
    <x v="20"/>
    <s v="Level 10 Crypt"/>
    <x v="2"/>
  </r>
  <r>
    <d v="2026-05-06T11:33:00"/>
    <s v="Gifts"/>
    <s v="Sand Chest"/>
    <x v="18"/>
    <s v="Level 10 Crypt"/>
    <x v="2"/>
  </r>
  <r>
    <d v="2026-05-06T11:33:00"/>
    <s v="Gifts"/>
    <s v="Stone Chest"/>
    <x v="20"/>
    <s v="Level 10 Crypt"/>
    <x v="2"/>
  </r>
  <r>
    <d v="2026-05-06T13:04:00"/>
    <s v="Gifts"/>
    <s v="Gnome Workshop Chest"/>
    <x v="20"/>
    <s v="Level 10 Crypt"/>
    <x v="2"/>
  </r>
  <r>
    <d v="2026-05-06T13:04:00"/>
    <s v="Gifts"/>
    <s v="Rare Dragon Chest"/>
    <x v="20"/>
    <s v="Level 10 rare Crypt"/>
    <x v="8"/>
  </r>
  <r>
    <d v="2026-05-06T13:04:00"/>
    <s v="Gifts"/>
    <s v="Elven Citadel Chest"/>
    <x v="20"/>
    <s v="Level 10 Citadel"/>
    <x v="11"/>
  </r>
  <r>
    <d v="2026-05-06T13:04:00"/>
    <s v="Gifts"/>
    <s v="Rare Dragon Chest"/>
    <x v="20"/>
    <s v="Level 10 rare Crypt"/>
    <x v="8"/>
  </r>
  <r>
    <d v="2026-05-06T13:04:00"/>
    <s v="Gifts"/>
    <s v="Orc Chest"/>
    <x v="20"/>
    <s v="Level 10 Crypt"/>
    <x v="2"/>
  </r>
  <r>
    <d v="2026-05-06T13:04:00"/>
    <s v="Gifts"/>
    <s v="Elegant Chest"/>
    <x v="20"/>
    <s v="Level 10 Crypt"/>
    <x v="2"/>
  </r>
  <r>
    <d v="2026-05-06T13:04:00"/>
    <s v="Gifts"/>
    <s v="Mayan Chest"/>
    <x v="20"/>
    <s v="Level 10 Crypt"/>
    <x v="2"/>
  </r>
  <r>
    <d v="2026-05-06T13:04:00"/>
    <s v="Gifts"/>
    <s v="Stone Chest"/>
    <x v="6"/>
    <s v="Level 15 Crypt"/>
    <x v="0"/>
  </r>
  <r>
    <d v="2026-05-06T13:04:00"/>
    <s v="Gifts"/>
    <s v="Stone Chest"/>
    <x v="6"/>
    <s v="Level 10 Crypt"/>
    <x v="2"/>
  </r>
  <r>
    <d v="2026-05-06T13:04:00"/>
    <s v="Gifts"/>
    <s v="Elven Citadel Chest"/>
    <x v="7"/>
    <s v="Level 10 Citadel"/>
    <x v="11"/>
  </r>
  <r>
    <d v="2026-05-06T13:04:00"/>
    <s v="Gifts"/>
    <s v="Barbarian Chest"/>
    <x v="20"/>
    <s v="Level 10 Crypt"/>
    <x v="2"/>
  </r>
  <r>
    <d v="2026-05-06T13:04:00"/>
    <s v="Gifts"/>
    <s v="Elven Citadel Chest"/>
    <x v="7"/>
    <s v="Level 10 Citadel"/>
    <x v="11"/>
  </r>
  <r>
    <d v="2026-05-06T13:04:00"/>
    <s v="Gifts"/>
    <s v="Infernal Chest"/>
    <x v="29"/>
    <s v="Level 5 Crypt"/>
    <x v="3"/>
  </r>
  <r>
    <d v="2026-05-06T13:04:00"/>
    <s v="Gifts"/>
    <s v="Barbarian Chest"/>
    <x v="30"/>
    <s v="Level 10 Crypt"/>
    <x v="2"/>
  </r>
  <r>
    <d v="2026-05-06T13:04:00"/>
    <s v="Gifts"/>
    <s v="Stone Chest"/>
    <x v="6"/>
    <s v="Level 10 Crypt"/>
    <x v="2"/>
  </r>
  <r>
    <d v="2026-05-06T13:04:00"/>
    <s v="Gifts"/>
    <s v="White Wood Chest"/>
    <x v="7"/>
    <s v="Level 15 epic Crypt"/>
    <x v="10"/>
  </r>
  <r>
    <d v="2026-05-06T13:04:00"/>
    <s v="Gifts"/>
    <s v="Elven Citadel Chest"/>
    <x v="20"/>
    <s v="Level 10 Citadel"/>
    <x v="11"/>
  </r>
  <r>
    <d v="2026-05-06T13:04:00"/>
    <s v="Gifts"/>
    <s v="Forgotten Chest"/>
    <x v="20"/>
    <s v="Level 10 Crypt"/>
    <x v="2"/>
  </r>
  <r>
    <d v="2026-05-06T13:04:00"/>
    <s v="Triumphal Gifts"/>
    <s v="Golden Chest"/>
    <x v="41"/>
    <s v="Bank"/>
    <x v="5"/>
  </r>
  <r>
    <d v="2026-05-06T13:04:00"/>
    <s v="Triumphal Gifts"/>
    <s v="Golden Chest"/>
    <x v="41"/>
    <s v="Bank"/>
    <x v="5"/>
  </r>
  <r>
    <d v="2026-05-06T13:04:00"/>
    <s v="Triumphal Gifts"/>
    <s v="Golden Chest"/>
    <x v="41"/>
    <s v="Bank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E4EED-9405-40C6-8C21-F5A4610606C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R76" firstHeaderRow="1" firstDataRow="2" firstDataCol="1"/>
  <pivotFields count="7">
    <pivotField numFmtId="22" showAll="0"/>
    <pivotField axis="axisRow" showAll="0">
      <items count="78">
        <item x="16"/>
        <item x="40"/>
        <item x="55"/>
        <item x="9"/>
        <item x="23"/>
        <item x="25"/>
        <item x="52"/>
        <item x="21"/>
        <item x="19"/>
        <item x="72"/>
        <item x="36"/>
        <item x="28"/>
        <item x="45"/>
        <item x="24"/>
        <item x="62"/>
        <item x="47"/>
        <item x="5"/>
        <item x="60"/>
        <item x="69"/>
        <item x="31"/>
        <item x="22"/>
        <item x="34"/>
        <item x="6"/>
        <item x="74"/>
        <item x="26"/>
        <item x="30"/>
        <item x="2"/>
        <item x="57"/>
        <item x="20"/>
        <item x="73"/>
        <item x="3"/>
        <item x="8"/>
        <item x="61"/>
        <item x="67"/>
        <item x="59"/>
        <item x="49"/>
        <item x="66"/>
        <item x="46"/>
        <item x="54"/>
        <item x="51"/>
        <item x="76"/>
        <item x="41"/>
        <item x="48"/>
        <item x="42"/>
        <item x="70"/>
        <item x="44"/>
        <item x="33"/>
        <item x="17"/>
        <item x="1"/>
        <item x="7"/>
        <item x="65"/>
        <item x="4"/>
        <item x="63"/>
        <item x="12"/>
        <item x="75"/>
        <item x="58"/>
        <item x="29"/>
        <item x="71"/>
        <item x="39"/>
        <item x="50"/>
        <item x="43"/>
        <item x="56"/>
        <item x="0"/>
        <item x="37"/>
        <item x="15"/>
        <item x="38"/>
        <item x="68"/>
        <item x="14"/>
        <item x="27"/>
        <item x="11"/>
        <item x="64"/>
        <item x="35"/>
        <item x="32"/>
        <item x="18"/>
        <item x="53"/>
        <item x="13"/>
        <item x="10"/>
        <item t="default"/>
      </items>
    </pivotField>
    <pivotField showAll="0"/>
    <pivotField axis="axisCol" showAll="0">
      <items count="10">
        <item x="7"/>
        <item h="1" x="2"/>
        <item x="8"/>
        <item x="3"/>
        <item x="6"/>
        <item x="0"/>
        <item x="4"/>
        <item x="5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74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3"/>
  </colFields>
  <col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amount_num" fld="4" baseField="0" baseItem="0"/>
  </dataFields>
  <formats count="1">
    <format dxfId="1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BA7C-FA37-4F8B-8E3E-76F9BD6AD7B6}" name="PivotTable1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:H72" firstHeaderRow="1" firstDataRow="1" firstDataCol="1"/>
  <pivotFields count="6">
    <pivotField numFmtId="22" showAll="0"/>
    <pivotField showAll="0"/>
    <pivotField showAll="0"/>
    <pivotField axis="axisRow" showAll="0" sortType="ascending">
      <items count="105">
        <item x="48"/>
        <item x="32"/>
        <item x="57"/>
        <item x="66"/>
        <item x="45"/>
        <item x="19"/>
        <item x="46"/>
        <item x="62"/>
        <item m="1" x="82"/>
        <item x="7"/>
        <item x="23"/>
        <item m="1" x="97"/>
        <item x="28"/>
        <item x="1"/>
        <item x="35"/>
        <item x="21"/>
        <item x="2"/>
        <item x="68"/>
        <item x="51"/>
        <item x="34"/>
        <item m="1" x="99"/>
        <item x="8"/>
        <item m="1" x="75"/>
        <item m="1" x="78"/>
        <item m="1" x="100"/>
        <item x="4"/>
        <item x="20"/>
        <item x="12"/>
        <item m="1" x="103"/>
        <item x="38"/>
        <item m="1" x="102"/>
        <item x="25"/>
        <item x="31"/>
        <item m="1" x="95"/>
        <item x="44"/>
        <item m="1" x="84"/>
        <item x="6"/>
        <item m="1" x="92"/>
        <item x="42"/>
        <item m="1" x="73"/>
        <item m="1" x="90"/>
        <item m="1" x="94"/>
        <item m="1" x="72"/>
        <item x="69"/>
        <item x="49"/>
        <item x="70"/>
        <item m="1" x="83"/>
        <item m="1" x="86"/>
        <item m="1" x="101"/>
        <item x="53"/>
        <item x="33"/>
        <item m="1" x="79"/>
        <item x="15"/>
        <item x="13"/>
        <item x="52"/>
        <item x="67"/>
        <item m="1" x="76"/>
        <item x="26"/>
        <item x="9"/>
        <item x="16"/>
        <item m="1" x="77"/>
        <item x="37"/>
        <item x="11"/>
        <item x="39"/>
        <item x="36"/>
        <item x="47"/>
        <item x="63"/>
        <item x="59"/>
        <item x="64"/>
        <item m="1" x="87"/>
        <item m="1" x="80"/>
        <item x="41"/>
        <item m="1" x="89"/>
        <item m="1" x="98"/>
        <item m="1" x="88"/>
        <item m="1" x="81"/>
        <item x="43"/>
        <item m="1" x="96"/>
        <item x="0"/>
        <item x="50"/>
        <item m="1" x="93"/>
        <item x="27"/>
        <item x="40"/>
        <item m="1" x="85"/>
        <item x="56"/>
        <item x="24"/>
        <item x="30"/>
        <item x="65"/>
        <item x="18"/>
        <item x="58"/>
        <item x="29"/>
        <item x="60"/>
        <item x="61"/>
        <item x="3"/>
        <item x="14"/>
        <item m="1" x="71"/>
        <item m="1" x="74"/>
        <item x="17"/>
        <item x="22"/>
        <item x="55"/>
        <item x="54"/>
        <item m="1" x="91"/>
        <item x="10"/>
        <item x="5"/>
        <item t="default"/>
      </items>
    </pivotField>
    <pivotField showAll="0"/>
    <pivotField showAll="0"/>
  </pivotFields>
  <rowFields count="1">
    <field x="3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5"/>
    </i>
    <i>
      <x v="26"/>
    </i>
    <i>
      <x v="27"/>
    </i>
    <i>
      <x v="29"/>
    </i>
    <i>
      <x v="31"/>
    </i>
    <i>
      <x v="32"/>
    </i>
    <i>
      <x v="34"/>
    </i>
    <i>
      <x v="36"/>
    </i>
    <i>
      <x v="38"/>
    </i>
    <i>
      <x v="43"/>
    </i>
    <i>
      <x v="44"/>
    </i>
    <i>
      <x v="45"/>
    </i>
    <i>
      <x v="49"/>
    </i>
    <i>
      <x v="50"/>
    </i>
    <i>
      <x v="52"/>
    </i>
    <i>
      <x v="53"/>
    </i>
    <i>
      <x v="54"/>
    </i>
    <i>
      <x v="55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1"/>
    </i>
    <i>
      <x v="76"/>
    </i>
    <i>
      <x v="78"/>
    </i>
    <i>
      <x v="79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7"/>
    </i>
    <i>
      <x v="98"/>
    </i>
    <i>
      <x v="99"/>
    </i>
    <i>
      <x v="100"/>
    </i>
    <i>
      <x v="102"/>
    </i>
    <i>
      <x v="10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52687-F9C2-438F-BC47-930C3DFF984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AA74" firstHeaderRow="1" firstDataRow="2" firstDataCol="1"/>
  <pivotFields count="6">
    <pivotField numFmtId="22" showAll="0"/>
    <pivotField showAll="0"/>
    <pivotField showAll="0"/>
    <pivotField axis="axisRow" showAll="0">
      <items count="105">
        <item x="48"/>
        <item x="32"/>
        <item x="57"/>
        <item x="66"/>
        <item x="45"/>
        <item x="19"/>
        <item x="46"/>
        <item x="62"/>
        <item m="1" x="82"/>
        <item x="7"/>
        <item x="23"/>
        <item m="1" x="97"/>
        <item x="28"/>
        <item x="1"/>
        <item x="35"/>
        <item x="21"/>
        <item x="2"/>
        <item x="51"/>
        <item x="34"/>
        <item m="1" x="99"/>
        <item x="8"/>
        <item m="1" x="75"/>
        <item m="1" x="78"/>
        <item m="1" x="100"/>
        <item x="4"/>
        <item x="20"/>
        <item x="12"/>
        <item m="1" x="103"/>
        <item x="38"/>
        <item m="1" x="102"/>
        <item x="25"/>
        <item x="31"/>
        <item m="1" x="95"/>
        <item x="44"/>
        <item m="1" x="84"/>
        <item x="6"/>
        <item m="1" x="92"/>
        <item x="42"/>
        <item m="1" x="73"/>
        <item m="1" x="90"/>
        <item m="1" x="94"/>
        <item m="1" x="72"/>
        <item x="49"/>
        <item x="70"/>
        <item m="1" x="83"/>
        <item m="1" x="86"/>
        <item m="1" x="101"/>
        <item x="53"/>
        <item x="33"/>
        <item m="1" x="79"/>
        <item x="15"/>
        <item x="13"/>
        <item x="52"/>
        <item m="1" x="76"/>
        <item x="26"/>
        <item x="9"/>
        <item x="16"/>
        <item m="1" x="77"/>
        <item x="37"/>
        <item x="11"/>
        <item x="39"/>
        <item x="36"/>
        <item x="47"/>
        <item x="63"/>
        <item x="59"/>
        <item x="64"/>
        <item m="1" x="87"/>
        <item m="1" x="80"/>
        <item x="41"/>
        <item m="1" x="89"/>
        <item m="1" x="98"/>
        <item m="1" x="88"/>
        <item m="1" x="81"/>
        <item x="43"/>
        <item m="1" x="96"/>
        <item x="0"/>
        <item x="50"/>
        <item m="1" x="93"/>
        <item x="27"/>
        <item x="40"/>
        <item m="1" x="85"/>
        <item x="56"/>
        <item x="24"/>
        <item x="30"/>
        <item x="65"/>
        <item x="18"/>
        <item x="58"/>
        <item x="29"/>
        <item x="60"/>
        <item x="61"/>
        <item x="3"/>
        <item x="14"/>
        <item m="1" x="71"/>
        <item m="1" x="74"/>
        <item x="17"/>
        <item x="22"/>
        <item x="55"/>
        <item x="54"/>
        <item m="1" x="91"/>
        <item x="10"/>
        <item x="5"/>
        <item x="67"/>
        <item x="68"/>
        <item x="69"/>
        <item t="default"/>
      </items>
    </pivotField>
    <pivotField dataField="1" showAll="0"/>
    <pivotField axis="axisCol" showAll="0">
      <items count="17">
        <item x="15"/>
        <item x="14"/>
        <item x="5"/>
        <item x="11"/>
        <item x="2"/>
        <item x="8"/>
        <item x="12"/>
        <item x="0"/>
        <item x="10"/>
        <item x="13"/>
        <item x="6"/>
        <item x="4"/>
        <item x="9"/>
        <item x="7"/>
        <item x="3"/>
        <item x="1"/>
        <item t="default"/>
      </items>
    </pivotField>
  </pivotFields>
  <rowFields count="1">
    <field x="3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4"/>
    </i>
    <i>
      <x v="25"/>
    </i>
    <i>
      <x v="26"/>
    </i>
    <i>
      <x v="28"/>
    </i>
    <i>
      <x v="30"/>
    </i>
    <i>
      <x v="31"/>
    </i>
    <i>
      <x v="33"/>
    </i>
    <i>
      <x v="35"/>
    </i>
    <i>
      <x v="37"/>
    </i>
    <i>
      <x v="42"/>
    </i>
    <i>
      <x v="43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8"/>
    </i>
    <i>
      <x v="73"/>
    </i>
    <i>
      <x v="75"/>
    </i>
    <i>
      <x v="76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4"/>
    </i>
    <i>
      <x v="95"/>
    </i>
    <i>
      <x v="96"/>
    </i>
    <i>
      <x v="97"/>
    </i>
    <i>
      <x v="99"/>
    </i>
    <i>
      <x v="100"/>
    </i>
    <i>
      <x v="101"/>
    </i>
    <i>
      <x v="102"/>
    </i>
    <i>
      <x v="103"/>
    </i>
    <i t="grand">
      <x/>
    </i>
  </rowItems>
  <colFields count="1">
    <field x="5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sour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8EF1E88-3ED2-49F6-92F6-9F0AA2CED1CB}" autoFormatId="16" applyNumberFormats="0" applyBorderFormats="0" applyFontFormats="0" applyPatternFormats="0" applyAlignmentFormats="0" applyWidthHeightFormats="0">
  <queryTableRefresh nextId="13">
    <queryTableFields count="7">
      <queryTableField id="1" name="date" tableColumnId="1"/>
      <queryTableField id="2" name="player" tableColumnId="2"/>
      <queryTableField id="3" name="amount" tableColumnId="3"/>
      <queryTableField id="4" name="type" tableColumnId="4"/>
      <queryTableField id="10" name="amount_num" tableColumnId="10"/>
      <queryTableField id="11" name="speedup_days" tableColumnId="11"/>
      <queryTableField id="12" name="speedup_hours" tableColumnId="12"/>
    </queryTableFields>
    <queryTableDeletedFields count="3">
      <deletedField name="amount_num"/>
      <deletedField name="speedup_days"/>
      <deletedField name="speedup_hour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AC9B5A1-68C4-45B6-B562-7EAAE9E1898A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time" tableColumnId="1"/>
      <queryTableField id="2" name="tab" tableColumnId="2"/>
      <queryTableField id="3" name="chest" tableColumnId="3"/>
      <queryTableField id="4" name="from" tableColumnId="4"/>
      <queryTableField id="5" name="sour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CB50D-7D06-4454-B9E3-5BC5BFE89F75}" name="contributions_2026_05" displayName="contributions_2026_05" ref="A1:G862" tableType="queryTable" totalsRowShown="0">
  <autoFilter ref="A1:G862" xr:uid="{BDFCB50D-7D06-4454-B9E3-5BC5BFE89F75}"/>
  <tableColumns count="7">
    <tableColumn id="1" xr3:uid="{D1EBD1C3-8D4D-4299-A64C-951D0C139EE5}" uniqueName="1" name="date" queryTableFieldId="1" dataDxfId="13"/>
    <tableColumn id="2" xr3:uid="{7E226563-82ED-497C-9D68-49DE3FFF933C}" uniqueName="2" name="player" queryTableFieldId="2" dataDxfId="12"/>
    <tableColumn id="3" xr3:uid="{38011D04-21B3-4C9F-B9FE-A0E0939DD9D7}" uniqueName="3" name="amount" queryTableFieldId="3" dataDxfId="11"/>
    <tableColumn id="4" xr3:uid="{B521F633-B12C-420A-BA65-326619019DA6}" uniqueName="4" name="type" queryTableFieldId="4" dataDxfId="10"/>
    <tableColumn id="10" xr3:uid="{869C3D48-472E-4451-AACA-D95DC85EFCA7}" uniqueName="10" name="amount_num" queryTableFieldId="10" dataDxfId="9"/>
    <tableColumn id="11" xr3:uid="{D6E6EDA1-589F-4A29-A982-5A0B1CB07A07}" uniqueName="11" name="speedup_days" queryTableFieldId="11" dataDxfId="8"/>
    <tableColumn id="12" xr3:uid="{AF80800D-F99D-48F7-851E-E8397653E1D2}" uniqueName="12" name="speedup_hours" queryTableFieldId="1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34FE0-B2E0-4101-B5E0-0883ED2A621B}" name="tbl_chests" displayName="tbl_chests" ref="A1:F3139" tableType="queryTable" totalsRowShown="0">
  <autoFilter ref="A1:F3139" xr:uid="{00A34FE0-B2E0-4101-B5E0-0883ED2A621B}"/>
  <tableColumns count="6">
    <tableColumn id="1" xr3:uid="{79C5E2ED-42A5-420A-BFA4-611103E7483D}" uniqueName="1" name="datetime" queryTableFieldId="1" dataDxfId="5"/>
    <tableColumn id="2" xr3:uid="{5114FF5A-DA92-4DF7-98DE-D01E1C1A68C0}" uniqueName="2" name="tab" queryTableFieldId="2" dataDxfId="4"/>
    <tableColumn id="3" xr3:uid="{CF89E5EC-88DC-41D8-87F7-DE04CBA21185}" uniqueName="3" name="chest" queryTableFieldId="3" dataDxfId="3"/>
    <tableColumn id="4" xr3:uid="{317AAA43-DCC1-4949-A206-964ED58865FD}" uniqueName="4" name="from" queryTableFieldId="4" dataDxfId="2"/>
    <tableColumn id="5" xr3:uid="{B389AAA3-E7FF-4C77-9F4C-30804CE09BE8}" uniqueName="5" name="source" queryTableFieldId="5" dataDxfId="1"/>
    <tableColumn id="6" xr3:uid="{87B38D4A-6A86-4F58-AE06-E7E14005595F}" uniqueName="6" name="legalized" queryTableFieldId="6" dataDxfId="0">
      <calculatedColumnFormula>IF(E2="", "", IF(COUNTIF(ChestType!$A$5:$A$195, E2)&gt;0, VLOOKUP(E2, ChestType!$A$5:$B$195, 2, 0), "Others"))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9E8A-9ADA-4BF5-B93C-80EE8B812D36}">
  <dimension ref="A1:BO1000"/>
  <sheetViews>
    <sheetView showGridLines="0" tabSelected="1" zoomScale="145" zoomScaleNormal="145" workbookViewId="0">
      <pane ySplit="4" topLeftCell="A5" activePane="bottomLeft" state="frozen"/>
      <selection pane="bottomLeft" sqref="A1:B1"/>
    </sheetView>
  </sheetViews>
  <sheetFormatPr defaultColWidth="14.42578125" defaultRowHeight="15" customHeight="1" x14ac:dyDescent="0.25"/>
  <cols>
    <col min="1" max="1" width="25.7109375" customWidth="1"/>
    <col min="2" max="2" width="16" customWidth="1"/>
    <col min="3" max="3" width="4.28515625" bestFit="1" customWidth="1"/>
    <col min="4" max="4" width="5" bestFit="1" customWidth="1"/>
    <col min="5" max="39" width="4.28515625" bestFit="1" customWidth="1"/>
    <col min="40" max="67" width="3.5703125" customWidth="1"/>
  </cols>
  <sheetData>
    <row r="1" spans="1:67" ht="98.25" customHeight="1" x14ac:dyDescent="0.25">
      <c r="A1" s="80" t="str">
        <f ca="1">_xlfn.LET(_xlpm.d,TODAY(), _xlpm.monday,_xlpm.d-WEEKDAY(_xlpm.d,2)+1, TEXT(_xlpm.monday,"dd.mm.yyyy") &amp; " - " &amp; TEXT(_xlpm.monday+6,"dd.mm.yyyy"))</f>
        <v>04.05.2026 - 10.05.2026</v>
      </c>
      <c r="B1" s="81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  <c r="M1" s="24" t="s">
        <v>10</v>
      </c>
      <c r="N1" s="25" t="s">
        <v>11</v>
      </c>
      <c r="O1" s="24" t="s">
        <v>12</v>
      </c>
      <c r="P1" s="24" t="s">
        <v>13</v>
      </c>
      <c r="Q1" s="25" t="s">
        <v>14</v>
      </c>
      <c r="R1" s="26" t="s">
        <v>15</v>
      </c>
      <c r="S1" s="26" t="s">
        <v>16</v>
      </c>
      <c r="T1" s="27" t="s">
        <v>17</v>
      </c>
      <c r="U1" s="27" t="s">
        <v>18</v>
      </c>
      <c r="V1" s="26" t="s">
        <v>19</v>
      </c>
      <c r="W1" s="28" t="s">
        <v>20</v>
      </c>
      <c r="X1" s="28" t="s">
        <v>21</v>
      </c>
      <c r="Y1" s="28" t="s">
        <v>22</v>
      </c>
      <c r="Z1" s="28" t="s">
        <v>23</v>
      </c>
      <c r="AA1" s="29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1" t="s">
        <v>29</v>
      </c>
      <c r="AG1" s="31" t="s">
        <v>30</v>
      </c>
      <c r="AH1" s="31" t="s">
        <v>31</v>
      </c>
      <c r="AI1" s="31" t="s">
        <v>32</v>
      </c>
      <c r="AJ1" s="31" t="s">
        <v>33</v>
      </c>
      <c r="AK1" s="31" t="s">
        <v>34</v>
      </c>
      <c r="AL1" s="32" t="s">
        <v>35</v>
      </c>
      <c r="AM1" s="33" t="s">
        <v>36</v>
      </c>
      <c r="AN1" s="19"/>
      <c r="AO1" s="3"/>
      <c r="AP1" s="3"/>
      <c r="AQ1" s="3"/>
      <c r="AR1" s="3"/>
      <c r="AS1" s="20"/>
      <c r="AT1" s="3"/>
      <c r="AU1" s="3"/>
      <c r="AV1" s="3"/>
      <c r="AW1" s="3"/>
      <c r="AX1" s="4"/>
      <c r="AY1" s="4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ht="15.75" thickBot="1" x14ac:dyDescent="0.3">
      <c r="A2" s="74" t="s">
        <v>37</v>
      </c>
      <c r="B2" s="75"/>
      <c r="C2" s="42">
        <v>10</v>
      </c>
      <c r="D2" s="42">
        <v>20</v>
      </c>
      <c r="E2" s="42">
        <v>30</v>
      </c>
      <c r="F2" s="42">
        <v>40</v>
      </c>
      <c r="G2" s="42">
        <v>50</v>
      </c>
      <c r="H2" s="43">
        <v>10</v>
      </c>
      <c r="I2" s="43">
        <v>20</v>
      </c>
      <c r="J2" s="43">
        <v>20</v>
      </c>
      <c r="K2" s="43">
        <v>50</v>
      </c>
      <c r="L2" s="43">
        <v>80</v>
      </c>
      <c r="M2" s="44">
        <v>30</v>
      </c>
      <c r="N2" s="45">
        <v>50</v>
      </c>
      <c r="O2" s="44">
        <v>100</v>
      </c>
      <c r="P2" s="44">
        <v>200</v>
      </c>
      <c r="Q2" s="45">
        <v>300</v>
      </c>
      <c r="R2" s="46">
        <v>10</v>
      </c>
      <c r="S2" s="46">
        <v>20</v>
      </c>
      <c r="T2" s="47">
        <v>50</v>
      </c>
      <c r="U2" s="47">
        <v>160</v>
      </c>
      <c r="V2" s="46">
        <v>250</v>
      </c>
      <c r="W2" s="48">
        <v>20</v>
      </c>
      <c r="X2" s="48">
        <v>40</v>
      </c>
      <c r="Y2" s="48">
        <v>80</v>
      </c>
      <c r="Z2" s="48">
        <v>200</v>
      </c>
      <c r="AA2" s="49">
        <v>40</v>
      </c>
      <c r="AB2" s="50">
        <v>20</v>
      </c>
      <c r="AC2" s="50">
        <v>20</v>
      </c>
      <c r="AD2" s="50">
        <v>50</v>
      </c>
      <c r="AE2" s="50">
        <v>5</v>
      </c>
      <c r="AF2" s="51">
        <v>10</v>
      </c>
      <c r="AG2" s="51">
        <v>20</v>
      </c>
      <c r="AH2" s="51">
        <v>30</v>
      </c>
      <c r="AI2" s="51">
        <v>40</v>
      </c>
      <c r="AJ2" s="51">
        <v>80</v>
      </c>
      <c r="AK2" s="51">
        <v>120</v>
      </c>
      <c r="AL2" s="52">
        <v>0.1</v>
      </c>
      <c r="AM2" s="53">
        <v>100</v>
      </c>
      <c r="AP2" s="3"/>
      <c r="AQ2" s="3"/>
      <c r="AR2" s="3"/>
      <c r="AS2" s="3"/>
      <c r="AT2" s="10"/>
      <c r="AU2" s="3"/>
      <c r="AV2" s="3"/>
      <c r="AW2" s="3"/>
      <c r="AX2" s="4"/>
      <c r="AY2" s="4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spans="1:67" ht="17.25" customHeight="1" x14ac:dyDescent="0.25">
      <c r="A3" s="58" t="s">
        <v>38</v>
      </c>
      <c r="B3" s="59">
        <v>2000</v>
      </c>
      <c r="C3" s="76" t="s">
        <v>39</v>
      </c>
      <c r="D3" s="77"/>
      <c r="E3" s="77"/>
      <c r="F3" s="77"/>
      <c r="G3" s="77"/>
      <c r="H3" s="78">
        <f ca="1">SUM(C4:AM4)</f>
        <v>1760</v>
      </c>
      <c r="I3" s="77"/>
      <c r="J3" s="77"/>
      <c r="K3" s="64"/>
      <c r="L3" s="65"/>
      <c r="M3" s="65"/>
      <c r="N3" s="66"/>
      <c r="O3" s="65"/>
      <c r="P3" s="65"/>
      <c r="Q3" s="66"/>
      <c r="R3" s="66"/>
      <c r="S3" s="66"/>
      <c r="T3" s="65"/>
      <c r="U3" s="65"/>
      <c r="V3" s="66"/>
      <c r="W3" s="65"/>
      <c r="X3" s="65"/>
      <c r="Y3" s="65"/>
      <c r="Z3" s="65"/>
      <c r="AA3" s="67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8"/>
      <c r="AN3" s="19"/>
      <c r="AO3" s="9"/>
      <c r="AR3" s="3"/>
      <c r="AS3" s="3"/>
      <c r="AT3" s="3"/>
      <c r="AU3" s="3"/>
      <c r="AV3" s="3"/>
      <c r="AW3" s="3"/>
      <c r="AX3" s="4"/>
      <c r="AY3" s="4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18" customFormat="1" ht="17.25" customHeight="1" thickBot="1" x14ac:dyDescent="0.3">
      <c r="A4" s="60" t="s">
        <v>40</v>
      </c>
      <c r="B4" s="61">
        <f ca="1">SUM(B5:B120)</f>
        <v>36710</v>
      </c>
      <c r="C4" s="62">
        <f t="shared" ref="C4:AM4" ca="1" si="0">SUM(C5:C111)</f>
        <v>293</v>
      </c>
      <c r="D4" s="62">
        <f t="shared" ca="1" si="0"/>
        <v>585</v>
      </c>
      <c r="E4" s="62">
        <f t="shared" ca="1" si="0"/>
        <v>304</v>
      </c>
      <c r="F4" s="62">
        <f t="shared" ca="1" si="0"/>
        <v>30</v>
      </c>
      <c r="G4" s="62">
        <f t="shared" ca="1" si="0"/>
        <v>0</v>
      </c>
      <c r="H4" s="62">
        <f t="shared" ca="1" si="0"/>
        <v>127</v>
      </c>
      <c r="I4" s="62">
        <f t="shared" ca="1" si="0"/>
        <v>10</v>
      </c>
      <c r="J4" s="62">
        <f t="shared" ca="1" si="0"/>
        <v>3</v>
      </c>
      <c r="K4" s="62">
        <f t="shared" ca="1" si="0"/>
        <v>0</v>
      </c>
      <c r="L4" s="62">
        <f t="shared" ca="1" si="0"/>
        <v>0</v>
      </c>
      <c r="M4" s="62">
        <f t="shared" ca="1" si="0"/>
        <v>46</v>
      </c>
      <c r="N4" s="62">
        <f t="shared" ca="1" si="0"/>
        <v>4</v>
      </c>
      <c r="O4" s="62">
        <f t="shared" ca="1" si="0"/>
        <v>0</v>
      </c>
      <c r="P4" s="62">
        <f t="shared" ca="1" si="0"/>
        <v>0</v>
      </c>
      <c r="Q4" s="62">
        <f t="shared" ca="1" si="0"/>
        <v>0</v>
      </c>
      <c r="R4" s="62">
        <f t="shared" ca="1" si="0"/>
        <v>58</v>
      </c>
      <c r="S4" s="62">
        <f t="shared" ca="1" si="0"/>
        <v>9</v>
      </c>
      <c r="T4" s="62">
        <f t="shared" ca="1" si="0"/>
        <v>3</v>
      </c>
      <c r="U4" s="62">
        <f t="shared" ca="1" si="0"/>
        <v>0</v>
      </c>
      <c r="V4" s="62">
        <f t="shared" ca="1" si="0"/>
        <v>0</v>
      </c>
      <c r="W4" s="62">
        <f t="shared" ca="1" si="0"/>
        <v>0</v>
      </c>
      <c r="X4" s="62">
        <f t="shared" ca="1" si="0"/>
        <v>0</v>
      </c>
      <c r="Y4" s="62">
        <f t="shared" ca="1" si="0"/>
        <v>0</v>
      </c>
      <c r="Z4" s="62">
        <f t="shared" ca="1" si="0"/>
        <v>0</v>
      </c>
      <c r="AA4" s="62">
        <f t="shared" ca="1" si="0"/>
        <v>180</v>
      </c>
      <c r="AB4" s="62">
        <f t="shared" ca="1" si="0"/>
        <v>0</v>
      </c>
      <c r="AC4" s="62">
        <f t="shared" ca="1" si="0"/>
        <v>0</v>
      </c>
      <c r="AD4" s="62">
        <f t="shared" ca="1" si="0"/>
        <v>0</v>
      </c>
      <c r="AE4" s="62">
        <f t="shared" ca="1" si="0"/>
        <v>108</v>
      </c>
      <c r="AF4" s="62">
        <f t="shared" ca="1" si="0"/>
        <v>0</v>
      </c>
      <c r="AG4" s="62">
        <f t="shared" ca="1" si="0"/>
        <v>0</v>
      </c>
      <c r="AH4" s="62">
        <f t="shared" ca="1" si="0"/>
        <v>0</v>
      </c>
      <c r="AI4" s="62">
        <f t="shared" ca="1" si="0"/>
        <v>0</v>
      </c>
      <c r="AJ4" s="62">
        <f t="shared" ca="1" si="0"/>
        <v>0</v>
      </c>
      <c r="AK4" s="62">
        <f t="shared" ca="1" si="0"/>
        <v>0</v>
      </c>
      <c r="AL4" s="62">
        <f t="shared" ca="1" si="0"/>
        <v>0</v>
      </c>
      <c r="AM4" s="63">
        <f t="shared" ca="1" si="0"/>
        <v>0</v>
      </c>
      <c r="AN4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 x14ac:dyDescent="0.25">
      <c r="A5" s="54" t="str">
        <f>chests_counter!$H2</f>
        <v>Absolutus</v>
      </c>
      <c r="B5" s="55" cm="1">
        <f t="array" aca="1" ref="B5" ca="1">IF(A5&lt;&gt;"", SUMPRODUCT(($C$2:$AM$2&lt;&gt;0)*(C5:AM5&lt;&gt;0)*($C$2:$AM$2)*(C5:AM5)), "")</f>
        <v>230</v>
      </c>
      <c r="C5" s="56">
        <f ca="1">IF($A5="","",IF(C$1="","",COUNTIFS(tbl_chests[from],$A5,tbl_chests[legalized],C$1,tbl_chests[datetime],"&gt;="&amp;TODAY()-WEEKDAY(TODAY(),2)+1,tbl_chests[datetime],"&lt;"&amp;TODAY()-WEEKDAY(TODAY(),2)+8)))</f>
        <v>5</v>
      </c>
      <c r="D5" s="56">
        <f ca="1">IF($A5="","",IF(D$1="","",COUNTIFS(tbl_chests[from],$A5,tbl_chests[legalized],D$1,tbl_chests[datetime],"&gt;="&amp;TODAY()-WEEKDAY(TODAY(),2)+1,tbl_chests[datetime],"&lt;"&amp;TODAY()-WEEKDAY(TODAY(),2)+8)))</f>
        <v>9</v>
      </c>
      <c r="E5" s="56">
        <f ca="1">IF($A5="","",IF(E$1="","",COUNTIFS(tbl_chests[from],$A5,tbl_chests[legalized],E$1,tbl_chests[datetime],"&gt;="&amp;TODAY()-WEEKDAY(TODAY(),2)+1,tbl_chests[datetime],"&lt;"&amp;TODAY()-WEEKDAY(TODAY(),2)+8)))</f>
        <v>0</v>
      </c>
      <c r="F5" s="56">
        <f ca="1">IF($A5="","",IF(F$1="","",COUNTIFS(tbl_chests[from],$A5,tbl_chests[legalized],F$1,tbl_chests[datetime],"&gt;="&amp;TODAY()-WEEKDAY(TODAY(),2)+1,tbl_chests[datetime],"&lt;"&amp;TODAY()-WEEKDAY(TODAY(),2)+8)))</f>
        <v>0</v>
      </c>
      <c r="G5" s="56">
        <f ca="1">IF($A5="","",IF(G$1="","",COUNTIFS(tbl_chests[from],$A5,tbl_chests[legalized],G$1,tbl_chests[datetime],"&gt;="&amp;TODAY()-WEEKDAY(TODAY(),2)+1,tbl_chests[datetime],"&lt;"&amp;TODAY()-WEEKDAY(TODAY(),2)+8)))</f>
        <v>0</v>
      </c>
      <c r="H5" s="56">
        <f ca="1">IF($A5="","",IF(H$1="","",COUNTIFS(tbl_chests[from],$A5,tbl_chests[legalized],H$1,tbl_chests[datetime],"&gt;="&amp;TODAY()-WEEKDAY(TODAY(),2)+1,tbl_chests[datetime],"&lt;"&amp;TODAY()-WEEKDAY(TODAY(),2)+8)))</f>
        <v>0</v>
      </c>
      <c r="I5" s="56">
        <f ca="1">IF($A5="","",IF(I$1="","",COUNTIFS(tbl_chests[from],$A5,tbl_chests[legalized],I$1,tbl_chests[datetime],"&gt;="&amp;TODAY()-WEEKDAY(TODAY(),2)+1,tbl_chests[datetime],"&lt;"&amp;TODAY()-WEEKDAY(TODAY(),2)+8)))</f>
        <v>0</v>
      </c>
      <c r="J5" s="56">
        <f ca="1">IF($A5="","",IF(J$1="","",COUNTIFS(tbl_chests[from],$A5,tbl_chests[legalized],J$1,tbl_chests[datetime],"&gt;="&amp;TODAY()-WEEKDAY(TODAY(),2)+1,tbl_chests[datetime],"&lt;"&amp;TODAY()-WEEKDAY(TODAY(),2)+8)))</f>
        <v>0</v>
      </c>
      <c r="K5" s="56">
        <f ca="1">IF($A5="","",IF(K$1="","",COUNTIFS(tbl_chests[from],$A5,tbl_chests[legalized],K$1,tbl_chests[datetime],"&gt;="&amp;TODAY()-WEEKDAY(TODAY(),2)+1,tbl_chests[datetime],"&lt;"&amp;TODAY()-WEEKDAY(TODAY(),2)+8)))</f>
        <v>0</v>
      </c>
      <c r="L5" s="56">
        <f ca="1">IF($A5="","",IF(L$1="","",COUNTIFS(tbl_chests[from],$A5,tbl_chests[legalized],L$1,tbl_chests[datetime],"&gt;="&amp;TODAY()-WEEKDAY(TODAY(),2)+1,tbl_chests[datetime],"&lt;"&amp;TODAY()-WEEKDAY(TODAY(),2)+8)))</f>
        <v>0</v>
      </c>
      <c r="M5" s="56">
        <f ca="1">IF($A5="","",IF(M$1="","",COUNTIFS(tbl_chests[from],$A5,tbl_chests[legalized],M$1,tbl_chests[datetime],"&gt;="&amp;TODAY()-WEEKDAY(TODAY(),2)+1,tbl_chests[datetime],"&lt;"&amp;TODAY()-WEEKDAY(TODAY(),2)+8)))</f>
        <v>0</v>
      </c>
      <c r="N5" s="56">
        <f ca="1">IF($A5="","",IF(N$1="","",COUNTIFS(tbl_chests[from],$A5,tbl_chests[legalized],N$1,tbl_chests[datetime],"&gt;="&amp;TODAY()-WEEKDAY(TODAY(),2)+1,tbl_chests[datetime],"&lt;"&amp;TODAY()-WEEKDAY(TODAY(),2)+8)))</f>
        <v>0</v>
      </c>
      <c r="O5" s="56">
        <f ca="1">IF($A5="","",IF(O$1="","",COUNTIFS(tbl_chests[from],$A5,tbl_chests[legalized],O$1,tbl_chests[datetime],"&gt;="&amp;TODAY()-WEEKDAY(TODAY(),2)+1,tbl_chests[datetime],"&lt;"&amp;TODAY()-WEEKDAY(TODAY(),2)+8)))</f>
        <v>0</v>
      </c>
      <c r="P5" s="56">
        <f ca="1">IF($A5="","",IF(P$1="","",COUNTIFS(tbl_chests[from],$A5,tbl_chests[legalized],P$1,tbl_chests[datetime],"&gt;="&amp;TODAY()-WEEKDAY(TODAY(),2)+1,tbl_chests[datetime],"&lt;"&amp;TODAY()-WEEKDAY(TODAY(),2)+8)))</f>
        <v>0</v>
      </c>
      <c r="Q5" s="56">
        <f ca="1">IF($A5="","",IF(Q$1="","",COUNTIFS(tbl_chests[from],$A5,tbl_chests[legalized],Q$1,tbl_chests[datetime],"&gt;="&amp;TODAY()-WEEKDAY(TODAY(),2)+1,tbl_chests[datetime],"&lt;"&amp;TODAY()-WEEKDAY(TODAY(),2)+8)))</f>
        <v>0</v>
      </c>
      <c r="R5" s="56">
        <f ca="1">IF($A5="","",IF(R$1="","",COUNTIFS(tbl_chests[from],$A5,tbl_chests[legalized],R$1,tbl_chests[datetime],"&gt;="&amp;TODAY()-WEEKDAY(TODAY(),2)+1,tbl_chests[datetime],"&lt;"&amp;TODAY()-WEEKDAY(TODAY(),2)+8)))</f>
        <v>0</v>
      </c>
      <c r="S5" s="56">
        <f ca="1">IF($A5="","",IF(S$1="","",COUNTIFS(tbl_chests[from],$A5,tbl_chests[legalized],S$1,tbl_chests[datetime],"&gt;="&amp;TODAY()-WEEKDAY(TODAY(),2)+1,tbl_chests[datetime],"&lt;"&amp;TODAY()-WEEKDAY(TODAY(),2)+8)))</f>
        <v>0</v>
      </c>
      <c r="T5" s="56">
        <f ca="1">IF($A5="","",IF(T$1="","",COUNTIFS(tbl_chests[from],$A5,tbl_chests[legalized],T$1,tbl_chests[datetime],"&gt;="&amp;TODAY()-WEEKDAY(TODAY(),2)+1,tbl_chests[datetime],"&lt;"&amp;TODAY()-WEEKDAY(TODAY(),2)+8)))</f>
        <v>0</v>
      </c>
      <c r="U5" s="56">
        <f ca="1">IF($A5="","",IF(U$1="","",COUNTIFS(tbl_chests[from],$A5,tbl_chests[legalized],U$1,tbl_chests[datetime],"&gt;="&amp;TODAY()-WEEKDAY(TODAY(),2)+1,tbl_chests[datetime],"&lt;"&amp;TODAY()-WEEKDAY(TODAY(),2)+8)))</f>
        <v>0</v>
      </c>
      <c r="V5" s="56">
        <f ca="1">IF($A5="","",IF(V$1="","",COUNTIFS(tbl_chests[from],$A5,tbl_chests[legalized],V$1,tbl_chests[datetime],"&gt;="&amp;TODAY()-WEEKDAY(TODAY(),2)+1,tbl_chests[datetime],"&lt;"&amp;TODAY()-WEEKDAY(TODAY(),2)+8)))</f>
        <v>0</v>
      </c>
      <c r="W5" s="56">
        <f ca="1">IF($A5="","",IF(W$1="","",COUNTIFS(tbl_chests[from],$A5,tbl_chests[legalized],W$1,tbl_chests[datetime],"&gt;="&amp;TODAY()-WEEKDAY(TODAY(),2)+1,tbl_chests[datetime],"&lt;"&amp;TODAY()-WEEKDAY(TODAY(),2)+8)))</f>
        <v>0</v>
      </c>
      <c r="X5" s="56">
        <f ca="1">IF($A5="","",IF(X$1="","",COUNTIFS(tbl_chests[from],$A5,tbl_chests[legalized],X$1,tbl_chests[datetime],"&gt;="&amp;TODAY()-WEEKDAY(TODAY(),2)+1,tbl_chests[datetime],"&lt;"&amp;TODAY()-WEEKDAY(TODAY(),2)+8)))</f>
        <v>0</v>
      </c>
      <c r="Y5" s="56">
        <f ca="1">IF($A5="","",IF(Y$1="","",COUNTIFS(tbl_chests[from],$A5,tbl_chests[legalized],Y$1,tbl_chests[datetime],"&gt;="&amp;TODAY()-WEEKDAY(TODAY(),2)+1,tbl_chests[datetime],"&lt;"&amp;TODAY()-WEEKDAY(TODAY(),2)+8)))</f>
        <v>0</v>
      </c>
      <c r="Z5" s="56">
        <f ca="1">IF($A5="","",IF(Z$1="","",COUNTIFS(tbl_chests[from],$A5,tbl_chests[legalized],Z$1,tbl_chests[datetime],"&gt;="&amp;TODAY()-WEEKDAY(TODAY(),2)+1,tbl_chests[datetime],"&lt;"&amp;TODAY()-WEEKDAY(TODAY(),2)+8)))</f>
        <v>0</v>
      </c>
      <c r="AA5" s="56">
        <f ca="1">IF($A5="","",IF(AA$1="","",COUNTIFS(tbl_chests[from],$A5,tbl_chests[legalized],AA$1,tbl_chests[datetime],"&gt;="&amp;TODAY()-WEEKDAY(TODAY(),2)+1,tbl_chests[datetime],"&lt;"&amp;TODAY()-WEEKDAY(TODAY(),2)+8)))</f>
        <v>0</v>
      </c>
      <c r="AB5" s="56">
        <f ca="1">IF($A5="","",IF(AB$1="","",COUNTIFS(tbl_chests[from],$A5,tbl_chests[legalized],AB$1,tbl_chests[datetime],"&gt;="&amp;TODAY()-WEEKDAY(TODAY(),2)+1,tbl_chests[datetime],"&lt;"&amp;TODAY()-WEEKDAY(TODAY(),2)+8)))</f>
        <v>0</v>
      </c>
      <c r="AC5" s="56">
        <f ca="1">IF($A5="","",IF(AC$1="","",COUNTIFS(tbl_chests[from],$A5,tbl_chests[legalized],AC$1,tbl_chests[datetime],"&gt;="&amp;TODAY()-WEEKDAY(TODAY(),2)+1,tbl_chests[datetime],"&lt;"&amp;TODAY()-WEEKDAY(TODAY(),2)+8)))</f>
        <v>0</v>
      </c>
      <c r="AD5" s="56">
        <f ca="1">IF($A5="","",IF(AD$1="","",COUNTIFS(tbl_chests[from],$A5,tbl_chests[legalized],AD$1,tbl_chests[datetime],"&gt;="&amp;TODAY()-WEEKDAY(TODAY(),2)+1,tbl_chests[datetime],"&lt;"&amp;TODAY()-WEEKDAY(TODAY(),2)+8)))</f>
        <v>0</v>
      </c>
      <c r="AE5" s="56">
        <f ca="1">IF($A5="","",IF(AE$1="","",COUNTIFS(tbl_chests[from],$A5,tbl_chests[legalized],AE$1,tbl_chests[datetime],"&gt;="&amp;TODAY()-WEEKDAY(TODAY(),2)+1,tbl_chests[datetime],"&lt;"&amp;TODAY()-WEEKDAY(TODAY(),2)+8)))</f>
        <v>0</v>
      </c>
      <c r="AF5" s="56">
        <f ca="1">IF($A5="","",IF(AF$1="","",COUNTIFS(tbl_chests[from],$A5,tbl_chests[legalized],AF$1,tbl_chests[datetime],"&gt;="&amp;TODAY()-WEEKDAY(TODAY(),2)+1,tbl_chests[datetime],"&lt;"&amp;TODAY()-WEEKDAY(TODAY(),2)+8)))</f>
        <v>0</v>
      </c>
      <c r="AG5" s="56">
        <f ca="1">IF($A5="","",IF(AG$1="","",COUNTIFS(tbl_chests[from],$A5,tbl_chests[legalized],AG$1,tbl_chests[datetime],"&gt;="&amp;TODAY()-WEEKDAY(TODAY(),2)+1,tbl_chests[datetime],"&lt;"&amp;TODAY()-WEEKDAY(TODAY(),2)+8)))</f>
        <v>0</v>
      </c>
      <c r="AH5" s="56">
        <f ca="1">IF($A5="","",IF(AH$1="","",COUNTIFS(tbl_chests[from],$A5,tbl_chests[legalized],AH$1,tbl_chests[datetime],"&gt;="&amp;TODAY()-WEEKDAY(TODAY(),2)+1,tbl_chests[datetime],"&lt;"&amp;TODAY()-WEEKDAY(TODAY(),2)+8)))</f>
        <v>0</v>
      </c>
      <c r="AI5" s="56">
        <f ca="1">IF($A5="","",IF(AI$1="","",COUNTIFS(tbl_chests[from],$A5,tbl_chests[legalized],AI$1,tbl_chests[datetime],"&gt;="&amp;TODAY()-WEEKDAY(TODAY(),2)+1,tbl_chests[datetime],"&lt;"&amp;TODAY()-WEEKDAY(TODAY(),2)+8)))</f>
        <v>0</v>
      </c>
      <c r="AJ5" s="56">
        <f ca="1">IF($A5="","",IF(AJ$1="","",COUNTIFS(tbl_chests[from],$A5,tbl_chests[legalized],AJ$1,tbl_chests[datetime],"&gt;="&amp;TODAY()-WEEKDAY(TODAY(),2)+1,tbl_chests[datetime],"&lt;"&amp;TODAY()-WEEKDAY(TODAY(),2)+8)))</f>
        <v>0</v>
      </c>
      <c r="AK5" s="56">
        <f ca="1">IF($A5="","",IF(AK$1="","",COUNTIFS(tbl_chests[from],$A5,tbl_chests[legalized],AK$1,tbl_chests[datetime],"&gt;="&amp;TODAY()-WEEKDAY(TODAY(),2)+1,tbl_chests[datetime],"&lt;"&amp;TODAY()-WEEKDAY(TODAY(),2)+8)))</f>
        <v>0</v>
      </c>
      <c r="AL5" s="56">
        <f ca="1">IF($A5="","",IF(AL$1="","",COUNTIFS(tbl_chests[from],$A5,tbl_chests[legalized],AL$1,tbl_chests[datetime],"&gt;="&amp;TODAY()-WEEKDAY(TODAY(),2)+1,tbl_chests[datetime],"&lt;"&amp;TODAY()-WEEKDAY(TODAY(),2)+8)))</f>
        <v>0</v>
      </c>
      <c r="AM5" s="57">
        <f ca="1">IF($A5="","",IF(AM$1="","",COUNTIFS(tbl_chests[from],$A5,tbl_chests[legalized],AM$1,tbl_chests[datetime],"&gt;="&amp;TODAY()-WEEKDAY(TODAY(),2)+1,tbl_chests[datetime],"&lt;"&amp;TODAY()-WEEKDAY(TODAY(),2)+8)))</f>
        <v>0</v>
      </c>
      <c r="AN5" s="16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x14ac:dyDescent="0.25">
      <c r="A6" s="34" t="str">
        <f>chests_counter!$H3</f>
        <v>Agagas</v>
      </c>
      <c r="B6" s="35" cm="1">
        <f t="array" aca="1" ref="B6" ca="1">IF(A6&lt;&gt;"", SUMPRODUCT(($C$2:$AM$2&lt;&gt;0)*(C6:AM6&lt;&gt;0)*($C$2:$AM$2)*(C6:AM6)), "")</f>
        <v>140</v>
      </c>
      <c r="C6" s="36">
        <f ca="1">IF($A6="","",IF(C$1="","",COUNTIFS(tbl_chests[from],$A6,tbl_chests[legalized],C$1,tbl_chests[datetime],"&gt;="&amp;TODAY()-WEEKDAY(TODAY(),2)+1,tbl_chests[datetime],"&lt;"&amp;TODAY()-WEEKDAY(TODAY(),2)+8)))</f>
        <v>2</v>
      </c>
      <c r="D6" s="36">
        <f ca="1">IF($A6="","",IF(D$1="","",COUNTIFS(tbl_chests[from],$A6,tbl_chests[legalized],D$1,tbl_chests[datetime],"&gt;="&amp;TODAY()-WEEKDAY(TODAY(),2)+1,tbl_chests[datetime],"&lt;"&amp;TODAY()-WEEKDAY(TODAY(),2)+8)))</f>
        <v>6</v>
      </c>
      <c r="E6" s="36">
        <f ca="1">IF($A6="","",IF(E$1="","",COUNTIFS(tbl_chests[from],$A6,tbl_chests[legalized],E$1,tbl_chests[datetime],"&gt;="&amp;TODAY()-WEEKDAY(TODAY(),2)+1,tbl_chests[datetime],"&lt;"&amp;TODAY()-WEEKDAY(TODAY(),2)+8)))</f>
        <v>0</v>
      </c>
      <c r="F6" s="36">
        <f ca="1">IF($A6="","",IF(F$1="","",COUNTIFS(tbl_chests[from],$A6,tbl_chests[legalized],F$1,tbl_chests[datetime],"&gt;="&amp;TODAY()-WEEKDAY(TODAY(),2)+1,tbl_chests[datetime],"&lt;"&amp;TODAY()-WEEKDAY(TODAY(),2)+8)))</f>
        <v>0</v>
      </c>
      <c r="G6" s="36">
        <f ca="1">IF($A6="","",IF(G$1="","",COUNTIFS(tbl_chests[from],$A6,tbl_chests[legalized],G$1,tbl_chests[datetime],"&gt;="&amp;TODAY()-WEEKDAY(TODAY(),2)+1,tbl_chests[datetime],"&lt;"&amp;TODAY()-WEEKDAY(TODAY(),2)+8)))</f>
        <v>0</v>
      </c>
      <c r="H6" s="36">
        <f ca="1">IF($A6="","",IF(H$1="","",COUNTIFS(tbl_chests[from],$A6,tbl_chests[legalized],H$1,tbl_chests[datetime],"&gt;="&amp;TODAY()-WEEKDAY(TODAY(),2)+1,tbl_chests[datetime],"&lt;"&amp;TODAY()-WEEKDAY(TODAY(),2)+8)))</f>
        <v>0</v>
      </c>
      <c r="I6" s="36">
        <f ca="1">IF($A6="","",IF(I$1="","",COUNTIFS(tbl_chests[from],$A6,tbl_chests[legalized],I$1,tbl_chests[datetime],"&gt;="&amp;TODAY()-WEEKDAY(TODAY(),2)+1,tbl_chests[datetime],"&lt;"&amp;TODAY()-WEEKDAY(TODAY(),2)+8)))</f>
        <v>0</v>
      </c>
      <c r="J6" s="36">
        <f ca="1">IF($A6="","",IF(J$1="","",COUNTIFS(tbl_chests[from],$A6,tbl_chests[legalized],J$1,tbl_chests[datetime],"&gt;="&amp;TODAY()-WEEKDAY(TODAY(),2)+1,tbl_chests[datetime],"&lt;"&amp;TODAY()-WEEKDAY(TODAY(),2)+8)))</f>
        <v>0</v>
      </c>
      <c r="K6" s="36">
        <f ca="1">IF($A6="","",IF(K$1="","",COUNTIFS(tbl_chests[from],$A6,tbl_chests[legalized],K$1,tbl_chests[datetime],"&gt;="&amp;TODAY()-WEEKDAY(TODAY(),2)+1,tbl_chests[datetime],"&lt;"&amp;TODAY()-WEEKDAY(TODAY(),2)+8)))</f>
        <v>0</v>
      </c>
      <c r="L6" s="36">
        <f ca="1">IF($A6="","",IF(L$1="","",COUNTIFS(tbl_chests[from],$A6,tbl_chests[legalized],L$1,tbl_chests[datetime],"&gt;="&amp;TODAY()-WEEKDAY(TODAY(),2)+1,tbl_chests[datetime],"&lt;"&amp;TODAY()-WEEKDAY(TODAY(),2)+8)))</f>
        <v>0</v>
      </c>
      <c r="M6" s="36">
        <f ca="1">IF($A6="","",IF(M$1="","",COUNTIFS(tbl_chests[from],$A6,tbl_chests[legalized],M$1,tbl_chests[datetime],"&gt;="&amp;TODAY()-WEEKDAY(TODAY(),2)+1,tbl_chests[datetime],"&lt;"&amp;TODAY()-WEEKDAY(TODAY(),2)+8)))</f>
        <v>0</v>
      </c>
      <c r="N6" s="36">
        <f ca="1">IF($A6="","",IF(N$1="","",COUNTIFS(tbl_chests[from],$A6,tbl_chests[legalized],N$1,tbl_chests[datetime],"&gt;="&amp;TODAY()-WEEKDAY(TODAY(),2)+1,tbl_chests[datetime],"&lt;"&amp;TODAY()-WEEKDAY(TODAY(),2)+8)))</f>
        <v>0</v>
      </c>
      <c r="O6" s="36">
        <f ca="1">IF($A6="","",IF(O$1="","",COUNTIFS(tbl_chests[from],$A6,tbl_chests[legalized],O$1,tbl_chests[datetime],"&gt;="&amp;TODAY()-WEEKDAY(TODAY(),2)+1,tbl_chests[datetime],"&lt;"&amp;TODAY()-WEEKDAY(TODAY(),2)+8)))</f>
        <v>0</v>
      </c>
      <c r="P6" s="36">
        <f ca="1">IF($A6="","",IF(P$1="","",COUNTIFS(tbl_chests[from],$A6,tbl_chests[legalized],P$1,tbl_chests[datetime],"&gt;="&amp;TODAY()-WEEKDAY(TODAY(),2)+1,tbl_chests[datetime],"&lt;"&amp;TODAY()-WEEKDAY(TODAY(),2)+8)))</f>
        <v>0</v>
      </c>
      <c r="Q6" s="36">
        <f ca="1">IF($A6="","",IF(Q$1="","",COUNTIFS(tbl_chests[from],$A6,tbl_chests[legalized],Q$1,tbl_chests[datetime],"&gt;="&amp;TODAY()-WEEKDAY(TODAY(),2)+1,tbl_chests[datetime],"&lt;"&amp;TODAY()-WEEKDAY(TODAY(),2)+8)))</f>
        <v>0</v>
      </c>
      <c r="R6" s="36">
        <f ca="1">IF($A6="","",IF(R$1="","",COUNTIFS(tbl_chests[from],$A6,tbl_chests[legalized],R$1,tbl_chests[datetime],"&gt;="&amp;TODAY()-WEEKDAY(TODAY(),2)+1,tbl_chests[datetime],"&lt;"&amp;TODAY()-WEEKDAY(TODAY(),2)+8)))</f>
        <v>0</v>
      </c>
      <c r="S6" s="36">
        <f ca="1">IF($A6="","",IF(S$1="","",COUNTIFS(tbl_chests[from],$A6,tbl_chests[legalized],S$1,tbl_chests[datetime],"&gt;="&amp;TODAY()-WEEKDAY(TODAY(),2)+1,tbl_chests[datetime],"&lt;"&amp;TODAY()-WEEKDAY(TODAY(),2)+8)))</f>
        <v>0</v>
      </c>
      <c r="T6" s="36">
        <f ca="1">IF($A6="","",IF(T$1="","",COUNTIFS(tbl_chests[from],$A6,tbl_chests[legalized],T$1,tbl_chests[datetime],"&gt;="&amp;TODAY()-WEEKDAY(TODAY(),2)+1,tbl_chests[datetime],"&lt;"&amp;TODAY()-WEEKDAY(TODAY(),2)+8)))</f>
        <v>0</v>
      </c>
      <c r="U6" s="36">
        <f ca="1">IF($A6="","",IF(U$1="","",COUNTIFS(tbl_chests[from],$A6,tbl_chests[legalized],U$1,tbl_chests[datetime],"&gt;="&amp;TODAY()-WEEKDAY(TODAY(),2)+1,tbl_chests[datetime],"&lt;"&amp;TODAY()-WEEKDAY(TODAY(),2)+8)))</f>
        <v>0</v>
      </c>
      <c r="V6" s="36">
        <f ca="1">IF($A6="","",IF(V$1="","",COUNTIFS(tbl_chests[from],$A6,tbl_chests[legalized],V$1,tbl_chests[datetime],"&gt;="&amp;TODAY()-WEEKDAY(TODAY(),2)+1,tbl_chests[datetime],"&lt;"&amp;TODAY()-WEEKDAY(TODAY(),2)+8)))</f>
        <v>0</v>
      </c>
      <c r="W6" s="36">
        <f ca="1">IF($A6="","",IF(W$1="","",COUNTIFS(tbl_chests[from],$A6,tbl_chests[legalized],W$1,tbl_chests[datetime],"&gt;="&amp;TODAY()-WEEKDAY(TODAY(),2)+1,tbl_chests[datetime],"&lt;"&amp;TODAY()-WEEKDAY(TODAY(),2)+8)))</f>
        <v>0</v>
      </c>
      <c r="X6" s="36">
        <f ca="1">IF($A6="","",IF(X$1="","",COUNTIFS(tbl_chests[from],$A6,tbl_chests[legalized],X$1,tbl_chests[datetime],"&gt;="&amp;TODAY()-WEEKDAY(TODAY(),2)+1,tbl_chests[datetime],"&lt;"&amp;TODAY()-WEEKDAY(TODAY(),2)+8)))</f>
        <v>0</v>
      </c>
      <c r="Y6" s="36">
        <f ca="1">IF($A6="","",IF(Y$1="","",COUNTIFS(tbl_chests[from],$A6,tbl_chests[legalized],Y$1,tbl_chests[datetime],"&gt;="&amp;TODAY()-WEEKDAY(TODAY(),2)+1,tbl_chests[datetime],"&lt;"&amp;TODAY()-WEEKDAY(TODAY(),2)+8)))</f>
        <v>0</v>
      </c>
      <c r="Z6" s="36">
        <f ca="1">IF($A6="","",IF(Z$1="","",COUNTIFS(tbl_chests[from],$A6,tbl_chests[legalized],Z$1,tbl_chests[datetime],"&gt;="&amp;TODAY()-WEEKDAY(TODAY(),2)+1,tbl_chests[datetime],"&lt;"&amp;TODAY()-WEEKDAY(TODAY(),2)+8)))</f>
        <v>0</v>
      </c>
      <c r="AA6" s="36">
        <f ca="1">IF($A6="","",IF(AA$1="","",COUNTIFS(tbl_chests[from],$A6,tbl_chests[legalized],AA$1,tbl_chests[datetime],"&gt;="&amp;TODAY()-WEEKDAY(TODAY(),2)+1,tbl_chests[datetime],"&lt;"&amp;TODAY()-WEEKDAY(TODAY(),2)+8)))</f>
        <v>0</v>
      </c>
      <c r="AB6" s="36">
        <f ca="1">IF($A6="","",IF(AB$1="","",COUNTIFS(tbl_chests[from],$A6,tbl_chests[legalized],AB$1,tbl_chests[datetime],"&gt;="&amp;TODAY()-WEEKDAY(TODAY(),2)+1,tbl_chests[datetime],"&lt;"&amp;TODAY()-WEEKDAY(TODAY(),2)+8)))</f>
        <v>0</v>
      </c>
      <c r="AC6" s="36">
        <f ca="1">IF($A6="","",IF(AC$1="","",COUNTIFS(tbl_chests[from],$A6,tbl_chests[legalized],AC$1,tbl_chests[datetime],"&gt;="&amp;TODAY()-WEEKDAY(TODAY(),2)+1,tbl_chests[datetime],"&lt;"&amp;TODAY()-WEEKDAY(TODAY(),2)+8)))</f>
        <v>0</v>
      </c>
      <c r="AD6" s="36">
        <f ca="1">IF($A6="","",IF(AD$1="","",COUNTIFS(tbl_chests[from],$A6,tbl_chests[legalized],AD$1,tbl_chests[datetime],"&gt;="&amp;TODAY()-WEEKDAY(TODAY(),2)+1,tbl_chests[datetime],"&lt;"&amp;TODAY()-WEEKDAY(TODAY(),2)+8)))</f>
        <v>0</v>
      </c>
      <c r="AE6" s="36">
        <f ca="1">IF($A6="","",IF(AE$1="","",COUNTIFS(tbl_chests[from],$A6,tbl_chests[legalized],AE$1,tbl_chests[datetime],"&gt;="&amp;TODAY()-WEEKDAY(TODAY(),2)+1,tbl_chests[datetime],"&lt;"&amp;TODAY()-WEEKDAY(TODAY(),2)+8)))</f>
        <v>0</v>
      </c>
      <c r="AF6" s="36">
        <f ca="1">IF($A6="","",IF(AF$1="","",COUNTIFS(tbl_chests[from],$A6,tbl_chests[legalized],AF$1,tbl_chests[datetime],"&gt;="&amp;TODAY()-WEEKDAY(TODAY(),2)+1,tbl_chests[datetime],"&lt;"&amp;TODAY()-WEEKDAY(TODAY(),2)+8)))</f>
        <v>0</v>
      </c>
      <c r="AG6" s="36">
        <f ca="1">IF($A6="","",IF(AG$1="","",COUNTIFS(tbl_chests[from],$A6,tbl_chests[legalized],AG$1,tbl_chests[datetime],"&gt;="&amp;TODAY()-WEEKDAY(TODAY(),2)+1,tbl_chests[datetime],"&lt;"&amp;TODAY()-WEEKDAY(TODAY(),2)+8)))</f>
        <v>0</v>
      </c>
      <c r="AH6" s="36">
        <f ca="1">IF($A6="","",IF(AH$1="","",COUNTIFS(tbl_chests[from],$A6,tbl_chests[legalized],AH$1,tbl_chests[datetime],"&gt;="&amp;TODAY()-WEEKDAY(TODAY(),2)+1,tbl_chests[datetime],"&lt;"&amp;TODAY()-WEEKDAY(TODAY(),2)+8)))</f>
        <v>0</v>
      </c>
      <c r="AI6" s="36">
        <f ca="1">IF($A6="","",IF(AI$1="","",COUNTIFS(tbl_chests[from],$A6,tbl_chests[legalized],AI$1,tbl_chests[datetime],"&gt;="&amp;TODAY()-WEEKDAY(TODAY(),2)+1,tbl_chests[datetime],"&lt;"&amp;TODAY()-WEEKDAY(TODAY(),2)+8)))</f>
        <v>0</v>
      </c>
      <c r="AJ6" s="36">
        <f ca="1">IF($A6="","",IF(AJ$1="","",COUNTIFS(tbl_chests[from],$A6,tbl_chests[legalized],AJ$1,tbl_chests[datetime],"&gt;="&amp;TODAY()-WEEKDAY(TODAY(),2)+1,tbl_chests[datetime],"&lt;"&amp;TODAY()-WEEKDAY(TODAY(),2)+8)))</f>
        <v>0</v>
      </c>
      <c r="AK6" s="36">
        <f ca="1">IF($A6="","",IF(AK$1="","",COUNTIFS(tbl_chests[from],$A6,tbl_chests[legalized],AK$1,tbl_chests[datetime],"&gt;="&amp;TODAY()-WEEKDAY(TODAY(),2)+1,tbl_chests[datetime],"&lt;"&amp;TODAY()-WEEKDAY(TODAY(),2)+8)))</f>
        <v>0</v>
      </c>
      <c r="AL6" s="36">
        <f ca="1">IF($A6="","",IF(AL$1="","",COUNTIFS(tbl_chests[from],$A6,tbl_chests[legalized],AL$1,tbl_chests[datetime],"&gt;="&amp;TODAY()-WEEKDAY(TODAY(),2)+1,tbl_chests[datetime],"&lt;"&amp;TODAY()-WEEKDAY(TODAY(),2)+8)))</f>
        <v>0</v>
      </c>
      <c r="AM6" s="37">
        <f ca="1">IF($A6="","",IF(AM$1="","",COUNTIFS(tbl_chests[from],$A6,tbl_chests[legalized],AM$1,tbl_chests[datetime],"&gt;="&amp;TODAY()-WEEKDAY(TODAY(),2)+1,tbl_chests[datetime],"&lt;"&amp;TODAY()-WEEKDAY(TODAY(),2)+8)))</f>
        <v>0</v>
      </c>
      <c r="AN6" s="16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x14ac:dyDescent="0.25">
      <c r="A7" s="34" t="str">
        <f>chests_counter!$H4</f>
        <v>AL CAPONE</v>
      </c>
      <c r="B7" s="35" cm="1">
        <f t="array" aca="1" ref="B7" ca="1">IF(A7&lt;&gt;"", SUMPRODUCT(($C$2:$AM$2&lt;&gt;0)*(C7:AM7&lt;&gt;0)*($C$2:$AM$2)*(C7:AM7)), "")</f>
        <v>180</v>
      </c>
      <c r="C7" s="36">
        <f ca="1">IF($A7="","",IF(C$1="","",COUNTIFS(tbl_chests[from],$A7,tbl_chests[legalized],C$1,tbl_chests[datetime],"&gt;="&amp;TODAY()-WEEKDAY(TODAY(),2)+1,tbl_chests[datetime],"&lt;"&amp;TODAY()-WEEKDAY(TODAY(),2)+8)))</f>
        <v>11</v>
      </c>
      <c r="D7" s="36">
        <f ca="1">IF($A7="","",IF(D$1="","",COUNTIFS(tbl_chests[from],$A7,tbl_chests[legalized],D$1,tbl_chests[datetime],"&gt;="&amp;TODAY()-WEEKDAY(TODAY(),2)+1,tbl_chests[datetime],"&lt;"&amp;TODAY()-WEEKDAY(TODAY(),2)+8)))</f>
        <v>2</v>
      </c>
      <c r="E7" s="36">
        <f ca="1">IF($A7="","",IF(E$1="","",COUNTIFS(tbl_chests[from],$A7,tbl_chests[legalized],E$1,tbl_chests[datetime],"&gt;="&amp;TODAY()-WEEKDAY(TODAY(),2)+1,tbl_chests[datetime],"&lt;"&amp;TODAY()-WEEKDAY(TODAY(),2)+8)))</f>
        <v>1</v>
      </c>
      <c r="F7" s="36">
        <f ca="1">IF($A7="","",IF(F$1="","",COUNTIFS(tbl_chests[from],$A7,tbl_chests[legalized],F$1,tbl_chests[datetime],"&gt;="&amp;TODAY()-WEEKDAY(TODAY(),2)+1,tbl_chests[datetime],"&lt;"&amp;TODAY()-WEEKDAY(TODAY(),2)+8)))</f>
        <v>0</v>
      </c>
      <c r="G7" s="36">
        <f ca="1">IF($A7="","",IF(G$1="","",COUNTIFS(tbl_chests[from],$A7,tbl_chests[legalized],G$1,tbl_chests[datetime],"&gt;="&amp;TODAY()-WEEKDAY(TODAY(),2)+1,tbl_chests[datetime],"&lt;"&amp;TODAY()-WEEKDAY(TODAY(),2)+8)))</f>
        <v>0</v>
      </c>
      <c r="H7" s="36">
        <f ca="1">IF($A7="","",IF(H$1="","",COUNTIFS(tbl_chests[from],$A7,tbl_chests[legalized],H$1,tbl_chests[datetime],"&gt;="&amp;TODAY()-WEEKDAY(TODAY(),2)+1,tbl_chests[datetime],"&lt;"&amp;TODAY()-WEEKDAY(TODAY(),2)+8)))</f>
        <v>0</v>
      </c>
      <c r="I7" s="36">
        <f ca="1">IF($A7="","",IF(I$1="","",COUNTIFS(tbl_chests[from],$A7,tbl_chests[legalized],I$1,tbl_chests[datetime],"&gt;="&amp;TODAY()-WEEKDAY(TODAY(),2)+1,tbl_chests[datetime],"&lt;"&amp;TODAY()-WEEKDAY(TODAY(),2)+8)))</f>
        <v>0</v>
      </c>
      <c r="J7" s="36">
        <f ca="1">IF($A7="","",IF(J$1="","",COUNTIFS(tbl_chests[from],$A7,tbl_chests[legalized],J$1,tbl_chests[datetime],"&gt;="&amp;TODAY()-WEEKDAY(TODAY(),2)+1,tbl_chests[datetime],"&lt;"&amp;TODAY()-WEEKDAY(TODAY(),2)+8)))</f>
        <v>0</v>
      </c>
      <c r="K7" s="36">
        <f ca="1">IF($A7="","",IF(K$1="","",COUNTIFS(tbl_chests[from],$A7,tbl_chests[legalized],K$1,tbl_chests[datetime],"&gt;="&amp;TODAY()-WEEKDAY(TODAY(),2)+1,tbl_chests[datetime],"&lt;"&amp;TODAY()-WEEKDAY(TODAY(),2)+8)))</f>
        <v>0</v>
      </c>
      <c r="L7" s="36">
        <f ca="1">IF($A7="","",IF(L$1="","",COUNTIFS(tbl_chests[from],$A7,tbl_chests[legalized],L$1,tbl_chests[datetime],"&gt;="&amp;TODAY()-WEEKDAY(TODAY(),2)+1,tbl_chests[datetime],"&lt;"&amp;TODAY()-WEEKDAY(TODAY(),2)+8)))</f>
        <v>0</v>
      </c>
      <c r="M7" s="36">
        <f ca="1">IF($A7="","",IF(M$1="","",COUNTIFS(tbl_chests[from],$A7,tbl_chests[legalized],M$1,tbl_chests[datetime],"&gt;="&amp;TODAY()-WEEKDAY(TODAY(),2)+1,tbl_chests[datetime],"&lt;"&amp;TODAY()-WEEKDAY(TODAY(),2)+8)))</f>
        <v>0</v>
      </c>
      <c r="N7" s="36">
        <f ca="1">IF($A7="","",IF(N$1="","",COUNTIFS(tbl_chests[from],$A7,tbl_chests[legalized],N$1,tbl_chests[datetime],"&gt;="&amp;TODAY()-WEEKDAY(TODAY(),2)+1,tbl_chests[datetime],"&lt;"&amp;TODAY()-WEEKDAY(TODAY(),2)+8)))</f>
        <v>0</v>
      </c>
      <c r="O7" s="36">
        <f ca="1">IF($A7="","",IF(O$1="","",COUNTIFS(tbl_chests[from],$A7,tbl_chests[legalized],O$1,tbl_chests[datetime],"&gt;="&amp;TODAY()-WEEKDAY(TODAY(),2)+1,tbl_chests[datetime],"&lt;"&amp;TODAY()-WEEKDAY(TODAY(),2)+8)))</f>
        <v>0</v>
      </c>
      <c r="P7" s="36">
        <f ca="1">IF($A7="","",IF(P$1="","",COUNTIFS(tbl_chests[from],$A7,tbl_chests[legalized],P$1,tbl_chests[datetime],"&gt;="&amp;TODAY()-WEEKDAY(TODAY(),2)+1,tbl_chests[datetime],"&lt;"&amp;TODAY()-WEEKDAY(TODAY(),2)+8)))</f>
        <v>0</v>
      </c>
      <c r="Q7" s="36">
        <f ca="1">IF($A7="","",IF(Q$1="","",COUNTIFS(tbl_chests[from],$A7,tbl_chests[legalized],Q$1,tbl_chests[datetime],"&gt;="&amp;TODAY()-WEEKDAY(TODAY(),2)+1,tbl_chests[datetime],"&lt;"&amp;TODAY()-WEEKDAY(TODAY(),2)+8)))</f>
        <v>0</v>
      </c>
      <c r="R7" s="36">
        <f ca="1">IF($A7="","",IF(R$1="","",COUNTIFS(tbl_chests[from],$A7,tbl_chests[legalized],R$1,tbl_chests[datetime],"&gt;="&amp;TODAY()-WEEKDAY(TODAY(),2)+1,tbl_chests[datetime],"&lt;"&amp;TODAY()-WEEKDAY(TODAY(),2)+8)))</f>
        <v>0</v>
      </c>
      <c r="S7" s="36">
        <f ca="1">IF($A7="","",IF(S$1="","",COUNTIFS(tbl_chests[from],$A7,tbl_chests[legalized],S$1,tbl_chests[datetime],"&gt;="&amp;TODAY()-WEEKDAY(TODAY(),2)+1,tbl_chests[datetime],"&lt;"&amp;TODAY()-WEEKDAY(TODAY(),2)+8)))</f>
        <v>0</v>
      </c>
      <c r="T7" s="36">
        <f ca="1">IF($A7="","",IF(T$1="","",COUNTIFS(tbl_chests[from],$A7,tbl_chests[legalized],T$1,tbl_chests[datetime],"&gt;="&amp;TODAY()-WEEKDAY(TODAY(),2)+1,tbl_chests[datetime],"&lt;"&amp;TODAY()-WEEKDAY(TODAY(),2)+8)))</f>
        <v>0</v>
      </c>
      <c r="U7" s="36">
        <f ca="1">IF($A7="","",IF(U$1="","",COUNTIFS(tbl_chests[from],$A7,tbl_chests[legalized],U$1,tbl_chests[datetime],"&gt;="&amp;TODAY()-WEEKDAY(TODAY(),2)+1,tbl_chests[datetime],"&lt;"&amp;TODAY()-WEEKDAY(TODAY(),2)+8)))</f>
        <v>0</v>
      </c>
      <c r="V7" s="36">
        <f ca="1">IF($A7="","",IF(V$1="","",COUNTIFS(tbl_chests[from],$A7,tbl_chests[legalized],V$1,tbl_chests[datetime],"&gt;="&amp;TODAY()-WEEKDAY(TODAY(),2)+1,tbl_chests[datetime],"&lt;"&amp;TODAY()-WEEKDAY(TODAY(),2)+8)))</f>
        <v>0</v>
      </c>
      <c r="W7" s="36">
        <f ca="1">IF($A7="","",IF(W$1="","",COUNTIFS(tbl_chests[from],$A7,tbl_chests[legalized],W$1,tbl_chests[datetime],"&gt;="&amp;TODAY()-WEEKDAY(TODAY(),2)+1,tbl_chests[datetime],"&lt;"&amp;TODAY()-WEEKDAY(TODAY(),2)+8)))</f>
        <v>0</v>
      </c>
      <c r="X7" s="36">
        <f ca="1">IF($A7="","",IF(X$1="","",COUNTIFS(tbl_chests[from],$A7,tbl_chests[legalized],X$1,tbl_chests[datetime],"&gt;="&amp;TODAY()-WEEKDAY(TODAY(),2)+1,tbl_chests[datetime],"&lt;"&amp;TODAY()-WEEKDAY(TODAY(),2)+8)))</f>
        <v>0</v>
      </c>
      <c r="Y7" s="36">
        <f ca="1">IF($A7="","",IF(Y$1="","",COUNTIFS(tbl_chests[from],$A7,tbl_chests[legalized],Y$1,tbl_chests[datetime],"&gt;="&amp;TODAY()-WEEKDAY(TODAY(),2)+1,tbl_chests[datetime],"&lt;"&amp;TODAY()-WEEKDAY(TODAY(),2)+8)))</f>
        <v>0</v>
      </c>
      <c r="Z7" s="36">
        <f ca="1">IF($A7="","",IF(Z$1="","",COUNTIFS(tbl_chests[from],$A7,tbl_chests[legalized],Z$1,tbl_chests[datetime],"&gt;="&amp;TODAY()-WEEKDAY(TODAY(),2)+1,tbl_chests[datetime],"&lt;"&amp;TODAY()-WEEKDAY(TODAY(),2)+8)))</f>
        <v>0</v>
      </c>
      <c r="AA7" s="36">
        <f ca="1">IF($A7="","",IF(AA$1="","",COUNTIFS(tbl_chests[from],$A7,tbl_chests[legalized],AA$1,tbl_chests[datetime],"&gt;="&amp;TODAY()-WEEKDAY(TODAY(),2)+1,tbl_chests[datetime],"&lt;"&amp;TODAY()-WEEKDAY(TODAY(),2)+8)))</f>
        <v>0</v>
      </c>
      <c r="AB7" s="36">
        <f ca="1">IF($A7="","",IF(AB$1="","",COUNTIFS(tbl_chests[from],$A7,tbl_chests[legalized],AB$1,tbl_chests[datetime],"&gt;="&amp;TODAY()-WEEKDAY(TODAY(),2)+1,tbl_chests[datetime],"&lt;"&amp;TODAY()-WEEKDAY(TODAY(),2)+8)))</f>
        <v>0</v>
      </c>
      <c r="AC7" s="36">
        <f ca="1">IF($A7="","",IF(AC$1="","",COUNTIFS(tbl_chests[from],$A7,tbl_chests[legalized],AC$1,tbl_chests[datetime],"&gt;="&amp;TODAY()-WEEKDAY(TODAY(),2)+1,tbl_chests[datetime],"&lt;"&amp;TODAY()-WEEKDAY(TODAY(),2)+8)))</f>
        <v>0</v>
      </c>
      <c r="AD7" s="36">
        <f ca="1">IF($A7="","",IF(AD$1="","",COUNTIFS(tbl_chests[from],$A7,tbl_chests[legalized],AD$1,tbl_chests[datetime],"&gt;="&amp;TODAY()-WEEKDAY(TODAY(),2)+1,tbl_chests[datetime],"&lt;"&amp;TODAY()-WEEKDAY(TODAY(),2)+8)))</f>
        <v>0</v>
      </c>
      <c r="AE7" s="36">
        <f ca="1">IF($A7="","",IF(AE$1="","",COUNTIFS(tbl_chests[from],$A7,tbl_chests[legalized],AE$1,tbl_chests[datetime],"&gt;="&amp;TODAY()-WEEKDAY(TODAY(),2)+1,tbl_chests[datetime],"&lt;"&amp;TODAY()-WEEKDAY(TODAY(),2)+8)))</f>
        <v>0</v>
      </c>
      <c r="AF7" s="36">
        <f ca="1">IF($A7="","",IF(AF$1="","",COUNTIFS(tbl_chests[from],$A7,tbl_chests[legalized],AF$1,tbl_chests[datetime],"&gt;="&amp;TODAY()-WEEKDAY(TODAY(),2)+1,tbl_chests[datetime],"&lt;"&amp;TODAY()-WEEKDAY(TODAY(),2)+8)))</f>
        <v>0</v>
      </c>
      <c r="AG7" s="36">
        <f ca="1">IF($A7="","",IF(AG$1="","",COUNTIFS(tbl_chests[from],$A7,tbl_chests[legalized],AG$1,tbl_chests[datetime],"&gt;="&amp;TODAY()-WEEKDAY(TODAY(),2)+1,tbl_chests[datetime],"&lt;"&amp;TODAY()-WEEKDAY(TODAY(),2)+8)))</f>
        <v>0</v>
      </c>
      <c r="AH7" s="36">
        <f ca="1">IF($A7="","",IF(AH$1="","",COUNTIFS(tbl_chests[from],$A7,tbl_chests[legalized],AH$1,tbl_chests[datetime],"&gt;="&amp;TODAY()-WEEKDAY(TODAY(),2)+1,tbl_chests[datetime],"&lt;"&amp;TODAY()-WEEKDAY(TODAY(),2)+8)))</f>
        <v>0</v>
      </c>
      <c r="AI7" s="36">
        <f ca="1">IF($A7="","",IF(AI$1="","",COUNTIFS(tbl_chests[from],$A7,tbl_chests[legalized],AI$1,tbl_chests[datetime],"&gt;="&amp;TODAY()-WEEKDAY(TODAY(),2)+1,tbl_chests[datetime],"&lt;"&amp;TODAY()-WEEKDAY(TODAY(),2)+8)))</f>
        <v>0</v>
      </c>
      <c r="AJ7" s="36">
        <f ca="1">IF($A7="","",IF(AJ$1="","",COUNTIFS(tbl_chests[from],$A7,tbl_chests[legalized],AJ$1,tbl_chests[datetime],"&gt;="&amp;TODAY()-WEEKDAY(TODAY(),2)+1,tbl_chests[datetime],"&lt;"&amp;TODAY()-WEEKDAY(TODAY(),2)+8)))</f>
        <v>0</v>
      </c>
      <c r="AK7" s="36">
        <f ca="1">IF($A7="","",IF(AK$1="","",COUNTIFS(tbl_chests[from],$A7,tbl_chests[legalized],AK$1,tbl_chests[datetime],"&gt;="&amp;TODAY()-WEEKDAY(TODAY(),2)+1,tbl_chests[datetime],"&lt;"&amp;TODAY()-WEEKDAY(TODAY(),2)+8)))</f>
        <v>0</v>
      </c>
      <c r="AL7" s="36">
        <f ca="1">IF($A7="","",IF(AL$1="","",COUNTIFS(tbl_chests[from],$A7,tbl_chests[legalized],AL$1,tbl_chests[datetime],"&gt;="&amp;TODAY()-WEEKDAY(TODAY(),2)+1,tbl_chests[datetime],"&lt;"&amp;TODAY()-WEEKDAY(TODAY(),2)+8)))</f>
        <v>0</v>
      </c>
      <c r="AM7" s="37">
        <f ca="1">IF($A7="","",IF(AM$1="","",COUNTIFS(tbl_chests[from],$A7,tbl_chests[legalized],AM$1,tbl_chests[datetime],"&gt;="&amp;TODAY()-WEEKDAY(TODAY(),2)+1,tbl_chests[datetime],"&lt;"&amp;TODAY()-WEEKDAY(TODAY(),2)+8)))</f>
        <v>0</v>
      </c>
      <c r="AN7" s="16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67" x14ac:dyDescent="0.25">
      <c r="A8" s="34" t="str">
        <f>chests_counter!$H5</f>
        <v>aladred</v>
      </c>
      <c r="B8" s="35" cm="1">
        <f t="array" aca="1" ref="B8" ca="1">IF(A8&lt;&gt;"", SUMPRODUCT(($C$2:$AM$2&lt;&gt;0)*(C8:AM8&lt;&gt;0)*($C$2:$AM$2)*(C8:AM8)), "")</f>
        <v>160</v>
      </c>
      <c r="C8" s="36">
        <f ca="1">IF($A8="","",IF(C$1="","",COUNTIFS(tbl_chests[from],$A8,tbl_chests[legalized],C$1,tbl_chests[datetime],"&gt;="&amp;TODAY()-WEEKDAY(TODAY(),2)+1,tbl_chests[datetime],"&lt;"&amp;TODAY()-WEEKDAY(TODAY(),2)+8)))</f>
        <v>1</v>
      </c>
      <c r="D8" s="36">
        <f ca="1">IF($A8="","",IF(D$1="","",COUNTIFS(tbl_chests[from],$A8,tbl_chests[legalized],D$1,tbl_chests[datetime],"&gt;="&amp;TODAY()-WEEKDAY(TODAY(),2)+1,tbl_chests[datetime],"&lt;"&amp;TODAY()-WEEKDAY(TODAY(),2)+8)))</f>
        <v>1</v>
      </c>
      <c r="E8" s="36">
        <f ca="1">IF($A8="","",IF(E$1="","",COUNTIFS(tbl_chests[from],$A8,tbl_chests[legalized],E$1,tbl_chests[datetime],"&gt;="&amp;TODAY()-WEEKDAY(TODAY(),2)+1,tbl_chests[datetime],"&lt;"&amp;TODAY()-WEEKDAY(TODAY(),2)+8)))</f>
        <v>0</v>
      </c>
      <c r="F8" s="36">
        <f ca="1">IF($A8="","",IF(F$1="","",COUNTIFS(tbl_chests[from],$A8,tbl_chests[legalized],F$1,tbl_chests[datetime],"&gt;="&amp;TODAY()-WEEKDAY(TODAY(),2)+1,tbl_chests[datetime],"&lt;"&amp;TODAY()-WEEKDAY(TODAY(),2)+8)))</f>
        <v>0</v>
      </c>
      <c r="G8" s="36">
        <f ca="1">IF($A8="","",IF(G$1="","",COUNTIFS(tbl_chests[from],$A8,tbl_chests[legalized],G$1,tbl_chests[datetime],"&gt;="&amp;TODAY()-WEEKDAY(TODAY(),2)+1,tbl_chests[datetime],"&lt;"&amp;TODAY()-WEEKDAY(TODAY(),2)+8)))</f>
        <v>0</v>
      </c>
      <c r="H8" s="36">
        <f ca="1">IF($A8="","",IF(H$1="","",COUNTIFS(tbl_chests[from],$A8,tbl_chests[legalized],H$1,tbl_chests[datetime],"&gt;="&amp;TODAY()-WEEKDAY(TODAY(),2)+1,tbl_chests[datetime],"&lt;"&amp;TODAY()-WEEKDAY(TODAY(),2)+8)))</f>
        <v>0</v>
      </c>
      <c r="I8" s="36">
        <f ca="1">IF($A8="","",IF(I$1="","",COUNTIFS(tbl_chests[from],$A8,tbl_chests[legalized],I$1,tbl_chests[datetime],"&gt;="&amp;TODAY()-WEEKDAY(TODAY(),2)+1,tbl_chests[datetime],"&lt;"&amp;TODAY()-WEEKDAY(TODAY(),2)+8)))</f>
        <v>0</v>
      </c>
      <c r="J8" s="36">
        <f ca="1">IF($A8="","",IF(J$1="","",COUNTIFS(tbl_chests[from],$A8,tbl_chests[legalized],J$1,tbl_chests[datetime],"&gt;="&amp;TODAY()-WEEKDAY(TODAY(),2)+1,tbl_chests[datetime],"&lt;"&amp;TODAY()-WEEKDAY(TODAY(),2)+8)))</f>
        <v>0</v>
      </c>
      <c r="K8" s="36">
        <f ca="1">IF($A8="","",IF(K$1="","",COUNTIFS(tbl_chests[from],$A8,tbl_chests[legalized],K$1,tbl_chests[datetime],"&gt;="&amp;TODAY()-WEEKDAY(TODAY(),2)+1,tbl_chests[datetime],"&lt;"&amp;TODAY()-WEEKDAY(TODAY(),2)+8)))</f>
        <v>0</v>
      </c>
      <c r="L8" s="36">
        <f ca="1">IF($A8="","",IF(L$1="","",COUNTIFS(tbl_chests[from],$A8,tbl_chests[legalized],L$1,tbl_chests[datetime],"&gt;="&amp;TODAY()-WEEKDAY(TODAY(),2)+1,tbl_chests[datetime],"&lt;"&amp;TODAY()-WEEKDAY(TODAY(),2)+8)))</f>
        <v>0</v>
      </c>
      <c r="M8" s="36">
        <f ca="1">IF($A8="","",IF(M$1="","",COUNTIFS(tbl_chests[from],$A8,tbl_chests[legalized],M$1,tbl_chests[datetime],"&gt;="&amp;TODAY()-WEEKDAY(TODAY(),2)+1,tbl_chests[datetime],"&lt;"&amp;TODAY()-WEEKDAY(TODAY(),2)+8)))</f>
        <v>0</v>
      </c>
      <c r="N8" s="36">
        <f ca="1">IF($A8="","",IF(N$1="","",COUNTIFS(tbl_chests[from],$A8,tbl_chests[legalized],N$1,tbl_chests[datetime],"&gt;="&amp;TODAY()-WEEKDAY(TODAY(),2)+1,tbl_chests[datetime],"&lt;"&amp;TODAY()-WEEKDAY(TODAY(),2)+8)))</f>
        <v>0</v>
      </c>
      <c r="O8" s="36">
        <f ca="1">IF($A8="","",IF(O$1="","",COUNTIFS(tbl_chests[from],$A8,tbl_chests[legalized],O$1,tbl_chests[datetime],"&gt;="&amp;TODAY()-WEEKDAY(TODAY(),2)+1,tbl_chests[datetime],"&lt;"&amp;TODAY()-WEEKDAY(TODAY(),2)+8)))</f>
        <v>0</v>
      </c>
      <c r="P8" s="36">
        <f ca="1">IF($A8="","",IF(P$1="","",COUNTIFS(tbl_chests[from],$A8,tbl_chests[legalized],P$1,tbl_chests[datetime],"&gt;="&amp;TODAY()-WEEKDAY(TODAY(),2)+1,tbl_chests[datetime],"&lt;"&amp;TODAY()-WEEKDAY(TODAY(),2)+8)))</f>
        <v>0</v>
      </c>
      <c r="Q8" s="36">
        <f ca="1">IF($A8="","",IF(Q$1="","",COUNTIFS(tbl_chests[from],$A8,tbl_chests[legalized],Q$1,tbl_chests[datetime],"&gt;="&amp;TODAY()-WEEKDAY(TODAY(),2)+1,tbl_chests[datetime],"&lt;"&amp;TODAY()-WEEKDAY(TODAY(),2)+8)))</f>
        <v>0</v>
      </c>
      <c r="R8" s="36">
        <f ca="1">IF($A8="","",IF(R$1="","",COUNTIFS(tbl_chests[from],$A8,tbl_chests[legalized],R$1,tbl_chests[datetime],"&gt;="&amp;TODAY()-WEEKDAY(TODAY(),2)+1,tbl_chests[datetime],"&lt;"&amp;TODAY()-WEEKDAY(TODAY(),2)+8)))</f>
        <v>1</v>
      </c>
      <c r="S8" s="36">
        <f ca="1">IF($A8="","",IF(S$1="","",COUNTIFS(tbl_chests[from],$A8,tbl_chests[legalized],S$1,tbl_chests[datetime],"&gt;="&amp;TODAY()-WEEKDAY(TODAY(),2)+1,tbl_chests[datetime],"&lt;"&amp;TODAY()-WEEKDAY(TODAY(),2)+8)))</f>
        <v>0</v>
      </c>
      <c r="T8" s="36">
        <f ca="1">IF($A8="","",IF(T$1="","",COUNTIFS(tbl_chests[from],$A8,tbl_chests[legalized],T$1,tbl_chests[datetime],"&gt;="&amp;TODAY()-WEEKDAY(TODAY(),2)+1,tbl_chests[datetime],"&lt;"&amp;TODAY()-WEEKDAY(TODAY(),2)+8)))</f>
        <v>0</v>
      </c>
      <c r="U8" s="36">
        <f ca="1">IF($A8="","",IF(U$1="","",COUNTIFS(tbl_chests[from],$A8,tbl_chests[legalized],U$1,tbl_chests[datetime],"&gt;="&amp;TODAY()-WEEKDAY(TODAY(),2)+1,tbl_chests[datetime],"&lt;"&amp;TODAY()-WEEKDAY(TODAY(),2)+8)))</f>
        <v>0</v>
      </c>
      <c r="V8" s="36">
        <f ca="1">IF($A8="","",IF(V$1="","",COUNTIFS(tbl_chests[from],$A8,tbl_chests[legalized],V$1,tbl_chests[datetime],"&gt;="&amp;TODAY()-WEEKDAY(TODAY(),2)+1,tbl_chests[datetime],"&lt;"&amp;TODAY()-WEEKDAY(TODAY(),2)+8)))</f>
        <v>0</v>
      </c>
      <c r="W8" s="36">
        <f ca="1">IF($A8="","",IF(W$1="","",COUNTIFS(tbl_chests[from],$A8,tbl_chests[legalized],W$1,tbl_chests[datetime],"&gt;="&amp;TODAY()-WEEKDAY(TODAY(),2)+1,tbl_chests[datetime],"&lt;"&amp;TODAY()-WEEKDAY(TODAY(),2)+8)))</f>
        <v>0</v>
      </c>
      <c r="X8" s="36">
        <f ca="1">IF($A8="","",IF(X$1="","",COUNTIFS(tbl_chests[from],$A8,tbl_chests[legalized],X$1,tbl_chests[datetime],"&gt;="&amp;TODAY()-WEEKDAY(TODAY(),2)+1,tbl_chests[datetime],"&lt;"&amp;TODAY()-WEEKDAY(TODAY(),2)+8)))</f>
        <v>0</v>
      </c>
      <c r="Y8" s="36">
        <f ca="1">IF($A8="","",IF(Y$1="","",COUNTIFS(tbl_chests[from],$A8,tbl_chests[legalized],Y$1,tbl_chests[datetime],"&gt;="&amp;TODAY()-WEEKDAY(TODAY(),2)+1,tbl_chests[datetime],"&lt;"&amp;TODAY()-WEEKDAY(TODAY(),2)+8)))</f>
        <v>0</v>
      </c>
      <c r="Z8" s="36">
        <f ca="1">IF($A8="","",IF(Z$1="","",COUNTIFS(tbl_chests[from],$A8,tbl_chests[legalized],Z$1,tbl_chests[datetime],"&gt;="&amp;TODAY()-WEEKDAY(TODAY(),2)+1,tbl_chests[datetime],"&lt;"&amp;TODAY()-WEEKDAY(TODAY(),2)+8)))</f>
        <v>0</v>
      </c>
      <c r="AA8" s="36">
        <f ca="1">IF($A8="","",IF(AA$1="","",COUNTIFS(tbl_chests[from],$A8,tbl_chests[legalized],AA$1,tbl_chests[datetime],"&gt;="&amp;TODAY()-WEEKDAY(TODAY(),2)+1,tbl_chests[datetime],"&lt;"&amp;TODAY()-WEEKDAY(TODAY(),2)+8)))</f>
        <v>3</v>
      </c>
      <c r="AB8" s="36">
        <f ca="1">IF($A8="","",IF(AB$1="","",COUNTIFS(tbl_chests[from],$A8,tbl_chests[legalized],AB$1,tbl_chests[datetime],"&gt;="&amp;TODAY()-WEEKDAY(TODAY(),2)+1,tbl_chests[datetime],"&lt;"&amp;TODAY()-WEEKDAY(TODAY(),2)+8)))</f>
        <v>0</v>
      </c>
      <c r="AC8" s="36">
        <f ca="1">IF($A8="","",IF(AC$1="","",COUNTIFS(tbl_chests[from],$A8,tbl_chests[legalized],AC$1,tbl_chests[datetime],"&gt;="&amp;TODAY()-WEEKDAY(TODAY(),2)+1,tbl_chests[datetime],"&lt;"&amp;TODAY()-WEEKDAY(TODAY(),2)+8)))</f>
        <v>0</v>
      </c>
      <c r="AD8" s="36">
        <f ca="1">IF($A8="","",IF(AD$1="","",COUNTIFS(tbl_chests[from],$A8,tbl_chests[legalized],AD$1,tbl_chests[datetime],"&gt;="&amp;TODAY()-WEEKDAY(TODAY(),2)+1,tbl_chests[datetime],"&lt;"&amp;TODAY()-WEEKDAY(TODAY(),2)+8)))</f>
        <v>0</v>
      </c>
      <c r="AE8" s="36">
        <f ca="1">IF($A8="","",IF(AE$1="","",COUNTIFS(tbl_chests[from],$A8,tbl_chests[legalized],AE$1,tbl_chests[datetime],"&gt;="&amp;TODAY()-WEEKDAY(TODAY(),2)+1,tbl_chests[datetime],"&lt;"&amp;TODAY()-WEEKDAY(TODAY(),2)+8)))</f>
        <v>0</v>
      </c>
      <c r="AF8" s="36">
        <f ca="1">IF($A8="","",IF(AF$1="","",COUNTIFS(tbl_chests[from],$A8,tbl_chests[legalized],AF$1,tbl_chests[datetime],"&gt;="&amp;TODAY()-WEEKDAY(TODAY(),2)+1,tbl_chests[datetime],"&lt;"&amp;TODAY()-WEEKDAY(TODAY(),2)+8)))</f>
        <v>0</v>
      </c>
      <c r="AG8" s="36">
        <f ca="1">IF($A8="","",IF(AG$1="","",COUNTIFS(tbl_chests[from],$A8,tbl_chests[legalized],AG$1,tbl_chests[datetime],"&gt;="&amp;TODAY()-WEEKDAY(TODAY(),2)+1,tbl_chests[datetime],"&lt;"&amp;TODAY()-WEEKDAY(TODAY(),2)+8)))</f>
        <v>0</v>
      </c>
      <c r="AH8" s="36">
        <f ca="1">IF($A8="","",IF(AH$1="","",COUNTIFS(tbl_chests[from],$A8,tbl_chests[legalized],AH$1,tbl_chests[datetime],"&gt;="&amp;TODAY()-WEEKDAY(TODAY(),2)+1,tbl_chests[datetime],"&lt;"&amp;TODAY()-WEEKDAY(TODAY(),2)+8)))</f>
        <v>0</v>
      </c>
      <c r="AI8" s="36">
        <f ca="1">IF($A8="","",IF(AI$1="","",COUNTIFS(tbl_chests[from],$A8,tbl_chests[legalized],AI$1,tbl_chests[datetime],"&gt;="&amp;TODAY()-WEEKDAY(TODAY(),2)+1,tbl_chests[datetime],"&lt;"&amp;TODAY()-WEEKDAY(TODAY(),2)+8)))</f>
        <v>0</v>
      </c>
      <c r="AJ8" s="36">
        <f ca="1">IF($A8="","",IF(AJ$1="","",COUNTIFS(tbl_chests[from],$A8,tbl_chests[legalized],AJ$1,tbl_chests[datetime],"&gt;="&amp;TODAY()-WEEKDAY(TODAY(),2)+1,tbl_chests[datetime],"&lt;"&amp;TODAY()-WEEKDAY(TODAY(),2)+8)))</f>
        <v>0</v>
      </c>
      <c r="AK8" s="36">
        <f ca="1">IF($A8="","",IF(AK$1="","",COUNTIFS(tbl_chests[from],$A8,tbl_chests[legalized],AK$1,tbl_chests[datetime],"&gt;="&amp;TODAY()-WEEKDAY(TODAY(),2)+1,tbl_chests[datetime],"&lt;"&amp;TODAY()-WEEKDAY(TODAY(),2)+8)))</f>
        <v>0</v>
      </c>
      <c r="AL8" s="36">
        <f ca="1">IF($A8="","",IF(AL$1="","",COUNTIFS(tbl_chests[from],$A8,tbl_chests[legalized],AL$1,tbl_chests[datetime],"&gt;="&amp;TODAY()-WEEKDAY(TODAY(),2)+1,tbl_chests[datetime],"&lt;"&amp;TODAY()-WEEKDAY(TODAY(),2)+8)))</f>
        <v>0</v>
      </c>
      <c r="AM8" s="37">
        <f ca="1">IF($A8="","",IF(AM$1="","",COUNTIFS(tbl_chests[from],$A8,tbl_chests[legalized],AM$1,tbl_chests[datetime],"&gt;="&amp;TODAY()-WEEKDAY(TODAY(),2)+1,tbl_chests[datetime],"&lt;"&amp;TODAY()-WEEKDAY(TODAY(),2)+8)))</f>
        <v>0</v>
      </c>
      <c r="AN8" s="16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67" x14ac:dyDescent="0.25">
      <c r="A9" s="34" t="str">
        <f>chests_counter!$H6</f>
        <v>Amr ibn al Aas</v>
      </c>
      <c r="B9" s="35" cm="1">
        <f t="array" aca="1" ref="B9" ca="1">IF(A9&lt;&gt;"", SUMPRODUCT(($C$2:$AM$2&lt;&gt;0)*(C9:AM9&lt;&gt;0)*($C$2:$AM$2)*(C9:AM9)), "")</f>
        <v>590</v>
      </c>
      <c r="C9" s="36">
        <f ca="1">IF($A9="","",IF(C$1="","",COUNTIFS(tbl_chests[from],$A9,tbl_chests[legalized],C$1,tbl_chests[datetime],"&gt;="&amp;TODAY()-WEEKDAY(TODAY(),2)+1,tbl_chests[datetime],"&lt;"&amp;TODAY()-WEEKDAY(TODAY(),2)+8)))</f>
        <v>2</v>
      </c>
      <c r="D9" s="36">
        <f ca="1">IF($A9="","",IF(D$1="","",COUNTIFS(tbl_chests[from],$A9,tbl_chests[legalized],D$1,tbl_chests[datetime],"&gt;="&amp;TODAY()-WEEKDAY(TODAY(),2)+1,tbl_chests[datetime],"&lt;"&amp;TODAY()-WEEKDAY(TODAY(),2)+8)))</f>
        <v>14</v>
      </c>
      <c r="E9" s="36">
        <f ca="1">IF($A9="","",IF(E$1="","",COUNTIFS(tbl_chests[from],$A9,tbl_chests[legalized],E$1,tbl_chests[datetime],"&gt;="&amp;TODAY()-WEEKDAY(TODAY(),2)+1,tbl_chests[datetime],"&lt;"&amp;TODAY()-WEEKDAY(TODAY(),2)+8)))</f>
        <v>6</v>
      </c>
      <c r="F9" s="36">
        <f ca="1">IF($A9="","",IF(F$1="","",COUNTIFS(tbl_chests[from],$A9,tbl_chests[legalized],F$1,tbl_chests[datetime],"&gt;="&amp;TODAY()-WEEKDAY(TODAY(),2)+1,tbl_chests[datetime],"&lt;"&amp;TODAY()-WEEKDAY(TODAY(),2)+8)))</f>
        <v>0</v>
      </c>
      <c r="G9" s="36">
        <f ca="1">IF($A9="","",IF(G$1="","",COUNTIFS(tbl_chests[from],$A9,tbl_chests[legalized],G$1,tbl_chests[datetime],"&gt;="&amp;TODAY()-WEEKDAY(TODAY(),2)+1,tbl_chests[datetime],"&lt;"&amp;TODAY()-WEEKDAY(TODAY(),2)+8)))</f>
        <v>0</v>
      </c>
      <c r="H9" s="36">
        <f ca="1">IF($A9="","",IF(H$1="","",COUNTIFS(tbl_chests[from],$A9,tbl_chests[legalized],H$1,tbl_chests[datetime],"&gt;="&amp;TODAY()-WEEKDAY(TODAY(),2)+1,tbl_chests[datetime],"&lt;"&amp;TODAY()-WEEKDAY(TODAY(),2)+8)))</f>
        <v>4</v>
      </c>
      <c r="I9" s="36">
        <f ca="1">IF($A9="","",IF(I$1="","",COUNTIFS(tbl_chests[from],$A9,tbl_chests[legalized],I$1,tbl_chests[datetime],"&gt;="&amp;TODAY()-WEEKDAY(TODAY(),2)+1,tbl_chests[datetime],"&lt;"&amp;TODAY()-WEEKDAY(TODAY(),2)+8)))</f>
        <v>0</v>
      </c>
      <c r="J9" s="36">
        <f ca="1">IF($A9="","",IF(J$1="","",COUNTIFS(tbl_chests[from],$A9,tbl_chests[legalized],J$1,tbl_chests[datetime],"&gt;="&amp;TODAY()-WEEKDAY(TODAY(),2)+1,tbl_chests[datetime],"&lt;"&amp;TODAY()-WEEKDAY(TODAY(),2)+8)))</f>
        <v>0</v>
      </c>
      <c r="K9" s="36">
        <f ca="1">IF($A9="","",IF(K$1="","",COUNTIFS(tbl_chests[from],$A9,tbl_chests[legalized],K$1,tbl_chests[datetime],"&gt;="&amp;TODAY()-WEEKDAY(TODAY(),2)+1,tbl_chests[datetime],"&lt;"&amp;TODAY()-WEEKDAY(TODAY(),2)+8)))</f>
        <v>0</v>
      </c>
      <c r="L9" s="36">
        <f ca="1">IF($A9="","",IF(L$1="","",COUNTIFS(tbl_chests[from],$A9,tbl_chests[legalized],L$1,tbl_chests[datetime],"&gt;="&amp;TODAY()-WEEKDAY(TODAY(),2)+1,tbl_chests[datetime],"&lt;"&amp;TODAY()-WEEKDAY(TODAY(),2)+8)))</f>
        <v>0</v>
      </c>
      <c r="M9" s="36">
        <f ca="1">IF($A9="","",IF(M$1="","",COUNTIFS(tbl_chests[from],$A9,tbl_chests[legalized],M$1,tbl_chests[datetime],"&gt;="&amp;TODAY()-WEEKDAY(TODAY(),2)+1,tbl_chests[datetime],"&lt;"&amp;TODAY()-WEEKDAY(TODAY(),2)+8)))</f>
        <v>2</v>
      </c>
      <c r="N9" s="36">
        <f ca="1">IF($A9="","",IF(N$1="","",COUNTIFS(tbl_chests[from],$A9,tbl_chests[legalized],N$1,tbl_chests[datetime],"&gt;="&amp;TODAY()-WEEKDAY(TODAY(),2)+1,tbl_chests[datetime],"&lt;"&amp;TODAY()-WEEKDAY(TODAY(),2)+8)))</f>
        <v>0</v>
      </c>
      <c r="O9" s="36">
        <f ca="1">IF($A9="","",IF(O$1="","",COUNTIFS(tbl_chests[from],$A9,tbl_chests[legalized],O$1,tbl_chests[datetime],"&gt;="&amp;TODAY()-WEEKDAY(TODAY(),2)+1,tbl_chests[datetime],"&lt;"&amp;TODAY()-WEEKDAY(TODAY(),2)+8)))</f>
        <v>0</v>
      </c>
      <c r="P9" s="36">
        <f ca="1">IF($A9="","",IF(P$1="","",COUNTIFS(tbl_chests[from],$A9,tbl_chests[legalized],P$1,tbl_chests[datetime],"&gt;="&amp;TODAY()-WEEKDAY(TODAY(),2)+1,tbl_chests[datetime],"&lt;"&amp;TODAY()-WEEKDAY(TODAY(),2)+8)))</f>
        <v>0</v>
      </c>
      <c r="Q9" s="36">
        <f ca="1">IF($A9="","",IF(Q$1="","",COUNTIFS(tbl_chests[from],$A9,tbl_chests[legalized],Q$1,tbl_chests[datetime],"&gt;="&amp;TODAY()-WEEKDAY(TODAY(),2)+1,tbl_chests[datetime],"&lt;"&amp;TODAY()-WEEKDAY(TODAY(),2)+8)))</f>
        <v>0</v>
      </c>
      <c r="R9" s="36">
        <f ca="1">IF($A9="","",IF(R$1="","",COUNTIFS(tbl_chests[from],$A9,tbl_chests[legalized],R$1,tbl_chests[datetime],"&gt;="&amp;TODAY()-WEEKDAY(TODAY(),2)+1,tbl_chests[datetime],"&lt;"&amp;TODAY()-WEEKDAY(TODAY(),2)+8)))</f>
        <v>0</v>
      </c>
      <c r="S9" s="36">
        <f ca="1">IF($A9="","",IF(S$1="","",COUNTIFS(tbl_chests[from],$A9,tbl_chests[legalized],S$1,tbl_chests[datetime],"&gt;="&amp;TODAY()-WEEKDAY(TODAY(),2)+1,tbl_chests[datetime],"&lt;"&amp;TODAY()-WEEKDAY(TODAY(),2)+8)))</f>
        <v>0</v>
      </c>
      <c r="T9" s="36">
        <f ca="1">IF($A9="","",IF(T$1="","",COUNTIFS(tbl_chests[from],$A9,tbl_chests[legalized],T$1,tbl_chests[datetime],"&gt;="&amp;TODAY()-WEEKDAY(TODAY(),2)+1,tbl_chests[datetime],"&lt;"&amp;TODAY()-WEEKDAY(TODAY(),2)+8)))</f>
        <v>0</v>
      </c>
      <c r="U9" s="36">
        <f ca="1">IF($A9="","",IF(U$1="","",COUNTIFS(tbl_chests[from],$A9,tbl_chests[legalized],U$1,tbl_chests[datetime],"&gt;="&amp;TODAY()-WEEKDAY(TODAY(),2)+1,tbl_chests[datetime],"&lt;"&amp;TODAY()-WEEKDAY(TODAY(),2)+8)))</f>
        <v>0</v>
      </c>
      <c r="V9" s="36">
        <f ca="1">IF($A9="","",IF(V$1="","",COUNTIFS(tbl_chests[from],$A9,tbl_chests[legalized],V$1,tbl_chests[datetime],"&gt;="&amp;TODAY()-WEEKDAY(TODAY(),2)+1,tbl_chests[datetime],"&lt;"&amp;TODAY()-WEEKDAY(TODAY(),2)+8)))</f>
        <v>0</v>
      </c>
      <c r="W9" s="36">
        <f ca="1">IF($A9="","",IF(W$1="","",COUNTIFS(tbl_chests[from],$A9,tbl_chests[legalized],W$1,tbl_chests[datetime],"&gt;="&amp;TODAY()-WEEKDAY(TODAY(),2)+1,tbl_chests[datetime],"&lt;"&amp;TODAY()-WEEKDAY(TODAY(),2)+8)))</f>
        <v>0</v>
      </c>
      <c r="X9" s="36">
        <f ca="1">IF($A9="","",IF(X$1="","",COUNTIFS(tbl_chests[from],$A9,tbl_chests[legalized],X$1,tbl_chests[datetime],"&gt;="&amp;TODAY()-WEEKDAY(TODAY(),2)+1,tbl_chests[datetime],"&lt;"&amp;TODAY()-WEEKDAY(TODAY(),2)+8)))</f>
        <v>0</v>
      </c>
      <c r="Y9" s="36">
        <f ca="1">IF($A9="","",IF(Y$1="","",COUNTIFS(tbl_chests[from],$A9,tbl_chests[legalized],Y$1,tbl_chests[datetime],"&gt;="&amp;TODAY()-WEEKDAY(TODAY(),2)+1,tbl_chests[datetime],"&lt;"&amp;TODAY()-WEEKDAY(TODAY(),2)+8)))</f>
        <v>0</v>
      </c>
      <c r="Z9" s="36">
        <f ca="1">IF($A9="","",IF(Z$1="","",COUNTIFS(tbl_chests[from],$A9,tbl_chests[legalized],Z$1,tbl_chests[datetime],"&gt;="&amp;TODAY()-WEEKDAY(TODAY(),2)+1,tbl_chests[datetime],"&lt;"&amp;TODAY()-WEEKDAY(TODAY(),2)+8)))</f>
        <v>0</v>
      </c>
      <c r="AA9" s="36">
        <f ca="1">IF($A9="","",IF(AA$1="","",COUNTIFS(tbl_chests[from],$A9,tbl_chests[legalized],AA$1,tbl_chests[datetime],"&gt;="&amp;TODAY()-WEEKDAY(TODAY(),2)+1,tbl_chests[datetime],"&lt;"&amp;TODAY()-WEEKDAY(TODAY(),2)+8)))</f>
        <v>0</v>
      </c>
      <c r="AB9" s="36">
        <f ca="1">IF($A9="","",IF(AB$1="","",COUNTIFS(tbl_chests[from],$A9,tbl_chests[legalized],AB$1,tbl_chests[datetime],"&gt;="&amp;TODAY()-WEEKDAY(TODAY(),2)+1,tbl_chests[datetime],"&lt;"&amp;TODAY()-WEEKDAY(TODAY(),2)+8)))</f>
        <v>0</v>
      </c>
      <c r="AC9" s="36">
        <f ca="1">IF($A9="","",IF(AC$1="","",COUNTIFS(tbl_chests[from],$A9,tbl_chests[legalized],AC$1,tbl_chests[datetime],"&gt;="&amp;TODAY()-WEEKDAY(TODAY(),2)+1,tbl_chests[datetime],"&lt;"&amp;TODAY()-WEEKDAY(TODAY(),2)+8)))</f>
        <v>0</v>
      </c>
      <c r="AD9" s="36">
        <f ca="1">IF($A9="","",IF(AD$1="","",COUNTIFS(tbl_chests[from],$A9,tbl_chests[legalized],AD$1,tbl_chests[datetime],"&gt;="&amp;TODAY()-WEEKDAY(TODAY(),2)+1,tbl_chests[datetime],"&lt;"&amp;TODAY()-WEEKDAY(TODAY(),2)+8)))</f>
        <v>0</v>
      </c>
      <c r="AE9" s="36">
        <f ca="1">IF($A9="","",IF(AE$1="","",COUNTIFS(tbl_chests[from],$A9,tbl_chests[legalized],AE$1,tbl_chests[datetime],"&gt;="&amp;TODAY()-WEEKDAY(TODAY(),2)+1,tbl_chests[datetime],"&lt;"&amp;TODAY()-WEEKDAY(TODAY(),2)+8)))</f>
        <v>2</v>
      </c>
      <c r="AF9" s="36">
        <f ca="1">IF($A9="","",IF(AF$1="","",COUNTIFS(tbl_chests[from],$A9,tbl_chests[legalized],AF$1,tbl_chests[datetime],"&gt;="&amp;TODAY()-WEEKDAY(TODAY(),2)+1,tbl_chests[datetime],"&lt;"&amp;TODAY()-WEEKDAY(TODAY(),2)+8)))</f>
        <v>0</v>
      </c>
      <c r="AG9" s="36">
        <f ca="1">IF($A9="","",IF(AG$1="","",COUNTIFS(tbl_chests[from],$A9,tbl_chests[legalized],AG$1,tbl_chests[datetime],"&gt;="&amp;TODAY()-WEEKDAY(TODAY(),2)+1,tbl_chests[datetime],"&lt;"&amp;TODAY()-WEEKDAY(TODAY(),2)+8)))</f>
        <v>0</v>
      </c>
      <c r="AH9" s="36">
        <f ca="1">IF($A9="","",IF(AH$1="","",COUNTIFS(tbl_chests[from],$A9,tbl_chests[legalized],AH$1,tbl_chests[datetime],"&gt;="&amp;TODAY()-WEEKDAY(TODAY(),2)+1,tbl_chests[datetime],"&lt;"&amp;TODAY()-WEEKDAY(TODAY(),2)+8)))</f>
        <v>0</v>
      </c>
      <c r="AI9" s="36">
        <f ca="1">IF($A9="","",IF(AI$1="","",COUNTIFS(tbl_chests[from],$A9,tbl_chests[legalized],AI$1,tbl_chests[datetime],"&gt;="&amp;TODAY()-WEEKDAY(TODAY(),2)+1,tbl_chests[datetime],"&lt;"&amp;TODAY()-WEEKDAY(TODAY(),2)+8)))</f>
        <v>0</v>
      </c>
      <c r="AJ9" s="36">
        <f ca="1">IF($A9="","",IF(AJ$1="","",COUNTIFS(tbl_chests[from],$A9,tbl_chests[legalized],AJ$1,tbl_chests[datetime],"&gt;="&amp;TODAY()-WEEKDAY(TODAY(),2)+1,tbl_chests[datetime],"&lt;"&amp;TODAY()-WEEKDAY(TODAY(),2)+8)))</f>
        <v>0</v>
      </c>
      <c r="AK9" s="36">
        <f ca="1">IF($A9="","",IF(AK$1="","",COUNTIFS(tbl_chests[from],$A9,tbl_chests[legalized],AK$1,tbl_chests[datetime],"&gt;="&amp;TODAY()-WEEKDAY(TODAY(),2)+1,tbl_chests[datetime],"&lt;"&amp;TODAY()-WEEKDAY(TODAY(),2)+8)))</f>
        <v>0</v>
      </c>
      <c r="AL9" s="36">
        <f ca="1">IF($A9="","",IF(AL$1="","",COUNTIFS(tbl_chests[from],$A9,tbl_chests[legalized],AL$1,tbl_chests[datetime],"&gt;="&amp;TODAY()-WEEKDAY(TODAY(),2)+1,tbl_chests[datetime],"&lt;"&amp;TODAY()-WEEKDAY(TODAY(),2)+8)))</f>
        <v>0</v>
      </c>
      <c r="AM9" s="37">
        <f ca="1">IF($A9="","",IF(AM$1="","",COUNTIFS(tbl_chests[from],$A9,tbl_chests[legalized],AM$1,tbl_chests[datetime],"&gt;="&amp;TODAY()-WEEKDAY(TODAY(),2)+1,tbl_chests[datetime],"&lt;"&amp;TODAY()-WEEKDAY(TODAY(),2)+8)))</f>
        <v>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67" x14ac:dyDescent="0.25">
      <c r="A10" s="34" t="str">
        <f>chests_counter!$H7</f>
        <v>Angel</v>
      </c>
      <c r="B10" s="35" cm="1">
        <f t="array" aca="1" ref="B10" ca="1">IF(A10&lt;&gt;"", SUMPRODUCT(($C$2:$AM$2&lt;&gt;0)*(C10:AM10&lt;&gt;0)*($C$2:$AM$2)*(C10:AM10)), "")</f>
        <v>755</v>
      </c>
      <c r="C10" s="36">
        <f ca="1">IF($A10="","",IF(C$1="","",COUNTIFS(tbl_chests[from],$A10,tbl_chests[legalized],C$1,tbl_chests[datetime],"&gt;="&amp;TODAY()-WEEKDAY(TODAY(),2)+1,tbl_chests[datetime],"&lt;"&amp;TODAY()-WEEKDAY(TODAY(),2)+8)))</f>
        <v>0</v>
      </c>
      <c r="D10" s="36">
        <f ca="1">IF($A10="","",IF(D$1="","",COUNTIFS(tbl_chests[from],$A10,tbl_chests[legalized],D$1,tbl_chests[datetime],"&gt;="&amp;TODAY()-WEEKDAY(TODAY(),2)+1,tbl_chests[datetime],"&lt;"&amp;TODAY()-WEEKDAY(TODAY(),2)+8)))</f>
        <v>1</v>
      </c>
      <c r="E10" s="36">
        <f ca="1">IF($A10="","",IF(E$1="","",COUNTIFS(tbl_chests[from],$A10,tbl_chests[legalized],E$1,tbl_chests[datetime],"&gt;="&amp;TODAY()-WEEKDAY(TODAY(),2)+1,tbl_chests[datetime],"&lt;"&amp;TODAY()-WEEKDAY(TODAY(),2)+8)))</f>
        <v>7</v>
      </c>
      <c r="F10" s="36">
        <f ca="1">IF($A10="","",IF(F$1="","",COUNTIFS(tbl_chests[from],$A10,tbl_chests[legalized],F$1,tbl_chests[datetime],"&gt;="&amp;TODAY()-WEEKDAY(TODAY(),2)+1,tbl_chests[datetime],"&lt;"&amp;TODAY()-WEEKDAY(TODAY(),2)+8)))</f>
        <v>0</v>
      </c>
      <c r="G10" s="36">
        <f ca="1">IF($A10="","",IF(G$1="","",COUNTIFS(tbl_chests[from],$A10,tbl_chests[legalized],G$1,tbl_chests[datetime],"&gt;="&amp;TODAY()-WEEKDAY(TODAY(),2)+1,tbl_chests[datetime],"&lt;"&amp;TODAY()-WEEKDAY(TODAY(),2)+8)))</f>
        <v>0</v>
      </c>
      <c r="H10" s="36">
        <f ca="1">IF($A10="","",IF(H$1="","",COUNTIFS(tbl_chests[from],$A10,tbl_chests[legalized],H$1,tbl_chests[datetime],"&gt;="&amp;TODAY()-WEEKDAY(TODAY(),2)+1,tbl_chests[datetime],"&lt;"&amp;TODAY()-WEEKDAY(TODAY(),2)+8)))</f>
        <v>0</v>
      </c>
      <c r="I10" s="36">
        <f ca="1">IF($A10="","",IF(I$1="","",COUNTIFS(tbl_chests[from],$A10,tbl_chests[legalized],I$1,tbl_chests[datetime],"&gt;="&amp;TODAY()-WEEKDAY(TODAY(),2)+1,tbl_chests[datetime],"&lt;"&amp;TODAY()-WEEKDAY(TODAY(),2)+8)))</f>
        <v>0</v>
      </c>
      <c r="J10" s="36">
        <f ca="1">IF($A10="","",IF(J$1="","",COUNTIFS(tbl_chests[from],$A10,tbl_chests[legalized],J$1,tbl_chests[datetime],"&gt;="&amp;TODAY()-WEEKDAY(TODAY(),2)+1,tbl_chests[datetime],"&lt;"&amp;TODAY()-WEEKDAY(TODAY(),2)+8)))</f>
        <v>0</v>
      </c>
      <c r="K10" s="36">
        <f ca="1">IF($A10="","",IF(K$1="","",COUNTIFS(tbl_chests[from],$A10,tbl_chests[legalized],K$1,tbl_chests[datetime],"&gt;="&amp;TODAY()-WEEKDAY(TODAY(),2)+1,tbl_chests[datetime],"&lt;"&amp;TODAY()-WEEKDAY(TODAY(),2)+8)))</f>
        <v>0</v>
      </c>
      <c r="L10" s="36">
        <f ca="1">IF($A10="","",IF(L$1="","",COUNTIFS(tbl_chests[from],$A10,tbl_chests[legalized],L$1,tbl_chests[datetime],"&gt;="&amp;TODAY()-WEEKDAY(TODAY(),2)+1,tbl_chests[datetime],"&lt;"&amp;TODAY()-WEEKDAY(TODAY(),2)+8)))</f>
        <v>0</v>
      </c>
      <c r="M10" s="36">
        <f ca="1">IF($A10="","",IF(M$1="","",COUNTIFS(tbl_chests[from],$A10,tbl_chests[legalized],M$1,tbl_chests[datetime],"&gt;="&amp;TODAY()-WEEKDAY(TODAY(),2)+1,tbl_chests[datetime],"&lt;"&amp;TODAY()-WEEKDAY(TODAY(),2)+8)))</f>
        <v>1</v>
      </c>
      <c r="N10" s="36">
        <f ca="1">IF($A10="","",IF(N$1="","",COUNTIFS(tbl_chests[from],$A10,tbl_chests[legalized],N$1,tbl_chests[datetime],"&gt;="&amp;TODAY()-WEEKDAY(TODAY(),2)+1,tbl_chests[datetime],"&lt;"&amp;TODAY()-WEEKDAY(TODAY(),2)+8)))</f>
        <v>0</v>
      </c>
      <c r="O10" s="36">
        <f ca="1">IF($A10="","",IF(O$1="","",COUNTIFS(tbl_chests[from],$A10,tbl_chests[legalized],O$1,tbl_chests[datetime],"&gt;="&amp;TODAY()-WEEKDAY(TODAY(),2)+1,tbl_chests[datetime],"&lt;"&amp;TODAY()-WEEKDAY(TODAY(),2)+8)))</f>
        <v>0</v>
      </c>
      <c r="P10" s="36">
        <f ca="1">IF($A10="","",IF(P$1="","",COUNTIFS(tbl_chests[from],$A10,tbl_chests[legalized],P$1,tbl_chests[datetime],"&gt;="&amp;TODAY()-WEEKDAY(TODAY(),2)+1,tbl_chests[datetime],"&lt;"&amp;TODAY()-WEEKDAY(TODAY(),2)+8)))</f>
        <v>0</v>
      </c>
      <c r="Q10" s="36">
        <f ca="1">IF($A10="","",IF(Q$1="","",COUNTIFS(tbl_chests[from],$A10,tbl_chests[legalized],Q$1,tbl_chests[datetime],"&gt;="&amp;TODAY()-WEEKDAY(TODAY(),2)+1,tbl_chests[datetime],"&lt;"&amp;TODAY()-WEEKDAY(TODAY(),2)+8)))</f>
        <v>0</v>
      </c>
      <c r="R10" s="36">
        <f ca="1">IF($A10="","",IF(R$1="","",COUNTIFS(tbl_chests[from],$A10,tbl_chests[legalized],R$1,tbl_chests[datetime],"&gt;="&amp;TODAY()-WEEKDAY(TODAY(),2)+1,tbl_chests[datetime],"&lt;"&amp;TODAY()-WEEKDAY(TODAY(),2)+8)))</f>
        <v>1</v>
      </c>
      <c r="S10" s="36">
        <f ca="1">IF($A10="","",IF(S$1="","",COUNTIFS(tbl_chests[from],$A10,tbl_chests[legalized],S$1,tbl_chests[datetime],"&gt;="&amp;TODAY()-WEEKDAY(TODAY(),2)+1,tbl_chests[datetime],"&lt;"&amp;TODAY()-WEEKDAY(TODAY(),2)+8)))</f>
        <v>0</v>
      </c>
      <c r="T10" s="36">
        <f ca="1">IF($A10="","",IF(T$1="","",COUNTIFS(tbl_chests[from],$A10,tbl_chests[legalized],T$1,tbl_chests[datetime],"&gt;="&amp;TODAY()-WEEKDAY(TODAY(),2)+1,tbl_chests[datetime],"&lt;"&amp;TODAY()-WEEKDAY(TODAY(),2)+8)))</f>
        <v>0</v>
      </c>
      <c r="U10" s="36">
        <f ca="1">IF($A10="","",IF(U$1="","",COUNTIFS(tbl_chests[from],$A10,tbl_chests[legalized],U$1,tbl_chests[datetime],"&gt;="&amp;TODAY()-WEEKDAY(TODAY(),2)+1,tbl_chests[datetime],"&lt;"&amp;TODAY()-WEEKDAY(TODAY(),2)+8)))</f>
        <v>0</v>
      </c>
      <c r="V10" s="36">
        <f ca="1">IF($A10="","",IF(V$1="","",COUNTIFS(tbl_chests[from],$A10,tbl_chests[legalized],V$1,tbl_chests[datetime],"&gt;="&amp;TODAY()-WEEKDAY(TODAY(),2)+1,tbl_chests[datetime],"&lt;"&amp;TODAY()-WEEKDAY(TODAY(),2)+8)))</f>
        <v>0</v>
      </c>
      <c r="W10" s="36">
        <f ca="1">IF($A10="","",IF(W$1="","",COUNTIFS(tbl_chests[from],$A10,tbl_chests[legalized],W$1,tbl_chests[datetime],"&gt;="&amp;TODAY()-WEEKDAY(TODAY(),2)+1,tbl_chests[datetime],"&lt;"&amp;TODAY()-WEEKDAY(TODAY(),2)+8)))</f>
        <v>0</v>
      </c>
      <c r="X10" s="36">
        <f ca="1">IF($A10="","",IF(X$1="","",COUNTIFS(tbl_chests[from],$A10,tbl_chests[legalized],X$1,tbl_chests[datetime],"&gt;="&amp;TODAY()-WEEKDAY(TODAY(),2)+1,tbl_chests[datetime],"&lt;"&amp;TODAY()-WEEKDAY(TODAY(),2)+8)))</f>
        <v>0</v>
      </c>
      <c r="Y10" s="36">
        <f ca="1">IF($A10="","",IF(Y$1="","",COUNTIFS(tbl_chests[from],$A10,tbl_chests[legalized],Y$1,tbl_chests[datetime],"&gt;="&amp;TODAY()-WEEKDAY(TODAY(),2)+1,tbl_chests[datetime],"&lt;"&amp;TODAY()-WEEKDAY(TODAY(),2)+8)))</f>
        <v>0</v>
      </c>
      <c r="Z10" s="36">
        <f ca="1">IF($A10="","",IF(Z$1="","",COUNTIFS(tbl_chests[from],$A10,tbl_chests[legalized],Z$1,tbl_chests[datetime],"&gt;="&amp;TODAY()-WEEKDAY(TODAY(),2)+1,tbl_chests[datetime],"&lt;"&amp;TODAY()-WEEKDAY(TODAY(),2)+8)))</f>
        <v>0</v>
      </c>
      <c r="AA10" s="36">
        <f ca="1">IF($A10="","",IF(AA$1="","",COUNTIFS(tbl_chests[from],$A10,tbl_chests[legalized],AA$1,tbl_chests[datetime],"&gt;="&amp;TODAY()-WEEKDAY(TODAY(),2)+1,tbl_chests[datetime],"&lt;"&amp;TODAY()-WEEKDAY(TODAY(),2)+8)))</f>
        <v>12</v>
      </c>
      <c r="AB10" s="36">
        <f ca="1">IF($A10="","",IF(AB$1="","",COUNTIFS(tbl_chests[from],$A10,tbl_chests[legalized],AB$1,tbl_chests[datetime],"&gt;="&amp;TODAY()-WEEKDAY(TODAY(),2)+1,tbl_chests[datetime],"&lt;"&amp;TODAY()-WEEKDAY(TODAY(),2)+8)))</f>
        <v>0</v>
      </c>
      <c r="AC10" s="36">
        <f ca="1">IF($A10="","",IF(AC$1="","",COUNTIFS(tbl_chests[from],$A10,tbl_chests[legalized],AC$1,tbl_chests[datetime],"&gt;="&amp;TODAY()-WEEKDAY(TODAY(),2)+1,tbl_chests[datetime],"&lt;"&amp;TODAY()-WEEKDAY(TODAY(),2)+8)))</f>
        <v>0</v>
      </c>
      <c r="AD10" s="36">
        <f ca="1">IF($A10="","",IF(AD$1="","",COUNTIFS(tbl_chests[from],$A10,tbl_chests[legalized],AD$1,tbl_chests[datetime],"&gt;="&amp;TODAY()-WEEKDAY(TODAY(),2)+1,tbl_chests[datetime],"&lt;"&amp;TODAY()-WEEKDAY(TODAY(),2)+8)))</f>
        <v>0</v>
      </c>
      <c r="AE10" s="36">
        <f ca="1">IF($A10="","",IF(AE$1="","",COUNTIFS(tbl_chests[from],$A10,tbl_chests[legalized],AE$1,tbl_chests[datetime],"&gt;="&amp;TODAY()-WEEKDAY(TODAY(),2)+1,tbl_chests[datetime],"&lt;"&amp;TODAY()-WEEKDAY(TODAY(),2)+8)))</f>
        <v>1</v>
      </c>
      <c r="AF10" s="36">
        <f ca="1">IF($A10="","",IF(AF$1="","",COUNTIFS(tbl_chests[from],$A10,tbl_chests[legalized],AF$1,tbl_chests[datetime],"&gt;="&amp;TODAY()-WEEKDAY(TODAY(),2)+1,tbl_chests[datetime],"&lt;"&amp;TODAY()-WEEKDAY(TODAY(),2)+8)))</f>
        <v>0</v>
      </c>
      <c r="AG10" s="36">
        <f ca="1">IF($A10="","",IF(AG$1="","",COUNTIFS(tbl_chests[from],$A10,tbl_chests[legalized],AG$1,tbl_chests[datetime],"&gt;="&amp;TODAY()-WEEKDAY(TODAY(),2)+1,tbl_chests[datetime],"&lt;"&amp;TODAY()-WEEKDAY(TODAY(),2)+8)))</f>
        <v>0</v>
      </c>
      <c r="AH10" s="36">
        <f ca="1">IF($A10="","",IF(AH$1="","",COUNTIFS(tbl_chests[from],$A10,tbl_chests[legalized],AH$1,tbl_chests[datetime],"&gt;="&amp;TODAY()-WEEKDAY(TODAY(),2)+1,tbl_chests[datetime],"&lt;"&amp;TODAY()-WEEKDAY(TODAY(),2)+8)))</f>
        <v>0</v>
      </c>
      <c r="AI10" s="36">
        <f ca="1">IF($A10="","",IF(AI$1="","",COUNTIFS(tbl_chests[from],$A10,tbl_chests[legalized],AI$1,tbl_chests[datetime],"&gt;="&amp;TODAY()-WEEKDAY(TODAY(),2)+1,tbl_chests[datetime],"&lt;"&amp;TODAY()-WEEKDAY(TODAY(),2)+8)))</f>
        <v>0</v>
      </c>
      <c r="AJ10" s="36">
        <f ca="1">IF($A10="","",IF(AJ$1="","",COUNTIFS(tbl_chests[from],$A10,tbl_chests[legalized],AJ$1,tbl_chests[datetime],"&gt;="&amp;TODAY()-WEEKDAY(TODAY(),2)+1,tbl_chests[datetime],"&lt;"&amp;TODAY()-WEEKDAY(TODAY(),2)+8)))</f>
        <v>0</v>
      </c>
      <c r="AK10" s="36">
        <f ca="1">IF($A10="","",IF(AK$1="","",COUNTIFS(tbl_chests[from],$A10,tbl_chests[legalized],AK$1,tbl_chests[datetime],"&gt;="&amp;TODAY()-WEEKDAY(TODAY(),2)+1,tbl_chests[datetime],"&lt;"&amp;TODAY()-WEEKDAY(TODAY(),2)+8)))</f>
        <v>0</v>
      </c>
      <c r="AL10" s="36">
        <f ca="1">IF($A10="","",IF(AL$1="","",COUNTIFS(tbl_chests[from],$A10,tbl_chests[legalized],AL$1,tbl_chests[datetime],"&gt;="&amp;TODAY()-WEEKDAY(TODAY(),2)+1,tbl_chests[datetime],"&lt;"&amp;TODAY()-WEEKDAY(TODAY(),2)+8)))</f>
        <v>0</v>
      </c>
      <c r="AM10" s="37">
        <f ca="1">IF($A10="","",IF(AM$1="","",COUNTIFS(tbl_chests[from],$A10,tbl_chests[legalized],AM$1,tbl_chests[datetime],"&gt;="&amp;TODAY()-WEEKDAY(TODAY(),2)+1,tbl_chests[datetime],"&lt;"&amp;TODAY()-WEEKDAY(TODAY(),2)+8)))</f>
        <v>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spans="1:67" x14ac:dyDescent="0.25">
      <c r="A11" s="34" t="str">
        <f>chests_counter!$H8</f>
        <v>Arardin</v>
      </c>
      <c r="B11" s="35" cm="1">
        <f t="array" aca="1" ref="B11" ca="1">IF(A11&lt;&gt;"", SUMPRODUCT(($C$2:$AM$2&lt;&gt;0)*(C11:AM11&lt;&gt;0)*($C$2:$AM$2)*(C11:AM11)), "")</f>
        <v>35</v>
      </c>
      <c r="C11" s="36">
        <f ca="1">IF($A11="","",IF(C$1="","",COUNTIFS(tbl_chests[from],$A11,tbl_chests[legalized],C$1,tbl_chests[datetime],"&gt;="&amp;TODAY()-WEEKDAY(TODAY(),2)+1,tbl_chests[datetime],"&lt;"&amp;TODAY()-WEEKDAY(TODAY(),2)+8)))</f>
        <v>1</v>
      </c>
      <c r="D11" s="36">
        <f ca="1">IF($A11="","",IF(D$1="","",COUNTIFS(tbl_chests[from],$A11,tbl_chests[legalized],D$1,tbl_chests[datetime],"&gt;="&amp;TODAY()-WEEKDAY(TODAY(),2)+1,tbl_chests[datetime],"&lt;"&amp;TODAY()-WEEKDAY(TODAY(),2)+8)))</f>
        <v>1</v>
      </c>
      <c r="E11" s="36">
        <f ca="1">IF($A11="","",IF(E$1="","",COUNTIFS(tbl_chests[from],$A11,tbl_chests[legalized],E$1,tbl_chests[datetime],"&gt;="&amp;TODAY()-WEEKDAY(TODAY(),2)+1,tbl_chests[datetime],"&lt;"&amp;TODAY()-WEEKDAY(TODAY(),2)+8)))</f>
        <v>0</v>
      </c>
      <c r="F11" s="36">
        <f ca="1">IF($A11="","",IF(F$1="","",COUNTIFS(tbl_chests[from],$A11,tbl_chests[legalized],F$1,tbl_chests[datetime],"&gt;="&amp;TODAY()-WEEKDAY(TODAY(),2)+1,tbl_chests[datetime],"&lt;"&amp;TODAY()-WEEKDAY(TODAY(),2)+8)))</f>
        <v>0</v>
      </c>
      <c r="G11" s="36">
        <f ca="1">IF($A11="","",IF(G$1="","",COUNTIFS(tbl_chests[from],$A11,tbl_chests[legalized],G$1,tbl_chests[datetime],"&gt;="&amp;TODAY()-WEEKDAY(TODAY(),2)+1,tbl_chests[datetime],"&lt;"&amp;TODAY()-WEEKDAY(TODAY(),2)+8)))</f>
        <v>0</v>
      </c>
      <c r="H11" s="36">
        <f ca="1">IF($A11="","",IF(H$1="","",COUNTIFS(tbl_chests[from],$A11,tbl_chests[legalized],H$1,tbl_chests[datetime],"&gt;="&amp;TODAY()-WEEKDAY(TODAY(),2)+1,tbl_chests[datetime],"&lt;"&amp;TODAY()-WEEKDAY(TODAY(),2)+8)))</f>
        <v>0</v>
      </c>
      <c r="I11" s="36">
        <f ca="1">IF($A11="","",IF(I$1="","",COUNTIFS(tbl_chests[from],$A11,tbl_chests[legalized],I$1,tbl_chests[datetime],"&gt;="&amp;TODAY()-WEEKDAY(TODAY(),2)+1,tbl_chests[datetime],"&lt;"&amp;TODAY()-WEEKDAY(TODAY(),2)+8)))</f>
        <v>0</v>
      </c>
      <c r="J11" s="36">
        <f ca="1">IF($A11="","",IF(J$1="","",COUNTIFS(tbl_chests[from],$A11,tbl_chests[legalized],J$1,tbl_chests[datetime],"&gt;="&amp;TODAY()-WEEKDAY(TODAY(),2)+1,tbl_chests[datetime],"&lt;"&amp;TODAY()-WEEKDAY(TODAY(),2)+8)))</f>
        <v>0</v>
      </c>
      <c r="K11" s="36">
        <f ca="1">IF($A11="","",IF(K$1="","",COUNTIFS(tbl_chests[from],$A11,tbl_chests[legalized],K$1,tbl_chests[datetime],"&gt;="&amp;TODAY()-WEEKDAY(TODAY(),2)+1,tbl_chests[datetime],"&lt;"&amp;TODAY()-WEEKDAY(TODAY(),2)+8)))</f>
        <v>0</v>
      </c>
      <c r="L11" s="36">
        <f ca="1">IF($A11="","",IF(L$1="","",COUNTIFS(tbl_chests[from],$A11,tbl_chests[legalized],L$1,tbl_chests[datetime],"&gt;="&amp;TODAY()-WEEKDAY(TODAY(),2)+1,tbl_chests[datetime],"&lt;"&amp;TODAY()-WEEKDAY(TODAY(),2)+8)))</f>
        <v>0</v>
      </c>
      <c r="M11" s="36">
        <f ca="1">IF($A11="","",IF(M$1="","",COUNTIFS(tbl_chests[from],$A11,tbl_chests[legalized],M$1,tbl_chests[datetime],"&gt;="&amp;TODAY()-WEEKDAY(TODAY(),2)+1,tbl_chests[datetime],"&lt;"&amp;TODAY()-WEEKDAY(TODAY(),2)+8)))</f>
        <v>0</v>
      </c>
      <c r="N11" s="36">
        <f ca="1">IF($A11="","",IF(N$1="","",COUNTIFS(tbl_chests[from],$A11,tbl_chests[legalized],N$1,tbl_chests[datetime],"&gt;="&amp;TODAY()-WEEKDAY(TODAY(),2)+1,tbl_chests[datetime],"&lt;"&amp;TODAY()-WEEKDAY(TODAY(),2)+8)))</f>
        <v>0</v>
      </c>
      <c r="O11" s="36">
        <f ca="1">IF($A11="","",IF(O$1="","",COUNTIFS(tbl_chests[from],$A11,tbl_chests[legalized],O$1,tbl_chests[datetime],"&gt;="&amp;TODAY()-WEEKDAY(TODAY(),2)+1,tbl_chests[datetime],"&lt;"&amp;TODAY()-WEEKDAY(TODAY(),2)+8)))</f>
        <v>0</v>
      </c>
      <c r="P11" s="36">
        <f ca="1">IF($A11="","",IF(P$1="","",COUNTIFS(tbl_chests[from],$A11,tbl_chests[legalized],P$1,tbl_chests[datetime],"&gt;="&amp;TODAY()-WEEKDAY(TODAY(),2)+1,tbl_chests[datetime],"&lt;"&amp;TODAY()-WEEKDAY(TODAY(),2)+8)))</f>
        <v>0</v>
      </c>
      <c r="Q11" s="36">
        <f ca="1">IF($A11="","",IF(Q$1="","",COUNTIFS(tbl_chests[from],$A11,tbl_chests[legalized],Q$1,tbl_chests[datetime],"&gt;="&amp;TODAY()-WEEKDAY(TODAY(),2)+1,tbl_chests[datetime],"&lt;"&amp;TODAY()-WEEKDAY(TODAY(),2)+8)))</f>
        <v>0</v>
      </c>
      <c r="R11" s="36">
        <f ca="1">IF($A11="","",IF(R$1="","",COUNTIFS(tbl_chests[from],$A11,tbl_chests[legalized],R$1,tbl_chests[datetime],"&gt;="&amp;TODAY()-WEEKDAY(TODAY(),2)+1,tbl_chests[datetime],"&lt;"&amp;TODAY()-WEEKDAY(TODAY(),2)+8)))</f>
        <v>0</v>
      </c>
      <c r="S11" s="36">
        <f ca="1">IF($A11="","",IF(S$1="","",COUNTIFS(tbl_chests[from],$A11,tbl_chests[legalized],S$1,tbl_chests[datetime],"&gt;="&amp;TODAY()-WEEKDAY(TODAY(),2)+1,tbl_chests[datetime],"&lt;"&amp;TODAY()-WEEKDAY(TODAY(),2)+8)))</f>
        <v>0</v>
      </c>
      <c r="T11" s="36">
        <f ca="1">IF($A11="","",IF(T$1="","",COUNTIFS(tbl_chests[from],$A11,tbl_chests[legalized],T$1,tbl_chests[datetime],"&gt;="&amp;TODAY()-WEEKDAY(TODAY(),2)+1,tbl_chests[datetime],"&lt;"&amp;TODAY()-WEEKDAY(TODAY(),2)+8)))</f>
        <v>0</v>
      </c>
      <c r="U11" s="36">
        <f ca="1">IF($A11="","",IF(U$1="","",COUNTIFS(tbl_chests[from],$A11,tbl_chests[legalized],U$1,tbl_chests[datetime],"&gt;="&amp;TODAY()-WEEKDAY(TODAY(),2)+1,tbl_chests[datetime],"&lt;"&amp;TODAY()-WEEKDAY(TODAY(),2)+8)))</f>
        <v>0</v>
      </c>
      <c r="V11" s="36">
        <f ca="1">IF($A11="","",IF(V$1="","",COUNTIFS(tbl_chests[from],$A11,tbl_chests[legalized],V$1,tbl_chests[datetime],"&gt;="&amp;TODAY()-WEEKDAY(TODAY(),2)+1,tbl_chests[datetime],"&lt;"&amp;TODAY()-WEEKDAY(TODAY(),2)+8)))</f>
        <v>0</v>
      </c>
      <c r="W11" s="36">
        <f ca="1">IF($A11="","",IF(W$1="","",COUNTIFS(tbl_chests[from],$A11,tbl_chests[legalized],W$1,tbl_chests[datetime],"&gt;="&amp;TODAY()-WEEKDAY(TODAY(),2)+1,tbl_chests[datetime],"&lt;"&amp;TODAY()-WEEKDAY(TODAY(),2)+8)))</f>
        <v>0</v>
      </c>
      <c r="X11" s="36">
        <f ca="1">IF($A11="","",IF(X$1="","",COUNTIFS(tbl_chests[from],$A11,tbl_chests[legalized],X$1,tbl_chests[datetime],"&gt;="&amp;TODAY()-WEEKDAY(TODAY(),2)+1,tbl_chests[datetime],"&lt;"&amp;TODAY()-WEEKDAY(TODAY(),2)+8)))</f>
        <v>0</v>
      </c>
      <c r="Y11" s="36">
        <f ca="1">IF($A11="","",IF(Y$1="","",COUNTIFS(tbl_chests[from],$A11,tbl_chests[legalized],Y$1,tbl_chests[datetime],"&gt;="&amp;TODAY()-WEEKDAY(TODAY(),2)+1,tbl_chests[datetime],"&lt;"&amp;TODAY()-WEEKDAY(TODAY(),2)+8)))</f>
        <v>0</v>
      </c>
      <c r="Z11" s="36">
        <f ca="1">IF($A11="","",IF(Z$1="","",COUNTIFS(tbl_chests[from],$A11,tbl_chests[legalized],Z$1,tbl_chests[datetime],"&gt;="&amp;TODAY()-WEEKDAY(TODAY(),2)+1,tbl_chests[datetime],"&lt;"&amp;TODAY()-WEEKDAY(TODAY(),2)+8)))</f>
        <v>0</v>
      </c>
      <c r="AA11" s="36">
        <f ca="1">IF($A11="","",IF(AA$1="","",COUNTIFS(tbl_chests[from],$A11,tbl_chests[legalized],AA$1,tbl_chests[datetime],"&gt;="&amp;TODAY()-WEEKDAY(TODAY(),2)+1,tbl_chests[datetime],"&lt;"&amp;TODAY()-WEEKDAY(TODAY(),2)+8)))</f>
        <v>0</v>
      </c>
      <c r="AB11" s="36">
        <f ca="1">IF($A11="","",IF(AB$1="","",COUNTIFS(tbl_chests[from],$A11,tbl_chests[legalized],AB$1,tbl_chests[datetime],"&gt;="&amp;TODAY()-WEEKDAY(TODAY(),2)+1,tbl_chests[datetime],"&lt;"&amp;TODAY()-WEEKDAY(TODAY(),2)+8)))</f>
        <v>0</v>
      </c>
      <c r="AC11" s="36">
        <f ca="1">IF($A11="","",IF(AC$1="","",COUNTIFS(tbl_chests[from],$A11,tbl_chests[legalized],AC$1,tbl_chests[datetime],"&gt;="&amp;TODAY()-WEEKDAY(TODAY(),2)+1,tbl_chests[datetime],"&lt;"&amp;TODAY()-WEEKDAY(TODAY(),2)+8)))</f>
        <v>0</v>
      </c>
      <c r="AD11" s="36">
        <f ca="1">IF($A11="","",IF(AD$1="","",COUNTIFS(tbl_chests[from],$A11,tbl_chests[legalized],AD$1,tbl_chests[datetime],"&gt;="&amp;TODAY()-WEEKDAY(TODAY(),2)+1,tbl_chests[datetime],"&lt;"&amp;TODAY()-WEEKDAY(TODAY(),2)+8)))</f>
        <v>0</v>
      </c>
      <c r="AE11" s="36">
        <f ca="1">IF($A11="","",IF(AE$1="","",COUNTIFS(tbl_chests[from],$A11,tbl_chests[legalized],AE$1,tbl_chests[datetime],"&gt;="&amp;TODAY()-WEEKDAY(TODAY(),2)+1,tbl_chests[datetime],"&lt;"&amp;TODAY()-WEEKDAY(TODAY(),2)+8)))</f>
        <v>1</v>
      </c>
      <c r="AF11" s="36">
        <f ca="1">IF($A11="","",IF(AF$1="","",COUNTIFS(tbl_chests[from],$A11,tbl_chests[legalized],AF$1,tbl_chests[datetime],"&gt;="&amp;TODAY()-WEEKDAY(TODAY(),2)+1,tbl_chests[datetime],"&lt;"&amp;TODAY()-WEEKDAY(TODAY(),2)+8)))</f>
        <v>0</v>
      </c>
      <c r="AG11" s="36">
        <f ca="1">IF($A11="","",IF(AG$1="","",COUNTIFS(tbl_chests[from],$A11,tbl_chests[legalized],AG$1,tbl_chests[datetime],"&gt;="&amp;TODAY()-WEEKDAY(TODAY(),2)+1,tbl_chests[datetime],"&lt;"&amp;TODAY()-WEEKDAY(TODAY(),2)+8)))</f>
        <v>0</v>
      </c>
      <c r="AH11" s="36">
        <f ca="1">IF($A11="","",IF(AH$1="","",COUNTIFS(tbl_chests[from],$A11,tbl_chests[legalized],AH$1,tbl_chests[datetime],"&gt;="&amp;TODAY()-WEEKDAY(TODAY(),2)+1,tbl_chests[datetime],"&lt;"&amp;TODAY()-WEEKDAY(TODAY(),2)+8)))</f>
        <v>0</v>
      </c>
      <c r="AI11" s="36">
        <f ca="1">IF($A11="","",IF(AI$1="","",COUNTIFS(tbl_chests[from],$A11,tbl_chests[legalized],AI$1,tbl_chests[datetime],"&gt;="&amp;TODAY()-WEEKDAY(TODAY(),2)+1,tbl_chests[datetime],"&lt;"&amp;TODAY()-WEEKDAY(TODAY(),2)+8)))</f>
        <v>0</v>
      </c>
      <c r="AJ11" s="36">
        <f ca="1">IF($A11="","",IF(AJ$1="","",COUNTIFS(tbl_chests[from],$A11,tbl_chests[legalized],AJ$1,tbl_chests[datetime],"&gt;="&amp;TODAY()-WEEKDAY(TODAY(),2)+1,tbl_chests[datetime],"&lt;"&amp;TODAY()-WEEKDAY(TODAY(),2)+8)))</f>
        <v>0</v>
      </c>
      <c r="AK11" s="36">
        <f ca="1">IF($A11="","",IF(AK$1="","",COUNTIFS(tbl_chests[from],$A11,tbl_chests[legalized],AK$1,tbl_chests[datetime],"&gt;="&amp;TODAY()-WEEKDAY(TODAY(),2)+1,tbl_chests[datetime],"&lt;"&amp;TODAY()-WEEKDAY(TODAY(),2)+8)))</f>
        <v>0</v>
      </c>
      <c r="AL11" s="36">
        <f ca="1">IF($A11="","",IF(AL$1="","",COUNTIFS(tbl_chests[from],$A11,tbl_chests[legalized],AL$1,tbl_chests[datetime],"&gt;="&amp;TODAY()-WEEKDAY(TODAY(),2)+1,tbl_chests[datetime],"&lt;"&amp;TODAY()-WEEKDAY(TODAY(),2)+8)))</f>
        <v>0</v>
      </c>
      <c r="AM11" s="37">
        <f ca="1">IF($A11="","",IF(AM$1="","",COUNTIFS(tbl_chests[from],$A11,tbl_chests[legalized],AM$1,tbl_chests[datetime],"&gt;="&amp;TODAY()-WEEKDAY(TODAY(),2)+1,tbl_chests[datetime],"&lt;"&amp;TODAY()-WEEKDAY(TODAY(),2)+8)))</f>
        <v>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spans="1:67" x14ac:dyDescent="0.25">
      <c r="A12" s="34" t="str">
        <f>chests_counter!$H9</f>
        <v>ARBA33</v>
      </c>
      <c r="B12" s="35" cm="1">
        <f t="array" aca="1" ref="B12" ca="1">IF(A12&lt;&gt;"", SUMPRODUCT(($C$2:$AM$2&lt;&gt;0)*(C12:AM12&lt;&gt;0)*($C$2:$AM$2)*(C12:AM12)), "")</f>
        <v>240</v>
      </c>
      <c r="C12" s="36">
        <f ca="1">IF($A12="","",IF(C$1="","",COUNTIFS(tbl_chests[from],$A12,tbl_chests[legalized],C$1,tbl_chests[datetime],"&gt;="&amp;TODAY()-WEEKDAY(TODAY(),2)+1,tbl_chests[datetime],"&lt;"&amp;TODAY()-WEEKDAY(TODAY(),2)+8)))</f>
        <v>9</v>
      </c>
      <c r="D12" s="36">
        <f ca="1">IF($A12="","",IF(D$1="","",COUNTIFS(tbl_chests[from],$A12,tbl_chests[legalized],D$1,tbl_chests[datetime],"&gt;="&amp;TODAY()-WEEKDAY(TODAY(),2)+1,tbl_chests[datetime],"&lt;"&amp;TODAY()-WEEKDAY(TODAY(),2)+8)))</f>
        <v>6</v>
      </c>
      <c r="E12" s="36">
        <f ca="1">IF($A12="","",IF(E$1="","",COUNTIFS(tbl_chests[from],$A12,tbl_chests[legalized],E$1,tbl_chests[datetime],"&gt;="&amp;TODAY()-WEEKDAY(TODAY(),2)+1,tbl_chests[datetime],"&lt;"&amp;TODAY()-WEEKDAY(TODAY(),2)+8)))</f>
        <v>1</v>
      </c>
      <c r="F12" s="36">
        <f ca="1">IF($A12="","",IF(F$1="","",COUNTIFS(tbl_chests[from],$A12,tbl_chests[legalized],F$1,tbl_chests[datetime],"&gt;="&amp;TODAY()-WEEKDAY(TODAY(),2)+1,tbl_chests[datetime],"&lt;"&amp;TODAY()-WEEKDAY(TODAY(),2)+8)))</f>
        <v>0</v>
      </c>
      <c r="G12" s="36">
        <f ca="1">IF($A12="","",IF(G$1="","",COUNTIFS(tbl_chests[from],$A12,tbl_chests[legalized],G$1,tbl_chests[datetime],"&gt;="&amp;TODAY()-WEEKDAY(TODAY(),2)+1,tbl_chests[datetime],"&lt;"&amp;TODAY()-WEEKDAY(TODAY(),2)+8)))</f>
        <v>0</v>
      </c>
      <c r="H12" s="36">
        <f ca="1">IF($A12="","",IF(H$1="","",COUNTIFS(tbl_chests[from],$A12,tbl_chests[legalized],H$1,tbl_chests[datetime],"&gt;="&amp;TODAY()-WEEKDAY(TODAY(),2)+1,tbl_chests[datetime],"&lt;"&amp;TODAY()-WEEKDAY(TODAY(),2)+8)))</f>
        <v>0</v>
      </c>
      <c r="I12" s="36">
        <f ca="1">IF($A12="","",IF(I$1="","",COUNTIFS(tbl_chests[from],$A12,tbl_chests[legalized],I$1,tbl_chests[datetime],"&gt;="&amp;TODAY()-WEEKDAY(TODAY(),2)+1,tbl_chests[datetime],"&lt;"&amp;TODAY()-WEEKDAY(TODAY(),2)+8)))</f>
        <v>0</v>
      </c>
      <c r="J12" s="36">
        <f ca="1">IF($A12="","",IF(J$1="","",COUNTIFS(tbl_chests[from],$A12,tbl_chests[legalized],J$1,tbl_chests[datetime],"&gt;="&amp;TODAY()-WEEKDAY(TODAY(),2)+1,tbl_chests[datetime],"&lt;"&amp;TODAY()-WEEKDAY(TODAY(),2)+8)))</f>
        <v>0</v>
      </c>
      <c r="K12" s="36">
        <f ca="1">IF($A12="","",IF(K$1="","",COUNTIFS(tbl_chests[from],$A12,tbl_chests[legalized],K$1,tbl_chests[datetime],"&gt;="&amp;TODAY()-WEEKDAY(TODAY(),2)+1,tbl_chests[datetime],"&lt;"&amp;TODAY()-WEEKDAY(TODAY(),2)+8)))</f>
        <v>0</v>
      </c>
      <c r="L12" s="36">
        <f ca="1">IF($A12="","",IF(L$1="","",COUNTIFS(tbl_chests[from],$A12,tbl_chests[legalized],L$1,tbl_chests[datetime],"&gt;="&amp;TODAY()-WEEKDAY(TODAY(),2)+1,tbl_chests[datetime],"&lt;"&amp;TODAY()-WEEKDAY(TODAY(),2)+8)))</f>
        <v>0</v>
      </c>
      <c r="M12" s="36">
        <f ca="1">IF($A12="","",IF(M$1="","",COUNTIFS(tbl_chests[from],$A12,tbl_chests[legalized],M$1,tbl_chests[datetime],"&gt;="&amp;TODAY()-WEEKDAY(TODAY(),2)+1,tbl_chests[datetime],"&lt;"&amp;TODAY()-WEEKDAY(TODAY(),2)+8)))</f>
        <v>0</v>
      </c>
      <c r="N12" s="36">
        <f ca="1">IF($A12="","",IF(N$1="","",COUNTIFS(tbl_chests[from],$A12,tbl_chests[legalized],N$1,tbl_chests[datetime],"&gt;="&amp;TODAY()-WEEKDAY(TODAY(),2)+1,tbl_chests[datetime],"&lt;"&amp;TODAY()-WEEKDAY(TODAY(),2)+8)))</f>
        <v>0</v>
      </c>
      <c r="O12" s="36">
        <f ca="1">IF($A12="","",IF(O$1="","",COUNTIFS(tbl_chests[from],$A12,tbl_chests[legalized],O$1,tbl_chests[datetime],"&gt;="&amp;TODAY()-WEEKDAY(TODAY(),2)+1,tbl_chests[datetime],"&lt;"&amp;TODAY()-WEEKDAY(TODAY(),2)+8)))</f>
        <v>0</v>
      </c>
      <c r="P12" s="36">
        <f ca="1">IF($A12="","",IF(P$1="","",COUNTIFS(tbl_chests[from],$A12,tbl_chests[legalized],P$1,tbl_chests[datetime],"&gt;="&amp;TODAY()-WEEKDAY(TODAY(),2)+1,tbl_chests[datetime],"&lt;"&amp;TODAY()-WEEKDAY(TODAY(),2)+8)))</f>
        <v>0</v>
      </c>
      <c r="Q12" s="36">
        <f ca="1">IF($A12="","",IF(Q$1="","",COUNTIFS(tbl_chests[from],$A12,tbl_chests[legalized],Q$1,tbl_chests[datetime],"&gt;="&amp;TODAY()-WEEKDAY(TODAY(),2)+1,tbl_chests[datetime],"&lt;"&amp;TODAY()-WEEKDAY(TODAY(),2)+8)))</f>
        <v>0</v>
      </c>
      <c r="R12" s="36">
        <f ca="1">IF($A12="","",IF(R$1="","",COUNTIFS(tbl_chests[from],$A12,tbl_chests[legalized],R$1,tbl_chests[datetime],"&gt;="&amp;TODAY()-WEEKDAY(TODAY(),2)+1,tbl_chests[datetime],"&lt;"&amp;TODAY()-WEEKDAY(TODAY(),2)+8)))</f>
        <v>0</v>
      </c>
      <c r="S12" s="36">
        <f ca="1">IF($A12="","",IF(S$1="","",COUNTIFS(tbl_chests[from],$A12,tbl_chests[legalized],S$1,tbl_chests[datetime],"&gt;="&amp;TODAY()-WEEKDAY(TODAY(),2)+1,tbl_chests[datetime],"&lt;"&amp;TODAY()-WEEKDAY(TODAY(),2)+8)))</f>
        <v>0</v>
      </c>
      <c r="T12" s="36">
        <f ca="1">IF($A12="","",IF(T$1="","",COUNTIFS(tbl_chests[from],$A12,tbl_chests[legalized],T$1,tbl_chests[datetime],"&gt;="&amp;TODAY()-WEEKDAY(TODAY(),2)+1,tbl_chests[datetime],"&lt;"&amp;TODAY()-WEEKDAY(TODAY(),2)+8)))</f>
        <v>0</v>
      </c>
      <c r="U12" s="36">
        <f ca="1">IF($A12="","",IF(U$1="","",COUNTIFS(tbl_chests[from],$A12,tbl_chests[legalized],U$1,tbl_chests[datetime],"&gt;="&amp;TODAY()-WEEKDAY(TODAY(),2)+1,tbl_chests[datetime],"&lt;"&amp;TODAY()-WEEKDAY(TODAY(),2)+8)))</f>
        <v>0</v>
      </c>
      <c r="V12" s="36">
        <f ca="1">IF($A12="","",IF(V$1="","",COUNTIFS(tbl_chests[from],$A12,tbl_chests[legalized],V$1,tbl_chests[datetime],"&gt;="&amp;TODAY()-WEEKDAY(TODAY(),2)+1,tbl_chests[datetime],"&lt;"&amp;TODAY()-WEEKDAY(TODAY(),2)+8)))</f>
        <v>0</v>
      </c>
      <c r="W12" s="36">
        <f ca="1">IF($A12="","",IF(W$1="","",COUNTIFS(tbl_chests[from],$A12,tbl_chests[legalized],W$1,tbl_chests[datetime],"&gt;="&amp;TODAY()-WEEKDAY(TODAY(),2)+1,tbl_chests[datetime],"&lt;"&amp;TODAY()-WEEKDAY(TODAY(),2)+8)))</f>
        <v>0</v>
      </c>
      <c r="X12" s="36">
        <f ca="1">IF($A12="","",IF(X$1="","",COUNTIFS(tbl_chests[from],$A12,tbl_chests[legalized],X$1,tbl_chests[datetime],"&gt;="&amp;TODAY()-WEEKDAY(TODAY(),2)+1,tbl_chests[datetime],"&lt;"&amp;TODAY()-WEEKDAY(TODAY(),2)+8)))</f>
        <v>0</v>
      </c>
      <c r="Y12" s="36">
        <f ca="1">IF($A12="","",IF(Y$1="","",COUNTIFS(tbl_chests[from],$A12,tbl_chests[legalized],Y$1,tbl_chests[datetime],"&gt;="&amp;TODAY()-WEEKDAY(TODAY(),2)+1,tbl_chests[datetime],"&lt;"&amp;TODAY()-WEEKDAY(TODAY(),2)+8)))</f>
        <v>0</v>
      </c>
      <c r="Z12" s="36">
        <f ca="1">IF($A12="","",IF(Z$1="","",COUNTIFS(tbl_chests[from],$A12,tbl_chests[legalized],Z$1,tbl_chests[datetime],"&gt;="&amp;TODAY()-WEEKDAY(TODAY(),2)+1,tbl_chests[datetime],"&lt;"&amp;TODAY()-WEEKDAY(TODAY(),2)+8)))</f>
        <v>0</v>
      </c>
      <c r="AA12" s="36">
        <f ca="1">IF($A12="","",IF(AA$1="","",COUNTIFS(tbl_chests[from],$A12,tbl_chests[legalized],AA$1,tbl_chests[datetime],"&gt;="&amp;TODAY()-WEEKDAY(TODAY(),2)+1,tbl_chests[datetime],"&lt;"&amp;TODAY()-WEEKDAY(TODAY(),2)+8)))</f>
        <v>0</v>
      </c>
      <c r="AB12" s="36">
        <f ca="1">IF($A12="","",IF(AB$1="","",COUNTIFS(tbl_chests[from],$A12,tbl_chests[legalized],AB$1,tbl_chests[datetime],"&gt;="&amp;TODAY()-WEEKDAY(TODAY(),2)+1,tbl_chests[datetime],"&lt;"&amp;TODAY()-WEEKDAY(TODAY(),2)+8)))</f>
        <v>0</v>
      </c>
      <c r="AC12" s="36">
        <f ca="1">IF($A12="","",IF(AC$1="","",COUNTIFS(tbl_chests[from],$A12,tbl_chests[legalized],AC$1,tbl_chests[datetime],"&gt;="&amp;TODAY()-WEEKDAY(TODAY(),2)+1,tbl_chests[datetime],"&lt;"&amp;TODAY()-WEEKDAY(TODAY(),2)+8)))</f>
        <v>0</v>
      </c>
      <c r="AD12" s="36">
        <f ca="1">IF($A12="","",IF(AD$1="","",COUNTIFS(tbl_chests[from],$A12,tbl_chests[legalized],AD$1,tbl_chests[datetime],"&gt;="&amp;TODAY()-WEEKDAY(TODAY(),2)+1,tbl_chests[datetime],"&lt;"&amp;TODAY()-WEEKDAY(TODAY(),2)+8)))</f>
        <v>0</v>
      </c>
      <c r="AE12" s="36">
        <f ca="1">IF($A12="","",IF(AE$1="","",COUNTIFS(tbl_chests[from],$A12,tbl_chests[legalized],AE$1,tbl_chests[datetime],"&gt;="&amp;TODAY()-WEEKDAY(TODAY(),2)+1,tbl_chests[datetime],"&lt;"&amp;TODAY()-WEEKDAY(TODAY(),2)+8)))</f>
        <v>0</v>
      </c>
      <c r="AF12" s="36">
        <f ca="1">IF($A12="","",IF(AF$1="","",COUNTIFS(tbl_chests[from],$A12,tbl_chests[legalized],AF$1,tbl_chests[datetime],"&gt;="&amp;TODAY()-WEEKDAY(TODAY(),2)+1,tbl_chests[datetime],"&lt;"&amp;TODAY()-WEEKDAY(TODAY(),2)+8)))</f>
        <v>0</v>
      </c>
      <c r="AG12" s="36">
        <f ca="1">IF($A12="","",IF(AG$1="","",COUNTIFS(tbl_chests[from],$A12,tbl_chests[legalized],AG$1,tbl_chests[datetime],"&gt;="&amp;TODAY()-WEEKDAY(TODAY(),2)+1,tbl_chests[datetime],"&lt;"&amp;TODAY()-WEEKDAY(TODAY(),2)+8)))</f>
        <v>0</v>
      </c>
      <c r="AH12" s="36">
        <f ca="1">IF($A12="","",IF(AH$1="","",COUNTIFS(tbl_chests[from],$A12,tbl_chests[legalized],AH$1,tbl_chests[datetime],"&gt;="&amp;TODAY()-WEEKDAY(TODAY(),2)+1,tbl_chests[datetime],"&lt;"&amp;TODAY()-WEEKDAY(TODAY(),2)+8)))</f>
        <v>0</v>
      </c>
      <c r="AI12" s="36">
        <f ca="1">IF($A12="","",IF(AI$1="","",COUNTIFS(tbl_chests[from],$A12,tbl_chests[legalized],AI$1,tbl_chests[datetime],"&gt;="&amp;TODAY()-WEEKDAY(TODAY(),2)+1,tbl_chests[datetime],"&lt;"&amp;TODAY()-WEEKDAY(TODAY(),2)+8)))</f>
        <v>0</v>
      </c>
      <c r="AJ12" s="36">
        <f ca="1">IF($A12="","",IF(AJ$1="","",COUNTIFS(tbl_chests[from],$A12,tbl_chests[legalized],AJ$1,tbl_chests[datetime],"&gt;="&amp;TODAY()-WEEKDAY(TODAY(),2)+1,tbl_chests[datetime],"&lt;"&amp;TODAY()-WEEKDAY(TODAY(),2)+8)))</f>
        <v>0</v>
      </c>
      <c r="AK12" s="36">
        <f ca="1">IF($A12="","",IF(AK$1="","",COUNTIFS(tbl_chests[from],$A12,tbl_chests[legalized],AK$1,tbl_chests[datetime],"&gt;="&amp;TODAY()-WEEKDAY(TODAY(),2)+1,tbl_chests[datetime],"&lt;"&amp;TODAY()-WEEKDAY(TODAY(),2)+8)))</f>
        <v>0</v>
      </c>
      <c r="AL12" s="36">
        <f ca="1">IF($A12="","",IF(AL$1="","",COUNTIFS(tbl_chests[from],$A12,tbl_chests[legalized],AL$1,tbl_chests[datetime],"&gt;="&amp;TODAY()-WEEKDAY(TODAY(),2)+1,tbl_chests[datetime],"&lt;"&amp;TODAY()-WEEKDAY(TODAY(),2)+8)))</f>
        <v>0</v>
      </c>
      <c r="AM12" s="37">
        <f ca="1">IF($A12="","",IF(AM$1="","",COUNTIFS(tbl_chests[from],$A12,tbl_chests[legalized],AM$1,tbl_chests[datetime],"&gt;="&amp;TODAY()-WEEKDAY(TODAY(),2)+1,tbl_chests[datetime],"&lt;"&amp;TODAY()-WEEKDAY(TODAY(),2)+8)))</f>
        <v>0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spans="1:67" x14ac:dyDescent="0.25">
      <c r="A13" s="34" t="str">
        <f>chests_counter!$H10</f>
        <v>Attila the hun</v>
      </c>
      <c r="B13" s="35" cm="1">
        <f t="array" aca="1" ref="B13" ca="1">IF(A13&lt;&gt;"", SUMPRODUCT(($C$2:$AM$2&lt;&gt;0)*(C13:AM13&lt;&gt;0)*($C$2:$AM$2)*(C13:AM13)), "")</f>
        <v>495</v>
      </c>
      <c r="C13" s="36">
        <f ca="1">IF($A13="","",IF(C$1="","",COUNTIFS(tbl_chests[from],$A13,tbl_chests[legalized],C$1,tbl_chests[datetime],"&gt;="&amp;TODAY()-WEEKDAY(TODAY(),2)+1,tbl_chests[datetime],"&lt;"&amp;TODAY()-WEEKDAY(TODAY(),2)+8)))</f>
        <v>0</v>
      </c>
      <c r="D13" s="36">
        <f ca="1">IF($A13="","",IF(D$1="","",COUNTIFS(tbl_chests[from],$A13,tbl_chests[legalized],D$1,tbl_chests[datetime],"&gt;="&amp;TODAY()-WEEKDAY(TODAY(),2)+1,tbl_chests[datetime],"&lt;"&amp;TODAY()-WEEKDAY(TODAY(),2)+8)))</f>
        <v>1</v>
      </c>
      <c r="E13" s="36">
        <f ca="1">IF($A13="","",IF(E$1="","",COUNTIFS(tbl_chests[from],$A13,tbl_chests[legalized],E$1,tbl_chests[datetime],"&gt;="&amp;TODAY()-WEEKDAY(TODAY(),2)+1,tbl_chests[datetime],"&lt;"&amp;TODAY()-WEEKDAY(TODAY(),2)+8)))</f>
        <v>0</v>
      </c>
      <c r="F13" s="36">
        <f ca="1">IF($A13="","",IF(F$1="","",COUNTIFS(tbl_chests[from],$A13,tbl_chests[legalized],F$1,tbl_chests[datetime],"&gt;="&amp;TODAY()-WEEKDAY(TODAY(),2)+1,tbl_chests[datetime],"&lt;"&amp;TODAY()-WEEKDAY(TODAY(),2)+8)))</f>
        <v>0</v>
      </c>
      <c r="G13" s="36">
        <f ca="1">IF($A13="","",IF(G$1="","",COUNTIFS(tbl_chests[from],$A13,tbl_chests[legalized],G$1,tbl_chests[datetime],"&gt;="&amp;TODAY()-WEEKDAY(TODAY(),2)+1,tbl_chests[datetime],"&lt;"&amp;TODAY()-WEEKDAY(TODAY(),2)+8)))</f>
        <v>0</v>
      </c>
      <c r="H13" s="36">
        <f ca="1">IF($A13="","",IF(H$1="","",COUNTIFS(tbl_chests[from],$A13,tbl_chests[legalized],H$1,tbl_chests[datetime],"&gt;="&amp;TODAY()-WEEKDAY(TODAY(),2)+1,tbl_chests[datetime],"&lt;"&amp;TODAY()-WEEKDAY(TODAY(),2)+8)))</f>
        <v>0</v>
      </c>
      <c r="I13" s="36">
        <f ca="1">IF($A13="","",IF(I$1="","",COUNTIFS(tbl_chests[from],$A13,tbl_chests[legalized],I$1,tbl_chests[datetime],"&gt;="&amp;TODAY()-WEEKDAY(TODAY(),2)+1,tbl_chests[datetime],"&lt;"&amp;TODAY()-WEEKDAY(TODAY(),2)+8)))</f>
        <v>0</v>
      </c>
      <c r="J13" s="36">
        <f ca="1">IF($A13="","",IF(J$1="","",COUNTIFS(tbl_chests[from],$A13,tbl_chests[legalized],J$1,tbl_chests[datetime],"&gt;="&amp;TODAY()-WEEKDAY(TODAY(),2)+1,tbl_chests[datetime],"&lt;"&amp;TODAY()-WEEKDAY(TODAY(),2)+8)))</f>
        <v>0</v>
      </c>
      <c r="K13" s="36">
        <f ca="1">IF($A13="","",IF(K$1="","",COUNTIFS(tbl_chests[from],$A13,tbl_chests[legalized],K$1,tbl_chests[datetime],"&gt;="&amp;TODAY()-WEEKDAY(TODAY(),2)+1,tbl_chests[datetime],"&lt;"&amp;TODAY()-WEEKDAY(TODAY(),2)+8)))</f>
        <v>0</v>
      </c>
      <c r="L13" s="36">
        <f ca="1">IF($A13="","",IF(L$1="","",COUNTIFS(tbl_chests[from],$A13,tbl_chests[legalized],L$1,tbl_chests[datetime],"&gt;="&amp;TODAY()-WEEKDAY(TODAY(),2)+1,tbl_chests[datetime],"&lt;"&amp;TODAY()-WEEKDAY(TODAY(),2)+8)))</f>
        <v>0</v>
      </c>
      <c r="M13" s="36">
        <f ca="1">IF($A13="","",IF(M$1="","",COUNTIFS(tbl_chests[from],$A13,tbl_chests[legalized],M$1,tbl_chests[datetime],"&gt;="&amp;TODAY()-WEEKDAY(TODAY(),2)+1,tbl_chests[datetime],"&lt;"&amp;TODAY()-WEEKDAY(TODAY(),2)+8)))</f>
        <v>1</v>
      </c>
      <c r="N13" s="36">
        <f ca="1">IF($A13="","",IF(N$1="","",COUNTIFS(tbl_chests[from],$A13,tbl_chests[legalized],N$1,tbl_chests[datetime],"&gt;="&amp;TODAY()-WEEKDAY(TODAY(),2)+1,tbl_chests[datetime],"&lt;"&amp;TODAY()-WEEKDAY(TODAY(),2)+8)))</f>
        <v>0</v>
      </c>
      <c r="O13" s="36">
        <f ca="1">IF($A13="","",IF(O$1="","",COUNTIFS(tbl_chests[from],$A13,tbl_chests[legalized],O$1,tbl_chests[datetime],"&gt;="&amp;TODAY()-WEEKDAY(TODAY(),2)+1,tbl_chests[datetime],"&lt;"&amp;TODAY()-WEEKDAY(TODAY(),2)+8)))</f>
        <v>0</v>
      </c>
      <c r="P13" s="36">
        <f ca="1">IF($A13="","",IF(P$1="","",COUNTIFS(tbl_chests[from],$A13,tbl_chests[legalized],P$1,tbl_chests[datetime],"&gt;="&amp;TODAY()-WEEKDAY(TODAY(),2)+1,tbl_chests[datetime],"&lt;"&amp;TODAY()-WEEKDAY(TODAY(),2)+8)))</f>
        <v>0</v>
      </c>
      <c r="Q13" s="36">
        <f ca="1">IF($A13="","",IF(Q$1="","",COUNTIFS(tbl_chests[from],$A13,tbl_chests[legalized],Q$1,tbl_chests[datetime],"&gt;="&amp;TODAY()-WEEKDAY(TODAY(),2)+1,tbl_chests[datetime],"&lt;"&amp;TODAY()-WEEKDAY(TODAY(),2)+8)))</f>
        <v>0</v>
      </c>
      <c r="R13" s="36">
        <f ca="1">IF($A13="","",IF(R$1="","",COUNTIFS(tbl_chests[from],$A13,tbl_chests[legalized],R$1,tbl_chests[datetime],"&gt;="&amp;TODAY()-WEEKDAY(TODAY(),2)+1,tbl_chests[datetime],"&lt;"&amp;TODAY()-WEEKDAY(TODAY(),2)+8)))</f>
        <v>8</v>
      </c>
      <c r="S13" s="36">
        <f ca="1">IF($A13="","",IF(S$1="","",COUNTIFS(tbl_chests[from],$A13,tbl_chests[legalized],S$1,tbl_chests[datetime],"&gt;="&amp;TODAY()-WEEKDAY(TODAY(),2)+1,tbl_chests[datetime],"&lt;"&amp;TODAY()-WEEKDAY(TODAY(),2)+8)))</f>
        <v>0</v>
      </c>
      <c r="T13" s="36">
        <f ca="1">IF($A13="","",IF(T$1="","",COUNTIFS(tbl_chests[from],$A13,tbl_chests[legalized],T$1,tbl_chests[datetime],"&gt;="&amp;TODAY()-WEEKDAY(TODAY(),2)+1,tbl_chests[datetime],"&lt;"&amp;TODAY()-WEEKDAY(TODAY(),2)+8)))</f>
        <v>0</v>
      </c>
      <c r="U13" s="36">
        <f ca="1">IF($A13="","",IF(U$1="","",COUNTIFS(tbl_chests[from],$A13,tbl_chests[legalized],U$1,tbl_chests[datetime],"&gt;="&amp;TODAY()-WEEKDAY(TODAY(),2)+1,tbl_chests[datetime],"&lt;"&amp;TODAY()-WEEKDAY(TODAY(),2)+8)))</f>
        <v>0</v>
      </c>
      <c r="V13" s="36">
        <f ca="1">IF($A13="","",IF(V$1="","",COUNTIFS(tbl_chests[from],$A13,tbl_chests[legalized],V$1,tbl_chests[datetime],"&gt;="&amp;TODAY()-WEEKDAY(TODAY(),2)+1,tbl_chests[datetime],"&lt;"&amp;TODAY()-WEEKDAY(TODAY(),2)+8)))</f>
        <v>0</v>
      </c>
      <c r="W13" s="36">
        <f ca="1">IF($A13="","",IF(W$1="","",COUNTIFS(tbl_chests[from],$A13,tbl_chests[legalized],W$1,tbl_chests[datetime],"&gt;="&amp;TODAY()-WEEKDAY(TODAY(),2)+1,tbl_chests[datetime],"&lt;"&amp;TODAY()-WEEKDAY(TODAY(),2)+8)))</f>
        <v>0</v>
      </c>
      <c r="X13" s="36">
        <f ca="1">IF($A13="","",IF(X$1="","",COUNTIFS(tbl_chests[from],$A13,tbl_chests[legalized],X$1,tbl_chests[datetime],"&gt;="&amp;TODAY()-WEEKDAY(TODAY(),2)+1,tbl_chests[datetime],"&lt;"&amp;TODAY()-WEEKDAY(TODAY(),2)+8)))</f>
        <v>0</v>
      </c>
      <c r="Y13" s="36">
        <f ca="1">IF($A13="","",IF(Y$1="","",COUNTIFS(tbl_chests[from],$A13,tbl_chests[legalized],Y$1,tbl_chests[datetime],"&gt;="&amp;TODAY()-WEEKDAY(TODAY(),2)+1,tbl_chests[datetime],"&lt;"&amp;TODAY()-WEEKDAY(TODAY(),2)+8)))</f>
        <v>0</v>
      </c>
      <c r="Z13" s="36">
        <f ca="1">IF($A13="","",IF(Z$1="","",COUNTIFS(tbl_chests[from],$A13,tbl_chests[legalized],Z$1,tbl_chests[datetime],"&gt;="&amp;TODAY()-WEEKDAY(TODAY(),2)+1,tbl_chests[datetime],"&lt;"&amp;TODAY()-WEEKDAY(TODAY(),2)+8)))</f>
        <v>0</v>
      </c>
      <c r="AA13" s="36">
        <f ca="1">IF($A13="","",IF(AA$1="","",COUNTIFS(tbl_chests[from],$A13,tbl_chests[legalized],AA$1,tbl_chests[datetime],"&gt;="&amp;TODAY()-WEEKDAY(TODAY(),2)+1,tbl_chests[datetime],"&lt;"&amp;TODAY()-WEEKDAY(TODAY(),2)+8)))</f>
        <v>9</v>
      </c>
      <c r="AB13" s="36">
        <f ca="1">IF($A13="","",IF(AB$1="","",COUNTIFS(tbl_chests[from],$A13,tbl_chests[legalized],AB$1,tbl_chests[datetime],"&gt;="&amp;TODAY()-WEEKDAY(TODAY(),2)+1,tbl_chests[datetime],"&lt;"&amp;TODAY()-WEEKDAY(TODAY(),2)+8)))</f>
        <v>0</v>
      </c>
      <c r="AC13" s="36">
        <f ca="1">IF($A13="","",IF(AC$1="","",COUNTIFS(tbl_chests[from],$A13,tbl_chests[legalized],AC$1,tbl_chests[datetime],"&gt;="&amp;TODAY()-WEEKDAY(TODAY(),2)+1,tbl_chests[datetime],"&lt;"&amp;TODAY()-WEEKDAY(TODAY(),2)+8)))</f>
        <v>0</v>
      </c>
      <c r="AD13" s="36">
        <f ca="1">IF($A13="","",IF(AD$1="","",COUNTIFS(tbl_chests[from],$A13,tbl_chests[legalized],AD$1,tbl_chests[datetime],"&gt;="&amp;TODAY()-WEEKDAY(TODAY(),2)+1,tbl_chests[datetime],"&lt;"&amp;TODAY()-WEEKDAY(TODAY(),2)+8)))</f>
        <v>0</v>
      </c>
      <c r="AE13" s="36">
        <f ca="1">IF($A13="","",IF(AE$1="","",COUNTIFS(tbl_chests[from],$A13,tbl_chests[legalized],AE$1,tbl_chests[datetime],"&gt;="&amp;TODAY()-WEEKDAY(TODAY(),2)+1,tbl_chests[datetime],"&lt;"&amp;TODAY()-WEEKDAY(TODAY(),2)+8)))</f>
        <v>1</v>
      </c>
      <c r="AF13" s="36">
        <f ca="1">IF($A13="","",IF(AF$1="","",COUNTIFS(tbl_chests[from],$A13,tbl_chests[legalized],AF$1,tbl_chests[datetime],"&gt;="&amp;TODAY()-WEEKDAY(TODAY(),2)+1,tbl_chests[datetime],"&lt;"&amp;TODAY()-WEEKDAY(TODAY(),2)+8)))</f>
        <v>0</v>
      </c>
      <c r="AG13" s="36">
        <f ca="1">IF($A13="","",IF(AG$1="","",COUNTIFS(tbl_chests[from],$A13,tbl_chests[legalized],AG$1,tbl_chests[datetime],"&gt;="&amp;TODAY()-WEEKDAY(TODAY(),2)+1,tbl_chests[datetime],"&lt;"&amp;TODAY()-WEEKDAY(TODAY(),2)+8)))</f>
        <v>0</v>
      </c>
      <c r="AH13" s="36">
        <f ca="1">IF($A13="","",IF(AH$1="","",COUNTIFS(tbl_chests[from],$A13,tbl_chests[legalized],AH$1,tbl_chests[datetime],"&gt;="&amp;TODAY()-WEEKDAY(TODAY(),2)+1,tbl_chests[datetime],"&lt;"&amp;TODAY()-WEEKDAY(TODAY(),2)+8)))</f>
        <v>0</v>
      </c>
      <c r="AI13" s="36">
        <f ca="1">IF($A13="","",IF(AI$1="","",COUNTIFS(tbl_chests[from],$A13,tbl_chests[legalized],AI$1,tbl_chests[datetime],"&gt;="&amp;TODAY()-WEEKDAY(TODAY(),2)+1,tbl_chests[datetime],"&lt;"&amp;TODAY()-WEEKDAY(TODAY(),2)+8)))</f>
        <v>0</v>
      </c>
      <c r="AJ13" s="36">
        <f ca="1">IF($A13="","",IF(AJ$1="","",COUNTIFS(tbl_chests[from],$A13,tbl_chests[legalized],AJ$1,tbl_chests[datetime],"&gt;="&amp;TODAY()-WEEKDAY(TODAY(),2)+1,tbl_chests[datetime],"&lt;"&amp;TODAY()-WEEKDAY(TODAY(),2)+8)))</f>
        <v>0</v>
      </c>
      <c r="AK13" s="36">
        <f ca="1">IF($A13="","",IF(AK$1="","",COUNTIFS(tbl_chests[from],$A13,tbl_chests[legalized],AK$1,tbl_chests[datetime],"&gt;="&amp;TODAY()-WEEKDAY(TODAY(),2)+1,tbl_chests[datetime],"&lt;"&amp;TODAY()-WEEKDAY(TODAY(),2)+8)))</f>
        <v>0</v>
      </c>
      <c r="AL13" s="36">
        <f ca="1">IF($A13="","",IF(AL$1="","",COUNTIFS(tbl_chests[from],$A13,tbl_chests[legalized],AL$1,tbl_chests[datetime],"&gt;="&amp;TODAY()-WEEKDAY(TODAY(),2)+1,tbl_chests[datetime],"&lt;"&amp;TODAY()-WEEKDAY(TODAY(),2)+8)))</f>
        <v>0</v>
      </c>
      <c r="AM13" s="37">
        <f ca="1">IF($A13="","",IF(AM$1="","",COUNTIFS(tbl_chests[from],$A13,tbl_chests[legalized],AM$1,tbl_chests[datetime],"&gt;="&amp;TODAY()-WEEKDAY(TODAY(),2)+1,tbl_chests[datetime],"&lt;"&amp;TODAY()-WEEKDAY(TODAY(),2)+8)))</f>
        <v>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x14ac:dyDescent="0.25">
      <c r="A14" s="34" t="str">
        <f>chests_counter!$H11</f>
        <v>Aurithris</v>
      </c>
      <c r="B14" s="35" cm="1">
        <f t="array" aca="1" ref="B14" ca="1">IF(A14&lt;&gt;"", SUMPRODUCT(($C$2:$AM$2&lt;&gt;0)*(C14:AM14&lt;&gt;0)*($C$2:$AM$2)*(C14:AM14)), "")</f>
        <v>0</v>
      </c>
      <c r="C14" s="36">
        <f ca="1">IF($A14="","",IF(C$1="","",COUNTIFS(tbl_chests[from],$A14,tbl_chests[legalized],C$1,tbl_chests[datetime],"&gt;="&amp;TODAY()-WEEKDAY(TODAY(),2)+1,tbl_chests[datetime],"&lt;"&amp;TODAY()-WEEKDAY(TODAY(),2)+8)))</f>
        <v>0</v>
      </c>
      <c r="D14" s="36">
        <f ca="1">IF($A14="","",IF(D$1="","",COUNTIFS(tbl_chests[from],$A14,tbl_chests[legalized],D$1,tbl_chests[datetime],"&gt;="&amp;TODAY()-WEEKDAY(TODAY(),2)+1,tbl_chests[datetime],"&lt;"&amp;TODAY()-WEEKDAY(TODAY(),2)+8)))</f>
        <v>0</v>
      </c>
      <c r="E14" s="36">
        <f ca="1">IF($A14="","",IF(E$1="","",COUNTIFS(tbl_chests[from],$A14,tbl_chests[legalized],E$1,tbl_chests[datetime],"&gt;="&amp;TODAY()-WEEKDAY(TODAY(),2)+1,tbl_chests[datetime],"&lt;"&amp;TODAY()-WEEKDAY(TODAY(),2)+8)))</f>
        <v>0</v>
      </c>
      <c r="F14" s="36">
        <f ca="1">IF($A14="","",IF(F$1="","",COUNTIFS(tbl_chests[from],$A14,tbl_chests[legalized],F$1,tbl_chests[datetime],"&gt;="&amp;TODAY()-WEEKDAY(TODAY(),2)+1,tbl_chests[datetime],"&lt;"&amp;TODAY()-WEEKDAY(TODAY(),2)+8)))</f>
        <v>0</v>
      </c>
      <c r="G14" s="36">
        <f ca="1">IF($A14="","",IF(G$1="","",COUNTIFS(tbl_chests[from],$A14,tbl_chests[legalized],G$1,tbl_chests[datetime],"&gt;="&amp;TODAY()-WEEKDAY(TODAY(),2)+1,tbl_chests[datetime],"&lt;"&amp;TODAY()-WEEKDAY(TODAY(),2)+8)))</f>
        <v>0</v>
      </c>
      <c r="H14" s="36">
        <f ca="1">IF($A14="","",IF(H$1="","",COUNTIFS(tbl_chests[from],$A14,tbl_chests[legalized],H$1,tbl_chests[datetime],"&gt;="&amp;TODAY()-WEEKDAY(TODAY(),2)+1,tbl_chests[datetime],"&lt;"&amp;TODAY()-WEEKDAY(TODAY(),2)+8)))</f>
        <v>0</v>
      </c>
      <c r="I14" s="36">
        <f ca="1">IF($A14="","",IF(I$1="","",COUNTIFS(tbl_chests[from],$A14,tbl_chests[legalized],I$1,tbl_chests[datetime],"&gt;="&amp;TODAY()-WEEKDAY(TODAY(),2)+1,tbl_chests[datetime],"&lt;"&amp;TODAY()-WEEKDAY(TODAY(),2)+8)))</f>
        <v>0</v>
      </c>
      <c r="J14" s="36">
        <f ca="1">IF($A14="","",IF(J$1="","",COUNTIFS(tbl_chests[from],$A14,tbl_chests[legalized],J$1,tbl_chests[datetime],"&gt;="&amp;TODAY()-WEEKDAY(TODAY(),2)+1,tbl_chests[datetime],"&lt;"&amp;TODAY()-WEEKDAY(TODAY(),2)+8)))</f>
        <v>0</v>
      </c>
      <c r="K14" s="36">
        <f ca="1">IF($A14="","",IF(K$1="","",COUNTIFS(tbl_chests[from],$A14,tbl_chests[legalized],K$1,tbl_chests[datetime],"&gt;="&amp;TODAY()-WEEKDAY(TODAY(),2)+1,tbl_chests[datetime],"&lt;"&amp;TODAY()-WEEKDAY(TODAY(),2)+8)))</f>
        <v>0</v>
      </c>
      <c r="L14" s="36">
        <f ca="1">IF($A14="","",IF(L$1="","",COUNTIFS(tbl_chests[from],$A14,tbl_chests[legalized],L$1,tbl_chests[datetime],"&gt;="&amp;TODAY()-WEEKDAY(TODAY(),2)+1,tbl_chests[datetime],"&lt;"&amp;TODAY()-WEEKDAY(TODAY(),2)+8)))</f>
        <v>0</v>
      </c>
      <c r="M14" s="36">
        <f ca="1">IF($A14="","",IF(M$1="","",COUNTIFS(tbl_chests[from],$A14,tbl_chests[legalized],M$1,tbl_chests[datetime],"&gt;="&amp;TODAY()-WEEKDAY(TODAY(),2)+1,tbl_chests[datetime],"&lt;"&amp;TODAY()-WEEKDAY(TODAY(),2)+8)))</f>
        <v>0</v>
      </c>
      <c r="N14" s="36">
        <f ca="1">IF($A14="","",IF(N$1="","",COUNTIFS(tbl_chests[from],$A14,tbl_chests[legalized],N$1,tbl_chests[datetime],"&gt;="&amp;TODAY()-WEEKDAY(TODAY(),2)+1,tbl_chests[datetime],"&lt;"&amp;TODAY()-WEEKDAY(TODAY(),2)+8)))</f>
        <v>0</v>
      </c>
      <c r="O14" s="36">
        <f ca="1">IF($A14="","",IF(O$1="","",COUNTIFS(tbl_chests[from],$A14,tbl_chests[legalized],O$1,tbl_chests[datetime],"&gt;="&amp;TODAY()-WEEKDAY(TODAY(),2)+1,tbl_chests[datetime],"&lt;"&amp;TODAY()-WEEKDAY(TODAY(),2)+8)))</f>
        <v>0</v>
      </c>
      <c r="P14" s="36">
        <f ca="1">IF($A14="","",IF(P$1="","",COUNTIFS(tbl_chests[from],$A14,tbl_chests[legalized],P$1,tbl_chests[datetime],"&gt;="&amp;TODAY()-WEEKDAY(TODAY(),2)+1,tbl_chests[datetime],"&lt;"&amp;TODAY()-WEEKDAY(TODAY(),2)+8)))</f>
        <v>0</v>
      </c>
      <c r="Q14" s="36">
        <f ca="1">IF($A14="","",IF(Q$1="","",COUNTIFS(tbl_chests[from],$A14,tbl_chests[legalized],Q$1,tbl_chests[datetime],"&gt;="&amp;TODAY()-WEEKDAY(TODAY(),2)+1,tbl_chests[datetime],"&lt;"&amp;TODAY()-WEEKDAY(TODAY(),2)+8)))</f>
        <v>0</v>
      </c>
      <c r="R14" s="36">
        <f ca="1">IF($A14="","",IF(R$1="","",COUNTIFS(tbl_chests[from],$A14,tbl_chests[legalized],R$1,tbl_chests[datetime],"&gt;="&amp;TODAY()-WEEKDAY(TODAY(),2)+1,tbl_chests[datetime],"&lt;"&amp;TODAY()-WEEKDAY(TODAY(),2)+8)))</f>
        <v>0</v>
      </c>
      <c r="S14" s="36">
        <f ca="1">IF($A14="","",IF(S$1="","",COUNTIFS(tbl_chests[from],$A14,tbl_chests[legalized],S$1,tbl_chests[datetime],"&gt;="&amp;TODAY()-WEEKDAY(TODAY(),2)+1,tbl_chests[datetime],"&lt;"&amp;TODAY()-WEEKDAY(TODAY(),2)+8)))</f>
        <v>0</v>
      </c>
      <c r="T14" s="36">
        <f ca="1">IF($A14="","",IF(T$1="","",COUNTIFS(tbl_chests[from],$A14,tbl_chests[legalized],T$1,tbl_chests[datetime],"&gt;="&amp;TODAY()-WEEKDAY(TODAY(),2)+1,tbl_chests[datetime],"&lt;"&amp;TODAY()-WEEKDAY(TODAY(),2)+8)))</f>
        <v>0</v>
      </c>
      <c r="U14" s="36">
        <f ca="1">IF($A14="","",IF(U$1="","",COUNTIFS(tbl_chests[from],$A14,tbl_chests[legalized],U$1,tbl_chests[datetime],"&gt;="&amp;TODAY()-WEEKDAY(TODAY(),2)+1,tbl_chests[datetime],"&lt;"&amp;TODAY()-WEEKDAY(TODAY(),2)+8)))</f>
        <v>0</v>
      </c>
      <c r="V14" s="36">
        <f ca="1">IF($A14="","",IF(V$1="","",COUNTIFS(tbl_chests[from],$A14,tbl_chests[legalized],V$1,tbl_chests[datetime],"&gt;="&amp;TODAY()-WEEKDAY(TODAY(),2)+1,tbl_chests[datetime],"&lt;"&amp;TODAY()-WEEKDAY(TODAY(),2)+8)))</f>
        <v>0</v>
      </c>
      <c r="W14" s="36">
        <f ca="1">IF($A14="","",IF(W$1="","",COUNTIFS(tbl_chests[from],$A14,tbl_chests[legalized],W$1,tbl_chests[datetime],"&gt;="&amp;TODAY()-WEEKDAY(TODAY(),2)+1,tbl_chests[datetime],"&lt;"&amp;TODAY()-WEEKDAY(TODAY(),2)+8)))</f>
        <v>0</v>
      </c>
      <c r="X14" s="36">
        <f ca="1">IF($A14="","",IF(X$1="","",COUNTIFS(tbl_chests[from],$A14,tbl_chests[legalized],X$1,tbl_chests[datetime],"&gt;="&amp;TODAY()-WEEKDAY(TODAY(),2)+1,tbl_chests[datetime],"&lt;"&amp;TODAY()-WEEKDAY(TODAY(),2)+8)))</f>
        <v>0</v>
      </c>
      <c r="Y14" s="36">
        <f ca="1">IF($A14="","",IF(Y$1="","",COUNTIFS(tbl_chests[from],$A14,tbl_chests[legalized],Y$1,tbl_chests[datetime],"&gt;="&amp;TODAY()-WEEKDAY(TODAY(),2)+1,tbl_chests[datetime],"&lt;"&amp;TODAY()-WEEKDAY(TODAY(),2)+8)))</f>
        <v>0</v>
      </c>
      <c r="Z14" s="36">
        <f ca="1">IF($A14="","",IF(Z$1="","",COUNTIFS(tbl_chests[from],$A14,tbl_chests[legalized],Z$1,tbl_chests[datetime],"&gt;="&amp;TODAY()-WEEKDAY(TODAY(),2)+1,tbl_chests[datetime],"&lt;"&amp;TODAY()-WEEKDAY(TODAY(),2)+8)))</f>
        <v>0</v>
      </c>
      <c r="AA14" s="36">
        <f ca="1">IF($A14="","",IF(AA$1="","",COUNTIFS(tbl_chests[from],$A14,tbl_chests[legalized],AA$1,tbl_chests[datetime],"&gt;="&amp;TODAY()-WEEKDAY(TODAY(),2)+1,tbl_chests[datetime],"&lt;"&amp;TODAY()-WEEKDAY(TODAY(),2)+8)))</f>
        <v>0</v>
      </c>
      <c r="AB14" s="36">
        <f ca="1">IF($A14="","",IF(AB$1="","",COUNTIFS(tbl_chests[from],$A14,tbl_chests[legalized],AB$1,tbl_chests[datetime],"&gt;="&amp;TODAY()-WEEKDAY(TODAY(),2)+1,tbl_chests[datetime],"&lt;"&amp;TODAY()-WEEKDAY(TODAY(),2)+8)))</f>
        <v>0</v>
      </c>
      <c r="AC14" s="36">
        <f ca="1">IF($A14="","",IF(AC$1="","",COUNTIFS(tbl_chests[from],$A14,tbl_chests[legalized],AC$1,tbl_chests[datetime],"&gt;="&amp;TODAY()-WEEKDAY(TODAY(),2)+1,tbl_chests[datetime],"&lt;"&amp;TODAY()-WEEKDAY(TODAY(),2)+8)))</f>
        <v>0</v>
      </c>
      <c r="AD14" s="36">
        <f ca="1">IF($A14="","",IF(AD$1="","",COUNTIFS(tbl_chests[from],$A14,tbl_chests[legalized],AD$1,tbl_chests[datetime],"&gt;="&amp;TODAY()-WEEKDAY(TODAY(),2)+1,tbl_chests[datetime],"&lt;"&amp;TODAY()-WEEKDAY(TODAY(),2)+8)))</f>
        <v>0</v>
      </c>
      <c r="AE14" s="36">
        <f ca="1">IF($A14="","",IF(AE$1="","",COUNTIFS(tbl_chests[from],$A14,tbl_chests[legalized],AE$1,tbl_chests[datetime],"&gt;="&amp;TODAY()-WEEKDAY(TODAY(),2)+1,tbl_chests[datetime],"&lt;"&amp;TODAY()-WEEKDAY(TODAY(),2)+8)))</f>
        <v>0</v>
      </c>
      <c r="AF14" s="36">
        <f ca="1">IF($A14="","",IF(AF$1="","",COUNTIFS(tbl_chests[from],$A14,tbl_chests[legalized],AF$1,tbl_chests[datetime],"&gt;="&amp;TODAY()-WEEKDAY(TODAY(),2)+1,tbl_chests[datetime],"&lt;"&amp;TODAY()-WEEKDAY(TODAY(),2)+8)))</f>
        <v>0</v>
      </c>
      <c r="AG14" s="36">
        <f ca="1">IF($A14="","",IF(AG$1="","",COUNTIFS(tbl_chests[from],$A14,tbl_chests[legalized],AG$1,tbl_chests[datetime],"&gt;="&amp;TODAY()-WEEKDAY(TODAY(),2)+1,tbl_chests[datetime],"&lt;"&amp;TODAY()-WEEKDAY(TODAY(),2)+8)))</f>
        <v>0</v>
      </c>
      <c r="AH14" s="36">
        <f ca="1">IF($A14="","",IF(AH$1="","",COUNTIFS(tbl_chests[from],$A14,tbl_chests[legalized],AH$1,tbl_chests[datetime],"&gt;="&amp;TODAY()-WEEKDAY(TODAY(),2)+1,tbl_chests[datetime],"&lt;"&amp;TODAY()-WEEKDAY(TODAY(),2)+8)))</f>
        <v>0</v>
      </c>
      <c r="AI14" s="36">
        <f ca="1">IF($A14="","",IF(AI$1="","",COUNTIFS(tbl_chests[from],$A14,tbl_chests[legalized],AI$1,tbl_chests[datetime],"&gt;="&amp;TODAY()-WEEKDAY(TODAY(),2)+1,tbl_chests[datetime],"&lt;"&amp;TODAY()-WEEKDAY(TODAY(),2)+8)))</f>
        <v>0</v>
      </c>
      <c r="AJ14" s="36">
        <f ca="1">IF($A14="","",IF(AJ$1="","",COUNTIFS(tbl_chests[from],$A14,tbl_chests[legalized],AJ$1,tbl_chests[datetime],"&gt;="&amp;TODAY()-WEEKDAY(TODAY(),2)+1,tbl_chests[datetime],"&lt;"&amp;TODAY()-WEEKDAY(TODAY(),2)+8)))</f>
        <v>0</v>
      </c>
      <c r="AK14" s="36">
        <f ca="1">IF($A14="","",IF(AK$1="","",COUNTIFS(tbl_chests[from],$A14,tbl_chests[legalized],AK$1,tbl_chests[datetime],"&gt;="&amp;TODAY()-WEEKDAY(TODAY(),2)+1,tbl_chests[datetime],"&lt;"&amp;TODAY()-WEEKDAY(TODAY(),2)+8)))</f>
        <v>0</v>
      </c>
      <c r="AL14" s="36">
        <f ca="1">IF($A14="","",IF(AL$1="","",COUNTIFS(tbl_chests[from],$A14,tbl_chests[legalized],AL$1,tbl_chests[datetime],"&gt;="&amp;TODAY()-WEEKDAY(TODAY(),2)+1,tbl_chests[datetime],"&lt;"&amp;TODAY()-WEEKDAY(TODAY(),2)+8)))</f>
        <v>0</v>
      </c>
      <c r="AM14" s="37">
        <f ca="1">IF($A14="","",IF(AM$1="","",COUNTIFS(tbl_chests[from],$A14,tbl_chests[legalized],AM$1,tbl_chests[datetime],"&gt;="&amp;TODAY()-WEEKDAY(TODAY(),2)+1,tbl_chests[datetime],"&lt;"&amp;TODAY()-WEEKDAY(TODAY(),2)+8)))</f>
        <v>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spans="1:67" x14ac:dyDescent="0.25">
      <c r="A15" s="34" t="str">
        <f>chests_counter!$H12</f>
        <v>bb steboulet 2</v>
      </c>
      <c r="B15" s="35" cm="1">
        <f t="array" aca="1" ref="B15" ca="1">IF(A15&lt;&gt;"", SUMPRODUCT(($C$2:$AM$2&lt;&gt;0)*(C15:AM15&lt;&gt;0)*($C$2:$AM$2)*(C15:AM15)), "")</f>
        <v>0</v>
      </c>
      <c r="C15" s="36">
        <f ca="1">IF($A15="","",IF(C$1="","",COUNTIFS(tbl_chests[from],$A15,tbl_chests[legalized],C$1,tbl_chests[datetime],"&gt;="&amp;TODAY()-WEEKDAY(TODAY(),2)+1,tbl_chests[datetime],"&lt;"&amp;TODAY()-WEEKDAY(TODAY(),2)+8)))</f>
        <v>0</v>
      </c>
      <c r="D15" s="36">
        <f ca="1">IF($A15="","",IF(D$1="","",COUNTIFS(tbl_chests[from],$A15,tbl_chests[legalized],D$1,tbl_chests[datetime],"&gt;="&amp;TODAY()-WEEKDAY(TODAY(),2)+1,tbl_chests[datetime],"&lt;"&amp;TODAY()-WEEKDAY(TODAY(),2)+8)))</f>
        <v>0</v>
      </c>
      <c r="E15" s="36">
        <f ca="1">IF($A15="","",IF(E$1="","",COUNTIFS(tbl_chests[from],$A15,tbl_chests[legalized],E$1,tbl_chests[datetime],"&gt;="&amp;TODAY()-WEEKDAY(TODAY(),2)+1,tbl_chests[datetime],"&lt;"&amp;TODAY()-WEEKDAY(TODAY(),2)+8)))</f>
        <v>0</v>
      </c>
      <c r="F15" s="36">
        <f ca="1">IF($A15="","",IF(F$1="","",COUNTIFS(tbl_chests[from],$A15,tbl_chests[legalized],F$1,tbl_chests[datetime],"&gt;="&amp;TODAY()-WEEKDAY(TODAY(),2)+1,tbl_chests[datetime],"&lt;"&amp;TODAY()-WEEKDAY(TODAY(),2)+8)))</f>
        <v>0</v>
      </c>
      <c r="G15" s="36">
        <f ca="1">IF($A15="","",IF(G$1="","",COUNTIFS(tbl_chests[from],$A15,tbl_chests[legalized],G$1,tbl_chests[datetime],"&gt;="&amp;TODAY()-WEEKDAY(TODAY(),2)+1,tbl_chests[datetime],"&lt;"&amp;TODAY()-WEEKDAY(TODAY(),2)+8)))</f>
        <v>0</v>
      </c>
      <c r="H15" s="36">
        <f ca="1">IF($A15="","",IF(H$1="","",COUNTIFS(tbl_chests[from],$A15,tbl_chests[legalized],H$1,tbl_chests[datetime],"&gt;="&amp;TODAY()-WEEKDAY(TODAY(),2)+1,tbl_chests[datetime],"&lt;"&amp;TODAY()-WEEKDAY(TODAY(),2)+8)))</f>
        <v>0</v>
      </c>
      <c r="I15" s="36">
        <f ca="1">IF($A15="","",IF(I$1="","",COUNTIFS(tbl_chests[from],$A15,tbl_chests[legalized],I$1,tbl_chests[datetime],"&gt;="&amp;TODAY()-WEEKDAY(TODAY(),2)+1,tbl_chests[datetime],"&lt;"&amp;TODAY()-WEEKDAY(TODAY(),2)+8)))</f>
        <v>0</v>
      </c>
      <c r="J15" s="36">
        <f ca="1">IF($A15="","",IF(J$1="","",COUNTIFS(tbl_chests[from],$A15,tbl_chests[legalized],J$1,tbl_chests[datetime],"&gt;="&amp;TODAY()-WEEKDAY(TODAY(),2)+1,tbl_chests[datetime],"&lt;"&amp;TODAY()-WEEKDAY(TODAY(),2)+8)))</f>
        <v>0</v>
      </c>
      <c r="K15" s="36">
        <f ca="1">IF($A15="","",IF(K$1="","",COUNTIFS(tbl_chests[from],$A15,tbl_chests[legalized],K$1,tbl_chests[datetime],"&gt;="&amp;TODAY()-WEEKDAY(TODAY(),2)+1,tbl_chests[datetime],"&lt;"&amp;TODAY()-WEEKDAY(TODAY(),2)+8)))</f>
        <v>0</v>
      </c>
      <c r="L15" s="36">
        <f ca="1">IF($A15="","",IF(L$1="","",COUNTIFS(tbl_chests[from],$A15,tbl_chests[legalized],L$1,tbl_chests[datetime],"&gt;="&amp;TODAY()-WEEKDAY(TODAY(),2)+1,tbl_chests[datetime],"&lt;"&amp;TODAY()-WEEKDAY(TODAY(),2)+8)))</f>
        <v>0</v>
      </c>
      <c r="M15" s="36">
        <f ca="1">IF($A15="","",IF(M$1="","",COUNTIFS(tbl_chests[from],$A15,tbl_chests[legalized],M$1,tbl_chests[datetime],"&gt;="&amp;TODAY()-WEEKDAY(TODAY(),2)+1,tbl_chests[datetime],"&lt;"&amp;TODAY()-WEEKDAY(TODAY(),2)+8)))</f>
        <v>0</v>
      </c>
      <c r="N15" s="36">
        <f ca="1">IF($A15="","",IF(N$1="","",COUNTIFS(tbl_chests[from],$A15,tbl_chests[legalized],N$1,tbl_chests[datetime],"&gt;="&amp;TODAY()-WEEKDAY(TODAY(),2)+1,tbl_chests[datetime],"&lt;"&amp;TODAY()-WEEKDAY(TODAY(),2)+8)))</f>
        <v>0</v>
      </c>
      <c r="O15" s="36">
        <f ca="1">IF($A15="","",IF(O$1="","",COUNTIFS(tbl_chests[from],$A15,tbl_chests[legalized],O$1,tbl_chests[datetime],"&gt;="&amp;TODAY()-WEEKDAY(TODAY(),2)+1,tbl_chests[datetime],"&lt;"&amp;TODAY()-WEEKDAY(TODAY(),2)+8)))</f>
        <v>0</v>
      </c>
      <c r="P15" s="36">
        <f ca="1">IF($A15="","",IF(P$1="","",COUNTIFS(tbl_chests[from],$A15,tbl_chests[legalized],P$1,tbl_chests[datetime],"&gt;="&amp;TODAY()-WEEKDAY(TODAY(),2)+1,tbl_chests[datetime],"&lt;"&amp;TODAY()-WEEKDAY(TODAY(),2)+8)))</f>
        <v>0</v>
      </c>
      <c r="Q15" s="36">
        <f ca="1">IF($A15="","",IF(Q$1="","",COUNTIFS(tbl_chests[from],$A15,tbl_chests[legalized],Q$1,tbl_chests[datetime],"&gt;="&amp;TODAY()-WEEKDAY(TODAY(),2)+1,tbl_chests[datetime],"&lt;"&amp;TODAY()-WEEKDAY(TODAY(),2)+8)))</f>
        <v>0</v>
      </c>
      <c r="R15" s="36">
        <f ca="1">IF($A15="","",IF(R$1="","",COUNTIFS(tbl_chests[from],$A15,tbl_chests[legalized],R$1,tbl_chests[datetime],"&gt;="&amp;TODAY()-WEEKDAY(TODAY(),2)+1,tbl_chests[datetime],"&lt;"&amp;TODAY()-WEEKDAY(TODAY(),2)+8)))</f>
        <v>0</v>
      </c>
      <c r="S15" s="36">
        <f ca="1">IF($A15="","",IF(S$1="","",COUNTIFS(tbl_chests[from],$A15,tbl_chests[legalized],S$1,tbl_chests[datetime],"&gt;="&amp;TODAY()-WEEKDAY(TODAY(),2)+1,tbl_chests[datetime],"&lt;"&amp;TODAY()-WEEKDAY(TODAY(),2)+8)))</f>
        <v>0</v>
      </c>
      <c r="T15" s="36">
        <f ca="1">IF($A15="","",IF(T$1="","",COUNTIFS(tbl_chests[from],$A15,tbl_chests[legalized],T$1,tbl_chests[datetime],"&gt;="&amp;TODAY()-WEEKDAY(TODAY(),2)+1,tbl_chests[datetime],"&lt;"&amp;TODAY()-WEEKDAY(TODAY(),2)+8)))</f>
        <v>0</v>
      </c>
      <c r="U15" s="36">
        <f ca="1">IF($A15="","",IF(U$1="","",COUNTIFS(tbl_chests[from],$A15,tbl_chests[legalized],U$1,tbl_chests[datetime],"&gt;="&amp;TODAY()-WEEKDAY(TODAY(),2)+1,tbl_chests[datetime],"&lt;"&amp;TODAY()-WEEKDAY(TODAY(),2)+8)))</f>
        <v>0</v>
      </c>
      <c r="V15" s="36">
        <f ca="1">IF($A15="","",IF(V$1="","",COUNTIFS(tbl_chests[from],$A15,tbl_chests[legalized],V$1,tbl_chests[datetime],"&gt;="&amp;TODAY()-WEEKDAY(TODAY(),2)+1,tbl_chests[datetime],"&lt;"&amp;TODAY()-WEEKDAY(TODAY(),2)+8)))</f>
        <v>0</v>
      </c>
      <c r="W15" s="36">
        <f ca="1">IF($A15="","",IF(W$1="","",COUNTIFS(tbl_chests[from],$A15,tbl_chests[legalized],W$1,tbl_chests[datetime],"&gt;="&amp;TODAY()-WEEKDAY(TODAY(),2)+1,tbl_chests[datetime],"&lt;"&amp;TODAY()-WEEKDAY(TODAY(),2)+8)))</f>
        <v>0</v>
      </c>
      <c r="X15" s="36">
        <f ca="1">IF($A15="","",IF(X$1="","",COUNTIFS(tbl_chests[from],$A15,tbl_chests[legalized],X$1,tbl_chests[datetime],"&gt;="&amp;TODAY()-WEEKDAY(TODAY(),2)+1,tbl_chests[datetime],"&lt;"&amp;TODAY()-WEEKDAY(TODAY(),2)+8)))</f>
        <v>0</v>
      </c>
      <c r="Y15" s="36">
        <f ca="1">IF($A15="","",IF(Y$1="","",COUNTIFS(tbl_chests[from],$A15,tbl_chests[legalized],Y$1,tbl_chests[datetime],"&gt;="&amp;TODAY()-WEEKDAY(TODAY(),2)+1,tbl_chests[datetime],"&lt;"&amp;TODAY()-WEEKDAY(TODAY(),2)+8)))</f>
        <v>0</v>
      </c>
      <c r="Z15" s="36">
        <f ca="1">IF($A15="","",IF(Z$1="","",COUNTIFS(tbl_chests[from],$A15,tbl_chests[legalized],Z$1,tbl_chests[datetime],"&gt;="&amp;TODAY()-WEEKDAY(TODAY(),2)+1,tbl_chests[datetime],"&lt;"&amp;TODAY()-WEEKDAY(TODAY(),2)+8)))</f>
        <v>0</v>
      </c>
      <c r="AA15" s="36">
        <f ca="1">IF($A15="","",IF(AA$1="","",COUNTIFS(tbl_chests[from],$A15,tbl_chests[legalized],AA$1,tbl_chests[datetime],"&gt;="&amp;TODAY()-WEEKDAY(TODAY(),2)+1,tbl_chests[datetime],"&lt;"&amp;TODAY()-WEEKDAY(TODAY(),2)+8)))</f>
        <v>0</v>
      </c>
      <c r="AB15" s="36">
        <f ca="1">IF($A15="","",IF(AB$1="","",COUNTIFS(tbl_chests[from],$A15,tbl_chests[legalized],AB$1,tbl_chests[datetime],"&gt;="&amp;TODAY()-WEEKDAY(TODAY(),2)+1,tbl_chests[datetime],"&lt;"&amp;TODAY()-WEEKDAY(TODAY(),2)+8)))</f>
        <v>0</v>
      </c>
      <c r="AC15" s="36">
        <f ca="1">IF($A15="","",IF(AC$1="","",COUNTIFS(tbl_chests[from],$A15,tbl_chests[legalized],AC$1,tbl_chests[datetime],"&gt;="&amp;TODAY()-WEEKDAY(TODAY(),2)+1,tbl_chests[datetime],"&lt;"&amp;TODAY()-WEEKDAY(TODAY(),2)+8)))</f>
        <v>0</v>
      </c>
      <c r="AD15" s="36">
        <f ca="1">IF($A15="","",IF(AD$1="","",COUNTIFS(tbl_chests[from],$A15,tbl_chests[legalized],AD$1,tbl_chests[datetime],"&gt;="&amp;TODAY()-WEEKDAY(TODAY(),2)+1,tbl_chests[datetime],"&lt;"&amp;TODAY()-WEEKDAY(TODAY(),2)+8)))</f>
        <v>0</v>
      </c>
      <c r="AE15" s="36">
        <f ca="1">IF($A15="","",IF(AE$1="","",COUNTIFS(tbl_chests[from],$A15,tbl_chests[legalized],AE$1,tbl_chests[datetime],"&gt;="&amp;TODAY()-WEEKDAY(TODAY(),2)+1,tbl_chests[datetime],"&lt;"&amp;TODAY()-WEEKDAY(TODAY(),2)+8)))</f>
        <v>0</v>
      </c>
      <c r="AF15" s="36">
        <f ca="1">IF($A15="","",IF(AF$1="","",COUNTIFS(tbl_chests[from],$A15,tbl_chests[legalized],AF$1,tbl_chests[datetime],"&gt;="&amp;TODAY()-WEEKDAY(TODAY(),2)+1,tbl_chests[datetime],"&lt;"&amp;TODAY()-WEEKDAY(TODAY(),2)+8)))</f>
        <v>0</v>
      </c>
      <c r="AG15" s="36">
        <f ca="1">IF($A15="","",IF(AG$1="","",COUNTIFS(tbl_chests[from],$A15,tbl_chests[legalized],AG$1,tbl_chests[datetime],"&gt;="&amp;TODAY()-WEEKDAY(TODAY(),2)+1,tbl_chests[datetime],"&lt;"&amp;TODAY()-WEEKDAY(TODAY(),2)+8)))</f>
        <v>0</v>
      </c>
      <c r="AH15" s="36">
        <f ca="1">IF($A15="","",IF(AH$1="","",COUNTIFS(tbl_chests[from],$A15,tbl_chests[legalized],AH$1,tbl_chests[datetime],"&gt;="&amp;TODAY()-WEEKDAY(TODAY(),2)+1,tbl_chests[datetime],"&lt;"&amp;TODAY()-WEEKDAY(TODAY(),2)+8)))</f>
        <v>0</v>
      </c>
      <c r="AI15" s="36">
        <f ca="1">IF($A15="","",IF(AI$1="","",COUNTIFS(tbl_chests[from],$A15,tbl_chests[legalized],AI$1,tbl_chests[datetime],"&gt;="&amp;TODAY()-WEEKDAY(TODAY(),2)+1,tbl_chests[datetime],"&lt;"&amp;TODAY()-WEEKDAY(TODAY(),2)+8)))</f>
        <v>0</v>
      </c>
      <c r="AJ15" s="36">
        <f ca="1">IF($A15="","",IF(AJ$1="","",COUNTIFS(tbl_chests[from],$A15,tbl_chests[legalized],AJ$1,tbl_chests[datetime],"&gt;="&amp;TODAY()-WEEKDAY(TODAY(),2)+1,tbl_chests[datetime],"&lt;"&amp;TODAY()-WEEKDAY(TODAY(),2)+8)))</f>
        <v>0</v>
      </c>
      <c r="AK15" s="36">
        <f ca="1">IF($A15="","",IF(AK$1="","",COUNTIFS(tbl_chests[from],$A15,tbl_chests[legalized],AK$1,tbl_chests[datetime],"&gt;="&amp;TODAY()-WEEKDAY(TODAY(),2)+1,tbl_chests[datetime],"&lt;"&amp;TODAY()-WEEKDAY(TODAY(),2)+8)))</f>
        <v>0</v>
      </c>
      <c r="AL15" s="36">
        <f ca="1">IF($A15="","",IF(AL$1="","",COUNTIFS(tbl_chests[from],$A15,tbl_chests[legalized],AL$1,tbl_chests[datetime],"&gt;="&amp;TODAY()-WEEKDAY(TODAY(),2)+1,tbl_chests[datetime],"&lt;"&amp;TODAY()-WEEKDAY(TODAY(),2)+8)))</f>
        <v>0</v>
      </c>
      <c r="AM15" s="37">
        <f ca="1">IF($A15="","",IF(AM$1="","",COUNTIFS(tbl_chests[from],$A15,tbl_chests[legalized],AM$1,tbl_chests[datetime],"&gt;="&amp;TODAY()-WEEKDAY(TODAY(),2)+1,tbl_chests[datetime],"&lt;"&amp;TODAY()-WEEKDAY(TODAY(),2)+8)))</f>
        <v>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67" x14ac:dyDescent="0.25">
      <c r="A16" s="34" t="str">
        <f>chests_counter!$H13</f>
        <v>Bella</v>
      </c>
      <c r="B16" s="35" cm="1">
        <f t="array" aca="1" ref="B16" ca="1">IF(A16&lt;&gt;"", SUMPRODUCT(($C$2:$AM$2&lt;&gt;0)*(C16:AM16&lt;&gt;0)*($C$2:$AM$2)*(C16:AM16)), "")</f>
        <v>0</v>
      </c>
      <c r="C16" s="36">
        <f ca="1">IF($A16="","",IF(C$1="","",COUNTIFS(tbl_chests[from],$A16,tbl_chests[legalized],C$1,tbl_chests[datetime],"&gt;="&amp;TODAY()-WEEKDAY(TODAY(),2)+1,tbl_chests[datetime],"&lt;"&amp;TODAY()-WEEKDAY(TODAY(),2)+8)))</f>
        <v>0</v>
      </c>
      <c r="D16" s="36">
        <f ca="1">IF($A16="","",IF(D$1="","",COUNTIFS(tbl_chests[from],$A16,tbl_chests[legalized],D$1,tbl_chests[datetime],"&gt;="&amp;TODAY()-WEEKDAY(TODAY(),2)+1,tbl_chests[datetime],"&lt;"&amp;TODAY()-WEEKDAY(TODAY(),2)+8)))</f>
        <v>0</v>
      </c>
      <c r="E16" s="36">
        <f ca="1">IF($A16="","",IF(E$1="","",COUNTIFS(tbl_chests[from],$A16,tbl_chests[legalized],E$1,tbl_chests[datetime],"&gt;="&amp;TODAY()-WEEKDAY(TODAY(),2)+1,tbl_chests[datetime],"&lt;"&amp;TODAY()-WEEKDAY(TODAY(),2)+8)))</f>
        <v>0</v>
      </c>
      <c r="F16" s="36">
        <f ca="1">IF($A16="","",IF(F$1="","",COUNTIFS(tbl_chests[from],$A16,tbl_chests[legalized],F$1,tbl_chests[datetime],"&gt;="&amp;TODAY()-WEEKDAY(TODAY(),2)+1,tbl_chests[datetime],"&lt;"&amp;TODAY()-WEEKDAY(TODAY(),2)+8)))</f>
        <v>0</v>
      </c>
      <c r="G16" s="36">
        <f ca="1">IF($A16="","",IF(G$1="","",COUNTIFS(tbl_chests[from],$A16,tbl_chests[legalized],G$1,tbl_chests[datetime],"&gt;="&amp;TODAY()-WEEKDAY(TODAY(),2)+1,tbl_chests[datetime],"&lt;"&amp;TODAY()-WEEKDAY(TODAY(),2)+8)))</f>
        <v>0</v>
      </c>
      <c r="H16" s="36">
        <f ca="1">IF($A16="","",IF(H$1="","",COUNTIFS(tbl_chests[from],$A16,tbl_chests[legalized],H$1,tbl_chests[datetime],"&gt;="&amp;TODAY()-WEEKDAY(TODAY(),2)+1,tbl_chests[datetime],"&lt;"&amp;TODAY()-WEEKDAY(TODAY(),2)+8)))</f>
        <v>0</v>
      </c>
      <c r="I16" s="36">
        <f ca="1">IF($A16="","",IF(I$1="","",COUNTIFS(tbl_chests[from],$A16,tbl_chests[legalized],I$1,tbl_chests[datetime],"&gt;="&amp;TODAY()-WEEKDAY(TODAY(),2)+1,tbl_chests[datetime],"&lt;"&amp;TODAY()-WEEKDAY(TODAY(),2)+8)))</f>
        <v>0</v>
      </c>
      <c r="J16" s="36">
        <f ca="1">IF($A16="","",IF(J$1="","",COUNTIFS(tbl_chests[from],$A16,tbl_chests[legalized],J$1,tbl_chests[datetime],"&gt;="&amp;TODAY()-WEEKDAY(TODAY(),2)+1,tbl_chests[datetime],"&lt;"&amp;TODAY()-WEEKDAY(TODAY(),2)+8)))</f>
        <v>0</v>
      </c>
      <c r="K16" s="36">
        <f ca="1">IF($A16="","",IF(K$1="","",COUNTIFS(tbl_chests[from],$A16,tbl_chests[legalized],K$1,tbl_chests[datetime],"&gt;="&amp;TODAY()-WEEKDAY(TODAY(),2)+1,tbl_chests[datetime],"&lt;"&amp;TODAY()-WEEKDAY(TODAY(),2)+8)))</f>
        <v>0</v>
      </c>
      <c r="L16" s="36">
        <f ca="1">IF($A16="","",IF(L$1="","",COUNTIFS(tbl_chests[from],$A16,tbl_chests[legalized],L$1,tbl_chests[datetime],"&gt;="&amp;TODAY()-WEEKDAY(TODAY(),2)+1,tbl_chests[datetime],"&lt;"&amp;TODAY()-WEEKDAY(TODAY(),2)+8)))</f>
        <v>0</v>
      </c>
      <c r="M16" s="36">
        <f ca="1">IF($A16="","",IF(M$1="","",COUNTIFS(tbl_chests[from],$A16,tbl_chests[legalized],M$1,tbl_chests[datetime],"&gt;="&amp;TODAY()-WEEKDAY(TODAY(),2)+1,tbl_chests[datetime],"&lt;"&amp;TODAY()-WEEKDAY(TODAY(),2)+8)))</f>
        <v>0</v>
      </c>
      <c r="N16" s="36">
        <f ca="1">IF($A16="","",IF(N$1="","",COUNTIFS(tbl_chests[from],$A16,tbl_chests[legalized],N$1,tbl_chests[datetime],"&gt;="&amp;TODAY()-WEEKDAY(TODAY(),2)+1,tbl_chests[datetime],"&lt;"&amp;TODAY()-WEEKDAY(TODAY(),2)+8)))</f>
        <v>0</v>
      </c>
      <c r="O16" s="36">
        <f ca="1">IF($A16="","",IF(O$1="","",COUNTIFS(tbl_chests[from],$A16,tbl_chests[legalized],O$1,tbl_chests[datetime],"&gt;="&amp;TODAY()-WEEKDAY(TODAY(),2)+1,tbl_chests[datetime],"&lt;"&amp;TODAY()-WEEKDAY(TODAY(),2)+8)))</f>
        <v>0</v>
      </c>
      <c r="P16" s="36">
        <f ca="1">IF($A16="","",IF(P$1="","",COUNTIFS(tbl_chests[from],$A16,tbl_chests[legalized],P$1,tbl_chests[datetime],"&gt;="&amp;TODAY()-WEEKDAY(TODAY(),2)+1,tbl_chests[datetime],"&lt;"&amp;TODAY()-WEEKDAY(TODAY(),2)+8)))</f>
        <v>0</v>
      </c>
      <c r="Q16" s="36">
        <f ca="1">IF($A16="","",IF(Q$1="","",COUNTIFS(tbl_chests[from],$A16,tbl_chests[legalized],Q$1,tbl_chests[datetime],"&gt;="&amp;TODAY()-WEEKDAY(TODAY(),2)+1,tbl_chests[datetime],"&lt;"&amp;TODAY()-WEEKDAY(TODAY(),2)+8)))</f>
        <v>0</v>
      </c>
      <c r="R16" s="36">
        <f ca="1">IF($A16="","",IF(R$1="","",COUNTIFS(tbl_chests[from],$A16,tbl_chests[legalized],R$1,tbl_chests[datetime],"&gt;="&amp;TODAY()-WEEKDAY(TODAY(),2)+1,tbl_chests[datetime],"&lt;"&amp;TODAY()-WEEKDAY(TODAY(),2)+8)))</f>
        <v>0</v>
      </c>
      <c r="S16" s="36">
        <f ca="1">IF($A16="","",IF(S$1="","",COUNTIFS(tbl_chests[from],$A16,tbl_chests[legalized],S$1,tbl_chests[datetime],"&gt;="&amp;TODAY()-WEEKDAY(TODAY(),2)+1,tbl_chests[datetime],"&lt;"&amp;TODAY()-WEEKDAY(TODAY(),2)+8)))</f>
        <v>0</v>
      </c>
      <c r="T16" s="36">
        <f ca="1">IF($A16="","",IF(T$1="","",COUNTIFS(tbl_chests[from],$A16,tbl_chests[legalized],T$1,tbl_chests[datetime],"&gt;="&amp;TODAY()-WEEKDAY(TODAY(),2)+1,tbl_chests[datetime],"&lt;"&amp;TODAY()-WEEKDAY(TODAY(),2)+8)))</f>
        <v>0</v>
      </c>
      <c r="U16" s="36">
        <f ca="1">IF($A16="","",IF(U$1="","",COUNTIFS(tbl_chests[from],$A16,tbl_chests[legalized],U$1,tbl_chests[datetime],"&gt;="&amp;TODAY()-WEEKDAY(TODAY(),2)+1,tbl_chests[datetime],"&lt;"&amp;TODAY()-WEEKDAY(TODAY(),2)+8)))</f>
        <v>0</v>
      </c>
      <c r="V16" s="36">
        <f ca="1">IF($A16="","",IF(V$1="","",COUNTIFS(tbl_chests[from],$A16,tbl_chests[legalized],V$1,tbl_chests[datetime],"&gt;="&amp;TODAY()-WEEKDAY(TODAY(),2)+1,tbl_chests[datetime],"&lt;"&amp;TODAY()-WEEKDAY(TODAY(),2)+8)))</f>
        <v>0</v>
      </c>
      <c r="W16" s="36">
        <f ca="1">IF($A16="","",IF(W$1="","",COUNTIFS(tbl_chests[from],$A16,tbl_chests[legalized],W$1,tbl_chests[datetime],"&gt;="&amp;TODAY()-WEEKDAY(TODAY(),2)+1,tbl_chests[datetime],"&lt;"&amp;TODAY()-WEEKDAY(TODAY(),2)+8)))</f>
        <v>0</v>
      </c>
      <c r="X16" s="36">
        <f ca="1">IF($A16="","",IF(X$1="","",COUNTIFS(tbl_chests[from],$A16,tbl_chests[legalized],X$1,tbl_chests[datetime],"&gt;="&amp;TODAY()-WEEKDAY(TODAY(),2)+1,tbl_chests[datetime],"&lt;"&amp;TODAY()-WEEKDAY(TODAY(),2)+8)))</f>
        <v>0</v>
      </c>
      <c r="Y16" s="36">
        <f ca="1">IF($A16="","",IF(Y$1="","",COUNTIFS(tbl_chests[from],$A16,tbl_chests[legalized],Y$1,tbl_chests[datetime],"&gt;="&amp;TODAY()-WEEKDAY(TODAY(),2)+1,tbl_chests[datetime],"&lt;"&amp;TODAY()-WEEKDAY(TODAY(),2)+8)))</f>
        <v>0</v>
      </c>
      <c r="Z16" s="36">
        <f ca="1">IF($A16="","",IF(Z$1="","",COUNTIFS(tbl_chests[from],$A16,tbl_chests[legalized],Z$1,tbl_chests[datetime],"&gt;="&amp;TODAY()-WEEKDAY(TODAY(),2)+1,tbl_chests[datetime],"&lt;"&amp;TODAY()-WEEKDAY(TODAY(),2)+8)))</f>
        <v>0</v>
      </c>
      <c r="AA16" s="36">
        <f ca="1">IF($A16="","",IF(AA$1="","",COUNTIFS(tbl_chests[from],$A16,tbl_chests[legalized],AA$1,tbl_chests[datetime],"&gt;="&amp;TODAY()-WEEKDAY(TODAY(),2)+1,tbl_chests[datetime],"&lt;"&amp;TODAY()-WEEKDAY(TODAY(),2)+8)))</f>
        <v>0</v>
      </c>
      <c r="AB16" s="36">
        <f ca="1">IF($A16="","",IF(AB$1="","",COUNTIFS(tbl_chests[from],$A16,tbl_chests[legalized],AB$1,tbl_chests[datetime],"&gt;="&amp;TODAY()-WEEKDAY(TODAY(),2)+1,tbl_chests[datetime],"&lt;"&amp;TODAY()-WEEKDAY(TODAY(),2)+8)))</f>
        <v>0</v>
      </c>
      <c r="AC16" s="36">
        <f ca="1">IF($A16="","",IF(AC$1="","",COUNTIFS(tbl_chests[from],$A16,tbl_chests[legalized],AC$1,tbl_chests[datetime],"&gt;="&amp;TODAY()-WEEKDAY(TODAY(),2)+1,tbl_chests[datetime],"&lt;"&amp;TODAY()-WEEKDAY(TODAY(),2)+8)))</f>
        <v>0</v>
      </c>
      <c r="AD16" s="36">
        <f ca="1">IF($A16="","",IF(AD$1="","",COUNTIFS(tbl_chests[from],$A16,tbl_chests[legalized],AD$1,tbl_chests[datetime],"&gt;="&amp;TODAY()-WEEKDAY(TODAY(),2)+1,tbl_chests[datetime],"&lt;"&amp;TODAY()-WEEKDAY(TODAY(),2)+8)))</f>
        <v>0</v>
      </c>
      <c r="AE16" s="36">
        <f ca="1">IF($A16="","",IF(AE$1="","",COUNTIFS(tbl_chests[from],$A16,tbl_chests[legalized],AE$1,tbl_chests[datetime],"&gt;="&amp;TODAY()-WEEKDAY(TODAY(),2)+1,tbl_chests[datetime],"&lt;"&amp;TODAY()-WEEKDAY(TODAY(),2)+8)))</f>
        <v>0</v>
      </c>
      <c r="AF16" s="36">
        <f ca="1">IF($A16="","",IF(AF$1="","",COUNTIFS(tbl_chests[from],$A16,tbl_chests[legalized],AF$1,tbl_chests[datetime],"&gt;="&amp;TODAY()-WEEKDAY(TODAY(),2)+1,tbl_chests[datetime],"&lt;"&amp;TODAY()-WEEKDAY(TODAY(),2)+8)))</f>
        <v>0</v>
      </c>
      <c r="AG16" s="36">
        <f ca="1">IF($A16="","",IF(AG$1="","",COUNTIFS(tbl_chests[from],$A16,tbl_chests[legalized],AG$1,tbl_chests[datetime],"&gt;="&amp;TODAY()-WEEKDAY(TODAY(),2)+1,tbl_chests[datetime],"&lt;"&amp;TODAY()-WEEKDAY(TODAY(),2)+8)))</f>
        <v>0</v>
      </c>
      <c r="AH16" s="36">
        <f ca="1">IF($A16="","",IF(AH$1="","",COUNTIFS(tbl_chests[from],$A16,tbl_chests[legalized],AH$1,tbl_chests[datetime],"&gt;="&amp;TODAY()-WEEKDAY(TODAY(),2)+1,tbl_chests[datetime],"&lt;"&amp;TODAY()-WEEKDAY(TODAY(),2)+8)))</f>
        <v>0</v>
      </c>
      <c r="AI16" s="36">
        <f ca="1">IF($A16="","",IF(AI$1="","",COUNTIFS(tbl_chests[from],$A16,tbl_chests[legalized],AI$1,tbl_chests[datetime],"&gt;="&amp;TODAY()-WEEKDAY(TODAY(),2)+1,tbl_chests[datetime],"&lt;"&amp;TODAY()-WEEKDAY(TODAY(),2)+8)))</f>
        <v>0</v>
      </c>
      <c r="AJ16" s="36">
        <f ca="1">IF($A16="","",IF(AJ$1="","",COUNTIFS(tbl_chests[from],$A16,tbl_chests[legalized],AJ$1,tbl_chests[datetime],"&gt;="&amp;TODAY()-WEEKDAY(TODAY(),2)+1,tbl_chests[datetime],"&lt;"&amp;TODAY()-WEEKDAY(TODAY(),2)+8)))</f>
        <v>0</v>
      </c>
      <c r="AK16" s="36">
        <f ca="1">IF($A16="","",IF(AK$1="","",COUNTIFS(tbl_chests[from],$A16,tbl_chests[legalized],AK$1,tbl_chests[datetime],"&gt;="&amp;TODAY()-WEEKDAY(TODAY(),2)+1,tbl_chests[datetime],"&lt;"&amp;TODAY()-WEEKDAY(TODAY(),2)+8)))</f>
        <v>0</v>
      </c>
      <c r="AL16" s="36">
        <f ca="1">IF($A16="","",IF(AL$1="","",COUNTIFS(tbl_chests[from],$A16,tbl_chests[legalized],AL$1,tbl_chests[datetime],"&gt;="&amp;TODAY()-WEEKDAY(TODAY(),2)+1,tbl_chests[datetime],"&lt;"&amp;TODAY()-WEEKDAY(TODAY(),2)+8)))</f>
        <v>0</v>
      </c>
      <c r="AM16" s="37">
        <f ca="1">IF($A16="","",IF(AM$1="","",COUNTIFS(tbl_chests[from],$A16,tbl_chests[legalized],AM$1,tbl_chests[datetime],"&gt;="&amp;TODAY()-WEEKDAY(TODAY(),2)+1,tbl_chests[datetime],"&lt;"&amp;TODAY()-WEEKDAY(TODAY(),2)+8)))</f>
        <v>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 x14ac:dyDescent="0.25">
      <c r="A17" s="34" t="str">
        <f>chests_counter!$H14</f>
        <v>Bilesi</v>
      </c>
      <c r="B17" s="35" cm="1">
        <f t="array" aca="1" ref="B17" ca="1">IF(A17&lt;&gt;"", SUMPRODUCT(($C$2:$AM$2&lt;&gt;0)*(C17:AM17&lt;&gt;0)*($C$2:$AM$2)*(C17:AM17)), "")</f>
        <v>0</v>
      </c>
      <c r="C17" s="36">
        <f ca="1">IF($A17="","",IF(C$1="","",COUNTIFS(tbl_chests[from],$A17,tbl_chests[legalized],C$1,tbl_chests[datetime],"&gt;="&amp;TODAY()-WEEKDAY(TODAY(),2)+1,tbl_chests[datetime],"&lt;"&amp;TODAY()-WEEKDAY(TODAY(),2)+8)))</f>
        <v>0</v>
      </c>
      <c r="D17" s="36">
        <f ca="1">IF($A17="","",IF(D$1="","",COUNTIFS(tbl_chests[from],$A17,tbl_chests[legalized],D$1,tbl_chests[datetime],"&gt;="&amp;TODAY()-WEEKDAY(TODAY(),2)+1,tbl_chests[datetime],"&lt;"&amp;TODAY()-WEEKDAY(TODAY(),2)+8)))</f>
        <v>0</v>
      </c>
      <c r="E17" s="36">
        <f ca="1">IF($A17="","",IF(E$1="","",COUNTIFS(tbl_chests[from],$A17,tbl_chests[legalized],E$1,tbl_chests[datetime],"&gt;="&amp;TODAY()-WEEKDAY(TODAY(),2)+1,tbl_chests[datetime],"&lt;"&amp;TODAY()-WEEKDAY(TODAY(),2)+8)))</f>
        <v>0</v>
      </c>
      <c r="F17" s="36">
        <f ca="1">IF($A17="","",IF(F$1="","",COUNTIFS(tbl_chests[from],$A17,tbl_chests[legalized],F$1,tbl_chests[datetime],"&gt;="&amp;TODAY()-WEEKDAY(TODAY(),2)+1,tbl_chests[datetime],"&lt;"&amp;TODAY()-WEEKDAY(TODAY(),2)+8)))</f>
        <v>0</v>
      </c>
      <c r="G17" s="36">
        <f ca="1">IF($A17="","",IF(G$1="","",COUNTIFS(tbl_chests[from],$A17,tbl_chests[legalized],G$1,tbl_chests[datetime],"&gt;="&amp;TODAY()-WEEKDAY(TODAY(),2)+1,tbl_chests[datetime],"&lt;"&amp;TODAY()-WEEKDAY(TODAY(),2)+8)))</f>
        <v>0</v>
      </c>
      <c r="H17" s="36">
        <f ca="1">IF($A17="","",IF(H$1="","",COUNTIFS(tbl_chests[from],$A17,tbl_chests[legalized],H$1,tbl_chests[datetime],"&gt;="&amp;TODAY()-WEEKDAY(TODAY(),2)+1,tbl_chests[datetime],"&lt;"&amp;TODAY()-WEEKDAY(TODAY(),2)+8)))</f>
        <v>0</v>
      </c>
      <c r="I17" s="36">
        <f ca="1">IF($A17="","",IF(I$1="","",COUNTIFS(tbl_chests[from],$A17,tbl_chests[legalized],I$1,tbl_chests[datetime],"&gt;="&amp;TODAY()-WEEKDAY(TODAY(),2)+1,tbl_chests[datetime],"&lt;"&amp;TODAY()-WEEKDAY(TODAY(),2)+8)))</f>
        <v>0</v>
      </c>
      <c r="J17" s="36">
        <f ca="1">IF($A17="","",IF(J$1="","",COUNTIFS(tbl_chests[from],$A17,tbl_chests[legalized],J$1,tbl_chests[datetime],"&gt;="&amp;TODAY()-WEEKDAY(TODAY(),2)+1,tbl_chests[datetime],"&lt;"&amp;TODAY()-WEEKDAY(TODAY(),2)+8)))</f>
        <v>0</v>
      </c>
      <c r="K17" s="36">
        <f ca="1">IF($A17="","",IF(K$1="","",COUNTIFS(tbl_chests[from],$A17,tbl_chests[legalized],K$1,tbl_chests[datetime],"&gt;="&amp;TODAY()-WEEKDAY(TODAY(),2)+1,tbl_chests[datetime],"&lt;"&amp;TODAY()-WEEKDAY(TODAY(),2)+8)))</f>
        <v>0</v>
      </c>
      <c r="L17" s="36">
        <f ca="1">IF($A17="","",IF(L$1="","",COUNTIFS(tbl_chests[from],$A17,tbl_chests[legalized],L$1,tbl_chests[datetime],"&gt;="&amp;TODAY()-WEEKDAY(TODAY(),2)+1,tbl_chests[datetime],"&lt;"&amp;TODAY()-WEEKDAY(TODAY(),2)+8)))</f>
        <v>0</v>
      </c>
      <c r="M17" s="36">
        <f ca="1">IF($A17="","",IF(M$1="","",COUNTIFS(tbl_chests[from],$A17,tbl_chests[legalized],M$1,tbl_chests[datetime],"&gt;="&amp;TODAY()-WEEKDAY(TODAY(),2)+1,tbl_chests[datetime],"&lt;"&amp;TODAY()-WEEKDAY(TODAY(),2)+8)))</f>
        <v>0</v>
      </c>
      <c r="N17" s="36">
        <f ca="1">IF($A17="","",IF(N$1="","",COUNTIFS(tbl_chests[from],$A17,tbl_chests[legalized],N$1,tbl_chests[datetime],"&gt;="&amp;TODAY()-WEEKDAY(TODAY(),2)+1,tbl_chests[datetime],"&lt;"&amp;TODAY()-WEEKDAY(TODAY(),2)+8)))</f>
        <v>0</v>
      </c>
      <c r="O17" s="36">
        <f ca="1">IF($A17="","",IF(O$1="","",COUNTIFS(tbl_chests[from],$A17,tbl_chests[legalized],O$1,tbl_chests[datetime],"&gt;="&amp;TODAY()-WEEKDAY(TODAY(),2)+1,tbl_chests[datetime],"&lt;"&amp;TODAY()-WEEKDAY(TODAY(),2)+8)))</f>
        <v>0</v>
      </c>
      <c r="P17" s="36">
        <f ca="1">IF($A17="","",IF(P$1="","",COUNTIFS(tbl_chests[from],$A17,tbl_chests[legalized],P$1,tbl_chests[datetime],"&gt;="&amp;TODAY()-WEEKDAY(TODAY(),2)+1,tbl_chests[datetime],"&lt;"&amp;TODAY()-WEEKDAY(TODAY(),2)+8)))</f>
        <v>0</v>
      </c>
      <c r="Q17" s="36">
        <f ca="1">IF($A17="","",IF(Q$1="","",COUNTIFS(tbl_chests[from],$A17,tbl_chests[legalized],Q$1,tbl_chests[datetime],"&gt;="&amp;TODAY()-WEEKDAY(TODAY(),2)+1,tbl_chests[datetime],"&lt;"&amp;TODAY()-WEEKDAY(TODAY(),2)+8)))</f>
        <v>0</v>
      </c>
      <c r="R17" s="36">
        <f ca="1">IF($A17="","",IF(R$1="","",COUNTIFS(tbl_chests[from],$A17,tbl_chests[legalized],R$1,tbl_chests[datetime],"&gt;="&amp;TODAY()-WEEKDAY(TODAY(),2)+1,tbl_chests[datetime],"&lt;"&amp;TODAY()-WEEKDAY(TODAY(),2)+8)))</f>
        <v>0</v>
      </c>
      <c r="S17" s="36">
        <f ca="1">IF($A17="","",IF(S$1="","",COUNTIFS(tbl_chests[from],$A17,tbl_chests[legalized],S$1,tbl_chests[datetime],"&gt;="&amp;TODAY()-WEEKDAY(TODAY(),2)+1,tbl_chests[datetime],"&lt;"&amp;TODAY()-WEEKDAY(TODAY(),2)+8)))</f>
        <v>0</v>
      </c>
      <c r="T17" s="36">
        <f ca="1">IF($A17="","",IF(T$1="","",COUNTIFS(tbl_chests[from],$A17,tbl_chests[legalized],T$1,tbl_chests[datetime],"&gt;="&amp;TODAY()-WEEKDAY(TODAY(),2)+1,tbl_chests[datetime],"&lt;"&amp;TODAY()-WEEKDAY(TODAY(),2)+8)))</f>
        <v>0</v>
      </c>
      <c r="U17" s="36">
        <f ca="1">IF($A17="","",IF(U$1="","",COUNTIFS(tbl_chests[from],$A17,tbl_chests[legalized],U$1,tbl_chests[datetime],"&gt;="&amp;TODAY()-WEEKDAY(TODAY(),2)+1,tbl_chests[datetime],"&lt;"&amp;TODAY()-WEEKDAY(TODAY(),2)+8)))</f>
        <v>0</v>
      </c>
      <c r="V17" s="36">
        <f ca="1">IF($A17="","",IF(V$1="","",COUNTIFS(tbl_chests[from],$A17,tbl_chests[legalized],V$1,tbl_chests[datetime],"&gt;="&amp;TODAY()-WEEKDAY(TODAY(),2)+1,tbl_chests[datetime],"&lt;"&amp;TODAY()-WEEKDAY(TODAY(),2)+8)))</f>
        <v>0</v>
      </c>
      <c r="W17" s="36">
        <f ca="1">IF($A17="","",IF(W$1="","",COUNTIFS(tbl_chests[from],$A17,tbl_chests[legalized],W$1,tbl_chests[datetime],"&gt;="&amp;TODAY()-WEEKDAY(TODAY(),2)+1,tbl_chests[datetime],"&lt;"&amp;TODAY()-WEEKDAY(TODAY(),2)+8)))</f>
        <v>0</v>
      </c>
      <c r="X17" s="36">
        <f ca="1">IF($A17="","",IF(X$1="","",COUNTIFS(tbl_chests[from],$A17,tbl_chests[legalized],X$1,tbl_chests[datetime],"&gt;="&amp;TODAY()-WEEKDAY(TODAY(),2)+1,tbl_chests[datetime],"&lt;"&amp;TODAY()-WEEKDAY(TODAY(),2)+8)))</f>
        <v>0</v>
      </c>
      <c r="Y17" s="36">
        <f ca="1">IF($A17="","",IF(Y$1="","",COUNTIFS(tbl_chests[from],$A17,tbl_chests[legalized],Y$1,tbl_chests[datetime],"&gt;="&amp;TODAY()-WEEKDAY(TODAY(),2)+1,tbl_chests[datetime],"&lt;"&amp;TODAY()-WEEKDAY(TODAY(),2)+8)))</f>
        <v>0</v>
      </c>
      <c r="Z17" s="36">
        <f ca="1">IF($A17="","",IF(Z$1="","",COUNTIFS(tbl_chests[from],$A17,tbl_chests[legalized],Z$1,tbl_chests[datetime],"&gt;="&amp;TODAY()-WEEKDAY(TODAY(),2)+1,tbl_chests[datetime],"&lt;"&amp;TODAY()-WEEKDAY(TODAY(),2)+8)))</f>
        <v>0</v>
      </c>
      <c r="AA17" s="36">
        <f ca="1">IF($A17="","",IF(AA$1="","",COUNTIFS(tbl_chests[from],$A17,tbl_chests[legalized],AA$1,tbl_chests[datetime],"&gt;="&amp;TODAY()-WEEKDAY(TODAY(),2)+1,tbl_chests[datetime],"&lt;"&amp;TODAY()-WEEKDAY(TODAY(),2)+8)))</f>
        <v>0</v>
      </c>
      <c r="AB17" s="36">
        <f ca="1">IF($A17="","",IF(AB$1="","",COUNTIFS(tbl_chests[from],$A17,tbl_chests[legalized],AB$1,tbl_chests[datetime],"&gt;="&amp;TODAY()-WEEKDAY(TODAY(),2)+1,tbl_chests[datetime],"&lt;"&amp;TODAY()-WEEKDAY(TODAY(),2)+8)))</f>
        <v>0</v>
      </c>
      <c r="AC17" s="36">
        <f ca="1">IF($A17="","",IF(AC$1="","",COUNTIFS(tbl_chests[from],$A17,tbl_chests[legalized],AC$1,tbl_chests[datetime],"&gt;="&amp;TODAY()-WEEKDAY(TODAY(),2)+1,tbl_chests[datetime],"&lt;"&amp;TODAY()-WEEKDAY(TODAY(),2)+8)))</f>
        <v>0</v>
      </c>
      <c r="AD17" s="36">
        <f ca="1">IF($A17="","",IF(AD$1="","",COUNTIFS(tbl_chests[from],$A17,tbl_chests[legalized],AD$1,tbl_chests[datetime],"&gt;="&amp;TODAY()-WEEKDAY(TODAY(),2)+1,tbl_chests[datetime],"&lt;"&amp;TODAY()-WEEKDAY(TODAY(),2)+8)))</f>
        <v>0</v>
      </c>
      <c r="AE17" s="36">
        <f ca="1">IF($A17="","",IF(AE$1="","",COUNTIFS(tbl_chests[from],$A17,tbl_chests[legalized],AE$1,tbl_chests[datetime],"&gt;="&amp;TODAY()-WEEKDAY(TODAY(),2)+1,tbl_chests[datetime],"&lt;"&amp;TODAY()-WEEKDAY(TODAY(),2)+8)))</f>
        <v>0</v>
      </c>
      <c r="AF17" s="36">
        <f ca="1">IF($A17="","",IF(AF$1="","",COUNTIFS(tbl_chests[from],$A17,tbl_chests[legalized],AF$1,tbl_chests[datetime],"&gt;="&amp;TODAY()-WEEKDAY(TODAY(),2)+1,tbl_chests[datetime],"&lt;"&amp;TODAY()-WEEKDAY(TODAY(),2)+8)))</f>
        <v>0</v>
      </c>
      <c r="AG17" s="36">
        <f ca="1">IF($A17="","",IF(AG$1="","",COUNTIFS(tbl_chests[from],$A17,tbl_chests[legalized],AG$1,tbl_chests[datetime],"&gt;="&amp;TODAY()-WEEKDAY(TODAY(),2)+1,tbl_chests[datetime],"&lt;"&amp;TODAY()-WEEKDAY(TODAY(),2)+8)))</f>
        <v>0</v>
      </c>
      <c r="AH17" s="36">
        <f ca="1">IF($A17="","",IF(AH$1="","",COUNTIFS(tbl_chests[from],$A17,tbl_chests[legalized],AH$1,tbl_chests[datetime],"&gt;="&amp;TODAY()-WEEKDAY(TODAY(),2)+1,tbl_chests[datetime],"&lt;"&amp;TODAY()-WEEKDAY(TODAY(),2)+8)))</f>
        <v>0</v>
      </c>
      <c r="AI17" s="36">
        <f ca="1">IF($A17="","",IF(AI$1="","",COUNTIFS(tbl_chests[from],$A17,tbl_chests[legalized],AI$1,tbl_chests[datetime],"&gt;="&amp;TODAY()-WEEKDAY(TODAY(),2)+1,tbl_chests[datetime],"&lt;"&amp;TODAY()-WEEKDAY(TODAY(),2)+8)))</f>
        <v>0</v>
      </c>
      <c r="AJ17" s="36">
        <f ca="1">IF($A17="","",IF(AJ$1="","",COUNTIFS(tbl_chests[from],$A17,tbl_chests[legalized],AJ$1,tbl_chests[datetime],"&gt;="&amp;TODAY()-WEEKDAY(TODAY(),2)+1,tbl_chests[datetime],"&lt;"&amp;TODAY()-WEEKDAY(TODAY(),2)+8)))</f>
        <v>0</v>
      </c>
      <c r="AK17" s="36">
        <f ca="1">IF($A17="","",IF(AK$1="","",COUNTIFS(tbl_chests[from],$A17,tbl_chests[legalized],AK$1,tbl_chests[datetime],"&gt;="&amp;TODAY()-WEEKDAY(TODAY(),2)+1,tbl_chests[datetime],"&lt;"&amp;TODAY()-WEEKDAY(TODAY(),2)+8)))</f>
        <v>0</v>
      </c>
      <c r="AL17" s="36">
        <f ca="1">IF($A17="","",IF(AL$1="","",COUNTIFS(tbl_chests[from],$A17,tbl_chests[legalized],AL$1,tbl_chests[datetime],"&gt;="&amp;TODAY()-WEEKDAY(TODAY(),2)+1,tbl_chests[datetime],"&lt;"&amp;TODAY()-WEEKDAY(TODAY(),2)+8)))</f>
        <v>0</v>
      </c>
      <c r="AM17" s="37">
        <f ca="1">IF($A17="","",IF(AM$1="","",COUNTIFS(tbl_chests[from],$A17,tbl_chests[legalized],AM$1,tbl_chests[datetime],"&gt;="&amp;TODAY()-WEEKDAY(TODAY(),2)+1,tbl_chests[datetime],"&lt;"&amp;TODAY()-WEEKDAY(TODAY(),2)+8)))</f>
        <v>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 x14ac:dyDescent="0.25">
      <c r="A18" s="34" t="str">
        <f>chests_counter!$H15</f>
        <v>BORU</v>
      </c>
      <c r="B18" s="35" cm="1">
        <f t="array" aca="1" ref="B18" ca="1">IF(A18&lt;&gt;"", SUMPRODUCT(($C$2:$AM$2&lt;&gt;0)*(C18:AM18&lt;&gt;0)*($C$2:$AM$2)*(C18:AM18)), "")</f>
        <v>345</v>
      </c>
      <c r="C18" s="36">
        <f ca="1">IF($A18="","",IF(C$1="","",COUNTIFS(tbl_chests[from],$A18,tbl_chests[legalized],C$1,tbl_chests[datetime],"&gt;="&amp;TODAY()-WEEKDAY(TODAY(),2)+1,tbl_chests[datetime],"&lt;"&amp;TODAY()-WEEKDAY(TODAY(),2)+8)))</f>
        <v>4</v>
      </c>
      <c r="D18" s="36">
        <f ca="1">IF($A18="","",IF(D$1="","",COUNTIFS(tbl_chests[from],$A18,tbl_chests[legalized],D$1,tbl_chests[datetime],"&gt;="&amp;TODAY()-WEEKDAY(TODAY(),2)+1,tbl_chests[datetime],"&lt;"&amp;TODAY()-WEEKDAY(TODAY(),2)+8)))</f>
        <v>7</v>
      </c>
      <c r="E18" s="36">
        <f ca="1">IF($A18="","",IF(E$1="","",COUNTIFS(tbl_chests[from],$A18,tbl_chests[legalized],E$1,tbl_chests[datetime],"&gt;="&amp;TODAY()-WEEKDAY(TODAY(),2)+1,tbl_chests[datetime],"&lt;"&amp;TODAY()-WEEKDAY(TODAY(),2)+8)))</f>
        <v>2</v>
      </c>
      <c r="F18" s="36">
        <f ca="1">IF($A18="","",IF(F$1="","",COUNTIFS(tbl_chests[from],$A18,tbl_chests[legalized],F$1,tbl_chests[datetime],"&gt;="&amp;TODAY()-WEEKDAY(TODAY(),2)+1,tbl_chests[datetime],"&lt;"&amp;TODAY()-WEEKDAY(TODAY(),2)+8)))</f>
        <v>0</v>
      </c>
      <c r="G18" s="36">
        <f ca="1">IF($A18="","",IF(G$1="","",COUNTIFS(tbl_chests[from],$A18,tbl_chests[legalized],G$1,tbl_chests[datetime],"&gt;="&amp;TODAY()-WEEKDAY(TODAY(),2)+1,tbl_chests[datetime],"&lt;"&amp;TODAY()-WEEKDAY(TODAY(),2)+8)))</f>
        <v>0</v>
      </c>
      <c r="H18" s="36">
        <f ca="1">IF($A18="","",IF(H$1="","",COUNTIFS(tbl_chests[from],$A18,tbl_chests[legalized],H$1,tbl_chests[datetime],"&gt;="&amp;TODAY()-WEEKDAY(TODAY(),2)+1,tbl_chests[datetime],"&lt;"&amp;TODAY()-WEEKDAY(TODAY(),2)+8)))</f>
        <v>3</v>
      </c>
      <c r="I18" s="36">
        <f ca="1">IF($A18="","",IF(I$1="","",COUNTIFS(tbl_chests[from],$A18,tbl_chests[legalized],I$1,tbl_chests[datetime],"&gt;="&amp;TODAY()-WEEKDAY(TODAY(),2)+1,tbl_chests[datetime],"&lt;"&amp;TODAY()-WEEKDAY(TODAY(),2)+8)))</f>
        <v>0</v>
      </c>
      <c r="J18" s="36">
        <f ca="1">IF($A18="","",IF(J$1="","",COUNTIFS(tbl_chests[from],$A18,tbl_chests[legalized],J$1,tbl_chests[datetime],"&gt;="&amp;TODAY()-WEEKDAY(TODAY(),2)+1,tbl_chests[datetime],"&lt;"&amp;TODAY()-WEEKDAY(TODAY(),2)+8)))</f>
        <v>0</v>
      </c>
      <c r="K18" s="36">
        <f ca="1">IF($A18="","",IF(K$1="","",COUNTIFS(tbl_chests[from],$A18,tbl_chests[legalized],K$1,tbl_chests[datetime],"&gt;="&amp;TODAY()-WEEKDAY(TODAY(),2)+1,tbl_chests[datetime],"&lt;"&amp;TODAY()-WEEKDAY(TODAY(),2)+8)))</f>
        <v>0</v>
      </c>
      <c r="L18" s="36">
        <f ca="1">IF($A18="","",IF(L$1="","",COUNTIFS(tbl_chests[from],$A18,tbl_chests[legalized],L$1,tbl_chests[datetime],"&gt;="&amp;TODAY()-WEEKDAY(TODAY(),2)+1,tbl_chests[datetime],"&lt;"&amp;TODAY()-WEEKDAY(TODAY(),2)+8)))</f>
        <v>0</v>
      </c>
      <c r="M18" s="36">
        <f ca="1">IF($A18="","",IF(M$1="","",COUNTIFS(tbl_chests[from],$A18,tbl_chests[legalized],M$1,tbl_chests[datetime],"&gt;="&amp;TODAY()-WEEKDAY(TODAY(),2)+1,tbl_chests[datetime],"&lt;"&amp;TODAY()-WEEKDAY(TODAY(),2)+8)))</f>
        <v>2</v>
      </c>
      <c r="N18" s="36">
        <f ca="1">IF($A18="","",IF(N$1="","",COUNTIFS(tbl_chests[from],$A18,tbl_chests[legalized],N$1,tbl_chests[datetime],"&gt;="&amp;TODAY()-WEEKDAY(TODAY(),2)+1,tbl_chests[datetime],"&lt;"&amp;TODAY()-WEEKDAY(TODAY(),2)+8)))</f>
        <v>0</v>
      </c>
      <c r="O18" s="36">
        <f ca="1">IF($A18="","",IF(O$1="","",COUNTIFS(tbl_chests[from],$A18,tbl_chests[legalized],O$1,tbl_chests[datetime],"&gt;="&amp;TODAY()-WEEKDAY(TODAY(),2)+1,tbl_chests[datetime],"&lt;"&amp;TODAY()-WEEKDAY(TODAY(),2)+8)))</f>
        <v>0</v>
      </c>
      <c r="P18" s="36">
        <f ca="1">IF($A18="","",IF(P$1="","",COUNTIFS(tbl_chests[from],$A18,tbl_chests[legalized],P$1,tbl_chests[datetime],"&gt;="&amp;TODAY()-WEEKDAY(TODAY(),2)+1,tbl_chests[datetime],"&lt;"&amp;TODAY()-WEEKDAY(TODAY(),2)+8)))</f>
        <v>0</v>
      </c>
      <c r="Q18" s="36">
        <f ca="1">IF($A18="","",IF(Q$1="","",COUNTIFS(tbl_chests[from],$A18,tbl_chests[legalized],Q$1,tbl_chests[datetime],"&gt;="&amp;TODAY()-WEEKDAY(TODAY(),2)+1,tbl_chests[datetime],"&lt;"&amp;TODAY()-WEEKDAY(TODAY(),2)+8)))</f>
        <v>0</v>
      </c>
      <c r="R18" s="36">
        <f ca="1">IF($A18="","",IF(R$1="","",COUNTIFS(tbl_chests[from],$A18,tbl_chests[legalized],R$1,tbl_chests[datetime],"&gt;="&amp;TODAY()-WEEKDAY(TODAY(),2)+1,tbl_chests[datetime],"&lt;"&amp;TODAY()-WEEKDAY(TODAY(),2)+8)))</f>
        <v>1</v>
      </c>
      <c r="S18" s="36">
        <f ca="1">IF($A18="","",IF(S$1="","",COUNTIFS(tbl_chests[from],$A18,tbl_chests[legalized],S$1,tbl_chests[datetime],"&gt;="&amp;TODAY()-WEEKDAY(TODAY(),2)+1,tbl_chests[datetime],"&lt;"&amp;TODAY()-WEEKDAY(TODAY(),2)+8)))</f>
        <v>0</v>
      </c>
      <c r="T18" s="36">
        <f ca="1">IF($A18="","",IF(T$1="","",COUNTIFS(tbl_chests[from],$A18,tbl_chests[legalized],T$1,tbl_chests[datetime],"&gt;="&amp;TODAY()-WEEKDAY(TODAY(),2)+1,tbl_chests[datetime],"&lt;"&amp;TODAY()-WEEKDAY(TODAY(),2)+8)))</f>
        <v>0</v>
      </c>
      <c r="U18" s="36">
        <f ca="1">IF($A18="","",IF(U$1="","",COUNTIFS(tbl_chests[from],$A18,tbl_chests[legalized],U$1,tbl_chests[datetime],"&gt;="&amp;TODAY()-WEEKDAY(TODAY(),2)+1,tbl_chests[datetime],"&lt;"&amp;TODAY()-WEEKDAY(TODAY(),2)+8)))</f>
        <v>0</v>
      </c>
      <c r="V18" s="36">
        <f ca="1">IF($A18="","",IF(V$1="","",COUNTIFS(tbl_chests[from],$A18,tbl_chests[legalized],V$1,tbl_chests[datetime],"&gt;="&amp;TODAY()-WEEKDAY(TODAY(),2)+1,tbl_chests[datetime],"&lt;"&amp;TODAY()-WEEKDAY(TODAY(),2)+8)))</f>
        <v>0</v>
      </c>
      <c r="W18" s="36">
        <f ca="1">IF($A18="","",IF(W$1="","",COUNTIFS(tbl_chests[from],$A18,tbl_chests[legalized],W$1,tbl_chests[datetime],"&gt;="&amp;TODAY()-WEEKDAY(TODAY(),2)+1,tbl_chests[datetime],"&lt;"&amp;TODAY()-WEEKDAY(TODAY(),2)+8)))</f>
        <v>0</v>
      </c>
      <c r="X18" s="36">
        <f ca="1">IF($A18="","",IF(X$1="","",COUNTIFS(tbl_chests[from],$A18,tbl_chests[legalized],X$1,tbl_chests[datetime],"&gt;="&amp;TODAY()-WEEKDAY(TODAY(),2)+1,tbl_chests[datetime],"&lt;"&amp;TODAY()-WEEKDAY(TODAY(),2)+8)))</f>
        <v>0</v>
      </c>
      <c r="Y18" s="36">
        <f ca="1">IF($A18="","",IF(Y$1="","",COUNTIFS(tbl_chests[from],$A18,tbl_chests[legalized],Y$1,tbl_chests[datetime],"&gt;="&amp;TODAY()-WEEKDAY(TODAY(),2)+1,tbl_chests[datetime],"&lt;"&amp;TODAY()-WEEKDAY(TODAY(),2)+8)))</f>
        <v>0</v>
      </c>
      <c r="Z18" s="36">
        <f ca="1">IF($A18="","",IF(Z$1="","",COUNTIFS(tbl_chests[from],$A18,tbl_chests[legalized],Z$1,tbl_chests[datetime],"&gt;="&amp;TODAY()-WEEKDAY(TODAY(),2)+1,tbl_chests[datetime],"&lt;"&amp;TODAY()-WEEKDAY(TODAY(),2)+8)))</f>
        <v>0</v>
      </c>
      <c r="AA18" s="36">
        <f ca="1">IF($A18="","",IF(AA$1="","",COUNTIFS(tbl_chests[from],$A18,tbl_chests[legalized],AA$1,tbl_chests[datetime],"&gt;="&amp;TODAY()-WEEKDAY(TODAY(),2)+1,tbl_chests[datetime],"&lt;"&amp;TODAY()-WEEKDAY(TODAY(),2)+8)))</f>
        <v>0</v>
      </c>
      <c r="AB18" s="36">
        <f ca="1">IF($A18="","",IF(AB$1="","",COUNTIFS(tbl_chests[from],$A18,tbl_chests[legalized],AB$1,tbl_chests[datetime],"&gt;="&amp;TODAY()-WEEKDAY(TODAY(),2)+1,tbl_chests[datetime],"&lt;"&amp;TODAY()-WEEKDAY(TODAY(),2)+8)))</f>
        <v>0</v>
      </c>
      <c r="AC18" s="36">
        <f ca="1">IF($A18="","",IF(AC$1="","",COUNTIFS(tbl_chests[from],$A18,tbl_chests[legalized],AC$1,tbl_chests[datetime],"&gt;="&amp;TODAY()-WEEKDAY(TODAY(),2)+1,tbl_chests[datetime],"&lt;"&amp;TODAY()-WEEKDAY(TODAY(),2)+8)))</f>
        <v>0</v>
      </c>
      <c r="AD18" s="36">
        <f ca="1">IF($A18="","",IF(AD$1="","",COUNTIFS(tbl_chests[from],$A18,tbl_chests[legalized],AD$1,tbl_chests[datetime],"&gt;="&amp;TODAY()-WEEKDAY(TODAY(),2)+1,tbl_chests[datetime],"&lt;"&amp;TODAY()-WEEKDAY(TODAY(),2)+8)))</f>
        <v>0</v>
      </c>
      <c r="AE18" s="36">
        <f ca="1">IF($A18="","",IF(AE$1="","",COUNTIFS(tbl_chests[from],$A18,tbl_chests[legalized],AE$1,tbl_chests[datetime],"&gt;="&amp;TODAY()-WEEKDAY(TODAY(),2)+1,tbl_chests[datetime],"&lt;"&amp;TODAY()-WEEKDAY(TODAY(),2)+8)))</f>
        <v>1</v>
      </c>
      <c r="AF18" s="36">
        <f ca="1">IF($A18="","",IF(AF$1="","",COUNTIFS(tbl_chests[from],$A18,tbl_chests[legalized],AF$1,tbl_chests[datetime],"&gt;="&amp;TODAY()-WEEKDAY(TODAY(),2)+1,tbl_chests[datetime],"&lt;"&amp;TODAY()-WEEKDAY(TODAY(),2)+8)))</f>
        <v>0</v>
      </c>
      <c r="AG18" s="36">
        <f ca="1">IF($A18="","",IF(AG$1="","",COUNTIFS(tbl_chests[from],$A18,tbl_chests[legalized],AG$1,tbl_chests[datetime],"&gt;="&amp;TODAY()-WEEKDAY(TODAY(),2)+1,tbl_chests[datetime],"&lt;"&amp;TODAY()-WEEKDAY(TODAY(),2)+8)))</f>
        <v>0</v>
      </c>
      <c r="AH18" s="36">
        <f ca="1">IF($A18="","",IF(AH$1="","",COUNTIFS(tbl_chests[from],$A18,tbl_chests[legalized],AH$1,tbl_chests[datetime],"&gt;="&amp;TODAY()-WEEKDAY(TODAY(),2)+1,tbl_chests[datetime],"&lt;"&amp;TODAY()-WEEKDAY(TODAY(),2)+8)))</f>
        <v>0</v>
      </c>
      <c r="AI18" s="36">
        <f ca="1">IF($A18="","",IF(AI$1="","",COUNTIFS(tbl_chests[from],$A18,tbl_chests[legalized],AI$1,tbl_chests[datetime],"&gt;="&amp;TODAY()-WEEKDAY(TODAY(),2)+1,tbl_chests[datetime],"&lt;"&amp;TODAY()-WEEKDAY(TODAY(),2)+8)))</f>
        <v>0</v>
      </c>
      <c r="AJ18" s="36">
        <f ca="1">IF($A18="","",IF(AJ$1="","",COUNTIFS(tbl_chests[from],$A18,tbl_chests[legalized],AJ$1,tbl_chests[datetime],"&gt;="&amp;TODAY()-WEEKDAY(TODAY(),2)+1,tbl_chests[datetime],"&lt;"&amp;TODAY()-WEEKDAY(TODAY(),2)+8)))</f>
        <v>0</v>
      </c>
      <c r="AK18" s="36">
        <f ca="1">IF($A18="","",IF(AK$1="","",COUNTIFS(tbl_chests[from],$A18,tbl_chests[legalized],AK$1,tbl_chests[datetime],"&gt;="&amp;TODAY()-WEEKDAY(TODAY(),2)+1,tbl_chests[datetime],"&lt;"&amp;TODAY()-WEEKDAY(TODAY(),2)+8)))</f>
        <v>0</v>
      </c>
      <c r="AL18" s="36">
        <f ca="1">IF($A18="","",IF(AL$1="","",COUNTIFS(tbl_chests[from],$A18,tbl_chests[legalized],AL$1,tbl_chests[datetime],"&gt;="&amp;TODAY()-WEEKDAY(TODAY(),2)+1,tbl_chests[datetime],"&lt;"&amp;TODAY()-WEEKDAY(TODAY(),2)+8)))</f>
        <v>0</v>
      </c>
      <c r="AM18" s="37">
        <f ca="1">IF($A18="","",IF(AM$1="","",COUNTIFS(tbl_chests[from],$A18,tbl_chests[legalized],AM$1,tbl_chests[datetime],"&gt;="&amp;TODAY()-WEEKDAY(TODAY(),2)+1,tbl_chests[datetime],"&lt;"&amp;TODAY()-WEEKDAY(TODAY(),2)+8)))</f>
        <v>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 x14ac:dyDescent="0.25">
      <c r="A19" s="34" t="str">
        <f>chests_counter!$H16</f>
        <v>Burgs</v>
      </c>
      <c r="B19" s="35" cm="1">
        <f t="array" aca="1" ref="B19" ca="1">IF(A19&lt;&gt;"", SUMPRODUCT(($C$2:$AM$2&lt;&gt;0)*(C19:AM19&lt;&gt;0)*($C$2:$AM$2)*(C19:AM19)), "")</f>
        <v>735</v>
      </c>
      <c r="C19" s="36">
        <f ca="1">IF($A19="","",IF(C$1="","",COUNTIFS(tbl_chests[from],$A19,tbl_chests[legalized],C$1,tbl_chests[datetime],"&gt;="&amp;TODAY()-WEEKDAY(TODAY(),2)+1,tbl_chests[datetime],"&lt;"&amp;TODAY()-WEEKDAY(TODAY(),2)+8)))</f>
        <v>4</v>
      </c>
      <c r="D19" s="36">
        <f ca="1">IF($A19="","",IF(D$1="","",COUNTIFS(tbl_chests[from],$A19,tbl_chests[legalized],D$1,tbl_chests[datetime],"&gt;="&amp;TODAY()-WEEKDAY(TODAY(),2)+1,tbl_chests[datetime],"&lt;"&amp;TODAY()-WEEKDAY(TODAY(),2)+8)))</f>
        <v>21</v>
      </c>
      <c r="E19" s="36">
        <f ca="1">IF($A19="","",IF(E$1="","",COUNTIFS(tbl_chests[from],$A19,tbl_chests[legalized],E$1,tbl_chests[datetime],"&gt;="&amp;TODAY()-WEEKDAY(TODAY(),2)+1,tbl_chests[datetime],"&lt;"&amp;TODAY()-WEEKDAY(TODAY(),2)+8)))</f>
        <v>1</v>
      </c>
      <c r="F19" s="36">
        <f ca="1">IF($A19="","",IF(F$1="","",COUNTIFS(tbl_chests[from],$A19,tbl_chests[legalized],F$1,tbl_chests[datetime],"&gt;="&amp;TODAY()-WEEKDAY(TODAY(),2)+1,tbl_chests[datetime],"&lt;"&amp;TODAY()-WEEKDAY(TODAY(),2)+8)))</f>
        <v>2</v>
      </c>
      <c r="G19" s="36">
        <f ca="1">IF($A19="","",IF(G$1="","",COUNTIFS(tbl_chests[from],$A19,tbl_chests[legalized],G$1,tbl_chests[datetime],"&gt;="&amp;TODAY()-WEEKDAY(TODAY(),2)+1,tbl_chests[datetime],"&lt;"&amp;TODAY()-WEEKDAY(TODAY(),2)+8)))</f>
        <v>0</v>
      </c>
      <c r="H19" s="36">
        <f ca="1">IF($A19="","",IF(H$1="","",COUNTIFS(tbl_chests[from],$A19,tbl_chests[legalized],H$1,tbl_chests[datetime],"&gt;="&amp;TODAY()-WEEKDAY(TODAY(),2)+1,tbl_chests[datetime],"&lt;"&amp;TODAY()-WEEKDAY(TODAY(),2)+8)))</f>
        <v>4</v>
      </c>
      <c r="I19" s="36">
        <f ca="1">IF($A19="","",IF(I$1="","",COUNTIFS(tbl_chests[from],$A19,tbl_chests[legalized],I$1,tbl_chests[datetime],"&gt;="&amp;TODAY()-WEEKDAY(TODAY(),2)+1,tbl_chests[datetime],"&lt;"&amp;TODAY()-WEEKDAY(TODAY(),2)+8)))</f>
        <v>0</v>
      </c>
      <c r="J19" s="36">
        <f ca="1">IF($A19="","",IF(J$1="","",COUNTIFS(tbl_chests[from],$A19,tbl_chests[legalized],J$1,tbl_chests[datetime],"&gt;="&amp;TODAY()-WEEKDAY(TODAY(),2)+1,tbl_chests[datetime],"&lt;"&amp;TODAY()-WEEKDAY(TODAY(),2)+8)))</f>
        <v>0</v>
      </c>
      <c r="K19" s="36">
        <f ca="1">IF($A19="","",IF(K$1="","",COUNTIFS(tbl_chests[from],$A19,tbl_chests[legalized],K$1,tbl_chests[datetime],"&gt;="&amp;TODAY()-WEEKDAY(TODAY(),2)+1,tbl_chests[datetime],"&lt;"&amp;TODAY()-WEEKDAY(TODAY(),2)+8)))</f>
        <v>0</v>
      </c>
      <c r="L19" s="36">
        <f ca="1">IF($A19="","",IF(L$1="","",COUNTIFS(tbl_chests[from],$A19,tbl_chests[legalized],L$1,tbl_chests[datetime],"&gt;="&amp;TODAY()-WEEKDAY(TODAY(),2)+1,tbl_chests[datetime],"&lt;"&amp;TODAY()-WEEKDAY(TODAY(),2)+8)))</f>
        <v>0</v>
      </c>
      <c r="M19" s="36">
        <f ca="1">IF($A19="","",IF(M$1="","",COUNTIFS(tbl_chests[from],$A19,tbl_chests[legalized],M$1,tbl_chests[datetime],"&gt;="&amp;TODAY()-WEEKDAY(TODAY(),2)+1,tbl_chests[datetime],"&lt;"&amp;TODAY()-WEEKDAY(TODAY(),2)+8)))</f>
        <v>2</v>
      </c>
      <c r="N19" s="36">
        <f ca="1">IF($A19="","",IF(N$1="","",COUNTIFS(tbl_chests[from],$A19,tbl_chests[legalized],N$1,tbl_chests[datetime],"&gt;="&amp;TODAY()-WEEKDAY(TODAY(),2)+1,tbl_chests[datetime],"&lt;"&amp;TODAY()-WEEKDAY(TODAY(),2)+8)))</f>
        <v>0</v>
      </c>
      <c r="O19" s="36">
        <f ca="1">IF($A19="","",IF(O$1="","",COUNTIFS(tbl_chests[from],$A19,tbl_chests[legalized],O$1,tbl_chests[datetime],"&gt;="&amp;TODAY()-WEEKDAY(TODAY(),2)+1,tbl_chests[datetime],"&lt;"&amp;TODAY()-WEEKDAY(TODAY(),2)+8)))</f>
        <v>0</v>
      </c>
      <c r="P19" s="36">
        <f ca="1">IF($A19="","",IF(P$1="","",COUNTIFS(tbl_chests[from],$A19,tbl_chests[legalized],P$1,tbl_chests[datetime],"&gt;="&amp;TODAY()-WEEKDAY(TODAY(),2)+1,tbl_chests[datetime],"&lt;"&amp;TODAY()-WEEKDAY(TODAY(),2)+8)))</f>
        <v>0</v>
      </c>
      <c r="Q19" s="36">
        <f ca="1">IF($A19="","",IF(Q$1="","",COUNTIFS(tbl_chests[from],$A19,tbl_chests[legalized],Q$1,tbl_chests[datetime],"&gt;="&amp;TODAY()-WEEKDAY(TODAY(),2)+1,tbl_chests[datetime],"&lt;"&amp;TODAY()-WEEKDAY(TODAY(),2)+8)))</f>
        <v>0</v>
      </c>
      <c r="R19" s="36">
        <f ca="1">IF($A19="","",IF(R$1="","",COUNTIFS(tbl_chests[from],$A19,tbl_chests[legalized],R$1,tbl_chests[datetime],"&gt;="&amp;TODAY()-WEEKDAY(TODAY(),2)+1,tbl_chests[datetime],"&lt;"&amp;TODAY()-WEEKDAY(TODAY(),2)+8)))</f>
        <v>3</v>
      </c>
      <c r="S19" s="36">
        <f ca="1">IF($A19="","",IF(S$1="","",COUNTIFS(tbl_chests[from],$A19,tbl_chests[legalized],S$1,tbl_chests[datetime],"&gt;="&amp;TODAY()-WEEKDAY(TODAY(),2)+1,tbl_chests[datetime],"&lt;"&amp;TODAY()-WEEKDAY(TODAY(),2)+8)))</f>
        <v>0</v>
      </c>
      <c r="T19" s="36">
        <f ca="1">IF($A19="","",IF(T$1="","",COUNTIFS(tbl_chests[from],$A19,tbl_chests[legalized],T$1,tbl_chests[datetime],"&gt;="&amp;TODAY()-WEEKDAY(TODAY(),2)+1,tbl_chests[datetime],"&lt;"&amp;TODAY()-WEEKDAY(TODAY(),2)+8)))</f>
        <v>0</v>
      </c>
      <c r="U19" s="36">
        <f ca="1">IF($A19="","",IF(U$1="","",COUNTIFS(tbl_chests[from],$A19,tbl_chests[legalized],U$1,tbl_chests[datetime],"&gt;="&amp;TODAY()-WEEKDAY(TODAY(),2)+1,tbl_chests[datetime],"&lt;"&amp;TODAY()-WEEKDAY(TODAY(),2)+8)))</f>
        <v>0</v>
      </c>
      <c r="V19" s="36">
        <f ca="1">IF($A19="","",IF(V$1="","",COUNTIFS(tbl_chests[from],$A19,tbl_chests[legalized],V$1,tbl_chests[datetime],"&gt;="&amp;TODAY()-WEEKDAY(TODAY(),2)+1,tbl_chests[datetime],"&lt;"&amp;TODAY()-WEEKDAY(TODAY(),2)+8)))</f>
        <v>0</v>
      </c>
      <c r="W19" s="36">
        <f ca="1">IF($A19="","",IF(W$1="","",COUNTIFS(tbl_chests[from],$A19,tbl_chests[legalized],W$1,tbl_chests[datetime],"&gt;="&amp;TODAY()-WEEKDAY(TODAY(),2)+1,tbl_chests[datetime],"&lt;"&amp;TODAY()-WEEKDAY(TODAY(),2)+8)))</f>
        <v>0</v>
      </c>
      <c r="X19" s="36">
        <f ca="1">IF($A19="","",IF(X$1="","",COUNTIFS(tbl_chests[from],$A19,tbl_chests[legalized],X$1,tbl_chests[datetime],"&gt;="&amp;TODAY()-WEEKDAY(TODAY(),2)+1,tbl_chests[datetime],"&lt;"&amp;TODAY()-WEEKDAY(TODAY(),2)+8)))</f>
        <v>0</v>
      </c>
      <c r="Y19" s="36">
        <f ca="1">IF($A19="","",IF(Y$1="","",COUNTIFS(tbl_chests[from],$A19,tbl_chests[legalized],Y$1,tbl_chests[datetime],"&gt;="&amp;TODAY()-WEEKDAY(TODAY(),2)+1,tbl_chests[datetime],"&lt;"&amp;TODAY()-WEEKDAY(TODAY(),2)+8)))</f>
        <v>0</v>
      </c>
      <c r="Z19" s="36">
        <f ca="1">IF($A19="","",IF(Z$1="","",COUNTIFS(tbl_chests[from],$A19,tbl_chests[legalized],Z$1,tbl_chests[datetime],"&gt;="&amp;TODAY()-WEEKDAY(TODAY(),2)+1,tbl_chests[datetime],"&lt;"&amp;TODAY()-WEEKDAY(TODAY(),2)+8)))</f>
        <v>0</v>
      </c>
      <c r="AA19" s="36">
        <f ca="1">IF($A19="","",IF(AA$1="","",COUNTIFS(tbl_chests[from],$A19,tbl_chests[legalized],AA$1,tbl_chests[datetime],"&gt;="&amp;TODAY()-WEEKDAY(TODAY(),2)+1,tbl_chests[datetime],"&lt;"&amp;TODAY()-WEEKDAY(TODAY(),2)+8)))</f>
        <v>0</v>
      </c>
      <c r="AB19" s="36">
        <f ca="1">IF($A19="","",IF(AB$1="","",COUNTIFS(tbl_chests[from],$A19,tbl_chests[legalized],AB$1,tbl_chests[datetime],"&gt;="&amp;TODAY()-WEEKDAY(TODAY(),2)+1,tbl_chests[datetime],"&lt;"&amp;TODAY()-WEEKDAY(TODAY(),2)+8)))</f>
        <v>0</v>
      </c>
      <c r="AC19" s="36">
        <f ca="1">IF($A19="","",IF(AC$1="","",COUNTIFS(tbl_chests[from],$A19,tbl_chests[legalized],AC$1,tbl_chests[datetime],"&gt;="&amp;TODAY()-WEEKDAY(TODAY(),2)+1,tbl_chests[datetime],"&lt;"&amp;TODAY()-WEEKDAY(TODAY(),2)+8)))</f>
        <v>0</v>
      </c>
      <c r="AD19" s="36">
        <f ca="1">IF($A19="","",IF(AD$1="","",COUNTIFS(tbl_chests[from],$A19,tbl_chests[legalized],AD$1,tbl_chests[datetime],"&gt;="&amp;TODAY()-WEEKDAY(TODAY(),2)+1,tbl_chests[datetime],"&lt;"&amp;TODAY()-WEEKDAY(TODAY(),2)+8)))</f>
        <v>0</v>
      </c>
      <c r="AE19" s="36">
        <f ca="1">IF($A19="","",IF(AE$1="","",COUNTIFS(tbl_chests[from],$A19,tbl_chests[legalized],AE$1,tbl_chests[datetime],"&gt;="&amp;TODAY()-WEEKDAY(TODAY(),2)+1,tbl_chests[datetime],"&lt;"&amp;TODAY()-WEEKDAY(TODAY(),2)+8)))</f>
        <v>7</v>
      </c>
      <c r="AF19" s="36">
        <f ca="1">IF($A19="","",IF(AF$1="","",COUNTIFS(tbl_chests[from],$A19,tbl_chests[legalized],AF$1,tbl_chests[datetime],"&gt;="&amp;TODAY()-WEEKDAY(TODAY(),2)+1,tbl_chests[datetime],"&lt;"&amp;TODAY()-WEEKDAY(TODAY(),2)+8)))</f>
        <v>0</v>
      </c>
      <c r="AG19" s="36">
        <f ca="1">IF($A19="","",IF(AG$1="","",COUNTIFS(tbl_chests[from],$A19,tbl_chests[legalized],AG$1,tbl_chests[datetime],"&gt;="&amp;TODAY()-WEEKDAY(TODAY(),2)+1,tbl_chests[datetime],"&lt;"&amp;TODAY()-WEEKDAY(TODAY(),2)+8)))</f>
        <v>0</v>
      </c>
      <c r="AH19" s="36">
        <f ca="1">IF($A19="","",IF(AH$1="","",COUNTIFS(tbl_chests[from],$A19,tbl_chests[legalized],AH$1,tbl_chests[datetime],"&gt;="&amp;TODAY()-WEEKDAY(TODAY(),2)+1,tbl_chests[datetime],"&lt;"&amp;TODAY()-WEEKDAY(TODAY(),2)+8)))</f>
        <v>0</v>
      </c>
      <c r="AI19" s="36">
        <f ca="1">IF($A19="","",IF(AI$1="","",COUNTIFS(tbl_chests[from],$A19,tbl_chests[legalized],AI$1,tbl_chests[datetime],"&gt;="&amp;TODAY()-WEEKDAY(TODAY(),2)+1,tbl_chests[datetime],"&lt;"&amp;TODAY()-WEEKDAY(TODAY(),2)+8)))</f>
        <v>0</v>
      </c>
      <c r="AJ19" s="36">
        <f ca="1">IF($A19="","",IF(AJ$1="","",COUNTIFS(tbl_chests[from],$A19,tbl_chests[legalized],AJ$1,tbl_chests[datetime],"&gt;="&amp;TODAY()-WEEKDAY(TODAY(),2)+1,tbl_chests[datetime],"&lt;"&amp;TODAY()-WEEKDAY(TODAY(),2)+8)))</f>
        <v>0</v>
      </c>
      <c r="AK19" s="36">
        <f ca="1">IF($A19="","",IF(AK$1="","",COUNTIFS(tbl_chests[from],$A19,tbl_chests[legalized],AK$1,tbl_chests[datetime],"&gt;="&amp;TODAY()-WEEKDAY(TODAY(),2)+1,tbl_chests[datetime],"&lt;"&amp;TODAY()-WEEKDAY(TODAY(),2)+8)))</f>
        <v>0</v>
      </c>
      <c r="AL19" s="36">
        <f ca="1">IF($A19="","",IF(AL$1="","",COUNTIFS(tbl_chests[from],$A19,tbl_chests[legalized],AL$1,tbl_chests[datetime],"&gt;="&amp;TODAY()-WEEKDAY(TODAY(),2)+1,tbl_chests[datetime],"&lt;"&amp;TODAY()-WEEKDAY(TODAY(),2)+8)))</f>
        <v>0</v>
      </c>
      <c r="AM19" s="37">
        <f ca="1">IF($A19="","",IF(AM$1="","",COUNTIFS(tbl_chests[from],$A19,tbl_chests[legalized],AM$1,tbl_chests[datetime],"&gt;="&amp;TODAY()-WEEKDAY(TODAY(),2)+1,tbl_chests[datetime],"&lt;"&amp;TODAY()-WEEKDAY(TODAY(),2)+8)))</f>
        <v>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 x14ac:dyDescent="0.25">
      <c r="A20" s="34" t="str">
        <f>chests_counter!$H17</f>
        <v>CAPONE</v>
      </c>
      <c r="B20" s="35" cm="1">
        <f t="array" aca="1" ref="B20" ca="1">IF(A20&lt;&gt;"", SUMPRODUCT(($C$2:$AM$2&lt;&gt;0)*(C20:AM20&lt;&gt;0)*($C$2:$AM$2)*(C20:AM20)), "")</f>
        <v>440</v>
      </c>
      <c r="C20" s="36">
        <f ca="1">IF($A20="","",IF(C$1="","",COUNTIFS(tbl_chests[from],$A20,tbl_chests[legalized],C$1,tbl_chests[datetime],"&gt;="&amp;TODAY()-WEEKDAY(TODAY(),2)+1,tbl_chests[datetime],"&lt;"&amp;TODAY()-WEEKDAY(TODAY(),2)+8)))</f>
        <v>36</v>
      </c>
      <c r="D20" s="36">
        <f ca="1">IF($A20="","",IF(D$1="","",COUNTIFS(tbl_chests[from],$A20,tbl_chests[legalized],D$1,tbl_chests[datetime],"&gt;="&amp;TODAY()-WEEKDAY(TODAY(),2)+1,tbl_chests[datetime],"&lt;"&amp;TODAY()-WEEKDAY(TODAY(),2)+8)))</f>
        <v>4</v>
      </c>
      <c r="E20" s="36">
        <f ca="1">IF($A20="","",IF(E$1="","",COUNTIFS(tbl_chests[from],$A20,tbl_chests[legalized],E$1,tbl_chests[datetime],"&gt;="&amp;TODAY()-WEEKDAY(TODAY(),2)+1,tbl_chests[datetime],"&lt;"&amp;TODAY()-WEEKDAY(TODAY(),2)+8)))</f>
        <v>0</v>
      </c>
      <c r="F20" s="36">
        <f ca="1">IF($A20="","",IF(F$1="","",COUNTIFS(tbl_chests[from],$A20,tbl_chests[legalized],F$1,tbl_chests[datetime],"&gt;="&amp;TODAY()-WEEKDAY(TODAY(),2)+1,tbl_chests[datetime],"&lt;"&amp;TODAY()-WEEKDAY(TODAY(),2)+8)))</f>
        <v>0</v>
      </c>
      <c r="G20" s="36">
        <f ca="1">IF($A20="","",IF(G$1="","",COUNTIFS(tbl_chests[from],$A20,tbl_chests[legalized],G$1,tbl_chests[datetime],"&gt;="&amp;TODAY()-WEEKDAY(TODAY(),2)+1,tbl_chests[datetime],"&lt;"&amp;TODAY()-WEEKDAY(TODAY(),2)+8)))</f>
        <v>0</v>
      </c>
      <c r="H20" s="36">
        <f ca="1">IF($A20="","",IF(H$1="","",COUNTIFS(tbl_chests[from],$A20,tbl_chests[legalized],H$1,tbl_chests[datetime],"&gt;="&amp;TODAY()-WEEKDAY(TODAY(),2)+1,tbl_chests[datetime],"&lt;"&amp;TODAY()-WEEKDAY(TODAY(),2)+8)))</f>
        <v>0</v>
      </c>
      <c r="I20" s="36">
        <f ca="1">IF($A20="","",IF(I$1="","",COUNTIFS(tbl_chests[from],$A20,tbl_chests[legalized],I$1,tbl_chests[datetime],"&gt;="&amp;TODAY()-WEEKDAY(TODAY(),2)+1,tbl_chests[datetime],"&lt;"&amp;TODAY()-WEEKDAY(TODAY(),2)+8)))</f>
        <v>0</v>
      </c>
      <c r="J20" s="36">
        <f ca="1">IF($A20="","",IF(J$1="","",COUNTIFS(tbl_chests[from],$A20,tbl_chests[legalized],J$1,tbl_chests[datetime],"&gt;="&amp;TODAY()-WEEKDAY(TODAY(),2)+1,tbl_chests[datetime],"&lt;"&amp;TODAY()-WEEKDAY(TODAY(),2)+8)))</f>
        <v>0</v>
      </c>
      <c r="K20" s="36">
        <f ca="1">IF($A20="","",IF(K$1="","",COUNTIFS(tbl_chests[from],$A20,tbl_chests[legalized],K$1,tbl_chests[datetime],"&gt;="&amp;TODAY()-WEEKDAY(TODAY(),2)+1,tbl_chests[datetime],"&lt;"&amp;TODAY()-WEEKDAY(TODAY(),2)+8)))</f>
        <v>0</v>
      </c>
      <c r="L20" s="36">
        <f ca="1">IF($A20="","",IF(L$1="","",COUNTIFS(tbl_chests[from],$A20,tbl_chests[legalized],L$1,tbl_chests[datetime],"&gt;="&amp;TODAY()-WEEKDAY(TODAY(),2)+1,tbl_chests[datetime],"&lt;"&amp;TODAY()-WEEKDAY(TODAY(),2)+8)))</f>
        <v>0</v>
      </c>
      <c r="M20" s="36">
        <f ca="1">IF($A20="","",IF(M$1="","",COUNTIFS(tbl_chests[from],$A20,tbl_chests[legalized],M$1,tbl_chests[datetime],"&gt;="&amp;TODAY()-WEEKDAY(TODAY(),2)+1,tbl_chests[datetime],"&lt;"&amp;TODAY()-WEEKDAY(TODAY(),2)+8)))</f>
        <v>0</v>
      </c>
      <c r="N20" s="36">
        <f ca="1">IF($A20="","",IF(N$1="","",COUNTIFS(tbl_chests[from],$A20,tbl_chests[legalized],N$1,tbl_chests[datetime],"&gt;="&amp;TODAY()-WEEKDAY(TODAY(),2)+1,tbl_chests[datetime],"&lt;"&amp;TODAY()-WEEKDAY(TODAY(),2)+8)))</f>
        <v>0</v>
      </c>
      <c r="O20" s="36">
        <f ca="1">IF($A20="","",IF(O$1="","",COUNTIFS(tbl_chests[from],$A20,tbl_chests[legalized],O$1,tbl_chests[datetime],"&gt;="&amp;TODAY()-WEEKDAY(TODAY(),2)+1,tbl_chests[datetime],"&lt;"&amp;TODAY()-WEEKDAY(TODAY(),2)+8)))</f>
        <v>0</v>
      </c>
      <c r="P20" s="36">
        <f ca="1">IF($A20="","",IF(P$1="","",COUNTIFS(tbl_chests[from],$A20,tbl_chests[legalized],P$1,tbl_chests[datetime],"&gt;="&amp;TODAY()-WEEKDAY(TODAY(),2)+1,tbl_chests[datetime],"&lt;"&amp;TODAY()-WEEKDAY(TODAY(),2)+8)))</f>
        <v>0</v>
      </c>
      <c r="Q20" s="36">
        <f ca="1">IF($A20="","",IF(Q$1="","",COUNTIFS(tbl_chests[from],$A20,tbl_chests[legalized],Q$1,tbl_chests[datetime],"&gt;="&amp;TODAY()-WEEKDAY(TODAY(),2)+1,tbl_chests[datetime],"&lt;"&amp;TODAY()-WEEKDAY(TODAY(),2)+8)))</f>
        <v>0</v>
      </c>
      <c r="R20" s="36">
        <f ca="1">IF($A20="","",IF(R$1="","",COUNTIFS(tbl_chests[from],$A20,tbl_chests[legalized],R$1,tbl_chests[datetime],"&gt;="&amp;TODAY()-WEEKDAY(TODAY(),2)+1,tbl_chests[datetime],"&lt;"&amp;TODAY()-WEEKDAY(TODAY(),2)+8)))</f>
        <v>0</v>
      </c>
      <c r="S20" s="36">
        <f ca="1">IF($A20="","",IF(S$1="","",COUNTIFS(tbl_chests[from],$A20,tbl_chests[legalized],S$1,tbl_chests[datetime],"&gt;="&amp;TODAY()-WEEKDAY(TODAY(),2)+1,tbl_chests[datetime],"&lt;"&amp;TODAY()-WEEKDAY(TODAY(),2)+8)))</f>
        <v>0</v>
      </c>
      <c r="T20" s="36">
        <f ca="1">IF($A20="","",IF(T$1="","",COUNTIFS(tbl_chests[from],$A20,tbl_chests[legalized],T$1,tbl_chests[datetime],"&gt;="&amp;TODAY()-WEEKDAY(TODAY(),2)+1,tbl_chests[datetime],"&lt;"&amp;TODAY()-WEEKDAY(TODAY(),2)+8)))</f>
        <v>0</v>
      </c>
      <c r="U20" s="36">
        <f ca="1">IF($A20="","",IF(U$1="","",COUNTIFS(tbl_chests[from],$A20,tbl_chests[legalized],U$1,tbl_chests[datetime],"&gt;="&amp;TODAY()-WEEKDAY(TODAY(),2)+1,tbl_chests[datetime],"&lt;"&amp;TODAY()-WEEKDAY(TODAY(),2)+8)))</f>
        <v>0</v>
      </c>
      <c r="V20" s="36">
        <f ca="1">IF($A20="","",IF(V$1="","",COUNTIFS(tbl_chests[from],$A20,tbl_chests[legalized],V$1,tbl_chests[datetime],"&gt;="&amp;TODAY()-WEEKDAY(TODAY(),2)+1,tbl_chests[datetime],"&lt;"&amp;TODAY()-WEEKDAY(TODAY(),2)+8)))</f>
        <v>0</v>
      </c>
      <c r="W20" s="36">
        <f ca="1">IF($A20="","",IF(W$1="","",COUNTIFS(tbl_chests[from],$A20,tbl_chests[legalized],W$1,tbl_chests[datetime],"&gt;="&amp;TODAY()-WEEKDAY(TODAY(),2)+1,tbl_chests[datetime],"&lt;"&amp;TODAY()-WEEKDAY(TODAY(),2)+8)))</f>
        <v>0</v>
      </c>
      <c r="X20" s="36">
        <f ca="1">IF($A20="","",IF(X$1="","",COUNTIFS(tbl_chests[from],$A20,tbl_chests[legalized],X$1,tbl_chests[datetime],"&gt;="&amp;TODAY()-WEEKDAY(TODAY(),2)+1,tbl_chests[datetime],"&lt;"&amp;TODAY()-WEEKDAY(TODAY(),2)+8)))</f>
        <v>0</v>
      </c>
      <c r="Y20" s="36">
        <f ca="1">IF($A20="","",IF(Y$1="","",COUNTIFS(tbl_chests[from],$A20,tbl_chests[legalized],Y$1,tbl_chests[datetime],"&gt;="&amp;TODAY()-WEEKDAY(TODAY(),2)+1,tbl_chests[datetime],"&lt;"&amp;TODAY()-WEEKDAY(TODAY(),2)+8)))</f>
        <v>0</v>
      </c>
      <c r="Z20" s="36">
        <f ca="1">IF($A20="","",IF(Z$1="","",COUNTIFS(tbl_chests[from],$A20,tbl_chests[legalized],Z$1,tbl_chests[datetime],"&gt;="&amp;TODAY()-WEEKDAY(TODAY(),2)+1,tbl_chests[datetime],"&lt;"&amp;TODAY()-WEEKDAY(TODAY(),2)+8)))</f>
        <v>0</v>
      </c>
      <c r="AA20" s="36">
        <f ca="1">IF($A20="","",IF(AA$1="","",COUNTIFS(tbl_chests[from],$A20,tbl_chests[legalized],AA$1,tbl_chests[datetime],"&gt;="&amp;TODAY()-WEEKDAY(TODAY(),2)+1,tbl_chests[datetime],"&lt;"&amp;TODAY()-WEEKDAY(TODAY(),2)+8)))</f>
        <v>0</v>
      </c>
      <c r="AB20" s="36">
        <f ca="1">IF($A20="","",IF(AB$1="","",COUNTIFS(tbl_chests[from],$A20,tbl_chests[legalized],AB$1,tbl_chests[datetime],"&gt;="&amp;TODAY()-WEEKDAY(TODAY(),2)+1,tbl_chests[datetime],"&lt;"&amp;TODAY()-WEEKDAY(TODAY(),2)+8)))</f>
        <v>0</v>
      </c>
      <c r="AC20" s="36">
        <f ca="1">IF($A20="","",IF(AC$1="","",COUNTIFS(tbl_chests[from],$A20,tbl_chests[legalized],AC$1,tbl_chests[datetime],"&gt;="&amp;TODAY()-WEEKDAY(TODAY(),2)+1,tbl_chests[datetime],"&lt;"&amp;TODAY()-WEEKDAY(TODAY(),2)+8)))</f>
        <v>0</v>
      </c>
      <c r="AD20" s="36">
        <f ca="1">IF($A20="","",IF(AD$1="","",COUNTIFS(tbl_chests[from],$A20,tbl_chests[legalized],AD$1,tbl_chests[datetime],"&gt;="&amp;TODAY()-WEEKDAY(TODAY(),2)+1,tbl_chests[datetime],"&lt;"&amp;TODAY()-WEEKDAY(TODAY(),2)+8)))</f>
        <v>0</v>
      </c>
      <c r="AE20" s="36">
        <f ca="1">IF($A20="","",IF(AE$1="","",COUNTIFS(tbl_chests[from],$A20,tbl_chests[legalized],AE$1,tbl_chests[datetime],"&gt;="&amp;TODAY()-WEEKDAY(TODAY(),2)+1,tbl_chests[datetime],"&lt;"&amp;TODAY()-WEEKDAY(TODAY(),2)+8)))</f>
        <v>0</v>
      </c>
      <c r="AF20" s="36">
        <f ca="1">IF($A20="","",IF(AF$1="","",COUNTIFS(tbl_chests[from],$A20,tbl_chests[legalized],AF$1,tbl_chests[datetime],"&gt;="&amp;TODAY()-WEEKDAY(TODAY(),2)+1,tbl_chests[datetime],"&lt;"&amp;TODAY()-WEEKDAY(TODAY(),2)+8)))</f>
        <v>0</v>
      </c>
      <c r="AG20" s="36">
        <f ca="1">IF($A20="","",IF(AG$1="","",COUNTIFS(tbl_chests[from],$A20,tbl_chests[legalized],AG$1,tbl_chests[datetime],"&gt;="&amp;TODAY()-WEEKDAY(TODAY(),2)+1,tbl_chests[datetime],"&lt;"&amp;TODAY()-WEEKDAY(TODAY(),2)+8)))</f>
        <v>0</v>
      </c>
      <c r="AH20" s="36">
        <f ca="1">IF($A20="","",IF(AH$1="","",COUNTIFS(tbl_chests[from],$A20,tbl_chests[legalized],AH$1,tbl_chests[datetime],"&gt;="&amp;TODAY()-WEEKDAY(TODAY(),2)+1,tbl_chests[datetime],"&lt;"&amp;TODAY()-WEEKDAY(TODAY(),2)+8)))</f>
        <v>0</v>
      </c>
      <c r="AI20" s="36">
        <f ca="1">IF($A20="","",IF(AI$1="","",COUNTIFS(tbl_chests[from],$A20,tbl_chests[legalized],AI$1,tbl_chests[datetime],"&gt;="&amp;TODAY()-WEEKDAY(TODAY(),2)+1,tbl_chests[datetime],"&lt;"&amp;TODAY()-WEEKDAY(TODAY(),2)+8)))</f>
        <v>0</v>
      </c>
      <c r="AJ20" s="36">
        <f ca="1">IF($A20="","",IF(AJ$1="","",COUNTIFS(tbl_chests[from],$A20,tbl_chests[legalized],AJ$1,tbl_chests[datetime],"&gt;="&amp;TODAY()-WEEKDAY(TODAY(),2)+1,tbl_chests[datetime],"&lt;"&amp;TODAY()-WEEKDAY(TODAY(),2)+8)))</f>
        <v>0</v>
      </c>
      <c r="AK20" s="36">
        <f ca="1">IF($A20="","",IF(AK$1="","",COUNTIFS(tbl_chests[from],$A20,tbl_chests[legalized],AK$1,tbl_chests[datetime],"&gt;="&amp;TODAY()-WEEKDAY(TODAY(),2)+1,tbl_chests[datetime],"&lt;"&amp;TODAY()-WEEKDAY(TODAY(),2)+8)))</f>
        <v>0</v>
      </c>
      <c r="AL20" s="36">
        <f ca="1">IF($A20="","",IF(AL$1="","",COUNTIFS(tbl_chests[from],$A20,tbl_chests[legalized],AL$1,tbl_chests[datetime],"&gt;="&amp;TODAY()-WEEKDAY(TODAY(),2)+1,tbl_chests[datetime],"&lt;"&amp;TODAY()-WEEKDAY(TODAY(),2)+8)))</f>
        <v>0</v>
      </c>
      <c r="AM20" s="37">
        <f ca="1">IF($A20="","",IF(AM$1="","",COUNTIFS(tbl_chests[from],$A20,tbl_chests[legalized],AM$1,tbl_chests[datetime],"&gt;="&amp;TODAY()-WEEKDAY(TODAY(),2)+1,tbl_chests[datetime],"&lt;"&amp;TODAY()-WEEKDAY(TODAY(),2)+8)))</f>
        <v>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 ht="15.75" customHeight="1" x14ac:dyDescent="0.25">
      <c r="A21" s="34" t="str">
        <f>chests_counter!$H18</f>
        <v>CarpeVino</v>
      </c>
      <c r="B21" s="35" cm="1">
        <f t="array" aca="1" ref="B21" ca="1">IF(A21&lt;&gt;"", SUMPRODUCT(($C$2:$AM$2&lt;&gt;0)*(C21:AM21&lt;&gt;0)*($C$2:$AM$2)*(C21:AM21)), "")</f>
        <v>1385</v>
      </c>
      <c r="C21" s="36">
        <f ca="1">IF($A21="","",IF(C$1="","",COUNTIFS(tbl_chests[from],$A21,tbl_chests[legalized],C$1,tbl_chests[datetime],"&gt;="&amp;TODAY()-WEEKDAY(TODAY(),2)+1,tbl_chests[datetime],"&lt;"&amp;TODAY()-WEEKDAY(TODAY(),2)+8)))</f>
        <v>2</v>
      </c>
      <c r="D21" s="36">
        <f ca="1">IF($A21="","",IF(D$1="","",COUNTIFS(tbl_chests[from],$A21,tbl_chests[legalized],D$1,tbl_chests[datetime],"&gt;="&amp;TODAY()-WEEKDAY(TODAY(),2)+1,tbl_chests[datetime],"&lt;"&amp;TODAY()-WEEKDAY(TODAY(),2)+8)))</f>
        <v>28</v>
      </c>
      <c r="E21" s="36">
        <f ca="1">IF($A21="","",IF(E$1="","",COUNTIFS(tbl_chests[from],$A21,tbl_chests[legalized],E$1,tbl_chests[datetime],"&gt;="&amp;TODAY()-WEEKDAY(TODAY(),2)+1,tbl_chests[datetime],"&lt;"&amp;TODAY()-WEEKDAY(TODAY(),2)+8)))</f>
        <v>1</v>
      </c>
      <c r="F21" s="36">
        <f ca="1">IF($A21="","",IF(F$1="","",COUNTIFS(tbl_chests[from],$A21,tbl_chests[legalized],F$1,tbl_chests[datetime],"&gt;="&amp;TODAY()-WEEKDAY(TODAY(),2)+1,tbl_chests[datetime],"&lt;"&amp;TODAY()-WEEKDAY(TODAY(),2)+8)))</f>
        <v>0</v>
      </c>
      <c r="G21" s="36">
        <f ca="1">IF($A21="","",IF(G$1="","",COUNTIFS(tbl_chests[from],$A21,tbl_chests[legalized],G$1,tbl_chests[datetime],"&gt;="&amp;TODAY()-WEEKDAY(TODAY(),2)+1,tbl_chests[datetime],"&lt;"&amp;TODAY()-WEEKDAY(TODAY(),2)+8)))</f>
        <v>0</v>
      </c>
      <c r="H21" s="36">
        <f ca="1">IF($A21="","",IF(H$1="","",COUNTIFS(tbl_chests[from],$A21,tbl_chests[legalized],H$1,tbl_chests[datetime],"&gt;="&amp;TODAY()-WEEKDAY(TODAY(),2)+1,tbl_chests[datetime],"&lt;"&amp;TODAY()-WEEKDAY(TODAY(),2)+8)))</f>
        <v>5</v>
      </c>
      <c r="I21" s="36">
        <f ca="1">IF($A21="","",IF(I$1="","",COUNTIFS(tbl_chests[from],$A21,tbl_chests[legalized],I$1,tbl_chests[datetime],"&gt;="&amp;TODAY()-WEEKDAY(TODAY(),2)+1,tbl_chests[datetime],"&lt;"&amp;TODAY()-WEEKDAY(TODAY(),2)+8)))</f>
        <v>0</v>
      </c>
      <c r="J21" s="36">
        <f ca="1">IF($A21="","",IF(J$1="","",COUNTIFS(tbl_chests[from],$A21,tbl_chests[legalized],J$1,tbl_chests[datetime],"&gt;="&amp;TODAY()-WEEKDAY(TODAY(),2)+1,tbl_chests[datetime],"&lt;"&amp;TODAY()-WEEKDAY(TODAY(),2)+8)))</f>
        <v>0</v>
      </c>
      <c r="K21" s="36">
        <f ca="1">IF($A21="","",IF(K$1="","",COUNTIFS(tbl_chests[from],$A21,tbl_chests[legalized],K$1,tbl_chests[datetime],"&gt;="&amp;TODAY()-WEEKDAY(TODAY(),2)+1,tbl_chests[datetime],"&lt;"&amp;TODAY()-WEEKDAY(TODAY(),2)+8)))</f>
        <v>0</v>
      </c>
      <c r="L21" s="36">
        <f ca="1">IF($A21="","",IF(L$1="","",COUNTIFS(tbl_chests[from],$A21,tbl_chests[legalized],L$1,tbl_chests[datetime],"&gt;="&amp;TODAY()-WEEKDAY(TODAY(),2)+1,tbl_chests[datetime],"&lt;"&amp;TODAY()-WEEKDAY(TODAY(),2)+8)))</f>
        <v>0</v>
      </c>
      <c r="M21" s="36">
        <f ca="1">IF($A21="","",IF(M$1="","",COUNTIFS(tbl_chests[from],$A21,tbl_chests[legalized],M$1,tbl_chests[datetime],"&gt;="&amp;TODAY()-WEEKDAY(TODAY(),2)+1,tbl_chests[datetime],"&lt;"&amp;TODAY()-WEEKDAY(TODAY(),2)+8)))</f>
        <v>6</v>
      </c>
      <c r="N21" s="36">
        <f ca="1">IF($A21="","",IF(N$1="","",COUNTIFS(tbl_chests[from],$A21,tbl_chests[legalized],N$1,tbl_chests[datetime],"&gt;="&amp;TODAY()-WEEKDAY(TODAY(),2)+1,tbl_chests[datetime],"&lt;"&amp;TODAY()-WEEKDAY(TODAY(),2)+8)))</f>
        <v>0</v>
      </c>
      <c r="O21" s="36">
        <f ca="1">IF($A21="","",IF(O$1="","",COUNTIFS(tbl_chests[from],$A21,tbl_chests[legalized],O$1,tbl_chests[datetime],"&gt;="&amp;TODAY()-WEEKDAY(TODAY(),2)+1,tbl_chests[datetime],"&lt;"&amp;TODAY()-WEEKDAY(TODAY(),2)+8)))</f>
        <v>0</v>
      </c>
      <c r="P21" s="36">
        <f ca="1">IF($A21="","",IF(P$1="","",COUNTIFS(tbl_chests[from],$A21,tbl_chests[legalized],P$1,tbl_chests[datetime],"&gt;="&amp;TODAY()-WEEKDAY(TODAY(),2)+1,tbl_chests[datetime],"&lt;"&amp;TODAY()-WEEKDAY(TODAY(),2)+8)))</f>
        <v>0</v>
      </c>
      <c r="Q21" s="36">
        <f ca="1">IF($A21="","",IF(Q$1="","",COUNTIFS(tbl_chests[from],$A21,tbl_chests[legalized],Q$1,tbl_chests[datetime],"&gt;="&amp;TODAY()-WEEKDAY(TODAY(),2)+1,tbl_chests[datetime],"&lt;"&amp;TODAY()-WEEKDAY(TODAY(),2)+8)))</f>
        <v>0</v>
      </c>
      <c r="R21" s="36">
        <f ca="1">IF($A21="","",IF(R$1="","",COUNTIFS(tbl_chests[from],$A21,tbl_chests[legalized],R$1,tbl_chests[datetime],"&gt;="&amp;TODAY()-WEEKDAY(TODAY(),2)+1,tbl_chests[datetime],"&lt;"&amp;TODAY()-WEEKDAY(TODAY(),2)+8)))</f>
        <v>6</v>
      </c>
      <c r="S21" s="36">
        <f ca="1">IF($A21="","",IF(S$1="","",COUNTIFS(tbl_chests[from],$A21,tbl_chests[legalized],S$1,tbl_chests[datetime],"&gt;="&amp;TODAY()-WEEKDAY(TODAY(),2)+1,tbl_chests[datetime],"&lt;"&amp;TODAY()-WEEKDAY(TODAY(),2)+8)))</f>
        <v>0</v>
      </c>
      <c r="T21" s="36">
        <f ca="1">IF($A21="","",IF(T$1="","",COUNTIFS(tbl_chests[from],$A21,tbl_chests[legalized],T$1,tbl_chests[datetime],"&gt;="&amp;TODAY()-WEEKDAY(TODAY(),2)+1,tbl_chests[datetime],"&lt;"&amp;TODAY()-WEEKDAY(TODAY(),2)+8)))</f>
        <v>0</v>
      </c>
      <c r="U21" s="36">
        <f ca="1">IF($A21="","",IF(U$1="","",COUNTIFS(tbl_chests[from],$A21,tbl_chests[legalized],U$1,tbl_chests[datetime],"&gt;="&amp;TODAY()-WEEKDAY(TODAY(),2)+1,tbl_chests[datetime],"&lt;"&amp;TODAY()-WEEKDAY(TODAY(),2)+8)))</f>
        <v>0</v>
      </c>
      <c r="V21" s="36">
        <f ca="1">IF($A21="","",IF(V$1="","",COUNTIFS(tbl_chests[from],$A21,tbl_chests[legalized],V$1,tbl_chests[datetime],"&gt;="&amp;TODAY()-WEEKDAY(TODAY(),2)+1,tbl_chests[datetime],"&lt;"&amp;TODAY()-WEEKDAY(TODAY(),2)+8)))</f>
        <v>0</v>
      </c>
      <c r="W21" s="36">
        <f ca="1">IF($A21="","",IF(W$1="","",COUNTIFS(tbl_chests[from],$A21,tbl_chests[legalized],W$1,tbl_chests[datetime],"&gt;="&amp;TODAY()-WEEKDAY(TODAY(),2)+1,tbl_chests[datetime],"&lt;"&amp;TODAY()-WEEKDAY(TODAY(),2)+8)))</f>
        <v>0</v>
      </c>
      <c r="X21" s="36">
        <f ca="1">IF($A21="","",IF(X$1="","",COUNTIFS(tbl_chests[from],$A21,tbl_chests[legalized],X$1,tbl_chests[datetime],"&gt;="&amp;TODAY()-WEEKDAY(TODAY(),2)+1,tbl_chests[datetime],"&lt;"&amp;TODAY()-WEEKDAY(TODAY(),2)+8)))</f>
        <v>0</v>
      </c>
      <c r="Y21" s="36">
        <f ca="1">IF($A21="","",IF(Y$1="","",COUNTIFS(tbl_chests[from],$A21,tbl_chests[legalized],Y$1,tbl_chests[datetime],"&gt;="&amp;TODAY()-WEEKDAY(TODAY(),2)+1,tbl_chests[datetime],"&lt;"&amp;TODAY()-WEEKDAY(TODAY(),2)+8)))</f>
        <v>0</v>
      </c>
      <c r="Z21" s="36">
        <f ca="1">IF($A21="","",IF(Z$1="","",COUNTIFS(tbl_chests[from],$A21,tbl_chests[legalized],Z$1,tbl_chests[datetime],"&gt;="&amp;TODAY()-WEEKDAY(TODAY(),2)+1,tbl_chests[datetime],"&lt;"&amp;TODAY()-WEEKDAY(TODAY(),2)+8)))</f>
        <v>0</v>
      </c>
      <c r="AA21" s="36">
        <f ca="1">IF($A21="","",IF(AA$1="","",COUNTIFS(tbl_chests[from],$A21,tbl_chests[legalized],AA$1,tbl_chests[datetime],"&gt;="&amp;TODAY()-WEEKDAY(TODAY(),2)+1,tbl_chests[datetime],"&lt;"&amp;TODAY()-WEEKDAY(TODAY(),2)+8)))</f>
        <v>12</v>
      </c>
      <c r="AB21" s="36">
        <f ca="1">IF($A21="","",IF(AB$1="","",COUNTIFS(tbl_chests[from],$A21,tbl_chests[legalized],AB$1,tbl_chests[datetime],"&gt;="&amp;TODAY()-WEEKDAY(TODAY(),2)+1,tbl_chests[datetime],"&lt;"&amp;TODAY()-WEEKDAY(TODAY(),2)+8)))</f>
        <v>0</v>
      </c>
      <c r="AC21" s="36">
        <f ca="1">IF($A21="","",IF(AC$1="","",COUNTIFS(tbl_chests[from],$A21,tbl_chests[legalized],AC$1,tbl_chests[datetime],"&gt;="&amp;TODAY()-WEEKDAY(TODAY(),2)+1,tbl_chests[datetime],"&lt;"&amp;TODAY()-WEEKDAY(TODAY(),2)+8)))</f>
        <v>0</v>
      </c>
      <c r="AD21" s="36">
        <f ca="1">IF($A21="","",IF(AD$1="","",COUNTIFS(tbl_chests[from],$A21,tbl_chests[legalized],AD$1,tbl_chests[datetime],"&gt;="&amp;TODAY()-WEEKDAY(TODAY(),2)+1,tbl_chests[datetime],"&lt;"&amp;TODAY()-WEEKDAY(TODAY(),2)+8)))</f>
        <v>0</v>
      </c>
      <c r="AE21" s="36">
        <f ca="1">IF($A21="","",IF(AE$1="","",COUNTIFS(tbl_chests[from],$A21,tbl_chests[legalized],AE$1,tbl_chests[datetime],"&gt;="&amp;TODAY()-WEEKDAY(TODAY(),2)+1,tbl_chests[datetime],"&lt;"&amp;TODAY()-WEEKDAY(TODAY(),2)+8)))</f>
        <v>1</v>
      </c>
      <c r="AF21" s="36">
        <f ca="1">IF($A21="","",IF(AF$1="","",COUNTIFS(tbl_chests[from],$A21,tbl_chests[legalized],AF$1,tbl_chests[datetime],"&gt;="&amp;TODAY()-WEEKDAY(TODAY(),2)+1,tbl_chests[datetime],"&lt;"&amp;TODAY()-WEEKDAY(TODAY(),2)+8)))</f>
        <v>0</v>
      </c>
      <c r="AG21" s="36">
        <f ca="1">IF($A21="","",IF(AG$1="","",COUNTIFS(tbl_chests[from],$A21,tbl_chests[legalized],AG$1,tbl_chests[datetime],"&gt;="&amp;TODAY()-WEEKDAY(TODAY(),2)+1,tbl_chests[datetime],"&lt;"&amp;TODAY()-WEEKDAY(TODAY(),2)+8)))</f>
        <v>0</v>
      </c>
      <c r="AH21" s="36">
        <f ca="1">IF($A21="","",IF(AH$1="","",COUNTIFS(tbl_chests[from],$A21,tbl_chests[legalized],AH$1,tbl_chests[datetime],"&gt;="&amp;TODAY()-WEEKDAY(TODAY(),2)+1,tbl_chests[datetime],"&lt;"&amp;TODAY()-WEEKDAY(TODAY(),2)+8)))</f>
        <v>0</v>
      </c>
      <c r="AI21" s="36">
        <f ca="1">IF($A21="","",IF(AI$1="","",COUNTIFS(tbl_chests[from],$A21,tbl_chests[legalized],AI$1,tbl_chests[datetime],"&gt;="&amp;TODAY()-WEEKDAY(TODAY(),2)+1,tbl_chests[datetime],"&lt;"&amp;TODAY()-WEEKDAY(TODAY(),2)+8)))</f>
        <v>0</v>
      </c>
      <c r="AJ21" s="36">
        <f ca="1">IF($A21="","",IF(AJ$1="","",COUNTIFS(tbl_chests[from],$A21,tbl_chests[legalized],AJ$1,tbl_chests[datetime],"&gt;="&amp;TODAY()-WEEKDAY(TODAY(),2)+1,tbl_chests[datetime],"&lt;"&amp;TODAY()-WEEKDAY(TODAY(),2)+8)))</f>
        <v>0</v>
      </c>
      <c r="AK21" s="36">
        <f ca="1">IF($A21="","",IF(AK$1="","",COUNTIFS(tbl_chests[from],$A21,tbl_chests[legalized],AK$1,tbl_chests[datetime],"&gt;="&amp;TODAY()-WEEKDAY(TODAY(),2)+1,tbl_chests[datetime],"&lt;"&amp;TODAY()-WEEKDAY(TODAY(),2)+8)))</f>
        <v>0</v>
      </c>
      <c r="AL21" s="36">
        <f ca="1">IF($A21="","",IF(AL$1="","",COUNTIFS(tbl_chests[from],$A21,tbl_chests[legalized],AL$1,tbl_chests[datetime],"&gt;="&amp;TODAY()-WEEKDAY(TODAY(),2)+1,tbl_chests[datetime],"&lt;"&amp;TODAY()-WEEKDAY(TODAY(),2)+8)))</f>
        <v>0</v>
      </c>
      <c r="AM21" s="37">
        <f ca="1">IF($A21="","",IF(AM$1="","",COUNTIFS(tbl_chests[from],$A21,tbl_chests[legalized],AM$1,tbl_chests[datetime],"&gt;="&amp;TODAY()-WEEKDAY(TODAY(),2)+1,tbl_chests[datetime],"&lt;"&amp;TODAY()-WEEKDAY(TODAY(),2)+8)))</f>
        <v>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 ht="15.75" customHeight="1" x14ac:dyDescent="0.25">
      <c r="A22" s="73" t="str">
        <f>chests_counter!$H19</f>
        <v>Celmeena</v>
      </c>
      <c r="B22" s="35" cm="1">
        <f t="array" aca="1" ref="B22" ca="1">IF(A22&lt;&gt;"", SUMPRODUCT(($C$2:$AM$2&lt;&gt;0)*(C22:AM22&lt;&gt;0)*($C$2:$AM$2)*(C22:AM22)), "")</f>
        <v>230</v>
      </c>
      <c r="C22" s="36">
        <f ca="1">IF($A22="","",IF(C$1="","",COUNTIFS(tbl_chests[from],$A22,tbl_chests[legalized],C$1,tbl_chests[datetime],"&gt;="&amp;TODAY()-WEEKDAY(TODAY(),2)+1,tbl_chests[datetime],"&lt;"&amp;TODAY()-WEEKDAY(TODAY(),2)+8)))</f>
        <v>0</v>
      </c>
      <c r="D22" s="36">
        <f ca="1">IF($A22="","",IF(D$1="","",COUNTIFS(tbl_chests[from],$A22,tbl_chests[legalized],D$1,tbl_chests[datetime],"&gt;="&amp;TODAY()-WEEKDAY(TODAY(),2)+1,tbl_chests[datetime],"&lt;"&amp;TODAY()-WEEKDAY(TODAY(),2)+8)))</f>
        <v>5</v>
      </c>
      <c r="E22" s="36">
        <f ca="1">IF($A22="","",IF(E$1="","",COUNTIFS(tbl_chests[from],$A22,tbl_chests[legalized],E$1,tbl_chests[datetime],"&gt;="&amp;TODAY()-WEEKDAY(TODAY(),2)+1,tbl_chests[datetime],"&lt;"&amp;TODAY()-WEEKDAY(TODAY(),2)+8)))</f>
        <v>4</v>
      </c>
      <c r="F22" s="36">
        <f ca="1">IF($A22="","",IF(F$1="","",COUNTIFS(tbl_chests[from],$A22,tbl_chests[legalized],F$1,tbl_chests[datetime],"&gt;="&amp;TODAY()-WEEKDAY(TODAY(),2)+1,tbl_chests[datetime],"&lt;"&amp;TODAY()-WEEKDAY(TODAY(),2)+8)))</f>
        <v>0</v>
      </c>
      <c r="G22" s="36">
        <f ca="1">IF($A22="","",IF(G$1="","",COUNTIFS(tbl_chests[from],$A22,tbl_chests[legalized],G$1,tbl_chests[datetime],"&gt;="&amp;TODAY()-WEEKDAY(TODAY(),2)+1,tbl_chests[datetime],"&lt;"&amp;TODAY()-WEEKDAY(TODAY(),2)+8)))</f>
        <v>0</v>
      </c>
      <c r="H22" s="36">
        <f ca="1">IF($A22="","",IF(H$1="","",COUNTIFS(tbl_chests[from],$A22,tbl_chests[legalized],H$1,tbl_chests[datetime],"&gt;="&amp;TODAY()-WEEKDAY(TODAY(),2)+1,tbl_chests[datetime],"&lt;"&amp;TODAY()-WEEKDAY(TODAY(),2)+8)))</f>
        <v>0</v>
      </c>
      <c r="I22" s="36">
        <f ca="1">IF($A22="","",IF(I$1="","",COUNTIFS(tbl_chests[from],$A22,tbl_chests[legalized],I$1,tbl_chests[datetime],"&gt;="&amp;TODAY()-WEEKDAY(TODAY(),2)+1,tbl_chests[datetime],"&lt;"&amp;TODAY()-WEEKDAY(TODAY(),2)+8)))</f>
        <v>0</v>
      </c>
      <c r="J22" s="36">
        <f ca="1">IF($A22="","",IF(J$1="","",COUNTIFS(tbl_chests[from],$A22,tbl_chests[legalized],J$1,tbl_chests[datetime],"&gt;="&amp;TODAY()-WEEKDAY(TODAY(),2)+1,tbl_chests[datetime],"&lt;"&amp;TODAY()-WEEKDAY(TODAY(),2)+8)))</f>
        <v>0</v>
      </c>
      <c r="K22" s="36">
        <f ca="1">IF($A22="","",IF(K$1="","",COUNTIFS(tbl_chests[from],$A22,tbl_chests[legalized],K$1,tbl_chests[datetime],"&gt;="&amp;TODAY()-WEEKDAY(TODAY(),2)+1,tbl_chests[datetime],"&lt;"&amp;TODAY()-WEEKDAY(TODAY(),2)+8)))</f>
        <v>0</v>
      </c>
      <c r="L22" s="36">
        <f ca="1">IF($A22="","",IF(L$1="","",COUNTIFS(tbl_chests[from],$A22,tbl_chests[legalized],L$1,tbl_chests[datetime],"&gt;="&amp;TODAY()-WEEKDAY(TODAY(),2)+1,tbl_chests[datetime],"&lt;"&amp;TODAY()-WEEKDAY(TODAY(),2)+8)))</f>
        <v>0</v>
      </c>
      <c r="M22" s="36">
        <f ca="1">IF($A22="","",IF(M$1="","",COUNTIFS(tbl_chests[from],$A22,tbl_chests[legalized],M$1,tbl_chests[datetime],"&gt;="&amp;TODAY()-WEEKDAY(TODAY(),2)+1,tbl_chests[datetime],"&lt;"&amp;TODAY()-WEEKDAY(TODAY(),2)+8)))</f>
        <v>0</v>
      </c>
      <c r="N22" s="36">
        <f ca="1">IF($A22="","",IF(N$1="","",COUNTIFS(tbl_chests[from],$A22,tbl_chests[legalized],N$1,tbl_chests[datetime],"&gt;="&amp;TODAY()-WEEKDAY(TODAY(),2)+1,tbl_chests[datetime],"&lt;"&amp;TODAY()-WEEKDAY(TODAY(),2)+8)))</f>
        <v>0</v>
      </c>
      <c r="O22" s="36">
        <f ca="1">IF($A22="","",IF(O$1="","",COUNTIFS(tbl_chests[from],$A22,tbl_chests[legalized],O$1,tbl_chests[datetime],"&gt;="&amp;TODAY()-WEEKDAY(TODAY(),2)+1,tbl_chests[datetime],"&lt;"&amp;TODAY()-WEEKDAY(TODAY(),2)+8)))</f>
        <v>0</v>
      </c>
      <c r="P22" s="36">
        <f ca="1">IF($A22="","",IF(P$1="","",COUNTIFS(tbl_chests[from],$A22,tbl_chests[legalized],P$1,tbl_chests[datetime],"&gt;="&amp;TODAY()-WEEKDAY(TODAY(),2)+1,tbl_chests[datetime],"&lt;"&amp;TODAY()-WEEKDAY(TODAY(),2)+8)))</f>
        <v>0</v>
      </c>
      <c r="Q22" s="36">
        <f ca="1">IF($A22="","",IF(Q$1="","",COUNTIFS(tbl_chests[from],$A22,tbl_chests[legalized],Q$1,tbl_chests[datetime],"&gt;="&amp;TODAY()-WEEKDAY(TODAY(),2)+1,tbl_chests[datetime],"&lt;"&amp;TODAY()-WEEKDAY(TODAY(),2)+8)))</f>
        <v>0</v>
      </c>
      <c r="R22" s="36">
        <f ca="1">IF($A22="","",IF(R$1="","",COUNTIFS(tbl_chests[from],$A22,tbl_chests[legalized],R$1,tbl_chests[datetime],"&gt;="&amp;TODAY()-WEEKDAY(TODAY(),2)+1,tbl_chests[datetime],"&lt;"&amp;TODAY()-WEEKDAY(TODAY(),2)+8)))</f>
        <v>1</v>
      </c>
      <c r="S22" s="36">
        <f ca="1">IF($A22="","",IF(S$1="","",COUNTIFS(tbl_chests[from],$A22,tbl_chests[legalized],S$1,tbl_chests[datetime],"&gt;="&amp;TODAY()-WEEKDAY(TODAY(),2)+1,tbl_chests[datetime],"&lt;"&amp;TODAY()-WEEKDAY(TODAY(),2)+8)))</f>
        <v>0</v>
      </c>
      <c r="T22" s="36">
        <f ca="1">IF($A22="","",IF(T$1="","",COUNTIFS(tbl_chests[from],$A22,tbl_chests[legalized],T$1,tbl_chests[datetime],"&gt;="&amp;TODAY()-WEEKDAY(TODAY(),2)+1,tbl_chests[datetime],"&lt;"&amp;TODAY()-WEEKDAY(TODAY(),2)+8)))</f>
        <v>0</v>
      </c>
      <c r="U22" s="36">
        <f ca="1">IF($A22="","",IF(U$1="","",COUNTIFS(tbl_chests[from],$A22,tbl_chests[legalized],U$1,tbl_chests[datetime],"&gt;="&amp;TODAY()-WEEKDAY(TODAY(),2)+1,tbl_chests[datetime],"&lt;"&amp;TODAY()-WEEKDAY(TODAY(),2)+8)))</f>
        <v>0</v>
      </c>
      <c r="V22" s="36">
        <f ca="1">IF($A22="","",IF(V$1="","",COUNTIFS(tbl_chests[from],$A22,tbl_chests[legalized],V$1,tbl_chests[datetime],"&gt;="&amp;TODAY()-WEEKDAY(TODAY(),2)+1,tbl_chests[datetime],"&lt;"&amp;TODAY()-WEEKDAY(TODAY(),2)+8)))</f>
        <v>0</v>
      </c>
      <c r="W22" s="36">
        <f ca="1">IF($A22="","",IF(W$1="","",COUNTIFS(tbl_chests[from],$A22,tbl_chests[legalized],W$1,tbl_chests[datetime],"&gt;="&amp;TODAY()-WEEKDAY(TODAY(),2)+1,tbl_chests[datetime],"&lt;"&amp;TODAY()-WEEKDAY(TODAY(),2)+8)))</f>
        <v>0</v>
      </c>
      <c r="X22" s="36">
        <f ca="1">IF($A22="","",IF(X$1="","",COUNTIFS(tbl_chests[from],$A22,tbl_chests[legalized],X$1,tbl_chests[datetime],"&gt;="&amp;TODAY()-WEEKDAY(TODAY(),2)+1,tbl_chests[datetime],"&lt;"&amp;TODAY()-WEEKDAY(TODAY(),2)+8)))</f>
        <v>0</v>
      </c>
      <c r="Y22" s="36">
        <f ca="1">IF($A22="","",IF(Y$1="","",COUNTIFS(tbl_chests[from],$A22,tbl_chests[legalized],Y$1,tbl_chests[datetime],"&gt;="&amp;TODAY()-WEEKDAY(TODAY(),2)+1,tbl_chests[datetime],"&lt;"&amp;TODAY()-WEEKDAY(TODAY(),2)+8)))</f>
        <v>0</v>
      </c>
      <c r="Z22" s="36">
        <f ca="1">IF($A22="","",IF(Z$1="","",COUNTIFS(tbl_chests[from],$A22,tbl_chests[legalized],Z$1,tbl_chests[datetime],"&gt;="&amp;TODAY()-WEEKDAY(TODAY(),2)+1,tbl_chests[datetime],"&lt;"&amp;TODAY()-WEEKDAY(TODAY(),2)+8)))</f>
        <v>0</v>
      </c>
      <c r="AA22" s="36">
        <f ca="1">IF($A22="","",IF(AA$1="","",COUNTIFS(tbl_chests[from],$A22,tbl_chests[legalized],AA$1,tbl_chests[datetime],"&gt;="&amp;TODAY()-WEEKDAY(TODAY(),2)+1,tbl_chests[datetime],"&lt;"&amp;TODAY()-WEEKDAY(TODAY(),2)+8)))</f>
        <v>0</v>
      </c>
      <c r="AB22" s="36">
        <f ca="1">IF($A22="","",IF(AB$1="","",COUNTIFS(tbl_chests[from],$A22,tbl_chests[legalized],AB$1,tbl_chests[datetime],"&gt;="&amp;TODAY()-WEEKDAY(TODAY(),2)+1,tbl_chests[datetime],"&lt;"&amp;TODAY()-WEEKDAY(TODAY(),2)+8)))</f>
        <v>0</v>
      </c>
      <c r="AC22" s="36">
        <f ca="1">IF($A22="","",IF(AC$1="","",COUNTIFS(tbl_chests[from],$A22,tbl_chests[legalized],AC$1,tbl_chests[datetime],"&gt;="&amp;TODAY()-WEEKDAY(TODAY(),2)+1,tbl_chests[datetime],"&lt;"&amp;TODAY()-WEEKDAY(TODAY(),2)+8)))</f>
        <v>0</v>
      </c>
      <c r="AD22" s="36">
        <f ca="1">IF($A22="","",IF(AD$1="","",COUNTIFS(tbl_chests[from],$A22,tbl_chests[legalized],AD$1,tbl_chests[datetime],"&gt;="&amp;TODAY()-WEEKDAY(TODAY(),2)+1,tbl_chests[datetime],"&lt;"&amp;TODAY()-WEEKDAY(TODAY(),2)+8)))</f>
        <v>0</v>
      </c>
      <c r="AE22" s="36">
        <f ca="1">IF($A22="","",IF(AE$1="","",COUNTIFS(tbl_chests[from],$A22,tbl_chests[legalized],AE$1,tbl_chests[datetime],"&gt;="&amp;TODAY()-WEEKDAY(TODAY(),2)+1,tbl_chests[datetime],"&lt;"&amp;TODAY()-WEEKDAY(TODAY(),2)+8)))</f>
        <v>0</v>
      </c>
      <c r="AF22" s="36">
        <f ca="1">IF($A22="","",IF(AF$1="","",COUNTIFS(tbl_chests[from],$A22,tbl_chests[legalized],AF$1,tbl_chests[datetime],"&gt;="&amp;TODAY()-WEEKDAY(TODAY(),2)+1,tbl_chests[datetime],"&lt;"&amp;TODAY()-WEEKDAY(TODAY(),2)+8)))</f>
        <v>0</v>
      </c>
      <c r="AG22" s="36">
        <f ca="1">IF($A22="","",IF(AG$1="","",COUNTIFS(tbl_chests[from],$A22,tbl_chests[legalized],AG$1,tbl_chests[datetime],"&gt;="&amp;TODAY()-WEEKDAY(TODAY(),2)+1,tbl_chests[datetime],"&lt;"&amp;TODAY()-WEEKDAY(TODAY(),2)+8)))</f>
        <v>0</v>
      </c>
      <c r="AH22" s="36">
        <f ca="1">IF($A22="","",IF(AH$1="","",COUNTIFS(tbl_chests[from],$A22,tbl_chests[legalized],AH$1,tbl_chests[datetime],"&gt;="&amp;TODAY()-WEEKDAY(TODAY(),2)+1,tbl_chests[datetime],"&lt;"&amp;TODAY()-WEEKDAY(TODAY(),2)+8)))</f>
        <v>0</v>
      </c>
      <c r="AI22" s="36">
        <f ca="1">IF($A22="","",IF(AI$1="","",COUNTIFS(tbl_chests[from],$A22,tbl_chests[legalized],AI$1,tbl_chests[datetime],"&gt;="&amp;TODAY()-WEEKDAY(TODAY(),2)+1,tbl_chests[datetime],"&lt;"&amp;TODAY()-WEEKDAY(TODAY(),2)+8)))</f>
        <v>0</v>
      </c>
      <c r="AJ22" s="36">
        <f ca="1">IF($A22="","",IF(AJ$1="","",COUNTIFS(tbl_chests[from],$A22,tbl_chests[legalized],AJ$1,tbl_chests[datetime],"&gt;="&amp;TODAY()-WEEKDAY(TODAY(),2)+1,tbl_chests[datetime],"&lt;"&amp;TODAY()-WEEKDAY(TODAY(),2)+8)))</f>
        <v>0</v>
      </c>
      <c r="AK22" s="36">
        <f ca="1">IF($A22="","",IF(AK$1="","",COUNTIFS(tbl_chests[from],$A22,tbl_chests[legalized],AK$1,tbl_chests[datetime],"&gt;="&amp;TODAY()-WEEKDAY(TODAY(),2)+1,tbl_chests[datetime],"&lt;"&amp;TODAY()-WEEKDAY(TODAY(),2)+8)))</f>
        <v>0</v>
      </c>
      <c r="AL22" s="36">
        <f ca="1">IF($A22="","",IF(AL$1="","",COUNTIFS(tbl_chests[from],$A22,tbl_chests[legalized],AL$1,tbl_chests[datetime],"&gt;="&amp;TODAY()-WEEKDAY(TODAY(),2)+1,tbl_chests[datetime],"&lt;"&amp;TODAY()-WEEKDAY(TODAY(),2)+8)))</f>
        <v>0</v>
      </c>
      <c r="AM22" s="37">
        <f ca="1">IF($A22="","",IF(AM$1="","",COUNTIFS(tbl_chests[from],$A22,tbl_chests[legalized],AM$1,tbl_chests[datetime],"&gt;="&amp;TODAY()-WEEKDAY(TODAY(),2)+1,tbl_chests[datetime],"&lt;"&amp;TODAY()-WEEKDAY(TODAY(),2)+8)))</f>
        <v>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 ht="15.75" customHeight="1" x14ac:dyDescent="0.25">
      <c r="A23" s="34" t="str">
        <f>chests_counter!$H20</f>
        <v>Chili Peppers</v>
      </c>
      <c r="B23" s="35" cm="1">
        <f t="array" aca="1" ref="B23" ca="1">IF(A23&lt;&gt;"", SUMPRODUCT(($C$2:$AM$2&lt;&gt;0)*(C23:AM23&lt;&gt;0)*($C$2:$AM$2)*(C23:AM23)), "")</f>
        <v>2170</v>
      </c>
      <c r="C23" s="36">
        <f ca="1">IF($A23="","",IF(C$1="","",COUNTIFS(tbl_chests[from],$A23,tbl_chests[legalized],C$1,tbl_chests[datetime],"&gt;="&amp;TODAY()-WEEKDAY(TODAY(),2)+1,tbl_chests[datetime],"&lt;"&amp;TODAY()-WEEKDAY(TODAY(),2)+8)))</f>
        <v>0</v>
      </c>
      <c r="D23" s="36">
        <f ca="1">IF($A23="","",IF(D$1="","",COUNTIFS(tbl_chests[from],$A23,tbl_chests[legalized],D$1,tbl_chests[datetime],"&gt;="&amp;TODAY()-WEEKDAY(TODAY(),2)+1,tbl_chests[datetime],"&lt;"&amp;TODAY()-WEEKDAY(TODAY(),2)+8)))</f>
        <v>41</v>
      </c>
      <c r="E23" s="36">
        <f ca="1">IF($A23="","",IF(E$1="","",COUNTIFS(tbl_chests[from],$A23,tbl_chests[legalized],E$1,tbl_chests[datetime],"&gt;="&amp;TODAY()-WEEKDAY(TODAY(),2)+1,tbl_chests[datetime],"&lt;"&amp;TODAY()-WEEKDAY(TODAY(),2)+8)))</f>
        <v>41</v>
      </c>
      <c r="F23" s="36">
        <f ca="1">IF($A23="","",IF(F$1="","",COUNTIFS(tbl_chests[from],$A23,tbl_chests[legalized],F$1,tbl_chests[datetime],"&gt;="&amp;TODAY()-WEEKDAY(TODAY(),2)+1,tbl_chests[datetime],"&lt;"&amp;TODAY()-WEEKDAY(TODAY(),2)+8)))</f>
        <v>0</v>
      </c>
      <c r="G23" s="36">
        <f ca="1">IF($A23="","",IF(G$1="","",COUNTIFS(tbl_chests[from],$A23,tbl_chests[legalized],G$1,tbl_chests[datetime],"&gt;="&amp;TODAY()-WEEKDAY(TODAY(),2)+1,tbl_chests[datetime],"&lt;"&amp;TODAY()-WEEKDAY(TODAY(),2)+8)))</f>
        <v>0</v>
      </c>
      <c r="H23" s="36">
        <f ca="1">IF($A23="","",IF(H$1="","",COUNTIFS(tbl_chests[from],$A23,tbl_chests[legalized],H$1,tbl_chests[datetime],"&gt;="&amp;TODAY()-WEEKDAY(TODAY(),2)+1,tbl_chests[datetime],"&lt;"&amp;TODAY()-WEEKDAY(TODAY(),2)+8)))</f>
        <v>0</v>
      </c>
      <c r="I23" s="36">
        <f ca="1">IF($A23="","",IF(I$1="","",COUNTIFS(tbl_chests[from],$A23,tbl_chests[legalized],I$1,tbl_chests[datetime],"&gt;="&amp;TODAY()-WEEKDAY(TODAY(),2)+1,tbl_chests[datetime],"&lt;"&amp;TODAY()-WEEKDAY(TODAY(),2)+8)))</f>
        <v>0</v>
      </c>
      <c r="J23" s="36">
        <f ca="1">IF($A23="","",IF(J$1="","",COUNTIFS(tbl_chests[from],$A23,tbl_chests[legalized],J$1,tbl_chests[datetime],"&gt;="&amp;TODAY()-WEEKDAY(TODAY(),2)+1,tbl_chests[datetime],"&lt;"&amp;TODAY()-WEEKDAY(TODAY(),2)+8)))</f>
        <v>0</v>
      </c>
      <c r="K23" s="36">
        <f ca="1">IF($A23="","",IF(K$1="","",COUNTIFS(tbl_chests[from],$A23,tbl_chests[legalized],K$1,tbl_chests[datetime],"&gt;="&amp;TODAY()-WEEKDAY(TODAY(),2)+1,tbl_chests[datetime],"&lt;"&amp;TODAY()-WEEKDAY(TODAY(),2)+8)))</f>
        <v>0</v>
      </c>
      <c r="L23" s="36">
        <f ca="1">IF($A23="","",IF(L$1="","",COUNTIFS(tbl_chests[from],$A23,tbl_chests[legalized],L$1,tbl_chests[datetime],"&gt;="&amp;TODAY()-WEEKDAY(TODAY(),2)+1,tbl_chests[datetime],"&lt;"&amp;TODAY()-WEEKDAY(TODAY(),2)+8)))</f>
        <v>0</v>
      </c>
      <c r="M23" s="36">
        <f ca="1">IF($A23="","",IF(M$1="","",COUNTIFS(tbl_chests[from],$A23,tbl_chests[legalized],M$1,tbl_chests[datetime],"&gt;="&amp;TODAY()-WEEKDAY(TODAY(),2)+1,tbl_chests[datetime],"&lt;"&amp;TODAY()-WEEKDAY(TODAY(),2)+8)))</f>
        <v>0</v>
      </c>
      <c r="N23" s="36">
        <f ca="1">IF($A23="","",IF(N$1="","",COUNTIFS(tbl_chests[from],$A23,tbl_chests[legalized],N$1,tbl_chests[datetime],"&gt;="&amp;TODAY()-WEEKDAY(TODAY(),2)+1,tbl_chests[datetime],"&lt;"&amp;TODAY()-WEEKDAY(TODAY(),2)+8)))</f>
        <v>0</v>
      </c>
      <c r="O23" s="36">
        <f ca="1">IF($A23="","",IF(O$1="","",COUNTIFS(tbl_chests[from],$A23,tbl_chests[legalized],O$1,tbl_chests[datetime],"&gt;="&amp;TODAY()-WEEKDAY(TODAY(),2)+1,tbl_chests[datetime],"&lt;"&amp;TODAY()-WEEKDAY(TODAY(),2)+8)))</f>
        <v>0</v>
      </c>
      <c r="P23" s="36">
        <f ca="1">IF($A23="","",IF(P$1="","",COUNTIFS(tbl_chests[from],$A23,tbl_chests[legalized],P$1,tbl_chests[datetime],"&gt;="&amp;TODAY()-WEEKDAY(TODAY(),2)+1,tbl_chests[datetime],"&lt;"&amp;TODAY()-WEEKDAY(TODAY(),2)+8)))</f>
        <v>0</v>
      </c>
      <c r="Q23" s="36">
        <f ca="1">IF($A23="","",IF(Q$1="","",COUNTIFS(tbl_chests[from],$A23,tbl_chests[legalized],Q$1,tbl_chests[datetime],"&gt;="&amp;TODAY()-WEEKDAY(TODAY(),2)+1,tbl_chests[datetime],"&lt;"&amp;TODAY()-WEEKDAY(TODAY(),2)+8)))</f>
        <v>0</v>
      </c>
      <c r="R23" s="36">
        <f ca="1">IF($A23="","",IF(R$1="","",COUNTIFS(tbl_chests[from],$A23,tbl_chests[legalized],R$1,tbl_chests[datetime],"&gt;="&amp;TODAY()-WEEKDAY(TODAY(),2)+1,tbl_chests[datetime],"&lt;"&amp;TODAY()-WEEKDAY(TODAY(),2)+8)))</f>
        <v>0</v>
      </c>
      <c r="S23" s="36">
        <f ca="1">IF($A23="","",IF(S$1="","",COUNTIFS(tbl_chests[from],$A23,tbl_chests[legalized],S$1,tbl_chests[datetime],"&gt;="&amp;TODAY()-WEEKDAY(TODAY(),2)+1,tbl_chests[datetime],"&lt;"&amp;TODAY()-WEEKDAY(TODAY(),2)+8)))</f>
        <v>0</v>
      </c>
      <c r="T23" s="36">
        <f ca="1">IF($A23="","",IF(T$1="","",COUNTIFS(tbl_chests[from],$A23,tbl_chests[legalized],T$1,tbl_chests[datetime],"&gt;="&amp;TODAY()-WEEKDAY(TODAY(),2)+1,tbl_chests[datetime],"&lt;"&amp;TODAY()-WEEKDAY(TODAY(),2)+8)))</f>
        <v>0</v>
      </c>
      <c r="U23" s="36">
        <f ca="1">IF($A23="","",IF(U$1="","",COUNTIFS(tbl_chests[from],$A23,tbl_chests[legalized],U$1,tbl_chests[datetime],"&gt;="&amp;TODAY()-WEEKDAY(TODAY(),2)+1,tbl_chests[datetime],"&lt;"&amp;TODAY()-WEEKDAY(TODAY(),2)+8)))</f>
        <v>0</v>
      </c>
      <c r="V23" s="36">
        <f ca="1">IF($A23="","",IF(V$1="","",COUNTIFS(tbl_chests[from],$A23,tbl_chests[legalized],V$1,tbl_chests[datetime],"&gt;="&amp;TODAY()-WEEKDAY(TODAY(),2)+1,tbl_chests[datetime],"&lt;"&amp;TODAY()-WEEKDAY(TODAY(),2)+8)))</f>
        <v>0</v>
      </c>
      <c r="W23" s="36">
        <f ca="1">IF($A23="","",IF(W$1="","",COUNTIFS(tbl_chests[from],$A23,tbl_chests[legalized],W$1,tbl_chests[datetime],"&gt;="&amp;TODAY()-WEEKDAY(TODAY(),2)+1,tbl_chests[datetime],"&lt;"&amp;TODAY()-WEEKDAY(TODAY(),2)+8)))</f>
        <v>0</v>
      </c>
      <c r="X23" s="36">
        <f ca="1">IF($A23="","",IF(X$1="","",COUNTIFS(tbl_chests[from],$A23,tbl_chests[legalized],X$1,tbl_chests[datetime],"&gt;="&amp;TODAY()-WEEKDAY(TODAY(),2)+1,tbl_chests[datetime],"&lt;"&amp;TODAY()-WEEKDAY(TODAY(),2)+8)))</f>
        <v>0</v>
      </c>
      <c r="Y23" s="36">
        <f ca="1">IF($A23="","",IF(Y$1="","",COUNTIFS(tbl_chests[from],$A23,tbl_chests[legalized],Y$1,tbl_chests[datetime],"&gt;="&amp;TODAY()-WEEKDAY(TODAY(),2)+1,tbl_chests[datetime],"&lt;"&amp;TODAY()-WEEKDAY(TODAY(),2)+8)))</f>
        <v>0</v>
      </c>
      <c r="Z23" s="36">
        <f ca="1">IF($A23="","",IF(Z$1="","",COUNTIFS(tbl_chests[from],$A23,tbl_chests[legalized],Z$1,tbl_chests[datetime],"&gt;="&amp;TODAY()-WEEKDAY(TODAY(),2)+1,tbl_chests[datetime],"&lt;"&amp;TODAY()-WEEKDAY(TODAY(),2)+8)))</f>
        <v>0</v>
      </c>
      <c r="AA23" s="36">
        <f ca="1">IF($A23="","",IF(AA$1="","",COUNTIFS(tbl_chests[from],$A23,tbl_chests[legalized],AA$1,tbl_chests[datetime],"&gt;="&amp;TODAY()-WEEKDAY(TODAY(),2)+1,tbl_chests[datetime],"&lt;"&amp;TODAY()-WEEKDAY(TODAY(),2)+8)))</f>
        <v>3</v>
      </c>
      <c r="AB23" s="36">
        <f ca="1">IF($A23="","",IF(AB$1="","",COUNTIFS(tbl_chests[from],$A23,tbl_chests[legalized],AB$1,tbl_chests[datetime],"&gt;="&amp;TODAY()-WEEKDAY(TODAY(),2)+1,tbl_chests[datetime],"&lt;"&amp;TODAY()-WEEKDAY(TODAY(),2)+8)))</f>
        <v>0</v>
      </c>
      <c r="AC23" s="36">
        <f ca="1">IF($A23="","",IF(AC$1="","",COUNTIFS(tbl_chests[from],$A23,tbl_chests[legalized],AC$1,tbl_chests[datetime],"&gt;="&amp;TODAY()-WEEKDAY(TODAY(),2)+1,tbl_chests[datetime],"&lt;"&amp;TODAY()-WEEKDAY(TODAY(),2)+8)))</f>
        <v>0</v>
      </c>
      <c r="AD23" s="36">
        <f ca="1">IF($A23="","",IF(AD$1="","",COUNTIFS(tbl_chests[from],$A23,tbl_chests[legalized],AD$1,tbl_chests[datetime],"&gt;="&amp;TODAY()-WEEKDAY(TODAY(),2)+1,tbl_chests[datetime],"&lt;"&amp;TODAY()-WEEKDAY(TODAY(),2)+8)))</f>
        <v>0</v>
      </c>
      <c r="AE23" s="36">
        <f ca="1">IF($A23="","",IF(AE$1="","",COUNTIFS(tbl_chests[from],$A23,tbl_chests[legalized],AE$1,tbl_chests[datetime],"&gt;="&amp;TODAY()-WEEKDAY(TODAY(),2)+1,tbl_chests[datetime],"&lt;"&amp;TODAY()-WEEKDAY(TODAY(),2)+8)))</f>
        <v>0</v>
      </c>
      <c r="AF23" s="36">
        <f ca="1">IF($A23="","",IF(AF$1="","",COUNTIFS(tbl_chests[from],$A23,tbl_chests[legalized],AF$1,tbl_chests[datetime],"&gt;="&amp;TODAY()-WEEKDAY(TODAY(),2)+1,tbl_chests[datetime],"&lt;"&amp;TODAY()-WEEKDAY(TODAY(),2)+8)))</f>
        <v>0</v>
      </c>
      <c r="AG23" s="36">
        <f ca="1">IF($A23="","",IF(AG$1="","",COUNTIFS(tbl_chests[from],$A23,tbl_chests[legalized],AG$1,tbl_chests[datetime],"&gt;="&amp;TODAY()-WEEKDAY(TODAY(),2)+1,tbl_chests[datetime],"&lt;"&amp;TODAY()-WEEKDAY(TODAY(),2)+8)))</f>
        <v>0</v>
      </c>
      <c r="AH23" s="36">
        <f ca="1">IF($A23="","",IF(AH$1="","",COUNTIFS(tbl_chests[from],$A23,tbl_chests[legalized],AH$1,tbl_chests[datetime],"&gt;="&amp;TODAY()-WEEKDAY(TODAY(),2)+1,tbl_chests[datetime],"&lt;"&amp;TODAY()-WEEKDAY(TODAY(),2)+8)))</f>
        <v>0</v>
      </c>
      <c r="AI23" s="36">
        <f ca="1">IF($A23="","",IF(AI$1="","",COUNTIFS(tbl_chests[from],$A23,tbl_chests[legalized],AI$1,tbl_chests[datetime],"&gt;="&amp;TODAY()-WEEKDAY(TODAY(),2)+1,tbl_chests[datetime],"&lt;"&amp;TODAY()-WEEKDAY(TODAY(),2)+8)))</f>
        <v>0</v>
      </c>
      <c r="AJ23" s="36">
        <f ca="1">IF($A23="","",IF(AJ$1="","",COUNTIFS(tbl_chests[from],$A23,tbl_chests[legalized],AJ$1,tbl_chests[datetime],"&gt;="&amp;TODAY()-WEEKDAY(TODAY(),2)+1,tbl_chests[datetime],"&lt;"&amp;TODAY()-WEEKDAY(TODAY(),2)+8)))</f>
        <v>0</v>
      </c>
      <c r="AK23" s="36">
        <f ca="1">IF($A23="","",IF(AK$1="","",COUNTIFS(tbl_chests[from],$A23,tbl_chests[legalized],AK$1,tbl_chests[datetime],"&gt;="&amp;TODAY()-WEEKDAY(TODAY(),2)+1,tbl_chests[datetime],"&lt;"&amp;TODAY()-WEEKDAY(TODAY(),2)+8)))</f>
        <v>0</v>
      </c>
      <c r="AL23" s="36">
        <f ca="1">IF($A23="","",IF(AL$1="","",COUNTIFS(tbl_chests[from],$A23,tbl_chests[legalized],AL$1,tbl_chests[datetime],"&gt;="&amp;TODAY()-WEEKDAY(TODAY(),2)+1,tbl_chests[datetime],"&lt;"&amp;TODAY()-WEEKDAY(TODAY(),2)+8)))</f>
        <v>0</v>
      </c>
      <c r="AM23" s="37">
        <f ca="1">IF($A23="","",IF(AM$1="","",COUNTIFS(tbl_chests[from],$A23,tbl_chests[legalized],AM$1,tbl_chests[datetime],"&gt;="&amp;TODAY()-WEEKDAY(TODAY(),2)+1,tbl_chests[datetime],"&lt;"&amp;TODAY()-WEEKDAY(TODAY(),2)+8)))</f>
        <v>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 ht="15.75" customHeight="1" x14ac:dyDescent="0.25">
      <c r="A24" s="34" t="str">
        <f>chests_counter!$H21</f>
        <v>CongulusMurat</v>
      </c>
      <c r="B24" s="35" cm="1">
        <f t="array" aca="1" ref="B24" ca="1">IF(A24&lt;&gt;"", SUMPRODUCT(($C$2:$AM$2&lt;&gt;0)*(C24:AM24&lt;&gt;0)*($C$2:$AM$2)*(C24:AM24)), "")</f>
        <v>110</v>
      </c>
      <c r="C24" s="36">
        <f ca="1">IF($A24="","",IF(C$1="","",COUNTIFS(tbl_chests[from],$A24,tbl_chests[legalized],C$1,tbl_chests[datetime],"&gt;="&amp;TODAY()-WEEKDAY(TODAY(),2)+1,tbl_chests[datetime],"&lt;"&amp;TODAY()-WEEKDAY(TODAY(),2)+8)))</f>
        <v>1</v>
      </c>
      <c r="D24" s="36">
        <f ca="1">IF($A24="","",IF(D$1="","",COUNTIFS(tbl_chests[from],$A24,tbl_chests[legalized],D$1,tbl_chests[datetime],"&gt;="&amp;TODAY()-WEEKDAY(TODAY(),2)+1,tbl_chests[datetime],"&lt;"&amp;TODAY()-WEEKDAY(TODAY(),2)+8)))</f>
        <v>5</v>
      </c>
      <c r="E24" s="36">
        <f ca="1">IF($A24="","",IF(E$1="","",COUNTIFS(tbl_chests[from],$A24,tbl_chests[legalized],E$1,tbl_chests[datetime],"&gt;="&amp;TODAY()-WEEKDAY(TODAY(),2)+1,tbl_chests[datetime],"&lt;"&amp;TODAY()-WEEKDAY(TODAY(),2)+8)))</f>
        <v>0</v>
      </c>
      <c r="F24" s="36">
        <f ca="1">IF($A24="","",IF(F$1="","",COUNTIFS(tbl_chests[from],$A24,tbl_chests[legalized],F$1,tbl_chests[datetime],"&gt;="&amp;TODAY()-WEEKDAY(TODAY(),2)+1,tbl_chests[datetime],"&lt;"&amp;TODAY()-WEEKDAY(TODAY(),2)+8)))</f>
        <v>0</v>
      </c>
      <c r="G24" s="36">
        <f ca="1">IF($A24="","",IF(G$1="","",COUNTIFS(tbl_chests[from],$A24,tbl_chests[legalized],G$1,tbl_chests[datetime],"&gt;="&amp;TODAY()-WEEKDAY(TODAY(),2)+1,tbl_chests[datetime],"&lt;"&amp;TODAY()-WEEKDAY(TODAY(),2)+8)))</f>
        <v>0</v>
      </c>
      <c r="H24" s="36">
        <f ca="1">IF($A24="","",IF(H$1="","",COUNTIFS(tbl_chests[from],$A24,tbl_chests[legalized],H$1,tbl_chests[datetime],"&gt;="&amp;TODAY()-WEEKDAY(TODAY(),2)+1,tbl_chests[datetime],"&lt;"&amp;TODAY()-WEEKDAY(TODAY(),2)+8)))</f>
        <v>0</v>
      </c>
      <c r="I24" s="36">
        <f ca="1">IF($A24="","",IF(I$1="","",COUNTIFS(tbl_chests[from],$A24,tbl_chests[legalized],I$1,tbl_chests[datetime],"&gt;="&amp;TODAY()-WEEKDAY(TODAY(),2)+1,tbl_chests[datetime],"&lt;"&amp;TODAY()-WEEKDAY(TODAY(),2)+8)))</f>
        <v>0</v>
      </c>
      <c r="J24" s="36">
        <f ca="1">IF($A24="","",IF(J$1="","",COUNTIFS(tbl_chests[from],$A24,tbl_chests[legalized],J$1,tbl_chests[datetime],"&gt;="&amp;TODAY()-WEEKDAY(TODAY(),2)+1,tbl_chests[datetime],"&lt;"&amp;TODAY()-WEEKDAY(TODAY(),2)+8)))</f>
        <v>0</v>
      </c>
      <c r="K24" s="36">
        <f ca="1">IF($A24="","",IF(K$1="","",COUNTIFS(tbl_chests[from],$A24,tbl_chests[legalized],K$1,tbl_chests[datetime],"&gt;="&amp;TODAY()-WEEKDAY(TODAY(),2)+1,tbl_chests[datetime],"&lt;"&amp;TODAY()-WEEKDAY(TODAY(),2)+8)))</f>
        <v>0</v>
      </c>
      <c r="L24" s="36">
        <f ca="1">IF($A24="","",IF(L$1="","",COUNTIFS(tbl_chests[from],$A24,tbl_chests[legalized],L$1,tbl_chests[datetime],"&gt;="&amp;TODAY()-WEEKDAY(TODAY(),2)+1,tbl_chests[datetime],"&lt;"&amp;TODAY()-WEEKDAY(TODAY(),2)+8)))</f>
        <v>0</v>
      </c>
      <c r="M24" s="36">
        <f ca="1">IF($A24="","",IF(M$1="","",COUNTIFS(tbl_chests[from],$A24,tbl_chests[legalized],M$1,tbl_chests[datetime],"&gt;="&amp;TODAY()-WEEKDAY(TODAY(),2)+1,tbl_chests[datetime],"&lt;"&amp;TODAY()-WEEKDAY(TODAY(),2)+8)))</f>
        <v>0</v>
      </c>
      <c r="N24" s="36">
        <f ca="1">IF($A24="","",IF(N$1="","",COUNTIFS(tbl_chests[from],$A24,tbl_chests[legalized],N$1,tbl_chests[datetime],"&gt;="&amp;TODAY()-WEEKDAY(TODAY(),2)+1,tbl_chests[datetime],"&lt;"&amp;TODAY()-WEEKDAY(TODAY(),2)+8)))</f>
        <v>0</v>
      </c>
      <c r="O24" s="36">
        <f ca="1">IF($A24="","",IF(O$1="","",COUNTIFS(tbl_chests[from],$A24,tbl_chests[legalized],O$1,tbl_chests[datetime],"&gt;="&amp;TODAY()-WEEKDAY(TODAY(),2)+1,tbl_chests[datetime],"&lt;"&amp;TODAY()-WEEKDAY(TODAY(),2)+8)))</f>
        <v>0</v>
      </c>
      <c r="P24" s="36">
        <f ca="1">IF($A24="","",IF(P$1="","",COUNTIFS(tbl_chests[from],$A24,tbl_chests[legalized],P$1,tbl_chests[datetime],"&gt;="&amp;TODAY()-WEEKDAY(TODAY(),2)+1,tbl_chests[datetime],"&lt;"&amp;TODAY()-WEEKDAY(TODAY(),2)+8)))</f>
        <v>0</v>
      </c>
      <c r="Q24" s="36">
        <f ca="1">IF($A24="","",IF(Q$1="","",COUNTIFS(tbl_chests[from],$A24,tbl_chests[legalized],Q$1,tbl_chests[datetime],"&gt;="&amp;TODAY()-WEEKDAY(TODAY(),2)+1,tbl_chests[datetime],"&lt;"&amp;TODAY()-WEEKDAY(TODAY(),2)+8)))</f>
        <v>0</v>
      </c>
      <c r="R24" s="36">
        <f ca="1">IF($A24="","",IF(R$1="","",COUNTIFS(tbl_chests[from],$A24,tbl_chests[legalized],R$1,tbl_chests[datetime],"&gt;="&amp;TODAY()-WEEKDAY(TODAY(),2)+1,tbl_chests[datetime],"&lt;"&amp;TODAY()-WEEKDAY(TODAY(),2)+8)))</f>
        <v>0</v>
      </c>
      <c r="S24" s="36">
        <f ca="1">IF($A24="","",IF(S$1="","",COUNTIFS(tbl_chests[from],$A24,tbl_chests[legalized],S$1,tbl_chests[datetime],"&gt;="&amp;TODAY()-WEEKDAY(TODAY(),2)+1,tbl_chests[datetime],"&lt;"&amp;TODAY()-WEEKDAY(TODAY(),2)+8)))</f>
        <v>0</v>
      </c>
      <c r="T24" s="36">
        <f ca="1">IF($A24="","",IF(T$1="","",COUNTIFS(tbl_chests[from],$A24,tbl_chests[legalized],T$1,tbl_chests[datetime],"&gt;="&amp;TODAY()-WEEKDAY(TODAY(),2)+1,tbl_chests[datetime],"&lt;"&amp;TODAY()-WEEKDAY(TODAY(),2)+8)))</f>
        <v>0</v>
      </c>
      <c r="U24" s="36">
        <f ca="1">IF($A24="","",IF(U$1="","",COUNTIFS(tbl_chests[from],$A24,tbl_chests[legalized],U$1,tbl_chests[datetime],"&gt;="&amp;TODAY()-WEEKDAY(TODAY(),2)+1,tbl_chests[datetime],"&lt;"&amp;TODAY()-WEEKDAY(TODAY(),2)+8)))</f>
        <v>0</v>
      </c>
      <c r="V24" s="36">
        <f ca="1">IF($A24="","",IF(V$1="","",COUNTIFS(tbl_chests[from],$A24,tbl_chests[legalized],V$1,tbl_chests[datetime],"&gt;="&amp;TODAY()-WEEKDAY(TODAY(),2)+1,tbl_chests[datetime],"&lt;"&amp;TODAY()-WEEKDAY(TODAY(),2)+8)))</f>
        <v>0</v>
      </c>
      <c r="W24" s="36">
        <f ca="1">IF($A24="","",IF(W$1="","",COUNTIFS(tbl_chests[from],$A24,tbl_chests[legalized],W$1,tbl_chests[datetime],"&gt;="&amp;TODAY()-WEEKDAY(TODAY(),2)+1,tbl_chests[datetime],"&lt;"&amp;TODAY()-WEEKDAY(TODAY(),2)+8)))</f>
        <v>0</v>
      </c>
      <c r="X24" s="36">
        <f ca="1">IF($A24="","",IF(X$1="","",COUNTIFS(tbl_chests[from],$A24,tbl_chests[legalized],X$1,tbl_chests[datetime],"&gt;="&amp;TODAY()-WEEKDAY(TODAY(),2)+1,tbl_chests[datetime],"&lt;"&amp;TODAY()-WEEKDAY(TODAY(),2)+8)))</f>
        <v>0</v>
      </c>
      <c r="Y24" s="36">
        <f ca="1">IF($A24="","",IF(Y$1="","",COUNTIFS(tbl_chests[from],$A24,tbl_chests[legalized],Y$1,tbl_chests[datetime],"&gt;="&amp;TODAY()-WEEKDAY(TODAY(),2)+1,tbl_chests[datetime],"&lt;"&amp;TODAY()-WEEKDAY(TODAY(),2)+8)))</f>
        <v>0</v>
      </c>
      <c r="Z24" s="36">
        <f ca="1">IF($A24="","",IF(Z$1="","",COUNTIFS(tbl_chests[from],$A24,tbl_chests[legalized],Z$1,tbl_chests[datetime],"&gt;="&amp;TODAY()-WEEKDAY(TODAY(),2)+1,tbl_chests[datetime],"&lt;"&amp;TODAY()-WEEKDAY(TODAY(),2)+8)))</f>
        <v>0</v>
      </c>
      <c r="AA24" s="36">
        <f ca="1">IF($A24="","",IF(AA$1="","",COUNTIFS(tbl_chests[from],$A24,tbl_chests[legalized],AA$1,tbl_chests[datetime],"&gt;="&amp;TODAY()-WEEKDAY(TODAY(),2)+1,tbl_chests[datetime],"&lt;"&amp;TODAY()-WEEKDAY(TODAY(),2)+8)))</f>
        <v>0</v>
      </c>
      <c r="AB24" s="36">
        <f ca="1">IF($A24="","",IF(AB$1="","",COUNTIFS(tbl_chests[from],$A24,tbl_chests[legalized],AB$1,tbl_chests[datetime],"&gt;="&amp;TODAY()-WEEKDAY(TODAY(),2)+1,tbl_chests[datetime],"&lt;"&amp;TODAY()-WEEKDAY(TODAY(),2)+8)))</f>
        <v>0</v>
      </c>
      <c r="AC24" s="36">
        <f ca="1">IF($A24="","",IF(AC$1="","",COUNTIFS(tbl_chests[from],$A24,tbl_chests[legalized],AC$1,tbl_chests[datetime],"&gt;="&amp;TODAY()-WEEKDAY(TODAY(),2)+1,tbl_chests[datetime],"&lt;"&amp;TODAY()-WEEKDAY(TODAY(),2)+8)))</f>
        <v>0</v>
      </c>
      <c r="AD24" s="36">
        <f ca="1">IF($A24="","",IF(AD$1="","",COUNTIFS(tbl_chests[from],$A24,tbl_chests[legalized],AD$1,tbl_chests[datetime],"&gt;="&amp;TODAY()-WEEKDAY(TODAY(),2)+1,tbl_chests[datetime],"&lt;"&amp;TODAY()-WEEKDAY(TODAY(),2)+8)))</f>
        <v>0</v>
      </c>
      <c r="AE24" s="36">
        <f ca="1">IF($A24="","",IF(AE$1="","",COUNTIFS(tbl_chests[from],$A24,tbl_chests[legalized],AE$1,tbl_chests[datetime],"&gt;="&amp;TODAY()-WEEKDAY(TODAY(),2)+1,tbl_chests[datetime],"&lt;"&amp;TODAY()-WEEKDAY(TODAY(),2)+8)))</f>
        <v>0</v>
      </c>
      <c r="AF24" s="36">
        <f ca="1">IF($A24="","",IF(AF$1="","",COUNTIFS(tbl_chests[from],$A24,tbl_chests[legalized],AF$1,tbl_chests[datetime],"&gt;="&amp;TODAY()-WEEKDAY(TODAY(),2)+1,tbl_chests[datetime],"&lt;"&amp;TODAY()-WEEKDAY(TODAY(),2)+8)))</f>
        <v>0</v>
      </c>
      <c r="AG24" s="36">
        <f ca="1">IF($A24="","",IF(AG$1="","",COUNTIFS(tbl_chests[from],$A24,tbl_chests[legalized],AG$1,tbl_chests[datetime],"&gt;="&amp;TODAY()-WEEKDAY(TODAY(),2)+1,tbl_chests[datetime],"&lt;"&amp;TODAY()-WEEKDAY(TODAY(),2)+8)))</f>
        <v>0</v>
      </c>
      <c r="AH24" s="36">
        <f ca="1">IF($A24="","",IF(AH$1="","",COUNTIFS(tbl_chests[from],$A24,tbl_chests[legalized],AH$1,tbl_chests[datetime],"&gt;="&amp;TODAY()-WEEKDAY(TODAY(),2)+1,tbl_chests[datetime],"&lt;"&amp;TODAY()-WEEKDAY(TODAY(),2)+8)))</f>
        <v>0</v>
      </c>
      <c r="AI24" s="36">
        <f ca="1">IF($A24="","",IF(AI$1="","",COUNTIFS(tbl_chests[from],$A24,tbl_chests[legalized],AI$1,tbl_chests[datetime],"&gt;="&amp;TODAY()-WEEKDAY(TODAY(),2)+1,tbl_chests[datetime],"&lt;"&amp;TODAY()-WEEKDAY(TODAY(),2)+8)))</f>
        <v>0</v>
      </c>
      <c r="AJ24" s="36">
        <f ca="1">IF($A24="","",IF(AJ$1="","",COUNTIFS(tbl_chests[from],$A24,tbl_chests[legalized],AJ$1,tbl_chests[datetime],"&gt;="&amp;TODAY()-WEEKDAY(TODAY(),2)+1,tbl_chests[datetime],"&lt;"&amp;TODAY()-WEEKDAY(TODAY(),2)+8)))</f>
        <v>0</v>
      </c>
      <c r="AK24" s="36">
        <f ca="1">IF($A24="","",IF(AK$1="","",COUNTIFS(tbl_chests[from],$A24,tbl_chests[legalized],AK$1,tbl_chests[datetime],"&gt;="&amp;TODAY()-WEEKDAY(TODAY(),2)+1,tbl_chests[datetime],"&lt;"&amp;TODAY()-WEEKDAY(TODAY(),2)+8)))</f>
        <v>0</v>
      </c>
      <c r="AL24" s="36">
        <f ca="1">IF($A24="","",IF(AL$1="","",COUNTIFS(tbl_chests[from],$A24,tbl_chests[legalized],AL$1,tbl_chests[datetime],"&gt;="&amp;TODAY()-WEEKDAY(TODAY(),2)+1,tbl_chests[datetime],"&lt;"&amp;TODAY()-WEEKDAY(TODAY(),2)+8)))</f>
        <v>0</v>
      </c>
      <c r="AM24" s="37">
        <f ca="1">IF($A24="","",IF(AM$1="","",COUNTIFS(tbl_chests[from],$A24,tbl_chests[legalized],AM$1,tbl_chests[datetime],"&gt;="&amp;TODAY()-WEEKDAY(TODAY(),2)+1,tbl_chests[datetime],"&lt;"&amp;TODAY()-WEEKDAY(TODAY(),2)+8)))</f>
        <v>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 ht="15.75" customHeight="1" x14ac:dyDescent="0.25">
      <c r="A25" s="34" t="str">
        <f>chests_counter!$H22</f>
        <v>crabb</v>
      </c>
      <c r="B25" s="35" cm="1">
        <f t="array" aca="1" ref="B25" ca="1">IF(A25&lt;&gt;"", SUMPRODUCT(($C$2:$AM$2&lt;&gt;0)*(C25:AM25&lt;&gt;0)*($C$2:$AM$2)*(C25:AM25)), "")</f>
        <v>1015</v>
      </c>
      <c r="C25" s="36">
        <f ca="1">IF($A25="","",IF(C$1="","",COUNTIFS(tbl_chests[from],$A25,tbl_chests[legalized],C$1,tbl_chests[datetime],"&gt;="&amp;TODAY()-WEEKDAY(TODAY(),2)+1,tbl_chests[datetime],"&lt;"&amp;TODAY()-WEEKDAY(TODAY(),2)+8)))</f>
        <v>8</v>
      </c>
      <c r="D25" s="36">
        <f ca="1">IF($A25="","",IF(D$1="","",COUNTIFS(tbl_chests[from],$A25,tbl_chests[legalized],D$1,tbl_chests[datetime],"&gt;="&amp;TODAY()-WEEKDAY(TODAY(),2)+1,tbl_chests[datetime],"&lt;"&amp;TODAY()-WEEKDAY(TODAY(),2)+8)))</f>
        <v>39</v>
      </c>
      <c r="E25" s="36">
        <f ca="1">IF($A25="","",IF(E$1="","",COUNTIFS(tbl_chests[from],$A25,tbl_chests[legalized],E$1,tbl_chests[datetime],"&gt;="&amp;TODAY()-WEEKDAY(TODAY(),2)+1,tbl_chests[datetime],"&lt;"&amp;TODAY()-WEEKDAY(TODAY(),2)+8)))</f>
        <v>0</v>
      </c>
      <c r="F25" s="36">
        <f ca="1">IF($A25="","",IF(F$1="","",COUNTIFS(tbl_chests[from],$A25,tbl_chests[legalized],F$1,tbl_chests[datetime],"&gt;="&amp;TODAY()-WEEKDAY(TODAY(),2)+1,tbl_chests[datetime],"&lt;"&amp;TODAY()-WEEKDAY(TODAY(),2)+8)))</f>
        <v>0</v>
      </c>
      <c r="G25" s="36">
        <f ca="1">IF($A25="","",IF(G$1="","",COUNTIFS(tbl_chests[from],$A25,tbl_chests[legalized],G$1,tbl_chests[datetime],"&gt;="&amp;TODAY()-WEEKDAY(TODAY(),2)+1,tbl_chests[datetime],"&lt;"&amp;TODAY()-WEEKDAY(TODAY(),2)+8)))</f>
        <v>0</v>
      </c>
      <c r="H25" s="36">
        <f ca="1">IF($A25="","",IF(H$1="","",COUNTIFS(tbl_chests[from],$A25,tbl_chests[legalized],H$1,tbl_chests[datetime],"&gt;="&amp;TODAY()-WEEKDAY(TODAY(),2)+1,tbl_chests[datetime],"&lt;"&amp;TODAY()-WEEKDAY(TODAY(),2)+8)))</f>
        <v>12</v>
      </c>
      <c r="I25" s="36">
        <f ca="1">IF($A25="","",IF(I$1="","",COUNTIFS(tbl_chests[from],$A25,tbl_chests[legalized],I$1,tbl_chests[datetime],"&gt;="&amp;TODAY()-WEEKDAY(TODAY(),2)+1,tbl_chests[datetime],"&lt;"&amp;TODAY()-WEEKDAY(TODAY(),2)+8)))</f>
        <v>0</v>
      </c>
      <c r="J25" s="36">
        <f ca="1">IF($A25="","",IF(J$1="","",COUNTIFS(tbl_chests[from],$A25,tbl_chests[legalized],J$1,tbl_chests[datetime],"&gt;="&amp;TODAY()-WEEKDAY(TODAY(),2)+1,tbl_chests[datetime],"&lt;"&amp;TODAY()-WEEKDAY(TODAY(),2)+8)))</f>
        <v>0</v>
      </c>
      <c r="K25" s="36">
        <f ca="1">IF($A25="","",IF(K$1="","",COUNTIFS(tbl_chests[from],$A25,tbl_chests[legalized],K$1,tbl_chests[datetime],"&gt;="&amp;TODAY()-WEEKDAY(TODAY(),2)+1,tbl_chests[datetime],"&lt;"&amp;TODAY()-WEEKDAY(TODAY(),2)+8)))</f>
        <v>0</v>
      </c>
      <c r="L25" s="36">
        <f ca="1">IF($A25="","",IF(L$1="","",COUNTIFS(tbl_chests[from],$A25,tbl_chests[legalized],L$1,tbl_chests[datetime],"&gt;="&amp;TODAY()-WEEKDAY(TODAY(),2)+1,tbl_chests[datetime],"&lt;"&amp;TODAY()-WEEKDAY(TODAY(),2)+8)))</f>
        <v>0</v>
      </c>
      <c r="M25" s="36">
        <f ca="1">IF($A25="","",IF(M$1="","",COUNTIFS(tbl_chests[from],$A25,tbl_chests[legalized],M$1,tbl_chests[datetime],"&gt;="&amp;TODAY()-WEEKDAY(TODAY(),2)+1,tbl_chests[datetime],"&lt;"&amp;TODAY()-WEEKDAY(TODAY(),2)+8)))</f>
        <v>0</v>
      </c>
      <c r="N25" s="36">
        <f ca="1">IF($A25="","",IF(N$1="","",COUNTIFS(tbl_chests[from],$A25,tbl_chests[legalized],N$1,tbl_chests[datetime],"&gt;="&amp;TODAY()-WEEKDAY(TODAY(),2)+1,tbl_chests[datetime],"&lt;"&amp;TODAY()-WEEKDAY(TODAY(),2)+8)))</f>
        <v>0</v>
      </c>
      <c r="O25" s="36">
        <f ca="1">IF($A25="","",IF(O$1="","",COUNTIFS(tbl_chests[from],$A25,tbl_chests[legalized],O$1,tbl_chests[datetime],"&gt;="&amp;TODAY()-WEEKDAY(TODAY(),2)+1,tbl_chests[datetime],"&lt;"&amp;TODAY()-WEEKDAY(TODAY(),2)+8)))</f>
        <v>0</v>
      </c>
      <c r="P25" s="36">
        <f ca="1">IF($A25="","",IF(P$1="","",COUNTIFS(tbl_chests[from],$A25,tbl_chests[legalized],P$1,tbl_chests[datetime],"&gt;="&amp;TODAY()-WEEKDAY(TODAY(),2)+1,tbl_chests[datetime],"&lt;"&amp;TODAY()-WEEKDAY(TODAY(),2)+8)))</f>
        <v>0</v>
      </c>
      <c r="Q25" s="36">
        <f ca="1">IF($A25="","",IF(Q$1="","",COUNTIFS(tbl_chests[from],$A25,tbl_chests[legalized],Q$1,tbl_chests[datetime],"&gt;="&amp;TODAY()-WEEKDAY(TODAY(),2)+1,tbl_chests[datetime],"&lt;"&amp;TODAY()-WEEKDAY(TODAY(),2)+8)))</f>
        <v>0</v>
      </c>
      <c r="R25" s="36">
        <f ca="1">IF($A25="","",IF(R$1="","",COUNTIFS(tbl_chests[from],$A25,tbl_chests[legalized],R$1,tbl_chests[datetime],"&gt;="&amp;TODAY()-WEEKDAY(TODAY(),2)+1,tbl_chests[datetime],"&lt;"&amp;TODAY()-WEEKDAY(TODAY(),2)+8)))</f>
        <v>2</v>
      </c>
      <c r="S25" s="36">
        <f ca="1">IF($A25="","",IF(S$1="","",COUNTIFS(tbl_chests[from],$A25,tbl_chests[legalized],S$1,tbl_chests[datetime],"&gt;="&amp;TODAY()-WEEKDAY(TODAY(),2)+1,tbl_chests[datetime],"&lt;"&amp;TODAY()-WEEKDAY(TODAY(),2)+8)))</f>
        <v>0</v>
      </c>
      <c r="T25" s="36">
        <f ca="1">IF($A25="","",IF(T$1="","",COUNTIFS(tbl_chests[from],$A25,tbl_chests[legalized],T$1,tbl_chests[datetime],"&gt;="&amp;TODAY()-WEEKDAY(TODAY(),2)+1,tbl_chests[datetime],"&lt;"&amp;TODAY()-WEEKDAY(TODAY(),2)+8)))</f>
        <v>0</v>
      </c>
      <c r="U25" s="36">
        <f ca="1">IF($A25="","",IF(U$1="","",COUNTIFS(tbl_chests[from],$A25,tbl_chests[legalized],U$1,tbl_chests[datetime],"&gt;="&amp;TODAY()-WEEKDAY(TODAY(),2)+1,tbl_chests[datetime],"&lt;"&amp;TODAY()-WEEKDAY(TODAY(),2)+8)))</f>
        <v>0</v>
      </c>
      <c r="V25" s="36">
        <f ca="1">IF($A25="","",IF(V$1="","",COUNTIFS(tbl_chests[from],$A25,tbl_chests[legalized],V$1,tbl_chests[datetime],"&gt;="&amp;TODAY()-WEEKDAY(TODAY(),2)+1,tbl_chests[datetime],"&lt;"&amp;TODAY()-WEEKDAY(TODAY(),2)+8)))</f>
        <v>0</v>
      </c>
      <c r="W25" s="36">
        <f ca="1">IF($A25="","",IF(W$1="","",COUNTIFS(tbl_chests[from],$A25,tbl_chests[legalized],W$1,tbl_chests[datetime],"&gt;="&amp;TODAY()-WEEKDAY(TODAY(),2)+1,tbl_chests[datetime],"&lt;"&amp;TODAY()-WEEKDAY(TODAY(),2)+8)))</f>
        <v>0</v>
      </c>
      <c r="X25" s="36">
        <f ca="1">IF($A25="","",IF(X$1="","",COUNTIFS(tbl_chests[from],$A25,tbl_chests[legalized],X$1,tbl_chests[datetime],"&gt;="&amp;TODAY()-WEEKDAY(TODAY(),2)+1,tbl_chests[datetime],"&lt;"&amp;TODAY()-WEEKDAY(TODAY(),2)+8)))</f>
        <v>0</v>
      </c>
      <c r="Y25" s="36">
        <f ca="1">IF($A25="","",IF(Y$1="","",COUNTIFS(tbl_chests[from],$A25,tbl_chests[legalized],Y$1,tbl_chests[datetime],"&gt;="&amp;TODAY()-WEEKDAY(TODAY(),2)+1,tbl_chests[datetime],"&lt;"&amp;TODAY()-WEEKDAY(TODAY(),2)+8)))</f>
        <v>0</v>
      </c>
      <c r="Z25" s="36">
        <f ca="1">IF($A25="","",IF(Z$1="","",COUNTIFS(tbl_chests[from],$A25,tbl_chests[legalized],Z$1,tbl_chests[datetime],"&gt;="&amp;TODAY()-WEEKDAY(TODAY(),2)+1,tbl_chests[datetime],"&lt;"&amp;TODAY()-WEEKDAY(TODAY(),2)+8)))</f>
        <v>0</v>
      </c>
      <c r="AA25" s="36">
        <f ca="1">IF($A25="","",IF(AA$1="","",COUNTIFS(tbl_chests[from],$A25,tbl_chests[legalized],AA$1,tbl_chests[datetime],"&gt;="&amp;TODAY()-WEEKDAY(TODAY(),2)+1,tbl_chests[datetime],"&lt;"&amp;TODAY()-WEEKDAY(TODAY(),2)+8)))</f>
        <v>0</v>
      </c>
      <c r="AB25" s="36">
        <f ca="1">IF($A25="","",IF(AB$1="","",COUNTIFS(tbl_chests[from],$A25,tbl_chests[legalized],AB$1,tbl_chests[datetime],"&gt;="&amp;TODAY()-WEEKDAY(TODAY(),2)+1,tbl_chests[datetime],"&lt;"&amp;TODAY()-WEEKDAY(TODAY(),2)+8)))</f>
        <v>0</v>
      </c>
      <c r="AC25" s="36">
        <f ca="1">IF($A25="","",IF(AC$1="","",COUNTIFS(tbl_chests[from],$A25,tbl_chests[legalized],AC$1,tbl_chests[datetime],"&gt;="&amp;TODAY()-WEEKDAY(TODAY(),2)+1,tbl_chests[datetime],"&lt;"&amp;TODAY()-WEEKDAY(TODAY(),2)+8)))</f>
        <v>0</v>
      </c>
      <c r="AD25" s="36">
        <f ca="1">IF($A25="","",IF(AD$1="","",COUNTIFS(tbl_chests[from],$A25,tbl_chests[legalized],AD$1,tbl_chests[datetime],"&gt;="&amp;TODAY()-WEEKDAY(TODAY(),2)+1,tbl_chests[datetime],"&lt;"&amp;TODAY()-WEEKDAY(TODAY(),2)+8)))</f>
        <v>0</v>
      </c>
      <c r="AE25" s="36">
        <f ca="1">IF($A25="","",IF(AE$1="","",COUNTIFS(tbl_chests[from],$A25,tbl_chests[legalized],AE$1,tbl_chests[datetime],"&gt;="&amp;TODAY()-WEEKDAY(TODAY(),2)+1,tbl_chests[datetime],"&lt;"&amp;TODAY()-WEEKDAY(TODAY(),2)+8)))</f>
        <v>3</v>
      </c>
      <c r="AF25" s="36">
        <f ca="1">IF($A25="","",IF(AF$1="","",COUNTIFS(tbl_chests[from],$A25,tbl_chests[legalized],AF$1,tbl_chests[datetime],"&gt;="&amp;TODAY()-WEEKDAY(TODAY(),2)+1,tbl_chests[datetime],"&lt;"&amp;TODAY()-WEEKDAY(TODAY(),2)+8)))</f>
        <v>0</v>
      </c>
      <c r="AG25" s="36">
        <f ca="1">IF($A25="","",IF(AG$1="","",COUNTIFS(tbl_chests[from],$A25,tbl_chests[legalized],AG$1,tbl_chests[datetime],"&gt;="&amp;TODAY()-WEEKDAY(TODAY(),2)+1,tbl_chests[datetime],"&lt;"&amp;TODAY()-WEEKDAY(TODAY(),2)+8)))</f>
        <v>0</v>
      </c>
      <c r="AH25" s="36">
        <f ca="1">IF($A25="","",IF(AH$1="","",COUNTIFS(tbl_chests[from],$A25,tbl_chests[legalized],AH$1,tbl_chests[datetime],"&gt;="&amp;TODAY()-WEEKDAY(TODAY(),2)+1,tbl_chests[datetime],"&lt;"&amp;TODAY()-WEEKDAY(TODAY(),2)+8)))</f>
        <v>0</v>
      </c>
      <c r="AI25" s="36">
        <f ca="1">IF($A25="","",IF(AI$1="","",COUNTIFS(tbl_chests[from],$A25,tbl_chests[legalized],AI$1,tbl_chests[datetime],"&gt;="&amp;TODAY()-WEEKDAY(TODAY(),2)+1,tbl_chests[datetime],"&lt;"&amp;TODAY()-WEEKDAY(TODAY(),2)+8)))</f>
        <v>0</v>
      </c>
      <c r="AJ25" s="36">
        <f ca="1">IF($A25="","",IF(AJ$1="","",COUNTIFS(tbl_chests[from],$A25,tbl_chests[legalized],AJ$1,tbl_chests[datetime],"&gt;="&amp;TODAY()-WEEKDAY(TODAY(),2)+1,tbl_chests[datetime],"&lt;"&amp;TODAY()-WEEKDAY(TODAY(),2)+8)))</f>
        <v>0</v>
      </c>
      <c r="AK25" s="36">
        <f ca="1">IF($A25="","",IF(AK$1="","",COUNTIFS(tbl_chests[from],$A25,tbl_chests[legalized],AK$1,tbl_chests[datetime],"&gt;="&amp;TODAY()-WEEKDAY(TODAY(),2)+1,tbl_chests[datetime],"&lt;"&amp;TODAY()-WEEKDAY(TODAY(),2)+8)))</f>
        <v>0</v>
      </c>
      <c r="AL25" s="36">
        <f ca="1">IF($A25="","",IF(AL$1="","",COUNTIFS(tbl_chests[from],$A25,tbl_chests[legalized],AL$1,tbl_chests[datetime],"&gt;="&amp;TODAY()-WEEKDAY(TODAY(),2)+1,tbl_chests[datetime],"&lt;"&amp;TODAY()-WEEKDAY(TODAY(),2)+8)))</f>
        <v>0</v>
      </c>
      <c r="AM25" s="37">
        <f ca="1">IF($A25="","",IF(AM$1="","",COUNTIFS(tbl_chests[from],$A25,tbl_chests[legalized],AM$1,tbl_chests[datetime],"&gt;="&amp;TODAY()-WEEKDAY(TODAY(),2)+1,tbl_chests[datetime],"&lt;"&amp;TODAY()-WEEKDAY(TODAY(),2)+8)))</f>
        <v>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 ht="15.75" customHeight="1" x14ac:dyDescent="0.25">
      <c r="A26" s="34" t="str">
        <f>chests_counter!$H23</f>
        <v>Darus735</v>
      </c>
      <c r="B26" s="35" cm="1">
        <f t="array" aca="1" ref="B26" ca="1">IF(A26&lt;&gt;"", SUMPRODUCT(($C$2:$AM$2&lt;&gt;0)*(C26:AM26&lt;&gt;0)*($C$2:$AM$2)*(C26:AM26)), "")</f>
        <v>0</v>
      </c>
      <c r="C26" s="36">
        <f ca="1">IF($A26="","",IF(C$1="","",COUNTIFS(tbl_chests[from],$A26,tbl_chests[legalized],C$1,tbl_chests[datetime],"&gt;="&amp;TODAY()-WEEKDAY(TODAY(),2)+1,tbl_chests[datetime],"&lt;"&amp;TODAY()-WEEKDAY(TODAY(),2)+8)))</f>
        <v>0</v>
      </c>
      <c r="D26" s="36">
        <f ca="1">IF($A26="","",IF(D$1="","",COUNTIFS(tbl_chests[from],$A26,tbl_chests[legalized],D$1,tbl_chests[datetime],"&gt;="&amp;TODAY()-WEEKDAY(TODAY(),2)+1,tbl_chests[datetime],"&lt;"&amp;TODAY()-WEEKDAY(TODAY(),2)+8)))</f>
        <v>0</v>
      </c>
      <c r="E26" s="36">
        <f ca="1">IF($A26="","",IF(E$1="","",COUNTIFS(tbl_chests[from],$A26,tbl_chests[legalized],E$1,tbl_chests[datetime],"&gt;="&amp;TODAY()-WEEKDAY(TODAY(),2)+1,tbl_chests[datetime],"&lt;"&amp;TODAY()-WEEKDAY(TODAY(),2)+8)))</f>
        <v>0</v>
      </c>
      <c r="F26" s="36">
        <f ca="1">IF($A26="","",IF(F$1="","",COUNTIFS(tbl_chests[from],$A26,tbl_chests[legalized],F$1,tbl_chests[datetime],"&gt;="&amp;TODAY()-WEEKDAY(TODAY(),2)+1,tbl_chests[datetime],"&lt;"&amp;TODAY()-WEEKDAY(TODAY(),2)+8)))</f>
        <v>0</v>
      </c>
      <c r="G26" s="36">
        <f ca="1">IF($A26="","",IF(G$1="","",COUNTIFS(tbl_chests[from],$A26,tbl_chests[legalized],G$1,tbl_chests[datetime],"&gt;="&amp;TODAY()-WEEKDAY(TODAY(),2)+1,tbl_chests[datetime],"&lt;"&amp;TODAY()-WEEKDAY(TODAY(),2)+8)))</f>
        <v>0</v>
      </c>
      <c r="H26" s="36">
        <f ca="1">IF($A26="","",IF(H$1="","",COUNTIFS(tbl_chests[from],$A26,tbl_chests[legalized],H$1,tbl_chests[datetime],"&gt;="&amp;TODAY()-WEEKDAY(TODAY(),2)+1,tbl_chests[datetime],"&lt;"&amp;TODAY()-WEEKDAY(TODAY(),2)+8)))</f>
        <v>0</v>
      </c>
      <c r="I26" s="36">
        <f ca="1">IF($A26="","",IF(I$1="","",COUNTIFS(tbl_chests[from],$A26,tbl_chests[legalized],I$1,tbl_chests[datetime],"&gt;="&amp;TODAY()-WEEKDAY(TODAY(),2)+1,tbl_chests[datetime],"&lt;"&amp;TODAY()-WEEKDAY(TODAY(),2)+8)))</f>
        <v>0</v>
      </c>
      <c r="J26" s="36">
        <f ca="1">IF($A26="","",IF(J$1="","",COUNTIFS(tbl_chests[from],$A26,tbl_chests[legalized],J$1,tbl_chests[datetime],"&gt;="&amp;TODAY()-WEEKDAY(TODAY(),2)+1,tbl_chests[datetime],"&lt;"&amp;TODAY()-WEEKDAY(TODAY(),2)+8)))</f>
        <v>0</v>
      </c>
      <c r="K26" s="36">
        <f ca="1">IF($A26="","",IF(K$1="","",COUNTIFS(tbl_chests[from],$A26,tbl_chests[legalized],K$1,tbl_chests[datetime],"&gt;="&amp;TODAY()-WEEKDAY(TODAY(),2)+1,tbl_chests[datetime],"&lt;"&amp;TODAY()-WEEKDAY(TODAY(),2)+8)))</f>
        <v>0</v>
      </c>
      <c r="L26" s="36">
        <f ca="1">IF($A26="","",IF(L$1="","",COUNTIFS(tbl_chests[from],$A26,tbl_chests[legalized],L$1,tbl_chests[datetime],"&gt;="&amp;TODAY()-WEEKDAY(TODAY(),2)+1,tbl_chests[datetime],"&lt;"&amp;TODAY()-WEEKDAY(TODAY(),2)+8)))</f>
        <v>0</v>
      </c>
      <c r="M26" s="36">
        <f ca="1">IF($A26="","",IF(M$1="","",COUNTIFS(tbl_chests[from],$A26,tbl_chests[legalized],M$1,tbl_chests[datetime],"&gt;="&amp;TODAY()-WEEKDAY(TODAY(),2)+1,tbl_chests[datetime],"&lt;"&amp;TODAY()-WEEKDAY(TODAY(),2)+8)))</f>
        <v>0</v>
      </c>
      <c r="N26" s="36">
        <f ca="1">IF($A26="","",IF(N$1="","",COUNTIFS(tbl_chests[from],$A26,tbl_chests[legalized],N$1,tbl_chests[datetime],"&gt;="&amp;TODAY()-WEEKDAY(TODAY(),2)+1,tbl_chests[datetime],"&lt;"&amp;TODAY()-WEEKDAY(TODAY(),2)+8)))</f>
        <v>0</v>
      </c>
      <c r="O26" s="36">
        <f ca="1">IF($A26="","",IF(O$1="","",COUNTIFS(tbl_chests[from],$A26,tbl_chests[legalized],O$1,tbl_chests[datetime],"&gt;="&amp;TODAY()-WEEKDAY(TODAY(),2)+1,tbl_chests[datetime],"&lt;"&amp;TODAY()-WEEKDAY(TODAY(),2)+8)))</f>
        <v>0</v>
      </c>
      <c r="P26" s="36">
        <f ca="1">IF($A26="","",IF(P$1="","",COUNTIFS(tbl_chests[from],$A26,tbl_chests[legalized],P$1,tbl_chests[datetime],"&gt;="&amp;TODAY()-WEEKDAY(TODAY(),2)+1,tbl_chests[datetime],"&lt;"&amp;TODAY()-WEEKDAY(TODAY(),2)+8)))</f>
        <v>0</v>
      </c>
      <c r="Q26" s="36">
        <f ca="1">IF($A26="","",IF(Q$1="","",COUNTIFS(tbl_chests[from],$A26,tbl_chests[legalized],Q$1,tbl_chests[datetime],"&gt;="&amp;TODAY()-WEEKDAY(TODAY(),2)+1,tbl_chests[datetime],"&lt;"&amp;TODAY()-WEEKDAY(TODAY(),2)+8)))</f>
        <v>0</v>
      </c>
      <c r="R26" s="36">
        <f ca="1">IF($A26="","",IF(R$1="","",COUNTIFS(tbl_chests[from],$A26,tbl_chests[legalized],R$1,tbl_chests[datetime],"&gt;="&amp;TODAY()-WEEKDAY(TODAY(),2)+1,tbl_chests[datetime],"&lt;"&amp;TODAY()-WEEKDAY(TODAY(),2)+8)))</f>
        <v>0</v>
      </c>
      <c r="S26" s="36">
        <f ca="1">IF($A26="","",IF(S$1="","",COUNTIFS(tbl_chests[from],$A26,tbl_chests[legalized],S$1,tbl_chests[datetime],"&gt;="&amp;TODAY()-WEEKDAY(TODAY(),2)+1,tbl_chests[datetime],"&lt;"&amp;TODAY()-WEEKDAY(TODAY(),2)+8)))</f>
        <v>0</v>
      </c>
      <c r="T26" s="36">
        <f ca="1">IF($A26="","",IF(T$1="","",COUNTIFS(tbl_chests[from],$A26,tbl_chests[legalized],T$1,tbl_chests[datetime],"&gt;="&amp;TODAY()-WEEKDAY(TODAY(),2)+1,tbl_chests[datetime],"&lt;"&amp;TODAY()-WEEKDAY(TODAY(),2)+8)))</f>
        <v>0</v>
      </c>
      <c r="U26" s="36">
        <f ca="1">IF($A26="","",IF(U$1="","",COUNTIFS(tbl_chests[from],$A26,tbl_chests[legalized],U$1,tbl_chests[datetime],"&gt;="&amp;TODAY()-WEEKDAY(TODAY(),2)+1,tbl_chests[datetime],"&lt;"&amp;TODAY()-WEEKDAY(TODAY(),2)+8)))</f>
        <v>0</v>
      </c>
      <c r="V26" s="36">
        <f ca="1">IF($A26="","",IF(V$1="","",COUNTIFS(tbl_chests[from],$A26,tbl_chests[legalized],V$1,tbl_chests[datetime],"&gt;="&amp;TODAY()-WEEKDAY(TODAY(),2)+1,tbl_chests[datetime],"&lt;"&amp;TODAY()-WEEKDAY(TODAY(),2)+8)))</f>
        <v>0</v>
      </c>
      <c r="W26" s="36">
        <f ca="1">IF($A26="","",IF(W$1="","",COUNTIFS(tbl_chests[from],$A26,tbl_chests[legalized],W$1,tbl_chests[datetime],"&gt;="&amp;TODAY()-WEEKDAY(TODAY(),2)+1,tbl_chests[datetime],"&lt;"&amp;TODAY()-WEEKDAY(TODAY(),2)+8)))</f>
        <v>0</v>
      </c>
      <c r="X26" s="36">
        <f ca="1">IF($A26="","",IF(X$1="","",COUNTIFS(tbl_chests[from],$A26,tbl_chests[legalized],X$1,tbl_chests[datetime],"&gt;="&amp;TODAY()-WEEKDAY(TODAY(),2)+1,tbl_chests[datetime],"&lt;"&amp;TODAY()-WEEKDAY(TODAY(),2)+8)))</f>
        <v>0</v>
      </c>
      <c r="Y26" s="36">
        <f ca="1">IF($A26="","",IF(Y$1="","",COUNTIFS(tbl_chests[from],$A26,tbl_chests[legalized],Y$1,tbl_chests[datetime],"&gt;="&amp;TODAY()-WEEKDAY(TODAY(),2)+1,tbl_chests[datetime],"&lt;"&amp;TODAY()-WEEKDAY(TODAY(),2)+8)))</f>
        <v>0</v>
      </c>
      <c r="Z26" s="36">
        <f ca="1">IF($A26="","",IF(Z$1="","",COUNTIFS(tbl_chests[from],$A26,tbl_chests[legalized],Z$1,tbl_chests[datetime],"&gt;="&amp;TODAY()-WEEKDAY(TODAY(),2)+1,tbl_chests[datetime],"&lt;"&amp;TODAY()-WEEKDAY(TODAY(),2)+8)))</f>
        <v>0</v>
      </c>
      <c r="AA26" s="36">
        <f ca="1">IF($A26="","",IF(AA$1="","",COUNTIFS(tbl_chests[from],$A26,tbl_chests[legalized],AA$1,tbl_chests[datetime],"&gt;="&amp;TODAY()-WEEKDAY(TODAY(),2)+1,tbl_chests[datetime],"&lt;"&amp;TODAY()-WEEKDAY(TODAY(),2)+8)))</f>
        <v>0</v>
      </c>
      <c r="AB26" s="36">
        <f ca="1">IF($A26="","",IF(AB$1="","",COUNTIFS(tbl_chests[from],$A26,tbl_chests[legalized],AB$1,tbl_chests[datetime],"&gt;="&amp;TODAY()-WEEKDAY(TODAY(),2)+1,tbl_chests[datetime],"&lt;"&amp;TODAY()-WEEKDAY(TODAY(),2)+8)))</f>
        <v>0</v>
      </c>
      <c r="AC26" s="36">
        <f ca="1">IF($A26="","",IF(AC$1="","",COUNTIFS(tbl_chests[from],$A26,tbl_chests[legalized],AC$1,tbl_chests[datetime],"&gt;="&amp;TODAY()-WEEKDAY(TODAY(),2)+1,tbl_chests[datetime],"&lt;"&amp;TODAY()-WEEKDAY(TODAY(),2)+8)))</f>
        <v>0</v>
      </c>
      <c r="AD26" s="36">
        <f ca="1">IF($A26="","",IF(AD$1="","",COUNTIFS(tbl_chests[from],$A26,tbl_chests[legalized],AD$1,tbl_chests[datetime],"&gt;="&amp;TODAY()-WEEKDAY(TODAY(),2)+1,tbl_chests[datetime],"&lt;"&amp;TODAY()-WEEKDAY(TODAY(),2)+8)))</f>
        <v>0</v>
      </c>
      <c r="AE26" s="36">
        <f ca="1">IF($A26="","",IF(AE$1="","",COUNTIFS(tbl_chests[from],$A26,tbl_chests[legalized],AE$1,tbl_chests[datetime],"&gt;="&amp;TODAY()-WEEKDAY(TODAY(),2)+1,tbl_chests[datetime],"&lt;"&amp;TODAY()-WEEKDAY(TODAY(),2)+8)))</f>
        <v>0</v>
      </c>
      <c r="AF26" s="36">
        <f ca="1">IF($A26="","",IF(AF$1="","",COUNTIFS(tbl_chests[from],$A26,tbl_chests[legalized],AF$1,tbl_chests[datetime],"&gt;="&amp;TODAY()-WEEKDAY(TODAY(),2)+1,tbl_chests[datetime],"&lt;"&amp;TODAY()-WEEKDAY(TODAY(),2)+8)))</f>
        <v>0</v>
      </c>
      <c r="AG26" s="36">
        <f ca="1">IF($A26="","",IF(AG$1="","",COUNTIFS(tbl_chests[from],$A26,tbl_chests[legalized],AG$1,tbl_chests[datetime],"&gt;="&amp;TODAY()-WEEKDAY(TODAY(),2)+1,tbl_chests[datetime],"&lt;"&amp;TODAY()-WEEKDAY(TODAY(),2)+8)))</f>
        <v>0</v>
      </c>
      <c r="AH26" s="36">
        <f ca="1">IF($A26="","",IF(AH$1="","",COUNTIFS(tbl_chests[from],$A26,tbl_chests[legalized],AH$1,tbl_chests[datetime],"&gt;="&amp;TODAY()-WEEKDAY(TODAY(),2)+1,tbl_chests[datetime],"&lt;"&amp;TODAY()-WEEKDAY(TODAY(),2)+8)))</f>
        <v>0</v>
      </c>
      <c r="AI26" s="36">
        <f ca="1">IF($A26="","",IF(AI$1="","",COUNTIFS(tbl_chests[from],$A26,tbl_chests[legalized],AI$1,tbl_chests[datetime],"&gt;="&amp;TODAY()-WEEKDAY(TODAY(),2)+1,tbl_chests[datetime],"&lt;"&amp;TODAY()-WEEKDAY(TODAY(),2)+8)))</f>
        <v>0</v>
      </c>
      <c r="AJ26" s="36">
        <f ca="1">IF($A26="","",IF(AJ$1="","",COUNTIFS(tbl_chests[from],$A26,tbl_chests[legalized],AJ$1,tbl_chests[datetime],"&gt;="&amp;TODAY()-WEEKDAY(TODAY(),2)+1,tbl_chests[datetime],"&lt;"&amp;TODAY()-WEEKDAY(TODAY(),2)+8)))</f>
        <v>0</v>
      </c>
      <c r="AK26" s="36">
        <f ca="1">IF($A26="","",IF(AK$1="","",COUNTIFS(tbl_chests[from],$A26,tbl_chests[legalized],AK$1,tbl_chests[datetime],"&gt;="&amp;TODAY()-WEEKDAY(TODAY(),2)+1,tbl_chests[datetime],"&lt;"&amp;TODAY()-WEEKDAY(TODAY(),2)+8)))</f>
        <v>0</v>
      </c>
      <c r="AL26" s="36">
        <f ca="1">IF($A26="","",IF(AL$1="","",COUNTIFS(tbl_chests[from],$A26,tbl_chests[legalized],AL$1,tbl_chests[datetime],"&gt;="&amp;TODAY()-WEEKDAY(TODAY(),2)+1,tbl_chests[datetime],"&lt;"&amp;TODAY()-WEEKDAY(TODAY(),2)+8)))</f>
        <v>0</v>
      </c>
      <c r="AM26" s="37">
        <f ca="1">IF($A26="","",IF(AM$1="","",COUNTIFS(tbl_chests[from],$A26,tbl_chests[legalized],AM$1,tbl_chests[datetime],"&gt;="&amp;TODAY()-WEEKDAY(TODAY(),2)+1,tbl_chests[datetime],"&lt;"&amp;TODAY()-WEEKDAY(TODAY(),2)+8)))</f>
        <v>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 ht="15.75" customHeight="1" x14ac:dyDescent="0.25">
      <c r="A27" s="34" t="str">
        <f>chests_counter!$H24</f>
        <v>Der Morg</v>
      </c>
      <c r="B27" s="35" cm="1">
        <f t="array" aca="1" ref="B27" ca="1">IF(A27&lt;&gt;"", SUMPRODUCT(($C$2:$AM$2&lt;&gt;0)*(C27:AM27&lt;&gt;0)*($C$2:$AM$2)*(C27:AM27)), "")</f>
        <v>210</v>
      </c>
      <c r="C27" s="36">
        <f ca="1">IF($A27="","",IF(C$1="","",COUNTIFS(tbl_chests[from],$A27,tbl_chests[legalized],C$1,tbl_chests[datetime],"&gt;="&amp;TODAY()-WEEKDAY(TODAY(),2)+1,tbl_chests[datetime],"&lt;"&amp;TODAY()-WEEKDAY(TODAY(),2)+8)))</f>
        <v>2</v>
      </c>
      <c r="D27" s="36">
        <f ca="1">IF($A27="","",IF(D$1="","",COUNTIFS(tbl_chests[from],$A27,tbl_chests[legalized],D$1,tbl_chests[datetime],"&gt;="&amp;TODAY()-WEEKDAY(TODAY(),2)+1,tbl_chests[datetime],"&lt;"&amp;TODAY()-WEEKDAY(TODAY(),2)+8)))</f>
        <v>6</v>
      </c>
      <c r="E27" s="36">
        <f ca="1">IF($A27="","",IF(E$1="","",COUNTIFS(tbl_chests[from],$A27,tbl_chests[legalized],E$1,tbl_chests[datetime],"&gt;="&amp;TODAY()-WEEKDAY(TODAY(),2)+1,tbl_chests[datetime],"&lt;"&amp;TODAY()-WEEKDAY(TODAY(),2)+8)))</f>
        <v>2</v>
      </c>
      <c r="F27" s="36">
        <f ca="1">IF($A27="","",IF(F$1="","",COUNTIFS(tbl_chests[from],$A27,tbl_chests[legalized],F$1,tbl_chests[datetime],"&gt;="&amp;TODAY()-WEEKDAY(TODAY(),2)+1,tbl_chests[datetime],"&lt;"&amp;TODAY()-WEEKDAY(TODAY(),2)+8)))</f>
        <v>0</v>
      </c>
      <c r="G27" s="36">
        <f ca="1">IF($A27="","",IF(G$1="","",COUNTIFS(tbl_chests[from],$A27,tbl_chests[legalized],G$1,tbl_chests[datetime],"&gt;="&amp;TODAY()-WEEKDAY(TODAY(),2)+1,tbl_chests[datetime],"&lt;"&amp;TODAY()-WEEKDAY(TODAY(),2)+8)))</f>
        <v>0</v>
      </c>
      <c r="H27" s="36">
        <f ca="1">IF($A27="","",IF(H$1="","",COUNTIFS(tbl_chests[from],$A27,tbl_chests[legalized],H$1,tbl_chests[datetime],"&gt;="&amp;TODAY()-WEEKDAY(TODAY(),2)+1,tbl_chests[datetime],"&lt;"&amp;TODAY()-WEEKDAY(TODAY(),2)+8)))</f>
        <v>0</v>
      </c>
      <c r="I27" s="36">
        <f ca="1">IF($A27="","",IF(I$1="","",COUNTIFS(tbl_chests[from],$A27,tbl_chests[legalized],I$1,tbl_chests[datetime],"&gt;="&amp;TODAY()-WEEKDAY(TODAY(),2)+1,tbl_chests[datetime],"&lt;"&amp;TODAY()-WEEKDAY(TODAY(),2)+8)))</f>
        <v>0</v>
      </c>
      <c r="J27" s="36">
        <f ca="1">IF($A27="","",IF(J$1="","",COUNTIFS(tbl_chests[from],$A27,tbl_chests[legalized],J$1,tbl_chests[datetime],"&gt;="&amp;TODAY()-WEEKDAY(TODAY(),2)+1,tbl_chests[datetime],"&lt;"&amp;TODAY()-WEEKDAY(TODAY(),2)+8)))</f>
        <v>0</v>
      </c>
      <c r="K27" s="36">
        <f ca="1">IF($A27="","",IF(K$1="","",COUNTIFS(tbl_chests[from],$A27,tbl_chests[legalized],K$1,tbl_chests[datetime],"&gt;="&amp;TODAY()-WEEKDAY(TODAY(),2)+1,tbl_chests[datetime],"&lt;"&amp;TODAY()-WEEKDAY(TODAY(),2)+8)))</f>
        <v>0</v>
      </c>
      <c r="L27" s="36">
        <f ca="1">IF($A27="","",IF(L$1="","",COUNTIFS(tbl_chests[from],$A27,tbl_chests[legalized],L$1,tbl_chests[datetime],"&gt;="&amp;TODAY()-WEEKDAY(TODAY(),2)+1,tbl_chests[datetime],"&lt;"&amp;TODAY()-WEEKDAY(TODAY(),2)+8)))</f>
        <v>0</v>
      </c>
      <c r="M27" s="36">
        <f ca="1">IF($A27="","",IF(M$1="","",COUNTIFS(tbl_chests[from],$A27,tbl_chests[legalized],M$1,tbl_chests[datetime],"&gt;="&amp;TODAY()-WEEKDAY(TODAY(),2)+1,tbl_chests[datetime],"&lt;"&amp;TODAY()-WEEKDAY(TODAY(),2)+8)))</f>
        <v>0</v>
      </c>
      <c r="N27" s="36">
        <f ca="1">IF($A27="","",IF(N$1="","",COUNTIFS(tbl_chests[from],$A27,tbl_chests[legalized],N$1,tbl_chests[datetime],"&gt;="&amp;TODAY()-WEEKDAY(TODAY(),2)+1,tbl_chests[datetime],"&lt;"&amp;TODAY()-WEEKDAY(TODAY(),2)+8)))</f>
        <v>0</v>
      </c>
      <c r="O27" s="36">
        <f ca="1">IF($A27="","",IF(O$1="","",COUNTIFS(tbl_chests[from],$A27,tbl_chests[legalized],O$1,tbl_chests[datetime],"&gt;="&amp;TODAY()-WEEKDAY(TODAY(),2)+1,tbl_chests[datetime],"&lt;"&amp;TODAY()-WEEKDAY(TODAY(),2)+8)))</f>
        <v>0</v>
      </c>
      <c r="P27" s="36">
        <f ca="1">IF($A27="","",IF(P$1="","",COUNTIFS(tbl_chests[from],$A27,tbl_chests[legalized],P$1,tbl_chests[datetime],"&gt;="&amp;TODAY()-WEEKDAY(TODAY(),2)+1,tbl_chests[datetime],"&lt;"&amp;TODAY()-WEEKDAY(TODAY(),2)+8)))</f>
        <v>0</v>
      </c>
      <c r="Q27" s="36">
        <f ca="1">IF($A27="","",IF(Q$1="","",COUNTIFS(tbl_chests[from],$A27,tbl_chests[legalized],Q$1,tbl_chests[datetime],"&gt;="&amp;TODAY()-WEEKDAY(TODAY(),2)+1,tbl_chests[datetime],"&lt;"&amp;TODAY()-WEEKDAY(TODAY(),2)+8)))</f>
        <v>0</v>
      </c>
      <c r="R27" s="36">
        <f ca="1">IF($A27="","",IF(R$1="","",COUNTIFS(tbl_chests[from],$A27,tbl_chests[legalized],R$1,tbl_chests[datetime],"&gt;="&amp;TODAY()-WEEKDAY(TODAY(),2)+1,tbl_chests[datetime],"&lt;"&amp;TODAY()-WEEKDAY(TODAY(),2)+8)))</f>
        <v>0</v>
      </c>
      <c r="S27" s="36">
        <f ca="1">IF($A27="","",IF(S$1="","",COUNTIFS(tbl_chests[from],$A27,tbl_chests[legalized],S$1,tbl_chests[datetime],"&gt;="&amp;TODAY()-WEEKDAY(TODAY(),2)+1,tbl_chests[datetime],"&lt;"&amp;TODAY()-WEEKDAY(TODAY(),2)+8)))</f>
        <v>0</v>
      </c>
      <c r="T27" s="36">
        <f ca="1">IF($A27="","",IF(T$1="","",COUNTIFS(tbl_chests[from],$A27,tbl_chests[legalized],T$1,tbl_chests[datetime],"&gt;="&amp;TODAY()-WEEKDAY(TODAY(),2)+1,tbl_chests[datetime],"&lt;"&amp;TODAY()-WEEKDAY(TODAY(),2)+8)))</f>
        <v>0</v>
      </c>
      <c r="U27" s="36">
        <f ca="1">IF($A27="","",IF(U$1="","",COUNTIFS(tbl_chests[from],$A27,tbl_chests[legalized],U$1,tbl_chests[datetime],"&gt;="&amp;TODAY()-WEEKDAY(TODAY(),2)+1,tbl_chests[datetime],"&lt;"&amp;TODAY()-WEEKDAY(TODAY(),2)+8)))</f>
        <v>0</v>
      </c>
      <c r="V27" s="36">
        <f ca="1">IF($A27="","",IF(V$1="","",COUNTIFS(tbl_chests[from],$A27,tbl_chests[legalized],V$1,tbl_chests[datetime],"&gt;="&amp;TODAY()-WEEKDAY(TODAY(),2)+1,tbl_chests[datetime],"&lt;"&amp;TODAY()-WEEKDAY(TODAY(),2)+8)))</f>
        <v>0</v>
      </c>
      <c r="W27" s="36">
        <f ca="1">IF($A27="","",IF(W$1="","",COUNTIFS(tbl_chests[from],$A27,tbl_chests[legalized],W$1,tbl_chests[datetime],"&gt;="&amp;TODAY()-WEEKDAY(TODAY(),2)+1,tbl_chests[datetime],"&lt;"&amp;TODAY()-WEEKDAY(TODAY(),2)+8)))</f>
        <v>0</v>
      </c>
      <c r="X27" s="36">
        <f ca="1">IF($A27="","",IF(X$1="","",COUNTIFS(tbl_chests[from],$A27,tbl_chests[legalized],X$1,tbl_chests[datetime],"&gt;="&amp;TODAY()-WEEKDAY(TODAY(),2)+1,tbl_chests[datetime],"&lt;"&amp;TODAY()-WEEKDAY(TODAY(),2)+8)))</f>
        <v>0</v>
      </c>
      <c r="Y27" s="36">
        <f ca="1">IF($A27="","",IF(Y$1="","",COUNTIFS(tbl_chests[from],$A27,tbl_chests[legalized],Y$1,tbl_chests[datetime],"&gt;="&amp;TODAY()-WEEKDAY(TODAY(),2)+1,tbl_chests[datetime],"&lt;"&amp;TODAY()-WEEKDAY(TODAY(),2)+8)))</f>
        <v>0</v>
      </c>
      <c r="Z27" s="36">
        <f ca="1">IF($A27="","",IF(Z$1="","",COUNTIFS(tbl_chests[from],$A27,tbl_chests[legalized],Z$1,tbl_chests[datetime],"&gt;="&amp;TODAY()-WEEKDAY(TODAY(),2)+1,tbl_chests[datetime],"&lt;"&amp;TODAY()-WEEKDAY(TODAY(),2)+8)))</f>
        <v>0</v>
      </c>
      <c r="AA27" s="36">
        <f ca="1">IF($A27="","",IF(AA$1="","",COUNTIFS(tbl_chests[from],$A27,tbl_chests[legalized],AA$1,tbl_chests[datetime],"&gt;="&amp;TODAY()-WEEKDAY(TODAY(),2)+1,tbl_chests[datetime],"&lt;"&amp;TODAY()-WEEKDAY(TODAY(),2)+8)))</f>
        <v>0</v>
      </c>
      <c r="AB27" s="36">
        <f ca="1">IF($A27="","",IF(AB$1="","",COUNTIFS(tbl_chests[from],$A27,tbl_chests[legalized],AB$1,tbl_chests[datetime],"&gt;="&amp;TODAY()-WEEKDAY(TODAY(),2)+1,tbl_chests[datetime],"&lt;"&amp;TODAY()-WEEKDAY(TODAY(),2)+8)))</f>
        <v>0</v>
      </c>
      <c r="AC27" s="36">
        <f ca="1">IF($A27="","",IF(AC$1="","",COUNTIFS(tbl_chests[from],$A27,tbl_chests[legalized],AC$1,tbl_chests[datetime],"&gt;="&amp;TODAY()-WEEKDAY(TODAY(),2)+1,tbl_chests[datetime],"&lt;"&amp;TODAY()-WEEKDAY(TODAY(),2)+8)))</f>
        <v>0</v>
      </c>
      <c r="AD27" s="36">
        <f ca="1">IF($A27="","",IF(AD$1="","",COUNTIFS(tbl_chests[from],$A27,tbl_chests[legalized],AD$1,tbl_chests[datetime],"&gt;="&amp;TODAY()-WEEKDAY(TODAY(),2)+1,tbl_chests[datetime],"&lt;"&amp;TODAY()-WEEKDAY(TODAY(),2)+8)))</f>
        <v>0</v>
      </c>
      <c r="AE27" s="36">
        <f ca="1">IF($A27="","",IF(AE$1="","",COUNTIFS(tbl_chests[from],$A27,tbl_chests[legalized],AE$1,tbl_chests[datetime],"&gt;="&amp;TODAY()-WEEKDAY(TODAY(),2)+1,tbl_chests[datetime],"&lt;"&amp;TODAY()-WEEKDAY(TODAY(),2)+8)))</f>
        <v>2</v>
      </c>
      <c r="AF27" s="36">
        <f ca="1">IF($A27="","",IF(AF$1="","",COUNTIFS(tbl_chests[from],$A27,tbl_chests[legalized],AF$1,tbl_chests[datetime],"&gt;="&amp;TODAY()-WEEKDAY(TODAY(),2)+1,tbl_chests[datetime],"&lt;"&amp;TODAY()-WEEKDAY(TODAY(),2)+8)))</f>
        <v>0</v>
      </c>
      <c r="AG27" s="36">
        <f ca="1">IF($A27="","",IF(AG$1="","",COUNTIFS(tbl_chests[from],$A27,tbl_chests[legalized],AG$1,tbl_chests[datetime],"&gt;="&amp;TODAY()-WEEKDAY(TODAY(),2)+1,tbl_chests[datetime],"&lt;"&amp;TODAY()-WEEKDAY(TODAY(),2)+8)))</f>
        <v>0</v>
      </c>
      <c r="AH27" s="36">
        <f ca="1">IF($A27="","",IF(AH$1="","",COUNTIFS(tbl_chests[from],$A27,tbl_chests[legalized],AH$1,tbl_chests[datetime],"&gt;="&amp;TODAY()-WEEKDAY(TODAY(),2)+1,tbl_chests[datetime],"&lt;"&amp;TODAY()-WEEKDAY(TODAY(),2)+8)))</f>
        <v>0</v>
      </c>
      <c r="AI27" s="36">
        <f ca="1">IF($A27="","",IF(AI$1="","",COUNTIFS(tbl_chests[from],$A27,tbl_chests[legalized],AI$1,tbl_chests[datetime],"&gt;="&amp;TODAY()-WEEKDAY(TODAY(),2)+1,tbl_chests[datetime],"&lt;"&amp;TODAY()-WEEKDAY(TODAY(),2)+8)))</f>
        <v>0</v>
      </c>
      <c r="AJ27" s="36">
        <f ca="1">IF($A27="","",IF(AJ$1="","",COUNTIFS(tbl_chests[from],$A27,tbl_chests[legalized],AJ$1,tbl_chests[datetime],"&gt;="&amp;TODAY()-WEEKDAY(TODAY(),2)+1,tbl_chests[datetime],"&lt;"&amp;TODAY()-WEEKDAY(TODAY(),2)+8)))</f>
        <v>0</v>
      </c>
      <c r="AK27" s="36">
        <f ca="1">IF($A27="","",IF(AK$1="","",COUNTIFS(tbl_chests[from],$A27,tbl_chests[legalized],AK$1,tbl_chests[datetime],"&gt;="&amp;TODAY()-WEEKDAY(TODAY(),2)+1,tbl_chests[datetime],"&lt;"&amp;TODAY()-WEEKDAY(TODAY(),2)+8)))</f>
        <v>0</v>
      </c>
      <c r="AL27" s="36">
        <f ca="1">IF($A27="","",IF(AL$1="","",COUNTIFS(tbl_chests[from],$A27,tbl_chests[legalized],AL$1,tbl_chests[datetime],"&gt;="&amp;TODAY()-WEEKDAY(TODAY(),2)+1,tbl_chests[datetime],"&lt;"&amp;TODAY()-WEEKDAY(TODAY(),2)+8)))</f>
        <v>0</v>
      </c>
      <c r="AM27" s="37">
        <f ca="1">IF($A27="","",IF(AM$1="","",COUNTIFS(tbl_chests[from],$A27,tbl_chests[legalized],AM$1,tbl_chests[datetime],"&gt;="&amp;TODAY()-WEEKDAY(TODAY(),2)+1,tbl_chests[datetime],"&lt;"&amp;TODAY()-WEEKDAY(TODAY(),2)+8)))</f>
        <v>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 ht="15.75" customHeight="1" x14ac:dyDescent="0.25">
      <c r="A28" s="34" t="str">
        <f>chests_counter!$H25</f>
        <v>Earar</v>
      </c>
      <c r="B28" s="35" cm="1">
        <f t="array" aca="1" ref="B28" ca="1">IF(A28&lt;&gt;"", SUMPRODUCT(($C$2:$AM$2&lt;&gt;0)*(C28:AM28&lt;&gt;0)*($C$2:$AM$2)*(C28:AM28)), "")</f>
        <v>40</v>
      </c>
      <c r="C28" s="36">
        <f ca="1">IF($A28="","",IF(C$1="","",COUNTIFS(tbl_chests[from],$A28,tbl_chests[legalized],C$1,tbl_chests[datetime],"&gt;="&amp;TODAY()-WEEKDAY(TODAY(),2)+1,tbl_chests[datetime],"&lt;"&amp;TODAY()-WEEKDAY(TODAY(),2)+8)))</f>
        <v>1</v>
      </c>
      <c r="D28" s="36">
        <f ca="1">IF($A28="","",IF(D$1="","",COUNTIFS(tbl_chests[from],$A28,tbl_chests[legalized],D$1,tbl_chests[datetime],"&gt;="&amp;TODAY()-WEEKDAY(TODAY(),2)+1,tbl_chests[datetime],"&lt;"&amp;TODAY()-WEEKDAY(TODAY(),2)+8)))</f>
        <v>1</v>
      </c>
      <c r="E28" s="36">
        <f ca="1">IF($A28="","",IF(E$1="","",COUNTIFS(tbl_chests[from],$A28,tbl_chests[legalized],E$1,tbl_chests[datetime],"&gt;="&amp;TODAY()-WEEKDAY(TODAY(),2)+1,tbl_chests[datetime],"&lt;"&amp;TODAY()-WEEKDAY(TODAY(),2)+8)))</f>
        <v>0</v>
      </c>
      <c r="F28" s="36">
        <f ca="1">IF($A28="","",IF(F$1="","",COUNTIFS(tbl_chests[from],$A28,tbl_chests[legalized],F$1,tbl_chests[datetime],"&gt;="&amp;TODAY()-WEEKDAY(TODAY(),2)+1,tbl_chests[datetime],"&lt;"&amp;TODAY()-WEEKDAY(TODAY(),2)+8)))</f>
        <v>0</v>
      </c>
      <c r="G28" s="36">
        <f ca="1">IF($A28="","",IF(G$1="","",COUNTIFS(tbl_chests[from],$A28,tbl_chests[legalized],G$1,tbl_chests[datetime],"&gt;="&amp;TODAY()-WEEKDAY(TODAY(),2)+1,tbl_chests[datetime],"&lt;"&amp;TODAY()-WEEKDAY(TODAY(),2)+8)))</f>
        <v>0</v>
      </c>
      <c r="H28" s="36">
        <f ca="1">IF($A28="","",IF(H$1="","",COUNTIFS(tbl_chests[from],$A28,tbl_chests[legalized],H$1,tbl_chests[datetime],"&gt;="&amp;TODAY()-WEEKDAY(TODAY(),2)+1,tbl_chests[datetime],"&lt;"&amp;TODAY()-WEEKDAY(TODAY(),2)+8)))</f>
        <v>0</v>
      </c>
      <c r="I28" s="36">
        <f ca="1">IF($A28="","",IF(I$1="","",COUNTIFS(tbl_chests[from],$A28,tbl_chests[legalized],I$1,tbl_chests[datetime],"&gt;="&amp;TODAY()-WEEKDAY(TODAY(),2)+1,tbl_chests[datetime],"&lt;"&amp;TODAY()-WEEKDAY(TODAY(),2)+8)))</f>
        <v>0</v>
      </c>
      <c r="J28" s="36">
        <f ca="1">IF($A28="","",IF(J$1="","",COUNTIFS(tbl_chests[from],$A28,tbl_chests[legalized],J$1,tbl_chests[datetime],"&gt;="&amp;TODAY()-WEEKDAY(TODAY(),2)+1,tbl_chests[datetime],"&lt;"&amp;TODAY()-WEEKDAY(TODAY(),2)+8)))</f>
        <v>0</v>
      </c>
      <c r="K28" s="36">
        <f ca="1">IF($A28="","",IF(K$1="","",COUNTIFS(tbl_chests[from],$A28,tbl_chests[legalized],K$1,tbl_chests[datetime],"&gt;="&amp;TODAY()-WEEKDAY(TODAY(),2)+1,tbl_chests[datetime],"&lt;"&amp;TODAY()-WEEKDAY(TODAY(),2)+8)))</f>
        <v>0</v>
      </c>
      <c r="L28" s="36">
        <f ca="1">IF($A28="","",IF(L$1="","",COUNTIFS(tbl_chests[from],$A28,tbl_chests[legalized],L$1,tbl_chests[datetime],"&gt;="&amp;TODAY()-WEEKDAY(TODAY(),2)+1,tbl_chests[datetime],"&lt;"&amp;TODAY()-WEEKDAY(TODAY(),2)+8)))</f>
        <v>0</v>
      </c>
      <c r="M28" s="36">
        <f ca="1">IF($A28="","",IF(M$1="","",COUNTIFS(tbl_chests[from],$A28,tbl_chests[legalized],M$1,tbl_chests[datetime],"&gt;="&amp;TODAY()-WEEKDAY(TODAY(),2)+1,tbl_chests[datetime],"&lt;"&amp;TODAY()-WEEKDAY(TODAY(),2)+8)))</f>
        <v>0</v>
      </c>
      <c r="N28" s="36">
        <f ca="1">IF($A28="","",IF(N$1="","",COUNTIFS(tbl_chests[from],$A28,tbl_chests[legalized],N$1,tbl_chests[datetime],"&gt;="&amp;TODAY()-WEEKDAY(TODAY(),2)+1,tbl_chests[datetime],"&lt;"&amp;TODAY()-WEEKDAY(TODAY(),2)+8)))</f>
        <v>0</v>
      </c>
      <c r="O28" s="36">
        <f ca="1">IF($A28="","",IF(O$1="","",COUNTIFS(tbl_chests[from],$A28,tbl_chests[legalized],O$1,tbl_chests[datetime],"&gt;="&amp;TODAY()-WEEKDAY(TODAY(),2)+1,tbl_chests[datetime],"&lt;"&amp;TODAY()-WEEKDAY(TODAY(),2)+8)))</f>
        <v>0</v>
      </c>
      <c r="P28" s="36">
        <f ca="1">IF($A28="","",IF(P$1="","",COUNTIFS(tbl_chests[from],$A28,tbl_chests[legalized],P$1,tbl_chests[datetime],"&gt;="&amp;TODAY()-WEEKDAY(TODAY(),2)+1,tbl_chests[datetime],"&lt;"&amp;TODAY()-WEEKDAY(TODAY(),2)+8)))</f>
        <v>0</v>
      </c>
      <c r="Q28" s="36">
        <f ca="1">IF($A28="","",IF(Q$1="","",COUNTIFS(tbl_chests[from],$A28,tbl_chests[legalized],Q$1,tbl_chests[datetime],"&gt;="&amp;TODAY()-WEEKDAY(TODAY(),2)+1,tbl_chests[datetime],"&lt;"&amp;TODAY()-WEEKDAY(TODAY(),2)+8)))</f>
        <v>0</v>
      </c>
      <c r="R28" s="36">
        <f ca="1">IF($A28="","",IF(R$1="","",COUNTIFS(tbl_chests[from],$A28,tbl_chests[legalized],R$1,tbl_chests[datetime],"&gt;="&amp;TODAY()-WEEKDAY(TODAY(),2)+1,tbl_chests[datetime],"&lt;"&amp;TODAY()-WEEKDAY(TODAY(),2)+8)))</f>
        <v>1</v>
      </c>
      <c r="S28" s="36">
        <f ca="1">IF($A28="","",IF(S$1="","",COUNTIFS(tbl_chests[from],$A28,tbl_chests[legalized],S$1,tbl_chests[datetime],"&gt;="&amp;TODAY()-WEEKDAY(TODAY(),2)+1,tbl_chests[datetime],"&lt;"&amp;TODAY()-WEEKDAY(TODAY(),2)+8)))</f>
        <v>0</v>
      </c>
      <c r="T28" s="36">
        <f ca="1">IF($A28="","",IF(T$1="","",COUNTIFS(tbl_chests[from],$A28,tbl_chests[legalized],T$1,tbl_chests[datetime],"&gt;="&amp;TODAY()-WEEKDAY(TODAY(),2)+1,tbl_chests[datetime],"&lt;"&amp;TODAY()-WEEKDAY(TODAY(),2)+8)))</f>
        <v>0</v>
      </c>
      <c r="U28" s="36">
        <f ca="1">IF($A28="","",IF(U$1="","",COUNTIFS(tbl_chests[from],$A28,tbl_chests[legalized],U$1,tbl_chests[datetime],"&gt;="&amp;TODAY()-WEEKDAY(TODAY(),2)+1,tbl_chests[datetime],"&lt;"&amp;TODAY()-WEEKDAY(TODAY(),2)+8)))</f>
        <v>0</v>
      </c>
      <c r="V28" s="36">
        <f ca="1">IF($A28="","",IF(V$1="","",COUNTIFS(tbl_chests[from],$A28,tbl_chests[legalized],V$1,tbl_chests[datetime],"&gt;="&amp;TODAY()-WEEKDAY(TODAY(),2)+1,tbl_chests[datetime],"&lt;"&amp;TODAY()-WEEKDAY(TODAY(),2)+8)))</f>
        <v>0</v>
      </c>
      <c r="W28" s="36">
        <f ca="1">IF($A28="","",IF(W$1="","",COUNTIFS(tbl_chests[from],$A28,tbl_chests[legalized],W$1,tbl_chests[datetime],"&gt;="&amp;TODAY()-WEEKDAY(TODAY(),2)+1,tbl_chests[datetime],"&lt;"&amp;TODAY()-WEEKDAY(TODAY(),2)+8)))</f>
        <v>0</v>
      </c>
      <c r="X28" s="36">
        <f ca="1">IF($A28="","",IF(X$1="","",COUNTIFS(tbl_chests[from],$A28,tbl_chests[legalized],X$1,tbl_chests[datetime],"&gt;="&amp;TODAY()-WEEKDAY(TODAY(),2)+1,tbl_chests[datetime],"&lt;"&amp;TODAY()-WEEKDAY(TODAY(),2)+8)))</f>
        <v>0</v>
      </c>
      <c r="Y28" s="36">
        <f ca="1">IF($A28="","",IF(Y$1="","",COUNTIFS(tbl_chests[from],$A28,tbl_chests[legalized],Y$1,tbl_chests[datetime],"&gt;="&amp;TODAY()-WEEKDAY(TODAY(),2)+1,tbl_chests[datetime],"&lt;"&amp;TODAY()-WEEKDAY(TODAY(),2)+8)))</f>
        <v>0</v>
      </c>
      <c r="Z28" s="36">
        <f ca="1">IF($A28="","",IF(Z$1="","",COUNTIFS(tbl_chests[from],$A28,tbl_chests[legalized],Z$1,tbl_chests[datetime],"&gt;="&amp;TODAY()-WEEKDAY(TODAY(),2)+1,tbl_chests[datetime],"&lt;"&amp;TODAY()-WEEKDAY(TODAY(),2)+8)))</f>
        <v>0</v>
      </c>
      <c r="AA28" s="36">
        <f ca="1">IF($A28="","",IF(AA$1="","",COUNTIFS(tbl_chests[from],$A28,tbl_chests[legalized],AA$1,tbl_chests[datetime],"&gt;="&amp;TODAY()-WEEKDAY(TODAY(),2)+1,tbl_chests[datetime],"&lt;"&amp;TODAY()-WEEKDAY(TODAY(),2)+8)))</f>
        <v>0</v>
      </c>
      <c r="AB28" s="36">
        <f ca="1">IF($A28="","",IF(AB$1="","",COUNTIFS(tbl_chests[from],$A28,tbl_chests[legalized],AB$1,tbl_chests[datetime],"&gt;="&amp;TODAY()-WEEKDAY(TODAY(),2)+1,tbl_chests[datetime],"&lt;"&amp;TODAY()-WEEKDAY(TODAY(),2)+8)))</f>
        <v>0</v>
      </c>
      <c r="AC28" s="36">
        <f ca="1">IF($A28="","",IF(AC$1="","",COUNTIFS(tbl_chests[from],$A28,tbl_chests[legalized],AC$1,tbl_chests[datetime],"&gt;="&amp;TODAY()-WEEKDAY(TODAY(),2)+1,tbl_chests[datetime],"&lt;"&amp;TODAY()-WEEKDAY(TODAY(),2)+8)))</f>
        <v>0</v>
      </c>
      <c r="AD28" s="36">
        <f ca="1">IF($A28="","",IF(AD$1="","",COUNTIFS(tbl_chests[from],$A28,tbl_chests[legalized],AD$1,tbl_chests[datetime],"&gt;="&amp;TODAY()-WEEKDAY(TODAY(),2)+1,tbl_chests[datetime],"&lt;"&amp;TODAY()-WEEKDAY(TODAY(),2)+8)))</f>
        <v>0</v>
      </c>
      <c r="AE28" s="36">
        <f ca="1">IF($A28="","",IF(AE$1="","",COUNTIFS(tbl_chests[from],$A28,tbl_chests[legalized],AE$1,tbl_chests[datetime],"&gt;="&amp;TODAY()-WEEKDAY(TODAY(),2)+1,tbl_chests[datetime],"&lt;"&amp;TODAY()-WEEKDAY(TODAY(),2)+8)))</f>
        <v>0</v>
      </c>
      <c r="AF28" s="36">
        <f ca="1">IF($A28="","",IF(AF$1="","",COUNTIFS(tbl_chests[from],$A28,tbl_chests[legalized],AF$1,tbl_chests[datetime],"&gt;="&amp;TODAY()-WEEKDAY(TODAY(),2)+1,tbl_chests[datetime],"&lt;"&amp;TODAY()-WEEKDAY(TODAY(),2)+8)))</f>
        <v>0</v>
      </c>
      <c r="AG28" s="36">
        <f ca="1">IF($A28="","",IF(AG$1="","",COUNTIFS(tbl_chests[from],$A28,tbl_chests[legalized],AG$1,tbl_chests[datetime],"&gt;="&amp;TODAY()-WEEKDAY(TODAY(),2)+1,tbl_chests[datetime],"&lt;"&amp;TODAY()-WEEKDAY(TODAY(),2)+8)))</f>
        <v>0</v>
      </c>
      <c r="AH28" s="36">
        <f ca="1">IF($A28="","",IF(AH$1="","",COUNTIFS(tbl_chests[from],$A28,tbl_chests[legalized],AH$1,tbl_chests[datetime],"&gt;="&amp;TODAY()-WEEKDAY(TODAY(),2)+1,tbl_chests[datetime],"&lt;"&amp;TODAY()-WEEKDAY(TODAY(),2)+8)))</f>
        <v>0</v>
      </c>
      <c r="AI28" s="36">
        <f ca="1">IF($A28="","",IF(AI$1="","",COUNTIFS(tbl_chests[from],$A28,tbl_chests[legalized],AI$1,tbl_chests[datetime],"&gt;="&amp;TODAY()-WEEKDAY(TODAY(),2)+1,tbl_chests[datetime],"&lt;"&amp;TODAY()-WEEKDAY(TODAY(),2)+8)))</f>
        <v>0</v>
      </c>
      <c r="AJ28" s="36">
        <f ca="1">IF($A28="","",IF(AJ$1="","",COUNTIFS(tbl_chests[from],$A28,tbl_chests[legalized],AJ$1,tbl_chests[datetime],"&gt;="&amp;TODAY()-WEEKDAY(TODAY(),2)+1,tbl_chests[datetime],"&lt;"&amp;TODAY()-WEEKDAY(TODAY(),2)+8)))</f>
        <v>0</v>
      </c>
      <c r="AK28" s="36">
        <f ca="1">IF($A28="","",IF(AK$1="","",COUNTIFS(tbl_chests[from],$A28,tbl_chests[legalized],AK$1,tbl_chests[datetime],"&gt;="&amp;TODAY()-WEEKDAY(TODAY(),2)+1,tbl_chests[datetime],"&lt;"&amp;TODAY()-WEEKDAY(TODAY(),2)+8)))</f>
        <v>0</v>
      </c>
      <c r="AL28" s="36">
        <f ca="1">IF($A28="","",IF(AL$1="","",COUNTIFS(tbl_chests[from],$A28,tbl_chests[legalized],AL$1,tbl_chests[datetime],"&gt;="&amp;TODAY()-WEEKDAY(TODAY(),2)+1,tbl_chests[datetime],"&lt;"&amp;TODAY()-WEEKDAY(TODAY(),2)+8)))</f>
        <v>0</v>
      </c>
      <c r="AM28" s="37">
        <f ca="1">IF($A28="","",IF(AM$1="","",COUNTIFS(tbl_chests[from],$A28,tbl_chests[legalized],AM$1,tbl_chests[datetime],"&gt;="&amp;TODAY()-WEEKDAY(TODAY(),2)+1,tbl_chests[datetime],"&lt;"&amp;TODAY()-WEEKDAY(TODAY(),2)+8)))</f>
        <v>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 ht="15.75" customHeight="1" x14ac:dyDescent="0.25">
      <c r="A29" s="34" t="str">
        <f>chests_counter!$H26</f>
        <v>Elaref</v>
      </c>
      <c r="B29" s="35" cm="1">
        <f t="array" aca="1" ref="B29" ca="1">IF(A29&lt;&gt;"", SUMPRODUCT(($C$2:$AM$2&lt;&gt;0)*(C29:AM29&lt;&gt;0)*($C$2:$AM$2)*(C29:AM29)), "")</f>
        <v>875</v>
      </c>
      <c r="C29" s="36">
        <f ca="1">IF($A29="","",IF(C$1="","",COUNTIFS(tbl_chests[from],$A29,tbl_chests[legalized],C$1,tbl_chests[datetime],"&gt;="&amp;TODAY()-WEEKDAY(TODAY(),2)+1,tbl_chests[datetime],"&lt;"&amp;TODAY()-WEEKDAY(TODAY(),2)+8)))</f>
        <v>3</v>
      </c>
      <c r="D29" s="36">
        <f ca="1">IF($A29="","",IF(D$1="","",COUNTIFS(tbl_chests[from],$A29,tbl_chests[legalized],D$1,tbl_chests[datetime],"&gt;="&amp;TODAY()-WEEKDAY(TODAY(),2)+1,tbl_chests[datetime],"&lt;"&amp;TODAY()-WEEKDAY(TODAY(),2)+8)))</f>
        <v>6</v>
      </c>
      <c r="E29" s="36">
        <f ca="1">IF($A29="","",IF(E$1="","",COUNTIFS(tbl_chests[from],$A29,tbl_chests[legalized],E$1,tbl_chests[datetime],"&gt;="&amp;TODAY()-WEEKDAY(TODAY(),2)+1,tbl_chests[datetime],"&lt;"&amp;TODAY()-WEEKDAY(TODAY(),2)+8)))</f>
        <v>5</v>
      </c>
      <c r="F29" s="36">
        <f ca="1">IF($A29="","",IF(F$1="","",COUNTIFS(tbl_chests[from],$A29,tbl_chests[legalized],F$1,tbl_chests[datetime],"&gt;="&amp;TODAY()-WEEKDAY(TODAY(),2)+1,tbl_chests[datetime],"&lt;"&amp;TODAY()-WEEKDAY(TODAY(),2)+8)))</f>
        <v>0</v>
      </c>
      <c r="G29" s="36">
        <f ca="1">IF($A29="","",IF(G$1="","",COUNTIFS(tbl_chests[from],$A29,tbl_chests[legalized],G$1,tbl_chests[datetime],"&gt;="&amp;TODAY()-WEEKDAY(TODAY(),2)+1,tbl_chests[datetime],"&lt;"&amp;TODAY()-WEEKDAY(TODAY(),2)+8)))</f>
        <v>0</v>
      </c>
      <c r="H29" s="36">
        <f ca="1">IF($A29="","",IF(H$1="","",COUNTIFS(tbl_chests[from],$A29,tbl_chests[legalized],H$1,tbl_chests[datetime],"&gt;="&amp;TODAY()-WEEKDAY(TODAY(),2)+1,tbl_chests[datetime],"&lt;"&amp;TODAY()-WEEKDAY(TODAY(),2)+8)))</f>
        <v>0</v>
      </c>
      <c r="I29" s="36">
        <f ca="1">IF($A29="","",IF(I$1="","",COUNTIFS(tbl_chests[from],$A29,tbl_chests[legalized],I$1,tbl_chests[datetime],"&gt;="&amp;TODAY()-WEEKDAY(TODAY(),2)+1,tbl_chests[datetime],"&lt;"&amp;TODAY()-WEEKDAY(TODAY(),2)+8)))</f>
        <v>1</v>
      </c>
      <c r="J29" s="36">
        <f ca="1">IF($A29="","",IF(J$1="","",COUNTIFS(tbl_chests[from],$A29,tbl_chests[legalized],J$1,tbl_chests[datetime],"&gt;="&amp;TODAY()-WEEKDAY(TODAY(),2)+1,tbl_chests[datetime],"&lt;"&amp;TODAY()-WEEKDAY(TODAY(),2)+8)))</f>
        <v>0</v>
      </c>
      <c r="K29" s="36">
        <f ca="1">IF($A29="","",IF(K$1="","",COUNTIFS(tbl_chests[from],$A29,tbl_chests[legalized],K$1,tbl_chests[datetime],"&gt;="&amp;TODAY()-WEEKDAY(TODAY(),2)+1,tbl_chests[datetime],"&lt;"&amp;TODAY()-WEEKDAY(TODAY(),2)+8)))</f>
        <v>0</v>
      </c>
      <c r="L29" s="36">
        <f ca="1">IF($A29="","",IF(L$1="","",COUNTIFS(tbl_chests[from],$A29,tbl_chests[legalized],L$1,tbl_chests[datetime],"&gt;="&amp;TODAY()-WEEKDAY(TODAY(),2)+1,tbl_chests[datetime],"&lt;"&amp;TODAY()-WEEKDAY(TODAY(),2)+8)))</f>
        <v>0</v>
      </c>
      <c r="M29" s="36">
        <f ca="1">IF($A29="","",IF(M$1="","",COUNTIFS(tbl_chests[from],$A29,tbl_chests[legalized],M$1,tbl_chests[datetime],"&gt;="&amp;TODAY()-WEEKDAY(TODAY(),2)+1,tbl_chests[datetime],"&lt;"&amp;TODAY()-WEEKDAY(TODAY(),2)+8)))</f>
        <v>1</v>
      </c>
      <c r="N29" s="36">
        <f ca="1">IF($A29="","",IF(N$1="","",COUNTIFS(tbl_chests[from],$A29,tbl_chests[legalized],N$1,tbl_chests[datetime],"&gt;="&amp;TODAY()-WEEKDAY(TODAY(),2)+1,tbl_chests[datetime],"&lt;"&amp;TODAY()-WEEKDAY(TODAY(),2)+8)))</f>
        <v>0</v>
      </c>
      <c r="O29" s="36">
        <f ca="1">IF($A29="","",IF(O$1="","",COUNTIFS(tbl_chests[from],$A29,tbl_chests[legalized],O$1,tbl_chests[datetime],"&gt;="&amp;TODAY()-WEEKDAY(TODAY(),2)+1,tbl_chests[datetime],"&lt;"&amp;TODAY()-WEEKDAY(TODAY(),2)+8)))</f>
        <v>0</v>
      </c>
      <c r="P29" s="36">
        <f ca="1">IF($A29="","",IF(P$1="","",COUNTIFS(tbl_chests[from],$A29,tbl_chests[legalized],P$1,tbl_chests[datetime],"&gt;="&amp;TODAY()-WEEKDAY(TODAY(),2)+1,tbl_chests[datetime],"&lt;"&amp;TODAY()-WEEKDAY(TODAY(),2)+8)))</f>
        <v>0</v>
      </c>
      <c r="Q29" s="36">
        <f ca="1">IF($A29="","",IF(Q$1="","",COUNTIFS(tbl_chests[from],$A29,tbl_chests[legalized],Q$1,tbl_chests[datetime],"&gt;="&amp;TODAY()-WEEKDAY(TODAY(),2)+1,tbl_chests[datetime],"&lt;"&amp;TODAY()-WEEKDAY(TODAY(),2)+8)))</f>
        <v>0</v>
      </c>
      <c r="R29" s="36">
        <f ca="1">IF($A29="","",IF(R$1="","",COUNTIFS(tbl_chests[from],$A29,tbl_chests[legalized],R$1,tbl_chests[datetime],"&gt;="&amp;TODAY()-WEEKDAY(TODAY(),2)+1,tbl_chests[datetime],"&lt;"&amp;TODAY()-WEEKDAY(TODAY(),2)+8)))</f>
        <v>0</v>
      </c>
      <c r="S29" s="36">
        <f ca="1">IF($A29="","",IF(S$1="","",COUNTIFS(tbl_chests[from],$A29,tbl_chests[legalized],S$1,tbl_chests[datetime],"&gt;="&amp;TODAY()-WEEKDAY(TODAY(),2)+1,tbl_chests[datetime],"&lt;"&amp;TODAY()-WEEKDAY(TODAY(),2)+8)))</f>
        <v>1</v>
      </c>
      <c r="T29" s="36">
        <f ca="1">IF($A29="","",IF(T$1="","",COUNTIFS(tbl_chests[from],$A29,tbl_chests[legalized],T$1,tbl_chests[datetime],"&gt;="&amp;TODAY()-WEEKDAY(TODAY(),2)+1,tbl_chests[datetime],"&lt;"&amp;TODAY()-WEEKDAY(TODAY(),2)+8)))</f>
        <v>0</v>
      </c>
      <c r="U29" s="36">
        <f ca="1">IF($A29="","",IF(U$1="","",COUNTIFS(tbl_chests[from],$A29,tbl_chests[legalized],U$1,tbl_chests[datetime],"&gt;="&amp;TODAY()-WEEKDAY(TODAY(),2)+1,tbl_chests[datetime],"&lt;"&amp;TODAY()-WEEKDAY(TODAY(),2)+8)))</f>
        <v>0</v>
      </c>
      <c r="V29" s="36">
        <f ca="1">IF($A29="","",IF(V$1="","",COUNTIFS(tbl_chests[from],$A29,tbl_chests[legalized],V$1,tbl_chests[datetime],"&gt;="&amp;TODAY()-WEEKDAY(TODAY(),2)+1,tbl_chests[datetime],"&lt;"&amp;TODAY()-WEEKDAY(TODAY(),2)+8)))</f>
        <v>0</v>
      </c>
      <c r="W29" s="36">
        <f ca="1">IF($A29="","",IF(W$1="","",COUNTIFS(tbl_chests[from],$A29,tbl_chests[legalized],W$1,tbl_chests[datetime],"&gt;="&amp;TODAY()-WEEKDAY(TODAY(),2)+1,tbl_chests[datetime],"&lt;"&amp;TODAY()-WEEKDAY(TODAY(),2)+8)))</f>
        <v>0</v>
      </c>
      <c r="X29" s="36">
        <f ca="1">IF($A29="","",IF(X$1="","",COUNTIFS(tbl_chests[from],$A29,tbl_chests[legalized],X$1,tbl_chests[datetime],"&gt;="&amp;TODAY()-WEEKDAY(TODAY(),2)+1,tbl_chests[datetime],"&lt;"&amp;TODAY()-WEEKDAY(TODAY(),2)+8)))</f>
        <v>0</v>
      </c>
      <c r="Y29" s="36">
        <f ca="1">IF($A29="","",IF(Y$1="","",COUNTIFS(tbl_chests[from],$A29,tbl_chests[legalized],Y$1,tbl_chests[datetime],"&gt;="&amp;TODAY()-WEEKDAY(TODAY(),2)+1,tbl_chests[datetime],"&lt;"&amp;TODAY()-WEEKDAY(TODAY(),2)+8)))</f>
        <v>0</v>
      </c>
      <c r="Z29" s="36">
        <f ca="1">IF($A29="","",IF(Z$1="","",COUNTIFS(tbl_chests[from],$A29,tbl_chests[legalized],Z$1,tbl_chests[datetime],"&gt;="&amp;TODAY()-WEEKDAY(TODAY(),2)+1,tbl_chests[datetime],"&lt;"&amp;TODAY()-WEEKDAY(TODAY(),2)+8)))</f>
        <v>0</v>
      </c>
      <c r="AA29" s="36">
        <f ca="1">IF($A29="","",IF(AA$1="","",COUNTIFS(tbl_chests[from],$A29,tbl_chests[legalized],AA$1,tbl_chests[datetime],"&gt;="&amp;TODAY()-WEEKDAY(TODAY(),2)+1,tbl_chests[datetime],"&lt;"&amp;TODAY()-WEEKDAY(TODAY(),2)+8)))</f>
        <v>12</v>
      </c>
      <c r="AB29" s="36">
        <f ca="1">IF($A29="","",IF(AB$1="","",COUNTIFS(tbl_chests[from],$A29,tbl_chests[legalized],AB$1,tbl_chests[datetime],"&gt;="&amp;TODAY()-WEEKDAY(TODAY(),2)+1,tbl_chests[datetime],"&lt;"&amp;TODAY()-WEEKDAY(TODAY(),2)+8)))</f>
        <v>0</v>
      </c>
      <c r="AC29" s="36">
        <f ca="1">IF($A29="","",IF(AC$1="","",COUNTIFS(tbl_chests[from],$A29,tbl_chests[legalized],AC$1,tbl_chests[datetime],"&gt;="&amp;TODAY()-WEEKDAY(TODAY(),2)+1,tbl_chests[datetime],"&lt;"&amp;TODAY()-WEEKDAY(TODAY(),2)+8)))</f>
        <v>0</v>
      </c>
      <c r="AD29" s="36">
        <f ca="1">IF($A29="","",IF(AD$1="","",COUNTIFS(tbl_chests[from],$A29,tbl_chests[legalized],AD$1,tbl_chests[datetime],"&gt;="&amp;TODAY()-WEEKDAY(TODAY(),2)+1,tbl_chests[datetime],"&lt;"&amp;TODAY()-WEEKDAY(TODAY(),2)+8)))</f>
        <v>0</v>
      </c>
      <c r="AE29" s="36">
        <f ca="1">IF($A29="","",IF(AE$1="","",COUNTIFS(tbl_chests[from],$A29,tbl_chests[legalized],AE$1,tbl_chests[datetime],"&gt;="&amp;TODAY()-WEEKDAY(TODAY(),2)+1,tbl_chests[datetime],"&lt;"&amp;TODAY()-WEEKDAY(TODAY(),2)+8)))</f>
        <v>5</v>
      </c>
      <c r="AF29" s="36">
        <f ca="1">IF($A29="","",IF(AF$1="","",COUNTIFS(tbl_chests[from],$A29,tbl_chests[legalized],AF$1,tbl_chests[datetime],"&gt;="&amp;TODAY()-WEEKDAY(TODAY(),2)+1,tbl_chests[datetime],"&lt;"&amp;TODAY()-WEEKDAY(TODAY(),2)+8)))</f>
        <v>0</v>
      </c>
      <c r="AG29" s="36">
        <f ca="1">IF($A29="","",IF(AG$1="","",COUNTIFS(tbl_chests[from],$A29,tbl_chests[legalized],AG$1,tbl_chests[datetime],"&gt;="&amp;TODAY()-WEEKDAY(TODAY(),2)+1,tbl_chests[datetime],"&lt;"&amp;TODAY()-WEEKDAY(TODAY(),2)+8)))</f>
        <v>0</v>
      </c>
      <c r="AH29" s="36">
        <f ca="1">IF($A29="","",IF(AH$1="","",COUNTIFS(tbl_chests[from],$A29,tbl_chests[legalized],AH$1,tbl_chests[datetime],"&gt;="&amp;TODAY()-WEEKDAY(TODAY(),2)+1,tbl_chests[datetime],"&lt;"&amp;TODAY()-WEEKDAY(TODAY(),2)+8)))</f>
        <v>0</v>
      </c>
      <c r="AI29" s="36">
        <f ca="1">IF($A29="","",IF(AI$1="","",COUNTIFS(tbl_chests[from],$A29,tbl_chests[legalized],AI$1,tbl_chests[datetime],"&gt;="&amp;TODAY()-WEEKDAY(TODAY(),2)+1,tbl_chests[datetime],"&lt;"&amp;TODAY()-WEEKDAY(TODAY(),2)+8)))</f>
        <v>0</v>
      </c>
      <c r="AJ29" s="36">
        <f ca="1">IF($A29="","",IF(AJ$1="","",COUNTIFS(tbl_chests[from],$A29,tbl_chests[legalized],AJ$1,tbl_chests[datetime],"&gt;="&amp;TODAY()-WEEKDAY(TODAY(),2)+1,tbl_chests[datetime],"&lt;"&amp;TODAY()-WEEKDAY(TODAY(),2)+8)))</f>
        <v>0</v>
      </c>
      <c r="AK29" s="36">
        <f ca="1">IF($A29="","",IF(AK$1="","",COUNTIFS(tbl_chests[from],$A29,tbl_chests[legalized],AK$1,tbl_chests[datetime],"&gt;="&amp;TODAY()-WEEKDAY(TODAY(),2)+1,tbl_chests[datetime],"&lt;"&amp;TODAY()-WEEKDAY(TODAY(),2)+8)))</f>
        <v>0</v>
      </c>
      <c r="AL29" s="36">
        <f ca="1">IF($A29="","",IF(AL$1="","",COUNTIFS(tbl_chests[from],$A29,tbl_chests[legalized],AL$1,tbl_chests[datetime],"&gt;="&amp;TODAY()-WEEKDAY(TODAY(),2)+1,tbl_chests[datetime],"&lt;"&amp;TODAY()-WEEKDAY(TODAY(),2)+8)))</f>
        <v>0</v>
      </c>
      <c r="AM29" s="37">
        <f ca="1">IF($A29="","",IF(AM$1="","",COUNTIFS(tbl_chests[from],$A29,tbl_chests[legalized],AM$1,tbl_chests[datetime],"&gt;="&amp;TODAY()-WEEKDAY(TODAY(),2)+1,tbl_chests[datetime],"&lt;"&amp;TODAY()-WEEKDAY(TODAY(),2)+8)))</f>
        <v>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 ht="15.75" customHeight="1" x14ac:dyDescent="0.25">
      <c r="A30" s="34" t="str">
        <f>chests_counter!$H27</f>
        <v>Eyvening</v>
      </c>
      <c r="B30" s="35" cm="1">
        <f t="array" aca="1" ref="B30" ca="1">IF(A30&lt;&gt;"", SUMPRODUCT(($C$2:$AM$2&lt;&gt;0)*(C30:AM30&lt;&gt;0)*($C$2:$AM$2)*(C30:AM30)), "")</f>
        <v>1050</v>
      </c>
      <c r="C30" s="36">
        <f ca="1">IF($A30="","",IF(C$1="","",COUNTIFS(tbl_chests[from],$A30,tbl_chests[legalized],C$1,tbl_chests[datetime],"&gt;="&amp;TODAY()-WEEKDAY(TODAY(),2)+1,tbl_chests[datetime],"&lt;"&amp;TODAY()-WEEKDAY(TODAY(),2)+8)))</f>
        <v>1</v>
      </c>
      <c r="D30" s="36">
        <f ca="1">IF($A30="","",IF(D$1="","",COUNTIFS(tbl_chests[from],$A30,tbl_chests[legalized],D$1,tbl_chests[datetime],"&gt;="&amp;TODAY()-WEEKDAY(TODAY(),2)+1,tbl_chests[datetime],"&lt;"&amp;TODAY()-WEEKDAY(TODAY(),2)+8)))</f>
        <v>11</v>
      </c>
      <c r="E30" s="36">
        <f ca="1">IF($A30="","",IF(E$1="","",COUNTIFS(tbl_chests[from],$A30,tbl_chests[legalized],E$1,tbl_chests[datetime],"&gt;="&amp;TODAY()-WEEKDAY(TODAY(),2)+1,tbl_chests[datetime],"&lt;"&amp;TODAY()-WEEKDAY(TODAY(),2)+8)))</f>
        <v>9</v>
      </c>
      <c r="F30" s="36">
        <f ca="1">IF($A30="","",IF(F$1="","",COUNTIFS(tbl_chests[from],$A30,tbl_chests[legalized],F$1,tbl_chests[datetime],"&gt;="&amp;TODAY()-WEEKDAY(TODAY(),2)+1,tbl_chests[datetime],"&lt;"&amp;TODAY()-WEEKDAY(TODAY(),2)+8)))</f>
        <v>0</v>
      </c>
      <c r="G30" s="36">
        <f ca="1">IF($A30="","",IF(G$1="","",COUNTIFS(tbl_chests[from],$A30,tbl_chests[legalized],G$1,tbl_chests[datetime],"&gt;="&amp;TODAY()-WEEKDAY(TODAY(),2)+1,tbl_chests[datetime],"&lt;"&amp;TODAY()-WEEKDAY(TODAY(),2)+8)))</f>
        <v>0</v>
      </c>
      <c r="H30" s="36">
        <f ca="1">IF($A30="","",IF(H$1="","",COUNTIFS(tbl_chests[from],$A30,tbl_chests[legalized],H$1,tbl_chests[datetime],"&gt;="&amp;TODAY()-WEEKDAY(TODAY(),2)+1,tbl_chests[datetime],"&lt;"&amp;TODAY()-WEEKDAY(TODAY(),2)+8)))</f>
        <v>30</v>
      </c>
      <c r="I30" s="36">
        <f ca="1">IF($A30="","",IF(I$1="","",COUNTIFS(tbl_chests[from],$A30,tbl_chests[legalized],I$1,tbl_chests[datetime],"&gt;="&amp;TODAY()-WEEKDAY(TODAY(),2)+1,tbl_chests[datetime],"&lt;"&amp;TODAY()-WEEKDAY(TODAY(),2)+8)))</f>
        <v>0</v>
      </c>
      <c r="J30" s="36">
        <f ca="1">IF($A30="","",IF(J$1="","",COUNTIFS(tbl_chests[from],$A30,tbl_chests[legalized],J$1,tbl_chests[datetime],"&gt;="&amp;TODAY()-WEEKDAY(TODAY(),2)+1,tbl_chests[datetime],"&lt;"&amp;TODAY()-WEEKDAY(TODAY(),2)+8)))</f>
        <v>0</v>
      </c>
      <c r="K30" s="36">
        <f ca="1">IF($A30="","",IF(K$1="","",COUNTIFS(tbl_chests[from],$A30,tbl_chests[legalized],K$1,tbl_chests[datetime],"&gt;="&amp;TODAY()-WEEKDAY(TODAY(),2)+1,tbl_chests[datetime],"&lt;"&amp;TODAY()-WEEKDAY(TODAY(),2)+8)))</f>
        <v>0</v>
      </c>
      <c r="L30" s="36">
        <f ca="1">IF($A30="","",IF(L$1="","",COUNTIFS(tbl_chests[from],$A30,tbl_chests[legalized],L$1,tbl_chests[datetime],"&gt;="&amp;TODAY()-WEEKDAY(TODAY(),2)+1,tbl_chests[datetime],"&lt;"&amp;TODAY()-WEEKDAY(TODAY(),2)+8)))</f>
        <v>0</v>
      </c>
      <c r="M30" s="36">
        <f ca="1">IF($A30="","",IF(M$1="","",COUNTIFS(tbl_chests[from],$A30,tbl_chests[legalized],M$1,tbl_chests[datetime],"&gt;="&amp;TODAY()-WEEKDAY(TODAY(),2)+1,tbl_chests[datetime],"&lt;"&amp;TODAY()-WEEKDAY(TODAY(),2)+8)))</f>
        <v>2</v>
      </c>
      <c r="N30" s="36">
        <f ca="1">IF($A30="","",IF(N$1="","",COUNTIFS(tbl_chests[from],$A30,tbl_chests[legalized],N$1,tbl_chests[datetime],"&gt;="&amp;TODAY()-WEEKDAY(TODAY(),2)+1,tbl_chests[datetime],"&lt;"&amp;TODAY()-WEEKDAY(TODAY(),2)+8)))</f>
        <v>0</v>
      </c>
      <c r="O30" s="36">
        <f ca="1">IF($A30="","",IF(O$1="","",COUNTIFS(tbl_chests[from],$A30,tbl_chests[legalized],O$1,tbl_chests[datetime],"&gt;="&amp;TODAY()-WEEKDAY(TODAY(),2)+1,tbl_chests[datetime],"&lt;"&amp;TODAY()-WEEKDAY(TODAY(),2)+8)))</f>
        <v>0</v>
      </c>
      <c r="P30" s="36">
        <f ca="1">IF($A30="","",IF(P$1="","",COUNTIFS(tbl_chests[from],$A30,tbl_chests[legalized],P$1,tbl_chests[datetime],"&gt;="&amp;TODAY()-WEEKDAY(TODAY(),2)+1,tbl_chests[datetime],"&lt;"&amp;TODAY()-WEEKDAY(TODAY(),2)+8)))</f>
        <v>0</v>
      </c>
      <c r="Q30" s="36">
        <f ca="1">IF($A30="","",IF(Q$1="","",COUNTIFS(tbl_chests[from],$A30,tbl_chests[legalized],Q$1,tbl_chests[datetime],"&gt;="&amp;TODAY()-WEEKDAY(TODAY(),2)+1,tbl_chests[datetime],"&lt;"&amp;TODAY()-WEEKDAY(TODAY(),2)+8)))</f>
        <v>0</v>
      </c>
      <c r="R30" s="36">
        <f ca="1">IF($A30="","",IF(R$1="","",COUNTIFS(tbl_chests[from],$A30,tbl_chests[legalized],R$1,tbl_chests[datetime],"&gt;="&amp;TODAY()-WEEKDAY(TODAY(),2)+1,tbl_chests[datetime],"&lt;"&amp;TODAY()-WEEKDAY(TODAY(),2)+8)))</f>
        <v>19</v>
      </c>
      <c r="S30" s="36">
        <f ca="1">IF($A30="","",IF(S$1="","",COUNTIFS(tbl_chests[from],$A30,tbl_chests[legalized],S$1,tbl_chests[datetime],"&gt;="&amp;TODAY()-WEEKDAY(TODAY(),2)+1,tbl_chests[datetime],"&lt;"&amp;TODAY()-WEEKDAY(TODAY(),2)+8)))</f>
        <v>0</v>
      </c>
      <c r="T30" s="36">
        <f ca="1">IF($A30="","",IF(T$1="","",COUNTIFS(tbl_chests[from],$A30,tbl_chests[legalized],T$1,tbl_chests[datetime],"&gt;="&amp;TODAY()-WEEKDAY(TODAY(),2)+1,tbl_chests[datetime],"&lt;"&amp;TODAY()-WEEKDAY(TODAY(),2)+8)))</f>
        <v>0</v>
      </c>
      <c r="U30" s="36">
        <f ca="1">IF($A30="","",IF(U$1="","",COUNTIFS(tbl_chests[from],$A30,tbl_chests[legalized],U$1,tbl_chests[datetime],"&gt;="&amp;TODAY()-WEEKDAY(TODAY(),2)+1,tbl_chests[datetime],"&lt;"&amp;TODAY()-WEEKDAY(TODAY(),2)+8)))</f>
        <v>0</v>
      </c>
      <c r="V30" s="36">
        <f ca="1">IF($A30="","",IF(V$1="","",COUNTIFS(tbl_chests[from],$A30,tbl_chests[legalized],V$1,tbl_chests[datetime],"&gt;="&amp;TODAY()-WEEKDAY(TODAY(),2)+1,tbl_chests[datetime],"&lt;"&amp;TODAY()-WEEKDAY(TODAY(),2)+8)))</f>
        <v>0</v>
      </c>
      <c r="W30" s="36">
        <f ca="1">IF($A30="","",IF(W$1="","",COUNTIFS(tbl_chests[from],$A30,tbl_chests[legalized],W$1,tbl_chests[datetime],"&gt;="&amp;TODAY()-WEEKDAY(TODAY(),2)+1,tbl_chests[datetime],"&lt;"&amp;TODAY()-WEEKDAY(TODAY(),2)+8)))</f>
        <v>0</v>
      </c>
      <c r="X30" s="36">
        <f ca="1">IF($A30="","",IF(X$1="","",COUNTIFS(tbl_chests[from],$A30,tbl_chests[legalized],X$1,tbl_chests[datetime],"&gt;="&amp;TODAY()-WEEKDAY(TODAY(),2)+1,tbl_chests[datetime],"&lt;"&amp;TODAY()-WEEKDAY(TODAY(),2)+8)))</f>
        <v>0</v>
      </c>
      <c r="Y30" s="36">
        <f ca="1">IF($A30="","",IF(Y$1="","",COUNTIFS(tbl_chests[from],$A30,tbl_chests[legalized],Y$1,tbl_chests[datetime],"&gt;="&amp;TODAY()-WEEKDAY(TODAY(),2)+1,tbl_chests[datetime],"&lt;"&amp;TODAY()-WEEKDAY(TODAY(),2)+8)))</f>
        <v>0</v>
      </c>
      <c r="Z30" s="36">
        <f ca="1">IF($A30="","",IF(Z$1="","",COUNTIFS(tbl_chests[from],$A30,tbl_chests[legalized],Z$1,tbl_chests[datetime],"&gt;="&amp;TODAY()-WEEKDAY(TODAY(),2)+1,tbl_chests[datetime],"&lt;"&amp;TODAY()-WEEKDAY(TODAY(),2)+8)))</f>
        <v>0</v>
      </c>
      <c r="AA30" s="36">
        <f ca="1">IF($A30="","",IF(AA$1="","",COUNTIFS(tbl_chests[from],$A30,tbl_chests[legalized],AA$1,tbl_chests[datetime],"&gt;="&amp;TODAY()-WEEKDAY(TODAY(),2)+1,tbl_chests[datetime],"&lt;"&amp;TODAY()-WEEKDAY(TODAY(),2)+8)))</f>
        <v>0</v>
      </c>
      <c r="AB30" s="36">
        <f ca="1">IF($A30="","",IF(AB$1="","",COUNTIFS(tbl_chests[from],$A30,tbl_chests[legalized],AB$1,tbl_chests[datetime],"&gt;="&amp;TODAY()-WEEKDAY(TODAY(),2)+1,tbl_chests[datetime],"&lt;"&amp;TODAY()-WEEKDAY(TODAY(),2)+8)))</f>
        <v>0</v>
      </c>
      <c r="AC30" s="36">
        <f ca="1">IF($A30="","",IF(AC$1="","",COUNTIFS(tbl_chests[from],$A30,tbl_chests[legalized],AC$1,tbl_chests[datetime],"&gt;="&amp;TODAY()-WEEKDAY(TODAY(),2)+1,tbl_chests[datetime],"&lt;"&amp;TODAY()-WEEKDAY(TODAY(),2)+8)))</f>
        <v>0</v>
      </c>
      <c r="AD30" s="36">
        <f ca="1">IF($A30="","",IF(AD$1="","",COUNTIFS(tbl_chests[from],$A30,tbl_chests[legalized],AD$1,tbl_chests[datetime],"&gt;="&amp;TODAY()-WEEKDAY(TODAY(),2)+1,tbl_chests[datetime],"&lt;"&amp;TODAY()-WEEKDAY(TODAY(),2)+8)))</f>
        <v>0</v>
      </c>
      <c r="AE30" s="36">
        <f ca="1">IF($A30="","",IF(AE$1="","",COUNTIFS(tbl_chests[from],$A30,tbl_chests[legalized],AE$1,tbl_chests[datetime],"&gt;="&amp;TODAY()-WEEKDAY(TODAY(),2)+1,tbl_chests[datetime],"&lt;"&amp;TODAY()-WEEKDAY(TODAY(),2)+8)))</f>
        <v>0</v>
      </c>
      <c r="AF30" s="36">
        <f ca="1">IF($A30="","",IF(AF$1="","",COUNTIFS(tbl_chests[from],$A30,tbl_chests[legalized],AF$1,tbl_chests[datetime],"&gt;="&amp;TODAY()-WEEKDAY(TODAY(),2)+1,tbl_chests[datetime],"&lt;"&amp;TODAY()-WEEKDAY(TODAY(),2)+8)))</f>
        <v>0</v>
      </c>
      <c r="AG30" s="36">
        <f ca="1">IF($A30="","",IF(AG$1="","",COUNTIFS(tbl_chests[from],$A30,tbl_chests[legalized],AG$1,tbl_chests[datetime],"&gt;="&amp;TODAY()-WEEKDAY(TODAY(),2)+1,tbl_chests[datetime],"&lt;"&amp;TODAY()-WEEKDAY(TODAY(),2)+8)))</f>
        <v>0</v>
      </c>
      <c r="AH30" s="36">
        <f ca="1">IF($A30="","",IF(AH$1="","",COUNTIFS(tbl_chests[from],$A30,tbl_chests[legalized],AH$1,tbl_chests[datetime],"&gt;="&amp;TODAY()-WEEKDAY(TODAY(),2)+1,tbl_chests[datetime],"&lt;"&amp;TODAY()-WEEKDAY(TODAY(),2)+8)))</f>
        <v>0</v>
      </c>
      <c r="AI30" s="36">
        <f ca="1">IF($A30="","",IF(AI$1="","",COUNTIFS(tbl_chests[from],$A30,tbl_chests[legalized],AI$1,tbl_chests[datetime],"&gt;="&amp;TODAY()-WEEKDAY(TODAY(),2)+1,tbl_chests[datetime],"&lt;"&amp;TODAY()-WEEKDAY(TODAY(),2)+8)))</f>
        <v>0</v>
      </c>
      <c r="AJ30" s="36">
        <f ca="1">IF($A30="","",IF(AJ$1="","",COUNTIFS(tbl_chests[from],$A30,tbl_chests[legalized],AJ$1,tbl_chests[datetime],"&gt;="&amp;TODAY()-WEEKDAY(TODAY(),2)+1,tbl_chests[datetime],"&lt;"&amp;TODAY()-WEEKDAY(TODAY(),2)+8)))</f>
        <v>0</v>
      </c>
      <c r="AK30" s="36">
        <f ca="1">IF($A30="","",IF(AK$1="","",COUNTIFS(tbl_chests[from],$A30,tbl_chests[legalized],AK$1,tbl_chests[datetime],"&gt;="&amp;TODAY()-WEEKDAY(TODAY(),2)+1,tbl_chests[datetime],"&lt;"&amp;TODAY()-WEEKDAY(TODAY(),2)+8)))</f>
        <v>0</v>
      </c>
      <c r="AL30" s="36">
        <f ca="1">IF($A30="","",IF(AL$1="","",COUNTIFS(tbl_chests[from],$A30,tbl_chests[legalized],AL$1,tbl_chests[datetime],"&gt;="&amp;TODAY()-WEEKDAY(TODAY(),2)+1,tbl_chests[datetime],"&lt;"&amp;TODAY()-WEEKDAY(TODAY(),2)+8)))</f>
        <v>0</v>
      </c>
      <c r="AM30" s="37">
        <f ca="1">IF($A30="","",IF(AM$1="","",COUNTIFS(tbl_chests[from],$A30,tbl_chests[legalized],AM$1,tbl_chests[datetime],"&gt;="&amp;TODAY()-WEEKDAY(TODAY(),2)+1,tbl_chests[datetime],"&lt;"&amp;TODAY()-WEEKDAY(TODAY(),2)+8)))</f>
        <v>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 ht="15.75" customHeight="1" x14ac:dyDescent="0.25">
      <c r="A31" s="34" t="str">
        <f>chests_counter!$H28</f>
        <v>Ferodad</v>
      </c>
      <c r="B31" s="35" cm="1">
        <f t="array" aca="1" ref="B31" ca="1">IF(A31&lt;&gt;"", SUMPRODUCT(($C$2:$AM$2&lt;&gt;0)*(C31:AM31&lt;&gt;0)*($C$2:$AM$2)*(C31:AM31)), "")</f>
        <v>1885</v>
      </c>
      <c r="C31" s="36">
        <f ca="1">IF($A31="","",IF(C$1="","",COUNTIFS(tbl_chests[from],$A31,tbl_chests[legalized],C$1,tbl_chests[datetime],"&gt;="&amp;TODAY()-WEEKDAY(TODAY(),2)+1,tbl_chests[datetime],"&lt;"&amp;TODAY()-WEEKDAY(TODAY(),2)+8)))</f>
        <v>10</v>
      </c>
      <c r="D31" s="36">
        <f ca="1">IF($A31="","",IF(D$1="","",COUNTIFS(tbl_chests[from],$A31,tbl_chests[legalized],D$1,tbl_chests[datetime],"&gt;="&amp;TODAY()-WEEKDAY(TODAY(),2)+1,tbl_chests[datetime],"&lt;"&amp;TODAY()-WEEKDAY(TODAY(),2)+8)))</f>
        <v>31</v>
      </c>
      <c r="E31" s="36">
        <f ca="1">IF($A31="","",IF(E$1="","",COUNTIFS(tbl_chests[from],$A31,tbl_chests[legalized],E$1,tbl_chests[datetime],"&gt;="&amp;TODAY()-WEEKDAY(TODAY(),2)+1,tbl_chests[datetime],"&lt;"&amp;TODAY()-WEEKDAY(TODAY(),2)+8)))</f>
        <v>8</v>
      </c>
      <c r="F31" s="36">
        <f ca="1">IF($A31="","",IF(F$1="","",COUNTIFS(tbl_chests[from],$A31,tbl_chests[legalized],F$1,tbl_chests[datetime],"&gt;="&amp;TODAY()-WEEKDAY(TODAY(),2)+1,tbl_chests[datetime],"&lt;"&amp;TODAY()-WEEKDAY(TODAY(),2)+8)))</f>
        <v>0</v>
      </c>
      <c r="G31" s="36">
        <f ca="1">IF($A31="","",IF(G$1="","",COUNTIFS(tbl_chests[from],$A31,tbl_chests[legalized],G$1,tbl_chests[datetime],"&gt;="&amp;TODAY()-WEEKDAY(TODAY(),2)+1,tbl_chests[datetime],"&lt;"&amp;TODAY()-WEEKDAY(TODAY(),2)+8)))</f>
        <v>0</v>
      </c>
      <c r="H31" s="36">
        <f ca="1">IF($A31="","",IF(H$1="","",COUNTIFS(tbl_chests[from],$A31,tbl_chests[legalized],H$1,tbl_chests[datetime],"&gt;="&amp;TODAY()-WEEKDAY(TODAY(),2)+1,tbl_chests[datetime],"&lt;"&amp;TODAY()-WEEKDAY(TODAY(),2)+8)))</f>
        <v>8</v>
      </c>
      <c r="I31" s="36">
        <f ca="1">IF($A31="","",IF(I$1="","",COUNTIFS(tbl_chests[from],$A31,tbl_chests[legalized],I$1,tbl_chests[datetime],"&gt;="&amp;TODAY()-WEEKDAY(TODAY(),2)+1,tbl_chests[datetime],"&lt;"&amp;TODAY()-WEEKDAY(TODAY(),2)+8)))</f>
        <v>8</v>
      </c>
      <c r="J31" s="36">
        <f ca="1">IF($A31="","",IF(J$1="","",COUNTIFS(tbl_chests[from],$A31,tbl_chests[legalized],J$1,tbl_chests[datetime],"&gt;="&amp;TODAY()-WEEKDAY(TODAY(),2)+1,tbl_chests[datetime],"&lt;"&amp;TODAY()-WEEKDAY(TODAY(),2)+8)))</f>
        <v>0</v>
      </c>
      <c r="K31" s="36">
        <f ca="1">IF($A31="","",IF(K$1="","",COUNTIFS(tbl_chests[from],$A31,tbl_chests[legalized],K$1,tbl_chests[datetime],"&gt;="&amp;TODAY()-WEEKDAY(TODAY(),2)+1,tbl_chests[datetime],"&lt;"&amp;TODAY()-WEEKDAY(TODAY(),2)+8)))</f>
        <v>0</v>
      </c>
      <c r="L31" s="36">
        <f ca="1">IF($A31="","",IF(L$1="","",COUNTIFS(tbl_chests[from],$A31,tbl_chests[legalized],L$1,tbl_chests[datetime],"&gt;="&amp;TODAY()-WEEKDAY(TODAY(),2)+1,tbl_chests[datetime],"&lt;"&amp;TODAY()-WEEKDAY(TODAY(),2)+8)))</f>
        <v>0</v>
      </c>
      <c r="M31" s="36">
        <f ca="1">IF($A31="","",IF(M$1="","",COUNTIFS(tbl_chests[from],$A31,tbl_chests[legalized],M$1,tbl_chests[datetime],"&gt;="&amp;TODAY()-WEEKDAY(TODAY(),2)+1,tbl_chests[datetime],"&lt;"&amp;TODAY()-WEEKDAY(TODAY(),2)+8)))</f>
        <v>4</v>
      </c>
      <c r="N31" s="36">
        <f ca="1">IF($A31="","",IF(N$1="","",COUNTIFS(tbl_chests[from],$A31,tbl_chests[legalized],N$1,tbl_chests[datetime],"&gt;="&amp;TODAY()-WEEKDAY(TODAY(),2)+1,tbl_chests[datetime],"&lt;"&amp;TODAY()-WEEKDAY(TODAY(),2)+8)))</f>
        <v>0</v>
      </c>
      <c r="O31" s="36">
        <f ca="1">IF($A31="","",IF(O$1="","",COUNTIFS(tbl_chests[from],$A31,tbl_chests[legalized],O$1,tbl_chests[datetime],"&gt;="&amp;TODAY()-WEEKDAY(TODAY(),2)+1,tbl_chests[datetime],"&lt;"&amp;TODAY()-WEEKDAY(TODAY(),2)+8)))</f>
        <v>0</v>
      </c>
      <c r="P31" s="36">
        <f ca="1">IF($A31="","",IF(P$1="","",COUNTIFS(tbl_chests[from],$A31,tbl_chests[legalized],P$1,tbl_chests[datetime],"&gt;="&amp;TODAY()-WEEKDAY(TODAY(),2)+1,tbl_chests[datetime],"&lt;"&amp;TODAY()-WEEKDAY(TODAY(),2)+8)))</f>
        <v>0</v>
      </c>
      <c r="Q31" s="36">
        <f ca="1">IF($A31="","",IF(Q$1="","",COUNTIFS(tbl_chests[from],$A31,tbl_chests[legalized],Q$1,tbl_chests[datetime],"&gt;="&amp;TODAY()-WEEKDAY(TODAY(),2)+1,tbl_chests[datetime],"&lt;"&amp;TODAY()-WEEKDAY(TODAY(),2)+8)))</f>
        <v>0</v>
      </c>
      <c r="R31" s="36">
        <f ca="1">IF($A31="","",IF(R$1="","",COUNTIFS(tbl_chests[from],$A31,tbl_chests[legalized],R$1,tbl_chests[datetime],"&gt;="&amp;TODAY()-WEEKDAY(TODAY(),2)+1,tbl_chests[datetime],"&lt;"&amp;TODAY()-WEEKDAY(TODAY(),2)+8)))</f>
        <v>3</v>
      </c>
      <c r="S31" s="36">
        <f ca="1">IF($A31="","",IF(S$1="","",COUNTIFS(tbl_chests[from],$A31,tbl_chests[legalized],S$1,tbl_chests[datetime],"&gt;="&amp;TODAY()-WEEKDAY(TODAY(),2)+1,tbl_chests[datetime],"&lt;"&amp;TODAY()-WEEKDAY(TODAY(),2)+8)))</f>
        <v>8</v>
      </c>
      <c r="T31" s="36">
        <f ca="1">IF($A31="","",IF(T$1="","",COUNTIFS(tbl_chests[from],$A31,tbl_chests[legalized],T$1,tbl_chests[datetime],"&gt;="&amp;TODAY()-WEEKDAY(TODAY(),2)+1,tbl_chests[datetime],"&lt;"&amp;TODAY()-WEEKDAY(TODAY(),2)+8)))</f>
        <v>0</v>
      </c>
      <c r="U31" s="36">
        <f ca="1">IF($A31="","",IF(U$1="","",COUNTIFS(tbl_chests[from],$A31,tbl_chests[legalized],U$1,tbl_chests[datetime],"&gt;="&amp;TODAY()-WEEKDAY(TODAY(),2)+1,tbl_chests[datetime],"&lt;"&amp;TODAY()-WEEKDAY(TODAY(),2)+8)))</f>
        <v>0</v>
      </c>
      <c r="V31" s="36">
        <f ca="1">IF($A31="","",IF(V$1="","",COUNTIFS(tbl_chests[from],$A31,tbl_chests[legalized],V$1,tbl_chests[datetime],"&gt;="&amp;TODAY()-WEEKDAY(TODAY(),2)+1,tbl_chests[datetime],"&lt;"&amp;TODAY()-WEEKDAY(TODAY(),2)+8)))</f>
        <v>0</v>
      </c>
      <c r="W31" s="36">
        <f ca="1">IF($A31="","",IF(W$1="","",COUNTIFS(tbl_chests[from],$A31,tbl_chests[legalized],W$1,tbl_chests[datetime],"&gt;="&amp;TODAY()-WEEKDAY(TODAY(),2)+1,tbl_chests[datetime],"&lt;"&amp;TODAY()-WEEKDAY(TODAY(),2)+8)))</f>
        <v>0</v>
      </c>
      <c r="X31" s="36">
        <f ca="1">IF($A31="","",IF(X$1="","",COUNTIFS(tbl_chests[from],$A31,tbl_chests[legalized],X$1,tbl_chests[datetime],"&gt;="&amp;TODAY()-WEEKDAY(TODAY(),2)+1,tbl_chests[datetime],"&lt;"&amp;TODAY()-WEEKDAY(TODAY(),2)+8)))</f>
        <v>0</v>
      </c>
      <c r="Y31" s="36">
        <f ca="1">IF($A31="","",IF(Y$1="","",COUNTIFS(tbl_chests[from],$A31,tbl_chests[legalized],Y$1,tbl_chests[datetime],"&gt;="&amp;TODAY()-WEEKDAY(TODAY(),2)+1,tbl_chests[datetime],"&lt;"&amp;TODAY()-WEEKDAY(TODAY(),2)+8)))</f>
        <v>0</v>
      </c>
      <c r="Z31" s="36">
        <f ca="1">IF($A31="","",IF(Z$1="","",COUNTIFS(tbl_chests[from],$A31,tbl_chests[legalized],Z$1,tbl_chests[datetime],"&gt;="&amp;TODAY()-WEEKDAY(TODAY(),2)+1,tbl_chests[datetime],"&lt;"&amp;TODAY()-WEEKDAY(TODAY(),2)+8)))</f>
        <v>0</v>
      </c>
      <c r="AA31" s="36">
        <f ca="1">IF($A31="","",IF(AA$1="","",COUNTIFS(tbl_chests[from],$A31,tbl_chests[legalized],AA$1,tbl_chests[datetime],"&gt;="&amp;TODAY()-WEEKDAY(TODAY(),2)+1,tbl_chests[datetime],"&lt;"&amp;TODAY()-WEEKDAY(TODAY(),2)+8)))</f>
        <v>9</v>
      </c>
      <c r="AB31" s="36">
        <f ca="1">IF($A31="","",IF(AB$1="","",COUNTIFS(tbl_chests[from],$A31,tbl_chests[legalized],AB$1,tbl_chests[datetime],"&gt;="&amp;TODAY()-WEEKDAY(TODAY(),2)+1,tbl_chests[datetime],"&lt;"&amp;TODAY()-WEEKDAY(TODAY(),2)+8)))</f>
        <v>0</v>
      </c>
      <c r="AC31" s="36">
        <f ca="1">IF($A31="","",IF(AC$1="","",COUNTIFS(tbl_chests[from],$A31,tbl_chests[legalized],AC$1,tbl_chests[datetime],"&gt;="&amp;TODAY()-WEEKDAY(TODAY(),2)+1,tbl_chests[datetime],"&lt;"&amp;TODAY()-WEEKDAY(TODAY(),2)+8)))</f>
        <v>0</v>
      </c>
      <c r="AD31" s="36">
        <f ca="1">IF($A31="","",IF(AD$1="","",COUNTIFS(tbl_chests[from],$A31,tbl_chests[legalized],AD$1,tbl_chests[datetime],"&gt;="&amp;TODAY()-WEEKDAY(TODAY(),2)+1,tbl_chests[datetime],"&lt;"&amp;TODAY()-WEEKDAY(TODAY(),2)+8)))</f>
        <v>0</v>
      </c>
      <c r="AE31" s="36">
        <f ca="1">IF($A31="","",IF(AE$1="","",COUNTIFS(tbl_chests[from],$A31,tbl_chests[legalized],AE$1,tbl_chests[datetime],"&gt;="&amp;TODAY()-WEEKDAY(TODAY(),2)+1,tbl_chests[datetime],"&lt;"&amp;TODAY()-WEEKDAY(TODAY(),2)+8)))</f>
        <v>3</v>
      </c>
      <c r="AF31" s="36">
        <f ca="1">IF($A31="","",IF(AF$1="","",COUNTIFS(tbl_chests[from],$A31,tbl_chests[legalized],AF$1,tbl_chests[datetime],"&gt;="&amp;TODAY()-WEEKDAY(TODAY(),2)+1,tbl_chests[datetime],"&lt;"&amp;TODAY()-WEEKDAY(TODAY(),2)+8)))</f>
        <v>0</v>
      </c>
      <c r="AG31" s="36">
        <f ca="1">IF($A31="","",IF(AG$1="","",COUNTIFS(tbl_chests[from],$A31,tbl_chests[legalized],AG$1,tbl_chests[datetime],"&gt;="&amp;TODAY()-WEEKDAY(TODAY(),2)+1,tbl_chests[datetime],"&lt;"&amp;TODAY()-WEEKDAY(TODAY(),2)+8)))</f>
        <v>0</v>
      </c>
      <c r="AH31" s="36">
        <f ca="1">IF($A31="","",IF(AH$1="","",COUNTIFS(tbl_chests[from],$A31,tbl_chests[legalized],AH$1,tbl_chests[datetime],"&gt;="&amp;TODAY()-WEEKDAY(TODAY(),2)+1,tbl_chests[datetime],"&lt;"&amp;TODAY()-WEEKDAY(TODAY(),2)+8)))</f>
        <v>0</v>
      </c>
      <c r="AI31" s="36">
        <f ca="1">IF($A31="","",IF(AI$1="","",COUNTIFS(tbl_chests[from],$A31,tbl_chests[legalized],AI$1,tbl_chests[datetime],"&gt;="&amp;TODAY()-WEEKDAY(TODAY(),2)+1,tbl_chests[datetime],"&lt;"&amp;TODAY()-WEEKDAY(TODAY(),2)+8)))</f>
        <v>0</v>
      </c>
      <c r="AJ31" s="36">
        <f ca="1">IF($A31="","",IF(AJ$1="","",COUNTIFS(tbl_chests[from],$A31,tbl_chests[legalized],AJ$1,tbl_chests[datetime],"&gt;="&amp;TODAY()-WEEKDAY(TODAY(),2)+1,tbl_chests[datetime],"&lt;"&amp;TODAY()-WEEKDAY(TODAY(),2)+8)))</f>
        <v>0</v>
      </c>
      <c r="AK31" s="36">
        <f ca="1">IF($A31="","",IF(AK$1="","",COUNTIFS(tbl_chests[from],$A31,tbl_chests[legalized],AK$1,tbl_chests[datetime],"&gt;="&amp;TODAY()-WEEKDAY(TODAY(),2)+1,tbl_chests[datetime],"&lt;"&amp;TODAY()-WEEKDAY(TODAY(),2)+8)))</f>
        <v>0</v>
      </c>
      <c r="AL31" s="36">
        <f ca="1">IF($A31="","",IF(AL$1="","",COUNTIFS(tbl_chests[from],$A31,tbl_chests[legalized],AL$1,tbl_chests[datetime],"&gt;="&amp;TODAY()-WEEKDAY(TODAY(),2)+1,tbl_chests[datetime],"&lt;"&amp;TODAY()-WEEKDAY(TODAY(),2)+8)))</f>
        <v>0</v>
      </c>
      <c r="AM31" s="37">
        <f ca="1">IF($A31="","",IF(AM$1="","",COUNTIFS(tbl_chests[from],$A31,tbl_chests[legalized],AM$1,tbl_chests[datetime],"&gt;="&amp;TODAY()-WEEKDAY(TODAY(),2)+1,tbl_chests[datetime],"&lt;"&amp;TODAY()-WEEKDAY(TODAY(),2)+8)))</f>
        <v>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 ht="15.75" customHeight="1" x14ac:dyDescent="0.25">
      <c r="A32" s="34" t="str">
        <f>chests_counter!$H29</f>
        <v>Finfiring</v>
      </c>
      <c r="B32" s="35" cm="1">
        <f t="array" aca="1" ref="B32" ca="1">IF(A32&lt;&gt;"", SUMPRODUCT(($C$2:$AM$2&lt;&gt;0)*(C32:AM32&lt;&gt;0)*($C$2:$AM$2)*(C32:AM32)), "")</f>
        <v>100</v>
      </c>
      <c r="C32" s="36">
        <f ca="1">IF($A32="","",IF(C$1="","",COUNTIFS(tbl_chests[from],$A32,tbl_chests[legalized],C$1,tbl_chests[datetime],"&gt;="&amp;TODAY()-WEEKDAY(TODAY(),2)+1,tbl_chests[datetime],"&lt;"&amp;TODAY()-WEEKDAY(TODAY(),2)+8)))</f>
        <v>6</v>
      </c>
      <c r="D32" s="36">
        <f ca="1">IF($A32="","",IF(D$1="","",COUNTIFS(tbl_chests[from],$A32,tbl_chests[legalized],D$1,tbl_chests[datetime],"&gt;="&amp;TODAY()-WEEKDAY(TODAY(),2)+1,tbl_chests[datetime],"&lt;"&amp;TODAY()-WEEKDAY(TODAY(),2)+8)))</f>
        <v>2</v>
      </c>
      <c r="E32" s="36">
        <f ca="1">IF($A32="","",IF(E$1="","",COUNTIFS(tbl_chests[from],$A32,tbl_chests[legalized],E$1,tbl_chests[datetime],"&gt;="&amp;TODAY()-WEEKDAY(TODAY(),2)+1,tbl_chests[datetime],"&lt;"&amp;TODAY()-WEEKDAY(TODAY(),2)+8)))</f>
        <v>0</v>
      </c>
      <c r="F32" s="36">
        <f ca="1">IF($A32="","",IF(F$1="","",COUNTIFS(tbl_chests[from],$A32,tbl_chests[legalized],F$1,tbl_chests[datetime],"&gt;="&amp;TODAY()-WEEKDAY(TODAY(),2)+1,tbl_chests[datetime],"&lt;"&amp;TODAY()-WEEKDAY(TODAY(),2)+8)))</f>
        <v>0</v>
      </c>
      <c r="G32" s="36">
        <f ca="1">IF($A32="","",IF(G$1="","",COUNTIFS(tbl_chests[from],$A32,tbl_chests[legalized],G$1,tbl_chests[datetime],"&gt;="&amp;TODAY()-WEEKDAY(TODAY(),2)+1,tbl_chests[datetime],"&lt;"&amp;TODAY()-WEEKDAY(TODAY(),2)+8)))</f>
        <v>0</v>
      </c>
      <c r="H32" s="36">
        <f ca="1">IF($A32="","",IF(H$1="","",COUNTIFS(tbl_chests[from],$A32,tbl_chests[legalized],H$1,tbl_chests[datetime],"&gt;="&amp;TODAY()-WEEKDAY(TODAY(),2)+1,tbl_chests[datetime],"&lt;"&amp;TODAY()-WEEKDAY(TODAY(),2)+8)))</f>
        <v>0</v>
      </c>
      <c r="I32" s="36">
        <f ca="1">IF($A32="","",IF(I$1="","",COUNTIFS(tbl_chests[from],$A32,tbl_chests[legalized],I$1,tbl_chests[datetime],"&gt;="&amp;TODAY()-WEEKDAY(TODAY(),2)+1,tbl_chests[datetime],"&lt;"&amp;TODAY()-WEEKDAY(TODAY(),2)+8)))</f>
        <v>0</v>
      </c>
      <c r="J32" s="36">
        <f ca="1">IF($A32="","",IF(J$1="","",COUNTIFS(tbl_chests[from],$A32,tbl_chests[legalized],J$1,tbl_chests[datetime],"&gt;="&amp;TODAY()-WEEKDAY(TODAY(),2)+1,tbl_chests[datetime],"&lt;"&amp;TODAY()-WEEKDAY(TODAY(),2)+8)))</f>
        <v>0</v>
      </c>
      <c r="K32" s="36">
        <f ca="1">IF($A32="","",IF(K$1="","",COUNTIFS(tbl_chests[from],$A32,tbl_chests[legalized],K$1,tbl_chests[datetime],"&gt;="&amp;TODAY()-WEEKDAY(TODAY(),2)+1,tbl_chests[datetime],"&lt;"&amp;TODAY()-WEEKDAY(TODAY(),2)+8)))</f>
        <v>0</v>
      </c>
      <c r="L32" s="36">
        <f ca="1">IF($A32="","",IF(L$1="","",COUNTIFS(tbl_chests[from],$A32,tbl_chests[legalized],L$1,tbl_chests[datetime],"&gt;="&amp;TODAY()-WEEKDAY(TODAY(),2)+1,tbl_chests[datetime],"&lt;"&amp;TODAY()-WEEKDAY(TODAY(),2)+8)))</f>
        <v>0</v>
      </c>
      <c r="M32" s="36">
        <f ca="1">IF($A32="","",IF(M$1="","",COUNTIFS(tbl_chests[from],$A32,tbl_chests[legalized],M$1,tbl_chests[datetime],"&gt;="&amp;TODAY()-WEEKDAY(TODAY(),2)+1,tbl_chests[datetime],"&lt;"&amp;TODAY()-WEEKDAY(TODAY(),2)+8)))</f>
        <v>0</v>
      </c>
      <c r="N32" s="36">
        <f ca="1">IF($A32="","",IF(N$1="","",COUNTIFS(tbl_chests[from],$A32,tbl_chests[legalized],N$1,tbl_chests[datetime],"&gt;="&amp;TODAY()-WEEKDAY(TODAY(),2)+1,tbl_chests[datetime],"&lt;"&amp;TODAY()-WEEKDAY(TODAY(),2)+8)))</f>
        <v>0</v>
      </c>
      <c r="O32" s="36">
        <f ca="1">IF($A32="","",IF(O$1="","",COUNTIFS(tbl_chests[from],$A32,tbl_chests[legalized],O$1,tbl_chests[datetime],"&gt;="&amp;TODAY()-WEEKDAY(TODAY(),2)+1,tbl_chests[datetime],"&lt;"&amp;TODAY()-WEEKDAY(TODAY(),2)+8)))</f>
        <v>0</v>
      </c>
      <c r="P32" s="36">
        <f ca="1">IF($A32="","",IF(P$1="","",COUNTIFS(tbl_chests[from],$A32,tbl_chests[legalized],P$1,tbl_chests[datetime],"&gt;="&amp;TODAY()-WEEKDAY(TODAY(),2)+1,tbl_chests[datetime],"&lt;"&amp;TODAY()-WEEKDAY(TODAY(),2)+8)))</f>
        <v>0</v>
      </c>
      <c r="Q32" s="36">
        <f ca="1">IF($A32="","",IF(Q$1="","",COUNTIFS(tbl_chests[from],$A32,tbl_chests[legalized],Q$1,tbl_chests[datetime],"&gt;="&amp;TODAY()-WEEKDAY(TODAY(),2)+1,tbl_chests[datetime],"&lt;"&amp;TODAY()-WEEKDAY(TODAY(),2)+8)))</f>
        <v>0</v>
      </c>
      <c r="R32" s="36">
        <f ca="1">IF($A32="","",IF(R$1="","",COUNTIFS(tbl_chests[from],$A32,tbl_chests[legalized],R$1,tbl_chests[datetime],"&gt;="&amp;TODAY()-WEEKDAY(TODAY(),2)+1,tbl_chests[datetime],"&lt;"&amp;TODAY()-WEEKDAY(TODAY(),2)+8)))</f>
        <v>0</v>
      </c>
      <c r="S32" s="36">
        <f ca="1">IF($A32="","",IF(S$1="","",COUNTIFS(tbl_chests[from],$A32,tbl_chests[legalized],S$1,tbl_chests[datetime],"&gt;="&amp;TODAY()-WEEKDAY(TODAY(),2)+1,tbl_chests[datetime],"&lt;"&amp;TODAY()-WEEKDAY(TODAY(),2)+8)))</f>
        <v>0</v>
      </c>
      <c r="T32" s="36">
        <f ca="1">IF($A32="","",IF(T$1="","",COUNTIFS(tbl_chests[from],$A32,tbl_chests[legalized],T$1,tbl_chests[datetime],"&gt;="&amp;TODAY()-WEEKDAY(TODAY(),2)+1,tbl_chests[datetime],"&lt;"&amp;TODAY()-WEEKDAY(TODAY(),2)+8)))</f>
        <v>0</v>
      </c>
      <c r="U32" s="36">
        <f ca="1">IF($A32="","",IF(U$1="","",COUNTIFS(tbl_chests[from],$A32,tbl_chests[legalized],U$1,tbl_chests[datetime],"&gt;="&amp;TODAY()-WEEKDAY(TODAY(),2)+1,tbl_chests[datetime],"&lt;"&amp;TODAY()-WEEKDAY(TODAY(),2)+8)))</f>
        <v>0</v>
      </c>
      <c r="V32" s="36">
        <f ca="1">IF($A32="","",IF(V$1="","",COUNTIFS(tbl_chests[from],$A32,tbl_chests[legalized],V$1,tbl_chests[datetime],"&gt;="&amp;TODAY()-WEEKDAY(TODAY(),2)+1,tbl_chests[datetime],"&lt;"&amp;TODAY()-WEEKDAY(TODAY(),2)+8)))</f>
        <v>0</v>
      </c>
      <c r="W32" s="36">
        <f ca="1">IF($A32="","",IF(W$1="","",COUNTIFS(tbl_chests[from],$A32,tbl_chests[legalized],W$1,tbl_chests[datetime],"&gt;="&amp;TODAY()-WEEKDAY(TODAY(),2)+1,tbl_chests[datetime],"&lt;"&amp;TODAY()-WEEKDAY(TODAY(),2)+8)))</f>
        <v>0</v>
      </c>
      <c r="X32" s="36">
        <f ca="1">IF($A32="","",IF(X$1="","",COUNTIFS(tbl_chests[from],$A32,tbl_chests[legalized],X$1,tbl_chests[datetime],"&gt;="&amp;TODAY()-WEEKDAY(TODAY(),2)+1,tbl_chests[datetime],"&lt;"&amp;TODAY()-WEEKDAY(TODAY(),2)+8)))</f>
        <v>0</v>
      </c>
      <c r="Y32" s="36">
        <f ca="1">IF($A32="","",IF(Y$1="","",COUNTIFS(tbl_chests[from],$A32,tbl_chests[legalized],Y$1,tbl_chests[datetime],"&gt;="&amp;TODAY()-WEEKDAY(TODAY(),2)+1,tbl_chests[datetime],"&lt;"&amp;TODAY()-WEEKDAY(TODAY(),2)+8)))</f>
        <v>0</v>
      </c>
      <c r="Z32" s="36">
        <f ca="1">IF($A32="","",IF(Z$1="","",COUNTIFS(tbl_chests[from],$A32,tbl_chests[legalized],Z$1,tbl_chests[datetime],"&gt;="&amp;TODAY()-WEEKDAY(TODAY(),2)+1,tbl_chests[datetime],"&lt;"&amp;TODAY()-WEEKDAY(TODAY(),2)+8)))</f>
        <v>0</v>
      </c>
      <c r="AA32" s="36">
        <f ca="1">IF($A32="","",IF(AA$1="","",COUNTIFS(tbl_chests[from],$A32,tbl_chests[legalized],AA$1,tbl_chests[datetime],"&gt;="&amp;TODAY()-WEEKDAY(TODAY(),2)+1,tbl_chests[datetime],"&lt;"&amp;TODAY()-WEEKDAY(TODAY(),2)+8)))</f>
        <v>0</v>
      </c>
      <c r="AB32" s="36">
        <f ca="1">IF($A32="","",IF(AB$1="","",COUNTIFS(tbl_chests[from],$A32,tbl_chests[legalized],AB$1,tbl_chests[datetime],"&gt;="&amp;TODAY()-WEEKDAY(TODAY(),2)+1,tbl_chests[datetime],"&lt;"&amp;TODAY()-WEEKDAY(TODAY(),2)+8)))</f>
        <v>0</v>
      </c>
      <c r="AC32" s="36">
        <f ca="1">IF($A32="","",IF(AC$1="","",COUNTIFS(tbl_chests[from],$A32,tbl_chests[legalized],AC$1,tbl_chests[datetime],"&gt;="&amp;TODAY()-WEEKDAY(TODAY(),2)+1,tbl_chests[datetime],"&lt;"&amp;TODAY()-WEEKDAY(TODAY(),2)+8)))</f>
        <v>0</v>
      </c>
      <c r="AD32" s="36">
        <f ca="1">IF($A32="","",IF(AD$1="","",COUNTIFS(tbl_chests[from],$A32,tbl_chests[legalized],AD$1,tbl_chests[datetime],"&gt;="&amp;TODAY()-WEEKDAY(TODAY(),2)+1,tbl_chests[datetime],"&lt;"&amp;TODAY()-WEEKDAY(TODAY(),2)+8)))</f>
        <v>0</v>
      </c>
      <c r="AE32" s="36">
        <f ca="1">IF($A32="","",IF(AE$1="","",COUNTIFS(tbl_chests[from],$A32,tbl_chests[legalized],AE$1,tbl_chests[datetime],"&gt;="&amp;TODAY()-WEEKDAY(TODAY(),2)+1,tbl_chests[datetime],"&lt;"&amp;TODAY()-WEEKDAY(TODAY(),2)+8)))</f>
        <v>0</v>
      </c>
      <c r="AF32" s="36">
        <f ca="1">IF($A32="","",IF(AF$1="","",COUNTIFS(tbl_chests[from],$A32,tbl_chests[legalized],AF$1,tbl_chests[datetime],"&gt;="&amp;TODAY()-WEEKDAY(TODAY(),2)+1,tbl_chests[datetime],"&lt;"&amp;TODAY()-WEEKDAY(TODAY(),2)+8)))</f>
        <v>0</v>
      </c>
      <c r="AG32" s="36">
        <f ca="1">IF($A32="","",IF(AG$1="","",COUNTIFS(tbl_chests[from],$A32,tbl_chests[legalized],AG$1,tbl_chests[datetime],"&gt;="&amp;TODAY()-WEEKDAY(TODAY(),2)+1,tbl_chests[datetime],"&lt;"&amp;TODAY()-WEEKDAY(TODAY(),2)+8)))</f>
        <v>0</v>
      </c>
      <c r="AH32" s="36">
        <f ca="1">IF($A32="","",IF(AH$1="","",COUNTIFS(tbl_chests[from],$A32,tbl_chests[legalized],AH$1,tbl_chests[datetime],"&gt;="&amp;TODAY()-WEEKDAY(TODAY(),2)+1,tbl_chests[datetime],"&lt;"&amp;TODAY()-WEEKDAY(TODAY(),2)+8)))</f>
        <v>0</v>
      </c>
      <c r="AI32" s="36">
        <f ca="1">IF($A32="","",IF(AI$1="","",COUNTIFS(tbl_chests[from],$A32,tbl_chests[legalized],AI$1,tbl_chests[datetime],"&gt;="&amp;TODAY()-WEEKDAY(TODAY(),2)+1,tbl_chests[datetime],"&lt;"&amp;TODAY()-WEEKDAY(TODAY(),2)+8)))</f>
        <v>0</v>
      </c>
      <c r="AJ32" s="36">
        <f ca="1">IF($A32="","",IF(AJ$1="","",COUNTIFS(tbl_chests[from],$A32,tbl_chests[legalized],AJ$1,tbl_chests[datetime],"&gt;="&amp;TODAY()-WEEKDAY(TODAY(),2)+1,tbl_chests[datetime],"&lt;"&amp;TODAY()-WEEKDAY(TODAY(),2)+8)))</f>
        <v>0</v>
      </c>
      <c r="AK32" s="36">
        <f ca="1">IF($A32="","",IF(AK$1="","",COUNTIFS(tbl_chests[from],$A32,tbl_chests[legalized],AK$1,tbl_chests[datetime],"&gt;="&amp;TODAY()-WEEKDAY(TODAY(),2)+1,tbl_chests[datetime],"&lt;"&amp;TODAY()-WEEKDAY(TODAY(),2)+8)))</f>
        <v>0</v>
      </c>
      <c r="AL32" s="36">
        <f ca="1">IF($A32="","",IF(AL$1="","",COUNTIFS(tbl_chests[from],$A32,tbl_chests[legalized],AL$1,tbl_chests[datetime],"&gt;="&amp;TODAY()-WEEKDAY(TODAY(),2)+1,tbl_chests[datetime],"&lt;"&amp;TODAY()-WEEKDAY(TODAY(),2)+8)))</f>
        <v>0</v>
      </c>
      <c r="AM32" s="37">
        <f ca="1">IF($A32="","",IF(AM$1="","",COUNTIFS(tbl_chests[from],$A32,tbl_chests[legalized],AM$1,tbl_chests[datetime],"&gt;="&amp;TODAY()-WEEKDAY(TODAY(),2)+1,tbl_chests[datetime],"&lt;"&amp;TODAY()-WEEKDAY(TODAY(),2)+8)))</f>
        <v>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 ht="15.75" customHeight="1" x14ac:dyDescent="0.25">
      <c r="A33" s="34" t="str">
        <f>chests_counter!$H30</f>
        <v>Gleranir</v>
      </c>
      <c r="B33" s="35" cm="1">
        <f t="array" aca="1" ref="B33" ca="1">IF(A33&lt;&gt;"", SUMPRODUCT(($C$2:$AM$2&lt;&gt;0)*(C33:AM33&lt;&gt;0)*($C$2:$AM$2)*(C33:AM33)), "")</f>
        <v>40</v>
      </c>
      <c r="C33" s="36">
        <f ca="1">IF($A33="","",IF(C$1="","",COUNTIFS(tbl_chests[from],$A33,tbl_chests[legalized],C$1,tbl_chests[datetime],"&gt;="&amp;TODAY()-WEEKDAY(TODAY(),2)+1,tbl_chests[datetime],"&lt;"&amp;TODAY()-WEEKDAY(TODAY(),2)+8)))</f>
        <v>1</v>
      </c>
      <c r="D33" s="36">
        <f ca="1">IF($A33="","",IF(D$1="","",COUNTIFS(tbl_chests[from],$A33,tbl_chests[legalized],D$1,tbl_chests[datetime],"&gt;="&amp;TODAY()-WEEKDAY(TODAY(),2)+1,tbl_chests[datetime],"&lt;"&amp;TODAY()-WEEKDAY(TODAY(),2)+8)))</f>
        <v>1</v>
      </c>
      <c r="E33" s="36">
        <f ca="1">IF($A33="","",IF(E$1="","",COUNTIFS(tbl_chests[from],$A33,tbl_chests[legalized],E$1,tbl_chests[datetime],"&gt;="&amp;TODAY()-WEEKDAY(TODAY(),2)+1,tbl_chests[datetime],"&lt;"&amp;TODAY()-WEEKDAY(TODAY(),2)+8)))</f>
        <v>0</v>
      </c>
      <c r="F33" s="36">
        <f ca="1">IF($A33="","",IF(F$1="","",COUNTIFS(tbl_chests[from],$A33,tbl_chests[legalized],F$1,tbl_chests[datetime],"&gt;="&amp;TODAY()-WEEKDAY(TODAY(),2)+1,tbl_chests[datetime],"&lt;"&amp;TODAY()-WEEKDAY(TODAY(),2)+8)))</f>
        <v>0</v>
      </c>
      <c r="G33" s="36">
        <f ca="1">IF($A33="","",IF(G$1="","",COUNTIFS(tbl_chests[from],$A33,tbl_chests[legalized],G$1,tbl_chests[datetime],"&gt;="&amp;TODAY()-WEEKDAY(TODAY(),2)+1,tbl_chests[datetime],"&lt;"&amp;TODAY()-WEEKDAY(TODAY(),2)+8)))</f>
        <v>0</v>
      </c>
      <c r="H33" s="36">
        <f ca="1">IF($A33="","",IF(H$1="","",COUNTIFS(tbl_chests[from],$A33,tbl_chests[legalized],H$1,tbl_chests[datetime],"&gt;="&amp;TODAY()-WEEKDAY(TODAY(),2)+1,tbl_chests[datetime],"&lt;"&amp;TODAY()-WEEKDAY(TODAY(),2)+8)))</f>
        <v>0</v>
      </c>
      <c r="I33" s="36">
        <f ca="1">IF($A33="","",IF(I$1="","",COUNTIFS(tbl_chests[from],$A33,tbl_chests[legalized],I$1,tbl_chests[datetime],"&gt;="&amp;TODAY()-WEEKDAY(TODAY(),2)+1,tbl_chests[datetime],"&lt;"&amp;TODAY()-WEEKDAY(TODAY(),2)+8)))</f>
        <v>0</v>
      </c>
      <c r="J33" s="36">
        <f ca="1">IF($A33="","",IF(J$1="","",COUNTIFS(tbl_chests[from],$A33,tbl_chests[legalized],J$1,tbl_chests[datetime],"&gt;="&amp;TODAY()-WEEKDAY(TODAY(),2)+1,tbl_chests[datetime],"&lt;"&amp;TODAY()-WEEKDAY(TODAY(),2)+8)))</f>
        <v>0</v>
      </c>
      <c r="K33" s="36">
        <f ca="1">IF($A33="","",IF(K$1="","",COUNTIFS(tbl_chests[from],$A33,tbl_chests[legalized],K$1,tbl_chests[datetime],"&gt;="&amp;TODAY()-WEEKDAY(TODAY(),2)+1,tbl_chests[datetime],"&lt;"&amp;TODAY()-WEEKDAY(TODAY(),2)+8)))</f>
        <v>0</v>
      </c>
      <c r="L33" s="36">
        <f ca="1">IF($A33="","",IF(L$1="","",COUNTIFS(tbl_chests[from],$A33,tbl_chests[legalized],L$1,tbl_chests[datetime],"&gt;="&amp;TODAY()-WEEKDAY(TODAY(),2)+1,tbl_chests[datetime],"&lt;"&amp;TODAY()-WEEKDAY(TODAY(),2)+8)))</f>
        <v>0</v>
      </c>
      <c r="M33" s="36">
        <f ca="1">IF($A33="","",IF(M$1="","",COUNTIFS(tbl_chests[from],$A33,tbl_chests[legalized],M$1,tbl_chests[datetime],"&gt;="&amp;TODAY()-WEEKDAY(TODAY(),2)+1,tbl_chests[datetime],"&lt;"&amp;TODAY()-WEEKDAY(TODAY(),2)+8)))</f>
        <v>0</v>
      </c>
      <c r="N33" s="36">
        <f ca="1">IF($A33="","",IF(N$1="","",COUNTIFS(tbl_chests[from],$A33,tbl_chests[legalized],N$1,tbl_chests[datetime],"&gt;="&amp;TODAY()-WEEKDAY(TODAY(),2)+1,tbl_chests[datetime],"&lt;"&amp;TODAY()-WEEKDAY(TODAY(),2)+8)))</f>
        <v>0</v>
      </c>
      <c r="O33" s="36">
        <f ca="1">IF($A33="","",IF(O$1="","",COUNTIFS(tbl_chests[from],$A33,tbl_chests[legalized],O$1,tbl_chests[datetime],"&gt;="&amp;TODAY()-WEEKDAY(TODAY(),2)+1,tbl_chests[datetime],"&lt;"&amp;TODAY()-WEEKDAY(TODAY(),2)+8)))</f>
        <v>0</v>
      </c>
      <c r="P33" s="36">
        <f ca="1">IF($A33="","",IF(P$1="","",COUNTIFS(tbl_chests[from],$A33,tbl_chests[legalized],P$1,tbl_chests[datetime],"&gt;="&amp;TODAY()-WEEKDAY(TODAY(),2)+1,tbl_chests[datetime],"&lt;"&amp;TODAY()-WEEKDAY(TODAY(),2)+8)))</f>
        <v>0</v>
      </c>
      <c r="Q33" s="36">
        <f ca="1">IF($A33="","",IF(Q$1="","",COUNTIFS(tbl_chests[from],$A33,tbl_chests[legalized],Q$1,tbl_chests[datetime],"&gt;="&amp;TODAY()-WEEKDAY(TODAY(),2)+1,tbl_chests[datetime],"&lt;"&amp;TODAY()-WEEKDAY(TODAY(),2)+8)))</f>
        <v>0</v>
      </c>
      <c r="R33" s="36">
        <f ca="1">IF($A33="","",IF(R$1="","",COUNTIFS(tbl_chests[from],$A33,tbl_chests[legalized],R$1,tbl_chests[datetime],"&gt;="&amp;TODAY()-WEEKDAY(TODAY(),2)+1,tbl_chests[datetime],"&lt;"&amp;TODAY()-WEEKDAY(TODAY(),2)+8)))</f>
        <v>1</v>
      </c>
      <c r="S33" s="36">
        <f ca="1">IF($A33="","",IF(S$1="","",COUNTIFS(tbl_chests[from],$A33,tbl_chests[legalized],S$1,tbl_chests[datetime],"&gt;="&amp;TODAY()-WEEKDAY(TODAY(),2)+1,tbl_chests[datetime],"&lt;"&amp;TODAY()-WEEKDAY(TODAY(),2)+8)))</f>
        <v>0</v>
      </c>
      <c r="T33" s="36">
        <f ca="1">IF($A33="","",IF(T$1="","",COUNTIFS(tbl_chests[from],$A33,tbl_chests[legalized],T$1,tbl_chests[datetime],"&gt;="&amp;TODAY()-WEEKDAY(TODAY(),2)+1,tbl_chests[datetime],"&lt;"&amp;TODAY()-WEEKDAY(TODAY(),2)+8)))</f>
        <v>0</v>
      </c>
      <c r="U33" s="36">
        <f ca="1">IF($A33="","",IF(U$1="","",COUNTIFS(tbl_chests[from],$A33,tbl_chests[legalized],U$1,tbl_chests[datetime],"&gt;="&amp;TODAY()-WEEKDAY(TODAY(),2)+1,tbl_chests[datetime],"&lt;"&amp;TODAY()-WEEKDAY(TODAY(),2)+8)))</f>
        <v>0</v>
      </c>
      <c r="V33" s="36">
        <f ca="1">IF($A33="","",IF(V$1="","",COUNTIFS(tbl_chests[from],$A33,tbl_chests[legalized],V$1,tbl_chests[datetime],"&gt;="&amp;TODAY()-WEEKDAY(TODAY(),2)+1,tbl_chests[datetime],"&lt;"&amp;TODAY()-WEEKDAY(TODAY(),2)+8)))</f>
        <v>0</v>
      </c>
      <c r="W33" s="36">
        <f ca="1">IF($A33="","",IF(W$1="","",COUNTIFS(tbl_chests[from],$A33,tbl_chests[legalized],W$1,tbl_chests[datetime],"&gt;="&amp;TODAY()-WEEKDAY(TODAY(),2)+1,tbl_chests[datetime],"&lt;"&amp;TODAY()-WEEKDAY(TODAY(),2)+8)))</f>
        <v>0</v>
      </c>
      <c r="X33" s="36">
        <f ca="1">IF($A33="","",IF(X$1="","",COUNTIFS(tbl_chests[from],$A33,tbl_chests[legalized],X$1,tbl_chests[datetime],"&gt;="&amp;TODAY()-WEEKDAY(TODAY(),2)+1,tbl_chests[datetime],"&lt;"&amp;TODAY()-WEEKDAY(TODAY(),2)+8)))</f>
        <v>0</v>
      </c>
      <c r="Y33" s="36">
        <f ca="1">IF($A33="","",IF(Y$1="","",COUNTIFS(tbl_chests[from],$A33,tbl_chests[legalized],Y$1,tbl_chests[datetime],"&gt;="&amp;TODAY()-WEEKDAY(TODAY(),2)+1,tbl_chests[datetime],"&lt;"&amp;TODAY()-WEEKDAY(TODAY(),2)+8)))</f>
        <v>0</v>
      </c>
      <c r="Z33" s="36">
        <f ca="1">IF($A33="","",IF(Z$1="","",COUNTIFS(tbl_chests[from],$A33,tbl_chests[legalized],Z$1,tbl_chests[datetime],"&gt;="&amp;TODAY()-WEEKDAY(TODAY(),2)+1,tbl_chests[datetime],"&lt;"&amp;TODAY()-WEEKDAY(TODAY(),2)+8)))</f>
        <v>0</v>
      </c>
      <c r="AA33" s="36">
        <f ca="1">IF($A33="","",IF(AA$1="","",COUNTIFS(tbl_chests[from],$A33,tbl_chests[legalized],AA$1,tbl_chests[datetime],"&gt;="&amp;TODAY()-WEEKDAY(TODAY(),2)+1,tbl_chests[datetime],"&lt;"&amp;TODAY()-WEEKDAY(TODAY(),2)+8)))</f>
        <v>0</v>
      </c>
      <c r="AB33" s="36">
        <f ca="1">IF($A33="","",IF(AB$1="","",COUNTIFS(tbl_chests[from],$A33,tbl_chests[legalized],AB$1,tbl_chests[datetime],"&gt;="&amp;TODAY()-WEEKDAY(TODAY(),2)+1,tbl_chests[datetime],"&lt;"&amp;TODAY()-WEEKDAY(TODAY(),2)+8)))</f>
        <v>0</v>
      </c>
      <c r="AC33" s="36">
        <f ca="1">IF($A33="","",IF(AC$1="","",COUNTIFS(tbl_chests[from],$A33,tbl_chests[legalized],AC$1,tbl_chests[datetime],"&gt;="&amp;TODAY()-WEEKDAY(TODAY(),2)+1,tbl_chests[datetime],"&lt;"&amp;TODAY()-WEEKDAY(TODAY(),2)+8)))</f>
        <v>0</v>
      </c>
      <c r="AD33" s="36">
        <f ca="1">IF($A33="","",IF(AD$1="","",COUNTIFS(tbl_chests[from],$A33,tbl_chests[legalized],AD$1,tbl_chests[datetime],"&gt;="&amp;TODAY()-WEEKDAY(TODAY(),2)+1,tbl_chests[datetime],"&lt;"&amp;TODAY()-WEEKDAY(TODAY(),2)+8)))</f>
        <v>0</v>
      </c>
      <c r="AE33" s="36">
        <f ca="1">IF($A33="","",IF(AE$1="","",COUNTIFS(tbl_chests[from],$A33,tbl_chests[legalized],AE$1,tbl_chests[datetime],"&gt;="&amp;TODAY()-WEEKDAY(TODAY(),2)+1,tbl_chests[datetime],"&lt;"&amp;TODAY()-WEEKDAY(TODAY(),2)+8)))</f>
        <v>0</v>
      </c>
      <c r="AF33" s="36">
        <f ca="1">IF($A33="","",IF(AF$1="","",COUNTIFS(tbl_chests[from],$A33,tbl_chests[legalized],AF$1,tbl_chests[datetime],"&gt;="&amp;TODAY()-WEEKDAY(TODAY(),2)+1,tbl_chests[datetime],"&lt;"&amp;TODAY()-WEEKDAY(TODAY(),2)+8)))</f>
        <v>0</v>
      </c>
      <c r="AG33" s="36">
        <f ca="1">IF($A33="","",IF(AG$1="","",COUNTIFS(tbl_chests[from],$A33,tbl_chests[legalized],AG$1,tbl_chests[datetime],"&gt;="&amp;TODAY()-WEEKDAY(TODAY(),2)+1,tbl_chests[datetime],"&lt;"&amp;TODAY()-WEEKDAY(TODAY(),2)+8)))</f>
        <v>0</v>
      </c>
      <c r="AH33" s="36">
        <f ca="1">IF($A33="","",IF(AH$1="","",COUNTIFS(tbl_chests[from],$A33,tbl_chests[legalized],AH$1,tbl_chests[datetime],"&gt;="&amp;TODAY()-WEEKDAY(TODAY(),2)+1,tbl_chests[datetime],"&lt;"&amp;TODAY()-WEEKDAY(TODAY(),2)+8)))</f>
        <v>0</v>
      </c>
      <c r="AI33" s="36">
        <f ca="1">IF($A33="","",IF(AI$1="","",COUNTIFS(tbl_chests[from],$A33,tbl_chests[legalized],AI$1,tbl_chests[datetime],"&gt;="&amp;TODAY()-WEEKDAY(TODAY(),2)+1,tbl_chests[datetime],"&lt;"&amp;TODAY()-WEEKDAY(TODAY(),2)+8)))</f>
        <v>0</v>
      </c>
      <c r="AJ33" s="36">
        <f ca="1">IF($A33="","",IF(AJ$1="","",COUNTIFS(tbl_chests[from],$A33,tbl_chests[legalized],AJ$1,tbl_chests[datetime],"&gt;="&amp;TODAY()-WEEKDAY(TODAY(),2)+1,tbl_chests[datetime],"&lt;"&amp;TODAY()-WEEKDAY(TODAY(),2)+8)))</f>
        <v>0</v>
      </c>
      <c r="AK33" s="36">
        <f ca="1">IF($A33="","",IF(AK$1="","",COUNTIFS(tbl_chests[from],$A33,tbl_chests[legalized],AK$1,tbl_chests[datetime],"&gt;="&amp;TODAY()-WEEKDAY(TODAY(),2)+1,tbl_chests[datetime],"&lt;"&amp;TODAY()-WEEKDAY(TODAY(),2)+8)))</f>
        <v>0</v>
      </c>
      <c r="AL33" s="36">
        <f ca="1">IF($A33="","",IF(AL$1="","",COUNTIFS(tbl_chests[from],$A33,tbl_chests[legalized],AL$1,tbl_chests[datetime],"&gt;="&amp;TODAY()-WEEKDAY(TODAY(),2)+1,tbl_chests[datetime],"&lt;"&amp;TODAY()-WEEKDAY(TODAY(),2)+8)))</f>
        <v>0</v>
      </c>
      <c r="AM33" s="37">
        <f ca="1">IF($A33="","",IF(AM$1="","",COUNTIFS(tbl_chests[from],$A33,tbl_chests[legalized],AM$1,tbl_chests[datetime],"&gt;="&amp;TODAY()-WEEKDAY(TODAY(),2)+1,tbl_chests[datetime],"&lt;"&amp;TODAY()-WEEKDAY(TODAY(),2)+8)))</f>
        <v>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 ht="15.75" customHeight="1" x14ac:dyDescent="0.25">
      <c r="A34" s="34" t="str">
        <f>chests_counter!$H31</f>
        <v>Glitched</v>
      </c>
      <c r="B34" s="35" cm="1">
        <f t="array" aca="1" ref="B34" ca="1">IF(A34&lt;&gt;"", SUMPRODUCT(($C$2:$AM$2&lt;&gt;0)*(C34:AM34&lt;&gt;0)*($C$2:$AM$2)*(C34:AM34)), "")</f>
        <v>30</v>
      </c>
      <c r="C34" s="36">
        <f ca="1">IF($A34="","",IF(C$1="","",COUNTIFS(tbl_chests[from],$A34,tbl_chests[legalized],C$1,tbl_chests[datetime],"&gt;="&amp;TODAY()-WEEKDAY(TODAY(),2)+1,tbl_chests[datetime],"&lt;"&amp;TODAY()-WEEKDAY(TODAY(),2)+8)))</f>
        <v>3</v>
      </c>
      <c r="D34" s="36">
        <f ca="1">IF($A34="","",IF(D$1="","",COUNTIFS(tbl_chests[from],$A34,tbl_chests[legalized],D$1,tbl_chests[datetime],"&gt;="&amp;TODAY()-WEEKDAY(TODAY(),2)+1,tbl_chests[datetime],"&lt;"&amp;TODAY()-WEEKDAY(TODAY(),2)+8)))</f>
        <v>0</v>
      </c>
      <c r="E34" s="36">
        <f ca="1">IF($A34="","",IF(E$1="","",COUNTIFS(tbl_chests[from],$A34,tbl_chests[legalized],E$1,tbl_chests[datetime],"&gt;="&amp;TODAY()-WEEKDAY(TODAY(),2)+1,tbl_chests[datetime],"&lt;"&amp;TODAY()-WEEKDAY(TODAY(),2)+8)))</f>
        <v>0</v>
      </c>
      <c r="F34" s="36">
        <f ca="1">IF($A34="","",IF(F$1="","",COUNTIFS(tbl_chests[from],$A34,tbl_chests[legalized],F$1,tbl_chests[datetime],"&gt;="&amp;TODAY()-WEEKDAY(TODAY(),2)+1,tbl_chests[datetime],"&lt;"&amp;TODAY()-WEEKDAY(TODAY(),2)+8)))</f>
        <v>0</v>
      </c>
      <c r="G34" s="36">
        <f ca="1">IF($A34="","",IF(G$1="","",COUNTIFS(tbl_chests[from],$A34,tbl_chests[legalized],G$1,tbl_chests[datetime],"&gt;="&amp;TODAY()-WEEKDAY(TODAY(),2)+1,tbl_chests[datetime],"&lt;"&amp;TODAY()-WEEKDAY(TODAY(),2)+8)))</f>
        <v>0</v>
      </c>
      <c r="H34" s="36">
        <f ca="1">IF($A34="","",IF(H$1="","",COUNTIFS(tbl_chests[from],$A34,tbl_chests[legalized],H$1,tbl_chests[datetime],"&gt;="&amp;TODAY()-WEEKDAY(TODAY(),2)+1,tbl_chests[datetime],"&lt;"&amp;TODAY()-WEEKDAY(TODAY(),2)+8)))</f>
        <v>0</v>
      </c>
      <c r="I34" s="36">
        <f ca="1">IF($A34="","",IF(I$1="","",COUNTIFS(tbl_chests[from],$A34,tbl_chests[legalized],I$1,tbl_chests[datetime],"&gt;="&amp;TODAY()-WEEKDAY(TODAY(),2)+1,tbl_chests[datetime],"&lt;"&amp;TODAY()-WEEKDAY(TODAY(),2)+8)))</f>
        <v>0</v>
      </c>
      <c r="J34" s="36">
        <f ca="1">IF($A34="","",IF(J$1="","",COUNTIFS(tbl_chests[from],$A34,tbl_chests[legalized],J$1,tbl_chests[datetime],"&gt;="&amp;TODAY()-WEEKDAY(TODAY(),2)+1,tbl_chests[datetime],"&lt;"&amp;TODAY()-WEEKDAY(TODAY(),2)+8)))</f>
        <v>0</v>
      </c>
      <c r="K34" s="36">
        <f ca="1">IF($A34="","",IF(K$1="","",COUNTIFS(tbl_chests[from],$A34,tbl_chests[legalized],K$1,tbl_chests[datetime],"&gt;="&amp;TODAY()-WEEKDAY(TODAY(),2)+1,tbl_chests[datetime],"&lt;"&amp;TODAY()-WEEKDAY(TODAY(),2)+8)))</f>
        <v>0</v>
      </c>
      <c r="L34" s="36">
        <f ca="1">IF($A34="","",IF(L$1="","",COUNTIFS(tbl_chests[from],$A34,tbl_chests[legalized],L$1,tbl_chests[datetime],"&gt;="&amp;TODAY()-WEEKDAY(TODAY(),2)+1,tbl_chests[datetime],"&lt;"&amp;TODAY()-WEEKDAY(TODAY(),2)+8)))</f>
        <v>0</v>
      </c>
      <c r="M34" s="36">
        <f ca="1">IF($A34="","",IF(M$1="","",COUNTIFS(tbl_chests[from],$A34,tbl_chests[legalized],M$1,tbl_chests[datetime],"&gt;="&amp;TODAY()-WEEKDAY(TODAY(),2)+1,tbl_chests[datetime],"&lt;"&amp;TODAY()-WEEKDAY(TODAY(),2)+8)))</f>
        <v>0</v>
      </c>
      <c r="N34" s="36">
        <f ca="1">IF($A34="","",IF(N$1="","",COUNTIFS(tbl_chests[from],$A34,tbl_chests[legalized],N$1,tbl_chests[datetime],"&gt;="&amp;TODAY()-WEEKDAY(TODAY(),2)+1,tbl_chests[datetime],"&lt;"&amp;TODAY()-WEEKDAY(TODAY(),2)+8)))</f>
        <v>0</v>
      </c>
      <c r="O34" s="36">
        <f ca="1">IF($A34="","",IF(O$1="","",COUNTIFS(tbl_chests[from],$A34,tbl_chests[legalized],O$1,tbl_chests[datetime],"&gt;="&amp;TODAY()-WEEKDAY(TODAY(),2)+1,tbl_chests[datetime],"&lt;"&amp;TODAY()-WEEKDAY(TODAY(),2)+8)))</f>
        <v>0</v>
      </c>
      <c r="P34" s="36">
        <f ca="1">IF($A34="","",IF(P$1="","",COUNTIFS(tbl_chests[from],$A34,tbl_chests[legalized],P$1,tbl_chests[datetime],"&gt;="&amp;TODAY()-WEEKDAY(TODAY(),2)+1,tbl_chests[datetime],"&lt;"&amp;TODAY()-WEEKDAY(TODAY(),2)+8)))</f>
        <v>0</v>
      </c>
      <c r="Q34" s="36">
        <f ca="1">IF($A34="","",IF(Q$1="","",COUNTIFS(tbl_chests[from],$A34,tbl_chests[legalized],Q$1,tbl_chests[datetime],"&gt;="&amp;TODAY()-WEEKDAY(TODAY(),2)+1,tbl_chests[datetime],"&lt;"&amp;TODAY()-WEEKDAY(TODAY(),2)+8)))</f>
        <v>0</v>
      </c>
      <c r="R34" s="36">
        <f ca="1">IF($A34="","",IF(R$1="","",COUNTIFS(tbl_chests[from],$A34,tbl_chests[legalized],R$1,tbl_chests[datetime],"&gt;="&amp;TODAY()-WEEKDAY(TODAY(),2)+1,tbl_chests[datetime],"&lt;"&amp;TODAY()-WEEKDAY(TODAY(),2)+8)))</f>
        <v>0</v>
      </c>
      <c r="S34" s="36">
        <f ca="1">IF($A34="","",IF(S$1="","",COUNTIFS(tbl_chests[from],$A34,tbl_chests[legalized],S$1,tbl_chests[datetime],"&gt;="&amp;TODAY()-WEEKDAY(TODAY(),2)+1,tbl_chests[datetime],"&lt;"&amp;TODAY()-WEEKDAY(TODAY(),2)+8)))</f>
        <v>0</v>
      </c>
      <c r="T34" s="36">
        <f ca="1">IF($A34="","",IF(T$1="","",COUNTIFS(tbl_chests[from],$A34,tbl_chests[legalized],T$1,tbl_chests[datetime],"&gt;="&amp;TODAY()-WEEKDAY(TODAY(),2)+1,tbl_chests[datetime],"&lt;"&amp;TODAY()-WEEKDAY(TODAY(),2)+8)))</f>
        <v>0</v>
      </c>
      <c r="U34" s="36">
        <f ca="1">IF($A34="","",IF(U$1="","",COUNTIFS(tbl_chests[from],$A34,tbl_chests[legalized],U$1,tbl_chests[datetime],"&gt;="&amp;TODAY()-WEEKDAY(TODAY(),2)+1,tbl_chests[datetime],"&lt;"&amp;TODAY()-WEEKDAY(TODAY(),2)+8)))</f>
        <v>0</v>
      </c>
      <c r="V34" s="36">
        <f ca="1">IF($A34="","",IF(V$1="","",COUNTIFS(tbl_chests[from],$A34,tbl_chests[legalized],V$1,tbl_chests[datetime],"&gt;="&amp;TODAY()-WEEKDAY(TODAY(),2)+1,tbl_chests[datetime],"&lt;"&amp;TODAY()-WEEKDAY(TODAY(),2)+8)))</f>
        <v>0</v>
      </c>
      <c r="W34" s="36">
        <f ca="1">IF($A34="","",IF(W$1="","",COUNTIFS(tbl_chests[from],$A34,tbl_chests[legalized],W$1,tbl_chests[datetime],"&gt;="&amp;TODAY()-WEEKDAY(TODAY(),2)+1,tbl_chests[datetime],"&lt;"&amp;TODAY()-WEEKDAY(TODAY(),2)+8)))</f>
        <v>0</v>
      </c>
      <c r="X34" s="36">
        <f ca="1">IF($A34="","",IF(X$1="","",COUNTIFS(tbl_chests[from],$A34,tbl_chests[legalized],X$1,tbl_chests[datetime],"&gt;="&amp;TODAY()-WEEKDAY(TODAY(),2)+1,tbl_chests[datetime],"&lt;"&amp;TODAY()-WEEKDAY(TODAY(),2)+8)))</f>
        <v>0</v>
      </c>
      <c r="Y34" s="36">
        <f ca="1">IF($A34="","",IF(Y$1="","",COUNTIFS(tbl_chests[from],$A34,tbl_chests[legalized],Y$1,tbl_chests[datetime],"&gt;="&amp;TODAY()-WEEKDAY(TODAY(),2)+1,tbl_chests[datetime],"&lt;"&amp;TODAY()-WEEKDAY(TODAY(),2)+8)))</f>
        <v>0</v>
      </c>
      <c r="Z34" s="36">
        <f ca="1">IF($A34="","",IF(Z$1="","",COUNTIFS(tbl_chests[from],$A34,tbl_chests[legalized],Z$1,tbl_chests[datetime],"&gt;="&amp;TODAY()-WEEKDAY(TODAY(),2)+1,tbl_chests[datetime],"&lt;"&amp;TODAY()-WEEKDAY(TODAY(),2)+8)))</f>
        <v>0</v>
      </c>
      <c r="AA34" s="36">
        <f ca="1">IF($A34="","",IF(AA$1="","",COUNTIFS(tbl_chests[from],$A34,tbl_chests[legalized],AA$1,tbl_chests[datetime],"&gt;="&amp;TODAY()-WEEKDAY(TODAY(),2)+1,tbl_chests[datetime],"&lt;"&amp;TODAY()-WEEKDAY(TODAY(),2)+8)))</f>
        <v>0</v>
      </c>
      <c r="AB34" s="36">
        <f ca="1">IF($A34="","",IF(AB$1="","",COUNTIFS(tbl_chests[from],$A34,tbl_chests[legalized],AB$1,tbl_chests[datetime],"&gt;="&amp;TODAY()-WEEKDAY(TODAY(),2)+1,tbl_chests[datetime],"&lt;"&amp;TODAY()-WEEKDAY(TODAY(),2)+8)))</f>
        <v>0</v>
      </c>
      <c r="AC34" s="36">
        <f ca="1">IF($A34="","",IF(AC$1="","",COUNTIFS(tbl_chests[from],$A34,tbl_chests[legalized],AC$1,tbl_chests[datetime],"&gt;="&amp;TODAY()-WEEKDAY(TODAY(),2)+1,tbl_chests[datetime],"&lt;"&amp;TODAY()-WEEKDAY(TODAY(),2)+8)))</f>
        <v>0</v>
      </c>
      <c r="AD34" s="36">
        <f ca="1">IF($A34="","",IF(AD$1="","",COUNTIFS(tbl_chests[from],$A34,tbl_chests[legalized],AD$1,tbl_chests[datetime],"&gt;="&amp;TODAY()-WEEKDAY(TODAY(),2)+1,tbl_chests[datetime],"&lt;"&amp;TODAY()-WEEKDAY(TODAY(),2)+8)))</f>
        <v>0</v>
      </c>
      <c r="AE34" s="36">
        <f ca="1">IF($A34="","",IF(AE$1="","",COUNTIFS(tbl_chests[from],$A34,tbl_chests[legalized],AE$1,tbl_chests[datetime],"&gt;="&amp;TODAY()-WEEKDAY(TODAY(),2)+1,tbl_chests[datetime],"&lt;"&amp;TODAY()-WEEKDAY(TODAY(),2)+8)))</f>
        <v>0</v>
      </c>
      <c r="AF34" s="36">
        <f ca="1">IF($A34="","",IF(AF$1="","",COUNTIFS(tbl_chests[from],$A34,tbl_chests[legalized],AF$1,tbl_chests[datetime],"&gt;="&amp;TODAY()-WEEKDAY(TODAY(),2)+1,tbl_chests[datetime],"&lt;"&amp;TODAY()-WEEKDAY(TODAY(),2)+8)))</f>
        <v>0</v>
      </c>
      <c r="AG34" s="36">
        <f ca="1">IF($A34="","",IF(AG$1="","",COUNTIFS(tbl_chests[from],$A34,tbl_chests[legalized],AG$1,tbl_chests[datetime],"&gt;="&amp;TODAY()-WEEKDAY(TODAY(),2)+1,tbl_chests[datetime],"&lt;"&amp;TODAY()-WEEKDAY(TODAY(),2)+8)))</f>
        <v>0</v>
      </c>
      <c r="AH34" s="36">
        <f ca="1">IF($A34="","",IF(AH$1="","",COUNTIFS(tbl_chests[from],$A34,tbl_chests[legalized],AH$1,tbl_chests[datetime],"&gt;="&amp;TODAY()-WEEKDAY(TODAY(),2)+1,tbl_chests[datetime],"&lt;"&amp;TODAY()-WEEKDAY(TODAY(),2)+8)))</f>
        <v>0</v>
      </c>
      <c r="AI34" s="36">
        <f ca="1">IF($A34="","",IF(AI$1="","",COUNTIFS(tbl_chests[from],$A34,tbl_chests[legalized],AI$1,tbl_chests[datetime],"&gt;="&amp;TODAY()-WEEKDAY(TODAY(),2)+1,tbl_chests[datetime],"&lt;"&amp;TODAY()-WEEKDAY(TODAY(),2)+8)))</f>
        <v>0</v>
      </c>
      <c r="AJ34" s="36">
        <f ca="1">IF($A34="","",IF(AJ$1="","",COUNTIFS(tbl_chests[from],$A34,tbl_chests[legalized],AJ$1,tbl_chests[datetime],"&gt;="&amp;TODAY()-WEEKDAY(TODAY(),2)+1,tbl_chests[datetime],"&lt;"&amp;TODAY()-WEEKDAY(TODAY(),2)+8)))</f>
        <v>0</v>
      </c>
      <c r="AK34" s="36">
        <f ca="1">IF($A34="","",IF(AK$1="","",COUNTIFS(tbl_chests[from],$A34,tbl_chests[legalized],AK$1,tbl_chests[datetime],"&gt;="&amp;TODAY()-WEEKDAY(TODAY(),2)+1,tbl_chests[datetime],"&lt;"&amp;TODAY()-WEEKDAY(TODAY(),2)+8)))</f>
        <v>0</v>
      </c>
      <c r="AL34" s="36">
        <f ca="1">IF($A34="","",IF(AL$1="","",COUNTIFS(tbl_chests[from],$A34,tbl_chests[legalized],AL$1,tbl_chests[datetime],"&gt;="&amp;TODAY()-WEEKDAY(TODAY(),2)+1,tbl_chests[datetime],"&lt;"&amp;TODAY()-WEEKDAY(TODAY(),2)+8)))</f>
        <v>0</v>
      </c>
      <c r="AM34" s="37">
        <f ca="1">IF($A34="","",IF(AM$1="","",COUNTIFS(tbl_chests[from],$A34,tbl_chests[legalized],AM$1,tbl_chests[datetime],"&gt;="&amp;TODAY()-WEEKDAY(TODAY(),2)+1,tbl_chests[datetime],"&lt;"&amp;TODAY()-WEEKDAY(TODAY(),2)+8)))</f>
        <v>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 ht="15.75" customHeight="1" x14ac:dyDescent="0.25">
      <c r="A35" s="34" t="str">
        <f>chests_counter!$H32</f>
        <v>Gozahn</v>
      </c>
      <c r="B35" s="35" cm="1">
        <f t="array" aca="1" ref="B35" ca="1">IF(A35&lt;&gt;"", SUMPRODUCT(($C$2:$AM$2&lt;&gt;0)*(C35:AM35&lt;&gt;0)*($C$2:$AM$2)*(C35:AM35)), "")</f>
        <v>40</v>
      </c>
      <c r="C35" s="36">
        <f ca="1">IF($A35="","",IF(C$1="","",COUNTIFS(tbl_chests[from],$A35,tbl_chests[legalized],C$1,tbl_chests[datetime],"&gt;="&amp;TODAY()-WEEKDAY(TODAY(),2)+1,tbl_chests[datetime],"&lt;"&amp;TODAY()-WEEKDAY(TODAY(),2)+8)))</f>
        <v>2</v>
      </c>
      <c r="D35" s="36">
        <f ca="1">IF($A35="","",IF(D$1="","",COUNTIFS(tbl_chests[from],$A35,tbl_chests[legalized],D$1,tbl_chests[datetime],"&gt;="&amp;TODAY()-WEEKDAY(TODAY(),2)+1,tbl_chests[datetime],"&lt;"&amp;TODAY()-WEEKDAY(TODAY(),2)+8)))</f>
        <v>1</v>
      </c>
      <c r="E35" s="36">
        <f ca="1">IF($A35="","",IF(E$1="","",COUNTIFS(tbl_chests[from],$A35,tbl_chests[legalized],E$1,tbl_chests[datetime],"&gt;="&amp;TODAY()-WEEKDAY(TODAY(),2)+1,tbl_chests[datetime],"&lt;"&amp;TODAY()-WEEKDAY(TODAY(),2)+8)))</f>
        <v>0</v>
      </c>
      <c r="F35" s="36">
        <f ca="1">IF($A35="","",IF(F$1="","",COUNTIFS(tbl_chests[from],$A35,tbl_chests[legalized],F$1,tbl_chests[datetime],"&gt;="&amp;TODAY()-WEEKDAY(TODAY(),2)+1,tbl_chests[datetime],"&lt;"&amp;TODAY()-WEEKDAY(TODAY(),2)+8)))</f>
        <v>0</v>
      </c>
      <c r="G35" s="36">
        <f ca="1">IF($A35="","",IF(G$1="","",COUNTIFS(tbl_chests[from],$A35,tbl_chests[legalized],G$1,tbl_chests[datetime],"&gt;="&amp;TODAY()-WEEKDAY(TODAY(),2)+1,tbl_chests[datetime],"&lt;"&amp;TODAY()-WEEKDAY(TODAY(),2)+8)))</f>
        <v>0</v>
      </c>
      <c r="H35" s="36">
        <f ca="1">IF($A35="","",IF(H$1="","",COUNTIFS(tbl_chests[from],$A35,tbl_chests[legalized],H$1,tbl_chests[datetime],"&gt;="&amp;TODAY()-WEEKDAY(TODAY(),2)+1,tbl_chests[datetime],"&lt;"&amp;TODAY()-WEEKDAY(TODAY(),2)+8)))</f>
        <v>0</v>
      </c>
      <c r="I35" s="36">
        <f ca="1">IF($A35="","",IF(I$1="","",COUNTIFS(tbl_chests[from],$A35,tbl_chests[legalized],I$1,tbl_chests[datetime],"&gt;="&amp;TODAY()-WEEKDAY(TODAY(),2)+1,tbl_chests[datetime],"&lt;"&amp;TODAY()-WEEKDAY(TODAY(),2)+8)))</f>
        <v>0</v>
      </c>
      <c r="J35" s="36">
        <f ca="1">IF($A35="","",IF(J$1="","",COUNTIFS(tbl_chests[from],$A35,tbl_chests[legalized],J$1,tbl_chests[datetime],"&gt;="&amp;TODAY()-WEEKDAY(TODAY(),2)+1,tbl_chests[datetime],"&lt;"&amp;TODAY()-WEEKDAY(TODAY(),2)+8)))</f>
        <v>0</v>
      </c>
      <c r="K35" s="36">
        <f ca="1">IF($A35="","",IF(K$1="","",COUNTIFS(tbl_chests[from],$A35,tbl_chests[legalized],K$1,tbl_chests[datetime],"&gt;="&amp;TODAY()-WEEKDAY(TODAY(),2)+1,tbl_chests[datetime],"&lt;"&amp;TODAY()-WEEKDAY(TODAY(),2)+8)))</f>
        <v>0</v>
      </c>
      <c r="L35" s="36">
        <f ca="1">IF($A35="","",IF(L$1="","",COUNTIFS(tbl_chests[from],$A35,tbl_chests[legalized],L$1,tbl_chests[datetime],"&gt;="&amp;TODAY()-WEEKDAY(TODAY(),2)+1,tbl_chests[datetime],"&lt;"&amp;TODAY()-WEEKDAY(TODAY(),2)+8)))</f>
        <v>0</v>
      </c>
      <c r="M35" s="36">
        <f ca="1">IF($A35="","",IF(M$1="","",COUNTIFS(tbl_chests[from],$A35,tbl_chests[legalized],M$1,tbl_chests[datetime],"&gt;="&amp;TODAY()-WEEKDAY(TODAY(),2)+1,tbl_chests[datetime],"&lt;"&amp;TODAY()-WEEKDAY(TODAY(),2)+8)))</f>
        <v>0</v>
      </c>
      <c r="N35" s="36">
        <f ca="1">IF($A35="","",IF(N$1="","",COUNTIFS(tbl_chests[from],$A35,tbl_chests[legalized],N$1,tbl_chests[datetime],"&gt;="&amp;TODAY()-WEEKDAY(TODAY(),2)+1,tbl_chests[datetime],"&lt;"&amp;TODAY()-WEEKDAY(TODAY(),2)+8)))</f>
        <v>0</v>
      </c>
      <c r="O35" s="36">
        <f ca="1">IF($A35="","",IF(O$1="","",COUNTIFS(tbl_chests[from],$A35,tbl_chests[legalized],O$1,tbl_chests[datetime],"&gt;="&amp;TODAY()-WEEKDAY(TODAY(),2)+1,tbl_chests[datetime],"&lt;"&amp;TODAY()-WEEKDAY(TODAY(),2)+8)))</f>
        <v>0</v>
      </c>
      <c r="P35" s="36">
        <f ca="1">IF($A35="","",IF(P$1="","",COUNTIFS(tbl_chests[from],$A35,tbl_chests[legalized],P$1,tbl_chests[datetime],"&gt;="&amp;TODAY()-WEEKDAY(TODAY(),2)+1,tbl_chests[datetime],"&lt;"&amp;TODAY()-WEEKDAY(TODAY(),2)+8)))</f>
        <v>0</v>
      </c>
      <c r="Q35" s="36">
        <f ca="1">IF($A35="","",IF(Q$1="","",COUNTIFS(tbl_chests[from],$A35,tbl_chests[legalized],Q$1,tbl_chests[datetime],"&gt;="&amp;TODAY()-WEEKDAY(TODAY(),2)+1,tbl_chests[datetime],"&lt;"&amp;TODAY()-WEEKDAY(TODAY(),2)+8)))</f>
        <v>0</v>
      </c>
      <c r="R35" s="36">
        <f ca="1">IF($A35="","",IF(R$1="","",COUNTIFS(tbl_chests[from],$A35,tbl_chests[legalized],R$1,tbl_chests[datetime],"&gt;="&amp;TODAY()-WEEKDAY(TODAY(),2)+1,tbl_chests[datetime],"&lt;"&amp;TODAY()-WEEKDAY(TODAY(),2)+8)))</f>
        <v>0</v>
      </c>
      <c r="S35" s="36">
        <f ca="1">IF($A35="","",IF(S$1="","",COUNTIFS(tbl_chests[from],$A35,tbl_chests[legalized],S$1,tbl_chests[datetime],"&gt;="&amp;TODAY()-WEEKDAY(TODAY(),2)+1,tbl_chests[datetime],"&lt;"&amp;TODAY()-WEEKDAY(TODAY(),2)+8)))</f>
        <v>0</v>
      </c>
      <c r="T35" s="36">
        <f ca="1">IF($A35="","",IF(T$1="","",COUNTIFS(tbl_chests[from],$A35,tbl_chests[legalized],T$1,tbl_chests[datetime],"&gt;="&amp;TODAY()-WEEKDAY(TODAY(),2)+1,tbl_chests[datetime],"&lt;"&amp;TODAY()-WEEKDAY(TODAY(),2)+8)))</f>
        <v>0</v>
      </c>
      <c r="U35" s="36">
        <f ca="1">IF($A35="","",IF(U$1="","",COUNTIFS(tbl_chests[from],$A35,tbl_chests[legalized],U$1,tbl_chests[datetime],"&gt;="&amp;TODAY()-WEEKDAY(TODAY(),2)+1,tbl_chests[datetime],"&lt;"&amp;TODAY()-WEEKDAY(TODAY(),2)+8)))</f>
        <v>0</v>
      </c>
      <c r="V35" s="36">
        <f ca="1">IF($A35="","",IF(V$1="","",COUNTIFS(tbl_chests[from],$A35,tbl_chests[legalized],V$1,tbl_chests[datetime],"&gt;="&amp;TODAY()-WEEKDAY(TODAY(),2)+1,tbl_chests[datetime],"&lt;"&amp;TODAY()-WEEKDAY(TODAY(),2)+8)))</f>
        <v>0</v>
      </c>
      <c r="W35" s="36">
        <f ca="1">IF($A35="","",IF(W$1="","",COUNTIFS(tbl_chests[from],$A35,tbl_chests[legalized],W$1,tbl_chests[datetime],"&gt;="&amp;TODAY()-WEEKDAY(TODAY(),2)+1,tbl_chests[datetime],"&lt;"&amp;TODAY()-WEEKDAY(TODAY(),2)+8)))</f>
        <v>0</v>
      </c>
      <c r="X35" s="36">
        <f ca="1">IF($A35="","",IF(X$1="","",COUNTIFS(tbl_chests[from],$A35,tbl_chests[legalized],X$1,tbl_chests[datetime],"&gt;="&amp;TODAY()-WEEKDAY(TODAY(),2)+1,tbl_chests[datetime],"&lt;"&amp;TODAY()-WEEKDAY(TODAY(),2)+8)))</f>
        <v>0</v>
      </c>
      <c r="Y35" s="36">
        <f ca="1">IF($A35="","",IF(Y$1="","",COUNTIFS(tbl_chests[from],$A35,tbl_chests[legalized],Y$1,tbl_chests[datetime],"&gt;="&amp;TODAY()-WEEKDAY(TODAY(),2)+1,tbl_chests[datetime],"&lt;"&amp;TODAY()-WEEKDAY(TODAY(),2)+8)))</f>
        <v>0</v>
      </c>
      <c r="Z35" s="36">
        <f ca="1">IF($A35="","",IF(Z$1="","",COUNTIFS(tbl_chests[from],$A35,tbl_chests[legalized],Z$1,tbl_chests[datetime],"&gt;="&amp;TODAY()-WEEKDAY(TODAY(),2)+1,tbl_chests[datetime],"&lt;"&amp;TODAY()-WEEKDAY(TODAY(),2)+8)))</f>
        <v>0</v>
      </c>
      <c r="AA35" s="36">
        <f ca="1">IF($A35="","",IF(AA$1="","",COUNTIFS(tbl_chests[from],$A35,tbl_chests[legalized],AA$1,tbl_chests[datetime],"&gt;="&amp;TODAY()-WEEKDAY(TODAY(),2)+1,tbl_chests[datetime],"&lt;"&amp;TODAY()-WEEKDAY(TODAY(),2)+8)))</f>
        <v>0</v>
      </c>
      <c r="AB35" s="36">
        <f ca="1">IF($A35="","",IF(AB$1="","",COUNTIFS(tbl_chests[from],$A35,tbl_chests[legalized],AB$1,tbl_chests[datetime],"&gt;="&amp;TODAY()-WEEKDAY(TODAY(),2)+1,tbl_chests[datetime],"&lt;"&amp;TODAY()-WEEKDAY(TODAY(),2)+8)))</f>
        <v>0</v>
      </c>
      <c r="AC35" s="36">
        <f ca="1">IF($A35="","",IF(AC$1="","",COUNTIFS(tbl_chests[from],$A35,tbl_chests[legalized],AC$1,tbl_chests[datetime],"&gt;="&amp;TODAY()-WEEKDAY(TODAY(),2)+1,tbl_chests[datetime],"&lt;"&amp;TODAY()-WEEKDAY(TODAY(),2)+8)))</f>
        <v>0</v>
      </c>
      <c r="AD35" s="36">
        <f ca="1">IF($A35="","",IF(AD$1="","",COUNTIFS(tbl_chests[from],$A35,tbl_chests[legalized],AD$1,tbl_chests[datetime],"&gt;="&amp;TODAY()-WEEKDAY(TODAY(),2)+1,tbl_chests[datetime],"&lt;"&amp;TODAY()-WEEKDAY(TODAY(),2)+8)))</f>
        <v>0</v>
      </c>
      <c r="AE35" s="36">
        <f ca="1">IF($A35="","",IF(AE$1="","",COUNTIFS(tbl_chests[from],$A35,tbl_chests[legalized],AE$1,tbl_chests[datetime],"&gt;="&amp;TODAY()-WEEKDAY(TODAY(),2)+1,tbl_chests[datetime],"&lt;"&amp;TODAY()-WEEKDAY(TODAY(),2)+8)))</f>
        <v>0</v>
      </c>
      <c r="AF35" s="36">
        <f ca="1">IF($A35="","",IF(AF$1="","",COUNTIFS(tbl_chests[from],$A35,tbl_chests[legalized],AF$1,tbl_chests[datetime],"&gt;="&amp;TODAY()-WEEKDAY(TODAY(),2)+1,tbl_chests[datetime],"&lt;"&amp;TODAY()-WEEKDAY(TODAY(),2)+8)))</f>
        <v>0</v>
      </c>
      <c r="AG35" s="36">
        <f ca="1">IF($A35="","",IF(AG$1="","",COUNTIFS(tbl_chests[from],$A35,tbl_chests[legalized],AG$1,tbl_chests[datetime],"&gt;="&amp;TODAY()-WEEKDAY(TODAY(),2)+1,tbl_chests[datetime],"&lt;"&amp;TODAY()-WEEKDAY(TODAY(),2)+8)))</f>
        <v>0</v>
      </c>
      <c r="AH35" s="36">
        <f ca="1">IF($A35="","",IF(AH$1="","",COUNTIFS(tbl_chests[from],$A35,tbl_chests[legalized],AH$1,tbl_chests[datetime],"&gt;="&amp;TODAY()-WEEKDAY(TODAY(),2)+1,tbl_chests[datetime],"&lt;"&amp;TODAY()-WEEKDAY(TODAY(),2)+8)))</f>
        <v>0</v>
      </c>
      <c r="AI35" s="36">
        <f ca="1">IF($A35="","",IF(AI$1="","",COUNTIFS(tbl_chests[from],$A35,tbl_chests[legalized],AI$1,tbl_chests[datetime],"&gt;="&amp;TODAY()-WEEKDAY(TODAY(),2)+1,tbl_chests[datetime],"&lt;"&amp;TODAY()-WEEKDAY(TODAY(),2)+8)))</f>
        <v>0</v>
      </c>
      <c r="AJ35" s="36">
        <f ca="1">IF($A35="","",IF(AJ$1="","",COUNTIFS(tbl_chests[from],$A35,tbl_chests[legalized],AJ$1,tbl_chests[datetime],"&gt;="&amp;TODAY()-WEEKDAY(TODAY(),2)+1,tbl_chests[datetime],"&lt;"&amp;TODAY()-WEEKDAY(TODAY(),2)+8)))</f>
        <v>0</v>
      </c>
      <c r="AK35" s="36">
        <f ca="1">IF($A35="","",IF(AK$1="","",COUNTIFS(tbl_chests[from],$A35,tbl_chests[legalized],AK$1,tbl_chests[datetime],"&gt;="&amp;TODAY()-WEEKDAY(TODAY(),2)+1,tbl_chests[datetime],"&lt;"&amp;TODAY()-WEEKDAY(TODAY(),2)+8)))</f>
        <v>0</v>
      </c>
      <c r="AL35" s="36">
        <f ca="1">IF($A35="","",IF(AL$1="","",COUNTIFS(tbl_chests[from],$A35,tbl_chests[legalized],AL$1,tbl_chests[datetime],"&gt;="&amp;TODAY()-WEEKDAY(TODAY(),2)+1,tbl_chests[datetime],"&lt;"&amp;TODAY()-WEEKDAY(TODAY(),2)+8)))</f>
        <v>0</v>
      </c>
      <c r="AM35" s="37">
        <f ca="1">IF($A35="","",IF(AM$1="","",COUNTIFS(tbl_chests[from],$A35,tbl_chests[legalized],AM$1,tbl_chests[datetime],"&gt;="&amp;TODAY()-WEEKDAY(TODAY(),2)+1,tbl_chests[datetime],"&lt;"&amp;TODAY()-WEEKDAY(TODAY(),2)+8)))</f>
        <v>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 ht="15.75" customHeight="1" x14ac:dyDescent="0.25">
      <c r="A36" s="34" t="str">
        <f>chests_counter!$H33</f>
        <v>Iver</v>
      </c>
      <c r="B36" s="35" cm="1">
        <f t="array" aca="1" ref="B36" ca="1">IF(A36&lt;&gt;"", SUMPRODUCT(($C$2:$AM$2&lt;&gt;0)*(C36:AM36&lt;&gt;0)*($C$2:$AM$2)*(C36:AM36)), "")</f>
        <v>35</v>
      </c>
      <c r="C36" s="36">
        <f ca="1">IF($A36="","",IF(C$1="","",COUNTIFS(tbl_chests[from],$A36,tbl_chests[legalized],C$1,tbl_chests[datetime],"&gt;="&amp;TODAY()-WEEKDAY(TODAY(),2)+1,tbl_chests[datetime],"&lt;"&amp;TODAY()-WEEKDAY(TODAY(),2)+8)))</f>
        <v>0</v>
      </c>
      <c r="D36" s="36">
        <f ca="1">IF($A36="","",IF(D$1="","",COUNTIFS(tbl_chests[from],$A36,tbl_chests[legalized],D$1,tbl_chests[datetime],"&gt;="&amp;TODAY()-WEEKDAY(TODAY(),2)+1,tbl_chests[datetime],"&lt;"&amp;TODAY()-WEEKDAY(TODAY(),2)+8)))</f>
        <v>0</v>
      </c>
      <c r="E36" s="36">
        <f ca="1">IF($A36="","",IF(E$1="","",COUNTIFS(tbl_chests[from],$A36,tbl_chests[legalized],E$1,tbl_chests[datetime],"&gt;="&amp;TODAY()-WEEKDAY(TODAY(),2)+1,tbl_chests[datetime],"&lt;"&amp;TODAY()-WEEKDAY(TODAY(),2)+8)))</f>
        <v>1</v>
      </c>
      <c r="F36" s="36">
        <f ca="1">IF($A36="","",IF(F$1="","",COUNTIFS(tbl_chests[from],$A36,tbl_chests[legalized],F$1,tbl_chests[datetime],"&gt;="&amp;TODAY()-WEEKDAY(TODAY(),2)+1,tbl_chests[datetime],"&lt;"&amp;TODAY()-WEEKDAY(TODAY(),2)+8)))</f>
        <v>0</v>
      </c>
      <c r="G36" s="36">
        <f ca="1">IF($A36="","",IF(G$1="","",COUNTIFS(tbl_chests[from],$A36,tbl_chests[legalized],G$1,tbl_chests[datetime],"&gt;="&amp;TODAY()-WEEKDAY(TODAY(),2)+1,tbl_chests[datetime],"&lt;"&amp;TODAY()-WEEKDAY(TODAY(),2)+8)))</f>
        <v>0</v>
      </c>
      <c r="H36" s="36">
        <f ca="1">IF($A36="","",IF(H$1="","",COUNTIFS(tbl_chests[from],$A36,tbl_chests[legalized],H$1,tbl_chests[datetime],"&gt;="&amp;TODAY()-WEEKDAY(TODAY(),2)+1,tbl_chests[datetime],"&lt;"&amp;TODAY()-WEEKDAY(TODAY(),2)+8)))</f>
        <v>0</v>
      </c>
      <c r="I36" s="36">
        <f ca="1">IF($A36="","",IF(I$1="","",COUNTIFS(tbl_chests[from],$A36,tbl_chests[legalized],I$1,tbl_chests[datetime],"&gt;="&amp;TODAY()-WEEKDAY(TODAY(),2)+1,tbl_chests[datetime],"&lt;"&amp;TODAY()-WEEKDAY(TODAY(),2)+8)))</f>
        <v>0</v>
      </c>
      <c r="J36" s="36">
        <f ca="1">IF($A36="","",IF(J$1="","",COUNTIFS(tbl_chests[from],$A36,tbl_chests[legalized],J$1,tbl_chests[datetime],"&gt;="&amp;TODAY()-WEEKDAY(TODAY(),2)+1,tbl_chests[datetime],"&lt;"&amp;TODAY()-WEEKDAY(TODAY(),2)+8)))</f>
        <v>0</v>
      </c>
      <c r="K36" s="36">
        <f ca="1">IF($A36="","",IF(K$1="","",COUNTIFS(tbl_chests[from],$A36,tbl_chests[legalized],K$1,tbl_chests[datetime],"&gt;="&amp;TODAY()-WEEKDAY(TODAY(),2)+1,tbl_chests[datetime],"&lt;"&amp;TODAY()-WEEKDAY(TODAY(),2)+8)))</f>
        <v>0</v>
      </c>
      <c r="L36" s="36">
        <f ca="1">IF($A36="","",IF(L$1="","",COUNTIFS(tbl_chests[from],$A36,tbl_chests[legalized],L$1,tbl_chests[datetime],"&gt;="&amp;TODAY()-WEEKDAY(TODAY(),2)+1,tbl_chests[datetime],"&lt;"&amp;TODAY()-WEEKDAY(TODAY(),2)+8)))</f>
        <v>0</v>
      </c>
      <c r="M36" s="36">
        <f ca="1">IF($A36="","",IF(M$1="","",COUNTIFS(tbl_chests[from],$A36,tbl_chests[legalized],M$1,tbl_chests[datetime],"&gt;="&amp;TODAY()-WEEKDAY(TODAY(),2)+1,tbl_chests[datetime],"&lt;"&amp;TODAY()-WEEKDAY(TODAY(),2)+8)))</f>
        <v>0</v>
      </c>
      <c r="N36" s="36">
        <f ca="1">IF($A36="","",IF(N$1="","",COUNTIFS(tbl_chests[from],$A36,tbl_chests[legalized],N$1,tbl_chests[datetime],"&gt;="&amp;TODAY()-WEEKDAY(TODAY(),2)+1,tbl_chests[datetime],"&lt;"&amp;TODAY()-WEEKDAY(TODAY(),2)+8)))</f>
        <v>0</v>
      </c>
      <c r="O36" s="36">
        <f ca="1">IF($A36="","",IF(O$1="","",COUNTIFS(tbl_chests[from],$A36,tbl_chests[legalized],O$1,tbl_chests[datetime],"&gt;="&amp;TODAY()-WEEKDAY(TODAY(),2)+1,tbl_chests[datetime],"&lt;"&amp;TODAY()-WEEKDAY(TODAY(),2)+8)))</f>
        <v>0</v>
      </c>
      <c r="P36" s="36">
        <f ca="1">IF($A36="","",IF(P$1="","",COUNTIFS(tbl_chests[from],$A36,tbl_chests[legalized],P$1,tbl_chests[datetime],"&gt;="&amp;TODAY()-WEEKDAY(TODAY(),2)+1,tbl_chests[datetime],"&lt;"&amp;TODAY()-WEEKDAY(TODAY(),2)+8)))</f>
        <v>0</v>
      </c>
      <c r="Q36" s="36">
        <f ca="1">IF($A36="","",IF(Q$1="","",COUNTIFS(tbl_chests[from],$A36,tbl_chests[legalized],Q$1,tbl_chests[datetime],"&gt;="&amp;TODAY()-WEEKDAY(TODAY(),2)+1,tbl_chests[datetime],"&lt;"&amp;TODAY()-WEEKDAY(TODAY(),2)+8)))</f>
        <v>0</v>
      </c>
      <c r="R36" s="36">
        <f ca="1">IF($A36="","",IF(R$1="","",COUNTIFS(tbl_chests[from],$A36,tbl_chests[legalized],R$1,tbl_chests[datetime],"&gt;="&amp;TODAY()-WEEKDAY(TODAY(),2)+1,tbl_chests[datetime],"&lt;"&amp;TODAY()-WEEKDAY(TODAY(),2)+8)))</f>
        <v>0</v>
      </c>
      <c r="S36" s="36">
        <f ca="1">IF($A36="","",IF(S$1="","",COUNTIFS(tbl_chests[from],$A36,tbl_chests[legalized],S$1,tbl_chests[datetime],"&gt;="&amp;TODAY()-WEEKDAY(TODAY(),2)+1,tbl_chests[datetime],"&lt;"&amp;TODAY()-WEEKDAY(TODAY(),2)+8)))</f>
        <v>0</v>
      </c>
      <c r="T36" s="36">
        <f ca="1">IF($A36="","",IF(T$1="","",COUNTIFS(tbl_chests[from],$A36,tbl_chests[legalized],T$1,tbl_chests[datetime],"&gt;="&amp;TODAY()-WEEKDAY(TODAY(),2)+1,tbl_chests[datetime],"&lt;"&amp;TODAY()-WEEKDAY(TODAY(),2)+8)))</f>
        <v>0</v>
      </c>
      <c r="U36" s="36">
        <f ca="1">IF($A36="","",IF(U$1="","",COUNTIFS(tbl_chests[from],$A36,tbl_chests[legalized],U$1,tbl_chests[datetime],"&gt;="&amp;TODAY()-WEEKDAY(TODAY(),2)+1,tbl_chests[datetime],"&lt;"&amp;TODAY()-WEEKDAY(TODAY(),2)+8)))</f>
        <v>0</v>
      </c>
      <c r="V36" s="36">
        <f ca="1">IF($A36="","",IF(V$1="","",COUNTIFS(tbl_chests[from],$A36,tbl_chests[legalized],V$1,tbl_chests[datetime],"&gt;="&amp;TODAY()-WEEKDAY(TODAY(),2)+1,tbl_chests[datetime],"&lt;"&amp;TODAY()-WEEKDAY(TODAY(),2)+8)))</f>
        <v>0</v>
      </c>
      <c r="W36" s="36">
        <f ca="1">IF($A36="","",IF(W$1="","",COUNTIFS(tbl_chests[from],$A36,tbl_chests[legalized],W$1,tbl_chests[datetime],"&gt;="&amp;TODAY()-WEEKDAY(TODAY(),2)+1,tbl_chests[datetime],"&lt;"&amp;TODAY()-WEEKDAY(TODAY(),2)+8)))</f>
        <v>0</v>
      </c>
      <c r="X36" s="36">
        <f ca="1">IF($A36="","",IF(X$1="","",COUNTIFS(tbl_chests[from],$A36,tbl_chests[legalized],X$1,tbl_chests[datetime],"&gt;="&amp;TODAY()-WEEKDAY(TODAY(),2)+1,tbl_chests[datetime],"&lt;"&amp;TODAY()-WEEKDAY(TODAY(),2)+8)))</f>
        <v>0</v>
      </c>
      <c r="Y36" s="36">
        <f ca="1">IF($A36="","",IF(Y$1="","",COUNTIFS(tbl_chests[from],$A36,tbl_chests[legalized],Y$1,tbl_chests[datetime],"&gt;="&amp;TODAY()-WEEKDAY(TODAY(),2)+1,tbl_chests[datetime],"&lt;"&amp;TODAY()-WEEKDAY(TODAY(),2)+8)))</f>
        <v>0</v>
      </c>
      <c r="Z36" s="36">
        <f ca="1">IF($A36="","",IF(Z$1="","",COUNTIFS(tbl_chests[from],$A36,tbl_chests[legalized],Z$1,tbl_chests[datetime],"&gt;="&amp;TODAY()-WEEKDAY(TODAY(),2)+1,tbl_chests[datetime],"&lt;"&amp;TODAY()-WEEKDAY(TODAY(),2)+8)))</f>
        <v>0</v>
      </c>
      <c r="AA36" s="36">
        <f ca="1">IF($A36="","",IF(AA$1="","",COUNTIFS(tbl_chests[from],$A36,tbl_chests[legalized],AA$1,tbl_chests[datetime],"&gt;="&amp;TODAY()-WEEKDAY(TODAY(),2)+1,tbl_chests[datetime],"&lt;"&amp;TODAY()-WEEKDAY(TODAY(),2)+8)))</f>
        <v>0</v>
      </c>
      <c r="AB36" s="36">
        <f ca="1">IF($A36="","",IF(AB$1="","",COUNTIFS(tbl_chests[from],$A36,tbl_chests[legalized],AB$1,tbl_chests[datetime],"&gt;="&amp;TODAY()-WEEKDAY(TODAY(),2)+1,tbl_chests[datetime],"&lt;"&amp;TODAY()-WEEKDAY(TODAY(),2)+8)))</f>
        <v>0</v>
      </c>
      <c r="AC36" s="36">
        <f ca="1">IF($A36="","",IF(AC$1="","",COUNTIFS(tbl_chests[from],$A36,tbl_chests[legalized],AC$1,tbl_chests[datetime],"&gt;="&amp;TODAY()-WEEKDAY(TODAY(),2)+1,tbl_chests[datetime],"&lt;"&amp;TODAY()-WEEKDAY(TODAY(),2)+8)))</f>
        <v>0</v>
      </c>
      <c r="AD36" s="36">
        <f ca="1">IF($A36="","",IF(AD$1="","",COUNTIFS(tbl_chests[from],$A36,tbl_chests[legalized],AD$1,tbl_chests[datetime],"&gt;="&amp;TODAY()-WEEKDAY(TODAY(),2)+1,tbl_chests[datetime],"&lt;"&amp;TODAY()-WEEKDAY(TODAY(),2)+8)))</f>
        <v>0</v>
      </c>
      <c r="AE36" s="36">
        <f ca="1">IF($A36="","",IF(AE$1="","",COUNTIFS(tbl_chests[from],$A36,tbl_chests[legalized],AE$1,tbl_chests[datetime],"&gt;="&amp;TODAY()-WEEKDAY(TODAY(),2)+1,tbl_chests[datetime],"&lt;"&amp;TODAY()-WEEKDAY(TODAY(),2)+8)))</f>
        <v>1</v>
      </c>
      <c r="AF36" s="36">
        <f ca="1">IF($A36="","",IF(AF$1="","",COUNTIFS(tbl_chests[from],$A36,tbl_chests[legalized],AF$1,tbl_chests[datetime],"&gt;="&amp;TODAY()-WEEKDAY(TODAY(),2)+1,tbl_chests[datetime],"&lt;"&amp;TODAY()-WEEKDAY(TODAY(),2)+8)))</f>
        <v>0</v>
      </c>
      <c r="AG36" s="36">
        <f ca="1">IF($A36="","",IF(AG$1="","",COUNTIFS(tbl_chests[from],$A36,tbl_chests[legalized],AG$1,tbl_chests[datetime],"&gt;="&amp;TODAY()-WEEKDAY(TODAY(),2)+1,tbl_chests[datetime],"&lt;"&amp;TODAY()-WEEKDAY(TODAY(),2)+8)))</f>
        <v>0</v>
      </c>
      <c r="AH36" s="36">
        <f ca="1">IF($A36="","",IF(AH$1="","",COUNTIFS(tbl_chests[from],$A36,tbl_chests[legalized],AH$1,tbl_chests[datetime],"&gt;="&amp;TODAY()-WEEKDAY(TODAY(),2)+1,tbl_chests[datetime],"&lt;"&amp;TODAY()-WEEKDAY(TODAY(),2)+8)))</f>
        <v>0</v>
      </c>
      <c r="AI36" s="36">
        <f ca="1">IF($A36="","",IF(AI$1="","",COUNTIFS(tbl_chests[from],$A36,tbl_chests[legalized],AI$1,tbl_chests[datetime],"&gt;="&amp;TODAY()-WEEKDAY(TODAY(),2)+1,tbl_chests[datetime],"&lt;"&amp;TODAY()-WEEKDAY(TODAY(),2)+8)))</f>
        <v>0</v>
      </c>
      <c r="AJ36" s="36">
        <f ca="1">IF($A36="","",IF(AJ$1="","",COUNTIFS(tbl_chests[from],$A36,tbl_chests[legalized],AJ$1,tbl_chests[datetime],"&gt;="&amp;TODAY()-WEEKDAY(TODAY(),2)+1,tbl_chests[datetime],"&lt;"&amp;TODAY()-WEEKDAY(TODAY(),2)+8)))</f>
        <v>0</v>
      </c>
      <c r="AK36" s="36">
        <f ca="1">IF($A36="","",IF(AK$1="","",COUNTIFS(tbl_chests[from],$A36,tbl_chests[legalized],AK$1,tbl_chests[datetime],"&gt;="&amp;TODAY()-WEEKDAY(TODAY(),2)+1,tbl_chests[datetime],"&lt;"&amp;TODAY()-WEEKDAY(TODAY(),2)+8)))</f>
        <v>0</v>
      </c>
      <c r="AL36" s="36">
        <f ca="1">IF($A36="","",IF(AL$1="","",COUNTIFS(tbl_chests[from],$A36,tbl_chests[legalized],AL$1,tbl_chests[datetime],"&gt;="&amp;TODAY()-WEEKDAY(TODAY(),2)+1,tbl_chests[datetime],"&lt;"&amp;TODAY()-WEEKDAY(TODAY(),2)+8)))</f>
        <v>0</v>
      </c>
      <c r="AM36" s="37">
        <f ca="1">IF($A36="","",IF(AM$1="","",COUNTIFS(tbl_chests[from],$A36,tbl_chests[legalized],AM$1,tbl_chests[datetime],"&gt;="&amp;TODAY()-WEEKDAY(TODAY(),2)+1,tbl_chests[datetime],"&lt;"&amp;TODAY()-WEEKDAY(TODAY(),2)+8)))</f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 t="str">
        <f>IF($A31 = "","",IF(BF$1 = "","",COUNTIFS(#REF!,$A31,#REF!,BF$1)))</f>
        <v/>
      </c>
      <c r="BG36" s="5" t="str">
        <f>IF($A31 = "","",IF(BG$1 = "","",COUNTIFS(#REF!,$A31,#REF!,BG$1)))</f>
        <v/>
      </c>
      <c r="BH36" s="5" t="str">
        <f>IF($A31 = "","",IF(BH$1 = "","",COUNTIFS(#REF!,$A31,#REF!,BH$1)))</f>
        <v/>
      </c>
      <c r="BI36" s="5" t="str">
        <f>IF($A31 = "","",IF(BI$1 = "","",COUNTIFS(#REF!,$A31,#REF!,BI$1)))</f>
        <v/>
      </c>
      <c r="BJ36" s="5" t="str">
        <f>IF($A31 = "","",IF(BJ$1 = "","",COUNTIFS(#REF!,$A31,#REF!,BJ$1)))</f>
        <v/>
      </c>
      <c r="BK36" s="5" t="str">
        <f>IF($A31 = "","",IF(BK$1 = "","",COUNTIFS(#REF!,$A31,#REF!,BK$1)))</f>
        <v/>
      </c>
      <c r="BL36" s="5" t="str">
        <f>IF($A31 = "","",IF(BL$1 = "","",COUNTIFS(#REF!,$A31,#REF!,BL$1)))</f>
        <v/>
      </c>
      <c r="BM36" s="5" t="str">
        <f>IF($A31 = "","",IF(BM$1 = "","",COUNTIFS(#REF!,$A31,#REF!,BM$1)))</f>
        <v/>
      </c>
      <c r="BN36" s="5" t="str">
        <f>IF($A31 = "","",IF(BN$1 = "","",COUNTIFS(#REF!,$A31,#REF!,BN$1)))</f>
        <v/>
      </c>
      <c r="BO36" s="5" t="str">
        <f>IF($A31 = "","",IF(BO$1 = "","",COUNTIFS(#REF!,$A31,#REF!,BO$1)))</f>
        <v/>
      </c>
    </row>
    <row r="37" spans="1:67" ht="15.75" customHeight="1" x14ac:dyDescent="0.25">
      <c r="A37" s="34" t="str">
        <f>chests_counter!$H34</f>
        <v>Jennifer</v>
      </c>
      <c r="B37" s="35" cm="1">
        <f t="array" aca="1" ref="B37" ca="1">IF(A37&lt;&gt;"", SUMPRODUCT(($C$2:$AM$2&lt;&gt;0)*(C37:AM37&lt;&gt;0)*($C$2:$AM$2)*(C37:AM37)), "")</f>
        <v>265</v>
      </c>
      <c r="C37" s="36">
        <f ca="1">IF($A37="","",IF(C$1="","",COUNTIFS(tbl_chests[from],$A37,tbl_chests[legalized],C$1,tbl_chests[datetime],"&gt;="&amp;TODAY()-WEEKDAY(TODAY(),2)+1,tbl_chests[datetime],"&lt;"&amp;TODAY()-WEEKDAY(TODAY(),2)+8)))</f>
        <v>0</v>
      </c>
      <c r="D37" s="36">
        <f ca="1">IF($A37="","",IF(D$1="","",COUNTIFS(tbl_chests[from],$A37,tbl_chests[legalized],D$1,tbl_chests[datetime],"&gt;="&amp;TODAY()-WEEKDAY(TODAY(),2)+1,tbl_chests[datetime],"&lt;"&amp;TODAY()-WEEKDAY(TODAY(),2)+8)))</f>
        <v>13</v>
      </c>
      <c r="E37" s="36">
        <f ca="1">IF($A37="","",IF(E$1="","",COUNTIFS(tbl_chests[from],$A37,tbl_chests[legalized],E$1,tbl_chests[datetime],"&gt;="&amp;TODAY()-WEEKDAY(TODAY(),2)+1,tbl_chests[datetime],"&lt;"&amp;TODAY()-WEEKDAY(TODAY(),2)+8)))</f>
        <v>0</v>
      </c>
      <c r="F37" s="36">
        <f ca="1">IF($A37="","",IF(F$1="","",COUNTIFS(tbl_chests[from],$A37,tbl_chests[legalized],F$1,tbl_chests[datetime],"&gt;="&amp;TODAY()-WEEKDAY(TODAY(),2)+1,tbl_chests[datetime],"&lt;"&amp;TODAY()-WEEKDAY(TODAY(),2)+8)))</f>
        <v>0</v>
      </c>
      <c r="G37" s="36">
        <f ca="1">IF($A37="","",IF(G$1="","",COUNTIFS(tbl_chests[from],$A37,tbl_chests[legalized],G$1,tbl_chests[datetime],"&gt;="&amp;TODAY()-WEEKDAY(TODAY(),2)+1,tbl_chests[datetime],"&lt;"&amp;TODAY()-WEEKDAY(TODAY(),2)+8)))</f>
        <v>0</v>
      </c>
      <c r="H37" s="36">
        <f ca="1">IF($A37="","",IF(H$1="","",COUNTIFS(tbl_chests[from],$A37,tbl_chests[legalized],H$1,tbl_chests[datetime],"&gt;="&amp;TODAY()-WEEKDAY(TODAY(),2)+1,tbl_chests[datetime],"&lt;"&amp;TODAY()-WEEKDAY(TODAY(),2)+8)))</f>
        <v>0</v>
      </c>
      <c r="I37" s="36">
        <f ca="1">IF($A37="","",IF(I$1="","",COUNTIFS(tbl_chests[from],$A37,tbl_chests[legalized],I$1,tbl_chests[datetime],"&gt;="&amp;TODAY()-WEEKDAY(TODAY(),2)+1,tbl_chests[datetime],"&lt;"&amp;TODAY()-WEEKDAY(TODAY(),2)+8)))</f>
        <v>0</v>
      </c>
      <c r="J37" s="36">
        <f ca="1">IF($A37="","",IF(J$1="","",COUNTIFS(tbl_chests[from],$A37,tbl_chests[legalized],J$1,tbl_chests[datetime],"&gt;="&amp;TODAY()-WEEKDAY(TODAY(),2)+1,tbl_chests[datetime],"&lt;"&amp;TODAY()-WEEKDAY(TODAY(),2)+8)))</f>
        <v>0</v>
      </c>
      <c r="K37" s="36">
        <f ca="1">IF($A37="","",IF(K$1="","",COUNTIFS(tbl_chests[from],$A37,tbl_chests[legalized],K$1,tbl_chests[datetime],"&gt;="&amp;TODAY()-WEEKDAY(TODAY(),2)+1,tbl_chests[datetime],"&lt;"&amp;TODAY()-WEEKDAY(TODAY(),2)+8)))</f>
        <v>0</v>
      </c>
      <c r="L37" s="36">
        <f ca="1">IF($A37="","",IF(L$1="","",COUNTIFS(tbl_chests[from],$A37,tbl_chests[legalized],L$1,tbl_chests[datetime],"&gt;="&amp;TODAY()-WEEKDAY(TODAY(),2)+1,tbl_chests[datetime],"&lt;"&amp;TODAY()-WEEKDAY(TODAY(),2)+8)))</f>
        <v>0</v>
      </c>
      <c r="M37" s="36">
        <f ca="1">IF($A37="","",IF(M$1="","",COUNTIFS(tbl_chests[from],$A37,tbl_chests[legalized],M$1,tbl_chests[datetime],"&gt;="&amp;TODAY()-WEEKDAY(TODAY(),2)+1,tbl_chests[datetime],"&lt;"&amp;TODAY()-WEEKDAY(TODAY(),2)+8)))</f>
        <v>0</v>
      </c>
      <c r="N37" s="36">
        <f ca="1">IF($A37="","",IF(N$1="","",COUNTIFS(tbl_chests[from],$A37,tbl_chests[legalized],N$1,tbl_chests[datetime],"&gt;="&amp;TODAY()-WEEKDAY(TODAY(),2)+1,tbl_chests[datetime],"&lt;"&amp;TODAY()-WEEKDAY(TODAY(),2)+8)))</f>
        <v>0</v>
      </c>
      <c r="O37" s="36">
        <f ca="1">IF($A37="","",IF(O$1="","",COUNTIFS(tbl_chests[from],$A37,tbl_chests[legalized],O$1,tbl_chests[datetime],"&gt;="&amp;TODAY()-WEEKDAY(TODAY(),2)+1,tbl_chests[datetime],"&lt;"&amp;TODAY()-WEEKDAY(TODAY(),2)+8)))</f>
        <v>0</v>
      </c>
      <c r="P37" s="36">
        <f ca="1">IF($A37="","",IF(P$1="","",COUNTIFS(tbl_chests[from],$A37,tbl_chests[legalized],P$1,tbl_chests[datetime],"&gt;="&amp;TODAY()-WEEKDAY(TODAY(),2)+1,tbl_chests[datetime],"&lt;"&amp;TODAY()-WEEKDAY(TODAY(),2)+8)))</f>
        <v>0</v>
      </c>
      <c r="Q37" s="36">
        <f ca="1">IF($A37="","",IF(Q$1="","",COUNTIFS(tbl_chests[from],$A37,tbl_chests[legalized],Q$1,tbl_chests[datetime],"&gt;="&amp;TODAY()-WEEKDAY(TODAY(),2)+1,tbl_chests[datetime],"&lt;"&amp;TODAY()-WEEKDAY(TODAY(),2)+8)))</f>
        <v>0</v>
      </c>
      <c r="R37" s="36">
        <f ca="1">IF($A37="","",IF(R$1="","",COUNTIFS(tbl_chests[from],$A37,tbl_chests[legalized],R$1,tbl_chests[datetime],"&gt;="&amp;TODAY()-WEEKDAY(TODAY(),2)+1,tbl_chests[datetime],"&lt;"&amp;TODAY()-WEEKDAY(TODAY(),2)+8)))</f>
        <v>0</v>
      </c>
      <c r="S37" s="36">
        <f ca="1">IF($A37="","",IF(S$1="","",COUNTIFS(tbl_chests[from],$A37,tbl_chests[legalized],S$1,tbl_chests[datetime],"&gt;="&amp;TODAY()-WEEKDAY(TODAY(),2)+1,tbl_chests[datetime],"&lt;"&amp;TODAY()-WEEKDAY(TODAY(),2)+8)))</f>
        <v>0</v>
      </c>
      <c r="T37" s="36">
        <f ca="1">IF($A37="","",IF(T$1="","",COUNTIFS(tbl_chests[from],$A37,tbl_chests[legalized],T$1,tbl_chests[datetime],"&gt;="&amp;TODAY()-WEEKDAY(TODAY(),2)+1,tbl_chests[datetime],"&lt;"&amp;TODAY()-WEEKDAY(TODAY(),2)+8)))</f>
        <v>0</v>
      </c>
      <c r="U37" s="36">
        <f ca="1">IF($A37="","",IF(U$1="","",COUNTIFS(tbl_chests[from],$A37,tbl_chests[legalized],U$1,tbl_chests[datetime],"&gt;="&amp;TODAY()-WEEKDAY(TODAY(),2)+1,tbl_chests[datetime],"&lt;"&amp;TODAY()-WEEKDAY(TODAY(),2)+8)))</f>
        <v>0</v>
      </c>
      <c r="V37" s="36">
        <f ca="1">IF($A37="","",IF(V$1="","",COUNTIFS(tbl_chests[from],$A37,tbl_chests[legalized],V$1,tbl_chests[datetime],"&gt;="&amp;TODAY()-WEEKDAY(TODAY(),2)+1,tbl_chests[datetime],"&lt;"&amp;TODAY()-WEEKDAY(TODAY(),2)+8)))</f>
        <v>0</v>
      </c>
      <c r="W37" s="36">
        <f ca="1">IF($A37="","",IF(W$1="","",COUNTIFS(tbl_chests[from],$A37,tbl_chests[legalized],W$1,tbl_chests[datetime],"&gt;="&amp;TODAY()-WEEKDAY(TODAY(),2)+1,tbl_chests[datetime],"&lt;"&amp;TODAY()-WEEKDAY(TODAY(),2)+8)))</f>
        <v>0</v>
      </c>
      <c r="X37" s="36">
        <f ca="1">IF($A37="","",IF(X$1="","",COUNTIFS(tbl_chests[from],$A37,tbl_chests[legalized],X$1,tbl_chests[datetime],"&gt;="&amp;TODAY()-WEEKDAY(TODAY(),2)+1,tbl_chests[datetime],"&lt;"&amp;TODAY()-WEEKDAY(TODAY(),2)+8)))</f>
        <v>0</v>
      </c>
      <c r="Y37" s="36">
        <f ca="1">IF($A37="","",IF(Y$1="","",COUNTIFS(tbl_chests[from],$A37,tbl_chests[legalized],Y$1,tbl_chests[datetime],"&gt;="&amp;TODAY()-WEEKDAY(TODAY(),2)+1,tbl_chests[datetime],"&lt;"&amp;TODAY()-WEEKDAY(TODAY(),2)+8)))</f>
        <v>0</v>
      </c>
      <c r="Z37" s="36">
        <f ca="1">IF($A37="","",IF(Z$1="","",COUNTIFS(tbl_chests[from],$A37,tbl_chests[legalized],Z$1,tbl_chests[datetime],"&gt;="&amp;TODAY()-WEEKDAY(TODAY(),2)+1,tbl_chests[datetime],"&lt;"&amp;TODAY()-WEEKDAY(TODAY(),2)+8)))</f>
        <v>0</v>
      </c>
      <c r="AA37" s="36">
        <f ca="1">IF($A37="","",IF(AA$1="","",COUNTIFS(tbl_chests[from],$A37,tbl_chests[legalized],AA$1,tbl_chests[datetime],"&gt;="&amp;TODAY()-WEEKDAY(TODAY(),2)+1,tbl_chests[datetime],"&lt;"&amp;TODAY()-WEEKDAY(TODAY(),2)+8)))</f>
        <v>0</v>
      </c>
      <c r="AB37" s="36">
        <f ca="1">IF($A37="","",IF(AB$1="","",COUNTIFS(tbl_chests[from],$A37,tbl_chests[legalized],AB$1,tbl_chests[datetime],"&gt;="&amp;TODAY()-WEEKDAY(TODAY(),2)+1,tbl_chests[datetime],"&lt;"&amp;TODAY()-WEEKDAY(TODAY(),2)+8)))</f>
        <v>0</v>
      </c>
      <c r="AC37" s="36">
        <f ca="1">IF($A37="","",IF(AC$1="","",COUNTIFS(tbl_chests[from],$A37,tbl_chests[legalized],AC$1,tbl_chests[datetime],"&gt;="&amp;TODAY()-WEEKDAY(TODAY(),2)+1,tbl_chests[datetime],"&lt;"&amp;TODAY()-WEEKDAY(TODAY(),2)+8)))</f>
        <v>0</v>
      </c>
      <c r="AD37" s="36">
        <f ca="1">IF($A37="","",IF(AD$1="","",COUNTIFS(tbl_chests[from],$A37,tbl_chests[legalized],AD$1,tbl_chests[datetime],"&gt;="&amp;TODAY()-WEEKDAY(TODAY(),2)+1,tbl_chests[datetime],"&lt;"&amp;TODAY()-WEEKDAY(TODAY(),2)+8)))</f>
        <v>0</v>
      </c>
      <c r="AE37" s="36">
        <f ca="1">IF($A37="","",IF(AE$1="","",COUNTIFS(tbl_chests[from],$A37,tbl_chests[legalized],AE$1,tbl_chests[datetime],"&gt;="&amp;TODAY()-WEEKDAY(TODAY(),2)+1,tbl_chests[datetime],"&lt;"&amp;TODAY()-WEEKDAY(TODAY(),2)+8)))</f>
        <v>1</v>
      </c>
      <c r="AF37" s="36">
        <f ca="1">IF($A37="","",IF(AF$1="","",COUNTIFS(tbl_chests[from],$A37,tbl_chests[legalized],AF$1,tbl_chests[datetime],"&gt;="&amp;TODAY()-WEEKDAY(TODAY(),2)+1,tbl_chests[datetime],"&lt;"&amp;TODAY()-WEEKDAY(TODAY(),2)+8)))</f>
        <v>0</v>
      </c>
      <c r="AG37" s="36">
        <f ca="1">IF($A37="","",IF(AG$1="","",COUNTIFS(tbl_chests[from],$A37,tbl_chests[legalized],AG$1,tbl_chests[datetime],"&gt;="&amp;TODAY()-WEEKDAY(TODAY(),2)+1,tbl_chests[datetime],"&lt;"&amp;TODAY()-WEEKDAY(TODAY(),2)+8)))</f>
        <v>0</v>
      </c>
      <c r="AH37" s="36">
        <f ca="1">IF($A37="","",IF(AH$1="","",COUNTIFS(tbl_chests[from],$A37,tbl_chests[legalized],AH$1,tbl_chests[datetime],"&gt;="&amp;TODAY()-WEEKDAY(TODAY(),2)+1,tbl_chests[datetime],"&lt;"&amp;TODAY()-WEEKDAY(TODAY(),2)+8)))</f>
        <v>0</v>
      </c>
      <c r="AI37" s="36">
        <f ca="1">IF($A37="","",IF(AI$1="","",COUNTIFS(tbl_chests[from],$A37,tbl_chests[legalized],AI$1,tbl_chests[datetime],"&gt;="&amp;TODAY()-WEEKDAY(TODAY(),2)+1,tbl_chests[datetime],"&lt;"&amp;TODAY()-WEEKDAY(TODAY(),2)+8)))</f>
        <v>0</v>
      </c>
      <c r="AJ37" s="36">
        <f ca="1">IF($A37="","",IF(AJ$1="","",COUNTIFS(tbl_chests[from],$A37,tbl_chests[legalized],AJ$1,tbl_chests[datetime],"&gt;="&amp;TODAY()-WEEKDAY(TODAY(),2)+1,tbl_chests[datetime],"&lt;"&amp;TODAY()-WEEKDAY(TODAY(),2)+8)))</f>
        <v>0</v>
      </c>
      <c r="AK37" s="36">
        <f ca="1">IF($A37="","",IF(AK$1="","",COUNTIFS(tbl_chests[from],$A37,tbl_chests[legalized],AK$1,tbl_chests[datetime],"&gt;="&amp;TODAY()-WEEKDAY(TODAY(),2)+1,tbl_chests[datetime],"&lt;"&amp;TODAY()-WEEKDAY(TODAY(),2)+8)))</f>
        <v>0</v>
      </c>
      <c r="AL37" s="36">
        <f ca="1">IF($A37="","",IF(AL$1="","",COUNTIFS(tbl_chests[from],$A37,tbl_chests[legalized],AL$1,tbl_chests[datetime],"&gt;="&amp;TODAY()-WEEKDAY(TODAY(),2)+1,tbl_chests[datetime],"&lt;"&amp;TODAY()-WEEKDAY(TODAY(),2)+8)))</f>
        <v>0</v>
      </c>
      <c r="AM37" s="37">
        <f ca="1">IF($A37="","",IF(AM$1="","",COUNTIFS(tbl_chests[from],$A37,tbl_chests[legalized],AM$1,tbl_chests[datetime],"&gt;="&amp;TODAY()-WEEKDAY(TODAY(),2)+1,tbl_chests[datetime],"&lt;"&amp;TODAY()-WEEKDAY(TODAY(),2)+8)))</f>
        <v>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 ht="15.75" customHeight="1" x14ac:dyDescent="0.25">
      <c r="A38" s="34" t="str">
        <f>chests_counter!$H35</f>
        <v>Kaachou</v>
      </c>
      <c r="B38" s="35" cm="1">
        <f t="array" aca="1" ref="B38" ca="1">IF(A38&lt;&gt;"", SUMPRODUCT(($C$2:$AM$2&lt;&gt;0)*(C38:AM38&lt;&gt;0)*($C$2:$AM$2)*(C38:AM38)), "")</f>
        <v>180</v>
      </c>
      <c r="C38" s="36">
        <f ca="1">IF($A38="","",IF(C$1="","",COUNTIFS(tbl_chests[from],$A38,tbl_chests[legalized],C$1,tbl_chests[datetime],"&gt;="&amp;TODAY()-WEEKDAY(TODAY(),2)+1,tbl_chests[datetime],"&lt;"&amp;TODAY()-WEEKDAY(TODAY(),2)+8)))</f>
        <v>0</v>
      </c>
      <c r="D38" s="36">
        <f ca="1">IF($A38="","",IF(D$1="","",COUNTIFS(tbl_chests[from],$A38,tbl_chests[legalized],D$1,tbl_chests[datetime],"&gt;="&amp;TODAY()-WEEKDAY(TODAY(),2)+1,tbl_chests[datetime],"&lt;"&amp;TODAY()-WEEKDAY(TODAY(),2)+8)))</f>
        <v>3</v>
      </c>
      <c r="E38" s="36">
        <f ca="1">IF($A38="","",IF(E$1="","",COUNTIFS(tbl_chests[from],$A38,tbl_chests[legalized],E$1,tbl_chests[datetime],"&gt;="&amp;TODAY()-WEEKDAY(TODAY(),2)+1,tbl_chests[datetime],"&lt;"&amp;TODAY()-WEEKDAY(TODAY(),2)+8)))</f>
        <v>0</v>
      </c>
      <c r="F38" s="36">
        <f ca="1">IF($A38="","",IF(F$1="","",COUNTIFS(tbl_chests[from],$A38,tbl_chests[legalized],F$1,tbl_chests[datetime],"&gt;="&amp;TODAY()-WEEKDAY(TODAY(),2)+1,tbl_chests[datetime],"&lt;"&amp;TODAY()-WEEKDAY(TODAY(),2)+8)))</f>
        <v>0</v>
      </c>
      <c r="G38" s="36">
        <f ca="1">IF($A38="","",IF(G$1="","",COUNTIFS(tbl_chests[from],$A38,tbl_chests[legalized],G$1,tbl_chests[datetime],"&gt;="&amp;TODAY()-WEEKDAY(TODAY(),2)+1,tbl_chests[datetime],"&lt;"&amp;TODAY()-WEEKDAY(TODAY(),2)+8)))</f>
        <v>0</v>
      </c>
      <c r="H38" s="36">
        <f ca="1">IF($A38="","",IF(H$1="","",COUNTIFS(tbl_chests[from],$A38,tbl_chests[legalized],H$1,tbl_chests[datetime],"&gt;="&amp;TODAY()-WEEKDAY(TODAY(),2)+1,tbl_chests[datetime],"&lt;"&amp;TODAY()-WEEKDAY(TODAY(),2)+8)))</f>
        <v>0</v>
      </c>
      <c r="I38" s="36">
        <f ca="1">IF($A38="","",IF(I$1="","",COUNTIFS(tbl_chests[from],$A38,tbl_chests[legalized],I$1,tbl_chests[datetime],"&gt;="&amp;TODAY()-WEEKDAY(TODAY(),2)+1,tbl_chests[datetime],"&lt;"&amp;TODAY()-WEEKDAY(TODAY(),2)+8)))</f>
        <v>0</v>
      </c>
      <c r="J38" s="36">
        <f ca="1">IF($A38="","",IF(J$1="","",COUNTIFS(tbl_chests[from],$A38,tbl_chests[legalized],J$1,tbl_chests[datetime],"&gt;="&amp;TODAY()-WEEKDAY(TODAY(),2)+1,tbl_chests[datetime],"&lt;"&amp;TODAY()-WEEKDAY(TODAY(),2)+8)))</f>
        <v>0</v>
      </c>
      <c r="K38" s="36">
        <f ca="1">IF($A38="","",IF(K$1="","",COUNTIFS(tbl_chests[from],$A38,tbl_chests[legalized],K$1,tbl_chests[datetime],"&gt;="&amp;TODAY()-WEEKDAY(TODAY(),2)+1,tbl_chests[datetime],"&lt;"&amp;TODAY()-WEEKDAY(TODAY(),2)+8)))</f>
        <v>0</v>
      </c>
      <c r="L38" s="36">
        <f ca="1">IF($A38="","",IF(L$1="","",COUNTIFS(tbl_chests[from],$A38,tbl_chests[legalized],L$1,tbl_chests[datetime],"&gt;="&amp;TODAY()-WEEKDAY(TODAY(),2)+1,tbl_chests[datetime],"&lt;"&amp;TODAY()-WEEKDAY(TODAY(),2)+8)))</f>
        <v>0</v>
      </c>
      <c r="M38" s="36">
        <f ca="1">IF($A38="","",IF(M$1="","",COUNTIFS(tbl_chests[from],$A38,tbl_chests[legalized],M$1,tbl_chests[datetime],"&gt;="&amp;TODAY()-WEEKDAY(TODAY(),2)+1,tbl_chests[datetime],"&lt;"&amp;TODAY()-WEEKDAY(TODAY(),2)+8)))</f>
        <v>0</v>
      </c>
      <c r="N38" s="36">
        <f ca="1">IF($A38="","",IF(N$1="","",COUNTIFS(tbl_chests[from],$A38,tbl_chests[legalized],N$1,tbl_chests[datetime],"&gt;="&amp;TODAY()-WEEKDAY(TODAY(),2)+1,tbl_chests[datetime],"&lt;"&amp;TODAY()-WEEKDAY(TODAY(),2)+8)))</f>
        <v>0</v>
      </c>
      <c r="O38" s="36">
        <f ca="1">IF($A38="","",IF(O$1="","",COUNTIFS(tbl_chests[from],$A38,tbl_chests[legalized],O$1,tbl_chests[datetime],"&gt;="&amp;TODAY()-WEEKDAY(TODAY(),2)+1,tbl_chests[datetime],"&lt;"&amp;TODAY()-WEEKDAY(TODAY(),2)+8)))</f>
        <v>0</v>
      </c>
      <c r="P38" s="36">
        <f ca="1">IF($A38="","",IF(P$1="","",COUNTIFS(tbl_chests[from],$A38,tbl_chests[legalized],P$1,tbl_chests[datetime],"&gt;="&amp;TODAY()-WEEKDAY(TODAY(),2)+1,tbl_chests[datetime],"&lt;"&amp;TODAY()-WEEKDAY(TODAY(),2)+8)))</f>
        <v>0</v>
      </c>
      <c r="Q38" s="36">
        <f ca="1">IF($A38="","",IF(Q$1="","",COUNTIFS(tbl_chests[from],$A38,tbl_chests[legalized],Q$1,tbl_chests[datetime],"&gt;="&amp;TODAY()-WEEKDAY(TODAY(),2)+1,tbl_chests[datetime],"&lt;"&amp;TODAY()-WEEKDAY(TODAY(),2)+8)))</f>
        <v>0</v>
      </c>
      <c r="R38" s="36">
        <f ca="1">IF($A38="","",IF(R$1="","",COUNTIFS(tbl_chests[from],$A38,tbl_chests[legalized],R$1,tbl_chests[datetime],"&gt;="&amp;TODAY()-WEEKDAY(TODAY(),2)+1,tbl_chests[datetime],"&lt;"&amp;TODAY()-WEEKDAY(TODAY(),2)+8)))</f>
        <v>0</v>
      </c>
      <c r="S38" s="36">
        <f ca="1">IF($A38="","",IF(S$1="","",COUNTIFS(tbl_chests[from],$A38,tbl_chests[legalized],S$1,tbl_chests[datetime],"&gt;="&amp;TODAY()-WEEKDAY(TODAY(),2)+1,tbl_chests[datetime],"&lt;"&amp;TODAY()-WEEKDAY(TODAY(),2)+8)))</f>
        <v>0</v>
      </c>
      <c r="T38" s="36">
        <f ca="1">IF($A38="","",IF(T$1="","",COUNTIFS(tbl_chests[from],$A38,tbl_chests[legalized],T$1,tbl_chests[datetime],"&gt;="&amp;TODAY()-WEEKDAY(TODAY(),2)+1,tbl_chests[datetime],"&lt;"&amp;TODAY()-WEEKDAY(TODAY(),2)+8)))</f>
        <v>0</v>
      </c>
      <c r="U38" s="36">
        <f ca="1">IF($A38="","",IF(U$1="","",COUNTIFS(tbl_chests[from],$A38,tbl_chests[legalized],U$1,tbl_chests[datetime],"&gt;="&amp;TODAY()-WEEKDAY(TODAY(),2)+1,tbl_chests[datetime],"&lt;"&amp;TODAY()-WEEKDAY(TODAY(),2)+8)))</f>
        <v>0</v>
      </c>
      <c r="V38" s="36">
        <f ca="1">IF($A38="","",IF(V$1="","",COUNTIFS(tbl_chests[from],$A38,tbl_chests[legalized],V$1,tbl_chests[datetime],"&gt;="&amp;TODAY()-WEEKDAY(TODAY(),2)+1,tbl_chests[datetime],"&lt;"&amp;TODAY()-WEEKDAY(TODAY(),2)+8)))</f>
        <v>0</v>
      </c>
      <c r="W38" s="36">
        <f ca="1">IF($A38="","",IF(W$1="","",COUNTIFS(tbl_chests[from],$A38,tbl_chests[legalized],W$1,tbl_chests[datetime],"&gt;="&amp;TODAY()-WEEKDAY(TODAY(),2)+1,tbl_chests[datetime],"&lt;"&amp;TODAY()-WEEKDAY(TODAY(),2)+8)))</f>
        <v>0</v>
      </c>
      <c r="X38" s="36">
        <f ca="1">IF($A38="","",IF(X$1="","",COUNTIFS(tbl_chests[from],$A38,tbl_chests[legalized],X$1,tbl_chests[datetime],"&gt;="&amp;TODAY()-WEEKDAY(TODAY(),2)+1,tbl_chests[datetime],"&lt;"&amp;TODAY()-WEEKDAY(TODAY(),2)+8)))</f>
        <v>0</v>
      </c>
      <c r="Y38" s="36">
        <f ca="1">IF($A38="","",IF(Y$1="","",COUNTIFS(tbl_chests[from],$A38,tbl_chests[legalized],Y$1,tbl_chests[datetime],"&gt;="&amp;TODAY()-WEEKDAY(TODAY(),2)+1,tbl_chests[datetime],"&lt;"&amp;TODAY()-WEEKDAY(TODAY(),2)+8)))</f>
        <v>0</v>
      </c>
      <c r="Z38" s="36">
        <f ca="1">IF($A38="","",IF(Z$1="","",COUNTIFS(tbl_chests[from],$A38,tbl_chests[legalized],Z$1,tbl_chests[datetime],"&gt;="&amp;TODAY()-WEEKDAY(TODAY(),2)+1,tbl_chests[datetime],"&lt;"&amp;TODAY()-WEEKDAY(TODAY(),2)+8)))</f>
        <v>0</v>
      </c>
      <c r="AA38" s="36">
        <f ca="1">IF($A38="","",IF(AA$1="","",COUNTIFS(tbl_chests[from],$A38,tbl_chests[legalized],AA$1,tbl_chests[datetime],"&gt;="&amp;TODAY()-WEEKDAY(TODAY(),2)+1,tbl_chests[datetime],"&lt;"&amp;TODAY()-WEEKDAY(TODAY(),2)+8)))</f>
        <v>3</v>
      </c>
      <c r="AB38" s="36">
        <f ca="1">IF($A38="","",IF(AB$1="","",COUNTIFS(tbl_chests[from],$A38,tbl_chests[legalized],AB$1,tbl_chests[datetime],"&gt;="&amp;TODAY()-WEEKDAY(TODAY(),2)+1,tbl_chests[datetime],"&lt;"&amp;TODAY()-WEEKDAY(TODAY(),2)+8)))</f>
        <v>0</v>
      </c>
      <c r="AC38" s="36">
        <f ca="1">IF($A38="","",IF(AC$1="","",COUNTIFS(tbl_chests[from],$A38,tbl_chests[legalized],AC$1,tbl_chests[datetime],"&gt;="&amp;TODAY()-WEEKDAY(TODAY(),2)+1,tbl_chests[datetime],"&lt;"&amp;TODAY()-WEEKDAY(TODAY(),2)+8)))</f>
        <v>0</v>
      </c>
      <c r="AD38" s="36">
        <f ca="1">IF($A38="","",IF(AD$1="","",COUNTIFS(tbl_chests[from],$A38,tbl_chests[legalized],AD$1,tbl_chests[datetime],"&gt;="&amp;TODAY()-WEEKDAY(TODAY(),2)+1,tbl_chests[datetime],"&lt;"&amp;TODAY()-WEEKDAY(TODAY(),2)+8)))</f>
        <v>0</v>
      </c>
      <c r="AE38" s="36">
        <f ca="1">IF($A38="","",IF(AE$1="","",COUNTIFS(tbl_chests[from],$A38,tbl_chests[legalized],AE$1,tbl_chests[datetime],"&gt;="&amp;TODAY()-WEEKDAY(TODAY(),2)+1,tbl_chests[datetime],"&lt;"&amp;TODAY()-WEEKDAY(TODAY(),2)+8)))</f>
        <v>0</v>
      </c>
      <c r="AF38" s="36">
        <f ca="1">IF($A38="","",IF(AF$1="","",COUNTIFS(tbl_chests[from],$A38,tbl_chests[legalized],AF$1,tbl_chests[datetime],"&gt;="&amp;TODAY()-WEEKDAY(TODAY(),2)+1,tbl_chests[datetime],"&lt;"&amp;TODAY()-WEEKDAY(TODAY(),2)+8)))</f>
        <v>0</v>
      </c>
      <c r="AG38" s="36">
        <f ca="1">IF($A38="","",IF(AG$1="","",COUNTIFS(tbl_chests[from],$A38,tbl_chests[legalized],AG$1,tbl_chests[datetime],"&gt;="&amp;TODAY()-WEEKDAY(TODAY(),2)+1,tbl_chests[datetime],"&lt;"&amp;TODAY()-WEEKDAY(TODAY(),2)+8)))</f>
        <v>0</v>
      </c>
      <c r="AH38" s="36">
        <f ca="1">IF($A38="","",IF(AH$1="","",COUNTIFS(tbl_chests[from],$A38,tbl_chests[legalized],AH$1,tbl_chests[datetime],"&gt;="&amp;TODAY()-WEEKDAY(TODAY(),2)+1,tbl_chests[datetime],"&lt;"&amp;TODAY()-WEEKDAY(TODAY(),2)+8)))</f>
        <v>0</v>
      </c>
      <c r="AI38" s="36">
        <f ca="1">IF($A38="","",IF(AI$1="","",COUNTIFS(tbl_chests[from],$A38,tbl_chests[legalized],AI$1,tbl_chests[datetime],"&gt;="&amp;TODAY()-WEEKDAY(TODAY(),2)+1,tbl_chests[datetime],"&lt;"&amp;TODAY()-WEEKDAY(TODAY(),2)+8)))</f>
        <v>0</v>
      </c>
      <c r="AJ38" s="36">
        <f ca="1">IF($A38="","",IF(AJ$1="","",COUNTIFS(tbl_chests[from],$A38,tbl_chests[legalized],AJ$1,tbl_chests[datetime],"&gt;="&amp;TODAY()-WEEKDAY(TODAY(),2)+1,tbl_chests[datetime],"&lt;"&amp;TODAY()-WEEKDAY(TODAY(),2)+8)))</f>
        <v>0</v>
      </c>
      <c r="AK38" s="36">
        <f ca="1">IF($A38="","",IF(AK$1="","",COUNTIFS(tbl_chests[from],$A38,tbl_chests[legalized],AK$1,tbl_chests[datetime],"&gt;="&amp;TODAY()-WEEKDAY(TODAY(),2)+1,tbl_chests[datetime],"&lt;"&amp;TODAY()-WEEKDAY(TODAY(),2)+8)))</f>
        <v>0</v>
      </c>
      <c r="AL38" s="36">
        <f ca="1">IF($A38="","",IF(AL$1="","",COUNTIFS(tbl_chests[from],$A38,tbl_chests[legalized],AL$1,tbl_chests[datetime],"&gt;="&amp;TODAY()-WEEKDAY(TODAY(),2)+1,tbl_chests[datetime],"&lt;"&amp;TODAY()-WEEKDAY(TODAY(),2)+8)))</f>
        <v>0</v>
      </c>
      <c r="AM38" s="37">
        <f ca="1">IF($A38="","",IF(AM$1="","",COUNTIFS(tbl_chests[from],$A38,tbl_chests[legalized],AM$1,tbl_chests[datetime],"&gt;="&amp;TODAY()-WEEKDAY(TODAY(),2)+1,tbl_chests[datetime],"&lt;"&amp;TODAY()-WEEKDAY(TODAY(),2)+8)))</f>
        <v>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 ht="15.75" customHeight="1" x14ac:dyDescent="0.25">
      <c r="A39" s="34" t="str">
        <f>chests_counter!$H36</f>
        <v>Kathrilis</v>
      </c>
      <c r="B39" s="35" cm="1">
        <f t="array" aca="1" ref="B39" ca="1">IF(A39&lt;&gt;"", SUMPRODUCT(($C$2:$AM$2&lt;&gt;0)*(C39:AM39&lt;&gt;0)*($C$2:$AM$2)*(C39:AM39)), "")</f>
        <v>0</v>
      </c>
      <c r="C39" s="36">
        <f ca="1">IF($A39="","",IF(C$1="","",COUNTIFS(tbl_chests[from],$A39,tbl_chests[legalized],C$1,tbl_chests[datetime],"&gt;="&amp;TODAY()-WEEKDAY(TODAY(),2)+1,tbl_chests[datetime],"&lt;"&amp;TODAY()-WEEKDAY(TODAY(),2)+8)))</f>
        <v>0</v>
      </c>
      <c r="D39" s="36">
        <f ca="1">IF($A39="","",IF(D$1="","",COUNTIFS(tbl_chests[from],$A39,tbl_chests[legalized],D$1,tbl_chests[datetime],"&gt;="&amp;TODAY()-WEEKDAY(TODAY(),2)+1,tbl_chests[datetime],"&lt;"&amp;TODAY()-WEEKDAY(TODAY(),2)+8)))</f>
        <v>0</v>
      </c>
      <c r="E39" s="36">
        <f ca="1">IF($A39="","",IF(E$1="","",COUNTIFS(tbl_chests[from],$A39,tbl_chests[legalized],E$1,tbl_chests[datetime],"&gt;="&amp;TODAY()-WEEKDAY(TODAY(),2)+1,tbl_chests[datetime],"&lt;"&amp;TODAY()-WEEKDAY(TODAY(),2)+8)))</f>
        <v>0</v>
      </c>
      <c r="F39" s="36">
        <f ca="1">IF($A39="","",IF(F$1="","",COUNTIFS(tbl_chests[from],$A39,tbl_chests[legalized],F$1,tbl_chests[datetime],"&gt;="&amp;TODAY()-WEEKDAY(TODAY(),2)+1,tbl_chests[datetime],"&lt;"&amp;TODAY()-WEEKDAY(TODAY(),2)+8)))</f>
        <v>0</v>
      </c>
      <c r="G39" s="36">
        <f ca="1">IF($A39="","",IF(G$1="","",COUNTIFS(tbl_chests[from],$A39,tbl_chests[legalized],G$1,tbl_chests[datetime],"&gt;="&amp;TODAY()-WEEKDAY(TODAY(),2)+1,tbl_chests[datetime],"&lt;"&amp;TODAY()-WEEKDAY(TODAY(),2)+8)))</f>
        <v>0</v>
      </c>
      <c r="H39" s="36">
        <f ca="1">IF($A39="","",IF(H$1="","",COUNTIFS(tbl_chests[from],$A39,tbl_chests[legalized],H$1,tbl_chests[datetime],"&gt;="&amp;TODAY()-WEEKDAY(TODAY(),2)+1,tbl_chests[datetime],"&lt;"&amp;TODAY()-WEEKDAY(TODAY(),2)+8)))</f>
        <v>0</v>
      </c>
      <c r="I39" s="36">
        <f ca="1">IF($A39="","",IF(I$1="","",COUNTIFS(tbl_chests[from],$A39,tbl_chests[legalized],I$1,tbl_chests[datetime],"&gt;="&amp;TODAY()-WEEKDAY(TODAY(),2)+1,tbl_chests[datetime],"&lt;"&amp;TODAY()-WEEKDAY(TODAY(),2)+8)))</f>
        <v>0</v>
      </c>
      <c r="J39" s="36">
        <f ca="1">IF($A39="","",IF(J$1="","",COUNTIFS(tbl_chests[from],$A39,tbl_chests[legalized],J$1,tbl_chests[datetime],"&gt;="&amp;TODAY()-WEEKDAY(TODAY(),2)+1,tbl_chests[datetime],"&lt;"&amp;TODAY()-WEEKDAY(TODAY(),2)+8)))</f>
        <v>0</v>
      </c>
      <c r="K39" s="36">
        <f ca="1">IF($A39="","",IF(K$1="","",COUNTIFS(tbl_chests[from],$A39,tbl_chests[legalized],K$1,tbl_chests[datetime],"&gt;="&amp;TODAY()-WEEKDAY(TODAY(),2)+1,tbl_chests[datetime],"&lt;"&amp;TODAY()-WEEKDAY(TODAY(),2)+8)))</f>
        <v>0</v>
      </c>
      <c r="L39" s="36">
        <f ca="1">IF($A39="","",IF(L$1="","",COUNTIFS(tbl_chests[from],$A39,tbl_chests[legalized],L$1,tbl_chests[datetime],"&gt;="&amp;TODAY()-WEEKDAY(TODAY(),2)+1,tbl_chests[datetime],"&lt;"&amp;TODAY()-WEEKDAY(TODAY(),2)+8)))</f>
        <v>0</v>
      </c>
      <c r="M39" s="36">
        <f ca="1">IF($A39="","",IF(M$1="","",COUNTIFS(tbl_chests[from],$A39,tbl_chests[legalized],M$1,tbl_chests[datetime],"&gt;="&amp;TODAY()-WEEKDAY(TODAY(),2)+1,tbl_chests[datetime],"&lt;"&amp;TODAY()-WEEKDAY(TODAY(),2)+8)))</f>
        <v>0</v>
      </c>
      <c r="N39" s="36">
        <f ca="1">IF($A39="","",IF(N$1="","",COUNTIFS(tbl_chests[from],$A39,tbl_chests[legalized],N$1,tbl_chests[datetime],"&gt;="&amp;TODAY()-WEEKDAY(TODAY(),2)+1,tbl_chests[datetime],"&lt;"&amp;TODAY()-WEEKDAY(TODAY(),2)+8)))</f>
        <v>0</v>
      </c>
      <c r="O39" s="36">
        <f ca="1">IF($A39="","",IF(O$1="","",COUNTIFS(tbl_chests[from],$A39,tbl_chests[legalized],O$1,tbl_chests[datetime],"&gt;="&amp;TODAY()-WEEKDAY(TODAY(),2)+1,tbl_chests[datetime],"&lt;"&amp;TODAY()-WEEKDAY(TODAY(),2)+8)))</f>
        <v>0</v>
      </c>
      <c r="P39" s="36">
        <f ca="1">IF($A39="","",IF(P$1="","",COUNTIFS(tbl_chests[from],$A39,tbl_chests[legalized],P$1,tbl_chests[datetime],"&gt;="&amp;TODAY()-WEEKDAY(TODAY(),2)+1,tbl_chests[datetime],"&lt;"&amp;TODAY()-WEEKDAY(TODAY(),2)+8)))</f>
        <v>0</v>
      </c>
      <c r="Q39" s="36">
        <f ca="1">IF($A39="","",IF(Q$1="","",COUNTIFS(tbl_chests[from],$A39,tbl_chests[legalized],Q$1,tbl_chests[datetime],"&gt;="&amp;TODAY()-WEEKDAY(TODAY(),2)+1,tbl_chests[datetime],"&lt;"&amp;TODAY()-WEEKDAY(TODAY(),2)+8)))</f>
        <v>0</v>
      </c>
      <c r="R39" s="36">
        <f ca="1">IF($A39="","",IF(R$1="","",COUNTIFS(tbl_chests[from],$A39,tbl_chests[legalized],R$1,tbl_chests[datetime],"&gt;="&amp;TODAY()-WEEKDAY(TODAY(),2)+1,tbl_chests[datetime],"&lt;"&amp;TODAY()-WEEKDAY(TODAY(),2)+8)))</f>
        <v>0</v>
      </c>
      <c r="S39" s="36">
        <f ca="1">IF($A39="","",IF(S$1="","",COUNTIFS(tbl_chests[from],$A39,tbl_chests[legalized],S$1,tbl_chests[datetime],"&gt;="&amp;TODAY()-WEEKDAY(TODAY(),2)+1,tbl_chests[datetime],"&lt;"&amp;TODAY()-WEEKDAY(TODAY(),2)+8)))</f>
        <v>0</v>
      </c>
      <c r="T39" s="36">
        <f ca="1">IF($A39="","",IF(T$1="","",COUNTIFS(tbl_chests[from],$A39,tbl_chests[legalized],T$1,tbl_chests[datetime],"&gt;="&amp;TODAY()-WEEKDAY(TODAY(),2)+1,tbl_chests[datetime],"&lt;"&amp;TODAY()-WEEKDAY(TODAY(),2)+8)))</f>
        <v>0</v>
      </c>
      <c r="U39" s="36">
        <f ca="1">IF($A39="","",IF(U$1="","",COUNTIFS(tbl_chests[from],$A39,tbl_chests[legalized],U$1,tbl_chests[datetime],"&gt;="&amp;TODAY()-WEEKDAY(TODAY(),2)+1,tbl_chests[datetime],"&lt;"&amp;TODAY()-WEEKDAY(TODAY(),2)+8)))</f>
        <v>0</v>
      </c>
      <c r="V39" s="36">
        <f ca="1">IF($A39="","",IF(V$1="","",COUNTIFS(tbl_chests[from],$A39,tbl_chests[legalized],V$1,tbl_chests[datetime],"&gt;="&amp;TODAY()-WEEKDAY(TODAY(),2)+1,tbl_chests[datetime],"&lt;"&amp;TODAY()-WEEKDAY(TODAY(),2)+8)))</f>
        <v>0</v>
      </c>
      <c r="W39" s="36">
        <f ca="1">IF($A39="","",IF(W$1="","",COUNTIFS(tbl_chests[from],$A39,tbl_chests[legalized],W$1,tbl_chests[datetime],"&gt;="&amp;TODAY()-WEEKDAY(TODAY(),2)+1,tbl_chests[datetime],"&lt;"&amp;TODAY()-WEEKDAY(TODAY(),2)+8)))</f>
        <v>0</v>
      </c>
      <c r="X39" s="36">
        <f ca="1">IF($A39="","",IF(X$1="","",COUNTIFS(tbl_chests[from],$A39,tbl_chests[legalized],X$1,tbl_chests[datetime],"&gt;="&amp;TODAY()-WEEKDAY(TODAY(),2)+1,tbl_chests[datetime],"&lt;"&amp;TODAY()-WEEKDAY(TODAY(),2)+8)))</f>
        <v>0</v>
      </c>
      <c r="Y39" s="36">
        <f ca="1">IF($A39="","",IF(Y$1="","",COUNTIFS(tbl_chests[from],$A39,tbl_chests[legalized],Y$1,tbl_chests[datetime],"&gt;="&amp;TODAY()-WEEKDAY(TODAY(),2)+1,tbl_chests[datetime],"&lt;"&amp;TODAY()-WEEKDAY(TODAY(),2)+8)))</f>
        <v>0</v>
      </c>
      <c r="Z39" s="36">
        <f ca="1">IF($A39="","",IF(Z$1="","",COUNTIFS(tbl_chests[from],$A39,tbl_chests[legalized],Z$1,tbl_chests[datetime],"&gt;="&amp;TODAY()-WEEKDAY(TODAY(),2)+1,tbl_chests[datetime],"&lt;"&amp;TODAY()-WEEKDAY(TODAY(),2)+8)))</f>
        <v>0</v>
      </c>
      <c r="AA39" s="36">
        <f ca="1">IF($A39="","",IF(AA$1="","",COUNTIFS(tbl_chests[from],$A39,tbl_chests[legalized],AA$1,tbl_chests[datetime],"&gt;="&amp;TODAY()-WEEKDAY(TODAY(),2)+1,tbl_chests[datetime],"&lt;"&amp;TODAY()-WEEKDAY(TODAY(),2)+8)))</f>
        <v>0</v>
      </c>
      <c r="AB39" s="36">
        <f ca="1">IF($A39="","",IF(AB$1="","",COUNTIFS(tbl_chests[from],$A39,tbl_chests[legalized],AB$1,tbl_chests[datetime],"&gt;="&amp;TODAY()-WEEKDAY(TODAY(),2)+1,tbl_chests[datetime],"&lt;"&amp;TODAY()-WEEKDAY(TODAY(),2)+8)))</f>
        <v>0</v>
      </c>
      <c r="AC39" s="36">
        <f ca="1">IF($A39="","",IF(AC$1="","",COUNTIFS(tbl_chests[from],$A39,tbl_chests[legalized],AC$1,tbl_chests[datetime],"&gt;="&amp;TODAY()-WEEKDAY(TODAY(),2)+1,tbl_chests[datetime],"&lt;"&amp;TODAY()-WEEKDAY(TODAY(),2)+8)))</f>
        <v>0</v>
      </c>
      <c r="AD39" s="36">
        <f ca="1">IF($A39="","",IF(AD$1="","",COUNTIFS(tbl_chests[from],$A39,tbl_chests[legalized],AD$1,tbl_chests[datetime],"&gt;="&amp;TODAY()-WEEKDAY(TODAY(),2)+1,tbl_chests[datetime],"&lt;"&amp;TODAY()-WEEKDAY(TODAY(),2)+8)))</f>
        <v>0</v>
      </c>
      <c r="AE39" s="36">
        <f ca="1">IF($A39="","",IF(AE$1="","",COUNTIFS(tbl_chests[from],$A39,tbl_chests[legalized],AE$1,tbl_chests[datetime],"&gt;="&amp;TODAY()-WEEKDAY(TODAY(),2)+1,tbl_chests[datetime],"&lt;"&amp;TODAY()-WEEKDAY(TODAY(),2)+8)))</f>
        <v>0</v>
      </c>
      <c r="AF39" s="36">
        <f ca="1">IF($A39="","",IF(AF$1="","",COUNTIFS(tbl_chests[from],$A39,tbl_chests[legalized],AF$1,tbl_chests[datetime],"&gt;="&amp;TODAY()-WEEKDAY(TODAY(),2)+1,tbl_chests[datetime],"&lt;"&amp;TODAY()-WEEKDAY(TODAY(),2)+8)))</f>
        <v>0</v>
      </c>
      <c r="AG39" s="36">
        <f ca="1">IF($A39="","",IF(AG$1="","",COUNTIFS(tbl_chests[from],$A39,tbl_chests[legalized],AG$1,tbl_chests[datetime],"&gt;="&amp;TODAY()-WEEKDAY(TODAY(),2)+1,tbl_chests[datetime],"&lt;"&amp;TODAY()-WEEKDAY(TODAY(),2)+8)))</f>
        <v>0</v>
      </c>
      <c r="AH39" s="36">
        <f ca="1">IF($A39="","",IF(AH$1="","",COUNTIFS(tbl_chests[from],$A39,tbl_chests[legalized],AH$1,tbl_chests[datetime],"&gt;="&amp;TODAY()-WEEKDAY(TODAY(),2)+1,tbl_chests[datetime],"&lt;"&amp;TODAY()-WEEKDAY(TODAY(),2)+8)))</f>
        <v>0</v>
      </c>
      <c r="AI39" s="36">
        <f ca="1">IF($A39="","",IF(AI$1="","",COUNTIFS(tbl_chests[from],$A39,tbl_chests[legalized],AI$1,tbl_chests[datetime],"&gt;="&amp;TODAY()-WEEKDAY(TODAY(),2)+1,tbl_chests[datetime],"&lt;"&amp;TODAY()-WEEKDAY(TODAY(),2)+8)))</f>
        <v>0</v>
      </c>
      <c r="AJ39" s="36">
        <f ca="1">IF($A39="","",IF(AJ$1="","",COUNTIFS(tbl_chests[from],$A39,tbl_chests[legalized],AJ$1,tbl_chests[datetime],"&gt;="&amp;TODAY()-WEEKDAY(TODAY(),2)+1,tbl_chests[datetime],"&lt;"&amp;TODAY()-WEEKDAY(TODAY(),2)+8)))</f>
        <v>0</v>
      </c>
      <c r="AK39" s="36">
        <f ca="1">IF($A39="","",IF(AK$1="","",COUNTIFS(tbl_chests[from],$A39,tbl_chests[legalized],AK$1,tbl_chests[datetime],"&gt;="&amp;TODAY()-WEEKDAY(TODAY(),2)+1,tbl_chests[datetime],"&lt;"&amp;TODAY()-WEEKDAY(TODAY(),2)+8)))</f>
        <v>0</v>
      </c>
      <c r="AL39" s="36">
        <f ca="1">IF($A39="","",IF(AL$1="","",COUNTIFS(tbl_chests[from],$A39,tbl_chests[legalized],AL$1,tbl_chests[datetime],"&gt;="&amp;TODAY()-WEEKDAY(TODAY(),2)+1,tbl_chests[datetime],"&lt;"&amp;TODAY()-WEEKDAY(TODAY(),2)+8)))</f>
        <v>0</v>
      </c>
      <c r="AM39" s="37">
        <f ca="1">IF($A39="","",IF(AM$1="","",COUNTIFS(tbl_chests[from],$A39,tbl_chests[legalized],AM$1,tbl_chests[datetime],"&gt;="&amp;TODAY()-WEEKDAY(TODAY(),2)+1,tbl_chests[datetime],"&lt;"&amp;TODAY()-WEEKDAY(TODAY(),2)+8)))</f>
        <v>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 ht="15.75" customHeight="1" x14ac:dyDescent="0.25">
      <c r="A40" s="34" t="str">
        <f>chests_counter!$H37</f>
        <v>Kibur</v>
      </c>
      <c r="B40" s="35" cm="1">
        <f t="array" aca="1" ref="B40" ca="1">IF(A40&lt;&gt;"", SUMPRODUCT(($C$2:$AM$2&lt;&gt;0)*(C40:AM40&lt;&gt;0)*($C$2:$AM$2)*(C40:AM40)), "")</f>
        <v>0</v>
      </c>
      <c r="C40" s="36">
        <f ca="1">IF($A40="","",IF(C$1="","",COUNTIFS(tbl_chests[from],$A40,tbl_chests[legalized],C$1,tbl_chests[datetime],"&gt;="&amp;TODAY()-WEEKDAY(TODAY(),2)+1,tbl_chests[datetime],"&lt;"&amp;TODAY()-WEEKDAY(TODAY(),2)+8)))</f>
        <v>0</v>
      </c>
      <c r="D40" s="36">
        <f ca="1">IF($A40="","",IF(D$1="","",COUNTIFS(tbl_chests[from],$A40,tbl_chests[legalized],D$1,tbl_chests[datetime],"&gt;="&amp;TODAY()-WEEKDAY(TODAY(),2)+1,tbl_chests[datetime],"&lt;"&amp;TODAY()-WEEKDAY(TODAY(),2)+8)))</f>
        <v>0</v>
      </c>
      <c r="E40" s="36">
        <f ca="1">IF($A40="","",IF(E$1="","",COUNTIFS(tbl_chests[from],$A40,tbl_chests[legalized],E$1,tbl_chests[datetime],"&gt;="&amp;TODAY()-WEEKDAY(TODAY(),2)+1,tbl_chests[datetime],"&lt;"&amp;TODAY()-WEEKDAY(TODAY(),2)+8)))</f>
        <v>0</v>
      </c>
      <c r="F40" s="36">
        <f ca="1">IF($A40="","",IF(F$1="","",COUNTIFS(tbl_chests[from],$A40,tbl_chests[legalized],F$1,tbl_chests[datetime],"&gt;="&amp;TODAY()-WEEKDAY(TODAY(),2)+1,tbl_chests[datetime],"&lt;"&amp;TODAY()-WEEKDAY(TODAY(),2)+8)))</f>
        <v>0</v>
      </c>
      <c r="G40" s="36">
        <f ca="1">IF($A40="","",IF(G$1="","",COUNTIFS(tbl_chests[from],$A40,tbl_chests[legalized],G$1,tbl_chests[datetime],"&gt;="&amp;TODAY()-WEEKDAY(TODAY(),2)+1,tbl_chests[datetime],"&lt;"&amp;TODAY()-WEEKDAY(TODAY(),2)+8)))</f>
        <v>0</v>
      </c>
      <c r="H40" s="36">
        <f ca="1">IF($A40="","",IF(H$1="","",COUNTIFS(tbl_chests[from],$A40,tbl_chests[legalized],H$1,tbl_chests[datetime],"&gt;="&amp;TODAY()-WEEKDAY(TODAY(),2)+1,tbl_chests[datetime],"&lt;"&amp;TODAY()-WEEKDAY(TODAY(),2)+8)))</f>
        <v>0</v>
      </c>
      <c r="I40" s="36">
        <f ca="1">IF($A40="","",IF(I$1="","",COUNTIFS(tbl_chests[from],$A40,tbl_chests[legalized],I$1,tbl_chests[datetime],"&gt;="&amp;TODAY()-WEEKDAY(TODAY(),2)+1,tbl_chests[datetime],"&lt;"&amp;TODAY()-WEEKDAY(TODAY(),2)+8)))</f>
        <v>0</v>
      </c>
      <c r="J40" s="36">
        <f ca="1">IF($A40="","",IF(J$1="","",COUNTIFS(tbl_chests[from],$A40,tbl_chests[legalized],J$1,tbl_chests[datetime],"&gt;="&amp;TODAY()-WEEKDAY(TODAY(),2)+1,tbl_chests[datetime],"&lt;"&amp;TODAY()-WEEKDAY(TODAY(),2)+8)))</f>
        <v>0</v>
      </c>
      <c r="K40" s="36">
        <f ca="1">IF($A40="","",IF(K$1="","",COUNTIFS(tbl_chests[from],$A40,tbl_chests[legalized],K$1,tbl_chests[datetime],"&gt;="&amp;TODAY()-WEEKDAY(TODAY(),2)+1,tbl_chests[datetime],"&lt;"&amp;TODAY()-WEEKDAY(TODAY(),2)+8)))</f>
        <v>0</v>
      </c>
      <c r="L40" s="36">
        <f ca="1">IF($A40="","",IF(L$1="","",COUNTIFS(tbl_chests[from],$A40,tbl_chests[legalized],L$1,tbl_chests[datetime],"&gt;="&amp;TODAY()-WEEKDAY(TODAY(),2)+1,tbl_chests[datetime],"&lt;"&amp;TODAY()-WEEKDAY(TODAY(),2)+8)))</f>
        <v>0</v>
      </c>
      <c r="M40" s="36">
        <f ca="1">IF($A40="","",IF(M$1="","",COUNTIFS(tbl_chests[from],$A40,tbl_chests[legalized],M$1,tbl_chests[datetime],"&gt;="&amp;TODAY()-WEEKDAY(TODAY(),2)+1,tbl_chests[datetime],"&lt;"&amp;TODAY()-WEEKDAY(TODAY(),2)+8)))</f>
        <v>0</v>
      </c>
      <c r="N40" s="36">
        <f ca="1">IF($A40="","",IF(N$1="","",COUNTIFS(tbl_chests[from],$A40,tbl_chests[legalized],N$1,tbl_chests[datetime],"&gt;="&amp;TODAY()-WEEKDAY(TODAY(),2)+1,tbl_chests[datetime],"&lt;"&amp;TODAY()-WEEKDAY(TODAY(),2)+8)))</f>
        <v>0</v>
      </c>
      <c r="O40" s="36">
        <f ca="1">IF($A40="","",IF(O$1="","",COUNTIFS(tbl_chests[from],$A40,tbl_chests[legalized],O$1,tbl_chests[datetime],"&gt;="&amp;TODAY()-WEEKDAY(TODAY(),2)+1,tbl_chests[datetime],"&lt;"&amp;TODAY()-WEEKDAY(TODAY(),2)+8)))</f>
        <v>0</v>
      </c>
      <c r="P40" s="36">
        <f ca="1">IF($A40="","",IF(P$1="","",COUNTIFS(tbl_chests[from],$A40,tbl_chests[legalized],P$1,tbl_chests[datetime],"&gt;="&amp;TODAY()-WEEKDAY(TODAY(),2)+1,tbl_chests[datetime],"&lt;"&amp;TODAY()-WEEKDAY(TODAY(),2)+8)))</f>
        <v>0</v>
      </c>
      <c r="Q40" s="36">
        <f ca="1">IF($A40="","",IF(Q$1="","",COUNTIFS(tbl_chests[from],$A40,tbl_chests[legalized],Q$1,tbl_chests[datetime],"&gt;="&amp;TODAY()-WEEKDAY(TODAY(),2)+1,tbl_chests[datetime],"&lt;"&amp;TODAY()-WEEKDAY(TODAY(),2)+8)))</f>
        <v>0</v>
      </c>
      <c r="R40" s="36">
        <f ca="1">IF($A40="","",IF(R$1="","",COUNTIFS(tbl_chests[from],$A40,tbl_chests[legalized],R$1,tbl_chests[datetime],"&gt;="&amp;TODAY()-WEEKDAY(TODAY(),2)+1,tbl_chests[datetime],"&lt;"&amp;TODAY()-WEEKDAY(TODAY(),2)+8)))</f>
        <v>0</v>
      </c>
      <c r="S40" s="36">
        <f ca="1">IF($A40="","",IF(S$1="","",COUNTIFS(tbl_chests[from],$A40,tbl_chests[legalized],S$1,tbl_chests[datetime],"&gt;="&amp;TODAY()-WEEKDAY(TODAY(),2)+1,tbl_chests[datetime],"&lt;"&amp;TODAY()-WEEKDAY(TODAY(),2)+8)))</f>
        <v>0</v>
      </c>
      <c r="T40" s="36">
        <f ca="1">IF($A40="","",IF(T$1="","",COUNTIFS(tbl_chests[from],$A40,tbl_chests[legalized],T$1,tbl_chests[datetime],"&gt;="&amp;TODAY()-WEEKDAY(TODAY(),2)+1,tbl_chests[datetime],"&lt;"&amp;TODAY()-WEEKDAY(TODAY(),2)+8)))</f>
        <v>0</v>
      </c>
      <c r="U40" s="36">
        <f ca="1">IF($A40="","",IF(U$1="","",COUNTIFS(tbl_chests[from],$A40,tbl_chests[legalized],U$1,tbl_chests[datetime],"&gt;="&amp;TODAY()-WEEKDAY(TODAY(),2)+1,tbl_chests[datetime],"&lt;"&amp;TODAY()-WEEKDAY(TODAY(),2)+8)))</f>
        <v>0</v>
      </c>
      <c r="V40" s="36">
        <f ca="1">IF($A40="","",IF(V$1="","",COUNTIFS(tbl_chests[from],$A40,tbl_chests[legalized],V$1,tbl_chests[datetime],"&gt;="&amp;TODAY()-WEEKDAY(TODAY(),2)+1,tbl_chests[datetime],"&lt;"&amp;TODAY()-WEEKDAY(TODAY(),2)+8)))</f>
        <v>0</v>
      </c>
      <c r="W40" s="36">
        <f ca="1">IF($A40="","",IF(W$1="","",COUNTIFS(tbl_chests[from],$A40,tbl_chests[legalized],W$1,tbl_chests[datetime],"&gt;="&amp;TODAY()-WEEKDAY(TODAY(),2)+1,tbl_chests[datetime],"&lt;"&amp;TODAY()-WEEKDAY(TODAY(),2)+8)))</f>
        <v>0</v>
      </c>
      <c r="X40" s="36">
        <f ca="1">IF($A40="","",IF(X$1="","",COUNTIFS(tbl_chests[from],$A40,tbl_chests[legalized],X$1,tbl_chests[datetime],"&gt;="&amp;TODAY()-WEEKDAY(TODAY(),2)+1,tbl_chests[datetime],"&lt;"&amp;TODAY()-WEEKDAY(TODAY(),2)+8)))</f>
        <v>0</v>
      </c>
      <c r="Y40" s="36">
        <f ca="1">IF($A40="","",IF(Y$1="","",COUNTIFS(tbl_chests[from],$A40,tbl_chests[legalized],Y$1,tbl_chests[datetime],"&gt;="&amp;TODAY()-WEEKDAY(TODAY(),2)+1,tbl_chests[datetime],"&lt;"&amp;TODAY()-WEEKDAY(TODAY(),2)+8)))</f>
        <v>0</v>
      </c>
      <c r="Z40" s="36">
        <f ca="1">IF($A40="","",IF(Z$1="","",COUNTIFS(tbl_chests[from],$A40,tbl_chests[legalized],Z$1,tbl_chests[datetime],"&gt;="&amp;TODAY()-WEEKDAY(TODAY(),2)+1,tbl_chests[datetime],"&lt;"&amp;TODAY()-WEEKDAY(TODAY(),2)+8)))</f>
        <v>0</v>
      </c>
      <c r="AA40" s="36">
        <f ca="1">IF($A40="","",IF(AA$1="","",COUNTIFS(tbl_chests[from],$A40,tbl_chests[legalized],AA$1,tbl_chests[datetime],"&gt;="&amp;TODAY()-WEEKDAY(TODAY(),2)+1,tbl_chests[datetime],"&lt;"&amp;TODAY()-WEEKDAY(TODAY(),2)+8)))</f>
        <v>0</v>
      </c>
      <c r="AB40" s="36">
        <f ca="1">IF($A40="","",IF(AB$1="","",COUNTIFS(tbl_chests[from],$A40,tbl_chests[legalized],AB$1,tbl_chests[datetime],"&gt;="&amp;TODAY()-WEEKDAY(TODAY(),2)+1,tbl_chests[datetime],"&lt;"&amp;TODAY()-WEEKDAY(TODAY(),2)+8)))</f>
        <v>0</v>
      </c>
      <c r="AC40" s="36">
        <f ca="1">IF($A40="","",IF(AC$1="","",COUNTIFS(tbl_chests[from],$A40,tbl_chests[legalized],AC$1,tbl_chests[datetime],"&gt;="&amp;TODAY()-WEEKDAY(TODAY(),2)+1,tbl_chests[datetime],"&lt;"&amp;TODAY()-WEEKDAY(TODAY(),2)+8)))</f>
        <v>0</v>
      </c>
      <c r="AD40" s="36">
        <f ca="1">IF($A40="","",IF(AD$1="","",COUNTIFS(tbl_chests[from],$A40,tbl_chests[legalized],AD$1,tbl_chests[datetime],"&gt;="&amp;TODAY()-WEEKDAY(TODAY(),2)+1,tbl_chests[datetime],"&lt;"&amp;TODAY()-WEEKDAY(TODAY(),2)+8)))</f>
        <v>0</v>
      </c>
      <c r="AE40" s="36">
        <f ca="1">IF($A40="","",IF(AE$1="","",COUNTIFS(tbl_chests[from],$A40,tbl_chests[legalized],AE$1,tbl_chests[datetime],"&gt;="&amp;TODAY()-WEEKDAY(TODAY(),2)+1,tbl_chests[datetime],"&lt;"&amp;TODAY()-WEEKDAY(TODAY(),2)+8)))</f>
        <v>0</v>
      </c>
      <c r="AF40" s="36">
        <f ca="1">IF($A40="","",IF(AF$1="","",COUNTIFS(tbl_chests[from],$A40,tbl_chests[legalized],AF$1,tbl_chests[datetime],"&gt;="&amp;TODAY()-WEEKDAY(TODAY(),2)+1,tbl_chests[datetime],"&lt;"&amp;TODAY()-WEEKDAY(TODAY(),2)+8)))</f>
        <v>0</v>
      </c>
      <c r="AG40" s="36">
        <f ca="1">IF($A40="","",IF(AG$1="","",COUNTIFS(tbl_chests[from],$A40,tbl_chests[legalized],AG$1,tbl_chests[datetime],"&gt;="&amp;TODAY()-WEEKDAY(TODAY(),2)+1,tbl_chests[datetime],"&lt;"&amp;TODAY()-WEEKDAY(TODAY(),2)+8)))</f>
        <v>0</v>
      </c>
      <c r="AH40" s="36">
        <f ca="1">IF($A40="","",IF(AH$1="","",COUNTIFS(tbl_chests[from],$A40,tbl_chests[legalized],AH$1,tbl_chests[datetime],"&gt;="&amp;TODAY()-WEEKDAY(TODAY(),2)+1,tbl_chests[datetime],"&lt;"&amp;TODAY()-WEEKDAY(TODAY(),2)+8)))</f>
        <v>0</v>
      </c>
      <c r="AI40" s="36">
        <f ca="1">IF($A40="","",IF(AI$1="","",COUNTIFS(tbl_chests[from],$A40,tbl_chests[legalized],AI$1,tbl_chests[datetime],"&gt;="&amp;TODAY()-WEEKDAY(TODAY(),2)+1,tbl_chests[datetime],"&lt;"&amp;TODAY()-WEEKDAY(TODAY(),2)+8)))</f>
        <v>0</v>
      </c>
      <c r="AJ40" s="36">
        <f ca="1">IF($A40="","",IF(AJ$1="","",COUNTIFS(tbl_chests[from],$A40,tbl_chests[legalized],AJ$1,tbl_chests[datetime],"&gt;="&amp;TODAY()-WEEKDAY(TODAY(),2)+1,tbl_chests[datetime],"&lt;"&amp;TODAY()-WEEKDAY(TODAY(),2)+8)))</f>
        <v>0</v>
      </c>
      <c r="AK40" s="36">
        <f ca="1">IF($A40="","",IF(AK$1="","",COUNTIFS(tbl_chests[from],$A40,tbl_chests[legalized],AK$1,tbl_chests[datetime],"&gt;="&amp;TODAY()-WEEKDAY(TODAY(),2)+1,tbl_chests[datetime],"&lt;"&amp;TODAY()-WEEKDAY(TODAY(),2)+8)))</f>
        <v>0</v>
      </c>
      <c r="AL40" s="36">
        <f ca="1">IF($A40="","",IF(AL$1="","",COUNTIFS(tbl_chests[from],$A40,tbl_chests[legalized],AL$1,tbl_chests[datetime],"&gt;="&amp;TODAY()-WEEKDAY(TODAY(),2)+1,tbl_chests[datetime],"&lt;"&amp;TODAY()-WEEKDAY(TODAY(),2)+8)))</f>
        <v>0</v>
      </c>
      <c r="AM40" s="37">
        <f ca="1">IF($A40="","",IF(AM$1="","",COUNTIFS(tbl_chests[from],$A40,tbl_chests[legalized],AM$1,tbl_chests[datetime],"&gt;="&amp;TODAY()-WEEKDAY(TODAY(),2)+1,tbl_chests[datetime],"&lt;"&amp;TODAY()-WEEKDAY(TODAY(),2)+8)))</f>
        <v>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 ht="15.75" customHeight="1" x14ac:dyDescent="0.25">
      <c r="A41" s="34" t="str">
        <f>chests_counter!$H38</f>
        <v>King Oliver</v>
      </c>
      <c r="B41" s="35" cm="1">
        <f t="array" aca="1" ref="B41" ca="1">IF(A41&lt;&gt;"", SUMPRODUCT(($C$2:$AM$2&lt;&gt;0)*(C41:AM41&lt;&gt;0)*($C$2:$AM$2)*(C41:AM41)), "")</f>
        <v>45</v>
      </c>
      <c r="C41" s="36">
        <f ca="1">IF($A41="","",IF(C$1="","",COUNTIFS(tbl_chests[from],$A41,tbl_chests[legalized],C$1,tbl_chests[datetime],"&gt;="&amp;TODAY()-WEEKDAY(TODAY(),2)+1,tbl_chests[datetime],"&lt;"&amp;TODAY()-WEEKDAY(TODAY(),2)+8)))</f>
        <v>1</v>
      </c>
      <c r="D41" s="36">
        <f ca="1">IF($A41="","",IF(D$1="","",COUNTIFS(tbl_chests[from],$A41,tbl_chests[legalized],D$1,tbl_chests[datetime],"&gt;="&amp;TODAY()-WEEKDAY(TODAY(),2)+1,tbl_chests[datetime],"&lt;"&amp;TODAY()-WEEKDAY(TODAY(),2)+8)))</f>
        <v>0</v>
      </c>
      <c r="E41" s="36">
        <f ca="1">IF($A41="","",IF(E$1="","",COUNTIFS(tbl_chests[from],$A41,tbl_chests[legalized],E$1,tbl_chests[datetime],"&gt;="&amp;TODAY()-WEEKDAY(TODAY(),2)+1,tbl_chests[datetime],"&lt;"&amp;TODAY()-WEEKDAY(TODAY(),2)+8)))</f>
        <v>1</v>
      </c>
      <c r="F41" s="36">
        <f ca="1">IF($A41="","",IF(F$1="","",COUNTIFS(tbl_chests[from],$A41,tbl_chests[legalized],F$1,tbl_chests[datetime],"&gt;="&amp;TODAY()-WEEKDAY(TODAY(),2)+1,tbl_chests[datetime],"&lt;"&amp;TODAY()-WEEKDAY(TODAY(),2)+8)))</f>
        <v>0</v>
      </c>
      <c r="G41" s="36">
        <f ca="1">IF($A41="","",IF(G$1="","",COUNTIFS(tbl_chests[from],$A41,tbl_chests[legalized],G$1,tbl_chests[datetime],"&gt;="&amp;TODAY()-WEEKDAY(TODAY(),2)+1,tbl_chests[datetime],"&lt;"&amp;TODAY()-WEEKDAY(TODAY(),2)+8)))</f>
        <v>0</v>
      </c>
      <c r="H41" s="36">
        <f ca="1">IF($A41="","",IF(H$1="","",COUNTIFS(tbl_chests[from],$A41,tbl_chests[legalized],H$1,tbl_chests[datetime],"&gt;="&amp;TODAY()-WEEKDAY(TODAY(),2)+1,tbl_chests[datetime],"&lt;"&amp;TODAY()-WEEKDAY(TODAY(),2)+8)))</f>
        <v>0</v>
      </c>
      <c r="I41" s="36">
        <f ca="1">IF($A41="","",IF(I$1="","",COUNTIFS(tbl_chests[from],$A41,tbl_chests[legalized],I$1,tbl_chests[datetime],"&gt;="&amp;TODAY()-WEEKDAY(TODAY(),2)+1,tbl_chests[datetime],"&lt;"&amp;TODAY()-WEEKDAY(TODAY(),2)+8)))</f>
        <v>0</v>
      </c>
      <c r="J41" s="36">
        <f ca="1">IF($A41="","",IF(J$1="","",COUNTIFS(tbl_chests[from],$A41,tbl_chests[legalized],J$1,tbl_chests[datetime],"&gt;="&amp;TODAY()-WEEKDAY(TODAY(),2)+1,tbl_chests[datetime],"&lt;"&amp;TODAY()-WEEKDAY(TODAY(),2)+8)))</f>
        <v>0</v>
      </c>
      <c r="K41" s="36">
        <f ca="1">IF($A41="","",IF(K$1="","",COUNTIFS(tbl_chests[from],$A41,tbl_chests[legalized],K$1,tbl_chests[datetime],"&gt;="&amp;TODAY()-WEEKDAY(TODAY(),2)+1,tbl_chests[datetime],"&lt;"&amp;TODAY()-WEEKDAY(TODAY(),2)+8)))</f>
        <v>0</v>
      </c>
      <c r="L41" s="36">
        <f ca="1">IF($A41="","",IF(L$1="","",COUNTIFS(tbl_chests[from],$A41,tbl_chests[legalized],L$1,tbl_chests[datetime],"&gt;="&amp;TODAY()-WEEKDAY(TODAY(),2)+1,tbl_chests[datetime],"&lt;"&amp;TODAY()-WEEKDAY(TODAY(),2)+8)))</f>
        <v>0</v>
      </c>
      <c r="M41" s="36">
        <f ca="1">IF($A41="","",IF(M$1="","",COUNTIFS(tbl_chests[from],$A41,tbl_chests[legalized],M$1,tbl_chests[datetime],"&gt;="&amp;TODAY()-WEEKDAY(TODAY(),2)+1,tbl_chests[datetime],"&lt;"&amp;TODAY()-WEEKDAY(TODAY(),2)+8)))</f>
        <v>0</v>
      </c>
      <c r="N41" s="36">
        <f ca="1">IF($A41="","",IF(N$1="","",COUNTIFS(tbl_chests[from],$A41,tbl_chests[legalized],N$1,tbl_chests[datetime],"&gt;="&amp;TODAY()-WEEKDAY(TODAY(),2)+1,tbl_chests[datetime],"&lt;"&amp;TODAY()-WEEKDAY(TODAY(),2)+8)))</f>
        <v>0</v>
      </c>
      <c r="O41" s="36">
        <f ca="1">IF($A41="","",IF(O$1="","",COUNTIFS(tbl_chests[from],$A41,tbl_chests[legalized],O$1,tbl_chests[datetime],"&gt;="&amp;TODAY()-WEEKDAY(TODAY(),2)+1,tbl_chests[datetime],"&lt;"&amp;TODAY()-WEEKDAY(TODAY(),2)+8)))</f>
        <v>0</v>
      </c>
      <c r="P41" s="36">
        <f ca="1">IF($A41="","",IF(P$1="","",COUNTIFS(tbl_chests[from],$A41,tbl_chests[legalized],P$1,tbl_chests[datetime],"&gt;="&amp;TODAY()-WEEKDAY(TODAY(),2)+1,tbl_chests[datetime],"&lt;"&amp;TODAY()-WEEKDAY(TODAY(),2)+8)))</f>
        <v>0</v>
      </c>
      <c r="Q41" s="36">
        <f ca="1">IF($A41="","",IF(Q$1="","",COUNTIFS(tbl_chests[from],$A41,tbl_chests[legalized],Q$1,tbl_chests[datetime],"&gt;="&amp;TODAY()-WEEKDAY(TODAY(),2)+1,tbl_chests[datetime],"&lt;"&amp;TODAY()-WEEKDAY(TODAY(),2)+8)))</f>
        <v>0</v>
      </c>
      <c r="R41" s="36">
        <f ca="1">IF($A41="","",IF(R$1="","",COUNTIFS(tbl_chests[from],$A41,tbl_chests[legalized],R$1,tbl_chests[datetime],"&gt;="&amp;TODAY()-WEEKDAY(TODAY(),2)+1,tbl_chests[datetime],"&lt;"&amp;TODAY()-WEEKDAY(TODAY(),2)+8)))</f>
        <v>0</v>
      </c>
      <c r="S41" s="36">
        <f ca="1">IF($A41="","",IF(S$1="","",COUNTIFS(tbl_chests[from],$A41,tbl_chests[legalized],S$1,tbl_chests[datetime],"&gt;="&amp;TODAY()-WEEKDAY(TODAY(),2)+1,tbl_chests[datetime],"&lt;"&amp;TODAY()-WEEKDAY(TODAY(),2)+8)))</f>
        <v>0</v>
      </c>
      <c r="T41" s="36">
        <f ca="1">IF($A41="","",IF(T$1="","",COUNTIFS(tbl_chests[from],$A41,tbl_chests[legalized],T$1,tbl_chests[datetime],"&gt;="&amp;TODAY()-WEEKDAY(TODAY(),2)+1,tbl_chests[datetime],"&lt;"&amp;TODAY()-WEEKDAY(TODAY(),2)+8)))</f>
        <v>0</v>
      </c>
      <c r="U41" s="36">
        <f ca="1">IF($A41="","",IF(U$1="","",COUNTIFS(tbl_chests[from],$A41,tbl_chests[legalized],U$1,tbl_chests[datetime],"&gt;="&amp;TODAY()-WEEKDAY(TODAY(),2)+1,tbl_chests[datetime],"&lt;"&amp;TODAY()-WEEKDAY(TODAY(),2)+8)))</f>
        <v>0</v>
      </c>
      <c r="V41" s="36">
        <f ca="1">IF($A41="","",IF(V$1="","",COUNTIFS(tbl_chests[from],$A41,tbl_chests[legalized],V$1,tbl_chests[datetime],"&gt;="&amp;TODAY()-WEEKDAY(TODAY(),2)+1,tbl_chests[datetime],"&lt;"&amp;TODAY()-WEEKDAY(TODAY(),2)+8)))</f>
        <v>0</v>
      </c>
      <c r="W41" s="36">
        <f ca="1">IF($A41="","",IF(W$1="","",COUNTIFS(tbl_chests[from],$A41,tbl_chests[legalized],W$1,tbl_chests[datetime],"&gt;="&amp;TODAY()-WEEKDAY(TODAY(),2)+1,tbl_chests[datetime],"&lt;"&amp;TODAY()-WEEKDAY(TODAY(),2)+8)))</f>
        <v>0</v>
      </c>
      <c r="X41" s="36">
        <f ca="1">IF($A41="","",IF(X$1="","",COUNTIFS(tbl_chests[from],$A41,tbl_chests[legalized],X$1,tbl_chests[datetime],"&gt;="&amp;TODAY()-WEEKDAY(TODAY(),2)+1,tbl_chests[datetime],"&lt;"&amp;TODAY()-WEEKDAY(TODAY(),2)+8)))</f>
        <v>0</v>
      </c>
      <c r="Y41" s="36">
        <f ca="1">IF($A41="","",IF(Y$1="","",COUNTIFS(tbl_chests[from],$A41,tbl_chests[legalized],Y$1,tbl_chests[datetime],"&gt;="&amp;TODAY()-WEEKDAY(TODAY(),2)+1,tbl_chests[datetime],"&lt;"&amp;TODAY()-WEEKDAY(TODAY(),2)+8)))</f>
        <v>0</v>
      </c>
      <c r="Z41" s="36">
        <f ca="1">IF($A41="","",IF(Z$1="","",COUNTIFS(tbl_chests[from],$A41,tbl_chests[legalized],Z$1,tbl_chests[datetime],"&gt;="&amp;TODAY()-WEEKDAY(TODAY(),2)+1,tbl_chests[datetime],"&lt;"&amp;TODAY()-WEEKDAY(TODAY(),2)+8)))</f>
        <v>0</v>
      </c>
      <c r="AA41" s="36">
        <f ca="1">IF($A41="","",IF(AA$1="","",COUNTIFS(tbl_chests[from],$A41,tbl_chests[legalized],AA$1,tbl_chests[datetime],"&gt;="&amp;TODAY()-WEEKDAY(TODAY(),2)+1,tbl_chests[datetime],"&lt;"&amp;TODAY()-WEEKDAY(TODAY(),2)+8)))</f>
        <v>0</v>
      </c>
      <c r="AB41" s="36">
        <f ca="1">IF($A41="","",IF(AB$1="","",COUNTIFS(tbl_chests[from],$A41,tbl_chests[legalized],AB$1,tbl_chests[datetime],"&gt;="&amp;TODAY()-WEEKDAY(TODAY(),2)+1,tbl_chests[datetime],"&lt;"&amp;TODAY()-WEEKDAY(TODAY(),2)+8)))</f>
        <v>0</v>
      </c>
      <c r="AC41" s="36">
        <f ca="1">IF($A41="","",IF(AC$1="","",COUNTIFS(tbl_chests[from],$A41,tbl_chests[legalized],AC$1,tbl_chests[datetime],"&gt;="&amp;TODAY()-WEEKDAY(TODAY(),2)+1,tbl_chests[datetime],"&lt;"&amp;TODAY()-WEEKDAY(TODAY(),2)+8)))</f>
        <v>0</v>
      </c>
      <c r="AD41" s="36">
        <f ca="1">IF($A41="","",IF(AD$1="","",COUNTIFS(tbl_chests[from],$A41,tbl_chests[legalized],AD$1,tbl_chests[datetime],"&gt;="&amp;TODAY()-WEEKDAY(TODAY(),2)+1,tbl_chests[datetime],"&lt;"&amp;TODAY()-WEEKDAY(TODAY(),2)+8)))</f>
        <v>0</v>
      </c>
      <c r="AE41" s="36">
        <f ca="1">IF($A41="","",IF(AE$1="","",COUNTIFS(tbl_chests[from],$A41,tbl_chests[legalized],AE$1,tbl_chests[datetime],"&gt;="&amp;TODAY()-WEEKDAY(TODAY(),2)+1,tbl_chests[datetime],"&lt;"&amp;TODAY()-WEEKDAY(TODAY(),2)+8)))</f>
        <v>1</v>
      </c>
      <c r="AF41" s="36">
        <f ca="1">IF($A41="","",IF(AF$1="","",COUNTIFS(tbl_chests[from],$A41,tbl_chests[legalized],AF$1,tbl_chests[datetime],"&gt;="&amp;TODAY()-WEEKDAY(TODAY(),2)+1,tbl_chests[datetime],"&lt;"&amp;TODAY()-WEEKDAY(TODAY(),2)+8)))</f>
        <v>0</v>
      </c>
      <c r="AG41" s="36">
        <f ca="1">IF($A41="","",IF(AG$1="","",COUNTIFS(tbl_chests[from],$A41,tbl_chests[legalized],AG$1,tbl_chests[datetime],"&gt;="&amp;TODAY()-WEEKDAY(TODAY(),2)+1,tbl_chests[datetime],"&lt;"&amp;TODAY()-WEEKDAY(TODAY(),2)+8)))</f>
        <v>0</v>
      </c>
      <c r="AH41" s="36">
        <f ca="1">IF($A41="","",IF(AH$1="","",COUNTIFS(tbl_chests[from],$A41,tbl_chests[legalized],AH$1,tbl_chests[datetime],"&gt;="&amp;TODAY()-WEEKDAY(TODAY(),2)+1,tbl_chests[datetime],"&lt;"&amp;TODAY()-WEEKDAY(TODAY(),2)+8)))</f>
        <v>0</v>
      </c>
      <c r="AI41" s="36">
        <f ca="1">IF($A41="","",IF(AI$1="","",COUNTIFS(tbl_chests[from],$A41,tbl_chests[legalized],AI$1,tbl_chests[datetime],"&gt;="&amp;TODAY()-WEEKDAY(TODAY(),2)+1,tbl_chests[datetime],"&lt;"&amp;TODAY()-WEEKDAY(TODAY(),2)+8)))</f>
        <v>0</v>
      </c>
      <c r="AJ41" s="36">
        <f ca="1">IF($A41="","",IF(AJ$1="","",COUNTIFS(tbl_chests[from],$A41,tbl_chests[legalized],AJ$1,tbl_chests[datetime],"&gt;="&amp;TODAY()-WEEKDAY(TODAY(),2)+1,tbl_chests[datetime],"&lt;"&amp;TODAY()-WEEKDAY(TODAY(),2)+8)))</f>
        <v>0</v>
      </c>
      <c r="AK41" s="36">
        <f ca="1">IF($A41="","",IF(AK$1="","",COUNTIFS(tbl_chests[from],$A41,tbl_chests[legalized],AK$1,tbl_chests[datetime],"&gt;="&amp;TODAY()-WEEKDAY(TODAY(),2)+1,tbl_chests[datetime],"&lt;"&amp;TODAY()-WEEKDAY(TODAY(),2)+8)))</f>
        <v>0</v>
      </c>
      <c r="AL41" s="36">
        <f ca="1">IF($A41="","",IF(AL$1="","",COUNTIFS(tbl_chests[from],$A41,tbl_chests[legalized],AL$1,tbl_chests[datetime],"&gt;="&amp;TODAY()-WEEKDAY(TODAY(),2)+1,tbl_chests[datetime],"&lt;"&amp;TODAY()-WEEKDAY(TODAY(),2)+8)))</f>
        <v>0</v>
      </c>
      <c r="AM41" s="37">
        <f ca="1">IF($A41="","",IF(AM$1="","",COUNTIFS(tbl_chests[from],$A41,tbl_chests[legalized],AM$1,tbl_chests[datetime],"&gt;="&amp;TODAY()-WEEKDAY(TODAY(),2)+1,tbl_chests[datetime],"&lt;"&amp;TODAY()-WEEKDAY(TODAY(),2)+8)))</f>
        <v>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 ht="15.75" customHeight="1" x14ac:dyDescent="0.25">
      <c r="A42" s="34" t="str">
        <f>chests_counter!$H39</f>
        <v>Lefinan</v>
      </c>
      <c r="B42" s="35" cm="1">
        <f t="array" aca="1" ref="B42" ca="1">IF(A42&lt;&gt;"", SUMPRODUCT(($C$2:$AM$2&lt;&gt;0)*(C42:AM42&lt;&gt;0)*($C$2:$AM$2)*(C42:AM42)), "")</f>
        <v>285</v>
      </c>
      <c r="C42" s="36">
        <f ca="1">IF($A42="","",IF(C$1="","",COUNTIFS(tbl_chests[from],$A42,tbl_chests[legalized],C$1,tbl_chests[datetime],"&gt;="&amp;TODAY()-WEEKDAY(TODAY(),2)+1,tbl_chests[datetime],"&lt;"&amp;TODAY()-WEEKDAY(TODAY(),2)+8)))</f>
        <v>1</v>
      </c>
      <c r="D42" s="36">
        <f ca="1">IF($A42="","",IF(D$1="","",COUNTIFS(tbl_chests[from],$A42,tbl_chests[legalized],D$1,tbl_chests[datetime],"&gt;="&amp;TODAY()-WEEKDAY(TODAY(),2)+1,tbl_chests[datetime],"&lt;"&amp;TODAY()-WEEKDAY(TODAY(),2)+8)))</f>
        <v>3</v>
      </c>
      <c r="E42" s="36">
        <f ca="1">IF($A42="","",IF(E$1="","",COUNTIFS(tbl_chests[from],$A42,tbl_chests[legalized],E$1,tbl_chests[datetime],"&gt;="&amp;TODAY()-WEEKDAY(TODAY(),2)+1,tbl_chests[datetime],"&lt;"&amp;TODAY()-WEEKDAY(TODAY(),2)+8)))</f>
        <v>3</v>
      </c>
      <c r="F42" s="36">
        <f ca="1">IF($A42="","",IF(F$1="","",COUNTIFS(tbl_chests[from],$A42,tbl_chests[legalized],F$1,tbl_chests[datetime],"&gt;="&amp;TODAY()-WEEKDAY(TODAY(),2)+1,tbl_chests[datetime],"&lt;"&amp;TODAY()-WEEKDAY(TODAY(),2)+8)))</f>
        <v>0</v>
      </c>
      <c r="G42" s="36">
        <f ca="1">IF($A42="","",IF(G$1="","",COUNTIFS(tbl_chests[from],$A42,tbl_chests[legalized],G$1,tbl_chests[datetime],"&gt;="&amp;TODAY()-WEEKDAY(TODAY(),2)+1,tbl_chests[datetime],"&lt;"&amp;TODAY()-WEEKDAY(TODAY(),2)+8)))</f>
        <v>0</v>
      </c>
      <c r="H42" s="36">
        <f ca="1">IF($A42="","",IF(H$1="","",COUNTIFS(tbl_chests[from],$A42,tbl_chests[legalized],H$1,tbl_chests[datetime],"&gt;="&amp;TODAY()-WEEKDAY(TODAY(),2)+1,tbl_chests[datetime],"&lt;"&amp;TODAY()-WEEKDAY(TODAY(),2)+8)))</f>
        <v>0</v>
      </c>
      <c r="I42" s="36">
        <f ca="1">IF($A42="","",IF(I$1="","",COUNTIFS(tbl_chests[from],$A42,tbl_chests[legalized],I$1,tbl_chests[datetime],"&gt;="&amp;TODAY()-WEEKDAY(TODAY(),2)+1,tbl_chests[datetime],"&lt;"&amp;TODAY()-WEEKDAY(TODAY(),2)+8)))</f>
        <v>0</v>
      </c>
      <c r="J42" s="36">
        <f ca="1">IF($A42="","",IF(J$1="","",COUNTIFS(tbl_chests[from],$A42,tbl_chests[legalized],J$1,tbl_chests[datetime],"&gt;="&amp;TODAY()-WEEKDAY(TODAY(),2)+1,tbl_chests[datetime],"&lt;"&amp;TODAY()-WEEKDAY(TODAY(),2)+8)))</f>
        <v>0</v>
      </c>
      <c r="K42" s="36">
        <f ca="1">IF($A42="","",IF(K$1="","",COUNTIFS(tbl_chests[from],$A42,tbl_chests[legalized],K$1,tbl_chests[datetime],"&gt;="&amp;TODAY()-WEEKDAY(TODAY(),2)+1,tbl_chests[datetime],"&lt;"&amp;TODAY()-WEEKDAY(TODAY(),2)+8)))</f>
        <v>0</v>
      </c>
      <c r="L42" s="36">
        <f ca="1">IF($A42="","",IF(L$1="","",COUNTIFS(tbl_chests[from],$A42,tbl_chests[legalized],L$1,tbl_chests[datetime],"&gt;="&amp;TODAY()-WEEKDAY(TODAY(),2)+1,tbl_chests[datetime],"&lt;"&amp;TODAY()-WEEKDAY(TODAY(),2)+8)))</f>
        <v>0</v>
      </c>
      <c r="M42" s="36">
        <f ca="1">IF($A42="","",IF(M$1="","",COUNTIFS(tbl_chests[from],$A42,tbl_chests[legalized],M$1,tbl_chests[datetime],"&gt;="&amp;TODAY()-WEEKDAY(TODAY(),2)+1,tbl_chests[datetime],"&lt;"&amp;TODAY()-WEEKDAY(TODAY(),2)+8)))</f>
        <v>0</v>
      </c>
      <c r="N42" s="36">
        <f ca="1">IF($A42="","",IF(N$1="","",COUNTIFS(tbl_chests[from],$A42,tbl_chests[legalized],N$1,tbl_chests[datetime],"&gt;="&amp;TODAY()-WEEKDAY(TODAY(),2)+1,tbl_chests[datetime],"&lt;"&amp;TODAY()-WEEKDAY(TODAY(),2)+8)))</f>
        <v>0</v>
      </c>
      <c r="O42" s="36">
        <f ca="1">IF($A42="","",IF(O$1="","",COUNTIFS(tbl_chests[from],$A42,tbl_chests[legalized],O$1,tbl_chests[datetime],"&gt;="&amp;TODAY()-WEEKDAY(TODAY(),2)+1,tbl_chests[datetime],"&lt;"&amp;TODAY()-WEEKDAY(TODAY(),2)+8)))</f>
        <v>0</v>
      </c>
      <c r="P42" s="36">
        <f ca="1">IF($A42="","",IF(P$1="","",COUNTIFS(tbl_chests[from],$A42,tbl_chests[legalized],P$1,tbl_chests[datetime],"&gt;="&amp;TODAY()-WEEKDAY(TODAY(),2)+1,tbl_chests[datetime],"&lt;"&amp;TODAY()-WEEKDAY(TODAY(),2)+8)))</f>
        <v>0</v>
      </c>
      <c r="Q42" s="36">
        <f ca="1">IF($A42="","",IF(Q$1="","",COUNTIFS(tbl_chests[from],$A42,tbl_chests[legalized],Q$1,tbl_chests[datetime],"&gt;="&amp;TODAY()-WEEKDAY(TODAY(),2)+1,tbl_chests[datetime],"&lt;"&amp;TODAY()-WEEKDAY(TODAY(),2)+8)))</f>
        <v>0</v>
      </c>
      <c r="R42" s="36">
        <f ca="1">IF($A42="","",IF(R$1="","",COUNTIFS(tbl_chests[from],$A42,tbl_chests[legalized],R$1,tbl_chests[datetime],"&gt;="&amp;TODAY()-WEEKDAY(TODAY(),2)+1,tbl_chests[datetime],"&lt;"&amp;TODAY()-WEEKDAY(TODAY(),2)+8)))</f>
        <v>0</v>
      </c>
      <c r="S42" s="36">
        <f ca="1">IF($A42="","",IF(S$1="","",COUNTIFS(tbl_chests[from],$A42,tbl_chests[legalized],S$1,tbl_chests[datetime],"&gt;="&amp;TODAY()-WEEKDAY(TODAY(),2)+1,tbl_chests[datetime],"&lt;"&amp;TODAY()-WEEKDAY(TODAY(),2)+8)))</f>
        <v>0</v>
      </c>
      <c r="T42" s="36">
        <f ca="1">IF($A42="","",IF(T$1="","",COUNTIFS(tbl_chests[from],$A42,tbl_chests[legalized],T$1,tbl_chests[datetime],"&gt;="&amp;TODAY()-WEEKDAY(TODAY(),2)+1,tbl_chests[datetime],"&lt;"&amp;TODAY()-WEEKDAY(TODAY(),2)+8)))</f>
        <v>0</v>
      </c>
      <c r="U42" s="36">
        <f ca="1">IF($A42="","",IF(U$1="","",COUNTIFS(tbl_chests[from],$A42,tbl_chests[legalized],U$1,tbl_chests[datetime],"&gt;="&amp;TODAY()-WEEKDAY(TODAY(),2)+1,tbl_chests[datetime],"&lt;"&amp;TODAY()-WEEKDAY(TODAY(),2)+8)))</f>
        <v>0</v>
      </c>
      <c r="V42" s="36">
        <f ca="1">IF($A42="","",IF(V$1="","",COUNTIFS(tbl_chests[from],$A42,tbl_chests[legalized],V$1,tbl_chests[datetime],"&gt;="&amp;TODAY()-WEEKDAY(TODAY(),2)+1,tbl_chests[datetime],"&lt;"&amp;TODAY()-WEEKDAY(TODAY(),2)+8)))</f>
        <v>0</v>
      </c>
      <c r="W42" s="36">
        <f ca="1">IF($A42="","",IF(W$1="","",COUNTIFS(tbl_chests[from],$A42,tbl_chests[legalized],W$1,tbl_chests[datetime],"&gt;="&amp;TODAY()-WEEKDAY(TODAY(),2)+1,tbl_chests[datetime],"&lt;"&amp;TODAY()-WEEKDAY(TODAY(),2)+8)))</f>
        <v>0</v>
      </c>
      <c r="X42" s="36">
        <f ca="1">IF($A42="","",IF(X$1="","",COUNTIFS(tbl_chests[from],$A42,tbl_chests[legalized],X$1,tbl_chests[datetime],"&gt;="&amp;TODAY()-WEEKDAY(TODAY(),2)+1,tbl_chests[datetime],"&lt;"&amp;TODAY()-WEEKDAY(TODAY(),2)+8)))</f>
        <v>0</v>
      </c>
      <c r="Y42" s="36">
        <f ca="1">IF($A42="","",IF(Y$1="","",COUNTIFS(tbl_chests[from],$A42,tbl_chests[legalized],Y$1,tbl_chests[datetime],"&gt;="&amp;TODAY()-WEEKDAY(TODAY(),2)+1,tbl_chests[datetime],"&lt;"&amp;TODAY()-WEEKDAY(TODAY(),2)+8)))</f>
        <v>0</v>
      </c>
      <c r="Z42" s="36">
        <f ca="1">IF($A42="","",IF(Z$1="","",COUNTIFS(tbl_chests[from],$A42,tbl_chests[legalized],Z$1,tbl_chests[datetime],"&gt;="&amp;TODAY()-WEEKDAY(TODAY(),2)+1,tbl_chests[datetime],"&lt;"&amp;TODAY()-WEEKDAY(TODAY(),2)+8)))</f>
        <v>0</v>
      </c>
      <c r="AA42" s="36">
        <f ca="1">IF($A42="","",IF(AA$1="","",COUNTIFS(tbl_chests[from],$A42,tbl_chests[legalized],AA$1,tbl_chests[datetime],"&gt;="&amp;TODAY()-WEEKDAY(TODAY(),2)+1,tbl_chests[datetime],"&lt;"&amp;TODAY()-WEEKDAY(TODAY(),2)+8)))</f>
        <v>3</v>
      </c>
      <c r="AB42" s="36">
        <f ca="1">IF($A42="","",IF(AB$1="","",COUNTIFS(tbl_chests[from],$A42,tbl_chests[legalized],AB$1,tbl_chests[datetime],"&gt;="&amp;TODAY()-WEEKDAY(TODAY(),2)+1,tbl_chests[datetime],"&lt;"&amp;TODAY()-WEEKDAY(TODAY(),2)+8)))</f>
        <v>0</v>
      </c>
      <c r="AC42" s="36">
        <f ca="1">IF($A42="","",IF(AC$1="","",COUNTIFS(tbl_chests[from],$A42,tbl_chests[legalized],AC$1,tbl_chests[datetime],"&gt;="&amp;TODAY()-WEEKDAY(TODAY(),2)+1,tbl_chests[datetime],"&lt;"&amp;TODAY()-WEEKDAY(TODAY(),2)+8)))</f>
        <v>0</v>
      </c>
      <c r="AD42" s="36">
        <f ca="1">IF($A42="","",IF(AD$1="","",COUNTIFS(tbl_chests[from],$A42,tbl_chests[legalized],AD$1,tbl_chests[datetime],"&gt;="&amp;TODAY()-WEEKDAY(TODAY(),2)+1,tbl_chests[datetime],"&lt;"&amp;TODAY()-WEEKDAY(TODAY(),2)+8)))</f>
        <v>0</v>
      </c>
      <c r="AE42" s="36">
        <f ca="1">IF($A42="","",IF(AE$1="","",COUNTIFS(tbl_chests[from],$A42,tbl_chests[legalized],AE$1,tbl_chests[datetime],"&gt;="&amp;TODAY()-WEEKDAY(TODAY(),2)+1,tbl_chests[datetime],"&lt;"&amp;TODAY()-WEEKDAY(TODAY(),2)+8)))</f>
        <v>1</v>
      </c>
      <c r="AF42" s="36">
        <f ca="1">IF($A42="","",IF(AF$1="","",COUNTIFS(tbl_chests[from],$A42,tbl_chests[legalized],AF$1,tbl_chests[datetime],"&gt;="&amp;TODAY()-WEEKDAY(TODAY(),2)+1,tbl_chests[datetime],"&lt;"&amp;TODAY()-WEEKDAY(TODAY(),2)+8)))</f>
        <v>0</v>
      </c>
      <c r="AG42" s="36">
        <f ca="1">IF($A42="","",IF(AG$1="","",COUNTIFS(tbl_chests[from],$A42,tbl_chests[legalized],AG$1,tbl_chests[datetime],"&gt;="&amp;TODAY()-WEEKDAY(TODAY(),2)+1,tbl_chests[datetime],"&lt;"&amp;TODAY()-WEEKDAY(TODAY(),2)+8)))</f>
        <v>0</v>
      </c>
      <c r="AH42" s="36">
        <f ca="1">IF($A42="","",IF(AH$1="","",COUNTIFS(tbl_chests[from],$A42,tbl_chests[legalized],AH$1,tbl_chests[datetime],"&gt;="&amp;TODAY()-WEEKDAY(TODAY(),2)+1,tbl_chests[datetime],"&lt;"&amp;TODAY()-WEEKDAY(TODAY(),2)+8)))</f>
        <v>0</v>
      </c>
      <c r="AI42" s="36">
        <f ca="1">IF($A42="","",IF(AI$1="","",COUNTIFS(tbl_chests[from],$A42,tbl_chests[legalized],AI$1,tbl_chests[datetime],"&gt;="&amp;TODAY()-WEEKDAY(TODAY(),2)+1,tbl_chests[datetime],"&lt;"&amp;TODAY()-WEEKDAY(TODAY(),2)+8)))</f>
        <v>0</v>
      </c>
      <c r="AJ42" s="36">
        <f ca="1">IF($A42="","",IF(AJ$1="","",COUNTIFS(tbl_chests[from],$A42,tbl_chests[legalized],AJ$1,tbl_chests[datetime],"&gt;="&amp;TODAY()-WEEKDAY(TODAY(),2)+1,tbl_chests[datetime],"&lt;"&amp;TODAY()-WEEKDAY(TODAY(),2)+8)))</f>
        <v>0</v>
      </c>
      <c r="AK42" s="36">
        <f ca="1">IF($A42="","",IF(AK$1="","",COUNTIFS(tbl_chests[from],$A42,tbl_chests[legalized],AK$1,tbl_chests[datetime],"&gt;="&amp;TODAY()-WEEKDAY(TODAY(),2)+1,tbl_chests[datetime],"&lt;"&amp;TODAY()-WEEKDAY(TODAY(),2)+8)))</f>
        <v>0</v>
      </c>
      <c r="AL42" s="36">
        <f ca="1">IF($A42="","",IF(AL$1="","",COUNTIFS(tbl_chests[from],$A42,tbl_chests[legalized],AL$1,tbl_chests[datetime],"&gt;="&amp;TODAY()-WEEKDAY(TODAY(),2)+1,tbl_chests[datetime],"&lt;"&amp;TODAY()-WEEKDAY(TODAY(),2)+8)))</f>
        <v>0</v>
      </c>
      <c r="AM42" s="37">
        <f ca="1">IF($A42="","",IF(AM$1="","",COUNTIFS(tbl_chests[from],$A42,tbl_chests[legalized],AM$1,tbl_chests[datetime],"&gt;="&amp;TODAY()-WEEKDAY(TODAY(),2)+1,tbl_chests[datetime],"&lt;"&amp;TODAY()-WEEKDAY(TODAY(),2)+8)))</f>
        <v>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 t="str">
        <f>IF($A42 = "","",IF(BF$1 = "","",COUNTIFS(#REF!,$A42,#REF!,BF$1)))</f>
        <v/>
      </c>
      <c r="BG42" s="5" t="str">
        <f>IF($A42 = "","",IF(BG$1 = "","",COUNTIFS(#REF!,$A42,#REF!,BG$1)))</f>
        <v/>
      </c>
      <c r="BH42" s="5" t="str">
        <f>IF($A42 = "","",IF(BH$1 = "","",COUNTIFS(#REF!,$A42,#REF!,BH$1)))</f>
        <v/>
      </c>
      <c r="BI42" s="5" t="str">
        <f>IF($A42 = "","",IF(BI$1 = "","",COUNTIFS(#REF!,$A42,#REF!,BI$1)))</f>
        <v/>
      </c>
      <c r="BJ42" s="5" t="str">
        <f>IF($A42 = "","",IF(BJ$1 = "","",COUNTIFS(#REF!,$A42,#REF!,BJ$1)))</f>
        <v/>
      </c>
      <c r="BK42" s="5" t="str">
        <f>IF($A42 = "","",IF(BK$1 = "","",COUNTIFS(#REF!,$A42,#REF!,BK$1)))</f>
        <v/>
      </c>
      <c r="BL42" s="5" t="str">
        <f>IF($A42 = "","",IF(BL$1 = "","",COUNTIFS(#REF!,$A42,#REF!,BL$1)))</f>
        <v/>
      </c>
      <c r="BM42" s="5" t="str">
        <f>IF($A42 = "","",IF(BM$1 = "","",COUNTIFS(#REF!,$A42,#REF!,BM$1)))</f>
        <v/>
      </c>
      <c r="BN42" s="5" t="str">
        <f>IF($A42 = "","",IF(BN$1 = "","",COUNTIFS(#REF!,$A42,#REF!,BN$1)))</f>
        <v/>
      </c>
      <c r="BO42" s="5" t="str">
        <f>IF($A42 = "","",IF(BO$1 = "","",COUNTIFS(#REF!,$A42,#REF!,BO$1)))</f>
        <v/>
      </c>
    </row>
    <row r="43" spans="1:67" ht="15.75" customHeight="1" x14ac:dyDescent="0.25">
      <c r="A43" s="34" t="str">
        <f>chests_counter!$H40</f>
        <v>Lil Thog of Boomtown</v>
      </c>
      <c r="B43" s="35" cm="1">
        <f t="array" aca="1" ref="B43" ca="1">IF(A43&lt;&gt;"", SUMPRODUCT(($C$2:$AM$2&lt;&gt;0)*(C43:AM43&lt;&gt;0)*($C$2:$AM$2)*(C43:AM43)), "")</f>
        <v>2465</v>
      </c>
      <c r="C43" s="36">
        <f ca="1">IF($A43="","",IF(C$1="","",COUNTIFS(tbl_chests[from],$A43,tbl_chests[legalized],C$1,tbl_chests[datetime],"&gt;="&amp;TODAY()-WEEKDAY(TODAY(),2)+1,tbl_chests[datetime],"&lt;"&amp;TODAY()-WEEKDAY(TODAY(),2)+8)))</f>
        <v>0</v>
      </c>
      <c r="D43" s="36">
        <f ca="1">IF($A43="","",IF(D$1="","",COUNTIFS(tbl_chests[from],$A43,tbl_chests[legalized],D$1,tbl_chests[datetime],"&gt;="&amp;TODAY()-WEEKDAY(TODAY(),2)+1,tbl_chests[datetime],"&lt;"&amp;TODAY()-WEEKDAY(TODAY(),2)+8)))</f>
        <v>12</v>
      </c>
      <c r="E43" s="36">
        <f ca="1">IF($A43="","",IF(E$1="","",COUNTIFS(tbl_chests[from],$A43,tbl_chests[legalized],E$1,tbl_chests[datetime],"&gt;="&amp;TODAY()-WEEKDAY(TODAY(),2)+1,tbl_chests[datetime],"&lt;"&amp;TODAY()-WEEKDAY(TODAY(),2)+8)))</f>
        <v>44</v>
      </c>
      <c r="F43" s="36">
        <f ca="1">IF($A43="","",IF(F$1="","",COUNTIFS(tbl_chests[from],$A43,tbl_chests[legalized],F$1,tbl_chests[datetime],"&gt;="&amp;TODAY()-WEEKDAY(TODAY(),2)+1,tbl_chests[datetime],"&lt;"&amp;TODAY()-WEEKDAY(TODAY(),2)+8)))</f>
        <v>0</v>
      </c>
      <c r="G43" s="36">
        <f ca="1">IF($A43="","",IF(G$1="","",COUNTIFS(tbl_chests[from],$A43,tbl_chests[legalized],G$1,tbl_chests[datetime],"&gt;="&amp;TODAY()-WEEKDAY(TODAY(),2)+1,tbl_chests[datetime],"&lt;"&amp;TODAY()-WEEKDAY(TODAY(),2)+8)))</f>
        <v>0</v>
      </c>
      <c r="H43" s="36">
        <f ca="1">IF($A43="","",IF(H$1="","",COUNTIFS(tbl_chests[from],$A43,tbl_chests[legalized],H$1,tbl_chests[datetime],"&gt;="&amp;TODAY()-WEEKDAY(TODAY(),2)+1,tbl_chests[datetime],"&lt;"&amp;TODAY()-WEEKDAY(TODAY(),2)+8)))</f>
        <v>31</v>
      </c>
      <c r="I43" s="36">
        <f ca="1">IF($A43="","",IF(I$1="","",COUNTIFS(tbl_chests[from],$A43,tbl_chests[legalized],I$1,tbl_chests[datetime],"&gt;="&amp;TODAY()-WEEKDAY(TODAY(),2)+1,tbl_chests[datetime],"&lt;"&amp;TODAY()-WEEKDAY(TODAY(),2)+8)))</f>
        <v>0</v>
      </c>
      <c r="J43" s="36">
        <f ca="1">IF($A43="","",IF(J$1="","",COUNTIFS(tbl_chests[from],$A43,tbl_chests[legalized],J$1,tbl_chests[datetime],"&gt;="&amp;TODAY()-WEEKDAY(TODAY(),2)+1,tbl_chests[datetime],"&lt;"&amp;TODAY()-WEEKDAY(TODAY(),2)+8)))</f>
        <v>0</v>
      </c>
      <c r="K43" s="36">
        <f ca="1">IF($A43="","",IF(K$1="","",COUNTIFS(tbl_chests[from],$A43,tbl_chests[legalized],K$1,tbl_chests[datetime],"&gt;="&amp;TODAY()-WEEKDAY(TODAY(),2)+1,tbl_chests[datetime],"&lt;"&amp;TODAY()-WEEKDAY(TODAY(),2)+8)))</f>
        <v>0</v>
      </c>
      <c r="L43" s="36">
        <f ca="1">IF($A43="","",IF(L$1="","",COUNTIFS(tbl_chests[from],$A43,tbl_chests[legalized],L$1,tbl_chests[datetime],"&gt;="&amp;TODAY()-WEEKDAY(TODAY(),2)+1,tbl_chests[datetime],"&lt;"&amp;TODAY()-WEEKDAY(TODAY(),2)+8)))</f>
        <v>0</v>
      </c>
      <c r="M43" s="36">
        <f ca="1">IF($A43="","",IF(M$1="","",COUNTIFS(tbl_chests[from],$A43,tbl_chests[legalized],M$1,tbl_chests[datetime],"&gt;="&amp;TODAY()-WEEKDAY(TODAY(),2)+1,tbl_chests[datetime],"&lt;"&amp;TODAY()-WEEKDAY(TODAY(),2)+8)))</f>
        <v>8</v>
      </c>
      <c r="N43" s="36">
        <f ca="1">IF($A43="","",IF(N$1="","",COUNTIFS(tbl_chests[from],$A43,tbl_chests[legalized],N$1,tbl_chests[datetime],"&gt;="&amp;TODAY()-WEEKDAY(TODAY(),2)+1,tbl_chests[datetime],"&lt;"&amp;TODAY()-WEEKDAY(TODAY(),2)+8)))</f>
        <v>0</v>
      </c>
      <c r="O43" s="36">
        <f ca="1">IF($A43="","",IF(O$1="","",COUNTIFS(tbl_chests[from],$A43,tbl_chests[legalized],O$1,tbl_chests[datetime],"&gt;="&amp;TODAY()-WEEKDAY(TODAY(),2)+1,tbl_chests[datetime],"&lt;"&amp;TODAY()-WEEKDAY(TODAY(),2)+8)))</f>
        <v>0</v>
      </c>
      <c r="P43" s="36">
        <f ca="1">IF($A43="","",IF(P$1="","",COUNTIFS(tbl_chests[from],$A43,tbl_chests[legalized],P$1,tbl_chests[datetime],"&gt;="&amp;TODAY()-WEEKDAY(TODAY(),2)+1,tbl_chests[datetime],"&lt;"&amp;TODAY()-WEEKDAY(TODAY(),2)+8)))</f>
        <v>0</v>
      </c>
      <c r="Q43" s="36">
        <f ca="1">IF($A43="","",IF(Q$1="","",COUNTIFS(tbl_chests[from],$A43,tbl_chests[legalized],Q$1,tbl_chests[datetime],"&gt;="&amp;TODAY()-WEEKDAY(TODAY(),2)+1,tbl_chests[datetime],"&lt;"&amp;TODAY()-WEEKDAY(TODAY(),2)+8)))</f>
        <v>0</v>
      </c>
      <c r="R43" s="36">
        <f ca="1">IF($A43="","",IF(R$1="","",COUNTIFS(tbl_chests[from],$A43,tbl_chests[legalized],R$1,tbl_chests[datetime],"&gt;="&amp;TODAY()-WEEKDAY(TODAY(),2)+1,tbl_chests[datetime],"&lt;"&amp;TODAY()-WEEKDAY(TODAY(),2)+8)))</f>
        <v>4</v>
      </c>
      <c r="S43" s="36">
        <f ca="1">IF($A43="","",IF(S$1="","",COUNTIFS(tbl_chests[from],$A43,tbl_chests[legalized],S$1,tbl_chests[datetime],"&gt;="&amp;TODAY()-WEEKDAY(TODAY(),2)+1,tbl_chests[datetime],"&lt;"&amp;TODAY()-WEEKDAY(TODAY(),2)+8)))</f>
        <v>0</v>
      </c>
      <c r="T43" s="36">
        <f ca="1">IF($A43="","",IF(T$1="","",COUNTIFS(tbl_chests[from],$A43,tbl_chests[legalized],T$1,tbl_chests[datetime],"&gt;="&amp;TODAY()-WEEKDAY(TODAY(),2)+1,tbl_chests[datetime],"&lt;"&amp;TODAY()-WEEKDAY(TODAY(),2)+8)))</f>
        <v>0</v>
      </c>
      <c r="U43" s="36">
        <f ca="1">IF($A43="","",IF(U$1="","",COUNTIFS(tbl_chests[from],$A43,tbl_chests[legalized],U$1,tbl_chests[datetime],"&gt;="&amp;TODAY()-WEEKDAY(TODAY(),2)+1,tbl_chests[datetime],"&lt;"&amp;TODAY()-WEEKDAY(TODAY(),2)+8)))</f>
        <v>0</v>
      </c>
      <c r="V43" s="36">
        <f ca="1">IF($A43="","",IF(V$1="","",COUNTIFS(tbl_chests[from],$A43,tbl_chests[legalized],V$1,tbl_chests[datetime],"&gt;="&amp;TODAY()-WEEKDAY(TODAY(),2)+1,tbl_chests[datetime],"&lt;"&amp;TODAY()-WEEKDAY(TODAY(),2)+8)))</f>
        <v>0</v>
      </c>
      <c r="W43" s="36">
        <f ca="1">IF($A43="","",IF(W$1="","",COUNTIFS(tbl_chests[from],$A43,tbl_chests[legalized],W$1,tbl_chests[datetime],"&gt;="&amp;TODAY()-WEEKDAY(TODAY(),2)+1,tbl_chests[datetime],"&lt;"&amp;TODAY()-WEEKDAY(TODAY(),2)+8)))</f>
        <v>0</v>
      </c>
      <c r="X43" s="36">
        <f ca="1">IF($A43="","",IF(X$1="","",COUNTIFS(tbl_chests[from],$A43,tbl_chests[legalized],X$1,tbl_chests[datetime],"&gt;="&amp;TODAY()-WEEKDAY(TODAY(),2)+1,tbl_chests[datetime],"&lt;"&amp;TODAY()-WEEKDAY(TODAY(),2)+8)))</f>
        <v>0</v>
      </c>
      <c r="Y43" s="36">
        <f ca="1">IF($A43="","",IF(Y$1="","",COUNTIFS(tbl_chests[from],$A43,tbl_chests[legalized],Y$1,tbl_chests[datetime],"&gt;="&amp;TODAY()-WEEKDAY(TODAY(),2)+1,tbl_chests[datetime],"&lt;"&amp;TODAY()-WEEKDAY(TODAY(),2)+8)))</f>
        <v>0</v>
      </c>
      <c r="Z43" s="36">
        <f ca="1">IF($A43="","",IF(Z$1="","",COUNTIFS(tbl_chests[from],$A43,tbl_chests[legalized],Z$1,tbl_chests[datetime],"&gt;="&amp;TODAY()-WEEKDAY(TODAY(),2)+1,tbl_chests[datetime],"&lt;"&amp;TODAY()-WEEKDAY(TODAY(),2)+8)))</f>
        <v>0</v>
      </c>
      <c r="AA43" s="36">
        <f ca="1">IF($A43="","",IF(AA$1="","",COUNTIFS(tbl_chests[from],$A43,tbl_chests[legalized],AA$1,tbl_chests[datetime],"&gt;="&amp;TODAY()-WEEKDAY(TODAY(),2)+1,tbl_chests[datetime],"&lt;"&amp;TODAY()-WEEKDAY(TODAY(),2)+8)))</f>
        <v>6</v>
      </c>
      <c r="AB43" s="36">
        <f ca="1">IF($A43="","",IF(AB$1="","",COUNTIFS(tbl_chests[from],$A43,tbl_chests[legalized],AB$1,tbl_chests[datetime],"&gt;="&amp;TODAY()-WEEKDAY(TODAY(),2)+1,tbl_chests[datetime],"&lt;"&amp;TODAY()-WEEKDAY(TODAY(),2)+8)))</f>
        <v>0</v>
      </c>
      <c r="AC43" s="36">
        <f ca="1">IF($A43="","",IF(AC$1="","",COUNTIFS(tbl_chests[from],$A43,tbl_chests[legalized],AC$1,tbl_chests[datetime],"&gt;="&amp;TODAY()-WEEKDAY(TODAY(),2)+1,tbl_chests[datetime],"&lt;"&amp;TODAY()-WEEKDAY(TODAY(),2)+8)))</f>
        <v>0</v>
      </c>
      <c r="AD43" s="36">
        <f ca="1">IF($A43="","",IF(AD$1="","",COUNTIFS(tbl_chests[from],$A43,tbl_chests[legalized],AD$1,tbl_chests[datetime],"&gt;="&amp;TODAY()-WEEKDAY(TODAY(),2)+1,tbl_chests[datetime],"&lt;"&amp;TODAY()-WEEKDAY(TODAY(),2)+8)))</f>
        <v>0</v>
      </c>
      <c r="AE43" s="36">
        <f ca="1">IF($A43="","",IF(AE$1="","",COUNTIFS(tbl_chests[from],$A43,tbl_chests[legalized],AE$1,tbl_chests[datetime],"&gt;="&amp;TODAY()-WEEKDAY(TODAY(),2)+1,tbl_chests[datetime],"&lt;"&amp;TODAY()-WEEKDAY(TODAY(),2)+8)))</f>
        <v>15</v>
      </c>
      <c r="AF43" s="36">
        <f ca="1">IF($A43="","",IF(AF$1="","",COUNTIFS(tbl_chests[from],$A43,tbl_chests[legalized],AF$1,tbl_chests[datetime],"&gt;="&amp;TODAY()-WEEKDAY(TODAY(),2)+1,tbl_chests[datetime],"&lt;"&amp;TODAY()-WEEKDAY(TODAY(),2)+8)))</f>
        <v>0</v>
      </c>
      <c r="AG43" s="36">
        <f ca="1">IF($A43="","",IF(AG$1="","",COUNTIFS(tbl_chests[from],$A43,tbl_chests[legalized],AG$1,tbl_chests[datetime],"&gt;="&amp;TODAY()-WEEKDAY(TODAY(),2)+1,tbl_chests[datetime],"&lt;"&amp;TODAY()-WEEKDAY(TODAY(),2)+8)))</f>
        <v>0</v>
      </c>
      <c r="AH43" s="36">
        <f ca="1">IF($A43="","",IF(AH$1="","",COUNTIFS(tbl_chests[from],$A43,tbl_chests[legalized],AH$1,tbl_chests[datetime],"&gt;="&amp;TODAY()-WEEKDAY(TODAY(),2)+1,tbl_chests[datetime],"&lt;"&amp;TODAY()-WEEKDAY(TODAY(),2)+8)))</f>
        <v>0</v>
      </c>
      <c r="AI43" s="36">
        <f ca="1">IF($A43="","",IF(AI$1="","",COUNTIFS(tbl_chests[from],$A43,tbl_chests[legalized],AI$1,tbl_chests[datetime],"&gt;="&amp;TODAY()-WEEKDAY(TODAY(),2)+1,tbl_chests[datetime],"&lt;"&amp;TODAY()-WEEKDAY(TODAY(),2)+8)))</f>
        <v>0</v>
      </c>
      <c r="AJ43" s="36">
        <f ca="1">IF($A43="","",IF(AJ$1="","",COUNTIFS(tbl_chests[from],$A43,tbl_chests[legalized],AJ$1,tbl_chests[datetime],"&gt;="&amp;TODAY()-WEEKDAY(TODAY(),2)+1,tbl_chests[datetime],"&lt;"&amp;TODAY()-WEEKDAY(TODAY(),2)+8)))</f>
        <v>0</v>
      </c>
      <c r="AK43" s="36">
        <f ca="1">IF($A43="","",IF(AK$1="","",COUNTIFS(tbl_chests[from],$A43,tbl_chests[legalized],AK$1,tbl_chests[datetime],"&gt;="&amp;TODAY()-WEEKDAY(TODAY(),2)+1,tbl_chests[datetime],"&lt;"&amp;TODAY()-WEEKDAY(TODAY(),2)+8)))</f>
        <v>0</v>
      </c>
      <c r="AL43" s="36">
        <f ca="1">IF($A43="","",IF(AL$1="","",COUNTIFS(tbl_chests[from],$A43,tbl_chests[legalized],AL$1,tbl_chests[datetime],"&gt;="&amp;TODAY()-WEEKDAY(TODAY(),2)+1,tbl_chests[datetime],"&lt;"&amp;TODAY()-WEEKDAY(TODAY(),2)+8)))</f>
        <v>0</v>
      </c>
      <c r="AM43" s="37">
        <f ca="1">IF($A43="","",IF(AM$1="","",COUNTIFS(tbl_chests[from],$A43,tbl_chests[legalized],AM$1,tbl_chests[datetime],"&gt;="&amp;TODAY()-WEEKDAY(TODAY(),2)+1,tbl_chests[datetime],"&lt;"&amp;TODAY()-WEEKDAY(TODAY(),2)+8)))</f>
        <v>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 ht="15.75" customHeight="1" x14ac:dyDescent="0.25">
      <c r="A44" s="34" t="str">
        <f>chests_counter!$H41</f>
        <v>Lirosin</v>
      </c>
      <c r="B44" s="35" cm="1">
        <f t="array" aca="1" ref="B44" ca="1">IF(A44&lt;&gt;"", SUMPRODUCT(($C$2:$AM$2&lt;&gt;0)*(C44:AM44&lt;&gt;0)*($C$2:$AM$2)*(C44:AM44)), "")</f>
        <v>155</v>
      </c>
      <c r="C44" s="36">
        <f ca="1">IF($A44="","",IF(C$1="","",COUNTIFS(tbl_chests[from],$A44,tbl_chests[legalized],C$1,tbl_chests[datetime],"&gt;="&amp;TODAY()-WEEKDAY(TODAY(),2)+1,tbl_chests[datetime],"&lt;"&amp;TODAY()-WEEKDAY(TODAY(),2)+8)))</f>
        <v>3</v>
      </c>
      <c r="D44" s="36">
        <f ca="1">IF($A44="","",IF(D$1="","",COUNTIFS(tbl_chests[from],$A44,tbl_chests[legalized],D$1,tbl_chests[datetime],"&gt;="&amp;TODAY()-WEEKDAY(TODAY(),2)+1,tbl_chests[datetime],"&lt;"&amp;TODAY()-WEEKDAY(TODAY(),2)+8)))</f>
        <v>6</v>
      </c>
      <c r="E44" s="36">
        <f ca="1">IF($A44="","",IF(E$1="","",COUNTIFS(tbl_chests[from],$A44,tbl_chests[legalized],E$1,tbl_chests[datetime],"&gt;="&amp;TODAY()-WEEKDAY(TODAY(),2)+1,tbl_chests[datetime],"&lt;"&amp;TODAY()-WEEKDAY(TODAY(),2)+8)))</f>
        <v>0</v>
      </c>
      <c r="F44" s="36">
        <f ca="1">IF($A44="","",IF(F$1="","",COUNTIFS(tbl_chests[from],$A44,tbl_chests[legalized],F$1,tbl_chests[datetime],"&gt;="&amp;TODAY()-WEEKDAY(TODAY(),2)+1,tbl_chests[datetime],"&lt;"&amp;TODAY()-WEEKDAY(TODAY(),2)+8)))</f>
        <v>0</v>
      </c>
      <c r="G44" s="36">
        <f ca="1">IF($A44="","",IF(G$1="","",COUNTIFS(tbl_chests[from],$A44,tbl_chests[legalized],G$1,tbl_chests[datetime],"&gt;="&amp;TODAY()-WEEKDAY(TODAY(),2)+1,tbl_chests[datetime],"&lt;"&amp;TODAY()-WEEKDAY(TODAY(),2)+8)))</f>
        <v>0</v>
      </c>
      <c r="H44" s="36">
        <f ca="1">IF($A44="","",IF(H$1="","",COUNTIFS(tbl_chests[from],$A44,tbl_chests[legalized],H$1,tbl_chests[datetime],"&gt;="&amp;TODAY()-WEEKDAY(TODAY(),2)+1,tbl_chests[datetime],"&lt;"&amp;TODAY()-WEEKDAY(TODAY(),2)+8)))</f>
        <v>0</v>
      </c>
      <c r="I44" s="36">
        <f ca="1">IF($A44="","",IF(I$1="","",COUNTIFS(tbl_chests[from],$A44,tbl_chests[legalized],I$1,tbl_chests[datetime],"&gt;="&amp;TODAY()-WEEKDAY(TODAY(),2)+1,tbl_chests[datetime],"&lt;"&amp;TODAY()-WEEKDAY(TODAY(),2)+8)))</f>
        <v>0</v>
      </c>
      <c r="J44" s="36">
        <f ca="1">IF($A44="","",IF(J$1="","",COUNTIFS(tbl_chests[from],$A44,tbl_chests[legalized],J$1,tbl_chests[datetime],"&gt;="&amp;TODAY()-WEEKDAY(TODAY(),2)+1,tbl_chests[datetime],"&lt;"&amp;TODAY()-WEEKDAY(TODAY(),2)+8)))</f>
        <v>0</v>
      </c>
      <c r="K44" s="36">
        <f ca="1">IF($A44="","",IF(K$1="","",COUNTIFS(tbl_chests[from],$A44,tbl_chests[legalized],K$1,tbl_chests[datetime],"&gt;="&amp;TODAY()-WEEKDAY(TODAY(),2)+1,tbl_chests[datetime],"&lt;"&amp;TODAY()-WEEKDAY(TODAY(),2)+8)))</f>
        <v>0</v>
      </c>
      <c r="L44" s="36">
        <f ca="1">IF($A44="","",IF(L$1="","",COUNTIFS(tbl_chests[from],$A44,tbl_chests[legalized],L$1,tbl_chests[datetime],"&gt;="&amp;TODAY()-WEEKDAY(TODAY(),2)+1,tbl_chests[datetime],"&lt;"&amp;TODAY()-WEEKDAY(TODAY(),2)+8)))</f>
        <v>0</v>
      </c>
      <c r="M44" s="36">
        <f ca="1">IF($A44="","",IF(M$1="","",COUNTIFS(tbl_chests[from],$A44,tbl_chests[legalized],M$1,tbl_chests[datetime],"&gt;="&amp;TODAY()-WEEKDAY(TODAY(),2)+1,tbl_chests[datetime],"&lt;"&amp;TODAY()-WEEKDAY(TODAY(),2)+8)))</f>
        <v>0</v>
      </c>
      <c r="N44" s="36">
        <f ca="1">IF($A44="","",IF(N$1="","",COUNTIFS(tbl_chests[from],$A44,tbl_chests[legalized],N$1,tbl_chests[datetime],"&gt;="&amp;TODAY()-WEEKDAY(TODAY(),2)+1,tbl_chests[datetime],"&lt;"&amp;TODAY()-WEEKDAY(TODAY(),2)+8)))</f>
        <v>0</v>
      </c>
      <c r="O44" s="36">
        <f ca="1">IF($A44="","",IF(O$1="","",COUNTIFS(tbl_chests[from],$A44,tbl_chests[legalized],O$1,tbl_chests[datetime],"&gt;="&amp;TODAY()-WEEKDAY(TODAY(),2)+1,tbl_chests[datetime],"&lt;"&amp;TODAY()-WEEKDAY(TODAY(),2)+8)))</f>
        <v>0</v>
      </c>
      <c r="P44" s="36">
        <f ca="1">IF($A44="","",IF(P$1="","",COUNTIFS(tbl_chests[from],$A44,tbl_chests[legalized],P$1,tbl_chests[datetime],"&gt;="&amp;TODAY()-WEEKDAY(TODAY(),2)+1,tbl_chests[datetime],"&lt;"&amp;TODAY()-WEEKDAY(TODAY(),2)+8)))</f>
        <v>0</v>
      </c>
      <c r="Q44" s="36">
        <f ca="1">IF($A44="","",IF(Q$1="","",COUNTIFS(tbl_chests[from],$A44,tbl_chests[legalized],Q$1,tbl_chests[datetime],"&gt;="&amp;TODAY()-WEEKDAY(TODAY(),2)+1,tbl_chests[datetime],"&lt;"&amp;TODAY()-WEEKDAY(TODAY(),2)+8)))</f>
        <v>0</v>
      </c>
      <c r="R44" s="36">
        <f ca="1">IF($A44="","",IF(R$1="","",COUNTIFS(tbl_chests[from],$A44,tbl_chests[legalized],R$1,tbl_chests[datetime],"&gt;="&amp;TODAY()-WEEKDAY(TODAY(),2)+1,tbl_chests[datetime],"&lt;"&amp;TODAY()-WEEKDAY(TODAY(),2)+8)))</f>
        <v>0</v>
      </c>
      <c r="S44" s="36">
        <f ca="1">IF($A44="","",IF(S$1="","",COUNTIFS(tbl_chests[from],$A44,tbl_chests[legalized],S$1,tbl_chests[datetime],"&gt;="&amp;TODAY()-WEEKDAY(TODAY(),2)+1,tbl_chests[datetime],"&lt;"&amp;TODAY()-WEEKDAY(TODAY(),2)+8)))</f>
        <v>0</v>
      </c>
      <c r="T44" s="36">
        <f ca="1">IF($A44="","",IF(T$1="","",COUNTIFS(tbl_chests[from],$A44,tbl_chests[legalized],T$1,tbl_chests[datetime],"&gt;="&amp;TODAY()-WEEKDAY(TODAY(),2)+1,tbl_chests[datetime],"&lt;"&amp;TODAY()-WEEKDAY(TODAY(),2)+8)))</f>
        <v>0</v>
      </c>
      <c r="U44" s="36">
        <f ca="1">IF($A44="","",IF(U$1="","",COUNTIFS(tbl_chests[from],$A44,tbl_chests[legalized],U$1,tbl_chests[datetime],"&gt;="&amp;TODAY()-WEEKDAY(TODAY(),2)+1,tbl_chests[datetime],"&lt;"&amp;TODAY()-WEEKDAY(TODAY(),2)+8)))</f>
        <v>0</v>
      </c>
      <c r="V44" s="36">
        <f ca="1">IF($A44="","",IF(V$1="","",COUNTIFS(tbl_chests[from],$A44,tbl_chests[legalized],V$1,tbl_chests[datetime],"&gt;="&amp;TODAY()-WEEKDAY(TODAY(),2)+1,tbl_chests[datetime],"&lt;"&amp;TODAY()-WEEKDAY(TODAY(),2)+8)))</f>
        <v>0</v>
      </c>
      <c r="W44" s="36">
        <f ca="1">IF($A44="","",IF(W$1="","",COUNTIFS(tbl_chests[from],$A44,tbl_chests[legalized],W$1,tbl_chests[datetime],"&gt;="&amp;TODAY()-WEEKDAY(TODAY(),2)+1,tbl_chests[datetime],"&lt;"&amp;TODAY()-WEEKDAY(TODAY(),2)+8)))</f>
        <v>0</v>
      </c>
      <c r="X44" s="36">
        <f ca="1">IF($A44="","",IF(X$1="","",COUNTIFS(tbl_chests[from],$A44,tbl_chests[legalized],X$1,tbl_chests[datetime],"&gt;="&amp;TODAY()-WEEKDAY(TODAY(),2)+1,tbl_chests[datetime],"&lt;"&amp;TODAY()-WEEKDAY(TODAY(),2)+8)))</f>
        <v>0</v>
      </c>
      <c r="Y44" s="36">
        <f ca="1">IF($A44="","",IF(Y$1="","",COUNTIFS(tbl_chests[from],$A44,tbl_chests[legalized],Y$1,tbl_chests[datetime],"&gt;="&amp;TODAY()-WEEKDAY(TODAY(),2)+1,tbl_chests[datetime],"&lt;"&amp;TODAY()-WEEKDAY(TODAY(),2)+8)))</f>
        <v>0</v>
      </c>
      <c r="Z44" s="36">
        <f ca="1">IF($A44="","",IF(Z$1="","",COUNTIFS(tbl_chests[from],$A44,tbl_chests[legalized],Z$1,tbl_chests[datetime],"&gt;="&amp;TODAY()-WEEKDAY(TODAY(),2)+1,tbl_chests[datetime],"&lt;"&amp;TODAY()-WEEKDAY(TODAY(),2)+8)))</f>
        <v>0</v>
      </c>
      <c r="AA44" s="36">
        <f ca="1">IF($A44="","",IF(AA$1="","",COUNTIFS(tbl_chests[from],$A44,tbl_chests[legalized],AA$1,tbl_chests[datetime],"&gt;="&amp;TODAY()-WEEKDAY(TODAY(),2)+1,tbl_chests[datetime],"&lt;"&amp;TODAY()-WEEKDAY(TODAY(),2)+8)))</f>
        <v>0</v>
      </c>
      <c r="AB44" s="36">
        <f ca="1">IF($A44="","",IF(AB$1="","",COUNTIFS(tbl_chests[from],$A44,tbl_chests[legalized],AB$1,tbl_chests[datetime],"&gt;="&amp;TODAY()-WEEKDAY(TODAY(),2)+1,tbl_chests[datetime],"&lt;"&amp;TODAY()-WEEKDAY(TODAY(),2)+8)))</f>
        <v>0</v>
      </c>
      <c r="AC44" s="36">
        <f ca="1">IF($A44="","",IF(AC$1="","",COUNTIFS(tbl_chests[from],$A44,tbl_chests[legalized],AC$1,tbl_chests[datetime],"&gt;="&amp;TODAY()-WEEKDAY(TODAY(),2)+1,tbl_chests[datetime],"&lt;"&amp;TODAY()-WEEKDAY(TODAY(),2)+8)))</f>
        <v>0</v>
      </c>
      <c r="AD44" s="36">
        <f ca="1">IF($A44="","",IF(AD$1="","",COUNTIFS(tbl_chests[from],$A44,tbl_chests[legalized],AD$1,tbl_chests[datetime],"&gt;="&amp;TODAY()-WEEKDAY(TODAY(),2)+1,tbl_chests[datetime],"&lt;"&amp;TODAY()-WEEKDAY(TODAY(),2)+8)))</f>
        <v>0</v>
      </c>
      <c r="AE44" s="36">
        <f ca="1">IF($A44="","",IF(AE$1="","",COUNTIFS(tbl_chests[from],$A44,tbl_chests[legalized],AE$1,tbl_chests[datetime],"&gt;="&amp;TODAY()-WEEKDAY(TODAY(),2)+1,tbl_chests[datetime],"&lt;"&amp;TODAY()-WEEKDAY(TODAY(),2)+8)))</f>
        <v>1</v>
      </c>
      <c r="AF44" s="36">
        <f ca="1">IF($A44="","",IF(AF$1="","",COUNTIFS(tbl_chests[from],$A44,tbl_chests[legalized],AF$1,tbl_chests[datetime],"&gt;="&amp;TODAY()-WEEKDAY(TODAY(),2)+1,tbl_chests[datetime],"&lt;"&amp;TODAY()-WEEKDAY(TODAY(),2)+8)))</f>
        <v>0</v>
      </c>
      <c r="AG44" s="36">
        <f ca="1">IF($A44="","",IF(AG$1="","",COUNTIFS(tbl_chests[from],$A44,tbl_chests[legalized],AG$1,tbl_chests[datetime],"&gt;="&amp;TODAY()-WEEKDAY(TODAY(),2)+1,tbl_chests[datetime],"&lt;"&amp;TODAY()-WEEKDAY(TODAY(),2)+8)))</f>
        <v>0</v>
      </c>
      <c r="AH44" s="36">
        <f ca="1">IF($A44="","",IF(AH$1="","",COUNTIFS(tbl_chests[from],$A44,tbl_chests[legalized],AH$1,tbl_chests[datetime],"&gt;="&amp;TODAY()-WEEKDAY(TODAY(),2)+1,tbl_chests[datetime],"&lt;"&amp;TODAY()-WEEKDAY(TODAY(),2)+8)))</f>
        <v>0</v>
      </c>
      <c r="AI44" s="36">
        <f ca="1">IF($A44="","",IF(AI$1="","",COUNTIFS(tbl_chests[from],$A44,tbl_chests[legalized],AI$1,tbl_chests[datetime],"&gt;="&amp;TODAY()-WEEKDAY(TODAY(),2)+1,tbl_chests[datetime],"&lt;"&amp;TODAY()-WEEKDAY(TODAY(),2)+8)))</f>
        <v>0</v>
      </c>
      <c r="AJ44" s="36">
        <f ca="1">IF($A44="","",IF(AJ$1="","",COUNTIFS(tbl_chests[from],$A44,tbl_chests[legalized],AJ$1,tbl_chests[datetime],"&gt;="&amp;TODAY()-WEEKDAY(TODAY(),2)+1,tbl_chests[datetime],"&lt;"&amp;TODAY()-WEEKDAY(TODAY(),2)+8)))</f>
        <v>0</v>
      </c>
      <c r="AK44" s="36">
        <f ca="1">IF($A44="","",IF(AK$1="","",COUNTIFS(tbl_chests[from],$A44,tbl_chests[legalized],AK$1,tbl_chests[datetime],"&gt;="&amp;TODAY()-WEEKDAY(TODAY(),2)+1,tbl_chests[datetime],"&lt;"&amp;TODAY()-WEEKDAY(TODAY(),2)+8)))</f>
        <v>0</v>
      </c>
      <c r="AL44" s="36">
        <f ca="1">IF($A44="","",IF(AL$1="","",COUNTIFS(tbl_chests[from],$A44,tbl_chests[legalized],AL$1,tbl_chests[datetime],"&gt;="&amp;TODAY()-WEEKDAY(TODAY(),2)+1,tbl_chests[datetime],"&lt;"&amp;TODAY()-WEEKDAY(TODAY(),2)+8)))</f>
        <v>0</v>
      </c>
      <c r="AM44" s="37">
        <f ca="1">IF($A44="","",IF(AM$1="","",COUNTIFS(tbl_chests[from],$A44,tbl_chests[legalized],AM$1,tbl_chests[datetime],"&gt;="&amp;TODAY()-WEEKDAY(TODAY(),2)+1,tbl_chests[datetime],"&lt;"&amp;TODAY()-WEEKDAY(TODAY(),2)+8)))</f>
        <v>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 ht="15.75" customHeight="1" x14ac:dyDescent="0.25">
      <c r="A45" s="34" t="str">
        <f>chests_counter!$H42</f>
        <v>Luar</v>
      </c>
      <c r="B45" s="35" cm="1">
        <f t="array" aca="1" ref="B45" ca="1">IF(A45&lt;&gt;"", SUMPRODUCT(($C$2:$AM$2&lt;&gt;0)*(C45:AM45&lt;&gt;0)*($C$2:$AM$2)*(C45:AM45)), "")</f>
        <v>600</v>
      </c>
      <c r="C45" s="36">
        <f ca="1">IF($A45="","",IF(C$1="","",COUNTIFS(tbl_chests[from],$A45,tbl_chests[legalized],C$1,tbl_chests[datetime],"&gt;="&amp;TODAY()-WEEKDAY(TODAY(),2)+1,tbl_chests[datetime],"&lt;"&amp;TODAY()-WEEKDAY(TODAY(),2)+8)))</f>
        <v>3</v>
      </c>
      <c r="D45" s="36">
        <f ca="1">IF($A45="","",IF(D$1="","",COUNTIFS(tbl_chests[from],$A45,tbl_chests[legalized],D$1,tbl_chests[datetime],"&gt;="&amp;TODAY()-WEEKDAY(TODAY(),2)+1,tbl_chests[datetime],"&lt;"&amp;TODAY()-WEEKDAY(TODAY(),2)+8)))</f>
        <v>9</v>
      </c>
      <c r="E45" s="36">
        <f ca="1">IF($A45="","",IF(E$1="","",COUNTIFS(tbl_chests[from],$A45,tbl_chests[legalized],E$1,tbl_chests[datetime],"&gt;="&amp;TODAY()-WEEKDAY(TODAY(),2)+1,tbl_chests[datetime],"&lt;"&amp;TODAY()-WEEKDAY(TODAY(),2)+8)))</f>
        <v>3</v>
      </c>
      <c r="F45" s="36">
        <f ca="1">IF($A45="","",IF(F$1="","",COUNTIFS(tbl_chests[from],$A45,tbl_chests[legalized],F$1,tbl_chests[datetime],"&gt;="&amp;TODAY()-WEEKDAY(TODAY(),2)+1,tbl_chests[datetime],"&lt;"&amp;TODAY()-WEEKDAY(TODAY(),2)+8)))</f>
        <v>0</v>
      </c>
      <c r="G45" s="36">
        <f ca="1">IF($A45="","",IF(G$1="","",COUNTIFS(tbl_chests[from],$A45,tbl_chests[legalized],G$1,tbl_chests[datetime],"&gt;="&amp;TODAY()-WEEKDAY(TODAY(),2)+1,tbl_chests[datetime],"&lt;"&amp;TODAY()-WEEKDAY(TODAY(),2)+8)))</f>
        <v>0</v>
      </c>
      <c r="H45" s="36">
        <f ca="1">IF($A45="","",IF(H$1="","",COUNTIFS(tbl_chests[from],$A45,tbl_chests[legalized],H$1,tbl_chests[datetime],"&gt;="&amp;TODAY()-WEEKDAY(TODAY(),2)+1,tbl_chests[datetime],"&lt;"&amp;TODAY()-WEEKDAY(TODAY(),2)+8)))</f>
        <v>0</v>
      </c>
      <c r="I45" s="36">
        <f ca="1">IF($A45="","",IF(I$1="","",COUNTIFS(tbl_chests[from],$A45,tbl_chests[legalized],I$1,tbl_chests[datetime],"&gt;="&amp;TODAY()-WEEKDAY(TODAY(),2)+1,tbl_chests[datetime],"&lt;"&amp;TODAY()-WEEKDAY(TODAY(),2)+8)))</f>
        <v>1</v>
      </c>
      <c r="J45" s="36">
        <f ca="1">IF($A45="","",IF(J$1="","",COUNTIFS(tbl_chests[from],$A45,tbl_chests[legalized],J$1,tbl_chests[datetime],"&gt;="&amp;TODAY()-WEEKDAY(TODAY(),2)+1,tbl_chests[datetime],"&lt;"&amp;TODAY()-WEEKDAY(TODAY(),2)+8)))</f>
        <v>0</v>
      </c>
      <c r="K45" s="36">
        <f ca="1">IF($A45="","",IF(K$1="","",COUNTIFS(tbl_chests[from],$A45,tbl_chests[legalized],K$1,tbl_chests[datetime],"&gt;="&amp;TODAY()-WEEKDAY(TODAY(),2)+1,tbl_chests[datetime],"&lt;"&amp;TODAY()-WEEKDAY(TODAY(),2)+8)))</f>
        <v>0</v>
      </c>
      <c r="L45" s="36">
        <f ca="1">IF($A45="","",IF(L$1="","",COUNTIFS(tbl_chests[from],$A45,tbl_chests[legalized],L$1,tbl_chests[datetime],"&gt;="&amp;TODAY()-WEEKDAY(TODAY(),2)+1,tbl_chests[datetime],"&lt;"&amp;TODAY()-WEEKDAY(TODAY(),2)+8)))</f>
        <v>0</v>
      </c>
      <c r="M45" s="36">
        <f ca="1">IF($A45="","",IF(M$1="","",COUNTIFS(tbl_chests[from],$A45,tbl_chests[legalized],M$1,tbl_chests[datetime],"&gt;="&amp;TODAY()-WEEKDAY(TODAY(),2)+1,tbl_chests[datetime],"&lt;"&amp;TODAY()-WEEKDAY(TODAY(),2)+8)))</f>
        <v>1</v>
      </c>
      <c r="N45" s="36">
        <f ca="1">IF($A45="","",IF(N$1="","",COUNTIFS(tbl_chests[from],$A45,tbl_chests[legalized],N$1,tbl_chests[datetime],"&gt;="&amp;TODAY()-WEEKDAY(TODAY(),2)+1,tbl_chests[datetime],"&lt;"&amp;TODAY()-WEEKDAY(TODAY(),2)+8)))</f>
        <v>0</v>
      </c>
      <c r="O45" s="36">
        <f ca="1">IF($A45="","",IF(O$1="","",COUNTIFS(tbl_chests[from],$A45,tbl_chests[legalized],O$1,tbl_chests[datetime],"&gt;="&amp;TODAY()-WEEKDAY(TODAY(),2)+1,tbl_chests[datetime],"&lt;"&amp;TODAY()-WEEKDAY(TODAY(),2)+8)))</f>
        <v>0</v>
      </c>
      <c r="P45" s="36">
        <f ca="1">IF($A45="","",IF(P$1="","",COUNTIFS(tbl_chests[from],$A45,tbl_chests[legalized],P$1,tbl_chests[datetime],"&gt;="&amp;TODAY()-WEEKDAY(TODAY(),2)+1,tbl_chests[datetime],"&lt;"&amp;TODAY()-WEEKDAY(TODAY(),2)+8)))</f>
        <v>0</v>
      </c>
      <c r="Q45" s="36">
        <f ca="1">IF($A45="","",IF(Q$1="","",COUNTIFS(tbl_chests[from],$A45,tbl_chests[legalized],Q$1,tbl_chests[datetime],"&gt;="&amp;TODAY()-WEEKDAY(TODAY(),2)+1,tbl_chests[datetime],"&lt;"&amp;TODAY()-WEEKDAY(TODAY(),2)+8)))</f>
        <v>0</v>
      </c>
      <c r="R45" s="36">
        <f ca="1">IF($A45="","",IF(R$1="","",COUNTIFS(tbl_chests[from],$A45,tbl_chests[legalized],R$1,tbl_chests[datetime],"&gt;="&amp;TODAY()-WEEKDAY(TODAY(),2)+1,tbl_chests[datetime],"&lt;"&amp;TODAY()-WEEKDAY(TODAY(),2)+8)))</f>
        <v>0</v>
      </c>
      <c r="S45" s="36">
        <f ca="1">IF($A45="","",IF(S$1="","",COUNTIFS(tbl_chests[from],$A45,tbl_chests[legalized],S$1,tbl_chests[datetime],"&gt;="&amp;TODAY()-WEEKDAY(TODAY(),2)+1,tbl_chests[datetime],"&lt;"&amp;TODAY()-WEEKDAY(TODAY(),2)+8)))</f>
        <v>0</v>
      </c>
      <c r="T45" s="36">
        <f ca="1">IF($A45="","",IF(T$1="","",COUNTIFS(tbl_chests[from],$A45,tbl_chests[legalized],T$1,tbl_chests[datetime],"&gt;="&amp;TODAY()-WEEKDAY(TODAY(),2)+1,tbl_chests[datetime],"&lt;"&amp;TODAY()-WEEKDAY(TODAY(),2)+8)))</f>
        <v>0</v>
      </c>
      <c r="U45" s="36">
        <f ca="1">IF($A45="","",IF(U$1="","",COUNTIFS(tbl_chests[from],$A45,tbl_chests[legalized],U$1,tbl_chests[datetime],"&gt;="&amp;TODAY()-WEEKDAY(TODAY(),2)+1,tbl_chests[datetime],"&lt;"&amp;TODAY()-WEEKDAY(TODAY(),2)+8)))</f>
        <v>0</v>
      </c>
      <c r="V45" s="36">
        <f ca="1">IF($A45="","",IF(V$1="","",COUNTIFS(tbl_chests[from],$A45,tbl_chests[legalized],V$1,tbl_chests[datetime],"&gt;="&amp;TODAY()-WEEKDAY(TODAY(),2)+1,tbl_chests[datetime],"&lt;"&amp;TODAY()-WEEKDAY(TODAY(),2)+8)))</f>
        <v>0</v>
      </c>
      <c r="W45" s="36">
        <f ca="1">IF($A45="","",IF(W$1="","",COUNTIFS(tbl_chests[from],$A45,tbl_chests[legalized],W$1,tbl_chests[datetime],"&gt;="&amp;TODAY()-WEEKDAY(TODAY(),2)+1,tbl_chests[datetime],"&lt;"&amp;TODAY()-WEEKDAY(TODAY(),2)+8)))</f>
        <v>0</v>
      </c>
      <c r="X45" s="36">
        <f ca="1">IF($A45="","",IF(X$1="","",COUNTIFS(tbl_chests[from],$A45,tbl_chests[legalized],X$1,tbl_chests[datetime],"&gt;="&amp;TODAY()-WEEKDAY(TODAY(),2)+1,tbl_chests[datetime],"&lt;"&amp;TODAY()-WEEKDAY(TODAY(),2)+8)))</f>
        <v>0</v>
      </c>
      <c r="Y45" s="36">
        <f ca="1">IF($A45="","",IF(Y$1="","",COUNTIFS(tbl_chests[from],$A45,tbl_chests[legalized],Y$1,tbl_chests[datetime],"&gt;="&amp;TODAY()-WEEKDAY(TODAY(),2)+1,tbl_chests[datetime],"&lt;"&amp;TODAY()-WEEKDAY(TODAY(),2)+8)))</f>
        <v>0</v>
      </c>
      <c r="Z45" s="36">
        <f ca="1">IF($A45="","",IF(Z$1="","",COUNTIFS(tbl_chests[from],$A45,tbl_chests[legalized],Z$1,tbl_chests[datetime],"&gt;="&amp;TODAY()-WEEKDAY(TODAY(),2)+1,tbl_chests[datetime],"&lt;"&amp;TODAY()-WEEKDAY(TODAY(),2)+8)))</f>
        <v>0</v>
      </c>
      <c r="AA45" s="36">
        <f ca="1">IF($A45="","",IF(AA$1="","",COUNTIFS(tbl_chests[from],$A45,tbl_chests[legalized],AA$1,tbl_chests[datetime],"&gt;="&amp;TODAY()-WEEKDAY(TODAY(),2)+1,tbl_chests[datetime],"&lt;"&amp;TODAY()-WEEKDAY(TODAY(),2)+8)))</f>
        <v>6</v>
      </c>
      <c r="AB45" s="36">
        <f ca="1">IF($A45="","",IF(AB$1="","",COUNTIFS(tbl_chests[from],$A45,tbl_chests[legalized],AB$1,tbl_chests[datetime],"&gt;="&amp;TODAY()-WEEKDAY(TODAY(),2)+1,tbl_chests[datetime],"&lt;"&amp;TODAY()-WEEKDAY(TODAY(),2)+8)))</f>
        <v>0</v>
      </c>
      <c r="AC45" s="36">
        <f ca="1">IF($A45="","",IF(AC$1="","",COUNTIFS(tbl_chests[from],$A45,tbl_chests[legalized],AC$1,tbl_chests[datetime],"&gt;="&amp;TODAY()-WEEKDAY(TODAY(),2)+1,tbl_chests[datetime],"&lt;"&amp;TODAY()-WEEKDAY(TODAY(),2)+8)))</f>
        <v>0</v>
      </c>
      <c r="AD45" s="36">
        <f ca="1">IF($A45="","",IF(AD$1="","",COUNTIFS(tbl_chests[from],$A45,tbl_chests[legalized],AD$1,tbl_chests[datetime],"&gt;="&amp;TODAY()-WEEKDAY(TODAY(),2)+1,tbl_chests[datetime],"&lt;"&amp;TODAY()-WEEKDAY(TODAY(),2)+8)))</f>
        <v>0</v>
      </c>
      <c r="AE45" s="36">
        <f ca="1">IF($A45="","",IF(AE$1="","",COUNTIFS(tbl_chests[from],$A45,tbl_chests[legalized],AE$1,tbl_chests[datetime],"&gt;="&amp;TODAY()-WEEKDAY(TODAY(),2)+1,tbl_chests[datetime],"&lt;"&amp;TODAY()-WEEKDAY(TODAY(),2)+8)))</f>
        <v>2</v>
      </c>
      <c r="AF45" s="36">
        <f ca="1">IF($A45="","",IF(AF$1="","",COUNTIFS(tbl_chests[from],$A45,tbl_chests[legalized],AF$1,tbl_chests[datetime],"&gt;="&amp;TODAY()-WEEKDAY(TODAY(),2)+1,tbl_chests[datetime],"&lt;"&amp;TODAY()-WEEKDAY(TODAY(),2)+8)))</f>
        <v>0</v>
      </c>
      <c r="AG45" s="36">
        <f ca="1">IF($A45="","",IF(AG$1="","",COUNTIFS(tbl_chests[from],$A45,tbl_chests[legalized],AG$1,tbl_chests[datetime],"&gt;="&amp;TODAY()-WEEKDAY(TODAY(),2)+1,tbl_chests[datetime],"&lt;"&amp;TODAY()-WEEKDAY(TODAY(),2)+8)))</f>
        <v>0</v>
      </c>
      <c r="AH45" s="36">
        <f ca="1">IF($A45="","",IF(AH$1="","",COUNTIFS(tbl_chests[from],$A45,tbl_chests[legalized],AH$1,tbl_chests[datetime],"&gt;="&amp;TODAY()-WEEKDAY(TODAY(),2)+1,tbl_chests[datetime],"&lt;"&amp;TODAY()-WEEKDAY(TODAY(),2)+8)))</f>
        <v>0</v>
      </c>
      <c r="AI45" s="36">
        <f ca="1">IF($A45="","",IF(AI$1="","",COUNTIFS(tbl_chests[from],$A45,tbl_chests[legalized],AI$1,tbl_chests[datetime],"&gt;="&amp;TODAY()-WEEKDAY(TODAY(),2)+1,tbl_chests[datetime],"&lt;"&amp;TODAY()-WEEKDAY(TODAY(),2)+8)))</f>
        <v>0</v>
      </c>
      <c r="AJ45" s="36">
        <f ca="1">IF($A45="","",IF(AJ$1="","",COUNTIFS(tbl_chests[from],$A45,tbl_chests[legalized],AJ$1,tbl_chests[datetime],"&gt;="&amp;TODAY()-WEEKDAY(TODAY(),2)+1,tbl_chests[datetime],"&lt;"&amp;TODAY()-WEEKDAY(TODAY(),2)+8)))</f>
        <v>0</v>
      </c>
      <c r="AK45" s="36">
        <f ca="1">IF($A45="","",IF(AK$1="","",COUNTIFS(tbl_chests[from],$A45,tbl_chests[legalized],AK$1,tbl_chests[datetime],"&gt;="&amp;TODAY()-WEEKDAY(TODAY(),2)+1,tbl_chests[datetime],"&lt;"&amp;TODAY()-WEEKDAY(TODAY(),2)+8)))</f>
        <v>0</v>
      </c>
      <c r="AL45" s="36">
        <f ca="1">IF($A45="","",IF(AL$1="","",COUNTIFS(tbl_chests[from],$A45,tbl_chests[legalized],AL$1,tbl_chests[datetime],"&gt;="&amp;TODAY()-WEEKDAY(TODAY(),2)+1,tbl_chests[datetime],"&lt;"&amp;TODAY()-WEEKDAY(TODAY(),2)+8)))</f>
        <v>0</v>
      </c>
      <c r="AM45" s="37">
        <f ca="1">IF($A45="","",IF(AM$1="","",COUNTIFS(tbl_chests[from],$A45,tbl_chests[legalized],AM$1,tbl_chests[datetime],"&gt;="&amp;TODAY()-WEEKDAY(TODAY(),2)+1,tbl_chests[datetime],"&lt;"&amp;TODAY()-WEEKDAY(TODAY(),2)+8)))</f>
        <v>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 ht="15.75" customHeight="1" x14ac:dyDescent="0.25">
      <c r="A46" s="34" t="str">
        <f>chests_counter!$H43</f>
        <v>Luchfirilas</v>
      </c>
      <c r="B46" s="35" cm="1">
        <f t="array" aca="1" ref="B46" ca="1">IF(A46&lt;&gt;"", SUMPRODUCT(($C$2:$AM$2&lt;&gt;0)*(C46:AM46&lt;&gt;0)*($C$2:$AM$2)*(C46:AM46)), "")</f>
        <v>0</v>
      </c>
      <c r="C46" s="36">
        <f ca="1">IF($A46="","",IF(C$1="","",COUNTIFS(tbl_chests[from],$A46,tbl_chests[legalized],C$1,tbl_chests[datetime],"&gt;="&amp;TODAY()-WEEKDAY(TODAY(),2)+1,tbl_chests[datetime],"&lt;"&amp;TODAY()-WEEKDAY(TODAY(),2)+8)))</f>
        <v>0</v>
      </c>
      <c r="D46" s="36">
        <f ca="1">IF($A46="","",IF(D$1="","",COUNTIFS(tbl_chests[from],$A46,tbl_chests[legalized],D$1,tbl_chests[datetime],"&gt;="&amp;TODAY()-WEEKDAY(TODAY(),2)+1,tbl_chests[datetime],"&lt;"&amp;TODAY()-WEEKDAY(TODAY(),2)+8)))</f>
        <v>0</v>
      </c>
      <c r="E46" s="36">
        <f ca="1">IF($A46="","",IF(E$1="","",COUNTIFS(tbl_chests[from],$A46,tbl_chests[legalized],E$1,tbl_chests[datetime],"&gt;="&amp;TODAY()-WEEKDAY(TODAY(),2)+1,tbl_chests[datetime],"&lt;"&amp;TODAY()-WEEKDAY(TODAY(),2)+8)))</f>
        <v>0</v>
      </c>
      <c r="F46" s="36">
        <f ca="1">IF($A46="","",IF(F$1="","",COUNTIFS(tbl_chests[from],$A46,tbl_chests[legalized],F$1,tbl_chests[datetime],"&gt;="&amp;TODAY()-WEEKDAY(TODAY(),2)+1,tbl_chests[datetime],"&lt;"&amp;TODAY()-WEEKDAY(TODAY(),2)+8)))</f>
        <v>0</v>
      </c>
      <c r="G46" s="36">
        <f ca="1">IF($A46="","",IF(G$1="","",COUNTIFS(tbl_chests[from],$A46,tbl_chests[legalized],G$1,tbl_chests[datetime],"&gt;="&amp;TODAY()-WEEKDAY(TODAY(),2)+1,tbl_chests[datetime],"&lt;"&amp;TODAY()-WEEKDAY(TODAY(),2)+8)))</f>
        <v>0</v>
      </c>
      <c r="H46" s="36">
        <f ca="1">IF($A46="","",IF(H$1="","",COUNTIFS(tbl_chests[from],$A46,tbl_chests[legalized],H$1,tbl_chests[datetime],"&gt;="&amp;TODAY()-WEEKDAY(TODAY(),2)+1,tbl_chests[datetime],"&lt;"&amp;TODAY()-WEEKDAY(TODAY(),2)+8)))</f>
        <v>0</v>
      </c>
      <c r="I46" s="36">
        <f ca="1">IF($A46="","",IF(I$1="","",COUNTIFS(tbl_chests[from],$A46,tbl_chests[legalized],I$1,tbl_chests[datetime],"&gt;="&amp;TODAY()-WEEKDAY(TODAY(),2)+1,tbl_chests[datetime],"&lt;"&amp;TODAY()-WEEKDAY(TODAY(),2)+8)))</f>
        <v>0</v>
      </c>
      <c r="J46" s="36">
        <f ca="1">IF($A46="","",IF(J$1="","",COUNTIFS(tbl_chests[from],$A46,tbl_chests[legalized],J$1,tbl_chests[datetime],"&gt;="&amp;TODAY()-WEEKDAY(TODAY(),2)+1,tbl_chests[datetime],"&lt;"&amp;TODAY()-WEEKDAY(TODAY(),2)+8)))</f>
        <v>0</v>
      </c>
      <c r="K46" s="36">
        <f ca="1">IF($A46="","",IF(K$1="","",COUNTIFS(tbl_chests[from],$A46,tbl_chests[legalized],K$1,tbl_chests[datetime],"&gt;="&amp;TODAY()-WEEKDAY(TODAY(),2)+1,tbl_chests[datetime],"&lt;"&amp;TODAY()-WEEKDAY(TODAY(),2)+8)))</f>
        <v>0</v>
      </c>
      <c r="L46" s="36">
        <f ca="1">IF($A46="","",IF(L$1="","",COUNTIFS(tbl_chests[from],$A46,tbl_chests[legalized],L$1,tbl_chests[datetime],"&gt;="&amp;TODAY()-WEEKDAY(TODAY(),2)+1,tbl_chests[datetime],"&lt;"&amp;TODAY()-WEEKDAY(TODAY(),2)+8)))</f>
        <v>0</v>
      </c>
      <c r="M46" s="36">
        <f ca="1">IF($A46="","",IF(M$1="","",COUNTIFS(tbl_chests[from],$A46,tbl_chests[legalized],M$1,tbl_chests[datetime],"&gt;="&amp;TODAY()-WEEKDAY(TODAY(),2)+1,tbl_chests[datetime],"&lt;"&amp;TODAY()-WEEKDAY(TODAY(),2)+8)))</f>
        <v>0</v>
      </c>
      <c r="N46" s="36">
        <f ca="1">IF($A46="","",IF(N$1="","",COUNTIFS(tbl_chests[from],$A46,tbl_chests[legalized],N$1,tbl_chests[datetime],"&gt;="&amp;TODAY()-WEEKDAY(TODAY(),2)+1,tbl_chests[datetime],"&lt;"&amp;TODAY()-WEEKDAY(TODAY(),2)+8)))</f>
        <v>0</v>
      </c>
      <c r="O46" s="36">
        <f ca="1">IF($A46="","",IF(O$1="","",COUNTIFS(tbl_chests[from],$A46,tbl_chests[legalized],O$1,tbl_chests[datetime],"&gt;="&amp;TODAY()-WEEKDAY(TODAY(),2)+1,tbl_chests[datetime],"&lt;"&amp;TODAY()-WEEKDAY(TODAY(),2)+8)))</f>
        <v>0</v>
      </c>
      <c r="P46" s="36">
        <f ca="1">IF($A46="","",IF(P$1="","",COUNTIFS(tbl_chests[from],$A46,tbl_chests[legalized],P$1,tbl_chests[datetime],"&gt;="&amp;TODAY()-WEEKDAY(TODAY(),2)+1,tbl_chests[datetime],"&lt;"&amp;TODAY()-WEEKDAY(TODAY(),2)+8)))</f>
        <v>0</v>
      </c>
      <c r="Q46" s="36">
        <f ca="1">IF($A46="","",IF(Q$1="","",COUNTIFS(tbl_chests[from],$A46,tbl_chests[legalized],Q$1,tbl_chests[datetime],"&gt;="&amp;TODAY()-WEEKDAY(TODAY(),2)+1,tbl_chests[datetime],"&lt;"&amp;TODAY()-WEEKDAY(TODAY(),2)+8)))</f>
        <v>0</v>
      </c>
      <c r="R46" s="36">
        <f ca="1">IF($A46="","",IF(R$1="","",COUNTIFS(tbl_chests[from],$A46,tbl_chests[legalized],R$1,tbl_chests[datetime],"&gt;="&amp;TODAY()-WEEKDAY(TODAY(),2)+1,tbl_chests[datetime],"&lt;"&amp;TODAY()-WEEKDAY(TODAY(),2)+8)))</f>
        <v>0</v>
      </c>
      <c r="S46" s="36">
        <f ca="1">IF($A46="","",IF(S$1="","",COUNTIFS(tbl_chests[from],$A46,tbl_chests[legalized],S$1,tbl_chests[datetime],"&gt;="&amp;TODAY()-WEEKDAY(TODAY(),2)+1,tbl_chests[datetime],"&lt;"&amp;TODAY()-WEEKDAY(TODAY(),2)+8)))</f>
        <v>0</v>
      </c>
      <c r="T46" s="36">
        <f ca="1">IF($A46="","",IF(T$1="","",COUNTIFS(tbl_chests[from],$A46,tbl_chests[legalized],T$1,tbl_chests[datetime],"&gt;="&amp;TODAY()-WEEKDAY(TODAY(),2)+1,tbl_chests[datetime],"&lt;"&amp;TODAY()-WEEKDAY(TODAY(),2)+8)))</f>
        <v>0</v>
      </c>
      <c r="U46" s="36">
        <f ca="1">IF($A46="","",IF(U$1="","",COUNTIFS(tbl_chests[from],$A46,tbl_chests[legalized],U$1,tbl_chests[datetime],"&gt;="&amp;TODAY()-WEEKDAY(TODAY(),2)+1,tbl_chests[datetime],"&lt;"&amp;TODAY()-WEEKDAY(TODAY(),2)+8)))</f>
        <v>0</v>
      </c>
      <c r="V46" s="36">
        <f ca="1">IF($A46="","",IF(V$1="","",COUNTIFS(tbl_chests[from],$A46,tbl_chests[legalized],V$1,tbl_chests[datetime],"&gt;="&amp;TODAY()-WEEKDAY(TODAY(),2)+1,tbl_chests[datetime],"&lt;"&amp;TODAY()-WEEKDAY(TODAY(),2)+8)))</f>
        <v>0</v>
      </c>
      <c r="W46" s="36">
        <f ca="1">IF($A46="","",IF(W$1="","",COUNTIFS(tbl_chests[from],$A46,tbl_chests[legalized],W$1,tbl_chests[datetime],"&gt;="&amp;TODAY()-WEEKDAY(TODAY(),2)+1,tbl_chests[datetime],"&lt;"&amp;TODAY()-WEEKDAY(TODAY(),2)+8)))</f>
        <v>0</v>
      </c>
      <c r="X46" s="36">
        <f ca="1">IF($A46="","",IF(X$1="","",COUNTIFS(tbl_chests[from],$A46,tbl_chests[legalized],X$1,tbl_chests[datetime],"&gt;="&amp;TODAY()-WEEKDAY(TODAY(),2)+1,tbl_chests[datetime],"&lt;"&amp;TODAY()-WEEKDAY(TODAY(),2)+8)))</f>
        <v>0</v>
      </c>
      <c r="Y46" s="36">
        <f ca="1">IF($A46="","",IF(Y$1="","",COUNTIFS(tbl_chests[from],$A46,tbl_chests[legalized],Y$1,tbl_chests[datetime],"&gt;="&amp;TODAY()-WEEKDAY(TODAY(),2)+1,tbl_chests[datetime],"&lt;"&amp;TODAY()-WEEKDAY(TODAY(),2)+8)))</f>
        <v>0</v>
      </c>
      <c r="Z46" s="36">
        <f ca="1">IF($A46="","",IF(Z$1="","",COUNTIFS(tbl_chests[from],$A46,tbl_chests[legalized],Z$1,tbl_chests[datetime],"&gt;="&amp;TODAY()-WEEKDAY(TODAY(),2)+1,tbl_chests[datetime],"&lt;"&amp;TODAY()-WEEKDAY(TODAY(),2)+8)))</f>
        <v>0</v>
      </c>
      <c r="AA46" s="36">
        <f ca="1">IF($A46="","",IF(AA$1="","",COUNTIFS(tbl_chests[from],$A46,tbl_chests[legalized],AA$1,tbl_chests[datetime],"&gt;="&amp;TODAY()-WEEKDAY(TODAY(),2)+1,tbl_chests[datetime],"&lt;"&amp;TODAY()-WEEKDAY(TODAY(),2)+8)))</f>
        <v>0</v>
      </c>
      <c r="AB46" s="36">
        <f ca="1">IF($A46="","",IF(AB$1="","",COUNTIFS(tbl_chests[from],$A46,tbl_chests[legalized],AB$1,tbl_chests[datetime],"&gt;="&amp;TODAY()-WEEKDAY(TODAY(),2)+1,tbl_chests[datetime],"&lt;"&amp;TODAY()-WEEKDAY(TODAY(),2)+8)))</f>
        <v>0</v>
      </c>
      <c r="AC46" s="36">
        <f ca="1">IF($A46="","",IF(AC$1="","",COUNTIFS(tbl_chests[from],$A46,tbl_chests[legalized],AC$1,tbl_chests[datetime],"&gt;="&amp;TODAY()-WEEKDAY(TODAY(),2)+1,tbl_chests[datetime],"&lt;"&amp;TODAY()-WEEKDAY(TODAY(),2)+8)))</f>
        <v>0</v>
      </c>
      <c r="AD46" s="36">
        <f ca="1">IF($A46="","",IF(AD$1="","",COUNTIFS(tbl_chests[from],$A46,tbl_chests[legalized],AD$1,tbl_chests[datetime],"&gt;="&amp;TODAY()-WEEKDAY(TODAY(),2)+1,tbl_chests[datetime],"&lt;"&amp;TODAY()-WEEKDAY(TODAY(),2)+8)))</f>
        <v>0</v>
      </c>
      <c r="AE46" s="36">
        <f ca="1">IF($A46="","",IF(AE$1="","",COUNTIFS(tbl_chests[from],$A46,tbl_chests[legalized],AE$1,tbl_chests[datetime],"&gt;="&amp;TODAY()-WEEKDAY(TODAY(),2)+1,tbl_chests[datetime],"&lt;"&amp;TODAY()-WEEKDAY(TODAY(),2)+8)))</f>
        <v>0</v>
      </c>
      <c r="AF46" s="36">
        <f ca="1">IF($A46="","",IF(AF$1="","",COUNTIFS(tbl_chests[from],$A46,tbl_chests[legalized],AF$1,tbl_chests[datetime],"&gt;="&amp;TODAY()-WEEKDAY(TODAY(),2)+1,tbl_chests[datetime],"&lt;"&amp;TODAY()-WEEKDAY(TODAY(),2)+8)))</f>
        <v>0</v>
      </c>
      <c r="AG46" s="36">
        <f ca="1">IF($A46="","",IF(AG$1="","",COUNTIFS(tbl_chests[from],$A46,tbl_chests[legalized],AG$1,tbl_chests[datetime],"&gt;="&amp;TODAY()-WEEKDAY(TODAY(),2)+1,tbl_chests[datetime],"&lt;"&amp;TODAY()-WEEKDAY(TODAY(),2)+8)))</f>
        <v>0</v>
      </c>
      <c r="AH46" s="36">
        <f ca="1">IF($A46="","",IF(AH$1="","",COUNTIFS(tbl_chests[from],$A46,tbl_chests[legalized],AH$1,tbl_chests[datetime],"&gt;="&amp;TODAY()-WEEKDAY(TODAY(),2)+1,tbl_chests[datetime],"&lt;"&amp;TODAY()-WEEKDAY(TODAY(),2)+8)))</f>
        <v>0</v>
      </c>
      <c r="AI46" s="36">
        <f ca="1">IF($A46="","",IF(AI$1="","",COUNTIFS(tbl_chests[from],$A46,tbl_chests[legalized],AI$1,tbl_chests[datetime],"&gt;="&amp;TODAY()-WEEKDAY(TODAY(),2)+1,tbl_chests[datetime],"&lt;"&amp;TODAY()-WEEKDAY(TODAY(),2)+8)))</f>
        <v>0</v>
      </c>
      <c r="AJ46" s="36">
        <f ca="1">IF($A46="","",IF(AJ$1="","",COUNTIFS(tbl_chests[from],$A46,tbl_chests[legalized],AJ$1,tbl_chests[datetime],"&gt;="&amp;TODAY()-WEEKDAY(TODAY(),2)+1,tbl_chests[datetime],"&lt;"&amp;TODAY()-WEEKDAY(TODAY(),2)+8)))</f>
        <v>0</v>
      </c>
      <c r="AK46" s="36">
        <f ca="1">IF($A46="","",IF(AK$1="","",COUNTIFS(tbl_chests[from],$A46,tbl_chests[legalized],AK$1,tbl_chests[datetime],"&gt;="&amp;TODAY()-WEEKDAY(TODAY(),2)+1,tbl_chests[datetime],"&lt;"&amp;TODAY()-WEEKDAY(TODAY(),2)+8)))</f>
        <v>0</v>
      </c>
      <c r="AL46" s="36">
        <f ca="1">IF($A46="","",IF(AL$1="","",COUNTIFS(tbl_chests[from],$A46,tbl_chests[legalized],AL$1,tbl_chests[datetime],"&gt;="&amp;TODAY()-WEEKDAY(TODAY(),2)+1,tbl_chests[datetime],"&lt;"&amp;TODAY()-WEEKDAY(TODAY(),2)+8)))</f>
        <v>0</v>
      </c>
      <c r="AM46" s="37">
        <f ca="1">IF($A46="","",IF(AM$1="","",COUNTIFS(tbl_chests[from],$A46,tbl_chests[legalized],AM$1,tbl_chests[datetime],"&gt;="&amp;TODAY()-WEEKDAY(TODAY(),2)+1,tbl_chests[datetime],"&lt;"&amp;TODAY()-WEEKDAY(TODAY(),2)+8)))</f>
        <v>0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 ht="15.75" customHeight="1" x14ac:dyDescent="0.25">
      <c r="A47" s="34" t="str">
        <f>chests_counter!$H44</f>
        <v>Maedrafir</v>
      </c>
      <c r="B47" s="35" cm="1">
        <f t="array" aca="1" ref="B47" ca="1">IF(A47&lt;&gt;"", SUMPRODUCT(($C$2:$AM$2&lt;&gt;0)*(C47:AM47&lt;&gt;0)*($C$2:$AM$2)*(C47:AM47)), "")</f>
        <v>125</v>
      </c>
      <c r="C47" s="36">
        <f ca="1">IF($A47="","",IF(C$1="","",COUNTIFS(tbl_chests[from],$A47,tbl_chests[legalized],C$1,tbl_chests[datetime],"&gt;="&amp;TODAY()-WEEKDAY(TODAY(),2)+1,tbl_chests[datetime],"&lt;"&amp;TODAY()-WEEKDAY(TODAY(),2)+8)))</f>
        <v>0</v>
      </c>
      <c r="D47" s="36">
        <f ca="1">IF($A47="","",IF(D$1="","",COUNTIFS(tbl_chests[from],$A47,tbl_chests[legalized],D$1,tbl_chests[datetime],"&gt;="&amp;TODAY()-WEEKDAY(TODAY(),2)+1,tbl_chests[datetime],"&lt;"&amp;TODAY()-WEEKDAY(TODAY(),2)+8)))</f>
        <v>0</v>
      </c>
      <c r="E47" s="36">
        <f ca="1">IF($A47="","",IF(E$1="","",COUNTIFS(tbl_chests[from],$A47,tbl_chests[legalized],E$1,tbl_chests[datetime],"&gt;="&amp;TODAY()-WEEKDAY(TODAY(),2)+1,tbl_chests[datetime],"&lt;"&amp;TODAY()-WEEKDAY(TODAY(),2)+8)))</f>
        <v>1</v>
      </c>
      <c r="F47" s="36">
        <f ca="1">IF($A47="","",IF(F$1="","",COUNTIFS(tbl_chests[from],$A47,tbl_chests[legalized],F$1,tbl_chests[datetime],"&gt;="&amp;TODAY()-WEEKDAY(TODAY(),2)+1,tbl_chests[datetime],"&lt;"&amp;TODAY()-WEEKDAY(TODAY(),2)+8)))</f>
        <v>1</v>
      </c>
      <c r="G47" s="36">
        <f ca="1">IF($A47="","",IF(G$1="","",COUNTIFS(tbl_chests[from],$A47,tbl_chests[legalized],G$1,tbl_chests[datetime],"&gt;="&amp;TODAY()-WEEKDAY(TODAY(),2)+1,tbl_chests[datetime],"&lt;"&amp;TODAY()-WEEKDAY(TODAY(),2)+8)))</f>
        <v>0</v>
      </c>
      <c r="H47" s="36">
        <f ca="1">IF($A47="","",IF(H$1="","",COUNTIFS(tbl_chests[from],$A47,tbl_chests[legalized],H$1,tbl_chests[datetime],"&gt;="&amp;TODAY()-WEEKDAY(TODAY(),2)+1,tbl_chests[datetime],"&lt;"&amp;TODAY()-WEEKDAY(TODAY(),2)+8)))</f>
        <v>0</v>
      </c>
      <c r="I47" s="36">
        <f ca="1">IF($A47="","",IF(I$1="","",COUNTIFS(tbl_chests[from],$A47,tbl_chests[legalized],I$1,tbl_chests[datetime],"&gt;="&amp;TODAY()-WEEKDAY(TODAY(),2)+1,tbl_chests[datetime],"&lt;"&amp;TODAY()-WEEKDAY(TODAY(),2)+8)))</f>
        <v>0</v>
      </c>
      <c r="J47" s="36">
        <f ca="1">IF($A47="","",IF(J$1="","",COUNTIFS(tbl_chests[from],$A47,tbl_chests[legalized],J$1,tbl_chests[datetime],"&gt;="&amp;TODAY()-WEEKDAY(TODAY(),2)+1,tbl_chests[datetime],"&lt;"&amp;TODAY()-WEEKDAY(TODAY(),2)+8)))</f>
        <v>0</v>
      </c>
      <c r="K47" s="36">
        <f ca="1">IF($A47="","",IF(K$1="","",COUNTIFS(tbl_chests[from],$A47,tbl_chests[legalized],K$1,tbl_chests[datetime],"&gt;="&amp;TODAY()-WEEKDAY(TODAY(),2)+1,tbl_chests[datetime],"&lt;"&amp;TODAY()-WEEKDAY(TODAY(),2)+8)))</f>
        <v>0</v>
      </c>
      <c r="L47" s="36">
        <f ca="1">IF($A47="","",IF(L$1="","",COUNTIFS(tbl_chests[from],$A47,tbl_chests[legalized],L$1,tbl_chests[datetime],"&gt;="&amp;TODAY()-WEEKDAY(TODAY(),2)+1,tbl_chests[datetime],"&lt;"&amp;TODAY()-WEEKDAY(TODAY(),2)+8)))</f>
        <v>0</v>
      </c>
      <c r="M47" s="36">
        <f ca="1">IF($A47="","",IF(M$1="","",COUNTIFS(tbl_chests[from],$A47,tbl_chests[legalized],M$1,tbl_chests[datetime],"&gt;="&amp;TODAY()-WEEKDAY(TODAY(),2)+1,tbl_chests[datetime],"&lt;"&amp;TODAY()-WEEKDAY(TODAY(),2)+8)))</f>
        <v>1</v>
      </c>
      <c r="N47" s="36">
        <f ca="1">IF($A47="","",IF(N$1="","",COUNTIFS(tbl_chests[from],$A47,tbl_chests[legalized],N$1,tbl_chests[datetime],"&gt;="&amp;TODAY()-WEEKDAY(TODAY(),2)+1,tbl_chests[datetime],"&lt;"&amp;TODAY()-WEEKDAY(TODAY(),2)+8)))</f>
        <v>0</v>
      </c>
      <c r="O47" s="36">
        <f ca="1">IF($A47="","",IF(O$1="","",COUNTIFS(tbl_chests[from],$A47,tbl_chests[legalized],O$1,tbl_chests[datetime],"&gt;="&amp;TODAY()-WEEKDAY(TODAY(),2)+1,tbl_chests[datetime],"&lt;"&amp;TODAY()-WEEKDAY(TODAY(),2)+8)))</f>
        <v>0</v>
      </c>
      <c r="P47" s="36">
        <f ca="1">IF($A47="","",IF(P$1="","",COUNTIFS(tbl_chests[from],$A47,tbl_chests[legalized],P$1,tbl_chests[datetime],"&gt;="&amp;TODAY()-WEEKDAY(TODAY(),2)+1,tbl_chests[datetime],"&lt;"&amp;TODAY()-WEEKDAY(TODAY(),2)+8)))</f>
        <v>0</v>
      </c>
      <c r="Q47" s="36">
        <f ca="1">IF($A47="","",IF(Q$1="","",COUNTIFS(tbl_chests[from],$A47,tbl_chests[legalized],Q$1,tbl_chests[datetime],"&gt;="&amp;TODAY()-WEEKDAY(TODAY(),2)+1,tbl_chests[datetime],"&lt;"&amp;TODAY()-WEEKDAY(TODAY(),2)+8)))</f>
        <v>0</v>
      </c>
      <c r="R47" s="36">
        <f ca="1">IF($A47="","",IF(R$1="","",COUNTIFS(tbl_chests[from],$A47,tbl_chests[legalized],R$1,tbl_chests[datetime],"&gt;="&amp;TODAY()-WEEKDAY(TODAY(),2)+1,tbl_chests[datetime],"&lt;"&amp;TODAY()-WEEKDAY(TODAY(),2)+8)))</f>
        <v>0</v>
      </c>
      <c r="S47" s="36">
        <f ca="1">IF($A47="","",IF(S$1="","",COUNTIFS(tbl_chests[from],$A47,tbl_chests[legalized],S$1,tbl_chests[datetime],"&gt;="&amp;TODAY()-WEEKDAY(TODAY(),2)+1,tbl_chests[datetime],"&lt;"&amp;TODAY()-WEEKDAY(TODAY(),2)+8)))</f>
        <v>0</v>
      </c>
      <c r="T47" s="36">
        <f ca="1">IF($A47="","",IF(T$1="","",COUNTIFS(tbl_chests[from],$A47,tbl_chests[legalized],T$1,tbl_chests[datetime],"&gt;="&amp;TODAY()-WEEKDAY(TODAY(),2)+1,tbl_chests[datetime],"&lt;"&amp;TODAY()-WEEKDAY(TODAY(),2)+8)))</f>
        <v>0</v>
      </c>
      <c r="U47" s="36">
        <f ca="1">IF($A47="","",IF(U$1="","",COUNTIFS(tbl_chests[from],$A47,tbl_chests[legalized],U$1,tbl_chests[datetime],"&gt;="&amp;TODAY()-WEEKDAY(TODAY(),2)+1,tbl_chests[datetime],"&lt;"&amp;TODAY()-WEEKDAY(TODAY(),2)+8)))</f>
        <v>0</v>
      </c>
      <c r="V47" s="36">
        <f ca="1">IF($A47="","",IF(V$1="","",COUNTIFS(tbl_chests[from],$A47,tbl_chests[legalized],V$1,tbl_chests[datetime],"&gt;="&amp;TODAY()-WEEKDAY(TODAY(),2)+1,tbl_chests[datetime],"&lt;"&amp;TODAY()-WEEKDAY(TODAY(),2)+8)))</f>
        <v>0</v>
      </c>
      <c r="W47" s="36">
        <f ca="1">IF($A47="","",IF(W$1="","",COUNTIFS(tbl_chests[from],$A47,tbl_chests[legalized],W$1,tbl_chests[datetime],"&gt;="&amp;TODAY()-WEEKDAY(TODAY(),2)+1,tbl_chests[datetime],"&lt;"&amp;TODAY()-WEEKDAY(TODAY(),2)+8)))</f>
        <v>0</v>
      </c>
      <c r="X47" s="36">
        <f ca="1">IF($A47="","",IF(X$1="","",COUNTIFS(tbl_chests[from],$A47,tbl_chests[legalized],X$1,tbl_chests[datetime],"&gt;="&amp;TODAY()-WEEKDAY(TODAY(),2)+1,tbl_chests[datetime],"&lt;"&amp;TODAY()-WEEKDAY(TODAY(),2)+8)))</f>
        <v>0</v>
      </c>
      <c r="Y47" s="36">
        <f ca="1">IF($A47="","",IF(Y$1="","",COUNTIFS(tbl_chests[from],$A47,tbl_chests[legalized],Y$1,tbl_chests[datetime],"&gt;="&amp;TODAY()-WEEKDAY(TODAY(),2)+1,tbl_chests[datetime],"&lt;"&amp;TODAY()-WEEKDAY(TODAY(),2)+8)))</f>
        <v>0</v>
      </c>
      <c r="Z47" s="36">
        <f ca="1">IF($A47="","",IF(Z$1="","",COUNTIFS(tbl_chests[from],$A47,tbl_chests[legalized],Z$1,tbl_chests[datetime],"&gt;="&amp;TODAY()-WEEKDAY(TODAY(),2)+1,tbl_chests[datetime],"&lt;"&amp;TODAY()-WEEKDAY(TODAY(),2)+8)))</f>
        <v>0</v>
      </c>
      <c r="AA47" s="36">
        <f ca="1">IF($A47="","",IF(AA$1="","",COUNTIFS(tbl_chests[from],$A47,tbl_chests[legalized],AA$1,tbl_chests[datetime],"&gt;="&amp;TODAY()-WEEKDAY(TODAY(),2)+1,tbl_chests[datetime],"&lt;"&amp;TODAY()-WEEKDAY(TODAY(),2)+8)))</f>
        <v>0</v>
      </c>
      <c r="AB47" s="36">
        <f ca="1">IF($A47="","",IF(AB$1="","",COUNTIFS(tbl_chests[from],$A47,tbl_chests[legalized],AB$1,tbl_chests[datetime],"&gt;="&amp;TODAY()-WEEKDAY(TODAY(),2)+1,tbl_chests[datetime],"&lt;"&amp;TODAY()-WEEKDAY(TODAY(),2)+8)))</f>
        <v>0</v>
      </c>
      <c r="AC47" s="36">
        <f ca="1">IF($A47="","",IF(AC$1="","",COUNTIFS(tbl_chests[from],$A47,tbl_chests[legalized],AC$1,tbl_chests[datetime],"&gt;="&amp;TODAY()-WEEKDAY(TODAY(),2)+1,tbl_chests[datetime],"&lt;"&amp;TODAY()-WEEKDAY(TODAY(),2)+8)))</f>
        <v>0</v>
      </c>
      <c r="AD47" s="36">
        <f ca="1">IF($A47="","",IF(AD$1="","",COUNTIFS(tbl_chests[from],$A47,tbl_chests[legalized],AD$1,tbl_chests[datetime],"&gt;="&amp;TODAY()-WEEKDAY(TODAY(),2)+1,tbl_chests[datetime],"&lt;"&amp;TODAY()-WEEKDAY(TODAY(),2)+8)))</f>
        <v>0</v>
      </c>
      <c r="AE47" s="36">
        <f ca="1">IF($A47="","",IF(AE$1="","",COUNTIFS(tbl_chests[from],$A47,tbl_chests[legalized],AE$1,tbl_chests[datetime],"&gt;="&amp;TODAY()-WEEKDAY(TODAY(),2)+1,tbl_chests[datetime],"&lt;"&amp;TODAY()-WEEKDAY(TODAY(),2)+8)))</f>
        <v>5</v>
      </c>
      <c r="AF47" s="36">
        <f ca="1">IF($A47="","",IF(AF$1="","",COUNTIFS(tbl_chests[from],$A47,tbl_chests[legalized],AF$1,tbl_chests[datetime],"&gt;="&amp;TODAY()-WEEKDAY(TODAY(),2)+1,tbl_chests[datetime],"&lt;"&amp;TODAY()-WEEKDAY(TODAY(),2)+8)))</f>
        <v>0</v>
      </c>
      <c r="AG47" s="36">
        <f ca="1">IF($A47="","",IF(AG$1="","",COUNTIFS(tbl_chests[from],$A47,tbl_chests[legalized],AG$1,tbl_chests[datetime],"&gt;="&amp;TODAY()-WEEKDAY(TODAY(),2)+1,tbl_chests[datetime],"&lt;"&amp;TODAY()-WEEKDAY(TODAY(),2)+8)))</f>
        <v>0</v>
      </c>
      <c r="AH47" s="36">
        <f ca="1">IF($A47="","",IF(AH$1="","",COUNTIFS(tbl_chests[from],$A47,tbl_chests[legalized],AH$1,tbl_chests[datetime],"&gt;="&amp;TODAY()-WEEKDAY(TODAY(),2)+1,tbl_chests[datetime],"&lt;"&amp;TODAY()-WEEKDAY(TODAY(),2)+8)))</f>
        <v>0</v>
      </c>
      <c r="AI47" s="36">
        <f ca="1">IF($A47="","",IF(AI$1="","",COUNTIFS(tbl_chests[from],$A47,tbl_chests[legalized],AI$1,tbl_chests[datetime],"&gt;="&amp;TODAY()-WEEKDAY(TODAY(),2)+1,tbl_chests[datetime],"&lt;"&amp;TODAY()-WEEKDAY(TODAY(),2)+8)))</f>
        <v>0</v>
      </c>
      <c r="AJ47" s="36">
        <f ca="1">IF($A47="","",IF(AJ$1="","",COUNTIFS(tbl_chests[from],$A47,tbl_chests[legalized],AJ$1,tbl_chests[datetime],"&gt;="&amp;TODAY()-WEEKDAY(TODAY(),2)+1,tbl_chests[datetime],"&lt;"&amp;TODAY()-WEEKDAY(TODAY(),2)+8)))</f>
        <v>0</v>
      </c>
      <c r="AK47" s="36">
        <f ca="1">IF($A47="","",IF(AK$1="","",COUNTIFS(tbl_chests[from],$A47,tbl_chests[legalized],AK$1,tbl_chests[datetime],"&gt;="&amp;TODAY()-WEEKDAY(TODAY(),2)+1,tbl_chests[datetime],"&lt;"&amp;TODAY()-WEEKDAY(TODAY(),2)+8)))</f>
        <v>0</v>
      </c>
      <c r="AL47" s="36">
        <f ca="1">IF($A47="","",IF(AL$1="","",COUNTIFS(tbl_chests[from],$A47,tbl_chests[legalized],AL$1,tbl_chests[datetime],"&gt;="&amp;TODAY()-WEEKDAY(TODAY(),2)+1,tbl_chests[datetime],"&lt;"&amp;TODAY()-WEEKDAY(TODAY(),2)+8)))</f>
        <v>0</v>
      </c>
      <c r="AM47" s="37">
        <f ca="1">IF($A47="","",IF(AM$1="","",COUNTIFS(tbl_chests[from],$A47,tbl_chests[legalized],AM$1,tbl_chests[datetime],"&gt;="&amp;TODAY()-WEEKDAY(TODAY(),2)+1,tbl_chests[datetime],"&lt;"&amp;TODAY()-WEEKDAY(TODAY(),2)+8)))</f>
        <v>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 ht="15.75" customHeight="1" x14ac:dyDescent="0.25">
      <c r="A48" s="34" t="str">
        <f>chests_counter!$H45</f>
        <v>Mario</v>
      </c>
      <c r="B48" s="35" cm="1">
        <f t="array" aca="1" ref="B48" ca="1">IF(A48&lt;&gt;"", SUMPRODUCT(($C$2:$AM$2&lt;&gt;0)*(C48:AM48&lt;&gt;0)*($C$2:$AM$2)*(C48:AM48)), "")</f>
        <v>40</v>
      </c>
      <c r="C48" s="36">
        <f ca="1">IF($A48="","",IF(C$1="","",COUNTIFS(tbl_chests[from],$A48,tbl_chests[legalized],C$1,tbl_chests[datetime],"&gt;="&amp;TODAY()-WEEKDAY(TODAY(),2)+1,tbl_chests[datetime],"&lt;"&amp;TODAY()-WEEKDAY(TODAY(),2)+8)))</f>
        <v>0</v>
      </c>
      <c r="D48" s="36">
        <f ca="1">IF($A48="","",IF(D$1="","",COUNTIFS(tbl_chests[from],$A48,tbl_chests[legalized],D$1,tbl_chests[datetime],"&gt;="&amp;TODAY()-WEEKDAY(TODAY(),2)+1,tbl_chests[datetime],"&lt;"&amp;TODAY()-WEEKDAY(TODAY(),2)+8)))</f>
        <v>2</v>
      </c>
      <c r="E48" s="36">
        <f ca="1">IF($A48="","",IF(E$1="","",COUNTIFS(tbl_chests[from],$A48,tbl_chests[legalized],E$1,tbl_chests[datetime],"&gt;="&amp;TODAY()-WEEKDAY(TODAY(),2)+1,tbl_chests[datetime],"&lt;"&amp;TODAY()-WEEKDAY(TODAY(),2)+8)))</f>
        <v>0</v>
      </c>
      <c r="F48" s="36">
        <f ca="1">IF($A48="","",IF(F$1="","",COUNTIFS(tbl_chests[from],$A48,tbl_chests[legalized],F$1,tbl_chests[datetime],"&gt;="&amp;TODAY()-WEEKDAY(TODAY(),2)+1,tbl_chests[datetime],"&lt;"&amp;TODAY()-WEEKDAY(TODAY(),2)+8)))</f>
        <v>0</v>
      </c>
      <c r="G48" s="36">
        <f ca="1">IF($A48="","",IF(G$1="","",COUNTIFS(tbl_chests[from],$A48,tbl_chests[legalized],G$1,tbl_chests[datetime],"&gt;="&amp;TODAY()-WEEKDAY(TODAY(),2)+1,tbl_chests[datetime],"&lt;"&amp;TODAY()-WEEKDAY(TODAY(),2)+8)))</f>
        <v>0</v>
      </c>
      <c r="H48" s="36">
        <f ca="1">IF($A48="","",IF(H$1="","",COUNTIFS(tbl_chests[from],$A48,tbl_chests[legalized],H$1,tbl_chests[datetime],"&gt;="&amp;TODAY()-WEEKDAY(TODAY(),2)+1,tbl_chests[datetime],"&lt;"&amp;TODAY()-WEEKDAY(TODAY(),2)+8)))</f>
        <v>0</v>
      </c>
      <c r="I48" s="36">
        <f ca="1">IF($A48="","",IF(I$1="","",COUNTIFS(tbl_chests[from],$A48,tbl_chests[legalized],I$1,tbl_chests[datetime],"&gt;="&amp;TODAY()-WEEKDAY(TODAY(),2)+1,tbl_chests[datetime],"&lt;"&amp;TODAY()-WEEKDAY(TODAY(),2)+8)))</f>
        <v>0</v>
      </c>
      <c r="J48" s="36">
        <f ca="1">IF($A48="","",IF(J$1="","",COUNTIFS(tbl_chests[from],$A48,tbl_chests[legalized],J$1,tbl_chests[datetime],"&gt;="&amp;TODAY()-WEEKDAY(TODAY(),2)+1,tbl_chests[datetime],"&lt;"&amp;TODAY()-WEEKDAY(TODAY(),2)+8)))</f>
        <v>0</v>
      </c>
      <c r="K48" s="36">
        <f ca="1">IF($A48="","",IF(K$1="","",COUNTIFS(tbl_chests[from],$A48,tbl_chests[legalized],K$1,tbl_chests[datetime],"&gt;="&amp;TODAY()-WEEKDAY(TODAY(),2)+1,tbl_chests[datetime],"&lt;"&amp;TODAY()-WEEKDAY(TODAY(),2)+8)))</f>
        <v>0</v>
      </c>
      <c r="L48" s="36">
        <f ca="1">IF($A48="","",IF(L$1="","",COUNTIFS(tbl_chests[from],$A48,tbl_chests[legalized],L$1,tbl_chests[datetime],"&gt;="&amp;TODAY()-WEEKDAY(TODAY(),2)+1,tbl_chests[datetime],"&lt;"&amp;TODAY()-WEEKDAY(TODAY(),2)+8)))</f>
        <v>0</v>
      </c>
      <c r="M48" s="36">
        <f ca="1">IF($A48="","",IF(M$1="","",COUNTIFS(tbl_chests[from],$A48,tbl_chests[legalized],M$1,tbl_chests[datetime],"&gt;="&amp;TODAY()-WEEKDAY(TODAY(),2)+1,tbl_chests[datetime],"&lt;"&amp;TODAY()-WEEKDAY(TODAY(),2)+8)))</f>
        <v>0</v>
      </c>
      <c r="N48" s="36">
        <f ca="1">IF($A48="","",IF(N$1="","",COUNTIFS(tbl_chests[from],$A48,tbl_chests[legalized],N$1,tbl_chests[datetime],"&gt;="&amp;TODAY()-WEEKDAY(TODAY(),2)+1,tbl_chests[datetime],"&lt;"&amp;TODAY()-WEEKDAY(TODAY(),2)+8)))</f>
        <v>0</v>
      </c>
      <c r="O48" s="36">
        <f ca="1">IF($A48="","",IF(O$1="","",COUNTIFS(tbl_chests[from],$A48,tbl_chests[legalized],O$1,tbl_chests[datetime],"&gt;="&amp;TODAY()-WEEKDAY(TODAY(),2)+1,tbl_chests[datetime],"&lt;"&amp;TODAY()-WEEKDAY(TODAY(),2)+8)))</f>
        <v>0</v>
      </c>
      <c r="P48" s="36">
        <f ca="1">IF($A48="","",IF(P$1="","",COUNTIFS(tbl_chests[from],$A48,tbl_chests[legalized],P$1,tbl_chests[datetime],"&gt;="&amp;TODAY()-WEEKDAY(TODAY(),2)+1,tbl_chests[datetime],"&lt;"&amp;TODAY()-WEEKDAY(TODAY(),2)+8)))</f>
        <v>0</v>
      </c>
      <c r="Q48" s="36">
        <f ca="1">IF($A48="","",IF(Q$1="","",COUNTIFS(tbl_chests[from],$A48,tbl_chests[legalized],Q$1,tbl_chests[datetime],"&gt;="&amp;TODAY()-WEEKDAY(TODAY(),2)+1,tbl_chests[datetime],"&lt;"&amp;TODAY()-WEEKDAY(TODAY(),2)+8)))</f>
        <v>0</v>
      </c>
      <c r="R48" s="36">
        <f ca="1">IF($A48="","",IF(R$1="","",COUNTIFS(tbl_chests[from],$A48,tbl_chests[legalized],R$1,tbl_chests[datetime],"&gt;="&amp;TODAY()-WEEKDAY(TODAY(),2)+1,tbl_chests[datetime],"&lt;"&amp;TODAY()-WEEKDAY(TODAY(),2)+8)))</f>
        <v>0</v>
      </c>
      <c r="S48" s="36">
        <f ca="1">IF($A48="","",IF(S$1="","",COUNTIFS(tbl_chests[from],$A48,tbl_chests[legalized],S$1,tbl_chests[datetime],"&gt;="&amp;TODAY()-WEEKDAY(TODAY(),2)+1,tbl_chests[datetime],"&lt;"&amp;TODAY()-WEEKDAY(TODAY(),2)+8)))</f>
        <v>0</v>
      </c>
      <c r="T48" s="36">
        <f ca="1">IF($A48="","",IF(T$1="","",COUNTIFS(tbl_chests[from],$A48,tbl_chests[legalized],T$1,tbl_chests[datetime],"&gt;="&amp;TODAY()-WEEKDAY(TODAY(),2)+1,tbl_chests[datetime],"&lt;"&amp;TODAY()-WEEKDAY(TODAY(),2)+8)))</f>
        <v>0</v>
      </c>
      <c r="U48" s="36">
        <f ca="1">IF($A48="","",IF(U$1="","",COUNTIFS(tbl_chests[from],$A48,tbl_chests[legalized],U$1,tbl_chests[datetime],"&gt;="&amp;TODAY()-WEEKDAY(TODAY(),2)+1,tbl_chests[datetime],"&lt;"&amp;TODAY()-WEEKDAY(TODAY(),2)+8)))</f>
        <v>0</v>
      </c>
      <c r="V48" s="36">
        <f ca="1">IF($A48="","",IF(V$1="","",COUNTIFS(tbl_chests[from],$A48,tbl_chests[legalized],V$1,tbl_chests[datetime],"&gt;="&amp;TODAY()-WEEKDAY(TODAY(),2)+1,tbl_chests[datetime],"&lt;"&amp;TODAY()-WEEKDAY(TODAY(),2)+8)))</f>
        <v>0</v>
      </c>
      <c r="W48" s="36">
        <f ca="1">IF($A48="","",IF(W$1="","",COUNTIFS(tbl_chests[from],$A48,tbl_chests[legalized],W$1,tbl_chests[datetime],"&gt;="&amp;TODAY()-WEEKDAY(TODAY(),2)+1,tbl_chests[datetime],"&lt;"&amp;TODAY()-WEEKDAY(TODAY(),2)+8)))</f>
        <v>0</v>
      </c>
      <c r="X48" s="36">
        <f ca="1">IF($A48="","",IF(X$1="","",COUNTIFS(tbl_chests[from],$A48,tbl_chests[legalized],X$1,tbl_chests[datetime],"&gt;="&amp;TODAY()-WEEKDAY(TODAY(),2)+1,tbl_chests[datetime],"&lt;"&amp;TODAY()-WEEKDAY(TODAY(),2)+8)))</f>
        <v>0</v>
      </c>
      <c r="Y48" s="36">
        <f ca="1">IF($A48="","",IF(Y$1="","",COUNTIFS(tbl_chests[from],$A48,tbl_chests[legalized],Y$1,tbl_chests[datetime],"&gt;="&amp;TODAY()-WEEKDAY(TODAY(),2)+1,tbl_chests[datetime],"&lt;"&amp;TODAY()-WEEKDAY(TODAY(),2)+8)))</f>
        <v>0</v>
      </c>
      <c r="Z48" s="36">
        <f ca="1">IF($A48="","",IF(Z$1="","",COUNTIFS(tbl_chests[from],$A48,tbl_chests[legalized],Z$1,tbl_chests[datetime],"&gt;="&amp;TODAY()-WEEKDAY(TODAY(),2)+1,tbl_chests[datetime],"&lt;"&amp;TODAY()-WEEKDAY(TODAY(),2)+8)))</f>
        <v>0</v>
      </c>
      <c r="AA48" s="36">
        <f ca="1">IF($A48="","",IF(AA$1="","",COUNTIFS(tbl_chests[from],$A48,tbl_chests[legalized],AA$1,tbl_chests[datetime],"&gt;="&amp;TODAY()-WEEKDAY(TODAY(),2)+1,tbl_chests[datetime],"&lt;"&amp;TODAY()-WEEKDAY(TODAY(),2)+8)))</f>
        <v>0</v>
      </c>
      <c r="AB48" s="36">
        <f ca="1">IF($A48="","",IF(AB$1="","",COUNTIFS(tbl_chests[from],$A48,tbl_chests[legalized],AB$1,tbl_chests[datetime],"&gt;="&amp;TODAY()-WEEKDAY(TODAY(),2)+1,tbl_chests[datetime],"&lt;"&amp;TODAY()-WEEKDAY(TODAY(),2)+8)))</f>
        <v>0</v>
      </c>
      <c r="AC48" s="36">
        <f ca="1">IF($A48="","",IF(AC$1="","",COUNTIFS(tbl_chests[from],$A48,tbl_chests[legalized],AC$1,tbl_chests[datetime],"&gt;="&amp;TODAY()-WEEKDAY(TODAY(),2)+1,tbl_chests[datetime],"&lt;"&amp;TODAY()-WEEKDAY(TODAY(),2)+8)))</f>
        <v>0</v>
      </c>
      <c r="AD48" s="36">
        <f ca="1">IF($A48="","",IF(AD$1="","",COUNTIFS(tbl_chests[from],$A48,tbl_chests[legalized],AD$1,tbl_chests[datetime],"&gt;="&amp;TODAY()-WEEKDAY(TODAY(),2)+1,tbl_chests[datetime],"&lt;"&amp;TODAY()-WEEKDAY(TODAY(),2)+8)))</f>
        <v>0</v>
      </c>
      <c r="AE48" s="36">
        <f ca="1">IF($A48="","",IF(AE$1="","",COUNTIFS(tbl_chests[from],$A48,tbl_chests[legalized],AE$1,tbl_chests[datetime],"&gt;="&amp;TODAY()-WEEKDAY(TODAY(),2)+1,tbl_chests[datetime],"&lt;"&amp;TODAY()-WEEKDAY(TODAY(),2)+8)))</f>
        <v>0</v>
      </c>
      <c r="AF48" s="36">
        <f ca="1">IF($A48="","",IF(AF$1="","",COUNTIFS(tbl_chests[from],$A48,tbl_chests[legalized],AF$1,tbl_chests[datetime],"&gt;="&amp;TODAY()-WEEKDAY(TODAY(),2)+1,tbl_chests[datetime],"&lt;"&amp;TODAY()-WEEKDAY(TODAY(),2)+8)))</f>
        <v>0</v>
      </c>
      <c r="AG48" s="36">
        <f ca="1">IF($A48="","",IF(AG$1="","",COUNTIFS(tbl_chests[from],$A48,tbl_chests[legalized],AG$1,tbl_chests[datetime],"&gt;="&amp;TODAY()-WEEKDAY(TODAY(),2)+1,tbl_chests[datetime],"&lt;"&amp;TODAY()-WEEKDAY(TODAY(),2)+8)))</f>
        <v>0</v>
      </c>
      <c r="AH48" s="36">
        <f ca="1">IF($A48="","",IF(AH$1="","",COUNTIFS(tbl_chests[from],$A48,tbl_chests[legalized],AH$1,tbl_chests[datetime],"&gt;="&amp;TODAY()-WEEKDAY(TODAY(),2)+1,tbl_chests[datetime],"&lt;"&amp;TODAY()-WEEKDAY(TODAY(),2)+8)))</f>
        <v>0</v>
      </c>
      <c r="AI48" s="36">
        <f ca="1">IF($A48="","",IF(AI$1="","",COUNTIFS(tbl_chests[from],$A48,tbl_chests[legalized],AI$1,tbl_chests[datetime],"&gt;="&amp;TODAY()-WEEKDAY(TODAY(),2)+1,tbl_chests[datetime],"&lt;"&amp;TODAY()-WEEKDAY(TODAY(),2)+8)))</f>
        <v>0</v>
      </c>
      <c r="AJ48" s="36">
        <f ca="1">IF($A48="","",IF(AJ$1="","",COUNTIFS(tbl_chests[from],$A48,tbl_chests[legalized],AJ$1,tbl_chests[datetime],"&gt;="&amp;TODAY()-WEEKDAY(TODAY(),2)+1,tbl_chests[datetime],"&lt;"&amp;TODAY()-WEEKDAY(TODAY(),2)+8)))</f>
        <v>0</v>
      </c>
      <c r="AK48" s="36">
        <f ca="1">IF($A48="","",IF(AK$1="","",COUNTIFS(tbl_chests[from],$A48,tbl_chests[legalized],AK$1,tbl_chests[datetime],"&gt;="&amp;TODAY()-WEEKDAY(TODAY(),2)+1,tbl_chests[datetime],"&lt;"&amp;TODAY()-WEEKDAY(TODAY(),2)+8)))</f>
        <v>0</v>
      </c>
      <c r="AL48" s="36">
        <f ca="1">IF($A48="","",IF(AL$1="","",COUNTIFS(tbl_chests[from],$A48,tbl_chests[legalized],AL$1,tbl_chests[datetime],"&gt;="&amp;TODAY()-WEEKDAY(TODAY(),2)+1,tbl_chests[datetime],"&lt;"&amp;TODAY()-WEEKDAY(TODAY(),2)+8)))</f>
        <v>0</v>
      </c>
      <c r="AM48" s="37">
        <f ca="1">IF($A48="","",IF(AM$1="","",COUNTIFS(tbl_chests[from],$A48,tbl_chests[legalized],AM$1,tbl_chests[datetime],"&gt;="&amp;TODAY()-WEEKDAY(TODAY(),2)+1,tbl_chests[datetime],"&lt;"&amp;TODAY()-WEEKDAY(TODAY(),2)+8)))</f>
        <v>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 t="str">
        <f>IF($A48 = "","",IF(BF$1 = "","",COUNTIFS(#REF!,$A48,#REF!,BF$1)))</f>
        <v/>
      </c>
      <c r="BG48" s="5" t="str">
        <f>IF($A48 = "","",IF(BG$1 = "","",COUNTIFS(#REF!,$A48,#REF!,BG$1)))</f>
        <v/>
      </c>
      <c r="BH48" s="5" t="str">
        <f>IF($A48 = "","",IF(BH$1 = "","",COUNTIFS(#REF!,$A48,#REF!,BH$1)))</f>
        <v/>
      </c>
      <c r="BI48" s="5" t="str">
        <f>IF($A48 = "","",IF(BI$1 = "","",COUNTIFS(#REF!,$A48,#REF!,BI$1)))</f>
        <v/>
      </c>
      <c r="BJ48" s="5" t="str">
        <f>IF($A48 = "","",IF(BJ$1 = "","",COUNTIFS(#REF!,$A48,#REF!,BJ$1)))</f>
        <v/>
      </c>
      <c r="BK48" s="5" t="str">
        <f>IF($A48 = "","",IF(BK$1 = "","",COUNTIFS(#REF!,$A48,#REF!,BK$1)))</f>
        <v/>
      </c>
      <c r="BL48" s="5" t="str">
        <f>IF($A48 = "","",IF(BL$1 = "","",COUNTIFS(#REF!,$A48,#REF!,BL$1)))</f>
        <v/>
      </c>
      <c r="BM48" s="5" t="str">
        <f>IF($A48 = "","",IF(BM$1 = "","",COUNTIFS(#REF!,$A48,#REF!,BM$1)))</f>
        <v/>
      </c>
      <c r="BN48" s="5" t="str">
        <f>IF($A48 = "","",IF(BN$1 = "","",COUNTIFS(#REF!,$A48,#REF!,BN$1)))</f>
        <v/>
      </c>
      <c r="BO48" s="5" t="str">
        <f>IF($A48 = "","",IF(BO$1 = "","",COUNTIFS(#REF!,$A48,#REF!,BO$1)))</f>
        <v/>
      </c>
    </row>
    <row r="49" spans="1:67" ht="15.75" customHeight="1" x14ac:dyDescent="0.25">
      <c r="A49" s="34" t="str">
        <f>chests_counter!$H46</f>
        <v>Megrinad</v>
      </c>
      <c r="B49" s="35" cm="1">
        <f t="array" aca="1" ref="B49" ca="1">IF(A49&lt;&gt;"", SUMPRODUCT(($C$2:$AM$2&lt;&gt;0)*(C49:AM49&lt;&gt;0)*($C$2:$AM$2)*(C49:AM49)), "")</f>
        <v>125</v>
      </c>
      <c r="C49" s="36">
        <f ca="1">IF($A49="","",IF(C$1="","",COUNTIFS(tbl_chests[from],$A49,tbl_chests[legalized],C$1,tbl_chests[datetime],"&gt;="&amp;TODAY()-WEEKDAY(TODAY(),2)+1,tbl_chests[datetime],"&lt;"&amp;TODAY()-WEEKDAY(TODAY(),2)+8)))</f>
        <v>12</v>
      </c>
      <c r="D49" s="36">
        <f ca="1">IF($A49="","",IF(D$1="","",COUNTIFS(tbl_chests[from],$A49,tbl_chests[legalized],D$1,tbl_chests[datetime],"&gt;="&amp;TODAY()-WEEKDAY(TODAY(),2)+1,tbl_chests[datetime],"&lt;"&amp;TODAY()-WEEKDAY(TODAY(),2)+8)))</f>
        <v>0</v>
      </c>
      <c r="E49" s="36">
        <f ca="1">IF($A49="","",IF(E$1="","",COUNTIFS(tbl_chests[from],$A49,tbl_chests[legalized],E$1,tbl_chests[datetime],"&gt;="&amp;TODAY()-WEEKDAY(TODAY(),2)+1,tbl_chests[datetime],"&lt;"&amp;TODAY()-WEEKDAY(TODAY(),2)+8)))</f>
        <v>0</v>
      </c>
      <c r="F49" s="36">
        <f ca="1">IF($A49="","",IF(F$1="","",COUNTIFS(tbl_chests[from],$A49,tbl_chests[legalized],F$1,tbl_chests[datetime],"&gt;="&amp;TODAY()-WEEKDAY(TODAY(),2)+1,tbl_chests[datetime],"&lt;"&amp;TODAY()-WEEKDAY(TODAY(),2)+8)))</f>
        <v>0</v>
      </c>
      <c r="G49" s="36">
        <f ca="1">IF($A49="","",IF(G$1="","",COUNTIFS(tbl_chests[from],$A49,tbl_chests[legalized],G$1,tbl_chests[datetime],"&gt;="&amp;TODAY()-WEEKDAY(TODAY(),2)+1,tbl_chests[datetime],"&lt;"&amp;TODAY()-WEEKDAY(TODAY(),2)+8)))</f>
        <v>0</v>
      </c>
      <c r="H49" s="36">
        <f ca="1">IF($A49="","",IF(H$1="","",COUNTIFS(tbl_chests[from],$A49,tbl_chests[legalized],H$1,tbl_chests[datetime],"&gt;="&amp;TODAY()-WEEKDAY(TODAY(),2)+1,tbl_chests[datetime],"&lt;"&amp;TODAY()-WEEKDAY(TODAY(),2)+8)))</f>
        <v>0</v>
      </c>
      <c r="I49" s="36">
        <f ca="1">IF($A49="","",IF(I$1="","",COUNTIFS(tbl_chests[from],$A49,tbl_chests[legalized],I$1,tbl_chests[datetime],"&gt;="&amp;TODAY()-WEEKDAY(TODAY(),2)+1,tbl_chests[datetime],"&lt;"&amp;TODAY()-WEEKDAY(TODAY(),2)+8)))</f>
        <v>0</v>
      </c>
      <c r="J49" s="36">
        <f ca="1">IF($A49="","",IF(J$1="","",COUNTIFS(tbl_chests[from],$A49,tbl_chests[legalized],J$1,tbl_chests[datetime],"&gt;="&amp;TODAY()-WEEKDAY(TODAY(),2)+1,tbl_chests[datetime],"&lt;"&amp;TODAY()-WEEKDAY(TODAY(),2)+8)))</f>
        <v>0</v>
      </c>
      <c r="K49" s="36">
        <f ca="1">IF($A49="","",IF(K$1="","",COUNTIFS(tbl_chests[from],$A49,tbl_chests[legalized],K$1,tbl_chests[datetime],"&gt;="&amp;TODAY()-WEEKDAY(TODAY(),2)+1,tbl_chests[datetime],"&lt;"&amp;TODAY()-WEEKDAY(TODAY(),2)+8)))</f>
        <v>0</v>
      </c>
      <c r="L49" s="36">
        <f ca="1">IF($A49="","",IF(L$1="","",COUNTIFS(tbl_chests[from],$A49,tbl_chests[legalized],L$1,tbl_chests[datetime],"&gt;="&amp;TODAY()-WEEKDAY(TODAY(),2)+1,tbl_chests[datetime],"&lt;"&amp;TODAY()-WEEKDAY(TODAY(),2)+8)))</f>
        <v>0</v>
      </c>
      <c r="M49" s="36">
        <f ca="1">IF($A49="","",IF(M$1="","",COUNTIFS(tbl_chests[from],$A49,tbl_chests[legalized],M$1,tbl_chests[datetime],"&gt;="&amp;TODAY()-WEEKDAY(TODAY(),2)+1,tbl_chests[datetime],"&lt;"&amp;TODAY()-WEEKDAY(TODAY(),2)+8)))</f>
        <v>0</v>
      </c>
      <c r="N49" s="36">
        <f ca="1">IF($A49="","",IF(N$1="","",COUNTIFS(tbl_chests[from],$A49,tbl_chests[legalized],N$1,tbl_chests[datetime],"&gt;="&amp;TODAY()-WEEKDAY(TODAY(),2)+1,tbl_chests[datetime],"&lt;"&amp;TODAY()-WEEKDAY(TODAY(),2)+8)))</f>
        <v>0</v>
      </c>
      <c r="O49" s="36">
        <f ca="1">IF($A49="","",IF(O$1="","",COUNTIFS(tbl_chests[from],$A49,tbl_chests[legalized],O$1,tbl_chests[datetime],"&gt;="&amp;TODAY()-WEEKDAY(TODAY(),2)+1,tbl_chests[datetime],"&lt;"&amp;TODAY()-WEEKDAY(TODAY(),2)+8)))</f>
        <v>0</v>
      </c>
      <c r="P49" s="36">
        <f ca="1">IF($A49="","",IF(P$1="","",COUNTIFS(tbl_chests[from],$A49,tbl_chests[legalized],P$1,tbl_chests[datetime],"&gt;="&amp;TODAY()-WEEKDAY(TODAY(),2)+1,tbl_chests[datetime],"&lt;"&amp;TODAY()-WEEKDAY(TODAY(),2)+8)))</f>
        <v>0</v>
      </c>
      <c r="Q49" s="36">
        <f ca="1">IF($A49="","",IF(Q$1="","",COUNTIFS(tbl_chests[from],$A49,tbl_chests[legalized],Q$1,tbl_chests[datetime],"&gt;="&amp;TODAY()-WEEKDAY(TODAY(),2)+1,tbl_chests[datetime],"&lt;"&amp;TODAY()-WEEKDAY(TODAY(),2)+8)))</f>
        <v>0</v>
      </c>
      <c r="R49" s="36">
        <f ca="1">IF($A49="","",IF(R$1="","",COUNTIFS(tbl_chests[from],$A49,tbl_chests[legalized],R$1,tbl_chests[datetime],"&gt;="&amp;TODAY()-WEEKDAY(TODAY(),2)+1,tbl_chests[datetime],"&lt;"&amp;TODAY()-WEEKDAY(TODAY(),2)+8)))</f>
        <v>0</v>
      </c>
      <c r="S49" s="36">
        <f ca="1">IF($A49="","",IF(S$1="","",COUNTIFS(tbl_chests[from],$A49,tbl_chests[legalized],S$1,tbl_chests[datetime],"&gt;="&amp;TODAY()-WEEKDAY(TODAY(),2)+1,tbl_chests[datetime],"&lt;"&amp;TODAY()-WEEKDAY(TODAY(),2)+8)))</f>
        <v>0</v>
      </c>
      <c r="T49" s="36">
        <f ca="1">IF($A49="","",IF(T$1="","",COUNTIFS(tbl_chests[from],$A49,tbl_chests[legalized],T$1,tbl_chests[datetime],"&gt;="&amp;TODAY()-WEEKDAY(TODAY(),2)+1,tbl_chests[datetime],"&lt;"&amp;TODAY()-WEEKDAY(TODAY(),2)+8)))</f>
        <v>0</v>
      </c>
      <c r="U49" s="36">
        <f ca="1">IF($A49="","",IF(U$1="","",COUNTIFS(tbl_chests[from],$A49,tbl_chests[legalized],U$1,tbl_chests[datetime],"&gt;="&amp;TODAY()-WEEKDAY(TODAY(),2)+1,tbl_chests[datetime],"&lt;"&amp;TODAY()-WEEKDAY(TODAY(),2)+8)))</f>
        <v>0</v>
      </c>
      <c r="V49" s="36">
        <f ca="1">IF($A49="","",IF(V$1="","",COUNTIFS(tbl_chests[from],$A49,tbl_chests[legalized],V$1,tbl_chests[datetime],"&gt;="&amp;TODAY()-WEEKDAY(TODAY(),2)+1,tbl_chests[datetime],"&lt;"&amp;TODAY()-WEEKDAY(TODAY(),2)+8)))</f>
        <v>0</v>
      </c>
      <c r="W49" s="36">
        <f ca="1">IF($A49="","",IF(W$1="","",COUNTIFS(tbl_chests[from],$A49,tbl_chests[legalized],W$1,tbl_chests[datetime],"&gt;="&amp;TODAY()-WEEKDAY(TODAY(),2)+1,tbl_chests[datetime],"&lt;"&amp;TODAY()-WEEKDAY(TODAY(),2)+8)))</f>
        <v>0</v>
      </c>
      <c r="X49" s="36">
        <f ca="1">IF($A49="","",IF(X$1="","",COUNTIFS(tbl_chests[from],$A49,tbl_chests[legalized],X$1,tbl_chests[datetime],"&gt;="&amp;TODAY()-WEEKDAY(TODAY(),2)+1,tbl_chests[datetime],"&lt;"&amp;TODAY()-WEEKDAY(TODAY(),2)+8)))</f>
        <v>0</v>
      </c>
      <c r="Y49" s="36">
        <f ca="1">IF($A49="","",IF(Y$1="","",COUNTIFS(tbl_chests[from],$A49,tbl_chests[legalized],Y$1,tbl_chests[datetime],"&gt;="&amp;TODAY()-WEEKDAY(TODAY(),2)+1,tbl_chests[datetime],"&lt;"&amp;TODAY()-WEEKDAY(TODAY(),2)+8)))</f>
        <v>0</v>
      </c>
      <c r="Z49" s="36">
        <f ca="1">IF($A49="","",IF(Z$1="","",COUNTIFS(tbl_chests[from],$A49,tbl_chests[legalized],Z$1,tbl_chests[datetime],"&gt;="&amp;TODAY()-WEEKDAY(TODAY(),2)+1,tbl_chests[datetime],"&lt;"&amp;TODAY()-WEEKDAY(TODAY(),2)+8)))</f>
        <v>0</v>
      </c>
      <c r="AA49" s="36">
        <f ca="1">IF($A49="","",IF(AA$1="","",COUNTIFS(tbl_chests[from],$A49,tbl_chests[legalized],AA$1,tbl_chests[datetime],"&gt;="&amp;TODAY()-WEEKDAY(TODAY(),2)+1,tbl_chests[datetime],"&lt;"&amp;TODAY()-WEEKDAY(TODAY(),2)+8)))</f>
        <v>0</v>
      </c>
      <c r="AB49" s="36">
        <f ca="1">IF($A49="","",IF(AB$1="","",COUNTIFS(tbl_chests[from],$A49,tbl_chests[legalized],AB$1,tbl_chests[datetime],"&gt;="&amp;TODAY()-WEEKDAY(TODAY(),2)+1,tbl_chests[datetime],"&lt;"&amp;TODAY()-WEEKDAY(TODAY(),2)+8)))</f>
        <v>0</v>
      </c>
      <c r="AC49" s="36">
        <f ca="1">IF($A49="","",IF(AC$1="","",COUNTIFS(tbl_chests[from],$A49,tbl_chests[legalized],AC$1,tbl_chests[datetime],"&gt;="&amp;TODAY()-WEEKDAY(TODAY(),2)+1,tbl_chests[datetime],"&lt;"&amp;TODAY()-WEEKDAY(TODAY(),2)+8)))</f>
        <v>0</v>
      </c>
      <c r="AD49" s="36">
        <f ca="1">IF($A49="","",IF(AD$1="","",COUNTIFS(tbl_chests[from],$A49,tbl_chests[legalized],AD$1,tbl_chests[datetime],"&gt;="&amp;TODAY()-WEEKDAY(TODAY(),2)+1,tbl_chests[datetime],"&lt;"&amp;TODAY()-WEEKDAY(TODAY(),2)+8)))</f>
        <v>0</v>
      </c>
      <c r="AE49" s="36">
        <f ca="1">IF($A49="","",IF(AE$1="","",COUNTIFS(tbl_chests[from],$A49,tbl_chests[legalized],AE$1,tbl_chests[datetime],"&gt;="&amp;TODAY()-WEEKDAY(TODAY(),2)+1,tbl_chests[datetime],"&lt;"&amp;TODAY()-WEEKDAY(TODAY(),2)+8)))</f>
        <v>1</v>
      </c>
      <c r="AF49" s="36">
        <f ca="1">IF($A49="","",IF(AF$1="","",COUNTIFS(tbl_chests[from],$A49,tbl_chests[legalized],AF$1,tbl_chests[datetime],"&gt;="&amp;TODAY()-WEEKDAY(TODAY(),2)+1,tbl_chests[datetime],"&lt;"&amp;TODAY()-WEEKDAY(TODAY(),2)+8)))</f>
        <v>0</v>
      </c>
      <c r="AG49" s="36">
        <f ca="1">IF($A49="","",IF(AG$1="","",COUNTIFS(tbl_chests[from],$A49,tbl_chests[legalized],AG$1,tbl_chests[datetime],"&gt;="&amp;TODAY()-WEEKDAY(TODAY(),2)+1,tbl_chests[datetime],"&lt;"&amp;TODAY()-WEEKDAY(TODAY(),2)+8)))</f>
        <v>0</v>
      </c>
      <c r="AH49" s="36">
        <f ca="1">IF($A49="","",IF(AH$1="","",COUNTIFS(tbl_chests[from],$A49,tbl_chests[legalized],AH$1,tbl_chests[datetime],"&gt;="&amp;TODAY()-WEEKDAY(TODAY(),2)+1,tbl_chests[datetime],"&lt;"&amp;TODAY()-WEEKDAY(TODAY(),2)+8)))</f>
        <v>0</v>
      </c>
      <c r="AI49" s="36">
        <f ca="1">IF($A49="","",IF(AI$1="","",COUNTIFS(tbl_chests[from],$A49,tbl_chests[legalized],AI$1,tbl_chests[datetime],"&gt;="&amp;TODAY()-WEEKDAY(TODAY(),2)+1,tbl_chests[datetime],"&lt;"&amp;TODAY()-WEEKDAY(TODAY(),2)+8)))</f>
        <v>0</v>
      </c>
      <c r="AJ49" s="36">
        <f ca="1">IF($A49="","",IF(AJ$1="","",COUNTIFS(tbl_chests[from],$A49,tbl_chests[legalized],AJ$1,tbl_chests[datetime],"&gt;="&amp;TODAY()-WEEKDAY(TODAY(),2)+1,tbl_chests[datetime],"&lt;"&amp;TODAY()-WEEKDAY(TODAY(),2)+8)))</f>
        <v>0</v>
      </c>
      <c r="AK49" s="36">
        <f ca="1">IF($A49="","",IF(AK$1="","",COUNTIFS(tbl_chests[from],$A49,tbl_chests[legalized],AK$1,tbl_chests[datetime],"&gt;="&amp;TODAY()-WEEKDAY(TODAY(),2)+1,tbl_chests[datetime],"&lt;"&amp;TODAY()-WEEKDAY(TODAY(),2)+8)))</f>
        <v>0</v>
      </c>
      <c r="AL49" s="36">
        <f ca="1">IF($A49="","",IF(AL$1="","",COUNTIFS(tbl_chests[from],$A49,tbl_chests[legalized],AL$1,tbl_chests[datetime],"&gt;="&amp;TODAY()-WEEKDAY(TODAY(),2)+1,tbl_chests[datetime],"&lt;"&amp;TODAY()-WEEKDAY(TODAY(),2)+8)))</f>
        <v>0</v>
      </c>
      <c r="AM49" s="37">
        <f ca="1">IF($A49="","",IF(AM$1="","",COUNTIFS(tbl_chests[from],$A49,tbl_chests[legalized],AM$1,tbl_chests[datetime],"&gt;="&amp;TODAY()-WEEKDAY(TODAY(),2)+1,tbl_chests[datetime],"&lt;"&amp;TODAY()-WEEKDAY(TODAY(),2)+8)))</f>
        <v>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 ht="15.75" customHeight="1" x14ac:dyDescent="0.25">
      <c r="A50" s="34" t="str">
        <f>chests_counter!$H47</f>
        <v>MindraNivera</v>
      </c>
      <c r="B50" s="35" cm="1">
        <f t="array" aca="1" ref="B50" ca="1">IF(A50&lt;&gt;"", SUMPRODUCT(($C$2:$AM$2&lt;&gt;0)*(C50:AM50&lt;&gt;0)*($C$2:$AM$2)*(C50:AM50)), "")</f>
        <v>140</v>
      </c>
      <c r="C50" s="36">
        <f ca="1">IF($A50="","",IF(C$1="","",COUNTIFS(tbl_chests[from],$A50,tbl_chests[legalized],C$1,tbl_chests[datetime],"&gt;="&amp;TODAY()-WEEKDAY(TODAY(),2)+1,tbl_chests[datetime],"&lt;"&amp;TODAY()-WEEKDAY(TODAY(),2)+8)))</f>
        <v>7</v>
      </c>
      <c r="D50" s="36">
        <f ca="1">IF($A50="","",IF(D$1="","",COUNTIFS(tbl_chests[from],$A50,tbl_chests[legalized],D$1,tbl_chests[datetime],"&gt;="&amp;TODAY()-WEEKDAY(TODAY(),2)+1,tbl_chests[datetime],"&lt;"&amp;TODAY()-WEEKDAY(TODAY(),2)+8)))</f>
        <v>2</v>
      </c>
      <c r="E50" s="36">
        <f ca="1">IF($A50="","",IF(E$1="","",COUNTIFS(tbl_chests[from],$A50,tbl_chests[legalized],E$1,tbl_chests[datetime],"&gt;="&amp;TODAY()-WEEKDAY(TODAY(),2)+1,tbl_chests[datetime],"&lt;"&amp;TODAY()-WEEKDAY(TODAY(),2)+8)))</f>
        <v>0</v>
      </c>
      <c r="F50" s="36">
        <f ca="1">IF($A50="","",IF(F$1="","",COUNTIFS(tbl_chests[from],$A50,tbl_chests[legalized],F$1,tbl_chests[datetime],"&gt;="&amp;TODAY()-WEEKDAY(TODAY(),2)+1,tbl_chests[datetime],"&lt;"&amp;TODAY()-WEEKDAY(TODAY(),2)+8)))</f>
        <v>0</v>
      </c>
      <c r="G50" s="36">
        <f ca="1">IF($A50="","",IF(G$1="","",COUNTIFS(tbl_chests[from],$A50,tbl_chests[legalized],G$1,tbl_chests[datetime],"&gt;="&amp;TODAY()-WEEKDAY(TODAY(),2)+1,tbl_chests[datetime],"&lt;"&amp;TODAY()-WEEKDAY(TODAY(),2)+8)))</f>
        <v>0</v>
      </c>
      <c r="H50" s="36">
        <f ca="1">IF($A50="","",IF(H$1="","",COUNTIFS(tbl_chests[from],$A50,tbl_chests[legalized],H$1,tbl_chests[datetime],"&gt;="&amp;TODAY()-WEEKDAY(TODAY(),2)+1,tbl_chests[datetime],"&lt;"&amp;TODAY()-WEEKDAY(TODAY(),2)+8)))</f>
        <v>0</v>
      </c>
      <c r="I50" s="36">
        <f ca="1">IF($A50="","",IF(I$1="","",COUNTIFS(tbl_chests[from],$A50,tbl_chests[legalized],I$1,tbl_chests[datetime],"&gt;="&amp;TODAY()-WEEKDAY(TODAY(),2)+1,tbl_chests[datetime],"&lt;"&amp;TODAY()-WEEKDAY(TODAY(),2)+8)))</f>
        <v>0</v>
      </c>
      <c r="J50" s="36">
        <f ca="1">IF($A50="","",IF(J$1="","",COUNTIFS(tbl_chests[from],$A50,tbl_chests[legalized],J$1,tbl_chests[datetime],"&gt;="&amp;TODAY()-WEEKDAY(TODAY(),2)+1,tbl_chests[datetime],"&lt;"&amp;TODAY()-WEEKDAY(TODAY(),2)+8)))</f>
        <v>0</v>
      </c>
      <c r="K50" s="36">
        <f ca="1">IF($A50="","",IF(K$1="","",COUNTIFS(tbl_chests[from],$A50,tbl_chests[legalized],K$1,tbl_chests[datetime],"&gt;="&amp;TODAY()-WEEKDAY(TODAY(),2)+1,tbl_chests[datetime],"&lt;"&amp;TODAY()-WEEKDAY(TODAY(),2)+8)))</f>
        <v>0</v>
      </c>
      <c r="L50" s="36">
        <f ca="1">IF($A50="","",IF(L$1="","",COUNTIFS(tbl_chests[from],$A50,tbl_chests[legalized],L$1,tbl_chests[datetime],"&gt;="&amp;TODAY()-WEEKDAY(TODAY(),2)+1,tbl_chests[datetime],"&lt;"&amp;TODAY()-WEEKDAY(TODAY(),2)+8)))</f>
        <v>0</v>
      </c>
      <c r="M50" s="36">
        <f ca="1">IF($A50="","",IF(M$1="","",COUNTIFS(tbl_chests[from],$A50,tbl_chests[legalized],M$1,tbl_chests[datetime],"&gt;="&amp;TODAY()-WEEKDAY(TODAY(),2)+1,tbl_chests[datetime],"&lt;"&amp;TODAY()-WEEKDAY(TODAY(),2)+8)))</f>
        <v>0</v>
      </c>
      <c r="N50" s="36">
        <f ca="1">IF($A50="","",IF(N$1="","",COUNTIFS(tbl_chests[from],$A50,tbl_chests[legalized],N$1,tbl_chests[datetime],"&gt;="&amp;TODAY()-WEEKDAY(TODAY(),2)+1,tbl_chests[datetime],"&lt;"&amp;TODAY()-WEEKDAY(TODAY(),2)+8)))</f>
        <v>0</v>
      </c>
      <c r="O50" s="36">
        <f ca="1">IF($A50="","",IF(O$1="","",COUNTIFS(tbl_chests[from],$A50,tbl_chests[legalized],O$1,tbl_chests[datetime],"&gt;="&amp;TODAY()-WEEKDAY(TODAY(),2)+1,tbl_chests[datetime],"&lt;"&amp;TODAY()-WEEKDAY(TODAY(),2)+8)))</f>
        <v>0</v>
      </c>
      <c r="P50" s="36">
        <f ca="1">IF($A50="","",IF(P$1="","",COUNTIFS(tbl_chests[from],$A50,tbl_chests[legalized],P$1,tbl_chests[datetime],"&gt;="&amp;TODAY()-WEEKDAY(TODAY(),2)+1,tbl_chests[datetime],"&lt;"&amp;TODAY()-WEEKDAY(TODAY(),2)+8)))</f>
        <v>0</v>
      </c>
      <c r="Q50" s="36">
        <f ca="1">IF($A50="","",IF(Q$1="","",COUNTIFS(tbl_chests[from],$A50,tbl_chests[legalized],Q$1,tbl_chests[datetime],"&gt;="&amp;TODAY()-WEEKDAY(TODAY(),2)+1,tbl_chests[datetime],"&lt;"&amp;TODAY()-WEEKDAY(TODAY(),2)+8)))</f>
        <v>0</v>
      </c>
      <c r="R50" s="36">
        <f ca="1">IF($A50="","",IF(R$1="","",COUNTIFS(tbl_chests[from],$A50,tbl_chests[legalized],R$1,tbl_chests[datetime],"&gt;="&amp;TODAY()-WEEKDAY(TODAY(),2)+1,tbl_chests[datetime],"&lt;"&amp;TODAY()-WEEKDAY(TODAY(),2)+8)))</f>
        <v>0</v>
      </c>
      <c r="S50" s="36">
        <f ca="1">IF($A50="","",IF(S$1="","",COUNTIFS(tbl_chests[from],$A50,tbl_chests[legalized],S$1,tbl_chests[datetime],"&gt;="&amp;TODAY()-WEEKDAY(TODAY(),2)+1,tbl_chests[datetime],"&lt;"&amp;TODAY()-WEEKDAY(TODAY(),2)+8)))</f>
        <v>0</v>
      </c>
      <c r="T50" s="36">
        <f ca="1">IF($A50="","",IF(T$1="","",COUNTIFS(tbl_chests[from],$A50,tbl_chests[legalized],T$1,tbl_chests[datetime],"&gt;="&amp;TODAY()-WEEKDAY(TODAY(),2)+1,tbl_chests[datetime],"&lt;"&amp;TODAY()-WEEKDAY(TODAY(),2)+8)))</f>
        <v>0</v>
      </c>
      <c r="U50" s="36">
        <f ca="1">IF($A50="","",IF(U$1="","",COUNTIFS(tbl_chests[from],$A50,tbl_chests[legalized],U$1,tbl_chests[datetime],"&gt;="&amp;TODAY()-WEEKDAY(TODAY(),2)+1,tbl_chests[datetime],"&lt;"&amp;TODAY()-WEEKDAY(TODAY(),2)+8)))</f>
        <v>0</v>
      </c>
      <c r="V50" s="36">
        <f ca="1">IF($A50="","",IF(V$1="","",COUNTIFS(tbl_chests[from],$A50,tbl_chests[legalized],V$1,tbl_chests[datetime],"&gt;="&amp;TODAY()-WEEKDAY(TODAY(),2)+1,tbl_chests[datetime],"&lt;"&amp;TODAY()-WEEKDAY(TODAY(),2)+8)))</f>
        <v>0</v>
      </c>
      <c r="W50" s="36">
        <f ca="1">IF($A50="","",IF(W$1="","",COUNTIFS(tbl_chests[from],$A50,tbl_chests[legalized],W$1,tbl_chests[datetime],"&gt;="&amp;TODAY()-WEEKDAY(TODAY(),2)+1,tbl_chests[datetime],"&lt;"&amp;TODAY()-WEEKDAY(TODAY(),2)+8)))</f>
        <v>0</v>
      </c>
      <c r="X50" s="36">
        <f ca="1">IF($A50="","",IF(X$1="","",COUNTIFS(tbl_chests[from],$A50,tbl_chests[legalized],X$1,tbl_chests[datetime],"&gt;="&amp;TODAY()-WEEKDAY(TODAY(),2)+1,tbl_chests[datetime],"&lt;"&amp;TODAY()-WEEKDAY(TODAY(),2)+8)))</f>
        <v>0</v>
      </c>
      <c r="Y50" s="36">
        <f ca="1">IF($A50="","",IF(Y$1="","",COUNTIFS(tbl_chests[from],$A50,tbl_chests[legalized],Y$1,tbl_chests[datetime],"&gt;="&amp;TODAY()-WEEKDAY(TODAY(),2)+1,tbl_chests[datetime],"&lt;"&amp;TODAY()-WEEKDAY(TODAY(),2)+8)))</f>
        <v>0</v>
      </c>
      <c r="Z50" s="36">
        <f ca="1">IF($A50="","",IF(Z$1="","",COUNTIFS(tbl_chests[from],$A50,tbl_chests[legalized],Z$1,tbl_chests[datetime],"&gt;="&amp;TODAY()-WEEKDAY(TODAY(),2)+1,tbl_chests[datetime],"&lt;"&amp;TODAY()-WEEKDAY(TODAY(),2)+8)))</f>
        <v>0</v>
      </c>
      <c r="AA50" s="36">
        <f ca="1">IF($A50="","",IF(AA$1="","",COUNTIFS(tbl_chests[from],$A50,tbl_chests[legalized],AA$1,tbl_chests[datetime],"&gt;="&amp;TODAY()-WEEKDAY(TODAY(),2)+1,tbl_chests[datetime],"&lt;"&amp;TODAY()-WEEKDAY(TODAY(),2)+8)))</f>
        <v>0</v>
      </c>
      <c r="AB50" s="36">
        <f ca="1">IF($A50="","",IF(AB$1="","",COUNTIFS(tbl_chests[from],$A50,tbl_chests[legalized],AB$1,tbl_chests[datetime],"&gt;="&amp;TODAY()-WEEKDAY(TODAY(),2)+1,tbl_chests[datetime],"&lt;"&amp;TODAY()-WEEKDAY(TODAY(),2)+8)))</f>
        <v>0</v>
      </c>
      <c r="AC50" s="36">
        <f ca="1">IF($A50="","",IF(AC$1="","",COUNTIFS(tbl_chests[from],$A50,tbl_chests[legalized],AC$1,tbl_chests[datetime],"&gt;="&amp;TODAY()-WEEKDAY(TODAY(),2)+1,tbl_chests[datetime],"&lt;"&amp;TODAY()-WEEKDAY(TODAY(),2)+8)))</f>
        <v>0</v>
      </c>
      <c r="AD50" s="36">
        <f ca="1">IF($A50="","",IF(AD$1="","",COUNTIFS(tbl_chests[from],$A50,tbl_chests[legalized],AD$1,tbl_chests[datetime],"&gt;="&amp;TODAY()-WEEKDAY(TODAY(),2)+1,tbl_chests[datetime],"&lt;"&amp;TODAY()-WEEKDAY(TODAY(),2)+8)))</f>
        <v>0</v>
      </c>
      <c r="AE50" s="36">
        <f ca="1">IF($A50="","",IF(AE$1="","",COUNTIFS(tbl_chests[from],$A50,tbl_chests[legalized],AE$1,tbl_chests[datetime],"&gt;="&amp;TODAY()-WEEKDAY(TODAY(),2)+1,tbl_chests[datetime],"&lt;"&amp;TODAY()-WEEKDAY(TODAY(),2)+8)))</f>
        <v>6</v>
      </c>
      <c r="AF50" s="36">
        <f ca="1">IF($A50="","",IF(AF$1="","",COUNTIFS(tbl_chests[from],$A50,tbl_chests[legalized],AF$1,tbl_chests[datetime],"&gt;="&amp;TODAY()-WEEKDAY(TODAY(),2)+1,tbl_chests[datetime],"&lt;"&amp;TODAY()-WEEKDAY(TODAY(),2)+8)))</f>
        <v>0</v>
      </c>
      <c r="AG50" s="36">
        <f ca="1">IF($A50="","",IF(AG$1="","",COUNTIFS(tbl_chests[from],$A50,tbl_chests[legalized],AG$1,tbl_chests[datetime],"&gt;="&amp;TODAY()-WEEKDAY(TODAY(),2)+1,tbl_chests[datetime],"&lt;"&amp;TODAY()-WEEKDAY(TODAY(),2)+8)))</f>
        <v>0</v>
      </c>
      <c r="AH50" s="36">
        <f ca="1">IF($A50="","",IF(AH$1="","",COUNTIFS(tbl_chests[from],$A50,tbl_chests[legalized],AH$1,tbl_chests[datetime],"&gt;="&amp;TODAY()-WEEKDAY(TODAY(),2)+1,tbl_chests[datetime],"&lt;"&amp;TODAY()-WEEKDAY(TODAY(),2)+8)))</f>
        <v>0</v>
      </c>
      <c r="AI50" s="36">
        <f ca="1">IF($A50="","",IF(AI$1="","",COUNTIFS(tbl_chests[from],$A50,tbl_chests[legalized],AI$1,tbl_chests[datetime],"&gt;="&amp;TODAY()-WEEKDAY(TODAY(),2)+1,tbl_chests[datetime],"&lt;"&amp;TODAY()-WEEKDAY(TODAY(),2)+8)))</f>
        <v>0</v>
      </c>
      <c r="AJ50" s="36">
        <f ca="1">IF($A50="","",IF(AJ$1="","",COUNTIFS(tbl_chests[from],$A50,tbl_chests[legalized],AJ$1,tbl_chests[datetime],"&gt;="&amp;TODAY()-WEEKDAY(TODAY(),2)+1,tbl_chests[datetime],"&lt;"&amp;TODAY()-WEEKDAY(TODAY(),2)+8)))</f>
        <v>0</v>
      </c>
      <c r="AK50" s="36">
        <f ca="1">IF($A50="","",IF(AK$1="","",COUNTIFS(tbl_chests[from],$A50,tbl_chests[legalized],AK$1,tbl_chests[datetime],"&gt;="&amp;TODAY()-WEEKDAY(TODAY(),2)+1,tbl_chests[datetime],"&lt;"&amp;TODAY()-WEEKDAY(TODAY(),2)+8)))</f>
        <v>0</v>
      </c>
      <c r="AL50" s="36">
        <f ca="1">IF($A50="","",IF(AL$1="","",COUNTIFS(tbl_chests[from],$A50,tbl_chests[legalized],AL$1,tbl_chests[datetime],"&gt;="&amp;TODAY()-WEEKDAY(TODAY(),2)+1,tbl_chests[datetime],"&lt;"&amp;TODAY()-WEEKDAY(TODAY(),2)+8)))</f>
        <v>0</v>
      </c>
      <c r="AM50" s="37">
        <f ca="1">IF($A50="","",IF(AM$1="","",COUNTIFS(tbl_chests[from],$A50,tbl_chests[legalized],AM$1,tbl_chests[datetime],"&gt;="&amp;TODAY()-WEEKDAY(TODAY(),2)+1,tbl_chests[datetime],"&lt;"&amp;TODAY()-WEEKDAY(TODAY(),2)+8)))</f>
        <v>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 ht="15.75" customHeight="1" x14ac:dyDescent="0.25">
      <c r="A51" s="34" t="str">
        <f>chests_counter!$H48</f>
        <v>Mohamed</v>
      </c>
      <c r="B51" s="35" cm="1">
        <f t="array" aca="1" ref="B51" ca="1">IF(A51&lt;&gt;"", SUMPRODUCT(($C$2:$AM$2&lt;&gt;0)*(C51:AM51&lt;&gt;0)*($C$2:$AM$2)*(C51:AM51)), "")</f>
        <v>0</v>
      </c>
      <c r="C51" s="36">
        <f ca="1">IF($A51="","",IF(C$1="","",COUNTIFS(tbl_chests[from],$A51,tbl_chests[legalized],C$1,tbl_chests[datetime],"&gt;="&amp;TODAY()-WEEKDAY(TODAY(),2)+1,tbl_chests[datetime],"&lt;"&amp;TODAY()-WEEKDAY(TODAY(),2)+8)))</f>
        <v>0</v>
      </c>
      <c r="D51" s="36">
        <f ca="1">IF($A51="","",IF(D$1="","",COUNTIFS(tbl_chests[from],$A51,tbl_chests[legalized],D$1,tbl_chests[datetime],"&gt;="&amp;TODAY()-WEEKDAY(TODAY(),2)+1,tbl_chests[datetime],"&lt;"&amp;TODAY()-WEEKDAY(TODAY(),2)+8)))</f>
        <v>0</v>
      </c>
      <c r="E51" s="36">
        <f ca="1">IF($A51="","",IF(E$1="","",COUNTIFS(tbl_chests[from],$A51,tbl_chests[legalized],E$1,tbl_chests[datetime],"&gt;="&amp;TODAY()-WEEKDAY(TODAY(),2)+1,tbl_chests[datetime],"&lt;"&amp;TODAY()-WEEKDAY(TODAY(),2)+8)))</f>
        <v>0</v>
      </c>
      <c r="F51" s="36">
        <f ca="1">IF($A51="","",IF(F$1="","",COUNTIFS(tbl_chests[from],$A51,tbl_chests[legalized],F$1,tbl_chests[datetime],"&gt;="&amp;TODAY()-WEEKDAY(TODAY(),2)+1,tbl_chests[datetime],"&lt;"&amp;TODAY()-WEEKDAY(TODAY(),2)+8)))</f>
        <v>0</v>
      </c>
      <c r="G51" s="36">
        <f ca="1">IF($A51="","",IF(G$1="","",COUNTIFS(tbl_chests[from],$A51,tbl_chests[legalized],G$1,tbl_chests[datetime],"&gt;="&amp;TODAY()-WEEKDAY(TODAY(),2)+1,tbl_chests[datetime],"&lt;"&amp;TODAY()-WEEKDAY(TODAY(),2)+8)))</f>
        <v>0</v>
      </c>
      <c r="H51" s="36">
        <f ca="1">IF($A51="","",IF(H$1="","",COUNTIFS(tbl_chests[from],$A51,tbl_chests[legalized],H$1,tbl_chests[datetime],"&gt;="&amp;TODAY()-WEEKDAY(TODAY(),2)+1,tbl_chests[datetime],"&lt;"&amp;TODAY()-WEEKDAY(TODAY(),2)+8)))</f>
        <v>0</v>
      </c>
      <c r="I51" s="36">
        <f ca="1">IF($A51="","",IF(I$1="","",COUNTIFS(tbl_chests[from],$A51,tbl_chests[legalized],I$1,tbl_chests[datetime],"&gt;="&amp;TODAY()-WEEKDAY(TODAY(),2)+1,tbl_chests[datetime],"&lt;"&amp;TODAY()-WEEKDAY(TODAY(),2)+8)))</f>
        <v>0</v>
      </c>
      <c r="J51" s="36">
        <f ca="1">IF($A51="","",IF(J$1="","",COUNTIFS(tbl_chests[from],$A51,tbl_chests[legalized],J$1,tbl_chests[datetime],"&gt;="&amp;TODAY()-WEEKDAY(TODAY(),2)+1,tbl_chests[datetime],"&lt;"&amp;TODAY()-WEEKDAY(TODAY(),2)+8)))</f>
        <v>0</v>
      </c>
      <c r="K51" s="36">
        <f ca="1">IF($A51="","",IF(K$1="","",COUNTIFS(tbl_chests[from],$A51,tbl_chests[legalized],K$1,tbl_chests[datetime],"&gt;="&amp;TODAY()-WEEKDAY(TODAY(),2)+1,tbl_chests[datetime],"&lt;"&amp;TODAY()-WEEKDAY(TODAY(),2)+8)))</f>
        <v>0</v>
      </c>
      <c r="L51" s="36">
        <f ca="1">IF($A51="","",IF(L$1="","",COUNTIFS(tbl_chests[from],$A51,tbl_chests[legalized],L$1,tbl_chests[datetime],"&gt;="&amp;TODAY()-WEEKDAY(TODAY(),2)+1,tbl_chests[datetime],"&lt;"&amp;TODAY()-WEEKDAY(TODAY(),2)+8)))</f>
        <v>0</v>
      </c>
      <c r="M51" s="36">
        <f ca="1">IF($A51="","",IF(M$1="","",COUNTIFS(tbl_chests[from],$A51,tbl_chests[legalized],M$1,tbl_chests[datetime],"&gt;="&amp;TODAY()-WEEKDAY(TODAY(),2)+1,tbl_chests[datetime],"&lt;"&amp;TODAY()-WEEKDAY(TODAY(),2)+8)))</f>
        <v>0</v>
      </c>
      <c r="N51" s="36">
        <f ca="1">IF($A51="","",IF(N$1="","",COUNTIFS(tbl_chests[from],$A51,tbl_chests[legalized],N$1,tbl_chests[datetime],"&gt;="&amp;TODAY()-WEEKDAY(TODAY(),2)+1,tbl_chests[datetime],"&lt;"&amp;TODAY()-WEEKDAY(TODAY(),2)+8)))</f>
        <v>0</v>
      </c>
      <c r="O51" s="36">
        <f ca="1">IF($A51="","",IF(O$1="","",COUNTIFS(tbl_chests[from],$A51,tbl_chests[legalized],O$1,tbl_chests[datetime],"&gt;="&amp;TODAY()-WEEKDAY(TODAY(),2)+1,tbl_chests[datetime],"&lt;"&amp;TODAY()-WEEKDAY(TODAY(),2)+8)))</f>
        <v>0</v>
      </c>
      <c r="P51" s="36">
        <f ca="1">IF($A51="","",IF(P$1="","",COUNTIFS(tbl_chests[from],$A51,tbl_chests[legalized],P$1,tbl_chests[datetime],"&gt;="&amp;TODAY()-WEEKDAY(TODAY(),2)+1,tbl_chests[datetime],"&lt;"&amp;TODAY()-WEEKDAY(TODAY(),2)+8)))</f>
        <v>0</v>
      </c>
      <c r="Q51" s="36">
        <f ca="1">IF($A51="","",IF(Q$1="","",COUNTIFS(tbl_chests[from],$A51,tbl_chests[legalized],Q$1,tbl_chests[datetime],"&gt;="&amp;TODAY()-WEEKDAY(TODAY(),2)+1,tbl_chests[datetime],"&lt;"&amp;TODAY()-WEEKDAY(TODAY(),2)+8)))</f>
        <v>0</v>
      </c>
      <c r="R51" s="36">
        <f ca="1">IF($A51="","",IF(R$1="","",COUNTIFS(tbl_chests[from],$A51,tbl_chests[legalized],R$1,tbl_chests[datetime],"&gt;="&amp;TODAY()-WEEKDAY(TODAY(),2)+1,tbl_chests[datetime],"&lt;"&amp;TODAY()-WEEKDAY(TODAY(),2)+8)))</f>
        <v>0</v>
      </c>
      <c r="S51" s="36">
        <f ca="1">IF($A51="","",IF(S$1="","",COUNTIFS(tbl_chests[from],$A51,tbl_chests[legalized],S$1,tbl_chests[datetime],"&gt;="&amp;TODAY()-WEEKDAY(TODAY(),2)+1,tbl_chests[datetime],"&lt;"&amp;TODAY()-WEEKDAY(TODAY(),2)+8)))</f>
        <v>0</v>
      </c>
      <c r="T51" s="36">
        <f ca="1">IF($A51="","",IF(T$1="","",COUNTIFS(tbl_chests[from],$A51,tbl_chests[legalized],T$1,tbl_chests[datetime],"&gt;="&amp;TODAY()-WEEKDAY(TODAY(),2)+1,tbl_chests[datetime],"&lt;"&amp;TODAY()-WEEKDAY(TODAY(),2)+8)))</f>
        <v>0</v>
      </c>
      <c r="U51" s="36">
        <f ca="1">IF($A51="","",IF(U$1="","",COUNTIFS(tbl_chests[from],$A51,tbl_chests[legalized],U$1,tbl_chests[datetime],"&gt;="&amp;TODAY()-WEEKDAY(TODAY(),2)+1,tbl_chests[datetime],"&lt;"&amp;TODAY()-WEEKDAY(TODAY(),2)+8)))</f>
        <v>0</v>
      </c>
      <c r="V51" s="36">
        <f ca="1">IF($A51="","",IF(V$1="","",COUNTIFS(tbl_chests[from],$A51,tbl_chests[legalized],V$1,tbl_chests[datetime],"&gt;="&amp;TODAY()-WEEKDAY(TODAY(),2)+1,tbl_chests[datetime],"&lt;"&amp;TODAY()-WEEKDAY(TODAY(),2)+8)))</f>
        <v>0</v>
      </c>
      <c r="W51" s="36">
        <f ca="1">IF($A51="","",IF(W$1="","",COUNTIFS(tbl_chests[from],$A51,tbl_chests[legalized],W$1,tbl_chests[datetime],"&gt;="&amp;TODAY()-WEEKDAY(TODAY(),2)+1,tbl_chests[datetime],"&lt;"&amp;TODAY()-WEEKDAY(TODAY(),2)+8)))</f>
        <v>0</v>
      </c>
      <c r="X51" s="36">
        <f ca="1">IF($A51="","",IF(X$1="","",COUNTIFS(tbl_chests[from],$A51,tbl_chests[legalized],X$1,tbl_chests[datetime],"&gt;="&amp;TODAY()-WEEKDAY(TODAY(),2)+1,tbl_chests[datetime],"&lt;"&amp;TODAY()-WEEKDAY(TODAY(),2)+8)))</f>
        <v>0</v>
      </c>
      <c r="Y51" s="36">
        <f ca="1">IF($A51="","",IF(Y$1="","",COUNTIFS(tbl_chests[from],$A51,tbl_chests[legalized],Y$1,tbl_chests[datetime],"&gt;="&amp;TODAY()-WEEKDAY(TODAY(),2)+1,tbl_chests[datetime],"&lt;"&amp;TODAY()-WEEKDAY(TODAY(),2)+8)))</f>
        <v>0</v>
      </c>
      <c r="Z51" s="36">
        <f ca="1">IF($A51="","",IF(Z$1="","",COUNTIFS(tbl_chests[from],$A51,tbl_chests[legalized],Z$1,tbl_chests[datetime],"&gt;="&amp;TODAY()-WEEKDAY(TODAY(),2)+1,tbl_chests[datetime],"&lt;"&amp;TODAY()-WEEKDAY(TODAY(),2)+8)))</f>
        <v>0</v>
      </c>
      <c r="AA51" s="36">
        <f ca="1">IF($A51="","",IF(AA$1="","",COUNTIFS(tbl_chests[from],$A51,tbl_chests[legalized],AA$1,tbl_chests[datetime],"&gt;="&amp;TODAY()-WEEKDAY(TODAY(),2)+1,tbl_chests[datetime],"&lt;"&amp;TODAY()-WEEKDAY(TODAY(),2)+8)))</f>
        <v>0</v>
      </c>
      <c r="AB51" s="36">
        <f ca="1">IF($A51="","",IF(AB$1="","",COUNTIFS(tbl_chests[from],$A51,tbl_chests[legalized],AB$1,tbl_chests[datetime],"&gt;="&amp;TODAY()-WEEKDAY(TODAY(),2)+1,tbl_chests[datetime],"&lt;"&amp;TODAY()-WEEKDAY(TODAY(),2)+8)))</f>
        <v>0</v>
      </c>
      <c r="AC51" s="36">
        <f ca="1">IF($A51="","",IF(AC$1="","",COUNTIFS(tbl_chests[from],$A51,tbl_chests[legalized],AC$1,tbl_chests[datetime],"&gt;="&amp;TODAY()-WEEKDAY(TODAY(),2)+1,tbl_chests[datetime],"&lt;"&amp;TODAY()-WEEKDAY(TODAY(),2)+8)))</f>
        <v>0</v>
      </c>
      <c r="AD51" s="36">
        <f ca="1">IF($A51="","",IF(AD$1="","",COUNTIFS(tbl_chests[from],$A51,tbl_chests[legalized],AD$1,tbl_chests[datetime],"&gt;="&amp;TODAY()-WEEKDAY(TODAY(),2)+1,tbl_chests[datetime],"&lt;"&amp;TODAY()-WEEKDAY(TODAY(),2)+8)))</f>
        <v>0</v>
      </c>
      <c r="AE51" s="36">
        <f ca="1">IF($A51="","",IF(AE$1="","",COUNTIFS(tbl_chests[from],$A51,tbl_chests[legalized],AE$1,tbl_chests[datetime],"&gt;="&amp;TODAY()-WEEKDAY(TODAY(),2)+1,tbl_chests[datetime],"&lt;"&amp;TODAY()-WEEKDAY(TODAY(),2)+8)))</f>
        <v>0</v>
      </c>
      <c r="AF51" s="36">
        <f ca="1">IF($A51="","",IF(AF$1="","",COUNTIFS(tbl_chests[from],$A51,tbl_chests[legalized],AF$1,tbl_chests[datetime],"&gt;="&amp;TODAY()-WEEKDAY(TODAY(),2)+1,tbl_chests[datetime],"&lt;"&amp;TODAY()-WEEKDAY(TODAY(),2)+8)))</f>
        <v>0</v>
      </c>
      <c r="AG51" s="36">
        <f ca="1">IF($A51="","",IF(AG$1="","",COUNTIFS(tbl_chests[from],$A51,tbl_chests[legalized],AG$1,tbl_chests[datetime],"&gt;="&amp;TODAY()-WEEKDAY(TODAY(),2)+1,tbl_chests[datetime],"&lt;"&amp;TODAY()-WEEKDAY(TODAY(),2)+8)))</f>
        <v>0</v>
      </c>
      <c r="AH51" s="36">
        <f ca="1">IF($A51="","",IF(AH$1="","",COUNTIFS(tbl_chests[from],$A51,tbl_chests[legalized],AH$1,tbl_chests[datetime],"&gt;="&amp;TODAY()-WEEKDAY(TODAY(),2)+1,tbl_chests[datetime],"&lt;"&amp;TODAY()-WEEKDAY(TODAY(),2)+8)))</f>
        <v>0</v>
      </c>
      <c r="AI51" s="36">
        <f ca="1">IF($A51="","",IF(AI$1="","",COUNTIFS(tbl_chests[from],$A51,tbl_chests[legalized],AI$1,tbl_chests[datetime],"&gt;="&amp;TODAY()-WEEKDAY(TODAY(),2)+1,tbl_chests[datetime],"&lt;"&amp;TODAY()-WEEKDAY(TODAY(),2)+8)))</f>
        <v>0</v>
      </c>
      <c r="AJ51" s="36">
        <f ca="1">IF($A51="","",IF(AJ$1="","",COUNTIFS(tbl_chests[from],$A51,tbl_chests[legalized],AJ$1,tbl_chests[datetime],"&gt;="&amp;TODAY()-WEEKDAY(TODAY(),2)+1,tbl_chests[datetime],"&lt;"&amp;TODAY()-WEEKDAY(TODAY(),2)+8)))</f>
        <v>0</v>
      </c>
      <c r="AK51" s="36">
        <f ca="1">IF($A51="","",IF(AK$1="","",COUNTIFS(tbl_chests[from],$A51,tbl_chests[legalized],AK$1,tbl_chests[datetime],"&gt;="&amp;TODAY()-WEEKDAY(TODAY(),2)+1,tbl_chests[datetime],"&lt;"&amp;TODAY()-WEEKDAY(TODAY(),2)+8)))</f>
        <v>0</v>
      </c>
      <c r="AL51" s="36">
        <f ca="1">IF($A51="","",IF(AL$1="","",COUNTIFS(tbl_chests[from],$A51,tbl_chests[legalized],AL$1,tbl_chests[datetime],"&gt;="&amp;TODAY()-WEEKDAY(TODAY(),2)+1,tbl_chests[datetime],"&lt;"&amp;TODAY()-WEEKDAY(TODAY(),2)+8)))</f>
        <v>0</v>
      </c>
      <c r="AM51" s="37">
        <f ca="1">IF($A51="","",IF(AM$1="","",COUNTIFS(tbl_chests[from],$A51,tbl_chests[legalized],AM$1,tbl_chests[datetime],"&gt;="&amp;TODAY()-WEEKDAY(TODAY(),2)+1,tbl_chests[datetime],"&lt;"&amp;TODAY()-WEEKDAY(TODAY(),2)+8)))</f>
        <v>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 ht="15.75" customHeight="1" x14ac:dyDescent="0.25">
      <c r="A52" s="34" t="str">
        <f>chests_counter!$H49</f>
        <v>morgana</v>
      </c>
      <c r="B52" s="35" cm="1">
        <f t="array" aca="1" ref="B52" ca="1">IF(A52&lt;&gt;"", SUMPRODUCT(($C$2:$AM$2&lt;&gt;0)*(C52:AM52&lt;&gt;0)*($C$2:$AM$2)*(C52:AM52)), "")</f>
        <v>135</v>
      </c>
      <c r="C52" s="36">
        <f ca="1">IF($A52="","",IF(C$1="","",COUNTIFS(tbl_chests[from],$A52,tbl_chests[legalized],C$1,tbl_chests[datetime],"&gt;="&amp;TODAY()-WEEKDAY(TODAY(),2)+1,tbl_chests[datetime],"&lt;"&amp;TODAY()-WEEKDAY(TODAY(),2)+8)))</f>
        <v>9</v>
      </c>
      <c r="D52" s="36">
        <f ca="1">IF($A52="","",IF(D$1="","",COUNTIFS(tbl_chests[from],$A52,tbl_chests[legalized],D$1,tbl_chests[datetime],"&gt;="&amp;TODAY()-WEEKDAY(TODAY(),2)+1,tbl_chests[datetime],"&lt;"&amp;TODAY()-WEEKDAY(TODAY(),2)+8)))</f>
        <v>2</v>
      </c>
      <c r="E52" s="36">
        <f ca="1">IF($A52="","",IF(E$1="","",COUNTIFS(tbl_chests[from],$A52,tbl_chests[legalized],E$1,tbl_chests[datetime],"&gt;="&amp;TODAY()-WEEKDAY(TODAY(),2)+1,tbl_chests[datetime],"&lt;"&amp;TODAY()-WEEKDAY(TODAY(),2)+8)))</f>
        <v>0</v>
      </c>
      <c r="F52" s="36">
        <f ca="1">IF($A52="","",IF(F$1="","",COUNTIFS(tbl_chests[from],$A52,tbl_chests[legalized],F$1,tbl_chests[datetime],"&gt;="&amp;TODAY()-WEEKDAY(TODAY(),2)+1,tbl_chests[datetime],"&lt;"&amp;TODAY()-WEEKDAY(TODAY(),2)+8)))</f>
        <v>0</v>
      </c>
      <c r="G52" s="36">
        <f ca="1">IF($A52="","",IF(G$1="","",COUNTIFS(tbl_chests[from],$A52,tbl_chests[legalized],G$1,tbl_chests[datetime],"&gt;="&amp;TODAY()-WEEKDAY(TODAY(),2)+1,tbl_chests[datetime],"&lt;"&amp;TODAY()-WEEKDAY(TODAY(),2)+8)))</f>
        <v>0</v>
      </c>
      <c r="H52" s="36">
        <f ca="1">IF($A52="","",IF(H$1="","",COUNTIFS(tbl_chests[from],$A52,tbl_chests[legalized],H$1,tbl_chests[datetime],"&gt;="&amp;TODAY()-WEEKDAY(TODAY(),2)+1,tbl_chests[datetime],"&lt;"&amp;TODAY()-WEEKDAY(TODAY(),2)+8)))</f>
        <v>0</v>
      </c>
      <c r="I52" s="36">
        <f ca="1">IF($A52="","",IF(I$1="","",COUNTIFS(tbl_chests[from],$A52,tbl_chests[legalized],I$1,tbl_chests[datetime],"&gt;="&amp;TODAY()-WEEKDAY(TODAY(),2)+1,tbl_chests[datetime],"&lt;"&amp;TODAY()-WEEKDAY(TODAY(),2)+8)))</f>
        <v>0</v>
      </c>
      <c r="J52" s="36">
        <f ca="1">IF($A52="","",IF(J$1="","",COUNTIFS(tbl_chests[from],$A52,tbl_chests[legalized],J$1,tbl_chests[datetime],"&gt;="&amp;TODAY()-WEEKDAY(TODAY(),2)+1,tbl_chests[datetime],"&lt;"&amp;TODAY()-WEEKDAY(TODAY(),2)+8)))</f>
        <v>0</v>
      </c>
      <c r="K52" s="36">
        <f ca="1">IF($A52="","",IF(K$1="","",COUNTIFS(tbl_chests[from],$A52,tbl_chests[legalized],K$1,tbl_chests[datetime],"&gt;="&amp;TODAY()-WEEKDAY(TODAY(),2)+1,tbl_chests[datetime],"&lt;"&amp;TODAY()-WEEKDAY(TODAY(),2)+8)))</f>
        <v>0</v>
      </c>
      <c r="L52" s="36">
        <f ca="1">IF($A52="","",IF(L$1="","",COUNTIFS(tbl_chests[from],$A52,tbl_chests[legalized],L$1,tbl_chests[datetime],"&gt;="&amp;TODAY()-WEEKDAY(TODAY(),2)+1,tbl_chests[datetime],"&lt;"&amp;TODAY()-WEEKDAY(TODAY(),2)+8)))</f>
        <v>0</v>
      </c>
      <c r="M52" s="36">
        <f ca="1">IF($A52="","",IF(M$1="","",COUNTIFS(tbl_chests[from],$A52,tbl_chests[legalized],M$1,tbl_chests[datetime],"&gt;="&amp;TODAY()-WEEKDAY(TODAY(),2)+1,tbl_chests[datetime],"&lt;"&amp;TODAY()-WEEKDAY(TODAY(),2)+8)))</f>
        <v>0</v>
      </c>
      <c r="N52" s="36">
        <f ca="1">IF($A52="","",IF(N$1="","",COUNTIFS(tbl_chests[from],$A52,tbl_chests[legalized],N$1,tbl_chests[datetime],"&gt;="&amp;TODAY()-WEEKDAY(TODAY(),2)+1,tbl_chests[datetime],"&lt;"&amp;TODAY()-WEEKDAY(TODAY(),2)+8)))</f>
        <v>0</v>
      </c>
      <c r="O52" s="36">
        <f ca="1">IF($A52="","",IF(O$1="","",COUNTIFS(tbl_chests[from],$A52,tbl_chests[legalized],O$1,tbl_chests[datetime],"&gt;="&amp;TODAY()-WEEKDAY(TODAY(),2)+1,tbl_chests[datetime],"&lt;"&amp;TODAY()-WEEKDAY(TODAY(),2)+8)))</f>
        <v>0</v>
      </c>
      <c r="P52" s="36">
        <f ca="1">IF($A52="","",IF(P$1="","",COUNTIFS(tbl_chests[from],$A52,tbl_chests[legalized],P$1,tbl_chests[datetime],"&gt;="&amp;TODAY()-WEEKDAY(TODAY(),2)+1,tbl_chests[datetime],"&lt;"&amp;TODAY()-WEEKDAY(TODAY(),2)+8)))</f>
        <v>0</v>
      </c>
      <c r="Q52" s="36">
        <f ca="1">IF($A52="","",IF(Q$1="","",COUNTIFS(tbl_chests[from],$A52,tbl_chests[legalized],Q$1,tbl_chests[datetime],"&gt;="&amp;TODAY()-WEEKDAY(TODAY(),2)+1,tbl_chests[datetime],"&lt;"&amp;TODAY()-WEEKDAY(TODAY(),2)+8)))</f>
        <v>0</v>
      </c>
      <c r="R52" s="36">
        <f ca="1">IF($A52="","",IF(R$1="","",COUNTIFS(tbl_chests[from],$A52,tbl_chests[legalized],R$1,tbl_chests[datetime],"&gt;="&amp;TODAY()-WEEKDAY(TODAY(),2)+1,tbl_chests[datetime],"&lt;"&amp;TODAY()-WEEKDAY(TODAY(),2)+8)))</f>
        <v>0</v>
      </c>
      <c r="S52" s="36">
        <f ca="1">IF($A52="","",IF(S$1="","",COUNTIFS(tbl_chests[from],$A52,tbl_chests[legalized],S$1,tbl_chests[datetime],"&gt;="&amp;TODAY()-WEEKDAY(TODAY(),2)+1,tbl_chests[datetime],"&lt;"&amp;TODAY()-WEEKDAY(TODAY(),2)+8)))</f>
        <v>0</v>
      </c>
      <c r="T52" s="36">
        <f ca="1">IF($A52="","",IF(T$1="","",COUNTIFS(tbl_chests[from],$A52,tbl_chests[legalized],T$1,tbl_chests[datetime],"&gt;="&amp;TODAY()-WEEKDAY(TODAY(),2)+1,tbl_chests[datetime],"&lt;"&amp;TODAY()-WEEKDAY(TODAY(),2)+8)))</f>
        <v>0</v>
      </c>
      <c r="U52" s="36">
        <f ca="1">IF($A52="","",IF(U$1="","",COUNTIFS(tbl_chests[from],$A52,tbl_chests[legalized],U$1,tbl_chests[datetime],"&gt;="&amp;TODAY()-WEEKDAY(TODAY(),2)+1,tbl_chests[datetime],"&lt;"&amp;TODAY()-WEEKDAY(TODAY(),2)+8)))</f>
        <v>0</v>
      </c>
      <c r="V52" s="36">
        <f ca="1">IF($A52="","",IF(V$1="","",COUNTIFS(tbl_chests[from],$A52,tbl_chests[legalized],V$1,tbl_chests[datetime],"&gt;="&amp;TODAY()-WEEKDAY(TODAY(),2)+1,tbl_chests[datetime],"&lt;"&amp;TODAY()-WEEKDAY(TODAY(),2)+8)))</f>
        <v>0</v>
      </c>
      <c r="W52" s="36">
        <f ca="1">IF($A52="","",IF(W$1="","",COUNTIFS(tbl_chests[from],$A52,tbl_chests[legalized],W$1,tbl_chests[datetime],"&gt;="&amp;TODAY()-WEEKDAY(TODAY(),2)+1,tbl_chests[datetime],"&lt;"&amp;TODAY()-WEEKDAY(TODAY(),2)+8)))</f>
        <v>0</v>
      </c>
      <c r="X52" s="36">
        <f ca="1">IF($A52="","",IF(X$1="","",COUNTIFS(tbl_chests[from],$A52,tbl_chests[legalized],X$1,tbl_chests[datetime],"&gt;="&amp;TODAY()-WEEKDAY(TODAY(),2)+1,tbl_chests[datetime],"&lt;"&amp;TODAY()-WEEKDAY(TODAY(),2)+8)))</f>
        <v>0</v>
      </c>
      <c r="Y52" s="36">
        <f ca="1">IF($A52="","",IF(Y$1="","",COUNTIFS(tbl_chests[from],$A52,tbl_chests[legalized],Y$1,tbl_chests[datetime],"&gt;="&amp;TODAY()-WEEKDAY(TODAY(),2)+1,tbl_chests[datetime],"&lt;"&amp;TODAY()-WEEKDAY(TODAY(),2)+8)))</f>
        <v>0</v>
      </c>
      <c r="Z52" s="36">
        <f ca="1">IF($A52="","",IF(Z$1="","",COUNTIFS(tbl_chests[from],$A52,tbl_chests[legalized],Z$1,tbl_chests[datetime],"&gt;="&amp;TODAY()-WEEKDAY(TODAY(),2)+1,tbl_chests[datetime],"&lt;"&amp;TODAY()-WEEKDAY(TODAY(),2)+8)))</f>
        <v>0</v>
      </c>
      <c r="AA52" s="36">
        <f ca="1">IF($A52="","",IF(AA$1="","",COUNTIFS(tbl_chests[from],$A52,tbl_chests[legalized],AA$1,tbl_chests[datetime],"&gt;="&amp;TODAY()-WEEKDAY(TODAY(),2)+1,tbl_chests[datetime],"&lt;"&amp;TODAY()-WEEKDAY(TODAY(),2)+8)))</f>
        <v>0</v>
      </c>
      <c r="AB52" s="36">
        <f ca="1">IF($A52="","",IF(AB$1="","",COUNTIFS(tbl_chests[from],$A52,tbl_chests[legalized],AB$1,tbl_chests[datetime],"&gt;="&amp;TODAY()-WEEKDAY(TODAY(),2)+1,tbl_chests[datetime],"&lt;"&amp;TODAY()-WEEKDAY(TODAY(),2)+8)))</f>
        <v>0</v>
      </c>
      <c r="AC52" s="36">
        <f ca="1">IF($A52="","",IF(AC$1="","",COUNTIFS(tbl_chests[from],$A52,tbl_chests[legalized],AC$1,tbl_chests[datetime],"&gt;="&amp;TODAY()-WEEKDAY(TODAY(),2)+1,tbl_chests[datetime],"&lt;"&amp;TODAY()-WEEKDAY(TODAY(),2)+8)))</f>
        <v>0</v>
      </c>
      <c r="AD52" s="36">
        <f ca="1">IF($A52="","",IF(AD$1="","",COUNTIFS(tbl_chests[from],$A52,tbl_chests[legalized],AD$1,tbl_chests[datetime],"&gt;="&amp;TODAY()-WEEKDAY(TODAY(),2)+1,tbl_chests[datetime],"&lt;"&amp;TODAY()-WEEKDAY(TODAY(),2)+8)))</f>
        <v>0</v>
      </c>
      <c r="AE52" s="36">
        <f ca="1">IF($A52="","",IF(AE$1="","",COUNTIFS(tbl_chests[from],$A52,tbl_chests[legalized],AE$1,tbl_chests[datetime],"&gt;="&amp;TODAY()-WEEKDAY(TODAY(),2)+1,tbl_chests[datetime],"&lt;"&amp;TODAY()-WEEKDAY(TODAY(),2)+8)))</f>
        <v>1</v>
      </c>
      <c r="AF52" s="36">
        <f ca="1">IF($A52="","",IF(AF$1="","",COUNTIFS(tbl_chests[from],$A52,tbl_chests[legalized],AF$1,tbl_chests[datetime],"&gt;="&amp;TODAY()-WEEKDAY(TODAY(),2)+1,tbl_chests[datetime],"&lt;"&amp;TODAY()-WEEKDAY(TODAY(),2)+8)))</f>
        <v>0</v>
      </c>
      <c r="AG52" s="36">
        <f ca="1">IF($A52="","",IF(AG$1="","",COUNTIFS(tbl_chests[from],$A52,tbl_chests[legalized],AG$1,tbl_chests[datetime],"&gt;="&amp;TODAY()-WEEKDAY(TODAY(),2)+1,tbl_chests[datetime],"&lt;"&amp;TODAY()-WEEKDAY(TODAY(),2)+8)))</f>
        <v>0</v>
      </c>
      <c r="AH52" s="36">
        <f ca="1">IF($A52="","",IF(AH$1="","",COUNTIFS(tbl_chests[from],$A52,tbl_chests[legalized],AH$1,tbl_chests[datetime],"&gt;="&amp;TODAY()-WEEKDAY(TODAY(),2)+1,tbl_chests[datetime],"&lt;"&amp;TODAY()-WEEKDAY(TODAY(),2)+8)))</f>
        <v>0</v>
      </c>
      <c r="AI52" s="36">
        <f ca="1">IF($A52="","",IF(AI$1="","",COUNTIFS(tbl_chests[from],$A52,tbl_chests[legalized],AI$1,tbl_chests[datetime],"&gt;="&amp;TODAY()-WEEKDAY(TODAY(),2)+1,tbl_chests[datetime],"&lt;"&amp;TODAY()-WEEKDAY(TODAY(),2)+8)))</f>
        <v>0</v>
      </c>
      <c r="AJ52" s="36">
        <f ca="1">IF($A52="","",IF(AJ$1="","",COUNTIFS(tbl_chests[from],$A52,tbl_chests[legalized],AJ$1,tbl_chests[datetime],"&gt;="&amp;TODAY()-WEEKDAY(TODAY(),2)+1,tbl_chests[datetime],"&lt;"&amp;TODAY()-WEEKDAY(TODAY(),2)+8)))</f>
        <v>0</v>
      </c>
      <c r="AK52" s="36">
        <f ca="1">IF($A52="","",IF(AK$1="","",COUNTIFS(tbl_chests[from],$A52,tbl_chests[legalized],AK$1,tbl_chests[datetime],"&gt;="&amp;TODAY()-WEEKDAY(TODAY(),2)+1,tbl_chests[datetime],"&lt;"&amp;TODAY()-WEEKDAY(TODAY(),2)+8)))</f>
        <v>0</v>
      </c>
      <c r="AL52" s="36">
        <f ca="1">IF($A52="","",IF(AL$1="","",COUNTIFS(tbl_chests[from],$A52,tbl_chests[legalized],AL$1,tbl_chests[datetime],"&gt;="&amp;TODAY()-WEEKDAY(TODAY(),2)+1,tbl_chests[datetime],"&lt;"&amp;TODAY()-WEEKDAY(TODAY(),2)+8)))</f>
        <v>0</v>
      </c>
      <c r="AM52" s="37">
        <f ca="1">IF($A52="","",IF(AM$1="","",COUNTIFS(tbl_chests[from],$A52,tbl_chests[legalized],AM$1,tbl_chests[datetime],"&gt;="&amp;TODAY()-WEEKDAY(TODAY(),2)+1,tbl_chests[datetime],"&lt;"&amp;TODAY()-WEEKDAY(TODAY(),2)+8)))</f>
        <v>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 ht="15.75" customHeight="1" x14ac:dyDescent="0.25">
      <c r="A53" s="34" t="str">
        <f>chests_counter!$H50</f>
        <v>Nettle</v>
      </c>
      <c r="B53" s="35" cm="1">
        <f t="array" aca="1" ref="B53" ca="1">IF(A53&lt;&gt;"", SUMPRODUCT(($C$2:$AM$2&lt;&gt;0)*(C53:AM53&lt;&gt;0)*($C$2:$AM$2)*(C53:AM53)), "")</f>
        <v>5330</v>
      </c>
      <c r="C53" s="36">
        <f ca="1">IF($A53="","",IF(C$1="","",COUNTIFS(tbl_chests[from],$A53,tbl_chests[legalized],C$1,tbl_chests[datetime],"&gt;="&amp;TODAY()-WEEKDAY(TODAY(),2)+1,tbl_chests[datetime],"&lt;"&amp;TODAY()-WEEKDAY(TODAY(),2)+8)))</f>
        <v>0</v>
      </c>
      <c r="D53" s="36">
        <f ca="1">IF($A53="","",IF(D$1="","",COUNTIFS(tbl_chests[from],$A53,tbl_chests[legalized],D$1,tbl_chests[datetime],"&gt;="&amp;TODAY()-WEEKDAY(TODAY(),2)+1,tbl_chests[datetime],"&lt;"&amp;TODAY()-WEEKDAY(TODAY(),2)+8)))</f>
        <v>39</v>
      </c>
      <c r="E53" s="36">
        <f ca="1">IF($A53="","",IF(E$1="","",COUNTIFS(tbl_chests[from],$A53,tbl_chests[legalized],E$1,tbl_chests[datetime],"&gt;="&amp;TODAY()-WEEKDAY(TODAY(),2)+1,tbl_chests[datetime],"&lt;"&amp;TODAY()-WEEKDAY(TODAY(),2)+8)))</f>
        <v>65</v>
      </c>
      <c r="F53" s="36">
        <f ca="1">IF($A53="","",IF(F$1="","",COUNTIFS(tbl_chests[from],$A53,tbl_chests[legalized],F$1,tbl_chests[datetime],"&gt;="&amp;TODAY()-WEEKDAY(TODAY(),2)+1,tbl_chests[datetime],"&lt;"&amp;TODAY()-WEEKDAY(TODAY(),2)+8)))</f>
        <v>23</v>
      </c>
      <c r="G53" s="36">
        <f ca="1">IF($A53="","",IF(G$1="","",COUNTIFS(tbl_chests[from],$A53,tbl_chests[legalized],G$1,tbl_chests[datetime],"&gt;="&amp;TODAY()-WEEKDAY(TODAY(),2)+1,tbl_chests[datetime],"&lt;"&amp;TODAY()-WEEKDAY(TODAY(),2)+8)))</f>
        <v>0</v>
      </c>
      <c r="H53" s="36">
        <f ca="1">IF($A53="","",IF(H$1="","",COUNTIFS(tbl_chests[from],$A53,tbl_chests[legalized],H$1,tbl_chests[datetime],"&gt;="&amp;TODAY()-WEEKDAY(TODAY(),2)+1,tbl_chests[datetime],"&lt;"&amp;TODAY()-WEEKDAY(TODAY(),2)+8)))</f>
        <v>0</v>
      </c>
      <c r="I53" s="36">
        <f ca="1">IF($A53="","",IF(I$1="","",COUNTIFS(tbl_chests[from],$A53,tbl_chests[legalized],I$1,tbl_chests[datetime],"&gt;="&amp;TODAY()-WEEKDAY(TODAY(),2)+1,tbl_chests[datetime],"&lt;"&amp;TODAY()-WEEKDAY(TODAY(),2)+8)))</f>
        <v>0</v>
      </c>
      <c r="J53" s="36">
        <f ca="1">IF($A53="","",IF(J$1="","",COUNTIFS(tbl_chests[from],$A53,tbl_chests[legalized],J$1,tbl_chests[datetime],"&gt;="&amp;TODAY()-WEEKDAY(TODAY(),2)+1,tbl_chests[datetime],"&lt;"&amp;TODAY()-WEEKDAY(TODAY(),2)+8)))</f>
        <v>0</v>
      </c>
      <c r="K53" s="36">
        <f ca="1">IF($A53="","",IF(K$1="","",COUNTIFS(tbl_chests[from],$A53,tbl_chests[legalized],K$1,tbl_chests[datetime],"&gt;="&amp;TODAY()-WEEKDAY(TODAY(),2)+1,tbl_chests[datetime],"&lt;"&amp;TODAY()-WEEKDAY(TODAY(),2)+8)))</f>
        <v>0</v>
      </c>
      <c r="L53" s="36">
        <f ca="1">IF($A53="","",IF(L$1="","",COUNTIFS(tbl_chests[from],$A53,tbl_chests[legalized],L$1,tbl_chests[datetime],"&gt;="&amp;TODAY()-WEEKDAY(TODAY(),2)+1,tbl_chests[datetime],"&lt;"&amp;TODAY()-WEEKDAY(TODAY(),2)+8)))</f>
        <v>0</v>
      </c>
      <c r="M53" s="36">
        <f ca="1">IF($A53="","",IF(M$1="","",COUNTIFS(tbl_chests[from],$A53,tbl_chests[legalized],M$1,tbl_chests[datetime],"&gt;="&amp;TODAY()-WEEKDAY(TODAY(),2)+1,tbl_chests[datetime],"&lt;"&amp;TODAY()-WEEKDAY(TODAY(),2)+8)))</f>
        <v>6</v>
      </c>
      <c r="N53" s="36">
        <f ca="1">IF($A53="","",IF(N$1="","",COUNTIFS(tbl_chests[from],$A53,tbl_chests[legalized],N$1,tbl_chests[datetime],"&gt;="&amp;TODAY()-WEEKDAY(TODAY(),2)+1,tbl_chests[datetime],"&lt;"&amp;TODAY()-WEEKDAY(TODAY(),2)+8)))</f>
        <v>3</v>
      </c>
      <c r="O53" s="36">
        <f ca="1">IF($A53="","",IF(O$1="","",COUNTIFS(tbl_chests[from],$A53,tbl_chests[legalized],O$1,tbl_chests[datetime],"&gt;="&amp;TODAY()-WEEKDAY(TODAY(),2)+1,tbl_chests[datetime],"&lt;"&amp;TODAY()-WEEKDAY(TODAY(),2)+8)))</f>
        <v>0</v>
      </c>
      <c r="P53" s="36">
        <f ca="1">IF($A53="","",IF(P$1="","",COUNTIFS(tbl_chests[from],$A53,tbl_chests[legalized],P$1,tbl_chests[datetime],"&gt;="&amp;TODAY()-WEEKDAY(TODAY(),2)+1,tbl_chests[datetime],"&lt;"&amp;TODAY()-WEEKDAY(TODAY(),2)+8)))</f>
        <v>0</v>
      </c>
      <c r="Q53" s="36">
        <f ca="1">IF($A53="","",IF(Q$1="","",COUNTIFS(tbl_chests[from],$A53,tbl_chests[legalized],Q$1,tbl_chests[datetime],"&gt;="&amp;TODAY()-WEEKDAY(TODAY(),2)+1,tbl_chests[datetime],"&lt;"&amp;TODAY()-WEEKDAY(TODAY(),2)+8)))</f>
        <v>0</v>
      </c>
      <c r="R53" s="36">
        <f ca="1">IF($A53="","",IF(R$1="","",COUNTIFS(tbl_chests[from],$A53,tbl_chests[legalized],R$1,tbl_chests[datetime],"&gt;="&amp;TODAY()-WEEKDAY(TODAY(),2)+1,tbl_chests[datetime],"&lt;"&amp;TODAY()-WEEKDAY(TODAY(),2)+8)))</f>
        <v>0</v>
      </c>
      <c r="S53" s="36">
        <f ca="1">IF($A53="","",IF(S$1="","",COUNTIFS(tbl_chests[from],$A53,tbl_chests[legalized],S$1,tbl_chests[datetime],"&gt;="&amp;TODAY()-WEEKDAY(TODAY(),2)+1,tbl_chests[datetime],"&lt;"&amp;TODAY()-WEEKDAY(TODAY(),2)+8)))</f>
        <v>0</v>
      </c>
      <c r="T53" s="36">
        <f ca="1">IF($A53="","",IF(T$1="","",COUNTIFS(tbl_chests[from],$A53,tbl_chests[legalized],T$1,tbl_chests[datetime],"&gt;="&amp;TODAY()-WEEKDAY(TODAY(),2)+1,tbl_chests[datetime],"&lt;"&amp;TODAY()-WEEKDAY(TODAY(),2)+8)))</f>
        <v>0</v>
      </c>
      <c r="U53" s="36">
        <f ca="1">IF($A53="","",IF(U$1="","",COUNTIFS(tbl_chests[from],$A53,tbl_chests[legalized],U$1,tbl_chests[datetime],"&gt;="&amp;TODAY()-WEEKDAY(TODAY(),2)+1,tbl_chests[datetime],"&lt;"&amp;TODAY()-WEEKDAY(TODAY(),2)+8)))</f>
        <v>0</v>
      </c>
      <c r="V53" s="36">
        <f ca="1">IF($A53="","",IF(V$1="","",COUNTIFS(tbl_chests[from],$A53,tbl_chests[legalized],V$1,tbl_chests[datetime],"&gt;="&amp;TODAY()-WEEKDAY(TODAY(),2)+1,tbl_chests[datetime],"&lt;"&amp;TODAY()-WEEKDAY(TODAY(),2)+8)))</f>
        <v>0</v>
      </c>
      <c r="W53" s="36">
        <f ca="1">IF($A53="","",IF(W$1="","",COUNTIFS(tbl_chests[from],$A53,tbl_chests[legalized],W$1,tbl_chests[datetime],"&gt;="&amp;TODAY()-WEEKDAY(TODAY(),2)+1,tbl_chests[datetime],"&lt;"&amp;TODAY()-WEEKDAY(TODAY(),2)+8)))</f>
        <v>0</v>
      </c>
      <c r="X53" s="36">
        <f ca="1">IF($A53="","",IF(X$1="","",COUNTIFS(tbl_chests[from],$A53,tbl_chests[legalized],X$1,tbl_chests[datetime],"&gt;="&amp;TODAY()-WEEKDAY(TODAY(),2)+1,tbl_chests[datetime],"&lt;"&amp;TODAY()-WEEKDAY(TODAY(),2)+8)))</f>
        <v>0</v>
      </c>
      <c r="Y53" s="36">
        <f ca="1">IF($A53="","",IF(Y$1="","",COUNTIFS(tbl_chests[from],$A53,tbl_chests[legalized],Y$1,tbl_chests[datetime],"&gt;="&amp;TODAY()-WEEKDAY(TODAY(),2)+1,tbl_chests[datetime],"&lt;"&amp;TODAY()-WEEKDAY(TODAY(),2)+8)))</f>
        <v>0</v>
      </c>
      <c r="Z53" s="36">
        <f ca="1">IF($A53="","",IF(Z$1="","",COUNTIFS(tbl_chests[from],$A53,tbl_chests[legalized],Z$1,tbl_chests[datetime],"&gt;="&amp;TODAY()-WEEKDAY(TODAY(),2)+1,tbl_chests[datetime],"&lt;"&amp;TODAY()-WEEKDAY(TODAY(),2)+8)))</f>
        <v>0</v>
      </c>
      <c r="AA53" s="36">
        <f ca="1">IF($A53="","",IF(AA$1="","",COUNTIFS(tbl_chests[from],$A53,tbl_chests[legalized],AA$1,tbl_chests[datetime],"&gt;="&amp;TODAY()-WEEKDAY(TODAY(),2)+1,tbl_chests[datetime],"&lt;"&amp;TODAY()-WEEKDAY(TODAY(),2)+8)))</f>
        <v>33</v>
      </c>
      <c r="AB53" s="36">
        <f ca="1">IF($A53="","",IF(AB$1="","",COUNTIFS(tbl_chests[from],$A53,tbl_chests[legalized],AB$1,tbl_chests[datetime],"&gt;="&amp;TODAY()-WEEKDAY(TODAY(),2)+1,tbl_chests[datetime],"&lt;"&amp;TODAY()-WEEKDAY(TODAY(),2)+8)))</f>
        <v>0</v>
      </c>
      <c r="AC53" s="36">
        <f ca="1">IF($A53="","",IF(AC$1="","",COUNTIFS(tbl_chests[from],$A53,tbl_chests[legalized],AC$1,tbl_chests[datetime],"&gt;="&amp;TODAY()-WEEKDAY(TODAY(),2)+1,tbl_chests[datetime],"&lt;"&amp;TODAY()-WEEKDAY(TODAY(),2)+8)))</f>
        <v>0</v>
      </c>
      <c r="AD53" s="36">
        <f ca="1">IF($A53="","",IF(AD$1="","",COUNTIFS(tbl_chests[from],$A53,tbl_chests[legalized],AD$1,tbl_chests[datetime],"&gt;="&amp;TODAY()-WEEKDAY(TODAY(),2)+1,tbl_chests[datetime],"&lt;"&amp;TODAY()-WEEKDAY(TODAY(),2)+8)))</f>
        <v>0</v>
      </c>
      <c r="AE53" s="36">
        <f ca="1">IF($A53="","",IF(AE$1="","",COUNTIFS(tbl_chests[from],$A53,tbl_chests[legalized],AE$1,tbl_chests[datetime],"&gt;="&amp;TODAY()-WEEKDAY(TODAY(),2)+1,tbl_chests[datetime],"&lt;"&amp;TODAY()-WEEKDAY(TODAY(),2)+8)))</f>
        <v>6</v>
      </c>
      <c r="AF53" s="36">
        <f ca="1">IF($A53="","",IF(AF$1="","",COUNTIFS(tbl_chests[from],$A53,tbl_chests[legalized],AF$1,tbl_chests[datetime],"&gt;="&amp;TODAY()-WEEKDAY(TODAY(),2)+1,tbl_chests[datetime],"&lt;"&amp;TODAY()-WEEKDAY(TODAY(),2)+8)))</f>
        <v>0</v>
      </c>
      <c r="AG53" s="36">
        <f ca="1">IF($A53="","",IF(AG$1="","",COUNTIFS(tbl_chests[from],$A53,tbl_chests[legalized],AG$1,tbl_chests[datetime],"&gt;="&amp;TODAY()-WEEKDAY(TODAY(),2)+1,tbl_chests[datetime],"&lt;"&amp;TODAY()-WEEKDAY(TODAY(),2)+8)))</f>
        <v>0</v>
      </c>
      <c r="AH53" s="36">
        <f ca="1">IF($A53="","",IF(AH$1="","",COUNTIFS(tbl_chests[from],$A53,tbl_chests[legalized],AH$1,tbl_chests[datetime],"&gt;="&amp;TODAY()-WEEKDAY(TODAY(),2)+1,tbl_chests[datetime],"&lt;"&amp;TODAY()-WEEKDAY(TODAY(),2)+8)))</f>
        <v>0</v>
      </c>
      <c r="AI53" s="36">
        <f ca="1">IF($A53="","",IF(AI$1="","",COUNTIFS(tbl_chests[from],$A53,tbl_chests[legalized],AI$1,tbl_chests[datetime],"&gt;="&amp;TODAY()-WEEKDAY(TODAY(),2)+1,tbl_chests[datetime],"&lt;"&amp;TODAY()-WEEKDAY(TODAY(),2)+8)))</f>
        <v>0</v>
      </c>
      <c r="AJ53" s="36">
        <f ca="1">IF($A53="","",IF(AJ$1="","",COUNTIFS(tbl_chests[from],$A53,tbl_chests[legalized],AJ$1,tbl_chests[datetime],"&gt;="&amp;TODAY()-WEEKDAY(TODAY(),2)+1,tbl_chests[datetime],"&lt;"&amp;TODAY()-WEEKDAY(TODAY(),2)+8)))</f>
        <v>0</v>
      </c>
      <c r="AK53" s="36">
        <f ca="1">IF($A53="","",IF(AK$1="","",COUNTIFS(tbl_chests[from],$A53,tbl_chests[legalized],AK$1,tbl_chests[datetime],"&gt;="&amp;TODAY()-WEEKDAY(TODAY(),2)+1,tbl_chests[datetime],"&lt;"&amp;TODAY()-WEEKDAY(TODAY(),2)+8)))</f>
        <v>0</v>
      </c>
      <c r="AL53" s="36">
        <f ca="1">IF($A53="","",IF(AL$1="","",COUNTIFS(tbl_chests[from],$A53,tbl_chests[legalized],AL$1,tbl_chests[datetime],"&gt;="&amp;TODAY()-WEEKDAY(TODAY(),2)+1,tbl_chests[datetime],"&lt;"&amp;TODAY()-WEEKDAY(TODAY(),2)+8)))</f>
        <v>0</v>
      </c>
      <c r="AM53" s="37">
        <f ca="1">IF($A53="","",IF(AM$1="","",COUNTIFS(tbl_chests[from],$A53,tbl_chests[legalized],AM$1,tbl_chests[datetime],"&gt;="&amp;TODAY()-WEEKDAY(TODAY(),2)+1,tbl_chests[datetime],"&lt;"&amp;TODAY()-WEEKDAY(TODAY(),2)+8)))</f>
        <v>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 ht="15.75" customHeight="1" x14ac:dyDescent="0.25">
      <c r="A54" s="34" t="str">
        <f>chests_counter!$H51</f>
        <v>Pfunk</v>
      </c>
      <c r="B54" s="35" cm="1">
        <f t="array" aca="1" ref="B54" ca="1">IF(A54&lt;&gt;"", SUMPRODUCT(($C$2:$AM$2&lt;&gt;0)*(C54:AM54&lt;&gt;0)*($C$2:$AM$2)*(C54:AM54)), "")</f>
        <v>165</v>
      </c>
      <c r="C54" s="36">
        <f ca="1">IF($A54="","",IF(C$1="","",COUNTIFS(tbl_chests[from],$A54,tbl_chests[legalized],C$1,tbl_chests[datetime],"&gt;="&amp;TODAY()-WEEKDAY(TODAY(),2)+1,tbl_chests[datetime],"&lt;"&amp;TODAY()-WEEKDAY(TODAY(),2)+8)))</f>
        <v>0</v>
      </c>
      <c r="D54" s="36">
        <f ca="1">IF($A54="","",IF(D$1="","",COUNTIFS(tbl_chests[from],$A54,tbl_chests[legalized],D$1,tbl_chests[datetime],"&gt;="&amp;TODAY()-WEEKDAY(TODAY(),2)+1,tbl_chests[datetime],"&lt;"&amp;TODAY()-WEEKDAY(TODAY(),2)+8)))</f>
        <v>0</v>
      </c>
      <c r="E54" s="36">
        <f ca="1">IF($A54="","",IF(E$1="","",COUNTIFS(tbl_chests[from],$A54,tbl_chests[legalized],E$1,tbl_chests[datetime],"&gt;="&amp;TODAY()-WEEKDAY(TODAY(),2)+1,tbl_chests[datetime],"&lt;"&amp;TODAY()-WEEKDAY(TODAY(),2)+8)))</f>
        <v>4</v>
      </c>
      <c r="F54" s="36">
        <f ca="1">IF($A54="","",IF(F$1="","",COUNTIFS(tbl_chests[from],$A54,tbl_chests[legalized],F$1,tbl_chests[datetime],"&gt;="&amp;TODAY()-WEEKDAY(TODAY(),2)+1,tbl_chests[datetime],"&lt;"&amp;TODAY()-WEEKDAY(TODAY(),2)+8)))</f>
        <v>0</v>
      </c>
      <c r="G54" s="36">
        <f ca="1">IF($A54="","",IF(G$1="","",COUNTIFS(tbl_chests[from],$A54,tbl_chests[legalized],G$1,tbl_chests[datetime],"&gt;="&amp;TODAY()-WEEKDAY(TODAY(),2)+1,tbl_chests[datetime],"&lt;"&amp;TODAY()-WEEKDAY(TODAY(),2)+8)))</f>
        <v>0</v>
      </c>
      <c r="H54" s="36">
        <f ca="1">IF($A54="","",IF(H$1="","",COUNTIFS(tbl_chests[from],$A54,tbl_chests[legalized],H$1,tbl_chests[datetime],"&gt;="&amp;TODAY()-WEEKDAY(TODAY(),2)+1,tbl_chests[datetime],"&lt;"&amp;TODAY()-WEEKDAY(TODAY(),2)+8)))</f>
        <v>2</v>
      </c>
      <c r="I54" s="36">
        <f ca="1">IF($A54="","",IF(I$1="","",COUNTIFS(tbl_chests[from],$A54,tbl_chests[legalized],I$1,tbl_chests[datetime],"&gt;="&amp;TODAY()-WEEKDAY(TODAY(),2)+1,tbl_chests[datetime],"&lt;"&amp;TODAY()-WEEKDAY(TODAY(),2)+8)))</f>
        <v>0</v>
      </c>
      <c r="J54" s="36">
        <f ca="1">IF($A54="","",IF(J$1="","",COUNTIFS(tbl_chests[from],$A54,tbl_chests[legalized],J$1,tbl_chests[datetime],"&gt;="&amp;TODAY()-WEEKDAY(TODAY(),2)+1,tbl_chests[datetime],"&lt;"&amp;TODAY()-WEEKDAY(TODAY(),2)+8)))</f>
        <v>0</v>
      </c>
      <c r="K54" s="36">
        <f ca="1">IF($A54="","",IF(K$1="","",COUNTIFS(tbl_chests[from],$A54,tbl_chests[legalized],K$1,tbl_chests[datetime],"&gt;="&amp;TODAY()-WEEKDAY(TODAY(),2)+1,tbl_chests[datetime],"&lt;"&amp;TODAY()-WEEKDAY(TODAY(),2)+8)))</f>
        <v>0</v>
      </c>
      <c r="L54" s="36">
        <f ca="1">IF($A54="","",IF(L$1="","",COUNTIFS(tbl_chests[from],$A54,tbl_chests[legalized],L$1,tbl_chests[datetime],"&gt;="&amp;TODAY()-WEEKDAY(TODAY(),2)+1,tbl_chests[datetime],"&lt;"&amp;TODAY()-WEEKDAY(TODAY(),2)+8)))</f>
        <v>0</v>
      </c>
      <c r="M54" s="36">
        <f ca="1">IF($A54="","",IF(M$1="","",COUNTIFS(tbl_chests[from],$A54,tbl_chests[legalized],M$1,tbl_chests[datetime],"&gt;="&amp;TODAY()-WEEKDAY(TODAY(),2)+1,tbl_chests[datetime],"&lt;"&amp;TODAY()-WEEKDAY(TODAY(),2)+8)))</f>
        <v>0</v>
      </c>
      <c r="N54" s="36">
        <f ca="1">IF($A54="","",IF(N$1="","",COUNTIFS(tbl_chests[from],$A54,tbl_chests[legalized],N$1,tbl_chests[datetime],"&gt;="&amp;TODAY()-WEEKDAY(TODAY(),2)+1,tbl_chests[datetime],"&lt;"&amp;TODAY()-WEEKDAY(TODAY(),2)+8)))</f>
        <v>0</v>
      </c>
      <c r="O54" s="36">
        <f ca="1">IF($A54="","",IF(O$1="","",COUNTIFS(tbl_chests[from],$A54,tbl_chests[legalized],O$1,tbl_chests[datetime],"&gt;="&amp;TODAY()-WEEKDAY(TODAY(),2)+1,tbl_chests[datetime],"&lt;"&amp;TODAY()-WEEKDAY(TODAY(),2)+8)))</f>
        <v>0</v>
      </c>
      <c r="P54" s="36">
        <f ca="1">IF($A54="","",IF(P$1="","",COUNTIFS(tbl_chests[from],$A54,tbl_chests[legalized],P$1,tbl_chests[datetime],"&gt;="&amp;TODAY()-WEEKDAY(TODAY(),2)+1,tbl_chests[datetime],"&lt;"&amp;TODAY()-WEEKDAY(TODAY(),2)+8)))</f>
        <v>0</v>
      </c>
      <c r="Q54" s="36">
        <f ca="1">IF($A54="","",IF(Q$1="","",COUNTIFS(tbl_chests[from],$A54,tbl_chests[legalized],Q$1,tbl_chests[datetime],"&gt;="&amp;TODAY()-WEEKDAY(TODAY(),2)+1,tbl_chests[datetime],"&lt;"&amp;TODAY()-WEEKDAY(TODAY(),2)+8)))</f>
        <v>0</v>
      </c>
      <c r="R54" s="36">
        <f ca="1">IF($A54="","",IF(R$1="","",COUNTIFS(tbl_chests[from],$A54,tbl_chests[legalized],R$1,tbl_chests[datetime],"&gt;="&amp;TODAY()-WEEKDAY(TODAY(),2)+1,tbl_chests[datetime],"&lt;"&amp;TODAY()-WEEKDAY(TODAY(),2)+8)))</f>
        <v>2</v>
      </c>
      <c r="S54" s="36">
        <f ca="1">IF($A54="","",IF(S$1="","",COUNTIFS(tbl_chests[from],$A54,tbl_chests[legalized],S$1,tbl_chests[datetime],"&gt;="&amp;TODAY()-WEEKDAY(TODAY(),2)+1,tbl_chests[datetime],"&lt;"&amp;TODAY()-WEEKDAY(TODAY(),2)+8)))</f>
        <v>0</v>
      </c>
      <c r="T54" s="36">
        <f ca="1">IF($A54="","",IF(T$1="","",COUNTIFS(tbl_chests[from],$A54,tbl_chests[legalized],T$1,tbl_chests[datetime],"&gt;="&amp;TODAY()-WEEKDAY(TODAY(),2)+1,tbl_chests[datetime],"&lt;"&amp;TODAY()-WEEKDAY(TODAY(),2)+8)))</f>
        <v>0</v>
      </c>
      <c r="U54" s="36">
        <f ca="1">IF($A54="","",IF(U$1="","",COUNTIFS(tbl_chests[from],$A54,tbl_chests[legalized],U$1,tbl_chests[datetime],"&gt;="&amp;TODAY()-WEEKDAY(TODAY(),2)+1,tbl_chests[datetime],"&lt;"&amp;TODAY()-WEEKDAY(TODAY(),2)+8)))</f>
        <v>0</v>
      </c>
      <c r="V54" s="36">
        <f ca="1">IF($A54="","",IF(V$1="","",COUNTIFS(tbl_chests[from],$A54,tbl_chests[legalized],V$1,tbl_chests[datetime],"&gt;="&amp;TODAY()-WEEKDAY(TODAY(),2)+1,tbl_chests[datetime],"&lt;"&amp;TODAY()-WEEKDAY(TODAY(),2)+8)))</f>
        <v>0</v>
      </c>
      <c r="W54" s="36">
        <f ca="1">IF($A54="","",IF(W$1="","",COUNTIFS(tbl_chests[from],$A54,tbl_chests[legalized],W$1,tbl_chests[datetime],"&gt;="&amp;TODAY()-WEEKDAY(TODAY(),2)+1,tbl_chests[datetime],"&lt;"&amp;TODAY()-WEEKDAY(TODAY(),2)+8)))</f>
        <v>0</v>
      </c>
      <c r="X54" s="36">
        <f ca="1">IF($A54="","",IF(X$1="","",COUNTIFS(tbl_chests[from],$A54,tbl_chests[legalized],X$1,tbl_chests[datetime],"&gt;="&amp;TODAY()-WEEKDAY(TODAY(),2)+1,tbl_chests[datetime],"&lt;"&amp;TODAY()-WEEKDAY(TODAY(),2)+8)))</f>
        <v>0</v>
      </c>
      <c r="Y54" s="36">
        <f ca="1">IF($A54="","",IF(Y$1="","",COUNTIFS(tbl_chests[from],$A54,tbl_chests[legalized],Y$1,tbl_chests[datetime],"&gt;="&amp;TODAY()-WEEKDAY(TODAY(),2)+1,tbl_chests[datetime],"&lt;"&amp;TODAY()-WEEKDAY(TODAY(),2)+8)))</f>
        <v>0</v>
      </c>
      <c r="Z54" s="36">
        <f ca="1">IF($A54="","",IF(Z$1="","",COUNTIFS(tbl_chests[from],$A54,tbl_chests[legalized],Z$1,tbl_chests[datetime],"&gt;="&amp;TODAY()-WEEKDAY(TODAY(),2)+1,tbl_chests[datetime],"&lt;"&amp;TODAY()-WEEKDAY(TODAY(),2)+8)))</f>
        <v>0</v>
      </c>
      <c r="AA54" s="36">
        <f ca="1">IF($A54="","",IF(AA$1="","",COUNTIFS(tbl_chests[from],$A54,tbl_chests[legalized],AA$1,tbl_chests[datetime],"&gt;="&amp;TODAY()-WEEKDAY(TODAY(),2)+1,tbl_chests[datetime],"&lt;"&amp;TODAY()-WEEKDAY(TODAY(),2)+8)))</f>
        <v>0</v>
      </c>
      <c r="AB54" s="36">
        <f ca="1">IF($A54="","",IF(AB$1="","",COUNTIFS(tbl_chests[from],$A54,tbl_chests[legalized],AB$1,tbl_chests[datetime],"&gt;="&amp;TODAY()-WEEKDAY(TODAY(),2)+1,tbl_chests[datetime],"&lt;"&amp;TODAY()-WEEKDAY(TODAY(),2)+8)))</f>
        <v>0</v>
      </c>
      <c r="AC54" s="36">
        <f ca="1">IF($A54="","",IF(AC$1="","",COUNTIFS(tbl_chests[from],$A54,tbl_chests[legalized],AC$1,tbl_chests[datetime],"&gt;="&amp;TODAY()-WEEKDAY(TODAY(),2)+1,tbl_chests[datetime],"&lt;"&amp;TODAY()-WEEKDAY(TODAY(),2)+8)))</f>
        <v>0</v>
      </c>
      <c r="AD54" s="36">
        <f ca="1">IF($A54="","",IF(AD$1="","",COUNTIFS(tbl_chests[from],$A54,tbl_chests[legalized],AD$1,tbl_chests[datetime],"&gt;="&amp;TODAY()-WEEKDAY(TODAY(),2)+1,tbl_chests[datetime],"&lt;"&amp;TODAY()-WEEKDAY(TODAY(),2)+8)))</f>
        <v>0</v>
      </c>
      <c r="AE54" s="36">
        <f ca="1">IF($A54="","",IF(AE$1="","",COUNTIFS(tbl_chests[from],$A54,tbl_chests[legalized],AE$1,tbl_chests[datetime],"&gt;="&amp;TODAY()-WEEKDAY(TODAY(),2)+1,tbl_chests[datetime],"&lt;"&amp;TODAY()-WEEKDAY(TODAY(),2)+8)))</f>
        <v>1</v>
      </c>
      <c r="AF54" s="36">
        <f ca="1">IF($A54="","",IF(AF$1="","",COUNTIFS(tbl_chests[from],$A54,tbl_chests[legalized],AF$1,tbl_chests[datetime],"&gt;="&amp;TODAY()-WEEKDAY(TODAY(),2)+1,tbl_chests[datetime],"&lt;"&amp;TODAY()-WEEKDAY(TODAY(),2)+8)))</f>
        <v>0</v>
      </c>
      <c r="AG54" s="36">
        <f ca="1">IF($A54="","",IF(AG$1="","",COUNTIFS(tbl_chests[from],$A54,tbl_chests[legalized],AG$1,tbl_chests[datetime],"&gt;="&amp;TODAY()-WEEKDAY(TODAY(),2)+1,tbl_chests[datetime],"&lt;"&amp;TODAY()-WEEKDAY(TODAY(),2)+8)))</f>
        <v>0</v>
      </c>
      <c r="AH54" s="36">
        <f ca="1">IF($A54="","",IF(AH$1="","",COUNTIFS(tbl_chests[from],$A54,tbl_chests[legalized],AH$1,tbl_chests[datetime],"&gt;="&amp;TODAY()-WEEKDAY(TODAY(),2)+1,tbl_chests[datetime],"&lt;"&amp;TODAY()-WEEKDAY(TODAY(),2)+8)))</f>
        <v>0</v>
      </c>
      <c r="AI54" s="36">
        <f ca="1">IF($A54="","",IF(AI$1="","",COUNTIFS(tbl_chests[from],$A54,tbl_chests[legalized],AI$1,tbl_chests[datetime],"&gt;="&amp;TODAY()-WEEKDAY(TODAY(),2)+1,tbl_chests[datetime],"&lt;"&amp;TODAY()-WEEKDAY(TODAY(),2)+8)))</f>
        <v>0</v>
      </c>
      <c r="AJ54" s="36">
        <f ca="1">IF($A54="","",IF(AJ$1="","",COUNTIFS(tbl_chests[from],$A54,tbl_chests[legalized],AJ$1,tbl_chests[datetime],"&gt;="&amp;TODAY()-WEEKDAY(TODAY(),2)+1,tbl_chests[datetime],"&lt;"&amp;TODAY()-WEEKDAY(TODAY(),2)+8)))</f>
        <v>0</v>
      </c>
      <c r="AK54" s="36">
        <f ca="1">IF($A54="","",IF(AK$1="","",COUNTIFS(tbl_chests[from],$A54,tbl_chests[legalized],AK$1,tbl_chests[datetime],"&gt;="&amp;TODAY()-WEEKDAY(TODAY(),2)+1,tbl_chests[datetime],"&lt;"&amp;TODAY()-WEEKDAY(TODAY(),2)+8)))</f>
        <v>0</v>
      </c>
      <c r="AL54" s="36">
        <f ca="1">IF($A54="","",IF(AL$1="","",COUNTIFS(tbl_chests[from],$A54,tbl_chests[legalized],AL$1,tbl_chests[datetime],"&gt;="&amp;TODAY()-WEEKDAY(TODAY(),2)+1,tbl_chests[datetime],"&lt;"&amp;TODAY()-WEEKDAY(TODAY(),2)+8)))</f>
        <v>0</v>
      </c>
      <c r="AM54" s="37">
        <f ca="1">IF($A54="","",IF(AM$1="","",COUNTIFS(tbl_chests[from],$A54,tbl_chests[legalized],AM$1,tbl_chests[datetime],"&gt;="&amp;TODAY()-WEEKDAY(TODAY(),2)+1,tbl_chests[datetime],"&lt;"&amp;TODAY()-WEEKDAY(TODAY(),2)+8)))</f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 ht="15.75" customHeight="1" x14ac:dyDescent="0.25">
      <c r="A55" s="34" t="str">
        <f>chests_counter!$H52</f>
        <v>Railrining</v>
      </c>
      <c r="B55" s="35" cm="1">
        <f t="array" aca="1" ref="B55" ca="1">IF(A55&lt;&gt;"", SUMPRODUCT(($C$2:$AM$2&lt;&gt;0)*(C55:AM55&lt;&gt;0)*($C$2:$AM$2)*(C55:AM55)), "")</f>
        <v>1270</v>
      </c>
      <c r="C55" s="36">
        <f ca="1">IF($A55="","",IF(C$1="","",COUNTIFS(tbl_chests[from],$A55,tbl_chests[legalized],C$1,tbl_chests[datetime],"&gt;="&amp;TODAY()-WEEKDAY(TODAY(),2)+1,tbl_chests[datetime],"&lt;"&amp;TODAY()-WEEKDAY(TODAY(),2)+8)))</f>
        <v>0</v>
      </c>
      <c r="D55" s="36">
        <f ca="1">IF($A55="","",IF(D$1="","",COUNTIFS(tbl_chests[from],$A55,tbl_chests[legalized],D$1,tbl_chests[datetime],"&gt;="&amp;TODAY()-WEEKDAY(TODAY(),2)+1,tbl_chests[datetime],"&lt;"&amp;TODAY()-WEEKDAY(TODAY(),2)+8)))</f>
        <v>38</v>
      </c>
      <c r="E55" s="36">
        <f ca="1">IF($A55="","",IF(E$1="","",COUNTIFS(tbl_chests[from],$A55,tbl_chests[legalized],E$1,tbl_chests[datetime],"&gt;="&amp;TODAY()-WEEKDAY(TODAY(),2)+1,tbl_chests[datetime],"&lt;"&amp;TODAY()-WEEKDAY(TODAY(),2)+8)))</f>
        <v>1</v>
      </c>
      <c r="F55" s="36">
        <f ca="1">IF($A55="","",IF(F$1="","",COUNTIFS(tbl_chests[from],$A55,tbl_chests[legalized],F$1,tbl_chests[datetime],"&gt;="&amp;TODAY()-WEEKDAY(TODAY(),2)+1,tbl_chests[datetime],"&lt;"&amp;TODAY()-WEEKDAY(TODAY(),2)+8)))</f>
        <v>0</v>
      </c>
      <c r="G55" s="36">
        <f ca="1">IF($A55="","",IF(G$1="","",COUNTIFS(tbl_chests[from],$A55,tbl_chests[legalized],G$1,tbl_chests[datetime],"&gt;="&amp;TODAY()-WEEKDAY(TODAY(),2)+1,tbl_chests[datetime],"&lt;"&amp;TODAY()-WEEKDAY(TODAY(),2)+8)))</f>
        <v>0</v>
      </c>
      <c r="H55" s="36">
        <f ca="1">IF($A55="","",IF(H$1="","",COUNTIFS(tbl_chests[from],$A55,tbl_chests[legalized],H$1,tbl_chests[datetime],"&gt;="&amp;TODAY()-WEEKDAY(TODAY(),2)+1,tbl_chests[datetime],"&lt;"&amp;TODAY()-WEEKDAY(TODAY(),2)+8)))</f>
        <v>0</v>
      </c>
      <c r="I55" s="36">
        <f ca="1">IF($A55="","",IF(I$1="","",COUNTIFS(tbl_chests[from],$A55,tbl_chests[legalized],I$1,tbl_chests[datetime],"&gt;="&amp;TODAY()-WEEKDAY(TODAY(),2)+1,tbl_chests[datetime],"&lt;"&amp;TODAY()-WEEKDAY(TODAY(),2)+8)))</f>
        <v>0</v>
      </c>
      <c r="J55" s="36">
        <f ca="1">IF($A55="","",IF(J$1="","",COUNTIFS(tbl_chests[from],$A55,tbl_chests[legalized],J$1,tbl_chests[datetime],"&gt;="&amp;TODAY()-WEEKDAY(TODAY(),2)+1,tbl_chests[datetime],"&lt;"&amp;TODAY()-WEEKDAY(TODAY(),2)+8)))</f>
        <v>0</v>
      </c>
      <c r="K55" s="36">
        <f ca="1">IF($A55="","",IF(K$1="","",COUNTIFS(tbl_chests[from],$A55,tbl_chests[legalized],K$1,tbl_chests[datetime],"&gt;="&amp;TODAY()-WEEKDAY(TODAY(),2)+1,tbl_chests[datetime],"&lt;"&amp;TODAY()-WEEKDAY(TODAY(),2)+8)))</f>
        <v>0</v>
      </c>
      <c r="L55" s="36">
        <f ca="1">IF($A55="","",IF(L$1="","",COUNTIFS(tbl_chests[from],$A55,tbl_chests[legalized],L$1,tbl_chests[datetime],"&gt;="&amp;TODAY()-WEEKDAY(TODAY(),2)+1,tbl_chests[datetime],"&lt;"&amp;TODAY()-WEEKDAY(TODAY(),2)+8)))</f>
        <v>0</v>
      </c>
      <c r="M55" s="36">
        <f ca="1">IF($A55="","",IF(M$1="","",COUNTIFS(tbl_chests[from],$A55,tbl_chests[legalized],M$1,tbl_chests[datetime],"&gt;="&amp;TODAY()-WEEKDAY(TODAY(),2)+1,tbl_chests[datetime],"&lt;"&amp;TODAY()-WEEKDAY(TODAY(),2)+8)))</f>
        <v>0</v>
      </c>
      <c r="N55" s="36">
        <f ca="1">IF($A55="","",IF(N$1="","",COUNTIFS(tbl_chests[from],$A55,tbl_chests[legalized],N$1,tbl_chests[datetime],"&gt;="&amp;TODAY()-WEEKDAY(TODAY(),2)+1,tbl_chests[datetime],"&lt;"&amp;TODAY()-WEEKDAY(TODAY(),2)+8)))</f>
        <v>0</v>
      </c>
      <c r="O55" s="36">
        <f ca="1">IF($A55="","",IF(O$1="","",COUNTIFS(tbl_chests[from],$A55,tbl_chests[legalized],O$1,tbl_chests[datetime],"&gt;="&amp;TODAY()-WEEKDAY(TODAY(),2)+1,tbl_chests[datetime],"&lt;"&amp;TODAY()-WEEKDAY(TODAY(),2)+8)))</f>
        <v>0</v>
      </c>
      <c r="P55" s="36">
        <f ca="1">IF($A55="","",IF(P$1="","",COUNTIFS(tbl_chests[from],$A55,tbl_chests[legalized],P$1,tbl_chests[datetime],"&gt;="&amp;TODAY()-WEEKDAY(TODAY(),2)+1,tbl_chests[datetime],"&lt;"&amp;TODAY()-WEEKDAY(TODAY(),2)+8)))</f>
        <v>0</v>
      </c>
      <c r="Q55" s="36">
        <f ca="1">IF($A55="","",IF(Q$1="","",COUNTIFS(tbl_chests[from],$A55,tbl_chests[legalized],Q$1,tbl_chests[datetime],"&gt;="&amp;TODAY()-WEEKDAY(TODAY(),2)+1,tbl_chests[datetime],"&lt;"&amp;TODAY()-WEEKDAY(TODAY(),2)+8)))</f>
        <v>0</v>
      </c>
      <c r="R55" s="36">
        <f ca="1">IF($A55="","",IF(R$1="","",COUNTIFS(tbl_chests[from],$A55,tbl_chests[legalized],R$1,tbl_chests[datetime],"&gt;="&amp;TODAY()-WEEKDAY(TODAY(),2)+1,tbl_chests[datetime],"&lt;"&amp;TODAY()-WEEKDAY(TODAY(),2)+8)))</f>
        <v>0</v>
      </c>
      <c r="S55" s="36">
        <f ca="1">IF($A55="","",IF(S$1="","",COUNTIFS(tbl_chests[from],$A55,tbl_chests[legalized],S$1,tbl_chests[datetime],"&gt;="&amp;TODAY()-WEEKDAY(TODAY(),2)+1,tbl_chests[datetime],"&lt;"&amp;TODAY()-WEEKDAY(TODAY(),2)+8)))</f>
        <v>0</v>
      </c>
      <c r="T55" s="36">
        <f ca="1">IF($A55="","",IF(T$1="","",COUNTIFS(tbl_chests[from],$A55,tbl_chests[legalized],T$1,tbl_chests[datetime],"&gt;="&amp;TODAY()-WEEKDAY(TODAY(),2)+1,tbl_chests[datetime],"&lt;"&amp;TODAY()-WEEKDAY(TODAY(),2)+8)))</f>
        <v>0</v>
      </c>
      <c r="U55" s="36">
        <f ca="1">IF($A55="","",IF(U$1="","",COUNTIFS(tbl_chests[from],$A55,tbl_chests[legalized],U$1,tbl_chests[datetime],"&gt;="&amp;TODAY()-WEEKDAY(TODAY(),2)+1,tbl_chests[datetime],"&lt;"&amp;TODAY()-WEEKDAY(TODAY(),2)+8)))</f>
        <v>0</v>
      </c>
      <c r="V55" s="36">
        <f ca="1">IF($A55="","",IF(V$1="","",COUNTIFS(tbl_chests[from],$A55,tbl_chests[legalized],V$1,tbl_chests[datetime],"&gt;="&amp;TODAY()-WEEKDAY(TODAY(),2)+1,tbl_chests[datetime],"&lt;"&amp;TODAY()-WEEKDAY(TODAY(),2)+8)))</f>
        <v>0</v>
      </c>
      <c r="W55" s="36">
        <f ca="1">IF($A55="","",IF(W$1="","",COUNTIFS(tbl_chests[from],$A55,tbl_chests[legalized],W$1,tbl_chests[datetime],"&gt;="&amp;TODAY()-WEEKDAY(TODAY(),2)+1,tbl_chests[datetime],"&lt;"&amp;TODAY()-WEEKDAY(TODAY(),2)+8)))</f>
        <v>0</v>
      </c>
      <c r="X55" s="36">
        <f ca="1">IF($A55="","",IF(X$1="","",COUNTIFS(tbl_chests[from],$A55,tbl_chests[legalized],X$1,tbl_chests[datetime],"&gt;="&amp;TODAY()-WEEKDAY(TODAY(),2)+1,tbl_chests[datetime],"&lt;"&amp;TODAY()-WEEKDAY(TODAY(),2)+8)))</f>
        <v>0</v>
      </c>
      <c r="Y55" s="36">
        <f ca="1">IF($A55="","",IF(Y$1="","",COUNTIFS(tbl_chests[from],$A55,tbl_chests[legalized],Y$1,tbl_chests[datetime],"&gt;="&amp;TODAY()-WEEKDAY(TODAY(),2)+1,tbl_chests[datetime],"&lt;"&amp;TODAY()-WEEKDAY(TODAY(),2)+8)))</f>
        <v>0</v>
      </c>
      <c r="Z55" s="36">
        <f ca="1">IF($A55="","",IF(Z$1="","",COUNTIFS(tbl_chests[from],$A55,tbl_chests[legalized],Z$1,tbl_chests[datetime],"&gt;="&amp;TODAY()-WEEKDAY(TODAY(),2)+1,tbl_chests[datetime],"&lt;"&amp;TODAY()-WEEKDAY(TODAY(),2)+8)))</f>
        <v>0</v>
      </c>
      <c r="AA55" s="36">
        <f ca="1">IF($A55="","",IF(AA$1="","",COUNTIFS(tbl_chests[from],$A55,tbl_chests[legalized],AA$1,tbl_chests[datetime],"&gt;="&amp;TODAY()-WEEKDAY(TODAY(),2)+1,tbl_chests[datetime],"&lt;"&amp;TODAY()-WEEKDAY(TODAY(),2)+8)))</f>
        <v>12</v>
      </c>
      <c r="AB55" s="36">
        <f ca="1">IF($A55="","",IF(AB$1="","",COUNTIFS(tbl_chests[from],$A55,tbl_chests[legalized],AB$1,tbl_chests[datetime],"&gt;="&amp;TODAY()-WEEKDAY(TODAY(),2)+1,tbl_chests[datetime],"&lt;"&amp;TODAY()-WEEKDAY(TODAY(),2)+8)))</f>
        <v>0</v>
      </c>
      <c r="AC55" s="36">
        <f ca="1">IF($A55="","",IF(AC$1="","",COUNTIFS(tbl_chests[from],$A55,tbl_chests[legalized],AC$1,tbl_chests[datetime],"&gt;="&amp;TODAY()-WEEKDAY(TODAY(),2)+1,tbl_chests[datetime],"&lt;"&amp;TODAY()-WEEKDAY(TODAY(),2)+8)))</f>
        <v>0</v>
      </c>
      <c r="AD55" s="36">
        <f ca="1">IF($A55="","",IF(AD$1="","",COUNTIFS(tbl_chests[from],$A55,tbl_chests[legalized],AD$1,tbl_chests[datetime],"&gt;="&amp;TODAY()-WEEKDAY(TODAY(),2)+1,tbl_chests[datetime],"&lt;"&amp;TODAY()-WEEKDAY(TODAY(),2)+8)))</f>
        <v>0</v>
      </c>
      <c r="AE55" s="36">
        <f ca="1">IF($A55="","",IF(AE$1="","",COUNTIFS(tbl_chests[from],$A55,tbl_chests[legalized],AE$1,tbl_chests[datetime],"&gt;="&amp;TODAY()-WEEKDAY(TODAY(),2)+1,tbl_chests[datetime],"&lt;"&amp;TODAY()-WEEKDAY(TODAY(),2)+8)))</f>
        <v>0</v>
      </c>
      <c r="AF55" s="36">
        <f ca="1">IF($A55="","",IF(AF$1="","",COUNTIFS(tbl_chests[from],$A55,tbl_chests[legalized],AF$1,tbl_chests[datetime],"&gt;="&amp;TODAY()-WEEKDAY(TODAY(),2)+1,tbl_chests[datetime],"&lt;"&amp;TODAY()-WEEKDAY(TODAY(),2)+8)))</f>
        <v>0</v>
      </c>
      <c r="AG55" s="36">
        <f ca="1">IF($A55="","",IF(AG$1="","",COUNTIFS(tbl_chests[from],$A55,tbl_chests[legalized],AG$1,tbl_chests[datetime],"&gt;="&amp;TODAY()-WEEKDAY(TODAY(),2)+1,tbl_chests[datetime],"&lt;"&amp;TODAY()-WEEKDAY(TODAY(),2)+8)))</f>
        <v>0</v>
      </c>
      <c r="AH55" s="36">
        <f ca="1">IF($A55="","",IF(AH$1="","",COUNTIFS(tbl_chests[from],$A55,tbl_chests[legalized],AH$1,tbl_chests[datetime],"&gt;="&amp;TODAY()-WEEKDAY(TODAY(),2)+1,tbl_chests[datetime],"&lt;"&amp;TODAY()-WEEKDAY(TODAY(),2)+8)))</f>
        <v>0</v>
      </c>
      <c r="AI55" s="36">
        <f ca="1">IF($A55="","",IF(AI$1="","",COUNTIFS(tbl_chests[from],$A55,tbl_chests[legalized],AI$1,tbl_chests[datetime],"&gt;="&amp;TODAY()-WEEKDAY(TODAY(),2)+1,tbl_chests[datetime],"&lt;"&amp;TODAY()-WEEKDAY(TODAY(),2)+8)))</f>
        <v>0</v>
      </c>
      <c r="AJ55" s="36">
        <f ca="1">IF($A55="","",IF(AJ$1="","",COUNTIFS(tbl_chests[from],$A55,tbl_chests[legalized],AJ$1,tbl_chests[datetime],"&gt;="&amp;TODAY()-WEEKDAY(TODAY(),2)+1,tbl_chests[datetime],"&lt;"&amp;TODAY()-WEEKDAY(TODAY(),2)+8)))</f>
        <v>0</v>
      </c>
      <c r="AK55" s="36">
        <f ca="1">IF($A55="","",IF(AK$1="","",COUNTIFS(tbl_chests[from],$A55,tbl_chests[legalized],AK$1,tbl_chests[datetime],"&gt;="&amp;TODAY()-WEEKDAY(TODAY(),2)+1,tbl_chests[datetime],"&lt;"&amp;TODAY()-WEEKDAY(TODAY(),2)+8)))</f>
        <v>0</v>
      </c>
      <c r="AL55" s="36">
        <f ca="1">IF($A55="","",IF(AL$1="","",COUNTIFS(tbl_chests[from],$A55,tbl_chests[legalized],AL$1,tbl_chests[datetime],"&gt;="&amp;TODAY()-WEEKDAY(TODAY(),2)+1,tbl_chests[datetime],"&lt;"&amp;TODAY()-WEEKDAY(TODAY(),2)+8)))</f>
        <v>0</v>
      </c>
      <c r="AM55" s="37">
        <f ca="1">IF($A55="","",IF(AM$1="","",COUNTIFS(tbl_chests[from],$A55,tbl_chests[legalized],AM$1,tbl_chests[datetime],"&gt;="&amp;TODAY()-WEEKDAY(TODAY(),2)+1,tbl_chests[datetime],"&lt;"&amp;TODAY()-WEEKDAY(TODAY(),2)+8)))</f>
        <v>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 ht="15.75" customHeight="1" x14ac:dyDescent="0.25">
      <c r="A56" s="34" t="str">
        <f>chests_counter!$H53</f>
        <v>Rayan</v>
      </c>
      <c r="B56" s="35" cm="1">
        <f t="array" aca="1" ref="B56" ca="1">IF(A56&lt;&gt;"", SUMPRODUCT(($C$2:$AM$2&lt;&gt;0)*(C56:AM56&lt;&gt;0)*($C$2:$AM$2)*(C56:AM56)), "")</f>
        <v>15</v>
      </c>
      <c r="C56" s="36">
        <f ca="1">IF($A56="","",IF(C$1="","",COUNTIFS(tbl_chests[from],$A56,tbl_chests[legalized],C$1,tbl_chests[datetime],"&gt;="&amp;TODAY()-WEEKDAY(TODAY(),2)+1,tbl_chests[datetime],"&lt;"&amp;TODAY()-WEEKDAY(TODAY(),2)+8)))</f>
        <v>1</v>
      </c>
      <c r="D56" s="36">
        <f ca="1">IF($A56="","",IF(D$1="","",COUNTIFS(tbl_chests[from],$A56,tbl_chests[legalized],D$1,tbl_chests[datetime],"&gt;="&amp;TODAY()-WEEKDAY(TODAY(),2)+1,tbl_chests[datetime],"&lt;"&amp;TODAY()-WEEKDAY(TODAY(),2)+8)))</f>
        <v>0</v>
      </c>
      <c r="E56" s="36">
        <f ca="1">IF($A56="","",IF(E$1="","",COUNTIFS(tbl_chests[from],$A56,tbl_chests[legalized],E$1,tbl_chests[datetime],"&gt;="&amp;TODAY()-WEEKDAY(TODAY(),2)+1,tbl_chests[datetime],"&lt;"&amp;TODAY()-WEEKDAY(TODAY(),2)+8)))</f>
        <v>0</v>
      </c>
      <c r="F56" s="36">
        <f ca="1">IF($A56="","",IF(F$1="","",COUNTIFS(tbl_chests[from],$A56,tbl_chests[legalized],F$1,tbl_chests[datetime],"&gt;="&amp;TODAY()-WEEKDAY(TODAY(),2)+1,tbl_chests[datetime],"&lt;"&amp;TODAY()-WEEKDAY(TODAY(),2)+8)))</f>
        <v>0</v>
      </c>
      <c r="G56" s="36">
        <f ca="1">IF($A56="","",IF(G$1="","",COUNTIFS(tbl_chests[from],$A56,tbl_chests[legalized],G$1,tbl_chests[datetime],"&gt;="&amp;TODAY()-WEEKDAY(TODAY(),2)+1,tbl_chests[datetime],"&lt;"&amp;TODAY()-WEEKDAY(TODAY(),2)+8)))</f>
        <v>0</v>
      </c>
      <c r="H56" s="36">
        <f ca="1">IF($A56="","",IF(H$1="","",COUNTIFS(tbl_chests[from],$A56,tbl_chests[legalized],H$1,tbl_chests[datetime],"&gt;="&amp;TODAY()-WEEKDAY(TODAY(),2)+1,tbl_chests[datetime],"&lt;"&amp;TODAY()-WEEKDAY(TODAY(),2)+8)))</f>
        <v>0</v>
      </c>
      <c r="I56" s="36">
        <f ca="1">IF($A56="","",IF(I$1="","",COUNTIFS(tbl_chests[from],$A56,tbl_chests[legalized],I$1,tbl_chests[datetime],"&gt;="&amp;TODAY()-WEEKDAY(TODAY(),2)+1,tbl_chests[datetime],"&lt;"&amp;TODAY()-WEEKDAY(TODAY(),2)+8)))</f>
        <v>0</v>
      </c>
      <c r="J56" s="36">
        <f ca="1">IF($A56="","",IF(J$1="","",COUNTIFS(tbl_chests[from],$A56,tbl_chests[legalized],J$1,tbl_chests[datetime],"&gt;="&amp;TODAY()-WEEKDAY(TODAY(),2)+1,tbl_chests[datetime],"&lt;"&amp;TODAY()-WEEKDAY(TODAY(),2)+8)))</f>
        <v>0</v>
      </c>
      <c r="K56" s="36">
        <f ca="1">IF($A56="","",IF(K$1="","",COUNTIFS(tbl_chests[from],$A56,tbl_chests[legalized],K$1,tbl_chests[datetime],"&gt;="&amp;TODAY()-WEEKDAY(TODAY(),2)+1,tbl_chests[datetime],"&lt;"&amp;TODAY()-WEEKDAY(TODAY(),2)+8)))</f>
        <v>0</v>
      </c>
      <c r="L56" s="36">
        <f ca="1">IF($A56="","",IF(L$1="","",COUNTIFS(tbl_chests[from],$A56,tbl_chests[legalized],L$1,tbl_chests[datetime],"&gt;="&amp;TODAY()-WEEKDAY(TODAY(),2)+1,tbl_chests[datetime],"&lt;"&amp;TODAY()-WEEKDAY(TODAY(),2)+8)))</f>
        <v>0</v>
      </c>
      <c r="M56" s="36">
        <f ca="1">IF($A56="","",IF(M$1="","",COUNTIFS(tbl_chests[from],$A56,tbl_chests[legalized],M$1,tbl_chests[datetime],"&gt;="&amp;TODAY()-WEEKDAY(TODAY(),2)+1,tbl_chests[datetime],"&lt;"&amp;TODAY()-WEEKDAY(TODAY(),2)+8)))</f>
        <v>0</v>
      </c>
      <c r="N56" s="36">
        <f ca="1">IF($A56="","",IF(N$1="","",COUNTIFS(tbl_chests[from],$A56,tbl_chests[legalized],N$1,tbl_chests[datetime],"&gt;="&amp;TODAY()-WEEKDAY(TODAY(),2)+1,tbl_chests[datetime],"&lt;"&amp;TODAY()-WEEKDAY(TODAY(),2)+8)))</f>
        <v>0</v>
      </c>
      <c r="O56" s="36">
        <f ca="1">IF($A56="","",IF(O$1="","",COUNTIFS(tbl_chests[from],$A56,tbl_chests[legalized],O$1,tbl_chests[datetime],"&gt;="&amp;TODAY()-WEEKDAY(TODAY(),2)+1,tbl_chests[datetime],"&lt;"&amp;TODAY()-WEEKDAY(TODAY(),2)+8)))</f>
        <v>0</v>
      </c>
      <c r="P56" s="36">
        <f ca="1">IF($A56="","",IF(P$1="","",COUNTIFS(tbl_chests[from],$A56,tbl_chests[legalized],P$1,tbl_chests[datetime],"&gt;="&amp;TODAY()-WEEKDAY(TODAY(),2)+1,tbl_chests[datetime],"&lt;"&amp;TODAY()-WEEKDAY(TODAY(),2)+8)))</f>
        <v>0</v>
      </c>
      <c r="Q56" s="36">
        <f ca="1">IF($A56="","",IF(Q$1="","",COUNTIFS(tbl_chests[from],$A56,tbl_chests[legalized],Q$1,tbl_chests[datetime],"&gt;="&amp;TODAY()-WEEKDAY(TODAY(),2)+1,tbl_chests[datetime],"&lt;"&amp;TODAY()-WEEKDAY(TODAY(),2)+8)))</f>
        <v>0</v>
      </c>
      <c r="R56" s="36">
        <f ca="1">IF($A56="","",IF(R$1="","",COUNTIFS(tbl_chests[from],$A56,tbl_chests[legalized],R$1,tbl_chests[datetime],"&gt;="&amp;TODAY()-WEEKDAY(TODAY(),2)+1,tbl_chests[datetime],"&lt;"&amp;TODAY()-WEEKDAY(TODAY(),2)+8)))</f>
        <v>0</v>
      </c>
      <c r="S56" s="36">
        <f ca="1">IF($A56="","",IF(S$1="","",COUNTIFS(tbl_chests[from],$A56,tbl_chests[legalized],S$1,tbl_chests[datetime],"&gt;="&amp;TODAY()-WEEKDAY(TODAY(),2)+1,tbl_chests[datetime],"&lt;"&amp;TODAY()-WEEKDAY(TODAY(),2)+8)))</f>
        <v>0</v>
      </c>
      <c r="T56" s="36">
        <f ca="1">IF($A56="","",IF(T$1="","",COUNTIFS(tbl_chests[from],$A56,tbl_chests[legalized],T$1,tbl_chests[datetime],"&gt;="&amp;TODAY()-WEEKDAY(TODAY(),2)+1,tbl_chests[datetime],"&lt;"&amp;TODAY()-WEEKDAY(TODAY(),2)+8)))</f>
        <v>0</v>
      </c>
      <c r="U56" s="36">
        <f ca="1">IF($A56="","",IF(U$1="","",COUNTIFS(tbl_chests[from],$A56,tbl_chests[legalized],U$1,tbl_chests[datetime],"&gt;="&amp;TODAY()-WEEKDAY(TODAY(),2)+1,tbl_chests[datetime],"&lt;"&amp;TODAY()-WEEKDAY(TODAY(),2)+8)))</f>
        <v>0</v>
      </c>
      <c r="V56" s="36">
        <f ca="1">IF($A56="","",IF(V$1="","",COUNTIFS(tbl_chests[from],$A56,tbl_chests[legalized],V$1,tbl_chests[datetime],"&gt;="&amp;TODAY()-WEEKDAY(TODAY(),2)+1,tbl_chests[datetime],"&lt;"&amp;TODAY()-WEEKDAY(TODAY(),2)+8)))</f>
        <v>0</v>
      </c>
      <c r="W56" s="36">
        <f ca="1">IF($A56="","",IF(W$1="","",COUNTIFS(tbl_chests[from],$A56,tbl_chests[legalized],W$1,tbl_chests[datetime],"&gt;="&amp;TODAY()-WEEKDAY(TODAY(),2)+1,tbl_chests[datetime],"&lt;"&amp;TODAY()-WEEKDAY(TODAY(),2)+8)))</f>
        <v>0</v>
      </c>
      <c r="X56" s="36">
        <f ca="1">IF($A56="","",IF(X$1="","",COUNTIFS(tbl_chests[from],$A56,tbl_chests[legalized],X$1,tbl_chests[datetime],"&gt;="&amp;TODAY()-WEEKDAY(TODAY(),2)+1,tbl_chests[datetime],"&lt;"&amp;TODAY()-WEEKDAY(TODAY(),2)+8)))</f>
        <v>0</v>
      </c>
      <c r="Y56" s="36">
        <f ca="1">IF($A56="","",IF(Y$1="","",COUNTIFS(tbl_chests[from],$A56,tbl_chests[legalized],Y$1,tbl_chests[datetime],"&gt;="&amp;TODAY()-WEEKDAY(TODAY(),2)+1,tbl_chests[datetime],"&lt;"&amp;TODAY()-WEEKDAY(TODAY(),2)+8)))</f>
        <v>0</v>
      </c>
      <c r="Z56" s="36">
        <f ca="1">IF($A56="","",IF(Z$1="","",COUNTIFS(tbl_chests[from],$A56,tbl_chests[legalized],Z$1,tbl_chests[datetime],"&gt;="&amp;TODAY()-WEEKDAY(TODAY(),2)+1,tbl_chests[datetime],"&lt;"&amp;TODAY()-WEEKDAY(TODAY(),2)+8)))</f>
        <v>0</v>
      </c>
      <c r="AA56" s="36">
        <f ca="1">IF($A56="","",IF(AA$1="","",COUNTIFS(tbl_chests[from],$A56,tbl_chests[legalized],AA$1,tbl_chests[datetime],"&gt;="&amp;TODAY()-WEEKDAY(TODAY(),2)+1,tbl_chests[datetime],"&lt;"&amp;TODAY()-WEEKDAY(TODAY(),2)+8)))</f>
        <v>0</v>
      </c>
      <c r="AB56" s="36">
        <f ca="1">IF($A56="","",IF(AB$1="","",COUNTIFS(tbl_chests[from],$A56,tbl_chests[legalized],AB$1,tbl_chests[datetime],"&gt;="&amp;TODAY()-WEEKDAY(TODAY(),2)+1,tbl_chests[datetime],"&lt;"&amp;TODAY()-WEEKDAY(TODAY(),2)+8)))</f>
        <v>0</v>
      </c>
      <c r="AC56" s="36">
        <f ca="1">IF($A56="","",IF(AC$1="","",COUNTIFS(tbl_chests[from],$A56,tbl_chests[legalized],AC$1,tbl_chests[datetime],"&gt;="&amp;TODAY()-WEEKDAY(TODAY(),2)+1,tbl_chests[datetime],"&lt;"&amp;TODAY()-WEEKDAY(TODAY(),2)+8)))</f>
        <v>0</v>
      </c>
      <c r="AD56" s="36">
        <f ca="1">IF($A56="","",IF(AD$1="","",COUNTIFS(tbl_chests[from],$A56,tbl_chests[legalized],AD$1,tbl_chests[datetime],"&gt;="&amp;TODAY()-WEEKDAY(TODAY(),2)+1,tbl_chests[datetime],"&lt;"&amp;TODAY()-WEEKDAY(TODAY(),2)+8)))</f>
        <v>0</v>
      </c>
      <c r="AE56" s="36">
        <f ca="1">IF($A56="","",IF(AE$1="","",COUNTIFS(tbl_chests[from],$A56,tbl_chests[legalized],AE$1,tbl_chests[datetime],"&gt;="&amp;TODAY()-WEEKDAY(TODAY(),2)+1,tbl_chests[datetime],"&lt;"&amp;TODAY()-WEEKDAY(TODAY(),2)+8)))</f>
        <v>1</v>
      </c>
      <c r="AF56" s="36">
        <f ca="1">IF($A56="","",IF(AF$1="","",COUNTIFS(tbl_chests[from],$A56,tbl_chests[legalized],AF$1,tbl_chests[datetime],"&gt;="&amp;TODAY()-WEEKDAY(TODAY(),2)+1,tbl_chests[datetime],"&lt;"&amp;TODAY()-WEEKDAY(TODAY(),2)+8)))</f>
        <v>0</v>
      </c>
      <c r="AG56" s="36">
        <f ca="1">IF($A56="","",IF(AG$1="","",COUNTIFS(tbl_chests[from],$A56,tbl_chests[legalized],AG$1,tbl_chests[datetime],"&gt;="&amp;TODAY()-WEEKDAY(TODAY(),2)+1,tbl_chests[datetime],"&lt;"&amp;TODAY()-WEEKDAY(TODAY(),2)+8)))</f>
        <v>0</v>
      </c>
      <c r="AH56" s="36">
        <f ca="1">IF($A56="","",IF(AH$1="","",COUNTIFS(tbl_chests[from],$A56,tbl_chests[legalized],AH$1,tbl_chests[datetime],"&gt;="&amp;TODAY()-WEEKDAY(TODAY(),2)+1,tbl_chests[datetime],"&lt;"&amp;TODAY()-WEEKDAY(TODAY(),2)+8)))</f>
        <v>0</v>
      </c>
      <c r="AI56" s="36">
        <f ca="1">IF($A56="","",IF(AI$1="","",COUNTIFS(tbl_chests[from],$A56,tbl_chests[legalized],AI$1,tbl_chests[datetime],"&gt;="&amp;TODAY()-WEEKDAY(TODAY(),2)+1,tbl_chests[datetime],"&lt;"&amp;TODAY()-WEEKDAY(TODAY(),2)+8)))</f>
        <v>0</v>
      </c>
      <c r="AJ56" s="36">
        <f ca="1">IF($A56="","",IF(AJ$1="","",COUNTIFS(tbl_chests[from],$A56,tbl_chests[legalized],AJ$1,tbl_chests[datetime],"&gt;="&amp;TODAY()-WEEKDAY(TODAY(),2)+1,tbl_chests[datetime],"&lt;"&amp;TODAY()-WEEKDAY(TODAY(),2)+8)))</f>
        <v>0</v>
      </c>
      <c r="AK56" s="36">
        <f ca="1">IF($A56="","",IF(AK$1="","",COUNTIFS(tbl_chests[from],$A56,tbl_chests[legalized],AK$1,tbl_chests[datetime],"&gt;="&amp;TODAY()-WEEKDAY(TODAY(),2)+1,tbl_chests[datetime],"&lt;"&amp;TODAY()-WEEKDAY(TODAY(),2)+8)))</f>
        <v>0</v>
      </c>
      <c r="AL56" s="36">
        <f ca="1">IF($A56="","",IF(AL$1="","",COUNTIFS(tbl_chests[from],$A56,tbl_chests[legalized],AL$1,tbl_chests[datetime],"&gt;="&amp;TODAY()-WEEKDAY(TODAY(),2)+1,tbl_chests[datetime],"&lt;"&amp;TODAY()-WEEKDAY(TODAY(),2)+8)))</f>
        <v>0</v>
      </c>
      <c r="AM56" s="37">
        <f ca="1">IF($A56="","",IF(AM$1="","",COUNTIFS(tbl_chests[from],$A56,tbl_chests[legalized],AM$1,tbl_chests[datetime],"&gt;="&amp;TODAY()-WEEKDAY(TODAY(),2)+1,tbl_chests[datetime],"&lt;"&amp;TODAY()-WEEKDAY(TODAY(),2)+8)))</f>
        <v>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 ht="15.75" customHeight="1" x14ac:dyDescent="0.25">
      <c r="A57" s="34" t="str">
        <f>chests_counter!$H54</f>
        <v>Rhys</v>
      </c>
      <c r="B57" s="35" cm="1">
        <f t="array" aca="1" ref="B57" ca="1">IF(A57&lt;&gt;"", SUMPRODUCT(($C$2:$AM$2&lt;&gt;0)*(C57:AM57&lt;&gt;0)*($C$2:$AM$2)*(C57:AM57)), "")</f>
        <v>650</v>
      </c>
      <c r="C57" s="36">
        <f ca="1">IF($A57="","",IF(C$1="","",COUNTIFS(tbl_chests[from],$A57,tbl_chests[legalized],C$1,tbl_chests[datetime],"&gt;="&amp;TODAY()-WEEKDAY(TODAY(),2)+1,tbl_chests[datetime],"&lt;"&amp;TODAY()-WEEKDAY(TODAY(),2)+8)))</f>
        <v>3</v>
      </c>
      <c r="D57" s="36">
        <f ca="1">IF($A57="","",IF(D$1="","",COUNTIFS(tbl_chests[from],$A57,tbl_chests[legalized],D$1,tbl_chests[datetime],"&gt;="&amp;TODAY()-WEEKDAY(TODAY(),2)+1,tbl_chests[datetime],"&lt;"&amp;TODAY()-WEEKDAY(TODAY(),2)+8)))</f>
        <v>7</v>
      </c>
      <c r="E57" s="36">
        <f ca="1">IF($A57="","",IF(E$1="","",COUNTIFS(tbl_chests[from],$A57,tbl_chests[legalized],E$1,tbl_chests[datetime],"&gt;="&amp;TODAY()-WEEKDAY(TODAY(),2)+1,tbl_chests[datetime],"&lt;"&amp;TODAY()-WEEKDAY(TODAY(),2)+8)))</f>
        <v>2</v>
      </c>
      <c r="F57" s="36">
        <f ca="1">IF($A57="","",IF(F$1="","",COUNTIFS(tbl_chests[from],$A57,tbl_chests[legalized],F$1,tbl_chests[datetime],"&gt;="&amp;TODAY()-WEEKDAY(TODAY(),2)+1,tbl_chests[datetime],"&lt;"&amp;TODAY()-WEEKDAY(TODAY(),2)+8)))</f>
        <v>2</v>
      </c>
      <c r="G57" s="36">
        <f ca="1">IF($A57="","",IF(G$1="","",COUNTIFS(tbl_chests[from],$A57,tbl_chests[legalized],G$1,tbl_chests[datetime],"&gt;="&amp;TODAY()-WEEKDAY(TODAY(),2)+1,tbl_chests[datetime],"&lt;"&amp;TODAY()-WEEKDAY(TODAY(),2)+8)))</f>
        <v>0</v>
      </c>
      <c r="H57" s="36">
        <f ca="1">IF($A57="","",IF(H$1="","",COUNTIFS(tbl_chests[from],$A57,tbl_chests[legalized],H$1,tbl_chests[datetime],"&gt;="&amp;TODAY()-WEEKDAY(TODAY(),2)+1,tbl_chests[datetime],"&lt;"&amp;TODAY()-WEEKDAY(TODAY(),2)+8)))</f>
        <v>0</v>
      </c>
      <c r="I57" s="36">
        <f ca="1">IF($A57="","",IF(I$1="","",COUNTIFS(tbl_chests[from],$A57,tbl_chests[legalized],I$1,tbl_chests[datetime],"&gt;="&amp;TODAY()-WEEKDAY(TODAY(),2)+1,tbl_chests[datetime],"&lt;"&amp;TODAY()-WEEKDAY(TODAY(),2)+8)))</f>
        <v>0</v>
      </c>
      <c r="J57" s="36">
        <f ca="1">IF($A57="","",IF(J$1="","",COUNTIFS(tbl_chests[from],$A57,tbl_chests[legalized],J$1,tbl_chests[datetime],"&gt;="&amp;TODAY()-WEEKDAY(TODAY(),2)+1,tbl_chests[datetime],"&lt;"&amp;TODAY()-WEEKDAY(TODAY(),2)+8)))</f>
        <v>1</v>
      </c>
      <c r="K57" s="36">
        <f ca="1">IF($A57="","",IF(K$1="","",COUNTIFS(tbl_chests[from],$A57,tbl_chests[legalized],K$1,tbl_chests[datetime],"&gt;="&amp;TODAY()-WEEKDAY(TODAY(),2)+1,tbl_chests[datetime],"&lt;"&amp;TODAY()-WEEKDAY(TODAY(),2)+8)))</f>
        <v>0</v>
      </c>
      <c r="L57" s="36">
        <f ca="1">IF($A57="","",IF(L$1="","",COUNTIFS(tbl_chests[from],$A57,tbl_chests[legalized],L$1,tbl_chests[datetime],"&gt;="&amp;TODAY()-WEEKDAY(TODAY(),2)+1,tbl_chests[datetime],"&lt;"&amp;TODAY()-WEEKDAY(TODAY(),2)+8)))</f>
        <v>0</v>
      </c>
      <c r="M57" s="36">
        <f ca="1">IF($A57="","",IF(M$1="","",COUNTIFS(tbl_chests[from],$A57,tbl_chests[legalized],M$1,tbl_chests[datetime],"&gt;="&amp;TODAY()-WEEKDAY(TODAY(),2)+1,tbl_chests[datetime],"&lt;"&amp;TODAY()-WEEKDAY(TODAY(),2)+8)))</f>
        <v>1</v>
      </c>
      <c r="N57" s="36">
        <f ca="1">IF($A57="","",IF(N$1="","",COUNTIFS(tbl_chests[from],$A57,tbl_chests[legalized],N$1,tbl_chests[datetime],"&gt;="&amp;TODAY()-WEEKDAY(TODAY(),2)+1,tbl_chests[datetime],"&lt;"&amp;TODAY()-WEEKDAY(TODAY(),2)+8)))</f>
        <v>1</v>
      </c>
      <c r="O57" s="36">
        <f ca="1">IF($A57="","",IF(O$1="","",COUNTIFS(tbl_chests[from],$A57,tbl_chests[legalized],O$1,tbl_chests[datetime],"&gt;="&amp;TODAY()-WEEKDAY(TODAY(),2)+1,tbl_chests[datetime],"&lt;"&amp;TODAY()-WEEKDAY(TODAY(),2)+8)))</f>
        <v>0</v>
      </c>
      <c r="P57" s="36">
        <f ca="1">IF($A57="","",IF(P$1="","",COUNTIFS(tbl_chests[from],$A57,tbl_chests[legalized],P$1,tbl_chests[datetime],"&gt;="&amp;TODAY()-WEEKDAY(TODAY(),2)+1,tbl_chests[datetime],"&lt;"&amp;TODAY()-WEEKDAY(TODAY(),2)+8)))</f>
        <v>0</v>
      </c>
      <c r="Q57" s="36">
        <f ca="1">IF($A57="","",IF(Q$1="","",COUNTIFS(tbl_chests[from],$A57,tbl_chests[legalized],Q$1,tbl_chests[datetime],"&gt;="&amp;TODAY()-WEEKDAY(TODAY(),2)+1,tbl_chests[datetime],"&lt;"&amp;TODAY()-WEEKDAY(TODAY(),2)+8)))</f>
        <v>0</v>
      </c>
      <c r="R57" s="36">
        <f ca="1">IF($A57="","",IF(R$1="","",COUNTIFS(tbl_chests[from],$A57,tbl_chests[legalized],R$1,tbl_chests[datetime],"&gt;="&amp;TODAY()-WEEKDAY(TODAY(),2)+1,tbl_chests[datetime],"&lt;"&amp;TODAY()-WEEKDAY(TODAY(),2)+8)))</f>
        <v>0</v>
      </c>
      <c r="S57" s="36">
        <f ca="1">IF($A57="","",IF(S$1="","",COUNTIFS(tbl_chests[from],$A57,tbl_chests[legalized],S$1,tbl_chests[datetime],"&gt;="&amp;TODAY()-WEEKDAY(TODAY(),2)+1,tbl_chests[datetime],"&lt;"&amp;TODAY()-WEEKDAY(TODAY(),2)+8)))</f>
        <v>0</v>
      </c>
      <c r="T57" s="36">
        <f ca="1">IF($A57="","",IF(T$1="","",COUNTIFS(tbl_chests[from],$A57,tbl_chests[legalized],T$1,tbl_chests[datetime],"&gt;="&amp;TODAY()-WEEKDAY(TODAY(),2)+1,tbl_chests[datetime],"&lt;"&amp;TODAY()-WEEKDAY(TODAY(),2)+8)))</f>
        <v>0</v>
      </c>
      <c r="U57" s="36">
        <f ca="1">IF($A57="","",IF(U$1="","",COUNTIFS(tbl_chests[from],$A57,tbl_chests[legalized],U$1,tbl_chests[datetime],"&gt;="&amp;TODAY()-WEEKDAY(TODAY(),2)+1,tbl_chests[datetime],"&lt;"&amp;TODAY()-WEEKDAY(TODAY(),2)+8)))</f>
        <v>0</v>
      </c>
      <c r="V57" s="36">
        <f ca="1">IF($A57="","",IF(V$1="","",COUNTIFS(tbl_chests[from],$A57,tbl_chests[legalized],V$1,tbl_chests[datetime],"&gt;="&amp;TODAY()-WEEKDAY(TODAY(),2)+1,tbl_chests[datetime],"&lt;"&amp;TODAY()-WEEKDAY(TODAY(),2)+8)))</f>
        <v>0</v>
      </c>
      <c r="W57" s="36">
        <f ca="1">IF($A57="","",IF(W$1="","",COUNTIFS(tbl_chests[from],$A57,tbl_chests[legalized],W$1,tbl_chests[datetime],"&gt;="&amp;TODAY()-WEEKDAY(TODAY(),2)+1,tbl_chests[datetime],"&lt;"&amp;TODAY()-WEEKDAY(TODAY(),2)+8)))</f>
        <v>0</v>
      </c>
      <c r="X57" s="36">
        <f ca="1">IF($A57="","",IF(X$1="","",COUNTIFS(tbl_chests[from],$A57,tbl_chests[legalized],X$1,tbl_chests[datetime],"&gt;="&amp;TODAY()-WEEKDAY(TODAY(),2)+1,tbl_chests[datetime],"&lt;"&amp;TODAY()-WEEKDAY(TODAY(),2)+8)))</f>
        <v>0</v>
      </c>
      <c r="Y57" s="36">
        <f ca="1">IF($A57="","",IF(Y$1="","",COUNTIFS(tbl_chests[from],$A57,tbl_chests[legalized],Y$1,tbl_chests[datetime],"&gt;="&amp;TODAY()-WEEKDAY(TODAY(),2)+1,tbl_chests[datetime],"&lt;"&amp;TODAY()-WEEKDAY(TODAY(),2)+8)))</f>
        <v>0</v>
      </c>
      <c r="Z57" s="36">
        <f ca="1">IF($A57="","",IF(Z$1="","",COUNTIFS(tbl_chests[from],$A57,tbl_chests[legalized],Z$1,tbl_chests[datetime],"&gt;="&amp;TODAY()-WEEKDAY(TODAY(),2)+1,tbl_chests[datetime],"&lt;"&amp;TODAY()-WEEKDAY(TODAY(),2)+8)))</f>
        <v>0</v>
      </c>
      <c r="AA57" s="36">
        <f ca="1">IF($A57="","",IF(AA$1="","",COUNTIFS(tbl_chests[from],$A57,tbl_chests[legalized],AA$1,tbl_chests[datetime],"&gt;="&amp;TODAY()-WEEKDAY(TODAY(),2)+1,tbl_chests[datetime],"&lt;"&amp;TODAY()-WEEKDAY(TODAY(),2)+8)))</f>
        <v>6</v>
      </c>
      <c r="AB57" s="36">
        <f ca="1">IF($A57="","",IF(AB$1="","",COUNTIFS(tbl_chests[from],$A57,tbl_chests[legalized],AB$1,tbl_chests[datetime],"&gt;="&amp;TODAY()-WEEKDAY(TODAY(),2)+1,tbl_chests[datetime],"&lt;"&amp;TODAY()-WEEKDAY(TODAY(),2)+8)))</f>
        <v>0</v>
      </c>
      <c r="AC57" s="36">
        <f ca="1">IF($A57="","",IF(AC$1="","",COUNTIFS(tbl_chests[from],$A57,tbl_chests[legalized],AC$1,tbl_chests[datetime],"&gt;="&amp;TODAY()-WEEKDAY(TODAY(),2)+1,tbl_chests[datetime],"&lt;"&amp;TODAY()-WEEKDAY(TODAY(),2)+8)))</f>
        <v>0</v>
      </c>
      <c r="AD57" s="36">
        <f ca="1">IF($A57="","",IF(AD$1="","",COUNTIFS(tbl_chests[from],$A57,tbl_chests[legalized],AD$1,tbl_chests[datetime],"&gt;="&amp;TODAY()-WEEKDAY(TODAY(),2)+1,tbl_chests[datetime],"&lt;"&amp;TODAY()-WEEKDAY(TODAY(),2)+8)))</f>
        <v>0</v>
      </c>
      <c r="AE57" s="36">
        <f ca="1">IF($A57="","",IF(AE$1="","",COUNTIFS(tbl_chests[from],$A57,tbl_chests[legalized],AE$1,tbl_chests[datetime],"&gt;="&amp;TODAY()-WEEKDAY(TODAY(),2)+1,tbl_chests[datetime],"&lt;"&amp;TODAY()-WEEKDAY(TODAY(),2)+8)))</f>
        <v>0</v>
      </c>
      <c r="AF57" s="36">
        <f ca="1">IF($A57="","",IF(AF$1="","",COUNTIFS(tbl_chests[from],$A57,tbl_chests[legalized],AF$1,tbl_chests[datetime],"&gt;="&amp;TODAY()-WEEKDAY(TODAY(),2)+1,tbl_chests[datetime],"&lt;"&amp;TODAY()-WEEKDAY(TODAY(),2)+8)))</f>
        <v>0</v>
      </c>
      <c r="AG57" s="36">
        <f ca="1">IF($A57="","",IF(AG$1="","",COUNTIFS(tbl_chests[from],$A57,tbl_chests[legalized],AG$1,tbl_chests[datetime],"&gt;="&amp;TODAY()-WEEKDAY(TODAY(),2)+1,tbl_chests[datetime],"&lt;"&amp;TODAY()-WEEKDAY(TODAY(),2)+8)))</f>
        <v>0</v>
      </c>
      <c r="AH57" s="36">
        <f ca="1">IF($A57="","",IF(AH$1="","",COUNTIFS(tbl_chests[from],$A57,tbl_chests[legalized],AH$1,tbl_chests[datetime],"&gt;="&amp;TODAY()-WEEKDAY(TODAY(),2)+1,tbl_chests[datetime],"&lt;"&amp;TODAY()-WEEKDAY(TODAY(),2)+8)))</f>
        <v>0</v>
      </c>
      <c r="AI57" s="36">
        <f ca="1">IF($A57="","",IF(AI$1="","",COUNTIFS(tbl_chests[from],$A57,tbl_chests[legalized],AI$1,tbl_chests[datetime],"&gt;="&amp;TODAY()-WEEKDAY(TODAY(),2)+1,tbl_chests[datetime],"&lt;"&amp;TODAY()-WEEKDAY(TODAY(),2)+8)))</f>
        <v>0</v>
      </c>
      <c r="AJ57" s="36">
        <f ca="1">IF($A57="","",IF(AJ$1="","",COUNTIFS(tbl_chests[from],$A57,tbl_chests[legalized],AJ$1,tbl_chests[datetime],"&gt;="&amp;TODAY()-WEEKDAY(TODAY(),2)+1,tbl_chests[datetime],"&lt;"&amp;TODAY()-WEEKDAY(TODAY(),2)+8)))</f>
        <v>0</v>
      </c>
      <c r="AK57" s="36">
        <f ca="1">IF($A57="","",IF(AK$1="","",COUNTIFS(tbl_chests[from],$A57,tbl_chests[legalized],AK$1,tbl_chests[datetime],"&gt;="&amp;TODAY()-WEEKDAY(TODAY(),2)+1,tbl_chests[datetime],"&lt;"&amp;TODAY()-WEEKDAY(TODAY(),2)+8)))</f>
        <v>0</v>
      </c>
      <c r="AL57" s="36">
        <f ca="1">IF($A57="","",IF(AL$1="","",COUNTIFS(tbl_chests[from],$A57,tbl_chests[legalized],AL$1,tbl_chests[datetime],"&gt;="&amp;TODAY()-WEEKDAY(TODAY(),2)+1,tbl_chests[datetime],"&lt;"&amp;TODAY()-WEEKDAY(TODAY(),2)+8)))</f>
        <v>0</v>
      </c>
      <c r="AM57" s="37">
        <f ca="1">IF($A57="","",IF(AM$1="","",COUNTIFS(tbl_chests[from],$A57,tbl_chests[legalized],AM$1,tbl_chests[datetime],"&gt;="&amp;TODAY()-WEEKDAY(TODAY(),2)+1,tbl_chests[datetime],"&lt;"&amp;TODAY()-WEEKDAY(TODAY(),2)+8)))</f>
        <v>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 ht="15.75" customHeight="1" x14ac:dyDescent="0.25">
      <c r="A58" s="34" t="str">
        <f>chests_counter!$H55</f>
        <v>ROD</v>
      </c>
      <c r="B58" s="35" cm="1">
        <f t="array" aca="1" ref="B58" ca="1">IF(A58&lt;&gt;"", SUMPRODUCT(($C$2:$AM$2&lt;&gt;0)*(C58:AM58&lt;&gt;0)*($C$2:$AM$2)*(C58:AM58)), "")</f>
        <v>180</v>
      </c>
      <c r="C58" s="36">
        <f ca="1">IF($A58="","",IF(C$1="","",COUNTIFS(tbl_chests[from],$A58,tbl_chests[legalized],C$1,tbl_chests[datetime],"&gt;="&amp;TODAY()-WEEKDAY(TODAY(),2)+1,tbl_chests[datetime],"&lt;"&amp;TODAY()-WEEKDAY(TODAY(),2)+8)))</f>
        <v>1</v>
      </c>
      <c r="D58" s="36">
        <f ca="1">IF($A58="","",IF(D$1="","",COUNTIFS(tbl_chests[from],$A58,tbl_chests[legalized],D$1,tbl_chests[datetime],"&gt;="&amp;TODAY()-WEEKDAY(TODAY(),2)+1,tbl_chests[datetime],"&lt;"&amp;TODAY()-WEEKDAY(TODAY(),2)+8)))</f>
        <v>4</v>
      </c>
      <c r="E58" s="36">
        <f ca="1">IF($A58="","",IF(E$1="","",COUNTIFS(tbl_chests[from],$A58,tbl_chests[legalized],E$1,tbl_chests[datetime],"&gt;="&amp;TODAY()-WEEKDAY(TODAY(),2)+1,tbl_chests[datetime],"&lt;"&amp;TODAY()-WEEKDAY(TODAY(),2)+8)))</f>
        <v>2</v>
      </c>
      <c r="F58" s="36">
        <f ca="1">IF($A58="","",IF(F$1="","",COUNTIFS(tbl_chests[from],$A58,tbl_chests[legalized],F$1,tbl_chests[datetime],"&gt;="&amp;TODAY()-WEEKDAY(TODAY(),2)+1,tbl_chests[datetime],"&lt;"&amp;TODAY()-WEEKDAY(TODAY(),2)+8)))</f>
        <v>0</v>
      </c>
      <c r="G58" s="36">
        <f ca="1">IF($A58="","",IF(G$1="","",COUNTIFS(tbl_chests[from],$A58,tbl_chests[legalized],G$1,tbl_chests[datetime],"&gt;="&amp;TODAY()-WEEKDAY(TODAY(),2)+1,tbl_chests[datetime],"&lt;"&amp;TODAY()-WEEKDAY(TODAY(),2)+8)))</f>
        <v>0</v>
      </c>
      <c r="H58" s="36">
        <f ca="1">IF($A58="","",IF(H$1="","",COUNTIFS(tbl_chests[from],$A58,tbl_chests[legalized],H$1,tbl_chests[datetime],"&gt;="&amp;TODAY()-WEEKDAY(TODAY(),2)+1,tbl_chests[datetime],"&lt;"&amp;TODAY()-WEEKDAY(TODAY(),2)+8)))</f>
        <v>0</v>
      </c>
      <c r="I58" s="36">
        <f ca="1">IF($A58="","",IF(I$1="","",COUNTIFS(tbl_chests[from],$A58,tbl_chests[legalized],I$1,tbl_chests[datetime],"&gt;="&amp;TODAY()-WEEKDAY(TODAY(),2)+1,tbl_chests[datetime],"&lt;"&amp;TODAY()-WEEKDAY(TODAY(),2)+8)))</f>
        <v>0</v>
      </c>
      <c r="J58" s="36">
        <f ca="1">IF($A58="","",IF(J$1="","",COUNTIFS(tbl_chests[from],$A58,tbl_chests[legalized],J$1,tbl_chests[datetime],"&gt;="&amp;TODAY()-WEEKDAY(TODAY(),2)+1,tbl_chests[datetime],"&lt;"&amp;TODAY()-WEEKDAY(TODAY(),2)+8)))</f>
        <v>0</v>
      </c>
      <c r="K58" s="36">
        <f ca="1">IF($A58="","",IF(K$1="","",COUNTIFS(tbl_chests[from],$A58,tbl_chests[legalized],K$1,tbl_chests[datetime],"&gt;="&amp;TODAY()-WEEKDAY(TODAY(),2)+1,tbl_chests[datetime],"&lt;"&amp;TODAY()-WEEKDAY(TODAY(),2)+8)))</f>
        <v>0</v>
      </c>
      <c r="L58" s="36">
        <f ca="1">IF($A58="","",IF(L$1="","",COUNTIFS(tbl_chests[from],$A58,tbl_chests[legalized],L$1,tbl_chests[datetime],"&gt;="&amp;TODAY()-WEEKDAY(TODAY(),2)+1,tbl_chests[datetime],"&lt;"&amp;TODAY()-WEEKDAY(TODAY(),2)+8)))</f>
        <v>0</v>
      </c>
      <c r="M58" s="36">
        <f ca="1">IF($A58="","",IF(M$1="","",COUNTIFS(tbl_chests[from],$A58,tbl_chests[legalized],M$1,tbl_chests[datetime],"&gt;="&amp;TODAY()-WEEKDAY(TODAY(),2)+1,tbl_chests[datetime],"&lt;"&amp;TODAY()-WEEKDAY(TODAY(),2)+8)))</f>
        <v>1</v>
      </c>
      <c r="N58" s="36">
        <f ca="1">IF($A58="","",IF(N$1="","",COUNTIFS(tbl_chests[from],$A58,tbl_chests[legalized],N$1,tbl_chests[datetime],"&gt;="&amp;TODAY()-WEEKDAY(TODAY(),2)+1,tbl_chests[datetime],"&lt;"&amp;TODAY()-WEEKDAY(TODAY(),2)+8)))</f>
        <v>0</v>
      </c>
      <c r="O58" s="36">
        <f ca="1">IF($A58="","",IF(O$1="","",COUNTIFS(tbl_chests[from],$A58,tbl_chests[legalized],O$1,tbl_chests[datetime],"&gt;="&amp;TODAY()-WEEKDAY(TODAY(),2)+1,tbl_chests[datetime],"&lt;"&amp;TODAY()-WEEKDAY(TODAY(),2)+8)))</f>
        <v>0</v>
      </c>
      <c r="P58" s="36">
        <f ca="1">IF($A58="","",IF(P$1="","",COUNTIFS(tbl_chests[from],$A58,tbl_chests[legalized],P$1,tbl_chests[datetime],"&gt;="&amp;TODAY()-WEEKDAY(TODAY(),2)+1,tbl_chests[datetime],"&lt;"&amp;TODAY()-WEEKDAY(TODAY(),2)+8)))</f>
        <v>0</v>
      </c>
      <c r="Q58" s="36">
        <f ca="1">IF($A58="","",IF(Q$1="","",COUNTIFS(tbl_chests[from],$A58,tbl_chests[legalized],Q$1,tbl_chests[datetime],"&gt;="&amp;TODAY()-WEEKDAY(TODAY(),2)+1,tbl_chests[datetime],"&lt;"&amp;TODAY()-WEEKDAY(TODAY(),2)+8)))</f>
        <v>0</v>
      </c>
      <c r="R58" s="36">
        <f ca="1">IF($A58="","",IF(R$1="","",COUNTIFS(tbl_chests[from],$A58,tbl_chests[legalized],R$1,tbl_chests[datetime],"&gt;="&amp;TODAY()-WEEKDAY(TODAY(),2)+1,tbl_chests[datetime],"&lt;"&amp;TODAY()-WEEKDAY(TODAY(),2)+8)))</f>
        <v>0</v>
      </c>
      <c r="S58" s="36">
        <f ca="1">IF($A58="","",IF(S$1="","",COUNTIFS(tbl_chests[from],$A58,tbl_chests[legalized],S$1,tbl_chests[datetime],"&gt;="&amp;TODAY()-WEEKDAY(TODAY(),2)+1,tbl_chests[datetime],"&lt;"&amp;TODAY()-WEEKDAY(TODAY(),2)+8)))</f>
        <v>0</v>
      </c>
      <c r="T58" s="36">
        <f ca="1">IF($A58="","",IF(T$1="","",COUNTIFS(tbl_chests[from],$A58,tbl_chests[legalized],T$1,tbl_chests[datetime],"&gt;="&amp;TODAY()-WEEKDAY(TODAY(),2)+1,tbl_chests[datetime],"&lt;"&amp;TODAY()-WEEKDAY(TODAY(),2)+8)))</f>
        <v>0</v>
      </c>
      <c r="U58" s="36">
        <f ca="1">IF($A58="","",IF(U$1="","",COUNTIFS(tbl_chests[from],$A58,tbl_chests[legalized],U$1,tbl_chests[datetime],"&gt;="&amp;TODAY()-WEEKDAY(TODAY(),2)+1,tbl_chests[datetime],"&lt;"&amp;TODAY()-WEEKDAY(TODAY(),2)+8)))</f>
        <v>0</v>
      </c>
      <c r="V58" s="36">
        <f ca="1">IF($A58="","",IF(V$1="","",COUNTIFS(tbl_chests[from],$A58,tbl_chests[legalized],V$1,tbl_chests[datetime],"&gt;="&amp;TODAY()-WEEKDAY(TODAY(),2)+1,tbl_chests[datetime],"&lt;"&amp;TODAY()-WEEKDAY(TODAY(),2)+8)))</f>
        <v>0</v>
      </c>
      <c r="W58" s="36">
        <f ca="1">IF($A58="","",IF(W$1="","",COUNTIFS(tbl_chests[from],$A58,tbl_chests[legalized],W$1,tbl_chests[datetime],"&gt;="&amp;TODAY()-WEEKDAY(TODAY(),2)+1,tbl_chests[datetime],"&lt;"&amp;TODAY()-WEEKDAY(TODAY(),2)+8)))</f>
        <v>0</v>
      </c>
      <c r="X58" s="36">
        <f ca="1">IF($A58="","",IF(X$1="","",COUNTIFS(tbl_chests[from],$A58,tbl_chests[legalized],X$1,tbl_chests[datetime],"&gt;="&amp;TODAY()-WEEKDAY(TODAY(),2)+1,tbl_chests[datetime],"&lt;"&amp;TODAY()-WEEKDAY(TODAY(),2)+8)))</f>
        <v>0</v>
      </c>
      <c r="Y58" s="36">
        <f ca="1">IF($A58="","",IF(Y$1="","",COUNTIFS(tbl_chests[from],$A58,tbl_chests[legalized],Y$1,tbl_chests[datetime],"&gt;="&amp;TODAY()-WEEKDAY(TODAY(),2)+1,tbl_chests[datetime],"&lt;"&amp;TODAY()-WEEKDAY(TODAY(),2)+8)))</f>
        <v>0</v>
      </c>
      <c r="Z58" s="36">
        <f ca="1">IF($A58="","",IF(Z$1="","",COUNTIFS(tbl_chests[from],$A58,tbl_chests[legalized],Z$1,tbl_chests[datetime],"&gt;="&amp;TODAY()-WEEKDAY(TODAY(),2)+1,tbl_chests[datetime],"&lt;"&amp;TODAY()-WEEKDAY(TODAY(),2)+8)))</f>
        <v>0</v>
      </c>
      <c r="AA58" s="36">
        <f ca="1">IF($A58="","",IF(AA$1="","",COUNTIFS(tbl_chests[from],$A58,tbl_chests[legalized],AA$1,tbl_chests[datetime],"&gt;="&amp;TODAY()-WEEKDAY(TODAY(),2)+1,tbl_chests[datetime],"&lt;"&amp;TODAY()-WEEKDAY(TODAY(),2)+8)))</f>
        <v>0</v>
      </c>
      <c r="AB58" s="36">
        <f ca="1">IF($A58="","",IF(AB$1="","",COUNTIFS(tbl_chests[from],$A58,tbl_chests[legalized],AB$1,tbl_chests[datetime],"&gt;="&amp;TODAY()-WEEKDAY(TODAY(),2)+1,tbl_chests[datetime],"&lt;"&amp;TODAY()-WEEKDAY(TODAY(),2)+8)))</f>
        <v>0</v>
      </c>
      <c r="AC58" s="36">
        <f ca="1">IF($A58="","",IF(AC$1="","",COUNTIFS(tbl_chests[from],$A58,tbl_chests[legalized],AC$1,tbl_chests[datetime],"&gt;="&amp;TODAY()-WEEKDAY(TODAY(),2)+1,tbl_chests[datetime],"&lt;"&amp;TODAY()-WEEKDAY(TODAY(),2)+8)))</f>
        <v>0</v>
      </c>
      <c r="AD58" s="36">
        <f ca="1">IF($A58="","",IF(AD$1="","",COUNTIFS(tbl_chests[from],$A58,tbl_chests[legalized],AD$1,tbl_chests[datetime],"&gt;="&amp;TODAY()-WEEKDAY(TODAY(),2)+1,tbl_chests[datetime],"&lt;"&amp;TODAY()-WEEKDAY(TODAY(),2)+8)))</f>
        <v>0</v>
      </c>
      <c r="AE58" s="36">
        <f ca="1">IF($A58="","",IF(AE$1="","",COUNTIFS(tbl_chests[from],$A58,tbl_chests[legalized],AE$1,tbl_chests[datetime],"&gt;="&amp;TODAY()-WEEKDAY(TODAY(),2)+1,tbl_chests[datetime],"&lt;"&amp;TODAY()-WEEKDAY(TODAY(),2)+8)))</f>
        <v>0</v>
      </c>
      <c r="AF58" s="36">
        <f ca="1">IF($A58="","",IF(AF$1="","",COUNTIFS(tbl_chests[from],$A58,tbl_chests[legalized],AF$1,tbl_chests[datetime],"&gt;="&amp;TODAY()-WEEKDAY(TODAY(),2)+1,tbl_chests[datetime],"&lt;"&amp;TODAY()-WEEKDAY(TODAY(),2)+8)))</f>
        <v>0</v>
      </c>
      <c r="AG58" s="36">
        <f ca="1">IF($A58="","",IF(AG$1="","",COUNTIFS(tbl_chests[from],$A58,tbl_chests[legalized],AG$1,tbl_chests[datetime],"&gt;="&amp;TODAY()-WEEKDAY(TODAY(),2)+1,tbl_chests[datetime],"&lt;"&amp;TODAY()-WEEKDAY(TODAY(),2)+8)))</f>
        <v>0</v>
      </c>
      <c r="AH58" s="36">
        <f ca="1">IF($A58="","",IF(AH$1="","",COUNTIFS(tbl_chests[from],$A58,tbl_chests[legalized],AH$1,tbl_chests[datetime],"&gt;="&amp;TODAY()-WEEKDAY(TODAY(),2)+1,tbl_chests[datetime],"&lt;"&amp;TODAY()-WEEKDAY(TODAY(),2)+8)))</f>
        <v>0</v>
      </c>
      <c r="AI58" s="36">
        <f ca="1">IF($A58="","",IF(AI$1="","",COUNTIFS(tbl_chests[from],$A58,tbl_chests[legalized],AI$1,tbl_chests[datetime],"&gt;="&amp;TODAY()-WEEKDAY(TODAY(),2)+1,tbl_chests[datetime],"&lt;"&amp;TODAY()-WEEKDAY(TODAY(),2)+8)))</f>
        <v>0</v>
      </c>
      <c r="AJ58" s="36">
        <f ca="1">IF($A58="","",IF(AJ$1="","",COUNTIFS(tbl_chests[from],$A58,tbl_chests[legalized],AJ$1,tbl_chests[datetime],"&gt;="&amp;TODAY()-WEEKDAY(TODAY(),2)+1,tbl_chests[datetime],"&lt;"&amp;TODAY()-WEEKDAY(TODAY(),2)+8)))</f>
        <v>0</v>
      </c>
      <c r="AK58" s="36">
        <f ca="1">IF($A58="","",IF(AK$1="","",COUNTIFS(tbl_chests[from],$A58,tbl_chests[legalized],AK$1,tbl_chests[datetime],"&gt;="&amp;TODAY()-WEEKDAY(TODAY(),2)+1,tbl_chests[datetime],"&lt;"&amp;TODAY()-WEEKDAY(TODAY(),2)+8)))</f>
        <v>0</v>
      </c>
      <c r="AL58" s="36">
        <f ca="1">IF($A58="","",IF(AL$1="","",COUNTIFS(tbl_chests[from],$A58,tbl_chests[legalized],AL$1,tbl_chests[datetime],"&gt;="&amp;TODAY()-WEEKDAY(TODAY(),2)+1,tbl_chests[datetime],"&lt;"&amp;TODAY()-WEEKDAY(TODAY(),2)+8)))</f>
        <v>0</v>
      </c>
      <c r="AM58" s="37">
        <f ca="1">IF($A58="","",IF(AM$1="","",COUNTIFS(tbl_chests[from],$A58,tbl_chests[legalized],AM$1,tbl_chests[datetime],"&gt;="&amp;TODAY()-WEEKDAY(TODAY(),2)+1,tbl_chests[datetime],"&lt;"&amp;TODAY()-WEEKDAY(TODAY(),2)+8)))</f>
        <v>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 t="str">
        <f>IF($A58 = "","",IF(BF$1 = "","",COUNTIFS(#REF!,$A58,#REF!,BF$1)))</f>
        <v/>
      </c>
      <c r="BG58" s="5" t="str">
        <f>IF($A58 = "","",IF(BG$1 = "","",COUNTIFS(#REF!,$A58,#REF!,BG$1)))</f>
        <v/>
      </c>
      <c r="BH58" s="5" t="str">
        <f>IF($A58 = "","",IF(BH$1 = "","",COUNTIFS(#REF!,$A58,#REF!,BH$1)))</f>
        <v/>
      </c>
      <c r="BI58" s="5" t="str">
        <f>IF($A58 = "","",IF(BI$1 = "","",COUNTIFS(#REF!,$A58,#REF!,BI$1)))</f>
        <v/>
      </c>
      <c r="BJ58" s="5" t="str">
        <f>IF($A58 = "","",IF(BJ$1 = "","",COUNTIFS(#REF!,$A58,#REF!,BJ$1)))</f>
        <v/>
      </c>
      <c r="BK58" s="5" t="str">
        <f>IF($A58 = "","",IF(BK$1 = "","",COUNTIFS(#REF!,$A58,#REF!,BK$1)))</f>
        <v/>
      </c>
      <c r="BL58" s="5" t="str">
        <f>IF($A58 = "","",IF(BL$1 = "","",COUNTIFS(#REF!,$A58,#REF!,BL$1)))</f>
        <v/>
      </c>
      <c r="BM58" s="5" t="str">
        <f>IF($A58 = "","",IF(BM$1 = "","",COUNTIFS(#REF!,$A58,#REF!,BM$1)))</f>
        <v/>
      </c>
      <c r="BN58" s="5" t="str">
        <f>IF($A58 = "","",IF(BN$1 = "","",COUNTIFS(#REF!,$A58,#REF!,BN$1)))</f>
        <v/>
      </c>
      <c r="BO58" s="5" t="str">
        <f>IF($A58 = "","",IF(BO$1 = "","",COUNTIFS(#REF!,$A58,#REF!,BO$1)))</f>
        <v/>
      </c>
    </row>
    <row r="59" spans="1:67" ht="15.75" customHeight="1" x14ac:dyDescent="0.25">
      <c r="A59" s="34" t="str">
        <f>chests_counter!$H56</f>
        <v>Rooster</v>
      </c>
      <c r="B59" s="35" cm="1">
        <f t="array" aca="1" ref="B59" ca="1">IF(A59&lt;&gt;"", SUMPRODUCT(($C$2:$AM$2&lt;&gt;0)*(C59:AM59&lt;&gt;0)*($C$2:$AM$2)*(C59:AM59)), "")</f>
        <v>1395</v>
      </c>
      <c r="C59" s="36">
        <f ca="1">IF($A59="","",IF(C$1="","",COUNTIFS(tbl_chests[from],$A59,tbl_chests[legalized],C$1,tbl_chests[datetime],"&gt;="&amp;TODAY()-WEEKDAY(TODAY(),2)+1,tbl_chests[datetime],"&lt;"&amp;TODAY()-WEEKDAY(TODAY(),2)+8)))</f>
        <v>66</v>
      </c>
      <c r="D59" s="36">
        <f ca="1">IF($A59="","",IF(D$1="","",COUNTIFS(tbl_chests[from],$A59,tbl_chests[legalized],D$1,tbl_chests[datetime],"&gt;="&amp;TODAY()-WEEKDAY(TODAY(),2)+1,tbl_chests[datetime],"&lt;"&amp;TODAY()-WEEKDAY(TODAY(),2)+8)))</f>
        <v>28</v>
      </c>
      <c r="E59" s="36">
        <f ca="1">IF($A59="","",IF(E$1="","",COUNTIFS(tbl_chests[from],$A59,tbl_chests[legalized],E$1,tbl_chests[datetime],"&gt;="&amp;TODAY()-WEEKDAY(TODAY(),2)+1,tbl_chests[datetime],"&lt;"&amp;TODAY()-WEEKDAY(TODAY(),2)+8)))</f>
        <v>0</v>
      </c>
      <c r="F59" s="36">
        <f ca="1">IF($A59="","",IF(F$1="","",COUNTIFS(tbl_chests[from],$A59,tbl_chests[legalized],F$1,tbl_chests[datetime],"&gt;="&amp;TODAY()-WEEKDAY(TODAY(),2)+1,tbl_chests[datetime],"&lt;"&amp;TODAY()-WEEKDAY(TODAY(),2)+8)))</f>
        <v>0</v>
      </c>
      <c r="G59" s="36">
        <f ca="1">IF($A59="","",IF(G$1="","",COUNTIFS(tbl_chests[from],$A59,tbl_chests[legalized],G$1,tbl_chests[datetime],"&gt;="&amp;TODAY()-WEEKDAY(TODAY(),2)+1,tbl_chests[datetime],"&lt;"&amp;TODAY()-WEEKDAY(TODAY(),2)+8)))</f>
        <v>0</v>
      </c>
      <c r="H59" s="36">
        <f ca="1">IF($A59="","",IF(H$1="","",COUNTIFS(tbl_chests[from],$A59,tbl_chests[legalized],H$1,tbl_chests[datetime],"&gt;="&amp;TODAY()-WEEKDAY(TODAY(),2)+1,tbl_chests[datetime],"&lt;"&amp;TODAY()-WEEKDAY(TODAY(),2)+8)))</f>
        <v>1</v>
      </c>
      <c r="I59" s="36">
        <f ca="1">IF($A59="","",IF(I$1="","",COUNTIFS(tbl_chests[from],$A59,tbl_chests[legalized],I$1,tbl_chests[datetime],"&gt;="&amp;TODAY()-WEEKDAY(TODAY(),2)+1,tbl_chests[datetime],"&lt;"&amp;TODAY()-WEEKDAY(TODAY(),2)+8)))</f>
        <v>0</v>
      </c>
      <c r="J59" s="36">
        <f ca="1">IF($A59="","",IF(J$1="","",COUNTIFS(tbl_chests[from],$A59,tbl_chests[legalized],J$1,tbl_chests[datetime],"&gt;="&amp;TODAY()-WEEKDAY(TODAY(),2)+1,tbl_chests[datetime],"&lt;"&amp;TODAY()-WEEKDAY(TODAY(),2)+8)))</f>
        <v>0</v>
      </c>
      <c r="K59" s="36">
        <f ca="1">IF($A59="","",IF(K$1="","",COUNTIFS(tbl_chests[from],$A59,tbl_chests[legalized],K$1,tbl_chests[datetime],"&gt;="&amp;TODAY()-WEEKDAY(TODAY(),2)+1,tbl_chests[datetime],"&lt;"&amp;TODAY()-WEEKDAY(TODAY(),2)+8)))</f>
        <v>0</v>
      </c>
      <c r="L59" s="36">
        <f ca="1">IF($A59="","",IF(L$1="","",COUNTIFS(tbl_chests[from],$A59,tbl_chests[legalized],L$1,tbl_chests[datetime],"&gt;="&amp;TODAY()-WEEKDAY(TODAY(),2)+1,tbl_chests[datetime],"&lt;"&amp;TODAY()-WEEKDAY(TODAY(),2)+8)))</f>
        <v>0</v>
      </c>
      <c r="M59" s="36">
        <f ca="1">IF($A59="","",IF(M$1="","",COUNTIFS(tbl_chests[from],$A59,tbl_chests[legalized],M$1,tbl_chests[datetime],"&gt;="&amp;TODAY()-WEEKDAY(TODAY(),2)+1,tbl_chests[datetime],"&lt;"&amp;TODAY()-WEEKDAY(TODAY(),2)+8)))</f>
        <v>0</v>
      </c>
      <c r="N59" s="36">
        <f ca="1">IF($A59="","",IF(N$1="","",COUNTIFS(tbl_chests[from],$A59,tbl_chests[legalized],N$1,tbl_chests[datetime],"&gt;="&amp;TODAY()-WEEKDAY(TODAY(),2)+1,tbl_chests[datetime],"&lt;"&amp;TODAY()-WEEKDAY(TODAY(),2)+8)))</f>
        <v>0</v>
      </c>
      <c r="O59" s="36">
        <f ca="1">IF($A59="","",IF(O$1="","",COUNTIFS(tbl_chests[from],$A59,tbl_chests[legalized],O$1,tbl_chests[datetime],"&gt;="&amp;TODAY()-WEEKDAY(TODAY(),2)+1,tbl_chests[datetime],"&lt;"&amp;TODAY()-WEEKDAY(TODAY(),2)+8)))</f>
        <v>0</v>
      </c>
      <c r="P59" s="36">
        <f ca="1">IF($A59="","",IF(P$1="","",COUNTIFS(tbl_chests[from],$A59,tbl_chests[legalized],P$1,tbl_chests[datetime],"&gt;="&amp;TODAY()-WEEKDAY(TODAY(),2)+1,tbl_chests[datetime],"&lt;"&amp;TODAY()-WEEKDAY(TODAY(),2)+8)))</f>
        <v>0</v>
      </c>
      <c r="Q59" s="36">
        <f ca="1">IF($A59="","",IF(Q$1="","",COUNTIFS(tbl_chests[from],$A59,tbl_chests[legalized],Q$1,tbl_chests[datetime],"&gt;="&amp;TODAY()-WEEKDAY(TODAY(),2)+1,tbl_chests[datetime],"&lt;"&amp;TODAY()-WEEKDAY(TODAY(),2)+8)))</f>
        <v>0</v>
      </c>
      <c r="R59" s="36">
        <f ca="1">IF($A59="","",IF(R$1="","",COUNTIFS(tbl_chests[from],$A59,tbl_chests[legalized],R$1,tbl_chests[datetime],"&gt;="&amp;TODAY()-WEEKDAY(TODAY(),2)+1,tbl_chests[datetime],"&lt;"&amp;TODAY()-WEEKDAY(TODAY(),2)+8)))</f>
        <v>1</v>
      </c>
      <c r="S59" s="36">
        <f ca="1">IF($A59="","",IF(S$1="","",COUNTIFS(tbl_chests[from],$A59,tbl_chests[legalized],S$1,tbl_chests[datetime],"&gt;="&amp;TODAY()-WEEKDAY(TODAY(),2)+1,tbl_chests[datetime],"&lt;"&amp;TODAY()-WEEKDAY(TODAY(),2)+8)))</f>
        <v>0</v>
      </c>
      <c r="T59" s="36">
        <f ca="1">IF($A59="","",IF(T$1="","",COUNTIFS(tbl_chests[from],$A59,tbl_chests[legalized],T$1,tbl_chests[datetime],"&gt;="&amp;TODAY()-WEEKDAY(TODAY(),2)+1,tbl_chests[datetime],"&lt;"&amp;TODAY()-WEEKDAY(TODAY(),2)+8)))</f>
        <v>0</v>
      </c>
      <c r="U59" s="36">
        <f ca="1">IF($A59="","",IF(U$1="","",COUNTIFS(tbl_chests[from],$A59,tbl_chests[legalized],U$1,tbl_chests[datetime],"&gt;="&amp;TODAY()-WEEKDAY(TODAY(),2)+1,tbl_chests[datetime],"&lt;"&amp;TODAY()-WEEKDAY(TODAY(),2)+8)))</f>
        <v>0</v>
      </c>
      <c r="V59" s="36">
        <f ca="1">IF($A59="","",IF(V$1="","",COUNTIFS(tbl_chests[from],$A59,tbl_chests[legalized],V$1,tbl_chests[datetime],"&gt;="&amp;TODAY()-WEEKDAY(TODAY(),2)+1,tbl_chests[datetime],"&lt;"&amp;TODAY()-WEEKDAY(TODAY(),2)+8)))</f>
        <v>0</v>
      </c>
      <c r="W59" s="36">
        <f ca="1">IF($A59="","",IF(W$1="","",COUNTIFS(tbl_chests[from],$A59,tbl_chests[legalized],W$1,tbl_chests[datetime],"&gt;="&amp;TODAY()-WEEKDAY(TODAY(),2)+1,tbl_chests[datetime],"&lt;"&amp;TODAY()-WEEKDAY(TODAY(),2)+8)))</f>
        <v>0</v>
      </c>
      <c r="X59" s="36">
        <f ca="1">IF($A59="","",IF(X$1="","",COUNTIFS(tbl_chests[from],$A59,tbl_chests[legalized],X$1,tbl_chests[datetime],"&gt;="&amp;TODAY()-WEEKDAY(TODAY(),2)+1,tbl_chests[datetime],"&lt;"&amp;TODAY()-WEEKDAY(TODAY(),2)+8)))</f>
        <v>0</v>
      </c>
      <c r="Y59" s="36">
        <f ca="1">IF($A59="","",IF(Y$1="","",COUNTIFS(tbl_chests[from],$A59,tbl_chests[legalized],Y$1,tbl_chests[datetime],"&gt;="&amp;TODAY()-WEEKDAY(TODAY(),2)+1,tbl_chests[datetime],"&lt;"&amp;TODAY()-WEEKDAY(TODAY(),2)+8)))</f>
        <v>0</v>
      </c>
      <c r="Z59" s="36">
        <f ca="1">IF($A59="","",IF(Z$1="","",COUNTIFS(tbl_chests[from],$A59,tbl_chests[legalized],Z$1,tbl_chests[datetime],"&gt;="&amp;TODAY()-WEEKDAY(TODAY(),2)+1,tbl_chests[datetime],"&lt;"&amp;TODAY()-WEEKDAY(TODAY(),2)+8)))</f>
        <v>0</v>
      </c>
      <c r="AA59" s="36">
        <f ca="1">IF($A59="","",IF(AA$1="","",COUNTIFS(tbl_chests[from],$A59,tbl_chests[legalized],AA$1,tbl_chests[datetime],"&gt;="&amp;TODAY()-WEEKDAY(TODAY(),2)+1,tbl_chests[datetime],"&lt;"&amp;TODAY()-WEEKDAY(TODAY(),2)+8)))</f>
        <v>3</v>
      </c>
      <c r="AB59" s="36">
        <f ca="1">IF($A59="","",IF(AB$1="","",COUNTIFS(tbl_chests[from],$A59,tbl_chests[legalized],AB$1,tbl_chests[datetime],"&gt;="&amp;TODAY()-WEEKDAY(TODAY(),2)+1,tbl_chests[datetime],"&lt;"&amp;TODAY()-WEEKDAY(TODAY(),2)+8)))</f>
        <v>0</v>
      </c>
      <c r="AC59" s="36">
        <f ca="1">IF($A59="","",IF(AC$1="","",COUNTIFS(tbl_chests[from],$A59,tbl_chests[legalized],AC$1,tbl_chests[datetime],"&gt;="&amp;TODAY()-WEEKDAY(TODAY(),2)+1,tbl_chests[datetime],"&lt;"&amp;TODAY()-WEEKDAY(TODAY(),2)+8)))</f>
        <v>0</v>
      </c>
      <c r="AD59" s="36">
        <f ca="1">IF($A59="","",IF(AD$1="","",COUNTIFS(tbl_chests[from],$A59,tbl_chests[legalized],AD$1,tbl_chests[datetime],"&gt;="&amp;TODAY()-WEEKDAY(TODAY(),2)+1,tbl_chests[datetime],"&lt;"&amp;TODAY()-WEEKDAY(TODAY(),2)+8)))</f>
        <v>0</v>
      </c>
      <c r="AE59" s="36">
        <f ca="1">IF($A59="","",IF(AE$1="","",COUNTIFS(tbl_chests[from],$A59,tbl_chests[legalized],AE$1,tbl_chests[datetime],"&gt;="&amp;TODAY()-WEEKDAY(TODAY(),2)+1,tbl_chests[datetime],"&lt;"&amp;TODAY()-WEEKDAY(TODAY(),2)+8)))</f>
        <v>7</v>
      </c>
      <c r="AF59" s="36">
        <f ca="1">IF($A59="","",IF(AF$1="","",COUNTIFS(tbl_chests[from],$A59,tbl_chests[legalized],AF$1,tbl_chests[datetime],"&gt;="&amp;TODAY()-WEEKDAY(TODAY(),2)+1,tbl_chests[datetime],"&lt;"&amp;TODAY()-WEEKDAY(TODAY(),2)+8)))</f>
        <v>0</v>
      </c>
      <c r="AG59" s="36">
        <f ca="1">IF($A59="","",IF(AG$1="","",COUNTIFS(tbl_chests[from],$A59,tbl_chests[legalized],AG$1,tbl_chests[datetime],"&gt;="&amp;TODAY()-WEEKDAY(TODAY(),2)+1,tbl_chests[datetime],"&lt;"&amp;TODAY()-WEEKDAY(TODAY(),2)+8)))</f>
        <v>0</v>
      </c>
      <c r="AH59" s="36">
        <f ca="1">IF($A59="","",IF(AH$1="","",COUNTIFS(tbl_chests[from],$A59,tbl_chests[legalized],AH$1,tbl_chests[datetime],"&gt;="&amp;TODAY()-WEEKDAY(TODAY(),2)+1,tbl_chests[datetime],"&lt;"&amp;TODAY()-WEEKDAY(TODAY(),2)+8)))</f>
        <v>0</v>
      </c>
      <c r="AI59" s="36">
        <f ca="1">IF($A59="","",IF(AI$1="","",COUNTIFS(tbl_chests[from],$A59,tbl_chests[legalized],AI$1,tbl_chests[datetime],"&gt;="&amp;TODAY()-WEEKDAY(TODAY(),2)+1,tbl_chests[datetime],"&lt;"&amp;TODAY()-WEEKDAY(TODAY(),2)+8)))</f>
        <v>0</v>
      </c>
      <c r="AJ59" s="36">
        <f ca="1">IF($A59="","",IF(AJ$1="","",COUNTIFS(tbl_chests[from],$A59,tbl_chests[legalized],AJ$1,tbl_chests[datetime],"&gt;="&amp;TODAY()-WEEKDAY(TODAY(),2)+1,tbl_chests[datetime],"&lt;"&amp;TODAY()-WEEKDAY(TODAY(),2)+8)))</f>
        <v>0</v>
      </c>
      <c r="AK59" s="36">
        <f ca="1">IF($A59="","",IF(AK$1="","",COUNTIFS(tbl_chests[from],$A59,tbl_chests[legalized],AK$1,tbl_chests[datetime],"&gt;="&amp;TODAY()-WEEKDAY(TODAY(),2)+1,tbl_chests[datetime],"&lt;"&amp;TODAY()-WEEKDAY(TODAY(),2)+8)))</f>
        <v>0</v>
      </c>
      <c r="AL59" s="36">
        <f ca="1">IF($A59="","",IF(AL$1="","",COUNTIFS(tbl_chests[from],$A59,tbl_chests[legalized],AL$1,tbl_chests[datetime],"&gt;="&amp;TODAY()-WEEKDAY(TODAY(),2)+1,tbl_chests[datetime],"&lt;"&amp;TODAY()-WEEKDAY(TODAY(),2)+8)))</f>
        <v>0</v>
      </c>
      <c r="AM59" s="37">
        <f ca="1">IF($A59="","",IF(AM$1="","",COUNTIFS(tbl_chests[from],$A59,tbl_chests[legalized],AM$1,tbl_chests[datetime],"&gt;="&amp;TODAY()-WEEKDAY(TODAY(),2)+1,tbl_chests[datetime],"&lt;"&amp;TODAY()-WEEKDAY(TODAY(),2)+8)))</f>
        <v>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 ht="15.75" customHeight="1" x14ac:dyDescent="0.25">
      <c r="A60" s="34" t="str">
        <f>chests_counter!$H57</f>
        <v>SalahTime</v>
      </c>
      <c r="B60" s="35" cm="1">
        <f t="array" aca="1" ref="B60" ca="1">IF(A60&lt;&gt;"", SUMPRODUCT(($C$2:$AM$2&lt;&gt;0)*(C60:AM60&lt;&gt;0)*($C$2:$AM$2)*(C60:AM60)), "")</f>
        <v>530</v>
      </c>
      <c r="C60" s="36">
        <f ca="1">IF($A60="","",IF(C$1="","",COUNTIFS(tbl_chests[from],$A60,tbl_chests[legalized],C$1,tbl_chests[datetime],"&gt;="&amp;TODAY()-WEEKDAY(TODAY(),2)+1,tbl_chests[datetime],"&lt;"&amp;TODAY()-WEEKDAY(TODAY(),2)+8)))</f>
        <v>1</v>
      </c>
      <c r="D60" s="36">
        <f ca="1">IF($A60="","",IF(D$1="","",COUNTIFS(tbl_chests[from],$A60,tbl_chests[legalized],D$1,tbl_chests[datetime],"&gt;="&amp;TODAY()-WEEKDAY(TODAY(),2)+1,tbl_chests[datetime],"&lt;"&amp;TODAY()-WEEKDAY(TODAY(),2)+8)))</f>
        <v>4</v>
      </c>
      <c r="E60" s="36">
        <f ca="1">IF($A60="","",IF(E$1="","",COUNTIFS(tbl_chests[from],$A60,tbl_chests[legalized],E$1,tbl_chests[datetime],"&gt;="&amp;TODAY()-WEEKDAY(TODAY(),2)+1,tbl_chests[datetime],"&lt;"&amp;TODAY()-WEEKDAY(TODAY(),2)+8)))</f>
        <v>1</v>
      </c>
      <c r="F60" s="36">
        <f ca="1">IF($A60="","",IF(F$1="","",COUNTIFS(tbl_chests[from],$A60,tbl_chests[legalized],F$1,tbl_chests[datetime],"&gt;="&amp;TODAY()-WEEKDAY(TODAY(),2)+1,tbl_chests[datetime],"&lt;"&amp;TODAY()-WEEKDAY(TODAY(),2)+8)))</f>
        <v>0</v>
      </c>
      <c r="G60" s="36">
        <f ca="1">IF($A60="","",IF(G$1="","",COUNTIFS(tbl_chests[from],$A60,tbl_chests[legalized],G$1,tbl_chests[datetime],"&gt;="&amp;TODAY()-WEEKDAY(TODAY(),2)+1,tbl_chests[datetime],"&lt;"&amp;TODAY()-WEEKDAY(TODAY(),2)+8)))</f>
        <v>0</v>
      </c>
      <c r="H60" s="36">
        <f ca="1">IF($A60="","",IF(H$1="","",COUNTIFS(tbl_chests[from],$A60,tbl_chests[legalized],H$1,tbl_chests[datetime],"&gt;="&amp;TODAY()-WEEKDAY(TODAY(),2)+1,tbl_chests[datetime],"&lt;"&amp;TODAY()-WEEKDAY(TODAY(),2)+8)))</f>
        <v>1</v>
      </c>
      <c r="I60" s="36">
        <f ca="1">IF($A60="","",IF(I$1="","",COUNTIFS(tbl_chests[from],$A60,tbl_chests[legalized],I$1,tbl_chests[datetime],"&gt;="&amp;TODAY()-WEEKDAY(TODAY(),2)+1,tbl_chests[datetime],"&lt;"&amp;TODAY()-WEEKDAY(TODAY(),2)+8)))</f>
        <v>0</v>
      </c>
      <c r="J60" s="36">
        <f ca="1">IF($A60="","",IF(J$1="","",COUNTIFS(tbl_chests[from],$A60,tbl_chests[legalized],J$1,tbl_chests[datetime],"&gt;="&amp;TODAY()-WEEKDAY(TODAY(),2)+1,tbl_chests[datetime],"&lt;"&amp;TODAY()-WEEKDAY(TODAY(),2)+8)))</f>
        <v>0</v>
      </c>
      <c r="K60" s="36">
        <f ca="1">IF($A60="","",IF(K$1="","",COUNTIFS(tbl_chests[from],$A60,tbl_chests[legalized],K$1,tbl_chests[datetime],"&gt;="&amp;TODAY()-WEEKDAY(TODAY(),2)+1,tbl_chests[datetime],"&lt;"&amp;TODAY()-WEEKDAY(TODAY(),2)+8)))</f>
        <v>0</v>
      </c>
      <c r="L60" s="36">
        <f ca="1">IF($A60="","",IF(L$1="","",COUNTIFS(tbl_chests[from],$A60,tbl_chests[legalized],L$1,tbl_chests[datetime],"&gt;="&amp;TODAY()-WEEKDAY(TODAY(),2)+1,tbl_chests[datetime],"&lt;"&amp;TODAY()-WEEKDAY(TODAY(),2)+8)))</f>
        <v>0</v>
      </c>
      <c r="M60" s="36">
        <f ca="1">IF($A60="","",IF(M$1="","",COUNTIFS(tbl_chests[from],$A60,tbl_chests[legalized],M$1,tbl_chests[datetime],"&gt;="&amp;TODAY()-WEEKDAY(TODAY(),2)+1,tbl_chests[datetime],"&lt;"&amp;TODAY()-WEEKDAY(TODAY(),2)+8)))</f>
        <v>4</v>
      </c>
      <c r="N60" s="36">
        <f ca="1">IF($A60="","",IF(N$1="","",COUNTIFS(tbl_chests[from],$A60,tbl_chests[legalized],N$1,tbl_chests[datetime],"&gt;="&amp;TODAY()-WEEKDAY(TODAY(),2)+1,tbl_chests[datetime],"&lt;"&amp;TODAY()-WEEKDAY(TODAY(),2)+8)))</f>
        <v>0</v>
      </c>
      <c r="O60" s="36">
        <f ca="1">IF($A60="","",IF(O$1="","",COUNTIFS(tbl_chests[from],$A60,tbl_chests[legalized],O$1,tbl_chests[datetime],"&gt;="&amp;TODAY()-WEEKDAY(TODAY(),2)+1,tbl_chests[datetime],"&lt;"&amp;TODAY()-WEEKDAY(TODAY(),2)+8)))</f>
        <v>0</v>
      </c>
      <c r="P60" s="36">
        <f ca="1">IF($A60="","",IF(P$1="","",COUNTIFS(tbl_chests[from],$A60,tbl_chests[legalized],P$1,tbl_chests[datetime],"&gt;="&amp;TODAY()-WEEKDAY(TODAY(),2)+1,tbl_chests[datetime],"&lt;"&amp;TODAY()-WEEKDAY(TODAY(),2)+8)))</f>
        <v>0</v>
      </c>
      <c r="Q60" s="36">
        <f ca="1">IF($A60="","",IF(Q$1="","",COUNTIFS(tbl_chests[from],$A60,tbl_chests[legalized],Q$1,tbl_chests[datetime],"&gt;="&amp;TODAY()-WEEKDAY(TODAY(),2)+1,tbl_chests[datetime],"&lt;"&amp;TODAY()-WEEKDAY(TODAY(),2)+8)))</f>
        <v>0</v>
      </c>
      <c r="R60" s="36">
        <f ca="1">IF($A60="","",IF(R$1="","",COUNTIFS(tbl_chests[from],$A60,tbl_chests[legalized],R$1,tbl_chests[datetime],"&gt;="&amp;TODAY()-WEEKDAY(TODAY(),2)+1,tbl_chests[datetime],"&lt;"&amp;TODAY()-WEEKDAY(TODAY(),2)+8)))</f>
        <v>2</v>
      </c>
      <c r="S60" s="36">
        <f ca="1">IF($A60="","",IF(S$1="","",COUNTIFS(tbl_chests[from],$A60,tbl_chests[legalized],S$1,tbl_chests[datetime],"&gt;="&amp;TODAY()-WEEKDAY(TODAY(),2)+1,tbl_chests[datetime],"&lt;"&amp;TODAY()-WEEKDAY(TODAY(),2)+8)))</f>
        <v>0</v>
      </c>
      <c r="T60" s="36">
        <f ca="1">IF($A60="","",IF(T$1="","",COUNTIFS(tbl_chests[from],$A60,tbl_chests[legalized],T$1,tbl_chests[datetime],"&gt;="&amp;TODAY()-WEEKDAY(TODAY(),2)+1,tbl_chests[datetime],"&lt;"&amp;TODAY()-WEEKDAY(TODAY(),2)+8)))</f>
        <v>0</v>
      </c>
      <c r="U60" s="36">
        <f ca="1">IF($A60="","",IF(U$1="","",COUNTIFS(tbl_chests[from],$A60,tbl_chests[legalized],U$1,tbl_chests[datetime],"&gt;="&amp;TODAY()-WEEKDAY(TODAY(),2)+1,tbl_chests[datetime],"&lt;"&amp;TODAY()-WEEKDAY(TODAY(),2)+8)))</f>
        <v>0</v>
      </c>
      <c r="V60" s="36">
        <f ca="1">IF($A60="","",IF(V$1="","",COUNTIFS(tbl_chests[from],$A60,tbl_chests[legalized],V$1,tbl_chests[datetime],"&gt;="&amp;TODAY()-WEEKDAY(TODAY(),2)+1,tbl_chests[datetime],"&lt;"&amp;TODAY()-WEEKDAY(TODAY(),2)+8)))</f>
        <v>0</v>
      </c>
      <c r="W60" s="36">
        <f ca="1">IF($A60="","",IF(W$1="","",COUNTIFS(tbl_chests[from],$A60,tbl_chests[legalized],W$1,tbl_chests[datetime],"&gt;="&amp;TODAY()-WEEKDAY(TODAY(),2)+1,tbl_chests[datetime],"&lt;"&amp;TODAY()-WEEKDAY(TODAY(),2)+8)))</f>
        <v>0</v>
      </c>
      <c r="X60" s="36">
        <f ca="1">IF($A60="","",IF(X$1="","",COUNTIFS(tbl_chests[from],$A60,tbl_chests[legalized],X$1,tbl_chests[datetime],"&gt;="&amp;TODAY()-WEEKDAY(TODAY(),2)+1,tbl_chests[datetime],"&lt;"&amp;TODAY()-WEEKDAY(TODAY(),2)+8)))</f>
        <v>0</v>
      </c>
      <c r="Y60" s="36">
        <f ca="1">IF($A60="","",IF(Y$1="","",COUNTIFS(tbl_chests[from],$A60,tbl_chests[legalized],Y$1,tbl_chests[datetime],"&gt;="&amp;TODAY()-WEEKDAY(TODAY(),2)+1,tbl_chests[datetime],"&lt;"&amp;TODAY()-WEEKDAY(TODAY(),2)+8)))</f>
        <v>0</v>
      </c>
      <c r="Z60" s="36">
        <f ca="1">IF($A60="","",IF(Z$1="","",COUNTIFS(tbl_chests[from],$A60,tbl_chests[legalized],Z$1,tbl_chests[datetime],"&gt;="&amp;TODAY()-WEEKDAY(TODAY(),2)+1,tbl_chests[datetime],"&lt;"&amp;TODAY()-WEEKDAY(TODAY(),2)+8)))</f>
        <v>0</v>
      </c>
      <c r="AA60" s="36">
        <f ca="1">IF($A60="","",IF(AA$1="","",COUNTIFS(tbl_chests[from],$A60,tbl_chests[legalized],AA$1,tbl_chests[datetime],"&gt;="&amp;TODAY()-WEEKDAY(TODAY(),2)+1,tbl_chests[datetime],"&lt;"&amp;TODAY()-WEEKDAY(TODAY(),2)+8)))</f>
        <v>6</v>
      </c>
      <c r="AB60" s="36">
        <f ca="1">IF($A60="","",IF(AB$1="","",COUNTIFS(tbl_chests[from],$A60,tbl_chests[legalized],AB$1,tbl_chests[datetime],"&gt;="&amp;TODAY()-WEEKDAY(TODAY(),2)+1,tbl_chests[datetime],"&lt;"&amp;TODAY()-WEEKDAY(TODAY(),2)+8)))</f>
        <v>0</v>
      </c>
      <c r="AC60" s="36">
        <f ca="1">IF($A60="","",IF(AC$1="","",COUNTIFS(tbl_chests[from],$A60,tbl_chests[legalized],AC$1,tbl_chests[datetime],"&gt;="&amp;TODAY()-WEEKDAY(TODAY(),2)+1,tbl_chests[datetime],"&lt;"&amp;TODAY()-WEEKDAY(TODAY(),2)+8)))</f>
        <v>0</v>
      </c>
      <c r="AD60" s="36">
        <f ca="1">IF($A60="","",IF(AD$1="","",COUNTIFS(tbl_chests[from],$A60,tbl_chests[legalized],AD$1,tbl_chests[datetime],"&gt;="&amp;TODAY()-WEEKDAY(TODAY(),2)+1,tbl_chests[datetime],"&lt;"&amp;TODAY()-WEEKDAY(TODAY(),2)+8)))</f>
        <v>0</v>
      </c>
      <c r="AE60" s="36">
        <f ca="1">IF($A60="","",IF(AE$1="","",COUNTIFS(tbl_chests[from],$A60,tbl_chests[legalized],AE$1,tbl_chests[datetime],"&gt;="&amp;TODAY()-WEEKDAY(TODAY(),2)+1,tbl_chests[datetime],"&lt;"&amp;TODAY()-WEEKDAY(TODAY(),2)+8)))</f>
        <v>4</v>
      </c>
      <c r="AF60" s="36">
        <f ca="1">IF($A60="","",IF(AF$1="","",COUNTIFS(tbl_chests[from],$A60,tbl_chests[legalized],AF$1,tbl_chests[datetime],"&gt;="&amp;TODAY()-WEEKDAY(TODAY(),2)+1,tbl_chests[datetime],"&lt;"&amp;TODAY()-WEEKDAY(TODAY(),2)+8)))</f>
        <v>0</v>
      </c>
      <c r="AG60" s="36">
        <f ca="1">IF($A60="","",IF(AG$1="","",COUNTIFS(tbl_chests[from],$A60,tbl_chests[legalized],AG$1,tbl_chests[datetime],"&gt;="&amp;TODAY()-WEEKDAY(TODAY(),2)+1,tbl_chests[datetime],"&lt;"&amp;TODAY()-WEEKDAY(TODAY(),2)+8)))</f>
        <v>0</v>
      </c>
      <c r="AH60" s="36">
        <f ca="1">IF($A60="","",IF(AH$1="","",COUNTIFS(tbl_chests[from],$A60,tbl_chests[legalized],AH$1,tbl_chests[datetime],"&gt;="&amp;TODAY()-WEEKDAY(TODAY(),2)+1,tbl_chests[datetime],"&lt;"&amp;TODAY()-WEEKDAY(TODAY(),2)+8)))</f>
        <v>0</v>
      </c>
      <c r="AI60" s="36">
        <f ca="1">IF($A60="","",IF(AI$1="","",COUNTIFS(tbl_chests[from],$A60,tbl_chests[legalized],AI$1,tbl_chests[datetime],"&gt;="&amp;TODAY()-WEEKDAY(TODAY(),2)+1,tbl_chests[datetime],"&lt;"&amp;TODAY()-WEEKDAY(TODAY(),2)+8)))</f>
        <v>0</v>
      </c>
      <c r="AJ60" s="36">
        <f ca="1">IF($A60="","",IF(AJ$1="","",COUNTIFS(tbl_chests[from],$A60,tbl_chests[legalized],AJ$1,tbl_chests[datetime],"&gt;="&amp;TODAY()-WEEKDAY(TODAY(),2)+1,tbl_chests[datetime],"&lt;"&amp;TODAY()-WEEKDAY(TODAY(),2)+8)))</f>
        <v>0</v>
      </c>
      <c r="AK60" s="36">
        <f ca="1">IF($A60="","",IF(AK$1="","",COUNTIFS(tbl_chests[from],$A60,tbl_chests[legalized],AK$1,tbl_chests[datetime],"&gt;="&amp;TODAY()-WEEKDAY(TODAY(),2)+1,tbl_chests[datetime],"&lt;"&amp;TODAY()-WEEKDAY(TODAY(),2)+8)))</f>
        <v>0</v>
      </c>
      <c r="AL60" s="36">
        <f ca="1">IF($A60="","",IF(AL$1="","",COUNTIFS(tbl_chests[from],$A60,tbl_chests[legalized],AL$1,tbl_chests[datetime],"&gt;="&amp;TODAY()-WEEKDAY(TODAY(),2)+1,tbl_chests[datetime],"&lt;"&amp;TODAY()-WEEKDAY(TODAY(),2)+8)))</f>
        <v>0</v>
      </c>
      <c r="AM60" s="37">
        <f ca="1">IF($A60="","",IF(AM$1="","",COUNTIFS(tbl_chests[from],$A60,tbl_chests[legalized],AM$1,tbl_chests[datetime],"&gt;="&amp;TODAY()-WEEKDAY(TODAY(),2)+1,tbl_chests[datetime],"&lt;"&amp;TODAY()-WEEKDAY(TODAY(),2)+8)))</f>
        <v>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 ht="15.75" customHeight="1" x14ac:dyDescent="0.25">
      <c r="A61" s="34" t="str">
        <f>chests_counter!$H58</f>
        <v>sillovr</v>
      </c>
      <c r="B61" s="35" cm="1">
        <f t="array" aca="1" ref="B61" ca="1">IF(A61&lt;&gt;"", SUMPRODUCT(($C$2:$AM$2&lt;&gt;0)*(C61:AM61&lt;&gt;0)*($C$2:$AM$2)*(C61:AM61)), "")</f>
        <v>170</v>
      </c>
      <c r="C61" s="36">
        <f ca="1">IF($A61="","",IF(C$1="","",COUNTIFS(tbl_chests[from],$A61,tbl_chests[legalized],C$1,tbl_chests[datetime],"&gt;="&amp;TODAY()-WEEKDAY(TODAY(),2)+1,tbl_chests[datetime],"&lt;"&amp;TODAY()-WEEKDAY(TODAY(),2)+8)))</f>
        <v>6</v>
      </c>
      <c r="D61" s="36">
        <f ca="1">IF($A61="","",IF(D$1="","",COUNTIFS(tbl_chests[from],$A61,tbl_chests[legalized],D$1,tbl_chests[datetime],"&gt;="&amp;TODAY()-WEEKDAY(TODAY(),2)+1,tbl_chests[datetime],"&lt;"&amp;TODAY()-WEEKDAY(TODAY(),2)+8)))</f>
        <v>4</v>
      </c>
      <c r="E61" s="36">
        <f ca="1">IF($A61="","",IF(E$1="","",COUNTIFS(tbl_chests[from],$A61,tbl_chests[legalized],E$1,tbl_chests[datetime],"&gt;="&amp;TODAY()-WEEKDAY(TODAY(),2)+1,tbl_chests[datetime],"&lt;"&amp;TODAY()-WEEKDAY(TODAY(),2)+8)))</f>
        <v>1</v>
      </c>
      <c r="F61" s="36">
        <f ca="1">IF($A61="","",IF(F$1="","",COUNTIFS(tbl_chests[from],$A61,tbl_chests[legalized],F$1,tbl_chests[datetime],"&gt;="&amp;TODAY()-WEEKDAY(TODAY(),2)+1,tbl_chests[datetime],"&lt;"&amp;TODAY()-WEEKDAY(TODAY(),2)+8)))</f>
        <v>0</v>
      </c>
      <c r="G61" s="36">
        <f ca="1">IF($A61="","",IF(G$1="","",COUNTIFS(tbl_chests[from],$A61,tbl_chests[legalized],G$1,tbl_chests[datetime],"&gt;="&amp;TODAY()-WEEKDAY(TODAY(),2)+1,tbl_chests[datetime],"&lt;"&amp;TODAY()-WEEKDAY(TODAY(),2)+8)))</f>
        <v>0</v>
      </c>
      <c r="H61" s="36">
        <f ca="1">IF($A61="","",IF(H$1="","",COUNTIFS(tbl_chests[from],$A61,tbl_chests[legalized],H$1,tbl_chests[datetime],"&gt;="&amp;TODAY()-WEEKDAY(TODAY(),2)+1,tbl_chests[datetime],"&lt;"&amp;TODAY()-WEEKDAY(TODAY(),2)+8)))</f>
        <v>0</v>
      </c>
      <c r="I61" s="36">
        <f ca="1">IF($A61="","",IF(I$1="","",COUNTIFS(tbl_chests[from],$A61,tbl_chests[legalized],I$1,tbl_chests[datetime],"&gt;="&amp;TODAY()-WEEKDAY(TODAY(),2)+1,tbl_chests[datetime],"&lt;"&amp;TODAY()-WEEKDAY(TODAY(),2)+8)))</f>
        <v>0</v>
      </c>
      <c r="J61" s="36">
        <f ca="1">IF($A61="","",IF(J$1="","",COUNTIFS(tbl_chests[from],$A61,tbl_chests[legalized],J$1,tbl_chests[datetime],"&gt;="&amp;TODAY()-WEEKDAY(TODAY(),2)+1,tbl_chests[datetime],"&lt;"&amp;TODAY()-WEEKDAY(TODAY(),2)+8)))</f>
        <v>0</v>
      </c>
      <c r="K61" s="36">
        <f ca="1">IF($A61="","",IF(K$1="","",COUNTIFS(tbl_chests[from],$A61,tbl_chests[legalized],K$1,tbl_chests[datetime],"&gt;="&amp;TODAY()-WEEKDAY(TODAY(),2)+1,tbl_chests[datetime],"&lt;"&amp;TODAY()-WEEKDAY(TODAY(),2)+8)))</f>
        <v>0</v>
      </c>
      <c r="L61" s="36">
        <f ca="1">IF($A61="","",IF(L$1="","",COUNTIFS(tbl_chests[from],$A61,tbl_chests[legalized],L$1,tbl_chests[datetime],"&gt;="&amp;TODAY()-WEEKDAY(TODAY(),2)+1,tbl_chests[datetime],"&lt;"&amp;TODAY()-WEEKDAY(TODAY(),2)+8)))</f>
        <v>0</v>
      </c>
      <c r="M61" s="36">
        <f ca="1">IF($A61="","",IF(M$1="","",COUNTIFS(tbl_chests[from],$A61,tbl_chests[legalized],M$1,tbl_chests[datetime],"&gt;="&amp;TODAY()-WEEKDAY(TODAY(),2)+1,tbl_chests[datetime],"&lt;"&amp;TODAY()-WEEKDAY(TODAY(),2)+8)))</f>
        <v>0</v>
      </c>
      <c r="N61" s="36">
        <f ca="1">IF($A61="","",IF(N$1="","",COUNTIFS(tbl_chests[from],$A61,tbl_chests[legalized],N$1,tbl_chests[datetime],"&gt;="&amp;TODAY()-WEEKDAY(TODAY(),2)+1,tbl_chests[datetime],"&lt;"&amp;TODAY()-WEEKDAY(TODAY(),2)+8)))</f>
        <v>0</v>
      </c>
      <c r="O61" s="36">
        <f ca="1">IF($A61="","",IF(O$1="","",COUNTIFS(tbl_chests[from],$A61,tbl_chests[legalized],O$1,tbl_chests[datetime],"&gt;="&amp;TODAY()-WEEKDAY(TODAY(),2)+1,tbl_chests[datetime],"&lt;"&amp;TODAY()-WEEKDAY(TODAY(),2)+8)))</f>
        <v>0</v>
      </c>
      <c r="P61" s="36">
        <f ca="1">IF($A61="","",IF(P$1="","",COUNTIFS(tbl_chests[from],$A61,tbl_chests[legalized],P$1,tbl_chests[datetime],"&gt;="&amp;TODAY()-WEEKDAY(TODAY(),2)+1,tbl_chests[datetime],"&lt;"&amp;TODAY()-WEEKDAY(TODAY(),2)+8)))</f>
        <v>0</v>
      </c>
      <c r="Q61" s="36">
        <f ca="1">IF($A61="","",IF(Q$1="","",COUNTIFS(tbl_chests[from],$A61,tbl_chests[legalized],Q$1,tbl_chests[datetime],"&gt;="&amp;TODAY()-WEEKDAY(TODAY(),2)+1,tbl_chests[datetime],"&lt;"&amp;TODAY()-WEEKDAY(TODAY(),2)+8)))</f>
        <v>0</v>
      </c>
      <c r="R61" s="36">
        <f ca="1">IF($A61="","",IF(R$1="","",COUNTIFS(tbl_chests[from],$A61,tbl_chests[legalized],R$1,tbl_chests[datetime],"&gt;="&amp;TODAY()-WEEKDAY(TODAY(),2)+1,tbl_chests[datetime],"&lt;"&amp;TODAY()-WEEKDAY(TODAY(),2)+8)))</f>
        <v>0</v>
      </c>
      <c r="S61" s="36">
        <f ca="1">IF($A61="","",IF(S$1="","",COUNTIFS(tbl_chests[from],$A61,tbl_chests[legalized],S$1,tbl_chests[datetime],"&gt;="&amp;TODAY()-WEEKDAY(TODAY(),2)+1,tbl_chests[datetime],"&lt;"&amp;TODAY()-WEEKDAY(TODAY(),2)+8)))</f>
        <v>0</v>
      </c>
      <c r="T61" s="36">
        <f ca="1">IF($A61="","",IF(T$1="","",COUNTIFS(tbl_chests[from],$A61,tbl_chests[legalized],T$1,tbl_chests[datetime],"&gt;="&amp;TODAY()-WEEKDAY(TODAY(),2)+1,tbl_chests[datetime],"&lt;"&amp;TODAY()-WEEKDAY(TODAY(),2)+8)))</f>
        <v>0</v>
      </c>
      <c r="U61" s="36">
        <f ca="1">IF($A61="","",IF(U$1="","",COUNTIFS(tbl_chests[from],$A61,tbl_chests[legalized],U$1,tbl_chests[datetime],"&gt;="&amp;TODAY()-WEEKDAY(TODAY(),2)+1,tbl_chests[datetime],"&lt;"&amp;TODAY()-WEEKDAY(TODAY(),2)+8)))</f>
        <v>0</v>
      </c>
      <c r="V61" s="36">
        <f ca="1">IF($A61="","",IF(V$1="","",COUNTIFS(tbl_chests[from],$A61,tbl_chests[legalized],V$1,tbl_chests[datetime],"&gt;="&amp;TODAY()-WEEKDAY(TODAY(),2)+1,tbl_chests[datetime],"&lt;"&amp;TODAY()-WEEKDAY(TODAY(),2)+8)))</f>
        <v>0</v>
      </c>
      <c r="W61" s="36">
        <f ca="1">IF($A61="","",IF(W$1="","",COUNTIFS(tbl_chests[from],$A61,tbl_chests[legalized],W$1,tbl_chests[datetime],"&gt;="&amp;TODAY()-WEEKDAY(TODAY(),2)+1,tbl_chests[datetime],"&lt;"&amp;TODAY()-WEEKDAY(TODAY(),2)+8)))</f>
        <v>0</v>
      </c>
      <c r="X61" s="36">
        <f ca="1">IF($A61="","",IF(X$1="","",COUNTIFS(tbl_chests[from],$A61,tbl_chests[legalized],X$1,tbl_chests[datetime],"&gt;="&amp;TODAY()-WEEKDAY(TODAY(),2)+1,tbl_chests[datetime],"&lt;"&amp;TODAY()-WEEKDAY(TODAY(),2)+8)))</f>
        <v>0</v>
      </c>
      <c r="Y61" s="36">
        <f ca="1">IF($A61="","",IF(Y$1="","",COUNTIFS(tbl_chests[from],$A61,tbl_chests[legalized],Y$1,tbl_chests[datetime],"&gt;="&amp;TODAY()-WEEKDAY(TODAY(),2)+1,tbl_chests[datetime],"&lt;"&amp;TODAY()-WEEKDAY(TODAY(),2)+8)))</f>
        <v>0</v>
      </c>
      <c r="Z61" s="36">
        <f ca="1">IF($A61="","",IF(Z$1="","",COUNTIFS(tbl_chests[from],$A61,tbl_chests[legalized],Z$1,tbl_chests[datetime],"&gt;="&amp;TODAY()-WEEKDAY(TODAY(),2)+1,tbl_chests[datetime],"&lt;"&amp;TODAY()-WEEKDAY(TODAY(),2)+8)))</f>
        <v>0</v>
      </c>
      <c r="AA61" s="36">
        <f ca="1">IF($A61="","",IF(AA$1="","",COUNTIFS(tbl_chests[from],$A61,tbl_chests[legalized],AA$1,tbl_chests[datetime],"&gt;="&amp;TODAY()-WEEKDAY(TODAY(),2)+1,tbl_chests[datetime],"&lt;"&amp;TODAY()-WEEKDAY(TODAY(),2)+8)))</f>
        <v>0</v>
      </c>
      <c r="AB61" s="36">
        <f ca="1">IF($A61="","",IF(AB$1="","",COUNTIFS(tbl_chests[from],$A61,tbl_chests[legalized],AB$1,tbl_chests[datetime],"&gt;="&amp;TODAY()-WEEKDAY(TODAY(),2)+1,tbl_chests[datetime],"&lt;"&amp;TODAY()-WEEKDAY(TODAY(),2)+8)))</f>
        <v>0</v>
      </c>
      <c r="AC61" s="36">
        <f ca="1">IF($A61="","",IF(AC$1="","",COUNTIFS(tbl_chests[from],$A61,tbl_chests[legalized],AC$1,tbl_chests[datetime],"&gt;="&amp;TODAY()-WEEKDAY(TODAY(),2)+1,tbl_chests[datetime],"&lt;"&amp;TODAY()-WEEKDAY(TODAY(),2)+8)))</f>
        <v>0</v>
      </c>
      <c r="AD61" s="36">
        <f ca="1">IF($A61="","",IF(AD$1="","",COUNTIFS(tbl_chests[from],$A61,tbl_chests[legalized],AD$1,tbl_chests[datetime],"&gt;="&amp;TODAY()-WEEKDAY(TODAY(),2)+1,tbl_chests[datetime],"&lt;"&amp;TODAY()-WEEKDAY(TODAY(),2)+8)))</f>
        <v>0</v>
      </c>
      <c r="AE61" s="36">
        <f ca="1">IF($A61="","",IF(AE$1="","",COUNTIFS(tbl_chests[from],$A61,tbl_chests[legalized],AE$1,tbl_chests[datetime],"&gt;="&amp;TODAY()-WEEKDAY(TODAY(),2)+1,tbl_chests[datetime],"&lt;"&amp;TODAY()-WEEKDAY(TODAY(),2)+8)))</f>
        <v>0</v>
      </c>
      <c r="AF61" s="36">
        <f ca="1">IF($A61="","",IF(AF$1="","",COUNTIFS(tbl_chests[from],$A61,tbl_chests[legalized],AF$1,tbl_chests[datetime],"&gt;="&amp;TODAY()-WEEKDAY(TODAY(),2)+1,tbl_chests[datetime],"&lt;"&amp;TODAY()-WEEKDAY(TODAY(),2)+8)))</f>
        <v>0</v>
      </c>
      <c r="AG61" s="36">
        <f ca="1">IF($A61="","",IF(AG$1="","",COUNTIFS(tbl_chests[from],$A61,tbl_chests[legalized],AG$1,tbl_chests[datetime],"&gt;="&amp;TODAY()-WEEKDAY(TODAY(),2)+1,tbl_chests[datetime],"&lt;"&amp;TODAY()-WEEKDAY(TODAY(),2)+8)))</f>
        <v>0</v>
      </c>
      <c r="AH61" s="36">
        <f ca="1">IF($A61="","",IF(AH$1="","",COUNTIFS(tbl_chests[from],$A61,tbl_chests[legalized],AH$1,tbl_chests[datetime],"&gt;="&amp;TODAY()-WEEKDAY(TODAY(),2)+1,tbl_chests[datetime],"&lt;"&amp;TODAY()-WEEKDAY(TODAY(),2)+8)))</f>
        <v>0</v>
      </c>
      <c r="AI61" s="36">
        <f ca="1">IF($A61="","",IF(AI$1="","",COUNTIFS(tbl_chests[from],$A61,tbl_chests[legalized],AI$1,tbl_chests[datetime],"&gt;="&amp;TODAY()-WEEKDAY(TODAY(),2)+1,tbl_chests[datetime],"&lt;"&amp;TODAY()-WEEKDAY(TODAY(),2)+8)))</f>
        <v>0</v>
      </c>
      <c r="AJ61" s="36">
        <f ca="1">IF($A61="","",IF(AJ$1="","",COUNTIFS(tbl_chests[from],$A61,tbl_chests[legalized],AJ$1,tbl_chests[datetime],"&gt;="&amp;TODAY()-WEEKDAY(TODAY(),2)+1,tbl_chests[datetime],"&lt;"&amp;TODAY()-WEEKDAY(TODAY(),2)+8)))</f>
        <v>0</v>
      </c>
      <c r="AK61" s="36">
        <f ca="1">IF($A61="","",IF(AK$1="","",COUNTIFS(tbl_chests[from],$A61,tbl_chests[legalized],AK$1,tbl_chests[datetime],"&gt;="&amp;TODAY()-WEEKDAY(TODAY(),2)+1,tbl_chests[datetime],"&lt;"&amp;TODAY()-WEEKDAY(TODAY(),2)+8)))</f>
        <v>0</v>
      </c>
      <c r="AL61" s="36">
        <f ca="1">IF($A61="","",IF(AL$1="","",COUNTIFS(tbl_chests[from],$A61,tbl_chests[legalized],AL$1,tbl_chests[datetime],"&gt;="&amp;TODAY()-WEEKDAY(TODAY(),2)+1,tbl_chests[datetime],"&lt;"&amp;TODAY()-WEEKDAY(TODAY(),2)+8)))</f>
        <v>0</v>
      </c>
      <c r="AM61" s="37">
        <f ca="1">IF($A61="","",IF(AM$1="","",COUNTIFS(tbl_chests[from],$A61,tbl_chests[legalized],AM$1,tbl_chests[datetime],"&gt;="&amp;TODAY()-WEEKDAY(TODAY(),2)+1,tbl_chests[datetime],"&lt;"&amp;TODAY()-WEEKDAY(TODAY(),2)+8)))</f>
        <v>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 ht="15.75" customHeight="1" x14ac:dyDescent="0.25">
      <c r="A62" s="34" t="str">
        <f>chests_counter!$H59</f>
        <v>Sinwing</v>
      </c>
      <c r="B62" s="35" cm="1">
        <f t="array" aca="1" ref="B62" ca="1">IF(A62&lt;&gt;"", SUMPRODUCT(($C$2:$AM$2&lt;&gt;0)*(C62:AM62&lt;&gt;0)*($C$2:$AM$2)*(C62:AM62)), "")</f>
        <v>310</v>
      </c>
      <c r="C62" s="36">
        <f ca="1">IF($A62="","",IF(C$1="","",COUNTIFS(tbl_chests[from],$A62,tbl_chests[legalized],C$1,tbl_chests[datetime],"&gt;="&amp;TODAY()-WEEKDAY(TODAY(),2)+1,tbl_chests[datetime],"&lt;"&amp;TODAY()-WEEKDAY(TODAY(),2)+8)))</f>
        <v>3</v>
      </c>
      <c r="D62" s="36">
        <f ca="1">IF($A62="","",IF(D$1="","",COUNTIFS(tbl_chests[from],$A62,tbl_chests[legalized],D$1,tbl_chests[datetime],"&gt;="&amp;TODAY()-WEEKDAY(TODAY(),2)+1,tbl_chests[datetime],"&lt;"&amp;TODAY()-WEEKDAY(TODAY(),2)+8)))</f>
        <v>7</v>
      </c>
      <c r="E62" s="36">
        <f ca="1">IF($A62="","",IF(E$1="","",COUNTIFS(tbl_chests[from],$A62,tbl_chests[legalized],E$1,tbl_chests[datetime],"&gt;="&amp;TODAY()-WEEKDAY(TODAY(),2)+1,tbl_chests[datetime],"&lt;"&amp;TODAY()-WEEKDAY(TODAY(),2)+8)))</f>
        <v>4</v>
      </c>
      <c r="F62" s="36">
        <f ca="1">IF($A62="","",IF(F$1="","",COUNTIFS(tbl_chests[from],$A62,tbl_chests[legalized],F$1,tbl_chests[datetime],"&gt;="&amp;TODAY()-WEEKDAY(TODAY(),2)+1,tbl_chests[datetime],"&lt;"&amp;TODAY()-WEEKDAY(TODAY(),2)+8)))</f>
        <v>0</v>
      </c>
      <c r="G62" s="36">
        <f ca="1">IF($A62="","",IF(G$1="","",COUNTIFS(tbl_chests[from],$A62,tbl_chests[legalized],G$1,tbl_chests[datetime],"&gt;="&amp;TODAY()-WEEKDAY(TODAY(),2)+1,tbl_chests[datetime],"&lt;"&amp;TODAY()-WEEKDAY(TODAY(),2)+8)))</f>
        <v>0</v>
      </c>
      <c r="H62" s="36">
        <f ca="1">IF($A62="","",IF(H$1="","",COUNTIFS(tbl_chests[from],$A62,tbl_chests[legalized],H$1,tbl_chests[datetime],"&gt;="&amp;TODAY()-WEEKDAY(TODAY(),2)+1,tbl_chests[datetime],"&lt;"&amp;TODAY()-WEEKDAY(TODAY(),2)+8)))</f>
        <v>0</v>
      </c>
      <c r="I62" s="36">
        <f ca="1">IF($A62="","",IF(I$1="","",COUNTIFS(tbl_chests[from],$A62,tbl_chests[legalized],I$1,tbl_chests[datetime],"&gt;="&amp;TODAY()-WEEKDAY(TODAY(),2)+1,tbl_chests[datetime],"&lt;"&amp;TODAY()-WEEKDAY(TODAY(),2)+8)))</f>
        <v>0</v>
      </c>
      <c r="J62" s="36">
        <f ca="1">IF($A62="","",IF(J$1="","",COUNTIFS(tbl_chests[from],$A62,tbl_chests[legalized],J$1,tbl_chests[datetime],"&gt;="&amp;TODAY()-WEEKDAY(TODAY(),2)+1,tbl_chests[datetime],"&lt;"&amp;TODAY()-WEEKDAY(TODAY(),2)+8)))</f>
        <v>0</v>
      </c>
      <c r="K62" s="36">
        <f ca="1">IF($A62="","",IF(K$1="","",COUNTIFS(tbl_chests[from],$A62,tbl_chests[legalized],K$1,tbl_chests[datetime],"&gt;="&amp;TODAY()-WEEKDAY(TODAY(),2)+1,tbl_chests[datetime],"&lt;"&amp;TODAY()-WEEKDAY(TODAY(),2)+8)))</f>
        <v>0</v>
      </c>
      <c r="L62" s="36">
        <f ca="1">IF($A62="","",IF(L$1="","",COUNTIFS(tbl_chests[from],$A62,tbl_chests[legalized],L$1,tbl_chests[datetime],"&gt;="&amp;TODAY()-WEEKDAY(TODAY(),2)+1,tbl_chests[datetime],"&lt;"&amp;TODAY()-WEEKDAY(TODAY(),2)+8)))</f>
        <v>0</v>
      </c>
      <c r="M62" s="36">
        <f ca="1">IF($A62="","",IF(M$1="","",COUNTIFS(tbl_chests[from],$A62,tbl_chests[legalized],M$1,tbl_chests[datetime],"&gt;="&amp;TODAY()-WEEKDAY(TODAY(),2)+1,tbl_chests[datetime],"&lt;"&amp;TODAY()-WEEKDAY(TODAY(),2)+8)))</f>
        <v>0</v>
      </c>
      <c r="N62" s="36">
        <f ca="1">IF($A62="","",IF(N$1="","",COUNTIFS(tbl_chests[from],$A62,tbl_chests[legalized],N$1,tbl_chests[datetime],"&gt;="&amp;TODAY()-WEEKDAY(TODAY(),2)+1,tbl_chests[datetime],"&lt;"&amp;TODAY()-WEEKDAY(TODAY(),2)+8)))</f>
        <v>0</v>
      </c>
      <c r="O62" s="36">
        <f ca="1">IF($A62="","",IF(O$1="","",COUNTIFS(tbl_chests[from],$A62,tbl_chests[legalized],O$1,tbl_chests[datetime],"&gt;="&amp;TODAY()-WEEKDAY(TODAY(),2)+1,tbl_chests[datetime],"&lt;"&amp;TODAY()-WEEKDAY(TODAY(),2)+8)))</f>
        <v>0</v>
      </c>
      <c r="P62" s="36">
        <f ca="1">IF($A62="","",IF(P$1="","",COUNTIFS(tbl_chests[from],$A62,tbl_chests[legalized],P$1,tbl_chests[datetime],"&gt;="&amp;TODAY()-WEEKDAY(TODAY(),2)+1,tbl_chests[datetime],"&lt;"&amp;TODAY()-WEEKDAY(TODAY(),2)+8)))</f>
        <v>0</v>
      </c>
      <c r="Q62" s="36">
        <f ca="1">IF($A62="","",IF(Q$1="","",COUNTIFS(tbl_chests[from],$A62,tbl_chests[legalized],Q$1,tbl_chests[datetime],"&gt;="&amp;TODAY()-WEEKDAY(TODAY(),2)+1,tbl_chests[datetime],"&lt;"&amp;TODAY()-WEEKDAY(TODAY(),2)+8)))</f>
        <v>0</v>
      </c>
      <c r="R62" s="36">
        <f ca="1">IF($A62="","",IF(R$1="","",COUNTIFS(tbl_chests[from],$A62,tbl_chests[legalized],R$1,tbl_chests[datetime],"&gt;="&amp;TODAY()-WEEKDAY(TODAY(),2)+1,tbl_chests[datetime],"&lt;"&amp;TODAY()-WEEKDAY(TODAY(),2)+8)))</f>
        <v>0</v>
      </c>
      <c r="S62" s="36">
        <f ca="1">IF($A62="","",IF(S$1="","",COUNTIFS(tbl_chests[from],$A62,tbl_chests[legalized],S$1,tbl_chests[datetime],"&gt;="&amp;TODAY()-WEEKDAY(TODAY(),2)+1,tbl_chests[datetime],"&lt;"&amp;TODAY()-WEEKDAY(TODAY(),2)+8)))</f>
        <v>0</v>
      </c>
      <c r="T62" s="36">
        <f ca="1">IF($A62="","",IF(T$1="","",COUNTIFS(tbl_chests[from],$A62,tbl_chests[legalized],T$1,tbl_chests[datetime],"&gt;="&amp;TODAY()-WEEKDAY(TODAY(),2)+1,tbl_chests[datetime],"&lt;"&amp;TODAY()-WEEKDAY(TODAY(),2)+8)))</f>
        <v>0</v>
      </c>
      <c r="U62" s="36">
        <f ca="1">IF($A62="","",IF(U$1="","",COUNTIFS(tbl_chests[from],$A62,tbl_chests[legalized],U$1,tbl_chests[datetime],"&gt;="&amp;TODAY()-WEEKDAY(TODAY(),2)+1,tbl_chests[datetime],"&lt;"&amp;TODAY()-WEEKDAY(TODAY(),2)+8)))</f>
        <v>0</v>
      </c>
      <c r="V62" s="36">
        <f ca="1">IF($A62="","",IF(V$1="","",COUNTIFS(tbl_chests[from],$A62,tbl_chests[legalized],V$1,tbl_chests[datetime],"&gt;="&amp;TODAY()-WEEKDAY(TODAY(),2)+1,tbl_chests[datetime],"&lt;"&amp;TODAY()-WEEKDAY(TODAY(),2)+8)))</f>
        <v>0</v>
      </c>
      <c r="W62" s="36">
        <f ca="1">IF($A62="","",IF(W$1="","",COUNTIFS(tbl_chests[from],$A62,tbl_chests[legalized],W$1,tbl_chests[datetime],"&gt;="&amp;TODAY()-WEEKDAY(TODAY(),2)+1,tbl_chests[datetime],"&lt;"&amp;TODAY()-WEEKDAY(TODAY(),2)+8)))</f>
        <v>0</v>
      </c>
      <c r="X62" s="36">
        <f ca="1">IF($A62="","",IF(X$1="","",COUNTIFS(tbl_chests[from],$A62,tbl_chests[legalized],X$1,tbl_chests[datetime],"&gt;="&amp;TODAY()-WEEKDAY(TODAY(),2)+1,tbl_chests[datetime],"&lt;"&amp;TODAY()-WEEKDAY(TODAY(),2)+8)))</f>
        <v>0</v>
      </c>
      <c r="Y62" s="36">
        <f ca="1">IF($A62="","",IF(Y$1="","",COUNTIFS(tbl_chests[from],$A62,tbl_chests[legalized],Y$1,tbl_chests[datetime],"&gt;="&amp;TODAY()-WEEKDAY(TODAY(),2)+1,tbl_chests[datetime],"&lt;"&amp;TODAY()-WEEKDAY(TODAY(),2)+8)))</f>
        <v>0</v>
      </c>
      <c r="Z62" s="36">
        <f ca="1">IF($A62="","",IF(Z$1="","",COUNTIFS(tbl_chests[from],$A62,tbl_chests[legalized],Z$1,tbl_chests[datetime],"&gt;="&amp;TODAY()-WEEKDAY(TODAY(),2)+1,tbl_chests[datetime],"&lt;"&amp;TODAY()-WEEKDAY(TODAY(),2)+8)))</f>
        <v>0</v>
      </c>
      <c r="AA62" s="36">
        <f ca="1">IF($A62="","",IF(AA$1="","",COUNTIFS(tbl_chests[from],$A62,tbl_chests[legalized],AA$1,tbl_chests[datetime],"&gt;="&amp;TODAY()-WEEKDAY(TODAY(),2)+1,tbl_chests[datetime],"&lt;"&amp;TODAY()-WEEKDAY(TODAY(),2)+8)))</f>
        <v>0</v>
      </c>
      <c r="AB62" s="36">
        <f ca="1">IF($A62="","",IF(AB$1="","",COUNTIFS(tbl_chests[from],$A62,tbl_chests[legalized],AB$1,tbl_chests[datetime],"&gt;="&amp;TODAY()-WEEKDAY(TODAY(),2)+1,tbl_chests[datetime],"&lt;"&amp;TODAY()-WEEKDAY(TODAY(),2)+8)))</f>
        <v>0</v>
      </c>
      <c r="AC62" s="36">
        <f ca="1">IF($A62="","",IF(AC$1="","",COUNTIFS(tbl_chests[from],$A62,tbl_chests[legalized],AC$1,tbl_chests[datetime],"&gt;="&amp;TODAY()-WEEKDAY(TODAY(),2)+1,tbl_chests[datetime],"&lt;"&amp;TODAY()-WEEKDAY(TODAY(),2)+8)))</f>
        <v>0</v>
      </c>
      <c r="AD62" s="36">
        <f ca="1">IF($A62="","",IF(AD$1="","",COUNTIFS(tbl_chests[from],$A62,tbl_chests[legalized],AD$1,tbl_chests[datetime],"&gt;="&amp;TODAY()-WEEKDAY(TODAY(),2)+1,tbl_chests[datetime],"&lt;"&amp;TODAY()-WEEKDAY(TODAY(),2)+8)))</f>
        <v>0</v>
      </c>
      <c r="AE62" s="36">
        <f ca="1">IF($A62="","",IF(AE$1="","",COUNTIFS(tbl_chests[from],$A62,tbl_chests[legalized],AE$1,tbl_chests[datetime],"&gt;="&amp;TODAY()-WEEKDAY(TODAY(),2)+1,tbl_chests[datetime],"&lt;"&amp;TODAY()-WEEKDAY(TODAY(),2)+8)))</f>
        <v>4</v>
      </c>
      <c r="AF62" s="36">
        <f ca="1">IF($A62="","",IF(AF$1="","",COUNTIFS(tbl_chests[from],$A62,tbl_chests[legalized],AF$1,tbl_chests[datetime],"&gt;="&amp;TODAY()-WEEKDAY(TODAY(),2)+1,tbl_chests[datetime],"&lt;"&amp;TODAY()-WEEKDAY(TODAY(),2)+8)))</f>
        <v>0</v>
      </c>
      <c r="AG62" s="36">
        <f ca="1">IF($A62="","",IF(AG$1="","",COUNTIFS(tbl_chests[from],$A62,tbl_chests[legalized],AG$1,tbl_chests[datetime],"&gt;="&amp;TODAY()-WEEKDAY(TODAY(),2)+1,tbl_chests[datetime],"&lt;"&amp;TODAY()-WEEKDAY(TODAY(),2)+8)))</f>
        <v>0</v>
      </c>
      <c r="AH62" s="36">
        <f ca="1">IF($A62="","",IF(AH$1="","",COUNTIFS(tbl_chests[from],$A62,tbl_chests[legalized],AH$1,tbl_chests[datetime],"&gt;="&amp;TODAY()-WEEKDAY(TODAY(),2)+1,tbl_chests[datetime],"&lt;"&amp;TODAY()-WEEKDAY(TODAY(),2)+8)))</f>
        <v>0</v>
      </c>
      <c r="AI62" s="36">
        <f ca="1">IF($A62="","",IF(AI$1="","",COUNTIFS(tbl_chests[from],$A62,tbl_chests[legalized],AI$1,tbl_chests[datetime],"&gt;="&amp;TODAY()-WEEKDAY(TODAY(),2)+1,tbl_chests[datetime],"&lt;"&amp;TODAY()-WEEKDAY(TODAY(),2)+8)))</f>
        <v>0</v>
      </c>
      <c r="AJ62" s="36">
        <f ca="1">IF($A62="","",IF(AJ$1="","",COUNTIFS(tbl_chests[from],$A62,tbl_chests[legalized],AJ$1,tbl_chests[datetime],"&gt;="&amp;TODAY()-WEEKDAY(TODAY(),2)+1,tbl_chests[datetime],"&lt;"&amp;TODAY()-WEEKDAY(TODAY(),2)+8)))</f>
        <v>0</v>
      </c>
      <c r="AK62" s="36">
        <f ca="1">IF($A62="","",IF(AK$1="","",COUNTIFS(tbl_chests[from],$A62,tbl_chests[legalized],AK$1,tbl_chests[datetime],"&gt;="&amp;TODAY()-WEEKDAY(TODAY(),2)+1,tbl_chests[datetime],"&lt;"&amp;TODAY()-WEEKDAY(TODAY(),2)+8)))</f>
        <v>0</v>
      </c>
      <c r="AL62" s="36">
        <f ca="1">IF($A62="","",IF(AL$1="","",COUNTIFS(tbl_chests[from],$A62,tbl_chests[legalized],AL$1,tbl_chests[datetime],"&gt;="&amp;TODAY()-WEEKDAY(TODAY(),2)+1,tbl_chests[datetime],"&lt;"&amp;TODAY()-WEEKDAY(TODAY(),2)+8)))</f>
        <v>0</v>
      </c>
      <c r="AM62" s="37">
        <f ca="1">IF($A62="","",IF(AM$1="","",COUNTIFS(tbl_chests[from],$A62,tbl_chests[legalized],AM$1,tbl_chests[datetime],"&gt;="&amp;TODAY()-WEEKDAY(TODAY(),2)+1,tbl_chests[datetime],"&lt;"&amp;TODAY()-WEEKDAY(TODAY(),2)+8)))</f>
        <v>0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 ht="15.75" customHeight="1" x14ac:dyDescent="0.25">
      <c r="A63" s="34" t="str">
        <f>chests_counter!$H60</f>
        <v>Stuff</v>
      </c>
      <c r="B63" s="35" cm="1">
        <f t="array" aca="1" ref="B63" ca="1">IF(A63&lt;&gt;"", SUMPRODUCT(($C$2:$AM$2&lt;&gt;0)*(C63:AM63&lt;&gt;0)*($C$2:$AM$2)*(C63:AM63)), "")</f>
        <v>595</v>
      </c>
      <c r="C63" s="36">
        <f ca="1">IF($A63="","",IF(C$1="","",COUNTIFS(tbl_chests[from],$A63,tbl_chests[legalized],C$1,tbl_chests[datetime],"&gt;="&amp;TODAY()-WEEKDAY(TODAY(),2)+1,tbl_chests[datetime],"&lt;"&amp;TODAY()-WEEKDAY(TODAY(),2)+8)))</f>
        <v>2</v>
      </c>
      <c r="D63" s="36">
        <f ca="1">IF($A63="","",IF(D$1="","",COUNTIFS(tbl_chests[from],$A63,tbl_chests[legalized],D$1,tbl_chests[datetime],"&gt;="&amp;TODAY()-WEEKDAY(TODAY(),2)+1,tbl_chests[datetime],"&lt;"&amp;TODAY()-WEEKDAY(TODAY(),2)+8)))</f>
        <v>25</v>
      </c>
      <c r="E63" s="36">
        <f ca="1">IF($A63="","",IF(E$1="","",COUNTIFS(tbl_chests[from],$A63,tbl_chests[legalized],E$1,tbl_chests[datetime],"&gt;="&amp;TODAY()-WEEKDAY(TODAY(),2)+1,tbl_chests[datetime],"&lt;"&amp;TODAY()-WEEKDAY(TODAY(),2)+8)))</f>
        <v>1</v>
      </c>
      <c r="F63" s="36">
        <f ca="1">IF($A63="","",IF(F$1="","",COUNTIFS(tbl_chests[from],$A63,tbl_chests[legalized],F$1,tbl_chests[datetime],"&gt;="&amp;TODAY()-WEEKDAY(TODAY(),2)+1,tbl_chests[datetime],"&lt;"&amp;TODAY()-WEEKDAY(TODAY(),2)+8)))</f>
        <v>0</v>
      </c>
      <c r="G63" s="36">
        <f ca="1">IF($A63="","",IF(G$1="","",COUNTIFS(tbl_chests[from],$A63,tbl_chests[legalized],G$1,tbl_chests[datetime],"&gt;="&amp;TODAY()-WEEKDAY(TODAY(),2)+1,tbl_chests[datetime],"&lt;"&amp;TODAY()-WEEKDAY(TODAY(),2)+8)))</f>
        <v>0</v>
      </c>
      <c r="H63" s="36">
        <f ca="1">IF($A63="","",IF(H$1="","",COUNTIFS(tbl_chests[from],$A63,tbl_chests[legalized],H$1,tbl_chests[datetime],"&gt;="&amp;TODAY()-WEEKDAY(TODAY(),2)+1,tbl_chests[datetime],"&lt;"&amp;TODAY()-WEEKDAY(TODAY(),2)+8)))</f>
        <v>0</v>
      </c>
      <c r="I63" s="36">
        <f ca="1">IF($A63="","",IF(I$1="","",COUNTIFS(tbl_chests[from],$A63,tbl_chests[legalized],I$1,tbl_chests[datetime],"&gt;="&amp;TODAY()-WEEKDAY(TODAY(),2)+1,tbl_chests[datetime],"&lt;"&amp;TODAY()-WEEKDAY(TODAY(),2)+8)))</f>
        <v>0</v>
      </c>
      <c r="J63" s="36">
        <f ca="1">IF($A63="","",IF(J$1="","",COUNTIFS(tbl_chests[from],$A63,tbl_chests[legalized],J$1,tbl_chests[datetime],"&gt;="&amp;TODAY()-WEEKDAY(TODAY(),2)+1,tbl_chests[datetime],"&lt;"&amp;TODAY()-WEEKDAY(TODAY(),2)+8)))</f>
        <v>0</v>
      </c>
      <c r="K63" s="36">
        <f ca="1">IF($A63="","",IF(K$1="","",COUNTIFS(tbl_chests[from],$A63,tbl_chests[legalized],K$1,tbl_chests[datetime],"&gt;="&amp;TODAY()-WEEKDAY(TODAY(),2)+1,tbl_chests[datetime],"&lt;"&amp;TODAY()-WEEKDAY(TODAY(),2)+8)))</f>
        <v>0</v>
      </c>
      <c r="L63" s="36">
        <f ca="1">IF($A63="","",IF(L$1="","",COUNTIFS(tbl_chests[from],$A63,tbl_chests[legalized],L$1,tbl_chests[datetime],"&gt;="&amp;TODAY()-WEEKDAY(TODAY(),2)+1,tbl_chests[datetime],"&lt;"&amp;TODAY()-WEEKDAY(TODAY(),2)+8)))</f>
        <v>0</v>
      </c>
      <c r="M63" s="36">
        <f ca="1">IF($A63="","",IF(M$1="","",COUNTIFS(tbl_chests[from],$A63,tbl_chests[legalized],M$1,tbl_chests[datetime],"&gt;="&amp;TODAY()-WEEKDAY(TODAY(),2)+1,tbl_chests[datetime],"&lt;"&amp;TODAY()-WEEKDAY(TODAY(),2)+8)))</f>
        <v>0</v>
      </c>
      <c r="N63" s="36">
        <f ca="1">IF($A63="","",IF(N$1="","",COUNTIFS(tbl_chests[from],$A63,tbl_chests[legalized],N$1,tbl_chests[datetime],"&gt;="&amp;TODAY()-WEEKDAY(TODAY(),2)+1,tbl_chests[datetime],"&lt;"&amp;TODAY()-WEEKDAY(TODAY(),2)+8)))</f>
        <v>0</v>
      </c>
      <c r="O63" s="36">
        <f ca="1">IF($A63="","",IF(O$1="","",COUNTIFS(tbl_chests[from],$A63,tbl_chests[legalized],O$1,tbl_chests[datetime],"&gt;="&amp;TODAY()-WEEKDAY(TODAY(),2)+1,tbl_chests[datetime],"&lt;"&amp;TODAY()-WEEKDAY(TODAY(),2)+8)))</f>
        <v>0</v>
      </c>
      <c r="P63" s="36">
        <f ca="1">IF($A63="","",IF(P$1="","",COUNTIFS(tbl_chests[from],$A63,tbl_chests[legalized],P$1,tbl_chests[datetime],"&gt;="&amp;TODAY()-WEEKDAY(TODAY(),2)+1,tbl_chests[datetime],"&lt;"&amp;TODAY()-WEEKDAY(TODAY(),2)+8)))</f>
        <v>0</v>
      </c>
      <c r="Q63" s="36">
        <f ca="1">IF($A63="","",IF(Q$1="","",COUNTIFS(tbl_chests[from],$A63,tbl_chests[legalized],Q$1,tbl_chests[datetime],"&gt;="&amp;TODAY()-WEEKDAY(TODAY(),2)+1,tbl_chests[datetime],"&lt;"&amp;TODAY()-WEEKDAY(TODAY(),2)+8)))</f>
        <v>0</v>
      </c>
      <c r="R63" s="36">
        <f ca="1">IF($A63="","",IF(R$1="","",COUNTIFS(tbl_chests[from],$A63,tbl_chests[legalized],R$1,tbl_chests[datetime],"&gt;="&amp;TODAY()-WEEKDAY(TODAY(),2)+1,tbl_chests[datetime],"&lt;"&amp;TODAY()-WEEKDAY(TODAY(),2)+8)))</f>
        <v>0</v>
      </c>
      <c r="S63" s="36">
        <f ca="1">IF($A63="","",IF(S$1="","",COUNTIFS(tbl_chests[from],$A63,tbl_chests[legalized],S$1,tbl_chests[datetime],"&gt;="&amp;TODAY()-WEEKDAY(TODAY(),2)+1,tbl_chests[datetime],"&lt;"&amp;TODAY()-WEEKDAY(TODAY(),2)+8)))</f>
        <v>0</v>
      </c>
      <c r="T63" s="36">
        <f ca="1">IF($A63="","",IF(T$1="","",COUNTIFS(tbl_chests[from],$A63,tbl_chests[legalized],T$1,tbl_chests[datetime],"&gt;="&amp;TODAY()-WEEKDAY(TODAY(),2)+1,tbl_chests[datetime],"&lt;"&amp;TODAY()-WEEKDAY(TODAY(),2)+8)))</f>
        <v>0</v>
      </c>
      <c r="U63" s="36">
        <f ca="1">IF($A63="","",IF(U$1="","",COUNTIFS(tbl_chests[from],$A63,tbl_chests[legalized],U$1,tbl_chests[datetime],"&gt;="&amp;TODAY()-WEEKDAY(TODAY(),2)+1,tbl_chests[datetime],"&lt;"&amp;TODAY()-WEEKDAY(TODAY(),2)+8)))</f>
        <v>0</v>
      </c>
      <c r="V63" s="36">
        <f ca="1">IF($A63="","",IF(V$1="","",COUNTIFS(tbl_chests[from],$A63,tbl_chests[legalized],V$1,tbl_chests[datetime],"&gt;="&amp;TODAY()-WEEKDAY(TODAY(),2)+1,tbl_chests[datetime],"&lt;"&amp;TODAY()-WEEKDAY(TODAY(),2)+8)))</f>
        <v>0</v>
      </c>
      <c r="W63" s="36">
        <f ca="1">IF($A63="","",IF(W$1="","",COUNTIFS(tbl_chests[from],$A63,tbl_chests[legalized],W$1,tbl_chests[datetime],"&gt;="&amp;TODAY()-WEEKDAY(TODAY(),2)+1,tbl_chests[datetime],"&lt;"&amp;TODAY()-WEEKDAY(TODAY(),2)+8)))</f>
        <v>0</v>
      </c>
      <c r="X63" s="36">
        <f ca="1">IF($A63="","",IF(X$1="","",COUNTIFS(tbl_chests[from],$A63,tbl_chests[legalized],X$1,tbl_chests[datetime],"&gt;="&amp;TODAY()-WEEKDAY(TODAY(),2)+1,tbl_chests[datetime],"&lt;"&amp;TODAY()-WEEKDAY(TODAY(),2)+8)))</f>
        <v>0</v>
      </c>
      <c r="Y63" s="36">
        <f ca="1">IF($A63="","",IF(Y$1="","",COUNTIFS(tbl_chests[from],$A63,tbl_chests[legalized],Y$1,tbl_chests[datetime],"&gt;="&amp;TODAY()-WEEKDAY(TODAY(),2)+1,tbl_chests[datetime],"&lt;"&amp;TODAY()-WEEKDAY(TODAY(),2)+8)))</f>
        <v>0</v>
      </c>
      <c r="Z63" s="36">
        <f ca="1">IF($A63="","",IF(Z$1="","",COUNTIFS(tbl_chests[from],$A63,tbl_chests[legalized],Z$1,tbl_chests[datetime],"&gt;="&amp;TODAY()-WEEKDAY(TODAY(),2)+1,tbl_chests[datetime],"&lt;"&amp;TODAY()-WEEKDAY(TODAY(),2)+8)))</f>
        <v>0</v>
      </c>
      <c r="AA63" s="36">
        <f ca="1">IF($A63="","",IF(AA$1="","",COUNTIFS(tbl_chests[from],$A63,tbl_chests[legalized],AA$1,tbl_chests[datetime],"&gt;="&amp;TODAY()-WEEKDAY(TODAY(),2)+1,tbl_chests[datetime],"&lt;"&amp;TODAY()-WEEKDAY(TODAY(),2)+8)))</f>
        <v>0</v>
      </c>
      <c r="AB63" s="36">
        <f ca="1">IF($A63="","",IF(AB$1="","",COUNTIFS(tbl_chests[from],$A63,tbl_chests[legalized],AB$1,tbl_chests[datetime],"&gt;="&amp;TODAY()-WEEKDAY(TODAY(),2)+1,tbl_chests[datetime],"&lt;"&amp;TODAY()-WEEKDAY(TODAY(),2)+8)))</f>
        <v>0</v>
      </c>
      <c r="AC63" s="36">
        <f ca="1">IF($A63="","",IF(AC$1="","",COUNTIFS(tbl_chests[from],$A63,tbl_chests[legalized],AC$1,tbl_chests[datetime],"&gt;="&amp;TODAY()-WEEKDAY(TODAY(),2)+1,tbl_chests[datetime],"&lt;"&amp;TODAY()-WEEKDAY(TODAY(),2)+8)))</f>
        <v>0</v>
      </c>
      <c r="AD63" s="36">
        <f ca="1">IF($A63="","",IF(AD$1="","",COUNTIFS(tbl_chests[from],$A63,tbl_chests[legalized],AD$1,tbl_chests[datetime],"&gt;="&amp;TODAY()-WEEKDAY(TODAY(),2)+1,tbl_chests[datetime],"&lt;"&amp;TODAY()-WEEKDAY(TODAY(),2)+8)))</f>
        <v>0</v>
      </c>
      <c r="AE63" s="36">
        <f ca="1">IF($A63="","",IF(AE$1="","",COUNTIFS(tbl_chests[from],$A63,tbl_chests[legalized],AE$1,tbl_chests[datetime],"&gt;="&amp;TODAY()-WEEKDAY(TODAY(),2)+1,tbl_chests[datetime],"&lt;"&amp;TODAY()-WEEKDAY(TODAY(),2)+8)))</f>
        <v>9</v>
      </c>
      <c r="AF63" s="36">
        <f ca="1">IF($A63="","",IF(AF$1="","",COUNTIFS(tbl_chests[from],$A63,tbl_chests[legalized],AF$1,tbl_chests[datetime],"&gt;="&amp;TODAY()-WEEKDAY(TODAY(),2)+1,tbl_chests[datetime],"&lt;"&amp;TODAY()-WEEKDAY(TODAY(),2)+8)))</f>
        <v>0</v>
      </c>
      <c r="AG63" s="36">
        <f ca="1">IF($A63="","",IF(AG$1="","",COUNTIFS(tbl_chests[from],$A63,tbl_chests[legalized],AG$1,tbl_chests[datetime],"&gt;="&amp;TODAY()-WEEKDAY(TODAY(),2)+1,tbl_chests[datetime],"&lt;"&amp;TODAY()-WEEKDAY(TODAY(),2)+8)))</f>
        <v>0</v>
      </c>
      <c r="AH63" s="36">
        <f ca="1">IF($A63="","",IF(AH$1="","",COUNTIFS(tbl_chests[from],$A63,tbl_chests[legalized],AH$1,tbl_chests[datetime],"&gt;="&amp;TODAY()-WEEKDAY(TODAY(),2)+1,tbl_chests[datetime],"&lt;"&amp;TODAY()-WEEKDAY(TODAY(),2)+8)))</f>
        <v>0</v>
      </c>
      <c r="AI63" s="36">
        <f ca="1">IF($A63="","",IF(AI$1="","",COUNTIFS(tbl_chests[from],$A63,tbl_chests[legalized],AI$1,tbl_chests[datetime],"&gt;="&amp;TODAY()-WEEKDAY(TODAY(),2)+1,tbl_chests[datetime],"&lt;"&amp;TODAY()-WEEKDAY(TODAY(),2)+8)))</f>
        <v>0</v>
      </c>
      <c r="AJ63" s="36">
        <f ca="1">IF($A63="","",IF(AJ$1="","",COUNTIFS(tbl_chests[from],$A63,tbl_chests[legalized],AJ$1,tbl_chests[datetime],"&gt;="&amp;TODAY()-WEEKDAY(TODAY(),2)+1,tbl_chests[datetime],"&lt;"&amp;TODAY()-WEEKDAY(TODAY(),2)+8)))</f>
        <v>0</v>
      </c>
      <c r="AK63" s="36">
        <f ca="1">IF($A63="","",IF(AK$1="","",COUNTIFS(tbl_chests[from],$A63,tbl_chests[legalized],AK$1,tbl_chests[datetime],"&gt;="&amp;TODAY()-WEEKDAY(TODAY(),2)+1,tbl_chests[datetime],"&lt;"&amp;TODAY()-WEEKDAY(TODAY(),2)+8)))</f>
        <v>0</v>
      </c>
      <c r="AL63" s="36">
        <f ca="1">IF($A63="","",IF(AL$1="","",COUNTIFS(tbl_chests[from],$A63,tbl_chests[legalized],AL$1,tbl_chests[datetime],"&gt;="&amp;TODAY()-WEEKDAY(TODAY(),2)+1,tbl_chests[datetime],"&lt;"&amp;TODAY()-WEEKDAY(TODAY(),2)+8)))</f>
        <v>0</v>
      </c>
      <c r="AM63" s="37">
        <f ca="1">IF($A63="","",IF(AM$1="","",COUNTIFS(tbl_chests[from],$A63,tbl_chests[legalized],AM$1,tbl_chests[datetime],"&gt;="&amp;TODAY()-WEEKDAY(TODAY(),2)+1,tbl_chests[datetime],"&lt;"&amp;TODAY()-WEEKDAY(TODAY(),2)+8)))</f>
        <v>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 ht="15.75" customHeight="1" x14ac:dyDescent="0.25">
      <c r="A64" s="34" t="str">
        <f>chests_counter!$H61</f>
        <v>TEAM GB</v>
      </c>
      <c r="B64" s="35" cm="1">
        <f t="array" aca="1" ref="B64" ca="1">IF(A64&lt;&gt;"", SUMPRODUCT(($C$2:$AM$2&lt;&gt;0)*(C64:AM64&lt;&gt;0)*($C$2:$AM$2)*(C64:AM64)), "")</f>
        <v>185</v>
      </c>
      <c r="C64" s="36">
        <f ca="1">IF($A64="","",IF(C$1="","",COUNTIFS(tbl_chests[from],$A64,tbl_chests[legalized],C$1,tbl_chests[datetime],"&gt;="&amp;TODAY()-WEEKDAY(TODAY(),2)+1,tbl_chests[datetime],"&lt;"&amp;TODAY()-WEEKDAY(TODAY(),2)+8)))</f>
        <v>2</v>
      </c>
      <c r="D64" s="36">
        <f ca="1">IF($A64="","",IF(D$1="","",COUNTIFS(tbl_chests[from],$A64,tbl_chests[legalized],D$1,tbl_chests[datetime],"&gt;="&amp;TODAY()-WEEKDAY(TODAY(),2)+1,tbl_chests[datetime],"&lt;"&amp;TODAY()-WEEKDAY(TODAY(),2)+8)))</f>
        <v>2</v>
      </c>
      <c r="E64" s="36">
        <f ca="1">IF($A64="","",IF(E$1="","",COUNTIFS(tbl_chests[from],$A64,tbl_chests[legalized],E$1,tbl_chests[datetime],"&gt;="&amp;TODAY()-WEEKDAY(TODAY(),2)+1,tbl_chests[datetime],"&lt;"&amp;TODAY()-WEEKDAY(TODAY(),2)+8)))</f>
        <v>0</v>
      </c>
      <c r="F64" s="36">
        <f ca="1">IF($A64="","",IF(F$1="","",COUNTIFS(tbl_chests[from],$A64,tbl_chests[legalized],F$1,tbl_chests[datetime],"&gt;="&amp;TODAY()-WEEKDAY(TODAY(),2)+1,tbl_chests[datetime],"&lt;"&amp;TODAY()-WEEKDAY(TODAY(),2)+8)))</f>
        <v>0</v>
      </c>
      <c r="G64" s="36">
        <f ca="1">IF($A64="","",IF(G$1="","",COUNTIFS(tbl_chests[from],$A64,tbl_chests[legalized],G$1,tbl_chests[datetime],"&gt;="&amp;TODAY()-WEEKDAY(TODAY(),2)+1,tbl_chests[datetime],"&lt;"&amp;TODAY()-WEEKDAY(TODAY(),2)+8)))</f>
        <v>0</v>
      </c>
      <c r="H64" s="36">
        <f ca="1">IF($A64="","",IF(H$1="","",COUNTIFS(tbl_chests[from],$A64,tbl_chests[legalized],H$1,tbl_chests[datetime],"&gt;="&amp;TODAY()-WEEKDAY(TODAY(),2)+1,tbl_chests[datetime],"&lt;"&amp;TODAY()-WEEKDAY(TODAY(),2)+8)))</f>
        <v>0</v>
      </c>
      <c r="I64" s="36">
        <f ca="1">IF($A64="","",IF(I$1="","",COUNTIFS(tbl_chests[from],$A64,tbl_chests[legalized],I$1,tbl_chests[datetime],"&gt;="&amp;TODAY()-WEEKDAY(TODAY(),2)+1,tbl_chests[datetime],"&lt;"&amp;TODAY()-WEEKDAY(TODAY(),2)+8)))</f>
        <v>0</v>
      </c>
      <c r="J64" s="36">
        <f ca="1">IF($A64="","",IF(J$1="","",COUNTIFS(tbl_chests[from],$A64,tbl_chests[legalized],J$1,tbl_chests[datetime],"&gt;="&amp;TODAY()-WEEKDAY(TODAY(),2)+1,tbl_chests[datetime],"&lt;"&amp;TODAY()-WEEKDAY(TODAY(),2)+8)))</f>
        <v>0</v>
      </c>
      <c r="K64" s="36">
        <f ca="1">IF($A64="","",IF(K$1="","",COUNTIFS(tbl_chests[from],$A64,tbl_chests[legalized],K$1,tbl_chests[datetime],"&gt;="&amp;TODAY()-WEEKDAY(TODAY(),2)+1,tbl_chests[datetime],"&lt;"&amp;TODAY()-WEEKDAY(TODAY(),2)+8)))</f>
        <v>0</v>
      </c>
      <c r="L64" s="36">
        <f ca="1">IF($A64="","",IF(L$1="","",COUNTIFS(tbl_chests[from],$A64,tbl_chests[legalized],L$1,tbl_chests[datetime],"&gt;="&amp;TODAY()-WEEKDAY(TODAY(),2)+1,tbl_chests[datetime],"&lt;"&amp;TODAY()-WEEKDAY(TODAY(),2)+8)))</f>
        <v>0</v>
      </c>
      <c r="M64" s="36">
        <f ca="1">IF($A64="","",IF(M$1="","",COUNTIFS(tbl_chests[from],$A64,tbl_chests[legalized],M$1,tbl_chests[datetime],"&gt;="&amp;TODAY()-WEEKDAY(TODAY(),2)+1,tbl_chests[datetime],"&lt;"&amp;TODAY()-WEEKDAY(TODAY(),2)+8)))</f>
        <v>0</v>
      </c>
      <c r="N64" s="36">
        <f ca="1">IF($A64="","",IF(N$1="","",COUNTIFS(tbl_chests[from],$A64,tbl_chests[legalized],N$1,tbl_chests[datetime],"&gt;="&amp;TODAY()-WEEKDAY(TODAY(),2)+1,tbl_chests[datetime],"&lt;"&amp;TODAY()-WEEKDAY(TODAY(),2)+8)))</f>
        <v>0</v>
      </c>
      <c r="O64" s="36">
        <f ca="1">IF($A64="","",IF(O$1="","",COUNTIFS(tbl_chests[from],$A64,tbl_chests[legalized],O$1,tbl_chests[datetime],"&gt;="&amp;TODAY()-WEEKDAY(TODAY(),2)+1,tbl_chests[datetime],"&lt;"&amp;TODAY()-WEEKDAY(TODAY(),2)+8)))</f>
        <v>0</v>
      </c>
      <c r="P64" s="36">
        <f ca="1">IF($A64="","",IF(P$1="","",COUNTIFS(tbl_chests[from],$A64,tbl_chests[legalized],P$1,tbl_chests[datetime],"&gt;="&amp;TODAY()-WEEKDAY(TODAY(),2)+1,tbl_chests[datetime],"&lt;"&amp;TODAY()-WEEKDAY(TODAY(),2)+8)))</f>
        <v>0</v>
      </c>
      <c r="Q64" s="36">
        <f ca="1">IF($A64="","",IF(Q$1="","",COUNTIFS(tbl_chests[from],$A64,tbl_chests[legalized],Q$1,tbl_chests[datetime],"&gt;="&amp;TODAY()-WEEKDAY(TODAY(),2)+1,tbl_chests[datetime],"&lt;"&amp;TODAY()-WEEKDAY(TODAY(),2)+8)))</f>
        <v>0</v>
      </c>
      <c r="R64" s="36">
        <f ca="1">IF($A64="","",IF(R$1="","",COUNTIFS(tbl_chests[from],$A64,tbl_chests[legalized],R$1,tbl_chests[datetime],"&gt;="&amp;TODAY()-WEEKDAY(TODAY(),2)+1,tbl_chests[datetime],"&lt;"&amp;TODAY()-WEEKDAY(TODAY(),2)+8)))</f>
        <v>0</v>
      </c>
      <c r="S64" s="36">
        <f ca="1">IF($A64="","",IF(S$1="","",COUNTIFS(tbl_chests[from],$A64,tbl_chests[legalized],S$1,tbl_chests[datetime],"&gt;="&amp;TODAY()-WEEKDAY(TODAY(),2)+1,tbl_chests[datetime],"&lt;"&amp;TODAY()-WEEKDAY(TODAY(),2)+8)))</f>
        <v>0</v>
      </c>
      <c r="T64" s="36">
        <f ca="1">IF($A64="","",IF(T$1="","",COUNTIFS(tbl_chests[from],$A64,tbl_chests[legalized],T$1,tbl_chests[datetime],"&gt;="&amp;TODAY()-WEEKDAY(TODAY(),2)+1,tbl_chests[datetime],"&lt;"&amp;TODAY()-WEEKDAY(TODAY(),2)+8)))</f>
        <v>0</v>
      </c>
      <c r="U64" s="36">
        <f ca="1">IF($A64="","",IF(U$1="","",COUNTIFS(tbl_chests[from],$A64,tbl_chests[legalized],U$1,tbl_chests[datetime],"&gt;="&amp;TODAY()-WEEKDAY(TODAY(),2)+1,tbl_chests[datetime],"&lt;"&amp;TODAY()-WEEKDAY(TODAY(),2)+8)))</f>
        <v>0</v>
      </c>
      <c r="V64" s="36">
        <f ca="1">IF($A64="","",IF(V$1="","",COUNTIFS(tbl_chests[from],$A64,tbl_chests[legalized],V$1,tbl_chests[datetime],"&gt;="&amp;TODAY()-WEEKDAY(TODAY(),2)+1,tbl_chests[datetime],"&lt;"&amp;TODAY()-WEEKDAY(TODAY(),2)+8)))</f>
        <v>0</v>
      </c>
      <c r="W64" s="36">
        <f ca="1">IF($A64="","",IF(W$1="","",COUNTIFS(tbl_chests[from],$A64,tbl_chests[legalized],W$1,tbl_chests[datetime],"&gt;="&amp;TODAY()-WEEKDAY(TODAY(),2)+1,tbl_chests[datetime],"&lt;"&amp;TODAY()-WEEKDAY(TODAY(),2)+8)))</f>
        <v>0</v>
      </c>
      <c r="X64" s="36">
        <f ca="1">IF($A64="","",IF(X$1="","",COUNTIFS(tbl_chests[from],$A64,tbl_chests[legalized],X$1,tbl_chests[datetime],"&gt;="&amp;TODAY()-WEEKDAY(TODAY(),2)+1,tbl_chests[datetime],"&lt;"&amp;TODAY()-WEEKDAY(TODAY(),2)+8)))</f>
        <v>0</v>
      </c>
      <c r="Y64" s="36">
        <f ca="1">IF($A64="","",IF(Y$1="","",COUNTIFS(tbl_chests[from],$A64,tbl_chests[legalized],Y$1,tbl_chests[datetime],"&gt;="&amp;TODAY()-WEEKDAY(TODAY(),2)+1,tbl_chests[datetime],"&lt;"&amp;TODAY()-WEEKDAY(TODAY(),2)+8)))</f>
        <v>0</v>
      </c>
      <c r="Z64" s="36">
        <f ca="1">IF($A64="","",IF(Z$1="","",COUNTIFS(tbl_chests[from],$A64,tbl_chests[legalized],Z$1,tbl_chests[datetime],"&gt;="&amp;TODAY()-WEEKDAY(TODAY(),2)+1,tbl_chests[datetime],"&lt;"&amp;TODAY()-WEEKDAY(TODAY(),2)+8)))</f>
        <v>0</v>
      </c>
      <c r="AA64" s="36">
        <f ca="1">IF($A64="","",IF(AA$1="","",COUNTIFS(tbl_chests[from],$A64,tbl_chests[legalized],AA$1,tbl_chests[datetime],"&gt;="&amp;TODAY()-WEEKDAY(TODAY(),2)+1,tbl_chests[datetime],"&lt;"&amp;TODAY()-WEEKDAY(TODAY(),2)+8)))</f>
        <v>3</v>
      </c>
      <c r="AB64" s="36">
        <f ca="1">IF($A64="","",IF(AB$1="","",COUNTIFS(tbl_chests[from],$A64,tbl_chests[legalized],AB$1,tbl_chests[datetime],"&gt;="&amp;TODAY()-WEEKDAY(TODAY(),2)+1,tbl_chests[datetime],"&lt;"&amp;TODAY()-WEEKDAY(TODAY(),2)+8)))</f>
        <v>0</v>
      </c>
      <c r="AC64" s="36">
        <f ca="1">IF($A64="","",IF(AC$1="","",COUNTIFS(tbl_chests[from],$A64,tbl_chests[legalized],AC$1,tbl_chests[datetime],"&gt;="&amp;TODAY()-WEEKDAY(TODAY(),2)+1,tbl_chests[datetime],"&lt;"&amp;TODAY()-WEEKDAY(TODAY(),2)+8)))</f>
        <v>0</v>
      </c>
      <c r="AD64" s="36">
        <f ca="1">IF($A64="","",IF(AD$1="","",COUNTIFS(tbl_chests[from],$A64,tbl_chests[legalized],AD$1,tbl_chests[datetime],"&gt;="&amp;TODAY()-WEEKDAY(TODAY(),2)+1,tbl_chests[datetime],"&lt;"&amp;TODAY()-WEEKDAY(TODAY(),2)+8)))</f>
        <v>0</v>
      </c>
      <c r="AE64" s="36">
        <f ca="1">IF($A64="","",IF(AE$1="","",COUNTIFS(tbl_chests[from],$A64,tbl_chests[legalized],AE$1,tbl_chests[datetime],"&gt;="&amp;TODAY()-WEEKDAY(TODAY(),2)+1,tbl_chests[datetime],"&lt;"&amp;TODAY()-WEEKDAY(TODAY(),2)+8)))</f>
        <v>1</v>
      </c>
      <c r="AF64" s="36">
        <f ca="1">IF($A64="","",IF(AF$1="","",COUNTIFS(tbl_chests[from],$A64,tbl_chests[legalized],AF$1,tbl_chests[datetime],"&gt;="&amp;TODAY()-WEEKDAY(TODAY(),2)+1,tbl_chests[datetime],"&lt;"&amp;TODAY()-WEEKDAY(TODAY(),2)+8)))</f>
        <v>0</v>
      </c>
      <c r="AG64" s="36">
        <f ca="1">IF($A64="","",IF(AG$1="","",COUNTIFS(tbl_chests[from],$A64,tbl_chests[legalized],AG$1,tbl_chests[datetime],"&gt;="&amp;TODAY()-WEEKDAY(TODAY(),2)+1,tbl_chests[datetime],"&lt;"&amp;TODAY()-WEEKDAY(TODAY(),2)+8)))</f>
        <v>0</v>
      </c>
      <c r="AH64" s="36">
        <f ca="1">IF($A64="","",IF(AH$1="","",COUNTIFS(tbl_chests[from],$A64,tbl_chests[legalized],AH$1,tbl_chests[datetime],"&gt;="&amp;TODAY()-WEEKDAY(TODAY(),2)+1,tbl_chests[datetime],"&lt;"&amp;TODAY()-WEEKDAY(TODAY(),2)+8)))</f>
        <v>0</v>
      </c>
      <c r="AI64" s="36">
        <f ca="1">IF($A64="","",IF(AI$1="","",COUNTIFS(tbl_chests[from],$A64,tbl_chests[legalized],AI$1,tbl_chests[datetime],"&gt;="&amp;TODAY()-WEEKDAY(TODAY(),2)+1,tbl_chests[datetime],"&lt;"&amp;TODAY()-WEEKDAY(TODAY(),2)+8)))</f>
        <v>0</v>
      </c>
      <c r="AJ64" s="36">
        <f ca="1">IF($A64="","",IF(AJ$1="","",COUNTIFS(tbl_chests[from],$A64,tbl_chests[legalized],AJ$1,tbl_chests[datetime],"&gt;="&amp;TODAY()-WEEKDAY(TODAY(),2)+1,tbl_chests[datetime],"&lt;"&amp;TODAY()-WEEKDAY(TODAY(),2)+8)))</f>
        <v>0</v>
      </c>
      <c r="AK64" s="36">
        <f ca="1">IF($A64="","",IF(AK$1="","",COUNTIFS(tbl_chests[from],$A64,tbl_chests[legalized],AK$1,tbl_chests[datetime],"&gt;="&amp;TODAY()-WEEKDAY(TODAY(),2)+1,tbl_chests[datetime],"&lt;"&amp;TODAY()-WEEKDAY(TODAY(),2)+8)))</f>
        <v>0</v>
      </c>
      <c r="AL64" s="36">
        <f ca="1">IF($A64="","",IF(AL$1="","",COUNTIFS(tbl_chests[from],$A64,tbl_chests[legalized],AL$1,tbl_chests[datetime],"&gt;="&amp;TODAY()-WEEKDAY(TODAY(),2)+1,tbl_chests[datetime],"&lt;"&amp;TODAY()-WEEKDAY(TODAY(),2)+8)))</f>
        <v>0</v>
      </c>
      <c r="AM64" s="37">
        <f ca="1">IF($A64="","",IF(AM$1="","",COUNTIFS(tbl_chests[from],$A64,tbl_chests[legalized],AM$1,tbl_chests[datetime],"&gt;="&amp;TODAY()-WEEKDAY(TODAY(),2)+1,tbl_chests[datetime],"&lt;"&amp;TODAY()-WEEKDAY(TODAY(),2)+8)))</f>
        <v>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 ht="15.75" customHeight="1" x14ac:dyDescent="0.25">
      <c r="A65" s="34" t="str">
        <f>chests_counter!$H62</f>
        <v>Thommy Black</v>
      </c>
      <c r="B65" s="35" cm="1">
        <f t="array" aca="1" ref="B65" ca="1">IF(A65&lt;&gt;"", SUMPRODUCT(($C$2:$AM$2&lt;&gt;0)*(C65:AM65&lt;&gt;0)*($C$2:$AM$2)*(C65:AM65)), "")</f>
        <v>75</v>
      </c>
      <c r="C65" s="36">
        <f ca="1">IF($A65="","",IF(C$1="","",COUNTIFS(tbl_chests[from],$A65,tbl_chests[legalized],C$1,tbl_chests[datetime],"&gt;="&amp;TODAY()-WEEKDAY(TODAY(),2)+1,tbl_chests[datetime],"&lt;"&amp;TODAY()-WEEKDAY(TODAY(),2)+8)))</f>
        <v>7</v>
      </c>
      <c r="D65" s="36">
        <f ca="1">IF($A65="","",IF(D$1="","",COUNTIFS(tbl_chests[from],$A65,tbl_chests[legalized],D$1,tbl_chests[datetime],"&gt;="&amp;TODAY()-WEEKDAY(TODAY(),2)+1,tbl_chests[datetime],"&lt;"&amp;TODAY()-WEEKDAY(TODAY(),2)+8)))</f>
        <v>0</v>
      </c>
      <c r="E65" s="36">
        <f ca="1">IF($A65="","",IF(E$1="","",COUNTIFS(tbl_chests[from],$A65,tbl_chests[legalized],E$1,tbl_chests[datetime],"&gt;="&amp;TODAY()-WEEKDAY(TODAY(),2)+1,tbl_chests[datetime],"&lt;"&amp;TODAY()-WEEKDAY(TODAY(),2)+8)))</f>
        <v>0</v>
      </c>
      <c r="F65" s="36">
        <f ca="1">IF($A65="","",IF(F$1="","",COUNTIFS(tbl_chests[from],$A65,tbl_chests[legalized],F$1,tbl_chests[datetime],"&gt;="&amp;TODAY()-WEEKDAY(TODAY(),2)+1,tbl_chests[datetime],"&lt;"&amp;TODAY()-WEEKDAY(TODAY(),2)+8)))</f>
        <v>0</v>
      </c>
      <c r="G65" s="36">
        <f ca="1">IF($A65="","",IF(G$1="","",COUNTIFS(tbl_chests[from],$A65,tbl_chests[legalized],G$1,tbl_chests[datetime],"&gt;="&amp;TODAY()-WEEKDAY(TODAY(),2)+1,tbl_chests[datetime],"&lt;"&amp;TODAY()-WEEKDAY(TODAY(),2)+8)))</f>
        <v>0</v>
      </c>
      <c r="H65" s="36">
        <f ca="1">IF($A65="","",IF(H$1="","",COUNTIFS(tbl_chests[from],$A65,tbl_chests[legalized],H$1,tbl_chests[datetime],"&gt;="&amp;TODAY()-WEEKDAY(TODAY(),2)+1,tbl_chests[datetime],"&lt;"&amp;TODAY()-WEEKDAY(TODAY(),2)+8)))</f>
        <v>0</v>
      </c>
      <c r="I65" s="36">
        <f ca="1">IF($A65="","",IF(I$1="","",COUNTIFS(tbl_chests[from],$A65,tbl_chests[legalized],I$1,tbl_chests[datetime],"&gt;="&amp;TODAY()-WEEKDAY(TODAY(),2)+1,tbl_chests[datetime],"&lt;"&amp;TODAY()-WEEKDAY(TODAY(),2)+8)))</f>
        <v>0</v>
      </c>
      <c r="J65" s="36">
        <f ca="1">IF($A65="","",IF(J$1="","",COUNTIFS(tbl_chests[from],$A65,tbl_chests[legalized],J$1,tbl_chests[datetime],"&gt;="&amp;TODAY()-WEEKDAY(TODAY(),2)+1,tbl_chests[datetime],"&lt;"&amp;TODAY()-WEEKDAY(TODAY(),2)+8)))</f>
        <v>0</v>
      </c>
      <c r="K65" s="36">
        <f ca="1">IF($A65="","",IF(K$1="","",COUNTIFS(tbl_chests[from],$A65,tbl_chests[legalized],K$1,tbl_chests[datetime],"&gt;="&amp;TODAY()-WEEKDAY(TODAY(),2)+1,tbl_chests[datetime],"&lt;"&amp;TODAY()-WEEKDAY(TODAY(),2)+8)))</f>
        <v>0</v>
      </c>
      <c r="L65" s="36">
        <f ca="1">IF($A65="","",IF(L$1="","",COUNTIFS(tbl_chests[from],$A65,tbl_chests[legalized],L$1,tbl_chests[datetime],"&gt;="&amp;TODAY()-WEEKDAY(TODAY(),2)+1,tbl_chests[datetime],"&lt;"&amp;TODAY()-WEEKDAY(TODAY(),2)+8)))</f>
        <v>0</v>
      </c>
      <c r="M65" s="36">
        <f ca="1">IF($A65="","",IF(M$1="","",COUNTIFS(tbl_chests[from],$A65,tbl_chests[legalized],M$1,tbl_chests[datetime],"&gt;="&amp;TODAY()-WEEKDAY(TODAY(),2)+1,tbl_chests[datetime],"&lt;"&amp;TODAY()-WEEKDAY(TODAY(),2)+8)))</f>
        <v>0</v>
      </c>
      <c r="N65" s="36">
        <f ca="1">IF($A65="","",IF(N$1="","",COUNTIFS(tbl_chests[from],$A65,tbl_chests[legalized],N$1,tbl_chests[datetime],"&gt;="&amp;TODAY()-WEEKDAY(TODAY(),2)+1,tbl_chests[datetime],"&lt;"&amp;TODAY()-WEEKDAY(TODAY(),2)+8)))</f>
        <v>0</v>
      </c>
      <c r="O65" s="36">
        <f ca="1">IF($A65="","",IF(O$1="","",COUNTIFS(tbl_chests[from],$A65,tbl_chests[legalized],O$1,tbl_chests[datetime],"&gt;="&amp;TODAY()-WEEKDAY(TODAY(),2)+1,tbl_chests[datetime],"&lt;"&amp;TODAY()-WEEKDAY(TODAY(),2)+8)))</f>
        <v>0</v>
      </c>
      <c r="P65" s="36">
        <f ca="1">IF($A65="","",IF(P$1="","",COUNTIFS(tbl_chests[from],$A65,tbl_chests[legalized],P$1,tbl_chests[datetime],"&gt;="&amp;TODAY()-WEEKDAY(TODAY(),2)+1,tbl_chests[datetime],"&lt;"&amp;TODAY()-WEEKDAY(TODAY(),2)+8)))</f>
        <v>0</v>
      </c>
      <c r="Q65" s="36">
        <f ca="1">IF($A65="","",IF(Q$1="","",COUNTIFS(tbl_chests[from],$A65,tbl_chests[legalized],Q$1,tbl_chests[datetime],"&gt;="&amp;TODAY()-WEEKDAY(TODAY(),2)+1,tbl_chests[datetime],"&lt;"&amp;TODAY()-WEEKDAY(TODAY(),2)+8)))</f>
        <v>0</v>
      </c>
      <c r="R65" s="36">
        <f ca="1">IF($A65="","",IF(R$1="","",COUNTIFS(tbl_chests[from],$A65,tbl_chests[legalized],R$1,tbl_chests[datetime],"&gt;="&amp;TODAY()-WEEKDAY(TODAY(),2)+1,tbl_chests[datetime],"&lt;"&amp;TODAY()-WEEKDAY(TODAY(),2)+8)))</f>
        <v>0</v>
      </c>
      <c r="S65" s="36">
        <f ca="1">IF($A65="","",IF(S$1="","",COUNTIFS(tbl_chests[from],$A65,tbl_chests[legalized],S$1,tbl_chests[datetime],"&gt;="&amp;TODAY()-WEEKDAY(TODAY(),2)+1,tbl_chests[datetime],"&lt;"&amp;TODAY()-WEEKDAY(TODAY(),2)+8)))</f>
        <v>0</v>
      </c>
      <c r="T65" s="36">
        <f ca="1">IF($A65="","",IF(T$1="","",COUNTIFS(tbl_chests[from],$A65,tbl_chests[legalized],T$1,tbl_chests[datetime],"&gt;="&amp;TODAY()-WEEKDAY(TODAY(),2)+1,tbl_chests[datetime],"&lt;"&amp;TODAY()-WEEKDAY(TODAY(),2)+8)))</f>
        <v>0</v>
      </c>
      <c r="U65" s="36">
        <f ca="1">IF($A65="","",IF(U$1="","",COUNTIFS(tbl_chests[from],$A65,tbl_chests[legalized],U$1,tbl_chests[datetime],"&gt;="&amp;TODAY()-WEEKDAY(TODAY(),2)+1,tbl_chests[datetime],"&lt;"&amp;TODAY()-WEEKDAY(TODAY(),2)+8)))</f>
        <v>0</v>
      </c>
      <c r="V65" s="36">
        <f ca="1">IF($A65="","",IF(V$1="","",COUNTIFS(tbl_chests[from],$A65,tbl_chests[legalized],V$1,tbl_chests[datetime],"&gt;="&amp;TODAY()-WEEKDAY(TODAY(),2)+1,tbl_chests[datetime],"&lt;"&amp;TODAY()-WEEKDAY(TODAY(),2)+8)))</f>
        <v>0</v>
      </c>
      <c r="W65" s="36">
        <f ca="1">IF($A65="","",IF(W$1="","",COUNTIFS(tbl_chests[from],$A65,tbl_chests[legalized],W$1,tbl_chests[datetime],"&gt;="&amp;TODAY()-WEEKDAY(TODAY(),2)+1,tbl_chests[datetime],"&lt;"&amp;TODAY()-WEEKDAY(TODAY(),2)+8)))</f>
        <v>0</v>
      </c>
      <c r="X65" s="36">
        <f ca="1">IF($A65="","",IF(X$1="","",COUNTIFS(tbl_chests[from],$A65,tbl_chests[legalized],X$1,tbl_chests[datetime],"&gt;="&amp;TODAY()-WEEKDAY(TODAY(),2)+1,tbl_chests[datetime],"&lt;"&amp;TODAY()-WEEKDAY(TODAY(),2)+8)))</f>
        <v>0</v>
      </c>
      <c r="Y65" s="36">
        <f ca="1">IF($A65="","",IF(Y$1="","",COUNTIFS(tbl_chests[from],$A65,tbl_chests[legalized],Y$1,tbl_chests[datetime],"&gt;="&amp;TODAY()-WEEKDAY(TODAY(),2)+1,tbl_chests[datetime],"&lt;"&amp;TODAY()-WEEKDAY(TODAY(),2)+8)))</f>
        <v>0</v>
      </c>
      <c r="Z65" s="36">
        <f ca="1">IF($A65="","",IF(Z$1="","",COUNTIFS(tbl_chests[from],$A65,tbl_chests[legalized],Z$1,tbl_chests[datetime],"&gt;="&amp;TODAY()-WEEKDAY(TODAY(),2)+1,tbl_chests[datetime],"&lt;"&amp;TODAY()-WEEKDAY(TODAY(),2)+8)))</f>
        <v>0</v>
      </c>
      <c r="AA65" s="36">
        <f ca="1">IF($A65="","",IF(AA$1="","",COUNTIFS(tbl_chests[from],$A65,tbl_chests[legalized],AA$1,tbl_chests[datetime],"&gt;="&amp;TODAY()-WEEKDAY(TODAY(),2)+1,tbl_chests[datetime],"&lt;"&amp;TODAY()-WEEKDAY(TODAY(),2)+8)))</f>
        <v>0</v>
      </c>
      <c r="AB65" s="36">
        <f ca="1">IF($A65="","",IF(AB$1="","",COUNTIFS(tbl_chests[from],$A65,tbl_chests[legalized],AB$1,tbl_chests[datetime],"&gt;="&amp;TODAY()-WEEKDAY(TODAY(),2)+1,tbl_chests[datetime],"&lt;"&amp;TODAY()-WEEKDAY(TODAY(),2)+8)))</f>
        <v>0</v>
      </c>
      <c r="AC65" s="36">
        <f ca="1">IF($A65="","",IF(AC$1="","",COUNTIFS(tbl_chests[from],$A65,tbl_chests[legalized],AC$1,tbl_chests[datetime],"&gt;="&amp;TODAY()-WEEKDAY(TODAY(),2)+1,tbl_chests[datetime],"&lt;"&amp;TODAY()-WEEKDAY(TODAY(),2)+8)))</f>
        <v>0</v>
      </c>
      <c r="AD65" s="36">
        <f ca="1">IF($A65="","",IF(AD$1="","",COUNTIFS(tbl_chests[from],$A65,tbl_chests[legalized],AD$1,tbl_chests[datetime],"&gt;="&amp;TODAY()-WEEKDAY(TODAY(),2)+1,tbl_chests[datetime],"&lt;"&amp;TODAY()-WEEKDAY(TODAY(),2)+8)))</f>
        <v>0</v>
      </c>
      <c r="AE65" s="36">
        <f ca="1">IF($A65="","",IF(AE$1="","",COUNTIFS(tbl_chests[from],$A65,tbl_chests[legalized],AE$1,tbl_chests[datetime],"&gt;="&amp;TODAY()-WEEKDAY(TODAY(),2)+1,tbl_chests[datetime],"&lt;"&amp;TODAY()-WEEKDAY(TODAY(),2)+8)))</f>
        <v>1</v>
      </c>
      <c r="AF65" s="36">
        <f ca="1">IF($A65="","",IF(AF$1="","",COUNTIFS(tbl_chests[from],$A65,tbl_chests[legalized],AF$1,tbl_chests[datetime],"&gt;="&amp;TODAY()-WEEKDAY(TODAY(),2)+1,tbl_chests[datetime],"&lt;"&amp;TODAY()-WEEKDAY(TODAY(),2)+8)))</f>
        <v>0</v>
      </c>
      <c r="AG65" s="36">
        <f ca="1">IF($A65="","",IF(AG$1="","",COUNTIFS(tbl_chests[from],$A65,tbl_chests[legalized],AG$1,tbl_chests[datetime],"&gt;="&amp;TODAY()-WEEKDAY(TODAY(),2)+1,tbl_chests[datetime],"&lt;"&amp;TODAY()-WEEKDAY(TODAY(),2)+8)))</f>
        <v>0</v>
      </c>
      <c r="AH65" s="36">
        <f ca="1">IF($A65="","",IF(AH$1="","",COUNTIFS(tbl_chests[from],$A65,tbl_chests[legalized],AH$1,tbl_chests[datetime],"&gt;="&amp;TODAY()-WEEKDAY(TODAY(),2)+1,tbl_chests[datetime],"&lt;"&amp;TODAY()-WEEKDAY(TODAY(),2)+8)))</f>
        <v>0</v>
      </c>
      <c r="AI65" s="36">
        <f ca="1">IF($A65="","",IF(AI$1="","",COUNTIFS(tbl_chests[from],$A65,tbl_chests[legalized],AI$1,tbl_chests[datetime],"&gt;="&amp;TODAY()-WEEKDAY(TODAY(),2)+1,tbl_chests[datetime],"&lt;"&amp;TODAY()-WEEKDAY(TODAY(),2)+8)))</f>
        <v>0</v>
      </c>
      <c r="AJ65" s="36">
        <f ca="1">IF($A65="","",IF(AJ$1="","",COUNTIFS(tbl_chests[from],$A65,tbl_chests[legalized],AJ$1,tbl_chests[datetime],"&gt;="&amp;TODAY()-WEEKDAY(TODAY(),2)+1,tbl_chests[datetime],"&lt;"&amp;TODAY()-WEEKDAY(TODAY(),2)+8)))</f>
        <v>0</v>
      </c>
      <c r="AK65" s="36">
        <f ca="1">IF($A65="","",IF(AK$1="","",COUNTIFS(tbl_chests[from],$A65,tbl_chests[legalized],AK$1,tbl_chests[datetime],"&gt;="&amp;TODAY()-WEEKDAY(TODAY(),2)+1,tbl_chests[datetime],"&lt;"&amp;TODAY()-WEEKDAY(TODAY(),2)+8)))</f>
        <v>0</v>
      </c>
      <c r="AL65" s="36">
        <f ca="1">IF($A65="","",IF(AL$1="","",COUNTIFS(tbl_chests[from],$A65,tbl_chests[legalized],AL$1,tbl_chests[datetime],"&gt;="&amp;TODAY()-WEEKDAY(TODAY(),2)+1,tbl_chests[datetime],"&lt;"&amp;TODAY()-WEEKDAY(TODAY(),2)+8)))</f>
        <v>0</v>
      </c>
      <c r="AM65" s="37">
        <f ca="1">IF($A65="","",IF(AM$1="","",COUNTIFS(tbl_chests[from],$A65,tbl_chests[legalized],AM$1,tbl_chests[datetime],"&gt;="&amp;TODAY()-WEEKDAY(TODAY(),2)+1,tbl_chests[datetime],"&lt;"&amp;TODAY()-WEEKDAY(TODAY(),2)+8)))</f>
        <v>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 ht="15.75" customHeight="1" x14ac:dyDescent="0.25">
      <c r="A66" s="34" t="str">
        <f>chests_counter!$H63</f>
        <v>Tiimo807</v>
      </c>
      <c r="B66" s="35" cm="1">
        <f t="array" aca="1" ref="B66" ca="1">IF(A66&lt;&gt;"", SUMPRODUCT(($C$2:$AM$2&lt;&gt;0)*(C66:AM66&lt;&gt;0)*($C$2:$AM$2)*(C66:AM66)), "")</f>
        <v>50</v>
      </c>
      <c r="C66" s="36">
        <f ca="1">IF($A66="","",IF(C$1="","",COUNTIFS(tbl_chests[from],$A66,tbl_chests[legalized],C$1,tbl_chests[datetime],"&gt;="&amp;TODAY()-WEEKDAY(TODAY(),2)+1,tbl_chests[datetime],"&lt;"&amp;TODAY()-WEEKDAY(TODAY(),2)+8)))</f>
        <v>3</v>
      </c>
      <c r="D66" s="36">
        <f ca="1">IF($A66="","",IF(D$1="","",COUNTIFS(tbl_chests[from],$A66,tbl_chests[legalized],D$1,tbl_chests[datetime],"&gt;="&amp;TODAY()-WEEKDAY(TODAY(),2)+1,tbl_chests[datetime],"&lt;"&amp;TODAY()-WEEKDAY(TODAY(),2)+8)))</f>
        <v>1</v>
      </c>
      <c r="E66" s="36">
        <f ca="1">IF($A66="","",IF(E$1="","",COUNTIFS(tbl_chests[from],$A66,tbl_chests[legalized],E$1,tbl_chests[datetime],"&gt;="&amp;TODAY()-WEEKDAY(TODAY(),2)+1,tbl_chests[datetime],"&lt;"&amp;TODAY()-WEEKDAY(TODAY(),2)+8)))</f>
        <v>0</v>
      </c>
      <c r="F66" s="36">
        <f ca="1">IF($A66="","",IF(F$1="","",COUNTIFS(tbl_chests[from],$A66,tbl_chests[legalized],F$1,tbl_chests[datetime],"&gt;="&amp;TODAY()-WEEKDAY(TODAY(),2)+1,tbl_chests[datetime],"&lt;"&amp;TODAY()-WEEKDAY(TODAY(),2)+8)))</f>
        <v>0</v>
      </c>
      <c r="G66" s="36">
        <f ca="1">IF($A66="","",IF(G$1="","",COUNTIFS(tbl_chests[from],$A66,tbl_chests[legalized],G$1,tbl_chests[datetime],"&gt;="&amp;TODAY()-WEEKDAY(TODAY(),2)+1,tbl_chests[datetime],"&lt;"&amp;TODAY()-WEEKDAY(TODAY(),2)+8)))</f>
        <v>0</v>
      </c>
      <c r="H66" s="36">
        <f ca="1">IF($A66="","",IF(H$1="","",COUNTIFS(tbl_chests[from],$A66,tbl_chests[legalized],H$1,tbl_chests[datetime],"&gt;="&amp;TODAY()-WEEKDAY(TODAY(),2)+1,tbl_chests[datetime],"&lt;"&amp;TODAY()-WEEKDAY(TODAY(),2)+8)))</f>
        <v>0</v>
      </c>
      <c r="I66" s="36">
        <f ca="1">IF($A66="","",IF(I$1="","",COUNTIFS(tbl_chests[from],$A66,tbl_chests[legalized],I$1,tbl_chests[datetime],"&gt;="&amp;TODAY()-WEEKDAY(TODAY(),2)+1,tbl_chests[datetime],"&lt;"&amp;TODAY()-WEEKDAY(TODAY(),2)+8)))</f>
        <v>0</v>
      </c>
      <c r="J66" s="36">
        <f ca="1">IF($A66="","",IF(J$1="","",COUNTIFS(tbl_chests[from],$A66,tbl_chests[legalized],J$1,tbl_chests[datetime],"&gt;="&amp;TODAY()-WEEKDAY(TODAY(),2)+1,tbl_chests[datetime],"&lt;"&amp;TODAY()-WEEKDAY(TODAY(),2)+8)))</f>
        <v>0</v>
      </c>
      <c r="K66" s="36">
        <f ca="1">IF($A66="","",IF(K$1="","",COUNTIFS(tbl_chests[from],$A66,tbl_chests[legalized],K$1,tbl_chests[datetime],"&gt;="&amp;TODAY()-WEEKDAY(TODAY(),2)+1,tbl_chests[datetime],"&lt;"&amp;TODAY()-WEEKDAY(TODAY(),2)+8)))</f>
        <v>0</v>
      </c>
      <c r="L66" s="36">
        <f ca="1">IF($A66="","",IF(L$1="","",COUNTIFS(tbl_chests[from],$A66,tbl_chests[legalized],L$1,tbl_chests[datetime],"&gt;="&amp;TODAY()-WEEKDAY(TODAY(),2)+1,tbl_chests[datetime],"&lt;"&amp;TODAY()-WEEKDAY(TODAY(),2)+8)))</f>
        <v>0</v>
      </c>
      <c r="M66" s="36">
        <f ca="1">IF($A66="","",IF(M$1="","",COUNTIFS(tbl_chests[from],$A66,tbl_chests[legalized],M$1,tbl_chests[datetime],"&gt;="&amp;TODAY()-WEEKDAY(TODAY(),2)+1,tbl_chests[datetime],"&lt;"&amp;TODAY()-WEEKDAY(TODAY(),2)+8)))</f>
        <v>0</v>
      </c>
      <c r="N66" s="36">
        <f ca="1">IF($A66="","",IF(N$1="","",COUNTIFS(tbl_chests[from],$A66,tbl_chests[legalized],N$1,tbl_chests[datetime],"&gt;="&amp;TODAY()-WEEKDAY(TODAY(),2)+1,tbl_chests[datetime],"&lt;"&amp;TODAY()-WEEKDAY(TODAY(),2)+8)))</f>
        <v>0</v>
      </c>
      <c r="O66" s="36">
        <f ca="1">IF($A66="","",IF(O$1="","",COUNTIFS(tbl_chests[from],$A66,tbl_chests[legalized],O$1,tbl_chests[datetime],"&gt;="&amp;TODAY()-WEEKDAY(TODAY(),2)+1,tbl_chests[datetime],"&lt;"&amp;TODAY()-WEEKDAY(TODAY(),2)+8)))</f>
        <v>0</v>
      </c>
      <c r="P66" s="36">
        <f ca="1">IF($A66="","",IF(P$1="","",COUNTIFS(tbl_chests[from],$A66,tbl_chests[legalized],P$1,tbl_chests[datetime],"&gt;="&amp;TODAY()-WEEKDAY(TODAY(),2)+1,tbl_chests[datetime],"&lt;"&amp;TODAY()-WEEKDAY(TODAY(),2)+8)))</f>
        <v>0</v>
      </c>
      <c r="Q66" s="36">
        <f ca="1">IF($A66="","",IF(Q$1="","",COUNTIFS(tbl_chests[from],$A66,tbl_chests[legalized],Q$1,tbl_chests[datetime],"&gt;="&amp;TODAY()-WEEKDAY(TODAY(),2)+1,tbl_chests[datetime],"&lt;"&amp;TODAY()-WEEKDAY(TODAY(),2)+8)))</f>
        <v>0</v>
      </c>
      <c r="R66" s="36">
        <f ca="1">IF($A66="","",IF(R$1="","",COUNTIFS(tbl_chests[from],$A66,tbl_chests[legalized],R$1,tbl_chests[datetime],"&gt;="&amp;TODAY()-WEEKDAY(TODAY(),2)+1,tbl_chests[datetime],"&lt;"&amp;TODAY()-WEEKDAY(TODAY(),2)+8)))</f>
        <v>0</v>
      </c>
      <c r="S66" s="36">
        <f ca="1">IF($A66="","",IF(S$1="","",COUNTIFS(tbl_chests[from],$A66,tbl_chests[legalized],S$1,tbl_chests[datetime],"&gt;="&amp;TODAY()-WEEKDAY(TODAY(),2)+1,tbl_chests[datetime],"&lt;"&amp;TODAY()-WEEKDAY(TODAY(),2)+8)))</f>
        <v>0</v>
      </c>
      <c r="T66" s="36">
        <f ca="1">IF($A66="","",IF(T$1="","",COUNTIFS(tbl_chests[from],$A66,tbl_chests[legalized],T$1,tbl_chests[datetime],"&gt;="&amp;TODAY()-WEEKDAY(TODAY(),2)+1,tbl_chests[datetime],"&lt;"&amp;TODAY()-WEEKDAY(TODAY(),2)+8)))</f>
        <v>0</v>
      </c>
      <c r="U66" s="36">
        <f ca="1">IF($A66="","",IF(U$1="","",COUNTIFS(tbl_chests[from],$A66,tbl_chests[legalized],U$1,tbl_chests[datetime],"&gt;="&amp;TODAY()-WEEKDAY(TODAY(),2)+1,tbl_chests[datetime],"&lt;"&amp;TODAY()-WEEKDAY(TODAY(),2)+8)))</f>
        <v>0</v>
      </c>
      <c r="V66" s="36">
        <f ca="1">IF($A66="","",IF(V$1="","",COUNTIFS(tbl_chests[from],$A66,tbl_chests[legalized],V$1,tbl_chests[datetime],"&gt;="&amp;TODAY()-WEEKDAY(TODAY(),2)+1,tbl_chests[datetime],"&lt;"&amp;TODAY()-WEEKDAY(TODAY(),2)+8)))</f>
        <v>0</v>
      </c>
      <c r="W66" s="36">
        <f ca="1">IF($A66="","",IF(W$1="","",COUNTIFS(tbl_chests[from],$A66,tbl_chests[legalized],W$1,tbl_chests[datetime],"&gt;="&amp;TODAY()-WEEKDAY(TODAY(),2)+1,tbl_chests[datetime],"&lt;"&amp;TODAY()-WEEKDAY(TODAY(),2)+8)))</f>
        <v>0</v>
      </c>
      <c r="X66" s="36">
        <f ca="1">IF($A66="","",IF(X$1="","",COUNTIFS(tbl_chests[from],$A66,tbl_chests[legalized],X$1,tbl_chests[datetime],"&gt;="&amp;TODAY()-WEEKDAY(TODAY(),2)+1,tbl_chests[datetime],"&lt;"&amp;TODAY()-WEEKDAY(TODAY(),2)+8)))</f>
        <v>0</v>
      </c>
      <c r="Y66" s="36">
        <f ca="1">IF($A66="","",IF(Y$1="","",COUNTIFS(tbl_chests[from],$A66,tbl_chests[legalized],Y$1,tbl_chests[datetime],"&gt;="&amp;TODAY()-WEEKDAY(TODAY(),2)+1,tbl_chests[datetime],"&lt;"&amp;TODAY()-WEEKDAY(TODAY(),2)+8)))</f>
        <v>0</v>
      </c>
      <c r="Z66" s="36">
        <f ca="1">IF($A66="","",IF(Z$1="","",COUNTIFS(tbl_chests[from],$A66,tbl_chests[legalized],Z$1,tbl_chests[datetime],"&gt;="&amp;TODAY()-WEEKDAY(TODAY(),2)+1,tbl_chests[datetime],"&lt;"&amp;TODAY()-WEEKDAY(TODAY(),2)+8)))</f>
        <v>0</v>
      </c>
      <c r="AA66" s="36">
        <f ca="1">IF($A66="","",IF(AA$1="","",COUNTIFS(tbl_chests[from],$A66,tbl_chests[legalized],AA$1,tbl_chests[datetime],"&gt;="&amp;TODAY()-WEEKDAY(TODAY(),2)+1,tbl_chests[datetime],"&lt;"&amp;TODAY()-WEEKDAY(TODAY(),2)+8)))</f>
        <v>0</v>
      </c>
      <c r="AB66" s="36">
        <f ca="1">IF($A66="","",IF(AB$1="","",COUNTIFS(tbl_chests[from],$A66,tbl_chests[legalized],AB$1,tbl_chests[datetime],"&gt;="&amp;TODAY()-WEEKDAY(TODAY(),2)+1,tbl_chests[datetime],"&lt;"&amp;TODAY()-WEEKDAY(TODAY(),2)+8)))</f>
        <v>0</v>
      </c>
      <c r="AC66" s="36">
        <f ca="1">IF($A66="","",IF(AC$1="","",COUNTIFS(tbl_chests[from],$A66,tbl_chests[legalized],AC$1,tbl_chests[datetime],"&gt;="&amp;TODAY()-WEEKDAY(TODAY(),2)+1,tbl_chests[datetime],"&lt;"&amp;TODAY()-WEEKDAY(TODAY(),2)+8)))</f>
        <v>0</v>
      </c>
      <c r="AD66" s="36">
        <f ca="1">IF($A66="","",IF(AD$1="","",COUNTIFS(tbl_chests[from],$A66,tbl_chests[legalized],AD$1,tbl_chests[datetime],"&gt;="&amp;TODAY()-WEEKDAY(TODAY(),2)+1,tbl_chests[datetime],"&lt;"&amp;TODAY()-WEEKDAY(TODAY(),2)+8)))</f>
        <v>0</v>
      </c>
      <c r="AE66" s="36">
        <f ca="1">IF($A66="","",IF(AE$1="","",COUNTIFS(tbl_chests[from],$A66,tbl_chests[legalized],AE$1,tbl_chests[datetime],"&gt;="&amp;TODAY()-WEEKDAY(TODAY(),2)+1,tbl_chests[datetime],"&lt;"&amp;TODAY()-WEEKDAY(TODAY(),2)+8)))</f>
        <v>0</v>
      </c>
      <c r="AF66" s="36">
        <f ca="1">IF($A66="","",IF(AF$1="","",COUNTIFS(tbl_chests[from],$A66,tbl_chests[legalized],AF$1,tbl_chests[datetime],"&gt;="&amp;TODAY()-WEEKDAY(TODAY(),2)+1,tbl_chests[datetime],"&lt;"&amp;TODAY()-WEEKDAY(TODAY(),2)+8)))</f>
        <v>0</v>
      </c>
      <c r="AG66" s="36">
        <f ca="1">IF($A66="","",IF(AG$1="","",COUNTIFS(tbl_chests[from],$A66,tbl_chests[legalized],AG$1,tbl_chests[datetime],"&gt;="&amp;TODAY()-WEEKDAY(TODAY(),2)+1,tbl_chests[datetime],"&lt;"&amp;TODAY()-WEEKDAY(TODAY(),2)+8)))</f>
        <v>0</v>
      </c>
      <c r="AH66" s="36">
        <f ca="1">IF($A66="","",IF(AH$1="","",COUNTIFS(tbl_chests[from],$A66,tbl_chests[legalized],AH$1,tbl_chests[datetime],"&gt;="&amp;TODAY()-WEEKDAY(TODAY(),2)+1,tbl_chests[datetime],"&lt;"&amp;TODAY()-WEEKDAY(TODAY(),2)+8)))</f>
        <v>0</v>
      </c>
      <c r="AI66" s="36">
        <f ca="1">IF($A66="","",IF(AI$1="","",COUNTIFS(tbl_chests[from],$A66,tbl_chests[legalized],AI$1,tbl_chests[datetime],"&gt;="&amp;TODAY()-WEEKDAY(TODAY(),2)+1,tbl_chests[datetime],"&lt;"&amp;TODAY()-WEEKDAY(TODAY(),2)+8)))</f>
        <v>0</v>
      </c>
      <c r="AJ66" s="36">
        <f ca="1">IF($A66="","",IF(AJ$1="","",COUNTIFS(tbl_chests[from],$A66,tbl_chests[legalized],AJ$1,tbl_chests[datetime],"&gt;="&amp;TODAY()-WEEKDAY(TODAY(),2)+1,tbl_chests[datetime],"&lt;"&amp;TODAY()-WEEKDAY(TODAY(),2)+8)))</f>
        <v>0</v>
      </c>
      <c r="AK66" s="36">
        <f ca="1">IF($A66="","",IF(AK$1="","",COUNTIFS(tbl_chests[from],$A66,tbl_chests[legalized],AK$1,tbl_chests[datetime],"&gt;="&amp;TODAY()-WEEKDAY(TODAY(),2)+1,tbl_chests[datetime],"&lt;"&amp;TODAY()-WEEKDAY(TODAY(),2)+8)))</f>
        <v>0</v>
      </c>
      <c r="AL66" s="36">
        <f ca="1">IF($A66="","",IF(AL$1="","",COUNTIFS(tbl_chests[from],$A66,tbl_chests[legalized],AL$1,tbl_chests[datetime],"&gt;="&amp;TODAY()-WEEKDAY(TODAY(),2)+1,tbl_chests[datetime],"&lt;"&amp;TODAY()-WEEKDAY(TODAY(),2)+8)))</f>
        <v>0</v>
      </c>
      <c r="AM66" s="37">
        <f ca="1">IF($A66="","",IF(AM$1="","",COUNTIFS(tbl_chests[from],$A66,tbl_chests[legalized],AM$1,tbl_chests[datetime],"&gt;="&amp;TODAY()-WEEKDAY(TODAY(),2)+1,tbl_chests[datetime],"&lt;"&amp;TODAY()-WEEKDAY(TODAY(),2)+8)))</f>
        <v>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 spans="1:67" ht="15.75" customHeight="1" x14ac:dyDescent="0.25">
      <c r="A67" s="34" t="str">
        <f>chests_counter!$H64</f>
        <v>Toastman</v>
      </c>
      <c r="B67" s="35" cm="1">
        <f t="array" aca="1" ref="B67" ca="1">IF(A67&lt;&gt;"", SUMPRODUCT(($C$2:$AM$2&lt;&gt;0)*(C67:AM67&lt;&gt;0)*($C$2:$AM$2)*(C67:AM67)), "")</f>
        <v>3045</v>
      </c>
      <c r="C67" s="36">
        <f ca="1">IF($A67="","",IF(C$1="","",COUNTIFS(tbl_chests[from],$A67,tbl_chests[legalized],C$1,tbl_chests[datetime],"&gt;="&amp;TODAY()-WEEKDAY(TODAY(),2)+1,tbl_chests[datetime],"&lt;"&amp;TODAY()-WEEKDAY(TODAY(),2)+8)))</f>
        <v>1</v>
      </c>
      <c r="D67" s="36">
        <f ca="1">IF($A67="","",IF(D$1="","",COUNTIFS(tbl_chests[from],$A67,tbl_chests[legalized],D$1,tbl_chests[datetime],"&gt;="&amp;TODAY()-WEEKDAY(TODAY(),2)+1,tbl_chests[datetime],"&lt;"&amp;TODAY()-WEEKDAY(TODAY(),2)+8)))</f>
        <v>19</v>
      </c>
      <c r="E67" s="36">
        <f ca="1">IF($A67="","",IF(E$1="","",COUNTIFS(tbl_chests[from],$A67,tbl_chests[legalized],E$1,tbl_chests[datetime],"&gt;="&amp;TODAY()-WEEKDAY(TODAY(),2)+1,tbl_chests[datetime],"&lt;"&amp;TODAY()-WEEKDAY(TODAY(),2)+8)))</f>
        <v>55</v>
      </c>
      <c r="F67" s="36">
        <f ca="1">IF($A67="","",IF(F$1="","",COUNTIFS(tbl_chests[from],$A67,tbl_chests[legalized],F$1,tbl_chests[datetime],"&gt;="&amp;TODAY()-WEEKDAY(TODAY(),2)+1,tbl_chests[datetime],"&lt;"&amp;TODAY()-WEEKDAY(TODAY(),2)+8)))</f>
        <v>0</v>
      </c>
      <c r="G67" s="36">
        <f ca="1">IF($A67="","",IF(G$1="","",COUNTIFS(tbl_chests[from],$A67,tbl_chests[legalized],G$1,tbl_chests[datetime],"&gt;="&amp;TODAY()-WEEKDAY(TODAY(),2)+1,tbl_chests[datetime],"&lt;"&amp;TODAY()-WEEKDAY(TODAY(),2)+8)))</f>
        <v>0</v>
      </c>
      <c r="H67" s="36">
        <f ca="1">IF($A67="","",IF(H$1="","",COUNTIFS(tbl_chests[from],$A67,tbl_chests[legalized],H$1,tbl_chests[datetime],"&gt;="&amp;TODAY()-WEEKDAY(TODAY(),2)+1,tbl_chests[datetime],"&lt;"&amp;TODAY()-WEEKDAY(TODAY(),2)+8)))</f>
        <v>25</v>
      </c>
      <c r="I67" s="36">
        <f ca="1">IF($A67="","",IF(I$1="","",COUNTIFS(tbl_chests[from],$A67,tbl_chests[legalized],I$1,tbl_chests[datetime],"&gt;="&amp;TODAY()-WEEKDAY(TODAY(),2)+1,tbl_chests[datetime],"&lt;"&amp;TODAY()-WEEKDAY(TODAY(),2)+8)))</f>
        <v>0</v>
      </c>
      <c r="J67" s="36">
        <f ca="1">IF($A67="","",IF(J$1="","",COUNTIFS(tbl_chests[from],$A67,tbl_chests[legalized],J$1,tbl_chests[datetime],"&gt;="&amp;TODAY()-WEEKDAY(TODAY(),2)+1,tbl_chests[datetime],"&lt;"&amp;TODAY()-WEEKDAY(TODAY(),2)+8)))</f>
        <v>0</v>
      </c>
      <c r="K67" s="36">
        <f ca="1">IF($A67="","",IF(K$1="","",COUNTIFS(tbl_chests[from],$A67,tbl_chests[legalized],K$1,tbl_chests[datetime],"&gt;="&amp;TODAY()-WEEKDAY(TODAY(),2)+1,tbl_chests[datetime],"&lt;"&amp;TODAY()-WEEKDAY(TODAY(),2)+8)))</f>
        <v>0</v>
      </c>
      <c r="L67" s="36">
        <f ca="1">IF($A67="","",IF(L$1="","",COUNTIFS(tbl_chests[from],$A67,tbl_chests[legalized],L$1,tbl_chests[datetime],"&gt;="&amp;TODAY()-WEEKDAY(TODAY(),2)+1,tbl_chests[datetime],"&lt;"&amp;TODAY()-WEEKDAY(TODAY(),2)+8)))</f>
        <v>0</v>
      </c>
      <c r="M67" s="36">
        <f ca="1">IF($A67="","",IF(M$1="","",COUNTIFS(tbl_chests[from],$A67,tbl_chests[legalized],M$1,tbl_chests[datetime],"&gt;="&amp;TODAY()-WEEKDAY(TODAY(),2)+1,tbl_chests[datetime],"&lt;"&amp;TODAY()-WEEKDAY(TODAY(),2)+8)))</f>
        <v>1</v>
      </c>
      <c r="N67" s="36">
        <f ca="1">IF($A67="","",IF(N$1="","",COUNTIFS(tbl_chests[from],$A67,tbl_chests[legalized],N$1,tbl_chests[datetime],"&gt;="&amp;TODAY()-WEEKDAY(TODAY(),2)+1,tbl_chests[datetime],"&lt;"&amp;TODAY()-WEEKDAY(TODAY(),2)+8)))</f>
        <v>0</v>
      </c>
      <c r="O67" s="36">
        <f ca="1">IF($A67="","",IF(O$1="","",COUNTIFS(tbl_chests[from],$A67,tbl_chests[legalized],O$1,tbl_chests[datetime],"&gt;="&amp;TODAY()-WEEKDAY(TODAY(),2)+1,tbl_chests[datetime],"&lt;"&amp;TODAY()-WEEKDAY(TODAY(),2)+8)))</f>
        <v>0</v>
      </c>
      <c r="P67" s="36">
        <f ca="1">IF($A67="","",IF(P$1="","",COUNTIFS(tbl_chests[from],$A67,tbl_chests[legalized],P$1,tbl_chests[datetime],"&gt;="&amp;TODAY()-WEEKDAY(TODAY(),2)+1,tbl_chests[datetime],"&lt;"&amp;TODAY()-WEEKDAY(TODAY(),2)+8)))</f>
        <v>0</v>
      </c>
      <c r="Q67" s="36">
        <f ca="1">IF($A67="","",IF(Q$1="","",COUNTIFS(tbl_chests[from],$A67,tbl_chests[legalized],Q$1,tbl_chests[datetime],"&gt;="&amp;TODAY()-WEEKDAY(TODAY(),2)+1,tbl_chests[datetime],"&lt;"&amp;TODAY()-WEEKDAY(TODAY(),2)+8)))</f>
        <v>0</v>
      </c>
      <c r="R67" s="36">
        <f ca="1">IF($A67="","",IF(R$1="","",COUNTIFS(tbl_chests[from],$A67,tbl_chests[legalized],R$1,tbl_chests[datetime],"&gt;="&amp;TODAY()-WEEKDAY(TODAY(),2)+1,tbl_chests[datetime],"&lt;"&amp;TODAY()-WEEKDAY(TODAY(),2)+8)))</f>
        <v>0</v>
      </c>
      <c r="S67" s="36">
        <f ca="1">IF($A67="","",IF(S$1="","",COUNTIFS(tbl_chests[from],$A67,tbl_chests[legalized],S$1,tbl_chests[datetime],"&gt;="&amp;TODAY()-WEEKDAY(TODAY(),2)+1,tbl_chests[datetime],"&lt;"&amp;TODAY()-WEEKDAY(TODAY(),2)+8)))</f>
        <v>0</v>
      </c>
      <c r="T67" s="36">
        <f ca="1">IF($A67="","",IF(T$1="","",COUNTIFS(tbl_chests[from],$A67,tbl_chests[legalized],T$1,tbl_chests[datetime],"&gt;="&amp;TODAY()-WEEKDAY(TODAY(),2)+1,tbl_chests[datetime],"&lt;"&amp;TODAY()-WEEKDAY(TODAY(),2)+8)))</f>
        <v>0</v>
      </c>
      <c r="U67" s="36">
        <f ca="1">IF($A67="","",IF(U$1="","",COUNTIFS(tbl_chests[from],$A67,tbl_chests[legalized],U$1,tbl_chests[datetime],"&gt;="&amp;TODAY()-WEEKDAY(TODAY(),2)+1,tbl_chests[datetime],"&lt;"&amp;TODAY()-WEEKDAY(TODAY(),2)+8)))</f>
        <v>0</v>
      </c>
      <c r="V67" s="36">
        <f ca="1">IF($A67="","",IF(V$1="","",COUNTIFS(tbl_chests[from],$A67,tbl_chests[legalized],V$1,tbl_chests[datetime],"&gt;="&amp;TODAY()-WEEKDAY(TODAY(),2)+1,tbl_chests[datetime],"&lt;"&amp;TODAY()-WEEKDAY(TODAY(),2)+8)))</f>
        <v>0</v>
      </c>
      <c r="W67" s="36">
        <f ca="1">IF($A67="","",IF(W$1="","",COUNTIFS(tbl_chests[from],$A67,tbl_chests[legalized],W$1,tbl_chests[datetime],"&gt;="&amp;TODAY()-WEEKDAY(TODAY(),2)+1,tbl_chests[datetime],"&lt;"&amp;TODAY()-WEEKDAY(TODAY(),2)+8)))</f>
        <v>0</v>
      </c>
      <c r="X67" s="36">
        <f ca="1">IF($A67="","",IF(X$1="","",COUNTIFS(tbl_chests[from],$A67,tbl_chests[legalized],X$1,tbl_chests[datetime],"&gt;="&amp;TODAY()-WEEKDAY(TODAY(),2)+1,tbl_chests[datetime],"&lt;"&amp;TODAY()-WEEKDAY(TODAY(),2)+8)))</f>
        <v>0</v>
      </c>
      <c r="Y67" s="36">
        <f ca="1">IF($A67="","",IF(Y$1="","",COUNTIFS(tbl_chests[from],$A67,tbl_chests[legalized],Y$1,tbl_chests[datetime],"&gt;="&amp;TODAY()-WEEKDAY(TODAY(),2)+1,tbl_chests[datetime],"&lt;"&amp;TODAY()-WEEKDAY(TODAY(),2)+8)))</f>
        <v>0</v>
      </c>
      <c r="Z67" s="36">
        <f ca="1">IF($A67="","",IF(Z$1="","",COUNTIFS(tbl_chests[from],$A67,tbl_chests[legalized],Z$1,tbl_chests[datetime],"&gt;="&amp;TODAY()-WEEKDAY(TODAY(),2)+1,tbl_chests[datetime],"&lt;"&amp;TODAY()-WEEKDAY(TODAY(),2)+8)))</f>
        <v>0</v>
      </c>
      <c r="AA67" s="36">
        <f ca="1">IF($A67="","",IF(AA$1="","",COUNTIFS(tbl_chests[from],$A67,tbl_chests[legalized],AA$1,tbl_chests[datetime],"&gt;="&amp;TODAY()-WEEKDAY(TODAY(),2)+1,tbl_chests[datetime],"&lt;"&amp;TODAY()-WEEKDAY(TODAY(),2)+8)))</f>
        <v>18</v>
      </c>
      <c r="AB67" s="36">
        <f ca="1">IF($A67="","",IF(AB$1="","",COUNTIFS(tbl_chests[from],$A67,tbl_chests[legalized],AB$1,tbl_chests[datetime],"&gt;="&amp;TODAY()-WEEKDAY(TODAY(),2)+1,tbl_chests[datetime],"&lt;"&amp;TODAY()-WEEKDAY(TODAY(),2)+8)))</f>
        <v>0</v>
      </c>
      <c r="AC67" s="36">
        <f ca="1">IF($A67="","",IF(AC$1="","",COUNTIFS(tbl_chests[from],$A67,tbl_chests[legalized],AC$1,tbl_chests[datetime],"&gt;="&amp;TODAY()-WEEKDAY(TODAY(),2)+1,tbl_chests[datetime],"&lt;"&amp;TODAY()-WEEKDAY(TODAY(),2)+8)))</f>
        <v>0</v>
      </c>
      <c r="AD67" s="36">
        <f ca="1">IF($A67="","",IF(AD$1="","",COUNTIFS(tbl_chests[from],$A67,tbl_chests[legalized],AD$1,tbl_chests[datetime],"&gt;="&amp;TODAY()-WEEKDAY(TODAY(),2)+1,tbl_chests[datetime],"&lt;"&amp;TODAY()-WEEKDAY(TODAY(),2)+8)))</f>
        <v>0</v>
      </c>
      <c r="AE67" s="36">
        <f ca="1">IF($A67="","",IF(AE$1="","",COUNTIFS(tbl_chests[from],$A67,tbl_chests[legalized],AE$1,tbl_chests[datetime],"&gt;="&amp;TODAY()-WEEKDAY(TODAY(),2)+1,tbl_chests[datetime],"&lt;"&amp;TODAY()-WEEKDAY(TODAY(),2)+8)))</f>
        <v>1</v>
      </c>
      <c r="AF67" s="36">
        <f ca="1">IF($A67="","",IF(AF$1="","",COUNTIFS(tbl_chests[from],$A67,tbl_chests[legalized],AF$1,tbl_chests[datetime],"&gt;="&amp;TODAY()-WEEKDAY(TODAY(),2)+1,tbl_chests[datetime],"&lt;"&amp;TODAY()-WEEKDAY(TODAY(),2)+8)))</f>
        <v>0</v>
      </c>
      <c r="AG67" s="36">
        <f ca="1">IF($A67="","",IF(AG$1="","",COUNTIFS(tbl_chests[from],$A67,tbl_chests[legalized],AG$1,tbl_chests[datetime],"&gt;="&amp;TODAY()-WEEKDAY(TODAY(),2)+1,tbl_chests[datetime],"&lt;"&amp;TODAY()-WEEKDAY(TODAY(),2)+8)))</f>
        <v>0</v>
      </c>
      <c r="AH67" s="36">
        <f ca="1">IF($A67="","",IF(AH$1="","",COUNTIFS(tbl_chests[from],$A67,tbl_chests[legalized],AH$1,tbl_chests[datetime],"&gt;="&amp;TODAY()-WEEKDAY(TODAY(),2)+1,tbl_chests[datetime],"&lt;"&amp;TODAY()-WEEKDAY(TODAY(),2)+8)))</f>
        <v>0</v>
      </c>
      <c r="AI67" s="36">
        <f ca="1">IF($A67="","",IF(AI$1="","",COUNTIFS(tbl_chests[from],$A67,tbl_chests[legalized],AI$1,tbl_chests[datetime],"&gt;="&amp;TODAY()-WEEKDAY(TODAY(),2)+1,tbl_chests[datetime],"&lt;"&amp;TODAY()-WEEKDAY(TODAY(),2)+8)))</f>
        <v>0</v>
      </c>
      <c r="AJ67" s="36">
        <f ca="1">IF($A67="","",IF(AJ$1="","",COUNTIFS(tbl_chests[from],$A67,tbl_chests[legalized],AJ$1,tbl_chests[datetime],"&gt;="&amp;TODAY()-WEEKDAY(TODAY(),2)+1,tbl_chests[datetime],"&lt;"&amp;TODAY()-WEEKDAY(TODAY(),2)+8)))</f>
        <v>0</v>
      </c>
      <c r="AK67" s="36">
        <f ca="1">IF($A67="","",IF(AK$1="","",COUNTIFS(tbl_chests[from],$A67,tbl_chests[legalized],AK$1,tbl_chests[datetime],"&gt;="&amp;TODAY()-WEEKDAY(TODAY(),2)+1,tbl_chests[datetime],"&lt;"&amp;TODAY()-WEEKDAY(TODAY(),2)+8)))</f>
        <v>0</v>
      </c>
      <c r="AL67" s="36">
        <f ca="1">IF($A67="","",IF(AL$1="","",COUNTIFS(tbl_chests[from],$A67,tbl_chests[legalized],AL$1,tbl_chests[datetime],"&gt;="&amp;TODAY()-WEEKDAY(TODAY(),2)+1,tbl_chests[datetime],"&lt;"&amp;TODAY()-WEEKDAY(TODAY(),2)+8)))</f>
        <v>0</v>
      </c>
      <c r="AM67" s="37">
        <f ca="1">IF($A67="","",IF(AM$1="","",COUNTIFS(tbl_chests[from],$A67,tbl_chests[legalized],AM$1,tbl_chests[datetime],"&gt;="&amp;TODAY()-WEEKDAY(TODAY(),2)+1,tbl_chests[datetime],"&lt;"&amp;TODAY()-WEEKDAY(TODAY(),2)+8)))</f>
        <v>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 spans="1:67" ht="15.75" customHeight="1" x14ac:dyDescent="0.25">
      <c r="A68" s="34" t="str">
        <f>chests_counter!$H65</f>
        <v>Tomuro</v>
      </c>
      <c r="B68" s="35" cm="1">
        <f t="array" aca="1" ref="B68" ca="1">IF(A68&lt;&gt;"", SUMPRODUCT(($C$2:$AM$2&lt;&gt;0)*(C68:AM68&lt;&gt;0)*($C$2:$AM$2)*(C68:AM68)), "")</f>
        <v>690</v>
      </c>
      <c r="C68" s="36">
        <f ca="1">IF($A68="","",IF(C$1="","",COUNTIFS(tbl_chests[from],$A68,tbl_chests[legalized],C$1,tbl_chests[datetime],"&gt;="&amp;TODAY()-WEEKDAY(TODAY(),2)+1,tbl_chests[datetime],"&lt;"&amp;TODAY()-WEEKDAY(TODAY(),2)+8)))</f>
        <v>0</v>
      </c>
      <c r="D68" s="36">
        <f ca="1">IF($A68="","",IF(D$1="","",COUNTIFS(tbl_chests[from],$A68,tbl_chests[legalized],D$1,tbl_chests[datetime],"&gt;="&amp;TODAY()-WEEKDAY(TODAY(),2)+1,tbl_chests[datetime],"&lt;"&amp;TODAY()-WEEKDAY(TODAY(),2)+8)))</f>
        <v>1</v>
      </c>
      <c r="E68" s="36">
        <f ca="1">IF($A68="","",IF(E$1="","",COUNTIFS(tbl_chests[from],$A68,tbl_chests[legalized],E$1,tbl_chests[datetime],"&gt;="&amp;TODAY()-WEEKDAY(TODAY(),2)+1,tbl_chests[datetime],"&lt;"&amp;TODAY()-WEEKDAY(TODAY(),2)+8)))</f>
        <v>1</v>
      </c>
      <c r="F68" s="36">
        <f ca="1">IF($A68="","",IF(F$1="","",COUNTIFS(tbl_chests[from],$A68,tbl_chests[legalized],F$1,tbl_chests[datetime],"&gt;="&amp;TODAY()-WEEKDAY(TODAY(),2)+1,tbl_chests[datetime],"&lt;"&amp;TODAY()-WEEKDAY(TODAY(),2)+8)))</f>
        <v>2</v>
      </c>
      <c r="G68" s="36">
        <f ca="1">IF($A68="","",IF(G$1="","",COUNTIFS(tbl_chests[from],$A68,tbl_chests[legalized],G$1,tbl_chests[datetime],"&gt;="&amp;TODAY()-WEEKDAY(TODAY(),2)+1,tbl_chests[datetime],"&lt;"&amp;TODAY()-WEEKDAY(TODAY(),2)+8)))</f>
        <v>0</v>
      </c>
      <c r="H68" s="36">
        <f ca="1">IF($A68="","",IF(H$1="","",COUNTIFS(tbl_chests[from],$A68,tbl_chests[legalized],H$1,tbl_chests[datetime],"&gt;="&amp;TODAY()-WEEKDAY(TODAY(),2)+1,tbl_chests[datetime],"&lt;"&amp;TODAY()-WEEKDAY(TODAY(),2)+8)))</f>
        <v>0</v>
      </c>
      <c r="I68" s="36">
        <f ca="1">IF($A68="","",IF(I$1="","",COUNTIFS(tbl_chests[from],$A68,tbl_chests[legalized],I$1,tbl_chests[datetime],"&gt;="&amp;TODAY()-WEEKDAY(TODAY(),2)+1,tbl_chests[datetime],"&lt;"&amp;TODAY()-WEEKDAY(TODAY(),2)+8)))</f>
        <v>0</v>
      </c>
      <c r="J68" s="36">
        <f ca="1">IF($A68="","",IF(J$1="","",COUNTIFS(tbl_chests[from],$A68,tbl_chests[legalized],J$1,tbl_chests[datetime],"&gt;="&amp;TODAY()-WEEKDAY(TODAY(),2)+1,tbl_chests[datetime],"&lt;"&amp;TODAY()-WEEKDAY(TODAY(),2)+8)))</f>
        <v>2</v>
      </c>
      <c r="K68" s="36">
        <f ca="1">IF($A68="","",IF(K$1="","",COUNTIFS(tbl_chests[from],$A68,tbl_chests[legalized],K$1,tbl_chests[datetime],"&gt;="&amp;TODAY()-WEEKDAY(TODAY(),2)+1,tbl_chests[datetime],"&lt;"&amp;TODAY()-WEEKDAY(TODAY(),2)+8)))</f>
        <v>0</v>
      </c>
      <c r="L68" s="36">
        <f ca="1">IF($A68="","",IF(L$1="","",COUNTIFS(tbl_chests[from],$A68,tbl_chests[legalized],L$1,tbl_chests[datetime],"&gt;="&amp;TODAY()-WEEKDAY(TODAY(),2)+1,tbl_chests[datetime],"&lt;"&amp;TODAY()-WEEKDAY(TODAY(),2)+8)))</f>
        <v>0</v>
      </c>
      <c r="M68" s="36">
        <f ca="1">IF($A68="","",IF(M$1="","",COUNTIFS(tbl_chests[from],$A68,tbl_chests[legalized],M$1,tbl_chests[datetime],"&gt;="&amp;TODAY()-WEEKDAY(TODAY(),2)+1,tbl_chests[datetime],"&lt;"&amp;TODAY()-WEEKDAY(TODAY(),2)+8)))</f>
        <v>0</v>
      </c>
      <c r="N68" s="36">
        <f ca="1">IF($A68="","",IF(N$1="","",COUNTIFS(tbl_chests[from],$A68,tbl_chests[legalized],N$1,tbl_chests[datetime],"&gt;="&amp;TODAY()-WEEKDAY(TODAY(),2)+1,tbl_chests[datetime],"&lt;"&amp;TODAY()-WEEKDAY(TODAY(),2)+8)))</f>
        <v>0</v>
      </c>
      <c r="O68" s="36">
        <f ca="1">IF($A68="","",IF(O$1="","",COUNTIFS(tbl_chests[from],$A68,tbl_chests[legalized],O$1,tbl_chests[datetime],"&gt;="&amp;TODAY()-WEEKDAY(TODAY(),2)+1,tbl_chests[datetime],"&lt;"&amp;TODAY()-WEEKDAY(TODAY(),2)+8)))</f>
        <v>0</v>
      </c>
      <c r="P68" s="36">
        <f ca="1">IF($A68="","",IF(P$1="","",COUNTIFS(tbl_chests[from],$A68,tbl_chests[legalized],P$1,tbl_chests[datetime],"&gt;="&amp;TODAY()-WEEKDAY(TODAY(),2)+1,tbl_chests[datetime],"&lt;"&amp;TODAY()-WEEKDAY(TODAY(),2)+8)))</f>
        <v>0</v>
      </c>
      <c r="Q68" s="36">
        <f ca="1">IF($A68="","",IF(Q$1="","",COUNTIFS(tbl_chests[from],$A68,tbl_chests[legalized],Q$1,tbl_chests[datetime],"&gt;="&amp;TODAY()-WEEKDAY(TODAY(),2)+1,tbl_chests[datetime],"&lt;"&amp;TODAY()-WEEKDAY(TODAY(),2)+8)))</f>
        <v>0</v>
      </c>
      <c r="R68" s="36">
        <f ca="1">IF($A68="","",IF(R$1="","",COUNTIFS(tbl_chests[from],$A68,tbl_chests[legalized],R$1,tbl_chests[datetime],"&gt;="&amp;TODAY()-WEEKDAY(TODAY(),2)+1,tbl_chests[datetime],"&lt;"&amp;TODAY()-WEEKDAY(TODAY(),2)+8)))</f>
        <v>1</v>
      </c>
      <c r="S68" s="36">
        <f ca="1">IF($A68="","",IF(S$1="","",COUNTIFS(tbl_chests[from],$A68,tbl_chests[legalized],S$1,tbl_chests[datetime],"&gt;="&amp;TODAY()-WEEKDAY(TODAY(),2)+1,tbl_chests[datetime],"&lt;"&amp;TODAY()-WEEKDAY(TODAY(),2)+8)))</f>
        <v>0</v>
      </c>
      <c r="T68" s="36">
        <f ca="1">IF($A68="","",IF(T$1="","",COUNTIFS(tbl_chests[from],$A68,tbl_chests[legalized],T$1,tbl_chests[datetime],"&gt;="&amp;TODAY()-WEEKDAY(TODAY(),2)+1,tbl_chests[datetime],"&lt;"&amp;TODAY()-WEEKDAY(TODAY(),2)+8)))</f>
        <v>3</v>
      </c>
      <c r="U68" s="36">
        <f ca="1">IF($A68="","",IF(U$1="","",COUNTIFS(tbl_chests[from],$A68,tbl_chests[legalized],U$1,tbl_chests[datetime],"&gt;="&amp;TODAY()-WEEKDAY(TODAY(),2)+1,tbl_chests[datetime],"&lt;"&amp;TODAY()-WEEKDAY(TODAY(),2)+8)))</f>
        <v>0</v>
      </c>
      <c r="V68" s="36">
        <f ca="1">IF($A68="","",IF(V$1="","",COUNTIFS(tbl_chests[from],$A68,tbl_chests[legalized],V$1,tbl_chests[datetime],"&gt;="&amp;TODAY()-WEEKDAY(TODAY(),2)+1,tbl_chests[datetime],"&lt;"&amp;TODAY()-WEEKDAY(TODAY(),2)+8)))</f>
        <v>0</v>
      </c>
      <c r="W68" s="36">
        <f ca="1">IF($A68="","",IF(W$1="","",COUNTIFS(tbl_chests[from],$A68,tbl_chests[legalized],W$1,tbl_chests[datetime],"&gt;="&amp;TODAY()-WEEKDAY(TODAY(),2)+1,tbl_chests[datetime],"&lt;"&amp;TODAY()-WEEKDAY(TODAY(),2)+8)))</f>
        <v>0</v>
      </c>
      <c r="X68" s="36">
        <f ca="1">IF($A68="","",IF(X$1="","",COUNTIFS(tbl_chests[from],$A68,tbl_chests[legalized],X$1,tbl_chests[datetime],"&gt;="&amp;TODAY()-WEEKDAY(TODAY(),2)+1,tbl_chests[datetime],"&lt;"&amp;TODAY()-WEEKDAY(TODAY(),2)+8)))</f>
        <v>0</v>
      </c>
      <c r="Y68" s="36">
        <f ca="1">IF($A68="","",IF(Y$1="","",COUNTIFS(tbl_chests[from],$A68,tbl_chests[legalized],Y$1,tbl_chests[datetime],"&gt;="&amp;TODAY()-WEEKDAY(TODAY(),2)+1,tbl_chests[datetime],"&lt;"&amp;TODAY()-WEEKDAY(TODAY(),2)+8)))</f>
        <v>0</v>
      </c>
      <c r="Z68" s="36">
        <f ca="1">IF($A68="","",IF(Z$1="","",COUNTIFS(tbl_chests[from],$A68,tbl_chests[legalized],Z$1,tbl_chests[datetime],"&gt;="&amp;TODAY()-WEEKDAY(TODAY(),2)+1,tbl_chests[datetime],"&lt;"&amp;TODAY()-WEEKDAY(TODAY(),2)+8)))</f>
        <v>0</v>
      </c>
      <c r="AA68" s="36">
        <f ca="1">IF($A68="","",IF(AA$1="","",COUNTIFS(tbl_chests[from],$A68,tbl_chests[legalized],AA$1,tbl_chests[datetime],"&gt;="&amp;TODAY()-WEEKDAY(TODAY(),2)+1,tbl_chests[datetime],"&lt;"&amp;TODAY()-WEEKDAY(TODAY(),2)+8)))</f>
        <v>9</v>
      </c>
      <c r="AB68" s="36">
        <f ca="1">IF($A68="","",IF(AB$1="","",COUNTIFS(tbl_chests[from],$A68,tbl_chests[legalized],AB$1,tbl_chests[datetime],"&gt;="&amp;TODAY()-WEEKDAY(TODAY(),2)+1,tbl_chests[datetime],"&lt;"&amp;TODAY()-WEEKDAY(TODAY(),2)+8)))</f>
        <v>0</v>
      </c>
      <c r="AC68" s="36">
        <f ca="1">IF($A68="","",IF(AC$1="","",COUNTIFS(tbl_chests[from],$A68,tbl_chests[legalized],AC$1,tbl_chests[datetime],"&gt;="&amp;TODAY()-WEEKDAY(TODAY(),2)+1,tbl_chests[datetime],"&lt;"&amp;TODAY()-WEEKDAY(TODAY(),2)+8)))</f>
        <v>0</v>
      </c>
      <c r="AD68" s="36">
        <f ca="1">IF($A68="","",IF(AD$1="","",COUNTIFS(tbl_chests[from],$A68,tbl_chests[legalized],AD$1,tbl_chests[datetime],"&gt;="&amp;TODAY()-WEEKDAY(TODAY(),2)+1,tbl_chests[datetime],"&lt;"&amp;TODAY()-WEEKDAY(TODAY(),2)+8)))</f>
        <v>0</v>
      </c>
      <c r="AE68" s="36">
        <f ca="1">IF($A68="","",IF(AE$1="","",COUNTIFS(tbl_chests[from],$A68,tbl_chests[legalized],AE$1,tbl_chests[datetime],"&gt;="&amp;TODAY()-WEEKDAY(TODAY(),2)+1,tbl_chests[datetime],"&lt;"&amp;TODAY()-WEEKDAY(TODAY(),2)+8)))</f>
        <v>0</v>
      </c>
      <c r="AF68" s="36">
        <f ca="1">IF($A68="","",IF(AF$1="","",COUNTIFS(tbl_chests[from],$A68,tbl_chests[legalized],AF$1,tbl_chests[datetime],"&gt;="&amp;TODAY()-WEEKDAY(TODAY(),2)+1,tbl_chests[datetime],"&lt;"&amp;TODAY()-WEEKDAY(TODAY(),2)+8)))</f>
        <v>0</v>
      </c>
      <c r="AG68" s="36">
        <f ca="1">IF($A68="","",IF(AG$1="","",COUNTIFS(tbl_chests[from],$A68,tbl_chests[legalized],AG$1,tbl_chests[datetime],"&gt;="&amp;TODAY()-WEEKDAY(TODAY(),2)+1,tbl_chests[datetime],"&lt;"&amp;TODAY()-WEEKDAY(TODAY(),2)+8)))</f>
        <v>0</v>
      </c>
      <c r="AH68" s="36">
        <f ca="1">IF($A68="","",IF(AH$1="","",COUNTIFS(tbl_chests[from],$A68,tbl_chests[legalized],AH$1,tbl_chests[datetime],"&gt;="&amp;TODAY()-WEEKDAY(TODAY(),2)+1,tbl_chests[datetime],"&lt;"&amp;TODAY()-WEEKDAY(TODAY(),2)+8)))</f>
        <v>0</v>
      </c>
      <c r="AI68" s="36">
        <f ca="1">IF($A68="","",IF(AI$1="","",COUNTIFS(tbl_chests[from],$A68,tbl_chests[legalized],AI$1,tbl_chests[datetime],"&gt;="&amp;TODAY()-WEEKDAY(TODAY(),2)+1,tbl_chests[datetime],"&lt;"&amp;TODAY()-WEEKDAY(TODAY(),2)+8)))</f>
        <v>0</v>
      </c>
      <c r="AJ68" s="36">
        <f ca="1">IF($A68="","",IF(AJ$1="","",COUNTIFS(tbl_chests[from],$A68,tbl_chests[legalized],AJ$1,tbl_chests[datetime],"&gt;="&amp;TODAY()-WEEKDAY(TODAY(),2)+1,tbl_chests[datetime],"&lt;"&amp;TODAY()-WEEKDAY(TODAY(),2)+8)))</f>
        <v>0</v>
      </c>
      <c r="AK68" s="36">
        <f ca="1">IF($A68="","",IF(AK$1="","",COUNTIFS(tbl_chests[from],$A68,tbl_chests[legalized],AK$1,tbl_chests[datetime],"&gt;="&amp;TODAY()-WEEKDAY(TODAY(),2)+1,tbl_chests[datetime],"&lt;"&amp;TODAY()-WEEKDAY(TODAY(),2)+8)))</f>
        <v>0</v>
      </c>
      <c r="AL68" s="36">
        <f ca="1">IF($A68="","",IF(AL$1="","",COUNTIFS(tbl_chests[from],$A68,tbl_chests[legalized],AL$1,tbl_chests[datetime],"&gt;="&amp;TODAY()-WEEKDAY(TODAY(),2)+1,tbl_chests[datetime],"&lt;"&amp;TODAY()-WEEKDAY(TODAY(),2)+8)))</f>
        <v>0</v>
      </c>
      <c r="AM68" s="37">
        <f ca="1">IF($A68="","",IF(AM$1="","",COUNTIFS(tbl_chests[from],$A68,tbl_chests[legalized],AM$1,tbl_chests[datetime],"&gt;="&amp;TODAY()-WEEKDAY(TODAY(),2)+1,tbl_chests[datetime],"&lt;"&amp;TODAY()-WEEKDAY(TODAY(),2)+8)))</f>
        <v>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 spans="1:67" ht="15.75" customHeight="1" x14ac:dyDescent="0.25">
      <c r="A69" s="34" t="str">
        <f>chests_counter!$H66</f>
        <v>Totaur</v>
      </c>
      <c r="B69" s="35" cm="1">
        <f t="array" aca="1" ref="B69" ca="1">IF(A69&lt;&gt;"", SUMPRODUCT(($C$2:$AM$2&lt;&gt;0)*(C69:AM69&lt;&gt;0)*($C$2:$AM$2)*(C69:AM69)), "")</f>
        <v>610</v>
      </c>
      <c r="C69" s="36">
        <f ca="1">IF($A69="","",IF(C$1="","",COUNTIFS(tbl_chests[from],$A69,tbl_chests[legalized],C$1,tbl_chests[datetime],"&gt;="&amp;TODAY()-WEEKDAY(TODAY(),2)+1,tbl_chests[datetime],"&lt;"&amp;TODAY()-WEEKDAY(TODAY(),2)+8)))</f>
        <v>4</v>
      </c>
      <c r="D69" s="36">
        <f ca="1">IF($A69="","",IF(D$1="","",COUNTIFS(tbl_chests[from],$A69,tbl_chests[legalized],D$1,tbl_chests[datetime],"&gt;="&amp;TODAY()-WEEKDAY(TODAY(),2)+1,tbl_chests[datetime],"&lt;"&amp;TODAY()-WEEKDAY(TODAY(),2)+8)))</f>
        <v>10</v>
      </c>
      <c r="E69" s="36">
        <f ca="1">IF($A69="","",IF(E$1="","",COUNTIFS(tbl_chests[from],$A69,tbl_chests[legalized],E$1,tbl_chests[datetime],"&gt;="&amp;TODAY()-WEEKDAY(TODAY(),2)+1,tbl_chests[datetime],"&lt;"&amp;TODAY()-WEEKDAY(TODAY(),2)+8)))</f>
        <v>0</v>
      </c>
      <c r="F69" s="36">
        <f ca="1">IF($A69="","",IF(F$1="","",COUNTIFS(tbl_chests[from],$A69,tbl_chests[legalized],F$1,tbl_chests[datetime],"&gt;="&amp;TODAY()-WEEKDAY(TODAY(),2)+1,tbl_chests[datetime],"&lt;"&amp;TODAY()-WEEKDAY(TODAY(),2)+8)))</f>
        <v>0</v>
      </c>
      <c r="G69" s="36">
        <f ca="1">IF($A69="","",IF(G$1="","",COUNTIFS(tbl_chests[from],$A69,tbl_chests[legalized],G$1,tbl_chests[datetime],"&gt;="&amp;TODAY()-WEEKDAY(TODAY(),2)+1,tbl_chests[datetime],"&lt;"&amp;TODAY()-WEEKDAY(TODAY(),2)+8)))</f>
        <v>0</v>
      </c>
      <c r="H69" s="36">
        <f ca="1">IF($A69="","",IF(H$1="","",COUNTIFS(tbl_chests[from],$A69,tbl_chests[legalized],H$1,tbl_chests[datetime],"&gt;="&amp;TODAY()-WEEKDAY(TODAY(),2)+1,tbl_chests[datetime],"&lt;"&amp;TODAY()-WEEKDAY(TODAY(),2)+8)))</f>
        <v>0</v>
      </c>
      <c r="I69" s="36">
        <f ca="1">IF($A69="","",IF(I$1="","",COUNTIFS(tbl_chests[from],$A69,tbl_chests[legalized],I$1,tbl_chests[datetime],"&gt;="&amp;TODAY()-WEEKDAY(TODAY(),2)+1,tbl_chests[datetime],"&lt;"&amp;TODAY()-WEEKDAY(TODAY(),2)+8)))</f>
        <v>0</v>
      </c>
      <c r="J69" s="36">
        <f ca="1">IF($A69="","",IF(J$1="","",COUNTIFS(tbl_chests[from],$A69,tbl_chests[legalized],J$1,tbl_chests[datetime],"&gt;="&amp;TODAY()-WEEKDAY(TODAY(),2)+1,tbl_chests[datetime],"&lt;"&amp;TODAY()-WEEKDAY(TODAY(),2)+8)))</f>
        <v>0</v>
      </c>
      <c r="K69" s="36">
        <f ca="1">IF($A69="","",IF(K$1="","",COUNTIFS(tbl_chests[from],$A69,tbl_chests[legalized],K$1,tbl_chests[datetime],"&gt;="&amp;TODAY()-WEEKDAY(TODAY(),2)+1,tbl_chests[datetime],"&lt;"&amp;TODAY()-WEEKDAY(TODAY(),2)+8)))</f>
        <v>0</v>
      </c>
      <c r="L69" s="36">
        <f ca="1">IF($A69="","",IF(L$1="","",COUNTIFS(tbl_chests[from],$A69,tbl_chests[legalized],L$1,tbl_chests[datetime],"&gt;="&amp;TODAY()-WEEKDAY(TODAY(),2)+1,tbl_chests[datetime],"&lt;"&amp;TODAY()-WEEKDAY(TODAY(),2)+8)))</f>
        <v>0</v>
      </c>
      <c r="M69" s="36">
        <f ca="1">IF($A69="","",IF(M$1="","",COUNTIFS(tbl_chests[from],$A69,tbl_chests[legalized],M$1,tbl_chests[datetime],"&gt;="&amp;TODAY()-WEEKDAY(TODAY(),2)+1,tbl_chests[datetime],"&lt;"&amp;TODAY()-WEEKDAY(TODAY(),2)+8)))</f>
        <v>0</v>
      </c>
      <c r="N69" s="36">
        <f ca="1">IF($A69="","",IF(N$1="","",COUNTIFS(tbl_chests[from],$A69,tbl_chests[legalized],N$1,tbl_chests[datetime],"&gt;="&amp;TODAY()-WEEKDAY(TODAY(),2)+1,tbl_chests[datetime],"&lt;"&amp;TODAY()-WEEKDAY(TODAY(),2)+8)))</f>
        <v>0</v>
      </c>
      <c r="O69" s="36">
        <f ca="1">IF($A69="","",IF(O$1="","",COUNTIFS(tbl_chests[from],$A69,tbl_chests[legalized],O$1,tbl_chests[datetime],"&gt;="&amp;TODAY()-WEEKDAY(TODAY(),2)+1,tbl_chests[datetime],"&lt;"&amp;TODAY()-WEEKDAY(TODAY(),2)+8)))</f>
        <v>0</v>
      </c>
      <c r="P69" s="36">
        <f ca="1">IF($A69="","",IF(P$1="","",COUNTIFS(tbl_chests[from],$A69,tbl_chests[legalized],P$1,tbl_chests[datetime],"&gt;="&amp;TODAY()-WEEKDAY(TODAY(),2)+1,tbl_chests[datetime],"&lt;"&amp;TODAY()-WEEKDAY(TODAY(),2)+8)))</f>
        <v>0</v>
      </c>
      <c r="Q69" s="36">
        <f ca="1">IF($A69="","",IF(Q$1="","",COUNTIFS(tbl_chests[from],$A69,tbl_chests[legalized],Q$1,tbl_chests[datetime],"&gt;="&amp;TODAY()-WEEKDAY(TODAY(),2)+1,tbl_chests[datetime],"&lt;"&amp;TODAY()-WEEKDAY(TODAY(),2)+8)))</f>
        <v>0</v>
      </c>
      <c r="R69" s="36">
        <f ca="1">IF($A69="","",IF(R$1="","",COUNTIFS(tbl_chests[from],$A69,tbl_chests[legalized],R$1,tbl_chests[datetime],"&gt;="&amp;TODAY()-WEEKDAY(TODAY(),2)+1,tbl_chests[datetime],"&lt;"&amp;TODAY()-WEEKDAY(TODAY(),2)+8)))</f>
        <v>1</v>
      </c>
      <c r="S69" s="36">
        <f ca="1">IF($A69="","",IF(S$1="","",COUNTIFS(tbl_chests[from],$A69,tbl_chests[legalized],S$1,tbl_chests[datetime],"&gt;="&amp;TODAY()-WEEKDAY(TODAY(),2)+1,tbl_chests[datetime],"&lt;"&amp;TODAY()-WEEKDAY(TODAY(),2)+8)))</f>
        <v>0</v>
      </c>
      <c r="T69" s="36">
        <f ca="1">IF($A69="","",IF(T$1="","",COUNTIFS(tbl_chests[from],$A69,tbl_chests[legalized],T$1,tbl_chests[datetime],"&gt;="&amp;TODAY()-WEEKDAY(TODAY(),2)+1,tbl_chests[datetime],"&lt;"&amp;TODAY()-WEEKDAY(TODAY(),2)+8)))</f>
        <v>0</v>
      </c>
      <c r="U69" s="36">
        <f ca="1">IF($A69="","",IF(U$1="","",COUNTIFS(tbl_chests[from],$A69,tbl_chests[legalized],U$1,tbl_chests[datetime],"&gt;="&amp;TODAY()-WEEKDAY(TODAY(),2)+1,tbl_chests[datetime],"&lt;"&amp;TODAY()-WEEKDAY(TODAY(),2)+8)))</f>
        <v>0</v>
      </c>
      <c r="V69" s="36">
        <f ca="1">IF($A69="","",IF(V$1="","",COUNTIFS(tbl_chests[from],$A69,tbl_chests[legalized],V$1,tbl_chests[datetime],"&gt;="&amp;TODAY()-WEEKDAY(TODAY(),2)+1,tbl_chests[datetime],"&lt;"&amp;TODAY()-WEEKDAY(TODAY(),2)+8)))</f>
        <v>0</v>
      </c>
      <c r="W69" s="36">
        <f ca="1">IF($A69="","",IF(W$1="","",COUNTIFS(tbl_chests[from],$A69,tbl_chests[legalized],W$1,tbl_chests[datetime],"&gt;="&amp;TODAY()-WEEKDAY(TODAY(),2)+1,tbl_chests[datetime],"&lt;"&amp;TODAY()-WEEKDAY(TODAY(),2)+8)))</f>
        <v>0</v>
      </c>
      <c r="X69" s="36">
        <f ca="1">IF($A69="","",IF(X$1="","",COUNTIFS(tbl_chests[from],$A69,tbl_chests[legalized],X$1,tbl_chests[datetime],"&gt;="&amp;TODAY()-WEEKDAY(TODAY(),2)+1,tbl_chests[datetime],"&lt;"&amp;TODAY()-WEEKDAY(TODAY(),2)+8)))</f>
        <v>0</v>
      </c>
      <c r="Y69" s="36">
        <f ca="1">IF($A69="","",IF(Y$1="","",COUNTIFS(tbl_chests[from],$A69,tbl_chests[legalized],Y$1,tbl_chests[datetime],"&gt;="&amp;TODAY()-WEEKDAY(TODAY(),2)+1,tbl_chests[datetime],"&lt;"&amp;TODAY()-WEEKDAY(TODAY(),2)+8)))</f>
        <v>0</v>
      </c>
      <c r="Z69" s="36">
        <f ca="1">IF($A69="","",IF(Z$1="","",COUNTIFS(tbl_chests[from],$A69,tbl_chests[legalized],Z$1,tbl_chests[datetime],"&gt;="&amp;TODAY()-WEEKDAY(TODAY(),2)+1,tbl_chests[datetime],"&lt;"&amp;TODAY()-WEEKDAY(TODAY(),2)+8)))</f>
        <v>0</v>
      </c>
      <c r="AA69" s="36">
        <f ca="1">IF($A69="","",IF(AA$1="","",COUNTIFS(tbl_chests[from],$A69,tbl_chests[legalized],AA$1,tbl_chests[datetime],"&gt;="&amp;TODAY()-WEEKDAY(TODAY(),2)+1,tbl_chests[datetime],"&lt;"&amp;TODAY()-WEEKDAY(TODAY(),2)+8)))</f>
        <v>9</v>
      </c>
      <c r="AB69" s="36">
        <f ca="1">IF($A69="","",IF(AB$1="","",COUNTIFS(tbl_chests[from],$A69,tbl_chests[legalized],AB$1,tbl_chests[datetime],"&gt;="&amp;TODAY()-WEEKDAY(TODAY(),2)+1,tbl_chests[datetime],"&lt;"&amp;TODAY()-WEEKDAY(TODAY(),2)+8)))</f>
        <v>0</v>
      </c>
      <c r="AC69" s="36">
        <f ca="1">IF($A69="","",IF(AC$1="","",COUNTIFS(tbl_chests[from],$A69,tbl_chests[legalized],AC$1,tbl_chests[datetime],"&gt;="&amp;TODAY()-WEEKDAY(TODAY(),2)+1,tbl_chests[datetime],"&lt;"&amp;TODAY()-WEEKDAY(TODAY(),2)+8)))</f>
        <v>0</v>
      </c>
      <c r="AD69" s="36">
        <f ca="1">IF($A69="","",IF(AD$1="","",COUNTIFS(tbl_chests[from],$A69,tbl_chests[legalized],AD$1,tbl_chests[datetime],"&gt;="&amp;TODAY()-WEEKDAY(TODAY(),2)+1,tbl_chests[datetime],"&lt;"&amp;TODAY()-WEEKDAY(TODAY(),2)+8)))</f>
        <v>0</v>
      </c>
      <c r="AE69" s="36">
        <f ca="1">IF($A69="","",IF(AE$1="","",COUNTIFS(tbl_chests[from],$A69,tbl_chests[legalized],AE$1,tbl_chests[datetime],"&gt;="&amp;TODAY()-WEEKDAY(TODAY(),2)+1,tbl_chests[datetime],"&lt;"&amp;TODAY()-WEEKDAY(TODAY(),2)+8)))</f>
        <v>0</v>
      </c>
      <c r="AF69" s="36">
        <f ca="1">IF($A69="","",IF(AF$1="","",COUNTIFS(tbl_chests[from],$A69,tbl_chests[legalized],AF$1,tbl_chests[datetime],"&gt;="&amp;TODAY()-WEEKDAY(TODAY(),2)+1,tbl_chests[datetime],"&lt;"&amp;TODAY()-WEEKDAY(TODAY(),2)+8)))</f>
        <v>0</v>
      </c>
      <c r="AG69" s="36">
        <f ca="1">IF($A69="","",IF(AG$1="","",COUNTIFS(tbl_chests[from],$A69,tbl_chests[legalized],AG$1,tbl_chests[datetime],"&gt;="&amp;TODAY()-WEEKDAY(TODAY(),2)+1,tbl_chests[datetime],"&lt;"&amp;TODAY()-WEEKDAY(TODAY(),2)+8)))</f>
        <v>0</v>
      </c>
      <c r="AH69" s="36">
        <f ca="1">IF($A69="","",IF(AH$1="","",COUNTIFS(tbl_chests[from],$A69,tbl_chests[legalized],AH$1,tbl_chests[datetime],"&gt;="&amp;TODAY()-WEEKDAY(TODAY(),2)+1,tbl_chests[datetime],"&lt;"&amp;TODAY()-WEEKDAY(TODAY(),2)+8)))</f>
        <v>0</v>
      </c>
      <c r="AI69" s="36">
        <f ca="1">IF($A69="","",IF(AI$1="","",COUNTIFS(tbl_chests[from],$A69,tbl_chests[legalized],AI$1,tbl_chests[datetime],"&gt;="&amp;TODAY()-WEEKDAY(TODAY(),2)+1,tbl_chests[datetime],"&lt;"&amp;TODAY()-WEEKDAY(TODAY(),2)+8)))</f>
        <v>0</v>
      </c>
      <c r="AJ69" s="36">
        <f ca="1">IF($A69="","",IF(AJ$1="","",COUNTIFS(tbl_chests[from],$A69,tbl_chests[legalized],AJ$1,tbl_chests[datetime],"&gt;="&amp;TODAY()-WEEKDAY(TODAY(),2)+1,tbl_chests[datetime],"&lt;"&amp;TODAY()-WEEKDAY(TODAY(),2)+8)))</f>
        <v>0</v>
      </c>
      <c r="AK69" s="36">
        <f ca="1">IF($A69="","",IF(AK$1="","",COUNTIFS(tbl_chests[from],$A69,tbl_chests[legalized],AK$1,tbl_chests[datetime],"&gt;="&amp;TODAY()-WEEKDAY(TODAY(),2)+1,tbl_chests[datetime],"&lt;"&amp;TODAY()-WEEKDAY(TODAY(),2)+8)))</f>
        <v>0</v>
      </c>
      <c r="AL69" s="36">
        <f ca="1">IF($A69="","",IF(AL$1="","",COUNTIFS(tbl_chests[from],$A69,tbl_chests[legalized],AL$1,tbl_chests[datetime],"&gt;="&amp;TODAY()-WEEKDAY(TODAY(),2)+1,tbl_chests[datetime],"&lt;"&amp;TODAY()-WEEKDAY(TODAY(),2)+8)))</f>
        <v>0</v>
      </c>
      <c r="AM69" s="37">
        <f ca="1">IF($A69="","",IF(AM$1="","",COUNTIFS(tbl_chests[from],$A69,tbl_chests[legalized],AM$1,tbl_chests[datetime],"&gt;="&amp;TODAY()-WEEKDAY(TODAY(),2)+1,tbl_chests[datetime],"&lt;"&amp;TODAY()-WEEKDAY(TODAY(),2)+8)))</f>
        <v>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 spans="1:67" ht="15.75" customHeight="1" x14ac:dyDescent="0.25">
      <c r="A70" s="34" t="str">
        <f>chests_counter!$H67</f>
        <v>Van Jazzle</v>
      </c>
      <c r="B70" s="35" cm="1">
        <f t="array" aca="1" ref="B70" ca="1">IF(A70&lt;&gt;"", SUMPRODUCT(($C$2:$AM$2&lt;&gt;0)*(C70:AM70&lt;&gt;0)*($C$2:$AM$2)*(C70:AM70)), "")</f>
        <v>715</v>
      </c>
      <c r="C70" s="36">
        <f ca="1">IF($A70="","",IF(C$1="","",COUNTIFS(tbl_chests[from],$A70,tbl_chests[legalized],C$1,tbl_chests[datetime],"&gt;="&amp;TODAY()-WEEKDAY(TODAY(),2)+1,tbl_chests[datetime],"&lt;"&amp;TODAY()-WEEKDAY(TODAY(),2)+8)))</f>
        <v>3</v>
      </c>
      <c r="D70" s="36">
        <f ca="1">IF($A70="","",IF(D$1="","",COUNTIFS(tbl_chests[from],$A70,tbl_chests[legalized],D$1,tbl_chests[datetime],"&gt;="&amp;TODAY()-WEEKDAY(TODAY(),2)+1,tbl_chests[datetime],"&lt;"&amp;TODAY()-WEEKDAY(TODAY(),2)+8)))</f>
        <v>26</v>
      </c>
      <c r="E70" s="36">
        <f ca="1">IF($A70="","",IF(E$1="","",COUNTIFS(tbl_chests[from],$A70,tbl_chests[legalized],E$1,tbl_chests[datetime],"&gt;="&amp;TODAY()-WEEKDAY(TODAY(),2)+1,tbl_chests[datetime],"&lt;"&amp;TODAY()-WEEKDAY(TODAY(),2)+8)))</f>
        <v>0</v>
      </c>
      <c r="F70" s="36">
        <f ca="1">IF($A70="","",IF(F$1="","",COUNTIFS(tbl_chests[from],$A70,tbl_chests[legalized],F$1,tbl_chests[datetime],"&gt;="&amp;TODAY()-WEEKDAY(TODAY(),2)+1,tbl_chests[datetime],"&lt;"&amp;TODAY()-WEEKDAY(TODAY(),2)+8)))</f>
        <v>0</v>
      </c>
      <c r="G70" s="36">
        <f ca="1">IF($A70="","",IF(G$1="","",COUNTIFS(tbl_chests[from],$A70,tbl_chests[legalized],G$1,tbl_chests[datetime],"&gt;="&amp;TODAY()-WEEKDAY(TODAY(),2)+1,tbl_chests[datetime],"&lt;"&amp;TODAY()-WEEKDAY(TODAY(),2)+8)))</f>
        <v>0</v>
      </c>
      <c r="H70" s="36">
        <f ca="1">IF($A70="","",IF(H$1="","",COUNTIFS(tbl_chests[from],$A70,tbl_chests[legalized],H$1,tbl_chests[datetime],"&gt;="&amp;TODAY()-WEEKDAY(TODAY(),2)+1,tbl_chests[datetime],"&lt;"&amp;TODAY()-WEEKDAY(TODAY(),2)+8)))</f>
        <v>0</v>
      </c>
      <c r="I70" s="36">
        <f ca="1">IF($A70="","",IF(I$1="","",COUNTIFS(tbl_chests[from],$A70,tbl_chests[legalized],I$1,tbl_chests[datetime],"&gt;="&amp;TODAY()-WEEKDAY(TODAY(),2)+1,tbl_chests[datetime],"&lt;"&amp;TODAY()-WEEKDAY(TODAY(),2)+8)))</f>
        <v>0</v>
      </c>
      <c r="J70" s="36">
        <f ca="1">IF($A70="","",IF(J$1="","",COUNTIFS(tbl_chests[from],$A70,tbl_chests[legalized],J$1,tbl_chests[datetime],"&gt;="&amp;TODAY()-WEEKDAY(TODAY(),2)+1,tbl_chests[datetime],"&lt;"&amp;TODAY()-WEEKDAY(TODAY(),2)+8)))</f>
        <v>0</v>
      </c>
      <c r="K70" s="36">
        <f ca="1">IF($A70="","",IF(K$1="","",COUNTIFS(tbl_chests[from],$A70,tbl_chests[legalized],K$1,tbl_chests[datetime],"&gt;="&amp;TODAY()-WEEKDAY(TODAY(),2)+1,tbl_chests[datetime],"&lt;"&amp;TODAY()-WEEKDAY(TODAY(),2)+8)))</f>
        <v>0</v>
      </c>
      <c r="L70" s="36">
        <f ca="1">IF($A70="","",IF(L$1="","",COUNTIFS(tbl_chests[from],$A70,tbl_chests[legalized],L$1,tbl_chests[datetime],"&gt;="&amp;TODAY()-WEEKDAY(TODAY(),2)+1,tbl_chests[datetime],"&lt;"&amp;TODAY()-WEEKDAY(TODAY(),2)+8)))</f>
        <v>0</v>
      </c>
      <c r="M70" s="36">
        <f ca="1">IF($A70="","",IF(M$1="","",COUNTIFS(tbl_chests[from],$A70,tbl_chests[legalized],M$1,tbl_chests[datetime],"&gt;="&amp;TODAY()-WEEKDAY(TODAY(),2)+1,tbl_chests[datetime],"&lt;"&amp;TODAY()-WEEKDAY(TODAY(),2)+8)))</f>
        <v>0</v>
      </c>
      <c r="N70" s="36">
        <f ca="1">IF($A70="","",IF(N$1="","",COUNTIFS(tbl_chests[from],$A70,tbl_chests[legalized],N$1,tbl_chests[datetime],"&gt;="&amp;TODAY()-WEEKDAY(TODAY(),2)+1,tbl_chests[datetime],"&lt;"&amp;TODAY()-WEEKDAY(TODAY(),2)+8)))</f>
        <v>0</v>
      </c>
      <c r="O70" s="36">
        <f ca="1">IF($A70="","",IF(O$1="","",COUNTIFS(tbl_chests[from],$A70,tbl_chests[legalized],O$1,tbl_chests[datetime],"&gt;="&amp;TODAY()-WEEKDAY(TODAY(),2)+1,tbl_chests[datetime],"&lt;"&amp;TODAY()-WEEKDAY(TODAY(),2)+8)))</f>
        <v>0</v>
      </c>
      <c r="P70" s="36">
        <f ca="1">IF($A70="","",IF(P$1="","",COUNTIFS(tbl_chests[from],$A70,tbl_chests[legalized],P$1,tbl_chests[datetime],"&gt;="&amp;TODAY()-WEEKDAY(TODAY(),2)+1,tbl_chests[datetime],"&lt;"&amp;TODAY()-WEEKDAY(TODAY(),2)+8)))</f>
        <v>0</v>
      </c>
      <c r="Q70" s="36">
        <f ca="1">IF($A70="","",IF(Q$1="","",COUNTIFS(tbl_chests[from],$A70,tbl_chests[legalized],Q$1,tbl_chests[datetime],"&gt;="&amp;TODAY()-WEEKDAY(TODAY(),2)+1,tbl_chests[datetime],"&lt;"&amp;TODAY()-WEEKDAY(TODAY(),2)+8)))</f>
        <v>0</v>
      </c>
      <c r="R70" s="36">
        <f ca="1">IF($A70="","",IF(R$1="","",COUNTIFS(tbl_chests[from],$A70,tbl_chests[legalized],R$1,tbl_chests[datetime],"&gt;="&amp;TODAY()-WEEKDAY(TODAY(),2)+1,tbl_chests[datetime],"&lt;"&amp;TODAY()-WEEKDAY(TODAY(),2)+8)))</f>
        <v>0</v>
      </c>
      <c r="S70" s="36">
        <f ca="1">IF($A70="","",IF(S$1="","",COUNTIFS(tbl_chests[from],$A70,tbl_chests[legalized],S$1,tbl_chests[datetime],"&gt;="&amp;TODAY()-WEEKDAY(TODAY(),2)+1,tbl_chests[datetime],"&lt;"&amp;TODAY()-WEEKDAY(TODAY(),2)+8)))</f>
        <v>0</v>
      </c>
      <c r="T70" s="36">
        <f ca="1">IF($A70="","",IF(T$1="","",COUNTIFS(tbl_chests[from],$A70,tbl_chests[legalized],T$1,tbl_chests[datetime],"&gt;="&amp;TODAY()-WEEKDAY(TODAY(),2)+1,tbl_chests[datetime],"&lt;"&amp;TODAY()-WEEKDAY(TODAY(),2)+8)))</f>
        <v>0</v>
      </c>
      <c r="U70" s="36">
        <f ca="1">IF($A70="","",IF(U$1="","",COUNTIFS(tbl_chests[from],$A70,tbl_chests[legalized],U$1,tbl_chests[datetime],"&gt;="&amp;TODAY()-WEEKDAY(TODAY(),2)+1,tbl_chests[datetime],"&lt;"&amp;TODAY()-WEEKDAY(TODAY(),2)+8)))</f>
        <v>0</v>
      </c>
      <c r="V70" s="36">
        <f ca="1">IF($A70="","",IF(V$1="","",COUNTIFS(tbl_chests[from],$A70,tbl_chests[legalized],V$1,tbl_chests[datetime],"&gt;="&amp;TODAY()-WEEKDAY(TODAY(),2)+1,tbl_chests[datetime],"&lt;"&amp;TODAY()-WEEKDAY(TODAY(),2)+8)))</f>
        <v>0</v>
      </c>
      <c r="W70" s="36">
        <f ca="1">IF($A70="","",IF(W$1="","",COUNTIFS(tbl_chests[from],$A70,tbl_chests[legalized],W$1,tbl_chests[datetime],"&gt;="&amp;TODAY()-WEEKDAY(TODAY(),2)+1,tbl_chests[datetime],"&lt;"&amp;TODAY()-WEEKDAY(TODAY(),2)+8)))</f>
        <v>0</v>
      </c>
      <c r="X70" s="36">
        <f ca="1">IF($A70="","",IF(X$1="","",COUNTIFS(tbl_chests[from],$A70,tbl_chests[legalized],X$1,tbl_chests[datetime],"&gt;="&amp;TODAY()-WEEKDAY(TODAY(),2)+1,tbl_chests[datetime],"&lt;"&amp;TODAY()-WEEKDAY(TODAY(),2)+8)))</f>
        <v>0</v>
      </c>
      <c r="Y70" s="36">
        <f ca="1">IF($A70="","",IF(Y$1="","",COUNTIFS(tbl_chests[from],$A70,tbl_chests[legalized],Y$1,tbl_chests[datetime],"&gt;="&amp;TODAY()-WEEKDAY(TODAY(),2)+1,tbl_chests[datetime],"&lt;"&amp;TODAY()-WEEKDAY(TODAY(),2)+8)))</f>
        <v>0</v>
      </c>
      <c r="Z70" s="36">
        <f ca="1">IF($A70="","",IF(Z$1="","",COUNTIFS(tbl_chests[from],$A70,tbl_chests[legalized],Z$1,tbl_chests[datetime],"&gt;="&amp;TODAY()-WEEKDAY(TODAY(),2)+1,tbl_chests[datetime],"&lt;"&amp;TODAY()-WEEKDAY(TODAY(),2)+8)))</f>
        <v>0</v>
      </c>
      <c r="AA70" s="36">
        <f ca="1">IF($A70="","",IF(AA$1="","",COUNTIFS(tbl_chests[from],$A70,tbl_chests[legalized],AA$1,tbl_chests[datetime],"&gt;="&amp;TODAY()-WEEKDAY(TODAY(),2)+1,tbl_chests[datetime],"&lt;"&amp;TODAY()-WEEKDAY(TODAY(),2)+8)))</f>
        <v>3</v>
      </c>
      <c r="AB70" s="36">
        <f ca="1">IF($A70="","",IF(AB$1="","",COUNTIFS(tbl_chests[from],$A70,tbl_chests[legalized],AB$1,tbl_chests[datetime],"&gt;="&amp;TODAY()-WEEKDAY(TODAY(),2)+1,tbl_chests[datetime],"&lt;"&amp;TODAY()-WEEKDAY(TODAY(),2)+8)))</f>
        <v>0</v>
      </c>
      <c r="AC70" s="36">
        <f ca="1">IF($A70="","",IF(AC$1="","",COUNTIFS(tbl_chests[from],$A70,tbl_chests[legalized],AC$1,tbl_chests[datetime],"&gt;="&amp;TODAY()-WEEKDAY(TODAY(),2)+1,tbl_chests[datetime],"&lt;"&amp;TODAY()-WEEKDAY(TODAY(),2)+8)))</f>
        <v>0</v>
      </c>
      <c r="AD70" s="36">
        <f ca="1">IF($A70="","",IF(AD$1="","",COUNTIFS(tbl_chests[from],$A70,tbl_chests[legalized],AD$1,tbl_chests[datetime],"&gt;="&amp;TODAY()-WEEKDAY(TODAY(),2)+1,tbl_chests[datetime],"&lt;"&amp;TODAY()-WEEKDAY(TODAY(),2)+8)))</f>
        <v>0</v>
      </c>
      <c r="AE70" s="36">
        <f ca="1">IF($A70="","",IF(AE$1="","",COUNTIFS(tbl_chests[from],$A70,tbl_chests[legalized],AE$1,tbl_chests[datetime],"&gt;="&amp;TODAY()-WEEKDAY(TODAY(),2)+1,tbl_chests[datetime],"&lt;"&amp;TODAY()-WEEKDAY(TODAY(),2)+8)))</f>
        <v>9</v>
      </c>
      <c r="AF70" s="36">
        <f ca="1">IF($A70="","",IF(AF$1="","",COUNTIFS(tbl_chests[from],$A70,tbl_chests[legalized],AF$1,tbl_chests[datetime],"&gt;="&amp;TODAY()-WEEKDAY(TODAY(),2)+1,tbl_chests[datetime],"&lt;"&amp;TODAY()-WEEKDAY(TODAY(),2)+8)))</f>
        <v>0</v>
      </c>
      <c r="AG70" s="36">
        <f ca="1">IF($A70="","",IF(AG$1="","",COUNTIFS(tbl_chests[from],$A70,tbl_chests[legalized],AG$1,tbl_chests[datetime],"&gt;="&amp;TODAY()-WEEKDAY(TODAY(),2)+1,tbl_chests[datetime],"&lt;"&amp;TODAY()-WEEKDAY(TODAY(),2)+8)))</f>
        <v>0</v>
      </c>
      <c r="AH70" s="36">
        <f ca="1">IF($A70="","",IF(AH$1="","",COUNTIFS(tbl_chests[from],$A70,tbl_chests[legalized],AH$1,tbl_chests[datetime],"&gt;="&amp;TODAY()-WEEKDAY(TODAY(),2)+1,tbl_chests[datetime],"&lt;"&amp;TODAY()-WEEKDAY(TODAY(),2)+8)))</f>
        <v>0</v>
      </c>
      <c r="AI70" s="36">
        <f ca="1">IF($A70="","",IF(AI$1="","",COUNTIFS(tbl_chests[from],$A70,tbl_chests[legalized],AI$1,tbl_chests[datetime],"&gt;="&amp;TODAY()-WEEKDAY(TODAY(),2)+1,tbl_chests[datetime],"&lt;"&amp;TODAY()-WEEKDAY(TODAY(),2)+8)))</f>
        <v>0</v>
      </c>
      <c r="AJ70" s="36">
        <f ca="1">IF($A70="","",IF(AJ$1="","",COUNTIFS(tbl_chests[from],$A70,tbl_chests[legalized],AJ$1,tbl_chests[datetime],"&gt;="&amp;TODAY()-WEEKDAY(TODAY(),2)+1,tbl_chests[datetime],"&lt;"&amp;TODAY()-WEEKDAY(TODAY(),2)+8)))</f>
        <v>0</v>
      </c>
      <c r="AK70" s="36">
        <f ca="1">IF($A70="","",IF(AK$1="","",COUNTIFS(tbl_chests[from],$A70,tbl_chests[legalized],AK$1,tbl_chests[datetime],"&gt;="&amp;TODAY()-WEEKDAY(TODAY(),2)+1,tbl_chests[datetime],"&lt;"&amp;TODAY()-WEEKDAY(TODAY(),2)+8)))</f>
        <v>0</v>
      </c>
      <c r="AL70" s="36">
        <f ca="1">IF($A70="","",IF(AL$1="","",COUNTIFS(tbl_chests[from],$A70,tbl_chests[legalized],AL$1,tbl_chests[datetime],"&gt;="&amp;TODAY()-WEEKDAY(TODAY(),2)+1,tbl_chests[datetime],"&lt;"&amp;TODAY()-WEEKDAY(TODAY(),2)+8)))</f>
        <v>0</v>
      </c>
      <c r="AM70" s="37">
        <f ca="1">IF($A70="","",IF(AM$1="","",COUNTIFS(tbl_chests[from],$A70,tbl_chests[legalized],AM$1,tbl_chests[datetime],"&gt;="&amp;TODAY()-WEEKDAY(TODAY(),2)+1,tbl_chests[datetime],"&lt;"&amp;TODAY()-WEEKDAY(TODAY(),2)+8)))</f>
        <v>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 spans="1:67" ht="15.75" customHeight="1" x14ac:dyDescent="0.25">
      <c r="A71" s="34" t="str">
        <f>chests_counter!$H68</f>
        <v>Vasfris</v>
      </c>
      <c r="B71" s="35" cm="1">
        <f t="array" aca="1" ref="B71" ca="1">IF(A71&lt;&gt;"", SUMPRODUCT(($C$2:$AM$2&lt;&gt;0)*(C71:AM71&lt;&gt;0)*($C$2:$AM$2)*(C71:AM71)), "")</f>
        <v>70</v>
      </c>
      <c r="C71" s="36">
        <f ca="1">IF($A71="","",IF(C$1="","",COUNTIFS(tbl_chests[from],$A71,tbl_chests[legalized],C$1,tbl_chests[datetime],"&gt;="&amp;TODAY()-WEEKDAY(TODAY(),2)+1,tbl_chests[datetime],"&lt;"&amp;TODAY()-WEEKDAY(TODAY(),2)+8)))</f>
        <v>0</v>
      </c>
      <c r="D71" s="36">
        <f ca="1">IF($A71="","",IF(D$1="","",COUNTIFS(tbl_chests[from],$A71,tbl_chests[legalized],D$1,tbl_chests[datetime],"&gt;="&amp;TODAY()-WEEKDAY(TODAY(),2)+1,tbl_chests[datetime],"&lt;"&amp;TODAY()-WEEKDAY(TODAY(),2)+8)))</f>
        <v>2</v>
      </c>
      <c r="E71" s="36">
        <f ca="1">IF($A71="","",IF(E$1="","",COUNTIFS(tbl_chests[from],$A71,tbl_chests[legalized],E$1,tbl_chests[datetime],"&gt;="&amp;TODAY()-WEEKDAY(TODAY(),2)+1,tbl_chests[datetime],"&lt;"&amp;TODAY()-WEEKDAY(TODAY(),2)+8)))</f>
        <v>1</v>
      </c>
      <c r="F71" s="36">
        <f ca="1">IF($A71="","",IF(F$1="","",COUNTIFS(tbl_chests[from],$A71,tbl_chests[legalized],F$1,tbl_chests[datetime],"&gt;="&amp;TODAY()-WEEKDAY(TODAY(),2)+1,tbl_chests[datetime],"&lt;"&amp;TODAY()-WEEKDAY(TODAY(),2)+8)))</f>
        <v>0</v>
      </c>
      <c r="G71" s="36">
        <f ca="1">IF($A71="","",IF(G$1="","",COUNTIFS(tbl_chests[from],$A71,tbl_chests[legalized],G$1,tbl_chests[datetime],"&gt;="&amp;TODAY()-WEEKDAY(TODAY(),2)+1,tbl_chests[datetime],"&lt;"&amp;TODAY()-WEEKDAY(TODAY(),2)+8)))</f>
        <v>0</v>
      </c>
      <c r="H71" s="36">
        <f ca="1">IF($A71="","",IF(H$1="","",COUNTIFS(tbl_chests[from],$A71,tbl_chests[legalized],H$1,tbl_chests[datetime],"&gt;="&amp;TODAY()-WEEKDAY(TODAY(),2)+1,tbl_chests[datetime],"&lt;"&amp;TODAY()-WEEKDAY(TODAY(),2)+8)))</f>
        <v>0</v>
      </c>
      <c r="I71" s="36">
        <f ca="1">IF($A71="","",IF(I$1="","",COUNTIFS(tbl_chests[from],$A71,tbl_chests[legalized],I$1,tbl_chests[datetime],"&gt;="&amp;TODAY()-WEEKDAY(TODAY(),2)+1,tbl_chests[datetime],"&lt;"&amp;TODAY()-WEEKDAY(TODAY(),2)+8)))</f>
        <v>0</v>
      </c>
      <c r="J71" s="36">
        <f ca="1">IF($A71="","",IF(J$1="","",COUNTIFS(tbl_chests[from],$A71,tbl_chests[legalized],J$1,tbl_chests[datetime],"&gt;="&amp;TODAY()-WEEKDAY(TODAY(),2)+1,tbl_chests[datetime],"&lt;"&amp;TODAY()-WEEKDAY(TODAY(),2)+8)))</f>
        <v>0</v>
      </c>
      <c r="K71" s="36">
        <f ca="1">IF($A71="","",IF(K$1="","",COUNTIFS(tbl_chests[from],$A71,tbl_chests[legalized],K$1,tbl_chests[datetime],"&gt;="&amp;TODAY()-WEEKDAY(TODAY(),2)+1,tbl_chests[datetime],"&lt;"&amp;TODAY()-WEEKDAY(TODAY(),2)+8)))</f>
        <v>0</v>
      </c>
      <c r="L71" s="36">
        <f ca="1">IF($A71="","",IF(L$1="","",COUNTIFS(tbl_chests[from],$A71,tbl_chests[legalized],L$1,tbl_chests[datetime],"&gt;="&amp;TODAY()-WEEKDAY(TODAY(),2)+1,tbl_chests[datetime],"&lt;"&amp;TODAY()-WEEKDAY(TODAY(),2)+8)))</f>
        <v>0</v>
      </c>
      <c r="M71" s="36">
        <f ca="1">IF($A71="","",IF(M$1="","",COUNTIFS(tbl_chests[from],$A71,tbl_chests[legalized],M$1,tbl_chests[datetime],"&gt;="&amp;TODAY()-WEEKDAY(TODAY(),2)+1,tbl_chests[datetime],"&lt;"&amp;TODAY()-WEEKDAY(TODAY(),2)+8)))</f>
        <v>0</v>
      </c>
      <c r="N71" s="36">
        <f ca="1">IF($A71="","",IF(N$1="","",COUNTIFS(tbl_chests[from],$A71,tbl_chests[legalized],N$1,tbl_chests[datetime],"&gt;="&amp;TODAY()-WEEKDAY(TODAY(),2)+1,tbl_chests[datetime],"&lt;"&amp;TODAY()-WEEKDAY(TODAY(),2)+8)))</f>
        <v>0</v>
      </c>
      <c r="O71" s="36">
        <f ca="1">IF($A71="","",IF(O$1="","",COUNTIFS(tbl_chests[from],$A71,tbl_chests[legalized],O$1,tbl_chests[datetime],"&gt;="&amp;TODAY()-WEEKDAY(TODAY(),2)+1,tbl_chests[datetime],"&lt;"&amp;TODAY()-WEEKDAY(TODAY(),2)+8)))</f>
        <v>0</v>
      </c>
      <c r="P71" s="36">
        <f ca="1">IF($A71="","",IF(P$1="","",COUNTIFS(tbl_chests[from],$A71,tbl_chests[legalized],P$1,tbl_chests[datetime],"&gt;="&amp;TODAY()-WEEKDAY(TODAY(),2)+1,tbl_chests[datetime],"&lt;"&amp;TODAY()-WEEKDAY(TODAY(),2)+8)))</f>
        <v>0</v>
      </c>
      <c r="Q71" s="36">
        <f ca="1">IF($A71="","",IF(Q$1="","",COUNTIFS(tbl_chests[from],$A71,tbl_chests[legalized],Q$1,tbl_chests[datetime],"&gt;="&amp;TODAY()-WEEKDAY(TODAY(),2)+1,tbl_chests[datetime],"&lt;"&amp;TODAY()-WEEKDAY(TODAY(),2)+8)))</f>
        <v>0</v>
      </c>
      <c r="R71" s="36">
        <f ca="1">IF($A71="","",IF(R$1="","",COUNTIFS(tbl_chests[from],$A71,tbl_chests[legalized],R$1,tbl_chests[datetime],"&gt;="&amp;TODAY()-WEEKDAY(TODAY(),2)+1,tbl_chests[datetime],"&lt;"&amp;TODAY()-WEEKDAY(TODAY(),2)+8)))</f>
        <v>0</v>
      </c>
      <c r="S71" s="36">
        <f ca="1">IF($A71="","",IF(S$1="","",COUNTIFS(tbl_chests[from],$A71,tbl_chests[legalized],S$1,tbl_chests[datetime],"&gt;="&amp;TODAY()-WEEKDAY(TODAY(),2)+1,tbl_chests[datetime],"&lt;"&amp;TODAY()-WEEKDAY(TODAY(),2)+8)))</f>
        <v>0</v>
      </c>
      <c r="T71" s="36">
        <f ca="1">IF($A71="","",IF(T$1="","",COUNTIFS(tbl_chests[from],$A71,tbl_chests[legalized],T$1,tbl_chests[datetime],"&gt;="&amp;TODAY()-WEEKDAY(TODAY(),2)+1,tbl_chests[datetime],"&lt;"&amp;TODAY()-WEEKDAY(TODAY(),2)+8)))</f>
        <v>0</v>
      </c>
      <c r="U71" s="36">
        <f ca="1">IF($A71="","",IF(U$1="","",COUNTIFS(tbl_chests[from],$A71,tbl_chests[legalized],U$1,tbl_chests[datetime],"&gt;="&amp;TODAY()-WEEKDAY(TODAY(),2)+1,tbl_chests[datetime],"&lt;"&amp;TODAY()-WEEKDAY(TODAY(),2)+8)))</f>
        <v>0</v>
      </c>
      <c r="V71" s="36">
        <f ca="1">IF($A71="","",IF(V$1="","",COUNTIFS(tbl_chests[from],$A71,tbl_chests[legalized],V$1,tbl_chests[datetime],"&gt;="&amp;TODAY()-WEEKDAY(TODAY(),2)+1,tbl_chests[datetime],"&lt;"&amp;TODAY()-WEEKDAY(TODAY(),2)+8)))</f>
        <v>0</v>
      </c>
      <c r="W71" s="36">
        <f ca="1">IF($A71="","",IF(W$1="","",COUNTIFS(tbl_chests[from],$A71,tbl_chests[legalized],W$1,tbl_chests[datetime],"&gt;="&amp;TODAY()-WEEKDAY(TODAY(),2)+1,tbl_chests[datetime],"&lt;"&amp;TODAY()-WEEKDAY(TODAY(),2)+8)))</f>
        <v>0</v>
      </c>
      <c r="X71" s="36">
        <f ca="1">IF($A71="","",IF(X$1="","",COUNTIFS(tbl_chests[from],$A71,tbl_chests[legalized],X$1,tbl_chests[datetime],"&gt;="&amp;TODAY()-WEEKDAY(TODAY(),2)+1,tbl_chests[datetime],"&lt;"&amp;TODAY()-WEEKDAY(TODAY(),2)+8)))</f>
        <v>0</v>
      </c>
      <c r="Y71" s="36">
        <f ca="1">IF($A71="","",IF(Y$1="","",COUNTIFS(tbl_chests[from],$A71,tbl_chests[legalized],Y$1,tbl_chests[datetime],"&gt;="&amp;TODAY()-WEEKDAY(TODAY(),2)+1,tbl_chests[datetime],"&lt;"&amp;TODAY()-WEEKDAY(TODAY(),2)+8)))</f>
        <v>0</v>
      </c>
      <c r="Z71" s="36">
        <f ca="1">IF($A71="","",IF(Z$1="","",COUNTIFS(tbl_chests[from],$A71,tbl_chests[legalized],Z$1,tbl_chests[datetime],"&gt;="&amp;TODAY()-WEEKDAY(TODAY(),2)+1,tbl_chests[datetime],"&lt;"&amp;TODAY()-WEEKDAY(TODAY(),2)+8)))</f>
        <v>0</v>
      </c>
      <c r="AA71" s="36">
        <f ca="1">IF($A71="","",IF(AA$1="","",COUNTIFS(tbl_chests[from],$A71,tbl_chests[legalized],AA$1,tbl_chests[datetime],"&gt;="&amp;TODAY()-WEEKDAY(TODAY(),2)+1,tbl_chests[datetime],"&lt;"&amp;TODAY()-WEEKDAY(TODAY(),2)+8)))</f>
        <v>0</v>
      </c>
      <c r="AB71" s="36">
        <f ca="1">IF($A71="","",IF(AB$1="","",COUNTIFS(tbl_chests[from],$A71,tbl_chests[legalized],AB$1,tbl_chests[datetime],"&gt;="&amp;TODAY()-WEEKDAY(TODAY(),2)+1,tbl_chests[datetime],"&lt;"&amp;TODAY()-WEEKDAY(TODAY(),2)+8)))</f>
        <v>0</v>
      </c>
      <c r="AC71" s="36">
        <f ca="1">IF($A71="","",IF(AC$1="","",COUNTIFS(tbl_chests[from],$A71,tbl_chests[legalized],AC$1,tbl_chests[datetime],"&gt;="&amp;TODAY()-WEEKDAY(TODAY(),2)+1,tbl_chests[datetime],"&lt;"&amp;TODAY()-WEEKDAY(TODAY(),2)+8)))</f>
        <v>0</v>
      </c>
      <c r="AD71" s="36">
        <f ca="1">IF($A71="","",IF(AD$1="","",COUNTIFS(tbl_chests[from],$A71,tbl_chests[legalized],AD$1,tbl_chests[datetime],"&gt;="&amp;TODAY()-WEEKDAY(TODAY(),2)+1,tbl_chests[datetime],"&lt;"&amp;TODAY()-WEEKDAY(TODAY(),2)+8)))</f>
        <v>0</v>
      </c>
      <c r="AE71" s="36">
        <f ca="1">IF($A71="","",IF(AE$1="","",COUNTIFS(tbl_chests[from],$A71,tbl_chests[legalized],AE$1,tbl_chests[datetime],"&gt;="&amp;TODAY()-WEEKDAY(TODAY(),2)+1,tbl_chests[datetime],"&lt;"&amp;TODAY()-WEEKDAY(TODAY(),2)+8)))</f>
        <v>0</v>
      </c>
      <c r="AF71" s="36">
        <f ca="1">IF($A71="","",IF(AF$1="","",COUNTIFS(tbl_chests[from],$A71,tbl_chests[legalized],AF$1,tbl_chests[datetime],"&gt;="&amp;TODAY()-WEEKDAY(TODAY(),2)+1,tbl_chests[datetime],"&lt;"&amp;TODAY()-WEEKDAY(TODAY(),2)+8)))</f>
        <v>0</v>
      </c>
      <c r="AG71" s="36">
        <f ca="1">IF($A71="","",IF(AG$1="","",COUNTIFS(tbl_chests[from],$A71,tbl_chests[legalized],AG$1,tbl_chests[datetime],"&gt;="&amp;TODAY()-WEEKDAY(TODAY(),2)+1,tbl_chests[datetime],"&lt;"&amp;TODAY()-WEEKDAY(TODAY(),2)+8)))</f>
        <v>0</v>
      </c>
      <c r="AH71" s="36">
        <f ca="1">IF($A71="","",IF(AH$1="","",COUNTIFS(tbl_chests[from],$A71,tbl_chests[legalized],AH$1,tbl_chests[datetime],"&gt;="&amp;TODAY()-WEEKDAY(TODAY(),2)+1,tbl_chests[datetime],"&lt;"&amp;TODAY()-WEEKDAY(TODAY(),2)+8)))</f>
        <v>0</v>
      </c>
      <c r="AI71" s="36">
        <f ca="1">IF($A71="","",IF(AI$1="","",COUNTIFS(tbl_chests[from],$A71,tbl_chests[legalized],AI$1,tbl_chests[datetime],"&gt;="&amp;TODAY()-WEEKDAY(TODAY(),2)+1,tbl_chests[datetime],"&lt;"&amp;TODAY()-WEEKDAY(TODAY(),2)+8)))</f>
        <v>0</v>
      </c>
      <c r="AJ71" s="36">
        <f ca="1">IF($A71="","",IF(AJ$1="","",COUNTIFS(tbl_chests[from],$A71,tbl_chests[legalized],AJ$1,tbl_chests[datetime],"&gt;="&amp;TODAY()-WEEKDAY(TODAY(),2)+1,tbl_chests[datetime],"&lt;"&amp;TODAY()-WEEKDAY(TODAY(),2)+8)))</f>
        <v>0</v>
      </c>
      <c r="AK71" s="36">
        <f ca="1">IF($A71="","",IF(AK$1="","",COUNTIFS(tbl_chests[from],$A71,tbl_chests[legalized],AK$1,tbl_chests[datetime],"&gt;="&amp;TODAY()-WEEKDAY(TODAY(),2)+1,tbl_chests[datetime],"&lt;"&amp;TODAY()-WEEKDAY(TODAY(),2)+8)))</f>
        <v>0</v>
      </c>
      <c r="AL71" s="36">
        <f ca="1">IF($A71="","",IF(AL$1="","",COUNTIFS(tbl_chests[from],$A71,tbl_chests[legalized],AL$1,tbl_chests[datetime],"&gt;="&amp;TODAY()-WEEKDAY(TODAY(),2)+1,tbl_chests[datetime],"&lt;"&amp;TODAY()-WEEKDAY(TODAY(),2)+8)))</f>
        <v>0</v>
      </c>
      <c r="AM71" s="37">
        <f ca="1">IF($A71="","",IF(AM$1="","",COUNTIFS(tbl_chests[from],$A71,tbl_chests[legalized],AM$1,tbl_chests[datetime],"&gt;="&amp;TODAY()-WEEKDAY(TODAY(),2)+1,tbl_chests[datetime],"&lt;"&amp;TODAY()-WEEKDAY(TODAY(),2)+8)))</f>
        <v>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 spans="1:67" ht="15.75" customHeight="1" x14ac:dyDescent="0.25">
      <c r="A72" s="34" t="str">
        <f>chests_counter!$H69</f>
        <v>Volk</v>
      </c>
      <c r="B72" s="35" cm="1">
        <f t="array" aca="1" ref="B72" ca="1">IF(A72&lt;&gt;"", SUMPRODUCT(($C$2:$AM$2&lt;&gt;0)*(C72:AM72&lt;&gt;0)*($C$2:$AM$2)*(C72:AM72)), "")</f>
        <v>30</v>
      </c>
      <c r="C72" s="36">
        <f ca="1">IF($A72="","",IF(C$1="","",COUNTIFS(tbl_chests[from],$A72,tbl_chests[legalized],C$1,tbl_chests[datetime],"&gt;="&amp;TODAY()-WEEKDAY(TODAY(),2)+1,tbl_chests[datetime],"&lt;"&amp;TODAY()-WEEKDAY(TODAY(),2)+8)))</f>
        <v>1</v>
      </c>
      <c r="D72" s="36">
        <f ca="1">IF($A72="","",IF(D$1="","",COUNTIFS(tbl_chests[from],$A72,tbl_chests[legalized],D$1,tbl_chests[datetime],"&gt;="&amp;TODAY()-WEEKDAY(TODAY(),2)+1,tbl_chests[datetime],"&lt;"&amp;TODAY()-WEEKDAY(TODAY(),2)+8)))</f>
        <v>1</v>
      </c>
      <c r="E72" s="36">
        <f ca="1">IF($A72="","",IF(E$1="","",COUNTIFS(tbl_chests[from],$A72,tbl_chests[legalized],E$1,tbl_chests[datetime],"&gt;="&amp;TODAY()-WEEKDAY(TODAY(),2)+1,tbl_chests[datetime],"&lt;"&amp;TODAY()-WEEKDAY(TODAY(),2)+8)))</f>
        <v>0</v>
      </c>
      <c r="F72" s="36">
        <f ca="1">IF($A72="","",IF(F$1="","",COUNTIFS(tbl_chests[from],$A72,tbl_chests[legalized],F$1,tbl_chests[datetime],"&gt;="&amp;TODAY()-WEEKDAY(TODAY(),2)+1,tbl_chests[datetime],"&lt;"&amp;TODAY()-WEEKDAY(TODAY(),2)+8)))</f>
        <v>0</v>
      </c>
      <c r="G72" s="36">
        <f ca="1">IF($A72="","",IF(G$1="","",COUNTIFS(tbl_chests[from],$A72,tbl_chests[legalized],G$1,tbl_chests[datetime],"&gt;="&amp;TODAY()-WEEKDAY(TODAY(),2)+1,tbl_chests[datetime],"&lt;"&amp;TODAY()-WEEKDAY(TODAY(),2)+8)))</f>
        <v>0</v>
      </c>
      <c r="H72" s="36">
        <f ca="1">IF($A72="","",IF(H$1="","",COUNTIFS(tbl_chests[from],$A72,tbl_chests[legalized],H$1,tbl_chests[datetime],"&gt;="&amp;TODAY()-WEEKDAY(TODAY(),2)+1,tbl_chests[datetime],"&lt;"&amp;TODAY()-WEEKDAY(TODAY(),2)+8)))</f>
        <v>0</v>
      </c>
      <c r="I72" s="36">
        <f ca="1">IF($A72="","",IF(I$1="","",COUNTIFS(tbl_chests[from],$A72,tbl_chests[legalized],I$1,tbl_chests[datetime],"&gt;="&amp;TODAY()-WEEKDAY(TODAY(),2)+1,tbl_chests[datetime],"&lt;"&amp;TODAY()-WEEKDAY(TODAY(),2)+8)))</f>
        <v>0</v>
      </c>
      <c r="J72" s="36">
        <f ca="1">IF($A72="","",IF(J$1="","",COUNTIFS(tbl_chests[from],$A72,tbl_chests[legalized],J$1,tbl_chests[datetime],"&gt;="&amp;TODAY()-WEEKDAY(TODAY(),2)+1,tbl_chests[datetime],"&lt;"&amp;TODAY()-WEEKDAY(TODAY(),2)+8)))</f>
        <v>0</v>
      </c>
      <c r="K72" s="36">
        <f ca="1">IF($A72="","",IF(K$1="","",COUNTIFS(tbl_chests[from],$A72,tbl_chests[legalized],K$1,tbl_chests[datetime],"&gt;="&amp;TODAY()-WEEKDAY(TODAY(),2)+1,tbl_chests[datetime],"&lt;"&amp;TODAY()-WEEKDAY(TODAY(),2)+8)))</f>
        <v>0</v>
      </c>
      <c r="L72" s="36">
        <f ca="1">IF($A72="","",IF(L$1="","",COUNTIFS(tbl_chests[from],$A72,tbl_chests[legalized],L$1,tbl_chests[datetime],"&gt;="&amp;TODAY()-WEEKDAY(TODAY(),2)+1,tbl_chests[datetime],"&lt;"&amp;TODAY()-WEEKDAY(TODAY(),2)+8)))</f>
        <v>0</v>
      </c>
      <c r="M72" s="36">
        <f ca="1">IF($A72="","",IF(M$1="","",COUNTIFS(tbl_chests[from],$A72,tbl_chests[legalized],M$1,tbl_chests[datetime],"&gt;="&amp;TODAY()-WEEKDAY(TODAY(),2)+1,tbl_chests[datetime],"&lt;"&amp;TODAY()-WEEKDAY(TODAY(),2)+8)))</f>
        <v>0</v>
      </c>
      <c r="N72" s="36">
        <f ca="1">IF($A72="","",IF(N$1="","",COUNTIFS(tbl_chests[from],$A72,tbl_chests[legalized],N$1,tbl_chests[datetime],"&gt;="&amp;TODAY()-WEEKDAY(TODAY(),2)+1,tbl_chests[datetime],"&lt;"&amp;TODAY()-WEEKDAY(TODAY(),2)+8)))</f>
        <v>0</v>
      </c>
      <c r="O72" s="36">
        <f ca="1">IF($A72="","",IF(O$1="","",COUNTIFS(tbl_chests[from],$A72,tbl_chests[legalized],O$1,tbl_chests[datetime],"&gt;="&amp;TODAY()-WEEKDAY(TODAY(),2)+1,tbl_chests[datetime],"&lt;"&amp;TODAY()-WEEKDAY(TODAY(),2)+8)))</f>
        <v>0</v>
      </c>
      <c r="P72" s="36">
        <f ca="1">IF($A72="","",IF(P$1="","",COUNTIFS(tbl_chests[from],$A72,tbl_chests[legalized],P$1,tbl_chests[datetime],"&gt;="&amp;TODAY()-WEEKDAY(TODAY(),2)+1,tbl_chests[datetime],"&lt;"&amp;TODAY()-WEEKDAY(TODAY(),2)+8)))</f>
        <v>0</v>
      </c>
      <c r="Q72" s="36">
        <f ca="1">IF($A72="","",IF(Q$1="","",COUNTIFS(tbl_chests[from],$A72,tbl_chests[legalized],Q$1,tbl_chests[datetime],"&gt;="&amp;TODAY()-WEEKDAY(TODAY(),2)+1,tbl_chests[datetime],"&lt;"&amp;TODAY()-WEEKDAY(TODAY(),2)+8)))</f>
        <v>0</v>
      </c>
      <c r="R72" s="36">
        <f ca="1">IF($A72="","",IF(R$1="","",COUNTIFS(tbl_chests[from],$A72,tbl_chests[legalized],R$1,tbl_chests[datetime],"&gt;="&amp;TODAY()-WEEKDAY(TODAY(),2)+1,tbl_chests[datetime],"&lt;"&amp;TODAY()-WEEKDAY(TODAY(),2)+8)))</f>
        <v>0</v>
      </c>
      <c r="S72" s="36">
        <f ca="1">IF($A72="","",IF(S$1="","",COUNTIFS(tbl_chests[from],$A72,tbl_chests[legalized],S$1,tbl_chests[datetime],"&gt;="&amp;TODAY()-WEEKDAY(TODAY(),2)+1,tbl_chests[datetime],"&lt;"&amp;TODAY()-WEEKDAY(TODAY(),2)+8)))</f>
        <v>0</v>
      </c>
      <c r="T72" s="36">
        <f ca="1">IF($A72="","",IF(T$1="","",COUNTIFS(tbl_chests[from],$A72,tbl_chests[legalized],T$1,tbl_chests[datetime],"&gt;="&amp;TODAY()-WEEKDAY(TODAY(),2)+1,tbl_chests[datetime],"&lt;"&amp;TODAY()-WEEKDAY(TODAY(),2)+8)))</f>
        <v>0</v>
      </c>
      <c r="U72" s="36">
        <f ca="1">IF($A72="","",IF(U$1="","",COUNTIFS(tbl_chests[from],$A72,tbl_chests[legalized],U$1,tbl_chests[datetime],"&gt;="&amp;TODAY()-WEEKDAY(TODAY(),2)+1,tbl_chests[datetime],"&lt;"&amp;TODAY()-WEEKDAY(TODAY(),2)+8)))</f>
        <v>0</v>
      </c>
      <c r="V72" s="36">
        <f ca="1">IF($A72="","",IF(V$1="","",COUNTIFS(tbl_chests[from],$A72,tbl_chests[legalized],V$1,tbl_chests[datetime],"&gt;="&amp;TODAY()-WEEKDAY(TODAY(),2)+1,tbl_chests[datetime],"&lt;"&amp;TODAY()-WEEKDAY(TODAY(),2)+8)))</f>
        <v>0</v>
      </c>
      <c r="W72" s="36">
        <f ca="1">IF($A72="","",IF(W$1="","",COUNTIFS(tbl_chests[from],$A72,tbl_chests[legalized],W$1,tbl_chests[datetime],"&gt;="&amp;TODAY()-WEEKDAY(TODAY(),2)+1,tbl_chests[datetime],"&lt;"&amp;TODAY()-WEEKDAY(TODAY(),2)+8)))</f>
        <v>0</v>
      </c>
      <c r="X72" s="36">
        <f ca="1">IF($A72="","",IF(X$1="","",COUNTIFS(tbl_chests[from],$A72,tbl_chests[legalized],X$1,tbl_chests[datetime],"&gt;="&amp;TODAY()-WEEKDAY(TODAY(),2)+1,tbl_chests[datetime],"&lt;"&amp;TODAY()-WEEKDAY(TODAY(),2)+8)))</f>
        <v>0</v>
      </c>
      <c r="Y72" s="36">
        <f ca="1">IF($A72="","",IF(Y$1="","",COUNTIFS(tbl_chests[from],$A72,tbl_chests[legalized],Y$1,tbl_chests[datetime],"&gt;="&amp;TODAY()-WEEKDAY(TODAY(),2)+1,tbl_chests[datetime],"&lt;"&amp;TODAY()-WEEKDAY(TODAY(),2)+8)))</f>
        <v>0</v>
      </c>
      <c r="Z72" s="36">
        <f ca="1">IF($A72="","",IF(Z$1="","",COUNTIFS(tbl_chests[from],$A72,tbl_chests[legalized],Z$1,tbl_chests[datetime],"&gt;="&amp;TODAY()-WEEKDAY(TODAY(),2)+1,tbl_chests[datetime],"&lt;"&amp;TODAY()-WEEKDAY(TODAY(),2)+8)))</f>
        <v>0</v>
      </c>
      <c r="AA72" s="36">
        <f ca="1">IF($A72="","",IF(AA$1="","",COUNTIFS(tbl_chests[from],$A72,tbl_chests[legalized],AA$1,tbl_chests[datetime],"&gt;="&amp;TODAY()-WEEKDAY(TODAY(),2)+1,tbl_chests[datetime],"&lt;"&amp;TODAY()-WEEKDAY(TODAY(),2)+8)))</f>
        <v>0</v>
      </c>
      <c r="AB72" s="36">
        <f ca="1">IF($A72="","",IF(AB$1="","",COUNTIFS(tbl_chests[from],$A72,tbl_chests[legalized],AB$1,tbl_chests[datetime],"&gt;="&amp;TODAY()-WEEKDAY(TODAY(),2)+1,tbl_chests[datetime],"&lt;"&amp;TODAY()-WEEKDAY(TODAY(),2)+8)))</f>
        <v>0</v>
      </c>
      <c r="AC72" s="36">
        <f ca="1">IF($A72="","",IF(AC$1="","",COUNTIFS(tbl_chests[from],$A72,tbl_chests[legalized],AC$1,tbl_chests[datetime],"&gt;="&amp;TODAY()-WEEKDAY(TODAY(),2)+1,tbl_chests[datetime],"&lt;"&amp;TODAY()-WEEKDAY(TODAY(),2)+8)))</f>
        <v>0</v>
      </c>
      <c r="AD72" s="36">
        <f ca="1">IF($A72="","",IF(AD$1="","",COUNTIFS(tbl_chests[from],$A72,tbl_chests[legalized],AD$1,tbl_chests[datetime],"&gt;="&amp;TODAY()-WEEKDAY(TODAY(),2)+1,tbl_chests[datetime],"&lt;"&amp;TODAY()-WEEKDAY(TODAY(),2)+8)))</f>
        <v>0</v>
      </c>
      <c r="AE72" s="36">
        <f ca="1">IF($A72="","",IF(AE$1="","",COUNTIFS(tbl_chests[from],$A72,tbl_chests[legalized],AE$1,tbl_chests[datetime],"&gt;="&amp;TODAY()-WEEKDAY(TODAY(),2)+1,tbl_chests[datetime],"&lt;"&amp;TODAY()-WEEKDAY(TODAY(),2)+8)))</f>
        <v>0</v>
      </c>
      <c r="AF72" s="36">
        <f ca="1">IF($A72="","",IF(AF$1="","",COUNTIFS(tbl_chests[from],$A72,tbl_chests[legalized],AF$1,tbl_chests[datetime],"&gt;="&amp;TODAY()-WEEKDAY(TODAY(),2)+1,tbl_chests[datetime],"&lt;"&amp;TODAY()-WEEKDAY(TODAY(),2)+8)))</f>
        <v>0</v>
      </c>
      <c r="AG72" s="36">
        <f ca="1">IF($A72="","",IF(AG$1="","",COUNTIFS(tbl_chests[from],$A72,tbl_chests[legalized],AG$1,tbl_chests[datetime],"&gt;="&amp;TODAY()-WEEKDAY(TODAY(),2)+1,tbl_chests[datetime],"&lt;"&amp;TODAY()-WEEKDAY(TODAY(),2)+8)))</f>
        <v>0</v>
      </c>
      <c r="AH72" s="36">
        <f ca="1">IF($A72="","",IF(AH$1="","",COUNTIFS(tbl_chests[from],$A72,tbl_chests[legalized],AH$1,tbl_chests[datetime],"&gt;="&amp;TODAY()-WEEKDAY(TODAY(),2)+1,tbl_chests[datetime],"&lt;"&amp;TODAY()-WEEKDAY(TODAY(),2)+8)))</f>
        <v>0</v>
      </c>
      <c r="AI72" s="36">
        <f ca="1">IF($A72="","",IF(AI$1="","",COUNTIFS(tbl_chests[from],$A72,tbl_chests[legalized],AI$1,tbl_chests[datetime],"&gt;="&amp;TODAY()-WEEKDAY(TODAY(),2)+1,tbl_chests[datetime],"&lt;"&amp;TODAY()-WEEKDAY(TODAY(),2)+8)))</f>
        <v>0</v>
      </c>
      <c r="AJ72" s="36">
        <f ca="1">IF($A72="","",IF(AJ$1="","",COUNTIFS(tbl_chests[from],$A72,tbl_chests[legalized],AJ$1,tbl_chests[datetime],"&gt;="&amp;TODAY()-WEEKDAY(TODAY(),2)+1,tbl_chests[datetime],"&lt;"&amp;TODAY()-WEEKDAY(TODAY(),2)+8)))</f>
        <v>0</v>
      </c>
      <c r="AK72" s="36">
        <f ca="1">IF($A72="","",IF(AK$1="","",COUNTIFS(tbl_chests[from],$A72,tbl_chests[legalized],AK$1,tbl_chests[datetime],"&gt;="&amp;TODAY()-WEEKDAY(TODAY(),2)+1,tbl_chests[datetime],"&lt;"&amp;TODAY()-WEEKDAY(TODAY(),2)+8)))</f>
        <v>0</v>
      </c>
      <c r="AL72" s="36">
        <f ca="1">IF($A72="","",IF(AL$1="","",COUNTIFS(tbl_chests[from],$A72,tbl_chests[legalized],AL$1,tbl_chests[datetime],"&gt;="&amp;TODAY()-WEEKDAY(TODAY(),2)+1,tbl_chests[datetime],"&lt;"&amp;TODAY()-WEEKDAY(TODAY(),2)+8)))</f>
        <v>0</v>
      </c>
      <c r="AM72" s="37">
        <f ca="1">IF($A72="","",IF(AM$1="","",COUNTIFS(tbl_chests[from],$A72,tbl_chests[legalized],AM$1,tbl_chests[datetime],"&gt;="&amp;TODAY()-WEEKDAY(TODAY(),2)+1,tbl_chests[datetime],"&lt;"&amp;TODAY()-WEEKDAY(TODAY(),2)+8)))</f>
        <v>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 spans="1:67" ht="15.75" customHeight="1" x14ac:dyDescent="0.25">
      <c r="A73" s="34" t="str">
        <f>chests_counter!$H70</f>
        <v>wiiikaaaa</v>
      </c>
      <c r="B73" s="35" cm="1">
        <f t="array" aca="1" ref="B73" ca="1">IF(A73&lt;&gt;"", SUMPRODUCT(($C$2:$AM$2&lt;&gt;0)*(C73:AM73&lt;&gt;0)*($C$2:$AM$2)*(C73:AM73)), "")</f>
        <v>425</v>
      </c>
      <c r="C73" s="36">
        <f ca="1">IF($A73="","",IF(C$1="","",COUNTIFS(tbl_chests[from],$A73,tbl_chests[legalized],C$1,tbl_chests[datetime],"&gt;="&amp;TODAY()-WEEKDAY(TODAY(),2)+1,tbl_chests[datetime],"&lt;"&amp;TODAY()-WEEKDAY(TODAY(),2)+8)))</f>
        <v>1</v>
      </c>
      <c r="D73" s="36">
        <f ca="1">IF($A73="","",IF(D$1="","",COUNTIFS(tbl_chests[from],$A73,tbl_chests[legalized],D$1,tbl_chests[datetime],"&gt;="&amp;TODAY()-WEEKDAY(TODAY(),2)+1,tbl_chests[datetime],"&lt;"&amp;TODAY()-WEEKDAY(TODAY(),2)+8)))</f>
        <v>4</v>
      </c>
      <c r="E73" s="36">
        <f ca="1">IF($A73="","",IF(E$1="","",COUNTIFS(tbl_chests[from],$A73,tbl_chests[legalized],E$1,tbl_chests[datetime],"&gt;="&amp;TODAY()-WEEKDAY(TODAY(),2)+1,tbl_chests[datetime],"&lt;"&amp;TODAY()-WEEKDAY(TODAY(),2)+8)))</f>
        <v>10</v>
      </c>
      <c r="F73" s="36">
        <f ca="1">IF($A73="","",IF(F$1="","",COUNTIFS(tbl_chests[from],$A73,tbl_chests[legalized],F$1,tbl_chests[datetime],"&gt;="&amp;TODAY()-WEEKDAY(TODAY(),2)+1,tbl_chests[datetime],"&lt;"&amp;TODAY()-WEEKDAY(TODAY(),2)+8)))</f>
        <v>0</v>
      </c>
      <c r="G73" s="36">
        <f ca="1">IF($A73="","",IF(G$1="","",COUNTIFS(tbl_chests[from],$A73,tbl_chests[legalized],G$1,tbl_chests[datetime],"&gt;="&amp;TODAY()-WEEKDAY(TODAY(),2)+1,tbl_chests[datetime],"&lt;"&amp;TODAY()-WEEKDAY(TODAY(),2)+8)))</f>
        <v>0</v>
      </c>
      <c r="H73" s="36">
        <f ca="1">IF($A73="","",IF(H$1="","",COUNTIFS(tbl_chests[from],$A73,tbl_chests[legalized],H$1,tbl_chests[datetime],"&gt;="&amp;TODAY()-WEEKDAY(TODAY(),2)+1,tbl_chests[datetime],"&lt;"&amp;TODAY()-WEEKDAY(TODAY(),2)+8)))</f>
        <v>0</v>
      </c>
      <c r="I73" s="36">
        <f ca="1">IF($A73="","",IF(I$1="","",COUNTIFS(tbl_chests[from],$A73,tbl_chests[legalized],I$1,tbl_chests[datetime],"&gt;="&amp;TODAY()-WEEKDAY(TODAY(),2)+1,tbl_chests[datetime],"&lt;"&amp;TODAY()-WEEKDAY(TODAY(),2)+8)))</f>
        <v>0</v>
      </c>
      <c r="J73" s="36">
        <f ca="1">IF($A73="","",IF(J$1="","",COUNTIFS(tbl_chests[from],$A73,tbl_chests[legalized],J$1,tbl_chests[datetime],"&gt;="&amp;TODAY()-WEEKDAY(TODAY(),2)+1,tbl_chests[datetime],"&lt;"&amp;TODAY()-WEEKDAY(TODAY(),2)+8)))</f>
        <v>0</v>
      </c>
      <c r="K73" s="36">
        <f ca="1">IF($A73="","",IF(K$1="","",COUNTIFS(tbl_chests[from],$A73,tbl_chests[legalized],K$1,tbl_chests[datetime],"&gt;="&amp;TODAY()-WEEKDAY(TODAY(),2)+1,tbl_chests[datetime],"&lt;"&amp;TODAY()-WEEKDAY(TODAY(),2)+8)))</f>
        <v>0</v>
      </c>
      <c r="L73" s="36">
        <f ca="1">IF($A73="","",IF(L$1="","",COUNTIFS(tbl_chests[from],$A73,tbl_chests[legalized],L$1,tbl_chests[datetime],"&gt;="&amp;TODAY()-WEEKDAY(TODAY(),2)+1,tbl_chests[datetime],"&lt;"&amp;TODAY()-WEEKDAY(TODAY(),2)+8)))</f>
        <v>0</v>
      </c>
      <c r="M73" s="36">
        <f ca="1">IF($A73="","",IF(M$1="","",COUNTIFS(tbl_chests[from],$A73,tbl_chests[legalized],M$1,tbl_chests[datetime],"&gt;="&amp;TODAY()-WEEKDAY(TODAY(),2)+1,tbl_chests[datetime],"&lt;"&amp;TODAY()-WEEKDAY(TODAY(),2)+8)))</f>
        <v>1</v>
      </c>
      <c r="N73" s="36">
        <f ca="1">IF($A73="","",IF(N$1="","",COUNTIFS(tbl_chests[from],$A73,tbl_chests[legalized],N$1,tbl_chests[datetime],"&gt;="&amp;TODAY()-WEEKDAY(TODAY(),2)+1,tbl_chests[datetime],"&lt;"&amp;TODAY()-WEEKDAY(TODAY(),2)+8)))</f>
        <v>0</v>
      </c>
      <c r="O73" s="36">
        <f ca="1">IF($A73="","",IF(O$1="","",COUNTIFS(tbl_chests[from],$A73,tbl_chests[legalized],O$1,tbl_chests[datetime],"&gt;="&amp;TODAY()-WEEKDAY(TODAY(),2)+1,tbl_chests[datetime],"&lt;"&amp;TODAY()-WEEKDAY(TODAY(),2)+8)))</f>
        <v>0</v>
      </c>
      <c r="P73" s="36">
        <f ca="1">IF($A73="","",IF(P$1="","",COUNTIFS(tbl_chests[from],$A73,tbl_chests[legalized],P$1,tbl_chests[datetime],"&gt;="&amp;TODAY()-WEEKDAY(TODAY(),2)+1,tbl_chests[datetime],"&lt;"&amp;TODAY()-WEEKDAY(TODAY(),2)+8)))</f>
        <v>0</v>
      </c>
      <c r="Q73" s="36">
        <f ca="1">IF($A73="","",IF(Q$1="","",COUNTIFS(tbl_chests[from],$A73,tbl_chests[legalized],Q$1,tbl_chests[datetime],"&gt;="&amp;TODAY()-WEEKDAY(TODAY(),2)+1,tbl_chests[datetime],"&lt;"&amp;TODAY()-WEEKDAY(TODAY(),2)+8)))</f>
        <v>0</v>
      </c>
      <c r="R73" s="36">
        <f ca="1">IF($A73="","",IF(R$1="","",COUNTIFS(tbl_chests[from],$A73,tbl_chests[legalized],R$1,tbl_chests[datetime],"&gt;="&amp;TODAY()-WEEKDAY(TODAY(),2)+1,tbl_chests[datetime],"&lt;"&amp;TODAY()-WEEKDAY(TODAY(),2)+8)))</f>
        <v>0</v>
      </c>
      <c r="S73" s="36">
        <f ca="1">IF($A73="","",IF(S$1="","",COUNTIFS(tbl_chests[from],$A73,tbl_chests[legalized],S$1,tbl_chests[datetime],"&gt;="&amp;TODAY()-WEEKDAY(TODAY(),2)+1,tbl_chests[datetime],"&lt;"&amp;TODAY()-WEEKDAY(TODAY(),2)+8)))</f>
        <v>0</v>
      </c>
      <c r="T73" s="36">
        <f ca="1">IF($A73="","",IF(T$1="","",COUNTIFS(tbl_chests[from],$A73,tbl_chests[legalized],T$1,tbl_chests[datetime],"&gt;="&amp;TODAY()-WEEKDAY(TODAY(),2)+1,tbl_chests[datetime],"&lt;"&amp;TODAY()-WEEKDAY(TODAY(),2)+8)))</f>
        <v>0</v>
      </c>
      <c r="U73" s="36">
        <f ca="1">IF($A73="","",IF(U$1="","",COUNTIFS(tbl_chests[from],$A73,tbl_chests[legalized],U$1,tbl_chests[datetime],"&gt;="&amp;TODAY()-WEEKDAY(TODAY(),2)+1,tbl_chests[datetime],"&lt;"&amp;TODAY()-WEEKDAY(TODAY(),2)+8)))</f>
        <v>0</v>
      </c>
      <c r="V73" s="36">
        <f ca="1">IF($A73="","",IF(V$1="","",COUNTIFS(tbl_chests[from],$A73,tbl_chests[legalized],V$1,tbl_chests[datetime],"&gt;="&amp;TODAY()-WEEKDAY(TODAY(),2)+1,tbl_chests[datetime],"&lt;"&amp;TODAY()-WEEKDAY(TODAY(),2)+8)))</f>
        <v>0</v>
      </c>
      <c r="W73" s="36">
        <f ca="1">IF($A73="","",IF(W$1="","",COUNTIFS(tbl_chests[from],$A73,tbl_chests[legalized],W$1,tbl_chests[datetime],"&gt;="&amp;TODAY()-WEEKDAY(TODAY(),2)+1,tbl_chests[datetime],"&lt;"&amp;TODAY()-WEEKDAY(TODAY(),2)+8)))</f>
        <v>0</v>
      </c>
      <c r="X73" s="36">
        <f ca="1">IF($A73="","",IF(X$1="","",COUNTIFS(tbl_chests[from],$A73,tbl_chests[legalized],X$1,tbl_chests[datetime],"&gt;="&amp;TODAY()-WEEKDAY(TODAY(),2)+1,tbl_chests[datetime],"&lt;"&amp;TODAY()-WEEKDAY(TODAY(),2)+8)))</f>
        <v>0</v>
      </c>
      <c r="Y73" s="36">
        <f ca="1">IF($A73="","",IF(Y$1="","",COUNTIFS(tbl_chests[from],$A73,tbl_chests[legalized],Y$1,tbl_chests[datetime],"&gt;="&amp;TODAY()-WEEKDAY(TODAY(),2)+1,tbl_chests[datetime],"&lt;"&amp;TODAY()-WEEKDAY(TODAY(),2)+8)))</f>
        <v>0</v>
      </c>
      <c r="Z73" s="36">
        <f ca="1">IF($A73="","",IF(Z$1="","",COUNTIFS(tbl_chests[from],$A73,tbl_chests[legalized],Z$1,tbl_chests[datetime],"&gt;="&amp;TODAY()-WEEKDAY(TODAY(),2)+1,tbl_chests[datetime],"&lt;"&amp;TODAY()-WEEKDAY(TODAY(),2)+8)))</f>
        <v>0</v>
      </c>
      <c r="AA73" s="36">
        <f ca="1">IF($A73="","",IF(AA$1="","",COUNTIFS(tbl_chests[from],$A73,tbl_chests[legalized],AA$1,tbl_chests[datetime],"&gt;="&amp;TODAY()-WEEKDAY(TODAY(),2)+1,tbl_chests[datetime],"&lt;"&amp;TODAY()-WEEKDAY(TODAY(),2)+8)))</f>
        <v>0</v>
      </c>
      <c r="AB73" s="36">
        <f ca="1">IF($A73="","",IF(AB$1="","",COUNTIFS(tbl_chests[from],$A73,tbl_chests[legalized],AB$1,tbl_chests[datetime],"&gt;="&amp;TODAY()-WEEKDAY(TODAY(),2)+1,tbl_chests[datetime],"&lt;"&amp;TODAY()-WEEKDAY(TODAY(),2)+8)))</f>
        <v>0</v>
      </c>
      <c r="AC73" s="36">
        <f ca="1">IF($A73="","",IF(AC$1="","",COUNTIFS(tbl_chests[from],$A73,tbl_chests[legalized],AC$1,tbl_chests[datetime],"&gt;="&amp;TODAY()-WEEKDAY(TODAY(),2)+1,tbl_chests[datetime],"&lt;"&amp;TODAY()-WEEKDAY(TODAY(),2)+8)))</f>
        <v>0</v>
      </c>
      <c r="AD73" s="36">
        <f ca="1">IF($A73="","",IF(AD$1="","",COUNTIFS(tbl_chests[from],$A73,tbl_chests[legalized],AD$1,tbl_chests[datetime],"&gt;="&amp;TODAY()-WEEKDAY(TODAY(),2)+1,tbl_chests[datetime],"&lt;"&amp;TODAY()-WEEKDAY(TODAY(),2)+8)))</f>
        <v>0</v>
      </c>
      <c r="AE73" s="36">
        <f ca="1">IF($A73="","",IF(AE$1="","",COUNTIFS(tbl_chests[from],$A73,tbl_chests[legalized],AE$1,tbl_chests[datetime],"&gt;="&amp;TODAY()-WEEKDAY(TODAY(),2)+1,tbl_chests[datetime],"&lt;"&amp;TODAY()-WEEKDAY(TODAY(),2)+8)))</f>
        <v>1</v>
      </c>
      <c r="AF73" s="36">
        <f ca="1">IF($A73="","",IF(AF$1="","",COUNTIFS(tbl_chests[from],$A73,tbl_chests[legalized],AF$1,tbl_chests[datetime],"&gt;="&amp;TODAY()-WEEKDAY(TODAY(),2)+1,tbl_chests[datetime],"&lt;"&amp;TODAY()-WEEKDAY(TODAY(),2)+8)))</f>
        <v>0</v>
      </c>
      <c r="AG73" s="36">
        <f ca="1">IF($A73="","",IF(AG$1="","",COUNTIFS(tbl_chests[from],$A73,tbl_chests[legalized],AG$1,tbl_chests[datetime],"&gt;="&amp;TODAY()-WEEKDAY(TODAY(),2)+1,tbl_chests[datetime],"&lt;"&amp;TODAY()-WEEKDAY(TODAY(),2)+8)))</f>
        <v>0</v>
      </c>
      <c r="AH73" s="36">
        <f ca="1">IF($A73="","",IF(AH$1="","",COUNTIFS(tbl_chests[from],$A73,tbl_chests[legalized],AH$1,tbl_chests[datetime],"&gt;="&amp;TODAY()-WEEKDAY(TODAY(),2)+1,tbl_chests[datetime],"&lt;"&amp;TODAY()-WEEKDAY(TODAY(),2)+8)))</f>
        <v>0</v>
      </c>
      <c r="AI73" s="36">
        <f ca="1">IF($A73="","",IF(AI$1="","",COUNTIFS(tbl_chests[from],$A73,tbl_chests[legalized],AI$1,tbl_chests[datetime],"&gt;="&amp;TODAY()-WEEKDAY(TODAY(),2)+1,tbl_chests[datetime],"&lt;"&amp;TODAY()-WEEKDAY(TODAY(),2)+8)))</f>
        <v>0</v>
      </c>
      <c r="AJ73" s="36">
        <f ca="1">IF($A73="","",IF(AJ$1="","",COUNTIFS(tbl_chests[from],$A73,tbl_chests[legalized],AJ$1,tbl_chests[datetime],"&gt;="&amp;TODAY()-WEEKDAY(TODAY(),2)+1,tbl_chests[datetime],"&lt;"&amp;TODAY()-WEEKDAY(TODAY(),2)+8)))</f>
        <v>0</v>
      </c>
      <c r="AK73" s="36">
        <f ca="1">IF($A73="","",IF(AK$1="","",COUNTIFS(tbl_chests[from],$A73,tbl_chests[legalized],AK$1,tbl_chests[datetime],"&gt;="&amp;TODAY()-WEEKDAY(TODAY(),2)+1,tbl_chests[datetime],"&lt;"&amp;TODAY()-WEEKDAY(TODAY(),2)+8)))</f>
        <v>0</v>
      </c>
      <c r="AL73" s="36">
        <f ca="1">IF($A73="","",IF(AL$1="","",COUNTIFS(tbl_chests[from],$A73,tbl_chests[legalized],AL$1,tbl_chests[datetime],"&gt;="&amp;TODAY()-WEEKDAY(TODAY(),2)+1,tbl_chests[datetime],"&lt;"&amp;TODAY()-WEEKDAY(TODAY(),2)+8)))</f>
        <v>0</v>
      </c>
      <c r="AM73" s="37">
        <f ca="1">IF($A73="","",IF(AM$1="","",COUNTIFS(tbl_chests[from],$A73,tbl_chests[legalized],AM$1,tbl_chests[datetime],"&gt;="&amp;TODAY()-WEEKDAY(TODAY(),2)+1,tbl_chests[datetime],"&lt;"&amp;TODAY()-WEEKDAY(TODAY(),2)+8)))</f>
        <v>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 t="str">
        <f>IF($A73 = "","",IF(BF$1 = "","",COUNTIFS(#REF!,$A73,#REF!,BF$1)))</f>
        <v/>
      </c>
      <c r="BG73" s="5" t="str">
        <f>IF($A73 = "","",IF(BG$1 = "","",COUNTIFS(#REF!,$A73,#REF!,BG$1)))</f>
        <v/>
      </c>
      <c r="BH73" s="5" t="str">
        <f>IF($A73 = "","",IF(BH$1 = "","",COUNTIFS(#REF!,$A73,#REF!,BH$1)))</f>
        <v/>
      </c>
      <c r="BI73" s="5" t="str">
        <f>IF($A73 = "","",IF(BI$1 = "","",COUNTIFS(#REF!,$A73,#REF!,BI$1)))</f>
        <v/>
      </c>
      <c r="BJ73" s="5" t="str">
        <f>IF($A73 = "","",IF(BJ$1 = "","",COUNTIFS(#REF!,$A73,#REF!,BJ$1)))</f>
        <v/>
      </c>
      <c r="BK73" s="5" t="str">
        <f>IF($A73 = "","",IF(BK$1 = "","",COUNTIFS(#REF!,$A73,#REF!,BK$1)))</f>
        <v/>
      </c>
      <c r="BL73" s="5" t="str">
        <f>IF($A73 = "","",IF(BL$1 = "","",COUNTIFS(#REF!,$A73,#REF!,BL$1)))</f>
        <v/>
      </c>
      <c r="BM73" s="5" t="str">
        <f>IF($A73 = "","",IF(BM$1 = "","",COUNTIFS(#REF!,$A73,#REF!,BM$1)))</f>
        <v/>
      </c>
      <c r="BN73" s="5" t="str">
        <f>IF($A73 = "","",IF(BN$1 = "","",COUNTIFS(#REF!,$A73,#REF!,BN$1)))</f>
        <v/>
      </c>
      <c r="BO73" s="5" t="str">
        <f>IF($A73 = "","",IF(BO$1 = "","",COUNTIFS(#REF!,$A73,#REF!,BO$1)))</f>
        <v/>
      </c>
    </row>
    <row r="74" spans="1:67" ht="15.75" customHeight="1" x14ac:dyDescent="0.25">
      <c r="A74" s="34" t="str">
        <f>chests_counter!$H71</f>
        <v>Yondu</v>
      </c>
      <c r="B74" s="35" cm="1">
        <f t="array" aca="1" ref="B74" ca="1">IF(A74&lt;&gt;"", SUMPRODUCT(($C$2:$AM$2&lt;&gt;0)*(C74:AM74&lt;&gt;0)*($C$2:$AM$2)*(C74:AM74)), "")</f>
        <v>1965</v>
      </c>
      <c r="C74" s="36">
        <f ca="1">IF($A74="","",IF(C$1="","",COUNTIFS(tbl_chests[from],$A74,tbl_chests[legalized],C$1,tbl_chests[datetime],"&gt;="&amp;TODAY()-WEEKDAY(TODAY(),2)+1,tbl_chests[datetime],"&lt;"&amp;TODAY()-WEEKDAY(TODAY(),2)+8)))</f>
        <v>33</v>
      </c>
      <c r="D74" s="36">
        <f ca="1">IF($A74="","",IF(D$1="","",COUNTIFS(tbl_chests[from],$A74,tbl_chests[legalized],D$1,tbl_chests[datetime],"&gt;="&amp;TODAY()-WEEKDAY(TODAY(),2)+1,tbl_chests[datetime],"&lt;"&amp;TODAY()-WEEKDAY(TODAY(),2)+8)))</f>
        <v>57</v>
      </c>
      <c r="E74" s="36">
        <f ca="1">IF($A74="","",IF(E$1="","",COUNTIFS(tbl_chests[from],$A74,tbl_chests[legalized],E$1,tbl_chests[datetime],"&gt;="&amp;TODAY()-WEEKDAY(TODAY(),2)+1,tbl_chests[datetime],"&lt;"&amp;TODAY()-WEEKDAY(TODAY(),2)+8)))</f>
        <v>15</v>
      </c>
      <c r="F74" s="36">
        <f ca="1">IF($A74="","",IF(F$1="","",COUNTIFS(tbl_chests[from],$A74,tbl_chests[legalized],F$1,tbl_chests[datetime],"&gt;="&amp;TODAY()-WEEKDAY(TODAY(),2)+1,tbl_chests[datetime],"&lt;"&amp;TODAY()-WEEKDAY(TODAY(),2)+8)))</f>
        <v>0</v>
      </c>
      <c r="G74" s="36">
        <f ca="1">IF($A74="","",IF(G$1="","",COUNTIFS(tbl_chests[from],$A74,tbl_chests[legalized],G$1,tbl_chests[datetime],"&gt;="&amp;TODAY()-WEEKDAY(TODAY(),2)+1,tbl_chests[datetime],"&lt;"&amp;TODAY()-WEEKDAY(TODAY(),2)+8)))</f>
        <v>0</v>
      </c>
      <c r="H74" s="36">
        <f ca="1">IF($A74="","",IF(H$1="","",COUNTIFS(tbl_chests[from],$A74,tbl_chests[legalized],H$1,tbl_chests[datetime],"&gt;="&amp;TODAY()-WEEKDAY(TODAY(),2)+1,tbl_chests[datetime],"&lt;"&amp;TODAY()-WEEKDAY(TODAY(),2)+8)))</f>
        <v>1</v>
      </c>
      <c r="I74" s="36">
        <f ca="1">IF($A74="","",IF(I$1="","",COUNTIFS(tbl_chests[from],$A74,tbl_chests[legalized],I$1,tbl_chests[datetime],"&gt;="&amp;TODAY()-WEEKDAY(TODAY(),2)+1,tbl_chests[datetime],"&lt;"&amp;TODAY()-WEEKDAY(TODAY(),2)+8)))</f>
        <v>0</v>
      </c>
      <c r="J74" s="36">
        <f ca="1">IF($A74="","",IF(J$1="","",COUNTIFS(tbl_chests[from],$A74,tbl_chests[legalized],J$1,tbl_chests[datetime],"&gt;="&amp;TODAY()-WEEKDAY(TODAY(),2)+1,tbl_chests[datetime],"&lt;"&amp;TODAY()-WEEKDAY(TODAY(),2)+8)))</f>
        <v>0</v>
      </c>
      <c r="K74" s="36">
        <f ca="1">IF($A74="","",IF(K$1="","",COUNTIFS(tbl_chests[from],$A74,tbl_chests[legalized],K$1,tbl_chests[datetime],"&gt;="&amp;TODAY()-WEEKDAY(TODAY(),2)+1,tbl_chests[datetime],"&lt;"&amp;TODAY()-WEEKDAY(TODAY(),2)+8)))</f>
        <v>0</v>
      </c>
      <c r="L74" s="36">
        <f ca="1">IF($A74="","",IF(L$1="","",COUNTIFS(tbl_chests[from],$A74,tbl_chests[legalized],L$1,tbl_chests[datetime],"&gt;="&amp;TODAY()-WEEKDAY(TODAY(),2)+1,tbl_chests[datetime],"&lt;"&amp;TODAY()-WEEKDAY(TODAY(),2)+8)))</f>
        <v>0</v>
      </c>
      <c r="M74" s="36">
        <f ca="1">IF($A74="","",IF(M$1="","",COUNTIFS(tbl_chests[from],$A74,tbl_chests[legalized],M$1,tbl_chests[datetime],"&gt;="&amp;TODAY()-WEEKDAY(TODAY(),2)+1,tbl_chests[datetime],"&lt;"&amp;TODAY()-WEEKDAY(TODAY(),2)+8)))</f>
        <v>1</v>
      </c>
      <c r="N74" s="36">
        <f ca="1">IF($A74="","",IF(N$1="","",COUNTIFS(tbl_chests[from],$A74,tbl_chests[legalized],N$1,tbl_chests[datetime],"&gt;="&amp;TODAY()-WEEKDAY(TODAY(),2)+1,tbl_chests[datetime],"&lt;"&amp;TODAY()-WEEKDAY(TODAY(),2)+8)))</f>
        <v>0</v>
      </c>
      <c r="O74" s="36">
        <f ca="1">IF($A74="","",IF(O$1="","",COUNTIFS(tbl_chests[from],$A74,tbl_chests[legalized],O$1,tbl_chests[datetime],"&gt;="&amp;TODAY()-WEEKDAY(TODAY(),2)+1,tbl_chests[datetime],"&lt;"&amp;TODAY()-WEEKDAY(TODAY(),2)+8)))</f>
        <v>0</v>
      </c>
      <c r="P74" s="36">
        <f ca="1">IF($A74="","",IF(P$1="","",COUNTIFS(tbl_chests[from],$A74,tbl_chests[legalized],P$1,tbl_chests[datetime],"&gt;="&amp;TODAY()-WEEKDAY(TODAY(),2)+1,tbl_chests[datetime],"&lt;"&amp;TODAY()-WEEKDAY(TODAY(),2)+8)))</f>
        <v>0</v>
      </c>
      <c r="Q74" s="36">
        <f ca="1">IF($A74="","",IF(Q$1="","",COUNTIFS(tbl_chests[from],$A74,tbl_chests[legalized],Q$1,tbl_chests[datetime],"&gt;="&amp;TODAY()-WEEKDAY(TODAY(),2)+1,tbl_chests[datetime],"&lt;"&amp;TODAY()-WEEKDAY(TODAY(),2)+8)))</f>
        <v>0</v>
      </c>
      <c r="R74" s="36">
        <f ca="1">IF($A74="","",IF(R$1="","",COUNTIFS(tbl_chests[from],$A74,tbl_chests[legalized],R$1,tbl_chests[datetime],"&gt;="&amp;TODAY()-WEEKDAY(TODAY(),2)+1,tbl_chests[datetime],"&lt;"&amp;TODAY()-WEEKDAY(TODAY(),2)+8)))</f>
        <v>0</v>
      </c>
      <c r="S74" s="36">
        <f ca="1">IF($A74="","",IF(S$1="","",COUNTIFS(tbl_chests[from],$A74,tbl_chests[legalized],S$1,tbl_chests[datetime],"&gt;="&amp;TODAY()-WEEKDAY(TODAY(),2)+1,tbl_chests[datetime],"&lt;"&amp;TODAY()-WEEKDAY(TODAY(),2)+8)))</f>
        <v>0</v>
      </c>
      <c r="T74" s="36">
        <f ca="1">IF($A74="","",IF(T$1="","",COUNTIFS(tbl_chests[from],$A74,tbl_chests[legalized],T$1,tbl_chests[datetime],"&gt;="&amp;TODAY()-WEEKDAY(TODAY(),2)+1,tbl_chests[datetime],"&lt;"&amp;TODAY()-WEEKDAY(TODAY(),2)+8)))</f>
        <v>0</v>
      </c>
      <c r="U74" s="36">
        <f ca="1">IF($A74="","",IF(U$1="","",COUNTIFS(tbl_chests[from],$A74,tbl_chests[legalized],U$1,tbl_chests[datetime],"&gt;="&amp;TODAY()-WEEKDAY(TODAY(),2)+1,tbl_chests[datetime],"&lt;"&amp;TODAY()-WEEKDAY(TODAY(),2)+8)))</f>
        <v>0</v>
      </c>
      <c r="V74" s="36">
        <f ca="1">IF($A74="","",IF(V$1="","",COUNTIFS(tbl_chests[from],$A74,tbl_chests[legalized],V$1,tbl_chests[datetime],"&gt;="&amp;TODAY()-WEEKDAY(TODAY(),2)+1,tbl_chests[datetime],"&lt;"&amp;TODAY()-WEEKDAY(TODAY(),2)+8)))</f>
        <v>0</v>
      </c>
      <c r="W74" s="36">
        <f ca="1">IF($A74="","",IF(W$1="","",COUNTIFS(tbl_chests[from],$A74,tbl_chests[legalized],W$1,tbl_chests[datetime],"&gt;="&amp;TODAY()-WEEKDAY(TODAY(),2)+1,tbl_chests[datetime],"&lt;"&amp;TODAY()-WEEKDAY(TODAY(),2)+8)))</f>
        <v>0</v>
      </c>
      <c r="X74" s="36">
        <f ca="1">IF($A74="","",IF(X$1="","",COUNTIFS(tbl_chests[from],$A74,tbl_chests[legalized],X$1,tbl_chests[datetime],"&gt;="&amp;TODAY()-WEEKDAY(TODAY(),2)+1,tbl_chests[datetime],"&lt;"&amp;TODAY()-WEEKDAY(TODAY(),2)+8)))</f>
        <v>0</v>
      </c>
      <c r="Y74" s="36">
        <f ca="1">IF($A74="","",IF(Y$1="","",COUNTIFS(tbl_chests[from],$A74,tbl_chests[legalized],Y$1,tbl_chests[datetime],"&gt;="&amp;TODAY()-WEEKDAY(TODAY(),2)+1,tbl_chests[datetime],"&lt;"&amp;TODAY()-WEEKDAY(TODAY(),2)+8)))</f>
        <v>0</v>
      </c>
      <c r="Z74" s="36">
        <f ca="1">IF($A74="","",IF(Z$1="","",COUNTIFS(tbl_chests[from],$A74,tbl_chests[legalized],Z$1,tbl_chests[datetime],"&gt;="&amp;TODAY()-WEEKDAY(TODAY(),2)+1,tbl_chests[datetime],"&lt;"&amp;TODAY()-WEEKDAY(TODAY(),2)+8)))</f>
        <v>0</v>
      </c>
      <c r="AA74" s="36">
        <f ca="1">IF($A74="","",IF(AA$1="","",COUNTIFS(tbl_chests[from],$A74,tbl_chests[legalized],AA$1,tbl_chests[datetime],"&gt;="&amp;TODAY()-WEEKDAY(TODAY(),2)+1,tbl_chests[datetime],"&lt;"&amp;TODAY()-WEEKDAY(TODAY(),2)+8)))</f>
        <v>0</v>
      </c>
      <c r="AB74" s="36">
        <f ca="1">IF($A74="","",IF(AB$1="","",COUNTIFS(tbl_chests[from],$A74,tbl_chests[legalized],AB$1,tbl_chests[datetime],"&gt;="&amp;TODAY()-WEEKDAY(TODAY(),2)+1,tbl_chests[datetime],"&lt;"&amp;TODAY()-WEEKDAY(TODAY(),2)+8)))</f>
        <v>0</v>
      </c>
      <c r="AC74" s="36">
        <f ca="1">IF($A74="","",IF(AC$1="","",COUNTIFS(tbl_chests[from],$A74,tbl_chests[legalized],AC$1,tbl_chests[datetime],"&gt;="&amp;TODAY()-WEEKDAY(TODAY(),2)+1,tbl_chests[datetime],"&lt;"&amp;TODAY()-WEEKDAY(TODAY(),2)+8)))</f>
        <v>0</v>
      </c>
      <c r="AD74" s="36">
        <f ca="1">IF($A74="","",IF(AD$1="","",COUNTIFS(tbl_chests[from],$A74,tbl_chests[legalized],AD$1,tbl_chests[datetime],"&gt;="&amp;TODAY()-WEEKDAY(TODAY(),2)+1,tbl_chests[datetime],"&lt;"&amp;TODAY()-WEEKDAY(TODAY(),2)+8)))</f>
        <v>0</v>
      </c>
      <c r="AE74" s="36">
        <f ca="1">IF($A74="","",IF(AE$1="","",COUNTIFS(tbl_chests[from],$A74,tbl_chests[legalized],AE$1,tbl_chests[datetime],"&gt;="&amp;TODAY()-WEEKDAY(TODAY(),2)+1,tbl_chests[datetime],"&lt;"&amp;TODAY()-WEEKDAY(TODAY(),2)+8)))</f>
        <v>1</v>
      </c>
      <c r="AF74" s="36">
        <f ca="1">IF($A74="","",IF(AF$1="","",COUNTIFS(tbl_chests[from],$A74,tbl_chests[legalized],AF$1,tbl_chests[datetime],"&gt;="&amp;TODAY()-WEEKDAY(TODAY(),2)+1,tbl_chests[datetime],"&lt;"&amp;TODAY()-WEEKDAY(TODAY(),2)+8)))</f>
        <v>0</v>
      </c>
      <c r="AG74" s="36">
        <f ca="1">IF($A74="","",IF(AG$1="","",COUNTIFS(tbl_chests[from],$A74,tbl_chests[legalized],AG$1,tbl_chests[datetime],"&gt;="&amp;TODAY()-WEEKDAY(TODAY(),2)+1,tbl_chests[datetime],"&lt;"&amp;TODAY()-WEEKDAY(TODAY(),2)+8)))</f>
        <v>0</v>
      </c>
      <c r="AH74" s="36">
        <f ca="1">IF($A74="","",IF(AH$1="","",COUNTIFS(tbl_chests[from],$A74,tbl_chests[legalized],AH$1,tbl_chests[datetime],"&gt;="&amp;TODAY()-WEEKDAY(TODAY(),2)+1,tbl_chests[datetime],"&lt;"&amp;TODAY()-WEEKDAY(TODAY(),2)+8)))</f>
        <v>0</v>
      </c>
      <c r="AI74" s="36">
        <f ca="1">IF($A74="","",IF(AI$1="","",COUNTIFS(tbl_chests[from],$A74,tbl_chests[legalized],AI$1,tbl_chests[datetime],"&gt;="&amp;TODAY()-WEEKDAY(TODAY(),2)+1,tbl_chests[datetime],"&lt;"&amp;TODAY()-WEEKDAY(TODAY(),2)+8)))</f>
        <v>0</v>
      </c>
      <c r="AJ74" s="36">
        <f ca="1">IF($A74="","",IF(AJ$1="","",COUNTIFS(tbl_chests[from],$A74,tbl_chests[legalized],AJ$1,tbl_chests[datetime],"&gt;="&amp;TODAY()-WEEKDAY(TODAY(),2)+1,tbl_chests[datetime],"&lt;"&amp;TODAY()-WEEKDAY(TODAY(),2)+8)))</f>
        <v>0</v>
      </c>
      <c r="AK74" s="36">
        <f ca="1">IF($A74="","",IF(AK$1="","",COUNTIFS(tbl_chests[from],$A74,tbl_chests[legalized],AK$1,tbl_chests[datetime],"&gt;="&amp;TODAY()-WEEKDAY(TODAY(),2)+1,tbl_chests[datetime],"&lt;"&amp;TODAY()-WEEKDAY(TODAY(),2)+8)))</f>
        <v>0</v>
      </c>
      <c r="AL74" s="36">
        <f ca="1">IF($A74="","",IF(AL$1="","",COUNTIFS(tbl_chests[from],$A74,tbl_chests[legalized],AL$1,tbl_chests[datetime],"&gt;="&amp;TODAY()-WEEKDAY(TODAY(),2)+1,tbl_chests[datetime],"&lt;"&amp;TODAY()-WEEKDAY(TODAY(),2)+8)))</f>
        <v>0</v>
      </c>
      <c r="AM74" s="37">
        <f ca="1">IF($A74="","",IF(AM$1="","",COUNTIFS(tbl_chests[from],$A74,tbl_chests[legalized],AM$1,tbl_chests[datetime],"&gt;="&amp;TODAY()-WEEKDAY(TODAY(),2)+1,tbl_chests[datetime],"&lt;"&amp;TODAY()-WEEKDAY(TODAY(),2)+8)))</f>
        <v>0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 spans="1:67" ht="15.75" customHeight="1" x14ac:dyDescent="0.25">
      <c r="A75" s="34" t="str">
        <f>chests_counter!$H72</f>
        <v>Zulkigore</v>
      </c>
      <c r="B75" s="35" cm="1">
        <f t="array" aca="1" ref="B75" ca="1">IF(A75&lt;&gt;"", SUMPRODUCT(($C$2:$AM$2&lt;&gt;0)*(C75:AM75&lt;&gt;0)*($C$2:$AM$2)*(C75:AM75)), "")</f>
        <v>120</v>
      </c>
      <c r="C75" s="36">
        <f ca="1">IF($A75="","",IF(C$1="","",COUNTIFS(tbl_chests[from],$A75,tbl_chests[legalized],C$1,tbl_chests[datetime],"&gt;="&amp;TODAY()-WEEKDAY(TODAY(),2)+1,tbl_chests[datetime],"&lt;"&amp;TODAY()-WEEKDAY(TODAY(),2)+8)))</f>
        <v>4</v>
      </c>
      <c r="D75" s="36">
        <f ca="1">IF($A75="","",IF(D$1="","",COUNTIFS(tbl_chests[from],$A75,tbl_chests[legalized],D$1,tbl_chests[datetime],"&gt;="&amp;TODAY()-WEEKDAY(TODAY(),2)+1,tbl_chests[datetime],"&lt;"&amp;TODAY()-WEEKDAY(TODAY(),2)+8)))</f>
        <v>4</v>
      </c>
      <c r="E75" s="36">
        <f ca="1">IF($A75="","",IF(E$1="","",COUNTIFS(tbl_chests[from],$A75,tbl_chests[legalized],E$1,tbl_chests[datetime],"&gt;="&amp;TODAY()-WEEKDAY(TODAY(),2)+1,tbl_chests[datetime],"&lt;"&amp;TODAY()-WEEKDAY(TODAY(),2)+8)))</f>
        <v>0</v>
      </c>
      <c r="F75" s="36">
        <f ca="1">IF($A75="","",IF(F$1="","",COUNTIFS(tbl_chests[from],$A75,tbl_chests[legalized],F$1,tbl_chests[datetime],"&gt;="&amp;TODAY()-WEEKDAY(TODAY(),2)+1,tbl_chests[datetime],"&lt;"&amp;TODAY()-WEEKDAY(TODAY(),2)+8)))</f>
        <v>0</v>
      </c>
      <c r="G75" s="36">
        <f ca="1">IF($A75="","",IF(G$1="","",COUNTIFS(tbl_chests[from],$A75,tbl_chests[legalized],G$1,tbl_chests[datetime],"&gt;="&amp;TODAY()-WEEKDAY(TODAY(),2)+1,tbl_chests[datetime],"&lt;"&amp;TODAY()-WEEKDAY(TODAY(),2)+8)))</f>
        <v>0</v>
      </c>
      <c r="H75" s="36">
        <f ca="1">IF($A75="","",IF(H$1="","",COUNTIFS(tbl_chests[from],$A75,tbl_chests[legalized],H$1,tbl_chests[datetime],"&gt;="&amp;TODAY()-WEEKDAY(TODAY(),2)+1,tbl_chests[datetime],"&lt;"&amp;TODAY()-WEEKDAY(TODAY(),2)+8)))</f>
        <v>0</v>
      </c>
      <c r="I75" s="36">
        <f ca="1">IF($A75="","",IF(I$1="","",COUNTIFS(tbl_chests[from],$A75,tbl_chests[legalized],I$1,tbl_chests[datetime],"&gt;="&amp;TODAY()-WEEKDAY(TODAY(),2)+1,tbl_chests[datetime],"&lt;"&amp;TODAY()-WEEKDAY(TODAY(),2)+8)))</f>
        <v>0</v>
      </c>
      <c r="J75" s="36">
        <f ca="1">IF($A75="","",IF(J$1="","",COUNTIFS(tbl_chests[from],$A75,tbl_chests[legalized],J$1,tbl_chests[datetime],"&gt;="&amp;TODAY()-WEEKDAY(TODAY(),2)+1,tbl_chests[datetime],"&lt;"&amp;TODAY()-WEEKDAY(TODAY(),2)+8)))</f>
        <v>0</v>
      </c>
      <c r="K75" s="36">
        <f ca="1">IF($A75="","",IF(K$1="","",COUNTIFS(tbl_chests[from],$A75,tbl_chests[legalized],K$1,tbl_chests[datetime],"&gt;="&amp;TODAY()-WEEKDAY(TODAY(),2)+1,tbl_chests[datetime],"&lt;"&amp;TODAY()-WEEKDAY(TODAY(),2)+8)))</f>
        <v>0</v>
      </c>
      <c r="L75" s="36">
        <f ca="1">IF($A75="","",IF(L$1="","",COUNTIFS(tbl_chests[from],$A75,tbl_chests[legalized],L$1,tbl_chests[datetime],"&gt;="&amp;TODAY()-WEEKDAY(TODAY(),2)+1,tbl_chests[datetime],"&lt;"&amp;TODAY()-WEEKDAY(TODAY(),2)+8)))</f>
        <v>0</v>
      </c>
      <c r="M75" s="36">
        <f ca="1">IF($A75="","",IF(M$1="","",COUNTIFS(tbl_chests[from],$A75,tbl_chests[legalized],M$1,tbl_chests[datetime],"&gt;="&amp;TODAY()-WEEKDAY(TODAY(),2)+1,tbl_chests[datetime],"&lt;"&amp;TODAY()-WEEKDAY(TODAY(),2)+8)))</f>
        <v>0</v>
      </c>
      <c r="N75" s="36">
        <f ca="1">IF($A75="","",IF(N$1="","",COUNTIFS(tbl_chests[from],$A75,tbl_chests[legalized],N$1,tbl_chests[datetime],"&gt;="&amp;TODAY()-WEEKDAY(TODAY(),2)+1,tbl_chests[datetime],"&lt;"&amp;TODAY()-WEEKDAY(TODAY(),2)+8)))</f>
        <v>0</v>
      </c>
      <c r="O75" s="36">
        <f ca="1">IF($A75="","",IF(O$1="","",COUNTIFS(tbl_chests[from],$A75,tbl_chests[legalized],O$1,tbl_chests[datetime],"&gt;="&amp;TODAY()-WEEKDAY(TODAY(),2)+1,tbl_chests[datetime],"&lt;"&amp;TODAY()-WEEKDAY(TODAY(),2)+8)))</f>
        <v>0</v>
      </c>
      <c r="P75" s="36">
        <f ca="1">IF($A75="","",IF(P$1="","",COUNTIFS(tbl_chests[from],$A75,tbl_chests[legalized],P$1,tbl_chests[datetime],"&gt;="&amp;TODAY()-WEEKDAY(TODAY(),2)+1,tbl_chests[datetime],"&lt;"&amp;TODAY()-WEEKDAY(TODAY(),2)+8)))</f>
        <v>0</v>
      </c>
      <c r="Q75" s="36">
        <f ca="1">IF($A75="","",IF(Q$1="","",COUNTIFS(tbl_chests[from],$A75,tbl_chests[legalized],Q$1,tbl_chests[datetime],"&gt;="&amp;TODAY()-WEEKDAY(TODAY(),2)+1,tbl_chests[datetime],"&lt;"&amp;TODAY()-WEEKDAY(TODAY(),2)+8)))</f>
        <v>0</v>
      </c>
      <c r="R75" s="36">
        <f ca="1">IF($A75="","",IF(R$1="","",COUNTIFS(tbl_chests[from],$A75,tbl_chests[legalized],R$1,tbl_chests[datetime],"&gt;="&amp;TODAY()-WEEKDAY(TODAY(),2)+1,tbl_chests[datetime],"&lt;"&amp;TODAY()-WEEKDAY(TODAY(),2)+8)))</f>
        <v>0</v>
      </c>
      <c r="S75" s="36">
        <f ca="1">IF($A75="","",IF(S$1="","",COUNTIFS(tbl_chests[from],$A75,tbl_chests[legalized],S$1,tbl_chests[datetime],"&gt;="&amp;TODAY()-WEEKDAY(TODAY(),2)+1,tbl_chests[datetime],"&lt;"&amp;TODAY()-WEEKDAY(TODAY(),2)+8)))</f>
        <v>0</v>
      </c>
      <c r="T75" s="36">
        <f ca="1">IF($A75="","",IF(T$1="","",COUNTIFS(tbl_chests[from],$A75,tbl_chests[legalized],T$1,tbl_chests[datetime],"&gt;="&amp;TODAY()-WEEKDAY(TODAY(),2)+1,tbl_chests[datetime],"&lt;"&amp;TODAY()-WEEKDAY(TODAY(),2)+8)))</f>
        <v>0</v>
      </c>
      <c r="U75" s="36">
        <f ca="1">IF($A75="","",IF(U$1="","",COUNTIFS(tbl_chests[from],$A75,tbl_chests[legalized],U$1,tbl_chests[datetime],"&gt;="&amp;TODAY()-WEEKDAY(TODAY(),2)+1,tbl_chests[datetime],"&lt;"&amp;TODAY()-WEEKDAY(TODAY(),2)+8)))</f>
        <v>0</v>
      </c>
      <c r="V75" s="36">
        <f ca="1">IF($A75="","",IF(V$1="","",COUNTIFS(tbl_chests[from],$A75,tbl_chests[legalized],V$1,tbl_chests[datetime],"&gt;="&amp;TODAY()-WEEKDAY(TODAY(),2)+1,tbl_chests[datetime],"&lt;"&amp;TODAY()-WEEKDAY(TODAY(),2)+8)))</f>
        <v>0</v>
      </c>
      <c r="W75" s="36">
        <f ca="1">IF($A75="","",IF(W$1="","",COUNTIFS(tbl_chests[from],$A75,tbl_chests[legalized],W$1,tbl_chests[datetime],"&gt;="&amp;TODAY()-WEEKDAY(TODAY(),2)+1,tbl_chests[datetime],"&lt;"&amp;TODAY()-WEEKDAY(TODAY(),2)+8)))</f>
        <v>0</v>
      </c>
      <c r="X75" s="36">
        <f ca="1">IF($A75="","",IF(X$1="","",COUNTIFS(tbl_chests[from],$A75,tbl_chests[legalized],X$1,tbl_chests[datetime],"&gt;="&amp;TODAY()-WEEKDAY(TODAY(),2)+1,tbl_chests[datetime],"&lt;"&amp;TODAY()-WEEKDAY(TODAY(),2)+8)))</f>
        <v>0</v>
      </c>
      <c r="Y75" s="36">
        <f ca="1">IF($A75="","",IF(Y$1="","",COUNTIFS(tbl_chests[from],$A75,tbl_chests[legalized],Y$1,tbl_chests[datetime],"&gt;="&amp;TODAY()-WEEKDAY(TODAY(),2)+1,tbl_chests[datetime],"&lt;"&amp;TODAY()-WEEKDAY(TODAY(),2)+8)))</f>
        <v>0</v>
      </c>
      <c r="Z75" s="36">
        <f ca="1">IF($A75="","",IF(Z$1="","",COUNTIFS(tbl_chests[from],$A75,tbl_chests[legalized],Z$1,tbl_chests[datetime],"&gt;="&amp;TODAY()-WEEKDAY(TODAY(),2)+1,tbl_chests[datetime],"&lt;"&amp;TODAY()-WEEKDAY(TODAY(),2)+8)))</f>
        <v>0</v>
      </c>
      <c r="AA75" s="36">
        <f ca="1">IF($A75="","",IF(AA$1="","",COUNTIFS(tbl_chests[from],$A75,tbl_chests[legalized],AA$1,tbl_chests[datetime],"&gt;="&amp;TODAY()-WEEKDAY(TODAY(),2)+1,tbl_chests[datetime],"&lt;"&amp;TODAY()-WEEKDAY(TODAY(),2)+8)))</f>
        <v>0</v>
      </c>
      <c r="AB75" s="36">
        <f ca="1">IF($A75="","",IF(AB$1="","",COUNTIFS(tbl_chests[from],$A75,tbl_chests[legalized],AB$1,tbl_chests[datetime],"&gt;="&amp;TODAY()-WEEKDAY(TODAY(),2)+1,tbl_chests[datetime],"&lt;"&amp;TODAY()-WEEKDAY(TODAY(),2)+8)))</f>
        <v>0</v>
      </c>
      <c r="AC75" s="36">
        <f ca="1">IF($A75="","",IF(AC$1="","",COUNTIFS(tbl_chests[from],$A75,tbl_chests[legalized],AC$1,tbl_chests[datetime],"&gt;="&amp;TODAY()-WEEKDAY(TODAY(),2)+1,tbl_chests[datetime],"&lt;"&amp;TODAY()-WEEKDAY(TODAY(),2)+8)))</f>
        <v>0</v>
      </c>
      <c r="AD75" s="36">
        <f ca="1">IF($A75="","",IF(AD$1="","",COUNTIFS(tbl_chests[from],$A75,tbl_chests[legalized],AD$1,tbl_chests[datetime],"&gt;="&amp;TODAY()-WEEKDAY(TODAY(),2)+1,tbl_chests[datetime],"&lt;"&amp;TODAY()-WEEKDAY(TODAY(),2)+8)))</f>
        <v>0</v>
      </c>
      <c r="AE75" s="36">
        <f ca="1">IF($A75="","",IF(AE$1="","",COUNTIFS(tbl_chests[from],$A75,tbl_chests[legalized],AE$1,tbl_chests[datetime],"&gt;="&amp;TODAY()-WEEKDAY(TODAY(),2)+1,tbl_chests[datetime],"&lt;"&amp;TODAY()-WEEKDAY(TODAY(),2)+8)))</f>
        <v>0</v>
      </c>
      <c r="AF75" s="36">
        <f ca="1">IF($A75="","",IF(AF$1="","",COUNTIFS(tbl_chests[from],$A75,tbl_chests[legalized],AF$1,tbl_chests[datetime],"&gt;="&amp;TODAY()-WEEKDAY(TODAY(),2)+1,tbl_chests[datetime],"&lt;"&amp;TODAY()-WEEKDAY(TODAY(),2)+8)))</f>
        <v>0</v>
      </c>
      <c r="AG75" s="36">
        <f ca="1">IF($A75="","",IF(AG$1="","",COUNTIFS(tbl_chests[from],$A75,tbl_chests[legalized],AG$1,tbl_chests[datetime],"&gt;="&amp;TODAY()-WEEKDAY(TODAY(),2)+1,tbl_chests[datetime],"&lt;"&amp;TODAY()-WEEKDAY(TODAY(),2)+8)))</f>
        <v>0</v>
      </c>
      <c r="AH75" s="36">
        <f ca="1">IF($A75="","",IF(AH$1="","",COUNTIFS(tbl_chests[from],$A75,tbl_chests[legalized],AH$1,tbl_chests[datetime],"&gt;="&amp;TODAY()-WEEKDAY(TODAY(),2)+1,tbl_chests[datetime],"&lt;"&amp;TODAY()-WEEKDAY(TODAY(),2)+8)))</f>
        <v>0</v>
      </c>
      <c r="AI75" s="36">
        <f ca="1">IF($A75="","",IF(AI$1="","",COUNTIFS(tbl_chests[from],$A75,tbl_chests[legalized],AI$1,tbl_chests[datetime],"&gt;="&amp;TODAY()-WEEKDAY(TODAY(),2)+1,tbl_chests[datetime],"&lt;"&amp;TODAY()-WEEKDAY(TODAY(),2)+8)))</f>
        <v>0</v>
      </c>
      <c r="AJ75" s="36">
        <f ca="1">IF($A75="","",IF(AJ$1="","",COUNTIFS(tbl_chests[from],$A75,tbl_chests[legalized],AJ$1,tbl_chests[datetime],"&gt;="&amp;TODAY()-WEEKDAY(TODAY(),2)+1,tbl_chests[datetime],"&lt;"&amp;TODAY()-WEEKDAY(TODAY(),2)+8)))</f>
        <v>0</v>
      </c>
      <c r="AK75" s="36">
        <f ca="1">IF($A75="","",IF(AK$1="","",COUNTIFS(tbl_chests[from],$A75,tbl_chests[legalized],AK$1,tbl_chests[datetime],"&gt;="&amp;TODAY()-WEEKDAY(TODAY(),2)+1,tbl_chests[datetime],"&lt;"&amp;TODAY()-WEEKDAY(TODAY(),2)+8)))</f>
        <v>0</v>
      </c>
      <c r="AL75" s="36">
        <f ca="1">IF($A75="","",IF(AL$1="","",COUNTIFS(tbl_chests[from],$A75,tbl_chests[legalized],AL$1,tbl_chests[datetime],"&gt;="&amp;TODAY()-WEEKDAY(TODAY(),2)+1,tbl_chests[datetime],"&lt;"&amp;TODAY()-WEEKDAY(TODAY(),2)+8)))</f>
        <v>0</v>
      </c>
      <c r="AM75" s="37">
        <f ca="1">IF($A75="","",IF(AM$1="","",COUNTIFS(tbl_chests[from],$A75,tbl_chests[legalized],AM$1,tbl_chests[datetime],"&gt;="&amp;TODAY()-WEEKDAY(TODAY(),2)+1,tbl_chests[datetime],"&lt;"&amp;TODAY()-WEEKDAY(TODAY(),2)+8)))</f>
        <v>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 spans="1:67" ht="15.75" customHeight="1" x14ac:dyDescent="0.25">
      <c r="A76" s="34">
        <f>chests_counter!$H73</f>
        <v>0</v>
      </c>
      <c r="B76" s="35" cm="1">
        <f t="array" aca="1" ref="B76" ca="1">IF(A76&lt;&gt;"", SUMPRODUCT(($C$2:$AM$2&lt;&gt;0)*(C76:AM76&lt;&gt;0)*($C$2:$AM$2)*(C76:AM76)), "")</f>
        <v>0</v>
      </c>
      <c r="C76" s="36">
        <f ca="1">IF($A76="","",IF(C$1="","",COUNTIFS(tbl_chests[from],$A76,tbl_chests[legalized],C$1,tbl_chests[datetime],"&gt;="&amp;TODAY()-WEEKDAY(TODAY(),2)+1,tbl_chests[datetime],"&lt;"&amp;TODAY()-WEEKDAY(TODAY(),2)+8)))</f>
        <v>0</v>
      </c>
      <c r="D76" s="36">
        <f ca="1">IF($A76="","",IF(D$1="","",COUNTIFS(tbl_chests[from],$A76,tbl_chests[legalized],D$1,tbl_chests[datetime],"&gt;="&amp;TODAY()-WEEKDAY(TODAY(),2)+1,tbl_chests[datetime],"&lt;"&amp;TODAY()-WEEKDAY(TODAY(),2)+8)))</f>
        <v>0</v>
      </c>
      <c r="E76" s="36">
        <f ca="1">IF($A76="","",IF(E$1="","",COUNTIFS(tbl_chests[from],$A76,tbl_chests[legalized],E$1,tbl_chests[datetime],"&gt;="&amp;TODAY()-WEEKDAY(TODAY(),2)+1,tbl_chests[datetime],"&lt;"&amp;TODAY()-WEEKDAY(TODAY(),2)+8)))</f>
        <v>0</v>
      </c>
      <c r="F76" s="36">
        <f ca="1">IF($A76="","",IF(F$1="","",COUNTIFS(tbl_chests[from],$A76,tbl_chests[legalized],F$1,tbl_chests[datetime],"&gt;="&amp;TODAY()-WEEKDAY(TODAY(),2)+1,tbl_chests[datetime],"&lt;"&amp;TODAY()-WEEKDAY(TODAY(),2)+8)))</f>
        <v>0</v>
      </c>
      <c r="G76" s="36">
        <f ca="1">IF($A76="","",IF(G$1="","",COUNTIFS(tbl_chests[from],$A76,tbl_chests[legalized],G$1,tbl_chests[datetime],"&gt;="&amp;TODAY()-WEEKDAY(TODAY(),2)+1,tbl_chests[datetime],"&lt;"&amp;TODAY()-WEEKDAY(TODAY(),2)+8)))</f>
        <v>0</v>
      </c>
      <c r="H76" s="36">
        <f ca="1">IF($A76="","",IF(H$1="","",COUNTIFS(tbl_chests[from],$A76,tbl_chests[legalized],H$1,tbl_chests[datetime],"&gt;="&amp;TODAY()-WEEKDAY(TODAY(),2)+1,tbl_chests[datetime],"&lt;"&amp;TODAY()-WEEKDAY(TODAY(),2)+8)))</f>
        <v>0</v>
      </c>
      <c r="I76" s="36">
        <f ca="1">IF($A76="","",IF(I$1="","",COUNTIFS(tbl_chests[from],$A76,tbl_chests[legalized],I$1,tbl_chests[datetime],"&gt;="&amp;TODAY()-WEEKDAY(TODAY(),2)+1,tbl_chests[datetime],"&lt;"&amp;TODAY()-WEEKDAY(TODAY(),2)+8)))</f>
        <v>0</v>
      </c>
      <c r="J76" s="36">
        <f ca="1">IF($A76="","",IF(J$1="","",COUNTIFS(tbl_chests[from],$A76,tbl_chests[legalized],J$1,tbl_chests[datetime],"&gt;="&amp;TODAY()-WEEKDAY(TODAY(),2)+1,tbl_chests[datetime],"&lt;"&amp;TODAY()-WEEKDAY(TODAY(),2)+8)))</f>
        <v>0</v>
      </c>
      <c r="K76" s="36">
        <f ca="1">IF($A76="","",IF(K$1="","",COUNTIFS(tbl_chests[from],$A76,tbl_chests[legalized],K$1,tbl_chests[datetime],"&gt;="&amp;TODAY()-WEEKDAY(TODAY(),2)+1,tbl_chests[datetime],"&lt;"&amp;TODAY()-WEEKDAY(TODAY(),2)+8)))</f>
        <v>0</v>
      </c>
      <c r="L76" s="36">
        <f ca="1">IF($A76="","",IF(L$1="","",COUNTIFS(tbl_chests[from],$A76,tbl_chests[legalized],L$1,tbl_chests[datetime],"&gt;="&amp;TODAY()-WEEKDAY(TODAY(),2)+1,tbl_chests[datetime],"&lt;"&amp;TODAY()-WEEKDAY(TODAY(),2)+8)))</f>
        <v>0</v>
      </c>
      <c r="M76" s="36">
        <f ca="1">IF($A76="","",IF(M$1="","",COUNTIFS(tbl_chests[from],$A76,tbl_chests[legalized],M$1,tbl_chests[datetime],"&gt;="&amp;TODAY()-WEEKDAY(TODAY(),2)+1,tbl_chests[datetime],"&lt;"&amp;TODAY()-WEEKDAY(TODAY(),2)+8)))</f>
        <v>0</v>
      </c>
      <c r="N76" s="36">
        <f ca="1">IF($A76="","",IF(N$1="","",COUNTIFS(tbl_chests[from],$A76,tbl_chests[legalized],N$1,tbl_chests[datetime],"&gt;="&amp;TODAY()-WEEKDAY(TODAY(),2)+1,tbl_chests[datetime],"&lt;"&amp;TODAY()-WEEKDAY(TODAY(),2)+8)))</f>
        <v>0</v>
      </c>
      <c r="O76" s="36">
        <f ca="1">IF($A76="","",IF(O$1="","",COUNTIFS(tbl_chests[from],$A76,tbl_chests[legalized],O$1,tbl_chests[datetime],"&gt;="&amp;TODAY()-WEEKDAY(TODAY(),2)+1,tbl_chests[datetime],"&lt;"&amp;TODAY()-WEEKDAY(TODAY(),2)+8)))</f>
        <v>0</v>
      </c>
      <c r="P76" s="36">
        <f ca="1">IF($A76="","",IF(P$1="","",COUNTIFS(tbl_chests[from],$A76,tbl_chests[legalized],P$1,tbl_chests[datetime],"&gt;="&amp;TODAY()-WEEKDAY(TODAY(),2)+1,tbl_chests[datetime],"&lt;"&amp;TODAY()-WEEKDAY(TODAY(),2)+8)))</f>
        <v>0</v>
      </c>
      <c r="Q76" s="36">
        <f ca="1">IF($A76="","",IF(Q$1="","",COUNTIFS(tbl_chests[from],$A76,tbl_chests[legalized],Q$1,tbl_chests[datetime],"&gt;="&amp;TODAY()-WEEKDAY(TODAY(),2)+1,tbl_chests[datetime],"&lt;"&amp;TODAY()-WEEKDAY(TODAY(),2)+8)))</f>
        <v>0</v>
      </c>
      <c r="R76" s="36">
        <f ca="1">IF($A76="","",IF(R$1="","",COUNTIFS(tbl_chests[from],$A76,tbl_chests[legalized],R$1,tbl_chests[datetime],"&gt;="&amp;TODAY()-WEEKDAY(TODAY(),2)+1,tbl_chests[datetime],"&lt;"&amp;TODAY()-WEEKDAY(TODAY(),2)+8)))</f>
        <v>0</v>
      </c>
      <c r="S76" s="36">
        <f ca="1">IF($A76="","",IF(S$1="","",COUNTIFS(tbl_chests[from],$A76,tbl_chests[legalized],S$1,tbl_chests[datetime],"&gt;="&amp;TODAY()-WEEKDAY(TODAY(),2)+1,tbl_chests[datetime],"&lt;"&amp;TODAY()-WEEKDAY(TODAY(),2)+8)))</f>
        <v>0</v>
      </c>
      <c r="T76" s="36">
        <f ca="1">IF($A76="","",IF(T$1="","",COUNTIFS(tbl_chests[from],$A76,tbl_chests[legalized],T$1,tbl_chests[datetime],"&gt;="&amp;TODAY()-WEEKDAY(TODAY(),2)+1,tbl_chests[datetime],"&lt;"&amp;TODAY()-WEEKDAY(TODAY(),2)+8)))</f>
        <v>0</v>
      </c>
      <c r="U76" s="36">
        <f ca="1">IF($A76="","",IF(U$1="","",COUNTIFS(tbl_chests[from],$A76,tbl_chests[legalized],U$1,tbl_chests[datetime],"&gt;="&amp;TODAY()-WEEKDAY(TODAY(),2)+1,tbl_chests[datetime],"&lt;"&amp;TODAY()-WEEKDAY(TODAY(),2)+8)))</f>
        <v>0</v>
      </c>
      <c r="V76" s="36">
        <f ca="1">IF($A76="","",IF(V$1="","",COUNTIFS(tbl_chests[from],$A76,tbl_chests[legalized],V$1,tbl_chests[datetime],"&gt;="&amp;TODAY()-WEEKDAY(TODAY(),2)+1,tbl_chests[datetime],"&lt;"&amp;TODAY()-WEEKDAY(TODAY(),2)+8)))</f>
        <v>0</v>
      </c>
      <c r="W76" s="36">
        <f ca="1">IF($A76="","",IF(W$1="","",COUNTIFS(tbl_chests[from],$A76,tbl_chests[legalized],W$1,tbl_chests[datetime],"&gt;="&amp;TODAY()-WEEKDAY(TODAY(),2)+1,tbl_chests[datetime],"&lt;"&amp;TODAY()-WEEKDAY(TODAY(),2)+8)))</f>
        <v>0</v>
      </c>
      <c r="X76" s="36">
        <f ca="1">IF($A76="","",IF(X$1="","",COUNTIFS(tbl_chests[from],$A76,tbl_chests[legalized],X$1,tbl_chests[datetime],"&gt;="&amp;TODAY()-WEEKDAY(TODAY(),2)+1,tbl_chests[datetime],"&lt;"&amp;TODAY()-WEEKDAY(TODAY(),2)+8)))</f>
        <v>0</v>
      </c>
      <c r="Y76" s="36">
        <f ca="1">IF($A76="","",IF(Y$1="","",COUNTIFS(tbl_chests[from],$A76,tbl_chests[legalized],Y$1,tbl_chests[datetime],"&gt;="&amp;TODAY()-WEEKDAY(TODAY(),2)+1,tbl_chests[datetime],"&lt;"&amp;TODAY()-WEEKDAY(TODAY(),2)+8)))</f>
        <v>0</v>
      </c>
      <c r="Z76" s="36">
        <f ca="1">IF($A76="","",IF(Z$1="","",COUNTIFS(tbl_chests[from],$A76,tbl_chests[legalized],Z$1,tbl_chests[datetime],"&gt;="&amp;TODAY()-WEEKDAY(TODAY(),2)+1,tbl_chests[datetime],"&lt;"&amp;TODAY()-WEEKDAY(TODAY(),2)+8)))</f>
        <v>0</v>
      </c>
      <c r="AA76" s="36">
        <f ca="1">IF($A76="","",IF(AA$1="","",COUNTIFS(tbl_chests[from],$A76,tbl_chests[legalized],AA$1,tbl_chests[datetime],"&gt;="&amp;TODAY()-WEEKDAY(TODAY(),2)+1,tbl_chests[datetime],"&lt;"&amp;TODAY()-WEEKDAY(TODAY(),2)+8)))</f>
        <v>0</v>
      </c>
      <c r="AB76" s="36">
        <f ca="1">IF($A76="","",IF(AB$1="","",COUNTIFS(tbl_chests[from],$A76,tbl_chests[legalized],AB$1,tbl_chests[datetime],"&gt;="&amp;TODAY()-WEEKDAY(TODAY(),2)+1,tbl_chests[datetime],"&lt;"&amp;TODAY()-WEEKDAY(TODAY(),2)+8)))</f>
        <v>0</v>
      </c>
      <c r="AC76" s="36">
        <f ca="1">IF($A76="","",IF(AC$1="","",COUNTIFS(tbl_chests[from],$A76,tbl_chests[legalized],AC$1,tbl_chests[datetime],"&gt;="&amp;TODAY()-WEEKDAY(TODAY(),2)+1,tbl_chests[datetime],"&lt;"&amp;TODAY()-WEEKDAY(TODAY(),2)+8)))</f>
        <v>0</v>
      </c>
      <c r="AD76" s="36">
        <f ca="1">IF($A76="","",IF(AD$1="","",COUNTIFS(tbl_chests[from],$A76,tbl_chests[legalized],AD$1,tbl_chests[datetime],"&gt;="&amp;TODAY()-WEEKDAY(TODAY(),2)+1,tbl_chests[datetime],"&lt;"&amp;TODAY()-WEEKDAY(TODAY(),2)+8)))</f>
        <v>0</v>
      </c>
      <c r="AE76" s="36">
        <f ca="1">IF($A76="","",IF(AE$1="","",COUNTIFS(tbl_chests[from],$A76,tbl_chests[legalized],AE$1,tbl_chests[datetime],"&gt;="&amp;TODAY()-WEEKDAY(TODAY(),2)+1,tbl_chests[datetime],"&lt;"&amp;TODAY()-WEEKDAY(TODAY(),2)+8)))</f>
        <v>0</v>
      </c>
      <c r="AF76" s="36">
        <f ca="1">IF($A76="","",IF(AF$1="","",COUNTIFS(tbl_chests[from],$A76,tbl_chests[legalized],AF$1,tbl_chests[datetime],"&gt;="&amp;TODAY()-WEEKDAY(TODAY(),2)+1,tbl_chests[datetime],"&lt;"&amp;TODAY()-WEEKDAY(TODAY(),2)+8)))</f>
        <v>0</v>
      </c>
      <c r="AG76" s="36">
        <f ca="1">IF($A76="","",IF(AG$1="","",COUNTIFS(tbl_chests[from],$A76,tbl_chests[legalized],AG$1,tbl_chests[datetime],"&gt;="&amp;TODAY()-WEEKDAY(TODAY(),2)+1,tbl_chests[datetime],"&lt;"&amp;TODAY()-WEEKDAY(TODAY(),2)+8)))</f>
        <v>0</v>
      </c>
      <c r="AH76" s="36">
        <f ca="1">IF($A76="","",IF(AH$1="","",COUNTIFS(tbl_chests[from],$A76,tbl_chests[legalized],AH$1,tbl_chests[datetime],"&gt;="&amp;TODAY()-WEEKDAY(TODAY(),2)+1,tbl_chests[datetime],"&lt;"&amp;TODAY()-WEEKDAY(TODAY(),2)+8)))</f>
        <v>0</v>
      </c>
      <c r="AI76" s="36">
        <f ca="1">IF($A76="","",IF(AI$1="","",COUNTIFS(tbl_chests[from],$A76,tbl_chests[legalized],AI$1,tbl_chests[datetime],"&gt;="&amp;TODAY()-WEEKDAY(TODAY(),2)+1,tbl_chests[datetime],"&lt;"&amp;TODAY()-WEEKDAY(TODAY(),2)+8)))</f>
        <v>0</v>
      </c>
      <c r="AJ76" s="36">
        <f ca="1">IF($A76="","",IF(AJ$1="","",COUNTIFS(tbl_chests[from],$A76,tbl_chests[legalized],AJ$1,tbl_chests[datetime],"&gt;="&amp;TODAY()-WEEKDAY(TODAY(),2)+1,tbl_chests[datetime],"&lt;"&amp;TODAY()-WEEKDAY(TODAY(),2)+8)))</f>
        <v>0</v>
      </c>
      <c r="AK76" s="36">
        <f ca="1">IF($A76="","",IF(AK$1="","",COUNTIFS(tbl_chests[from],$A76,tbl_chests[legalized],AK$1,tbl_chests[datetime],"&gt;="&amp;TODAY()-WEEKDAY(TODAY(),2)+1,tbl_chests[datetime],"&lt;"&amp;TODAY()-WEEKDAY(TODAY(),2)+8)))</f>
        <v>0</v>
      </c>
      <c r="AL76" s="36">
        <f ca="1">IF($A76="","",IF(AL$1="","",COUNTIFS(tbl_chests[from],$A76,tbl_chests[legalized],AL$1,tbl_chests[datetime],"&gt;="&amp;TODAY()-WEEKDAY(TODAY(),2)+1,tbl_chests[datetime],"&lt;"&amp;TODAY()-WEEKDAY(TODAY(),2)+8)))</f>
        <v>0</v>
      </c>
      <c r="AM76" s="37">
        <f ca="1">IF($A76="","",IF(AM$1="","",COUNTIFS(tbl_chests[from],$A76,tbl_chests[legalized],AM$1,tbl_chests[datetime],"&gt;="&amp;TODAY()-WEEKDAY(TODAY(),2)+1,tbl_chests[datetime],"&lt;"&amp;TODAY()-WEEKDAY(TODAY(),2)+8)))</f>
        <v>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 ht="15.75" customHeight="1" x14ac:dyDescent="0.25">
      <c r="A77" s="34">
        <f>chests_counter!$H74</f>
        <v>0</v>
      </c>
      <c r="B77" s="35" cm="1">
        <f t="array" aca="1" ref="B77" ca="1">IF(A77&lt;&gt;"", SUMPRODUCT(($C$2:$AM$2&lt;&gt;0)*(C77:AM77&lt;&gt;0)*($C$2:$AM$2)*(C77:AM77)), "")</f>
        <v>0</v>
      </c>
      <c r="C77" s="36">
        <f ca="1">IF($A77="","",IF(C$1="","",COUNTIFS(tbl_chests[from],$A77,tbl_chests[legalized],C$1,tbl_chests[datetime],"&gt;="&amp;TODAY()-WEEKDAY(TODAY(),2)+1,tbl_chests[datetime],"&lt;"&amp;TODAY()-WEEKDAY(TODAY(),2)+8)))</f>
        <v>0</v>
      </c>
      <c r="D77" s="36">
        <f ca="1">IF($A77="","",IF(D$1="","",COUNTIFS(tbl_chests[from],$A77,tbl_chests[legalized],D$1,tbl_chests[datetime],"&gt;="&amp;TODAY()-WEEKDAY(TODAY(),2)+1,tbl_chests[datetime],"&lt;"&amp;TODAY()-WEEKDAY(TODAY(),2)+8)))</f>
        <v>0</v>
      </c>
      <c r="E77" s="36">
        <f ca="1">IF($A77="","",IF(E$1="","",COUNTIFS(tbl_chests[from],$A77,tbl_chests[legalized],E$1,tbl_chests[datetime],"&gt;="&amp;TODAY()-WEEKDAY(TODAY(),2)+1,tbl_chests[datetime],"&lt;"&amp;TODAY()-WEEKDAY(TODAY(),2)+8)))</f>
        <v>0</v>
      </c>
      <c r="F77" s="36">
        <f ca="1">IF($A77="","",IF(F$1="","",COUNTIFS(tbl_chests[from],$A77,tbl_chests[legalized],F$1,tbl_chests[datetime],"&gt;="&amp;TODAY()-WEEKDAY(TODAY(),2)+1,tbl_chests[datetime],"&lt;"&amp;TODAY()-WEEKDAY(TODAY(),2)+8)))</f>
        <v>0</v>
      </c>
      <c r="G77" s="36">
        <f ca="1">IF($A77="","",IF(G$1="","",COUNTIFS(tbl_chests[from],$A77,tbl_chests[legalized],G$1,tbl_chests[datetime],"&gt;="&amp;TODAY()-WEEKDAY(TODAY(),2)+1,tbl_chests[datetime],"&lt;"&amp;TODAY()-WEEKDAY(TODAY(),2)+8)))</f>
        <v>0</v>
      </c>
      <c r="H77" s="36">
        <f ca="1">IF($A77="","",IF(H$1="","",COUNTIFS(tbl_chests[from],$A77,tbl_chests[legalized],H$1,tbl_chests[datetime],"&gt;="&amp;TODAY()-WEEKDAY(TODAY(),2)+1,tbl_chests[datetime],"&lt;"&amp;TODAY()-WEEKDAY(TODAY(),2)+8)))</f>
        <v>0</v>
      </c>
      <c r="I77" s="36">
        <f ca="1">IF($A77="","",IF(I$1="","",COUNTIFS(tbl_chests[from],$A77,tbl_chests[legalized],I$1,tbl_chests[datetime],"&gt;="&amp;TODAY()-WEEKDAY(TODAY(),2)+1,tbl_chests[datetime],"&lt;"&amp;TODAY()-WEEKDAY(TODAY(),2)+8)))</f>
        <v>0</v>
      </c>
      <c r="J77" s="36">
        <f ca="1">IF($A77="","",IF(J$1="","",COUNTIFS(tbl_chests[from],$A77,tbl_chests[legalized],J$1,tbl_chests[datetime],"&gt;="&amp;TODAY()-WEEKDAY(TODAY(),2)+1,tbl_chests[datetime],"&lt;"&amp;TODAY()-WEEKDAY(TODAY(),2)+8)))</f>
        <v>0</v>
      </c>
      <c r="K77" s="36">
        <f ca="1">IF($A77="","",IF(K$1="","",COUNTIFS(tbl_chests[from],$A77,tbl_chests[legalized],K$1,tbl_chests[datetime],"&gt;="&amp;TODAY()-WEEKDAY(TODAY(),2)+1,tbl_chests[datetime],"&lt;"&amp;TODAY()-WEEKDAY(TODAY(),2)+8)))</f>
        <v>0</v>
      </c>
      <c r="L77" s="36">
        <f ca="1">IF($A77="","",IF(L$1="","",COUNTIFS(tbl_chests[from],$A77,tbl_chests[legalized],L$1,tbl_chests[datetime],"&gt;="&amp;TODAY()-WEEKDAY(TODAY(),2)+1,tbl_chests[datetime],"&lt;"&amp;TODAY()-WEEKDAY(TODAY(),2)+8)))</f>
        <v>0</v>
      </c>
      <c r="M77" s="36">
        <f ca="1">IF($A77="","",IF(M$1="","",COUNTIFS(tbl_chests[from],$A77,tbl_chests[legalized],M$1,tbl_chests[datetime],"&gt;="&amp;TODAY()-WEEKDAY(TODAY(),2)+1,tbl_chests[datetime],"&lt;"&amp;TODAY()-WEEKDAY(TODAY(),2)+8)))</f>
        <v>0</v>
      </c>
      <c r="N77" s="36">
        <f ca="1">IF($A77="","",IF(N$1="","",COUNTIFS(tbl_chests[from],$A77,tbl_chests[legalized],N$1,tbl_chests[datetime],"&gt;="&amp;TODAY()-WEEKDAY(TODAY(),2)+1,tbl_chests[datetime],"&lt;"&amp;TODAY()-WEEKDAY(TODAY(),2)+8)))</f>
        <v>0</v>
      </c>
      <c r="O77" s="36">
        <f ca="1">IF($A77="","",IF(O$1="","",COUNTIFS(tbl_chests[from],$A77,tbl_chests[legalized],O$1,tbl_chests[datetime],"&gt;="&amp;TODAY()-WEEKDAY(TODAY(),2)+1,tbl_chests[datetime],"&lt;"&amp;TODAY()-WEEKDAY(TODAY(),2)+8)))</f>
        <v>0</v>
      </c>
      <c r="P77" s="36">
        <f ca="1">IF($A77="","",IF(P$1="","",COUNTIFS(tbl_chests[from],$A77,tbl_chests[legalized],P$1,tbl_chests[datetime],"&gt;="&amp;TODAY()-WEEKDAY(TODAY(),2)+1,tbl_chests[datetime],"&lt;"&amp;TODAY()-WEEKDAY(TODAY(),2)+8)))</f>
        <v>0</v>
      </c>
      <c r="Q77" s="36">
        <f ca="1">IF($A77="","",IF(Q$1="","",COUNTIFS(tbl_chests[from],$A77,tbl_chests[legalized],Q$1,tbl_chests[datetime],"&gt;="&amp;TODAY()-WEEKDAY(TODAY(),2)+1,tbl_chests[datetime],"&lt;"&amp;TODAY()-WEEKDAY(TODAY(),2)+8)))</f>
        <v>0</v>
      </c>
      <c r="R77" s="36">
        <f ca="1">IF($A77="","",IF(R$1="","",COUNTIFS(tbl_chests[from],$A77,tbl_chests[legalized],R$1,tbl_chests[datetime],"&gt;="&amp;TODAY()-WEEKDAY(TODAY(),2)+1,tbl_chests[datetime],"&lt;"&amp;TODAY()-WEEKDAY(TODAY(),2)+8)))</f>
        <v>0</v>
      </c>
      <c r="S77" s="36">
        <f ca="1">IF($A77="","",IF(S$1="","",COUNTIFS(tbl_chests[from],$A77,tbl_chests[legalized],S$1,tbl_chests[datetime],"&gt;="&amp;TODAY()-WEEKDAY(TODAY(),2)+1,tbl_chests[datetime],"&lt;"&amp;TODAY()-WEEKDAY(TODAY(),2)+8)))</f>
        <v>0</v>
      </c>
      <c r="T77" s="36">
        <f ca="1">IF($A77="","",IF(T$1="","",COUNTIFS(tbl_chests[from],$A77,tbl_chests[legalized],T$1,tbl_chests[datetime],"&gt;="&amp;TODAY()-WEEKDAY(TODAY(),2)+1,tbl_chests[datetime],"&lt;"&amp;TODAY()-WEEKDAY(TODAY(),2)+8)))</f>
        <v>0</v>
      </c>
      <c r="U77" s="36">
        <f ca="1">IF($A77="","",IF(U$1="","",COUNTIFS(tbl_chests[from],$A77,tbl_chests[legalized],U$1,tbl_chests[datetime],"&gt;="&amp;TODAY()-WEEKDAY(TODAY(),2)+1,tbl_chests[datetime],"&lt;"&amp;TODAY()-WEEKDAY(TODAY(),2)+8)))</f>
        <v>0</v>
      </c>
      <c r="V77" s="36">
        <f ca="1">IF($A77="","",IF(V$1="","",COUNTIFS(tbl_chests[from],$A77,tbl_chests[legalized],V$1,tbl_chests[datetime],"&gt;="&amp;TODAY()-WEEKDAY(TODAY(),2)+1,tbl_chests[datetime],"&lt;"&amp;TODAY()-WEEKDAY(TODAY(),2)+8)))</f>
        <v>0</v>
      </c>
      <c r="W77" s="36">
        <f ca="1">IF($A77="","",IF(W$1="","",COUNTIFS(tbl_chests[from],$A77,tbl_chests[legalized],W$1,tbl_chests[datetime],"&gt;="&amp;TODAY()-WEEKDAY(TODAY(),2)+1,tbl_chests[datetime],"&lt;"&amp;TODAY()-WEEKDAY(TODAY(),2)+8)))</f>
        <v>0</v>
      </c>
      <c r="X77" s="36">
        <f ca="1">IF($A77="","",IF(X$1="","",COUNTIFS(tbl_chests[from],$A77,tbl_chests[legalized],X$1,tbl_chests[datetime],"&gt;="&amp;TODAY()-WEEKDAY(TODAY(),2)+1,tbl_chests[datetime],"&lt;"&amp;TODAY()-WEEKDAY(TODAY(),2)+8)))</f>
        <v>0</v>
      </c>
      <c r="Y77" s="36">
        <f ca="1">IF($A77="","",IF(Y$1="","",COUNTIFS(tbl_chests[from],$A77,tbl_chests[legalized],Y$1,tbl_chests[datetime],"&gt;="&amp;TODAY()-WEEKDAY(TODAY(),2)+1,tbl_chests[datetime],"&lt;"&amp;TODAY()-WEEKDAY(TODAY(),2)+8)))</f>
        <v>0</v>
      </c>
      <c r="Z77" s="36">
        <f ca="1">IF($A77="","",IF(Z$1="","",COUNTIFS(tbl_chests[from],$A77,tbl_chests[legalized],Z$1,tbl_chests[datetime],"&gt;="&amp;TODAY()-WEEKDAY(TODAY(),2)+1,tbl_chests[datetime],"&lt;"&amp;TODAY()-WEEKDAY(TODAY(),2)+8)))</f>
        <v>0</v>
      </c>
      <c r="AA77" s="36">
        <f ca="1">IF($A77="","",IF(AA$1="","",COUNTIFS(tbl_chests[from],$A77,tbl_chests[legalized],AA$1,tbl_chests[datetime],"&gt;="&amp;TODAY()-WEEKDAY(TODAY(),2)+1,tbl_chests[datetime],"&lt;"&amp;TODAY()-WEEKDAY(TODAY(),2)+8)))</f>
        <v>0</v>
      </c>
      <c r="AB77" s="36">
        <f ca="1">IF($A77="","",IF(AB$1="","",COUNTIFS(tbl_chests[from],$A77,tbl_chests[legalized],AB$1,tbl_chests[datetime],"&gt;="&amp;TODAY()-WEEKDAY(TODAY(),2)+1,tbl_chests[datetime],"&lt;"&amp;TODAY()-WEEKDAY(TODAY(),2)+8)))</f>
        <v>0</v>
      </c>
      <c r="AC77" s="36">
        <f ca="1">IF($A77="","",IF(AC$1="","",COUNTIFS(tbl_chests[from],$A77,tbl_chests[legalized],AC$1,tbl_chests[datetime],"&gt;="&amp;TODAY()-WEEKDAY(TODAY(),2)+1,tbl_chests[datetime],"&lt;"&amp;TODAY()-WEEKDAY(TODAY(),2)+8)))</f>
        <v>0</v>
      </c>
      <c r="AD77" s="36">
        <f ca="1">IF($A77="","",IF(AD$1="","",COUNTIFS(tbl_chests[from],$A77,tbl_chests[legalized],AD$1,tbl_chests[datetime],"&gt;="&amp;TODAY()-WEEKDAY(TODAY(),2)+1,tbl_chests[datetime],"&lt;"&amp;TODAY()-WEEKDAY(TODAY(),2)+8)))</f>
        <v>0</v>
      </c>
      <c r="AE77" s="36">
        <f ca="1">IF($A77="","",IF(AE$1="","",COUNTIFS(tbl_chests[from],$A77,tbl_chests[legalized],AE$1,tbl_chests[datetime],"&gt;="&amp;TODAY()-WEEKDAY(TODAY(),2)+1,tbl_chests[datetime],"&lt;"&amp;TODAY()-WEEKDAY(TODAY(),2)+8)))</f>
        <v>0</v>
      </c>
      <c r="AF77" s="36">
        <f ca="1">IF($A77="","",IF(AF$1="","",COUNTIFS(tbl_chests[from],$A77,tbl_chests[legalized],AF$1,tbl_chests[datetime],"&gt;="&amp;TODAY()-WEEKDAY(TODAY(),2)+1,tbl_chests[datetime],"&lt;"&amp;TODAY()-WEEKDAY(TODAY(),2)+8)))</f>
        <v>0</v>
      </c>
      <c r="AG77" s="36">
        <f ca="1">IF($A77="","",IF(AG$1="","",COUNTIFS(tbl_chests[from],$A77,tbl_chests[legalized],AG$1,tbl_chests[datetime],"&gt;="&amp;TODAY()-WEEKDAY(TODAY(),2)+1,tbl_chests[datetime],"&lt;"&amp;TODAY()-WEEKDAY(TODAY(),2)+8)))</f>
        <v>0</v>
      </c>
      <c r="AH77" s="36">
        <f ca="1">IF($A77="","",IF(AH$1="","",COUNTIFS(tbl_chests[from],$A77,tbl_chests[legalized],AH$1,tbl_chests[datetime],"&gt;="&amp;TODAY()-WEEKDAY(TODAY(),2)+1,tbl_chests[datetime],"&lt;"&amp;TODAY()-WEEKDAY(TODAY(),2)+8)))</f>
        <v>0</v>
      </c>
      <c r="AI77" s="36">
        <f ca="1">IF($A77="","",IF(AI$1="","",COUNTIFS(tbl_chests[from],$A77,tbl_chests[legalized],AI$1,tbl_chests[datetime],"&gt;="&amp;TODAY()-WEEKDAY(TODAY(),2)+1,tbl_chests[datetime],"&lt;"&amp;TODAY()-WEEKDAY(TODAY(),2)+8)))</f>
        <v>0</v>
      </c>
      <c r="AJ77" s="36">
        <f ca="1">IF($A77="","",IF(AJ$1="","",COUNTIFS(tbl_chests[from],$A77,tbl_chests[legalized],AJ$1,tbl_chests[datetime],"&gt;="&amp;TODAY()-WEEKDAY(TODAY(),2)+1,tbl_chests[datetime],"&lt;"&amp;TODAY()-WEEKDAY(TODAY(),2)+8)))</f>
        <v>0</v>
      </c>
      <c r="AK77" s="36">
        <f ca="1">IF($A77="","",IF(AK$1="","",COUNTIFS(tbl_chests[from],$A77,tbl_chests[legalized],AK$1,tbl_chests[datetime],"&gt;="&amp;TODAY()-WEEKDAY(TODAY(),2)+1,tbl_chests[datetime],"&lt;"&amp;TODAY()-WEEKDAY(TODAY(),2)+8)))</f>
        <v>0</v>
      </c>
      <c r="AL77" s="36">
        <f ca="1">IF($A77="","",IF(AL$1="","",COUNTIFS(tbl_chests[from],$A77,tbl_chests[legalized],AL$1,tbl_chests[datetime],"&gt;="&amp;TODAY()-WEEKDAY(TODAY(),2)+1,tbl_chests[datetime],"&lt;"&amp;TODAY()-WEEKDAY(TODAY(),2)+8)))</f>
        <v>0</v>
      </c>
      <c r="AM77" s="37">
        <f ca="1">IF($A77="","",IF(AM$1="","",COUNTIFS(tbl_chests[from],$A77,tbl_chests[legalized],AM$1,tbl_chests[datetime],"&gt;="&amp;TODAY()-WEEKDAY(TODAY(),2)+1,tbl_chests[datetime],"&lt;"&amp;TODAY()-WEEKDAY(TODAY(),2)+8)))</f>
        <v>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 ht="15.75" customHeight="1" x14ac:dyDescent="0.25">
      <c r="A78" s="34">
        <f>chests_counter!$H75</f>
        <v>0</v>
      </c>
      <c r="B78" s="35" cm="1">
        <f t="array" aca="1" ref="B78" ca="1">IF(A78&lt;&gt;"", SUMPRODUCT(($C$2:$AM$2&lt;&gt;0)*(C78:AM78&lt;&gt;0)*($C$2:$AM$2)*(C78:AM78)), "")</f>
        <v>0</v>
      </c>
      <c r="C78" s="36">
        <f ca="1">IF($A78="","",IF(C$1="","",COUNTIFS(tbl_chests[from],$A78,tbl_chests[legalized],C$1,tbl_chests[datetime],"&gt;="&amp;TODAY()-WEEKDAY(TODAY(),2)+1,tbl_chests[datetime],"&lt;"&amp;TODAY()-WEEKDAY(TODAY(),2)+8)))</f>
        <v>0</v>
      </c>
      <c r="D78" s="36">
        <f ca="1">IF($A78="","",IF(D$1="","",COUNTIFS(tbl_chests[from],$A78,tbl_chests[legalized],D$1,tbl_chests[datetime],"&gt;="&amp;TODAY()-WEEKDAY(TODAY(),2)+1,tbl_chests[datetime],"&lt;"&amp;TODAY()-WEEKDAY(TODAY(),2)+8)))</f>
        <v>0</v>
      </c>
      <c r="E78" s="36">
        <f ca="1">IF($A78="","",IF(E$1="","",COUNTIFS(tbl_chests[from],$A78,tbl_chests[legalized],E$1,tbl_chests[datetime],"&gt;="&amp;TODAY()-WEEKDAY(TODAY(),2)+1,tbl_chests[datetime],"&lt;"&amp;TODAY()-WEEKDAY(TODAY(),2)+8)))</f>
        <v>0</v>
      </c>
      <c r="F78" s="36">
        <f ca="1">IF($A78="","",IF(F$1="","",COUNTIFS(tbl_chests[from],$A78,tbl_chests[legalized],F$1,tbl_chests[datetime],"&gt;="&amp;TODAY()-WEEKDAY(TODAY(),2)+1,tbl_chests[datetime],"&lt;"&amp;TODAY()-WEEKDAY(TODAY(),2)+8)))</f>
        <v>0</v>
      </c>
      <c r="G78" s="36">
        <f ca="1">IF($A78="","",IF(G$1="","",COUNTIFS(tbl_chests[from],$A78,tbl_chests[legalized],G$1,tbl_chests[datetime],"&gt;="&amp;TODAY()-WEEKDAY(TODAY(),2)+1,tbl_chests[datetime],"&lt;"&amp;TODAY()-WEEKDAY(TODAY(),2)+8)))</f>
        <v>0</v>
      </c>
      <c r="H78" s="36">
        <f ca="1">IF($A78="","",IF(H$1="","",COUNTIFS(tbl_chests[from],$A78,tbl_chests[legalized],H$1,tbl_chests[datetime],"&gt;="&amp;TODAY()-WEEKDAY(TODAY(),2)+1,tbl_chests[datetime],"&lt;"&amp;TODAY()-WEEKDAY(TODAY(),2)+8)))</f>
        <v>0</v>
      </c>
      <c r="I78" s="36">
        <f ca="1">IF($A78="","",IF(I$1="","",COUNTIFS(tbl_chests[from],$A78,tbl_chests[legalized],I$1,tbl_chests[datetime],"&gt;="&amp;TODAY()-WEEKDAY(TODAY(),2)+1,tbl_chests[datetime],"&lt;"&amp;TODAY()-WEEKDAY(TODAY(),2)+8)))</f>
        <v>0</v>
      </c>
      <c r="J78" s="36">
        <f ca="1">IF($A78="","",IF(J$1="","",COUNTIFS(tbl_chests[from],$A78,tbl_chests[legalized],J$1,tbl_chests[datetime],"&gt;="&amp;TODAY()-WEEKDAY(TODAY(),2)+1,tbl_chests[datetime],"&lt;"&amp;TODAY()-WEEKDAY(TODAY(),2)+8)))</f>
        <v>0</v>
      </c>
      <c r="K78" s="36">
        <f ca="1">IF($A78="","",IF(K$1="","",COUNTIFS(tbl_chests[from],$A78,tbl_chests[legalized],K$1,tbl_chests[datetime],"&gt;="&amp;TODAY()-WEEKDAY(TODAY(),2)+1,tbl_chests[datetime],"&lt;"&amp;TODAY()-WEEKDAY(TODAY(),2)+8)))</f>
        <v>0</v>
      </c>
      <c r="L78" s="36">
        <f ca="1">IF($A78="","",IF(L$1="","",COUNTIFS(tbl_chests[from],$A78,tbl_chests[legalized],L$1,tbl_chests[datetime],"&gt;="&amp;TODAY()-WEEKDAY(TODAY(),2)+1,tbl_chests[datetime],"&lt;"&amp;TODAY()-WEEKDAY(TODAY(),2)+8)))</f>
        <v>0</v>
      </c>
      <c r="M78" s="36">
        <f ca="1">IF($A78="","",IF(M$1="","",COUNTIFS(tbl_chests[from],$A78,tbl_chests[legalized],M$1,tbl_chests[datetime],"&gt;="&amp;TODAY()-WEEKDAY(TODAY(),2)+1,tbl_chests[datetime],"&lt;"&amp;TODAY()-WEEKDAY(TODAY(),2)+8)))</f>
        <v>0</v>
      </c>
      <c r="N78" s="36">
        <f ca="1">IF($A78="","",IF(N$1="","",COUNTIFS(tbl_chests[from],$A78,tbl_chests[legalized],N$1,tbl_chests[datetime],"&gt;="&amp;TODAY()-WEEKDAY(TODAY(),2)+1,tbl_chests[datetime],"&lt;"&amp;TODAY()-WEEKDAY(TODAY(),2)+8)))</f>
        <v>0</v>
      </c>
      <c r="O78" s="36">
        <f ca="1">IF($A78="","",IF(O$1="","",COUNTIFS(tbl_chests[from],$A78,tbl_chests[legalized],O$1,tbl_chests[datetime],"&gt;="&amp;TODAY()-WEEKDAY(TODAY(),2)+1,tbl_chests[datetime],"&lt;"&amp;TODAY()-WEEKDAY(TODAY(),2)+8)))</f>
        <v>0</v>
      </c>
      <c r="P78" s="36">
        <f ca="1">IF($A78="","",IF(P$1="","",COUNTIFS(tbl_chests[from],$A78,tbl_chests[legalized],P$1,tbl_chests[datetime],"&gt;="&amp;TODAY()-WEEKDAY(TODAY(),2)+1,tbl_chests[datetime],"&lt;"&amp;TODAY()-WEEKDAY(TODAY(),2)+8)))</f>
        <v>0</v>
      </c>
      <c r="Q78" s="36">
        <f ca="1">IF($A78="","",IF(Q$1="","",COUNTIFS(tbl_chests[from],$A78,tbl_chests[legalized],Q$1,tbl_chests[datetime],"&gt;="&amp;TODAY()-WEEKDAY(TODAY(),2)+1,tbl_chests[datetime],"&lt;"&amp;TODAY()-WEEKDAY(TODAY(),2)+8)))</f>
        <v>0</v>
      </c>
      <c r="R78" s="36">
        <f ca="1">IF($A78="","",IF(R$1="","",COUNTIFS(tbl_chests[from],$A78,tbl_chests[legalized],R$1,tbl_chests[datetime],"&gt;="&amp;TODAY()-WEEKDAY(TODAY(),2)+1,tbl_chests[datetime],"&lt;"&amp;TODAY()-WEEKDAY(TODAY(),2)+8)))</f>
        <v>0</v>
      </c>
      <c r="S78" s="36">
        <f ca="1">IF($A78="","",IF(S$1="","",COUNTIFS(tbl_chests[from],$A78,tbl_chests[legalized],S$1,tbl_chests[datetime],"&gt;="&amp;TODAY()-WEEKDAY(TODAY(),2)+1,tbl_chests[datetime],"&lt;"&amp;TODAY()-WEEKDAY(TODAY(),2)+8)))</f>
        <v>0</v>
      </c>
      <c r="T78" s="36">
        <f ca="1">IF($A78="","",IF(T$1="","",COUNTIFS(tbl_chests[from],$A78,tbl_chests[legalized],T$1,tbl_chests[datetime],"&gt;="&amp;TODAY()-WEEKDAY(TODAY(),2)+1,tbl_chests[datetime],"&lt;"&amp;TODAY()-WEEKDAY(TODAY(),2)+8)))</f>
        <v>0</v>
      </c>
      <c r="U78" s="36">
        <f ca="1">IF($A78="","",IF(U$1="","",COUNTIFS(tbl_chests[from],$A78,tbl_chests[legalized],U$1,tbl_chests[datetime],"&gt;="&amp;TODAY()-WEEKDAY(TODAY(),2)+1,tbl_chests[datetime],"&lt;"&amp;TODAY()-WEEKDAY(TODAY(),2)+8)))</f>
        <v>0</v>
      </c>
      <c r="V78" s="36">
        <f ca="1">IF($A78="","",IF(V$1="","",COUNTIFS(tbl_chests[from],$A78,tbl_chests[legalized],V$1,tbl_chests[datetime],"&gt;="&amp;TODAY()-WEEKDAY(TODAY(),2)+1,tbl_chests[datetime],"&lt;"&amp;TODAY()-WEEKDAY(TODAY(),2)+8)))</f>
        <v>0</v>
      </c>
      <c r="W78" s="36">
        <f ca="1">IF($A78="","",IF(W$1="","",COUNTIFS(tbl_chests[from],$A78,tbl_chests[legalized],W$1,tbl_chests[datetime],"&gt;="&amp;TODAY()-WEEKDAY(TODAY(),2)+1,tbl_chests[datetime],"&lt;"&amp;TODAY()-WEEKDAY(TODAY(),2)+8)))</f>
        <v>0</v>
      </c>
      <c r="X78" s="36">
        <f ca="1">IF($A78="","",IF(X$1="","",COUNTIFS(tbl_chests[from],$A78,tbl_chests[legalized],X$1,tbl_chests[datetime],"&gt;="&amp;TODAY()-WEEKDAY(TODAY(),2)+1,tbl_chests[datetime],"&lt;"&amp;TODAY()-WEEKDAY(TODAY(),2)+8)))</f>
        <v>0</v>
      </c>
      <c r="Y78" s="36">
        <f ca="1">IF($A78="","",IF(Y$1="","",COUNTIFS(tbl_chests[from],$A78,tbl_chests[legalized],Y$1,tbl_chests[datetime],"&gt;="&amp;TODAY()-WEEKDAY(TODAY(),2)+1,tbl_chests[datetime],"&lt;"&amp;TODAY()-WEEKDAY(TODAY(),2)+8)))</f>
        <v>0</v>
      </c>
      <c r="Z78" s="36">
        <f ca="1">IF($A78="","",IF(Z$1="","",COUNTIFS(tbl_chests[from],$A78,tbl_chests[legalized],Z$1,tbl_chests[datetime],"&gt;="&amp;TODAY()-WEEKDAY(TODAY(),2)+1,tbl_chests[datetime],"&lt;"&amp;TODAY()-WEEKDAY(TODAY(),2)+8)))</f>
        <v>0</v>
      </c>
      <c r="AA78" s="36">
        <f ca="1">IF($A78="","",IF(AA$1="","",COUNTIFS(tbl_chests[from],$A78,tbl_chests[legalized],AA$1,tbl_chests[datetime],"&gt;="&amp;TODAY()-WEEKDAY(TODAY(),2)+1,tbl_chests[datetime],"&lt;"&amp;TODAY()-WEEKDAY(TODAY(),2)+8)))</f>
        <v>0</v>
      </c>
      <c r="AB78" s="36">
        <f ca="1">IF($A78="","",IF(AB$1="","",COUNTIFS(tbl_chests[from],$A78,tbl_chests[legalized],AB$1,tbl_chests[datetime],"&gt;="&amp;TODAY()-WEEKDAY(TODAY(),2)+1,tbl_chests[datetime],"&lt;"&amp;TODAY()-WEEKDAY(TODAY(),2)+8)))</f>
        <v>0</v>
      </c>
      <c r="AC78" s="36">
        <f ca="1">IF($A78="","",IF(AC$1="","",COUNTIFS(tbl_chests[from],$A78,tbl_chests[legalized],AC$1,tbl_chests[datetime],"&gt;="&amp;TODAY()-WEEKDAY(TODAY(),2)+1,tbl_chests[datetime],"&lt;"&amp;TODAY()-WEEKDAY(TODAY(),2)+8)))</f>
        <v>0</v>
      </c>
      <c r="AD78" s="36">
        <f ca="1">IF($A78="","",IF(AD$1="","",COUNTIFS(tbl_chests[from],$A78,tbl_chests[legalized],AD$1,tbl_chests[datetime],"&gt;="&amp;TODAY()-WEEKDAY(TODAY(),2)+1,tbl_chests[datetime],"&lt;"&amp;TODAY()-WEEKDAY(TODAY(),2)+8)))</f>
        <v>0</v>
      </c>
      <c r="AE78" s="36">
        <f ca="1">IF($A78="","",IF(AE$1="","",COUNTIFS(tbl_chests[from],$A78,tbl_chests[legalized],AE$1,tbl_chests[datetime],"&gt;="&amp;TODAY()-WEEKDAY(TODAY(),2)+1,tbl_chests[datetime],"&lt;"&amp;TODAY()-WEEKDAY(TODAY(),2)+8)))</f>
        <v>0</v>
      </c>
      <c r="AF78" s="36">
        <f ca="1">IF($A78="","",IF(AF$1="","",COUNTIFS(tbl_chests[from],$A78,tbl_chests[legalized],AF$1,tbl_chests[datetime],"&gt;="&amp;TODAY()-WEEKDAY(TODAY(),2)+1,tbl_chests[datetime],"&lt;"&amp;TODAY()-WEEKDAY(TODAY(),2)+8)))</f>
        <v>0</v>
      </c>
      <c r="AG78" s="36">
        <f ca="1">IF($A78="","",IF(AG$1="","",COUNTIFS(tbl_chests[from],$A78,tbl_chests[legalized],AG$1,tbl_chests[datetime],"&gt;="&amp;TODAY()-WEEKDAY(TODAY(),2)+1,tbl_chests[datetime],"&lt;"&amp;TODAY()-WEEKDAY(TODAY(),2)+8)))</f>
        <v>0</v>
      </c>
      <c r="AH78" s="36">
        <f ca="1">IF($A78="","",IF(AH$1="","",COUNTIFS(tbl_chests[from],$A78,tbl_chests[legalized],AH$1,tbl_chests[datetime],"&gt;="&amp;TODAY()-WEEKDAY(TODAY(),2)+1,tbl_chests[datetime],"&lt;"&amp;TODAY()-WEEKDAY(TODAY(),2)+8)))</f>
        <v>0</v>
      </c>
      <c r="AI78" s="36">
        <f ca="1">IF($A78="","",IF(AI$1="","",COUNTIFS(tbl_chests[from],$A78,tbl_chests[legalized],AI$1,tbl_chests[datetime],"&gt;="&amp;TODAY()-WEEKDAY(TODAY(),2)+1,tbl_chests[datetime],"&lt;"&amp;TODAY()-WEEKDAY(TODAY(),2)+8)))</f>
        <v>0</v>
      </c>
      <c r="AJ78" s="36">
        <f ca="1">IF($A78="","",IF(AJ$1="","",COUNTIFS(tbl_chests[from],$A78,tbl_chests[legalized],AJ$1,tbl_chests[datetime],"&gt;="&amp;TODAY()-WEEKDAY(TODAY(),2)+1,tbl_chests[datetime],"&lt;"&amp;TODAY()-WEEKDAY(TODAY(),2)+8)))</f>
        <v>0</v>
      </c>
      <c r="AK78" s="36">
        <f ca="1">IF($A78="","",IF(AK$1="","",COUNTIFS(tbl_chests[from],$A78,tbl_chests[legalized],AK$1,tbl_chests[datetime],"&gt;="&amp;TODAY()-WEEKDAY(TODAY(),2)+1,tbl_chests[datetime],"&lt;"&amp;TODAY()-WEEKDAY(TODAY(),2)+8)))</f>
        <v>0</v>
      </c>
      <c r="AL78" s="36">
        <f ca="1">IF($A78="","",IF(AL$1="","",COUNTIFS(tbl_chests[from],$A78,tbl_chests[legalized],AL$1,tbl_chests[datetime],"&gt;="&amp;TODAY()-WEEKDAY(TODAY(),2)+1,tbl_chests[datetime],"&lt;"&amp;TODAY()-WEEKDAY(TODAY(),2)+8)))</f>
        <v>0</v>
      </c>
      <c r="AM78" s="37">
        <f ca="1">IF($A78="","",IF(AM$1="","",COUNTIFS(tbl_chests[from],$A78,tbl_chests[legalized],AM$1,tbl_chests[datetime],"&gt;="&amp;TODAY()-WEEKDAY(TODAY(),2)+1,tbl_chests[datetime],"&lt;"&amp;TODAY()-WEEKDAY(TODAY(),2)+8)))</f>
        <v>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 ht="15.75" customHeight="1" x14ac:dyDescent="0.25">
      <c r="A79" s="34">
        <f>chests_counter!$H76</f>
        <v>0</v>
      </c>
      <c r="B79" s="35" cm="1">
        <f t="array" aca="1" ref="B79" ca="1">IF(A79&lt;&gt;"", SUMPRODUCT(($C$2:$AM$2&lt;&gt;0)*(C79:AM79&lt;&gt;0)*($C$2:$AM$2)*(C79:AM79)), "")</f>
        <v>0</v>
      </c>
      <c r="C79" s="36">
        <f ca="1">IF($A79="","",IF(C$1="","",COUNTIFS(tbl_chests[from],$A79,tbl_chests[legalized],C$1,tbl_chests[datetime],"&gt;="&amp;TODAY()-WEEKDAY(TODAY(),2)+1,tbl_chests[datetime],"&lt;"&amp;TODAY()-WEEKDAY(TODAY(),2)+8)))</f>
        <v>0</v>
      </c>
      <c r="D79" s="36">
        <f ca="1">IF($A79="","",IF(D$1="","",COUNTIFS(tbl_chests[from],$A79,tbl_chests[legalized],D$1,tbl_chests[datetime],"&gt;="&amp;TODAY()-WEEKDAY(TODAY(),2)+1,tbl_chests[datetime],"&lt;"&amp;TODAY()-WEEKDAY(TODAY(),2)+8)))</f>
        <v>0</v>
      </c>
      <c r="E79" s="36">
        <f ca="1">IF($A79="","",IF(E$1="","",COUNTIFS(tbl_chests[from],$A79,tbl_chests[legalized],E$1,tbl_chests[datetime],"&gt;="&amp;TODAY()-WEEKDAY(TODAY(),2)+1,tbl_chests[datetime],"&lt;"&amp;TODAY()-WEEKDAY(TODAY(),2)+8)))</f>
        <v>0</v>
      </c>
      <c r="F79" s="36">
        <f ca="1">IF($A79="","",IF(F$1="","",COUNTIFS(tbl_chests[from],$A79,tbl_chests[legalized],F$1,tbl_chests[datetime],"&gt;="&amp;TODAY()-WEEKDAY(TODAY(),2)+1,tbl_chests[datetime],"&lt;"&amp;TODAY()-WEEKDAY(TODAY(),2)+8)))</f>
        <v>0</v>
      </c>
      <c r="G79" s="36">
        <f ca="1">IF($A79="","",IF(G$1="","",COUNTIFS(tbl_chests[from],$A79,tbl_chests[legalized],G$1,tbl_chests[datetime],"&gt;="&amp;TODAY()-WEEKDAY(TODAY(),2)+1,tbl_chests[datetime],"&lt;"&amp;TODAY()-WEEKDAY(TODAY(),2)+8)))</f>
        <v>0</v>
      </c>
      <c r="H79" s="36">
        <f ca="1">IF($A79="","",IF(H$1="","",COUNTIFS(tbl_chests[from],$A79,tbl_chests[legalized],H$1,tbl_chests[datetime],"&gt;="&amp;TODAY()-WEEKDAY(TODAY(),2)+1,tbl_chests[datetime],"&lt;"&amp;TODAY()-WEEKDAY(TODAY(),2)+8)))</f>
        <v>0</v>
      </c>
      <c r="I79" s="36">
        <f ca="1">IF($A79="","",IF(I$1="","",COUNTIFS(tbl_chests[from],$A79,tbl_chests[legalized],I$1,tbl_chests[datetime],"&gt;="&amp;TODAY()-WEEKDAY(TODAY(),2)+1,tbl_chests[datetime],"&lt;"&amp;TODAY()-WEEKDAY(TODAY(),2)+8)))</f>
        <v>0</v>
      </c>
      <c r="J79" s="36">
        <f ca="1">IF($A79="","",IF(J$1="","",COUNTIFS(tbl_chests[from],$A79,tbl_chests[legalized],J$1,tbl_chests[datetime],"&gt;="&amp;TODAY()-WEEKDAY(TODAY(),2)+1,tbl_chests[datetime],"&lt;"&amp;TODAY()-WEEKDAY(TODAY(),2)+8)))</f>
        <v>0</v>
      </c>
      <c r="K79" s="36">
        <f ca="1">IF($A79="","",IF(K$1="","",COUNTIFS(tbl_chests[from],$A79,tbl_chests[legalized],K$1,tbl_chests[datetime],"&gt;="&amp;TODAY()-WEEKDAY(TODAY(),2)+1,tbl_chests[datetime],"&lt;"&amp;TODAY()-WEEKDAY(TODAY(),2)+8)))</f>
        <v>0</v>
      </c>
      <c r="L79" s="36">
        <f ca="1">IF($A79="","",IF(L$1="","",COUNTIFS(tbl_chests[from],$A79,tbl_chests[legalized],L$1,tbl_chests[datetime],"&gt;="&amp;TODAY()-WEEKDAY(TODAY(),2)+1,tbl_chests[datetime],"&lt;"&amp;TODAY()-WEEKDAY(TODAY(),2)+8)))</f>
        <v>0</v>
      </c>
      <c r="M79" s="36">
        <f ca="1">IF($A79="","",IF(M$1="","",COUNTIFS(tbl_chests[from],$A79,tbl_chests[legalized],M$1,tbl_chests[datetime],"&gt;="&amp;TODAY()-WEEKDAY(TODAY(),2)+1,tbl_chests[datetime],"&lt;"&amp;TODAY()-WEEKDAY(TODAY(),2)+8)))</f>
        <v>0</v>
      </c>
      <c r="N79" s="36">
        <f ca="1">IF($A79="","",IF(N$1="","",COUNTIFS(tbl_chests[from],$A79,tbl_chests[legalized],N$1,tbl_chests[datetime],"&gt;="&amp;TODAY()-WEEKDAY(TODAY(),2)+1,tbl_chests[datetime],"&lt;"&amp;TODAY()-WEEKDAY(TODAY(),2)+8)))</f>
        <v>0</v>
      </c>
      <c r="O79" s="36">
        <f ca="1">IF($A79="","",IF(O$1="","",COUNTIFS(tbl_chests[from],$A79,tbl_chests[legalized],O$1,tbl_chests[datetime],"&gt;="&amp;TODAY()-WEEKDAY(TODAY(),2)+1,tbl_chests[datetime],"&lt;"&amp;TODAY()-WEEKDAY(TODAY(),2)+8)))</f>
        <v>0</v>
      </c>
      <c r="P79" s="36">
        <f ca="1">IF($A79="","",IF(P$1="","",COUNTIFS(tbl_chests[from],$A79,tbl_chests[legalized],P$1,tbl_chests[datetime],"&gt;="&amp;TODAY()-WEEKDAY(TODAY(),2)+1,tbl_chests[datetime],"&lt;"&amp;TODAY()-WEEKDAY(TODAY(),2)+8)))</f>
        <v>0</v>
      </c>
      <c r="Q79" s="36">
        <f ca="1">IF($A79="","",IF(Q$1="","",COUNTIFS(tbl_chests[from],$A79,tbl_chests[legalized],Q$1,tbl_chests[datetime],"&gt;="&amp;TODAY()-WEEKDAY(TODAY(),2)+1,tbl_chests[datetime],"&lt;"&amp;TODAY()-WEEKDAY(TODAY(),2)+8)))</f>
        <v>0</v>
      </c>
      <c r="R79" s="36">
        <f ca="1">IF($A79="","",IF(R$1="","",COUNTIFS(tbl_chests[from],$A79,tbl_chests[legalized],R$1,tbl_chests[datetime],"&gt;="&amp;TODAY()-WEEKDAY(TODAY(),2)+1,tbl_chests[datetime],"&lt;"&amp;TODAY()-WEEKDAY(TODAY(),2)+8)))</f>
        <v>0</v>
      </c>
      <c r="S79" s="36">
        <f ca="1">IF($A79="","",IF(S$1="","",COUNTIFS(tbl_chests[from],$A79,tbl_chests[legalized],S$1,tbl_chests[datetime],"&gt;="&amp;TODAY()-WEEKDAY(TODAY(),2)+1,tbl_chests[datetime],"&lt;"&amp;TODAY()-WEEKDAY(TODAY(),2)+8)))</f>
        <v>0</v>
      </c>
      <c r="T79" s="36">
        <f ca="1">IF($A79="","",IF(T$1="","",COUNTIFS(tbl_chests[from],$A79,tbl_chests[legalized],T$1,tbl_chests[datetime],"&gt;="&amp;TODAY()-WEEKDAY(TODAY(),2)+1,tbl_chests[datetime],"&lt;"&amp;TODAY()-WEEKDAY(TODAY(),2)+8)))</f>
        <v>0</v>
      </c>
      <c r="U79" s="36">
        <f ca="1">IF($A79="","",IF(U$1="","",COUNTIFS(tbl_chests[from],$A79,tbl_chests[legalized],U$1,tbl_chests[datetime],"&gt;="&amp;TODAY()-WEEKDAY(TODAY(),2)+1,tbl_chests[datetime],"&lt;"&amp;TODAY()-WEEKDAY(TODAY(),2)+8)))</f>
        <v>0</v>
      </c>
      <c r="V79" s="36">
        <f ca="1">IF($A79="","",IF(V$1="","",COUNTIFS(tbl_chests[from],$A79,tbl_chests[legalized],V$1,tbl_chests[datetime],"&gt;="&amp;TODAY()-WEEKDAY(TODAY(),2)+1,tbl_chests[datetime],"&lt;"&amp;TODAY()-WEEKDAY(TODAY(),2)+8)))</f>
        <v>0</v>
      </c>
      <c r="W79" s="36">
        <f ca="1">IF($A79="","",IF(W$1="","",COUNTIFS(tbl_chests[from],$A79,tbl_chests[legalized],W$1,tbl_chests[datetime],"&gt;="&amp;TODAY()-WEEKDAY(TODAY(),2)+1,tbl_chests[datetime],"&lt;"&amp;TODAY()-WEEKDAY(TODAY(),2)+8)))</f>
        <v>0</v>
      </c>
      <c r="X79" s="36">
        <f ca="1">IF($A79="","",IF(X$1="","",COUNTIFS(tbl_chests[from],$A79,tbl_chests[legalized],X$1,tbl_chests[datetime],"&gt;="&amp;TODAY()-WEEKDAY(TODAY(),2)+1,tbl_chests[datetime],"&lt;"&amp;TODAY()-WEEKDAY(TODAY(),2)+8)))</f>
        <v>0</v>
      </c>
      <c r="Y79" s="36">
        <f ca="1">IF($A79="","",IF(Y$1="","",COUNTIFS(tbl_chests[from],$A79,tbl_chests[legalized],Y$1,tbl_chests[datetime],"&gt;="&amp;TODAY()-WEEKDAY(TODAY(),2)+1,tbl_chests[datetime],"&lt;"&amp;TODAY()-WEEKDAY(TODAY(),2)+8)))</f>
        <v>0</v>
      </c>
      <c r="Z79" s="36">
        <f ca="1">IF($A79="","",IF(Z$1="","",COUNTIFS(tbl_chests[from],$A79,tbl_chests[legalized],Z$1,tbl_chests[datetime],"&gt;="&amp;TODAY()-WEEKDAY(TODAY(),2)+1,tbl_chests[datetime],"&lt;"&amp;TODAY()-WEEKDAY(TODAY(),2)+8)))</f>
        <v>0</v>
      </c>
      <c r="AA79" s="36">
        <f ca="1">IF($A79="","",IF(AA$1="","",COUNTIFS(tbl_chests[from],$A79,tbl_chests[legalized],AA$1,tbl_chests[datetime],"&gt;="&amp;TODAY()-WEEKDAY(TODAY(),2)+1,tbl_chests[datetime],"&lt;"&amp;TODAY()-WEEKDAY(TODAY(),2)+8)))</f>
        <v>0</v>
      </c>
      <c r="AB79" s="36">
        <f ca="1">IF($A79="","",IF(AB$1="","",COUNTIFS(tbl_chests[from],$A79,tbl_chests[legalized],AB$1,tbl_chests[datetime],"&gt;="&amp;TODAY()-WEEKDAY(TODAY(),2)+1,tbl_chests[datetime],"&lt;"&amp;TODAY()-WEEKDAY(TODAY(),2)+8)))</f>
        <v>0</v>
      </c>
      <c r="AC79" s="36">
        <f ca="1">IF($A79="","",IF(AC$1="","",COUNTIFS(tbl_chests[from],$A79,tbl_chests[legalized],AC$1,tbl_chests[datetime],"&gt;="&amp;TODAY()-WEEKDAY(TODAY(),2)+1,tbl_chests[datetime],"&lt;"&amp;TODAY()-WEEKDAY(TODAY(),2)+8)))</f>
        <v>0</v>
      </c>
      <c r="AD79" s="36">
        <f ca="1">IF($A79="","",IF(AD$1="","",COUNTIFS(tbl_chests[from],$A79,tbl_chests[legalized],AD$1,tbl_chests[datetime],"&gt;="&amp;TODAY()-WEEKDAY(TODAY(),2)+1,tbl_chests[datetime],"&lt;"&amp;TODAY()-WEEKDAY(TODAY(),2)+8)))</f>
        <v>0</v>
      </c>
      <c r="AE79" s="36">
        <f ca="1">IF($A79="","",IF(AE$1="","",COUNTIFS(tbl_chests[from],$A79,tbl_chests[legalized],AE$1,tbl_chests[datetime],"&gt;="&amp;TODAY()-WEEKDAY(TODAY(),2)+1,tbl_chests[datetime],"&lt;"&amp;TODAY()-WEEKDAY(TODAY(),2)+8)))</f>
        <v>0</v>
      </c>
      <c r="AF79" s="36">
        <f ca="1">IF($A79="","",IF(AF$1="","",COUNTIFS(tbl_chests[from],$A79,tbl_chests[legalized],AF$1,tbl_chests[datetime],"&gt;="&amp;TODAY()-WEEKDAY(TODAY(),2)+1,tbl_chests[datetime],"&lt;"&amp;TODAY()-WEEKDAY(TODAY(),2)+8)))</f>
        <v>0</v>
      </c>
      <c r="AG79" s="36">
        <f ca="1">IF($A79="","",IF(AG$1="","",COUNTIFS(tbl_chests[from],$A79,tbl_chests[legalized],AG$1,tbl_chests[datetime],"&gt;="&amp;TODAY()-WEEKDAY(TODAY(),2)+1,tbl_chests[datetime],"&lt;"&amp;TODAY()-WEEKDAY(TODAY(),2)+8)))</f>
        <v>0</v>
      </c>
      <c r="AH79" s="36">
        <f ca="1">IF($A79="","",IF(AH$1="","",COUNTIFS(tbl_chests[from],$A79,tbl_chests[legalized],AH$1,tbl_chests[datetime],"&gt;="&amp;TODAY()-WEEKDAY(TODAY(),2)+1,tbl_chests[datetime],"&lt;"&amp;TODAY()-WEEKDAY(TODAY(),2)+8)))</f>
        <v>0</v>
      </c>
      <c r="AI79" s="36">
        <f ca="1">IF($A79="","",IF(AI$1="","",COUNTIFS(tbl_chests[from],$A79,tbl_chests[legalized],AI$1,tbl_chests[datetime],"&gt;="&amp;TODAY()-WEEKDAY(TODAY(),2)+1,tbl_chests[datetime],"&lt;"&amp;TODAY()-WEEKDAY(TODAY(),2)+8)))</f>
        <v>0</v>
      </c>
      <c r="AJ79" s="36">
        <f ca="1">IF($A79="","",IF(AJ$1="","",COUNTIFS(tbl_chests[from],$A79,tbl_chests[legalized],AJ$1,tbl_chests[datetime],"&gt;="&amp;TODAY()-WEEKDAY(TODAY(),2)+1,tbl_chests[datetime],"&lt;"&amp;TODAY()-WEEKDAY(TODAY(),2)+8)))</f>
        <v>0</v>
      </c>
      <c r="AK79" s="36">
        <f ca="1">IF($A79="","",IF(AK$1="","",COUNTIFS(tbl_chests[from],$A79,tbl_chests[legalized],AK$1,tbl_chests[datetime],"&gt;="&amp;TODAY()-WEEKDAY(TODAY(),2)+1,tbl_chests[datetime],"&lt;"&amp;TODAY()-WEEKDAY(TODAY(),2)+8)))</f>
        <v>0</v>
      </c>
      <c r="AL79" s="36">
        <f ca="1">IF($A79="","",IF(AL$1="","",COUNTIFS(tbl_chests[from],$A79,tbl_chests[legalized],AL$1,tbl_chests[datetime],"&gt;="&amp;TODAY()-WEEKDAY(TODAY(),2)+1,tbl_chests[datetime],"&lt;"&amp;TODAY()-WEEKDAY(TODAY(),2)+8)))</f>
        <v>0</v>
      </c>
      <c r="AM79" s="37">
        <f ca="1">IF($A79="","",IF(AM$1="","",COUNTIFS(tbl_chests[from],$A79,tbl_chests[legalized],AM$1,tbl_chests[datetime],"&gt;="&amp;TODAY()-WEEKDAY(TODAY(),2)+1,tbl_chests[datetime],"&lt;"&amp;TODAY()-WEEKDAY(TODAY(),2)+8)))</f>
        <v>0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 ht="15.75" customHeight="1" x14ac:dyDescent="0.25">
      <c r="A80" s="34">
        <f>chests_counter!$H77</f>
        <v>0</v>
      </c>
      <c r="B80" s="35" cm="1">
        <f t="array" aca="1" ref="B80" ca="1">IF(A80&lt;&gt;"", SUMPRODUCT(($C$2:$AM$2&lt;&gt;0)*(C80:AM80&lt;&gt;0)*($C$2:$AM$2)*(C80:AM80)), "")</f>
        <v>0</v>
      </c>
      <c r="C80" s="36">
        <f ca="1">IF($A80="","",IF(C$1="","",COUNTIFS(tbl_chests[from],$A80,tbl_chests[legalized],C$1,tbl_chests[datetime],"&gt;="&amp;TODAY()-WEEKDAY(TODAY(),2)+1,tbl_chests[datetime],"&lt;"&amp;TODAY()-WEEKDAY(TODAY(),2)+8)))</f>
        <v>0</v>
      </c>
      <c r="D80" s="36">
        <f ca="1">IF($A80="","",IF(D$1="","",COUNTIFS(tbl_chests[from],$A80,tbl_chests[legalized],D$1,tbl_chests[datetime],"&gt;="&amp;TODAY()-WEEKDAY(TODAY(),2)+1,tbl_chests[datetime],"&lt;"&amp;TODAY()-WEEKDAY(TODAY(),2)+8)))</f>
        <v>0</v>
      </c>
      <c r="E80" s="36">
        <f ca="1">IF($A80="","",IF(E$1="","",COUNTIFS(tbl_chests[from],$A80,tbl_chests[legalized],E$1,tbl_chests[datetime],"&gt;="&amp;TODAY()-WEEKDAY(TODAY(),2)+1,tbl_chests[datetime],"&lt;"&amp;TODAY()-WEEKDAY(TODAY(),2)+8)))</f>
        <v>0</v>
      </c>
      <c r="F80" s="36">
        <f ca="1">IF($A80="","",IF(F$1="","",COUNTIFS(tbl_chests[from],$A80,tbl_chests[legalized],F$1,tbl_chests[datetime],"&gt;="&amp;TODAY()-WEEKDAY(TODAY(),2)+1,tbl_chests[datetime],"&lt;"&amp;TODAY()-WEEKDAY(TODAY(),2)+8)))</f>
        <v>0</v>
      </c>
      <c r="G80" s="36">
        <f ca="1">IF($A80="","",IF(G$1="","",COUNTIFS(tbl_chests[from],$A80,tbl_chests[legalized],G$1,tbl_chests[datetime],"&gt;="&amp;TODAY()-WEEKDAY(TODAY(),2)+1,tbl_chests[datetime],"&lt;"&amp;TODAY()-WEEKDAY(TODAY(),2)+8)))</f>
        <v>0</v>
      </c>
      <c r="H80" s="36">
        <f ca="1">IF($A80="","",IF(H$1="","",COUNTIFS(tbl_chests[from],$A80,tbl_chests[legalized],H$1,tbl_chests[datetime],"&gt;="&amp;TODAY()-WEEKDAY(TODAY(),2)+1,tbl_chests[datetime],"&lt;"&amp;TODAY()-WEEKDAY(TODAY(),2)+8)))</f>
        <v>0</v>
      </c>
      <c r="I80" s="36">
        <f ca="1">IF($A80="","",IF(I$1="","",COUNTIFS(tbl_chests[from],$A80,tbl_chests[legalized],I$1,tbl_chests[datetime],"&gt;="&amp;TODAY()-WEEKDAY(TODAY(),2)+1,tbl_chests[datetime],"&lt;"&amp;TODAY()-WEEKDAY(TODAY(),2)+8)))</f>
        <v>0</v>
      </c>
      <c r="J80" s="36">
        <f ca="1">IF($A80="","",IF(J$1="","",COUNTIFS(tbl_chests[from],$A80,tbl_chests[legalized],J$1,tbl_chests[datetime],"&gt;="&amp;TODAY()-WEEKDAY(TODAY(),2)+1,tbl_chests[datetime],"&lt;"&amp;TODAY()-WEEKDAY(TODAY(),2)+8)))</f>
        <v>0</v>
      </c>
      <c r="K80" s="36">
        <f ca="1">IF($A80="","",IF(K$1="","",COUNTIFS(tbl_chests[from],$A80,tbl_chests[legalized],K$1,tbl_chests[datetime],"&gt;="&amp;TODAY()-WEEKDAY(TODAY(),2)+1,tbl_chests[datetime],"&lt;"&amp;TODAY()-WEEKDAY(TODAY(),2)+8)))</f>
        <v>0</v>
      </c>
      <c r="L80" s="36">
        <f ca="1">IF($A80="","",IF(L$1="","",COUNTIFS(tbl_chests[from],$A80,tbl_chests[legalized],L$1,tbl_chests[datetime],"&gt;="&amp;TODAY()-WEEKDAY(TODAY(),2)+1,tbl_chests[datetime],"&lt;"&amp;TODAY()-WEEKDAY(TODAY(),2)+8)))</f>
        <v>0</v>
      </c>
      <c r="M80" s="36">
        <f ca="1">IF($A80="","",IF(M$1="","",COUNTIFS(tbl_chests[from],$A80,tbl_chests[legalized],M$1,tbl_chests[datetime],"&gt;="&amp;TODAY()-WEEKDAY(TODAY(),2)+1,tbl_chests[datetime],"&lt;"&amp;TODAY()-WEEKDAY(TODAY(),2)+8)))</f>
        <v>0</v>
      </c>
      <c r="N80" s="36">
        <f ca="1">IF($A80="","",IF(N$1="","",COUNTIFS(tbl_chests[from],$A80,tbl_chests[legalized],N$1,tbl_chests[datetime],"&gt;="&amp;TODAY()-WEEKDAY(TODAY(),2)+1,tbl_chests[datetime],"&lt;"&amp;TODAY()-WEEKDAY(TODAY(),2)+8)))</f>
        <v>0</v>
      </c>
      <c r="O80" s="36">
        <f ca="1">IF($A80="","",IF(O$1="","",COUNTIFS(tbl_chests[from],$A80,tbl_chests[legalized],O$1,tbl_chests[datetime],"&gt;="&amp;TODAY()-WEEKDAY(TODAY(),2)+1,tbl_chests[datetime],"&lt;"&amp;TODAY()-WEEKDAY(TODAY(),2)+8)))</f>
        <v>0</v>
      </c>
      <c r="P80" s="36">
        <f ca="1">IF($A80="","",IF(P$1="","",COUNTIFS(tbl_chests[from],$A80,tbl_chests[legalized],P$1,tbl_chests[datetime],"&gt;="&amp;TODAY()-WEEKDAY(TODAY(),2)+1,tbl_chests[datetime],"&lt;"&amp;TODAY()-WEEKDAY(TODAY(),2)+8)))</f>
        <v>0</v>
      </c>
      <c r="Q80" s="36">
        <f ca="1">IF($A80="","",IF(Q$1="","",COUNTIFS(tbl_chests[from],$A80,tbl_chests[legalized],Q$1,tbl_chests[datetime],"&gt;="&amp;TODAY()-WEEKDAY(TODAY(),2)+1,tbl_chests[datetime],"&lt;"&amp;TODAY()-WEEKDAY(TODAY(),2)+8)))</f>
        <v>0</v>
      </c>
      <c r="R80" s="36">
        <f ca="1">IF($A80="","",IF(R$1="","",COUNTIFS(tbl_chests[from],$A80,tbl_chests[legalized],R$1,tbl_chests[datetime],"&gt;="&amp;TODAY()-WEEKDAY(TODAY(),2)+1,tbl_chests[datetime],"&lt;"&amp;TODAY()-WEEKDAY(TODAY(),2)+8)))</f>
        <v>0</v>
      </c>
      <c r="S80" s="36">
        <f ca="1">IF($A80="","",IF(S$1="","",COUNTIFS(tbl_chests[from],$A80,tbl_chests[legalized],S$1,tbl_chests[datetime],"&gt;="&amp;TODAY()-WEEKDAY(TODAY(),2)+1,tbl_chests[datetime],"&lt;"&amp;TODAY()-WEEKDAY(TODAY(),2)+8)))</f>
        <v>0</v>
      </c>
      <c r="T80" s="36">
        <f ca="1">IF($A80="","",IF(T$1="","",COUNTIFS(tbl_chests[from],$A80,tbl_chests[legalized],T$1,tbl_chests[datetime],"&gt;="&amp;TODAY()-WEEKDAY(TODAY(),2)+1,tbl_chests[datetime],"&lt;"&amp;TODAY()-WEEKDAY(TODAY(),2)+8)))</f>
        <v>0</v>
      </c>
      <c r="U80" s="36">
        <f ca="1">IF($A80="","",IF(U$1="","",COUNTIFS(tbl_chests[from],$A80,tbl_chests[legalized],U$1,tbl_chests[datetime],"&gt;="&amp;TODAY()-WEEKDAY(TODAY(),2)+1,tbl_chests[datetime],"&lt;"&amp;TODAY()-WEEKDAY(TODAY(),2)+8)))</f>
        <v>0</v>
      </c>
      <c r="V80" s="36">
        <f ca="1">IF($A80="","",IF(V$1="","",COUNTIFS(tbl_chests[from],$A80,tbl_chests[legalized],V$1,tbl_chests[datetime],"&gt;="&amp;TODAY()-WEEKDAY(TODAY(),2)+1,tbl_chests[datetime],"&lt;"&amp;TODAY()-WEEKDAY(TODAY(),2)+8)))</f>
        <v>0</v>
      </c>
      <c r="W80" s="36">
        <f ca="1">IF($A80="","",IF(W$1="","",COUNTIFS(tbl_chests[from],$A80,tbl_chests[legalized],W$1,tbl_chests[datetime],"&gt;="&amp;TODAY()-WEEKDAY(TODAY(),2)+1,tbl_chests[datetime],"&lt;"&amp;TODAY()-WEEKDAY(TODAY(),2)+8)))</f>
        <v>0</v>
      </c>
      <c r="X80" s="36">
        <f ca="1">IF($A80="","",IF(X$1="","",COUNTIFS(tbl_chests[from],$A80,tbl_chests[legalized],X$1,tbl_chests[datetime],"&gt;="&amp;TODAY()-WEEKDAY(TODAY(),2)+1,tbl_chests[datetime],"&lt;"&amp;TODAY()-WEEKDAY(TODAY(),2)+8)))</f>
        <v>0</v>
      </c>
      <c r="Y80" s="36">
        <f ca="1">IF($A80="","",IF(Y$1="","",COUNTIFS(tbl_chests[from],$A80,tbl_chests[legalized],Y$1,tbl_chests[datetime],"&gt;="&amp;TODAY()-WEEKDAY(TODAY(),2)+1,tbl_chests[datetime],"&lt;"&amp;TODAY()-WEEKDAY(TODAY(),2)+8)))</f>
        <v>0</v>
      </c>
      <c r="Z80" s="36">
        <f ca="1">IF($A80="","",IF(Z$1="","",COUNTIFS(tbl_chests[from],$A80,tbl_chests[legalized],Z$1,tbl_chests[datetime],"&gt;="&amp;TODAY()-WEEKDAY(TODAY(),2)+1,tbl_chests[datetime],"&lt;"&amp;TODAY()-WEEKDAY(TODAY(),2)+8)))</f>
        <v>0</v>
      </c>
      <c r="AA80" s="36">
        <f ca="1">IF($A80="","",IF(AA$1="","",COUNTIFS(tbl_chests[from],$A80,tbl_chests[legalized],AA$1,tbl_chests[datetime],"&gt;="&amp;TODAY()-WEEKDAY(TODAY(),2)+1,tbl_chests[datetime],"&lt;"&amp;TODAY()-WEEKDAY(TODAY(),2)+8)))</f>
        <v>0</v>
      </c>
      <c r="AB80" s="36">
        <f ca="1">IF($A80="","",IF(AB$1="","",COUNTIFS(tbl_chests[from],$A80,tbl_chests[legalized],AB$1,tbl_chests[datetime],"&gt;="&amp;TODAY()-WEEKDAY(TODAY(),2)+1,tbl_chests[datetime],"&lt;"&amp;TODAY()-WEEKDAY(TODAY(),2)+8)))</f>
        <v>0</v>
      </c>
      <c r="AC80" s="36">
        <f ca="1">IF($A80="","",IF(AC$1="","",COUNTIFS(tbl_chests[from],$A80,tbl_chests[legalized],AC$1,tbl_chests[datetime],"&gt;="&amp;TODAY()-WEEKDAY(TODAY(),2)+1,tbl_chests[datetime],"&lt;"&amp;TODAY()-WEEKDAY(TODAY(),2)+8)))</f>
        <v>0</v>
      </c>
      <c r="AD80" s="36">
        <f ca="1">IF($A80="","",IF(AD$1="","",COUNTIFS(tbl_chests[from],$A80,tbl_chests[legalized],AD$1,tbl_chests[datetime],"&gt;="&amp;TODAY()-WEEKDAY(TODAY(),2)+1,tbl_chests[datetime],"&lt;"&amp;TODAY()-WEEKDAY(TODAY(),2)+8)))</f>
        <v>0</v>
      </c>
      <c r="AE80" s="36">
        <f ca="1">IF($A80="","",IF(AE$1="","",COUNTIFS(tbl_chests[from],$A80,tbl_chests[legalized],AE$1,tbl_chests[datetime],"&gt;="&amp;TODAY()-WEEKDAY(TODAY(),2)+1,tbl_chests[datetime],"&lt;"&amp;TODAY()-WEEKDAY(TODAY(),2)+8)))</f>
        <v>0</v>
      </c>
      <c r="AF80" s="36">
        <f ca="1">IF($A80="","",IF(AF$1="","",COUNTIFS(tbl_chests[from],$A80,tbl_chests[legalized],AF$1,tbl_chests[datetime],"&gt;="&amp;TODAY()-WEEKDAY(TODAY(),2)+1,tbl_chests[datetime],"&lt;"&amp;TODAY()-WEEKDAY(TODAY(),2)+8)))</f>
        <v>0</v>
      </c>
      <c r="AG80" s="36">
        <f ca="1">IF($A80="","",IF(AG$1="","",COUNTIFS(tbl_chests[from],$A80,tbl_chests[legalized],AG$1,tbl_chests[datetime],"&gt;="&amp;TODAY()-WEEKDAY(TODAY(),2)+1,tbl_chests[datetime],"&lt;"&amp;TODAY()-WEEKDAY(TODAY(),2)+8)))</f>
        <v>0</v>
      </c>
      <c r="AH80" s="36">
        <f ca="1">IF($A80="","",IF(AH$1="","",COUNTIFS(tbl_chests[from],$A80,tbl_chests[legalized],AH$1,tbl_chests[datetime],"&gt;="&amp;TODAY()-WEEKDAY(TODAY(),2)+1,tbl_chests[datetime],"&lt;"&amp;TODAY()-WEEKDAY(TODAY(),2)+8)))</f>
        <v>0</v>
      </c>
      <c r="AI80" s="36">
        <f ca="1">IF($A80="","",IF(AI$1="","",COUNTIFS(tbl_chests[from],$A80,tbl_chests[legalized],AI$1,tbl_chests[datetime],"&gt;="&amp;TODAY()-WEEKDAY(TODAY(),2)+1,tbl_chests[datetime],"&lt;"&amp;TODAY()-WEEKDAY(TODAY(),2)+8)))</f>
        <v>0</v>
      </c>
      <c r="AJ80" s="36">
        <f ca="1">IF($A80="","",IF(AJ$1="","",COUNTIFS(tbl_chests[from],$A80,tbl_chests[legalized],AJ$1,tbl_chests[datetime],"&gt;="&amp;TODAY()-WEEKDAY(TODAY(),2)+1,tbl_chests[datetime],"&lt;"&amp;TODAY()-WEEKDAY(TODAY(),2)+8)))</f>
        <v>0</v>
      </c>
      <c r="AK80" s="36">
        <f ca="1">IF($A80="","",IF(AK$1="","",COUNTIFS(tbl_chests[from],$A80,tbl_chests[legalized],AK$1,tbl_chests[datetime],"&gt;="&amp;TODAY()-WEEKDAY(TODAY(),2)+1,tbl_chests[datetime],"&lt;"&amp;TODAY()-WEEKDAY(TODAY(),2)+8)))</f>
        <v>0</v>
      </c>
      <c r="AL80" s="36">
        <f ca="1">IF($A80="","",IF(AL$1="","",COUNTIFS(tbl_chests[from],$A80,tbl_chests[legalized],AL$1,tbl_chests[datetime],"&gt;="&amp;TODAY()-WEEKDAY(TODAY(),2)+1,tbl_chests[datetime],"&lt;"&amp;TODAY()-WEEKDAY(TODAY(),2)+8)))</f>
        <v>0</v>
      </c>
      <c r="AM80" s="37">
        <f ca="1">IF($A80="","",IF(AM$1="","",COUNTIFS(tbl_chests[from],$A80,tbl_chests[legalized],AM$1,tbl_chests[datetime],"&gt;="&amp;TODAY()-WEEKDAY(TODAY(),2)+1,tbl_chests[datetime],"&lt;"&amp;TODAY()-WEEKDAY(TODAY(),2)+8)))</f>
        <v>0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 ht="15.75" customHeight="1" x14ac:dyDescent="0.25">
      <c r="A81" s="34">
        <f>chests_counter!$H78</f>
        <v>0</v>
      </c>
      <c r="B81" s="35" cm="1">
        <f t="array" aca="1" ref="B81" ca="1">IF(A81&lt;&gt;"", SUMPRODUCT(($C$2:$AM$2&lt;&gt;0)*(C81:AM81&lt;&gt;0)*($C$2:$AM$2)*(C81:AM81)), "")</f>
        <v>0</v>
      </c>
      <c r="C81" s="36">
        <f ca="1">IF($A81="","",IF(C$1="","",COUNTIFS(tbl_chests[from],$A81,tbl_chests[legalized],C$1,tbl_chests[datetime],"&gt;="&amp;TODAY()-WEEKDAY(TODAY(),2)+1,tbl_chests[datetime],"&lt;"&amp;TODAY()-WEEKDAY(TODAY(),2)+8)))</f>
        <v>0</v>
      </c>
      <c r="D81" s="36">
        <f ca="1">IF($A81="","",IF(D$1="","",COUNTIFS(tbl_chests[from],$A81,tbl_chests[legalized],D$1,tbl_chests[datetime],"&gt;="&amp;TODAY()-WEEKDAY(TODAY(),2)+1,tbl_chests[datetime],"&lt;"&amp;TODAY()-WEEKDAY(TODAY(),2)+8)))</f>
        <v>0</v>
      </c>
      <c r="E81" s="36">
        <f ca="1">IF($A81="","",IF(E$1="","",COUNTIFS(tbl_chests[from],$A81,tbl_chests[legalized],E$1,tbl_chests[datetime],"&gt;="&amp;TODAY()-WEEKDAY(TODAY(),2)+1,tbl_chests[datetime],"&lt;"&amp;TODAY()-WEEKDAY(TODAY(),2)+8)))</f>
        <v>0</v>
      </c>
      <c r="F81" s="36">
        <f ca="1">IF($A81="","",IF(F$1="","",COUNTIFS(tbl_chests[from],$A81,tbl_chests[legalized],F$1,tbl_chests[datetime],"&gt;="&amp;TODAY()-WEEKDAY(TODAY(),2)+1,tbl_chests[datetime],"&lt;"&amp;TODAY()-WEEKDAY(TODAY(),2)+8)))</f>
        <v>0</v>
      </c>
      <c r="G81" s="36">
        <f ca="1">IF($A81="","",IF(G$1="","",COUNTIFS(tbl_chests[from],$A81,tbl_chests[legalized],G$1,tbl_chests[datetime],"&gt;="&amp;TODAY()-WEEKDAY(TODAY(),2)+1,tbl_chests[datetime],"&lt;"&amp;TODAY()-WEEKDAY(TODAY(),2)+8)))</f>
        <v>0</v>
      </c>
      <c r="H81" s="36">
        <f ca="1">IF($A81="","",IF(H$1="","",COUNTIFS(tbl_chests[from],$A81,tbl_chests[legalized],H$1,tbl_chests[datetime],"&gt;="&amp;TODAY()-WEEKDAY(TODAY(),2)+1,tbl_chests[datetime],"&lt;"&amp;TODAY()-WEEKDAY(TODAY(),2)+8)))</f>
        <v>0</v>
      </c>
      <c r="I81" s="36">
        <f ca="1">IF($A81="","",IF(I$1="","",COUNTIFS(tbl_chests[from],$A81,tbl_chests[legalized],I$1,tbl_chests[datetime],"&gt;="&amp;TODAY()-WEEKDAY(TODAY(),2)+1,tbl_chests[datetime],"&lt;"&amp;TODAY()-WEEKDAY(TODAY(),2)+8)))</f>
        <v>0</v>
      </c>
      <c r="J81" s="36">
        <f ca="1">IF($A81="","",IF(J$1="","",COUNTIFS(tbl_chests[from],$A81,tbl_chests[legalized],J$1,tbl_chests[datetime],"&gt;="&amp;TODAY()-WEEKDAY(TODAY(),2)+1,tbl_chests[datetime],"&lt;"&amp;TODAY()-WEEKDAY(TODAY(),2)+8)))</f>
        <v>0</v>
      </c>
      <c r="K81" s="36">
        <f ca="1">IF($A81="","",IF(K$1="","",COUNTIFS(tbl_chests[from],$A81,tbl_chests[legalized],K$1,tbl_chests[datetime],"&gt;="&amp;TODAY()-WEEKDAY(TODAY(),2)+1,tbl_chests[datetime],"&lt;"&amp;TODAY()-WEEKDAY(TODAY(),2)+8)))</f>
        <v>0</v>
      </c>
      <c r="L81" s="36">
        <f ca="1">IF($A81="","",IF(L$1="","",COUNTIFS(tbl_chests[from],$A81,tbl_chests[legalized],L$1,tbl_chests[datetime],"&gt;="&amp;TODAY()-WEEKDAY(TODAY(),2)+1,tbl_chests[datetime],"&lt;"&amp;TODAY()-WEEKDAY(TODAY(),2)+8)))</f>
        <v>0</v>
      </c>
      <c r="M81" s="36">
        <f ca="1">IF($A81="","",IF(M$1="","",COUNTIFS(tbl_chests[from],$A81,tbl_chests[legalized],M$1,tbl_chests[datetime],"&gt;="&amp;TODAY()-WEEKDAY(TODAY(),2)+1,tbl_chests[datetime],"&lt;"&amp;TODAY()-WEEKDAY(TODAY(),2)+8)))</f>
        <v>0</v>
      </c>
      <c r="N81" s="36">
        <f ca="1">IF($A81="","",IF(N$1="","",COUNTIFS(tbl_chests[from],$A81,tbl_chests[legalized],N$1,tbl_chests[datetime],"&gt;="&amp;TODAY()-WEEKDAY(TODAY(),2)+1,tbl_chests[datetime],"&lt;"&amp;TODAY()-WEEKDAY(TODAY(),2)+8)))</f>
        <v>0</v>
      </c>
      <c r="O81" s="36">
        <f ca="1">IF($A81="","",IF(O$1="","",COUNTIFS(tbl_chests[from],$A81,tbl_chests[legalized],O$1,tbl_chests[datetime],"&gt;="&amp;TODAY()-WEEKDAY(TODAY(),2)+1,tbl_chests[datetime],"&lt;"&amp;TODAY()-WEEKDAY(TODAY(),2)+8)))</f>
        <v>0</v>
      </c>
      <c r="P81" s="36">
        <f ca="1">IF($A81="","",IF(P$1="","",COUNTIFS(tbl_chests[from],$A81,tbl_chests[legalized],P$1,tbl_chests[datetime],"&gt;="&amp;TODAY()-WEEKDAY(TODAY(),2)+1,tbl_chests[datetime],"&lt;"&amp;TODAY()-WEEKDAY(TODAY(),2)+8)))</f>
        <v>0</v>
      </c>
      <c r="Q81" s="36">
        <f ca="1">IF($A81="","",IF(Q$1="","",COUNTIFS(tbl_chests[from],$A81,tbl_chests[legalized],Q$1,tbl_chests[datetime],"&gt;="&amp;TODAY()-WEEKDAY(TODAY(),2)+1,tbl_chests[datetime],"&lt;"&amp;TODAY()-WEEKDAY(TODAY(),2)+8)))</f>
        <v>0</v>
      </c>
      <c r="R81" s="36">
        <f ca="1">IF($A81="","",IF(R$1="","",COUNTIFS(tbl_chests[from],$A81,tbl_chests[legalized],R$1,tbl_chests[datetime],"&gt;="&amp;TODAY()-WEEKDAY(TODAY(),2)+1,tbl_chests[datetime],"&lt;"&amp;TODAY()-WEEKDAY(TODAY(),2)+8)))</f>
        <v>0</v>
      </c>
      <c r="S81" s="36">
        <f ca="1">IF($A81="","",IF(S$1="","",COUNTIFS(tbl_chests[from],$A81,tbl_chests[legalized],S$1,tbl_chests[datetime],"&gt;="&amp;TODAY()-WEEKDAY(TODAY(),2)+1,tbl_chests[datetime],"&lt;"&amp;TODAY()-WEEKDAY(TODAY(),2)+8)))</f>
        <v>0</v>
      </c>
      <c r="T81" s="36">
        <f ca="1">IF($A81="","",IF(T$1="","",COUNTIFS(tbl_chests[from],$A81,tbl_chests[legalized],T$1,tbl_chests[datetime],"&gt;="&amp;TODAY()-WEEKDAY(TODAY(),2)+1,tbl_chests[datetime],"&lt;"&amp;TODAY()-WEEKDAY(TODAY(),2)+8)))</f>
        <v>0</v>
      </c>
      <c r="U81" s="36">
        <f ca="1">IF($A81="","",IF(U$1="","",COUNTIFS(tbl_chests[from],$A81,tbl_chests[legalized],U$1,tbl_chests[datetime],"&gt;="&amp;TODAY()-WEEKDAY(TODAY(),2)+1,tbl_chests[datetime],"&lt;"&amp;TODAY()-WEEKDAY(TODAY(),2)+8)))</f>
        <v>0</v>
      </c>
      <c r="V81" s="36">
        <f ca="1">IF($A81="","",IF(V$1="","",COUNTIFS(tbl_chests[from],$A81,tbl_chests[legalized],V$1,tbl_chests[datetime],"&gt;="&amp;TODAY()-WEEKDAY(TODAY(),2)+1,tbl_chests[datetime],"&lt;"&amp;TODAY()-WEEKDAY(TODAY(),2)+8)))</f>
        <v>0</v>
      </c>
      <c r="W81" s="36">
        <f ca="1">IF($A81="","",IF(W$1="","",COUNTIFS(tbl_chests[from],$A81,tbl_chests[legalized],W$1,tbl_chests[datetime],"&gt;="&amp;TODAY()-WEEKDAY(TODAY(),2)+1,tbl_chests[datetime],"&lt;"&amp;TODAY()-WEEKDAY(TODAY(),2)+8)))</f>
        <v>0</v>
      </c>
      <c r="X81" s="36">
        <f ca="1">IF($A81="","",IF(X$1="","",COUNTIFS(tbl_chests[from],$A81,tbl_chests[legalized],X$1,tbl_chests[datetime],"&gt;="&amp;TODAY()-WEEKDAY(TODAY(),2)+1,tbl_chests[datetime],"&lt;"&amp;TODAY()-WEEKDAY(TODAY(),2)+8)))</f>
        <v>0</v>
      </c>
      <c r="Y81" s="36">
        <f ca="1">IF($A81="","",IF(Y$1="","",COUNTIFS(tbl_chests[from],$A81,tbl_chests[legalized],Y$1,tbl_chests[datetime],"&gt;="&amp;TODAY()-WEEKDAY(TODAY(),2)+1,tbl_chests[datetime],"&lt;"&amp;TODAY()-WEEKDAY(TODAY(),2)+8)))</f>
        <v>0</v>
      </c>
      <c r="Z81" s="36">
        <f ca="1">IF($A81="","",IF(Z$1="","",COUNTIFS(tbl_chests[from],$A81,tbl_chests[legalized],Z$1,tbl_chests[datetime],"&gt;="&amp;TODAY()-WEEKDAY(TODAY(),2)+1,tbl_chests[datetime],"&lt;"&amp;TODAY()-WEEKDAY(TODAY(),2)+8)))</f>
        <v>0</v>
      </c>
      <c r="AA81" s="36">
        <f ca="1">IF($A81="","",IF(AA$1="","",COUNTIFS(tbl_chests[from],$A81,tbl_chests[legalized],AA$1,tbl_chests[datetime],"&gt;="&amp;TODAY()-WEEKDAY(TODAY(),2)+1,tbl_chests[datetime],"&lt;"&amp;TODAY()-WEEKDAY(TODAY(),2)+8)))</f>
        <v>0</v>
      </c>
      <c r="AB81" s="36">
        <f ca="1">IF($A81="","",IF(AB$1="","",COUNTIFS(tbl_chests[from],$A81,tbl_chests[legalized],AB$1,tbl_chests[datetime],"&gt;="&amp;TODAY()-WEEKDAY(TODAY(),2)+1,tbl_chests[datetime],"&lt;"&amp;TODAY()-WEEKDAY(TODAY(),2)+8)))</f>
        <v>0</v>
      </c>
      <c r="AC81" s="36">
        <f ca="1">IF($A81="","",IF(AC$1="","",COUNTIFS(tbl_chests[from],$A81,tbl_chests[legalized],AC$1,tbl_chests[datetime],"&gt;="&amp;TODAY()-WEEKDAY(TODAY(),2)+1,tbl_chests[datetime],"&lt;"&amp;TODAY()-WEEKDAY(TODAY(),2)+8)))</f>
        <v>0</v>
      </c>
      <c r="AD81" s="36">
        <f ca="1">IF($A81="","",IF(AD$1="","",COUNTIFS(tbl_chests[from],$A81,tbl_chests[legalized],AD$1,tbl_chests[datetime],"&gt;="&amp;TODAY()-WEEKDAY(TODAY(),2)+1,tbl_chests[datetime],"&lt;"&amp;TODAY()-WEEKDAY(TODAY(),2)+8)))</f>
        <v>0</v>
      </c>
      <c r="AE81" s="36">
        <f ca="1">IF($A81="","",IF(AE$1="","",COUNTIFS(tbl_chests[from],$A81,tbl_chests[legalized],AE$1,tbl_chests[datetime],"&gt;="&amp;TODAY()-WEEKDAY(TODAY(),2)+1,tbl_chests[datetime],"&lt;"&amp;TODAY()-WEEKDAY(TODAY(),2)+8)))</f>
        <v>0</v>
      </c>
      <c r="AF81" s="36">
        <f ca="1">IF($A81="","",IF(AF$1="","",COUNTIFS(tbl_chests[from],$A81,tbl_chests[legalized],AF$1,tbl_chests[datetime],"&gt;="&amp;TODAY()-WEEKDAY(TODAY(),2)+1,tbl_chests[datetime],"&lt;"&amp;TODAY()-WEEKDAY(TODAY(),2)+8)))</f>
        <v>0</v>
      </c>
      <c r="AG81" s="36">
        <f ca="1">IF($A81="","",IF(AG$1="","",COUNTIFS(tbl_chests[from],$A81,tbl_chests[legalized],AG$1,tbl_chests[datetime],"&gt;="&amp;TODAY()-WEEKDAY(TODAY(),2)+1,tbl_chests[datetime],"&lt;"&amp;TODAY()-WEEKDAY(TODAY(),2)+8)))</f>
        <v>0</v>
      </c>
      <c r="AH81" s="36">
        <f ca="1">IF($A81="","",IF(AH$1="","",COUNTIFS(tbl_chests[from],$A81,tbl_chests[legalized],AH$1,tbl_chests[datetime],"&gt;="&amp;TODAY()-WEEKDAY(TODAY(),2)+1,tbl_chests[datetime],"&lt;"&amp;TODAY()-WEEKDAY(TODAY(),2)+8)))</f>
        <v>0</v>
      </c>
      <c r="AI81" s="36">
        <f ca="1">IF($A81="","",IF(AI$1="","",COUNTIFS(tbl_chests[from],$A81,tbl_chests[legalized],AI$1,tbl_chests[datetime],"&gt;="&amp;TODAY()-WEEKDAY(TODAY(),2)+1,tbl_chests[datetime],"&lt;"&amp;TODAY()-WEEKDAY(TODAY(),2)+8)))</f>
        <v>0</v>
      </c>
      <c r="AJ81" s="36">
        <f ca="1">IF($A81="","",IF(AJ$1="","",COUNTIFS(tbl_chests[from],$A81,tbl_chests[legalized],AJ$1,tbl_chests[datetime],"&gt;="&amp;TODAY()-WEEKDAY(TODAY(),2)+1,tbl_chests[datetime],"&lt;"&amp;TODAY()-WEEKDAY(TODAY(),2)+8)))</f>
        <v>0</v>
      </c>
      <c r="AK81" s="36">
        <f ca="1">IF($A81="","",IF(AK$1="","",COUNTIFS(tbl_chests[from],$A81,tbl_chests[legalized],AK$1,tbl_chests[datetime],"&gt;="&amp;TODAY()-WEEKDAY(TODAY(),2)+1,tbl_chests[datetime],"&lt;"&amp;TODAY()-WEEKDAY(TODAY(),2)+8)))</f>
        <v>0</v>
      </c>
      <c r="AL81" s="36">
        <f ca="1">IF($A81="","",IF(AL$1="","",COUNTIFS(tbl_chests[from],$A81,tbl_chests[legalized],AL$1,tbl_chests[datetime],"&gt;="&amp;TODAY()-WEEKDAY(TODAY(),2)+1,tbl_chests[datetime],"&lt;"&amp;TODAY()-WEEKDAY(TODAY(),2)+8)))</f>
        <v>0</v>
      </c>
      <c r="AM81" s="37">
        <f ca="1">IF($A81="","",IF(AM$1="","",COUNTIFS(tbl_chests[from],$A81,tbl_chests[legalized],AM$1,tbl_chests[datetime],"&gt;="&amp;TODAY()-WEEKDAY(TODAY(),2)+1,tbl_chests[datetime],"&lt;"&amp;TODAY()-WEEKDAY(TODAY(),2)+8)))</f>
        <v>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 ht="15.75" customHeight="1" x14ac:dyDescent="0.25">
      <c r="A82" s="34">
        <f>chests_counter!$H79</f>
        <v>0</v>
      </c>
      <c r="B82" s="35" cm="1">
        <f t="array" aca="1" ref="B82" ca="1">IF(A82&lt;&gt;"", SUMPRODUCT(($C$2:$AM$2&lt;&gt;0)*(C82:AM82&lt;&gt;0)*($C$2:$AM$2)*(C82:AM82)), "")</f>
        <v>0</v>
      </c>
      <c r="C82" s="36">
        <f ca="1">IF($A82="","",IF(C$1="","",COUNTIFS(tbl_chests[from],$A82,tbl_chests[legalized],C$1,tbl_chests[datetime],"&gt;="&amp;TODAY()-WEEKDAY(TODAY(),2)+1,tbl_chests[datetime],"&lt;"&amp;TODAY()-WEEKDAY(TODAY(),2)+8)))</f>
        <v>0</v>
      </c>
      <c r="D82" s="36">
        <f ca="1">IF($A82="","",IF(D$1="","",COUNTIFS(tbl_chests[from],$A82,tbl_chests[legalized],D$1,tbl_chests[datetime],"&gt;="&amp;TODAY()-WEEKDAY(TODAY(),2)+1,tbl_chests[datetime],"&lt;"&amp;TODAY()-WEEKDAY(TODAY(),2)+8)))</f>
        <v>0</v>
      </c>
      <c r="E82" s="36">
        <f ca="1">IF($A82="","",IF(E$1="","",COUNTIFS(tbl_chests[from],$A82,tbl_chests[legalized],E$1,tbl_chests[datetime],"&gt;="&amp;TODAY()-WEEKDAY(TODAY(),2)+1,tbl_chests[datetime],"&lt;"&amp;TODAY()-WEEKDAY(TODAY(),2)+8)))</f>
        <v>0</v>
      </c>
      <c r="F82" s="36">
        <f ca="1">IF($A82="","",IF(F$1="","",COUNTIFS(tbl_chests[from],$A82,tbl_chests[legalized],F$1,tbl_chests[datetime],"&gt;="&amp;TODAY()-WEEKDAY(TODAY(),2)+1,tbl_chests[datetime],"&lt;"&amp;TODAY()-WEEKDAY(TODAY(),2)+8)))</f>
        <v>0</v>
      </c>
      <c r="G82" s="36">
        <f ca="1">IF($A82="","",IF(G$1="","",COUNTIFS(tbl_chests[from],$A82,tbl_chests[legalized],G$1,tbl_chests[datetime],"&gt;="&amp;TODAY()-WEEKDAY(TODAY(),2)+1,tbl_chests[datetime],"&lt;"&amp;TODAY()-WEEKDAY(TODAY(),2)+8)))</f>
        <v>0</v>
      </c>
      <c r="H82" s="36">
        <f ca="1">IF($A82="","",IF(H$1="","",COUNTIFS(tbl_chests[from],$A82,tbl_chests[legalized],H$1,tbl_chests[datetime],"&gt;="&amp;TODAY()-WEEKDAY(TODAY(),2)+1,tbl_chests[datetime],"&lt;"&amp;TODAY()-WEEKDAY(TODAY(),2)+8)))</f>
        <v>0</v>
      </c>
      <c r="I82" s="36">
        <f ca="1">IF($A82="","",IF(I$1="","",COUNTIFS(tbl_chests[from],$A82,tbl_chests[legalized],I$1,tbl_chests[datetime],"&gt;="&amp;TODAY()-WEEKDAY(TODAY(),2)+1,tbl_chests[datetime],"&lt;"&amp;TODAY()-WEEKDAY(TODAY(),2)+8)))</f>
        <v>0</v>
      </c>
      <c r="J82" s="36">
        <f ca="1">IF($A82="","",IF(J$1="","",COUNTIFS(tbl_chests[from],$A82,tbl_chests[legalized],J$1,tbl_chests[datetime],"&gt;="&amp;TODAY()-WEEKDAY(TODAY(),2)+1,tbl_chests[datetime],"&lt;"&amp;TODAY()-WEEKDAY(TODAY(),2)+8)))</f>
        <v>0</v>
      </c>
      <c r="K82" s="36">
        <f ca="1">IF($A82="","",IF(K$1="","",COUNTIFS(tbl_chests[from],$A82,tbl_chests[legalized],K$1,tbl_chests[datetime],"&gt;="&amp;TODAY()-WEEKDAY(TODAY(),2)+1,tbl_chests[datetime],"&lt;"&amp;TODAY()-WEEKDAY(TODAY(),2)+8)))</f>
        <v>0</v>
      </c>
      <c r="L82" s="36">
        <f ca="1">IF($A82="","",IF(L$1="","",COUNTIFS(tbl_chests[from],$A82,tbl_chests[legalized],L$1,tbl_chests[datetime],"&gt;="&amp;TODAY()-WEEKDAY(TODAY(),2)+1,tbl_chests[datetime],"&lt;"&amp;TODAY()-WEEKDAY(TODAY(),2)+8)))</f>
        <v>0</v>
      </c>
      <c r="M82" s="36">
        <f ca="1">IF($A82="","",IF(M$1="","",COUNTIFS(tbl_chests[from],$A82,tbl_chests[legalized],M$1,tbl_chests[datetime],"&gt;="&amp;TODAY()-WEEKDAY(TODAY(),2)+1,tbl_chests[datetime],"&lt;"&amp;TODAY()-WEEKDAY(TODAY(),2)+8)))</f>
        <v>0</v>
      </c>
      <c r="N82" s="36">
        <f ca="1">IF($A82="","",IF(N$1="","",COUNTIFS(tbl_chests[from],$A82,tbl_chests[legalized],N$1,tbl_chests[datetime],"&gt;="&amp;TODAY()-WEEKDAY(TODAY(),2)+1,tbl_chests[datetime],"&lt;"&amp;TODAY()-WEEKDAY(TODAY(),2)+8)))</f>
        <v>0</v>
      </c>
      <c r="O82" s="36">
        <f ca="1">IF($A82="","",IF(O$1="","",COUNTIFS(tbl_chests[from],$A82,tbl_chests[legalized],O$1,tbl_chests[datetime],"&gt;="&amp;TODAY()-WEEKDAY(TODAY(),2)+1,tbl_chests[datetime],"&lt;"&amp;TODAY()-WEEKDAY(TODAY(),2)+8)))</f>
        <v>0</v>
      </c>
      <c r="P82" s="36">
        <f ca="1">IF($A82="","",IF(P$1="","",COUNTIFS(tbl_chests[from],$A82,tbl_chests[legalized],P$1,tbl_chests[datetime],"&gt;="&amp;TODAY()-WEEKDAY(TODAY(),2)+1,tbl_chests[datetime],"&lt;"&amp;TODAY()-WEEKDAY(TODAY(),2)+8)))</f>
        <v>0</v>
      </c>
      <c r="Q82" s="36">
        <f ca="1">IF($A82="","",IF(Q$1="","",COUNTIFS(tbl_chests[from],$A82,tbl_chests[legalized],Q$1,tbl_chests[datetime],"&gt;="&amp;TODAY()-WEEKDAY(TODAY(),2)+1,tbl_chests[datetime],"&lt;"&amp;TODAY()-WEEKDAY(TODAY(),2)+8)))</f>
        <v>0</v>
      </c>
      <c r="R82" s="36">
        <f ca="1">IF($A82="","",IF(R$1="","",COUNTIFS(tbl_chests[from],$A82,tbl_chests[legalized],R$1,tbl_chests[datetime],"&gt;="&amp;TODAY()-WEEKDAY(TODAY(),2)+1,tbl_chests[datetime],"&lt;"&amp;TODAY()-WEEKDAY(TODAY(),2)+8)))</f>
        <v>0</v>
      </c>
      <c r="S82" s="36">
        <f ca="1">IF($A82="","",IF(S$1="","",COUNTIFS(tbl_chests[from],$A82,tbl_chests[legalized],S$1,tbl_chests[datetime],"&gt;="&amp;TODAY()-WEEKDAY(TODAY(),2)+1,tbl_chests[datetime],"&lt;"&amp;TODAY()-WEEKDAY(TODAY(),2)+8)))</f>
        <v>0</v>
      </c>
      <c r="T82" s="36">
        <f ca="1">IF($A82="","",IF(T$1="","",COUNTIFS(tbl_chests[from],$A82,tbl_chests[legalized],T$1,tbl_chests[datetime],"&gt;="&amp;TODAY()-WEEKDAY(TODAY(),2)+1,tbl_chests[datetime],"&lt;"&amp;TODAY()-WEEKDAY(TODAY(),2)+8)))</f>
        <v>0</v>
      </c>
      <c r="U82" s="36">
        <f ca="1">IF($A82="","",IF(U$1="","",COUNTIFS(tbl_chests[from],$A82,tbl_chests[legalized],U$1,tbl_chests[datetime],"&gt;="&amp;TODAY()-WEEKDAY(TODAY(),2)+1,tbl_chests[datetime],"&lt;"&amp;TODAY()-WEEKDAY(TODAY(),2)+8)))</f>
        <v>0</v>
      </c>
      <c r="V82" s="36">
        <f ca="1">IF($A82="","",IF(V$1="","",COUNTIFS(tbl_chests[from],$A82,tbl_chests[legalized],V$1,tbl_chests[datetime],"&gt;="&amp;TODAY()-WEEKDAY(TODAY(),2)+1,tbl_chests[datetime],"&lt;"&amp;TODAY()-WEEKDAY(TODAY(),2)+8)))</f>
        <v>0</v>
      </c>
      <c r="W82" s="36">
        <f ca="1">IF($A82="","",IF(W$1="","",COUNTIFS(tbl_chests[from],$A82,tbl_chests[legalized],W$1,tbl_chests[datetime],"&gt;="&amp;TODAY()-WEEKDAY(TODAY(),2)+1,tbl_chests[datetime],"&lt;"&amp;TODAY()-WEEKDAY(TODAY(),2)+8)))</f>
        <v>0</v>
      </c>
      <c r="X82" s="36">
        <f ca="1">IF($A82="","",IF(X$1="","",COUNTIFS(tbl_chests[from],$A82,tbl_chests[legalized],X$1,tbl_chests[datetime],"&gt;="&amp;TODAY()-WEEKDAY(TODAY(),2)+1,tbl_chests[datetime],"&lt;"&amp;TODAY()-WEEKDAY(TODAY(),2)+8)))</f>
        <v>0</v>
      </c>
      <c r="Y82" s="36">
        <f ca="1">IF($A82="","",IF(Y$1="","",COUNTIFS(tbl_chests[from],$A82,tbl_chests[legalized],Y$1,tbl_chests[datetime],"&gt;="&amp;TODAY()-WEEKDAY(TODAY(),2)+1,tbl_chests[datetime],"&lt;"&amp;TODAY()-WEEKDAY(TODAY(),2)+8)))</f>
        <v>0</v>
      </c>
      <c r="Z82" s="36">
        <f ca="1">IF($A82="","",IF(Z$1="","",COUNTIFS(tbl_chests[from],$A82,tbl_chests[legalized],Z$1,tbl_chests[datetime],"&gt;="&amp;TODAY()-WEEKDAY(TODAY(),2)+1,tbl_chests[datetime],"&lt;"&amp;TODAY()-WEEKDAY(TODAY(),2)+8)))</f>
        <v>0</v>
      </c>
      <c r="AA82" s="36">
        <f ca="1">IF($A82="","",IF(AA$1="","",COUNTIFS(tbl_chests[from],$A82,tbl_chests[legalized],AA$1,tbl_chests[datetime],"&gt;="&amp;TODAY()-WEEKDAY(TODAY(),2)+1,tbl_chests[datetime],"&lt;"&amp;TODAY()-WEEKDAY(TODAY(),2)+8)))</f>
        <v>0</v>
      </c>
      <c r="AB82" s="36">
        <f ca="1">IF($A82="","",IF(AB$1="","",COUNTIFS(tbl_chests[from],$A82,tbl_chests[legalized],AB$1,tbl_chests[datetime],"&gt;="&amp;TODAY()-WEEKDAY(TODAY(),2)+1,tbl_chests[datetime],"&lt;"&amp;TODAY()-WEEKDAY(TODAY(),2)+8)))</f>
        <v>0</v>
      </c>
      <c r="AC82" s="36">
        <f ca="1">IF($A82="","",IF(AC$1="","",COUNTIFS(tbl_chests[from],$A82,tbl_chests[legalized],AC$1,tbl_chests[datetime],"&gt;="&amp;TODAY()-WEEKDAY(TODAY(),2)+1,tbl_chests[datetime],"&lt;"&amp;TODAY()-WEEKDAY(TODAY(),2)+8)))</f>
        <v>0</v>
      </c>
      <c r="AD82" s="36">
        <f ca="1">IF($A82="","",IF(AD$1="","",COUNTIFS(tbl_chests[from],$A82,tbl_chests[legalized],AD$1,tbl_chests[datetime],"&gt;="&amp;TODAY()-WEEKDAY(TODAY(),2)+1,tbl_chests[datetime],"&lt;"&amp;TODAY()-WEEKDAY(TODAY(),2)+8)))</f>
        <v>0</v>
      </c>
      <c r="AE82" s="36">
        <f ca="1">IF($A82="","",IF(AE$1="","",COUNTIFS(tbl_chests[from],$A82,tbl_chests[legalized],AE$1,tbl_chests[datetime],"&gt;="&amp;TODAY()-WEEKDAY(TODAY(),2)+1,tbl_chests[datetime],"&lt;"&amp;TODAY()-WEEKDAY(TODAY(),2)+8)))</f>
        <v>0</v>
      </c>
      <c r="AF82" s="36">
        <f ca="1">IF($A82="","",IF(AF$1="","",COUNTIFS(tbl_chests[from],$A82,tbl_chests[legalized],AF$1,tbl_chests[datetime],"&gt;="&amp;TODAY()-WEEKDAY(TODAY(),2)+1,tbl_chests[datetime],"&lt;"&amp;TODAY()-WEEKDAY(TODAY(),2)+8)))</f>
        <v>0</v>
      </c>
      <c r="AG82" s="36">
        <f ca="1">IF($A82="","",IF(AG$1="","",COUNTIFS(tbl_chests[from],$A82,tbl_chests[legalized],AG$1,tbl_chests[datetime],"&gt;="&amp;TODAY()-WEEKDAY(TODAY(),2)+1,tbl_chests[datetime],"&lt;"&amp;TODAY()-WEEKDAY(TODAY(),2)+8)))</f>
        <v>0</v>
      </c>
      <c r="AH82" s="36">
        <f ca="1">IF($A82="","",IF(AH$1="","",COUNTIFS(tbl_chests[from],$A82,tbl_chests[legalized],AH$1,tbl_chests[datetime],"&gt;="&amp;TODAY()-WEEKDAY(TODAY(),2)+1,tbl_chests[datetime],"&lt;"&amp;TODAY()-WEEKDAY(TODAY(),2)+8)))</f>
        <v>0</v>
      </c>
      <c r="AI82" s="36">
        <f ca="1">IF($A82="","",IF(AI$1="","",COUNTIFS(tbl_chests[from],$A82,tbl_chests[legalized],AI$1,tbl_chests[datetime],"&gt;="&amp;TODAY()-WEEKDAY(TODAY(),2)+1,tbl_chests[datetime],"&lt;"&amp;TODAY()-WEEKDAY(TODAY(),2)+8)))</f>
        <v>0</v>
      </c>
      <c r="AJ82" s="36">
        <f ca="1">IF($A82="","",IF(AJ$1="","",COUNTIFS(tbl_chests[from],$A82,tbl_chests[legalized],AJ$1,tbl_chests[datetime],"&gt;="&amp;TODAY()-WEEKDAY(TODAY(),2)+1,tbl_chests[datetime],"&lt;"&amp;TODAY()-WEEKDAY(TODAY(),2)+8)))</f>
        <v>0</v>
      </c>
      <c r="AK82" s="36">
        <f ca="1">IF($A82="","",IF(AK$1="","",COUNTIFS(tbl_chests[from],$A82,tbl_chests[legalized],AK$1,tbl_chests[datetime],"&gt;="&amp;TODAY()-WEEKDAY(TODAY(),2)+1,tbl_chests[datetime],"&lt;"&amp;TODAY()-WEEKDAY(TODAY(),2)+8)))</f>
        <v>0</v>
      </c>
      <c r="AL82" s="36">
        <f ca="1">IF($A82="","",IF(AL$1="","",COUNTIFS(tbl_chests[from],$A82,tbl_chests[legalized],AL$1,tbl_chests[datetime],"&gt;="&amp;TODAY()-WEEKDAY(TODAY(),2)+1,tbl_chests[datetime],"&lt;"&amp;TODAY()-WEEKDAY(TODAY(),2)+8)))</f>
        <v>0</v>
      </c>
      <c r="AM82" s="37">
        <f ca="1">IF($A82="","",IF(AM$1="","",COUNTIFS(tbl_chests[from],$A82,tbl_chests[legalized],AM$1,tbl_chests[datetime],"&gt;="&amp;TODAY()-WEEKDAY(TODAY(),2)+1,tbl_chests[datetime],"&lt;"&amp;TODAY()-WEEKDAY(TODAY(),2)+8)))</f>
        <v>0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 ht="15.75" customHeight="1" x14ac:dyDescent="0.25">
      <c r="A83" s="34">
        <f>chests_counter!$H80</f>
        <v>0</v>
      </c>
      <c r="B83" s="35" cm="1">
        <f t="array" aca="1" ref="B83" ca="1">IF(A83&lt;&gt;"", SUMPRODUCT(($C$2:$AM$2&lt;&gt;0)*(C83:AM83&lt;&gt;0)*($C$2:$AM$2)*(C83:AM83)), "")</f>
        <v>0</v>
      </c>
      <c r="C83" s="36">
        <f ca="1">IF($A83="","",IF(C$1="","",COUNTIFS(tbl_chests[from],$A83,tbl_chests[legalized],C$1,tbl_chests[datetime],"&gt;="&amp;TODAY()-WEEKDAY(TODAY(),2)+1,tbl_chests[datetime],"&lt;"&amp;TODAY()-WEEKDAY(TODAY(),2)+8)))</f>
        <v>0</v>
      </c>
      <c r="D83" s="36">
        <f ca="1">IF($A83="","",IF(D$1="","",COUNTIFS(tbl_chests[from],$A83,tbl_chests[legalized],D$1,tbl_chests[datetime],"&gt;="&amp;TODAY()-WEEKDAY(TODAY(),2)+1,tbl_chests[datetime],"&lt;"&amp;TODAY()-WEEKDAY(TODAY(),2)+8)))</f>
        <v>0</v>
      </c>
      <c r="E83" s="36">
        <f ca="1">IF($A83="","",IF(E$1="","",COUNTIFS(tbl_chests[from],$A83,tbl_chests[legalized],E$1,tbl_chests[datetime],"&gt;="&amp;TODAY()-WEEKDAY(TODAY(),2)+1,tbl_chests[datetime],"&lt;"&amp;TODAY()-WEEKDAY(TODAY(),2)+8)))</f>
        <v>0</v>
      </c>
      <c r="F83" s="36">
        <f ca="1">IF($A83="","",IF(F$1="","",COUNTIFS(tbl_chests[from],$A83,tbl_chests[legalized],F$1,tbl_chests[datetime],"&gt;="&amp;TODAY()-WEEKDAY(TODAY(),2)+1,tbl_chests[datetime],"&lt;"&amp;TODAY()-WEEKDAY(TODAY(),2)+8)))</f>
        <v>0</v>
      </c>
      <c r="G83" s="36">
        <f ca="1">IF($A83="","",IF(G$1="","",COUNTIFS(tbl_chests[from],$A83,tbl_chests[legalized],G$1,tbl_chests[datetime],"&gt;="&amp;TODAY()-WEEKDAY(TODAY(),2)+1,tbl_chests[datetime],"&lt;"&amp;TODAY()-WEEKDAY(TODAY(),2)+8)))</f>
        <v>0</v>
      </c>
      <c r="H83" s="36">
        <f ca="1">IF($A83="","",IF(H$1="","",COUNTIFS(tbl_chests[from],$A83,tbl_chests[legalized],H$1,tbl_chests[datetime],"&gt;="&amp;TODAY()-WEEKDAY(TODAY(),2)+1,tbl_chests[datetime],"&lt;"&amp;TODAY()-WEEKDAY(TODAY(),2)+8)))</f>
        <v>0</v>
      </c>
      <c r="I83" s="36">
        <f ca="1">IF($A83="","",IF(I$1="","",COUNTIFS(tbl_chests[from],$A83,tbl_chests[legalized],I$1,tbl_chests[datetime],"&gt;="&amp;TODAY()-WEEKDAY(TODAY(),2)+1,tbl_chests[datetime],"&lt;"&amp;TODAY()-WEEKDAY(TODAY(),2)+8)))</f>
        <v>0</v>
      </c>
      <c r="J83" s="36">
        <f ca="1">IF($A83="","",IF(J$1="","",COUNTIFS(tbl_chests[from],$A83,tbl_chests[legalized],J$1,tbl_chests[datetime],"&gt;="&amp;TODAY()-WEEKDAY(TODAY(),2)+1,tbl_chests[datetime],"&lt;"&amp;TODAY()-WEEKDAY(TODAY(),2)+8)))</f>
        <v>0</v>
      </c>
      <c r="K83" s="36">
        <f ca="1">IF($A83="","",IF(K$1="","",COUNTIFS(tbl_chests[from],$A83,tbl_chests[legalized],K$1,tbl_chests[datetime],"&gt;="&amp;TODAY()-WEEKDAY(TODAY(),2)+1,tbl_chests[datetime],"&lt;"&amp;TODAY()-WEEKDAY(TODAY(),2)+8)))</f>
        <v>0</v>
      </c>
      <c r="L83" s="36">
        <f ca="1">IF($A83="","",IF(L$1="","",COUNTIFS(tbl_chests[from],$A83,tbl_chests[legalized],L$1,tbl_chests[datetime],"&gt;="&amp;TODAY()-WEEKDAY(TODAY(),2)+1,tbl_chests[datetime],"&lt;"&amp;TODAY()-WEEKDAY(TODAY(),2)+8)))</f>
        <v>0</v>
      </c>
      <c r="M83" s="36">
        <f ca="1">IF($A83="","",IF(M$1="","",COUNTIFS(tbl_chests[from],$A83,tbl_chests[legalized],M$1,tbl_chests[datetime],"&gt;="&amp;TODAY()-WEEKDAY(TODAY(),2)+1,tbl_chests[datetime],"&lt;"&amp;TODAY()-WEEKDAY(TODAY(),2)+8)))</f>
        <v>0</v>
      </c>
      <c r="N83" s="36">
        <f ca="1">IF($A83="","",IF(N$1="","",COUNTIFS(tbl_chests[from],$A83,tbl_chests[legalized],N$1,tbl_chests[datetime],"&gt;="&amp;TODAY()-WEEKDAY(TODAY(),2)+1,tbl_chests[datetime],"&lt;"&amp;TODAY()-WEEKDAY(TODAY(),2)+8)))</f>
        <v>0</v>
      </c>
      <c r="O83" s="36">
        <f ca="1">IF($A83="","",IF(O$1="","",COUNTIFS(tbl_chests[from],$A83,tbl_chests[legalized],O$1,tbl_chests[datetime],"&gt;="&amp;TODAY()-WEEKDAY(TODAY(),2)+1,tbl_chests[datetime],"&lt;"&amp;TODAY()-WEEKDAY(TODAY(),2)+8)))</f>
        <v>0</v>
      </c>
      <c r="P83" s="36">
        <f ca="1">IF($A83="","",IF(P$1="","",COUNTIFS(tbl_chests[from],$A83,tbl_chests[legalized],P$1,tbl_chests[datetime],"&gt;="&amp;TODAY()-WEEKDAY(TODAY(),2)+1,tbl_chests[datetime],"&lt;"&amp;TODAY()-WEEKDAY(TODAY(),2)+8)))</f>
        <v>0</v>
      </c>
      <c r="Q83" s="36">
        <f ca="1">IF($A83="","",IF(Q$1="","",COUNTIFS(tbl_chests[from],$A83,tbl_chests[legalized],Q$1,tbl_chests[datetime],"&gt;="&amp;TODAY()-WEEKDAY(TODAY(),2)+1,tbl_chests[datetime],"&lt;"&amp;TODAY()-WEEKDAY(TODAY(),2)+8)))</f>
        <v>0</v>
      </c>
      <c r="R83" s="36">
        <f ca="1">IF($A83="","",IF(R$1="","",COUNTIFS(tbl_chests[from],$A83,tbl_chests[legalized],R$1,tbl_chests[datetime],"&gt;="&amp;TODAY()-WEEKDAY(TODAY(),2)+1,tbl_chests[datetime],"&lt;"&amp;TODAY()-WEEKDAY(TODAY(),2)+8)))</f>
        <v>0</v>
      </c>
      <c r="S83" s="36">
        <f ca="1">IF($A83="","",IF(S$1="","",COUNTIFS(tbl_chests[from],$A83,tbl_chests[legalized],S$1,tbl_chests[datetime],"&gt;="&amp;TODAY()-WEEKDAY(TODAY(),2)+1,tbl_chests[datetime],"&lt;"&amp;TODAY()-WEEKDAY(TODAY(),2)+8)))</f>
        <v>0</v>
      </c>
      <c r="T83" s="36">
        <f ca="1">IF($A83="","",IF(T$1="","",COUNTIFS(tbl_chests[from],$A83,tbl_chests[legalized],T$1,tbl_chests[datetime],"&gt;="&amp;TODAY()-WEEKDAY(TODAY(),2)+1,tbl_chests[datetime],"&lt;"&amp;TODAY()-WEEKDAY(TODAY(),2)+8)))</f>
        <v>0</v>
      </c>
      <c r="U83" s="36">
        <f ca="1">IF($A83="","",IF(U$1="","",COUNTIFS(tbl_chests[from],$A83,tbl_chests[legalized],U$1,tbl_chests[datetime],"&gt;="&amp;TODAY()-WEEKDAY(TODAY(),2)+1,tbl_chests[datetime],"&lt;"&amp;TODAY()-WEEKDAY(TODAY(),2)+8)))</f>
        <v>0</v>
      </c>
      <c r="V83" s="36">
        <f ca="1">IF($A83="","",IF(V$1="","",COUNTIFS(tbl_chests[from],$A83,tbl_chests[legalized],V$1,tbl_chests[datetime],"&gt;="&amp;TODAY()-WEEKDAY(TODAY(),2)+1,tbl_chests[datetime],"&lt;"&amp;TODAY()-WEEKDAY(TODAY(),2)+8)))</f>
        <v>0</v>
      </c>
      <c r="W83" s="36">
        <f ca="1">IF($A83="","",IF(W$1="","",COUNTIFS(tbl_chests[from],$A83,tbl_chests[legalized],W$1,tbl_chests[datetime],"&gt;="&amp;TODAY()-WEEKDAY(TODAY(),2)+1,tbl_chests[datetime],"&lt;"&amp;TODAY()-WEEKDAY(TODAY(),2)+8)))</f>
        <v>0</v>
      </c>
      <c r="X83" s="36">
        <f ca="1">IF($A83="","",IF(X$1="","",COUNTIFS(tbl_chests[from],$A83,tbl_chests[legalized],X$1,tbl_chests[datetime],"&gt;="&amp;TODAY()-WEEKDAY(TODAY(),2)+1,tbl_chests[datetime],"&lt;"&amp;TODAY()-WEEKDAY(TODAY(),2)+8)))</f>
        <v>0</v>
      </c>
      <c r="Y83" s="36">
        <f ca="1">IF($A83="","",IF(Y$1="","",COUNTIFS(tbl_chests[from],$A83,tbl_chests[legalized],Y$1,tbl_chests[datetime],"&gt;="&amp;TODAY()-WEEKDAY(TODAY(),2)+1,tbl_chests[datetime],"&lt;"&amp;TODAY()-WEEKDAY(TODAY(),2)+8)))</f>
        <v>0</v>
      </c>
      <c r="Z83" s="36">
        <f ca="1">IF($A83="","",IF(Z$1="","",COUNTIFS(tbl_chests[from],$A83,tbl_chests[legalized],Z$1,tbl_chests[datetime],"&gt;="&amp;TODAY()-WEEKDAY(TODAY(),2)+1,tbl_chests[datetime],"&lt;"&amp;TODAY()-WEEKDAY(TODAY(),2)+8)))</f>
        <v>0</v>
      </c>
      <c r="AA83" s="36">
        <f ca="1">IF($A83="","",IF(AA$1="","",COUNTIFS(tbl_chests[from],$A83,tbl_chests[legalized],AA$1,tbl_chests[datetime],"&gt;="&amp;TODAY()-WEEKDAY(TODAY(),2)+1,tbl_chests[datetime],"&lt;"&amp;TODAY()-WEEKDAY(TODAY(),2)+8)))</f>
        <v>0</v>
      </c>
      <c r="AB83" s="36">
        <f ca="1">IF($A83="","",IF(AB$1="","",COUNTIFS(tbl_chests[from],$A83,tbl_chests[legalized],AB$1,tbl_chests[datetime],"&gt;="&amp;TODAY()-WEEKDAY(TODAY(),2)+1,tbl_chests[datetime],"&lt;"&amp;TODAY()-WEEKDAY(TODAY(),2)+8)))</f>
        <v>0</v>
      </c>
      <c r="AC83" s="36">
        <f ca="1">IF($A83="","",IF(AC$1="","",COUNTIFS(tbl_chests[from],$A83,tbl_chests[legalized],AC$1,tbl_chests[datetime],"&gt;="&amp;TODAY()-WEEKDAY(TODAY(),2)+1,tbl_chests[datetime],"&lt;"&amp;TODAY()-WEEKDAY(TODAY(),2)+8)))</f>
        <v>0</v>
      </c>
      <c r="AD83" s="36">
        <f ca="1">IF($A83="","",IF(AD$1="","",COUNTIFS(tbl_chests[from],$A83,tbl_chests[legalized],AD$1,tbl_chests[datetime],"&gt;="&amp;TODAY()-WEEKDAY(TODAY(),2)+1,tbl_chests[datetime],"&lt;"&amp;TODAY()-WEEKDAY(TODAY(),2)+8)))</f>
        <v>0</v>
      </c>
      <c r="AE83" s="36">
        <f ca="1">IF($A83="","",IF(AE$1="","",COUNTIFS(tbl_chests[from],$A83,tbl_chests[legalized],AE$1,tbl_chests[datetime],"&gt;="&amp;TODAY()-WEEKDAY(TODAY(),2)+1,tbl_chests[datetime],"&lt;"&amp;TODAY()-WEEKDAY(TODAY(),2)+8)))</f>
        <v>0</v>
      </c>
      <c r="AF83" s="36">
        <f ca="1">IF($A83="","",IF(AF$1="","",COUNTIFS(tbl_chests[from],$A83,tbl_chests[legalized],AF$1,tbl_chests[datetime],"&gt;="&amp;TODAY()-WEEKDAY(TODAY(),2)+1,tbl_chests[datetime],"&lt;"&amp;TODAY()-WEEKDAY(TODAY(),2)+8)))</f>
        <v>0</v>
      </c>
      <c r="AG83" s="36">
        <f ca="1">IF($A83="","",IF(AG$1="","",COUNTIFS(tbl_chests[from],$A83,tbl_chests[legalized],AG$1,tbl_chests[datetime],"&gt;="&amp;TODAY()-WEEKDAY(TODAY(),2)+1,tbl_chests[datetime],"&lt;"&amp;TODAY()-WEEKDAY(TODAY(),2)+8)))</f>
        <v>0</v>
      </c>
      <c r="AH83" s="36">
        <f ca="1">IF($A83="","",IF(AH$1="","",COUNTIFS(tbl_chests[from],$A83,tbl_chests[legalized],AH$1,tbl_chests[datetime],"&gt;="&amp;TODAY()-WEEKDAY(TODAY(),2)+1,tbl_chests[datetime],"&lt;"&amp;TODAY()-WEEKDAY(TODAY(),2)+8)))</f>
        <v>0</v>
      </c>
      <c r="AI83" s="36">
        <f ca="1">IF($A83="","",IF(AI$1="","",COUNTIFS(tbl_chests[from],$A83,tbl_chests[legalized],AI$1,tbl_chests[datetime],"&gt;="&amp;TODAY()-WEEKDAY(TODAY(),2)+1,tbl_chests[datetime],"&lt;"&amp;TODAY()-WEEKDAY(TODAY(),2)+8)))</f>
        <v>0</v>
      </c>
      <c r="AJ83" s="36">
        <f ca="1">IF($A83="","",IF(AJ$1="","",COUNTIFS(tbl_chests[from],$A83,tbl_chests[legalized],AJ$1,tbl_chests[datetime],"&gt;="&amp;TODAY()-WEEKDAY(TODAY(),2)+1,tbl_chests[datetime],"&lt;"&amp;TODAY()-WEEKDAY(TODAY(),2)+8)))</f>
        <v>0</v>
      </c>
      <c r="AK83" s="36">
        <f ca="1">IF($A83="","",IF(AK$1="","",COUNTIFS(tbl_chests[from],$A83,tbl_chests[legalized],AK$1,tbl_chests[datetime],"&gt;="&amp;TODAY()-WEEKDAY(TODAY(),2)+1,tbl_chests[datetime],"&lt;"&amp;TODAY()-WEEKDAY(TODAY(),2)+8)))</f>
        <v>0</v>
      </c>
      <c r="AL83" s="36">
        <f ca="1">IF($A83="","",IF(AL$1="","",COUNTIFS(tbl_chests[from],$A83,tbl_chests[legalized],AL$1,tbl_chests[datetime],"&gt;="&amp;TODAY()-WEEKDAY(TODAY(),2)+1,tbl_chests[datetime],"&lt;"&amp;TODAY()-WEEKDAY(TODAY(),2)+8)))</f>
        <v>0</v>
      </c>
      <c r="AM83" s="37">
        <f ca="1">IF($A83="","",IF(AM$1="","",COUNTIFS(tbl_chests[from],$A83,tbl_chests[legalized],AM$1,tbl_chests[datetime],"&gt;="&amp;TODAY()-WEEKDAY(TODAY(),2)+1,tbl_chests[datetime],"&lt;"&amp;TODAY()-WEEKDAY(TODAY(),2)+8)))</f>
        <v>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 ht="15.75" customHeight="1" x14ac:dyDescent="0.25">
      <c r="A84" s="34">
        <f>chests_counter!$H81</f>
        <v>0</v>
      </c>
      <c r="B84" s="35" cm="1">
        <f t="array" aca="1" ref="B84" ca="1">IF(A84&lt;&gt;"", SUMPRODUCT(($C$2:$AM$2&lt;&gt;0)*(C84:AM84&lt;&gt;0)*($C$2:$AM$2)*(C84:AM84)), "")</f>
        <v>0</v>
      </c>
      <c r="C84" s="36">
        <f ca="1">IF($A84="","",IF(C$1="","",COUNTIFS(tbl_chests[from],$A84,tbl_chests[legalized],C$1,tbl_chests[datetime],"&gt;="&amp;TODAY()-WEEKDAY(TODAY(),2)+1,tbl_chests[datetime],"&lt;"&amp;TODAY()-WEEKDAY(TODAY(),2)+8)))</f>
        <v>0</v>
      </c>
      <c r="D84" s="36">
        <f ca="1">IF($A84="","",IF(D$1="","",COUNTIFS(tbl_chests[from],$A84,tbl_chests[legalized],D$1,tbl_chests[datetime],"&gt;="&amp;TODAY()-WEEKDAY(TODAY(),2)+1,tbl_chests[datetime],"&lt;"&amp;TODAY()-WEEKDAY(TODAY(),2)+8)))</f>
        <v>0</v>
      </c>
      <c r="E84" s="36">
        <f ca="1">IF($A84="","",IF(E$1="","",COUNTIFS(tbl_chests[from],$A84,tbl_chests[legalized],E$1,tbl_chests[datetime],"&gt;="&amp;TODAY()-WEEKDAY(TODAY(),2)+1,tbl_chests[datetime],"&lt;"&amp;TODAY()-WEEKDAY(TODAY(),2)+8)))</f>
        <v>0</v>
      </c>
      <c r="F84" s="36">
        <f ca="1">IF($A84="","",IF(F$1="","",COUNTIFS(tbl_chests[from],$A84,tbl_chests[legalized],F$1,tbl_chests[datetime],"&gt;="&amp;TODAY()-WEEKDAY(TODAY(),2)+1,tbl_chests[datetime],"&lt;"&amp;TODAY()-WEEKDAY(TODAY(),2)+8)))</f>
        <v>0</v>
      </c>
      <c r="G84" s="36">
        <f ca="1">IF($A84="","",IF(G$1="","",COUNTIFS(tbl_chests[from],$A84,tbl_chests[legalized],G$1,tbl_chests[datetime],"&gt;="&amp;TODAY()-WEEKDAY(TODAY(),2)+1,tbl_chests[datetime],"&lt;"&amp;TODAY()-WEEKDAY(TODAY(),2)+8)))</f>
        <v>0</v>
      </c>
      <c r="H84" s="36">
        <f ca="1">IF($A84="","",IF(H$1="","",COUNTIFS(tbl_chests[from],$A84,tbl_chests[legalized],H$1,tbl_chests[datetime],"&gt;="&amp;TODAY()-WEEKDAY(TODAY(),2)+1,tbl_chests[datetime],"&lt;"&amp;TODAY()-WEEKDAY(TODAY(),2)+8)))</f>
        <v>0</v>
      </c>
      <c r="I84" s="36">
        <f ca="1">IF($A84="","",IF(I$1="","",COUNTIFS(tbl_chests[from],$A84,tbl_chests[legalized],I$1,tbl_chests[datetime],"&gt;="&amp;TODAY()-WEEKDAY(TODAY(),2)+1,tbl_chests[datetime],"&lt;"&amp;TODAY()-WEEKDAY(TODAY(),2)+8)))</f>
        <v>0</v>
      </c>
      <c r="J84" s="36">
        <f ca="1">IF($A84="","",IF(J$1="","",COUNTIFS(tbl_chests[from],$A84,tbl_chests[legalized],J$1,tbl_chests[datetime],"&gt;="&amp;TODAY()-WEEKDAY(TODAY(),2)+1,tbl_chests[datetime],"&lt;"&amp;TODAY()-WEEKDAY(TODAY(),2)+8)))</f>
        <v>0</v>
      </c>
      <c r="K84" s="36">
        <f ca="1">IF($A84="","",IF(K$1="","",COUNTIFS(tbl_chests[from],$A84,tbl_chests[legalized],K$1,tbl_chests[datetime],"&gt;="&amp;TODAY()-WEEKDAY(TODAY(),2)+1,tbl_chests[datetime],"&lt;"&amp;TODAY()-WEEKDAY(TODAY(),2)+8)))</f>
        <v>0</v>
      </c>
      <c r="L84" s="36">
        <f ca="1">IF($A84="","",IF(L$1="","",COUNTIFS(tbl_chests[from],$A84,tbl_chests[legalized],L$1,tbl_chests[datetime],"&gt;="&amp;TODAY()-WEEKDAY(TODAY(),2)+1,tbl_chests[datetime],"&lt;"&amp;TODAY()-WEEKDAY(TODAY(),2)+8)))</f>
        <v>0</v>
      </c>
      <c r="M84" s="36">
        <f ca="1">IF($A84="","",IF(M$1="","",COUNTIFS(tbl_chests[from],$A84,tbl_chests[legalized],M$1,tbl_chests[datetime],"&gt;="&amp;TODAY()-WEEKDAY(TODAY(),2)+1,tbl_chests[datetime],"&lt;"&amp;TODAY()-WEEKDAY(TODAY(),2)+8)))</f>
        <v>0</v>
      </c>
      <c r="N84" s="36">
        <f ca="1">IF($A84="","",IF(N$1="","",COUNTIFS(tbl_chests[from],$A84,tbl_chests[legalized],N$1,tbl_chests[datetime],"&gt;="&amp;TODAY()-WEEKDAY(TODAY(),2)+1,tbl_chests[datetime],"&lt;"&amp;TODAY()-WEEKDAY(TODAY(),2)+8)))</f>
        <v>0</v>
      </c>
      <c r="O84" s="36">
        <f ca="1">IF($A84="","",IF(O$1="","",COUNTIFS(tbl_chests[from],$A84,tbl_chests[legalized],O$1,tbl_chests[datetime],"&gt;="&amp;TODAY()-WEEKDAY(TODAY(),2)+1,tbl_chests[datetime],"&lt;"&amp;TODAY()-WEEKDAY(TODAY(),2)+8)))</f>
        <v>0</v>
      </c>
      <c r="P84" s="36">
        <f ca="1">IF($A84="","",IF(P$1="","",COUNTIFS(tbl_chests[from],$A84,tbl_chests[legalized],P$1,tbl_chests[datetime],"&gt;="&amp;TODAY()-WEEKDAY(TODAY(),2)+1,tbl_chests[datetime],"&lt;"&amp;TODAY()-WEEKDAY(TODAY(),2)+8)))</f>
        <v>0</v>
      </c>
      <c r="Q84" s="36">
        <f ca="1">IF($A84="","",IF(Q$1="","",COUNTIFS(tbl_chests[from],$A84,tbl_chests[legalized],Q$1,tbl_chests[datetime],"&gt;="&amp;TODAY()-WEEKDAY(TODAY(),2)+1,tbl_chests[datetime],"&lt;"&amp;TODAY()-WEEKDAY(TODAY(),2)+8)))</f>
        <v>0</v>
      </c>
      <c r="R84" s="36">
        <f ca="1">IF($A84="","",IF(R$1="","",COUNTIFS(tbl_chests[from],$A84,tbl_chests[legalized],R$1,tbl_chests[datetime],"&gt;="&amp;TODAY()-WEEKDAY(TODAY(),2)+1,tbl_chests[datetime],"&lt;"&amp;TODAY()-WEEKDAY(TODAY(),2)+8)))</f>
        <v>0</v>
      </c>
      <c r="S84" s="36">
        <f ca="1">IF($A84="","",IF(S$1="","",COUNTIFS(tbl_chests[from],$A84,tbl_chests[legalized],S$1,tbl_chests[datetime],"&gt;="&amp;TODAY()-WEEKDAY(TODAY(),2)+1,tbl_chests[datetime],"&lt;"&amp;TODAY()-WEEKDAY(TODAY(),2)+8)))</f>
        <v>0</v>
      </c>
      <c r="T84" s="36">
        <f ca="1">IF($A84="","",IF(T$1="","",COUNTIFS(tbl_chests[from],$A84,tbl_chests[legalized],T$1,tbl_chests[datetime],"&gt;="&amp;TODAY()-WEEKDAY(TODAY(),2)+1,tbl_chests[datetime],"&lt;"&amp;TODAY()-WEEKDAY(TODAY(),2)+8)))</f>
        <v>0</v>
      </c>
      <c r="U84" s="36">
        <f ca="1">IF($A84="","",IF(U$1="","",COUNTIFS(tbl_chests[from],$A84,tbl_chests[legalized],U$1,tbl_chests[datetime],"&gt;="&amp;TODAY()-WEEKDAY(TODAY(),2)+1,tbl_chests[datetime],"&lt;"&amp;TODAY()-WEEKDAY(TODAY(),2)+8)))</f>
        <v>0</v>
      </c>
      <c r="V84" s="36">
        <f ca="1">IF($A84="","",IF(V$1="","",COUNTIFS(tbl_chests[from],$A84,tbl_chests[legalized],V$1,tbl_chests[datetime],"&gt;="&amp;TODAY()-WEEKDAY(TODAY(),2)+1,tbl_chests[datetime],"&lt;"&amp;TODAY()-WEEKDAY(TODAY(),2)+8)))</f>
        <v>0</v>
      </c>
      <c r="W84" s="36">
        <f ca="1">IF($A84="","",IF(W$1="","",COUNTIFS(tbl_chests[from],$A84,tbl_chests[legalized],W$1,tbl_chests[datetime],"&gt;="&amp;TODAY()-WEEKDAY(TODAY(),2)+1,tbl_chests[datetime],"&lt;"&amp;TODAY()-WEEKDAY(TODAY(),2)+8)))</f>
        <v>0</v>
      </c>
      <c r="X84" s="36">
        <f ca="1">IF($A84="","",IF(X$1="","",COUNTIFS(tbl_chests[from],$A84,tbl_chests[legalized],X$1,tbl_chests[datetime],"&gt;="&amp;TODAY()-WEEKDAY(TODAY(),2)+1,tbl_chests[datetime],"&lt;"&amp;TODAY()-WEEKDAY(TODAY(),2)+8)))</f>
        <v>0</v>
      </c>
      <c r="Y84" s="36">
        <f ca="1">IF($A84="","",IF(Y$1="","",COUNTIFS(tbl_chests[from],$A84,tbl_chests[legalized],Y$1,tbl_chests[datetime],"&gt;="&amp;TODAY()-WEEKDAY(TODAY(),2)+1,tbl_chests[datetime],"&lt;"&amp;TODAY()-WEEKDAY(TODAY(),2)+8)))</f>
        <v>0</v>
      </c>
      <c r="Z84" s="36">
        <f ca="1">IF($A84="","",IF(Z$1="","",COUNTIFS(tbl_chests[from],$A84,tbl_chests[legalized],Z$1,tbl_chests[datetime],"&gt;="&amp;TODAY()-WEEKDAY(TODAY(),2)+1,tbl_chests[datetime],"&lt;"&amp;TODAY()-WEEKDAY(TODAY(),2)+8)))</f>
        <v>0</v>
      </c>
      <c r="AA84" s="36">
        <f ca="1">IF($A84="","",IF(AA$1="","",COUNTIFS(tbl_chests[from],$A84,tbl_chests[legalized],AA$1,tbl_chests[datetime],"&gt;="&amp;TODAY()-WEEKDAY(TODAY(),2)+1,tbl_chests[datetime],"&lt;"&amp;TODAY()-WEEKDAY(TODAY(),2)+8)))</f>
        <v>0</v>
      </c>
      <c r="AB84" s="36">
        <f ca="1">IF($A84="","",IF(AB$1="","",COUNTIFS(tbl_chests[from],$A84,tbl_chests[legalized],AB$1,tbl_chests[datetime],"&gt;="&amp;TODAY()-WEEKDAY(TODAY(),2)+1,tbl_chests[datetime],"&lt;"&amp;TODAY()-WEEKDAY(TODAY(),2)+8)))</f>
        <v>0</v>
      </c>
      <c r="AC84" s="36">
        <f ca="1">IF($A84="","",IF(AC$1="","",COUNTIFS(tbl_chests[from],$A84,tbl_chests[legalized],AC$1,tbl_chests[datetime],"&gt;="&amp;TODAY()-WEEKDAY(TODAY(),2)+1,tbl_chests[datetime],"&lt;"&amp;TODAY()-WEEKDAY(TODAY(),2)+8)))</f>
        <v>0</v>
      </c>
      <c r="AD84" s="36">
        <f ca="1">IF($A84="","",IF(AD$1="","",COUNTIFS(tbl_chests[from],$A84,tbl_chests[legalized],AD$1,tbl_chests[datetime],"&gt;="&amp;TODAY()-WEEKDAY(TODAY(),2)+1,tbl_chests[datetime],"&lt;"&amp;TODAY()-WEEKDAY(TODAY(),2)+8)))</f>
        <v>0</v>
      </c>
      <c r="AE84" s="36">
        <f ca="1">IF($A84="","",IF(AE$1="","",COUNTIFS(tbl_chests[from],$A84,tbl_chests[legalized],AE$1,tbl_chests[datetime],"&gt;="&amp;TODAY()-WEEKDAY(TODAY(),2)+1,tbl_chests[datetime],"&lt;"&amp;TODAY()-WEEKDAY(TODAY(),2)+8)))</f>
        <v>0</v>
      </c>
      <c r="AF84" s="36">
        <f ca="1">IF($A84="","",IF(AF$1="","",COUNTIFS(tbl_chests[from],$A84,tbl_chests[legalized],AF$1,tbl_chests[datetime],"&gt;="&amp;TODAY()-WEEKDAY(TODAY(),2)+1,tbl_chests[datetime],"&lt;"&amp;TODAY()-WEEKDAY(TODAY(),2)+8)))</f>
        <v>0</v>
      </c>
      <c r="AG84" s="36">
        <f ca="1">IF($A84="","",IF(AG$1="","",COUNTIFS(tbl_chests[from],$A84,tbl_chests[legalized],AG$1,tbl_chests[datetime],"&gt;="&amp;TODAY()-WEEKDAY(TODAY(),2)+1,tbl_chests[datetime],"&lt;"&amp;TODAY()-WEEKDAY(TODAY(),2)+8)))</f>
        <v>0</v>
      </c>
      <c r="AH84" s="36">
        <f ca="1">IF($A84="","",IF(AH$1="","",COUNTIFS(tbl_chests[from],$A84,tbl_chests[legalized],AH$1,tbl_chests[datetime],"&gt;="&amp;TODAY()-WEEKDAY(TODAY(),2)+1,tbl_chests[datetime],"&lt;"&amp;TODAY()-WEEKDAY(TODAY(),2)+8)))</f>
        <v>0</v>
      </c>
      <c r="AI84" s="36">
        <f ca="1">IF($A84="","",IF(AI$1="","",COUNTIFS(tbl_chests[from],$A84,tbl_chests[legalized],AI$1,tbl_chests[datetime],"&gt;="&amp;TODAY()-WEEKDAY(TODAY(),2)+1,tbl_chests[datetime],"&lt;"&amp;TODAY()-WEEKDAY(TODAY(),2)+8)))</f>
        <v>0</v>
      </c>
      <c r="AJ84" s="36">
        <f ca="1">IF($A84="","",IF(AJ$1="","",COUNTIFS(tbl_chests[from],$A84,tbl_chests[legalized],AJ$1,tbl_chests[datetime],"&gt;="&amp;TODAY()-WEEKDAY(TODAY(),2)+1,tbl_chests[datetime],"&lt;"&amp;TODAY()-WEEKDAY(TODAY(),2)+8)))</f>
        <v>0</v>
      </c>
      <c r="AK84" s="36">
        <f ca="1">IF($A84="","",IF(AK$1="","",COUNTIFS(tbl_chests[from],$A84,tbl_chests[legalized],AK$1,tbl_chests[datetime],"&gt;="&amp;TODAY()-WEEKDAY(TODAY(),2)+1,tbl_chests[datetime],"&lt;"&amp;TODAY()-WEEKDAY(TODAY(),2)+8)))</f>
        <v>0</v>
      </c>
      <c r="AL84" s="36">
        <f ca="1">IF($A84="","",IF(AL$1="","",COUNTIFS(tbl_chests[from],$A84,tbl_chests[legalized],AL$1,tbl_chests[datetime],"&gt;="&amp;TODAY()-WEEKDAY(TODAY(),2)+1,tbl_chests[datetime],"&lt;"&amp;TODAY()-WEEKDAY(TODAY(),2)+8)))</f>
        <v>0</v>
      </c>
      <c r="AM84" s="37">
        <f ca="1">IF($A84="","",IF(AM$1="","",COUNTIFS(tbl_chests[from],$A84,tbl_chests[legalized],AM$1,tbl_chests[datetime],"&gt;="&amp;TODAY()-WEEKDAY(TODAY(),2)+1,tbl_chests[datetime],"&lt;"&amp;TODAY()-WEEKDAY(TODAY(),2)+8)))</f>
        <v>0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 ht="15.75" customHeight="1" x14ac:dyDescent="0.25">
      <c r="A85" s="34">
        <f>chests_counter!$H82</f>
        <v>0</v>
      </c>
      <c r="B85" s="35" cm="1">
        <f t="array" aca="1" ref="B85" ca="1">IF(A85&lt;&gt;"", SUMPRODUCT(($C$2:$AM$2&lt;&gt;0)*(C85:AM85&lt;&gt;0)*($C$2:$AM$2)*(C85:AM85)), "")</f>
        <v>0</v>
      </c>
      <c r="C85" s="36">
        <f ca="1">IF($A85="","",IF(C$1="","",COUNTIFS(tbl_chests[from],$A85,tbl_chests[legalized],C$1,tbl_chests[datetime],"&gt;="&amp;TODAY()-WEEKDAY(TODAY(),2)+1,tbl_chests[datetime],"&lt;"&amp;TODAY()-WEEKDAY(TODAY(),2)+8)))</f>
        <v>0</v>
      </c>
      <c r="D85" s="36">
        <f ca="1">IF($A85="","",IF(D$1="","",COUNTIFS(tbl_chests[from],$A85,tbl_chests[legalized],D$1,tbl_chests[datetime],"&gt;="&amp;TODAY()-WEEKDAY(TODAY(),2)+1,tbl_chests[datetime],"&lt;"&amp;TODAY()-WEEKDAY(TODAY(),2)+8)))</f>
        <v>0</v>
      </c>
      <c r="E85" s="36">
        <f ca="1">IF($A85="","",IF(E$1="","",COUNTIFS(tbl_chests[from],$A85,tbl_chests[legalized],E$1,tbl_chests[datetime],"&gt;="&amp;TODAY()-WEEKDAY(TODAY(),2)+1,tbl_chests[datetime],"&lt;"&amp;TODAY()-WEEKDAY(TODAY(),2)+8)))</f>
        <v>0</v>
      </c>
      <c r="F85" s="36">
        <f ca="1">IF($A85="","",IF(F$1="","",COUNTIFS(tbl_chests[from],$A85,tbl_chests[legalized],F$1,tbl_chests[datetime],"&gt;="&amp;TODAY()-WEEKDAY(TODAY(),2)+1,tbl_chests[datetime],"&lt;"&amp;TODAY()-WEEKDAY(TODAY(),2)+8)))</f>
        <v>0</v>
      </c>
      <c r="G85" s="36">
        <f ca="1">IF($A85="","",IF(G$1="","",COUNTIFS(tbl_chests[from],$A85,tbl_chests[legalized],G$1,tbl_chests[datetime],"&gt;="&amp;TODAY()-WEEKDAY(TODAY(),2)+1,tbl_chests[datetime],"&lt;"&amp;TODAY()-WEEKDAY(TODAY(),2)+8)))</f>
        <v>0</v>
      </c>
      <c r="H85" s="36">
        <f ca="1">IF($A85="","",IF(H$1="","",COUNTIFS(tbl_chests[from],$A85,tbl_chests[legalized],H$1,tbl_chests[datetime],"&gt;="&amp;TODAY()-WEEKDAY(TODAY(),2)+1,tbl_chests[datetime],"&lt;"&amp;TODAY()-WEEKDAY(TODAY(),2)+8)))</f>
        <v>0</v>
      </c>
      <c r="I85" s="36">
        <f ca="1">IF($A85="","",IF(I$1="","",COUNTIFS(tbl_chests[from],$A85,tbl_chests[legalized],I$1,tbl_chests[datetime],"&gt;="&amp;TODAY()-WEEKDAY(TODAY(),2)+1,tbl_chests[datetime],"&lt;"&amp;TODAY()-WEEKDAY(TODAY(),2)+8)))</f>
        <v>0</v>
      </c>
      <c r="J85" s="36">
        <f ca="1">IF($A85="","",IF(J$1="","",COUNTIFS(tbl_chests[from],$A85,tbl_chests[legalized],J$1,tbl_chests[datetime],"&gt;="&amp;TODAY()-WEEKDAY(TODAY(),2)+1,tbl_chests[datetime],"&lt;"&amp;TODAY()-WEEKDAY(TODAY(),2)+8)))</f>
        <v>0</v>
      </c>
      <c r="K85" s="36">
        <f ca="1">IF($A85="","",IF(K$1="","",COUNTIFS(tbl_chests[from],$A85,tbl_chests[legalized],K$1,tbl_chests[datetime],"&gt;="&amp;TODAY()-WEEKDAY(TODAY(),2)+1,tbl_chests[datetime],"&lt;"&amp;TODAY()-WEEKDAY(TODAY(),2)+8)))</f>
        <v>0</v>
      </c>
      <c r="L85" s="36">
        <f ca="1">IF($A85="","",IF(L$1="","",COUNTIFS(tbl_chests[from],$A85,tbl_chests[legalized],L$1,tbl_chests[datetime],"&gt;="&amp;TODAY()-WEEKDAY(TODAY(),2)+1,tbl_chests[datetime],"&lt;"&amp;TODAY()-WEEKDAY(TODAY(),2)+8)))</f>
        <v>0</v>
      </c>
      <c r="M85" s="36">
        <f ca="1">IF($A85="","",IF(M$1="","",COUNTIFS(tbl_chests[from],$A85,tbl_chests[legalized],M$1,tbl_chests[datetime],"&gt;="&amp;TODAY()-WEEKDAY(TODAY(),2)+1,tbl_chests[datetime],"&lt;"&amp;TODAY()-WEEKDAY(TODAY(),2)+8)))</f>
        <v>0</v>
      </c>
      <c r="N85" s="36">
        <f ca="1">IF($A85="","",IF(N$1="","",COUNTIFS(tbl_chests[from],$A85,tbl_chests[legalized],N$1,tbl_chests[datetime],"&gt;="&amp;TODAY()-WEEKDAY(TODAY(),2)+1,tbl_chests[datetime],"&lt;"&amp;TODAY()-WEEKDAY(TODAY(),2)+8)))</f>
        <v>0</v>
      </c>
      <c r="O85" s="36">
        <f ca="1">IF($A85="","",IF(O$1="","",COUNTIFS(tbl_chests[from],$A85,tbl_chests[legalized],O$1,tbl_chests[datetime],"&gt;="&amp;TODAY()-WEEKDAY(TODAY(),2)+1,tbl_chests[datetime],"&lt;"&amp;TODAY()-WEEKDAY(TODAY(),2)+8)))</f>
        <v>0</v>
      </c>
      <c r="P85" s="36">
        <f ca="1">IF($A85="","",IF(P$1="","",COUNTIFS(tbl_chests[from],$A85,tbl_chests[legalized],P$1,tbl_chests[datetime],"&gt;="&amp;TODAY()-WEEKDAY(TODAY(),2)+1,tbl_chests[datetime],"&lt;"&amp;TODAY()-WEEKDAY(TODAY(),2)+8)))</f>
        <v>0</v>
      </c>
      <c r="Q85" s="36">
        <f ca="1">IF($A85="","",IF(Q$1="","",COUNTIFS(tbl_chests[from],$A85,tbl_chests[legalized],Q$1,tbl_chests[datetime],"&gt;="&amp;TODAY()-WEEKDAY(TODAY(),2)+1,tbl_chests[datetime],"&lt;"&amp;TODAY()-WEEKDAY(TODAY(),2)+8)))</f>
        <v>0</v>
      </c>
      <c r="R85" s="36">
        <f ca="1">IF($A85="","",IF(R$1="","",COUNTIFS(tbl_chests[from],$A85,tbl_chests[legalized],R$1,tbl_chests[datetime],"&gt;="&amp;TODAY()-WEEKDAY(TODAY(),2)+1,tbl_chests[datetime],"&lt;"&amp;TODAY()-WEEKDAY(TODAY(),2)+8)))</f>
        <v>0</v>
      </c>
      <c r="S85" s="36">
        <f ca="1">IF($A85="","",IF(S$1="","",COUNTIFS(tbl_chests[from],$A85,tbl_chests[legalized],S$1,tbl_chests[datetime],"&gt;="&amp;TODAY()-WEEKDAY(TODAY(),2)+1,tbl_chests[datetime],"&lt;"&amp;TODAY()-WEEKDAY(TODAY(),2)+8)))</f>
        <v>0</v>
      </c>
      <c r="T85" s="36">
        <f ca="1">IF($A85="","",IF(T$1="","",COUNTIFS(tbl_chests[from],$A85,tbl_chests[legalized],T$1,tbl_chests[datetime],"&gt;="&amp;TODAY()-WEEKDAY(TODAY(),2)+1,tbl_chests[datetime],"&lt;"&amp;TODAY()-WEEKDAY(TODAY(),2)+8)))</f>
        <v>0</v>
      </c>
      <c r="U85" s="36">
        <f ca="1">IF($A85="","",IF(U$1="","",COUNTIFS(tbl_chests[from],$A85,tbl_chests[legalized],U$1,tbl_chests[datetime],"&gt;="&amp;TODAY()-WEEKDAY(TODAY(),2)+1,tbl_chests[datetime],"&lt;"&amp;TODAY()-WEEKDAY(TODAY(),2)+8)))</f>
        <v>0</v>
      </c>
      <c r="V85" s="36">
        <f ca="1">IF($A85="","",IF(V$1="","",COUNTIFS(tbl_chests[from],$A85,tbl_chests[legalized],V$1,tbl_chests[datetime],"&gt;="&amp;TODAY()-WEEKDAY(TODAY(),2)+1,tbl_chests[datetime],"&lt;"&amp;TODAY()-WEEKDAY(TODAY(),2)+8)))</f>
        <v>0</v>
      </c>
      <c r="W85" s="36">
        <f ca="1">IF($A85="","",IF(W$1="","",COUNTIFS(tbl_chests[from],$A85,tbl_chests[legalized],W$1,tbl_chests[datetime],"&gt;="&amp;TODAY()-WEEKDAY(TODAY(),2)+1,tbl_chests[datetime],"&lt;"&amp;TODAY()-WEEKDAY(TODAY(),2)+8)))</f>
        <v>0</v>
      </c>
      <c r="X85" s="36">
        <f ca="1">IF($A85="","",IF(X$1="","",COUNTIFS(tbl_chests[from],$A85,tbl_chests[legalized],X$1,tbl_chests[datetime],"&gt;="&amp;TODAY()-WEEKDAY(TODAY(),2)+1,tbl_chests[datetime],"&lt;"&amp;TODAY()-WEEKDAY(TODAY(),2)+8)))</f>
        <v>0</v>
      </c>
      <c r="Y85" s="36">
        <f ca="1">IF($A85="","",IF(Y$1="","",COUNTIFS(tbl_chests[from],$A85,tbl_chests[legalized],Y$1,tbl_chests[datetime],"&gt;="&amp;TODAY()-WEEKDAY(TODAY(),2)+1,tbl_chests[datetime],"&lt;"&amp;TODAY()-WEEKDAY(TODAY(),2)+8)))</f>
        <v>0</v>
      </c>
      <c r="Z85" s="36">
        <f ca="1">IF($A85="","",IF(Z$1="","",COUNTIFS(tbl_chests[from],$A85,tbl_chests[legalized],Z$1,tbl_chests[datetime],"&gt;="&amp;TODAY()-WEEKDAY(TODAY(),2)+1,tbl_chests[datetime],"&lt;"&amp;TODAY()-WEEKDAY(TODAY(),2)+8)))</f>
        <v>0</v>
      </c>
      <c r="AA85" s="36">
        <f ca="1">IF($A85="","",IF(AA$1="","",COUNTIFS(tbl_chests[from],$A85,tbl_chests[legalized],AA$1,tbl_chests[datetime],"&gt;="&amp;TODAY()-WEEKDAY(TODAY(),2)+1,tbl_chests[datetime],"&lt;"&amp;TODAY()-WEEKDAY(TODAY(),2)+8)))</f>
        <v>0</v>
      </c>
      <c r="AB85" s="36">
        <f ca="1">IF($A85="","",IF(AB$1="","",COUNTIFS(tbl_chests[from],$A85,tbl_chests[legalized],AB$1,tbl_chests[datetime],"&gt;="&amp;TODAY()-WEEKDAY(TODAY(),2)+1,tbl_chests[datetime],"&lt;"&amp;TODAY()-WEEKDAY(TODAY(),2)+8)))</f>
        <v>0</v>
      </c>
      <c r="AC85" s="36">
        <f ca="1">IF($A85="","",IF(AC$1="","",COUNTIFS(tbl_chests[from],$A85,tbl_chests[legalized],AC$1,tbl_chests[datetime],"&gt;="&amp;TODAY()-WEEKDAY(TODAY(),2)+1,tbl_chests[datetime],"&lt;"&amp;TODAY()-WEEKDAY(TODAY(),2)+8)))</f>
        <v>0</v>
      </c>
      <c r="AD85" s="36">
        <f ca="1">IF($A85="","",IF(AD$1="","",COUNTIFS(tbl_chests[from],$A85,tbl_chests[legalized],AD$1,tbl_chests[datetime],"&gt;="&amp;TODAY()-WEEKDAY(TODAY(),2)+1,tbl_chests[datetime],"&lt;"&amp;TODAY()-WEEKDAY(TODAY(),2)+8)))</f>
        <v>0</v>
      </c>
      <c r="AE85" s="36">
        <f ca="1">IF($A85="","",IF(AE$1="","",COUNTIFS(tbl_chests[from],$A85,tbl_chests[legalized],AE$1,tbl_chests[datetime],"&gt;="&amp;TODAY()-WEEKDAY(TODAY(),2)+1,tbl_chests[datetime],"&lt;"&amp;TODAY()-WEEKDAY(TODAY(),2)+8)))</f>
        <v>0</v>
      </c>
      <c r="AF85" s="36">
        <f ca="1">IF($A85="","",IF(AF$1="","",COUNTIFS(tbl_chests[from],$A85,tbl_chests[legalized],AF$1,tbl_chests[datetime],"&gt;="&amp;TODAY()-WEEKDAY(TODAY(),2)+1,tbl_chests[datetime],"&lt;"&amp;TODAY()-WEEKDAY(TODAY(),2)+8)))</f>
        <v>0</v>
      </c>
      <c r="AG85" s="36">
        <f ca="1">IF($A85="","",IF(AG$1="","",COUNTIFS(tbl_chests[from],$A85,tbl_chests[legalized],AG$1,tbl_chests[datetime],"&gt;="&amp;TODAY()-WEEKDAY(TODAY(),2)+1,tbl_chests[datetime],"&lt;"&amp;TODAY()-WEEKDAY(TODAY(),2)+8)))</f>
        <v>0</v>
      </c>
      <c r="AH85" s="36">
        <f ca="1">IF($A85="","",IF(AH$1="","",COUNTIFS(tbl_chests[from],$A85,tbl_chests[legalized],AH$1,tbl_chests[datetime],"&gt;="&amp;TODAY()-WEEKDAY(TODAY(),2)+1,tbl_chests[datetime],"&lt;"&amp;TODAY()-WEEKDAY(TODAY(),2)+8)))</f>
        <v>0</v>
      </c>
      <c r="AI85" s="36">
        <f ca="1">IF($A85="","",IF(AI$1="","",COUNTIFS(tbl_chests[from],$A85,tbl_chests[legalized],AI$1,tbl_chests[datetime],"&gt;="&amp;TODAY()-WEEKDAY(TODAY(),2)+1,tbl_chests[datetime],"&lt;"&amp;TODAY()-WEEKDAY(TODAY(),2)+8)))</f>
        <v>0</v>
      </c>
      <c r="AJ85" s="36">
        <f ca="1">IF($A85="","",IF(AJ$1="","",COUNTIFS(tbl_chests[from],$A85,tbl_chests[legalized],AJ$1,tbl_chests[datetime],"&gt;="&amp;TODAY()-WEEKDAY(TODAY(),2)+1,tbl_chests[datetime],"&lt;"&amp;TODAY()-WEEKDAY(TODAY(),2)+8)))</f>
        <v>0</v>
      </c>
      <c r="AK85" s="36">
        <f ca="1">IF($A85="","",IF(AK$1="","",COUNTIFS(tbl_chests[from],$A85,tbl_chests[legalized],AK$1,tbl_chests[datetime],"&gt;="&amp;TODAY()-WEEKDAY(TODAY(),2)+1,tbl_chests[datetime],"&lt;"&amp;TODAY()-WEEKDAY(TODAY(),2)+8)))</f>
        <v>0</v>
      </c>
      <c r="AL85" s="36">
        <f ca="1">IF($A85="","",IF(AL$1="","",COUNTIFS(tbl_chests[from],$A85,tbl_chests[legalized],AL$1,tbl_chests[datetime],"&gt;="&amp;TODAY()-WEEKDAY(TODAY(),2)+1,tbl_chests[datetime],"&lt;"&amp;TODAY()-WEEKDAY(TODAY(),2)+8)))</f>
        <v>0</v>
      </c>
      <c r="AM85" s="37">
        <f ca="1">IF($A85="","",IF(AM$1="","",COUNTIFS(tbl_chests[from],$A85,tbl_chests[legalized],AM$1,tbl_chests[datetime],"&gt;="&amp;TODAY()-WEEKDAY(TODAY(),2)+1,tbl_chests[datetime],"&lt;"&amp;TODAY()-WEEKDAY(TODAY(),2)+8)))</f>
        <v>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 ht="15.75" customHeight="1" x14ac:dyDescent="0.25">
      <c r="A86" s="34">
        <f>chests_counter!$H83</f>
        <v>0</v>
      </c>
      <c r="B86" s="35" cm="1">
        <f t="array" aca="1" ref="B86" ca="1">IF(A86&lt;&gt;"", SUMPRODUCT(($C$2:$AM$2&lt;&gt;0)*(C86:AM86&lt;&gt;0)*($C$2:$AM$2)*(C86:AM86)), "")</f>
        <v>0</v>
      </c>
      <c r="C86" s="36">
        <f ca="1">IF($A86="","",IF(C$1="","",COUNTIFS(tbl_chests[from],$A86,tbl_chests[legalized],C$1,tbl_chests[datetime],"&gt;="&amp;TODAY()-WEEKDAY(TODAY(),2)+1,tbl_chests[datetime],"&lt;"&amp;TODAY()-WEEKDAY(TODAY(),2)+8)))</f>
        <v>0</v>
      </c>
      <c r="D86" s="36">
        <f ca="1">IF($A86="","",IF(D$1="","",COUNTIFS(tbl_chests[from],$A86,tbl_chests[legalized],D$1,tbl_chests[datetime],"&gt;="&amp;TODAY()-WEEKDAY(TODAY(),2)+1,tbl_chests[datetime],"&lt;"&amp;TODAY()-WEEKDAY(TODAY(),2)+8)))</f>
        <v>0</v>
      </c>
      <c r="E86" s="36">
        <f ca="1">IF($A86="","",IF(E$1="","",COUNTIFS(tbl_chests[from],$A86,tbl_chests[legalized],E$1,tbl_chests[datetime],"&gt;="&amp;TODAY()-WEEKDAY(TODAY(),2)+1,tbl_chests[datetime],"&lt;"&amp;TODAY()-WEEKDAY(TODAY(),2)+8)))</f>
        <v>0</v>
      </c>
      <c r="F86" s="36">
        <f ca="1">IF($A86="","",IF(F$1="","",COUNTIFS(tbl_chests[from],$A86,tbl_chests[legalized],F$1,tbl_chests[datetime],"&gt;="&amp;TODAY()-WEEKDAY(TODAY(),2)+1,tbl_chests[datetime],"&lt;"&amp;TODAY()-WEEKDAY(TODAY(),2)+8)))</f>
        <v>0</v>
      </c>
      <c r="G86" s="36">
        <f ca="1">IF($A86="","",IF(G$1="","",COUNTIFS(tbl_chests[from],$A86,tbl_chests[legalized],G$1,tbl_chests[datetime],"&gt;="&amp;TODAY()-WEEKDAY(TODAY(),2)+1,tbl_chests[datetime],"&lt;"&amp;TODAY()-WEEKDAY(TODAY(),2)+8)))</f>
        <v>0</v>
      </c>
      <c r="H86" s="36">
        <f ca="1">IF($A86="","",IF(H$1="","",COUNTIFS(tbl_chests[from],$A86,tbl_chests[legalized],H$1,tbl_chests[datetime],"&gt;="&amp;TODAY()-WEEKDAY(TODAY(),2)+1,tbl_chests[datetime],"&lt;"&amp;TODAY()-WEEKDAY(TODAY(),2)+8)))</f>
        <v>0</v>
      </c>
      <c r="I86" s="36">
        <f ca="1">IF($A86="","",IF(I$1="","",COUNTIFS(tbl_chests[from],$A86,tbl_chests[legalized],I$1,tbl_chests[datetime],"&gt;="&amp;TODAY()-WEEKDAY(TODAY(),2)+1,tbl_chests[datetime],"&lt;"&amp;TODAY()-WEEKDAY(TODAY(),2)+8)))</f>
        <v>0</v>
      </c>
      <c r="J86" s="36">
        <f ca="1">IF($A86="","",IF(J$1="","",COUNTIFS(tbl_chests[from],$A86,tbl_chests[legalized],J$1,tbl_chests[datetime],"&gt;="&amp;TODAY()-WEEKDAY(TODAY(),2)+1,tbl_chests[datetime],"&lt;"&amp;TODAY()-WEEKDAY(TODAY(),2)+8)))</f>
        <v>0</v>
      </c>
      <c r="K86" s="36">
        <f ca="1">IF($A86="","",IF(K$1="","",COUNTIFS(tbl_chests[from],$A86,tbl_chests[legalized],K$1,tbl_chests[datetime],"&gt;="&amp;TODAY()-WEEKDAY(TODAY(),2)+1,tbl_chests[datetime],"&lt;"&amp;TODAY()-WEEKDAY(TODAY(),2)+8)))</f>
        <v>0</v>
      </c>
      <c r="L86" s="36">
        <f ca="1">IF($A86="","",IF(L$1="","",COUNTIFS(tbl_chests[from],$A86,tbl_chests[legalized],L$1,tbl_chests[datetime],"&gt;="&amp;TODAY()-WEEKDAY(TODAY(),2)+1,tbl_chests[datetime],"&lt;"&amp;TODAY()-WEEKDAY(TODAY(),2)+8)))</f>
        <v>0</v>
      </c>
      <c r="M86" s="36">
        <f ca="1">IF($A86="","",IF(M$1="","",COUNTIFS(tbl_chests[from],$A86,tbl_chests[legalized],M$1,tbl_chests[datetime],"&gt;="&amp;TODAY()-WEEKDAY(TODAY(),2)+1,tbl_chests[datetime],"&lt;"&amp;TODAY()-WEEKDAY(TODAY(),2)+8)))</f>
        <v>0</v>
      </c>
      <c r="N86" s="36">
        <f ca="1">IF($A86="","",IF(N$1="","",COUNTIFS(tbl_chests[from],$A86,tbl_chests[legalized],N$1,tbl_chests[datetime],"&gt;="&amp;TODAY()-WEEKDAY(TODAY(),2)+1,tbl_chests[datetime],"&lt;"&amp;TODAY()-WEEKDAY(TODAY(),2)+8)))</f>
        <v>0</v>
      </c>
      <c r="O86" s="36">
        <f ca="1">IF($A86="","",IF(O$1="","",COUNTIFS(tbl_chests[from],$A86,tbl_chests[legalized],O$1,tbl_chests[datetime],"&gt;="&amp;TODAY()-WEEKDAY(TODAY(),2)+1,tbl_chests[datetime],"&lt;"&amp;TODAY()-WEEKDAY(TODAY(),2)+8)))</f>
        <v>0</v>
      </c>
      <c r="P86" s="36">
        <f ca="1">IF($A86="","",IF(P$1="","",COUNTIFS(tbl_chests[from],$A86,tbl_chests[legalized],P$1,tbl_chests[datetime],"&gt;="&amp;TODAY()-WEEKDAY(TODAY(),2)+1,tbl_chests[datetime],"&lt;"&amp;TODAY()-WEEKDAY(TODAY(),2)+8)))</f>
        <v>0</v>
      </c>
      <c r="Q86" s="36">
        <f ca="1">IF($A86="","",IF(Q$1="","",COUNTIFS(tbl_chests[from],$A86,tbl_chests[legalized],Q$1,tbl_chests[datetime],"&gt;="&amp;TODAY()-WEEKDAY(TODAY(),2)+1,tbl_chests[datetime],"&lt;"&amp;TODAY()-WEEKDAY(TODAY(),2)+8)))</f>
        <v>0</v>
      </c>
      <c r="R86" s="36">
        <f ca="1">IF($A86="","",IF(R$1="","",COUNTIFS(tbl_chests[from],$A86,tbl_chests[legalized],R$1,tbl_chests[datetime],"&gt;="&amp;TODAY()-WEEKDAY(TODAY(),2)+1,tbl_chests[datetime],"&lt;"&amp;TODAY()-WEEKDAY(TODAY(),2)+8)))</f>
        <v>0</v>
      </c>
      <c r="S86" s="36">
        <f ca="1">IF($A86="","",IF(S$1="","",COUNTIFS(tbl_chests[from],$A86,tbl_chests[legalized],S$1,tbl_chests[datetime],"&gt;="&amp;TODAY()-WEEKDAY(TODAY(),2)+1,tbl_chests[datetime],"&lt;"&amp;TODAY()-WEEKDAY(TODAY(),2)+8)))</f>
        <v>0</v>
      </c>
      <c r="T86" s="36">
        <f ca="1">IF($A86="","",IF(T$1="","",COUNTIFS(tbl_chests[from],$A86,tbl_chests[legalized],T$1,tbl_chests[datetime],"&gt;="&amp;TODAY()-WEEKDAY(TODAY(),2)+1,tbl_chests[datetime],"&lt;"&amp;TODAY()-WEEKDAY(TODAY(),2)+8)))</f>
        <v>0</v>
      </c>
      <c r="U86" s="36">
        <f ca="1">IF($A86="","",IF(U$1="","",COUNTIFS(tbl_chests[from],$A86,tbl_chests[legalized],U$1,tbl_chests[datetime],"&gt;="&amp;TODAY()-WEEKDAY(TODAY(),2)+1,tbl_chests[datetime],"&lt;"&amp;TODAY()-WEEKDAY(TODAY(),2)+8)))</f>
        <v>0</v>
      </c>
      <c r="V86" s="36">
        <f ca="1">IF($A86="","",IF(V$1="","",COUNTIFS(tbl_chests[from],$A86,tbl_chests[legalized],V$1,tbl_chests[datetime],"&gt;="&amp;TODAY()-WEEKDAY(TODAY(),2)+1,tbl_chests[datetime],"&lt;"&amp;TODAY()-WEEKDAY(TODAY(),2)+8)))</f>
        <v>0</v>
      </c>
      <c r="W86" s="36">
        <f ca="1">IF($A86="","",IF(W$1="","",COUNTIFS(tbl_chests[from],$A86,tbl_chests[legalized],W$1,tbl_chests[datetime],"&gt;="&amp;TODAY()-WEEKDAY(TODAY(),2)+1,tbl_chests[datetime],"&lt;"&amp;TODAY()-WEEKDAY(TODAY(),2)+8)))</f>
        <v>0</v>
      </c>
      <c r="X86" s="36">
        <f ca="1">IF($A86="","",IF(X$1="","",COUNTIFS(tbl_chests[from],$A86,tbl_chests[legalized],X$1,tbl_chests[datetime],"&gt;="&amp;TODAY()-WEEKDAY(TODAY(),2)+1,tbl_chests[datetime],"&lt;"&amp;TODAY()-WEEKDAY(TODAY(),2)+8)))</f>
        <v>0</v>
      </c>
      <c r="Y86" s="36">
        <f ca="1">IF($A86="","",IF(Y$1="","",COUNTIFS(tbl_chests[from],$A86,tbl_chests[legalized],Y$1,tbl_chests[datetime],"&gt;="&amp;TODAY()-WEEKDAY(TODAY(),2)+1,tbl_chests[datetime],"&lt;"&amp;TODAY()-WEEKDAY(TODAY(),2)+8)))</f>
        <v>0</v>
      </c>
      <c r="Z86" s="36">
        <f ca="1">IF($A86="","",IF(Z$1="","",COUNTIFS(tbl_chests[from],$A86,tbl_chests[legalized],Z$1,tbl_chests[datetime],"&gt;="&amp;TODAY()-WEEKDAY(TODAY(),2)+1,tbl_chests[datetime],"&lt;"&amp;TODAY()-WEEKDAY(TODAY(),2)+8)))</f>
        <v>0</v>
      </c>
      <c r="AA86" s="36">
        <f ca="1">IF($A86="","",IF(AA$1="","",COUNTIFS(tbl_chests[from],$A86,tbl_chests[legalized],AA$1,tbl_chests[datetime],"&gt;="&amp;TODAY()-WEEKDAY(TODAY(),2)+1,tbl_chests[datetime],"&lt;"&amp;TODAY()-WEEKDAY(TODAY(),2)+8)))</f>
        <v>0</v>
      </c>
      <c r="AB86" s="36">
        <f ca="1">IF($A86="","",IF(AB$1="","",COUNTIFS(tbl_chests[from],$A86,tbl_chests[legalized],AB$1,tbl_chests[datetime],"&gt;="&amp;TODAY()-WEEKDAY(TODAY(),2)+1,tbl_chests[datetime],"&lt;"&amp;TODAY()-WEEKDAY(TODAY(),2)+8)))</f>
        <v>0</v>
      </c>
      <c r="AC86" s="36">
        <f ca="1">IF($A86="","",IF(AC$1="","",COUNTIFS(tbl_chests[from],$A86,tbl_chests[legalized],AC$1,tbl_chests[datetime],"&gt;="&amp;TODAY()-WEEKDAY(TODAY(),2)+1,tbl_chests[datetime],"&lt;"&amp;TODAY()-WEEKDAY(TODAY(),2)+8)))</f>
        <v>0</v>
      </c>
      <c r="AD86" s="36">
        <f ca="1">IF($A86="","",IF(AD$1="","",COUNTIFS(tbl_chests[from],$A86,tbl_chests[legalized],AD$1,tbl_chests[datetime],"&gt;="&amp;TODAY()-WEEKDAY(TODAY(),2)+1,tbl_chests[datetime],"&lt;"&amp;TODAY()-WEEKDAY(TODAY(),2)+8)))</f>
        <v>0</v>
      </c>
      <c r="AE86" s="36">
        <f ca="1">IF($A86="","",IF(AE$1="","",COUNTIFS(tbl_chests[from],$A86,tbl_chests[legalized],AE$1,tbl_chests[datetime],"&gt;="&amp;TODAY()-WEEKDAY(TODAY(),2)+1,tbl_chests[datetime],"&lt;"&amp;TODAY()-WEEKDAY(TODAY(),2)+8)))</f>
        <v>0</v>
      </c>
      <c r="AF86" s="36">
        <f ca="1">IF($A86="","",IF(AF$1="","",COUNTIFS(tbl_chests[from],$A86,tbl_chests[legalized],AF$1,tbl_chests[datetime],"&gt;="&amp;TODAY()-WEEKDAY(TODAY(),2)+1,tbl_chests[datetime],"&lt;"&amp;TODAY()-WEEKDAY(TODAY(),2)+8)))</f>
        <v>0</v>
      </c>
      <c r="AG86" s="36">
        <f ca="1">IF($A86="","",IF(AG$1="","",COUNTIFS(tbl_chests[from],$A86,tbl_chests[legalized],AG$1,tbl_chests[datetime],"&gt;="&amp;TODAY()-WEEKDAY(TODAY(),2)+1,tbl_chests[datetime],"&lt;"&amp;TODAY()-WEEKDAY(TODAY(),2)+8)))</f>
        <v>0</v>
      </c>
      <c r="AH86" s="36">
        <f ca="1">IF($A86="","",IF(AH$1="","",COUNTIFS(tbl_chests[from],$A86,tbl_chests[legalized],AH$1,tbl_chests[datetime],"&gt;="&amp;TODAY()-WEEKDAY(TODAY(),2)+1,tbl_chests[datetime],"&lt;"&amp;TODAY()-WEEKDAY(TODAY(),2)+8)))</f>
        <v>0</v>
      </c>
      <c r="AI86" s="36">
        <f ca="1">IF($A86="","",IF(AI$1="","",COUNTIFS(tbl_chests[from],$A86,tbl_chests[legalized],AI$1,tbl_chests[datetime],"&gt;="&amp;TODAY()-WEEKDAY(TODAY(),2)+1,tbl_chests[datetime],"&lt;"&amp;TODAY()-WEEKDAY(TODAY(),2)+8)))</f>
        <v>0</v>
      </c>
      <c r="AJ86" s="36">
        <f ca="1">IF($A86="","",IF(AJ$1="","",COUNTIFS(tbl_chests[from],$A86,tbl_chests[legalized],AJ$1,tbl_chests[datetime],"&gt;="&amp;TODAY()-WEEKDAY(TODAY(),2)+1,tbl_chests[datetime],"&lt;"&amp;TODAY()-WEEKDAY(TODAY(),2)+8)))</f>
        <v>0</v>
      </c>
      <c r="AK86" s="36">
        <f ca="1">IF($A86="","",IF(AK$1="","",COUNTIFS(tbl_chests[from],$A86,tbl_chests[legalized],AK$1,tbl_chests[datetime],"&gt;="&amp;TODAY()-WEEKDAY(TODAY(),2)+1,tbl_chests[datetime],"&lt;"&amp;TODAY()-WEEKDAY(TODAY(),2)+8)))</f>
        <v>0</v>
      </c>
      <c r="AL86" s="36">
        <f ca="1">IF($A86="","",IF(AL$1="","",COUNTIFS(tbl_chests[from],$A86,tbl_chests[legalized],AL$1,tbl_chests[datetime],"&gt;="&amp;TODAY()-WEEKDAY(TODAY(),2)+1,tbl_chests[datetime],"&lt;"&amp;TODAY()-WEEKDAY(TODAY(),2)+8)))</f>
        <v>0</v>
      </c>
      <c r="AM86" s="37">
        <f ca="1">IF($A86="","",IF(AM$1="","",COUNTIFS(tbl_chests[from],$A86,tbl_chests[legalized],AM$1,tbl_chests[datetime],"&gt;="&amp;TODAY()-WEEKDAY(TODAY(),2)+1,tbl_chests[datetime],"&lt;"&amp;TODAY()-WEEKDAY(TODAY(),2)+8)))</f>
        <v>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 ht="15.75" customHeight="1" x14ac:dyDescent="0.25">
      <c r="A87" s="34">
        <f>chests_counter!$H84</f>
        <v>0</v>
      </c>
      <c r="B87" s="35" cm="1">
        <f t="array" aca="1" ref="B87" ca="1">IF(A87&lt;&gt;"", SUMPRODUCT(($C$2:$AM$2&lt;&gt;0)*(C87:AM87&lt;&gt;0)*($C$2:$AM$2)*(C87:AM87)), "")</f>
        <v>0</v>
      </c>
      <c r="C87" s="36">
        <f ca="1">IF($A87="","",IF(C$1="","",COUNTIFS(tbl_chests[from],$A87,tbl_chests[legalized],C$1,tbl_chests[datetime],"&gt;="&amp;TODAY()-WEEKDAY(TODAY(),2)+1,tbl_chests[datetime],"&lt;"&amp;TODAY()-WEEKDAY(TODAY(),2)+8)))</f>
        <v>0</v>
      </c>
      <c r="D87" s="36">
        <f ca="1">IF($A87="","",IF(D$1="","",COUNTIFS(tbl_chests[from],$A87,tbl_chests[legalized],D$1,tbl_chests[datetime],"&gt;="&amp;TODAY()-WEEKDAY(TODAY(),2)+1,tbl_chests[datetime],"&lt;"&amp;TODAY()-WEEKDAY(TODAY(),2)+8)))</f>
        <v>0</v>
      </c>
      <c r="E87" s="36">
        <f ca="1">IF($A87="","",IF(E$1="","",COUNTIFS(tbl_chests[from],$A87,tbl_chests[legalized],E$1,tbl_chests[datetime],"&gt;="&amp;TODAY()-WEEKDAY(TODAY(),2)+1,tbl_chests[datetime],"&lt;"&amp;TODAY()-WEEKDAY(TODAY(),2)+8)))</f>
        <v>0</v>
      </c>
      <c r="F87" s="36">
        <f ca="1">IF($A87="","",IF(F$1="","",COUNTIFS(tbl_chests[from],$A87,tbl_chests[legalized],F$1,tbl_chests[datetime],"&gt;="&amp;TODAY()-WEEKDAY(TODAY(),2)+1,tbl_chests[datetime],"&lt;"&amp;TODAY()-WEEKDAY(TODAY(),2)+8)))</f>
        <v>0</v>
      </c>
      <c r="G87" s="36">
        <f ca="1">IF($A87="","",IF(G$1="","",COUNTIFS(tbl_chests[from],$A87,tbl_chests[legalized],G$1,tbl_chests[datetime],"&gt;="&amp;TODAY()-WEEKDAY(TODAY(),2)+1,tbl_chests[datetime],"&lt;"&amp;TODAY()-WEEKDAY(TODAY(),2)+8)))</f>
        <v>0</v>
      </c>
      <c r="H87" s="36">
        <f ca="1">IF($A87="","",IF(H$1="","",COUNTIFS(tbl_chests[from],$A87,tbl_chests[legalized],H$1,tbl_chests[datetime],"&gt;="&amp;TODAY()-WEEKDAY(TODAY(),2)+1,tbl_chests[datetime],"&lt;"&amp;TODAY()-WEEKDAY(TODAY(),2)+8)))</f>
        <v>0</v>
      </c>
      <c r="I87" s="36">
        <f ca="1">IF($A87="","",IF(I$1="","",COUNTIFS(tbl_chests[from],$A87,tbl_chests[legalized],I$1,tbl_chests[datetime],"&gt;="&amp;TODAY()-WEEKDAY(TODAY(),2)+1,tbl_chests[datetime],"&lt;"&amp;TODAY()-WEEKDAY(TODAY(),2)+8)))</f>
        <v>0</v>
      </c>
      <c r="J87" s="36">
        <f ca="1">IF($A87="","",IF(J$1="","",COUNTIFS(tbl_chests[from],$A87,tbl_chests[legalized],J$1,tbl_chests[datetime],"&gt;="&amp;TODAY()-WEEKDAY(TODAY(),2)+1,tbl_chests[datetime],"&lt;"&amp;TODAY()-WEEKDAY(TODAY(),2)+8)))</f>
        <v>0</v>
      </c>
      <c r="K87" s="36">
        <f ca="1">IF($A87="","",IF(K$1="","",COUNTIFS(tbl_chests[from],$A87,tbl_chests[legalized],K$1,tbl_chests[datetime],"&gt;="&amp;TODAY()-WEEKDAY(TODAY(),2)+1,tbl_chests[datetime],"&lt;"&amp;TODAY()-WEEKDAY(TODAY(),2)+8)))</f>
        <v>0</v>
      </c>
      <c r="L87" s="36">
        <f ca="1">IF($A87="","",IF(L$1="","",COUNTIFS(tbl_chests[from],$A87,tbl_chests[legalized],L$1,tbl_chests[datetime],"&gt;="&amp;TODAY()-WEEKDAY(TODAY(),2)+1,tbl_chests[datetime],"&lt;"&amp;TODAY()-WEEKDAY(TODAY(),2)+8)))</f>
        <v>0</v>
      </c>
      <c r="M87" s="36">
        <f ca="1">IF($A87="","",IF(M$1="","",COUNTIFS(tbl_chests[from],$A87,tbl_chests[legalized],M$1,tbl_chests[datetime],"&gt;="&amp;TODAY()-WEEKDAY(TODAY(),2)+1,tbl_chests[datetime],"&lt;"&amp;TODAY()-WEEKDAY(TODAY(),2)+8)))</f>
        <v>0</v>
      </c>
      <c r="N87" s="36">
        <f ca="1">IF($A87="","",IF(N$1="","",COUNTIFS(tbl_chests[from],$A87,tbl_chests[legalized],N$1,tbl_chests[datetime],"&gt;="&amp;TODAY()-WEEKDAY(TODAY(),2)+1,tbl_chests[datetime],"&lt;"&amp;TODAY()-WEEKDAY(TODAY(),2)+8)))</f>
        <v>0</v>
      </c>
      <c r="O87" s="36">
        <f ca="1">IF($A87="","",IF(O$1="","",COUNTIFS(tbl_chests[from],$A87,tbl_chests[legalized],O$1,tbl_chests[datetime],"&gt;="&amp;TODAY()-WEEKDAY(TODAY(),2)+1,tbl_chests[datetime],"&lt;"&amp;TODAY()-WEEKDAY(TODAY(),2)+8)))</f>
        <v>0</v>
      </c>
      <c r="P87" s="36">
        <f ca="1">IF($A87="","",IF(P$1="","",COUNTIFS(tbl_chests[from],$A87,tbl_chests[legalized],P$1,tbl_chests[datetime],"&gt;="&amp;TODAY()-WEEKDAY(TODAY(),2)+1,tbl_chests[datetime],"&lt;"&amp;TODAY()-WEEKDAY(TODAY(),2)+8)))</f>
        <v>0</v>
      </c>
      <c r="Q87" s="36">
        <f ca="1">IF($A87="","",IF(Q$1="","",COUNTIFS(tbl_chests[from],$A87,tbl_chests[legalized],Q$1,tbl_chests[datetime],"&gt;="&amp;TODAY()-WEEKDAY(TODAY(),2)+1,tbl_chests[datetime],"&lt;"&amp;TODAY()-WEEKDAY(TODAY(),2)+8)))</f>
        <v>0</v>
      </c>
      <c r="R87" s="36">
        <f ca="1">IF($A87="","",IF(R$1="","",COUNTIFS(tbl_chests[from],$A87,tbl_chests[legalized],R$1,tbl_chests[datetime],"&gt;="&amp;TODAY()-WEEKDAY(TODAY(),2)+1,tbl_chests[datetime],"&lt;"&amp;TODAY()-WEEKDAY(TODAY(),2)+8)))</f>
        <v>0</v>
      </c>
      <c r="S87" s="36">
        <f ca="1">IF($A87="","",IF(S$1="","",COUNTIFS(tbl_chests[from],$A87,tbl_chests[legalized],S$1,tbl_chests[datetime],"&gt;="&amp;TODAY()-WEEKDAY(TODAY(),2)+1,tbl_chests[datetime],"&lt;"&amp;TODAY()-WEEKDAY(TODAY(),2)+8)))</f>
        <v>0</v>
      </c>
      <c r="T87" s="36">
        <f ca="1">IF($A87="","",IF(T$1="","",COUNTIFS(tbl_chests[from],$A87,tbl_chests[legalized],T$1,tbl_chests[datetime],"&gt;="&amp;TODAY()-WEEKDAY(TODAY(),2)+1,tbl_chests[datetime],"&lt;"&amp;TODAY()-WEEKDAY(TODAY(),2)+8)))</f>
        <v>0</v>
      </c>
      <c r="U87" s="36">
        <f ca="1">IF($A87="","",IF(U$1="","",COUNTIFS(tbl_chests[from],$A87,tbl_chests[legalized],U$1,tbl_chests[datetime],"&gt;="&amp;TODAY()-WEEKDAY(TODAY(),2)+1,tbl_chests[datetime],"&lt;"&amp;TODAY()-WEEKDAY(TODAY(),2)+8)))</f>
        <v>0</v>
      </c>
      <c r="V87" s="36">
        <f ca="1">IF($A87="","",IF(V$1="","",COUNTIFS(tbl_chests[from],$A87,tbl_chests[legalized],V$1,tbl_chests[datetime],"&gt;="&amp;TODAY()-WEEKDAY(TODAY(),2)+1,tbl_chests[datetime],"&lt;"&amp;TODAY()-WEEKDAY(TODAY(),2)+8)))</f>
        <v>0</v>
      </c>
      <c r="W87" s="36">
        <f ca="1">IF($A87="","",IF(W$1="","",COUNTIFS(tbl_chests[from],$A87,tbl_chests[legalized],W$1,tbl_chests[datetime],"&gt;="&amp;TODAY()-WEEKDAY(TODAY(),2)+1,tbl_chests[datetime],"&lt;"&amp;TODAY()-WEEKDAY(TODAY(),2)+8)))</f>
        <v>0</v>
      </c>
      <c r="X87" s="36">
        <f ca="1">IF($A87="","",IF(X$1="","",COUNTIFS(tbl_chests[from],$A87,tbl_chests[legalized],X$1,tbl_chests[datetime],"&gt;="&amp;TODAY()-WEEKDAY(TODAY(),2)+1,tbl_chests[datetime],"&lt;"&amp;TODAY()-WEEKDAY(TODAY(),2)+8)))</f>
        <v>0</v>
      </c>
      <c r="Y87" s="36">
        <f ca="1">IF($A87="","",IF(Y$1="","",COUNTIFS(tbl_chests[from],$A87,tbl_chests[legalized],Y$1,tbl_chests[datetime],"&gt;="&amp;TODAY()-WEEKDAY(TODAY(),2)+1,tbl_chests[datetime],"&lt;"&amp;TODAY()-WEEKDAY(TODAY(),2)+8)))</f>
        <v>0</v>
      </c>
      <c r="Z87" s="36">
        <f ca="1">IF($A87="","",IF(Z$1="","",COUNTIFS(tbl_chests[from],$A87,tbl_chests[legalized],Z$1,tbl_chests[datetime],"&gt;="&amp;TODAY()-WEEKDAY(TODAY(),2)+1,tbl_chests[datetime],"&lt;"&amp;TODAY()-WEEKDAY(TODAY(),2)+8)))</f>
        <v>0</v>
      </c>
      <c r="AA87" s="36">
        <f ca="1">IF($A87="","",IF(AA$1="","",COUNTIFS(tbl_chests[from],$A87,tbl_chests[legalized],AA$1,tbl_chests[datetime],"&gt;="&amp;TODAY()-WEEKDAY(TODAY(),2)+1,tbl_chests[datetime],"&lt;"&amp;TODAY()-WEEKDAY(TODAY(),2)+8)))</f>
        <v>0</v>
      </c>
      <c r="AB87" s="36">
        <f ca="1">IF($A87="","",IF(AB$1="","",COUNTIFS(tbl_chests[from],$A87,tbl_chests[legalized],AB$1,tbl_chests[datetime],"&gt;="&amp;TODAY()-WEEKDAY(TODAY(),2)+1,tbl_chests[datetime],"&lt;"&amp;TODAY()-WEEKDAY(TODAY(),2)+8)))</f>
        <v>0</v>
      </c>
      <c r="AC87" s="36">
        <f ca="1">IF($A87="","",IF(AC$1="","",COUNTIFS(tbl_chests[from],$A87,tbl_chests[legalized],AC$1,tbl_chests[datetime],"&gt;="&amp;TODAY()-WEEKDAY(TODAY(),2)+1,tbl_chests[datetime],"&lt;"&amp;TODAY()-WEEKDAY(TODAY(),2)+8)))</f>
        <v>0</v>
      </c>
      <c r="AD87" s="36">
        <f ca="1">IF($A87="","",IF(AD$1="","",COUNTIFS(tbl_chests[from],$A87,tbl_chests[legalized],AD$1,tbl_chests[datetime],"&gt;="&amp;TODAY()-WEEKDAY(TODAY(),2)+1,tbl_chests[datetime],"&lt;"&amp;TODAY()-WEEKDAY(TODAY(),2)+8)))</f>
        <v>0</v>
      </c>
      <c r="AE87" s="36">
        <f ca="1">IF($A87="","",IF(AE$1="","",COUNTIFS(tbl_chests[from],$A87,tbl_chests[legalized],AE$1,tbl_chests[datetime],"&gt;="&amp;TODAY()-WEEKDAY(TODAY(),2)+1,tbl_chests[datetime],"&lt;"&amp;TODAY()-WEEKDAY(TODAY(),2)+8)))</f>
        <v>0</v>
      </c>
      <c r="AF87" s="36">
        <f ca="1">IF($A87="","",IF(AF$1="","",COUNTIFS(tbl_chests[from],$A87,tbl_chests[legalized],AF$1,tbl_chests[datetime],"&gt;="&amp;TODAY()-WEEKDAY(TODAY(),2)+1,tbl_chests[datetime],"&lt;"&amp;TODAY()-WEEKDAY(TODAY(),2)+8)))</f>
        <v>0</v>
      </c>
      <c r="AG87" s="36">
        <f ca="1">IF($A87="","",IF(AG$1="","",COUNTIFS(tbl_chests[from],$A87,tbl_chests[legalized],AG$1,tbl_chests[datetime],"&gt;="&amp;TODAY()-WEEKDAY(TODAY(),2)+1,tbl_chests[datetime],"&lt;"&amp;TODAY()-WEEKDAY(TODAY(),2)+8)))</f>
        <v>0</v>
      </c>
      <c r="AH87" s="36">
        <f ca="1">IF($A87="","",IF(AH$1="","",COUNTIFS(tbl_chests[from],$A87,tbl_chests[legalized],AH$1,tbl_chests[datetime],"&gt;="&amp;TODAY()-WEEKDAY(TODAY(),2)+1,tbl_chests[datetime],"&lt;"&amp;TODAY()-WEEKDAY(TODAY(),2)+8)))</f>
        <v>0</v>
      </c>
      <c r="AI87" s="36">
        <f ca="1">IF($A87="","",IF(AI$1="","",COUNTIFS(tbl_chests[from],$A87,tbl_chests[legalized],AI$1,tbl_chests[datetime],"&gt;="&amp;TODAY()-WEEKDAY(TODAY(),2)+1,tbl_chests[datetime],"&lt;"&amp;TODAY()-WEEKDAY(TODAY(),2)+8)))</f>
        <v>0</v>
      </c>
      <c r="AJ87" s="36">
        <f ca="1">IF($A87="","",IF(AJ$1="","",COUNTIFS(tbl_chests[from],$A87,tbl_chests[legalized],AJ$1,tbl_chests[datetime],"&gt;="&amp;TODAY()-WEEKDAY(TODAY(),2)+1,tbl_chests[datetime],"&lt;"&amp;TODAY()-WEEKDAY(TODAY(),2)+8)))</f>
        <v>0</v>
      </c>
      <c r="AK87" s="36">
        <f ca="1">IF($A87="","",IF(AK$1="","",COUNTIFS(tbl_chests[from],$A87,tbl_chests[legalized],AK$1,tbl_chests[datetime],"&gt;="&amp;TODAY()-WEEKDAY(TODAY(),2)+1,tbl_chests[datetime],"&lt;"&amp;TODAY()-WEEKDAY(TODAY(),2)+8)))</f>
        <v>0</v>
      </c>
      <c r="AL87" s="36">
        <f ca="1">IF($A87="","",IF(AL$1="","",COUNTIFS(tbl_chests[from],$A87,tbl_chests[legalized],AL$1,tbl_chests[datetime],"&gt;="&amp;TODAY()-WEEKDAY(TODAY(),2)+1,tbl_chests[datetime],"&lt;"&amp;TODAY()-WEEKDAY(TODAY(),2)+8)))</f>
        <v>0</v>
      </c>
      <c r="AM87" s="37">
        <f ca="1">IF($A87="","",IF(AM$1="","",COUNTIFS(tbl_chests[from],$A87,tbl_chests[legalized],AM$1,tbl_chests[datetime],"&gt;="&amp;TODAY()-WEEKDAY(TODAY(),2)+1,tbl_chests[datetime],"&lt;"&amp;TODAY()-WEEKDAY(TODAY(),2)+8)))</f>
        <v>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 ht="15.75" customHeight="1" x14ac:dyDescent="0.25">
      <c r="A88" s="34">
        <f>chests_counter!$H85</f>
        <v>0</v>
      </c>
      <c r="B88" s="35" cm="1">
        <f t="array" aca="1" ref="B88" ca="1">IF(A88&lt;&gt;"", SUMPRODUCT(($C$2:$AM$2&lt;&gt;0)*(C88:AM88&lt;&gt;0)*($C$2:$AM$2)*(C88:AM88)), "")</f>
        <v>0</v>
      </c>
      <c r="C88" s="36">
        <f ca="1">IF($A88="","",IF(C$1="","",COUNTIFS(tbl_chests[from],$A88,tbl_chests[legalized],C$1,tbl_chests[datetime],"&gt;="&amp;TODAY()-WEEKDAY(TODAY(),2)+1,tbl_chests[datetime],"&lt;"&amp;TODAY()-WEEKDAY(TODAY(),2)+8)))</f>
        <v>0</v>
      </c>
      <c r="D88" s="36">
        <f ca="1">IF($A88="","",IF(D$1="","",COUNTIFS(tbl_chests[from],$A88,tbl_chests[legalized],D$1,tbl_chests[datetime],"&gt;="&amp;TODAY()-WEEKDAY(TODAY(),2)+1,tbl_chests[datetime],"&lt;"&amp;TODAY()-WEEKDAY(TODAY(),2)+8)))</f>
        <v>0</v>
      </c>
      <c r="E88" s="36">
        <f ca="1">IF($A88="","",IF(E$1="","",COUNTIFS(tbl_chests[from],$A88,tbl_chests[legalized],E$1,tbl_chests[datetime],"&gt;="&amp;TODAY()-WEEKDAY(TODAY(),2)+1,tbl_chests[datetime],"&lt;"&amp;TODAY()-WEEKDAY(TODAY(),2)+8)))</f>
        <v>0</v>
      </c>
      <c r="F88" s="36">
        <f ca="1">IF($A88="","",IF(F$1="","",COUNTIFS(tbl_chests[from],$A88,tbl_chests[legalized],F$1,tbl_chests[datetime],"&gt;="&amp;TODAY()-WEEKDAY(TODAY(),2)+1,tbl_chests[datetime],"&lt;"&amp;TODAY()-WEEKDAY(TODAY(),2)+8)))</f>
        <v>0</v>
      </c>
      <c r="G88" s="36">
        <f ca="1">IF($A88="","",IF(G$1="","",COUNTIFS(tbl_chests[from],$A88,tbl_chests[legalized],G$1,tbl_chests[datetime],"&gt;="&amp;TODAY()-WEEKDAY(TODAY(),2)+1,tbl_chests[datetime],"&lt;"&amp;TODAY()-WEEKDAY(TODAY(),2)+8)))</f>
        <v>0</v>
      </c>
      <c r="H88" s="36">
        <f ca="1">IF($A88="","",IF(H$1="","",COUNTIFS(tbl_chests[from],$A88,tbl_chests[legalized],H$1,tbl_chests[datetime],"&gt;="&amp;TODAY()-WEEKDAY(TODAY(),2)+1,tbl_chests[datetime],"&lt;"&amp;TODAY()-WEEKDAY(TODAY(),2)+8)))</f>
        <v>0</v>
      </c>
      <c r="I88" s="36">
        <f ca="1">IF($A88="","",IF(I$1="","",COUNTIFS(tbl_chests[from],$A88,tbl_chests[legalized],I$1,tbl_chests[datetime],"&gt;="&amp;TODAY()-WEEKDAY(TODAY(),2)+1,tbl_chests[datetime],"&lt;"&amp;TODAY()-WEEKDAY(TODAY(),2)+8)))</f>
        <v>0</v>
      </c>
      <c r="J88" s="36">
        <f ca="1">IF($A88="","",IF(J$1="","",COUNTIFS(tbl_chests[from],$A88,tbl_chests[legalized],J$1,tbl_chests[datetime],"&gt;="&amp;TODAY()-WEEKDAY(TODAY(),2)+1,tbl_chests[datetime],"&lt;"&amp;TODAY()-WEEKDAY(TODAY(),2)+8)))</f>
        <v>0</v>
      </c>
      <c r="K88" s="36">
        <f ca="1">IF($A88="","",IF(K$1="","",COUNTIFS(tbl_chests[from],$A88,tbl_chests[legalized],K$1,tbl_chests[datetime],"&gt;="&amp;TODAY()-WEEKDAY(TODAY(),2)+1,tbl_chests[datetime],"&lt;"&amp;TODAY()-WEEKDAY(TODAY(),2)+8)))</f>
        <v>0</v>
      </c>
      <c r="L88" s="36">
        <f ca="1">IF($A88="","",IF(L$1="","",COUNTIFS(tbl_chests[from],$A88,tbl_chests[legalized],L$1,tbl_chests[datetime],"&gt;="&amp;TODAY()-WEEKDAY(TODAY(),2)+1,tbl_chests[datetime],"&lt;"&amp;TODAY()-WEEKDAY(TODAY(),2)+8)))</f>
        <v>0</v>
      </c>
      <c r="M88" s="36">
        <f ca="1">IF($A88="","",IF(M$1="","",COUNTIFS(tbl_chests[from],$A88,tbl_chests[legalized],M$1,tbl_chests[datetime],"&gt;="&amp;TODAY()-WEEKDAY(TODAY(),2)+1,tbl_chests[datetime],"&lt;"&amp;TODAY()-WEEKDAY(TODAY(),2)+8)))</f>
        <v>0</v>
      </c>
      <c r="N88" s="36">
        <f ca="1">IF($A88="","",IF(N$1="","",COUNTIFS(tbl_chests[from],$A88,tbl_chests[legalized],N$1,tbl_chests[datetime],"&gt;="&amp;TODAY()-WEEKDAY(TODAY(),2)+1,tbl_chests[datetime],"&lt;"&amp;TODAY()-WEEKDAY(TODAY(),2)+8)))</f>
        <v>0</v>
      </c>
      <c r="O88" s="36">
        <f ca="1">IF($A88="","",IF(O$1="","",COUNTIFS(tbl_chests[from],$A88,tbl_chests[legalized],O$1,tbl_chests[datetime],"&gt;="&amp;TODAY()-WEEKDAY(TODAY(),2)+1,tbl_chests[datetime],"&lt;"&amp;TODAY()-WEEKDAY(TODAY(),2)+8)))</f>
        <v>0</v>
      </c>
      <c r="P88" s="36">
        <f ca="1">IF($A88="","",IF(P$1="","",COUNTIFS(tbl_chests[from],$A88,tbl_chests[legalized],P$1,tbl_chests[datetime],"&gt;="&amp;TODAY()-WEEKDAY(TODAY(),2)+1,tbl_chests[datetime],"&lt;"&amp;TODAY()-WEEKDAY(TODAY(),2)+8)))</f>
        <v>0</v>
      </c>
      <c r="Q88" s="36">
        <f ca="1">IF($A88="","",IF(Q$1="","",COUNTIFS(tbl_chests[from],$A88,tbl_chests[legalized],Q$1,tbl_chests[datetime],"&gt;="&amp;TODAY()-WEEKDAY(TODAY(),2)+1,tbl_chests[datetime],"&lt;"&amp;TODAY()-WEEKDAY(TODAY(),2)+8)))</f>
        <v>0</v>
      </c>
      <c r="R88" s="36">
        <f ca="1">IF($A88="","",IF(R$1="","",COUNTIFS(tbl_chests[from],$A88,tbl_chests[legalized],R$1,tbl_chests[datetime],"&gt;="&amp;TODAY()-WEEKDAY(TODAY(),2)+1,tbl_chests[datetime],"&lt;"&amp;TODAY()-WEEKDAY(TODAY(),2)+8)))</f>
        <v>0</v>
      </c>
      <c r="S88" s="36">
        <f ca="1">IF($A88="","",IF(S$1="","",COUNTIFS(tbl_chests[from],$A88,tbl_chests[legalized],S$1,tbl_chests[datetime],"&gt;="&amp;TODAY()-WEEKDAY(TODAY(),2)+1,tbl_chests[datetime],"&lt;"&amp;TODAY()-WEEKDAY(TODAY(),2)+8)))</f>
        <v>0</v>
      </c>
      <c r="T88" s="36">
        <f ca="1">IF($A88="","",IF(T$1="","",COUNTIFS(tbl_chests[from],$A88,tbl_chests[legalized],T$1,tbl_chests[datetime],"&gt;="&amp;TODAY()-WEEKDAY(TODAY(),2)+1,tbl_chests[datetime],"&lt;"&amp;TODAY()-WEEKDAY(TODAY(),2)+8)))</f>
        <v>0</v>
      </c>
      <c r="U88" s="36">
        <f ca="1">IF($A88="","",IF(U$1="","",COUNTIFS(tbl_chests[from],$A88,tbl_chests[legalized],U$1,tbl_chests[datetime],"&gt;="&amp;TODAY()-WEEKDAY(TODAY(),2)+1,tbl_chests[datetime],"&lt;"&amp;TODAY()-WEEKDAY(TODAY(),2)+8)))</f>
        <v>0</v>
      </c>
      <c r="V88" s="36">
        <f ca="1">IF($A88="","",IF(V$1="","",COUNTIFS(tbl_chests[from],$A88,tbl_chests[legalized],V$1,tbl_chests[datetime],"&gt;="&amp;TODAY()-WEEKDAY(TODAY(),2)+1,tbl_chests[datetime],"&lt;"&amp;TODAY()-WEEKDAY(TODAY(),2)+8)))</f>
        <v>0</v>
      </c>
      <c r="W88" s="36">
        <f ca="1">IF($A88="","",IF(W$1="","",COUNTIFS(tbl_chests[from],$A88,tbl_chests[legalized],W$1,tbl_chests[datetime],"&gt;="&amp;TODAY()-WEEKDAY(TODAY(),2)+1,tbl_chests[datetime],"&lt;"&amp;TODAY()-WEEKDAY(TODAY(),2)+8)))</f>
        <v>0</v>
      </c>
      <c r="X88" s="36">
        <f ca="1">IF($A88="","",IF(X$1="","",COUNTIFS(tbl_chests[from],$A88,tbl_chests[legalized],X$1,tbl_chests[datetime],"&gt;="&amp;TODAY()-WEEKDAY(TODAY(),2)+1,tbl_chests[datetime],"&lt;"&amp;TODAY()-WEEKDAY(TODAY(),2)+8)))</f>
        <v>0</v>
      </c>
      <c r="Y88" s="36">
        <f ca="1">IF($A88="","",IF(Y$1="","",COUNTIFS(tbl_chests[from],$A88,tbl_chests[legalized],Y$1,tbl_chests[datetime],"&gt;="&amp;TODAY()-WEEKDAY(TODAY(),2)+1,tbl_chests[datetime],"&lt;"&amp;TODAY()-WEEKDAY(TODAY(),2)+8)))</f>
        <v>0</v>
      </c>
      <c r="Z88" s="36">
        <f ca="1">IF($A88="","",IF(Z$1="","",COUNTIFS(tbl_chests[from],$A88,tbl_chests[legalized],Z$1,tbl_chests[datetime],"&gt;="&amp;TODAY()-WEEKDAY(TODAY(),2)+1,tbl_chests[datetime],"&lt;"&amp;TODAY()-WEEKDAY(TODAY(),2)+8)))</f>
        <v>0</v>
      </c>
      <c r="AA88" s="36">
        <f ca="1">IF($A88="","",IF(AA$1="","",COUNTIFS(tbl_chests[from],$A88,tbl_chests[legalized],AA$1,tbl_chests[datetime],"&gt;="&amp;TODAY()-WEEKDAY(TODAY(),2)+1,tbl_chests[datetime],"&lt;"&amp;TODAY()-WEEKDAY(TODAY(),2)+8)))</f>
        <v>0</v>
      </c>
      <c r="AB88" s="36">
        <f ca="1">IF($A88="","",IF(AB$1="","",COUNTIFS(tbl_chests[from],$A88,tbl_chests[legalized],AB$1,tbl_chests[datetime],"&gt;="&amp;TODAY()-WEEKDAY(TODAY(),2)+1,tbl_chests[datetime],"&lt;"&amp;TODAY()-WEEKDAY(TODAY(),2)+8)))</f>
        <v>0</v>
      </c>
      <c r="AC88" s="36">
        <f ca="1">IF($A88="","",IF(AC$1="","",COUNTIFS(tbl_chests[from],$A88,tbl_chests[legalized],AC$1,tbl_chests[datetime],"&gt;="&amp;TODAY()-WEEKDAY(TODAY(),2)+1,tbl_chests[datetime],"&lt;"&amp;TODAY()-WEEKDAY(TODAY(),2)+8)))</f>
        <v>0</v>
      </c>
      <c r="AD88" s="36">
        <f ca="1">IF($A88="","",IF(AD$1="","",COUNTIFS(tbl_chests[from],$A88,tbl_chests[legalized],AD$1,tbl_chests[datetime],"&gt;="&amp;TODAY()-WEEKDAY(TODAY(),2)+1,tbl_chests[datetime],"&lt;"&amp;TODAY()-WEEKDAY(TODAY(),2)+8)))</f>
        <v>0</v>
      </c>
      <c r="AE88" s="36">
        <f ca="1">IF($A88="","",IF(AE$1="","",COUNTIFS(tbl_chests[from],$A88,tbl_chests[legalized],AE$1,tbl_chests[datetime],"&gt;="&amp;TODAY()-WEEKDAY(TODAY(),2)+1,tbl_chests[datetime],"&lt;"&amp;TODAY()-WEEKDAY(TODAY(),2)+8)))</f>
        <v>0</v>
      </c>
      <c r="AF88" s="36">
        <f ca="1">IF($A88="","",IF(AF$1="","",COUNTIFS(tbl_chests[from],$A88,tbl_chests[legalized],AF$1,tbl_chests[datetime],"&gt;="&amp;TODAY()-WEEKDAY(TODAY(),2)+1,tbl_chests[datetime],"&lt;"&amp;TODAY()-WEEKDAY(TODAY(),2)+8)))</f>
        <v>0</v>
      </c>
      <c r="AG88" s="36">
        <f ca="1">IF($A88="","",IF(AG$1="","",COUNTIFS(tbl_chests[from],$A88,tbl_chests[legalized],AG$1,tbl_chests[datetime],"&gt;="&amp;TODAY()-WEEKDAY(TODAY(),2)+1,tbl_chests[datetime],"&lt;"&amp;TODAY()-WEEKDAY(TODAY(),2)+8)))</f>
        <v>0</v>
      </c>
      <c r="AH88" s="36">
        <f ca="1">IF($A88="","",IF(AH$1="","",COUNTIFS(tbl_chests[from],$A88,tbl_chests[legalized],AH$1,tbl_chests[datetime],"&gt;="&amp;TODAY()-WEEKDAY(TODAY(),2)+1,tbl_chests[datetime],"&lt;"&amp;TODAY()-WEEKDAY(TODAY(),2)+8)))</f>
        <v>0</v>
      </c>
      <c r="AI88" s="36">
        <f ca="1">IF($A88="","",IF(AI$1="","",COUNTIFS(tbl_chests[from],$A88,tbl_chests[legalized],AI$1,tbl_chests[datetime],"&gt;="&amp;TODAY()-WEEKDAY(TODAY(),2)+1,tbl_chests[datetime],"&lt;"&amp;TODAY()-WEEKDAY(TODAY(),2)+8)))</f>
        <v>0</v>
      </c>
      <c r="AJ88" s="36">
        <f ca="1">IF($A88="","",IF(AJ$1="","",COUNTIFS(tbl_chests[from],$A88,tbl_chests[legalized],AJ$1,tbl_chests[datetime],"&gt;="&amp;TODAY()-WEEKDAY(TODAY(),2)+1,tbl_chests[datetime],"&lt;"&amp;TODAY()-WEEKDAY(TODAY(),2)+8)))</f>
        <v>0</v>
      </c>
      <c r="AK88" s="36">
        <f ca="1">IF($A88="","",IF(AK$1="","",COUNTIFS(tbl_chests[from],$A88,tbl_chests[legalized],AK$1,tbl_chests[datetime],"&gt;="&amp;TODAY()-WEEKDAY(TODAY(),2)+1,tbl_chests[datetime],"&lt;"&amp;TODAY()-WEEKDAY(TODAY(),2)+8)))</f>
        <v>0</v>
      </c>
      <c r="AL88" s="36">
        <f ca="1">IF($A88="","",IF(AL$1="","",COUNTIFS(tbl_chests[from],$A88,tbl_chests[legalized],AL$1,tbl_chests[datetime],"&gt;="&amp;TODAY()-WEEKDAY(TODAY(),2)+1,tbl_chests[datetime],"&lt;"&amp;TODAY()-WEEKDAY(TODAY(),2)+8)))</f>
        <v>0</v>
      </c>
      <c r="AM88" s="37">
        <f ca="1">IF($A88="","",IF(AM$1="","",COUNTIFS(tbl_chests[from],$A88,tbl_chests[legalized],AM$1,tbl_chests[datetime],"&gt;="&amp;TODAY()-WEEKDAY(TODAY(),2)+1,tbl_chests[datetime],"&lt;"&amp;TODAY()-WEEKDAY(TODAY(),2)+8)))</f>
        <v>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 ht="15.75" customHeight="1" x14ac:dyDescent="0.25">
      <c r="A89" s="34">
        <f>chests_counter!$H86</f>
        <v>0</v>
      </c>
      <c r="B89" s="35" cm="1">
        <f t="array" aca="1" ref="B89" ca="1">IF(A89&lt;&gt;"", SUMPRODUCT(($C$2:$AM$2&lt;&gt;0)*(C89:AM89&lt;&gt;0)*($C$2:$AM$2)*(C89:AM89)), "")</f>
        <v>0</v>
      </c>
      <c r="C89" s="36">
        <f ca="1">IF($A89="","",IF(C$1="","",COUNTIFS(tbl_chests[from],$A89,tbl_chests[legalized],C$1,tbl_chests[datetime],"&gt;="&amp;TODAY()-WEEKDAY(TODAY(),2)+1,tbl_chests[datetime],"&lt;"&amp;TODAY()-WEEKDAY(TODAY(),2)+8)))</f>
        <v>0</v>
      </c>
      <c r="D89" s="36">
        <f ca="1">IF($A89="","",IF(D$1="","",COUNTIFS(tbl_chests[from],$A89,tbl_chests[legalized],D$1,tbl_chests[datetime],"&gt;="&amp;TODAY()-WEEKDAY(TODAY(),2)+1,tbl_chests[datetime],"&lt;"&amp;TODAY()-WEEKDAY(TODAY(),2)+8)))</f>
        <v>0</v>
      </c>
      <c r="E89" s="36">
        <f ca="1">IF($A89="","",IF(E$1="","",COUNTIFS(tbl_chests[from],$A89,tbl_chests[legalized],E$1,tbl_chests[datetime],"&gt;="&amp;TODAY()-WEEKDAY(TODAY(),2)+1,tbl_chests[datetime],"&lt;"&amp;TODAY()-WEEKDAY(TODAY(),2)+8)))</f>
        <v>0</v>
      </c>
      <c r="F89" s="36">
        <f ca="1">IF($A89="","",IF(F$1="","",COUNTIFS(tbl_chests[from],$A89,tbl_chests[legalized],F$1,tbl_chests[datetime],"&gt;="&amp;TODAY()-WEEKDAY(TODAY(),2)+1,tbl_chests[datetime],"&lt;"&amp;TODAY()-WEEKDAY(TODAY(),2)+8)))</f>
        <v>0</v>
      </c>
      <c r="G89" s="36">
        <f ca="1">IF($A89="","",IF(G$1="","",COUNTIFS(tbl_chests[from],$A89,tbl_chests[legalized],G$1,tbl_chests[datetime],"&gt;="&amp;TODAY()-WEEKDAY(TODAY(),2)+1,tbl_chests[datetime],"&lt;"&amp;TODAY()-WEEKDAY(TODAY(),2)+8)))</f>
        <v>0</v>
      </c>
      <c r="H89" s="36">
        <f ca="1">IF($A89="","",IF(H$1="","",COUNTIFS(tbl_chests[from],$A89,tbl_chests[legalized],H$1,tbl_chests[datetime],"&gt;="&amp;TODAY()-WEEKDAY(TODAY(),2)+1,tbl_chests[datetime],"&lt;"&amp;TODAY()-WEEKDAY(TODAY(),2)+8)))</f>
        <v>0</v>
      </c>
      <c r="I89" s="36">
        <f ca="1">IF($A89="","",IF(I$1="","",COUNTIFS(tbl_chests[from],$A89,tbl_chests[legalized],I$1,tbl_chests[datetime],"&gt;="&amp;TODAY()-WEEKDAY(TODAY(),2)+1,tbl_chests[datetime],"&lt;"&amp;TODAY()-WEEKDAY(TODAY(),2)+8)))</f>
        <v>0</v>
      </c>
      <c r="J89" s="36">
        <f ca="1">IF($A89="","",IF(J$1="","",COUNTIFS(tbl_chests[from],$A89,tbl_chests[legalized],J$1,tbl_chests[datetime],"&gt;="&amp;TODAY()-WEEKDAY(TODAY(),2)+1,tbl_chests[datetime],"&lt;"&amp;TODAY()-WEEKDAY(TODAY(),2)+8)))</f>
        <v>0</v>
      </c>
      <c r="K89" s="36">
        <f ca="1">IF($A89="","",IF(K$1="","",COUNTIFS(tbl_chests[from],$A89,tbl_chests[legalized],K$1,tbl_chests[datetime],"&gt;="&amp;TODAY()-WEEKDAY(TODAY(),2)+1,tbl_chests[datetime],"&lt;"&amp;TODAY()-WEEKDAY(TODAY(),2)+8)))</f>
        <v>0</v>
      </c>
      <c r="L89" s="36">
        <f ca="1">IF($A89="","",IF(L$1="","",COUNTIFS(tbl_chests[from],$A89,tbl_chests[legalized],L$1,tbl_chests[datetime],"&gt;="&amp;TODAY()-WEEKDAY(TODAY(),2)+1,tbl_chests[datetime],"&lt;"&amp;TODAY()-WEEKDAY(TODAY(),2)+8)))</f>
        <v>0</v>
      </c>
      <c r="M89" s="36">
        <f ca="1">IF($A89="","",IF(M$1="","",COUNTIFS(tbl_chests[from],$A89,tbl_chests[legalized],M$1,tbl_chests[datetime],"&gt;="&amp;TODAY()-WEEKDAY(TODAY(),2)+1,tbl_chests[datetime],"&lt;"&amp;TODAY()-WEEKDAY(TODAY(),2)+8)))</f>
        <v>0</v>
      </c>
      <c r="N89" s="36">
        <f ca="1">IF($A89="","",IF(N$1="","",COUNTIFS(tbl_chests[from],$A89,tbl_chests[legalized],N$1,tbl_chests[datetime],"&gt;="&amp;TODAY()-WEEKDAY(TODAY(),2)+1,tbl_chests[datetime],"&lt;"&amp;TODAY()-WEEKDAY(TODAY(),2)+8)))</f>
        <v>0</v>
      </c>
      <c r="O89" s="36">
        <f ca="1">IF($A89="","",IF(O$1="","",COUNTIFS(tbl_chests[from],$A89,tbl_chests[legalized],O$1,tbl_chests[datetime],"&gt;="&amp;TODAY()-WEEKDAY(TODAY(),2)+1,tbl_chests[datetime],"&lt;"&amp;TODAY()-WEEKDAY(TODAY(),2)+8)))</f>
        <v>0</v>
      </c>
      <c r="P89" s="36">
        <f ca="1">IF($A89="","",IF(P$1="","",COUNTIFS(tbl_chests[from],$A89,tbl_chests[legalized],P$1,tbl_chests[datetime],"&gt;="&amp;TODAY()-WEEKDAY(TODAY(),2)+1,tbl_chests[datetime],"&lt;"&amp;TODAY()-WEEKDAY(TODAY(),2)+8)))</f>
        <v>0</v>
      </c>
      <c r="Q89" s="36">
        <f ca="1">IF($A89="","",IF(Q$1="","",COUNTIFS(tbl_chests[from],$A89,tbl_chests[legalized],Q$1,tbl_chests[datetime],"&gt;="&amp;TODAY()-WEEKDAY(TODAY(),2)+1,tbl_chests[datetime],"&lt;"&amp;TODAY()-WEEKDAY(TODAY(),2)+8)))</f>
        <v>0</v>
      </c>
      <c r="R89" s="36">
        <f ca="1">IF($A89="","",IF(R$1="","",COUNTIFS(tbl_chests[from],$A89,tbl_chests[legalized],R$1,tbl_chests[datetime],"&gt;="&amp;TODAY()-WEEKDAY(TODAY(),2)+1,tbl_chests[datetime],"&lt;"&amp;TODAY()-WEEKDAY(TODAY(),2)+8)))</f>
        <v>0</v>
      </c>
      <c r="S89" s="36">
        <f ca="1">IF($A89="","",IF(S$1="","",COUNTIFS(tbl_chests[from],$A89,tbl_chests[legalized],S$1,tbl_chests[datetime],"&gt;="&amp;TODAY()-WEEKDAY(TODAY(),2)+1,tbl_chests[datetime],"&lt;"&amp;TODAY()-WEEKDAY(TODAY(),2)+8)))</f>
        <v>0</v>
      </c>
      <c r="T89" s="36">
        <f ca="1">IF($A89="","",IF(T$1="","",COUNTIFS(tbl_chests[from],$A89,tbl_chests[legalized],T$1,tbl_chests[datetime],"&gt;="&amp;TODAY()-WEEKDAY(TODAY(),2)+1,tbl_chests[datetime],"&lt;"&amp;TODAY()-WEEKDAY(TODAY(),2)+8)))</f>
        <v>0</v>
      </c>
      <c r="U89" s="36">
        <f ca="1">IF($A89="","",IF(U$1="","",COUNTIFS(tbl_chests[from],$A89,tbl_chests[legalized],U$1,tbl_chests[datetime],"&gt;="&amp;TODAY()-WEEKDAY(TODAY(),2)+1,tbl_chests[datetime],"&lt;"&amp;TODAY()-WEEKDAY(TODAY(),2)+8)))</f>
        <v>0</v>
      </c>
      <c r="V89" s="36">
        <f ca="1">IF($A89="","",IF(V$1="","",COUNTIFS(tbl_chests[from],$A89,tbl_chests[legalized],V$1,tbl_chests[datetime],"&gt;="&amp;TODAY()-WEEKDAY(TODAY(),2)+1,tbl_chests[datetime],"&lt;"&amp;TODAY()-WEEKDAY(TODAY(),2)+8)))</f>
        <v>0</v>
      </c>
      <c r="W89" s="36">
        <f ca="1">IF($A89="","",IF(W$1="","",COUNTIFS(tbl_chests[from],$A89,tbl_chests[legalized],W$1,tbl_chests[datetime],"&gt;="&amp;TODAY()-WEEKDAY(TODAY(),2)+1,tbl_chests[datetime],"&lt;"&amp;TODAY()-WEEKDAY(TODAY(),2)+8)))</f>
        <v>0</v>
      </c>
      <c r="X89" s="36">
        <f ca="1">IF($A89="","",IF(X$1="","",COUNTIFS(tbl_chests[from],$A89,tbl_chests[legalized],X$1,tbl_chests[datetime],"&gt;="&amp;TODAY()-WEEKDAY(TODAY(),2)+1,tbl_chests[datetime],"&lt;"&amp;TODAY()-WEEKDAY(TODAY(),2)+8)))</f>
        <v>0</v>
      </c>
      <c r="Y89" s="36">
        <f ca="1">IF($A89="","",IF(Y$1="","",COUNTIFS(tbl_chests[from],$A89,tbl_chests[legalized],Y$1,tbl_chests[datetime],"&gt;="&amp;TODAY()-WEEKDAY(TODAY(),2)+1,tbl_chests[datetime],"&lt;"&amp;TODAY()-WEEKDAY(TODAY(),2)+8)))</f>
        <v>0</v>
      </c>
      <c r="Z89" s="36">
        <f ca="1">IF($A89="","",IF(Z$1="","",COUNTIFS(tbl_chests[from],$A89,tbl_chests[legalized],Z$1,tbl_chests[datetime],"&gt;="&amp;TODAY()-WEEKDAY(TODAY(),2)+1,tbl_chests[datetime],"&lt;"&amp;TODAY()-WEEKDAY(TODAY(),2)+8)))</f>
        <v>0</v>
      </c>
      <c r="AA89" s="36">
        <f ca="1">IF($A89="","",IF(AA$1="","",COUNTIFS(tbl_chests[from],$A89,tbl_chests[legalized],AA$1,tbl_chests[datetime],"&gt;="&amp;TODAY()-WEEKDAY(TODAY(),2)+1,tbl_chests[datetime],"&lt;"&amp;TODAY()-WEEKDAY(TODAY(),2)+8)))</f>
        <v>0</v>
      </c>
      <c r="AB89" s="36">
        <f ca="1">IF($A89="","",IF(AB$1="","",COUNTIFS(tbl_chests[from],$A89,tbl_chests[legalized],AB$1,tbl_chests[datetime],"&gt;="&amp;TODAY()-WEEKDAY(TODAY(),2)+1,tbl_chests[datetime],"&lt;"&amp;TODAY()-WEEKDAY(TODAY(),2)+8)))</f>
        <v>0</v>
      </c>
      <c r="AC89" s="36">
        <f ca="1">IF($A89="","",IF(AC$1="","",COUNTIFS(tbl_chests[from],$A89,tbl_chests[legalized],AC$1,tbl_chests[datetime],"&gt;="&amp;TODAY()-WEEKDAY(TODAY(),2)+1,tbl_chests[datetime],"&lt;"&amp;TODAY()-WEEKDAY(TODAY(),2)+8)))</f>
        <v>0</v>
      </c>
      <c r="AD89" s="36">
        <f ca="1">IF($A89="","",IF(AD$1="","",COUNTIFS(tbl_chests[from],$A89,tbl_chests[legalized],AD$1,tbl_chests[datetime],"&gt;="&amp;TODAY()-WEEKDAY(TODAY(),2)+1,tbl_chests[datetime],"&lt;"&amp;TODAY()-WEEKDAY(TODAY(),2)+8)))</f>
        <v>0</v>
      </c>
      <c r="AE89" s="36">
        <f ca="1">IF($A89="","",IF(AE$1="","",COUNTIFS(tbl_chests[from],$A89,tbl_chests[legalized],AE$1,tbl_chests[datetime],"&gt;="&amp;TODAY()-WEEKDAY(TODAY(),2)+1,tbl_chests[datetime],"&lt;"&amp;TODAY()-WEEKDAY(TODAY(),2)+8)))</f>
        <v>0</v>
      </c>
      <c r="AF89" s="36">
        <f ca="1">IF($A89="","",IF(AF$1="","",COUNTIFS(tbl_chests[from],$A89,tbl_chests[legalized],AF$1,tbl_chests[datetime],"&gt;="&amp;TODAY()-WEEKDAY(TODAY(),2)+1,tbl_chests[datetime],"&lt;"&amp;TODAY()-WEEKDAY(TODAY(),2)+8)))</f>
        <v>0</v>
      </c>
      <c r="AG89" s="36">
        <f ca="1">IF($A89="","",IF(AG$1="","",COUNTIFS(tbl_chests[from],$A89,tbl_chests[legalized],AG$1,tbl_chests[datetime],"&gt;="&amp;TODAY()-WEEKDAY(TODAY(),2)+1,tbl_chests[datetime],"&lt;"&amp;TODAY()-WEEKDAY(TODAY(),2)+8)))</f>
        <v>0</v>
      </c>
      <c r="AH89" s="36">
        <f ca="1">IF($A89="","",IF(AH$1="","",COUNTIFS(tbl_chests[from],$A89,tbl_chests[legalized],AH$1,tbl_chests[datetime],"&gt;="&amp;TODAY()-WEEKDAY(TODAY(),2)+1,tbl_chests[datetime],"&lt;"&amp;TODAY()-WEEKDAY(TODAY(),2)+8)))</f>
        <v>0</v>
      </c>
      <c r="AI89" s="36">
        <f ca="1">IF($A89="","",IF(AI$1="","",COUNTIFS(tbl_chests[from],$A89,tbl_chests[legalized],AI$1,tbl_chests[datetime],"&gt;="&amp;TODAY()-WEEKDAY(TODAY(),2)+1,tbl_chests[datetime],"&lt;"&amp;TODAY()-WEEKDAY(TODAY(),2)+8)))</f>
        <v>0</v>
      </c>
      <c r="AJ89" s="36">
        <f ca="1">IF($A89="","",IF(AJ$1="","",COUNTIFS(tbl_chests[from],$A89,tbl_chests[legalized],AJ$1,tbl_chests[datetime],"&gt;="&amp;TODAY()-WEEKDAY(TODAY(),2)+1,tbl_chests[datetime],"&lt;"&amp;TODAY()-WEEKDAY(TODAY(),2)+8)))</f>
        <v>0</v>
      </c>
      <c r="AK89" s="36">
        <f ca="1">IF($A89="","",IF(AK$1="","",COUNTIFS(tbl_chests[from],$A89,tbl_chests[legalized],AK$1,tbl_chests[datetime],"&gt;="&amp;TODAY()-WEEKDAY(TODAY(),2)+1,tbl_chests[datetime],"&lt;"&amp;TODAY()-WEEKDAY(TODAY(),2)+8)))</f>
        <v>0</v>
      </c>
      <c r="AL89" s="36">
        <f ca="1">IF($A89="","",IF(AL$1="","",COUNTIFS(tbl_chests[from],$A89,tbl_chests[legalized],AL$1,tbl_chests[datetime],"&gt;="&amp;TODAY()-WEEKDAY(TODAY(),2)+1,tbl_chests[datetime],"&lt;"&amp;TODAY()-WEEKDAY(TODAY(),2)+8)))</f>
        <v>0</v>
      </c>
      <c r="AM89" s="37">
        <f ca="1">IF($A89="","",IF(AM$1="","",COUNTIFS(tbl_chests[from],$A89,tbl_chests[legalized],AM$1,tbl_chests[datetime],"&gt;="&amp;TODAY()-WEEKDAY(TODAY(),2)+1,tbl_chests[datetime],"&lt;"&amp;TODAY()-WEEKDAY(TODAY(),2)+8)))</f>
        <v>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 ht="15.75" customHeight="1" x14ac:dyDescent="0.25">
      <c r="A90" s="34">
        <f>chests_counter!$H87</f>
        <v>0</v>
      </c>
      <c r="B90" s="35" cm="1">
        <f t="array" aca="1" ref="B90" ca="1">IF(A90&lt;&gt;"", SUMPRODUCT(($C$2:$AM$2&lt;&gt;0)*(C90:AM90&lt;&gt;0)*($C$2:$AM$2)*(C90:AM90)), "")</f>
        <v>0</v>
      </c>
      <c r="C90" s="36">
        <f ca="1">IF($A90="","",IF(C$1="","",COUNTIFS(tbl_chests[from],$A90,tbl_chests[legalized],C$1,tbl_chests[datetime],"&gt;="&amp;TODAY()-WEEKDAY(TODAY(),2)+1,tbl_chests[datetime],"&lt;"&amp;TODAY()-WEEKDAY(TODAY(),2)+8)))</f>
        <v>0</v>
      </c>
      <c r="D90" s="36">
        <f ca="1">IF($A90="","",IF(D$1="","",COUNTIFS(tbl_chests[from],$A90,tbl_chests[legalized],D$1,tbl_chests[datetime],"&gt;="&amp;TODAY()-WEEKDAY(TODAY(),2)+1,tbl_chests[datetime],"&lt;"&amp;TODAY()-WEEKDAY(TODAY(),2)+8)))</f>
        <v>0</v>
      </c>
      <c r="E90" s="36">
        <f ca="1">IF($A90="","",IF(E$1="","",COUNTIFS(tbl_chests[from],$A90,tbl_chests[legalized],E$1,tbl_chests[datetime],"&gt;="&amp;TODAY()-WEEKDAY(TODAY(),2)+1,tbl_chests[datetime],"&lt;"&amp;TODAY()-WEEKDAY(TODAY(),2)+8)))</f>
        <v>0</v>
      </c>
      <c r="F90" s="36">
        <f ca="1">IF($A90="","",IF(F$1="","",COUNTIFS(tbl_chests[from],$A90,tbl_chests[legalized],F$1,tbl_chests[datetime],"&gt;="&amp;TODAY()-WEEKDAY(TODAY(),2)+1,tbl_chests[datetime],"&lt;"&amp;TODAY()-WEEKDAY(TODAY(),2)+8)))</f>
        <v>0</v>
      </c>
      <c r="G90" s="36">
        <f ca="1">IF($A90="","",IF(G$1="","",COUNTIFS(tbl_chests[from],$A90,tbl_chests[legalized],G$1,tbl_chests[datetime],"&gt;="&amp;TODAY()-WEEKDAY(TODAY(),2)+1,tbl_chests[datetime],"&lt;"&amp;TODAY()-WEEKDAY(TODAY(),2)+8)))</f>
        <v>0</v>
      </c>
      <c r="H90" s="36">
        <f ca="1">IF($A90="","",IF(H$1="","",COUNTIFS(tbl_chests[from],$A90,tbl_chests[legalized],H$1,tbl_chests[datetime],"&gt;="&amp;TODAY()-WEEKDAY(TODAY(),2)+1,tbl_chests[datetime],"&lt;"&amp;TODAY()-WEEKDAY(TODAY(),2)+8)))</f>
        <v>0</v>
      </c>
      <c r="I90" s="36">
        <f ca="1">IF($A90="","",IF(I$1="","",COUNTIFS(tbl_chests[from],$A90,tbl_chests[legalized],I$1,tbl_chests[datetime],"&gt;="&amp;TODAY()-WEEKDAY(TODAY(),2)+1,tbl_chests[datetime],"&lt;"&amp;TODAY()-WEEKDAY(TODAY(),2)+8)))</f>
        <v>0</v>
      </c>
      <c r="J90" s="36">
        <f ca="1">IF($A90="","",IF(J$1="","",COUNTIFS(tbl_chests[from],$A90,tbl_chests[legalized],J$1,tbl_chests[datetime],"&gt;="&amp;TODAY()-WEEKDAY(TODAY(),2)+1,tbl_chests[datetime],"&lt;"&amp;TODAY()-WEEKDAY(TODAY(),2)+8)))</f>
        <v>0</v>
      </c>
      <c r="K90" s="36">
        <f ca="1">IF($A90="","",IF(K$1="","",COUNTIFS(tbl_chests[from],$A90,tbl_chests[legalized],K$1,tbl_chests[datetime],"&gt;="&amp;TODAY()-WEEKDAY(TODAY(),2)+1,tbl_chests[datetime],"&lt;"&amp;TODAY()-WEEKDAY(TODAY(),2)+8)))</f>
        <v>0</v>
      </c>
      <c r="L90" s="36">
        <f ca="1">IF($A90="","",IF(L$1="","",COUNTIFS(tbl_chests[from],$A90,tbl_chests[legalized],L$1,tbl_chests[datetime],"&gt;="&amp;TODAY()-WEEKDAY(TODAY(),2)+1,tbl_chests[datetime],"&lt;"&amp;TODAY()-WEEKDAY(TODAY(),2)+8)))</f>
        <v>0</v>
      </c>
      <c r="M90" s="36">
        <f ca="1">IF($A90="","",IF(M$1="","",COUNTIFS(tbl_chests[from],$A90,tbl_chests[legalized],M$1,tbl_chests[datetime],"&gt;="&amp;TODAY()-WEEKDAY(TODAY(),2)+1,tbl_chests[datetime],"&lt;"&amp;TODAY()-WEEKDAY(TODAY(),2)+8)))</f>
        <v>0</v>
      </c>
      <c r="N90" s="36">
        <f ca="1">IF($A90="","",IF(N$1="","",COUNTIFS(tbl_chests[from],$A90,tbl_chests[legalized],N$1,tbl_chests[datetime],"&gt;="&amp;TODAY()-WEEKDAY(TODAY(),2)+1,tbl_chests[datetime],"&lt;"&amp;TODAY()-WEEKDAY(TODAY(),2)+8)))</f>
        <v>0</v>
      </c>
      <c r="O90" s="36">
        <f ca="1">IF($A90="","",IF(O$1="","",COUNTIFS(tbl_chests[from],$A90,tbl_chests[legalized],O$1,tbl_chests[datetime],"&gt;="&amp;TODAY()-WEEKDAY(TODAY(),2)+1,tbl_chests[datetime],"&lt;"&amp;TODAY()-WEEKDAY(TODAY(),2)+8)))</f>
        <v>0</v>
      </c>
      <c r="P90" s="36">
        <f ca="1">IF($A90="","",IF(P$1="","",COUNTIFS(tbl_chests[from],$A90,tbl_chests[legalized],P$1,tbl_chests[datetime],"&gt;="&amp;TODAY()-WEEKDAY(TODAY(),2)+1,tbl_chests[datetime],"&lt;"&amp;TODAY()-WEEKDAY(TODAY(),2)+8)))</f>
        <v>0</v>
      </c>
      <c r="Q90" s="36">
        <f ca="1">IF($A90="","",IF(Q$1="","",COUNTIFS(tbl_chests[from],$A90,tbl_chests[legalized],Q$1,tbl_chests[datetime],"&gt;="&amp;TODAY()-WEEKDAY(TODAY(),2)+1,tbl_chests[datetime],"&lt;"&amp;TODAY()-WEEKDAY(TODAY(),2)+8)))</f>
        <v>0</v>
      </c>
      <c r="R90" s="36">
        <f ca="1">IF($A90="","",IF(R$1="","",COUNTIFS(tbl_chests[from],$A90,tbl_chests[legalized],R$1,tbl_chests[datetime],"&gt;="&amp;TODAY()-WEEKDAY(TODAY(),2)+1,tbl_chests[datetime],"&lt;"&amp;TODAY()-WEEKDAY(TODAY(),2)+8)))</f>
        <v>0</v>
      </c>
      <c r="S90" s="36">
        <f ca="1">IF($A90="","",IF(S$1="","",COUNTIFS(tbl_chests[from],$A90,tbl_chests[legalized],S$1,tbl_chests[datetime],"&gt;="&amp;TODAY()-WEEKDAY(TODAY(),2)+1,tbl_chests[datetime],"&lt;"&amp;TODAY()-WEEKDAY(TODAY(),2)+8)))</f>
        <v>0</v>
      </c>
      <c r="T90" s="36">
        <f ca="1">IF($A90="","",IF(T$1="","",COUNTIFS(tbl_chests[from],$A90,tbl_chests[legalized],T$1,tbl_chests[datetime],"&gt;="&amp;TODAY()-WEEKDAY(TODAY(),2)+1,tbl_chests[datetime],"&lt;"&amp;TODAY()-WEEKDAY(TODAY(),2)+8)))</f>
        <v>0</v>
      </c>
      <c r="U90" s="36">
        <f ca="1">IF($A90="","",IF(U$1="","",COUNTIFS(tbl_chests[from],$A90,tbl_chests[legalized],U$1,tbl_chests[datetime],"&gt;="&amp;TODAY()-WEEKDAY(TODAY(),2)+1,tbl_chests[datetime],"&lt;"&amp;TODAY()-WEEKDAY(TODAY(),2)+8)))</f>
        <v>0</v>
      </c>
      <c r="V90" s="36">
        <f ca="1">IF($A90="","",IF(V$1="","",COUNTIFS(tbl_chests[from],$A90,tbl_chests[legalized],V$1,tbl_chests[datetime],"&gt;="&amp;TODAY()-WEEKDAY(TODAY(),2)+1,tbl_chests[datetime],"&lt;"&amp;TODAY()-WEEKDAY(TODAY(),2)+8)))</f>
        <v>0</v>
      </c>
      <c r="W90" s="36">
        <f ca="1">IF($A90="","",IF(W$1="","",COUNTIFS(tbl_chests[from],$A90,tbl_chests[legalized],W$1,tbl_chests[datetime],"&gt;="&amp;TODAY()-WEEKDAY(TODAY(),2)+1,tbl_chests[datetime],"&lt;"&amp;TODAY()-WEEKDAY(TODAY(),2)+8)))</f>
        <v>0</v>
      </c>
      <c r="X90" s="36">
        <f ca="1">IF($A90="","",IF(X$1="","",COUNTIFS(tbl_chests[from],$A90,tbl_chests[legalized],X$1,tbl_chests[datetime],"&gt;="&amp;TODAY()-WEEKDAY(TODAY(),2)+1,tbl_chests[datetime],"&lt;"&amp;TODAY()-WEEKDAY(TODAY(),2)+8)))</f>
        <v>0</v>
      </c>
      <c r="Y90" s="36">
        <f ca="1">IF($A90="","",IF(Y$1="","",COUNTIFS(tbl_chests[from],$A90,tbl_chests[legalized],Y$1,tbl_chests[datetime],"&gt;="&amp;TODAY()-WEEKDAY(TODAY(),2)+1,tbl_chests[datetime],"&lt;"&amp;TODAY()-WEEKDAY(TODAY(),2)+8)))</f>
        <v>0</v>
      </c>
      <c r="Z90" s="36">
        <f ca="1">IF($A90="","",IF(Z$1="","",COUNTIFS(tbl_chests[from],$A90,tbl_chests[legalized],Z$1,tbl_chests[datetime],"&gt;="&amp;TODAY()-WEEKDAY(TODAY(),2)+1,tbl_chests[datetime],"&lt;"&amp;TODAY()-WEEKDAY(TODAY(),2)+8)))</f>
        <v>0</v>
      </c>
      <c r="AA90" s="36">
        <f ca="1">IF($A90="","",IF(AA$1="","",COUNTIFS(tbl_chests[from],$A90,tbl_chests[legalized],AA$1,tbl_chests[datetime],"&gt;="&amp;TODAY()-WEEKDAY(TODAY(),2)+1,tbl_chests[datetime],"&lt;"&amp;TODAY()-WEEKDAY(TODAY(),2)+8)))</f>
        <v>0</v>
      </c>
      <c r="AB90" s="36">
        <f ca="1">IF($A90="","",IF(AB$1="","",COUNTIFS(tbl_chests[from],$A90,tbl_chests[legalized],AB$1,tbl_chests[datetime],"&gt;="&amp;TODAY()-WEEKDAY(TODAY(),2)+1,tbl_chests[datetime],"&lt;"&amp;TODAY()-WEEKDAY(TODAY(),2)+8)))</f>
        <v>0</v>
      </c>
      <c r="AC90" s="36">
        <f ca="1">IF($A90="","",IF(AC$1="","",COUNTIFS(tbl_chests[from],$A90,tbl_chests[legalized],AC$1,tbl_chests[datetime],"&gt;="&amp;TODAY()-WEEKDAY(TODAY(),2)+1,tbl_chests[datetime],"&lt;"&amp;TODAY()-WEEKDAY(TODAY(),2)+8)))</f>
        <v>0</v>
      </c>
      <c r="AD90" s="36">
        <f ca="1">IF($A90="","",IF(AD$1="","",COUNTIFS(tbl_chests[from],$A90,tbl_chests[legalized],AD$1,tbl_chests[datetime],"&gt;="&amp;TODAY()-WEEKDAY(TODAY(),2)+1,tbl_chests[datetime],"&lt;"&amp;TODAY()-WEEKDAY(TODAY(),2)+8)))</f>
        <v>0</v>
      </c>
      <c r="AE90" s="36">
        <f ca="1">IF($A90="","",IF(AE$1="","",COUNTIFS(tbl_chests[from],$A90,tbl_chests[legalized],AE$1,tbl_chests[datetime],"&gt;="&amp;TODAY()-WEEKDAY(TODAY(),2)+1,tbl_chests[datetime],"&lt;"&amp;TODAY()-WEEKDAY(TODAY(),2)+8)))</f>
        <v>0</v>
      </c>
      <c r="AF90" s="36">
        <f ca="1">IF($A90="","",IF(AF$1="","",COUNTIFS(tbl_chests[from],$A90,tbl_chests[legalized],AF$1,tbl_chests[datetime],"&gt;="&amp;TODAY()-WEEKDAY(TODAY(),2)+1,tbl_chests[datetime],"&lt;"&amp;TODAY()-WEEKDAY(TODAY(),2)+8)))</f>
        <v>0</v>
      </c>
      <c r="AG90" s="36">
        <f ca="1">IF($A90="","",IF(AG$1="","",COUNTIFS(tbl_chests[from],$A90,tbl_chests[legalized],AG$1,tbl_chests[datetime],"&gt;="&amp;TODAY()-WEEKDAY(TODAY(),2)+1,tbl_chests[datetime],"&lt;"&amp;TODAY()-WEEKDAY(TODAY(),2)+8)))</f>
        <v>0</v>
      </c>
      <c r="AH90" s="36">
        <f ca="1">IF($A90="","",IF(AH$1="","",COUNTIFS(tbl_chests[from],$A90,tbl_chests[legalized],AH$1,tbl_chests[datetime],"&gt;="&amp;TODAY()-WEEKDAY(TODAY(),2)+1,tbl_chests[datetime],"&lt;"&amp;TODAY()-WEEKDAY(TODAY(),2)+8)))</f>
        <v>0</v>
      </c>
      <c r="AI90" s="36">
        <f ca="1">IF($A90="","",IF(AI$1="","",COUNTIFS(tbl_chests[from],$A90,tbl_chests[legalized],AI$1,tbl_chests[datetime],"&gt;="&amp;TODAY()-WEEKDAY(TODAY(),2)+1,tbl_chests[datetime],"&lt;"&amp;TODAY()-WEEKDAY(TODAY(),2)+8)))</f>
        <v>0</v>
      </c>
      <c r="AJ90" s="36">
        <f ca="1">IF($A90="","",IF(AJ$1="","",COUNTIFS(tbl_chests[from],$A90,tbl_chests[legalized],AJ$1,tbl_chests[datetime],"&gt;="&amp;TODAY()-WEEKDAY(TODAY(),2)+1,tbl_chests[datetime],"&lt;"&amp;TODAY()-WEEKDAY(TODAY(),2)+8)))</f>
        <v>0</v>
      </c>
      <c r="AK90" s="36">
        <f ca="1">IF($A90="","",IF(AK$1="","",COUNTIFS(tbl_chests[from],$A90,tbl_chests[legalized],AK$1,tbl_chests[datetime],"&gt;="&amp;TODAY()-WEEKDAY(TODAY(),2)+1,tbl_chests[datetime],"&lt;"&amp;TODAY()-WEEKDAY(TODAY(),2)+8)))</f>
        <v>0</v>
      </c>
      <c r="AL90" s="36">
        <f ca="1">IF($A90="","",IF(AL$1="","",COUNTIFS(tbl_chests[from],$A90,tbl_chests[legalized],AL$1,tbl_chests[datetime],"&gt;="&amp;TODAY()-WEEKDAY(TODAY(),2)+1,tbl_chests[datetime],"&lt;"&amp;TODAY()-WEEKDAY(TODAY(),2)+8)))</f>
        <v>0</v>
      </c>
      <c r="AM90" s="37">
        <f ca="1">IF($A90="","",IF(AM$1="","",COUNTIFS(tbl_chests[from],$A90,tbl_chests[legalized],AM$1,tbl_chests[datetime],"&gt;="&amp;TODAY()-WEEKDAY(TODAY(),2)+1,tbl_chests[datetime],"&lt;"&amp;TODAY()-WEEKDAY(TODAY(),2)+8)))</f>
        <v>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 ht="15.75" customHeight="1" x14ac:dyDescent="0.25">
      <c r="A91" s="34">
        <f>chests_counter!$H88</f>
        <v>0</v>
      </c>
      <c r="B91" s="35" cm="1">
        <f t="array" aca="1" ref="B91" ca="1">IF(A91&lt;&gt;"", SUMPRODUCT(($C$2:$AM$2&lt;&gt;0)*(C91:AM91&lt;&gt;0)*($C$2:$AM$2)*(C91:AM91)), "")</f>
        <v>0</v>
      </c>
      <c r="C91" s="36">
        <f ca="1">IF($A91="","",IF(C$1="","",COUNTIFS(tbl_chests[from],$A91,tbl_chests[legalized],C$1,tbl_chests[datetime],"&gt;="&amp;TODAY()-WEEKDAY(TODAY(),2)+1,tbl_chests[datetime],"&lt;"&amp;TODAY()-WEEKDAY(TODAY(),2)+8)))</f>
        <v>0</v>
      </c>
      <c r="D91" s="36">
        <f ca="1">IF($A91="","",IF(D$1="","",COUNTIFS(tbl_chests[from],$A91,tbl_chests[legalized],D$1,tbl_chests[datetime],"&gt;="&amp;TODAY()-WEEKDAY(TODAY(),2)+1,tbl_chests[datetime],"&lt;"&amp;TODAY()-WEEKDAY(TODAY(),2)+8)))</f>
        <v>0</v>
      </c>
      <c r="E91" s="36">
        <f ca="1">IF($A91="","",IF(E$1="","",COUNTIFS(tbl_chests[from],$A91,tbl_chests[legalized],E$1,tbl_chests[datetime],"&gt;="&amp;TODAY()-WEEKDAY(TODAY(),2)+1,tbl_chests[datetime],"&lt;"&amp;TODAY()-WEEKDAY(TODAY(),2)+8)))</f>
        <v>0</v>
      </c>
      <c r="F91" s="36">
        <f ca="1">IF($A91="","",IF(F$1="","",COUNTIFS(tbl_chests[from],$A91,tbl_chests[legalized],F$1,tbl_chests[datetime],"&gt;="&amp;TODAY()-WEEKDAY(TODAY(),2)+1,tbl_chests[datetime],"&lt;"&amp;TODAY()-WEEKDAY(TODAY(),2)+8)))</f>
        <v>0</v>
      </c>
      <c r="G91" s="36">
        <f ca="1">IF($A91="","",IF(G$1="","",COUNTIFS(tbl_chests[from],$A91,tbl_chests[legalized],G$1,tbl_chests[datetime],"&gt;="&amp;TODAY()-WEEKDAY(TODAY(),2)+1,tbl_chests[datetime],"&lt;"&amp;TODAY()-WEEKDAY(TODAY(),2)+8)))</f>
        <v>0</v>
      </c>
      <c r="H91" s="36">
        <f ca="1">IF($A91="","",IF(H$1="","",COUNTIFS(tbl_chests[from],$A91,tbl_chests[legalized],H$1,tbl_chests[datetime],"&gt;="&amp;TODAY()-WEEKDAY(TODAY(),2)+1,tbl_chests[datetime],"&lt;"&amp;TODAY()-WEEKDAY(TODAY(),2)+8)))</f>
        <v>0</v>
      </c>
      <c r="I91" s="36">
        <f ca="1">IF($A91="","",IF(I$1="","",COUNTIFS(tbl_chests[from],$A91,tbl_chests[legalized],I$1,tbl_chests[datetime],"&gt;="&amp;TODAY()-WEEKDAY(TODAY(),2)+1,tbl_chests[datetime],"&lt;"&amp;TODAY()-WEEKDAY(TODAY(),2)+8)))</f>
        <v>0</v>
      </c>
      <c r="J91" s="36">
        <f ca="1">IF($A91="","",IF(J$1="","",COUNTIFS(tbl_chests[from],$A91,tbl_chests[legalized],J$1,tbl_chests[datetime],"&gt;="&amp;TODAY()-WEEKDAY(TODAY(),2)+1,tbl_chests[datetime],"&lt;"&amp;TODAY()-WEEKDAY(TODAY(),2)+8)))</f>
        <v>0</v>
      </c>
      <c r="K91" s="36">
        <f ca="1">IF($A91="","",IF(K$1="","",COUNTIFS(tbl_chests[from],$A91,tbl_chests[legalized],K$1,tbl_chests[datetime],"&gt;="&amp;TODAY()-WEEKDAY(TODAY(),2)+1,tbl_chests[datetime],"&lt;"&amp;TODAY()-WEEKDAY(TODAY(),2)+8)))</f>
        <v>0</v>
      </c>
      <c r="L91" s="36">
        <f ca="1">IF($A91="","",IF(L$1="","",COUNTIFS(tbl_chests[from],$A91,tbl_chests[legalized],L$1,tbl_chests[datetime],"&gt;="&amp;TODAY()-WEEKDAY(TODAY(),2)+1,tbl_chests[datetime],"&lt;"&amp;TODAY()-WEEKDAY(TODAY(),2)+8)))</f>
        <v>0</v>
      </c>
      <c r="M91" s="36">
        <f ca="1">IF($A91="","",IF(M$1="","",COUNTIFS(tbl_chests[from],$A91,tbl_chests[legalized],M$1,tbl_chests[datetime],"&gt;="&amp;TODAY()-WEEKDAY(TODAY(),2)+1,tbl_chests[datetime],"&lt;"&amp;TODAY()-WEEKDAY(TODAY(),2)+8)))</f>
        <v>0</v>
      </c>
      <c r="N91" s="36">
        <f ca="1">IF($A91="","",IF(N$1="","",COUNTIFS(tbl_chests[from],$A91,tbl_chests[legalized],N$1,tbl_chests[datetime],"&gt;="&amp;TODAY()-WEEKDAY(TODAY(),2)+1,tbl_chests[datetime],"&lt;"&amp;TODAY()-WEEKDAY(TODAY(),2)+8)))</f>
        <v>0</v>
      </c>
      <c r="O91" s="36">
        <f ca="1">IF($A91="","",IF(O$1="","",COUNTIFS(tbl_chests[from],$A91,tbl_chests[legalized],O$1,tbl_chests[datetime],"&gt;="&amp;TODAY()-WEEKDAY(TODAY(),2)+1,tbl_chests[datetime],"&lt;"&amp;TODAY()-WEEKDAY(TODAY(),2)+8)))</f>
        <v>0</v>
      </c>
      <c r="P91" s="36">
        <f ca="1">IF($A91="","",IF(P$1="","",COUNTIFS(tbl_chests[from],$A91,tbl_chests[legalized],P$1,tbl_chests[datetime],"&gt;="&amp;TODAY()-WEEKDAY(TODAY(),2)+1,tbl_chests[datetime],"&lt;"&amp;TODAY()-WEEKDAY(TODAY(),2)+8)))</f>
        <v>0</v>
      </c>
      <c r="Q91" s="36">
        <f ca="1">IF($A91="","",IF(Q$1="","",COUNTIFS(tbl_chests[from],$A91,tbl_chests[legalized],Q$1,tbl_chests[datetime],"&gt;="&amp;TODAY()-WEEKDAY(TODAY(),2)+1,tbl_chests[datetime],"&lt;"&amp;TODAY()-WEEKDAY(TODAY(),2)+8)))</f>
        <v>0</v>
      </c>
      <c r="R91" s="36">
        <f ca="1">IF($A91="","",IF(R$1="","",COUNTIFS(tbl_chests[from],$A91,tbl_chests[legalized],R$1,tbl_chests[datetime],"&gt;="&amp;TODAY()-WEEKDAY(TODAY(),2)+1,tbl_chests[datetime],"&lt;"&amp;TODAY()-WEEKDAY(TODAY(),2)+8)))</f>
        <v>0</v>
      </c>
      <c r="S91" s="36">
        <f ca="1">IF($A91="","",IF(S$1="","",COUNTIFS(tbl_chests[from],$A91,tbl_chests[legalized],S$1,tbl_chests[datetime],"&gt;="&amp;TODAY()-WEEKDAY(TODAY(),2)+1,tbl_chests[datetime],"&lt;"&amp;TODAY()-WEEKDAY(TODAY(),2)+8)))</f>
        <v>0</v>
      </c>
      <c r="T91" s="36">
        <f ca="1">IF($A91="","",IF(T$1="","",COUNTIFS(tbl_chests[from],$A91,tbl_chests[legalized],T$1,tbl_chests[datetime],"&gt;="&amp;TODAY()-WEEKDAY(TODAY(),2)+1,tbl_chests[datetime],"&lt;"&amp;TODAY()-WEEKDAY(TODAY(),2)+8)))</f>
        <v>0</v>
      </c>
      <c r="U91" s="36">
        <f ca="1">IF($A91="","",IF(U$1="","",COUNTIFS(tbl_chests[from],$A91,tbl_chests[legalized],U$1,tbl_chests[datetime],"&gt;="&amp;TODAY()-WEEKDAY(TODAY(),2)+1,tbl_chests[datetime],"&lt;"&amp;TODAY()-WEEKDAY(TODAY(),2)+8)))</f>
        <v>0</v>
      </c>
      <c r="V91" s="36">
        <f ca="1">IF($A91="","",IF(V$1="","",COUNTIFS(tbl_chests[from],$A91,tbl_chests[legalized],V$1,tbl_chests[datetime],"&gt;="&amp;TODAY()-WEEKDAY(TODAY(),2)+1,tbl_chests[datetime],"&lt;"&amp;TODAY()-WEEKDAY(TODAY(),2)+8)))</f>
        <v>0</v>
      </c>
      <c r="W91" s="36">
        <f ca="1">IF($A91="","",IF(W$1="","",COUNTIFS(tbl_chests[from],$A91,tbl_chests[legalized],W$1,tbl_chests[datetime],"&gt;="&amp;TODAY()-WEEKDAY(TODAY(),2)+1,tbl_chests[datetime],"&lt;"&amp;TODAY()-WEEKDAY(TODAY(),2)+8)))</f>
        <v>0</v>
      </c>
      <c r="X91" s="36">
        <f ca="1">IF($A91="","",IF(X$1="","",COUNTIFS(tbl_chests[from],$A91,tbl_chests[legalized],X$1,tbl_chests[datetime],"&gt;="&amp;TODAY()-WEEKDAY(TODAY(),2)+1,tbl_chests[datetime],"&lt;"&amp;TODAY()-WEEKDAY(TODAY(),2)+8)))</f>
        <v>0</v>
      </c>
      <c r="Y91" s="36">
        <f ca="1">IF($A91="","",IF(Y$1="","",COUNTIFS(tbl_chests[from],$A91,tbl_chests[legalized],Y$1,tbl_chests[datetime],"&gt;="&amp;TODAY()-WEEKDAY(TODAY(),2)+1,tbl_chests[datetime],"&lt;"&amp;TODAY()-WEEKDAY(TODAY(),2)+8)))</f>
        <v>0</v>
      </c>
      <c r="Z91" s="36">
        <f ca="1">IF($A91="","",IF(Z$1="","",COUNTIFS(tbl_chests[from],$A91,tbl_chests[legalized],Z$1,tbl_chests[datetime],"&gt;="&amp;TODAY()-WEEKDAY(TODAY(),2)+1,tbl_chests[datetime],"&lt;"&amp;TODAY()-WEEKDAY(TODAY(),2)+8)))</f>
        <v>0</v>
      </c>
      <c r="AA91" s="36">
        <f ca="1">IF($A91="","",IF(AA$1="","",COUNTIFS(tbl_chests[from],$A91,tbl_chests[legalized],AA$1,tbl_chests[datetime],"&gt;="&amp;TODAY()-WEEKDAY(TODAY(),2)+1,tbl_chests[datetime],"&lt;"&amp;TODAY()-WEEKDAY(TODAY(),2)+8)))</f>
        <v>0</v>
      </c>
      <c r="AB91" s="36">
        <f ca="1">IF($A91="","",IF(AB$1="","",COUNTIFS(tbl_chests[from],$A91,tbl_chests[legalized],AB$1,tbl_chests[datetime],"&gt;="&amp;TODAY()-WEEKDAY(TODAY(),2)+1,tbl_chests[datetime],"&lt;"&amp;TODAY()-WEEKDAY(TODAY(),2)+8)))</f>
        <v>0</v>
      </c>
      <c r="AC91" s="36">
        <f ca="1">IF($A91="","",IF(AC$1="","",COUNTIFS(tbl_chests[from],$A91,tbl_chests[legalized],AC$1,tbl_chests[datetime],"&gt;="&amp;TODAY()-WEEKDAY(TODAY(),2)+1,tbl_chests[datetime],"&lt;"&amp;TODAY()-WEEKDAY(TODAY(),2)+8)))</f>
        <v>0</v>
      </c>
      <c r="AD91" s="36">
        <f ca="1">IF($A91="","",IF(AD$1="","",COUNTIFS(tbl_chests[from],$A91,tbl_chests[legalized],AD$1,tbl_chests[datetime],"&gt;="&amp;TODAY()-WEEKDAY(TODAY(),2)+1,tbl_chests[datetime],"&lt;"&amp;TODAY()-WEEKDAY(TODAY(),2)+8)))</f>
        <v>0</v>
      </c>
      <c r="AE91" s="36">
        <f ca="1">IF($A91="","",IF(AE$1="","",COUNTIFS(tbl_chests[from],$A91,tbl_chests[legalized],AE$1,tbl_chests[datetime],"&gt;="&amp;TODAY()-WEEKDAY(TODAY(),2)+1,tbl_chests[datetime],"&lt;"&amp;TODAY()-WEEKDAY(TODAY(),2)+8)))</f>
        <v>0</v>
      </c>
      <c r="AF91" s="36">
        <f ca="1">IF($A91="","",IF(AF$1="","",COUNTIFS(tbl_chests[from],$A91,tbl_chests[legalized],AF$1,tbl_chests[datetime],"&gt;="&amp;TODAY()-WEEKDAY(TODAY(),2)+1,tbl_chests[datetime],"&lt;"&amp;TODAY()-WEEKDAY(TODAY(),2)+8)))</f>
        <v>0</v>
      </c>
      <c r="AG91" s="36">
        <f ca="1">IF($A91="","",IF(AG$1="","",COUNTIFS(tbl_chests[from],$A91,tbl_chests[legalized],AG$1,tbl_chests[datetime],"&gt;="&amp;TODAY()-WEEKDAY(TODAY(),2)+1,tbl_chests[datetime],"&lt;"&amp;TODAY()-WEEKDAY(TODAY(),2)+8)))</f>
        <v>0</v>
      </c>
      <c r="AH91" s="36">
        <f ca="1">IF($A91="","",IF(AH$1="","",COUNTIFS(tbl_chests[from],$A91,tbl_chests[legalized],AH$1,tbl_chests[datetime],"&gt;="&amp;TODAY()-WEEKDAY(TODAY(),2)+1,tbl_chests[datetime],"&lt;"&amp;TODAY()-WEEKDAY(TODAY(),2)+8)))</f>
        <v>0</v>
      </c>
      <c r="AI91" s="36">
        <f ca="1">IF($A91="","",IF(AI$1="","",COUNTIFS(tbl_chests[from],$A91,tbl_chests[legalized],AI$1,tbl_chests[datetime],"&gt;="&amp;TODAY()-WEEKDAY(TODAY(),2)+1,tbl_chests[datetime],"&lt;"&amp;TODAY()-WEEKDAY(TODAY(),2)+8)))</f>
        <v>0</v>
      </c>
      <c r="AJ91" s="36">
        <f ca="1">IF($A91="","",IF(AJ$1="","",COUNTIFS(tbl_chests[from],$A91,tbl_chests[legalized],AJ$1,tbl_chests[datetime],"&gt;="&amp;TODAY()-WEEKDAY(TODAY(),2)+1,tbl_chests[datetime],"&lt;"&amp;TODAY()-WEEKDAY(TODAY(),2)+8)))</f>
        <v>0</v>
      </c>
      <c r="AK91" s="36">
        <f ca="1">IF($A91="","",IF(AK$1="","",COUNTIFS(tbl_chests[from],$A91,tbl_chests[legalized],AK$1,tbl_chests[datetime],"&gt;="&amp;TODAY()-WEEKDAY(TODAY(),2)+1,tbl_chests[datetime],"&lt;"&amp;TODAY()-WEEKDAY(TODAY(),2)+8)))</f>
        <v>0</v>
      </c>
      <c r="AL91" s="36">
        <f ca="1">IF($A91="","",IF(AL$1="","",COUNTIFS(tbl_chests[from],$A91,tbl_chests[legalized],AL$1,tbl_chests[datetime],"&gt;="&amp;TODAY()-WEEKDAY(TODAY(),2)+1,tbl_chests[datetime],"&lt;"&amp;TODAY()-WEEKDAY(TODAY(),2)+8)))</f>
        <v>0</v>
      </c>
      <c r="AM91" s="37">
        <f ca="1">IF($A91="","",IF(AM$1="","",COUNTIFS(tbl_chests[from],$A91,tbl_chests[legalized],AM$1,tbl_chests[datetime],"&gt;="&amp;TODAY()-WEEKDAY(TODAY(),2)+1,tbl_chests[datetime],"&lt;"&amp;TODAY()-WEEKDAY(TODAY(),2)+8)))</f>
        <v>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 spans="1:67" ht="15.75" customHeight="1" x14ac:dyDescent="0.25">
      <c r="A92" s="34">
        <f>chests_counter!$H89</f>
        <v>0</v>
      </c>
      <c r="B92" s="35" cm="1">
        <f t="array" aca="1" ref="B92" ca="1">IF(A92&lt;&gt;"", SUMPRODUCT(($C$2:$AM$2&lt;&gt;0)*(C92:AM92&lt;&gt;0)*($C$2:$AM$2)*(C92:AM92)), "")</f>
        <v>0</v>
      </c>
      <c r="C92" s="36">
        <f ca="1">IF($A92="","",IF(C$1="","",COUNTIFS(tbl_chests[from],$A92,tbl_chests[legalized],C$1,tbl_chests[datetime],"&gt;="&amp;TODAY()-WEEKDAY(TODAY(),2)+1,tbl_chests[datetime],"&lt;"&amp;TODAY()-WEEKDAY(TODAY(),2)+8)))</f>
        <v>0</v>
      </c>
      <c r="D92" s="36">
        <f ca="1">IF($A92="","",IF(D$1="","",COUNTIFS(tbl_chests[from],$A92,tbl_chests[legalized],D$1,tbl_chests[datetime],"&gt;="&amp;TODAY()-WEEKDAY(TODAY(),2)+1,tbl_chests[datetime],"&lt;"&amp;TODAY()-WEEKDAY(TODAY(),2)+8)))</f>
        <v>0</v>
      </c>
      <c r="E92" s="36">
        <f ca="1">IF($A92="","",IF(E$1="","",COUNTIFS(tbl_chests[from],$A92,tbl_chests[legalized],E$1,tbl_chests[datetime],"&gt;="&amp;TODAY()-WEEKDAY(TODAY(),2)+1,tbl_chests[datetime],"&lt;"&amp;TODAY()-WEEKDAY(TODAY(),2)+8)))</f>
        <v>0</v>
      </c>
      <c r="F92" s="36">
        <f ca="1">IF($A92="","",IF(F$1="","",COUNTIFS(tbl_chests[from],$A92,tbl_chests[legalized],F$1,tbl_chests[datetime],"&gt;="&amp;TODAY()-WEEKDAY(TODAY(),2)+1,tbl_chests[datetime],"&lt;"&amp;TODAY()-WEEKDAY(TODAY(),2)+8)))</f>
        <v>0</v>
      </c>
      <c r="G92" s="36">
        <f ca="1">IF($A92="","",IF(G$1="","",COUNTIFS(tbl_chests[from],$A92,tbl_chests[legalized],G$1,tbl_chests[datetime],"&gt;="&amp;TODAY()-WEEKDAY(TODAY(),2)+1,tbl_chests[datetime],"&lt;"&amp;TODAY()-WEEKDAY(TODAY(),2)+8)))</f>
        <v>0</v>
      </c>
      <c r="H92" s="36">
        <f ca="1">IF($A92="","",IF(H$1="","",COUNTIFS(tbl_chests[from],$A92,tbl_chests[legalized],H$1,tbl_chests[datetime],"&gt;="&amp;TODAY()-WEEKDAY(TODAY(),2)+1,tbl_chests[datetime],"&lt;"&amp;TODAY()-WEEKDAY(TODAY(),2)+8)))</f>
        <v>0</v>
      </c>
      <c r="I92" s="36">
        <f ca="1">IF($A92="","",IF(I$1="","",COUNTIFS(tbl_chests[from],$A92,tbl_chests[legalized],I$1,tbl_chests[datetime],"&gt;="&amp;TODAY()-WEEKDAY(TODAY(),2)+1,tbl_chests[datetime],"&lt;"&amp;TODAY()-WEEKDAY(TODAY(),2)+8)))</f>
        <v>0</v>
      </c>
      <c r="J92" s="36">
        <f ca="1">IF($A92="","",IF(J$1="","",COUNTIFS(tbl_chests[from],$A92,tbl_chests[legalized],J$1,tbl_chests[datetime],"&gt;="&amp;TODAY()-WEEKDAY(TODAY(),2)+1,tbl_chests[datetime],"&lt;"&amp;TODAY()-WEEKDAY(TODAY(),2)+8)))</f>
        <v>0</v>
      </c>
      <c r="K92" s="36">
        <f ca="1">IF($A92="","",IF(K$1="","",COUNTIFS(tbl_chests[from],$A92,tbl_chests[legalized],K$1,tbl_chests[datetime],"&gt;="&amp;TODAY()-WEEKDAY(TODAY(),2)+1,tbl_chests[datetime],"&lt;"&amp;TODAY()-WEEKDAY(TODAY(),2)+8)))</f>
        <v>0</v>
      </c>
      <c r="L92" s="36">
        <f ca="1">IF($A92="","",IF(L$1="","",COUNTIFS(tbl_chests[from],$A92,tbl_chests[legalized],L$1,tbl_chests[datetime],"&gt;="&amp;TODAY()-WEEKDAY(TODAY(),2)+1,tbl_chests[datetime],"&lt;"&amp;TODAY()-WEEKDAY(TODAY(),2)+8)))</f>
        <v>0</v>
      </c>
      <c r="M92" s="36">
        <f ca="1">IF($A92="","",IF(M$1="","",COUNTIFS(tbl_chests[from],$A92,tbl_chests[legalized],M$1,tbl_chests[datetime],"&gt;="&amp;TODAY()-WEEKDAY(TODAY(),2)+1,tbl_chests[datetime],"&lt;"&amp;TODAY()-WEEKDAY(TODAY(),2)+8)))</f>
        <v>0</v>
      </c>
      <c r="N92" s="36">
        <f ca="1">IF($A92="","",IF(N$1="","",COUNTIFS(tbl_chests[from],$A92,tbl_chests[legalized],N$1,tbl_chests[datetime],"&gt;="&amp;TODAY()-WEEKDAY(TODAY(),2)+1,tbl_chests[datetime],"&lt;"&amp;TODAY()-WEEKDAY(TODAY(),2)+8)))</f>
        <v>0</v>
      </c>
      <c r="O92" s="36">
        <f ca="1">IF($A92="","",IF(O$1="","",COUNTIFS(tbl_chests[from],$A92,tbl_chests[legalized],O$1,tbl_chests[datetime],"&gt;="&amp;TODAY()-WEEKDAY(TODAY(),2)+1,tbl_chests[datetime],"&lt;"&amp;TODAY()-WEEKDAY(TODAY(),2)+8)))</f>
        <v>0</v>
      </c>
      <c r="P92" s="36">
        <f ca="1">IF($A92="","",IF(P$1="","",COUNTIFS(tbl_chests[from],$A92,tbl_chests[legalized],P$1,tbl_chests[datetime],"&gt;="&amp;TODAY()-WEEKDAY(TODAY(),2)+1,tbl_chests[datetime],"&lt;"&amp;TODAY()-WEEKDAY(TODAY(),2)+8)))</f>
        <v>0</v>
      </c>
      <c r="Q92" s="36">
        <f ca="1">IF($A92="","",IF(Q$1="","",COUNTIFS(tbl_chests[from],$A92,tbl_chests[legalized],Q$1,tbl_chests[datetime],"&gt;="&amp;TODAY()-WEEKDAY(TODAY(),2)+1,tbl_chests[datetime],"&lt;"&amp;TODAY()-WEEKDAY(TODAY(),2)+8)))</f>
        <v>0</v>
      </c>
      <c r="R92" s="36">
        <f ca="1">IF($A92="","",IF(R$1="","",COUNTIFS(tbl_chests[from],$A92,tbl_chests[legalized],R$1,tbl_chests[datetime],"&gt;="&amp;TODAY()-WEEKDAY(TODAY(),2)+1,tbl_chests[datetime],"&lt;"&amp;TODAY()-WEEKDAY(TODAY(),2)+8)))</f>
        <v>0</v>
      </c>
      <c r="S92" s="36">
        <f ca="1">IF($A92="","",IF(S$1="","",COUNTIFS(tbl_chests[from],$A92,tbl_chests[legalized],S$1,tbl_chests[datetime],"&gt;="&amp;TODAY()-WEEKDAY(TODAY(),2)+1,tbl_chests[datetime],"&lt;"&amp;TODAY()-WEEKDAY(TODAY(),2)+8)))</f>
        <v>0</v>
      </c>
      <c r="T92" s="36">
        <f ca="1">IF($A92="","",IF(T$1="","",COUNTIFS(tbl_chests[from],$A92,tbl_chests[legalized],T$1,tbl_chests[datetime],"&gt;="&amp;TODAY()-WEEKDAY(TODAY(),2)+1,tbl_chests[datetime],"&lt;"&amp;TODAY()-WEEKDAY(TODAY(),2)+8)))</f>
        <v>0</v>
      </c>
      <c r="U92" s="36">
        <f ca="1">IF($A92="","",IF(U$1="","",COUNTIFS(tbl_chests[from],$A92,tbl_chests[legalized],U$1,tbl_chests[datetime],"&gt;="&amp;TODAY()-WEEKDAY(TODAY(),2)+1,tbl_chests[datetime],"&lt;"&amp;TODAY()-WEEKDAY(TODAY(),2)+8)))</f>
        <v>0</v>
      </c>
      <c r="V92" s="36">
        <f ca="1">IF($A92="","",IF(V$1="","",COUNTIFS(tbl_chests[from],$A92,tbl_chests[legalized],V$1,tbl_chests[datetime],"&gt;="&amp;TODAY()-WEEKDAY(TODAY(),2)+1,tbl_chests[datetime],"&lt;"&amp;TODAY()-WEEKDAY(TODAY(),2)+8)))</f>
        <v>0</v>
      </c>
      <c r="W92" s="36">
        <f ca="1">IF($A92="","",IF(W$1="","",COUNTIFS(tbl_chests[from],$A92,tbl_chests[legalized],W$1,tbl_chests[datetime],"&gt;="&amp;TODAY()-WEEKDAY(TODAY(),2)+1,tbl_chests[datetime],"&lt;"&amp;TODAY()-WEEKDAY(TODAY(),2)+8)))</f>
        <v>0</v>
      </c>
      <c r="X92" s="36">
        <f ca="1">IF($A92="","",IF(X$1="","",COUNTIFS(tbl_chests[from],$A92,tbl_chests[legalized],X$1,tbl_chests[datetime],"&gt;="&amp;TODAY()-WEEKDAY(TODAY(),2)+1,tbl_chests[datetime],"&lt;"&amp;TODAY()-WEEKDAY(TODAY(),2)+8)))</f>
        <v>0</v>
      </c>
      <c r="Y92" s="36">
        <f ca="1">IF($A92="","",IF(Y$1="","",COUNTIFS(tbl_chests[from],$A92,tbl_chests[legalized],Y$1,tbl_chests[datetime],"&gt;="&amp;TODAY()-WEEKDAY(TODAY(),2)+1,tbl_chests[datetime],"&lt;"&amp;TODAY()-WEEKDAY(TODAY(),2)+8)))</f>
        <v>0</v>
      </c>
      <c r="Z92" s="36">
        <f ca="1">IF($A92="","",IF(Z$1="","",COUNTIFS(tbl_chests[from],$A92,tbl_chests[legalized],Z$1,tbl_chests[datetime],"&gt;="&amp;TODAY()-WEEKDAY(TODAY(),2)+1,tbl_chests[datetime],"&lt;"&amp;TODAY()-WEEKDAY(TODAY(),2)+8)))</f>
        <v>0</v>
      </c>
      <c r="AA92" s="36">
        <f ca="1">IF($A92="","",IF(AA$1="","",COUNTIFS(tbl_chests[from],$A92,tbl_chests[legalized],AA$1,tbl_chests[datetime],"&gt;="&amp;TODAY()-WEEKDAY(TODAY(),2)+1,tbl_chests[datetime],"&lt;"&amp;TODAY()-WEEKDAY(TODAY(),2)+8)))</f>
        <v>0</v>
      </c>
      <c r="AB92" s="36">
        <f ca="1">IF($A92="","",IF(AB$1="","",COUNTIFS(tbl_chests[from],$A92,tbl_chests[legalized],AB$1,tbl_chests[datetime],"&gt;="&amp;TODAY()-WEEKDAY(TODAY(),2)+1,tbl_chests[datetime],"&lt;"&amp;TODAY()-WEEKDAY(TODAY(),2)+8)))</f>
        <v>0</v>
      </c>
      <c r="AC92" s="36">
        <f ca="1">IF($A92="","",IF(AC$1="","",COUNTIFS(tbl_chests[from],$A92,tbl_chests[legalized],AC$1,tbl_chests[datetime],"&gt;="&amp;TODAY()-WEEKDAY(TODAY(),2)+1,tbl_chests[datetime],"&lt;"&amp;TODAY()-WEEKDAY(TODAY(),2)+8)))</f>
        <v>0</v>
      </c>
      <c r="AD92" s="36">
        <f ca="1">IF($A92="","",IF(AD$1="","",COUNTIFS(tbl_chests[from],$A92,tbl_chests[legalized],AD$1,tbl_chests[datetime],"&gt;="&amp;TODAY()-WEEKDAY(TODAY(),2)+1,tbl_chests[datetime],"&lt;"&amp;TODAY()-WEEKDAY(TODAY(),2)+8)))</f>
        <v>0</v>
      </c>
      <c r="AE92" s="36">
        <f ca="1">IF($A92="","",IF(AE$1="","",COUNTIFS(tbl_chests[from],$A92,tbl_chests[legalized],AE$1,tbl_chests[datetime],"&gt;="&amp;TODAY()-WEEKDAY(TODAY(),2)+1,tbl_chests[datetime],"&lt;"&amp;TODAY()-WEEKDAY(TODAY(),2)+8)))</f>
        <v>0</v>
      </c>
      <c r="AF92" s="36">
        <f ca="1">IF($A92="","",IF(AF$1="","",COUNTIFS(tbl_chests[from],$A92,tbl_chests[legalized],AF$1,tbl_chests[datetime],"&gt;="&amp;TODAY()-WEEKDAY(TODAY(),2)+1,tbl_chests[datetime],"&lt;"&amp;TODAY()-WEEKDAY(TODAY(),2)+8)))</f>
        <v>0</v>
      </c>
      <c r="AG92" s="36">
        <f ca="1">IF($A92="","",IF(AG$1="","",COUNTIFS(tbl_chests[from],$A92,tbl_chests[legalized],AG$1,tbl_chests[datetime],"&gt;="&amp;TODAY()-WEEKDAY(TODAY(),2)+1,tbl_chests[datetime],"&lt;"&amp;TODAY()-WEEKDAY(TODAY(),2)+8)))</f>
        <v>0</v>
      </c>
      <c r="AH92" s="36">
        <f ca="1">IF($A92="","",IF(AH$1="","",COUNTIFS(tbl_chests[from],$A92,tbl_chests[legalized],AH$1,tbl_chests[datetime],"&gt;="&amp;TODAY()-WEEKDAY(TODAY(),2)+1,tbl_chests[datetime],"&lt;"&amp;TODAY()-WEEKDAY(TODAY(),2)+8)))</f>
        <v>0</v>
      </c>
      <c r="AI92" s="36">
        <f ca="1">IF($A92="","",IF(AI$1="","",COUNTIFS(tbl_chests[from],$A92,tbl_chests[legalized],AI$1,tbl_chests[datetime],"&gt;="&amp;TODAY()-WEEKDAY(TODAY(),2)+1,tbl_chests[datetime],"&lt;"&amp;TODAY()-WEEKDAY(TODAY(),2)+8)))</f>
        <v>0</v>
      </c>
      <c r="AJ92" s="36">
        <f ca="1">IF($A92="","",IF(AJ$1="","",COUNTIFS(tbl_chests[from],$A92,tbl_chests[legalized],AJ$1,tbl_chests[datetime],"&gt;="&amp;TODAY()-WEEKDAY(TODAY(),2)+1,tbl_chests[datetime],"&lt;"&amp;TODAY()-WEEKDAY(TODAY(),2)+8)))</f>
        <v>0</v>
      </c>
      <c r="AK92" s="36">
        <f ca="1">IF($A92="","",IF(AK$1="","",COUNTIFS(tbl_chests[from],$A92,tbl_chests[legalized],AK$1,tbl_chests[datetime],"&gt;="&amp;TODAY()-WEEKDAY(TODAY(),2)+1,tbl_chests[datetime],"&lt;"&amp;TODAY()-WEEKDAY(TODAY(),2)+8)))</f>
        <v>0</v>
      </c>
      <c r="AL92" s="36">
        <f ca="1">IF($A92="","",IF(AL$1="","",COUNTIFS(tbl_chests[from],$A92,tbl_chests[legalized],AL$1,tbl_chests[datetime],"&gt;="&amp;TODAY()-WEEKDAY(TODAY(),2)+1,tbl_chests[datetime],"&lt;"&amp;TODAY()-WEEKDAY(TODAY(),2)+8)))</f>
        <v>0</v>
      </c>
      <c r="AM92" s="37">
        <f ca="1">IF($A92="","",IF(AM$1="","",COUNTIFS(tbl_chests[from],$A92,tbl_chests[legalized],AM$1,tbl_chests[datetime],"&gt;="&amp;TODAY()-WEEKDAY(TODAY(),2)+1,tbl_chests[datetime],"&lt;"&amp;TODAY()-WEEKDAY(TODAY(),2)+8)))</f>
        <v>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 spans="1:67" ht="15.75" customHeight="1" x14ac:dyDescent="0.25">
      <c r="A93" s="34">
        <f>chests_counter!$H90</f>
        <v>0</v>
      </c>
      <c r="B93" s="35" cm="1">
        <f t="array" aca="1" ref="B93" ca="1">IF(A93&lt;&gt;"", SUMPRODUCT(($C$2:$AM$2&lt;&gt;0)*(C93:AM93&lt;&gt;0)*($C$2:$AM$2)*(C93:AM93)), "")</f>
        <v>0</v>
      </c>
      <c r="C93" s="36">
        <f ca="1">IF($A93="","",IF(C$1="","",COUNTIFS(tbl_chests[from],$A93,tbl_chests[legalized],C$1,tbl_chests[datetime],"&gt;="&amp;TODAY()-WEEKDAY(TODAY(),2)+1,tbl_chests[datetime],"&lt;"&amp;TODAY()-WEEKDAY(TODAY(),2)+8)))</f>
        <v>0</v>
      </c>
      <c r="D93" s="36">
        <f ca="1">IF($A93="","",IF(D$1="","",COUNTIFS(tbl_chests[from],$A93,tbl_chests[legalized],D$1,tbl_chests[datetime],"&gt;="&amp;TODAY()-WEEKDAY(TODAY(),2)+1,tbl_chests[datetime],"&lt;"&amp;TODAY()-WEEKDAY(TODAY(),2)+8)))</f>
        <v>0</v>
      </c>
      <c r="E93" s="36">
        <f ca="1">IF($A93="","",IF(E$1="","",COUNTIFS(tbl_chests[from],$A93,tbl_chests[legalized],E$1,tbl_chests[datetime],"&gt;="&amp;TODAY()-WEEKDAY(TODAY(),2)+1,tbl_chests[datetime],"&lt;"&amp;TODAY()-WEEKDAY(TODAY(),2)+8)))</f>
        <v>0</v>
      </c>
      <c r="F93" s="36">
        <f ca="1">IF($A93="","",IF(F$1="","",COUNTIFS(tbl_chests[from],$A93,tbl_chests[legalized],F$1,tbl_chests[datetime],"&gt;="&amp;TODAY()-WEEKDAY(TODAY(),2)+1,tbl_chests[datetime],"&lt;"&amp;TODAY()-WEEKDAY(TODAY(),2)+8)))</f>
        <v>0</v>
      </c>
      <c r="G93" s="36">
        <f ca="1">IF($A93="","",IF(G$1="","",COUNTIFS(tbl_chests[from],$A93,tbl_chests[legalized],G$1,tbl_chests[datetime],"&gt;="&amp;TODAY()-WEEKDAY(TODAY(),2)+1,tbl_chests[datetime],"&lt;"&amp;TODAY()-WEEKDAY(TODAY(),2)+8)))</f>
        <v>0</v>
      </c>
      <c r="H93" s="36">
        <f ca="1">IF($A93="","",IF(H$1="","",COUNTIFS(tbl_chests[from],$A93,tbl_chests[legalized],H$1,tbl_chests[datetime],"&gt;="&amp;TODAY()-WEEKDAY(TODAY(),2)+1,tbl_chests[datetime],"&lt;"&amp;TODAY()-WEEKDAY(TODAY(),2)+8)))</f>
        <v>0</v>
      </c>
      <c r="I93" s="36">
        <f ca="1">IF($A93="","",IF(I$1="","",COUNTIFS(tbl_chests[from],$A93,tbl_chests[legalized],I$1,tbl_chests[datetime],"&gt;="&amp;TODAY()-WEEKDAY(TODAY(),2)+1,tbl_chests[datetime],"&lt;"&amp;TODAY()-WEEKDAY(TODAY(),2)+8)))</f>
        <v>0</v>
      </c>
      <c r="J93" s="36">
        <f ca="1">IF($A93="","",IF(J$1="","",COUNTIFS(tbl_chests[from],$A93,tbl_chests[legalized],J$1,tbl_chests[datetime],"&gt;="&amp;TODAY()-WEEKDAY(TODAY(),2)+1,tbl_chests[datetime],"&lt;"&amp;TODAY()-WEEKDAY(TODAY(),2)+8)))</f>
        <v>0</v>
      </c>
      <c r="K93" s="36">
        <f ca="1">IF($A93="","",IF(K$1="","",COUNTIFS(tbl_chests[from],$A93,tbl_chests[legalized],K$1,tbl_chests[datetime],"&gt;="&amp;TODAY()-WEEKDAY(TODAY(),2)+1,tbl_chests[datetime],"&lt;"&amp;TODAY()-WEEKDAY(TODAY(),2)+8)))</f>
        <v>0</v>
      </c>
      <c r="L93" s="36">
        <f ca="1">IF($A93="","",IF(L$1="","",COUNTIFS(tbl_chests[from],$A93,tbl_chests[legalized],L$1,tbl_chests[datetime],"&gt;="&amp;TODAY()-WEEKDAY(TODAY(),2)+1,tbl_chests[datetime],"&lt;"&amp;TODAY()-WEEKDAY(TODAY(),2)+8)))</f>
        <v>0</v>
      </c>
      <c r="M93" s="36">
        <f ca="1">IF($A93="","",IF(M$1="","",COUNTIFS(tbl_chests[from],$A93,tbl_chests[legalized],M$1,tbl_chests[datetime],"&gt;="&amp;TODAY()-WEEKDAY(TODAY(),2)+1,tbl_chests[datetime],"&lt;"&amp;TODAY()-WEEKDAY(TODAY(),2)+8)))</f>
        <v>0</v>
      </c>
      <c r="N93" s="36">
        <f ca="1">IF($A93="","",IF(N$1="","",COUNTIFS(tbl_chests[from],$A93,tbl_chests[legalized],N$1,tbl_chests[datetime],"&gt;="&amp;TODAY()-WEEKDAY(TODAY(),2)+1,tbl_chests[datetime],"&lt;"&amp;TODAY()-WEEKDAY(TODAY(),2)+8)))</f>
        <v>0</v>
      </c>
      <c r="O93" s="36">
        <f ca="1">IF($A93="","",IF(O$1="","",COUNTIFS(tbl_chests[from],$A93,tbl_chests[legalized],O$1,tbl_chests[datetime],"&gt;="&amp;TODAY()-WEEKDAY(TODAY(),2)+1,tbl_chests[datetime],"&lt;"&amp;TODAY()-WEEKDAY(TODAY(),2)+8)))</f>
        <v>0</v>
      </c>
      <c r="P93" s="36">
        <f ca="1">IF($A93="","",IF(P$1="","",COUNTIFS(tbl_chests[from],$A93,tbl_chests[legalized],P$1,tbl_chests[datetime],"&gt;="&amp;TODAY()-WEEKDAY(TODAY(),2)+1,tbl_chests[datetime],"&lt;"&amp;TODAY()-WEEKDAY(TODAY(),2)+8)))</f>
        <v>0</v>
      </c>
      <c r="Q93" s="36">
        <f ca="1">IF($A93="","",IF(Q$1="","",COUNTIFS(tbl_chests[from],$A93,tbl_chests[legalized],Q$1,tbl_chests[datetime],"&gt;="&amp;TODAY()-WEEKDAY(TODAY(),2)+1,tbl_chests[datetime],"&lt;"&amp;TODAY()-WEEKDAY(TODAY(),2)+8)))</f>
        <v>0</v>
      </c>
      <c r="R93" s="36">
        <f ca="1">IF($A93="","",IF(R$1="","",COUNTIFS(tbl_chests[from],$A93,tbl_chests[legalized],R$1,tbl_chests[datetime],"&gt;="&amp;TODAY()-WEEKDAY(TODAY(),2)+1,tbl_chests[datetime],"&lt;"&amp;TODAY()-WEEKDAY(TODAY(),2)+8)))</f>
        <v>0</v>
      </c>
      <c r="S93" s="36">
        <f ca="1">IF($A93="","",IF(S$1="","",COUNTIFS(tbl_chests[from],$A93,tbl_chests[legalized],S$1,tbl_chests[datetime],"&gt;="&amp;TODAY()-WEEKDAY(TODAY(),2)+1,tbl_chests[datetime],"&lt;"&amp;TODAY()-WEEKDAY(TODAY(),2)+8)))</f>
        <v>0</v>
      </c>
      <c r="T93" s="36">
        <f ca="1">IF($A93="","",IF(T$1="","",COUNTIFS(tbl_chests[from],$A93,tbl_chests[legalized],T$1,tbl_chests[datetime],"&gt;="&amp;TODAY()-WEEKDAY(TODAY(),2)+1,tbl_chests[datetime],"&lt;"&amp;TODAY()-WEEKDAY(TODAY(),2)+8)))</f>
        <v>0</v>
      </c>
      <c r="U93" s="36">
        <f ca="1">IF($A93="","",IF(U$1="","",COUNTIFS(tbl_chests[from],$A93,tbl_chests[legalized],U$1,tbl_chests[datetime],"&gt;="&amp;TODAY()-WEEKDAY(TODAY(),2)+1,tbl_chests[datetime],"&lt;"&amp;TODAY()-WEEKDAY(TODAY(),2)+8)))</f>
        <v>0</v>
      </c>
      <c r="V93" s="36">
        <f ca="1">IF($A93="","",IF(V$1="","",COUNTIFS(tbl_chests[from],$A93,tbl_chests[legalized],V$1,tbl_chests[datetime],"&gt;="&amp;TODAY()-WEEKDAY(TODAY(),2)+1,tbl_chests[datetime],"&lt;"&amp;TODAY()-WEEKDAY(TODAY(),2)+8)))</f>
        <v>0</v>
      </c>
      <c r="W93" s="36">
        <f ca="1">IF($A93="","",IF(W$1="","",COUNTIFS(tbl_chests[from],$A93,tbl_chests[legalized],W$1,tbl_chests[datetime],"&gt;="&amp;TODAY()-WEEKDAY(TODAY(),2)+1,tbl_chests[datetime],"&lt;"&amp;TODAY()-WEEKDAY(TODAY(),2)+8)))</f>
        <v>0</v>
      </c>
      <c r="X93" s="36">
        <f ca="1">IF($A93="","",IF(X$1="","",COUNTIFS(tbl_chests[from],$A93,tbl_chests[legalized],X$1,tbl_chests[datetime],"&gt;="&amp;TODAY()-WEEKDAY(TODAY(),2)+1,tbl_chests[datetime],"&lt;"&amp;TODAY()-WEEKDAY(TODAY(),2)+8)))</f>
        <v>0</v>
      </c>
      <c r="Y93" s="36">
        <f ca="1">IF($A93="","",IF(Y$1="","",COUNTIFS(tbl_chests[from],$A93,tbl_chests[legalized],Y$1,tbl_chests[datetime],"&gt;="&amp;TODAY()-WEEKDAY(TODAY(),2)+1,tbl_chests[datetime],"&lt;"&amp;TODAY()-WEEKDAY(TODAY(),2)+8)))</f>
        <v>0</v>
      </c>
      <c r="Z93" s="36">
        <f ca="1">IF($A93="","",IF(Z$1="","",COUNTIFS(tbl_chests[from],$A93,tbl_chests[legalized],Z$1,tbl_chests[datetime],"&gt;="&amp;TODAY()-WEEKDAY(TODAY(),2)+1,tbl_chests[datetime],"&lt;"&amp;TODAY()-WEEKDAY(TODAY(),2)+8)))</f>
        <v>0</v>
      </c>
      <c r="AA93" s="36">
        <f ca="1">IF($A93="","",IF(AA$1="","",COUNTIFS(tbl_chests[from],$A93,tbl_chests[legalized],AA$1,tbl_chests[datetime],"&gt;="&amp;TODAY()-WEEKDAY(TODAY(),2)+1,tbl_chests[datetime],"&lt;"&amp;TODAY()-WEEKDAY(TODAY(),2)+8)))</f>
        <v>0</v>
      </c>
      <c r="AB93" s="36">
        <f ca="1">IF($A93="","",IF(AB$1="","",COUNTIFS(tbl_chests[from],$A93,tbl_chests[legalized],AB$1,tbl_chests[datetime],"&gt;="&amp;TODAY()-WEEKDAY(TODAY(),2)+1,tbl_chests[datetime],"&lt;"&amp;TODAY()-WEEKDAY(TODAY(),2)+8)))</f>
        <v>0</v>
      </c>
      <c r="AC93" s="36">
        <f ca="1">IF($A93="","",IF(AC$1="","",COUNTIFS(tbl_chests[from],$A93,tbl_chests[legalized],AC$1,tbl_chests[datetime],"&gt;="&amp;TODAY()-WEEKDAY(TODAY(),2)+1,tbl_chests[datetime],"&lt;"&amp;TODAY()-WEEKDAY(TODAY(),2)+8)))</f>
        <v>0</v>
      </c>
      <c r="AD93" s="36">
        <f ca="1">IF($A93="","",IF(AD$1="","",COUNTIFS(tbl_chests[from],$A93,tbl_chests[legalized],AD$1,tbl_chests[datetime],"&gt;="&amp;TODAY()-WEEKDAY(TODAY(),2)+1,tbl_chests[datetime],"&lt;"&amp;TODAY()-WEEKDAY(TODAY(),2)+8)))</f>
        <v>0</v>
      </c>
      <c r="AE93" s="36">
        <f ca="1">IF($A93="","",IF(AE$1="","",COUNTIFS(tbl_chests[from],$A93,tbl_chests[legalized],AE$1,tbl_chests[datetime],"&gt;="&amp;TODAY()-WEEKDAY(TODAY(),2)+1,tbl_chests[datetime],"&lt;"&amp;TODAY()-WEEKDAY(TODAY(),2)+8)))</f>
        <v>0</v>
      </c>
      <c r="AF93" s="36">
        <f ca="1">IF($A93="","",IF(AF$1="","",COUNTIFS(tbl_chests[from],$A93,tbl_chests[legalized],AF$1,tbl_chests[datetime],"&gt;="&amp;TODAY()-WEEKDAY(TODAY(),2)+1,tbl_chests[datetime],"&lt;"&amp;TODAY()-WEEKDAY(TODAY(),2)+8)))</f>
        <v>0</v>
      </c>
      <c r="AG93" s="36">
        <f ca="1">IF($A93="","",IF(AG$1="","",COUNTIFS(tbl_chests[from],$A93,tbl_chests[legalized],AG$1,tbl_chests[datetime],"&gt;="&amp;TODAY()-WEEKDAY(TODAY(),2)+1,tbl_chests[datetime],"&lt;"&amp;TODAY()-WEEKDAY(TODAY(),2)+8)))</f>
        <v>0</v>
      </c>
      <c r="AH93" s="36">
        <f ca="1">IF($A93="","",IF(AH$1="","",COUNTIFS(tbl_chests[from],$A93,tbl_chests[legalized],AH$1,tbl_chests[datetime],"&gt;="&amp;TODAY()-WEEKDAY(TODAY(),2)+1,tbl_chests[datetime],"&lt;"&amp;TODAY()-WEEKDAY(TODAY(),2)+8)))</f>
        <v>0</v>
      </c>
      <c r="AI93" s="36">
        <f ca="1">IF($A93="","",IF(AI$1="","",COUNTIFS(tbl_chests[from],$A93,tbl_chests[legalized],AI$1,tbl_chests[datetime],"&gt;="&amp;TODAY()-WEEKDAY(TODAY(),2)+1,tbl_chests[datetime],"&lt;"&amp;TODAY()-WEEKDAY(TODAY(),2)+8)))</f>
        <v>0</v>
      </c>
      <c r="AJ93" s="36">
        <f ca="1">IF($A93="","",IF(AJ$1="","",COUNTIFS(tbl_chests[from],$A93,tbl_chests[legalized],AJ$1,tbl_chests[datetime],"&gt;="&amp;TODAY()-WEEKDAY(TODAY(),2)+1,tbl_chests[datetime],"&lt;"&amp;TODAY()-WEEKDAY(TODAY(),2)+8)))</f>
        <v>0</v>
      </c>
      <c r="AK93" s="36">
        <f ca="1">IF($A93="","",IF(AK$1="","",COUNTIFS(tbl_chests[from],$A93,tbl_chests[legalized],AK$1,tbl_chests[datetime],"&gt;="&amp;TODAY()-WEEKDAY(TODAY(),2)+1,tbl_chests[datetime],"&lt;"&amp;TODAY()-WEEKDAY(TODAY(),2)+8)))</f>
        <v>0</v>
      </c>
      <c r="AL93" s="36">
        <f ca="1">IF($A93="","",IF(AL$1="","",COUNTIFS(tbl_chests[from],$A93,tbl_chests[legalized],AL$1,tbl_chests[datetime],"&gt;="&amp;TODAY()-WEEKDAY(TODAY(),2)+1,tbl_chests[datetime],"&lt;"&amp;TODAY()-WEEKDAY(TODAY(),2)+8)))</f>
        <v>0</v>
      </c>
      <c r="AM93" s="37">
        <f ca="1">IF($A93="","",IF(AM$1="","",COUNTIFS(tbl_chests[from],$A93,tbl_chests[legalized],AM$1,tbl_chests[datetime],"&gt;="&amp;TODAY()-WEEKDAY(TODAY(),2)+1,tbl_chests[datetime],"&lt;"&amp;TODAY()-WEEKDAY(TODAY(),2)+8)))</f>
        <v>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 spans="1:67" ht="15.75" customHeight="1" x14ac:dyDescent="0.25">
      <c r="A94" s="34">
        <f>chests_counter!$H91</f>
        <v>0</v>
      </c>
      <c r="B94" s="35" cm="1">
        <f t="array" aca="1" ref="B94" ca="1">IF(A94&lt;&gt;"", SUMPRODUCT(($C$2:$AM$2&lt;&gt;0)*(C94:AM94&lt;&gt;0)*($C$2:$AM$2)*(C94:AM94)), "")</f>
        <v>0</v>
      </c>
      <c r="C94" s="36">
        <f ca="1">IF($A94="","",IF(C$1="","",COUNTIFS(tbl_chests[from],$A94,tbl_chests[legalized],C$1,tbl_chests[datetime],"&gt;="&amp;TODAY()-WEEKDAY(TODAY(),2)+1,tbl_chests[datetime],"&lt;"&amp;TODAY()-WEEKDAY(TODAY(),2)+8)))</f>
        <v>0</v>
      </c>
      <c r="D94" s="36">
        <f ca="1">IF($A94="","",IF(D$1="","",COUNTIFS(tbl_chests[from],$A94,tbl_chests[legalized],D$1,tbl_chests[datetime],"&gt;="&amp;TODAY()-WEEKDAY(TODAY(),2)+1,tbl_chests[datetime],"&lt;"&amp;TODAY()-WEEKDAY(TODAY(),2)+8)))</f>
        <v>0</v>
      </c>
      <c r="E94" s="36">
        <f ca="1">IF($A94="","",IF(E$1="","",COUNTIFS(tbl_chests[from],$A94,tbl_chests[legalized],E$1,tbl_chests[datetime],"&gt;="&amp;TODAY()-WEEKDAY(TODAY(),2)+1,tbl_chests[datetime],"&lt;"&amp;TODAY()-WEEKDAY(TODAY(),2)+8)))</f>
        <v>0</v>
      </c>
      <c r="F94" s="36">
        <f ca="1">IF($A94="","",IF(F$1="","",COUNTIFS(tbl_chests[from],$A94,tbl_chests[legalized],F$1,tbl_chests[datetime],"&gt;="&amp;TODAY()-WEEKDAY(TODAY(),2)+1,tbl_chests[datetime],"&lt;"&amp;TODAY()-WEEKDAY(TODAY(),2)+8)))</f>
        <v>0</v>
      </c>
      <c r="G94" s="36">
        <f ca="1">IF($A94="","",IF(G$1="","",COUNTIFS(tbl_chests[from],$A94,tbl_chests[legalized],G$1,tbl_chests[datetime],"&gt;="&amp;TODAY()-WEEKDAY(TODAY(),2)+1,tbl_chests[datetime],"&lt;"&amp;TODAY()-WEEKDAY(TODAY(),2)+8)))</f>
        <v>0</v>
      </c>
      <c r="H94" s="36">
        <f ca="1">IF($A94="","",IF(H$1="","",COUNTIFS(tbl_chests[from],$A94,tbl_chests[legalized],H$1,tbl_chests[datetime],"&gt;="&amp;TODAY()-WEEKDAY(TODAY(),2)+1,tbl_chests[datetime],"&lt;"&amp;TODAY()-WEEKDAY(TODAY(),2)+8)))</f>
        <v>0</v>
      </c>
      <c r="I94" s="36">
        <f ca="1">IF($A94="","",IF(I$1="","",COUNTIFS(tbl_chests[from],$A94,tbl_chests[legalized],I$1,tbl_chests[datetime],"&gt;="&amp;TODAY()-WEEKDAY(TODAY(),2)+1,tbl_chests[datetime],"&lt;"&amp;TODAY()-WEEKDAY(TODAY(),2)+8)))</f>
        <v>0</v>
      </c>
      <c r="J94" s="36">
        <f ca="1">IF($A94="","",IF(J$1="","",COUNTIFS(tbl_chests[from],$A94,tbl_chests[legalized],J$1,tbl_chests[datetime],"&gt;="&amp;TODAY()-WEEKDAY(TODAY(),2)+1,tbl_chests[datetime],"&lt;"&amp;TODAY()-WEEKDAY(TODAY(),2)+8)))</f>
        <v>0</v>
      </c>
      <c r="K94" s="36">
        <f ca="1">IF($A94="","",IF(K$1="","",COUNTIFS(tbl_chests[from],$A94,tbl_chests[legalized],K$1,tbl_chests[datetime],"&gt;="&amp;TODAY()-WEEKDAY(TODAY(),2)+1,tbl_chests[datetime],"&lt;"&amp;TODAY()-WEEKDAY(TODAY(),2)+8)))</f>
        <v>0</v>
      </c>
      <c r="L94" s="36">
        <f ca="1">IF($A94="","",IF(L$1="","",COUNTIFS(tbl_chests[from],$A94,tbl_chests[legalized],L$1,tbl_chests[datetime],"&gt;="&amp;TODAY()-WEEKDAY(TODAY(),2)+1,tbl_chests[datetime],"&lt;"&amp;TODAY()-WEEKDAY(TODAY(),2)+8)))</f>
        <v>0</v>
      </c>
      <c r="M94" s="36">
        <f ca="1">IF($A94="","",IF(M$1="","",COUNTIFS(tbl_chests[from],$A94,tbl_chests[legalized],M$1,tbl_chests[datetime],"&gt;="&amp;TODAY()-WEEKDAY(TODAY(),2)+1,tbl_chests[datetime],"&lt;"&amp;TODAY()-WEEKDAY(TODAY(),2)+8)))</f>
        <v>0</v>
      </c>
      <c r="N94" s="36">
        <f ca="1">IF($A94="","",IF(N$1="","",COUNTIFS(tbl_chests[from],$A94,tbl_chests[legalized],N$1,tbl_chests[datetime],"&gt;="&amp;TODAY()-WEEKDAY(TODAY(),2)+1,tbl_chests[datetime],"&lt;"&amp;TODAY()-WEEKDAY(TODAY(),2)+8)))</f>
        <v>0</v>
      </c>
      <c r="O94" s="36">
        <f ca="1">IF($A94="","",IF(O$1="","",COUNTIFS(tbl_chests[from],$A94,tbl_chests[legalized],O$1,tbl_chests[datetime],"&gt;="&amp;TODAY()-WEEKDAY(TODAY(),2)+1,tbl_chests[datetime],"&lt;"&amp;TODAY()-WEEKDAY(TODAY(),2)+8)))</f>
        <v>0</v>
      </c>
      <c r="P94" s="36">
        <f ca="1">IF($A94="","",IF(P$1="","",COUNTIFS(tbl_chests[from],$A94,tbl_chests[legalized],P$1,tbl_chests[datetime],"&gt;="&amp;TODAY()-WEEKDAY(TODAY(),2)+1,tbl_chests[datetime],"&lt;"&amp;TODAY()-WEEKDAY(TODAY(),2)+8)))</f>
        <v>0</v>
      </c>
      <c r="Q94" s="36">
        <f ca="1">IF($A94="","",IF(Q$1="","",COUNTIFS(tbl_chests[from],$A94,tbl_chests[legalized],Q$1,tbl_chests[datetime],"&gt;="&amp;TODAY()-WEEKDAY(TODAY(),2)+1,tbl_chests[datetime],"&lt;"&amp;TODAY()-WEEKDAY(TODAY(),2)+8)))</f>
        <v>0</v>
      </c>
      <c r="R94" s="36">
        <f ca="1">IF($A94="","",IF(R$1="","",COUNTIFS(tbl_chests[from],$A94,tbl_chests[legalized],R$1,tbl_chests[datetime],"&gt;="&amp;TODAY()-WEEKDAY(TODAY(),2)+1,tbl_chests[datetime],"&lt;"&amp;TODAY()-WEEKDAY(TODAY(),2)+8)))</f>
        <v>0</v>
      </c>
      <c r="S94" s="36">
        <f ca="1">IF($A94="","",IF(S$1="","",COUNTIFS(tbl_chests[from],$A94,tbl_chests[legalized],S$1,tbl_chests[datetime],"&gt;="&amp;TODAY()-WEEKDAY(TODAY(),2)+1,tbl_chests[datetime],"&lt;"&amp;TODAY()-WEEKDAY(TODAY(),2)+8)))</f>
        <v>0</v>
      </c>
      <c r="T94" s="36">
        <f ca="1">IF($A94="","",IF(T$1="","",COUNTIFS(tbl_chests[from],$A94,tbl_chests[legalized],T$1,tbl_chests[datetime],"&gt;="&amp;TODAY()-WEEKDAY(TODAY(),2)+1,tbl_chests[datetime],"&lt;"&amp;TODAY()-WEEKDAY(TODAY(),2)+8)))</f>
        <v>0</v>
      </c>
      <c r="U94" s="36">
        <f ca="1">IF($A94="","",IF(U$1="","",COUNTIFS(tbl_chests[from],$A94,tbl_chests[legalized],U$1,tbl_chests[datetime],"&gt;="&amp;TODAY()-WEEKDAY(TODAY(),2)+1,tbl_chests[datetime],"&lt;"&amp;TODAY()-WEEKDAY(TODAY(),2)+8)))</f>
        <v>0</v>
      </c>
      <c r="V94" s="36">
        <f ca="1">IF($A94="","",IF(V$1="","",COUNTIFS(tbl_chests[from],$A94,tbl_chests[legalized],V$1,tbl_chests[datetime],"&gt;="&amp;TODAY()-WEEKDAY(TODAY(),2)+1,tbl_chests[datetime],"&lt;"&amp;TODAY()-WEEKDAY(TODAY(),2)+8)))</f>
        <v>0</v>
      </c>
      <c r="W94" s="36">
        <f ca="1">IF($A94="","",IF(W$1="","",COUNTIFS(tbl_chests[from],$A94,tbl_chests[legalized],W$1,tbl_chests[datetime],"&gt;="&amp;TODAY()-WEEKDAY(TODAY(),2)+1,tbl_chests[datetime],"&lt;"&amp;TODAY()-WEEKDAY(TODAY(),2)+8)))</f>
        <v>0</v>
      </c>
      <c r="X94" s="36">
        <f ca="1">IF($A94="","",IF(X$1="","",COUNTIFS(tbl_chests[from],$A94,tbl_chests[legalized],X$1,tbl_chests[datetime],"&gt;="&amp;TODAY()-WEEKDAY(TODAY(),2)+1,tbl_chests[datetime],"&lt;"&amp;TODAY()-WEEKDAY(TODAY(),2)+8)))</f>
        <v>0</v>
      </c>
      <c r="Y94" s="36">
        <f ca="1">IF($A94="","",IF(Y$1="","",COUNTIFS(tbl_chests[from],$A94,tbl_chests[legalized],Y$1,tbl_chests[datetime],"&gt;="&amp;TODAY()-WEEKDAY(TODAY(),2)+1,tbl_chests[datetime],"&lt;"&amp;TODAY()-WEEKDAY(TODAY(),2)+8)))</f>
        <v>0</v>
      </c>
      <c r="Z94" s="36">
        <f ca="1">IF($A94="","",IF(Z$1="","",COUNTIFS(tbl_chests[from],$A94,tbl_chests[legalized],Z$1,tbl_chests[datetime],"&gt;="&amp;TODAY()-WEEKDAY(TODAY(),2)+1,tbl_chests[datetime],"&lt;"&amp;TODAY()-WEEKDAY(TODAY(),2)+8)))</f>
        <v>0</v>
      </c>
      <c r="AA94" s="36">
        <f ca="1">IF($A94="","",IF(AA$1="","",COUNTIFS(tbl_chests[from],$A94,tbl_chests[legalized],AA$1,tbl_chests[datetime],"&gt;="&amp;TODAY()-WEEKDAY(TODAY(),2)+1,tbl_chests[datetime],"&lt;"&amp;TODAY()-WEEKDAY(TODAY(),2)+8)))</f>
        <v>0</v>
      </c>
      <c r="AB94" s="36">
        <f ca="1">IF($A94="","",IF(AB$1="","",COUNTIFS(tbl_chests[from],$A94,tbl_chests[legalized],AB$1,tbl_chests[datetime],"&gt;="&amp;TODAY()-WEEKDAY(TODAY(),2)+1,tbl_chests[datetime],"&lt;"&amp;TODAY()-WEEKDAY(TODAY(),2)+8)))</f>
        <v>0</v>
      </c>
      <c r="AC94" s="36">
        <f ca="1">IF($A94="","",IF(AC$1="","",COUNTIFS(tbl_chests[from],$A94,tbl_chests[legalized],AC$1,tbl_chests[datetime],"&gt;="&amp;TODAY()-WEEKDAY(TODAY(),2)+1,tbl_chests[datetime],"&lt;"&amp;TODAY()-WEEKDAY(TODAY(),2)+8)))</f>
        <v>0</v>
      </c>
      <c r="AD94" s="36">
        <f ca="1">IF($A94="","",IF(AD$1="","",COUNTIFS(tbl_chests[from],$A94,tbl_chests[legalized],AD$1,tbl_chests[datetime],"&gt;="&amp;TODAY()-WEEKDAY(TODAY(),2)+1,tbl_chests[datetime],"&lt;"&amp;TODAY()-WEEKDAY(TODAY(),2)+8)))</f>
        <v>0</v>
      </c>
      <c r="AE94" s="36">
        <f ca="1">IF($A94="","",IF(AE$1="","",COUNTIFS(tbl_chests[from],$A94,tbl_chests[legalized],AE$1,tbl_chests[datetime],"&gt;="&amp;TODAY()-WEEKDAY(TODAY(),2)+1,tbl_chests[datetime],"&lt;"&amp;TODAY()-WEEKDAY(TODAY(),2)+8)))</f>
        <v>0</v>
      </c>
      <c r="AF94" s="36">
        <f ca="1">IF($A94="","",IF(AF$1="","",COUNTIFS(tbl_chests[from],$A94,tbl_chests[legalized],AF$1,tbl_chests[datetime],"&gt;="&amp;TODAY()-WEEKDAY(TODAY(),2)+1,tbl_chests[datetime],"&lt;"&amp;TODAY()-WEEKDAY(TODAY(),2)+8)))</f>
        <v>0</v>
      </c>
      <c r="AG94" s="36">
        <f ca="1">IF($A94="","",IF(AG$1="","",COUNTIFS(tbl_chests[from],$A94,tbl_chests[legalized],AG$1,tbl_chests[datetime],"&gt;="&amp;TODAY()-WEEKDAY(TODAY(),2)+1,tbl_chests[datetime],"&lt;"&amp;TODAY()-WEEKDAY(TODAY(),2)+8)))</f>
        <v>0</v>
      </c>
      <c r="AH94" s="36">
        <f ca="1">IF($A94="","",IF(AH$1="","",COUNTIFS(tbl_chests[from],$A94,tbl_chests[legalized],AH$1,tbl_chests[datetime],"&gt;="&amp;TODAY()-WEEKDAY(TODAY(),2)+1,tbl_chests[datetime],"&lt;"&amp;TODAY()-WEEKDAY(TODAY(),2)+8)))</f>
        <v>0</v>
      </c>
      <c r="AI94" s="36">
        <f ca="1">IF($A94="","",IF(AI$1="","",COUNTIFS(tbl_chests[from],$A94,tbl_chests[legalized],AI$1,tbl_chests[datetime],"&gt;="&amp;TODAY()-WEEKDAY(TODAY(),2)+1,tbl_chests[datetime],"&lt;"&amp;TODAY()-WEEKDAY(TODAY(),2)+8)))</f>
        <v>0</v>
      </c>
      <c r="AJ94" s="36">
        <f ca="1">IF($A94="","",IF(AJ$1="","",COUNTIFS(tbl_chests[from],$A94,tbl_chests[legalized],AJ$1,tbl_chests[datetime],"&gt;="&amp;TODAY()-WEEKDAY(TODAY(),2)+1,tbl_chests[datetime],"&lt;"&amp;TODAY()-WEEKDAY(TODAY(),2)+8)))</f>
        <v>0</v>
      </c>
      <c r="AK94" s="36">
        <f ca="1">IF($A94="","",IF(AK$1="","",COUNTIFS(tbl_chests[from],$A94,tbl_chests[legalized],AK$1,tbl_chests[datetime],"&gt;="&amp;TODAY()-WEEKDAY(TODAY(),2)+1,tbl_chests[datetime],"&lt;"&amp;TODAY()-WEEKDAY(TODAY(),2)+8)))</f>
        <v>0</v>
      </c>
      <c r="AL94" s="36">
        <f ca="1">IF($A94="","",IF(AL$1="","",COUNTIFS(tbl_chests[from],$A94,tbl_chests[legalized],AL$1,tbl_chests[datetime],"&gt;="&amp;TODAY()-WEEKDAY(TODAY(),2)+1,tbl_chests[datetime],"&lt;"&amp;TODAY()-WEEKDAY(TODAY(),2)+8)))</f>
        <v>0</v>
      </c>
      <c r="AM94" s="37">
        <f ca="1">IF($A94="","",IF(AM$1="","",COUNTIFS(tbl_chests[from],$A94,tbl_chests[legalized],AM$1,tbl_chests[datetime],"&gt;="&amp;TODAY()-WEEKDAY(TODAY(),2)+1,tbl_chests[datetime],"&lt;"&amp;TODAY()-WEEKDAY(TODAY(),2)+8)))</f>
        <v>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 spans="1:67" ht="15.75" customHeight="1" x14ac:dyDescent="0.25">
      <c r="A95" s="34">
        <f>chests_counter!$H92</f>
        <v>0</v>
      </c>
      <c r="B95" s="35" cm="1">
        <f t="array" aca="1" ref="B95" ca="1">IF(A95&lt;&gt;"", SUMPRODUCT(($C$2:$AM$2&lt;&gt;0)*(C95:AM95&lt;&gt;0)*($C$2:$AM$2)*(C95:AM95)), "")</f>
        <v>0</v>
      </c>
      <c r="C95" s="36">
        <f ca="1">IF($A95="","",IF(C$1="","",COUNTIFS(tbl_chests[from],$A95,tbl_chests[legalized],C$1,tbl_chests[datetime],"&gt;="&amp;TODAY()-WEEKDAY(TODAY(),2)+1,tbl_chests[datetime],"&lt;"&amp;TODAY()-WEEKDAY(TODAY(),2)+8)))</f>
        <v>0</v>
      </c>
      <c r="D95" s="36">
        <f ca="1">IF($A95="","",IF(D$1="","",COUNTIFS(tbl_chests[from],$A95,tbl_chests[legalized],D$1,tbl_chests[datetime],"&gt;="&amp;TODAY()-WEEKDAY(TODAY(),2)+1,tbl_chests[datetime],"&lt;"&amp;TODAY()-WEEKDAY(TODAY(),2)+8)))</f>
        <v>0</v>
      </c>
      <c r="E95" s="36">
        <f ca="1">IF($A95="","",IF(E$1="","",COUNTIFS(tbl_chests[from],$A95,tbl_chests[legalized],E$1,tbl_chests[datetime],"&gt;="&amp;TODAY()-WEEKDAY(TODAY(),2)+1,tbl_chests[datetime],"&lt;"&amp;TODAY()-WEEKDAY(TODAY(),2)+8)))</f>
        <v>0</v>
      </c>
      <c r="F95" s="36">
        <f ca="1">IF($A95="","",IF(F$1="","",COUNTIFS(tbl_chests[from],$A95,tbl_chests[legalized],F$1,tbl_chests[datetime],"&gt;="&amp;TODAY()-WEEKDAY(TODAY(),2)+1,tbl_chests[datetime],"&lt;"&amp;TODAY()-WEEKDAY(TODAY(),2)+8)))</f>
        <v>0</v>
      </c>
      <c r="G95" s="36">
        <f ca="1">IF($A95="","",IF(G$1="","",COUNTIFS(tbl_chests[from],$A95,tbl_chests[legalized],G$1,tbl_chests[datetime],"&gt;="&amp;TODAY()-WEEKDAY(TODAY(),2)+1,tbl_chests[datetime],"&lt;"&amp;TODAY()-WEEKDAY(TODAY(),2)+8)))</f>
        <v>0</v>
      </c>
      <c r="H95" s="36">
        <f ca="1">IF($A95="","",IF(H$1="","",COUNTIFS(tbl_chests[from],$A95,tbl_chests[legalized],H$1,tbl_chests[datetime],"&gt;="&amp;TODAY()-WEEKDAY(TODAY(),2)+1,tbl_chests[datetime],"&lt;"&amp;TODAY()-WEEKDAY(TODAY(),2)+8)))</f>
        <v>0</v>
      </c>
      <c r="I95" s="36">
        <f ca="1">IF($A95="","",IF(I$1="","",COUNTIFS(tbl_chests[from],$A95,tbl_chests[legalized],I$1,tbl_chests[datetime],"&gt;="&amp;TODAY()-WEEKDAY(TODAY(),2)+1,tbl_chests[datetime],"&lt;"&amp;TODAY()-WEEKDAY(TODAY(),2)+8)))</f>
        <v>0</v>
      </c>
      <c r="J95" s="36">
        <f ca="1">IF($A95="","",IF(J$1="","",COUNTIFS(tbl_chests[from],$A95,tbl_chests[legalized],J$1,tbl_chests[datetime],"&gt;="&amp;TODAY()-WEEKDAY(TODAY(),2)+1,tbl_chests[datetime],"&lt;"&amp;TODAY()-WEEKDAY(TODAY(),2)+8)))</f>
        <v>0</v>
      </c>
      <c r="K95" s="36">
        <f ca="1">IF($A95="","",IF(K$1="","",COUNTIFS(tbl_chests[from],$A95,tbl_chests[legalized],K$1,tbl_chests[datetime],"&gt;="&amp;TODAY()-WEEKDAY(TODAY(),2)+1,tbl_chests[datetime],"&lt;"&amp;TODAY()-WEEKDAY(TODAY(),2)+8)))</f>
        <v>0</v>
      </c>
      <c r="L95" s="36">
        <f ca="1">IF($A95="","",IF(L$1="","",COUNTIFS(tbl_chests[from],$A95,tbl_chests[legalized],L$1,tbl_chests[datetime],"&gt;="&amp;TODAY()-WEEKDAY(TODAY(),2)+1,tbl_chests[datetime],"&lt;"&amp;TODAY()-WEEKDAY(TODAY(),2)+8)))</f>
        <v>0</v>
      </c>
      <c r="M95" s="36">
        <f ca="1">IF($A95="","",IF(M$1="","",COUNTIFS(tbl_chests[from],$A95,tbl_chests[legalized],M$1,tbl_chests[datetime],"&gt;="&amp;TODAY()-WEEKDAY(TODAY(),2)+1,tbl_chests[datetime],"&lt;"&amp;TODAY()-WEEKDAY(TODAY(),2)+8)))</f>
        <v>0</v>
      </c>
      <c r="N95" s="36">
        <f ca="1">IF($A95="","",IF(N$1="","",COUNTIFS(tbl_chests[from],$A95,tbl_chests[legalized],N$1,tbl_chests[datetime],"&gt;="&amp;TODAY()-WEEKDAY(TODAY(),2)+1,tbl_chests[datetime],"&lt;"&amp;TODAY()-WEEKDAY(TODAY(),2)+8)))</f>
        <v>0</v>
      </c>
      <c r="O95" s="36">
        <f ca="1">IF($A95="","",IF(O$1="","",COUNTIFS(tbl_chests[from],$A95,tbl_chests[legalized],O$1,tbl_chests[datetime],"&gt;="&amp;TODAY()-WEEKDAY(TODAY(),2)+1,tbl_chests[datetime],"&lt;"&amp;TODAY()-WEEKDAY(TODAY(),2)+8)))</f>
        <v>0</v>
      </c>
      <c r="P95" s="36">
        <f ca="1">IF($A95="","",IF(P$1="","",COUNTIFS(tbl_chests[from],$A95,tbl_chests[legalized],P$1,tbl_chests[datetime],"&gt;="&amp;TODAY()-WEEKDAY(TODAY(),2)+1,tbl_chests[datetime],"&lt;"&amp;TODAY()-WEEKDAY(TODAY(),2)+8)))</f>
        <v>0</v>
      </c>
      <c r="Q95" s="36">
        <f ca="1">IF($A95="","",IF(Q$1="","",COUNTIFS(tbl_chests[from],$A95,tbl_chests[legalized],Q$1,tbl_chests[datetime],"&gt;="&amp;TODAY()-WEEKDAY(TODAY(),2)+1,tbl_chests[datetime],"&lt;"&amp;TODAY()-WEEKDAY(TODAY(),2)+8)))</f>
        <v>0</v>
      </c>
      <c r="R95" s="36">
        <f ca="1">IF($A95="","",IF(R$1="","",COUNTIFS(tbl_chests[from],$A95,tbl_chests[legalized],R$1,tbl_chests[datetime],"&gt;="&amp;TODAY()-WEEKDAY(TODAY(),2)+1,tbl_chests[datetime],"&lt;"&amp;TODAY()-WEEKDAY(TODAY(),2)+8)))</f>
        <v>0</v>
      </c>
      <c r="S95" s="36">
        <f ca="1">IF($A95="","",IF(S$1="","",COUNTIFS(tbl_chests[from],$A95,tbl_chests[legalized],S$1,tbl_chests[datetime],"&gt;="&amp;TODAY()-WEEKDAY(TODAY(),2)+1,tbl_chests[datetime],"&lt;"&amp;TODAY()-WEEKDAY(TODAY(),2)+8)))</f>
        <v>0</v>
      </c>
      <c r="T95" s="36">
        <f ca="1">IF($A95="","",IF(T$1="","",COUNTIFS(tbl_chests[from],$A95,tbl_chests[legalized],T$1,tbl_chests[datetime],"&gt;="&amp;TODAY()-WEEKDAY(TODAY(),2)+1,tbl_chests[datetime],"&lt;"&amp;TODAY()-WEEKDAY(TODAY(),2)+8)))</f>
        <v>0</v>
      </c>
      <c r="U95" s="36">
        <f ca="1">IF($A95="","",IF(U$1="","",COUNTIFS(tbl_chests[from],$A95,tbl_chests[legalized],U$1,tbl_chests[datetime],"&gt;="&amp;TODAY()-WEEKDAY(TODAY(),2)+1,tbl_chests[datetime],"&lt;"&amp;TODAY()-WEEKDAY(TODAY(),2)+8)))</f>
        <v>0</v>
      </c>
      <c r="V95" s="36">
        <f ca="1">IF($A95="","",IF(V$1="","",COUNTIFS(tbl_chests[from],$A95,tbl_chests[legalized],V$1,tbl_chests[datetime],"&gt;="&amp;TODAY()-WEEKDAY(TODAY(),2)+1,tbl_chests[datetime],"&lt;"&amp;TODAY()-WEEKDAY(TODAY(),2)+8)))</f>
        <v>0</v>
      </c>
      <c r="W95" s="36">
        <f ca="1">IF($A95="","",IF(W$1="","",COUNTIFS(tbl_chests[from],$A95,tbl_chests[legalized],W$1,tbl_chests[datetime],"&gt;="&amp;TODAY()-WEEKDAY(TODAY(),2)+1,tbl_chests[datetime],"&lt;"&amp;TODAY()-WEEKDAY(TODAY(),2)+8)))</f>
        <v>0</v>
      </c>
      <c r="X95" s="36">
        <f ca="1">IF($A95="","",IF(X$1="","",COUNTIFS(tbl_chests[from],$A95,tbl_chests[legalized],X$1,tbl_chests[datetime],"&gt;="&amp;TODAY()-WEEKDAY(TODAY(),2)+1,tbl_chests[datetime],"&lt;"&amp;TODAY()-WEEKDAY(TODAY(),2)+8)))</f>
        <v>0</v>
      </c>
      <c r="Y95" s="36">
        <f ca="1">IF($A95="","",IF(Y$1="","",COUNTIFS(tbl_chests[from],$A95,tbl_chests[legalized],Y$1,tbl_chests[datetime],"&gt;="&amp;TODAY()-WEEKDAY(TODAY(),2)+1,tbl_chests[datetime],"&lt;"&amp;TODAY()-WEEKDAY(TODAY(),2)+8)))</f>
        <v>0</v>
      </c>
      <c r="Z95" s="36">
        <f ca="1">IF($A95="","",IF(Z$1="","",COUNTIFS(tbl_chests[from],$A95,tbl_chests[legalized],Z$1,tbl_chests[datetime],"&gt;="&amp;TODAY()-WEEKDAY(TODAY(),2)+1,tbl_chests[datetime],"&lt;"&amp;TODAY()-WEEKDAY(TODAY(),2)+8)))</f>
        <v>0</v>
      </c>
      <c r="AA95" s="36">
        <f ca="1">IF($A95="","",IF(AA$1="","",COUNTIFS(tbl_chests[from],$A95,tbl_chests[legalized],AA$1,tbl_chests[datetime],"&gt;="&amp;TODAY()-WEEKDAY(TODAY(),2)+1,tbl_chests[datetime],"&lt;"&amp;TODAY()-WEEKDAY(TODAY(),2)+8)))</f>
        <v>0</v>
      </c>
      <c r="AB95" s="36">
        <f ca="1">IF($A95="","",IF(AB$1="","",COUNTIFS(tbl_chests[from],$A95,tbl_chests[legalized],AB$1,tbl_chests[datetime],"&gt;="&amp;TODAY()-WEEKDAY(TODAY(),2)+1,tbl_chests[datetime],"&lt;"&amp;TODAY()-WEEKDAY(TODAY(),2)+8)))</f>
        <v>0</v>
      </c>
      <c r="AC95" s="36">
        <f ca="1">IF($A95="","",IF(AC$1="","",COUNTIFS(tbl_chests[from],$A95,tbl_chests[legalized],AC$1,tbl_chests[datetime],"&gt;="&amp;TODAY()-WEEKDAY(TODAY(),2)+1,tbl_chests[datetime],"&lt;"&amp;TODAY()-WEEKDAY(TODAY(),2)+8)))</f>
        <v>0</v>
      </c>
      <c r="AD95" s="36">
        <f ca="1">IF($A95="","",IF(AD$1="","",COUNTIFS(tbl_chests[from],$A95,tbl_chests[legalized],AD$1,tbl_chests[datetime],"&gt;="&amp;TODAY()-WEEKDAY(TODAY(),2)+1,tbl_chests[datetime],"&lt;"&amp;TODAY()-WEEKDAY(TODAY(),2)+8)))</f>
        <v>0</v>
      </c>
      <c r="AE95" s="36">
        <f ca="1">IF($A95="","",IF(AE$1="","",COUNTIFS(tbl_chests[from],$A95,tbl_chests[legalized],AE$1,tbl_chests[datetime],"&gt;="&amp;TODAY()-WEEKDAY(TODAY(),2)+1,tbl_chests[datetime],"&lt;"&amp;TODAY()-WEEKDAY(TODAY(),2)+8)))</f>
        <v>0</v>
      </c>
      <c r="AF95" s="36">
        <f ca="1">IF($A95="","",IF(AF$1="","",COUNTIFS(tbl_chests[from],$A95,tbl_chests[legalized],AF$1,tbl_chests[datetime],"&gt;="&amp;TODAY()-WEEKDAY(TODAY(),2)+1,tbl_chests[datetime],"&lt;"&amp;TODAY()-WEEKDAY(TODAY(),2)+8)))</f>
        <v>0</v>
      </c>
      <c r="AG95" s="36">
        <f ca="1">IF($A95="","",IF(AG$1="","",COUNTIFS(tbl_chests[from],$A95,tbl_chests[legalized],AG$1,tbl_chests[datetime],"&gt;="&amp;TODAY()-WEEKDAY(TODAY(),2)+1,tbl_chests[datetime],"&lt;"&amp;TODAY()-WEEKDAY(TODAY(),2)+8)))</f>
        <v>0</v>
      </c>
      <c r="AH95" s="36">
        <f ca="1">IF($A95="","",IF(AH$1="","",COUNTIFS(tbl_chests[from],$A95,tbl_chests[legalized],AH$1,tbl_chests[datetime],"&gt;="&amp;TODAY()-WEEKDAY(TODAY(),2)+1,tbl_chests[datetime],"&lt;"&amp;TODAY()-WEEKDAY(TODAY(),2)+8)))</f>
        <v>0</v>
      </c>
      <c r="AI95" s="36">
        <f ca="1">IF($A95="","",IF(AI$1="","",COUNTIFS(tbl_chests[from],$A95,tbl_chests[legalized],AI$1,tbl_chests[datetime],"&gt;="&amp;TODAY()-WEEKDAY(TODAY(),2)+1,tbl_chests[datetime],"&lt;"&amp;TODAY()-WEEKDAY(TODAY(),2)+8)))</f>
        <v>0</v>
      </c>
      <c r="AJ95" s="36">
        <f ca="1">IF($A95="","",IF(AJ$1="","",COUNTIFS(tbl_chests[from],$A95,tbl_chests[legalized],AJ$1,tbl_chests[datetime],"&gt;="&amp;TODAY()-WEEKDAY(TODAY(),2)+1,tbl_chests[datetime],"&lt;"&amp;TODAY()-WEEKDAY(TODAY(),2)+8)))</f>
        <v>0</v>
      </c>
      <c r="AK95" s="36">
        <f ca="1">IF($A95="","",IF(AK$1="","",COUNTIFS(tbl_chests[from],$A95,tbl_chests[legalized],AK$1,tbl_chests[datetime],"&gt;="&amp;TODAY()-WEEKDAY(TODAY(),2)+1,tbl_chests[datetime],"&lt;"&amp;TODAY()-WEEKDAY(TODAY(),2)+8)))</f>
        <v>0</v>
      </c>
      <c r="AL95" s="36">
        <f ca="1">IF($A95="","",IF(AL$1="","",COUNTIFS(tbl_chests[from],$A95,tbl_chests[legalized],AL$1,tbl_chests[datetime],"&gt;="&amp;TODAY()-WEEKDAY(TODAY(),2)+1,tbl_chests[datetime],"&lt;"&amp;TODAY()-WEEKDAY(TODAY(),2)+8)))</f>
        <v>0</v>
      </c>
      <c r="AM95" s="37">
        <f ca="1">IF($A95="","",IF(AM$1="","",COUNTIFS(tbl_chests[from],$A95,tbl_chests[legalized],AM$1,tbl_chests[datetime],"&gt;="&amp;TODAY()-WEEKDAY(TODAY(),2)+1,tbl_chests[datetime],"&lt;"&amp;TODAY()-WEEKDAY(TODAY(),2)+8)))</f>
        <v>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 ht="15.75" customHeight="1" x14ac:dyDescent="0.25">
      <c r="A96" s="34">
        <f>chests_counter!$H93</f>
        <v>0</v>
      </c>
      <c r="B96" s="35" cm="1">
        <f t="array" aca="1" ref="B96" ca="1">IF(A96&lt;&gt;"", SUMPRODUCT(($C$2:$AM$2&lt;&gt;0)*(C96:AM96&lt;&gt;0)*($C$2:$AM$2)*(C96:AM96)), "")</f>
        <v>0</v>
      </c>
      <c r="C96" s="36">
        <f ca="1">IF($A96="","",IF(C$1="","",COUNTIFS(tbl_chests[from],$A96,tbl_chests[legalized],C$1,tbl_chests[datetime],"&gt;="&amp;TODAY()-WEEKDAY(TODAY(),2)+1,tbl_chests[datetime],"&lt;"&amp;TODAY()-WEEKDAY(TODAY(),2)+8)))</f>
        <v>0</v>
      </c>
      <c r="D96" s="36">
        <f ca="1">IF($A96="","",IF(D$1="","",COUNTIFS(tbl_chests[from],$A96,tbl_chests[legalized],D$1,tbl_chests[datetime],"&gt;="&amp;TODAY()-WEEKDAY(TODAY(),2)+1,tbl_chests[datetime],"&lt;"&amp;TODAY()-WEEKDAY(TODAY(),2)+8)))</f>
        <v>0</v>
      </c>
      <c r="E96" s="36">
        <f ca="1">IF($A96="","",IF(E$1="","",COUNTIFS(tbl_chests[from],$A96,tbl_chests[legalized],E$1,tbl_chests[datetime],"&gt;="&amp;TODAY()-WEEKDAY(TODAY(),2)+1,tbl_chests[datetime],"&lt;"&amp;TODAY()-WEEKDAY(TODAY(),2)+8)))</f>
        <v>0</v>
      </c>
      <c r="F96" s="36">
        <f ca="1">IF($A96="","",IF(F$1="","",COUNTIFS(tbl_chests[from],$A96,tbl_chests[legalized],F$1,tbl_chests[datetime],"&gt;="&amp;TODAY()-WEEKDAY(TODAY(),2)+1,tbl_chests[datetime],"&lt;"&amp;TODAY()-WEEKDAY(TODAY(),2)+8)))</f>
        <v>0</v>
      </c>
      <c r="G96" s="36">
        <f ca="1">IF($A96="","",IF(G$1="","",COUNTIFS(tbl_chests[from],$A96,tbl_chests[legalized],G$1,tbl_chests[datetime],"&gt;="&amp;TODAY()-WEEKDAY(TODAY(),2)+1,tbl_chests[datetime],"&lt;"&amp;TODAY()-WEEKDAY(TODAY(),2)+8)))</f>
        <v>0</v>
      </c>
      <c r="H96" s="36">
        <f ca="1">IF($A96="","",IF(H$1="","",COUNTIFS(tbl_chests[from],$A96,tbl_chests[legalized],H$1,tbl_chests[datetime],"&gt;="&amp;TODAY()-WEEKDAY(TODAY(),2)+1,tbl_chests[datetime],"&lt;"&amp;TODAY()-WEEKDAY(TODAY(),2)+8)))</f>
        <v>0</v>
      </c>
      <c r="I96" s="36">
        <f ca="1">IF($A96="","",IF(I$1="","",COUNTIFS(tbl_chests[from],$A96,tbl_chests[legalized],I$1,tbl_chests[datetime],"&gt;="&amp;TODAY()-WEEKDAY(TODAY(),2)+1,tbl_chests[datetime],"&lt;"&amp;TODAY()-WEEKDAY(TODAY(),2)+8)))</f>
        <v>0</v>
      </c>
      <c r="J96" s="36">
        <f ca="1">IF($A96="","",IF(J$1="","",COUNTIFS(tbl_chests[from],$A96,tbl_chests[legalized],J$1,tbl_chests[datetime],"&gt;="&amp;TODAY()-WEEKDAY(TODAY(),2)+1,tbl_chests[datetime],"&lt;"&amp;TODAY()-WEEKDAY(TODAY(),2)+8)))</f>
        <v>0</v>
      </c>
      <c r="K96" s="36">
        <f ca="1">IF($A96="","",IF(K$1="","",COUNTIFS(tbl_chests[from],$A96,tbl_chests[legalized],K$1,tbl_chests[datetime],"&gt;="&amp;TODAY()-WEEKDAY(TODAY(),2)+1,tbl_chests[datetime],"&lt;"&amp;TODAY()-WEEKDAY(TODAY(),2)+8)))</f>
        <v>0</v>
      </c>
      <c r="L96" s="36">
        <f ca="1">IF($A96="","",IF(L$1="","",COUNTIFS(tbl_chests[from],$A96,tbl_chests[legalized],L$1,tbl_chests[datetime],"&gt;="&amp;TODAY()-WEEKDAY(TODAY(),2)+1,tbl_chests[datetime],"&lt;"&amp;TODAY()-WEEKDAY(TODAY(),2)+8)))</f>
        <v>0</v>
      </c>
      <c r="M96" s="36">
        <f ca="1">IF($A96="","",IF(M$1="","",COUNTIFS(tbl_chests[from],$A96,tbl_chests[legalized],M$1,tbl_chests[datetime],"&gt;="&amp;TODAY()-WEEKDAY(TODAY(),2)+1,tbl_chests[datetime],"&lt;"&amp;TODAY()-WEEKDAY(TODAY(),2)+8)))</f>
        <v>0</v>
      </c>
      <c r="N96" s="36">
        <f ca="1">IF($A96="","",IF(N$1="","",COUNTIFS(tbl_chests[from],$A96,tbl_chests[legalized],N$1,tbl_chests[datetime],"&gt;="&amp;TODAY()-WEEKDAY(TODAY(),2)+1,tbl_chests[datetime],"&lt;"&amp;TODAY()-WEEKDAY(TODAY(),2)+8)))</f>
        <v>0</v>
      </c>
      <c r="O96" s="36">
        <f ca="1">IF($A96="","",IF(O$1="","",COUNTIFS(tbl_chests[from],$A96,tbl_chests[legalized],O$1,tbl_chests[datetime],"&gt;="&amp;TODAY()-WEEKDAY(TODAY(),2)+1,tbl_chests[datetime],"&lt;"&amp;TODAY()-WEEKDAY(TODAY(),2)+8)))</f>
        <v>0</v>
      </c>
      <c r="P96" s="36">
        <f ca="1">IF($A96="","",IF(P$1="","",COUNTIFS(tbl_chests[from],$A96,tbl_chests[legalized],P$1,tbl_chests[datetime],"&gt;="&amp;TODAY()-WEEKDAY(TODAY(),2)+1,tbl_chests[datetime],"&lt;"&amp;TODAY()-WEEKDAY(TODAY(),2)+8)))</f>
        <v>0</v>
      </c>
      <c r="Q96" s="36">
        <f ca="1">IF($A96="","",IF(Q$1="","",COUNTIFS(tbl_chests[from],$A96,tbl_chests[legalized],Q$1,tbl_chests[datetime],"&gt;="&amp;TODAY()-WEEKDAY(TODAY(),2)+1,tbl_chests[datetime],"&lt;"&amp;TODAY()-WEEKDAY(TODAY(),2)+8)))</f>
        <v>0</v>
      </c>
      <c r="R96" s="36">
        <f ca="1">IF($A96="","",IF(R$1="","",COUNTIFS(tbl_chests[from],$A96,tbl_chests[legalized],R$1,tbl_chests[datetime],"&gt;="&amp;TODAY()-WEEKDAY(TODAY(),2)+1,tbl_chests[datetime],"&lt;"&amp;TODAY()-WEEKDAY(TODAY(),2)+8)))</f>
        <v>0</v>
      </c>
      <c r="S96" s="36">
        <f ca="1">IF($A96="","",IF(S$1="","",COUNTIFS(tbl_chests[from],$A96,tbl_chests[legalized],S$1,tbl_chests[datetime],"&gt;="&amp;TODAY()-WEEKDAY(TODAY(),2)+1,tbl_chests[datetime],"&lt;"&amp;TODAY()-WEEKDAY(TODAY(),2)+8)))</f>
        <v>0</v>
      </c>
      <c r="T96" s="36">
        <f ca="1">IF($A96="","",IF(T$1="","",COUNTIFS(tbl_chests[from],$A96,tbl_chests[legalized],T$1,tbl_chests[datetime],"&gt;="&amp;TODAY()-WEEKDAY(TODAY(),2)+1,tbl_chests[datetime],"&lt;"&amp;TODAY()-WEEKDAY(TODAY(),2)+8)))</f>
        <v>0</v>
      </c>
      <c r="U96" s="36">
        <f ca="1">IF($A96="","",IF(U$1="","",COUNTIFS(tbl_chests[from],$A96,tbl_chests[legalized],U$1,tbl_chests[datetime],"&gt;="&amp;TODAY()-WEEKDAY(TODAY(),2)+1,tbl_chests[datetime],"&lt;"&amp;TODAY()-WEEKDAY(TODAY(),2)+8)))</f>
        <v>0</v>
      </c>
      <c r="V96" s="36">
        <f ca="1">IF($A96="","",IF(V$1="","",COUNTIFS(tbl_chests[from],$A96,tbl_chests[legalized],V$1,tbl_chests[datetime],"&gt;="&amp;TODAY()-WEEKDAY(TODAY(),2)+1,tbl_chests[datetime],"&lt;"&amp;TODAY()-WEEKDAY(TODAY(),2)+8)))</f>
        <v>0</v>
      </c>
      <c r="W96" s="36">
        <f ca="1">IF($A96="","",IF(W$1="","",COUNTIFS(tbl_chests[from],$A96,tbl_chests[legalized],W$1,tbl_chests[datetime],"&gt;="&amp;TODAY()-WEEKDAY(TODAY(),2)+1,tbl_chests[datetime],"&lt;"&amp;TODAY()-WEEKDAY(TODAY(),2)+8)))</f>
        <v>0</v>
      </c>
      <c r="X96" s="36">
        <f ca="1">IF($A96="","",IF(X$1="","",COUNTIFS(tbl_chests[from],$A96,tbl_chests[legalized],X$1,tbl_chests[datetime],"&gt;="&amp;TODAY()-WEEKDAY(TODAY(),2)+1,tbl_chests[datetime],"&lt;"&amp;TODAY()-WEEKDAY(TODAY(),2)+8)))</f>
        <v>0</v>
      </c>
      <c r="Y96" s="36">
        <f ca="1">IF($A96="","",IF(Y$1="","",COUNTIFS(tbl_chests[from],$A96,tbl_chests[legalized],Y$1,tbl_chests[datetime],"&gt;="&amp;TODAY()-WEEKDAY(TODAY(),2)+1,tbl_chests[datetime],"&lt;"&amp;TODAY()-WEEKDAY(TODAY(),2)+8)))</f>
        <v>0</v>
      </c>
      <c r="Z96" s="36">
        <f ca="1">IF($A96="","",IF(Z$1="","",COUNTIFS(tbl_chests[from],$A96,tbl_chests[legalized],Z$1,tbl_chests[datetime],"&gt;="&amp;TODAY()-WEEKDAY(TODAY(),2)+1,tbl_chests[datetime],"&lt;"&amp;TODAY()-WEEKDAY(TODAY(),2)+8)))</f>
        <v>0</v>
      </c>
      <c r="AA96" s="36">
        <f ca="1">IF($A96="","",IF(AA$1="","",COUNTIFS(tbl_chests[from],$A96,tbl_chests[legalized],AA$1,tbl_chests[datetime],"&gt;="&amp;TODAY()-WEEKDAY(TODAY(),2)+1,tbl_chests[datetime],"&lt;"&amp;TODAY()-WEEKDAY(TODAY(),2)+8)))</f>
        <v>0</v>
      </c>
      <c r="AB96" s="36">
        <f ca="1">IF($A96="","",IF(AB$1="","",COUNTIFS(tbl_chests[from],$A96,tbl_chests[legalized],AB$1,tbl_chests[datetime],"&gt;="&amp;TODAY()-WEEKDAY(TODAY(),2)+1,tbl_chests[datetime],"&lt;"&amp;TODAY()-WEEKDAY(TODAY(),2)+8)))</f>
        <v>0</v>
      </c>
      <c r="AC96" s="36">
        <f ca="1">IF($A96="","",IF(AC$1="","",COUNTIFS(tbl_chests[from],$A96,tbl_chests[legalized],AC$1,tbl_chests[datetime],"&gt;="&amp;TODAY()-WEEKDAY(TODAY(),2)+1,tbl_chests[datetime],"&lt;"&amp;TODAY()-WEEKDAY(TODAY(),2)+8)))</f>
        <v>0</v>
      </c>
      <c r="AD96" s="36">
        <f ca="1">IF($A96="","",IF(AD$1="","",COUNTIFS(tbl_chests[from],$A96,tbl_chests[legalized],AD$1,tbl_chests[datetime],"&gt;="&amp;TODAY()-WEEKDAY(TODAY(),2)+1,tbl_chests[datetime],"&lt;"&amp;TODAY()-WEEKDAY(TODAY(),2)+8)))</f>
        <v>0</v>
      </c>
      <c r="AE96" s="36">
        <f ca="1">IF($A96="","",IF(AE$1="","",COUNTIFS(tbl_chests[from],$A96,tbl_chests[legalized],AE$1,tbl_chests[datetime],"&gt;="&amp;TODAY()-WEEKDAY(TODAY(),2)+1,tbl_chests[datetime],"&lt;"&amp;TODAY()-WEEKDAY(TODAY(),2)+8)))</f>
        <v>0</v>
      </c>
      <c r="AF96" s="36">
        <f ca="1">IF($A96="","",IF(AF$1="","",COUNTIFS(tbl_chests[from],$A96,tbl_chests[legalized],AF$1,tbl_chests[datetime],"&gt;="&amp;TODAY()-WEEKDAY(TODAY(),2)+1,tbl_chests[datetime],"&lt;"&amp;TODAY()-WEEKDAY(TODAY(),2)+8)))</f>
        <v>0</v>
      </c>
      <c r="AG96" s="36">
        <f ca="1">IF($A96="","",IF(AG$1="","",COUNTIFS(tbl_chests[from],$A96,tbl_chests[legalized],AG$1,tbl_chests[datetime],"&gt;="&amp;TODAY()-WEEKDAY(TODAY(),2)+1,tbl_chests[datetime],"&lt;"&amp;TODAY()-WEEKDAY(TODAY(),2)+8)))</f>
        <v>0</v>
      </c>
      <c r="AH96" s="36">
        <f ca="1">IF($A96="","",IF(AH$1="","",COUNTIFS(tbl_chests[from],$A96,tbl_chests[legalized],AH$1,tbl_chests[datetime],"&gt;="&amp;TODAY()-WEEKDAY(TODAY(),2)+1,tbl_chests[datetime],"&lt;"&amp;TODAY()-WEEKDAY(TODAY(),2)+8)))</f>
        <v>0</v>
      </c>
      <c r="AI96" s="36">
        <f ca="1">IF($A96="","",IF(AI$1="","",COUNTIFS(tbl_chests[from],$A96,tbl_chests[legalized],AI$1,tbl_chests[datetime],"&gt;="&amp;TODAY()-WEEKDAY(TODAY(),2)+1,tbl_chests[datetime],"&lt;"&amp;TODAY()-WEEKDAY(TODAY(),2)+8)))</f>
        <v>0</v>
      </c>
      <c r="AJ96" s="36">
        <f ca="1">IF($A96="","",IF(AJ$1="","",COUNTIFS(tbl_chests[from],$A96,tbl_chests[legalized],AJ$1,tbl_chests[datetime],"&gt;="&amp;TODAY()-WEEKDAY(TODAY(),2)+1,tbl_chests[datetime],"&lt;"&amp;TODAY()-WEEKDAY(TODAY(),2)+8)))</f>
        <v>0</v>
      </c>
      <c r="AK96" s="36">
        <f ca="1">IF($A96="","",IF(AK$1="","",COUNTIFS(tbl_chests[from],$A96,tbl_chests[legalized],AK$1,tbl_chests[datetime],"&gt;="&amp;TODAY()-WEEKDAY(TODAY(),2)+1,tbl_chests[datetime],"&lt;"&amp;TODAY()-WEEKDAY(TODAY(),2)+8)))</f>
        <v>0</v>
      </c>
      <c r="AL96" s="36">
        <f ca="1">IF($A96="","",IF(AL$1="","",COUNTIFS(tbl_chests[from],$A96,tbl_chests[legalized],AL$1,tbl_chests[datetime],"&gt;="&amp;TODAY()-WEEKDAY(TODAY(),2)+1,tbl_chests[datetime],"&lt;"&amp;TODAY()-WEEKDAY(TODAY(),2)+8)))</f>
        <v>0</v>
      </c>
      <c r="AM96" s="37">
        <f ca="1">IF($A96="","",IF(AM$1="","",COUNTIFS(tbl_chests[from],$A96,tbl_chests[legalized],AM$1,tbl_chests[datetime],"&gt;="&amp;TODAY()-WEEKDAY(TODAY(),2)+1,tbl_chests[datetime],"&lt;"&amp;TODAY()-WEEKDAY(TODAY(),2)+8)))</f>
        <v>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 ht="15.75" customHeight="1" x14ac:dyDescent="0.25">
      <c r="A97" s="34">
        <f>chests_counter!$H94</f>
        <v>0</v>
      </c>
      <c r="B97" s="35" cm="1">
        <f t="array" aca="1" ref="B97" ca="1">IF(A97&lt;&gt;"", SUMPRODUCT(($C$2:$AM$2&lt;&gt;0)*(C97:AM97&lt;&gt;0)*($C$2:$AM$2)*(C97:AM97)), "")</f>
        <v>0</v>
      </c>
      <c r="C97" s="36">
        <f ca="1">IF($A97="","",IF(C$1="","",COUNTIFS(tbl_chests[from],$A97,tbl_chests[legalized],C$1,tbl_chests[datetime],"&gt;="&amp;TODAY()-WEEKDAY(TODAY(),2)+1,tbl_chests[datetime],"&lt;"&amp;TODAY()-WEEKDAY(TODAY(),2)+8)))</f>
        <v>0</v>
      </c>
      <c r="D97" s="36">
        <f ca="1">IF($A97="","",IF(D$1="","",COUNTIFS(tbl_chests[from],$A97,tbl_chests[legalized],D$1,tbl_chests[datetime],"&gt;="&amp;TODAY()-WEEKDAY(TODAY(),2)+1,tbl_chests[datetime],"&lt;"&amp;TODAY()-WEEKDAY(TODAY(),2)+8)))</f>
        <v>0</v>
      </c>
      <c r="E97" s="36">
        <f ca="1">IF($A97="","",IF(E$1="","",COUNTIFS(tbl_chests[from],$A97,tbl_chests[legalized],E$1,tbl_chests[datetime],"&gt;="&amp;TODAY()-WEEKDAY(TODAY(),2)+1,tbl_chests[datetime],"&lt;"&amp;TODAY()-WEEKDAY(TODAY(),2)+8)))</f>
        <v>0</v>
      </c>
      <c r="F97" s="36">
        <f ca="1">IF($A97="","",IF(F$1="","",COUNTIFS(tbl_chests[from],$A97,tbl_chests[legalized],F$1,tbl_chests[datetime],"&gt;="&amp;TODAY()-WEEKDAY(TODAY(),2)+1,tbl_chests[datetime],"&lt;"&amp;TODAY()-WEEKDAY(TODAY(),2)+8)))</f>
        <v>0</v>
      </c>
      <c r="G97" s="36">
        <f ca="1">IF($A97="","",IF(G$1="","",COUNTIFS(tbl_chests[from],$A97,tbl_chests[legalized],G$1,tbl_chests[datetime],"&gt;="&amp;TODAY()-WEEKDAY(TODAY(),2)+1,tbl_chests[datetime],"&lt;"&amp;TODAY()-WEEKDAY(TODAY(),2)+8)))</f>
        <v>0</v>
      </c>
      <c r="H97" s="36">
        <f ca="1">IF($A97="","",IF(H$1="","",COUNTIFS(tbl_chests[from],$A97,tbl_chests[legalized],H$1,tbl_chests[datetime],"&gt;="&amp;TODAY()-WEEKDAY(TODAY(),2)+1,tbl_chests[datetime],"&lt;"&amp;TODAY()-WEEKDAY(TODAY(),2)+8)))</f>
        <v>0</v>
      </c>
      <c r="I97" s="36">
        <f ca="1">IF($A97="","",IF(I$1="","",COUNTIFS(tbl_chests[from],$A97,tbl_chests[legalized],I$1,tbl_chests[datetime],"&gt;="&amp;TODAY()-WEEKDAY(TODAY(),2)+1,tbl_chests[datetime],"&lt;"&amp;TODAY()-WEEKDAY(TODAY(),2)+8)))</f>
        <v>0</v>
      </c>
      <c r="J97" s="36">
        <f ca="1">IF($A97="","",IF(J$1="","",COUNTIFS(tbl_chests[from],$A97,tbl_chests[legalized],J$1,tbl_chests[datetime],"&gt;="&amp;TODAY()-WEEKDAY(TODAY(),2)+1,tbl_chests[datetime],"&lt;"&amp;TODAY()-WEEKDAY(TODAY(),2)+8)))</f>
        <v>0</v>
      </c>
      <c r="K97" s="36">
        <f ca="1">IF($A97="","",IF(K$1="","",COUNTIFS(tbl_chests[from],$A97,tbl_chests[legalized],K$1,tbl_chests[datetime],"&gt;="&amp;TODAY()-WEEKDAY(TODAY(),2)+1,tbl_chests[datetime],"&lt;"&amp;TODAY()-WEEKDAY(TODAY(),2)+8)))</f>
        <v>0</v>
      </c>
      <c r="L97" s="36">
        <f ca="1">IF($A97="","",IF(L$1="","",COUNTIFS(tbl_chests[from],$A97,tbl_chests[legalized],L$1,tbl_chests[datetime],"&gt;="&amp;TODAY()-WEEKDAY(TODAY(),2)+1,tbl_chests[datetime],"&lt;"&amp;TODAY()-WEEKDAY(TODAY(),2)+8)))</f>
        <v>0</v>
      </c>
      <c r="M97" s="36">
        <f ca="1">IF($A97="","",IF(M$1="","",COUNTIFS(tbl_chests[from],$A97,tbl_chests[legalized],M$1,tbl_chests[datetime],"&gt;="&amp;TODAY()-WEEKDAY(TODAY(),2)+1,tbl_chests[datetime],"&lt;"&amp;TODAY()-WEEKDAY(TODAY(),2)+8)))</f>
        <v>0</v>
      </c>
      <c r="N97" s="36">
        <f ca="1">IF($A97="","",IF(N$1="","",COUNTIFS(tbl_chests[from],$A97,tbl_chests[legalized],N$1,tbl_chests[datetime],"&gt;="&amp;TODAY()-WEEKDAY(TODAY(),2)+1,tbl_chests[datetime],"&lt;"&amp;TODAY()-WEEKDAY(TODAY(),2)+8)))</f>
        <v>0</v>
      </c>
      <c r="O97" s="36">
        <f ca="1">IF($A97="","",IF(O$1="","",COUNTIFS(tbl_chests[from],$A97,tbl_chests[legalized],O$1,tbl_chests[datetime],"&gt;="&amp;TODAY()-WEEKDAY(TODAY(),2)+1,tbl_chests[datetime],"&lt;"&amp;TODAY()-WEEKDAY(TODAY(),2)+8)))</f>
        <v>0</v>
      </c>
      <c r="P97" s="36">
        <f ca="1">IF($A97="","",IF(P$1="","",COUNTIFS(tbl_chests[from],$A97,tbl_chests[legalized],P$1,tbl_chests[datetime],"&gt;="&amp;TODAY()-WEEKDAY(TODAY(),2)+1,tbl_chests[datetime],"&lt;"&amp;TODAY()-WEEKDAY(TODAY(),2)+8)))</f>
        <v>0</v>
      </c>
      <c r="Q97" s="36">
        <f ca="1">IF($A97="","",IF(Q$1="","",COUNTIFS(tbl_chests[from],$A97,tbl_chests[legalized],Q$1,tbl_chests[datetime],"&gt;="&amp;TODAY()-WEEKDAY(TODAY(),2)+1,tbl_chests[datetime],"&lt;"&amp;TODAY()-WEEKDAY(TODAY(),2)+8)))</f>
        <v>0</v>
      </c>
      <c r="R97" s="36">
        <f ca="1">IF($A97="","",IF(R$1="","",COUNTIFS(tbl_chests[from],$A97,tbl_chests[legalized],R$1,tbl_chests[datetime],"&gt;="&amp;TODAY()-WEEKDAY(TODAY(),2)+1,tbl_chests[datetime],"&lt;"&amp;TODAY()-WEEKDAY(TODAY(),2)+8)))</f>
        <v>0</v>
      </c>
      <c r="S97" s="36">
        <f ca="1">IF($A97="","",IF(S$1="","",COUNTIFS(tbl_chests[from],$A97,tbl_chests[legalized],S$1,tbl_chests[datetime],"&gt;="&amp;TODAY()-WEEKDAY(TODAY(),2)+1,tbl_chests[datetime],"&lt;"&amp;TODAY()-WEEKDAY(TODAY(),2)+8)))</f>
        <v>0</v>
      </c>
      <c r="T97" s="36">
        <f ca="1">IF($A97="","",IF(T$1="","",COUNTIFS(tbl_chests[from],$A97,tbl_chests[legalized],T$1,tbl_chests[datetime],"&gt;="&amp;TODAY()-WEEKDAY(TODAY(),2)+1,tbl_chests[datetime],"&lt;"&amp;TODAY()-WEEKDAY(TODAY(),2)+8)))</f>
        <v>0</v>
      </c>
      <c r="U97" s="36">
        <f ca="1">IF($A97="","",IF(U$1="","",COUNTIFS(tbl_chests[from],$A97,tbl_chests[legalized],U$1,tbl_chests[datetime],"&gt;="&amp;TODAY()-WEEKDAY(TODAY(),2)+1,tbl_chests[datetime],"&lt;"&amp;TODAY()-WEEKDAY(TODAY(),2)+8)))</f>
        <v>0</v>
      </c>
      <c r="V97" s="36">
        <f ca="1">IF($A97="","",IF(V$1="","",COUNTIFS(tbl_chests[from],$A97,tbl_chests[legalized],V$1,tbl_chests[datetime],"&gt;="&amp;TODAY()-WEEKDAY(TODAY(),2)+1,tbl_chests[datetime],"&lt;"&amp;TODAY()-WEEKDAY(TODAY(),2)+8)))</f>
        <v>0</v>
      </c>
      <c r="W97" s="36">
        <f ca="1">IF($A97="","",IF(W$1="","",COUNTIFS(tbl_chests[from],$A97,tbl_chests[legalized],W$1,tbl_chests[datetime],"&gt;="&amp;TODAY()-WEEKDAY(TODAY(),2)+1,tbl_chests[datetime],"&lt;"&amp;TODAY()-WEEKDAY(TODAY(),2)+8)))</f>
        <v>0</v>
      </c>
      <c r="X97" s="36">
        <f ca="1">IF($A97="","",IF(X$1="","",COUNTIFS(tbl_chests[from],$A97,tbl_chests[legalized],X$1,tbl_chests[datetime],"&gt;="&amp;TODAY()-WEEKDAY(TODAY(),2)+1,tbl_chests[datetime],"&lt;"&amp;TODAY()-WEEKDAY(TODAY(),2)+8)))</f>
        <v>0</v>
      </c>
      <c r="Y97" s="36">
        <f ca="1">IF($A97="","",IF(Y$1="","",COUNTIFS(tbl_chests[from],$A97,tbl_chests[legalized],Y$1,tbl_chests[datetime],"&gt;="&amp;TODAY()-WEEKDAY(TODAY(),2)+1,tbl_chests[datetime],"&lt;"&amp;TODAY()-WEEKDAY(TODAY(),2)+8)))</f>
        <v>0</v>
      </c>
      <c r="Z97" s="36">
        <f ca="1">IF($A97="","",IF(Z$1="","",COUNTIFS(tbl_chests[from],$A97,tbl_chests[legalized],Z$1,tbl_chests[datetime],"&gt;="&amp;TODAY()-WEEKDAY(TODAY(),2)+1,tbl_chests[datetime],"&lt;"&amp;TODAY()-WEEKDAY(TODAY(),2)+8)))</f>
        <v>0</v>
      </c>
      <c r="AA97" s="36">
        <f ca="1">IF($A97="","",IF(AA$1="","",COUNTIFS(tbl_chests[from],$A97,tbl_chests[legalized],AA$1,tbl_chests[datetime],"&gt;="&amp;TODAY()-WEEKDAY(TODAY(),2)+1,tbl_chests[datetime],"&lt;"&amp;TODAY()-WEEKDAY(TODAY(),2)+8)))</f>
        <v>0</v>
      </c>
      <c r="AB97" s="36">
        <f ca="1">IF($A97="","",IF(AB$1="","",COUNTIFS(tbl_chests[from],$A97,tbl_chests[legalized],AB$1,tbl_chests[datetime],"&gt;="&amp;TODAY()-WEEKDAY(TODAY(),2)+1,tbl_chests[datetime],"&lt;"&amp;TODAY()-WEEKDAY(TODAY(),2)+8)))</f>
        <v>0</v>
      </c>
      <c r="AC97" s="36">
        <f ca="1">IF($A97="","",IF(AC$1="","",COUNTIFS(tbl_chests[from],$A97,tbl_chests[legalized],AC$1,tbl_chests[datetime],"&gt;="&amp;TODAY()-WEEKDAY(TODAY(),2)+1,tbl_chests[datetime],"&lt;"&amp;TODAY()-WEEKDAY(TODAY(),2)+8)))</f>
        <v>0</v>
      </c>
      <c r="AD97" s="36">
        <f ca="1">IF($A97="","",IF(AD$1="","",COUNTIFS(tbl_chests[from],$A97,tbl_chests[legalized],AD$1,tbl_chests[datetime],"&gt;="&amp;TODAY()-WEEKDAY(TODAY(),2)+1,tbl_chests[datetime],"&lt;"&amp;TODAY()-WEEKDAY(TODAY(),2)+8)))</f>
        <v>0</v>
      </c>
      <c r="AE97" s="36">
        <f ca="1">IF($A97="","",IF(AE$1="","",COUNTIFS(tbl_chests[from],$A97,tbl_chests[legalized],AE$1,tbl_chests[datetime],"&gt;="&amp;TODAY()-WEEKDAY(TODAY(),2)+1,tbl_chests[datetime],"&lt;"&amp;TODAY()-WEEKDAY(TODAY(),2)+8)))</f>
        <v>0</v>
      </c>
      <c r="AF97" s="36">
        <f ca="1">IF($A97="","",IF(AF$1="","",COUNTIFS(tbl_chests[from],$A97,tbl_chests[legalized],AF$1,tbl_chests[datetime],"&gt;="&amp;TODAY()-WEEKDAY(TODAY(),2)+1,tbl_chests[datetime],"&lt;"&amp;TODAY()-WEEKDAY(TODAY(),2)+8)))</f>
        <v>0</v>
      </c>
      <c r="AG97" s="36">
        <f ca="1">IF($A97="","",IF(AG$1="","",COUNTIFS(tbl_chests[from],$A97,tbl_chests[legalized],AG$1,tbl_chests[datetime],"&gt;="&amp;TODAY()-WEEKDAY(TODAY(),2)+1,tbl_chests[datetime],"&lt;"&amp;TODAY()-WEEKDAY(TODAY(),2)+8)))</f>
        <v>0</v>
      </c>
      <c r="AH97" s="36">
        <f ca="1">IF($A97="","",IF(AH$1="","",COUNTIFS(tbl_chests[from],$A97,tbl_chests[legalized],AH$1,tbl_chests[datetime],"&gt;="&amp;TODAY()-WEEKDAY(TODAY(),2)+1,tbl_chests[datetime],"&lt;"&amp;TODAY()-WEEKDAY(TODAY(),2)+8)))</f>
        <v>0</v>
      </c>
      <c r="AI97" s="36">
        <f ca="1">IF($A97="","",IF(AI$1="","",COUNTIFS(tbl_chests[from],$A97,tbl_chests[legalized],AI$1,tbl_chests[datetime],"&gt;="&amp;TODAY()-WEEKDAY(TODAY(),2)+1,tbl_chests[datetime],"&lt;"&amp;TODAY()-WEEKDAY(TODAY(),2)+8)))</f>
        <v>0</v>
      </c>
      <c r="AJ97" s="36">
        <f ca="1">IF($A97="","",IF(AJ$1="","",COUNTIFS(tbl_chests[from],$A97,tbl_chests[legalized],AJ$1,tbl_chests[datetime],"&gt;="&amp;TODAY()-WEEKDAY(TODAY(),2)+1,tbl_chests[datetime],"&lt;"&amp;TODAY()-WEEKDAY(TODAY(),2)+8)))</f>
        <v>0</v>
      </c>
      <c r="AK97" s="36">
        <f ca="1">IF($A97="","",IF(AK$1="","",COUNTIFS(tbl_chests[from],$A97,tbl_chests[legalized],AK$1,tbl_chests[datetime],"&gt;="&amp;TODAY()-WEEKDAY(TODAY(),2)+1,tbl_chests[datetime],"&lt;"&amp;TODAY()-WEEKDAY(TODAY(),2)+8)))</f>
        <v>0</v>
      </c>
      <c r="AL97" s="36">
        <f ca="1">IF($A97="","",IF(AL$1="","",COUNTIFS(tbl_chests[from],$A97,tbl_chests[legalized],AL$1,tbl_chests[datetime],"&gt;="&amp;TODAY()-WEEKDAY(TODAY(),2)+1,tbl_chests[datetime],"&lt;"&amp;TODAY()-WEEKDAY(TODAY(),2)+8)))</f>
        <v>0</v>
      </c>
      <c r="AM97" s="37">
        <f ca="1">IF($A97="","",IF(AM$1="","",COUNTIFS(tbl_chests[from],$A97,tbl_chests[legalized],AM$1,tbl_chests[datetime],"&gt;="&amp;TODAY()-WEEKDAY(TODAY(),2)+1,tbl_chests[datetime],"&lt;"&amp;TODAY()-WEEKDAY(TODAY(),2)+8)))</f>
        <v>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 ht="15.75" customHeight="1" x14ac:dyDescent="0.25">
      <c r="A98" s="34">
        <f>chests_counter!$H95</f>
        <v>0</v>
      </c>
      <c r="B98" s="35" cm="1">
        <f t="array" aca="1" ref="B98" ca="1">IF(A98&lt;&gt;"", SUMPRODUCT(($C$2:$AM$2&lt;&gt;0)*(C98:AM98&lt;&gt;0)*($C$2:$AM$2)*(C98:AM98)), "")</f>
        <v>0</v>
      </c>
      <c r="C98" s="36">
        <f ca="1">IF($A98="","",IF(C$1="","",COUNTIFS(tbl_chests[from],$A98,tbl_chests[legalized],C$1,tbl_chests[datetime],"&gt;="&amp;TODAY()-WEEKDAY(TODAY(),2)+1,tbl_chests[datetime],"&lt;"&amp;TODAY()-WEEKDAY(TODAY(),2)+8)))</f>
        <v>0</v>
      </c>
      <c r="D98" s="36">
        <f ca="1">IF($A98="","",IF(D$1="","",COUNTIFS(tbl_chests[from],$A98,tbl_chests[legalized],D$1,tbl_chests[datetime],"&gt;="&amp;TODAY()-WEEKDAY(TODAY(),2)+1,tbl_chests[datetime],"&lt;"&amp;TODAY()-WEEKDAY(TODAY(),2)+8)))</f>
        <v>0</v>
      </c>
      <c r="E98" s="36">
        <f ca="1">IF($A98="","",IF(E$1="","",COUNTIFS(tbl_chests[from],$A98,tbl_chests[legalized],E$1,tbl_chests[datetime],"&gt;="&amp;TODAY()-WEEKDAY(TODAY(),2)+1,tbl_chests[datetime],"&lt;"&amp;TODAY()-WEEKDAY(TODAY(),2)+8)))</f>
        <v>0</v>
      </c>
      <c r="F98" s="36">
        <f ca="1">IF($A98="","",IF(F$1="","",COUNTIFS(tbl_chests[from],$A98,tbl_chests[legalized],F$1,tbl_chests[datetime],"&gt;="&amp;TODAY()-WEEKDAY(TODAY(),2)+1,tbl_chests[datetime],"&lt;"&amp;TODAY()-WEEKDAY(TODAY(),2)+8)))</f>
        <v>0</v>
      </c>
      <c r="G98" s="36">
        <f ca="1">IF($A98="","",IF(G$1="","",COUNTIFS(tbl_chests[from],$A98,tbl_chests[legalized],G$1,tbl_chests[datetime],"&gt;="&amp;TODAY()-WEEKDAY(TODAY(),2)+1,tbl_chests[datetime],"&lt;"&amp;TODAY()-WEEKDAY(TODAY(),2)+8)))</f>
        <v>0</v>
      </c>
      <c r="H98" s="36">
        <f ca="1">IF($A98="","",IF(H$1="","",COUNTIFS(tbl_chests[from],$A98,tbl_chests[legalized],H$1,tbl_chests[datetime],"&gt;="&amp;TODAY()-WEEKDAY(TODAY(),2)+1,tbl_chests[datetime],"&lt;"&amp;TODAY()-WEEKDAY(TODAY(),2)+8)))</f>
        <v>0</v>
      </c>
      <c r="I98" s="36">
        <f ca="1">IF($A98="","",IF(I$1="","",COUNTIFS(tbl_chests[from],$A98,tbl_chests[legalized],I$1,tbl_chests[datetime],"&gt;="&amp;TODAY()-WEEKDAY(TODAY(),2)+1,tbl_chests[datetime],"&lt;"&amp;TODAY()-WEEKDAY(TODAY(),2)+8)))</f>
        <v>0</v>
      </c>
      <c r="J98" s="36">
        <f ca="1">IF($A98="","",IF(J$1="","",COUNTIFS(tbl_chests[from],$A98,tbl_chests[legalized],J$1,tbl_chests[datetime],"&gt;="&amp;TODAY()-WEEKDAY(TODAY(),2)+1,tbl_chests[datetime],"&lt;"&amp;TODAY()-WEEKDAY(TODAY(),2)+8)))</f>
        <v>0</v>
      </c>
      <c r="K98" s="36">
        <f ca="1">IF($A98="","",IF(K$1="","",COUNTIFS(tbl_chests[from],$A98,tbl_chests[legalized],K$1,tbl_chests[datetime],"&gt;="&amp;TODAY()-WEEKDAY(TODAY(),2)+1,tbl_chests[datetime],"&lt;"&amp;TODAY()-WEEKDAY(TODAY(),2)+8)))</f>
        <v>0</v>
      </c>
      <c r="L98" s="36">
        <f ca="1">IF($A98="","",IF(L$1="","",COUNTIFS(tbl_chests[from],$A98,tbl_chests[legalized],L$1,tbl_chests[datetime],"&gt;="&amp;TODAY()-WEEKDAY(TODAY(),2)+1,tbl_chests[datetime],"&lt;"&amp;TODAY()-WEEKDAY(TODAY(),2)+8)))</f>
        <v>0</v>
      </c>
      <c r="M98" s="36">
        <f ca="1">IF($A98="","",IF(M$1="","",COUNTIFS(tbl_chests[from],$A98,tbl_chests[legalized],M$1,tbl_chests[datetime],"&gt;="&amp;TODAY()-WEEKDAY(TODAY(),2)+1,tbl_chests[datetime],"&lt;"&amp;TODAY()-WEEKDAY(TODAY(),2)+8)))</f>
        <v>0</v>
      </c>
      <c r="N98" s="36">
        <f ca="1">IF($A98="","",IF(N$1="","",COUNTIFS(tbl_chests[from],$A98,tbl_chests[legalized],N$1,tbl_chests[datetime],"&gt;="&amp;TODAY()-WEEKDAY(TODAY(),2)+1,tbl_chests[datetime],"&lt;"&amp;TODAY()-WEEKDAY(TODAY(),2)+8)))</f>
        <v>0</v>
      </c>
      <c r="O98" s="36">
        <f ca="1">IF($A98="","",IF(O$1="","",COUNTIFS(tbl_chests[from],$A98,tbl_chests[legalized],O$1,tbl_chests[datetime],"&gt;="&amp;TODAY()-WEEKDAY(TODAY(),2)+1,tbl_chests[datetime],"&lt;"&amp;TODAY()-WEEKDAY(TODAY(),2)+8)))</f>
        <v>0</v>
      </c>
      <c r="P98" s="36">
        <f ca="1">IF($A98="","",IF(P$1="","",COUNTIFS(tbl_chests[from],$A98,tbl_chests[legalized],P$1,tbl_chests[datetime],"&gt;="&amp;TODAY()-WEEKDAY(TODAY(),2)+1,tbl_chests[datetime],"&lt;"&amp;TODAY()-WEEKDAY(TODAY(),2)+8)))</f>
        <v>0</v>
      </c>
      <c r="Q98" s="36">
        <f ca="1">IF($A98="","",IF(Q$1="","",COUNTIFS(tbl_chests[from],$A98,tbl_chests[legalized],Q$1,tbl_chests[datetime],"&gt;="&amp;TODAY()-WEEKDAY(TODAY(),2)+1,tbl_chests[datetime],"&lt;"&amp;TODAY()-WEEKDAY(TODAY(),2)+8)))</f>
        <v>0</v>
      </c>
      <c r="R98" s="36">
        <f ca="1">IF($A98="","",IF(R$1="","",COUNTIFS(tbl_chests[from],$A98,tbl_chests[legalized],R$1,tbl_chests[datetime],"&gt;="&amp;TODAY()-WEEKDAY(TODAY(),2)+1,tbl_chests[datetime],"&lt;"&amp;TODAY()-WEEKDAY(TODAY(),2)+8)))</f>
        <v>0</v>
      </c>
      <c r="S98" s="36">
        <f ca="1">IF($A98="","",IF(S$1="","",COUNTIFS(tbl_chests[from],$A98,tbl_chests[legalized],S$1,tbl_chests[datetime],"&gt;="&amp;TODAY()-WEEKDAY(TODAY(),2)+1,tbl_chests[datetime],"&lt;"&amp;TODAY()-WEEKDAY(TODAY(),2)+8)))</f>
        <v>0</v>
      </c>
      <c r="T98" s="36">
        <f ca="1">IF($A98="","",IF(T$1="","",COUNTIFS(tbl_chests[from],$A98,tbl_chests[legalized],T$1,tbl_chests[datetime],"&gt;="&amp;TODAY()-WEEKDAY(TODAY(),2)+1,tbl_chests[datetime],"&lt;"&amp;TODAY()-WEEKDAY(TODAY(),2)+8)))</f>
        <v>0</v>
      </c>
      <c r="U98" s="36">
        <f ca="1">IF($A98="","",IF(U$1="","",COUNTIFS(tbl_chests[from],$A98,tbl_chests[legalized],U$1,tbl_chests[datetime],"&gt;="&amp;TODAY()-WEEKDAY(TODAY(),2)+1,tbl_chests[datetime],"&lt;"&amp;TODAY()-WEEKDAY(TODAY(),2)+8)))</f>
        <v>0</v>
      </c>
      <c r="V98" s="36">
        <f ca="1">IF($A98="","",IF(V$1="","",COUNTIFS(tbl_chests[from],$A98,tbl_chests[legalized],V$1,tbl_chests[datetime],"&gt;="&amp;TODAY()-WEEKDAY(TODAY(),2)+1,tbl_chests[datetime],"&lt;"&amp;TODAY()-WEEKDAY(TODAY(),2)+8)))</f>
        <v>0</v>
      </c>
      <c r="W98" s="36">
        <f ca="1">IF($A98="","",IF(W$1="","",COUNTIFS(tbl_chests[from],$A98,tbl_chests[legalized],W$1,tbl_chests[datetime],"&gt;="&amp;TODAY()-WEEKDAY(TODAY(),2)+1,tbl_chests[datetime],"&lt;"&amp;TODAY()-WEEKDAY(TODAY(),2)+8)))</f>
        <v>0</v>
      </c>
      <c r="X98" s="36">
        <f ca="1">IF($A98="","",IF(X$1="","",COUNTIFS(tbl_chests[from],$A98,tbl_chests[legalized],X$1,tbl_chests[datetime],"&gt;="&amp;TODAY()-WEEKDAY(TODAY(),2)+1,tbl_chests[datetime],"&lt;"&amp;TODAY()-WEEKDAY(TODAY(),2)+8)))</f>
        <v>0</v>
      </c>
      <c r="Y98" s="36">
        <f ca="1">IF($A98="","",IF(Y$1="","",COUNTIFS(tbl_chests[from],$A98,tbl_chests[legalized],Y$1,tbl_chests[datetime],"&gt;="&amp;TODAY()-WEEKDAY(TODAY(),2)+1,tbl_chests[datetime],"&lt;"&amp;TODAY()-WEEKDAY(TODAY(),2)+8)))</f>
        <v>0</v>
      </c>
      <c r="Z98" s="36">
        <f ca="1">IF($A98="","",IF(Z$1="","",COUNTIFS(tbl_chests[from],$A98,tbl_chests[legalized],Z$1,tbl_chests[datetime],"&gt;="&amp;TODAY()-WEEKDAY(TODAY(),2)+1,tbl_chests[datetime],"&lt;"&amp;TODAY()-WEEKDAY(TODAY(),2)+8)))</f>
        <v>0</v>
      </c>
      <c r="AA98" s="36">
        <f ca="1">IF($A98="","",IF(AA$1="","",COUNTIFS(tbl_chests[from],$A98,tbl_chests[legalized],AA$1,tbl_chests[datetime],"&gt;="&amp;TODAY()-WEEKDAY(TODAY(),2)+1,tbl_chests[datetime],"&lt;"&amp;TODAY()-WEEKDAY(TODAY(),2)+8)))</f>
        <v>0</v>
      </c>
      <c r="AB98" s="36">
        <f ca="1">IF($A98="","",IF(AB$1="","",COUNTIFS(tbl_chests[from],$A98,tbl_chests[legalized],AB$1,tbl_chests[datetime],"&gt;="&amp;TODAY()-WEEKDAY(TODAY(),2)+1,tbl_chests[datetime],"&lt;"&amp;TODAY()-WEEKDAY(TODAY(),2)+8)))</f>
        <v>0</v>
      </c>
      <c r="AC98" s="36">
        <f ca="1">IF($A98="","",IF(AC$1="","",COUNTIFS(tbl_chests[from],$A98,tbl_chests[legalized],AC$1,tbl_chests[datetime],"&gt;="&amp;TODAY()-WEEKDAY(TODAY(),2)+1,tbl_chests[datetime],"&lt;"&amp;TODAY()-WEEKDAY(TODAY(),2)+8)))</f>
        <v>0</v>
      </c>
      <c r="AD98" s="36">
        <f ca="1">IF($A98="","",IF(AD$1="","",COUNTIFS(tbl_chests[from],$A98,tbl_chests[legalized],AD$1,tbl_chests[datetime],"&gt;="&amp;TODAY()-WEEKDAY(TODAY(),2)+1,tbl_chests[datetime],"&lt;"&amp;TODAY()-WEEKDAY(TODAY(),2)+8)))</f>
        <v>0</v>
      </c>
      <c r="AE98" s="36">
        <f ca="1">IF($A98="","",IF(AE$1="","",COUNTIFS(tbl_chests[from],$A98,tbl_chests[legalized],AE$1,tbl_chests[datetime],"&gt;="&amp;TODAY()-WEEKDAY(TODAY(),2)+1,tbl_chests[datetime],"&lt;"&amp;TODAY()-WEEKDAY(TODAY(),2)+8)))</f>
        <v>0</v>
      </c>
      <c r="AF98" s="36">
        <f ca="1">IF($A98="","",IF(AF$1="","",COUNTIFS(tbl_chests[from],$A98,tbl_chests[legalized],AF$1,tbl_chests[datetime],"&gt;="&amp;TODAY()-WEEKDAY(TODAY(),2)+1,tbl_chests[datetime],"&lt;"&amp;TODAY()-WEEKDAY(TODAY(),2)+8)))</f>
        <v>0</v>
      </c>
      <c r="AG98" s="36">
        <f ca="1">IF($A98="","",IF(AG$1="","",COUNTIFS(tbl_chests[from],$A98,tbl_chests[legalized],AG$1,tbl_chests[datetime],"&gt;="&amp;TODAY()-WEEKDAY(TODAY(),2)+1,tbl_chests[datetime],"&lt;"&amp;TODAY()-WEEKDAY(TODAY(),2)+8)))</f>
        <v>0</v>
      </c>
      <c r="AH98" s="36">
        <f ca="1">IF($A98="","",IF(AH$1="","",COUNTIFS(tbl_chests[from],$A98,tbl_chests[legalized],AH$1,tbl_chests[datetime],"&gt;="&amp;TODAY()-WEEKDAY(TODAY(),2)+1,tbl_chests[datetime],"&lt;"&amp;TODAY()-WEEKDAY(TODAY(),2)+8)))</f>
        <v>0</v>
      </c>
      <c r="AI98" s="36">
        <f ca="1">IF($A98="","",IF(AI$1="","",COUNTIFS(tbl_chests[from],$A98,tbl_chests[legalized],AI$1,tbl_chests[datetime],"&gt;="&amp;TODAY()-WEEKDAY(TODAY(),2)+1,tbl_chests[datetime],"&lt;"&amp;TODAY()-WEEKDAY(TODAY(),2)+8)))</f>
        <v>0</v>
      </c>
      <c r="AJ98" s="36">
        <f ca="1">IF($A98="","",IF(AJ$1="","",COUNTIFS(tbl_chests[from],$A98,tbl_chests[legalized],AJ$1,tbl_chests[datetime],"&gt;="&amp;TODAY()-WEEKDAY(TODAY(),2)+1,tbl_chests[datetime],"&lt;"&amp;TODAY()-WEEKDAY(TODAY(),2)+8)))</f>
        <v>0</v>
      </c>
      <c r="AK98" s="36">
        <f ca="1">IF($A98="","",IF(AK$1="","",COUNTIFS(tbl_chests[from],$A98,tbl_chests[legalized],AK$1,tbl_chests[datetime],"&gt;="&amp;TODAY()-WEEKDAY(TODAY(),2)+1,tbl_chests[datetime],"&lt;"&amp;TODAY()-WEEKDAY(TODAY(),2)+8)))</f>
        <v>0</v>
      </c>
      <c r="AL98" s="36">
        <f ca="1">IF($A98="","",IF(AL$1="","",COUNTIFS(tbl_chests[from],$A98,tbl_chests[legalized],AL$1,tbl_chests[datetime],"&gt;="&amp;TODAY()-WEEKDAY(TODAY(),2)+1,tbl_chests[datetime],"&lt;"&amp;TODAY()-WEEKDAY(TODAY(),2)+8)))</f>
        <v>0</v>
      </c>
      <c r="AM98" s="37">
        <f ca="1">IF($A98="","",IF(AM$1="","",COUNTIFS(tbl_chests[from],$A98,tbl_chests[legalized],AM$1,tbl_chests[datetime],"&gt;="&amp;TODAY()-WEEKDAY(TODAY(),2)+1,tbl_chests[datetime],"&lt;"&amp;TODAY()-WEEKDAY(TODAY(),2)+8)))</f>
        <v>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 ht="15.75" customHeight="1" x14ac:dyDescent="0.25">
      <c r="A99" s="34">
        <f>chests_counter!$H96</f>
        <v>0</v>
      </c>
      <c r="B99" s="35" cm="1">
        <f t="array" aca="1" ref="B99" ca="1">IF(A99&lt;&gt;"", SUMPRODUCT(($C$2:$AM$2&lt;&gt;0)*(C99:AM99&lt;&gt;0)*($C$2:$AM$2)*(C99:AM99)), "")</f>
        <v>0</v>
      </c>
      <c r="C99" s="36">
        <f ca="1">IF($A99="","",IF(C$1="","",COUNTIFS(tbl_chests[from],$A99,tbl_chests[legalized],C$1,tbl_chests[datetime],"&gt;="&amp;TODAY()-WEEKDAY(TODAY(),2)+1,tbl_chests[datetime],"&lt;"&amp;TODAY()-WEEKDAY(TODAY(),2)+8)))</f>
        <v>0</v>
      </c>
      <c r="D99" s="36">
        <f ca="1">IF($A99="","",IF(D$1="","",COUNTIFS(tbl_chests[from],$A99,tbl_chests[legalized],D$1,tbl_chests[datetime],"&gt;="&amp;TODAY()-WEEKDAY(TODAY(),2)+1,tbl_chests[datetime],"&lt;"&amp;TODAY()-WEEKDAY(TODAY(),2)+8)))</f>
        <v>0</v>
      </c>
      <c r="E99" s="36">
        <f ca="1">IF($A99="","",IF(E$1="","",COUNTIFS(tbl_chests[from],$A99,tbl_chests[legalized],E$1,tbl_chests[datetime],"&gt;="&amp;TODAY()-WEEKDAY(TODAY(),2)+1,tbl_chests[datetime],"&lt;"&amp;TODAY()-WEEKDAY(TODAY(),2)+8)))</f>
        <v>0</v>
      </c>
      <c r="F99" s="36">
        <f ca="1">IF($A99="","",IF(F$1="","",COUNTIFS(tbl_chests[from],$A99,tbl_chests[legalized],F$1,tbl_chests[datetime],"&gt;="&amp;TODAY()-WEEKDAY(TODAY(),2)+1,tbl_chests[datetime],"&lt;"&amp;TODAY()-WEEKDAY(TODAY(),2)+8)))</f>
        <v>0</v>
      </c>
      <c r="G99" s="36">
        <f ca="1">IF($A99="","",IF(G$1="","",COUNTIFS(tbl_chests[from],$A99,tbl_chests[legalized],G$1,tbl_chests[datetime],"&gt;="&amp;TODAY()-WEEKDAY(TODAY(),2)+1,tbl_chests[datetime],"&lt;"&amp;TODAY()-WEEKDAY(TODAY(),2)+8)))</f>
        <v>0</v>
      </c>
      <c r="H99" s="36">
        <f ca="1">IF($A99="","",IF(H$1="","",COUNTIFS(tbl_chests[from],$A99,tbl_chests[legalized],H$1,tbl_chests[datetime],"&gt;="&amp;TODAY()-WEEKDAY(TODAY(),2)+1,tbl_chests[datetime],"&lt;"&amp;TODAY()-WEEKDAY(TODAY(),2)+8)))</f>
        <v>0</v>
      </c>
      <c r="I99" s="36">
        <f ca="1">IF($A99="","",IF(I$1="","",COUNTIFS(tbl_chests[from],$A99,tbl_chests[legalized],I$1,tbl_chests[datetime],"&gt;="&amp;TODAY()-WEEKDAY(TODAY(),2)+1,tbl_chests[datetime],"&lt;"&amp;TODAY()-WEEKDAY(TODAY(),2)+8)))</f>
        <v>0</v>
      </c>
      <c r="J99" s="36">
        <f ca="1">IF($A99="","",IF(J$1="","",COUNTIFS(tbl_chests[from],$A99,tbl_chests[legalized],J$1,tbl_chests[datetime],"&gt;="&amp;TODAY()-WEEKDAY(TODAY(),2)+1,tbl_chests[datetime],"&lt;"&amp;TODAY()-WEEKDAY(TODAY(),2)+8)))</f>
        <v>0</v>
      </c>
      <c r="K99" s="36">
        <f ca="1">IF($A99="","",IF(K$1="","",COUNTIFS(tbl_chests[from],$A99,tbl_chests[legalized],K$1,tbl_chests[datetime],"&gt;="&amp;TODAY()-WEEKDAY(TODAY(),2)+1,tbl_chests[datetime],"&lt;"&amp;TODAY()-WEEKDAY(TODAY(),2)+8)))</f>
        <v>0</v>
      </c>
      <c r="L99" s="36">
        <f ca="1">IF($A99="","",IF(L$1="","",COUNTIFS(tbl_chests[from],$A99,tbl_chests[legalized],L$1,tbl_chests[datetime],"&gt;="&amp;TODAY()-WEEKDAY(TODAY(),2)+1,tbl_chests[datetime],"&lt;"&amp;TODAY()-WEEKDAY(TODAY(),2)+8)))</f>
        <v>0</v>
      </c>
      <c r="M99" s="36">
        <f ca="1">IF($A99="","",IF(M$1="","",COUNTIFS(tbl_chests[from],$A99,tbl_chests[legalized],M$1,tbl_chests[datetime],"&gt;="&amp;TODAY()-WEEKDAY(TODAY(),2)+1,tbl_chests[datetime],"&lt;"&amp;TODAY()-WEEKDAY(TODAY(),2)+8)))</f>
        <v>0</v>
      </c>
      <c r="N99" s="36">
        <f ca="1">IF($A99="","",IF(N$1="","",COUNTIFS(tbl_chests[from],$A99,tbl_chests[legalized],N$1,tbl_chests[datetime],"&gt;="&amp;TODAY()-WEEKDAY(TODAY(),2)+1,tbl_chests[datetime],"&lt;"&amp;TODAY()-WEEKDAY(TODAY(),2)+8)))</f>
        <v>0</v>
      </c>
      <c r="O99" s="36">
        <f ca="1">IF($A99="","",IF(O$1="","",COUNTIFS(tbl_chests[from],$A99,tbl_chests[legalized],O$1,tbl_chests[datetime],"&gt;="&amp;TODAY()-WEEKDAY(TODAY(),2)+1,tbl_chests[datetime],"&lt;"&amp;TODAY()-WEEKDAY(TODAY(),2)+8)))</f>
        <v>0</v>
      </c>
      <c r="P99" s="36">
        <f ca="1">IF($A99="","",IF(P$1="","",COUNTIFS(tbl_chests[from],$A99,tbl_chests[legalized],P$1,tbl_chests[datetime],"&gt;="&amp;TODAY()-WEEKDAY(TODAY(),2)+1,tbl_chests[datetime],"&lt;"&amp;TODAY()-WEEKDAY(TODAY(),2)+8)))</f>
        <v>0</v>
      </c>
      <c r="Q99" s="36">
        <f ca="1">IF($A99="","",IF(Q$1="","",COUNTIFS(tbl_chests[from],$A99,tbl_chests[legalized],Q$1,tbl_chests[datetime],"&gt;="&amp;TODAY()-WEEKDAY(TODAY(),2)+1,tbl_chests[datetime],"&lt;"&amp;TODAY()-WEEKDAY(TODAY(),2)+8)))</f>
        <v>0</v>
      </c>
      <c r="R99" s="36">
        <f ca="1">IF($A99="","",IF(R$1="","",COUNTIFS(tbl_chests[from],$A99,tbl_chests[legalized],R$1,tbl_chests[datetime],"&gt;="&amp;TODAY()-WEEKDAY(TODAY(),2)+1,tbl_chests[datetime],"&lt;"&amp;TODAY()-WEEKDAY(TODAY(),2)+8)))</f>
        <v>0</v>
      </c>
      <c r="S99" s="36">
        <f ca="1">IF($A99="","",IF(S$1="","",COUNTIFS(tbl_chests[from],$A99,tbl_chests[legalized],S$1,tbl_chests[datetime],"&gt;="&amp;TODAY()-WEEKDAY(TODAY(),2)+1,tbl_chests[datetime],"&lt;"&amp;TODAY()-WEEKDAY(TODAY(),2)+8)))</f>
        <v>0</v>
      </c>
      <c r="T99" s="36">
        <f ca="1">IF($A99="","",IF(T$1="","",COUNTIFS(tbl_chests[from],$A99,tbl_chests[legalized],T$1,tbl_chests[datetime],"&gt;="&amp;TODAY()-WEEKDAY(TODAY(),2)+1,tbl_chests[datetime],"&lt;"&amp;TODAY()-WEEKDAY(TODAY(),2)+8)))</f>
        <v>0</v>
      </c>
      <c r="U99" s="36">
        <f ca="1">IF($A99="","",IF(U$1="","",COUNTIFS(tbl_chests[from],$A99,tbl_chests[legalized],U$1,tbl_chests[datetime],"&gt;="&amp;TODAY()-WEEKDAY(TODAY(),2)+1,tbl_chests[datetime],"&lt;"&amp;TODAY()-WEEKDAY(TODAY(),2)+8)))</f>
        <v>0</v>
      </c>
      <c r="V99" s="36">
        <f ca="1">IF($A99="","",IF(V$1="","",COUNTIFS(tbl_chests[from],$A99,tbl_chests[legalized],V$1,tbl_chests[datetime],"&gt;="&amp;TODAY()-WEEKDAY(TODAY(),2)+1,tbl_chests[datetime],"&lt;"&amp;TODAY()-WEEKDAY(TODAY(),2)+8)))</f>
        <v>0</v>
      </c>
      <c r="W99" s="36">
        <f ca="1">IF($A99="","",IF(W$1="","",COUNTIFS(tbl_chests[from],$A99,tbl_chests[legalized],W$1,tbl_chests[datetime],"&gt;="&amp;TODAY()-WEEKDAY(TODAY(),2)+1,tbl_chests[datetime],"&lt;"&amp;TODAY()-WEEKDAY(TODAY(),2)+8)))</f>
        <v>0</v>
      </c>
      <c r="X99" s="36">
        <f ca="1">IF($A99="","",IF(X$1="","",COUNTIFS(tbl_chests[from],$A99,tbl_chests[legalized],X$1,tbl_chests[datetime],"&gt;="&amp;TODAY()-WEEKDAY(TODAY(),2)+1,tbl_chests[datetime],"&lt;"&amp;TODAY()-WEEKDAY(TODAY(),2)+8)))</f>
        <v>0</v>
      </c>
      <c r="Y99" s="36">
        <f ca="1">IF($A99="","",IF(Y$1="","",COUNTIFS(tbl_chests[from],$A99,tbl_chests[legalized],Y$1,tbl_chests[datetime],"&gt;="&amp;TODAY()-WEEKDAY(TODAY(),2)+1,tbl_chests[datetime],"&lt;"&amp;TODAY()-WEEKDAY(TODAY(),2)+8)))</f>
        <v>0</v>
      </c>
      <c r="Z99" s="36">
        <f ca="1">IF($A99="","",IF(Z$1="","",COUNTIFS(tbl_chests[from],$A99,tbl_chests[legalized],Z$1,tbl_chests[datetime],"&gt;="&amp;TODAY()-WEEKDAY(TODAY(),2)+1,tbl_chests[datetime],"&lt;"&amp;TODAY()-WEEKDAY(TODAY(),2)+8)))</f>
        <v>0</v>
      </c>
      <c r="AA99" s="36">
        <f ca="1">IF($A99="","",IF(AA$1="","",COUNTIFS(tbl_chests[from],$A99,tbl_chests[legalized],AA$1,tbl_chests[datetime],"&gt;="&amp;TODAY()-WEEKDAY(TODAY(),2)+1,tbl_chests[datetime],"&lt;"&amp;TODAY()-WEEKDAY(TODAY(),2)+8)))</f>
        <v>0</v>
      </c>
      <c r="AB99" s="36">
        <f ca="1">IF($A99="","",IF(AB$1="","",COUNTIFS(tbl_chests[from],$A99,tbl_chests[legalized],AB$1,tbl_chests[datetime],"&gt;="&amp;TODAY()-WEEKDAY(TODAY(),2)+1,tbl_chests[datetime],"&lt;"&amp;TODAY()-WEEKDAY(TODAY(),2)+8)))</f>
        <v>0</v>
      </c>
      <c r="AC99" s="36">
        <f ca="1">IF($A99="","",IF(AC$1="","",COUNTIFS(tbl_chests[from],$A99,tbl_chests[legalized],AC$1,tbl_chests[datetime],"&gt;="&amp;TODAY()-WEEKDAY(TODAY(),2)+1,tbl_chests[datetime],"&lt;"&amp;TODAY()-WEEKDAY(TODAY(),2)+8)))</f>
        <v>0</v>
      </c>
      <c r="AD99" s="36">
        <f ca="1">IF($A99="","",IF(AD$1="","",COUNTIFS(tbl_chests[from],$A99,tbl_chests[legalized],AD$1,tbl_chests[datetime],"&gt;="&amp;TODAY()-WEEKDAY(TODAY(),2)+1,tbl_chests[datetime],"&lt;"&amp;TODAY()-WEEKDAY(TODAY(),2)+8)))</f>
        <v>0</v>
      </c>
      <c r="AE99" s="36">
        <f ca="1">IF($A99="","",IF(AE$1="","",COUNTIFS(tbl_chests[from],$A99,tbl_chests[legalized],AE$1,tbl_chests[datetime],"&gt;="&amp;TODAY()-WEEKDAY(TODAY(),2)+1,tbl_chests[datetime],"&lt;"&amp;TODAY()-WEEKDAY(TODAY(),2)+8)))</f>
        <v>0</v>
      </c>
      <c r="AF99" s="36">
        <f ca="1">IF($A99="","",IF(AF$1="","",COUNTIFS(tbl_chests[from],$A99,tbl_chests[legalized],AF$1,tbl_chests[datetime],"&gt;="&amp;TODAY()-WEEKDAY(TODAY(),2)+1,tbl_chests[datetime],"&lt;"&amp;TODAY()-WEEKDAY(TODAY(),2)+8)))</f>
        <v>0</v>
      </c>
      <c r="AG99" s="36">
        <f ca="1">IF($A99="","",IF(AG$1="","",COUNTIFS(tbl_chests[from],$A99,tbl_chests[legalized],AG$1,tbl_chests[datetime],"&gt;="&amp;TODAY()-WEEKDAY(TODAY(),2)+1,tbl_chests[datetime],"&lt;"&amp;TODAY()-WEEKDAY(TODAY(),2)+8)))</f>
        <v>0</v>
      </c>
      <c r="AH99" s="36">
        <f ca="1">IF($A99="","",IF(AH$1="","",COUNTIFS(tbl_chests[from],$A99,tbl_chests[legalized],AH$1,tbl_chests[datetime],"&gt;="&amp;TODAY()-WEEKDAY(TODAY(),2)+1,tbl_chests[datetime],"&lt;"&amp;TODAY()-WEEKDAY(TODAY(),2)+8)))</f>
        <v>0</v>
      </c>
      <c r="AI99" s="36">
        <f ca="1">IF($A99="","",IF(AI$1="","",COUNTIFS(tbl_chests[from],$A99,tbl_chests[legalized],AI$1,tbl_chests[datetime],"&gt;="&amp;TODAY()-WEEKDAY(TODAY(),2)+1,tbl_chests[datetime],"&lt;"&amp;TODAY()-WEEKDAY(TODAY(),2)+8)))</f>
        <v>0</v>
      </c>
      <c r="AJ99" s="36">
        <f ca="1">IF($A99="","",IF(AJ$1="","",COUNTIFS(tbl_chests[from],$A99,tbl_chests[legalized],AJ$1,tbl_chests[datetime],"&gt;="&amp;TODAY()-WEEKDAY(TODAY(),2)+1,tbl_chests[datetime],"&lt;"&amp;TODAY()-WEEKDAY(TODAY(),2)+8)))</f>
        <v>0</v>
      </c>
      <c r="AK99" s="36">
        <f ca="1">IF($A99="","",IF(AK$1="","",COUNTIFS(tbl_chests[from],$A99,tbl_chests[legalized],AK$1,tbl_chests[datetime],"&gt;="&amp;TODAY()-WEEKDAY(TODAY(),2)+1,tbl_chests[datetime],"&lt;"&amp;TODAY()-WEEKDAY(TODAY(),2)+8)))</f>
        <v>0</v>
      </c>
      <c r="AL99" s="36">
        <f ca="1">IF($A99="","",IF(AL$1="","",COUNTIFS(tbl_chests[from],$A99,tbl_chests[legalized],AL$1,tbl_chests[datetime],"&gt;="&amp;TODAY()-WEEKDAY(TODAY(),2)+1,tbl_chests[datetime],"&lt;"&amp;TODAY()-WEEKDAY(TODAY(),2)+8)))</f>
        <v>0</v>
      </c>
      <c r="AM99" s="37">
        <f ca="1">IF($A99="","",IF(AM$1="","",COUNTIFS(tbl_chests[from],$A99,tbl_chests[legalized],AM$1,tbl_chests[datetime],"&gt;="&amp;TODAY()-WEEKDAY(TODAY(),2)+1,tbl_chests[datetime],"&lt;"&amp;TODAY()-WEEKDAY(TODAY(),2)+8)))</f>
        <v>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 spans="1:67" ht="15.75" customHeight="1" x14ac:dyDescent="0.25">
      <c r="A100" s="34">
        <f>chests_counter!$H97</f>
        <v>0</v>
      </c>
      <c r="B100" s="35" cm="1">
        <f t="array" aca="1" ref="B100" ca="1">IF(A100&lt;&gt;"", SUMPRODUCT(($C$2:$AM$2&lt;&gt;0)*(C100:AM100&lt;&gt;0)*($C$2:$AM$2)*(C100:AM100)), "")</f>
        <v>0</v>
      </c>
      <c r="C100" s="36">
        <f ca="1">IF($A100="","",IF(C$1="","",COUNTIFS(tbl_chests[from],$A100,tbl_chests[legalized],C$1,tbl_chests[datetime],"&gt;="&amp;TODAY()-WEEKDAY(TODAY(),2)+1,tbl_chests[datetime],"&lt;"&amp;TODAY()-WEEKDAY(TODAY(),2)+8)))</f>
        <v>0</v>
      </c>
      <c r="D100" s="36">
        <f ca="1">IF($A100="","",IF(D$1="","",COUNTIFS(tbl_chests[from],$A100,tbl_chests[legalized],D$1,tbl_chests[datetime],"&gt;="&amp;TODAY()-WEEKDAY(TODAY(),2)+1,tbl_chests[datetime],"&lt;"&amp;TODAY()-WEEKDAY(TODAY(),2)+8)))</f>
        <v>0</v>
      </c>
      <c r="E100" s="36">
        <f ca="1">IF($A100="","",IF(E$1="","",COUNTIFS(tbl_chests[from],$A100,tbl_chests[legalized],E$1,tbl_chests[datetime],"&gt;="&amp;TODAY()-WEEKDAY(TODAY(),2)+1,tbl_chests[datetime],"&lt;"&amp;TODAY()-WEEKDAY(TODAY(),2)+8)))</f>
        <v>0</v>
      </c>
      <c r="F100" s="36">
        <f ca="1">IF($A100="","",IF(F$1="","",COUNTIFS(tbl_chests[from],$A100,tbl_chests[legalized],F$1,tbl_chests[datetime],"&gt;="&amp;TODAY()-WEEKDAY(TODAY(),2)+1,tbl_chests[datetime],"&lt;"&amp;TODAY()-WEEKDAY(TODAY(),2)+8)))</f>
        <v>0</v>
      </c>
      <c r="G100" s="36">
        <f ca="1">IF($A100="","",IF(G$1="","",COUNTIFS(tbl_chests[from],$A100,tbl_chests[legalized],G$1,tbl_chests[datetime],"&gt;="&amp;TODAY()-WEEKDAY(TODAY(),2)+1,tbl_chests[datetime],"&lt;"&amp;TODAY()-WEEKDAY(TODAY(),2)+8)))</f>
        <v>0</v>
      </c>
      <c r="H100" s="36">
        <f ca="1">IF($A100="","",IF(H$1="","",COUNTIFS(tbl_chests[from],$A100,tbl_chests[legalized],H$1,tbl_chests[datetime],"&gt;="&amp;TODAY()-WEEKDAY(TODAY(),2)+1,tbl_chests[datetime],"&lt;"&amp;TODAY()-WEEKDAY(TODAY(),2)+8)))</f>
        <v>0</v>
      </c>
      <c r="I100" s="36">
        <f ca="1">IF($A100="","",IF(I$1="","",COUNTIFS(tbl_chests[from],$A100,tbl_chests[legalized],I$1,tbl_chests[datetime],"&gt;="&amp;TODAY()-WEEKDAY(TODAY(),2)+1,tbl_chests[datetime],"&lt;"&amp;TODAY()-WEEKDAY(TODAY(),2)+8)))</f>
        <v>0</v>
      </c>
      <c r="J100" s="36">
        <f ca="1">IF($A100="","",IF(J$1="","",COUNTIFS(tbl_chests[from],$A100,tbl_chests[legalized],J$1,tbl_chests[datetime],"&gt;="&amp;TODAY()-WEEKDAY(TODAY(),2)+1,tbl_chests[datetime],"&lt;"&amp;TODAY()-WEEKDAY(TODAY(),2)+8)))</f>
        <v>0</v>
      </c>
      <c r="K100" s="36">
        <f ca="1">IF($A100="","",IF(K$1="","",COUNTIFS(tbl_chests[from],$A100,tbl_chests[legalized],K$1,tbl_chests[datetime],"&gt;="&amp;TODAY()-WEEKDAY(TODAY(),2)+1,tbl_chests[datetime],"&lt;"&amp;TODAY()-WEEKDAY(TODAY(),2)+8)))</f>
        <v>0</v>
      </c>
      <c r="L100" s="36">
        <f ca="1">IF($A100="","",IF(L$1="","",COUNTIFS(tbl_chests[from],$A100,tbl_chests[legalized],L$1,tbl_chests[datetime],"&gt;="&amp;TODAY()-WEEKDAY(TODAY(),2)+1,tbl_chests[datetime],"&lt;"&amp;TODAY()-WEEKDAY(TODAY(),2)+8)))</f>
        <v>0</v>
      </c>
      <c r="M100" s="36">
        <f ca="1">IF($A100="","",IF(M$1="","",COUNTIFS(tbl_chests[from],$A100,tbl_chests[legalized],M$1,tbl_chests[datetime],"&gt;="&amp;TODAY()-WEEKDAY(TODAY(),2)+1,tbl_chests[datetime],"&lt;"&amp;TODAY()-WEEKDAY(TODAY(),2)+8)))</f>
        <v>0</v>
      </c>
      <c r="N100" s="36">
        <f ca="1">IF($A100="","",IF(N$1="","",COUNTIFS(tbl_chests[from],$A100,tbl_chests[legalized],N$1,tbl_chests[datetime],"&gt;="&amp;TODAY()-WEEKDAY(TODAY(),2)+1,tbl_chests[datetime],"&lt;"&amp;TODAY()-WEEKDAY(TODAY(),2)+8)))</f>
        <v>0</v>
      </c>
      <c r="O100" s="36">
        <f ca="1">IF($A100="","",IF(O$1="","",COUNTIFS(tbl_chests[from],$A100,tbl_chests[legalized],O$1,tbl_chests[datetime],"&gt;="&amp;TODAY()-WEEKDAY(TODAY(),2)+1,tbl_chests[datetime],"&lt;"&amp;TODAY()-WEEKDAY(TODAY(),2)+8)))</f>
        <v>0</v>
      </c>
      <c r="P100" s="36">
        <f ca="1">IF($A100="","",IF(P$1="","",COUNTIFS(tbl_chests[from],$A100,tbl_chests[legalized],P$1,tbl_chests[datetime],"&gt;="&amp;TODAY()-WEEKDAY(TODAY(),2)+1,tbl_chests[datetime],"&lt;"&amp;TODAY()-WEEKDAY(TODAY(),2)+8)))</f>
        <v>0</v>
      </c>
      <c r="Q100" s="36">
        <f ca="1">IF($A100="","",IF(Q$1="","",COUNTIFS(tbl_chests[from],$A100,tbl_chests[legalized],Q$1,tbl_chests[datetime],"&gt;="&amp;TODAY()-WEEKDAY(TODAY(),2)+1,tbl_chests[datetime],"&lt;"&amp;TODAY()-WEEKDAY(TODAY(),2)+8)))</f>
        <v>0</v>
      </c>
      <c r="R100" s="36">
        <f ca="1">IF($A100="","",IF(R$1="","",COUNTIFS(tbl_chests[from],$A100,tbl_chests[legalized],R$1,tbl_chests[datetime],"&gt;="&amp;TODAY()-WEEKDAY(TODAY(),2)+1,tbl_chests[datetime],"&lt;"&amp;TODAY()-WEEKDAY(TODAY(),2)+8)))</f>
        <v>0</v>
      </c>
      <c r="S100" s="36">
        <f ca="1">IF($A100="","",IF(S$1="","",COUNTIFS(tbl_chests[from],$A100,tbl_chests[legalized],S$1,tbl_chests[datetime],"&gt;="&amp;TODAY()-WEEKDAY(TODAY(),2)+1,tbl_chests[datetime],"&lt;"&amp;TODAY()-WEEKDAY(TODAY(),2)+8)))</f>
        <v>0</v>
      </c>
      <c r="T100" s="36">
        <f ca="1">IF($A100="","",IF(T$1="","",COUNTIFS(tbl_chests[from],$A100,tbl_chests[legalized],T$1,tbl_chests[datetime],"&gt;="&amp;TODAY()-WEEKDAY(TODAY(),2)+1,tbl_chests[datetime],"&lt;"&amp;TODAY()-WEEKDAY(TODAY(),2)+8)))</f>
        <v>0</v>
      </c>
      <c r="U100" s="36">
        <f ca="1">IF($A100="","",IF(U$1="","",COUNTIFS(tbl_chests[from],$A100,tbl_chests[legalized],U$1,tbl_chests[datetime],"&gt;="&amp;TODAY()-WEEKDAY(TODAY(),2)+1,tbl_chests[datetime],"&lt;"&amp;TODAY()-WEEKDAY(TODAY(),2)+8)))</f>
        <v>0</v>
      </c>
      <c r="V100" s="36">
        <f ca="1">IF($A100="","",IF(V$1="","",COUNTIFS(tbl_chests[from],$A100,tbl_chests[legalized],V$1,tbl_chests[datetime],"&gt;="&amp;TODAY()-WEEKDAY(TODAY(),2)+1,tbl_chests[datetime],"&lt;"&amp;TODAY()-WEEKDAY(TODAY(),2)+8)))</f>
        <v>0</v>
      </c>
      <c r="W100" s="36">
        <f ca="1">IF($A100="","",IF(W$1="","",COUNTIFS(tbl_chests[from],$A100,tbl_chests[legalized],W$1,tbl_chests[datetime],"&gt;="&amp;TODAY()-WEEKDAY(TODAY(),2)+1,tbl_chests[datetime],"&lt;"&amp;TODAY()-WEEKDAY(TODAY(),2)+8)))</f>
        <v>0</v>
      </c>
      <c r="X100" s="36">
        <f ca="1">IF($A100="","",IF(X$1="","",COUNTIFS(tbl_chests[from],$A100,tbl_chests[legalized],X$1,tbl_chests[datetime],"&gt;="&amp;TODAY()-WEEKDAY(TODAY(),2)+1,tbl_chests[datetime],"&lt;"&amp;TODAY()-WEEKDAY(TODAY(),2)+8)))</f>
        <v>0</v>
      </c>
      <c r="Y100" s="36">
        <f ca="1">IF($A100="","",IF(Y$1="","",COUNTIFS(tbl_chests[from],$A100,tbl_chests[legalized],Y$1,tbl_chests[datetime],"&gt;="&amp;TODAY()-WEEKDAY(TODAY(),2)+1,tbl_chests[datetime],"&lt;"&amp;TODAY()-WEEKDAY(TODAY(),2)+8)))</f>
        <v>0</v>
      </c>
      <c r="Z100" s="36">
        <f ca="1">IF($A100="","",IF(Z$1="","",COUNTIFS(tbl_chests[from],$A100,tbl_chests[legalized],Z$1,tbl_chests[datetime],"&gt;="&amp;TODAY()-WEEKDAY(TODAY(),2)+1,tbl_chests[datetime],"&lt;"&amp;TODAY()-WEEKDAY(TODAY(),2)+8)))</f>
        <v>0</v>
      </c>
      <c r="AA100" s="36">
        <f ca="1">IF($A100="","",IF(AA$1="","",COUNTIFS(tbl_chests[from],$A100,tbl_chests[legalized],AA$1,tbl_chests[datetime],"&gt;="&amp;TODAY()-WEEKDAY(TODAY(),2)+1,tbl_chests[datetime],"&lt;"&amp;TODAY()-WEEKDAY(TODAY(),2)+8)))</f>
        <v>0</v>
      </c>
      <c r="AB100" s="36">
        <f ca="1">IF($A100="","",IF(AB$1="","",COUNTIFS(tbl_chests[from],$A100,tbl_chests[legalized],AB$1,tbl_chests[datetime],"&gt;="&amp;TODAY()-WEEKDAY(TODAY(),2)+1,tbl_chests[datetime],"&lt;"&amp;TODAY()-WEEKDAY(TODAY(),2)+8)))</f>
        <v>0</v>
      </c>
      <c r="AC100" s="36">
        <f ca="1">IF($A100="","",IF(AC$1="","",COUNTIFS(tbl_chests[from],$A100,tbl_chests[legalized],AC$1,tbl_chests[datetime],"&gt;="&amp;TODAY()-WEEKDAY(TODAY(),2)+1,tbl_chests[datetime],"&lt;"&amp;TODAY()-WEEKDAY(TODAY(),2)+8)))</f>
        <v>0</v>
      </c>
      <c r="AD100" s="36">
        <f ca="1">IF($A100="","",IF(AD$1="","",COUNTIFS(tbl_chests[from],$A100,tbl_chests[legalized],AD$1,tbl_chests[datetime],"&gt;="&amp;TODAY()-WEEKDAY(TODAY(),2)+1,tbl_chests[datetime],"&lt;"&amp;TODAY()-WEEKDAY(TODAY(),2)+8)))</f>
        <v>0</v>
      </c>
      <c r="AE100" s="36">
        <f ca="1">IF($A100="","",IF(AE$1="","",COUNTIFS(tbl_chests[from],$A100,tbl_chests[legalized],AE$1,tbl_chests[datetime],"&gt;="&amp;TODAY()-WEEKDAY(TODAY(),2)+1,tbl_chests[datetime],"&lt;"&amp;TODAY()-WEEKDAY(TODAY(),2)+8)))</f>
        <v>0</v>
      </c>
      <c r="AF100" s="36">
        <f ca="1">IF($A100="","",IF(AF$1="","",COUNTIFS(tbl_chests[from],$A100,tbl_chests[legalized],AF$1,tbl_chests[datetime],"&gt;="&amp;TODAY()-WEEKDAY(TODAY(),2)+1,tbl_chests[datetime],"&lt;"&amp;TODAY()-WEEKDAY(TODAY(),2)+8)))</f>
        <v>0</v>
      </c>
      <c r="AG100" s="36">
        <f ca="1">IF($A100="","",IF(AG$1="","",COUNTIFS(tbl_chests[from],$A100,tbl_chests[legalized],AG$1,tbl_chests[datetime],"&gt;="&amp;TODAY()-WEEKDAY(TODAY(),2)+1,tbl_chests[datetime],"&lt;"&amp;TODAY()-WEEKDAY(TODAY(),2)+8)))</f>
        <v>0</v>
      </c>
      <c r="AH100" s="36">
        <f ca="1">IF($A100="","",IF(AH$1="","",COUNTIFS(tbl_chests[from],$A100,tbl_chests[legalized],AH$1,tbl_chests[datetime],"&gt;="&amp;TODAY()-WEEKDAY(TODAY(),2)+1,tbl_chests[datetime],"&lt;"&amp;TODAY()-WEEKDAY(TODAY(),2)+8)))</f>
        <v>0</v>
      </c>
      <c r="AI100" s="36">
        <f ca="1">IF($A100="","",IF(AI$1="","",COUNTIFS(tbl_chests[from],$A100,tbl_chests[legalized],AI$1,tbl_chests[datetime],"&gt;="&amp;TODAY()-WEEKDAY(TODAY(),2)+1,tbl_chests[datetime],"&lt;"&amp;TODAY()-WEEKDAY(TODAY(),2)+8)))</f>
        <v>0</v>
      </c>
      <c r="AJ100" s="36">
        <f ca="1">IF($A100="","",IF(AJ$1="","",COUNTIFS(tbl_chests[from],$A100,tbl_chests[legalized],AJ$1,tbl_chests[datetime],"&gt;="&amp;TODAY()-WEEKDAY(TODAY(),2)+1,tbl_chests[datetime],"&lt;"&amp;TODAY()-WEEKDAY(TODAY(),2)+8)))</f>
        <v>0</v>
      </c>
      <c r="AK100" s="36">
        <f ca="1">IF($A100="","",IF(AK$1="","",COUNTIFS(tbl_chests[from],$A100,tbl_chests[legalized],AK$1,tbl_chests[datetime],"&gt;="&amp;TODAY()-WEEKDAY(TODAY(),2)+1,tbl_chests[datetime],"&lt;"&amp;TODAY()-WEEKDAY(TODAY(),2)+8)))</f>
        <v>0</v>
      </c>
      <c r="AL100" s="36">
        <f ca="1">IF($A100="","",IF(AL$1="","",COUNTIFS(tbl_chests[from],$A100,tbl_chests[legalized],AL$1,tbl_chests[datetime],"&gt;="&amp;TODAY()-WEEKDAY(TODAY(),2)+1,tbl_chests[datetime],"&lt;"&amp;TODAY()-WEEKDAY(TODAY(),2)+8)))</f>
        <v>0</v>
      </c>
      <c r="AM100" s="37">
        <f ca="1">IF($A100="","",IF(AM$1="","",COUNTIFS(tbl_chests[from],$A100,tbl_chests[legalized],AM$1,tbl_chests[datetime],"&gt;="&amp;TODAY()-WEEKDAY(TODAY(),2)+1,tbl_chests[datetime],"&lt;"&amp;TODAY()-WEEKDAY(TODAY(),2)+8)))</f>
        <v>0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 spans="1:67" ht="15.75" customHeight="1" x14ac:dyDescent="0.25">
      <c r="A101" s="34">
        <f>chests_counter!$H98</f>
        <v>0</v>
      </c>
      <c r="B101" s="35" cm="1">
        <f t="array" aca="1" ref="B101" ca="1">IF(A101&lt;&gt;"", SUMPRODUCT(($C$2:$AM$2&lt;&gt;0)*(C101:AM101&lt;&gt;0)*($C$2:$AM$2)*(C101:AM101)), "")</f>
        <v>0</v>
      </c>
      <c r="C101" s="36">
        <f ca="1">IF($A101="","",IF(C$1="","",COUNTIFS(tbl_chests[from],$A101,tbl_chests[legalized],C$1,tbl_chests[datetime],"&gt;="&amp;TODAY()-WEEKDAY(TODAY(),2)+1,tbl_chests[datetime],"&lt;"&amp;TODAY()-WEEKDAY(TODAY(),2)+8)))</f>
        <v>0</v>
      </c>
      <c r="D101" s="36">
        <f ca="1">IF($A101="","",IF(D$1="","",COUNTIFS(tbl_chests[from],$A101,tbl_chests[legalized],D$1,tbl_chests[datetime],"&gt;="&amp;TODAY()-WEEKDAY(TODAY(),2)+1,tbl_chests[datetime],"&lt;"&amp;TODAY()-WEEKDAY(TODAY(),2)+8)))</f>
        <v>0</v>
      </c>
      <c r="E101" s="36">
        <f ca="1">IF($A101="","",IF(E$1="","",COUNTIFS(tbl_chests[from],$A101,tbl_chests[legalized],E$1,tbl_chests[datetime],"&gt;="&amp;TODAY()-WEEKDAY(TODAY(),2)+1,tbl_chests[datetime],"&lt;"&amp;TODAY()-WEEKDAY(TODAY(),2)+8)))</f>
        <v>0</v>
      </c>
      <c r="F101" s="36">
        <f ca="1">IF($A101="","",IF(F$1="","",COUNTIFS(tbl_chests[from],$A101,tbl_chests[legalized],F$1,tbl_chests[datetime],"&gt;="&amp;TODAY()-WEEKDAY(TODAY(),2)+1,tbl_chests[datetime],"&lt;"&amp;TODAY()-WEEKDAY(TODAY(),2)+8)))</f>
        <v>0</v>
      </c>
      <c r="G101" s="36">
        <f ca="1">IF($A101="","",IF(G$1="","",COUNTIFS(tbl_chests[from],$A101,tbl_chests[legalized],G$1,tbl_chests[datetime],"&gt;="&amp;TODAY()-WEEKDAY(TODAY(),2)+1,tbl_chests[datetime],"&lt;"&amp;TODAY()-WEEKDAY(TODAY(),2)+8)))</f>
        <v>0</v>
      </c>
      <c r="H101" s="36">
        <f ca="1">IF($A101="","",IF(H$1="","",COUNTIFS(tbl_chests[from],$A101,tbl_chests[legalized],H$1,tbl_chests[datetime],"&gt;="&amp;TODAY()-WEEKDAY(TODAY(),2)+1,tbl_chests[datetime],"&lt;"&amp;TODAY()-WEEKDAY(TODAY(),2)+8)))</f>
        <v>0</v>
      </c>
      <c r="I101" s="36">
        <f ca="1">IF($A101="","",IF(I$1="","",COUNTIFS(tbl_chests[from],$A101,tbl_chests[legalized],I$1,tbl_chests[datetime],"&gt;="&amp;TODAY()-WEEKDAY(TODAY(),2)+1,tbl_chests[datetime],"&lt;"&amp;TODAY()-WEEKDAY(TODAY(),2)+8)))</f>
        <v>0</v>
      </c>
      <c r="J101" s="36">
        <f ca="1">IF($A101="","",IF(J$1="","",COUNTIFS(tbl_chests[from],$A101,tbl_chests[legalized],J$1,tbl_chests[datetime],"&gt;="&amp;TODAY()-WEEKDAY(TODAY(),2)+1,tbl_chests[datetime],"&lt;"&amp;TODAY()-WEEKDAY(TODAY(),2)+8)))</f>
        <v>0</v>
      </c>
      <c r="K101" s="36">
        <f ca="1">IF($A101="","",IF(K$1="","",COUNTIFS(tbl_chests[from],$A101,tbl_chests[legalized],K$1,tbl_chests[datetime],"&gt;="&amp;TODAY()-WEEKDAY(TODAY(),2)+1,tbl_chests[datetime],"&lt;"&amp;TODAY()-WEEKDAY(TODAY(),2)+8)))</f>
        <v>0</v>
      </c>
      <c r="L101" s="36">
        <f ca="1">IF($A101="","",IF(L$1="","",COUNTIFS(tbl_chests[from],$A101,tbl_chests[legalized],L$1,tbl_chests[datetime],"&gt;="&amp;TODAY()-WEEKDAY(TODAY(),2)+1,tbl_chests[datetime],"&lt;"&amp;TODAY()-WEEKDAY(TODAY(),2)+8)))</f>
        <v>0</v>
      </c>
      <c r="M101" s="36">
        <f ca="1">IF($A101="","",IF(M$1="","",COUNTIFS(tbl_chests[from],$A101,tbl_chests[legalized],M$1,tbl_chests[datetime],"&gt;="&amp;TODAY()-WEEKDAY(TODAY(),2)+1,tbl_chests[datetime],"&lt;"&amp;TODAY()-WEEKDAY(TODAY(),2)+8)))</f>
        <v>0</v>
      </c>
      <c r="N101" s="36">
        <f ca="1">IF($A101="","",IF(N$1="","",COUNTIFS(tbl_chests[from],$A101,tbl_chests[legalized],N$1,tbl_chests[datetime],"&gt;="&amp;TODAY()-WEEKDAY(TODAY(),2)+1,tbl_chests[datetime],"&lt;"&amp;TODAY()-WEEKDAY(TODAY(),2)+8)))</f>
        <v>0</v>
      </c>
      <c r="O101" s="36">
        <f ca="1">IF($A101="","",IF(O$1="","",COUNTIFS(tbl_chests[from],$A101,tbl_chests[legalized],O$1,tbl_chests[datetime],"&gt;="&amp;TODAY()-WEEKDAY(TODAY(),2)+1,tbl_chests[datetime],"&lt;"&amp;TODAY()-WEEKDAY(TODAY(),2)+8)))</f>
        <v>0</v>
      </c>
      <c r="P101" s="36">
        <f ca="1">IF($A101="","",IF(P$1="","",COUNTIFS(tbl_chests[from],$A101,tbl_chests[legalized],P$1,tbl_chests[datetime],"&gt;="&amp;TODAY()-WEEKDAY(TODAY(),2)+1,tbl_chests[datetime],"&lt;"&amp;TODAY()-WEEKDAY(TODAY(),2)+8)))</f>
        <v>0</v>
      </c>
      <c r="Q101" s="36">
        <f ca="1">IF($A101="","",IF(Q$1="","",COUNTIFS(tbl_chests[from],$A101,tbl_chests[legalized],Q$1,tbl_chests[datetime],"&gt;="&amp;TODAY()-WEEKDAY(TODAY(),2)+1,tbl_chests[datetime],"&lt;"&amp;TODAY()-WEEKDAY(TODAY(),2)+8)))</f>
        <v>0</v>
      </c>
      <c r="R101" s="36">
        <f ca="1">IF($A101="","",IF(R$1="","",COUNTIFS(tbl_chests[from],$A101,tbl_chests[legalized],R$1,tbl_chests[datetime],"&gt;="&amp;TODAY()-WEEKDAY(TODAY(),2)+1,tbl_chests[datetime],"&lt;"&amp;TODAY()-WEEKDAY(TODAY(),2)+8)))</f>
        <v>0</v>
      </c>
      <c r="S101" s="36">
        <f ca="1">IF($A101="","",IF(S$1="","",COUNTIFS(tbl_chests[from],$A101,tbl_chests[legalized],S$1,tbl_chests[datetime],"&gt;="&amp;TODAY()-WEEKDAY(TODAY(),2)+1,tbl_chests[datetime],"&lt;"&amp;TODAY()-WEEKDAY(TODAY(),2)+8)))</f>
        <v>0</v>
      </c>
      <c r="T101" s="36">
        <f ca="1">IF($A101="","",IF(T$1="","",COUNTIFS(tbl_chests[from],$A101,tbl_chests[legalized],T$1,tbl_chests[datetime],"&gt;="&amp;TODAY()-WEEKDAY(TODAY(),2)+1,tbl_chests[datetime],"&lt;"&amp;TODAY()-WEEKDAY(TODAY(),2)+8)))</f>
        <v>0</v>
      </c>
      <c r="U101" s="36">
        <f ca="1">IF($A101="","",IF(U$1="","",COUNTIFS(tbl_chests[from],$A101,tbl_chests[legalized],U$1,tbl_chests[datetime],"&gt;="&amp;TODAY()-WEEKDAY(TODAY(),2)+1,tbl_chests[datetime],"&lt;"&amp;TODAY()-WEEKDAY(TODAY(),2)+8)))</f>
        <v>0</v>
      </c>
      <c r="V101" s="36">
        <f ca="1">IF($A101="","",IF(V$1="","",COUNTIFS(tbl_chests[from],$A101,tbl_chests[legalized],V$1,tbl_chests[datetime],"&gt;="&amp;TODAY()-WEEKDAY(TODAY(),2)+1,tbl_chests[datetime],"&lt;"&amp;TODAY()-WEEKDAY(TODAY(),2)+8)))</f>
        <v>0</v>
      </c>
      <c r="W101" s="36">
        <f ca="1">IF($A101="","",IF(W$1="","",COUNTIFS(tbl_chests[from],$A101,tbl_chests[legalized],W$1,tbl_chests[datetime],"&gt;="&amp;TODAY()-WEEKDAY(TODAY(),2)+1,tbl_chests[datetime],"&lt;"&amp;TODAY()-WEEKDAY(TODAY(),2)+8)))</f>
        <v>0</v>
      </c>
      <c r="X101" s="36">
        <f ca="1">IF($A101="","",IF(X$1="","",COUNTIFS(tbl_chests[from],$A101,tbl_chests[legalized],X$1,tbl_chests[datetime],"&gt;="&amp;TODAY()-WEEKDAY(TODAY(),2)+1,tbl_chests[datetime],"&lt;"&amp;TODAY()-WEEKDAY(TODAY(),2)+8)))</f>
        <v>0</v>
      </c>
      <c r="Y101" s="36">
        <f ca="1">IF($A101="","",IF(Y$1="","",COUNTIFS(tbl_chests[from],$A101,tbl_chests[legalized],Y$1,tbl_chests[datetime],"&gt;="&amp;TODAY()-WEEKDAY(TODAY(),2)+1,tbl_chests[datetime],"&lt;"&amp;TODAY()-WEEKDAY(TODAY(),2)+8)))</f>
        <v>0</v>
      </c>
      <c r="Z101" s="36">
        <f ca="1">IF($A101="","",IF(Z$1="","",COUNTIFS(tbl_chests[from],$A101,tbl_chests[legalized],Z$1,tbl_chests[datetime],"&gt;="&amp;TODAY()-WEEKDAY(TODAY(),2)+1,tbl_chests[datetime],"&lt;"&amp;TODAY()-WEEKDAY(TODAY(),2)+8)))</f>
        <v>0</v>
      </c>
      <c r="AA101" s="36">
        <f ca="1">IF($A101="","",IF(AA$1="","",COUNTIFS(tbl_chests[from],$A101,tbl_chests[legalized],AA$1,tbl_chests[datetime],"&gt;="&amp;TODAY()-WEEKDAY(TODAY(),2)+1,tbl_chests[datetime],"&lt;"&amp;TODAY()-WEEKDAY(TODAY(),2)+8)))</f>
        <v>0</v>
      </c>
      <c r="AB101" s="36">
        <f ca="1">IF($A101="","",IF(AB$1="","",COUNTIFS(tbl_chests[from],$A101,tbl_chests[legalized],AB$1,tbl_chests[datetime],"&gt;="&amp;TODAY()-WEEKDAY(TODAY(),2)+1,tbl_chests[datetime],"&lt;"&amp;TODAY()-WEEKDAY(TODAY(),2)+8)))</f>
        <v>0</v>
      </c>
      <c r="AC101" s="36">
        <f ca="1">IF($A101="","",IF(AC$1="","",COUNTIFS(tbl_chests[from],$A101,tbl_chests[legalized],AC$1,tbl_chests[datetime],"&gt;="&amp;TODAY()-WEEKDAY(TODAY(),2)+1,tbl_chests[datetime],"&lt;"&amp;TODAY()-WEEKDAY(TODAY(),2)+8)))</f>
        <v>0</v>
      </c>
      <c r="AD101" s="36">
        <f ca="1">IF($A101="","",IF(AD$1="","",COUNTIFS(tbl_chests[from],$A101,tbl_chests[legalized],AD$1,tbl_chests[datetime],"&gt;="&amp;TODAY()-WEEKDAY(TODAY(),2)+1,tbl_chests[datetime],"&lt;"&amp;TODAY()-WEEKDAY(TODAY(),2)+8)))</f>
        <v>0</v>
      </c>
      <c r="AE101" s="36">
        <f ca="1">IF($A101="","",IF(AE$1="","",COUNTIFS(tbl_chests[from],$A101,tbl_chests[legalized],AE$1,tbl_chests[datetime],"&gt;="&amp;TODAY()-WEEKDAY(TODAY(),2)+1,tbl_chests[datetime],"&lt;"&amp;TODAY()-WEEKDAY(TODAY(),2)+8)))</f>
        <v>0</v>
      </c>
      <c r="AF101" s="36">
        <f ca="1">IF($A101="","",IF(AF$1="","",COUNTIFS(tbl_chests[from],$A101,tbl_chests[legalized],AF$1,tbl_chests[datetime],"&gt;="&amp;TODAY()-WEEKDAY(TODAY(),2)+1,tbl_chests[datetime],"&lt;"&amp;TODAY()-WEEKDAY(TODAY(),2)+8)))</f>
        <v>0</v>
      </c>
      <c r="AG101" s="36">
        <f ca="1">IF($A101="","",IF(AG$1="","",COUNTIFS(tbl_chests[from],$A101,tbl_chests[legalized],AG$1,tbl_chests[datetime],"&gt;="&amp;TODAY()-WEEKDAY(TODAY(),2)+1,tbl_chests[datetime],"&lt;"&amp;TODAY()-WEEKDAY(TODAY(),2)+8)))</f>
        <v>0</v>
      </c>
      <c r="AH101" s="36">
        <f ca="1">IF($A101="","",IF(AH$1="","",COUNTIFS(tbl_chests[from],$A101,tbl_chests[legalized],AH$1,tbl_chests[datetime],"&gt;="&amp;TODAY()-WEEKDAY(TODAY(),2)+1,tbl_chests[datetime],"&lt;"&amp;TODAY()-WEEKDAY(TODAY(),2)+8)))</f>
        <v>0</v>
      </c>
      <c r="AI101" s="36">
        <f ca="1">IF($A101="","",IF(AI$1="","",COUNTIFS(tbl_chests[from],$A101,tbl_chests[legalized],AI$1,tbl_chests[datetime],"&gt;="&amp;TODAY()-WEEKDAY(TODAY(),2)+1,tbl_chests[datetime],"&lt;"&amp;TODAY()-WEEKDAY(TODAY(),2)+8)))</f>
        <v>0</v>
      </c>
      <c r="AJ101" s="36">
        <f ca="1">IF($A101="","",IF(AJ$1="","",COUNTIFS(tbl_chests[from],$A101,tbl_chests[legalized],AJ$1,tbl_chests[datetime],"&gt;="&amp;TODAY()-WEEKDAY(TODAY(),2)+1,tbl_chests[datetime],"&lt;"&amp;TODAY()-WEEKDAY(TODAY(),2)+8)))</f>
        <v>0</v>
      </c>
      <c r="AK101" s="36">
        <f ca="1">IF($A101="","",IF(AK$1="","",COUNTIFS(tbl_chests[from],$A101,tbl_chests[legalized],AK$1,tbl_chests[datetime],"&gt;="&amp;TODAY()-WEEKDAY(TODAY(),2)+1,tbl_chests[datetime],"&lt;"&amp;TODAY()-WEEKDAY(TODAY(),2)+8)))</f>
        <v>0</v>
      </c>
      <c r="AL101" s="36">
        <f ca="1">IF($A101="","",IF(AL$1="","",COUNTIFS(tbl_chests[from],$A101,tbl_chests[legalized],AL$1,tbl_chests[datetime],"&gt;="&amp;TODAY()-WEEKDAY(TODAY(),2)+1,tbl_chests[datetime],"&lt;"&amp;TODAY()-WEEKDAY(TODAY(),2)+8)))</f>
        <v>0</v>
      </c>
      <c r="AM101" s="37">
        <f ca="1">IF($A101="","",IF(AM$1="","",COUNTIFS(tbl_chests[from],$A101,tbl_chests[legalized],AM$1,tbl_chests[datetime],"&gt;="&amp;TODAY()-WEEKDAY(TODAY(),2)+1,tbl_chests[datetime],"&lt;"&amp;TODAY()-WEEKDAY(TODAY(),2)+8)))</f>
        <v>0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 spans="1:67" ht="15.75" customHeight="1" x14ac:dyDescent="0.25">
      <c r="A102" s="34">
        <f>chests_counter!$H99</f>
        <v>0</v>
      </c>
      <c r="B102" s="35" cm="1">
        <f t="array" aca="1" ref="B102" ca="1">IF(A102&lt;&gt;"", SUMPRODUCT(($C$2:$AM$2&lt;&gt;0)*(C102:AM102&lt;&gt;0)*($C$2:$AM$2)*(C102:AM102)), "")</f>
        <v>0</v>
      </c>
      <c r="C102" s="36">
        <f ca="1">IF($A102="","",IF(C$1="","",COUNTIFS(tbl_chests[from],$A102,tbl_chests[legalized],C$1,tbl_chests[datetime],"&gt;="&amp;TODAY()-WEEKDAY(TODAY(),2)+1,tbl_chests[datetime],"&lt;"&amp;TODAY()-WEEKDAY(TODAY(),2)+8)))</f>
        <v>0</v>
      </c>
      <c r="D102" s="36">
        <f ca="1">IF($A102="","",IF(D$1="","",COUNTIFS(tbl_chests[from],$A102,tbl_chests[legalized],D$1,tbl_chests[datetime],"&gt;="&amp;TODAY()-WEEKDAY(TODAY(),2)+1,tbl_chests[datetime],"&lt;"&amp;TODAY()-WEEKDAY(TODAY(),2)+8)))</f>
        <v>0</v>
      </c>
      <c r="E102" s="36">
        <f ca="1">IF($A102="","",IF(E$1="","",COUNTIFS(tbl_chests[from],$A102,tbl_chests[legalized],E$1,tbl_chests[datetime],"&gt;="&amp;TODAY()-WEEKDAY(TODAY(),2)+1,tbl_chests[datetime],"&lt;"&amp;TODAY()-WEEKDAY(TODAY(),2)+8)))</f>
        <v>0</v>
      </c>
      <c r="F102" s="36">
        <f ca="1">IF($A102="","",IF(F$1="","",COUNTIFS(tbl_chests[from],$A102,tbl_chests[legalized],F$1,tbl_chests[datetime],"&gt;="&amp;TODAY()-WEEKDAY(TODAY(),2)+1,tbl_chests[datetime],"&lt;"&amp;TODAY()-WEEKDAY(TODAY(),2)+8)))</f>
        <v>0</v>
      </c>
      <c r="G102" s="36">
        <f ca="1">IF($A102="","",IF(G$1="","",COUNTIFS(tbl_chests[from],$A102,tbl_chests[legalized],G$1,tbl_chests[datetime],"&gt;="&amp;TODAY()-WEEKDAY(TODAY(),2)+1,tbl_chests[datetime],"&lt;"&amp;TODAY()-WEEKDAY(TODAY(),2)+8)))</f>
        <v>0</v>
      </c>
      <c r="H102" s="36">
        <f ca="1">IF($A102="","",IF(H$1="","",COUNTIFS(tbl_chests[from],$A102,tbl_chests[legalized],H$1,tbl_chests[datetime],"&gt;="&amp;TODAY()-WEEKDAY(TODAY(),2)+1,tbl_chests[datetime],"&lt;"&amp;TODAY()-WEEKDAY(TODAY(),2)+8)))</f>
        <v>0</v>
      </c>
      <c r="I102" s="36">
        <f ca="1">IF($A102="","",IF(I$1="","",COUNTIFS(tbl_chests[from],$A102,tbl_chests[legalized],I$1,tbl_chests[datetime],"&gt;="&amp;TODAY()-WEEKDAY(TODAY(),2)+1,tbl_chests[datetime],"&lt;"&amp;TODAY()-WEEKDAY(TODAY(),2)+8)))</f>
        <v>0</v>
      </c>
      <c r="J102" s="36">
        <f ca="1">IF($A102="","",IF(J$1="","",COUNTIFS(tbl_chests[from],$A102,tbl_chests[legalized],J$1,tbl_chests[datetime],"&gt;="&amp;TODAY()-WEEKDAY(TODAY(),2)+1,tbl_chests[datetime],"&lt;"&amp;TODAY()-WEEKDAY(TODAY(),2)+8)))</f>
        <v>0</v>
      </c>
      <c r="K102" s="36">
        <f ca="1">IF($A102="","",IF(K$1="","",COUNTIFS(tbl_chests[from],$A102,tbl_chests[legalized],K$1,tbl_chests[datetime],"&gt;="&amp;TODAY()-WEEKDAY(TODAY(),2)+1,tbl_chests[datetime],"&lt;"&amp;TODAY()-WEEKDAY(TODAY(),2)+8)))</f>
        <v>0</v>
      </c>
      <c r="L102" s="36">
        <f ca="1">IF($A102="","",IF(L$1="","",COUNTIFS(tbl_chests[from],$A102,tbl_chests[legalized],L$1,tbl_chests[datetime],"&gt;="&amp;TODAY()-WEEKDAY(TODAY(),2)+1,tbl_chests[datetime],"&lt;"&amp;TODAY()-WEEKDAY(TODAY(),2)+8)))</f>
        <v>0</v>
      </c>
      <c r="M102" s="36">
        <f ca="1">IF($A102="","",IF(M$1="","",COUNTIFS(tbl_chests[from],$A102,tbl_chests[legalized],M$1,tbl_chests[datetime],"&gt;="&amp;TODAY()-WEEKDAY(TODAY(),2)+1,tbl_chests[datetime],"&lt;"&amp;TODAY()-WEEKDAY(TODAY(),2)+8)))</f>
        <v>0</v>
      </c>
      <c r="N102" s="36">
        <f ca="1">IF($A102="","",IF(N$1="","",COUNTIFS(tbl_chests[from],$A102,tbl_chests[legalized],N$1,tbl_chests[datetime],"&gt;="&amp;TODAY()-WEEKDAY(TODAY(),2)+1,tbl_chests[datetime],"&lt;"&amp;TODAY()-WEEKDAY(TODAY(),2)+8)))</f>
        <v>0</v>
      </c>
      <c r="O102" s="36">
        <f ca="1">IF($A102="","",IF(O$1="","",COUNTIFS(tbl_chests[from],$A102,tbl_chests[legalized],O$1,tbl_chests[datetime],"&gt;="&amp;TODAY()-WEEKDAY(TODAY(),2)+1,tbl_chests[datetime],"&lt;"&amp;TODAY()-WEEKDAY(TODAY(),2)+8)))</f>
        <v>0</v>
      </c>
      <c r="P102" s="36">
        <f ca="1">IF($A102="","",IF(P$1="","",COUNTIFS(tbl_chests[from],$A102,tbl_chests[legalized],P$1,tbl_chests[datetime],"&gt;="&amp;TODAY()-WEEKDAY(TODAY(),2)+1,tbl_chests[datetime],"&lt;"&amp;TODAY()-WEEKDAY(TODAY(),2)+8)))</f>
        <v>0</v>
      </c>
      <c r="Q102" s="36">
        <f ca="1">IF($A102="","",IF(Q$1="","",COUNTIFS(tbl_chests[from],$A102,tbl_chests[legalized],Q$1,tbl_chests[datetime],"&gt;="&amp;TODAY()-WEEKDAY(TODAY(),2)+1,tbl_chests[datetime],"&lt;"&amp;TODAY()-WEEKDAY(TODAY(),2)+8)))</f>
        <v>0</v>
      </c>
      <c r="R102" s="36">
        <f ca="1">IF($A102="","",IF(R$1="","",COUNTIFS(tbl_chests[from],$A102,tbl_chests[legalized],R$1,tbl_chests[datetime],"&gt;="&amp;TODAY()-WEEKDAY(TODAY(),2)+1,tbl_chests[datetime],"&lt;"&amp;TODAY()-WEEKDAY(TODAY(),2)+8)))</f>
        <v>0</v>
      </c>
      <c r="S102" s="36">
        <f ca="1">IF($A102="","",IF(S$1="","",COUNTIFS(tbl_chests[from],$A102,tbl_chests[legalized],S$1,tbl_chests[datetime],"&gt;="&amp;TODAY()-WEEKDAY(TODAY(),2)+1,tbl_chests[datetime],"&lt;"&amp;TODAY()-WEEKDAY(TODAY(),2)+8)))</f>
        <v>0</v>
      </c>
      <c r="T102" s="36">
        <f ca="1">IF($A102="","",IF(T$1="","",COUNTIFS(tbl_chests[from],$A102,tbl_chests[legalized],T$1,tbl_chests[datetime],"&gt;="&amp;TODAY()-WEEKDAY(TODAY(),2)+1,tbl_chests[datetime],"&lt;"&amp;TODAY()-WEEKDAY(TODAY(),2)+8)))</f>
        <v>0</v>
      </c>
      <c r="U102" s="36">
        <f ca="1">IF($A102="","",IF(U$1="","",COUNTIFS(tbl_chests[from],$A102,tbl_chests[legalized],U$1,tbl_chests[datetime],"&gt;="&amp;TODAY()-WEEKDAY(TODAY(),2)+1,tbl_chests[datetime],"&lt;"&amp;TODAY()-WEEKDAY(TODAY(),2)+8)))</f>
        <v>0</v>
      </c>
      <c r="V102" s="36">
        <f ca="1">IF($A102="","",IF(V$1="","",COUNTIFS(tbl_chests[from],$A102,tbl_chests[legalized],V$1,tbl_chests[datetime],"&gt;="&amp;TODAY()-WEEKDAY(TODAY(),2)+1,tbl_chests[datetime],"&lt;"&amp;TODAY()-WEEKDAY(TODAY(),2)+8)))</f>
        <v>0</v>
      </c>
      <c r="W102" s="36">
        <f ca="1">IF($A102="","",IF(W$1="","",COUNTIFS(tbl_chests[from],$A102,tbl_chests[legalized],W$1,tbl_chests[datetime],"&gt;="&amp;TODAY()-WEEKDAY(TODAY(),2)+1,tbl_chests[datetime],"&lt;"&amp;TODAY()-WEEKDAY(TODAY(),2)+8)))</f>
        <v>0</v>
      </c>
      <c r="X102" s="36">
        <f ca="1">IF($A102="","",IF(X$1="","",COUNTIFS(tbl_chests[from],$A102,tbl_chests[legalized],X$1,tbl_chests[datetime],"&gt;="&amp;TODAY()-WEEKDAY(TODAY(),2)+1,tbl_chests[datetime],"&lt;"&amp;TODAY()-WEEKDAY(TODAY(),2)+8)))</f>
        <v>0</v>
      </c>
      <c r="Y102" s="36">
        <f ca="1">IF($A102="","",IF(Y$1="","",COUNTIFS(tbl_chests[from],$A102,tbl_chests[legalized],Y$1,tbl_chests[datetime],"&gt;="&amp;TODAY()-WEEKDAY(TODAY(),2)+1,tbl_chests[datetime],"&lt;"&amp;TODAY()-WEEKDAY(TODAY(),2)+8)))</f>
        <v>0</v>
      </c>
      <c r="Z102" s="36">
        <f ca="1">IF($A102="","",IF(Z$1="","",COUNTIFS(tbl_chests[from],$A102,tbl_chests[legalized],Z$1,tbl_chests[datetime],"&gt;="&amp;TODAY()-WEEKDAY(TODAY(),2)+1,tbl_chests[datetime],"&lt;"&amp;TODAY()-WEEKDAY(TODAY(),2)+8)))</f>
        <v>0</v>
      </c>
      <c r="AA102" s="36">
        <f ca="1">IF($A102="","",IF(AA$1="","",COUNTIFS(tbl_chests[from],$A102,tbl_chests[legalized],AA$1,tbl_chests[datetime],"&gt;="&amp;TODAY()-WEEKDAY(TODAY(),2)+1,tbl_chests[datetime],"&lt;"&amp;TODAY()-WEEKDAY(TODAY(),2)+8)))</f>
        <v>0</v>
      </c>
      <c r="AB102" s="36">
        <f ca="1">IF($A102="","",IF(AB$1="","",COUNTIFS(tbl_chests[from],$A102,tbl_chests[legalized],AB$1,tbl_chests[datetime],"&gt;="&amp;TODAY()-WEEKDAY(TODAY(),2)+1,tbl_chests[datetime],"&lt;"&amp;TODAY()-WEEKDAY(TODAY(),2)+8)))</f>
        <v>0</v>
      </c>
      <c r="AC102" s="36">
        <f ca="1">IF($A102="","",IF(AC$1="","",COUNTIFS(tbl_chests[from],$A102,tbl_chests[legalized],AC$1,tbl_chests[datetime],"&gt;="&amp;TODAY()-WEEKDAY(TODAY(),2)+1,tbl_chests[datetime],"&lt;"&amp;TODAY()-WEEKDAY(TODAY(),2)+8)))</f>
        <v>0</v>
      </c>
      <c r="AD102" s="36">
        <f ca="1">IF($A102="","",IF(AD$1="","",COUNTIFS(tbl_chests[from],$A102,tbl_chests[legalized],AD$1,tbl_chests[datetime],"&gt;="&amp;TODAY()-WEEKDAY(TODAY(),2)+1,tbl_chests[datetime],"&lt;"&amp;TODAY()-WEEKDAY(TODAY(),2)+8)))</f>
        <v>0</v>
      </c>
      <c r="AE102" s="36">
        <f ca="1">IF($A102="","",IF(AE$1="","",COUNTIFS(tbl_chests[from],$A102,tbl_chests[legalized],AE$1,tbl_chests[datetime],"&gt;="&amp;TODAY()-WEEKDAY(TODAY(),2)+1,tbl_chests[datetime],"&lt;"&amp;TODAY()-WEEKDAY(TODAY(),2)+8)))</f>
        <v>0</v>
      </c>
      <c r="AF102" s="36">
        <f ca="1">IF($A102="","",IF(AF$1="","",COUNTIFS(tbl_chests[from],$A102,tbl_chests[legalized],AF$1,tbl_chests[datetime],"&gt;="&amp;TODAY()-WEEKDAY(TODAY(),2)+1,tbl_chests[datetime],"&lt;"&amp;TODAY()-WEEKDAY(TODAY(),2)+8)))</f>
        <v>0</v>
      </c>
      <c r="AG102" s="36">
        <f ca="1">IF($A102="","",IF(AG$1="","",COUNTIFS(tbl_chests[from],$A102,tbl_chests[legalized],AG$1,tbl_chests[datetime],"&gt;="&amp;TODAY()-WEEKDAY(TODAY(),2)+1,tbl_chests[datetime],"&lt;"&amp;TODAY()-WEEKDAY(TODAY(),2)+8)))</f>
        <v>0</v>
      </c>
      <c r="AH102" s="36">
        <f ca="1">IF($A102="","",IF(AH$1="","",COUNTIFS(tbl_chests[from],$A102,tbl_chests[legalized],AH$1,tbl_chests[datetime],"&gt;="&amp;TODAY()-WEEKDAY(TODAY(),2)+1,tbl_chests[datetime],"&lt;"&amp;TODAY()-WEEKDAY(TODAY(),2)+8)))</f>
        <v>0</v>
      </c>
      <c r="AI102" s="36">
        <f ca="1">IF($A102="","",IF(AI$1="","",COUNTIFS(tbl_chests[from],$A102,tbl_chests[legalized],AI$1,tbl_chests[datetime],"&gt;="&amp;TODAY()-WEEKDAY(TODAY(),2)+1,tbl_chests[datetime],"&lt;"&amp;TODAY()-WEEKDAY(TODAY(),2)+8)))</f>
        <v>0</v>
      </c>
      <c r="AJ102" s="36">
        <f ca="1">IF($A102="","",IF(AJ$1="","",COUNTIFS(tbl_chests[from],$A102,tbl_chests[legalized],AJ$1,tbl_chests[datetime],"&gt;="&amp;TODAY()-WEEKDAY(TODAY(),2)+1,tbl_chests[datetime],"&lt;"&amp;TODAY()-WEEKDAY(TODAY(),2)+8)))</f>
        <v>0</v>
      </c>
      <c r="AK102" s="36">
        <f ca="1">IF($A102="","",IF(AK$1="","",COUNTIFS(tbl_chests[from],$A102,tbl_chests[legalized],AK$1,tbl_chests[datetime],"&gt;="&amp;TODAY()-WEEKDAY(TODAY(),2)+1,tbl_chests[datetime],"&lt;"&amp;TODAY()-WEEKDAY(TODAY(),2)+8)))</f>
        <v>0</v>
      </c>
      <c r="AL102" s="36">
        <f ca="1">IF($A102="","",IF(AL$1="","",COUNTIFS(tbl_chests[from],$A102,tbl_chests[legalized],AL$1,tbl_chests[datetime],"&gt;="&amp;TODAY()-WEEKDAY(TODAY(),2)+1,tbl_chests[datetime],"&lt;"&amp;TODAY()-WEEKDAY(TODAY(),2)+8)))</f>
        <v>0</v>
      </c>
      <c r="AM102" s="37">
        <f ca="1">IF($A102="","",IF(AM$1="","",COUNTIFS(tbl_chests[from],$A102,tbl_chests[legalized],AM$1,tbl_chests[datetime],"&gt;="&amp;TODAY()-WEEKDAY(TODAY(),2)+1,tbl_chests[datetime],"&lt;"&amp;TODAY()-WEEKDAY(TODAY(),2)+8)))</f>
        <v>0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 spans="1:67" ht="15.75" customHeight="1" x14ac:dyDescent="0.25">
      <c r="A103" s="34">
        <f>chests_counter!$H100</f>
        <v>0</v>
      </c>
      <c r="B103" s="35" cm="1">
        <f t="array" aca="1" ref="B103" ca="1">IF(A103&lt;&gt;"", SUMPRODUCT(($C$2:$AM$2&lt;&gt;0)*(C103:AM103&lt;&gt;0)*($C$2:$AM$2)*(C103:AM103)), "")</f>
        <v>0</v>
      </c>
      <c r="C103" s="36">
        <f ca="1">IF($A103="","",IF(C$1="","",COUNTIFS(tbl_chests[from],$A103,tbl_chests[legalized],C$1,tbl_chests[datetime],"&gt;="&amp;TODAY()-WEEKDAY(TODAY(),2)+1,tbl_chests[datetime],"&lt;"&amp;TODAY()-WEEKDAY(TODAY(),2)+8)))</f>
        <v>0</v>
      </c>
      <c r="D103" s="36">
        <f ca="1">IF($A103="","",IF(D$1="","",COUNTIFS(tbl_chests[from],$A103,tbl_chests[legalized],D$1,tbl_chests[datetime],"&gt;="&amp;TODAY()-WEEKDAY(TODAY(),2)+1,tbl_chests[datetime],"&lt;"&amp;TODAY()-WEEKDAY(TODAY(),2)+8)))</f>
        <v>0</v>
      </c>
      <c r="E103" s="36">
        <f ca="1">IF($A103="","",IF(E$1="","",COUNTIFS(tbl_chests[from],$A103,tbl_chests[legalized],E$1,tbl_chests[datetime],"&gt;="&amp;TODAY()-WEEKDAY(TODAY(),2)+1,tbl_chests[datetime],"&lt;"&amp;TODAY()-WEEKDAY(TODAY(),2)+8)))</f>
        <v>0</v>
      </c>
      <c r="F103" s="36">
        <f ca="1">IF($A103="","",IF(F$1="","",COUNTIFS(tbl_chests[from],$A103,tbl_chests[legalized],F$1,tbl_chests[datetime],"&gt;="&amp;TODAY()-WEEKDAY(TODAY(),2)+1,tbl_chests[datetime],"&lt;"&amp;TODAY()-WEEKDAY(TODAY(),2)+8)))</f>
        <v>0</v>
      </c>
      <c r="G103" s="36">
        <f ca="1">IF($A103="","",IF(G$1="","",COUNTIFS(tbl_chests[from],$A103,tbl_chests[legalized],G$1,tbl_chests[datetime],"&gt;="&amp;TODAY()-WEEKDAY(TODAY(),2)+1,tbl_chests[datetime],"&lt;"&amp;TODAY()-WEEKDAY(TODAY(),2)+8)))</f>
        <v>0</v>
      </c>
      <c r="H103" s="36">
        <f ca="1">IF($A103="","",IF(H$1="","",COUNTIFS(tbl_chests[from],$A103,tbl_chests[legalized],H$1,tbl_chests[datetime],"&gt;="&amp;TODAY()-WEEKDAY(TODAY(),2)+1,tbl_chests[datetime],"&lt;"&amp;TODAY()-WEEKDAY(TODAY(),2)+8)))</f>
        <v>0</v>
      </c>
      <c r="I103" s="36">
        <f ca="1">IF($A103="","",IF(I$1="","",COUNTIFS(tbl_chests[from],$A103,tbl_chests[legalized],I$1,tbl_chests[datetime],"&gt;="&amp;TODAY()-WEEKDAY(TODAY(),2)+1,tbl_chests[datetime],"&lt;"&amp;TODAY()-WEEKDAY(TODAY(),2)+8)))</f>
        <v>0</v>
      </c>
      <c r="J103" s="36">
        <f ca="1">IF($A103="","",IF(J$1="","",COUNTIFS(tbl_chests[from],$A103,tbl_chests[legalized],J$1,tbl_chests[datetime],"&gt;="&amp;TODAY()-WEEKDAY(TODAY(),2)+1,tbl_chests[datetime],"&lt;"&amp;TODAY()-WEEKDAY(TODAY(),2)+8)))</f>
        <v>0</v>
      </c>
      <c r="K103" s="36">
        <f ca="1">IF($A103="","",IF(K$1="","",COUNTIFS(tbl_chests[from],$A103,tbl_chests[legalized],K$1,tbl_chests[datetime],"&gt;="&amp;TODAY()-WEEKDAY(TODAY(),2)+1,tbl_chests[datetime],"&lt;"&amp;TODAY()-WEEKDAY(TODAY(),2)+8)))</f>
        <v>0</v>
      </c>
      <c r="L103" s="36">
        <f ca="1">IF($A103="","",IF(L$1="","",COUNTIFS(tbl_chests[from],$A103,tbl_chests[legalized],L$1,tbl_chests[datetime],"&gt;="&amp;TODAY()-WEEKDAY(TODAY(),2)+1,tbl_chests[datetime],"&lt;"&amp;TODAY()-WEEKDAY(TODAY(),2)+8)))</f>
        <v>0</v>
      </c>
      <c r="M103" s="36">
        <f ca="1">IF($A103="","",IF(M$1="","",COUNTIFS(tbl_chests[from],$A103,tbl_chests[legalized],M$1,tbl_chests[datetime],"&gt;="&amp;TODAY()-WEEKDAY(TODAY(),2)+1,tbl_chests[datetime],"&lt;"&amp;TODAY()-WEEKDAY(TODAY(),2)+8)))</f>
        <v>0</v>
      </c>
      <c r="N103" s="36">
        <f ca="1">IF($A103="","",IF(N$1="","",COUNTIFS(tbl_chests[from],$A103,tbl_chests[legalized],N$1,tbl_chests[datetime],"&gt;="&amp;TODAY()-WEEKDAY(TODAY(),2)+1,tbl_chests[datetime],"&lt;"&amp;TODAY()-WEEKDAY(TODAY(),2)+8)))</f>
        <v>0</v>
      </c>
      <c r="O103" s="36">
        <f ca="1">IF($A103="","",IF(O$1="","",COUNTIFS(tbl_chests[from],$A103,tbl_chests[legalized],O$1,tbl_chests[datetime],"&gt;="&amp;TODAY()-WEEKDAY(TODAY(),2)+1,tbl_chests[datetime],"&lt;"&amp;TODAY()-WEEKDAY(TODAY(),2)+8)))</f>
        <v>0</v>
      </c>
      <c r="P103" s="36">
        <f ca="1">IF($A103="","",IF(P$1="","",COUNTIFS(tbl_chests[from],$A103,tbl_chests[legalized],P$1,tbl_chests[datetime],"&gt;="&amp;TODAY()-WEEKDAY(TODAY(),2)+1,tbl_chests[datetime],"&lt;"&amp;TODAY()-WEEKDAY(TODAY(),2)+8)))</f>
        <v>0</v>
      </c>
      <c r="Q103" s="36">
        <f ca="1">IF($A103="","",IF(Q$1="","",COUNTIFS(tbl_chests[from],$A103,tbl_chests[legalized],Q$1,tbl_chests[datetime],"&gt;="&amp;TODAY()-WEEKDAY(TODAY(),2)+1,tbl_chests[datetime],"&lt;"&amp;TODAY()-WEEKDAY(TODAY(),2)+8)))</f>
        <v>0</v>
      </c>
      <c r="R103" s="36">
        <f ca="1">IF($A103="","",IF(R$1="","",COUNTIFS(tbl_chests[from],$A103,tbl_chests[legalized],R$1,tbl_chests[datetime],"&gt;="&amp;TODAY()-WEEKDAY(TODAY(),2)+1,tbl_chests[datetime],"&lt;"&amp;TODAY()-WEEKDAY(TODAY(),2)+8)))</f>
        <v>0</v>
      </c>
      <c r="S103" s="36">
        <f ca="1">IF($A103="","",IF(S$1="","",COUNTIFS(tbl_chests[from],$A103,tbl_chests[legalized],S$1,tbl_chests[datetime],"&gt;="&amp;TODAY()-WEEKDAY(TODAY(),2)+1,tbl_chests[datetime],"&lt;"&amp;TODAY()-WEEKDAY(TODAY(),2)+8)))</f>
        <v>0</v>
      </c>
      <c r="T103" s="36">
        <f ca="1">IF($A103="","",IF(T$1="","",COUNTIFS(tbl_chests[from],$A103,tbl_chests[legalized],T$1,tbl_chests[datetime],"&gt;="&amp;TODAY()-WEEKDAY(TODAY(),2)+1,tbl_chests[datetime],"&lt;"&amp;TODAY()-WEEKDAY(TODAY(),2)+8)))</f>
        <v>0</v>
      </c>
      <c r="U103" s="36">
        <f ca="1">IF($A103="","",IF(U$1="","",COUNTIFS(tbl_chests[from],$A103,tbl_chests[legalized],U$1,tbl_chests[datetime],"&gt;="&amp;TODAY()-WEEKDAY(TODAY(),2)+1,tbl_chests[datetime],"&lt;"&amp;TODAY()-WEEKDAY(TODAY(),2)+8)))</f>
        <v>0</v>
      </c>
      <c r="V103" s="36">
        <f ca="1">IF($A103="","",IF(V$1="","",COUNTIFS(tbl_chests[from],$A103,tbl_chests[legalized],V$1,tbl_chests[datetime],"&gt;="&amp;TODAY()-WEEKDAY(TODAY(),2)+1,tbl_chests[datetime],"&lt;"&amp;TODAY()-WEEKDAY(TODAY(),2)+8)))</f>
        <v>0</v>
      </c>
      <c r="W103" s="36">
        <f ca="1">IF($A103="","",IF(W$1="","",COUNTIFS(tbl_chests[from],$A103,tbl_chests[legalized],W$1,tbl_chests[datetime],"&gt;="&amp;TODAY()-WEEKDAY(TODAY(),2)+1,tbl_chests[datetime],"&lt;"&amp;TODAY()-WEEKDAY(TODAY(),2)+8)))</f>
        <v>0</v>
      </c>
      <c r="X103" s="36">
        <f ca="1">IF($A103="","",IF(X$1="","",COUNTIFS(tbl_chests[from],$A103,tbl_chests[legalized],X$1,tbl_chests[datetime],"&gt;="&amp;TODAY()-WEEKDAY(TODAY(),2)+1,tbl_chests[datetime],"&lt;"&amp;TODAY()-WEEKDAY(TODAY(),2)+8)))</f>
        <v>0</v>
      </c>
      <c r="Y103" s="36">
        <f ca="1">IF($A103="","",IF(Y$1="","",COUNTIFS(tbl_chests[from],$A103,tbl_chests[legalized],Y$1,tbl_chests[datetime],"&gt;="&amp;TODAY()-WEEKDAY(TODAY(),2)+1,tbl_chests[datetime],"&lt;"&amp;TODAY()-WEEKDAY(TODAY(),2)+8)))</f>
        <v>0</v>
      </c>
      <c r="Z103" s="36">
        <f ca="1">IF($A103="","",IF(Z$1="","",COUNTIFS(tbl_chests[from],$A103,tbl_chests[legalized],Z$1,tbl_chests[datetime],"&gt;="&amp;TODAY()-WEEKDAY(TODAY(),2)+1,tbl_chests[datetime],"&lt;"&amp;TODAY()-WEEKDAY(TODAY(),2)+8)))</f>
        <v>0</v>
      </c>
      <c r="AA103" s="36">
        <f ca="1">IF($A103="","",IF(AA$1="","",COUNTIFS(tbl_chests[from],$A103,tbl_chests[legalized],AA$1,tbl_chests[datetime],"&gt;="&amp;TODAY()-WEEKDAY(TODAY(),2)+1,tbl_chests[datetime],"&lt;"&amp;TODAY()-WEEKDAY(TODAY(),2)+8)))</f>
        <v>0</v>
      </c>
      <c r="AB103" s="36">
        <f ca="1">IF($A103="","",IF(AB$1="","",COUNTIFS(tbl_chests[from],$A103,tbl_chests[legalized],AB$1,tbl_chests[datetime],"&gt;="&amp;TODAY()-WEEKDAY(TODAY(),2)+1,tbl_chests[datetime],"&lt;"&amp;TODAY()-WEEKDAY(TODAY(),2)+8)))</f>
        <v>0</v>
      </c>
      <c r="AC103" s="36">
        <f ca="1">IF($A103="","",IF(AC$1="","",COUNTIFS(tbl_chests[from],$A103,tbl_chests[legalized],AC$1,tbl_chests[datetime],"&gt;="&amp;TODAY()-WEEKDAY(TODAY(),2)+1,tbl_chests[datetime],"&lt;"&amp;TODAY()-WEEKDAY(TODAY(),2)+8)))</f>
        <v>0</v>
      </c>
      <c r="AD103" s="36">
        <f ca="1">IF($A103="","",IF(AD$1="","",COUNTIFS(tbl_chests[from],$A103,tbl_chests[legalized],AD$1,tbl_chests[datetime],"&gt;="&amp;TODAY()-WEEKDAY(TODAY(),2)+1,tbl_chests[datetime],"&lt;"&amp;TODAY()-WEEKDAY(TODAY(),2)+8)))</f>
        <v>0</v>
      </c>
      <c r="AE103" s="36">
        <f ca="1">IF($A103="","",IF(AE$1="","",COUNTIFS(tbl_chests[from],$A103,tbl_chests[legalized],AE$1,tbl_chests[datetime],"&gt;="&amp;TODAY()-WEEKDAY(TODAY(),2)+1,tbl_chests[datetime],"&lt;"&amp;TODAY()-WEEKDAY(TODAY(),2)+8)))</f>
        <v>0</v>
      </c>
      <c r="AF103" s="36">
        <f ca="1">IF($A103="","",IF(AF$1="","",COUNTIFS(tbl_chests[from],$A103,tbl_chests[legalized],AF$1,tbl_chests[datetime],"&gt;="&amp;TODAY()-WEEKDAY(TODAY(),2)+1,tbl_chests[datetime],"&lt;"&amp;TODAY()-WEEKDAY(TODAY(),2)+8)))</f>
        <v>0</v>
      </c>
      <c r="AG103" s="36">
        <f ca="1">IF($A103="","",IF(AG$1="","",COUNTIFS(tbl_chests[from],$A103,tbl_chests[legalized],AG$1,tbl_chests[datetime],"&gt;="&amp;TODAY()-WEEKDAY(TODAY(),2)+1,tbl_chests[datetime],"&lt;"&amp;TODAY()-WEEKDAY(TODAY(),2)+8)))</f>
        <v>0</v>
      </c>
      <c r="AH103" s="36">
        <f ca="1">IF($A103="","",IF(AH$1="","",COUNTIFS(tbl_chests[from],$A103,tbl_chests[legalized],AH$1,tbl_chests[datetime],"&gt;="&amp;TODAY()-WEEKDAY(TODAY(),2)+1,tbl_chests[datetime],"&lt;"&amp;TODAY()-WEEKDAY(TODAY(),2)+8)))</f>
        <v>0</v>
      </c>
      <c r="AI103" s="36">
        <f ca="1">IF($A103="","",IF(AI$1="","",COUNTIFS(tbl_chests[from],$A103,tbl_chests[legalized],AI$1,tbl_chests[datetime],"&gt;="&amp;TODAY()-WEEKDAY(TODAY(),2)+1,tbl_chests[datetime],"&lt;"&amp;TODAY()-WEEKDAY(TODAY(),2)+8)))</f>
        <v>0</v>
      </c>
      <c r="AJ103" s="36">
        <f ca="1">IF($A103="","",IF(AJ$1="","",COUNTIFS(tbl_chests[from],$A103,tbl_chests[legalized],AJ$1,tbl_chests[datetime],"&gt;="&amp;TODAY()-WEEKDAY(TODAY(),2)+1,tbl_chests[datetime],"&lt;"&amp;TODAY()-WEEKDAY(TODAY(),2)+8)))</f>
        <v>0</v>
      </c>
      <c r="AK103" s="36">
        <f ca="1">IF($A103="","",IF(AK$1="","",COUNTIFS(tbl_chests[from],$A103,tbl_chests[legalized],AK$1,tbl_chests[datetime],"&gt;="&amp;TODAY()-WEEKDAY(TODAY(),2)+1,tbl_chests[datetime],"&lt;"&amp;TODAY()-WEEKDAY(TODAY(),2)+8)))</f>
        <v>0</v>
      </c>
      <c r="AL103" s="36">
        <f ca="1">IF($A103="","",IF(AL$1="","",COUNTIFS(tbl_chests[from],$A103,tbl_chests[legalized],AL$1,tbl_chests[datetime],"&gt;="&amp;TODAY()-WEEKDAY(TODAY(),2)+1,tbl_chests[datetime],"&lt;"&amp;TODAY()-WEEKDAY(TODAY(),2)+8)))</f>
        <v>0</v>
      </c>
      <c r="AM103" s="37">
        <f ca="1">IF($A103="","",IF(AM$1="","",COUNTIFS(tbl_chests[from],$A103,tbl_chests[legalized],AM$1,tbl_chests[datetime],"&gt;="&amp;TODAY()-WEEKDAY(TODAY(),2)+1,tbl_chests[datetime],"&lt;"&amp;TODAY()-WEEKDAY(TODAY(),2)+8)))</f>
        <v>0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 ht="15.75" customHeight="1" x14ac:dyDescent="0.25">
      <c r="A104" s="34">
        <f>chests_counter!$H101</f>
        <v>0</v>
      </c>
      <c r="B104" s="35" cm="1">
        <f t="array" aca="1" ref="B104" ca="1">IF(A104&lt;&gt;"", SUMPRODUCT(($C$2:$AM$2&lt;&gt;0)*(C104:AM104&lt;&gt;0)*($C$2:$AM$2)*(C104:AM104)), "")</f>
        <v>0</v>
      </c>
      <c r="C104" s="36">
        <f ca="1">IF($A104="","",IF(C$1="","",COUNTIFS(tbl_chests[from],$A104,tbl_chests[legalized],C$1,tbl_chests[datetime],"&gt;="&amp;TODAY()-WEEKDAY(TODAY(),2)+1,tbl_chests[datetime],"&lt;"&amp;TODAY()-WEEKDAY(TODAY(),2)+8)))</f>
        <v>0</v>
      </c>
      <c r="D104" s="36">
        <f ca="1">IF($A104="","",IF(D$1="","",COUNTIFS(tbl_chests[from],$A104,tbl_chests[legalized],D$1,tbl_chests[datetime],"&gt;="&amp;TODAY()-WEEKDAY(TODAY(),2)+1,tbl_chests[datetime],"&lt;"&amp;TODAY()-WEEKDAY(TODAY(),2)+8)))</f>
        <v>0</v>
      </c>
      <c r="E104" s="36">
        <f ca="1">IF($A104="","",IF(E$1="","",COUNTIFS(tbl_chests[from],$A104,tbl_chests[legalized],E$1,tbl_chests[datetime],"&gt;="&amp;TODAY()-WEEKDAY(TODAY(),2)+1,tbl_chests[datetime],"&lt;"&amp;TODAY()-WEEKDAY(TODAY(),2)+8)))</f>
        <v>0</v>
      </c>
      <c r="F104" s="36">
        <f ca="1">IF($A104="","",IF(F$1="","",COUNTIFS(tbl_chests[from],$A104,tbl_chests[legalized],F$1,tbl_chests[datetime],"&gt;="&amp;TODAY()-WEEKDAY(TODAY(),2)+1,tbl_chests[datetime],"&lt;"&amp;TODAY()-WEEKDAY(TODAY(),2)+8)))</f>
        <v>0</v>
      </c>
      <c r="G104" s="36">
        <f ca="1">IF($A104="","",IF(G$1="","",COUNTIFS(tbl_chests[from],$A104,tbl_chests[legalized],G$1,tbl_chests[datetime],"&gt;="&amp;TODAY()-WEEKDAY(TODAY(),2)+1,tbl_chests[datetime],"&lt;"&amp;TODAY()-WEEKDAY(TODAY(),2)+8)))</f>
        <v>0</v>
      </c>
      <c r="H104" s="36">
        <f ca="1">IF($A104="","",IF(H$1="","",COUNTIFS(tbl_chests[from],$A104,tbl_chests[legalized],H$1,tbl_chests[datetime],"&gt;="&amp;TODAY()-WEEKDAY(TODAY(),2)+1,tbl_chests[datetime],"&lt;"&amp;TODAY()-WEEKDAY(TODAY(),2)+8)))</f>
        <v>0</v>
      </c>
      <c r="I104" s="36">
        <f ca="1">IF($A104="","",IF(I$1="","",COUNTIFS(tbl_chests[from],$A104,tbl_chests[legalized],I$1,tbl_chests[datetime],"&gt;="&amp;TODAY()-WEEKDAY(TODAY(),2)+1,tbl_chests[datetime],"&lt;"&amp;TODAY()-WEEKDAY(TODAY(),2)+8)))</f>
        <v>0</v>
      </c>
      <c r="J104" s="36">
        <f ca="1">IF($A104="","",IF(J$1="","",COUNTIFS(tbl_chests[from],$A104,tbl_chests[legalized],J$1,tbl_chests[datetime],"&gt;="&amp;TODAY()-WEEKDAY(TODAY(),2)+1,tbl_chests[datetime],"&lt;"&amp;TODAY()-WEEKDAY(TODAY(),2)+8)))</f>
        <v>0</v>
      </c>
      <c r="K104" s="36">
        <f ca="1">IF($A104="","",IF(K$1="","",COUNTIFS(tbl_chests[from],$A104,tbl_chests[legalized],K$1,tbl_chests[datetime],"&gt;="&amp;TODAY()-WEEKDAY(TODAY(),2)+1,tbl_chests[datetime],"&lt;"&amp;TODAY()-WEEKDAY(TODAY(),2)+8)))</f>
        <v>0</v>
      </c>
      <c r="L104" s="36">
        <f ca="1">IF($A104="","",IF(L$1="","",COUNTIFS(tbl_chests[from],$A104,tbl_chests[legalized],L$1,tbl_chests[datetime],"&gt;="&amp;TODAY()-WEEKDAY(TODAY(),2)+1,tbl_chests[datetime],"&lt;"&amp;TODAY()-WEEKDAY(TODAY(),2)+8)))</f>
        <v>0</v>
      </c>
      <c r="M104" s="36">
        <f ca="1">IF($A104="","",IF(M$1="","",COUNTIFS(tbl_chests[from],$A104,tbl_chests[legalized],M$1,tbl_chests[datetime],"&gt;="&amp;TODAY()-WEEKDAY(TODAY(),2)+1,tbl_chests[datetime],"&lt;"&amp;TODAY()-WEEKDAY(TODAY(),2)+8)))</f>
        <v>0</v>
      </c>
      <c r="N104" s="36">
        <f ca="1">IF($A104="","",IF(N$1="","",COUNTIFS(tbl_chests[from],$A104,tbl_chests[legalized],N$1,tbl_chests[datetime],"&gt;="&amp;TODAY()-WEEKDAY(TODAY(),2)+1,tbl_chests[datetime],"&lt;"&amp;TODAY()-WEEKDAY(TODAY(),2)+8)))</f>
        <v>0</v>
      </c>
      <c r="O104" s="36">
        <f ca="1">IF($A104="","",IF(O$1="","",COUNTIFS(tbl_chests[from],$A104,tbl_chests[legalized],O$1,tbl_chests[datetime],"&gt;="&amp;TODAY()-WEEKDAY(TODAY(),2)+1,tbl_chests[datetime],"&lt;"&amp;TODAY()-WEEKDAY(TODAY(),2)+8)))</f>
        <v>0</v>
      </c>
      <c r="P104" s="36">
        <f ca="1">IF($A104="","",IF(P$1="","",COUNTIFS(tbl_chests[from],$A104,tbl_chests[legalized],P$1,tbl_chests[datetime],"&gt;="&amp;TODAY()-WEEKDAY(TODAY(),2)+1,tbl_chests[datetime],"&lt;"&amp;TODAY()-WEEKDAY(TODAY(),2)+8)))</f>
        <v>0</v>
      </c>
      <c r="Q104" s="36">
        <f ca="1">IF($A104="","",IF(Q$1="","",COUNTIFS(tbl_chests[from],$A104,tbl_chests[legalized],Q$1,tbl_chests[datetime],"&gt;="&amp;TODAY()-WEEKDAY(TODAY(),2)+1,tbl_chests[datetime],"&lt;"&amp;TODAY()-WEEKDAY(TODAY(),2)+8)))</f>
        <v>0</v>
      </c>
      <c r="R104" s="36">
        <f ca="1">IF($A104="","",IF(R$1="","",COUNTIFS(tbl_chests[from],$A104,tbl_chests[legalized],R$1,tbl_chests[datetime],"&gt;="&amp;TODAY()-WEEKDAY(TODAY(),2)+1,tbl_chests[datetime],"&lt;"&amp;TODAY()-WEEKDAY(TODAY(),2)+8)))</f>
        <v>0</v>
      </c>
      <c r="S104" s="36">
        <f ca="1">IF($A104="","",IF(S$1="","",COUNTIFS(tbl_chests[from],$A104,tbl_chests[legalized],S$1,tbl_chests[datetime],"&gt;="&amp;TODAY()-WEEKDAY(TODAY(),2)+1,tbl_chests[datetime],"&lt;"&amp;TODAY()-WEEKDAY(TODAY(),2)+8)))</f>
        <v>0</v>
      </c>
      <c r="T104" s="36">
        <f ca="1">IF($A104="","",IF(T$1="","",COUNTIFS(tbl_chests[from],$A104,tbl_chests[legalized],T$1,tbl_chests[datetime],"&gt;="&amp;TODAY()-WEEKDAY(TODAY(),2)+1,tbl_chests[datetime],"&lt;"&amp;TODAY()-WEEKDAY(TODAY(),2)+8)))</f>
        <v>0</v>
      </c>
      <c r="U104" s="36">
        <f ca="1">IF($A104="","",IF(U$1="","",COUNTIFS(tbl_chests[from],$A104,tbl_chests[legalized],U$1,tbl_chests[datetime],"&gt;="&amp;TODAY()-WEEKDAY(TODAY(),2)+1,tbl_chests[datetime],"&lt;"&amp;TODAY()-WEEKDAY(TODAY(),2)+8)))</f>
        <v>0</v>
      </c>
      <c r="V104" s="36">
        <f ca="1">IF($A104="","",IF(V$1="","",COUNTIFS(tbl_chests[from],$A104,tbl_chests[legalized],V$1,tbl_chests[datetime],"&gt;="&amp;TODAY()-WEEKDAY(TODAY(),2)+1,tbl_chests[datetime],"&lt;"&amp;TODAY()-WEEKDAY(TODAY(),2)+8)))</f>
        <v>0</v>
      </c>
      <c r="W104" s="36">
        <f ca="1">IF($A104="","",IF(W$1="","",COUNTIFS(tbl_chests[from],$A104,tbl_chests[legalized],W$1,tbl_chests[datetime],"&gt;="&amp;TODAY()-WEEKDAY(TODAY(),2)+1,tbl_chests[datetime],"&lt;"&amp;TODAY()-WEEKDAY(TODAY(),2)+8)))</f>
        <v>0</v>
      </c>
      <c r="X104" s="36">
        <f ca="1">IF($A104="","",IF(X$1="","",COUNTIFS(tbl_chests[from],$A104,tbl_chests[legalized],X$1,tbl_chests[datetime],"&gt;="&amp;TODAY()-WEEKDAY(TODAY(),2)+1,tbl_chests[datetime],"&lt;"&amp;TODAY()-WEEKDAY(TODAY(),2)+8)))</f>
        <v>0</v>
      </c>
      <c r="Y104" s="36">
        <f ca="1">IF($A104="","",IF(Y$1="","",COUNTIFS(tbl_chests[from],$A104,tbl_chests[legalized],Y$1,tbl_chests[datetime],"&gt;="&amp;TODAY()-WEEKDAY(TODAY(),2)+1,tbl_chests[datetime],"&lt;"&amp;TODAY()-WEEKDAY(TODAY(),2)+8)))</f>
        <v>0</v>
      </c>
      <c r="Z104" s="36">
        <f ca="1">IF($A104="","",IF(Z$1="","",COUNTIFS(tbl_chests[from],$A104,tbl_chests[legalized],Z$1,tbl_chests[datetime],"&gt;="&amp;TODAY()-WEEKDAY(TODAY(),2)+1,tbl_chests[datetime],"&lt;"&amp;TODAY()-WEEKDAY(TODAY(),2)+8)))</f>
        <v>0</v>
      </c>
      <c r="AA104" s="36">
        <f ca="1">IF($A104="","",IF(AA$1="","",COUNTIFS(tbl_chests[from],$A104,tbl_chests[legalized],AA$1,tbl_chests[datetime],"&gt;="&amp;TODAY()-WEEKDAY(TODAY(),2)+1,tbl_chests[datetime],"&lt;"&amp;TODAY()-WEEKDAY(TODAY(),2)+8)))</f>
        <v>0</v>
      </c>
      <c r="AB104" s="36">
        <f ca="1">IF($A104="","",IF(AB$1="","",COUNTIFS(tbl_chests[from],$A104,tbl_chests[legalized],AB$1,tbl_chests[datetime],"&gt;="&amp;TODAY()-WEEKDAY(TODAY(),2)+1,tbl_chests[datetime],"&lt;"&amp;TODAY()-WEEKDAY(TODAY(),2)+8)))</f>
        <v>0</v>
      </c>
      <c r="AC104" s="36">
        <f ca="1">IF($A104="","",IF(AC$1="","",COUNTIFS(tbl_chests[from],$A104,tbl_chests[legalized],AC$1,tbl_chests[datetime],"&gt;="&amp;TODAY()-WEEKDAY(TODAY(),2)+1,tbl_chests[datetime],"&lt;"&amp;TODAY()-WEEKDAY(TODAY(),2)+8)))</f>
        <v>0</v>
      </c>
      <c r="AD104" s="36">
        <f ca="1">IF($A104="","",IF(AD$1="","",COUNTIFS(tbl_chests[from],$A104,tbl_chests[legalized],AD$1,tbl_chests[datetime],"&gt;="&amp;TODAY()-WEEKDAY(TODAY(),2)+1,tbl_chests[datetime],"&lt;"&amp;TODAY()-WEEKDAY(TODAY(),2)+8)))</f>
        <v>0</v>
      </c>
      <c r="AE104" s="36">
        <f ca="1">IF($A104="","",IF(AE$1="","",COUNTIFS(tbl_chests[from],$A104,tbl_chests[legalized],AE$1,tbl_chests[datetime],"&gt;="&amp;TODAY()-WEEKDAY(TODAY(),2)+1,tbl_chests[datetime],"&lt;"&amp;TODAY()-WEEKDAY(TODAY(),2)+8)))</f>
        <v>0</v>
      </c>
      <c r="AF104" s="36">
        <f ca="1">IF($A104="","",IF(AF$1="","",COUNTIFS(tbl_chests[from],$A104,tbl_chests[legalized],AF$1,tbl_chests[datetime],"&gt;="&amp;TODAY()-WEEKDAY(TODAY(),2)+1,tbl_chests[datetime],"&lt;"&amp;TODAY()-WEEKDAY(TODAY(),2)+8)))</f>
        <v>0</v>
      </c>
      <c r="AG104" s="36">
        <f ca="1">IF($A104="","",IF(AG$1="","",COUNTIFS(tbl_chests[from],$A104,tbl_chests[legalized],AG$1,tbl_chests[datetime],"&gt;="&amp;TODAY()-WEEKDAY(TODAY(),2)+1,tbl_chests[datetime],"&lt;"&amp;TODAY()-WEEKDAY(TODAY(),2)+8)))</f>
        <v>0</v>
      </c>
      <c r="AH104" s="36">
        <f ca="1">IF($A104="","",IF(AH$1="","",COUNTIFS(tbl_chests[from],$A104,tbl_chests[legalized],AH$1,tbl_chests[datetime],"&gt;="&amp;TODAY()-WEEKDAY(TODAY(),2)+1,tbl_chests[datetime],"&lt;"&amp;TODAY()-WEEKDAY(TODAY(),2)+8)))</f>
        <v>0</v>
      </c>
      <c r="AI104" s="36">
        <f ca="1">IF($A104="","",IF(AI$1="","",COUNTIFS(tbl_chests[from],$A104,tbl_chests[legalized],AI$1,tbl_chests[datetime],"&gt;="&amp;TODAY()-WEEKDAY(TODAY(),2)+1,tbl_chests[datetime],"&lt;"&amp;TODAY()-WEEKDAY(TODAY(),2)+8)))</f>
        <v>0</v>
      </c>
      <c r="AJ104" s="36">
        <f ca="1">IF($A104="","",IF(AJ$1="","",COUNTIFS(tbl_chests[from],$A104,tbl_chests[legalized],AJ$1,tbl_chests[datetime],"&gt;="&amp;TODAY()-WEEKDAY(TODAY(),2)+1,tbl_chests[datetime],"&lt;"&amp;TODAY()-WEEKDAY(TODAY(),2)+8)))</f>
        <v>0</v>
      </c>
      <c r="AK104" s="36">
        <f ca="1">IF($A104="","",IF(AK$1="","",COUNTIFS(tbl_chests[from],$A104,tbl_chests[legalized],AK$1,tbl_chests[datetime],"&gt;="&amp;TODAY()-WEEKDAY(TODAY(),2)+1,tbl_chests[datetime],"&lt;"&amp;TODAY()-WEEKDAY(TODAY(),2)+8)))</f>
        <v>0</v>
      </c>
      <c r="AL104" s="36">
        <f ca="1">IF($A104="","",IF(AL$1="","",COUNTIFS(tbl_chests[from],$A104,tbl_chests[legalized],AL$1,tbl_chests[datetime],"&gt;="&amp;TODAY()-WEEKDAY(TODAY(),2)+1,tbl_chests[datetime],"&lt;"&amp;TODAY()-WEEKDAY(TODAY(),2)+8)))</f>
        <v>0</v>
      </c>
      <c r="AM104" s="37">
        <f ca="1">IF($A104="","",IF(AM$1="","",COUNTIFS(tbl_chests[from],$A104,tbl_chests[legalized],AM$1,tbl_chests[datetime],"&gt;="&amp;TODAY()-WEEKDAY(TODAY(),2)+1,tbl_chests[datetime],"&lt;"&amp;TODAY()-WEEKDAY(TODAY(),2)+8)))</f>
        <v>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 ht="15.75" customHeight="1" x14ac:dyDescent="0.25">
      <c r="A105" s="34">
        <f>chests_counter!$H102</f>
        <v>0</v>
      </c>
      <c r="B105" s="35" cm="1">
        <f t="array" aca="1" ref="B105" ca="1">IF(A105&lt;&gt;"", SUMPRODUCT(($C$2:$AM$2&lt;&gt;0)*(C105:AM105&lt;&gt;0)*($C$2:$AM$2)*(C105:AM105)), "")</f>
        <v>0</v>
      </c>
      <c r="C105" s="36">
        <f ca="1">IF($A105="","",IF(C$1="","",COUNTIFS(tbl_chests[from],$A105,tbl_chests[legalized],C$1,tbl_chests[datetime],"&gt;="&amp;TODAY()-WEEKDAY(TODAY(),2)+1,tbl_chests[datetime],"&lt;"&amp;TODAY()-WEEKDAY(TODAY(),2)+8)))</f>
        <v>0</v>
      </c>
      <c r="D105" s="36">
        <f ca="1">IF($A105="","",IF(D$1="","",COUNTIFS(tbl_chests[from],$A105,tbl_chests[legalized],D$1,tbl_chests[datetime],"&gt;="&amp;TODAY()-WEEKDAY(TODAY(),2)+1,tbl_chests[datetime],"&lt;"&amp;TODAY()-WEEKDAY(TODAY(),2)+8)))</f>
        <v>0</v>
      </c>
      <c r="E105" s="36">
        <f ca="1">IF($A105="","",IF(E$1="","",COUNTIFS(tbl_chests[from],$A105,tbl_chests[legalized],E$1,tbl_chests[datetime],"&gt;="&amp;TODAY()-WEEKDAY(TODAY(),2)+1,tbl_chests[datetime],"&lt;"&amp;TODAY()-WEEKDAY(TODAY(),2)+8)))</f>
        <v>0</v>
      </c>
      <c r="F105" s="36">
        <f ca="1">IF($A105="","",IF(F$1="","",COUNTIFS(tbl_chests[from],$A105,tbl_chests[legalized],F$1,tbl_chests[datetime],"&gt;="&amp;TODAY()-WEEKDAY(TODAY(),2)+1,tbl_chests[datetime],"&lt;"&amp;TODAY()-WEEKDAY(TODAY(),2)+8)))</f>
        <v>0</v>
      </c>
      <c r="G105" s="36">
        <f ca="1">IF($A105="","",IF(G$1="","",COUNTIFS(tbl_chests[from],$A105,tbl_chests[legalized],G$1,tbl_chests[datetime],"&gt;="&amp;TODAY()-WEEKDAY(TODAY(),2)+1,tbl_chests[datetime],"&lt;"&amp;TODAY()-WEEKDAY(TODAY(),2)+8)))</f>
        <v>0</v>
      </c>
      <c r="H105" s="36">
        <f ca="1">IF($A105="","",IF(H$1="","",COUNTIFS(tbl_chests[from],$A105,tbl_chests[legalized],H$1,tbl_chests[datetime],"&gt;="&amp;TODAY()-WEEKDAY(TODAY(),2)+1,tbl_chests[datetime],"&lt;"&amp;TODAY()-WEEKDAY(TODAY(),2)+8)))</f>
        <v>0</v>
      </c>
      <c r="I105" s="36">
        <f ca="1">IF($A105="","",IF(I$1="","",COUNTIFS(tbl_chests[from],$A105,tbl_chests[legalized],I$1,tbl_chests[datetime],"&gt;="&amp;TODAY()-WEEKDAY(TODAY(),2)+1,tbl_chests[datetime],"&lt;"&amp;TODAY()-WEEKDAY(TODAY(),2)+8)))</f>
        <v>0</v>
      </c>
      <c r="J105" s="36">
        <f ca="1">IF($A105="","",IF(J$1="","",COUNTIFS(tbl_chests[from],$A105,tbl_chests[legalized],J$1,tbl_chests[datetime],"&gt;="&amp;TODAY()-WEEKDAY(TODAY(),2)+1,tbl_chests[datetime],"&lt;"&amp;TODAY()-WEEKDAY(TODAY(),2)+8)))</f>
        <v>0</v>
      </c>
      <c r="K105" s="36">
        <f ca="1">IF($A105="","",IF(K$1="","",COUNTIFS(tbl_chests[from],$A105,tbl_chests[legalized],K$1,tbl_chests[datetime],"&gt;="&amp;TODAY()-WEEKDAY(TODAY(),2)+1,tbl_chests[datetime],"&lt;"&amp;TODAY()-WEEKDAY(TODAY(),2)+8)))</f>
        <v>0</v>
      </c>
      <c r="L105" s="36">
        <f ca="1">IF($A105="","",IF(L$1="","",COUNTIFS(tbl_chests[from],$A105,tbl_chests[legalized],L$1,tbl_chests[datetime],"&gt;="&amp;TODAY()-WEEKDAY(TODAY(),2)+1,tbl_chests[datetime],"&lt;"&amp;TODAY()-WEEKDAY(TODAY(),2)+8)))</f>
        <v>0</v>
      </c>
      <c r="M105" s="36">
        <f ca="1">IF($A105="","",IF(M$1="","",COUNTIFS(tbl_chests[from],$A105,tbl_chests[legalized],M$1,tbl_chests[datetime],"&gt;="&amp;TODAY()-WEEKDAY(TODAY(),2)+1,tbl_chests[datetime],"&lt;"&amp;TODAY()-WEEKDAY(TODAY(),2)+8)))</f>
        <v>0</v>
      </c>
      <c r="N105" s="36">
        <f ca="1">IF($A105="","",IF(N$1="","",COUNTIFS(tbl_chests[from],$A105,tbl_chests[legalized],N$1,tbl_chests[datetime],"&gt;="&amp;TODAY()-WEEKDAY(TODAY(),2)+1,tbl_chests[datetime],"&lt;"&amp;TODAY()-WEEKDAY(TODAY(),2)+8)))</f>
        <v>0</v>
      </c>
      <c r="O105" s="36">
        <f ca="1">IF($A105="","",IF(O$1="","",COUNTIFS(tbl_chests[from],$A105,tbl_chests[legalized],O$1,tbl_chests[datetime],"&gt;="&amp;TODAY()-WEEKDAY(TODAY(),2)+1,tbl_chests[datetime],"&lt;"&amp;TODAY()-WEEKDAY(TODAY(),2)+8)))</f>
        <v>0</v>
      </c>
      <c r="P105" s="36">
        <f ca="1">IF($A105="","",IF(P$1="","",COUNTIFS(tbl_chests[from],$A105,tbl_chests[legalized],P$1,tbl_chests[datetime],"&gt;="&amp;TODAY()-WEEKDAY(TODAY(),2)+1,tbl_chests[datetime],"&lt;"&amp;TODAY()-WEEKDAY(TODAY(),2)+8)))</f>
        <v>0</v>
      </c>
      <c r="Q105" s="36">
        <f ca="1">IF($A105="","",IF(Q$1="","",COUNTIFS(tbl_chests[from],$A105,tbl_chests[legalized],Q$1,tbl_chests[datetime],"&gt;="&amp;TODAY()-WEEKDAY(TODAY(),2)+1,tbl_chests[datetime],"&lt;"&amp;TODAY()-WEEKDAY(TODAY(),2)+8)))</f>
        <v>0</v>
      </c>
      <c r="R105" s="36">
        <f ca="1">IF($A105="","",IF(R$1="","",COUNTIFS(tbl_chests[from],$A105,tbl_chests[legalized],R$1,tbl_chests[datetime],"&gt;="&amp;TODAY()-WEEKDAY(TODAY(),2)+1,tbl_chests[datetime],"&lt;"&amp;TODAY()-WEEKDAY(TODAY(),2)+8)))</f>
        <v>0</v>
      </c>
      <c r="S105" s="36">
        <f ca="1">IF($A105="","",IF(S$1="","",COUNTIFS(tbl_chests[from],$A105,tbl_chests[legalized],S$1,tbl_chests[datetime],"&gt;="&amp;TODAY()-WEEKDAY(TODAY(),2)+1,tbl_chests[datetime],"&lt;"&amp;TODAY()-WEEKDAY(TODAY(),2)+8)))</f>
        <v>0</v>
      </c>
      <c r="T105" s="36">
        <f ca="1">IF($A105="","",IF(T$1="","",COUNTIFS(tbl_chests[from],$A105,tbl_chests[legalized],T$1,tbl_chests[datetime],"&gt;="&amp;TODAY()-WEEKDAY(TODAY(),2)+1,tbl_chests[datetime],"&lt;"&amp;TODAY()-WEEKDAY(TODAY(),2)+8)))</f>
        <v>0</v>
      </c>
      <c r="U105" s="36">
        <f ca="1">IF($A105="","",IF(U$1="","",COUNTIFS(tbl_chests[from],$A105,tbl_chests[legalized],U$1,tbl_chests[datetime],"&gt;="&amp;TODAY()-WEEKDAY(TODAY(),2)+1,tbl_chests[datetime],"&lt;"&amp;TODAY()-WEEKDAY(TODAY(),2)+8)))</f>
        <v>0</v>
      </c>
      <c r="V105" s="36">
        <f ca="1">IF($A105="","",IF(V$1="","",COUNTIFS(tbl_chests[from],$A105,tbl_chests[legalized],V$1,tbl_chests[datetime],"&gt;="&amp;TODAY()-WEEKDAY(TODAY(),2)+1,tbl_chests[datetime],"&lt;"&amp;TODAY()-WEEKDAY(TODAY(),2)+8)))</f>
        <v>0</v>
      </c>
      <c r="W105" s="36">
        <f ca="1">IF($A105="","",IF(W$1="","",COUNTIFS(tbl_chests[from],$A105,tbl_chests[legalized],W$1,tbl_chests[datetime],"&gt;="&amp;TODAY()-WEEKDAY(TODAY(),2)+1,tbl_chests[datetime],"&lt;"&amp;TODAY()-WEEKDAY(TODAY(),2)+8)))</f>
        <v>0</v>
      </c>
      <c r="X105" s="36">
        <f ca="1">IF($A105="","",IF(X$1="","",COUNTIFS(tbl_chests[from],$A105,tbl_chests[legalized],X$1,tbl_chests[datetime],"&gt;="&amp;TODAY()-WEEKDAY(TODAY(),2)+1,tbl_chests[datetime],"&lt;"&amp;TODAY()-WEEKDAY(TODAY(),2)+8)))</f>
        <v>0</v>
      </c>
      <c r="Y105" s="36">
        <f ca="1">IF($A105="","",IF(Y$1="","",COUNTIFS(tbl_chests[from],$A105,tbl_chests[legalized],Y$1,tbl_chests[datetime],"&gt;="&amp;TODAY()-WEEKDAY(TODAY(),2)+1,tbl_chests[datetime],"&lt;"&amp;TODAY()-WEEKDAY(TODAY(),2)+8)))</f>
        <v>0</v>
      </c>
      <c r="Z105" s="36">
        <f ca="1">IF($A105="","",IF(Z$1="","",COUNTIFS(tbl_chests[from],$A105,tbl_chests[legalized],Z$1,tbl_chests[datetime],"&gt;="&amp;TODAY()-WEEKDAY(TODAY(),2)+1,tbl_chests[datetime],"&lt;"&amp;TODAY()-WEEKDAY(TODAY(),2)+8)))</f>
        <v>0</v>
      </c>
      <c r="AA105" s="36">
        <f ca="1">IF($A105="","",IF(AA$1="","",COUNTIFS(tbl_chests[from],$A105,tbl_chests[legalized],AA$1,tbl_chests[datetime],"&gt;="&amp;TODAY()-WEEKDAY(TODAY(),2)+1,tbl_chests[datetime],"&lt;"&amp;TODAY()-WEEKDAY(TODAY(),2)+8)))</f>
        <v>0</v>
      </c>
      <c r="AB105" s="36">
        <f ca="1">IF($A105="","",IF(AB$1="","",COUNTIFS(tbl_chests[from],$A105,tbl_chests[legalized],AB$1,tbl_chests[datetime],"&gt;="&amp;TODAY()-WEEKDAY(TODAY(),2)+1,tbl_chests[datetime],"&lt;"&amp;TODAY()-WEEKDAY(TODAY(),2)+8)))</f>
        <v>0</v>
      </c>
      <c r="AC105" s="36">
        <f ca="1">IF($A105="","",IF(AC$1="","",COUNTIFS(tbl_chests[from],$A105,tbl_chests[legalized],AC$1,tbl_chests[datetime],"&gt;="&amp;TODAY()-WEEKDAY(TODAY(),2)+1,tbl_chests[datetime],"&lt;"&amp;TODAY()-WEEKDAY(TODAY(),2)+8)))</f>
        <v>0</v>
      </c>
      <c r="AD105" s="36">
        <f ca="1">IF($A105="","",IF(AD$1="","",COUNTIFS(tbl_chests[from],$A105,tbl_chests[legalized],AD$1,tbl_chests[datetime],"&gt;="&amp;TODAY()-WEEKDAY(TODAY(),2)+1,tbl_chests[datetime],"&lt;"&amp;TODAY()-WEEKDAY(TODAY(),2)+8)))</f>
        <v>0</v>
      </c>
      <c r="AE105" s="36">
        <f ca="1">IF($A105="","",IF(AE$1="","",COUNTIFS(tbl_chests[from],$A105,tbl_chests[legalized],AE$1,tbl_chests[datetime],"&gt;="&amp;TODAY()-WEEKDAY(TODAY(),2)+1,tbl_chests[datetime],"&lt;"&amp;TODAY()-WEEKDAY(TODAY(),2)+8)))</f>
        <v>0</v>
      </c>
      <c r="AF105" s="36">
        <f ca="1">IF($A105="","",IF(AF$1="","",COUNTIFS(tbl_chests[from],$A105,tbl_chests[legalized],AF$1,tbl_chests[datetime],"&gt;="&amp;TODAY()-WEEKDAY(TODAY(),2)+1,tbl_chests[datetime],"&lt;"&amp;TODAY()-WEEKDAY(TODAY(),2)+8)))</f>
        <v>0</v>
      </c>
      <c r="AG105" s="36">
        <f ca="1">IF($A105="","",IF(AG$1="","",COUNTIFS(tbl_chests[from],$A105,tbl_chests[legalized],AG$1,tbl_chests[datetime],"&gt;="&amp;TODAY()-WEEKDAY(TODAY(),2)+1,tbl_chests[datetime],"&lt;"&amp;TODAY()-WEEKDAY(TODAY(),2)+8)))</f>
        <v>0</v>
      </c>
      <c r="AH105" s="36">
        <f ca="1">IF($A105="","",IF(AH$1="","",COUNTIFS(tbl_chests[from],$A105,tbl_chests[legalized],AH$1,tbl_chests[datetime],"&gt;="&amp;TODAY()-WEEKDAY(TODAY(),2)+1,tbl_chests[datetime],"&lt;"&amp;TODAY()-WEEKDAY(TODAY(),2)+8)))</f>
        <v>0</v>
      </c>
      <c r="AI105" s="36">
        <f ca="1">IF($A105="","",IF(AI$1="","",COUNTIFS(tbl_chests[from],$A105,tbl_chests[legalized],AI$1,tbl_chests[datetime],"&gt;="&amp;TODAY()-WEEKDAY(TODAY(),2)+1,tbl_chests[datetime],"&lt;"&amp;TODAY()-WEEKDAY(TODAY(),2)+8)))</f>
        <v>0</v>
      </c>
      <c r="AJ105" s="36">
        <f ca="1">IF($A105="","",IF(AJ$1="","",COUNTIFS(tbl_chests[from],$A105,tbl_chests[legalized],AJ$1,tbl_chests[datetime],"&gt;="&amp;TODAY()-WEEKDAY(TODAY(),2)+1,tbl_chests[datetime],"&lt;"&amp;TODAY()-WEEKDAY(TODAY(),2)+8)))</f>
        <v>0</v>
      </c>
      <c r="AK105" s="36">
        <f ca="1">IF($A105="","",IF(AK$1="","",COUNTIFS(tbl_chests[from],$A105,tbl_chests[legalized],AK$1,tbl_chests[datetime],"&gt;="&amp;TODAY()-WEEKDAY(TODAY(),2)+1,tbl_chests[datetime],"&lt;"&amp;TODAY()-WEEKDAY(TODAY(),2)+8)))</f>
        <v>0</v>
      </c>
      <c r="AL105" s="36">
        <f ca="1">IF($A105="","",IF(AL$1="","",COUNTIFS(tbl_chests[from],$A105,tbl_chests[legalized],AL$1,tbl_chests[datetime],"&gt;="&amp;TODAY()-WEEKDAY(TODAY(),2)+1,tbl_chests[datetime],"&lt;"&amp;TODAY()-WEEKDAY(TODAY(),2)+8)))</f>
        <v>0</v>
      </c>
      <c r="AM105" s="37">
        <f ca="1">IF($A105="","",IF(AM$1="","",COUNTIFS(tbl_chests[from],$A105,tbl_chests[legalized],AM$1,tbl_chests[datetime],"&gt;="&amp;TODAY()-WEEKDAY(TODAY(),2)+1,tbl_chests[datetime],"&lt;"&amp;TODAY()-WEEKDAY(TODAY(),2)+8)))</f>
        <v>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 ht="15.75" customHeight="1" x14ac:dyDescent="0.25">
      <c r="A106" s="34">
        <f>chests_counter!$H103</f>
        <v>0</v>
      </c>
      <c r="B106" s="35" cm="1">
        <f t="array" aca="1" ref="B106" ca="1">IF(A106&lt;&gt;"", SUMPRODUCT(($C$2:$AM$2&lt;&gt;0)*(C106:AM106&lt;&gt;0)*($C$2:$AM$2)*(C106:AM106)), "")</f>
        <v>0</v>
      </c>
      <c r="C106" s="36">
        <f ca="1">IF($A106="","",IF(C$1="","",COUNTIFS(tbl_chests[from],$A106,tbl_chests[legalized],C$1,tbl_chests[datetime],"&gt;="&amp;TODAY()-WEEKDAY(TODAY(),2)+1,tbl_chests[datetime],"&lt;"&amp;TODAY()-WEEKDAY(TODAY(),2)+8)))</f>
        <v>0</v>
      </c>
      <c r="D106" s="36">
        <f ca="1">IF($A106="","",IF(D$1="","",COUNTIFS(tbl_chests[from],$A106,tbl_chests[legalized],D$1,tbl_chests[datetime],"&gt;="&amp;TODAY()-WEEKDAY(TODAY(),2)+1,tbl_chests[datetime],"&lt;"&amp;TODAY()-WEEKDAY(TODAY(),2)+8)))</f>
        <v>0</v>
      </c>
      <c r="E106" s="36">
        <f ca="1">IF($A106="","",IF(E$1="","",COUNTIFS(tbl_chests[from],$A106,tbl_chests[legalized],E$1,tbl_chests[datetime],"&gt;="&amp;TODAY()-WEEKDAY(TODAY(),2)+1,tbl_chests[datetime],"&lt;"&amp;TODAY()-WEEKDAY(TODAY(),2)+8)))</f>
        <v>0</v>
      </c>
      <c r="F106" s="36">
        <f ca="1">IF($A106="","",IF(F$1="","",COUNTIFS(tbl_chests[from],$A106,tbl_chests[legalized],F$1,tbl_chests[datetime],"&gt;="&amp;TODAY()-WEEKDAY(TODAY(),2)+1,tbl_chests[datetime],"&lt;"&amp;TODAY()-WEEKDAY(TODAY(),2)+8)))</f>
        <v>0</v>
      </c>
      <c r="G106" s="36">
        <f ca="1">IF($A106="","",IF(G$1="","",COUNTIFS(tbl_chests[from],$A106,tbl_chests[legalized],G$1,tbl_chests[datetime],"&gt;="&amp;TODAY()-WEEKDAY(TODAY(),2)+1,tbl_chests[datetime],"&lt;"&amp;TODAY()-WEEKDAY(TODAY(),2)+8)))</f>
        <v>0</v>
      </c>
      <c r="H106" s="36">
        <f ca="1">IF($A106="","",IF(H$1="","",COUNTIFS(tbl_chests[from],$A106,tbl_chests[legalized],H$1,tbl_chests[datetime],"&gt;="&amp;TODAY()-WEEKDAY(TODAY(),2)+1,tbl_chests[datetime],"&lt;"&amp;TODAY()-WEEKDAY(TODAY(),2)+8)))</f>
        <v>0</v>
      </c>
      <c r="I106" s="36">
        <f ca="1">IF($A106="","",IF(I$1="","",COUNTIFS(tbl_chests[from],$A106,tbl_chests[legalized],I$1,tbl_chests[datetime],"&gt;="&amp;TODAY()-WEEKDAY(TODAY(),2)+1,tbl_chests[datetime],"&lt;"&amp;TODAY()-WEEKDAY(TODAY(),2)+8)))</f>
        <v>0</v>
      </c>
      <c r="J106" s="36">
        <f ca="1">IF($A106="","",IF(J$1="","",COUNTIFS(tbl_chests[from],$A106,tbl_chests[legalized],J$1,tbl_chests[datetime],"&gt;="&amp;TODAY()-WEEKDAY(TODAY(),2)+1,tbl_chests[datetime],"&lt;"&amp;TODAY()-WEEKDAY(TODAY(),2)+8)))</f>
        <v>0</v>
      </c>
      <c r="K106" s="36">
        <f ca="1">IF($A106="","",IF(K$1="","",COUNTIFS(tbl_chests[from],$A106,tbl_chests[legalized],K$1,tbl_chests[datetime],"&gt;="&amp;TODAY()-WEEKDAY(TODAY(),2)+1,tbl_chests[datetime],"&lt;"&amp;TODAY()-WEEKDAY(TODAY(),2)+8)))</f>
        <v>0</v>
      </c>
      <c r="L106" s="36">
        <f ca="1">IF($A106="","",IF(L$1="","",COUNTIFS(tbl_chests[from],$A106,tbl_chests[legalized],L$1,tbl_chests[datetime],"&gt;="&amp;TODAY()-WEEKDAY(TODAY(),2)+1,tbl_chests[datetime],"&lt;"&amp;TODAY()-WEEKDAY(TODAY(),2)+8)))</f>
        <v>0</v>
      </c>
      <c r="M106" s="36">
        <f ca="1">IF($A106="","",IF(M$1="","",COUNTIFS(tbl_chests[from],$A106,tbl_chests[legalized],M$1,tbl_chests[datetime],"&gt;="&amp;TODAY()-WEEKDAY(TODAY(),2)+1,tbl_chests[datetime],"&lt;"&amp;TODAY()-WEEKDAY(TODAY(),2)+8)))</f>
        <v>0</v>
      </c>
      <c r="N106" s="36">
        <f ca="1">IF($A106="","",IF(N$1="","",COUNTIFS(tbl_chests[from],$A106,tbl_chests[legalized],N$1,tbl_chests[datetime],"&gt;="&amp;TODAY()-WEEKDAY(TODAY(),2)+1,tbl_chests[datetime],"&lt;"&amp;TODAY()-WEEKDAY(TODAY(),2)+8)))</f>
        <v>0</v>
      </c>
      <c r="O106" s="36">
        <f ca="1">IF($A106="","",IF(O$1="","",COUNTIFS(tbl_chests[from],$A106,tbl_chests[legalized],O$1,tbl_chests[datetime],"&gt;="&amp;TODAY()-WEEKDAY(TODAY(),2)+1,tbl_chests[datetime],"&lt;"&amp;TODAY()-WEEKDAY(TODAY(),2)+8)))</f>
        <v>0</v>
      </c>
      <c r="P106" s="36">
        <f ca="1">IF($A106="","",IF(P$1="","",COUNTIFS(tbl_chests[from],$A106,tbl_chests[legalized],P$1,tbl_chests[datetime],"&gt;="&amp;TODAY()-WEEKDAY(TODAY(),2)+1,tbl_chests[datetime],"&lt;"&amp;TODAY()-WEEKDAY(TODAY(),2)+8)))</f>
        <v>0</v>
      </c>
      <c r="Q106" s="36">
        <f ca="1">IF($A106="","",IF(Q$1="","",COUNTIFS(tbl_chests[from],$A106,tbl_chests[legalized],Q$1,tbl_chests[datetime],"&gt;="&amp;TODAY()-WEEKDAY(TODAY(),2)+1,tbl_chests[datetime],"&lt;"&amp;TODAY()-WEEKDAY(TODAY(),2)+8)))</f>
        <v>0</v>
      </c>
      <c r="R106" s="36">
        <f ca="1">IF($A106="","",IF(R$1="","",COUNTIFS(tbl_chests[from],$A106,tbl_chests[legalized],R$1,tbl_chests[datetime],"&gt;="&amp;TODAY()-WEEKDAY(TODAY(),2)+1,tbl_chests[datetime],"&lt;"&amp;TODAY()-WEEKDAY(TODAY(),2)+8)))</f>
        <v>0</v>
      </c>
      <c r="S106" s="36">
        <f ca="1">IF($A106="","",IF(S$1="","",COUNTIFS(tbl_chests[from],$A106,tbl_chests[legalized],S$1,tbl_chests[datetime],"&gt;="&amp;TODAY()-WEEKDAY(TODAY(),2)+1,tbl_chests[datetime],"&lt;"&amp;TODAY()-WEEKDAY(TODAY(),2)+8)))</f>
        <v>0</v>
      </c>
      <c r="T106" s="36">
        <f ca="1">IF($A106="","",IF(T$1="","",COUNTIFS(tbl_chests[from],$A106,tbl_chests[legalized],T$1,tbl_chests[datetime],"&gt;="&amp;TODAY()-WEEKDAY(TODAY(),2)+1,tbl_chests[datetime],"&lt;"&amp;TODAY()-WEEKDAY(TODAY(),2)+8)))</f>
        <v>0</v>
      </c>
      <c r="U106" s="36">
        <f ca="1">IF($A106="","",IF(U$1="","",COUNTIFS(tbl_chests[from],$A106,tbl_chests[legalized],U$1,tbl_chests[datetime],"&gt;="&amp;TODAY()-WEEKDAY(TODAY(),2)+1,tbl_chests[datetime],"&lt;"&amp;TODAY()-WEEKDAY(TODAY(),2)+8)))</f>
        <v>0</v>
      </c>
      <c r="V106" s="36">
        <f ca="1">IF($A106="","",IF(V$1="","",COUNTIFS(tbl_chests[from],$A106,tbl_chests[legalized],V$1,tbl_chests[datetime],"&gt;="&amp;TODAY()-WEEKDAY(TODAY(),2)+1,tbl_chests[datetime],"&lt;"&amp;TODAY()-WEEKDAY(TODAY(),2)+8)))</f>
        <v>0</v>
      </c>
      <c r="W106" s="36">
        <f ca="1">IF($A106="","",IF(W$1="","",COUNTIFS(tbl_chests[from],$A106,tbl_chests[legalized],W$1,tbl_chests[datetime],"&gt;="&amp;TODAY()-WEEKDAY(TODAY(),2)+1,tbl_chests[datetime],"&lt;"&amp;TODAY()-WEEKDAY(TODAY(),2)+8)))</f>
        <v>0</v>
      </c>
      <c r="X106" s="36">
        <f ca="1">IF($A106="","",IF(X$1="","",COUNTIFS(tbl_chests[from],$A106,tbl_chests[legalized],X$1,tbl_chests[datetime],"&gt;="&amp;TODAY()-WEEKDAY(TODAY(),2)+1,tbl_chests[datetime],"&lt;"&amp;TODAY()-WEEKDAY(TODAY(),2)+8)))</f>
        <v>0</v>
      </c>
      <c r="Y106" s="36">
        <f ca="1">IF($A106="","",IF(Y$1="","",COUNTIFS(tbl_chests[from],$A106,tbl_chests[legalized],Y$1,tbl_chests[datetime],"&gt;="&amp;TODAY()-WEEKDAY(TODAY(),2)+1,tbl_chests[datetime],"&lt;"&amp;TODAY()-WEEKDAY(TODAY(),2)+8)))</f>
        <v>0</v>
      </c>
      <c r="Z106" s="36">
        <f ca="1">IF($A106="","",IF(Z$1="","",COUNTIFS(tbl_chests[from],$A106,tbl_chests[legalized],Z$1,tbl_chests[datetime],"&gt;="&amp;TODAY()-WEEKDAY(TODAY(),2)+1,tbl_chests[datetime],"&lt;"&amp;TODAY()-WEEKDAY(TODAY(),2)+8)))</f>
        <v>0</v>
      </c>
      <c r="AA106" s="36">
        <f ca="1">IF($A106="","",IF(AA$1="","",COUNTIFS(tbl_chests[from],$A106,tbl_chests[legalized],AA$1,tbl_chests[datetime],"&gt;="&amp;TODAY()-WEEKDAY(TODAY(),2)+1,tbl_chests[datetime],"&lt;"&amp;TODAY()-WEEKDAY(TODAY(),2)+8)))</f>
        <v>0</v>
      </c>
      <c r="AB106" s="36">
        <f ca="1">IF($A106="","",IF(AB$1="","",COUNTIFS(tbl_chests[from],$A106,tbl_chests[legalized],AB$1,tbl_chests[datetime],"&gt;="&amp;TODAY()-WEEKDAY(TODAY(),2)+1,tbl_chests[datetime],"&lt;"&amp;TODAY()-WEEKDAY(TODAY(),2)+8)))</f>
        <v>0</v>
      </c>
      <c r="AC106" s="36">
        <f ca="1">IF($A106="","",IF(AC$1="","",COUNTIFS(tbl_chests[from],$A106,tbl_chests[legalized],AC$1,tbl_chests[datetime],"&gt;="&amp;TODAY()-WEEKDAY(TODAY(),2)+1,tbl_chests[datetime],"&lt;"&amp;TODAY()-WEEKDAY(TODAY(),2)+8)))</f>
        <v>0</v>
      </c>
      <c r="AD106" s="36">
        <f ca="1">IF($A106="","",IF(AD$1="","",COUNTIFS(tbl_chests[from],$A106,tbl_chests[legalized],AD$1,tbl_chests[datetime],"&gt;="&amp;TODAY()-WEEKDAY(TODAY(),2)+1,tbl_chests[datetime],"&lt;"&amp;TODAY()-WEEKDAY(TODAY(),2)+8)))</f>
        <v>0</v>
      </c>
      <c r="AE106" s="36">
        <f ca="1">IF($A106="","",IF(AE$1="","",COUNTIFS(tbl_chests[from],$A106,tbl_chests[legalized],AE$1,tbl_chests[datetime],"&gt;="&amp;TODAY()-WEEKDAY(TODAY(),2)+1,tbl_chests[datetime],"&lt;"&amp;TODAY()-WEEKDAY(TODAY(),2)+8)))</f>
        <v>0</v>
      </c>
      <c r="AF106" s="36">
        <f ca="1">IF($A106="","",IF(AF$1="","",COUNTIFS(tbl_chests[from],$A106,tbl_chests[legalized],AF$1,tbl_chests[datetime],"&gt;="&amp;TODAY()-WEEKDAY(TODAY(),2)+1,tbl_chests[datetime],"&lt;"&amp;TODAY()-WEEKDAY(TODAY(),2)+8)))</f>
        <v>0</v>
      </c>
      <c r="AG106" s="36">
        <f ca="1">IF($A106="","",IF(AG$1="","",COUNTIFS(tbl_chests[from],$A106,tbl_chests[legalized],AG$1,tbl_chests[datetime],"&gt;="&amp;TODAY()-WEEKDAY(TODAY(),2)+1,tbl_chests[datetime],"&lt;"&amp;TODAY()-WEEKDAY(TODAY(),2)+8)))</f>
        <v>0</v>
      </c>
      <c r="AH106" s="36">
        <f ca="1">IF($A106="","",IF(AH$1="","",COUNTIFS(tbl_chests[from],$A106,tbl_chests[legalized],AH$1,tbl_chests[datetime],"&gt;="&amp;TODAY()-WEEKDAY(TODAY(),2)+1,tbl_chests[datetime],"&lt;"&amp;TODAY()-WEEKDAY(TODAY(),2)+8)))</f>
        <v>0</v>
      </c>
      <c r="AI106" s="36">
        <f ca="1">IF($A106="","",IF(AI$1="","",COUNTIFS(tbl_chests[from],$A106,tbl_chests[legalized],AI$1,tbl_chests[datetime],"&gt;="&amp;TODAY()-WEEKDAY(TODAY(),2)+1,tbl_chests[datetime],"&lt;"&amp;TODAY()-WEEKDAY(TODAY(),2)+8)))</f>
        <v>0</v>
      </c>
      <c r="AJ106" s="36">
        <f ca="1">IF($A106="","",IF(AJ$1="","",COUNTIFS(tbl_chests[from],$A106,tbl_chests[legalized],AJ$1,tbl_chests[datetime],"&gt;="&amp;TODAY()-WEEKDAY(TODAY(),2)+1,tbl_chests[datetime],"&lt;"&amp;TODAY()-WEEKDAY(TODAY(),2)+8)))</f>
        <v>0</v>
      </c>
      <c r="AK106" s="36">
        <f ca="1">IF($A106="","",IF(AK$1="","",COUNTIFS(tbl_chests[from],$A106,tbl_chests[legalized],AK$1,tbl_chests[datetime],"&gt;="&amp;TODAY()-WEEKDAY(TODAY(),2)+1,tbl_chests[datetime],"&lt;"&amp;TODAY()-WEEKDAY(TODAY(),2)+8)))</f>
        <v>0</v>
      </c>
      <c r="AL106" s="36">
        <f ca="1">IF($A106="","",IF(AL$1="","",COUNTIFS(tbl_chests[from],$A106,tbl_chests[legalized],AL$1,tbl_chests[datetime],"&gt;="&amp;TODAY()-WEEKDAY(TODAY(),2)+1,tbl_chests[datetime],"&lt;"&amp;TODAY()-WEEKDAY(TODAY(),2)+8)))</f>
        <v>0</v>
      </c>
      <c r="AM106" s="37">
        <f ca="1">IF($A106="","",IF(AM$1="","",COUNTIFS(tbl_chests[from],$A106,tbl_chests[legalized],AM$1,tbl_chests[datetime],"&gt;="&amp;TODAY()-WEEKDAY(TODAY(),2)+1,tbl_chests[datetime],"&lt;"&amp;TODAY()-WEEKDAY(TODAY(),2)+8)))</f>
        <v>0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 ht="15.75" customHeight="1" x14ac:dyDescent="0.25">
      <c r="A107" s="34">
        <f>chests_counter!$H104</f>
        <v>0</v>
      </c>
      <c r="B107" s="35" cm="1">
        <f t="array" aca="1" ref="B107" ca="1">IF(A107&lt;&gt;"", SUMPRODUCT(($C$2:$AM$2&lt;&gt;0)*(C107:AM107&lt;&gt;0)*($C$2:$AM$2)*(C107:AM107)), "")</f>
        <v>0</v>
      </c>
      <c r="C107" s="36">
        <f ca="1">IF($A107="","",IF(C$1="","",COUNTIFS(tbl_chests[from],$A107,tbl_chests[legalized],C$1,tbl_chests[datetime],"&gt;="&amp;TODAY()-WEEKDAY(TODAY(),2)+1,tbl_chests[datetime],"&lt;"&amp;TODAY()-WEEKDAY(TODAY(),2)+8)))</f>
        <v>0</v>
      </c>
      <c r="D107" s="36">
        <f ca="1">IF($A107="","",IF(D$1="","",COUNTIFS(tbl_chests[from],$A107,tbl_chests[legalized],D$1,tbl_chests[datetime],"&gt;="&amp;TODAY()-WEEKDAY(TODAY(),2)+1,tbl_chests[datetime],"&lt;"&amp;TODAY()-WEEKDAY(TODAY(),2)+8)))</f>
        <v>0</v>
      </c>
      <c r="E107" s="36">
        <f ca="1">IF($A107="","",IF(E$1="","",COUNTIFS(tbl_chests[from],$A107,tbl_chests[legalized],E$1,tbl_chests[datetime],"&gt;="&amp;TODAY()-WEEKDAY(TODAY(),2)+1,tbl_chests[datetime],"&lt;"&amp;TODAY()-WEEKDAY(TODAY(),2)+8)))</f>
        <v>0</v>
      </c>
      <c r="F107" s="36">
        <f ca="1">IF($A107="","",IF(F$1="","",COUNTIFS(tbl_chests[from],$A107,tbl_chests[legalized],F$1,tbl_chests[datetime],"&gt;="&amp;TODAY()-WEEKDAY(TODAY(),2)+1,tbl_chests[datetime],"&lt;"&amp;TODAY()-WEEKDAY(TODAY(),2)+8)))</f>
        <v>0</v>
      </c>
      <c r="G107" s="36">
        <f ca="1">IF($A107="","",IF(G$1="","",COUNTIFS(tbl_chests[from],$A107,tbl_chests[legalized],G$1,tbl_chests[datetime],"&gt;="&amp;TODAY()-WEEKDAY(TODAY(),2)+1,tbl_chests[datetime],"&lt;"&amp;TODAY()-WEEKDAY(TODAY(),2)+8)))</f>
        <v>0</v>
      </c>
      <c r="H107" s="36">
        <f ca="1">IF($A107="","",IF(H$1="","",COUNTIFS(tbl_chests[from],$A107,tbl_chests[legalized],H$1,tbl_chests[datetime],"&gt;="&amp;TODAY()-WEEKDAY(TODAY(),2)+1,tbl_chests[datetime],"&lt;"&amp;TODAY()-WEEKDAY(TODAY(),2)+8)))</f>
        <v>0</v>
      </c>
      <c r="I107" s="36">
        <f ca="1">IF($A107="","",IF(I$1="","",COUNTIFS(tbl_chests[from],$A107,tbl_chests[legalized],I$1,tbl_chests[datetime],"&gt;="&amp;TODAY()-WEEKDAY(TODAY(),2)+1,tbl_chests[datetime],"&lt;"&amp;TODAY()-WEEKDAY(TODAY(),2)+8)))</f>
        <v>0</v>
      </c>
      <c r="J107" s="36">
        <f ca="1">IF($A107="","",IF(J$1="","",COUNTIFS(tbl_chests[from],$A107,tbl_chests[legalized],J$1,tbl_chests[datetime],"&gt;="&amp;TODAY()-WEEKDAY(TODAY(),2)+1,tbl_chests[datetime],"&lt;"&amp;TODAY()-WEEKDAY(TODAY(),2)+8)))</f>
        <v>0</v>
      </c>
      <c r="K107" s="36">
        <f ca="1">IF($A107="","",IF(K$1="","",COUNTIFS(tbl_chests[from],$A107,tbl_chests[legalized],K$1,tbl_chests[datetime],"&gt;="&amp;TODAY()-WEEKDAY(TODAY(),2)+1,tbl_chests[datetime],"&lt;"&amp;TODAY()-WEEKDAY(TODAY(),2)+8)))</f>
        <v>0</v>
      </c>
      <c r="L107" s="36">
        <f ca="1">IF($A107="","",IF(L$1="","",COUNTIFS(tbl_chests[from],$A107,tbl_chests[legalized],L$1,tbl_chests[datetime],"&gt;="&amp;TODAY()-WEEKDAY(TODAY(),2)+1,tbl_chests[datetime],"&lt;"&amp;TODAY()-WEEKDAY(TODAY(),2)+8)))</f>
        <v>0</v>
      </c>
      <c r="M107" s="36">
        <f ca="1">IF($A107="","",IF(M$1="","",COUNTIFS(tbl_chests[from],$A107,tbl_chests[legalized],M$1,tbl_chests[datetime],"&gt;="&amp;TODAY()-WEEKDAY(TODAY(),2)+1,tbl_chests[datetime],"&lt;"&amp;TODAY()-WEEKDAY(TODAY(),2)+8)))</f>
        <v>0</v>
      </c>
      <c r="N107" s="36">
        <f ca="1">IF($A107="","",IF(N$1="","",COUNTIFS(tbl_chests[from],$A107,tbl_chests[legalized],N$1,tbl_chests[datetime],"&gt;="&amp;TODAY()-WEEKDAY(TODAY(),2)+1,tbl_chests[datetime],"&lt;"&amp;TODAY()-WEEKDAY(TODAY(),2)+8)))</f>
        <v>0</v>
      </c>
      <c r="O107" s="36">
        <f ca="1">IF($A107="","",IF(O$1="","",COUNTIFS(tbl_chests[from],$A107,tbl_chests[legalized],O$1,tbl_chests[datetime],"&gt;="&amp;TODAY()-WEEKDAY(TODAY(),2)+1,tbl_chests[datetime],"&lt;"&amp;TODAY()-WEEKDAY(TODAY(),2)+8)))</f>
        <v>0</v>
      </c>
      <c r="P107" s="36">
        <f ca="1">IF($A107="","",IF(P$1="","",COUNTIFS(tbl_chests[from],$A107,tbl_chests[legalized],P$1,tbl_chests[datetime],"&gt;="&amp;TODAY()-WEEKDAY(TODAY(),2)+1,tbl_chests[datetime],"&lt;"&amp;TODAY()-WEEKDAY(TODAY(),2)+8)))</f>
        <v>0</v>
      </c>
      <c r="Q107" s="36">
        <f ca="1">IF($A107="","",IF(Q$1="","",COUNTIFS(tbl_chests[from],$A107,tbl_chests[legalized],Q$1,tbl_chests[datetime],"&gt;="&amp;TODAY()-WEEKDAY(TODAY(),2)+1,tbl_chests[datetime],"&lt;"&amp;TODAY()-WEEKDAY(TODAY(),2)+8)))</f>
        <v>0</v>
      </c>
      <c r="R107" s="36">
        <f ca="1">IF($A107="","",IF(R$1="","",COUNTIFS(tbl_chests[from],$A107,tbl_chests[legalized],R$1,tbl_chests[datetime],"&gt;="&amp;TODAY()-WEEKDAY(TODAY(),2)+1,tbl_chests[datetime],"&lt;"&amp;TODAY()-WEEKDAY(TODAY(),2)+8)))</f>
        <v>0</v>
      </c>
      <c r="S107" s="36">
        <f ca="1">IF($A107="","",IF(S$1="","",COUNTIFS(tbl_chests[from],$A107,tbl_chests[legalized],S$1,tbl_chests[datetime],"&gt;="&amp;TODAY()-WEEKDAY(TODAY(),2)+1,tbl_chests[datetime],"&lt;"&amp;TODAY()-WEEKDAY(TODAY(),2)+8)))</f>
        <v>0</v>
      </c>
      <c r="T107" s="36">
        <f ca="1">IF($A107="","",IF(T$1="","",COUNTIFS(tbl_chests[from],$A107,tbl_chests[legalized],T$1,tbl_chests[datetime],"&gt;="&amp;TODAY()-WEEKDAY(TODAY(),2)+1,tbl_chests[datetime],"&lt;"&amp;TODAY()-WEEKDAY(TODAY(),2)+8)))</f>
        <v>0</v>
      </c>
      <c r="U107" s="36">
        <f ca="1">IF($A107="","",IF(U$1="","",COUNTIFS(tbl_chests[from],$A107,tbl_chests[legalized],U$1,tbl_chests[datetime],"&gt;="&amp;TODAY()-WEEKDAY(TODAY(),2)+1,tbl_chests[datetime],"&lt;"&amp;TODAY()-WEEKDAY(TODAY(),2)+8)))</f>
        <v>0</v>
      </c>
      <c r="V107" s="36">
        <f ca="1">IF($A107="","",IF(V$1="","",COUNTIFS(tbl_chests[from],$A107,tbl_chests[legalized],V$1,tbl_chests[datetime],"&gt;="&amp;TODAY()-WEEKDAY(TODAY(),2)+1,tbl_chests[datetime],"&lt;"&amp;TODAY()-WEEKDAY(TODAY(),2)+8)))</f>
        <v>0</v>
      </c>
      <c r="W107" s="36">
        <f ca="1">IF($A107="","",IF(W$1="","",COUNTIFS(tbl_chests[from],$A107,tbl_chests[legalized],W$1,tbl_chests[datetime],"&gt;="&amp;TODAY()-WEEKDAY(TODAY(),2)+1,tbl_chests[datetime],"&lt;"&amp;TODAY()-WEEKDAY(TODAY(),2)+8)))</f>
        <v>0</v>
      </c>
      <c r="X107" s="36">
        <f ca="1">IF($A107="","",IF(X$1="","",COUNTIFS(tbl_chests[from],$A107,tbl_chests[legalized],X$1,tbl_chests[datetime],"&gt;="&amp;TODAY()-WEEKDAY(TODAY(),2)+1,tbl_chests[datetime],"&lt;"&amp;TODAY()-WEEKDAY(TODAY(),2)+8)))</f>
        <v>0</v>
      </c>
      <c r="Y107" s="36">
        <f ca="1">IF($A107="","",IF(Y$1="","",COUNTIFS(tbl_chests[from],$A107,tbl_chests[legalized],Y$1,tbl_chests[datetime],"&gt;="&amp;TODAY()-WEEKDAY(TODAY(),2)+1,tbl_chests[datetime],"&lt;"&amp;TODAY()-WEEKDAY(TODAY(),2)+8)))</f>
        <v>0</v>
      </c>
      <c r="Z107" s="36">
        <f ca="1">IF($A107="","",IF(Z$1="","",COUNTIFS(tbl_chests[from],$A107,tbl_chests[legalized],Z$1,tbl_chests[datetime],"&gt;="&amp;TODAY()-WEEKDAY(TODAY(),2)+1,tbl_chests[datetime],"&lt;"&amp;TODAY()-WEEKDAY(TODAY(),2)+8)))</f>
        <v>0</v>
      </c>
      <c r="AA107" s="36">
        <f ca="1">IF($A107="","",IF(AA$1="","",COUNTIFS(tbl_chests[from],$A107,tbl_chests[legalized],AA$1,tbl_chests[datetime],"&gt;="&amp;TODAY()-WEEKDAY(TODAY(),2)+1,tbl_chests[datetime],"&lt;"&amp;TODAY()-WEEKDAY(TODAY(),2)+8)))</f>
        <v>0</v>
      </c>
      <c r="AB107" s="36">
        <f ca="1">IF($A107="","",IF(AB$1="","",COUNTIFS(tbl_chests[from],$A107,tbl_chests[legalized],AB$1,tbl_chests[datetime],"&gt;="&amp;TODAY()-WEEKDAY(TODAY(),2)+1,tbl_chests[datetime],"&lt;"&amp;TODAY()-WEEKDAY(TODAY(),2)+8)))</f>
        <v>0</v>
      </c>
      <c r="AC107" s="36">
        <f ca="1">IF($A107="","",IF(AC$1="","",COUNTIFS(tbl_chests[from],$A107,tbl_chests[legalized],AC$1,tbl_chests[datetime],"&gt;="&amp;TODAY()-WEEKDAY(TODAY(),2)+1,tbl_chests[datetime],"&lt;"&amp;TODAY()-WEEKDAY(TODAY(),2)+8)))</f>
        <v>0</v>
      </c>
      <c r="AD107" s="36">
        <f ca="1">IF($A107="","",IF(AD$1="","",COUNTIFS(tbl_chests[from],$A107,tbl_chests[legalized],AD$1,tbl_chests[datetime],"&gt;="&amp;TODAY()-WEEKDAY(TODAY(),2)+1,tbl_chests[datetime],"&lt;"&amp;TODAY()-WEEKDAY(TODAY(),2)+8)))</f>
        <v>0</v>
      </c>
      <c r="AE107" s="36">
        <f ca="1">IF($A107="","",IF(AE$1="","",COUNTIFS(tbl_chests[from],$A107,tbl_chests[legalized],AE$1,tbl_chests[datetime],"&gt;="&amp;TODAY()-WEEKDAY(TODAY(),2)+1,tbl_chests[datetime],"&lt;"&amp;TODAY()-WEEKDAY(TODAY(),2)+8)))</f>
        <v>0</v>
      </c>
      <c r="AF107" s="36">
        <f ca="1">IF($A107="","",IF(AF$1="","",COUNTIFS(tbl_chests[from],$A107,tbl_chests[legalized],AF$1,tbl_chests[datetime],"&gt;="&amp;TODAY()-WEEKDAY(TODAY(),2)+1,tbl_chests[datetime],"&lt;"&amp;TODAY()-WEEKDAY(TODAY(),2)+8)))</f>
        <v>0</v>
      </c>
      <c r="AG107" s="36">
        <f ca="1">IF($A107="","",IF(AG$1="","",COUNTIFS(tbl_chests[from],$A107,tbl_chests[legalized],AG$1,tbl_chests[datetime],"&gt;="&amp;TODAY()-WEEKDAY(TODAY(),2)+1,tbl_chests[datetime],"&lt;"&amp;TODAY()-WEEKDAY(TODAY(),2)+8)))</f>
        <v>0</v>
      </c>
      <c r="AH107" s="36">
        <f ca="1">IF($A107="","",IF(AH$1="","",COUNTIFS(tbl_chests[from],$A107,tbl_chests[legalized],AH$1,tbl_chests[datetime],"&gt;="&amp;TODAY()-WEEKDAY(TODAY(),2)+1,tbl_chests[datetime],"&lt;"&amp;TODAY()-WEEKDAY(TODAY(),2)+8)))</f>
        <v>0</v>
      </c>
      <c r="AI107" s="36">
        <f ca="1">IF($A107="","",IF(AI$1="","",COUNTIFS(tbl_chests[from],$A107,tbl_chests[legalized],AI$1,tbl_chests[datetime],"&gt;="&amp;TODAY()-WEEKDAY(TODAY(),2)+1,tbl_chests[datetime],"&lt;"&amp;TODAY()-WEEKDAY(TODAY(),2)+8)))</f>
        <v>0</v>
      </c>
      <c r="AJ107" s="36">
        <f ca="1">IF($A107="","",IF(AJ$1="","",COUNTIFS(tbl_chests[from],$A107,tbl_chests[legalized],AJ$1,tbl_chests[datetime],"&gt;="&amp;TODAY()-WEEKDAY(TODAY(),2)+1,tbl_chests[datetime],"&lt;"&amp;TODAY()-WEEKDAY(TODAY(),2)+8)))</f>
        <v>0</v>
      </c>
      <c r="AK107" s="36">
        <f ca="1">IF($A107="","",IF(AK$1="","",COUNTIFS(tbl_chests[from],$A107,tbl_chests[legalized],AK$1,tbl_chests[datetime],"&gt;="&amp;TODAY()-WEEKDAY(TODAY(),2)+1,tbl_chests[datetime],"&lt;"&amp;TODAY()-WEEKDAY(TODAY(),2)+8)))</f>
        <v>0</v>
      </c>
      <c r="AL107" s="36">
        <f ca="1">IF($A107="","",IF(AL$1="","",COUNTIFS(tbl_chests[from],$A107,tbl_chests[legalized],AL$1,tbl_chests[datetime],"&gt;="&amp;TODAY()-WEEKDAY(TODAY(),2)+1,tbl_chests[datetime],"&lt;"&amp;TODAY()-WEEKDAY(TODAY(),2)+8)))</f>
        <v>0</v>
      </c>
      <c r="AM107" s="37">
        <f ca="1">IF($A107="","",IF(AM$1="","",COUNTIFS(tbl_chests[from],$A107,tbl_chests[legalized],AM$1,tbl_chests[datetime],"&gt;="&amp;TODAY()-WEEKDAY(TODAY(),2)+1,tbl_chests[datetime],"&lt;"&amp;TODAY()-WEEKDAY(TODAY(),2)+8)))</f>
        <v>0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 ht="15.75" customHeight="1" x14ac:dyDescent="0.25">
      <c r="A108" s="34">
        <f>chests_counter!$H105</f>
        <v>0</v>
      </c>
      <c r="B108" s="35" cm="1">
        <f t="array" aca="1" ref="B108" ca="1">IF(A108&lt;&gt;"", SUMPRODUCT(($C$2:$AM$2&lt;&gt;0)*(C108:AM108&lt;&gt;0)*($C$2:$AM$2)*(C108:AM108)), "")</f>
        <v>0</v>
      </c>
      <c r="C108" s="36">
        <f ca="1">IF($A108="","",IF(C$1="","",COUNTIFS(tbl_chests[from],$A108,tbl_chests[legalized],C$1,tbl_chests[datetime],"&gt;="&amp;TODAY()-WEEKDAY(TODAY(),2)+1,tbl_chests[datetime],"&lt;"&amp;TODAY()-WEEKDAY(TODAY(),2)+8)))</f>
        <v>0</v>
      </c>
      <c r="D108" s="36">
        <f ca="1">IF($A108="","",IF(D$1="","",COUNTIFS(tbl_chests[from],$A108,tbl_chests[legalized],D$1,tbl_chests[datetime],"&gt;="&amp;TODAY()-WEEKDAY(TODAY(),2)+1,tbl_chests[datetime],"&lt;"&amp;TODAY()-WEEKDAY(TODAY(),2)+8)))</f>
        <v>0</v>
      </c>
      <c r="E108" s="36">
        <f ca="1">IF($A108="","",IF(E$1="","",COUNTIFS(tbl_chests[from],$A108,tbl_chests[legalized],E$1,tbl_chests[datetime],"&gt;="&amp;TODAY()-WEEKDAY(TODAY(),2)+1,tbl_chests[datetime],"&lt;"&amp;TODAY()-WEEKDAY(TODAY(),2)+8)))</f>
        <v>0</v>
      </c>
      <c r="F108" s="36">
        <f ca="1">IF($A108="","",IF(F$1="","",COUNTIFS(tbl_chests[from],$A108,tbl_chests[legalized],F$1,tbl_chests[datetime],"&gt;="&amp;TODAY()-WEEKDAY(TODAY(),2)+1,tbl_chests[datetime],"&lt;"&amp;TODAY()-WEEKDAY(TODAY(),2)+8)))</f>
        <v>0</v>
      </c>
      <c r="G108" s="36">
        <f ca="1">IF($A108="","",IF(G$1="","",COUNTIFS(tbl_chests[from],$A108,tbl_chests[legalized],G$1,tbl_chests[datetime],"&gt;="&amp;TODAY()-WEEKDAY(TODAY(),2)+1,tbl_chests[datetime],"&lt;"&amp;TODAY()-WEEKDAY(TODAY(),2)+8)))</f>
        <v>0</v>
      </c>
      <c r="H108" s="36">
        <f ca="1">IF($A108="","",IF(H$1="","",COUNTIFS(tbl_chests[from],$A108,tbl_chests[legalized],H$1,tbl_chests[datetime],"&gt;="&amp;TODAY()-WEEKDAY(TODAY(),2)+1,tbl_chests[datetime],"&lt;"&amp;TODAY()-WEEKDAY(TODAY(),2)+8)))</f>
        <v>0</v>
      </c>
      <c r="I108" s="36">
        <f ca="1">IF($A108="","",IF(I$1="","",COUNTIFS(tbl_chests[from],$A108,tbl_chests[legalized],I$1,tbl_chests[datetime],"&gt;="&amp;TODAY()-WEEKDAY(TODAY(),2)+1,tbl_chests[datetime],"&lt;"&amp;TODAY()-WEEKDAY(TODAY(),2)+8)))</f>
        <v>0</v>
      </c>
      <c r="J108" s="36">
        <f ca="1">IF($A108="","",IF(J$1="","",COUNTIFS(tbl_chests[from],$A108,tbl_chests[legalized],J$1,tbl_chests[datetime],"&gt;="&amp;TODAY()-WEEKDAY(TODAY(),2)+1,tbl_chests[datetime],"&lt;"&amp;TODAY()-WEEKDAY(TODAY(),2)+8)))</f>
        <v>0</v>
      </c>
      <c r="K108" s="36">
        <f ca="1">IF($A108="","",IF(K$1="","",COUNTIFS(tbl_chests[from],$A108,tbl_chests[legalized],K$1,tbl_chests[datetime],"&gt;="&amp;TODAY()-WEEKDAY(TODAY(),2)+1,tbl_chests[datetime],"&lt;"&amp;TODAY()-WEEKDAY(TODAY(),2)+8)))</f>
        <v>0</v>
      </c>
      <c r="L108" s="36">
        <f ca="1">IF($A108="","",IF(L$1="","",COUNTIFS(tbl_chests[from],$A108,tbl_chests[legalized],L$1,tbl_chests[datetime],"&gt;="&amp;TODAY()-WEEKDAY(TODAY(),2)+1,tbl_chests[datetime],"&lt;"&amp;TODAY()-WEEKDAY(TODAY(),2)+8)))</f>
        <v>0</v>
      </c>
      <c r="M108" s="36">
        <f ca="1">IF($A108="","",IF(M$1="","",COUNTIFS(tbl_chests[from],$A108,tbl_chests[legalized],M$1,tbl_chests[datetime],"&gt;="&amp;TODAY()-WEEKDAY(TODAY(),2)+1,tbl_chests[datetime],"&lt;"&amp;TODAY()-WEEKDAY(TODAY(),2)+8)))</f>
        <v>0</v>
      </c>
      <c r="N108" s="36">
        <f ca="1">IF($A108="","",IF(N$1="","",COUNTIFS(tbl_chests[from],$A108,tbl_chests[legalized],N$1,tbl_chests[datetime],"&gt;="&amp;TODAY()-WEEKDAY(TODAY(),2)+1,tbl_chests[datetime],"&lt;"&amp;TODAY()-WEEKDAY(TODAY(),2)+8)))</f>
        <v>0</v>
      </c>
      <c r="O108" s="36">
        <f ca="1">IF($A108="","",IF(O$1="","",COUNTIFS(tbl_chests[from],$A108,tbl_chests[legalized],O$1,tbl_chests[datetime],"&gt;="&amp;TODAY()-WEEKDAY(TODAY(),2)+1,tbl_chests[datetime],"&lt;"&amp;TODAY()-WEEKDAY(TODAY(),2)+8)))</f>
        <v>0</v>
      </c>
      <c r="P108" s="36">
        <f ca="1">IF($A108="","",IF(P$1="","",COUNTIFS(tbl_chests[from],$A108,tbl_chests[legalized],P$1,tbl_chests[datetime],"&gt;="&amp;TODAY()-WEEKDAY(TODAY(),2)+1,tbl_chests[datetime],"&lt;"&amp;TODAY()-WEEKDAY(TODAY(),2)+8)))</f>
        <v>0</v>
      </c>
      <c r="Q108" s="36">
        <f ca="1">IF($A108="","",IF(Q$1="","",COUNTIFS(tbl_chests[from],$A108,tbl_chests[legalized],Q$1,tbl_chests[datetime],"&gt;="&amp;TODAY()-WEEKDAY(TODAY(),2)+1,tbl_chests[datetime],"&lt;"&amp;TODAY()-WEEKDAY(TODAY(),2)+8)))</f>
        <v>0</v>
      </c>
      <c r="R108" s="36">
        <f ca="1">IF($A108="","",IF(R$1="","",COUNTIFS(tbl_chests[from],$A108,tbl_chests[legalized],R$1,tbl_chests[datetime],"&gt;="&amp;TODAY()-WEEKDAY(TODAY(),2)+1,tbl_chests[datetime],"&lt;"&amp;TODAY()-WEEKDAY(TODAY(),2)+8)))</f>
        <v>0</v>
      </c>
      <c r="S108" s="36">
        <f ca="1">IF($A108="","",IF(S$1="","",COUNTIFS(tbl_chests[from],$A108,tbl_chests[legalized],S$1,tbl_chests[datetime],"&gt;="&amp;TODAY()-WEEKDAY(TODAY(),2)+1,tbl_chests[datetime],"&lt;"&amp;TODAY()-WEEKDAY(TODAY(),2)+8)))</f>
        <v>0</v>
      </c>
      <c r="T108" s="36">
        <f ca="1">IF($A108="","",IF(T$1="","",COUNTIFS(tbl_chests[from],$A108,tbl_chests[legalized],T$1,tbl_chests[datetime],"&gt;="&amp;TODAY()-WEEKDAY(TODAY(),2)+1,tbl_chests[datetime],"&lt;"&amp;TODAY()-WEEKDAY(TODAY(),2)+8)))</f>
        <v>0</v>
      </c>
      <c r="U108" s="36">
        <f ca="1">IF($A108="","",IF(U$1="","",COUNTIFS(tbl_chests[from],$A108,tbl_chests[legalized],U$1,tbl_chests[datetime],"&gt;="&amp;TODAY()-WEEKDAY(TODAY(),2)+1,tbl_chests[datetime],"&lt;"&amp;TODAY()-WEEKDAY(TODAY(),2)+8)))</f>
        <v>0</v>
      </c>
      <c r="V108" s="36">
        <f ca="1">IF($A108="","",IF(V$1="","",COUNTIFS(tbl_chests[from],$A108,tbl_chests[legalized],V$1,tbl_chests[datetime],"&gt;="&amp;TODAY()-WEEKDAY(TODAY(),2)+1,tbl_chests[datetime],"&lt;"&amp;TODAY()-WEEKDAY(TODAY(),2)+8)))</f>
        <v>0</v>
      </c>
      <c r="W108" s="36">
        <f ca="1">IF($A108="","",IF(W$1="","",COUNTIFS(tbl_chests[from],$A108,tbl_chests[legalized],W$1,tbl_chests[datetime],"&gt;="&amp;TODAY()-WEEKDAY(TODAY(),2)+1,tbl_chests[datetime],"&lt;"&amp;TODAY()-WEEKDAY(TODAY(),2)+8)))</f>
        <v>0</v>
      </c>
      <c r="X108" s="36">
        <f ca="1">IF($A108="","",IF(X$1="","",COUNTIFS(tbl_chests[from],$A108,tbl_chests[legalized],X$1,tbl_chests[datetime],"&gt;="&amp;TODAY()-WEEKDAY(TODAY(),2)+1,tbl_chests[datetime],"&lt;"&amp;TODAY()-WEEKDAY(TODAY(),2)+8)))</f>
        <v>0</v>
      </c>
      <c r="Y108" s="36">
        <f ca="1">IF($A108="","",IF(Y$1="","",COUNTIFS(tbl_chests[from],$A108,tbl_chests[legalized],Y$1,tbl_chests[datetime],"&gt;="&amp;TODAY()-WEEKDAY(TODAY(),2)+1,tbl_chests[datetime],"&lt;"&amp;TODAY()-WEEKDAY(TODAY(),2)+8)))</f>
        <v>0</v>
      </c>
      <c r="Z108" s="36">
        <f ca="1">IF($A108="","",IF(Z$1="","",COUNTIFS(tbl_chests[from],$A108,tbl_chests[legalized],Z$1,tbl_chests[datetime],"&gt;="&amp;TODAY()-WEEKDAY(TODAY(),2)+1,tbl_chests[datetime],"&lt;"&amp;TODAY()-WEEKDAY(TODAY(),2)+8)))</f>
        <v>0</v>
      </c>
      <c r="AA108" s="36">
        <f ca="1">IF($A108="","",IF(AA$1="","",COUNTIFS(tbl_chests[from],$A108,tbl_chests[legalized],AA$1,tbl_chests[datetime],"&gt;="&amp;TODAY()-WEEKDAY(TODAY(),2)+1,tbl_chests[datetime],"&lt;"&amp;TODAY()-WEEKDAY(TODAY(),2)+8)))</f>
        <v>0</v>
      </c>
      <c r="AB108" s="36">
        <f ca="1">IF($A108="","",IF(AB$1="","",COUNTIFS(tbl_chests[from],$A108,tbl_chests[legalized],AB$1,tbl_chests[datetime],"&gt;="&amp;TODAY()-WEEKDAY(TODAY(),2)+1,tbl_chests[datetime],"&lt;"&amp;TODAY()-WEEKDAY(TODAY(),2)+8)))</f>
        <v>0</v>
      </c>
      <c r="AC108" s="36">
        <f ca="1">IF($A108="","",IF(AC$1="","",COUNTIFS(tbl_chests[from],$A108,tbl_chests[legalized],AC$1,tbl_chests[datetime],"&gt;="&amp;TODAY()-WEEKDAY(TODAY(),2)+1,tbl_chests[datetime],"&lt;"&amp;TODAY()-WEEKDAY(TODAY(),2)+8)))</f>
        <v>0</v>
      </c>
      <c r="AD108" s="36">
        <f ca="1">IF($A108="","",IF(AD$1="","",COUNTIFS(tbl_chests[from],$A108,tbl_chests[legalized],AD$1,tbl_chests[datetime],"&gt;="&amp;TODAY()-WEEKDAY(TODAY(),2)+1,tbl_chests[datetime],"&lt;"&amp;TODAY()-WEEKDAY(TODAY(),2)+8)))</f>
        <v>0</v>
      </c>
      <c r="AE108" s="36">
        <f ca="1">IF($A108="","",IF(AE$1="","",COUNTIFS(tbl_chests[from],$A108,tbl_chests[legalized],AE$1,tbl_chests[datetime],"&gt;="&amp;TODAY()-WEEKDAY(TODAY(),2)+1,tbl_chests[datetime],"&lt;"&amp;TODAY()-WEEKDAY(TODAY(),2)+8)))</f>
        <v>0</v>
      </c>
      <c r="AF108" s="36">
        <f ca="1">IF($A108="","",IF(AF$1="","",COUNTIFS(tbl_chests[from],$A108,tbl_chests[legalized],AF$1,tbl_chests[datetime],"&gt;="&amp;TODAY()-WEEKDAY(TODAY(),2)+1,tbl_chests[datetime],"&lt;"&amp;TODAY()-WEEKDAY(TODAY(),2)+8)))</f>
        <v>0</v>
      </c>
      <c r="AG108" s="36">
        <f ca="1">IF($A108="","",IF(AG$1="","",COUNTIFS(tbl_chests[from],$A108,tbl_chests[legalized],AG$1,tbl_chests[datetime],"&gt;="&amp;TODAY()-WEEKDAY(TODAY(),2)+1,tbl_chests[datetime],"&lt;"&amp;TODAY()-WEEKDAY(TODAY(),2)+8)))</f>
        <v>0</v>
      </c>
      <c r="AH108" s="36">
        <f ca="1">IF($A108="","",IF(AH$1="","",COUNTIFS(tbl_chests[from],$A108,tbl_chests[legalized],AH$1,tbl_chests[datetime],"&gt;="&amp;TODAY()-WEEKDAY(TODAY(),2)+1,tbl_chests[datetime],"&lt;"&amp;TODAY()-WEEKDAY(TODAY(),2)+8)))</f>
        <v>0</v>
      </c>
      <c r="AI108" s="36">
        <f ca="1">IF($A108="","",IF(AI$1="","",COUNTIFS(tbl_chests[from],$A108,tbl_chests[legalized],AI$1,tbl_chests[datetime],"&gt;="&amp;TODAY()-WEEKDAY(TODAY(),2)+1,tbl_chests[datetime],"&lt;"&amp;TODAY()-WEEKDAY(TODAY(),2)+8)))</f>
        <v>0</v>
      </c>
      <c r="AJ108" s="36">
        <f ca="1">IF($A108="","",IF(AJ$1="","",COUNTIFS(tbl_chests[from],$A108,tbl_chests[legalized],AJ$1,tbl_chests[datetime],"&gt;="&amp;TODAY()-WEEKDAY(TODAY(),2)+1,tbl_chests[datetime],"&lt;"&amp;TODAY()-WEEKDAY(TODAY(),2)+8)))</f>
        <v>0</v>
      </c>
      <c r="AK108" s="36">
        <f ca="1">IF($A108="","",IF(AK$1="","",COUNTIFS(tbl_chests[from],$A108,tbl_chests[legalized],AK$1,tbl_chests[datetime],"&gt;="&amp;TODAY()-WEEKDAY(TODAY(),2)+1,tbl_chests[datetime],"&lt;"&amp;TODAY()-WEEKDAY(TODAY(),2)+8)))</f>
        <v>0</v>
      </c>
      <c r="AL108" s="36">
        <f ca="1">IF($A108="","",IF(AL$1="","",COUNTIFS(tbl_chests[from],$A108,tbl_chests[legalized],AL$1,tbl_chests[datetime],"&gt;="&amp;TODAY()-WEEKDAY(TODAY(),2)+1,tbl_chests[datetime],"&lt;"&amp;TODAY()-WEEKDAY(TODAY(),2)+8)))</f>
        <v>0</v>
      </c>
      <c r="AM108" s="37">
        <f ca="1">IF($A108="","",IF(AM$1="","",COUNTIFS(tbl_chests[from],$A108,tbl_chests[legalized],AM$1,tbl_chests[datetime],"&gt;="&amp;TODAY()-WEEKDAY(TODAY(),2)+1,tbl_chests[datetime],"&lt;"&amp;TODAY()-WEEKDAY(TODAY(),2)+8)))</f>
        <v>0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 ht="15.75" customHeight="1" x14ac:dyDescent="0.25">
      <c r="A109" s="34">
        <f>chests_counter!$H106</f>
        <v>0</v>
      </c>
      <c r="B109" s="35" cm="1">
        <f t="array" aca="1" ref="B109" ca="1">IF(A109&lt;&gt;"", SUMPRODUCT(($C$2:$AM$2&lt;&gt;0)*(C109:AM109&lt;&gt;0)*($C$2:$AM$2)*(C109:AM109)), "")</f>
        <v>0</v>
      </c>
      <c r="C109" s="36">
        <f ca="1">IF($A109="","",IF(C$1="","",COUNTIFS(tbl_chests[from],$A109,tbl_chests[legalized],C$1,tbl_chests[datetime],"&gt;="&amp;TODAY()-WEEKDAY(TODAY(),2)+1,tbl_chests[datetime],"&lt;"&amp;TODAY()-WEEKDAY(TODAY(),2)+8)))</f>
        <v>0</v>
      </c>
      <c r="D109" s="36">
        <f ca="1">IF($A109="","",IF(D$1="","",COUNTIFS(tbl_chests[from],$A109,tbl_chests[legalized],D$1,tbl_chests[datetime],"&gt;="&amp;TODAY()-WEEKDAY(TODAY(),2)+1,tbl_chests[datetime],"&lt;"&amp;TODAY()-WEEKDAY(TODAY(),2)+8)))</f>
        <v>0</v>
      </c>
      <c r="E109" s="36">
        <f ca="1">IF($A109="","",IF(E$1="","",COUNTIFS(tbl_chests[from],$A109,tbl_chests[legalized],E$1,tbl_chests[datetime],"&gt;="&amp;TODAY()-WEEKDAY(TODAY(),2)+1,tbl_chests[datetime],"&lt;"&amp;TODAY()-WEEKDAY(TODAY(),2)+8)))</f>
        <v>0</v>
      </c>
      <c r="F109" s="36">
        <f ca="1">IF($A109="","",IF(F$1="","",COUNTIFS(tbl_chests[from],$A109,tbl_chests[legalized],F$1,tbl_chests[datetime],"&gt;="&amp;TODAY()-WEEKDAY(TODAY(),2)+1,tbl_chests[datetime],"&lt;"&amp;TODAY()-WEEKDAY(TODAY(),2)+8)))</f>
        <v>0</v>
      </c>
      <c r="G109" s="36">
        <f ca="1">IF($A109="","",IF(G$1="","",COUNTIFS(tbl_chests[from],$A109,tbl_chests[legalized],G$1,tbl_chests[datetime],"&gt;="&amp;TODAY()-WEEKDAY(TODAY(),2)+1,tbl_chests[datetime],"&lt;"&amp;TODAY()-WEEKDAY(TODAY(),2)+8)))</f>
        <v>0</v>
      </c>
      <c r="H109" s="36">
        <f ca="1">IF($A109="","",IF(H$1="","",COUNTIFS(tbl_chests[from],$A109,tbl_chests[legalized],H$1,tbl_chests[datetime],"&gt;="&amp;TODAY()-WEEKDAY(TODAY(),2)+1,tbl_chests[datetime],"&lt;"&amp;TODAY()-WEEKDAY(TODAY(),2)+8)))</f>
        <v>0</v>
      </c>
      <c r="I109" s="36">
        <f ca="1">IF($A109="","",IF(I$1="","",COUNTIFS(tbl_chests[from],$A109,tbl_chests[legalized],I$1,tbl_chests[datetime],"&gt;="&amp;TODAY()-WEEKDAY(TODAY(),2)+1,tbl_chests[datetime],"&lt;"&amp;TODAY()-WEEKDAY(TODAY(),2)+8)))</f>
        <v>0</v>
      </c>
      <c r="J109" s="36">
        <f ca="1">IF($A109="","",IF(J$1="","",COUNTIFS(tbl_chests[from],$A109,tbl_chests[legalized],J$1,tbl_chests[datetime],"&gt;="&amp;TODAY()-WEEKDAY(TODAY(),2)+1,tbl_chests[datetime],"&lt;"&amp;TODAY()-WEEKDAY(TODAY(),2)+8)))</f>
        <v>0</v>
      </c>
      <c r="K109" s="36">
        <f ca="1">IF($A109="","",IF(K$1="","",COUNTIFS(tbl_chests[from],$A109,tbl_chests[legalized],K$1,tbl_chests[datetime],"&gt;="&amp;TODAY()-WEEKDAY(TODAY(),2)+1,tbl_chests[datetime],"&lt;"&amp;TODAY()-WEEKDAY(TODAY(),2)+8)))</f>
        <v>0</v>
      </c>
      <c r="L109" s="36">
        <f ca="1">IF($A109="","",IF(L$1="","",COUNTIFS(tbl_chests[from],$A109,tbl_chests[legalized],L$1,tbl_chests[datetime],"&gt;="&amp;TODAY()-WEEKDAY(TODAY(),2)+1,tbl_chests[datetime],"&lt;"&amp;TODAY()-WEEKDAY(TODAY(),2)+8)))</f>
        <v>0</v>
      </c>
      <c r="M109" s="36">
        <f ca="1">IF($A109="","",IF(M$1="","",COUNTIFS(tbl_chests[from],$A109,tbl_chests[legalized],M$1,tbl_chests[datetime],"&gt;="&amp;TODAY()-WEEKDAY(TODAY(),2)+1,tbl_chests[datetime],"&lt;"&amp;TODAY()-WEEKDAY(TODAY(),2)+8)))</f>
        <v>0</v>
      </c>
      <c r="N109" s="36">
        <f ca="1">IF($A109="","",IF(N$1="","",COUNTIFS(tbl_chests[from],$A109,tbl_chests[legalized],N$1,tbl_chests[datetime],"&gt;="&amp;TODAY()-WEEKDAY(TODAY(),2)+1,tbl_chests[datetime],"&lt;"&amp;TODAY()-WEEKDAY(TODAY(),2)+8)))</f>
        <v>0</v>
      </c>
      <c r="O109" s="36">
        <f ca="1">IF($A109="","",IF(O$1="","",COUNTIFS(tbl_chests[from],$A109,tbl_chests[legalized],O$1,tbl_chests[datetime],"&gt;="&amp;TODAY()-WEEKDAY(TODAY(),2)+1,tbl_chests[datetime],"&lt;"&amp;TODAY()-WEEKDAY(TODAY(),2)+8)))</f>
        <v>0</v>
      </c>
      <c r="P109" s="36">
        <f ca="1">IF($A109="","",IF(P$1="","",COUNTIFS(tbl_chests[from],$A109,tbl_chests[legalized],P$1,tbl_chests[datetime],"&gt;="&amp;TODAY()-WEEKDAY(TODAY(),2)+1,tbl_chests[datetime],"&lt;"&amp;TODAY()-WEEKDAY(TODAY(),2)+8)))</f>
        <v>0</v>
      </c>
      <c r="Q109" s="36">
        <f ca="1">IF($A109="","",IF(Q$1="","",COUNTIFS(tbl_chests[from],$A109,tbl_chests[legalized],Q$1,tbl_chests[datetime],"&gt;="&amp;TODAY()-WEEKDAY(TODAY(),2)+1,tbl_chests[datetime],"&lt;"&amp;TODAY()-WEEKDAY(TODAY(),2)+8)))</f>
        <v>0</v>
      </c>
      <c r="R109" s="36">
        <f ca="1">IF($A109="","",IF(R$1="","",COUNTIFS(tbl_chests[from],$A109,tbl_chests[legalized],R$1,tbl_chests[datetime],"&gt;="&amp;TODAY()-WEEKDAY(TODAY(),2)+1,tbl_chests[datetime],"&lt;"&amp;TODAY()-WEEKDAY(TODAY(),2)+8)))</f>
        <v>0</v>
      </c>
      <c r="S109" s="36">
        <f ca="1">IF($A109="","",IF(S$1="","",COUNTIFS(tbl_chests[from],$A109,tbl_chests[legalized],S$1,tbl_chests[datetime],"&gt;="&amp;TODAY()-WEEKDAY(TODAY(),2)+1,tbl_chests[datetime],"&lt;"&amp;TODAY()-WEEKDAY(TODAY(),2)+8)))</f>
        <v>0</v>
      </c>
      <c r="T109" s="36">
        <f ca="1">IF($A109="","",IF(T$1="","",COUNTIFS(tbl_chests[from],$A109,tbl_chests[legalized],T$1,tbl_chests[datetime],"&gt;="&amp;TODAY()-WEEKDAY(TODAY(),2)+1,tbl_chests[datetime],"&lt;"&amp;TODAY()-WEEKDAY(TODAY(),2)+8)))</f>
        <v>0</v>
      </c>
      <c r="U109" s="36">
        <f ca="1">IF($A109="","",IF(U$1="","",COUNTIFS(tbl_chests[from],$A109,tbl_chests[legalized],U$1,tbl_chests[datetime],"&gt;="&amp;TODAY()-WEEKDAY(TODAY(),2)+1,tbl_chests[datetime],"&lt;"&amp;TODAY()-WEEKDAY(TODAY(),2)+8)))</f>
        <v>0</v>
      </c>
      <c r="V109" s="36">
        <f ca="1">IF($A109="","",IF(V$1="","",COUNTIFS(tbl_chests[from],$A109,tbl_chests[legalized],V$1,tbl_chests[datetime],"&gt;="&amp;TODAY()-WEEKDAY(TODAY(),2)+1,tbl_chests[datetime],"&lt;"&amp;TODAY()-WEEKDAY(TODAY(),2)+8)))</f>
        <v>0</v>
      </c>
      <c r="W109" s="36">
        <f ca="1">IF($A109="","",IF(W$1="","",COUNTIFS(tbl_chests[from],$A109,tbl_chests[legalized],W$1,tbl_chests[datetime],"&gt;="&amp;TODAY()-WEEKDAY(TODAY(),2)+1,tbl_chests[datetime],"&lt;"&amp;TODAY()-WEEKDAY(TODAY(),2)+8)))</f>
        <v>0</v>
      </c>
      <c r="X109" s="36">
        <f ca="1">IF($A109="","",IF(X$1="","",COUNTIFS(tbl_chests[from],$A109,tbl_chests[legalized],X$1,tbl_chests[datetime],"&gt;="&amp;TODAY()-WEEKDAY(TODAY(),2)+1,tbl_chests[datetime],"&lt;"&amp;TODAY()-WEEKDAY(TODAY(),2)+8)))</f>
        <v>0</v>
      </c>
      <c r="Y109" s="36">
        <f ca="1">IF($A109="","",IF(Y$1="","",COUNTIFS(tbl_chests[from],$A109,tbl_chests[legalized],Y$1,tbl_chests[datetime],"&gt;="&amp;TODAY()-WEEKDAY(TODAY(),2)+1,tbl_chests[datetime],"&lt;"&amp;TODAY()-WEEKDAY(TODAY(),2)+8)))</f>
        <v>0</v>
      </c>
      <c r="Z109" s="36">
        <f ca="1">IF($A109="","",IF(Z$1="","",COUNTIFS(tbl_chests[from],$A109,tbl_chests[legalized],Z$1,tbl_chests[datetime],"&gt;="&amp;TODAY()-WEEKDAY(TODAY(),2)+1,tbl_chests[datetime],"&lt;"&amp;TODAY()-WEEKDAY(TODAY(),2)+8)))</f>
        <v>0</v>
      </c>
      <c r="AA109" s="36">
        <f ca="1">IF($A109="","",IF(AA$1="","",COUNTIFS(tbl_chests[from],$A109,tbl_chests[legalized],AA$1,tbl_chests[datetime],"&gt;="&amp;TODAY()-WEEKDAY(TODAY(),2)+1,tbl_chests[datetime],"&lt;"&amp;TODAY()-WEEKDAY(TODAY(),2)+8)))</f>
        <v>0</v>
      </c>
      <c r="AB109" s="36">
        <f ca="1">IF($A109="","",IF(AB$1="","",COUNTIFS(tbl_chests[from],$A109,tbl_chests[legalized],AB$1,tbl_chests[datetime],"&gt;="&amp;TODAY()-WEEKDAY(TODAY(),2)+1,tbl_chests[datetime],"&lt;"&amp;TODAY()-WEEKDAY(TODAY(),2)+8)))</f>
        <v>0</v>
      </c>
      <c r="AC109" s="36">
        <f ca="1">IF($A109="","",IF(AC$1="","",COUNTIFS(tbl_chests[from],$A109,tbl_chests[legalized],AC$1,tbl_chests[datetime],"&gt;="&amp;TODAY()-WEEKDAY(TODAY(),2)+1,tbl_chests[datetime],"&lt;"&amp;TODAY()-WEEKDAY(TODAY(),2)+8)))</f>
        <v>0</v>
      </c>
      <c r="AD109" s="36">
        <f ca="1">IF($A109="","",IF(AD$1="","",COUNTIFS(tbl_chests[from],$A109,tbl_chests[legalized],AD$1,tbl_chests[datetime],"&gt;="&amp;TODAY()-WEEKDAY(TODAY(),2)+1,tbl_chests[datetime],"&lt;"&amp;TODAY()-WEEKDAY(TODAY(),2)+8)))</f>
        <v>0</v>
      </c>
      <c r="AE109" s="36">
        <f ca="1">IF($A109="","",IF(AE$1="","",COUNTIFS(tbl_chests[from],$A109,tbl_chests[legalized],AE$1,tbl_chests[datetime],"&gt;="&amp;TODAY()-WEEKDAY(TODAY(),2)+1,tbl_chests[datetime],"&lt;"&amp;TODAY()-WEEKDAY(TODAY(),2)+8)))</f>
        <v>0</v>
      </c>
      <c r="AF109" s="36">
        <f ca="1">IF($A109="","",IF(AF$1="","",COUNTIFS(tbl_chests[from],$A109,tbl_chests[legalized],AF$1,tbl_chests[datetime],"&gt;="&amp;TODAY()-WEEKDAY(TODAY(),2)+1,tbl_chests[datetime],"&lt;"&amp;TODAY()-WEEKDAY(TODAY(),2)+8)))</f>
        <v>0</v>
      </c>
      <c r="AG109" s="36">
        <f ca="1">IF($A109="","",IF(AG$1="","",COUNTIFS(tbl_chests[from],$A109,tbl_chests[legalized],AG$1,tbl_chests[datetime],"&gt;="&amp;TODAY()-WEEKDAY(TODAY(),2)+1,tbl_chests[datetime],"&lt;"&amp;TODAY()-WEEKDAY(TODAY(),2)+8)))</f>
        <v>0</v>
      </c>
      <c r="AH109" s="36">
        <f ca="1">IF($A109="","",IF(AH$1="","",COUNTIFS(tbl_chests[from],$A109,tbl_chests[legalized],AH$1,tbl_chests[datetime],"&gt;="&amp;TODAY()-WEEKDAY(TODAY(),2)+1,tbl_chests[datetime],"&lt;"&amp;TODAY()-WEEKDAY(TODAY(),2)+8)))</f>
        <v>0</v>
      </c>
      <c r="AI109" s="36">
        <f ca="1">IF($A109="","",IF(AI$1="","",COUNTIFS(tbl_chests[from],$A109,tbl_chests[legalized],AI$1,tbl_chests[datetime],"&gt;="&amp;TODAY()-WEEKDAY(TODAY(),2)+1,tbl_chests[datetime],"&lt;"&amp;TODAY()-WEEKDAY(TODAY(),2)+8)))</f>
        <v>0</v>
      </c>
      <c r="AJ109" s="36">
        <f ca="1">IF($A109="","",IF(AJ$1="","",COUNTIFS(tbl_chests[from],$A109,tbl_chests[legalized],AJ$1,tbl_chests[datetime],"&gt;="&amp;TODAY()-WEEKDAY(TODAY(),2)+1,tbl_chests[datetime],"&lt;"&amp;TODAY()-WEEKDAY(TODAY(),2)+8)))</f>
        <v>0</v>
      </c>
      <c r="AK109" s="36">
        <f ca="1">IF($A109="","",IF(AK$1="","",COUNTIFS(tbl_chests[from],$A109,tbl_chests[legalized],AK$1,tbl_chests[datetime],"&gt;="&amp;TODAY()-WEEKDAY(TODAY(),2)+1,tbl_chests[datetime],"&lt;"&amp;TODAY()-WEEKDAY(TODAY(),2)+8)))</f>
        <v>0</v>
      </c>
      <c r="AL109" s="36">
        <f ca="1">IF($A109="","",IF(AL$1="","",COUNTIFS(tbl_chests[from],$A109,tbl_chests[legalized],AL$1,tbl_chests[datetime],"&gt;="&amp;TODAY()-WEEKDAY(TODAY(),2)+1,tbl_chests[datetime],"&lt;"&amp;TODAY()-WEEKDAY(TODAY(),2)+8)))</f>
        <v>0</v>
      </c>
      <c r="AM109" s="37">
        <f ca="1">IF($A109="","",IF(AM$1="","",COUNTIFS(tbl_chests[from],$A109,tbl_chests[legalized],AM$1,tbl_chests[datetime],"&gt;="&amp;TODAY()-WEEKDAY(TODAY(),2)+1,tbl_chests[datetime],"&lt;"&amp;TODAY()-WEEKDAY(TODAY(),2)+8)))</f>
        <v>0</v>
      </c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 ht="15.75" customHeight="1" x14ac:dyDescent="0.25">
      <c r="A110" s="34">
        <f>chests_counter!$H107</f>
        <v>0</v>
      </c>
      <c r="B110" s="35" cm="1">
        <f t="array" aca="1" ref="B110" ca="1">IF(A110&lt;&gt;"", SUMPRODUCT(($C$2:$AM$2&lt;&gt;0)*(C110:AM110&lt;&gt;0)*($C$2:$AM$2)*(C110:AM110)), "")</f>
        <v>0</v>
      </c>
      <c r="C110" s="36">
        <f ca="1">IF($A110="","",IF(C$1="","",COUNTIFS(tbl_chests[from],$A110,tbl_chests[legalized],C$1,tbl_chests[datetime],"&gt;="&amp;TODAY()-WEEKDAY(TODAY(),2)+1,tbl_chests[datetime],"&lt;"&amp;TODAY()-WEEKDAY(TODAY(),2)+8)))</f>
        <v>0</v>
      </c>
      <c r="D110" s="36">
        <f ca="1">IF($A110="","",IF(D$1="","",COUNTIFS(tbl_chests[from],$A110,tbl_chests[legalized],D$1,tbl_chests[datetime],"&gt;="&amp;TODAY()-WEEKDAY(TODAY(),2)+1,tbl_chests[datetime],"&lt;"&amp;TODAY()-WEEKDAY(TODAY(),2)+8)))</f>
        <v>0</v>
      </c>
      <c r="E110" s="36">
        <f ca="1">IF($A110="","",IF(E$1="","",COUNTIFS(tbl_chests[from],$A110,tbl_chests[legalized],E$1,tbl_chests[datetime],"&gt;="&amp;TODAY()-WEEKDAY(TODAY(),2)+1,tbl_chests[datetime],"&lt;"&amp;TODAY()-WEEKDAY(TODAY(),2)+8)))</f>
        <v>0</v>
      </c>
      <c r="F110" s="36">
        <f ca="1">IF($A110="","",IF(F$1="","",COUNTIFS(tbl_chests[from],$A110,tbl_chests[legalized],F$1,tbl_chests[datetime],"&gt;="&amp;TODAY()-WEEKDAY(TODAY(),2)+1,tbl_chests[datetime],"&lt;"&amp;TODAY()-WEEKDAY(TODAY(),2)+8)))</f>
        <v>0</v>
      </c>
      <c r="G110" s="36">
        <f ca="1">IF($A110="","",IF(G$1="","",COUNTIFS(tbl_chests[from],$A110,tbl_chests[legalized],G$1,tbl_chests[datetime],"&gt;="&amp;TODAY()-WEEKDAY(TODAY(),2)+1,tbl_chests[datetime],"&lt;"&amp;TODAY()-WEEKDAY(TODAY(),2)+8)))</f>
        <v>0</v>
      </c>
      <c r="H110" s="36">
        <f ca="1">IF($A110="","",IF(H$1="","",COUNTIFS(tbl_chests[from],$A110,tbl_chests[legalized],H$1,tbl_chests[datetime],"&gt;="&amp;TODAY()-WEEKDAY(TODAY(),2)+1,tbl_chests[datetime],"&lt;"&amp;TODAY()-WEEKDAY(TODAY(),2)+8)))</f>
        <v>0</v>
      </c>
      <c r="I110" s="36">
        <f ca="1">IF($A110="","",IF(I$1="","",COUNTIFS(tbl_chests[from],$A110,tbl_chests[legalized],I$1,tbl_chests[datetime],"&gt;="&amp;TODAY()-WEEKDAY(TODAY(),2)+1,tbl_chests[datetime],"&lt;"&amp;TODAY()-WEEKDAY(TODAY(),2)+8)))</f>
        <v>0</v>
      </c>
      <c r="J110" s="36">
        <f ca="1">IF($A110="","",IF(J$1="","",COUNTIFS(tbl_chests[from],$A110,tbl_chests[legalized],J$1,tbl_chests[datetime],"&gt;="&amp;TODAY()-WEEKDAY(TODAY(),2)+1,tbl_chests[datetime],"&lt;"&amp;TODAY()-WEEKDAY(TODAY(),2)+8)))</f>
        <v>0</v>
      </c>
      <c r="K110" s="36">
        <f ca="1">IF($A110="","",IF(K$1="","",COUNTIFS(tbl_chests[from],$A110,tbl_chests[legalized],K$1,tbl_chests[datetime],"&gt;="&amp;TODAY()-WEEKDAY(TODAY(),2)+1,tbl_chests[datetime],"&lt;"&amp;TODAY()-WEEKDAY(TODAY(),2)+8)))</f>
        <v>0</v>
      </c>
      <c r="L110" s="36">
        <f ca="1">IF($A110="","",IF(L$1="","",COUNTIFS(tbl_chests[from],$A110,tbl_chests[legalized],L$1,tbl_chests[datetime],"&gt;="&amp;TODAY()-WEEKDAY(TODAY(),2)+1,tbl_chests[datetime],"&lt;"&amp;TODAY()-WEEKDAY(TODAY(),2)+8)))</f>
        <v>0</v>
      </c>
      <c r="M110" s="36">
        <f ca="1">IF($A110="","",IF(M$1="","",COUNTIFS(tbl_chests[from],$A110,tbl_chests[legalized],M$1,tbl_chests[datetime],"&gt;="&amp;TODAY()-WEEKDAY(TODAY(),2)+1,tbl_chests[datetime],"&lt;"&amp;TODAY()-WEEKDAY(TODAY(),2)+8)))</f>
        <v>0</v>
      </c>
      <c r="N110" s="36">
        <f ca="1">IF($A110="","",IF(N$1="","",COUNTIFS(tbl_chests[from],$A110,tbl_chests[legalized],N$1,tbl_chests[datetime],"&gt;="&amp;TODAY()-WEEKDAY(TODAY(),2)+1,tbl_chests[datetime],"&lt;"&amp;TODAY()-WEEKDAY(TODAY(),2)+8)))</f>
        <v>0</v>
      </c>
      <c r="O110" s="36">
        <f ca="1">IF($A110="","",IF(O$1="","",COUNTIFS(tbl_chests[from],$A110,tbl_chests[legalized],O$1,tbl_chests[datetime],"&gt;="&amp;TODAY()-WEEKDAY(TODAY(),2)+1,tbl_chests[datetime],"&lt;"&amp;TODAY()-WEEKDAY(TODAY(),2)+8)))</f>
        <v>0</v>
      </c>
      <c r="P110" s="36">
        <f ca="1">IF($A110="","",IF(P$1="","",COUNTIFS(tbl_chests[from],$A110,tbl_chests[legalized],P$1,tbl_chests[datetime],"&gt;="&amp;TODAY()-WEEKDAY(TODAY(),2)+1,tbl_chests[datetime],"&lt;"&amp;TODAY()-WEEKDAY(TODAY(),2)+8)))</f>
        <v>0</v>
      </c>
      <c r="Q110" s="36">
        <f ca="1">IF($A110="","",IF(Q$1="","",COUNTIFS(tbl_chests[from],$A110,tbl_chests[legalized],Q$1,tbl_chests[datetime],"&gt;="&amp;TODAY()-WEEKDAY(TODAY(),2)+1,tbl_chests[datetime],"&lt;"&amp;TODAY()-WEEKDAY(TODAY(),2)+8)))</f>
        <v>0</v>
      </c>
      <c r="R110" s="36">
        <f ca="1">IF($A110="","",IF(R$1="","",COUNTIFS(tbl_chests[from],$A110,tbl_chests[legalized],R$1,tbl_chests[datetime],"&gt;="&amp;TODAY()-WEEKDAY(TODAY(),2)+1,tbl_chests[datetime],"&lt;"&amp;TODAY()-WEEKDAY(TODAY(),2)+8)))</f>
        <v>0</v>
      </c>
      <c r="S110" s="36">
        <f ca="1">IF($A110="","",IF(S$1="","",COUNTIFS(tbl_chests[from],$A110,tbl_chests[legalized],S$1,tbl_chests[datetime],"&gt;="&amp;TODAY()-WEEKDAY(TODAY(),2)+1,tbl_chests[datetime],"&lt;"&amp;TODAY()-WEEKDAY(TODAY(),2)+8)))</f>
        <v>0</v>
      </c>
      <c r="T110" s="36">
        <f ca="1">IF($A110="","",IF(T$1="","",COUNTIFS(tbl_chests[from],$A110,tbl_chests[legalized],T$1,tbl_chests[datetime],"&gt;="&amp;TODAY()-WEEKDAY(TODAY(),2)+1,tbl_chests[datetime],"&lt;"&amp;TODAY()-WEEKDAY(TODAY(),2)+8)))</f>
        <v>0</v>
      </c>
      <c r="U110" s="36">
        <f ca="1">IF($A110="","",IF(U$1="","",COUNTIFS(tbl_chests[from],$A110,tbl_chests[legalized],U$1,tbl_chests[datetime],"&gt;="&amp;TODAY()-WEEKDAY(TODAY(),2)+1,tbl_chests[datetime],"&lt;"&amp;TODAY()-WEEKDAY(TODAY(),2)+8)))</f>
        <v>0</v>
      </c>
      <c r="V110" s="36">
        <f ca="1">IF($A110="","",IF(V$1="","",COUNTIFS(tbl_chests[from],$A110,tbl_chests[legalized],V$1,tbl_chests[datetime],"&gt;="&amp;TODAY()-WEEKDAY(TODAY(),2)+1,tbl_chests[datetime],"&lt;"&amp;TODAY()-WEEKDAY(TODAY(),2)+8)))</f>
        <v>0</v>
      </c>
      <c r="W110" s="36">
        <f ca="1">IF($A110="","",IF(W$1="","",COUNTIFS(tbl_chests[from],$A110,tbl_chests[legalized],W$1,tbl_chests[datetime],"&gt;="&amp;TODAY()-WEEKDAY(TODAY(),2)+1,tbl_chests[datetime],"&lt;"&amp;TODAY()-WEEKDAY(TODAY(),2)+8)))</f>
        <v>0</v>
      </c>
      <c r="X110" s="36">
        <f ca="1">IF($A110="","",IF(X$1="","",COUNTIFS(tbl_chests[from],$A110,tbl_chests[legalized],X$1,tbl_chests[datetime],"&gt;="&amp;TODAY()-WEEKDAY(TODAY(),2)+1,tbl_chests[datetime],"&lt;"&amp;TODAY()-WEEKDAY(TODAY(),2)+8)))</f>
        <v>0</v>
      </c>
      <c r="Y110" s="36">
        <f ca="1">IF($A110="","",IF(Y$1="","",COUNTIFS(tbl_chests[from],$A110,tbl_chests[legalized],Y$1,tbl_chests[datetime],"&gt;="&amp;TODAY()-WEEKDAY(TODAY(),2)+1,tbl_chests[datetime],"&lt;"&amp;TODAY()-WEEKDAY(TODAY(),2)+8)))</f>
        <v>0</v>
      </c>
      <c r="Z110" s="36">
        <f ca="1">IF($A110="","",IF(Z$1="","",COUNTIFS(tbl_chests[from],$A110,tbl_chests[legalized],Z$1,tbl_chests[datetime],"&gt;="&amp;TODAY()-WEEKDAY(TODAY(),2)+1,tbl_chests[datetime],"&lt;"&amp;TODAY()-WEEKDAY(TODAY(),2)+8)))</f>
        <v>0</v>
      </c>
      <c r="AA110" s="36">
        <f ca="1">IF($A110="","",IF(AA$1="","",COUNTIFS(tbl_chests[from],$A110,tbl_chests[legalized],AA$1,tbl_chests[datetime],"&gt;="&amp;TODAY()-WEEKDAY(TODAY(),2)+1,tbl_chests[datetime],"&lt;"&amp;TODAY()-WEEKDAY(TODAY(),2)+8)))</f>
        <v>0</v>
      </c>
      <c r="AB110" s="36">
        <f ca="1">IF($A110="","",IF(AB$1="","",COUNTIFS(tbl_chests[from],$A110,tbl_chests[legalized],AB$1,tbl_chests[datetime],"&gt;="&amp;TODAY()-WEEKDAY(TODAY(),2)+1,tbl_chests[datetime],"&lt;"&amp;TODAY()-WEEKDAY(TODAY(),2)+8)))</f>
        <v>0</v>
      </c>
      <c r="AC110" s="36">
        <f ca="1">IF($A110="","",IF(AC$1="","",COUNTIFS(tbl_chests[from],$A110,tbl_chests[legalized],AC$1,tbl_chests[datetime],"&gt;="&amp;TODAY()-WEEKDAY(TODAY(),2)+1,tbl_chests[datetime],"&lt;"&amp;TODAY()-WEEKDAY(TODAY(),2)+8)))</f>
        <v>0</v>
      </c>
      <c r="AD110" s="36">
        <f ca="1">IF($A110="","",IF(AD$1="","",COUNTIFS(tbl_chests[from],$A110,tbl_chests[legalized],AD$1,tbl_chests[datetime],"&gt;="&amp;TODAY()-WEEKDAY(TODAY(),2)+1,tbl_chests[datetime],"&lt;"&amp;TODAY()-WEEKDAY(TODAY(),2)+8)))</f>
        <v>0</v>
      </c>
      <c r="AE110" s="36">
        <f ca="1">IF($A110="","",IF(AE$1="","",COUNTIFS(tbl_chests[from],$A110,tbl_chests[legalized],AE$1,tbl_chests[datetime],"&gt;="&amp;TODAY()-WEEKDAY(TODAY(),2)+1,tbl_chests[datetime],"&lt;"&amp;TODAY()-WEEKDAY(TODAY(),2)+8)))</f>
        <v>0</v>
      </c>
      <c r="AF110" s="36">
        <f ca="1">IF($A110="","",IF(AF$1="","",COUNTIFS(tbl_chests[from],$A110,tbl_chests[legalized],AF$1,tbl_chests[datetime],"&gt;="&amp;TODAY()-WEEKDAY(TODAY(),2)+1,tbl_chests[datetime],"&lt;"&amp;TODAY()-WEEKDAY(TODAY(),2)+8)))</f>
        <v>0</v>
      </c>
      <c r="AG110" s="36">
        <f ca="1">IF($A110="","",IF(AG$1="","",COUNTIFS(tbl_chests[from],$A110,tbl_chests[legalized],AG$1,tbl_chests[datetime],"&gt;="&amp;TODAY()-WEEKDAY(TODAY(),2)+1,tbl_chests[datetime],"&lt;"&amp;TODAY()-WEEKDAY(TODAY(),2)+8)))</f>
        <v>0</v>
      </c>
      <c r="AH110" s="36">
        <f ca="1">IF($A110="","",IF(AH$1="","",COUNTIFS(tbl_chests[from],$A110,tbl_chests[legalized],AH$1,tbl_chests[datetime],"&gt;="&amp;TODAY()-WEEKDAY(TODAY(),2)+1,tbl_chests[datetime],"&lt;"&amp;TODAY()-WEEKDAY(TODAY(),2)+8)))</f>
        <v>0</v>
      </c>
      <c r="AI110" s="36">
        <f ca="1">IF($A110="","",IF(AI$1="","",COUNTIFS(tbl_chests[from],$A110,tbl_chests[legalized],AI$1,tbl_chests[datetime],"&gt;="&amp;TODAY()-WEEKDAY(TODAY(),2)+1,tbl_chests[datetime],"&lt;"&amp;TODAY()-WEEKDAY(TODAY(),2)+8)))</f>
        <v>0</v>
      </c>
      <c r="AJ110" s="36">
        <f ca="1">IF($A110="","",IF(AJ$1="","",COUNTIFS(tbl_chests[from],$A110,tbl_chests[legalized],AJ$1,tbl_chests[datetime],"&gt;="&amp;TODAY()-WEEKDAY(TODAY(),2)+1,tbl_chests[datetime],"&lt;"&amp;TODAY()-WEEKDAY(TODAY(),2)+8)))</f>
        <v>0</v>
      </c>
      <c r="AK110" s="36">
        <f ca="1">IF($A110="","",IF(AK$1="","",COUNTIFS(tbl_chests[from],$A110,tbl_chests[legalized],AK$1,tbl_chests[datetime],"&gt;="&amp;TODAY()-WEEKDAY(TODAY(),2)+1,tbl_chests[datetime],"&lt;"&amp;TODAY()-WEEKDAY(TODAY(),2)+8)))</f>
        <v>0</v>
      </c>
      <c r="AL110" s="36">
        <f ca="1">IF($A110="","",IF(AL$1="","",COUNTIFS(tbl_chests[from],$A110,tbl_chests[legalized],AL$1,tbl_chests[datetime],"&gt;="&amp;TODAY()-WEEKDAY(TODAY(),2)+1,tbl_chests[datetime],"&lt;"&amp;TODAY()-WEEKDAY(TODAY(),2)+8)))</f>
        <v>0</v>
      </c>
      <c r="AM110" s="37">
        <f ca="1">IF($A110="","",IF(AM$1="","",COUNTIFS(tbl_chests[from],$A110,tbl_chests[legalized],AM$1,tbl_chests[datetime],"&gt;="&amp;TODAY()-WEEKDAY(TODAY(),2)+1,tbl_chests[datetime],"&lt;"&amp;TODAY()-WEEKDAY(TODAY(),2)+8)))</f>
        <v>0</v>
      </c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 ht="15.75" customHeight="1" x14ac:dyDescent="0.25">
      <c r="A111" s="34">
        <f>chests_counter!$H108</f>
        <v>0</v>
      </c>
      <c r="B111" s="35" cm="1">
        <f t="array" aca="1" ref="B111" ca="1">IF(A111&lt;&gt;"", SUMPRODUCT(($C$2:$AM$2&lt;&gt;0)*(C111:AM111&lt;&gt;0)*($C$2:$AM$2)*(C111:AM111)), "")</f>
        <v>0</v>
      </c>
      <c r="C111" s="36">
        <f ca="1">IF($A111="","",IF(C$1="","",COUNTIFS(tbl_chests[from],$A111,tbl_chests[legalized],C$1,tbl_chests[datetime],"&gt;="&amp;TODAY()-WEEKDAY(TODAY(),2)+1,tbl_chests[datetime],"&lt;"&amp;TODAY()-WEEKDAY(TODAY(),2)+8)))</f>
        <v>0</v>
      </c>
      <c r="D111" s="36">
        <f ca="1">IF($A111="","",IF(D$1="","",COUNTIFS(tbl_chests[from],$A111,tbl_chests[legalized],D$1,tbl_chests[datetime],"&gt;="&amp;TODAY()-WEEKDAY(TODAY(),2)+1,tbl_chests[datetime],"&lt;"&amp;TODAY()-WEEKDAY(TODAY(),2)+8)))</f>
        <v>0</v>
      </c>
      <c r="E111" s="36">
        <f ca="1">IF($A111="","",IF(E$1="","",COUNTIFS(tbl_chests[from],$A111,tbl_chests[legalized],E$1,tbl_chests[datetime],"&gt;="&amp;TODAY()-WEEKDAY(TODAY(),2)+1,tbl_chests[datetime],"&lt;"&amp;TODAY()-WEEKDAY(TODAY(),2)+8)))</f>
        <v>0</v>
      </c>
      <c r="F111" s="36">
        <f ca="1">IF($A111="","",IF(F$1="","",COUNTIFS(tbl_chests[from],$A111,tbl_chests[legalized],F$1,tbl_chests[datetime],"&gt;="&amp;TODAY()-WEEKDAY(TODAY(),2)+1,tbl_chests[datetime],"&lt;"&amp;TODAY()-WEEKDAY(TODAY(),2)+8)))</f>
        <v>0</v>
      </c>
      <c r="G111" s="36">
        <f ca="1">IF($A111="","",IF(G$1="","",COUNTIFS(tbl_chests[from],$A111,tbl_chests[legalized],G$1,tbl_chests[datetime],"&gt;="&amp;TODAY()-WEEKDAY(TODAY(),2)+1,tbl_chests[datetime],"&lt;"&amp;TODAY()-WEEKDAY(TODAY(),2)+8)))</f>
        <v>0</v>
      </c>
      <c r="H111" s="36">
        <f ca="1">IF($A111="","",IF(H$1="","",COUNTIFS(tbl_chests[from],$A111,tbl_chests[legalized],H$1,tbl_chests[datetime],"&gt;="&amp;TODAY()-WEEKDAY(TODAY(),2)+1,tbl_chests[datetime],"&lt;"&amp;TODAY()-WEEKDAY(TODAY(),2)+8)))</f>
        <v>0</v>
      </c>
      <c r="I111" s="36">
        <f ca="1">IF($A111="","",IF(I$1="","",COUNTIFS(tbl_chests[from],$A111,tbl_chests[legalized],I$1,tbl_chests[datetime],"&gt;="&amp;TODAY()-WEEKDAY(TODAY(),2)+1,tbl_chests[datetime],"&lt;"&amp;TODAY()-WEEKDAY(TODAY(),2)+8)))</f>
        <v>0</v>
      </c>
      <c r="J111" s="36">
        <f ca="1">IF($A111="","",IF(J$1="","",COUNTIFS(tbl_chests[from],$A111,tbl_chests[legalized],J$1,tbl_chests[datetime],"&gt;="&amp;TODAY()-WEEKDAY(TODAY(),2)+1,tbl_chests[datetime],"&lt;"&amp;TODAY()-WEEKDAY(TODAY(),2)+8)))</f>
        <v>0</v>
      </c>
      <c r="K111" s="36">
        <f ca="1">IF($A111="","",IF(K$1="","",COUNTIFS(tbl_chests[from],$A111,tbl_chests[legalized],K$1,tbl_chests[datetime],"&gt;="&amp;TODAY()-WEEKDAY(TODAY(),2)+1,tbl_chests[datetime],"&lt;"&amp;TODAY()-WEEKDAY(TODAY(),2)+8)))</f>
        <v>0</v>
      </c>
      <c r="L111" s="36">
        <f ca="1">IF($A111="","",IF(L$1="","",COUNTIFS(tbl_chests[from],$A111,tbl_chests[legalized],L$1,tbl_chests[datetime],"&gt;="&amp;TODAY()-WEEKDAY(TODAY(),2)+1,tbl_chests[datetime],"&lt;"&amp;TODAY()-WEEKDAY(TODAY(),2)+8)))</f>
        <v>0</v>
      </c>
      <c r="M111" s="36">
        <f ca="1">IF($A111="","",IF(M$1="","",COUNTIFS(tbl_chests[from],$A111,tbl_chests[legalized],M$1,tbl_chests[datetime],"&gt;="&amp;TODAY()-WEEKDAY(TODAY(),2)+1,tbl_chests[datetime],"&lt;"&amp;TODAY()-WEEKDAY(TODAY(),2)+8)))</f>
        <v>0</v>
      </c>
      <c r="N111" s="36">
        <f ca="1">IF($A111="","",IF(N$1="","",COUNTIFS(tbl_chests[from],$A111,tbl_chests[legalized],N$1,tbl_chests[datetime],"&gt;="&amp;TODAY()-WEEKDAY(TODAY(),2)+1,tbl_chests[datetime],"&lt;"&amp;TODAY()-WEEKDAY(TODAY(),2)+8)))</f>
        <v>0</v>
      </c>
      <c r="O111" s="36">
        <f ca="1">IF($A111="","",IF(O$1="","",COUNTIFS(tbl_chests[from],$A111,tbl_chests[legalized],O$1,tbl_chests[datetime],"&gt;="&amp;TODAY()-WEEKDAY(TODAY(),2)+1,tbl_chests[datetime],"&lt;"&amp;TODAY()-WEEKDAY(TODAY(),2)+8)))</f>
        <v>0</v>
      </c>
      <c r="P111" s="36">
        <f ca="1">IF($A111="","",IF(P$1="","",COUNTIFS(tbl_chests[from],$A111,tbl_chests[legalized],P$1,tbl_chests[datetime],"&gt;="&amp;TODAY()-WEEKDAY(TODAY(),2)+1,tbl_chests[datetime],"&lt;"&amp;TODAY()-WEEKDAY(TODAY(),2)+8)))</f>
        <v>0</v>
      </c>
      <c r="Q111" s="36">
        <f ca="1">IF($A111="","",IF(Q$1="","",COUNTIFS(tbl_chests[from],$A111,tbl_chests[legalized],Q$1,tbl_chests[datetime],"&gt;="&amp;TODAY()-WEEKDAY(TODAY(),2)+1,tbl_chests[datetime],"&lt;"&amp;TODAY()-WEEKDAY(TODAY(),2)+8)))</f>
        <v>0</v>
      </c>
      <c r="R111" s="36">
        <f ca="1">IF($A111="","",IF(R$1="","",COUNTIFS(tbl_chests[from],$A111,tbl_chests[legalized],R$1,tbl_chests[datetime],"&gt;="&amp;TODAY()-WEEKDAY(TODAY(),2)+1,tbl_chests[datetime],"&lt;"&amp;TODAY()-WEEKDAY(TODAY(),2)+8)))</f>
        <v>0</v>
      </c>
      <c r="S111" s="36">
        <f ca="1">IF($A111="","",IF(S$1="","",COUNTIFS(tbl_chests[from],$A111,tbl_chests[legalized],S$1,tbl_chests[datetime],"&gt;="&amp;TODAY()-WEEKDAY(TODAY(),2)+1,tbl_chests[datetime],"&lt;"&amp;TODAY()-WEEKDAY(TODAY(),2)+8)))</f>
        <v>0</v>
      </c>
      <c r="T111" s="36">
        <f ca="1">IF($A111="","",IF(T$1="","",COUNTIFS(tbl_chests[from],$A111,tbl_chests[legalized],T$1,tbl_chests[datetime],"&gt;="&amp;TODAY()-WEEKDAY(TODAY(),2)+1,tbl_chests[datetime],"&lt;"&amp;TODAY()-WEEKDAY(TODAY(),2)+8)))</f>
        <v>0</v>
      </c>
      <c r="U111" s="36">
        <f ca="1">IF($A111="","",IF(U$1="","",COUNTIFS(tbl_chests[from],$A111,tbl_chests[legalized],U$1,tbl_chests[datetime],"&gt;="&amp;TODAY()-WEEKDAY(TODAY(),2)+1,tbl_chests[datetime],"&lt;"&amp;TODAY()-WEEKDAY(TODAY(),2)+8)))</f>
        <v>0</v>
      </c>
      <c r="V111" s="36">
        <f ca="1">IF($A111="","",IF(V$1="","",COUNTIFS(tbl_chests[from],$A111,tbl_chests[legalized],V$1,tbl_chests[datetime],"&gt;="&amp;TODAY()-WEEKDAY(TODAY(),2)+1,tbl_chests[datetime],"&lt;"&amp;TODAY()-WEEKDAY(TODAY(),2)+8)))</f>
        <v>0</v>
      </c>
      <c r="W111" s="36">
        <f ca="1">IF($A111="","",IF(W$1="","",COUNTIFS(tbl_chests[from],$A111,tbl_chests[legalized],W$1,tbl_chests[datetime],"&gt;="&amp;TODAY()-WEEKDAY(TODAY(),2)+1,tbl_chests[datetime],"&lt;"&amp;TODAY()-WEEKDAY(TODAY(),2)+8)))</f>
        <v>0</v>
      </c>
      <c r="X111" s="36">
        <f ca="1">IF($A111="","",IF(X$1="","",COUNTIFS(tbl_chests[from],$A111,tbl_chests[legalized],X$1,tbl_chests[datetime],"&gt;="&amp;TODAY()-WEEKDAY(TODAY(),2)+1,tbl_chests[datetime],"&lt;"&amp;TODAY()-WEEKDAY(TODAY(),2)+8)))</f>
        <v>0</v>
      </c>
      <c r="Y111" s="36">
        <f ca="1">IF($A111="","",IF(Y$1="","",COUNTIFS(tbl_chests[from],$A111,tbl_chests[legalized],Y$1,tbl_chests[datetime],"&gt;="&amp;TODAY()-WEEKDAY(TODAY(),2)+1,tbl_chests[datetime],"&lt;"&amp;TODAY()-WEEKDAY(TODAY(),2)+8)))</f>
        <v>0</v>
      </c>
      <c r="Z111" s="36">
        <f ca="1">IF($A111="","",IF(Z$1="","",COUNTIFS(tbl_chests[from],$A111,tbl_chests[legalized],Z$1,tbl_chests[datetime],"&gt;="&amp;TODAY()-WEEKDAY(TODAY(),2)+1,tbl_chests[datetime],"&lt;"&amp;TODAY()-WEEKDAY(TODAY(),2)+8)))</f>
        <v>0</v>
      </c>
      <c r="AA111" s="36">
        <f ca="1">IF($A111="","",IF(AA$1="","",COUNTIFS(tbl_chests[from],$A111,tbl_chests[legalized],AA$1,tbl_chests[datetime],"&gt;="&amp;TODAY()-WEEKDAY(TODAY(),2)+1,tbl_chests[datetime],"&lt;"&amp;TODAY()-WEEKDAY(TODAY(),2)+8)))</f>
        <v>0</v>
      </c>
      <c r="AB111" s="36">
        <f ca="1">IF($A111="","",IF(AB$1="","",COUNTIFS(tbl_chests[from],$A111,tbl_chests[legalized],AB$1,tbl_chests[datetime],"&gt;="&amp;TODAY()-WEEKDAY(TODAY(),2)+1,tbl_chests[datetime],"&lt;"&amp;TODAY()-WEEKDAY(TODAY(),2)+8)))</f>
        <v>0</v>
      </c>
      <c r="AC111" s="36">
        <f ca="1">IF($A111="","",IF(AC$1="","",COUNTIFS(tbl_chests[from],$A111,tbl_chests[legalized],AC$1,tbl_chests[datetime],"&gt;="&amp;TODAY()-WEEKDAY(TODAY(),2)+1,tbl_chests[datetime],"&lt;"&amp;TODAY()-WEEKDAY(TODAY(),2)+8)))</f>
        <v>0</v>
      </c>
      <c r="AD111" s="36">
        <f ca="1">IF($A111="","",IF(AD$1="","",COUNTIFS(tbl_chests[from],$A111,tbl_chests[legalized],AD$1,tbl_chests[datetime],"&gt;="&amp;TODAY()-WEEKDAY(TODAY(),2)+1,tbl_chests[datetime],"&lt;"&amp;TODAY()-WEEKDAY(TODAY(),2)+8)))</f>
        <v>0</v>
      </c>
      <c r="AE111" s="36">
        <f ca="1">IF($A111="","",IF(AE$1="","",COUNTIFS(tbl_chests[from],$A111,tbl_chests[legalized],AE$1,tbl_chests[datetime],"&gt;="&amp;TODAY()-WEEKDAY(TODAY(),2)+1,tbl_chests[datetime],"&lt;"&amp;TODAY()-WEEKDAY(TODAY(),2)+8)))</f>
        <v>0</v>
      </c>
      <c r="AF111" s="36">
        <f ca="1">IF($A111="","",IF(AF$1="","",COUNTIFS(tbl_chests[from],$A111,tbl_chests[legalized],AF$1,tbl_chests[datetime],"&gt;="&amp;TODAY()-WEEKDAY(TODAY(),2)+1,tbl_chests[datetime],"&lt;"&amp;TODAY()-WEEKDAY(TODAY(),2)+8)))</f>
        <v>0</v>
      </c>
      <c r="AG111" s="36">
        <f ca="1">IF($A111="","",IF(AG$1="","",COUNTIFS(tbl_chests[from],$A111,tbl_chests[legalized],AG$1,tbl_chests[datetime],"&gt;="&amp;TODAY()-WEEKDAY(TODAY(),2)+1,tbl_chests[datetime],"&lt;"&amp;TODAY()-WEEKDAY(TODAY(),2)+8)))</f>
        <v>0</v>
      </c>
      <c r="AH111" s="36">
        <f ca="1">IF($A111="","",IF(AH$1="","",COUNTIFS(tbl_chests[from],$A111,tbl_chests[legalized],AH$1,tbl_chests[datetime],"&gt;="&amp;TODAY()-WEEKDAY(TODAY(),2)+1,tbl_chests[datetime],"&lt;"&amp;TODAY()-WEEKDAY(TODAY(),2)+8)))</f>
        <v>0</v>
      </c>
      <c r="AI111" s="36">
        <f ca="1">IF($A111="","",IF(AI$1="","",COUNTIFS(tbl_chests[from],$A111,tbl_chests[legalized],AI$1,tbl_chests[datetime],"&gt;="&amp;TODAY()-WEEKDAY(TODAY(),2)+1,tbl_chests[datetime],"&lt;"&amp;TODAY()-WEEKDAY(TODAY(),2)+8)))</f>
        <v>0</v>
      </c>
      <c r="AJ111" s="36">
        <f ca="1">IF($A111="","",IF(AJ$1="","",COUNTIFS(tbl_chests[from],$A111,tbl_chests[legalized],AJ$1,tbl_chests[datetime],"&gt;="&amp;TODAY()-WEEKDAY(TODAY(),2)+1,tbl_chests[datetime],"&lt;"&amp;TODAY()-WEEKDAY(TODAY(),2)+8)))</f>
        <v>0</v>
      </c>
      <c r="AK111" s="36">
        <f ca="1">IF($A111="","",IF(AK$1="","",COUNTIFS(tbl_chests[from],$A111,tbl_chests[legalized],AK$1,tbl_chests[datetime],"&gt;="&amp;TODAY()-WEEKDAY(TODAY(),2)+1,tbl_chests[datetime],"&lt;"&amp;TODAY()-WEEKDAY(TODAY(),2)+8)))</f>
        <v>0</v>
      </c>
      <c r="AL111" s="36">
        <f ca="1">IF($A111="","",IF(AL$1="","",COUNTIFS(tbl_chests[from],$A111,tbl_chests[legalized],AL$1,tbl_chests[datetime],"&gt;="&amp;TODAY()-WEEKDAY(TODAY(),2)+1,tbl_chests[datetime],"&lt;"&amp;TODAY()-WEEKDAY(TODAY(),2)+8)))</f>
        <v>0</v>
      </c>
      <c r="AM111" s="37">
        <f ca="1">IF($A111="","",IF(AM$1="","",COUNTIFS(tbl_chests[from],$A111,tbl_chests[legalized],AM$1,tbl_chests[datetime],"&gt;="&amp;TODAY()-WEEKDAY(TODAY(),2)+1,tbl_chests[datetime],"&lt;"&amp;TODAY()-WEEKDAY(TODAY(),2)+8)))</f>
        <v>0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 ht="15.75" customHeight="1" x14ac:dyDescent="0.25">
      <c r="A112" s="34">
        <f>chests_counter!$H109</f>
        <v>0</v>
      </c>
      <c r="B112" s="35" cm="1">
        <f t="array" aca="1" ref="B112" ca="1">IF(A112&lt;&gt;"", SUMPRODUCT(($C$2:$AM$2&lt;&gt;0)*(C112:AM112&lt;&gt;0)*($C$2:$AM$2)*(C112:AM112)), "")</f>
        <v>0</v>
      </c>
      <c r="C112" s="36">
        <f ca="1">IF($A112="","",IF(C$1="","",COUNTIFS(tbl_chests[from],$A112,tbl_chests[legalized],C$1,tbl_chests[datetime],"&gt;="&amp;TODAY()-WEEKDAY(TODAY(),2)+1,tbl_chests[datetime],"&lt;"&amp;TODAY()-WEEKDAY(TODAY(),2)+8)))</f>
        <v>0</v>
      </c>
      <c r="D112" s="36">
        <f ca="1">IF($A112="","",IF(D$1="","",COUNTIFS(tbl_chests[from],$A112,tbl_chests[legalized],D$1,tbl_chests[datetime],"&gt;="&amp;TODAY()-WEEKDAY(TODAY(),2)+1,tbl_chests[datetime],"&lt;"&amp;TODAY()-WEEKDAY(TODAY(),2)+8)))</f>
        <v>0</v>
      </c>
      <c r="E112" s="36">
        <f ca="1">IF($A112="","",IF(E$1="","",COUNTIFS(tbl_chests[from],$A112,tbl_chests[legalized],E$1,tbl_chests[datetime],"&gt;="&amp;TODAY()-WEEKDAY(TODAY(),2)+1,tbl_chests[datetime],"&lt;"&amp;TODAY()-WEEKDAY(TODAY(),2)+8)))</f>
        <v>0</v>
      </c>
      <c r="F112" s="36">
        <f ca="1">IF($A112="","",IF(F$1="","",COUNTIFS(tbl_chests[from],$A112,tbl_chests[legalized],F$1,tbl_chests[datetime],"&gt;="&amp;TODAY()-WEEKDAY(TODAY(),2)+1,tbl_chests[datetime],"&lt;"&amp;TODAY()-WEEKDAY(TODAY(),2)+8)))</f>
        <v>0</v>
      </c>
      <c r="G112" s="36">
        <f ca="1">IF($A112="","",IF(G$1="","",COUNTIFS(tbl_chests[from],$A112,tbl_chests[legalized],G$1,tbl_chests[datetime],"&gt;="&amp;TODAY()-WEEKDAY(TODAY(),2)+1,tbl_chests[datetime],"&lt;"&amp;TODAY()-WEEKDAY(TODAY(),2)+8)))</f>
        <v>0</v>
      </c>
      <c r="H112" s="36">
        <f ca="1">IF($A112="","",IF(H$1="","",COUNTIFS(tbl_chests[from],$A112,tbl_chests[legalized],H$1,tbl_chests[datetime],"&gt;="&amp;TODAY()-WEEKDAY(TODAY(),2)+1,tbl_chests[datetime],"&lt;"&amp;TODAY()-WEEKDAY(TODAY(),2)+8)))</f>
        <v>0</v>
      </c>
      <c r="I112" s="36">
        <f ca="1">IF($A112="","",IF(I$1="","",COUNTIFS(tbl_chests[from],$A112,tbl_chests[legalized],I$1,tbl_chests[datetime],"&gt;="&amp;TODAY()-WEEKDAY(TODAY(),2)+1,tbl_chests[datetime],"&lt;"&amp;TODAY()-WEEKDAY(TODAY(),2)+8)))</f>
        <v>0</v>
      </c>
      <c r="J112" s="36">
        <f ca="1">IF($A112="","",IF(J$1="","",COUNTIFS(tbl_chests[from],$A112,tbl_chests[legalized],J$1,tbl_chests[datetime],"&gt;="&amp;TODAY()-WEEKDAY(TODAY(),2)+1,tbl_chests[datetime],"&lt;"&amp;TODAY()-WEEKDAY(TODAY(),2)+8)))</f>
        <v>0</v>
      </c>
      <c r="K112" s="36">
        <f ca="1">IF($A112="","",IF(K$1="","",COUNTIFS(tbl_chests[from],$A112,tbl_chests[legalized],K$1,tbl_chests[datetime],"&gt;="&amp;TODAY()-WEEKDAY(TODAY(),2)+1,tbl_chests[datetime],"&lt;"&amp;TODAY()-WEEKDAY(TODAY(),2)+8)))</f>
        <v>0</v>
      </c>
      <c r="L112" s="36">
        <f ca="1">IF($A112="","",IF(L$1="","",COUNTIFS(tbl_chests[from],$A112,tbl_chests[legalized],L$1,tbl_chests[datetime],"&gt;="&amp;TODAY()-WEEKDAY(TODAY(),2)+1,tbl_chests[datetime],"&lt;"&amp;TODAY()-WEEKDAY(TODAY(),2)+8)))</f>
        <v>0</v>
      </c>
      <c r="M112" s="36">
        <f ca="1">IF($A112="","",IF(M$1="","",COUNTIFS(tbl_chests[from],$A112,tbl_chests[legalized],M$1,tbl_chests[datetime],"&gt;="&amp;TODAY()-WEEKDAY(TODAY(),2)+1,tbl_chests[datetime],"&lt;"&amp;TODAY()-WEEKDAY(TODAY(),2)+8)))</f>
        <v>0</v>
      </c>
      <c r="N112" s="36">
        <f ca="1">IF($A112="","",IF(N$1="","",COUNTIFS(tbl_chests[from],$A112,tbl_chests[legalized],N$1,tbl_chests[datetime],"&gt;="&amp;TODAY()-WEEKDAY(TODAY(),2)+1,tbl_chests[datetime],"&lt;"&amp;TODAY()-WEEKDAY(TODAY(),2)+8)))</f>
        <v>0</v>
      </c>
      <c r="O112" s="36">
        <f ca="1">IF($A112="","",IF(O$1="","",COUNTIFS(tbl_chests[from],$A112,tbl_chests[legalized],O$1,tbl_chests[datetime],"&gt;="&amp;TODAY()-WEEKDAY(TODAY(),2)+1,tbl_chests[datetime],"&lt;"&amp;TODAY()-WEEKDAY(TODAY(),2)+8)))</f>
        <v>0</v>
      </c>
      <c r="P112" s="36">
        <f ca="1">IF($A112="","",IF(P$1="","",COUNTIFS(tbl_chests[from],$A112,tbl_chests[legalized],P$1,tbl_chests[datetime],"&gt;="&amp;TODAY()-WEEKDAY(TODAY(),2)+1,tbl_chests[datetime],"&lt;"&amp;TODAY()-WEEKDAY(TODAY(),2)+8)))</f>
        <v>0</v>
      </c>
      <c r="Q112" s="36">
        <f ca="1">IF($A112="","",IF(Q$1="","",COUNTIFS(tbl_chests[from],$A112,tbl_chests[legalized],Q$1,tbl_chests[datetime],"&gt;="&amp;TODAY()-WEEKDAY(TODAY(),2)+1,tbl_chests[datetime],"&lt;"&amp;TODAY()-WEEKDAY(TODAY(),2)+8)))</f>
        <v>0</v>
      </c>
      <c r="R112" s="36">
        <f ca="1">IF($A112="","",IF(R$1="","",COUNTIFS(tbl_chests[from],$A112,tbl_chests[legalized],R$1,tbl_chests[datetime],"&gt;="&amp;TODAY()-WEEKDAY(TODAY(),2)+1,tbl_chests[datetime],"&lt;"&amp;TODAY()-WEEKDAY(TODAY(),2)+8)))</f>
        <v>0</v>
      </c>
      <c r="S112" s="36">
        <f ca="1">IF($A112="","",IF(S$1="","",COUNTIFS(tbl_chests[from],$A112,tbl_chests[legalized],S$1,tbl_chests[datetime],"&gt;="&amp;TODAY()-WEEKDAY(TODAY(),2)+1,tbl_chests[datetime],"&lt;"&amp;TODAY()-WEEKDAY(TODAY(),2)+8)))</f>
        <v>0</v>
      </c>
      <c r="T112" s="36">
        <f ca="1">IF($A112="","",IF(T$1="","",COUNTIFS(tbl_chests[from],$A112,tbl_chests[legalized],T$1,tbl_chests[datetime],"&gt;="&amp;TODAY()-WEEKDAY(TODAY(),2)+1,tbl_chests[datetime],"&lt;"&amp;TODAY()-WEEKDAY(TODAY(),2)+8)))</f>
        <v>0</v>
      </c>
      <c r="U112" s="36">
        <f ca="1">IF($A112="","",IF(U$1="","",COUNTIFS(tbl_chests[from],$A112,tbl_chests[legalized],U$1,tbl_chests[datetime],"&gt;="&amp;TODAY()-WEEKDAY(TODAY(),2)+1,tbl_chests[datetime],"&lt;"&amp;TODAY()-WEEKDAY(TODAY(),2)+8)))</f>
        <v>0</v>
      </c>
      <c r="V112" s="36">
        <f ca="1">IF($A112="","",IF(V$1="","",COUNTIFS(tbl_chests[from],$A112,tbl_chests[legalized],V$1,tbl_chests[datetime],"&gt;="&amp;TODAY()-WEEKDAY(TODAY(),2)+1,tbl_chests[datetime],"&lt;"&amp;TODAY()-WEEKDAY(TODAY(),2)+8)))</f>
        <v>0</v>
      </c>
      <c r="W112" s="36">
        <f ca="1">IF($A112="","",IF(W$1="","",COUNTIFS(tbl_chests[from],$A112,tbl_chests[legalized],W$1,tbl_chests[datetime],"&gt;="&amp;TODAY()-WEEKDAY(TODAY(),2)+1,tbl_chests[datetime],"&lt;"&amp;TODAY()-WEEKDAY(TODAY(),2)+8)))</f>
        <v>0</v>
      </c>
      <c r="X112" s="36">
        <f ca="1">IF($A112="","",IF(X$1="","",COUNTIFS(tbl_chests[from],$A112,tbl_chests[legalized],X$1,tbl_chests[datetime],"&gt;="&amp;TODAY()-WEEKDAY(TODAY(),2)+1,tbl_chests[datetime],"&lt;"&amp;TODAY()-WEEKDAY(TODAY(),2)+8)))</f>
        <v>0</v>
      </c>
      <c r="Y112" s="36">
        <f ca="1">IF($A112="","",IF(Y$1="","",COUNTIFS(tbl_chests[from],$A112,tbl_chests[legalized],Y$1,tbl_chests[datetime],"&gt;="&amp;TODAY()-WEEKDAY(TODAY(),2)+1,tbl_chests[datetime],"&lt;"&amp;TODAY()-WEEKDAY(TODAY(),2)+8)))</f>
        <v>0</v>
      </c>
      <c r="Z112" s="36">
        <f ca="1">IF($A112="","",IF(Z$1="","",COUNTIFS(tbl_chests[from],$A112,tbl_chests[legalized],Z$1,tbl_chests[datetime],"&gt;="&amp;TODAY()-WEEKDAY(TODAY(),2)+1,tbl_chests[datetime],"&lt;"&amp;TODAY()-WEEKDAY(TODAY(),2)+8)))</f>
        <v>0</v>
      </c>
      <c r="AA112" s="36">
        <f ca="1">IF($A112="","",IF(AA$1="","",COUNTIFS(tbl_chests[from],$A112,tbl_chests[legalized],AA$1,tbl_chests[datetime],"&gt;="&amp;TODAY()-WEEKDAY(TODAY(),2)+1,tbl_chests[datetime],"&lt;"&amp;TODAY()-WEEKDAY(TODAY(),2)+8)))</f>
        <v>0</v>
      </c>
      <c r="AB112" s="36">
        <f ca="1">IF($A112="","",IF(AB$1="","",COUNTIFS(tbl_chests[from],$A112,tbl_chests[legalized],AB$1,tbl_chests[datetime],"&gt;="&amp;TODAY()-WEEKDAY(TODAY(),2)+1,tbl_chests[datetime],"&lt;"&amp;TODAY()-WEEKDAY(TODAY(),2)+8)))</f>
        <v>0</v>
      </c>
      <c r="AC112" s="36">
        <f ca="1">IF($A112="","",IF(AC$1="","",COUNTIFS(tbl_chests[from],$A112,tbl_chests[legalized],AC$1,tbl_chests[datetime],"&gt;="&amp;TODAY()-WEEKDAY(TODAY(),2)+1,tbl_chests[datetime],"&lt;"&amp;TODAY()-WEEKDAY(TODAY(),2)+8)))</f>
        <v>0</v>
      </c>
      <c r="AD112" s="36">
        <f ca="1">IF($A112="","",IF(AD$1="","",COUNTIFS(tbl_chests[from],$A112,tbl_chests[legalized],AD$1,tbl_chests[datetime],"&gt;="&amp;TODAY()-WEEKDAY(TODAY(),2)+1,tbl_chests[datetime],"&lt;"&amp;TODAY()-WEEKDAY(TODAY(),2)+8)))</f>
        <v>0</v>
      </c>
      <c r="AE112" s="36">
        <f ca="1">IF($A112="","",IF(AE$1="","",COUNTIFS(tbl_chests[from],$A112,tbl_chests[legalized],AE$1,tbl_chests[datetime],"&gt;="&amp;TODAY()-WEEKDAY(TODAY(),2)+1,tbl_chests[datetime],"&lt;"&amp;TODAY()-WEEKDAY(TODAY(),2)+8)))</f>
        <v>0</v>
      </c>
      <c r="AF112" s="36">
        <f ca="1">IF($A112="","",IF(AF$1="","",COUNTIFS(tbl_chests[from],$A112,tbl_chests[legalized],AF$1,tbl_chests[datetime],"&gt;="&amp;TODAY()-WEEKDAY(TODAY(),2)+1,tbl_chests[datetime],"&lt;"&amp;TODAY()-WEEKDAY(TODAY(),2)+8)))</f>
        <v>0</v>
      </c>
      <c r="AG112" s="36">
        <f ca="1">IF($A112="","",IF(AG$1="","",COUNTIFS(tbl_chests[from],$A112,tbl_chests[legalized],AG$1,tbl_chests[datetime],"&gt;="&amp;TODAY()-WEEKDAY(TODAY(),2)+1,tbl_chests[datetime],"&lt;"&amp;TODAY()-WEEKDAY(TODAY(),2)+8)))</f>
        <v>0</v>
      </c>
      <c r="AH112" s="36">
        <f ca="1">IF($A112="","",IF(AH$1="","",COUNTIFS(tbl_chests[from],$A112,tbl_chests[legalized],AH$1,tbl_chests[datetime],"&gt;="&amp;TODAY()-WEEKDAY(TODAY(),2)+1,tbl_chests[datetime],"&lt;"&amp;TODAY()-WEEKDAY(TODAY(),2)+8)))</f>
        <v>0</v>
      </c>
      <c r="AI112" s="36">
        <f ca="1">IF($A112="","",IF(AI$1="","",COUNTIFS(tbl_chests[from],$A112,tbl_chests[legalized],AI$1,tbl_chests[datetime],"&gt;="&amp;TODAY()-WEEKDAY(TODAY(),2)+1,tbl_chests[datetime],"&lt;"&amp;TODAY()-WEEKDAY(TODAY(),2)+8)))</f>
        <v>0</v>
      </c>
      <c r="AJ112" s="36">
        <f ca="1">IF($A112="","",IF(AJ$1="","",COUNTIFS(tbl_chests[from],$A112,tbl_chests[legalized],AJ$1,tbl_chests[datetime],"&gt;="&amp;TODAY()-WEEKDAY(TODAY(),2)+1,tbl_chests[datetime],"&lt;"&amp;TODAY()-WEEKDAY(TODAY(),2)+8)))</f>
        <v>0</v>
      </c>
      <c r="AK112" s="36">
        <f ca="1">IF($A112="","",IF(AK$1="","",COUNTIFS(tbl_chests[from],$A112,tbl_chests[legalized],AK$1,tbl_chests[datetime],"&gt;="&amp;TODAY()-WEEKDAY(TODAY(),2)+1,tbl_chests[datetime],"&lt;"&amp;TODAY()-WEEKDAY(TODAY(),2)+8)))</f>
        <v>0</v>
      </c>
      <c r="AL112" s="36">
        <f ca="1">IF($A112="","",IF(AL$1="","",COUNTIFS(tbl_chests[from],$A112,tbl_chests[legalized],AL$1,tbl_chests[datetime],"&gt;="&amp;TODAY()-WEEKDAY(TODAY(),2)+1,tbl_chests[datetime],"&lt;"&amp;TODAY()-WEEKDAY(TODAY(),2)+8)))</f>
        <v>0</v>
      </c>
      <c r="AM112" s="37">
        <f ca="1">IF($A112="","",IF(AM$1="","",COUNTIFS(tbl_chests[from],$A112,tbl_chests[legalized],AM$1,tbl_chests[datetime],"&gt;="&amp;TODAY()-WEEKDAY(TODAY(),2)+1,tbl_chests[datetime],"&lt;"&amp;TODAY()-WEEKDAY(TODAY(),2)+8)))</f>
        <v>0</v>
      </c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 ht="15.75" customHeight="1" x14ac:dyDescent="0.25">
      <c r="A113" s="34">
        <f>chests_counter!$H110</f>
        <v>0</v>
      </c>
      <c r="B113" s="35" cm="1">
        <f t="array" aca="1" ref="B113" ca="1">IF(A113&lt;&gt;"", SUMPRODUCT(($C$2:$AM$2&lt;&gt;0)*(C113:AM113&lt;&gt;0)*($C$2:$AM$2)*(C113:AM113)), "")</f>
        <v>0</v>
      </c>
      <c r="C113" s="36">
        <f ca="1">IF($A113="","",IF(C$1="","",COUNTIFS(tbl_chests[from],$A113,tbl_chests[legalized],C$1,tbl_chests[datetime],"&gt;="&amp;TODAY()-WEEKDAY(TODAY(),2)+1,tbl_chests[datetime],"&lt;"&amp;TODAY()-WEEKDAY(TODAY(),2)+8)))</f>
        <v>0</v>
      </c>
      <c r="D113" s="36">
        <f ca="1">IF($A113="","",IF(D$1="","",COUNTIFS(tbl_chests[from],$A113,tbl_chests[legalized],D$1,tbl_chests[datetime],"&gt;="&amp;TODAY()-WEEKDAY(TODAY(),2)+1,tbl_chests[datetime],"&lt;"&amp;TODAY()-WEEKDAY(TODAY(),2)+8)))</f>
        <v>0</v>
      </c>
      <c r="E113" s="36">
        <f ca="1">IF($A113="","",IF(E$1="","",COUNTIFS(tbl_chests[from],$A113,tbl_chests[legalized],E$1,tbl_chests[datetime],"&gt;="&amp;TODAY()-WEEKDAY(TODAY(),2)+1,tbl_chests[datetime],"&lt;"&amp;TODAY()-WEEKDAY(TODAY(),2)+8)))</f>
        <v>0</v>
      </c>
      <c r="F113" s="36">
        <f ca="1">IF($A113="","",IF(F$1="","",COUNTIFS(tbl_chests[from],$A113,tbl_chests[legalized],F$1,tbl_chests[datetime],"&gt;="&amp;TODAY()-WEEKDAY(TODAY(),2)+1,tbl_chests[datetime],"&lt;"&amp;TODAY()-WEEKDAY(TODAY(),2)+8)))</f>
        <v>0</v>
      </c>
      <c r="G113" s="36">
        <f ca="1">IF($A113="","",IF(G$1="","",COUNTIFS(tbl_chests[from],$A113,tbl_chests[legalized],G$1,tbl_chests[datetime],"&gt;="&amp;TODAY()-WEEKDAY(TODAY(),2)+1,tbl_chests[datetime],"&lt;"&amp;TODAY()-WEEKDAY(TODAY(),2)+8)))</f>
        <v>0</v>
      </c>
      <c r="H113" s="36">
        <f ca="1">IF($A113="","",IF(H$1="","",COUNTIFS(tbl_chests[from],$A113,tbl_chests[legalized],H$1,tbl_chests[datetime],"&gt;="&amp;TODAY()-WEEKDAY(TODAY(),2)+1,tbl_chests[datetime],"&lt;"&amp;TODAY()-WEEKDAY(TODAY(),2)+8)))</f>
        <v>0</v>
      </c>
      <c r="I113" s="36">
        <f ca="1">IF($A113="","",IF(I$1="","",COUNTIFS(tbl_chests[from],$A113,tbl_chests[legalized],I$1,tbl_chests[datetime],"&gt;="&amp;TODAY()-WEEKDAY(TODAY(),2)+1,tbl_chests[datetime],"&lt;"&amp;TODAY()-WEEKDAY(TODAY(),2)+8)))</f>
        <v>0</v>
      </c>
      <c r="J113" s="36">
        <f ca="1">IF($A113="","",IF(J$1="","",COUNTIFS(tbl_chests[from],$A113,tbl_chests[legalized],J$1,tbl_chests[datetime],"&gt;="&amp;TODAY()-WEEKDAY(TODAY(),2)+1,tbl_chests[datetime],"&lt;"&amp;TODAY()-WEEKDAY(TODAY(),2)+8)))</f>
        <v>0</v>
      </c>
      <c r="K113" s="36">
        <f ca="1">IF($A113="","",IF(K$1="","",COUNTIFS(tbl_chests[from],$A113,tbl_chests[legalized],K$1,tbl_chests[datetime],"&gt;="&amp;TODAY()-WEEKDAY(TODAY(),2)+1,tbl_chests[datetime],"&lt;"&amp;TODAY()-WEEKDAY(TODAY(),2)+8)))</f>
        <v>0</v>
      </c>
      <c r="L113" s="36">
        <f ca="1">IF($A113="","",IF(L$1="","",COUNTIFS(tbl_chests[from],$A113,tbl_chests[legalized],L$1,tbl_chests[datetime],"&gt;="&amp;TODAY()-WEEKDAY(TODAY(),2)+1,tbl_chests[datetime],"&lt;"&amp;TODAY()-WEEKDAY(TODAY(),2)+8)))</f>
        <v>0</v>
      </c>
      <c r="M113" s="36">
        <f ca="1">IF($A113="","",IF(M$1="","",COUNTIFS(tbl_chests[from],$A113,tbl_chests[legalized],M$1,tbl_chests[datetime],"&gt;="&amp;TODAY()-WEEKDAY(TODAY(),2)+1,tbl_chests[datetime],"&lt;"&amp;TODAY()-WEEKDAY(TODAY(),2)+8)))</f>
        <v>0</v>
      </c>
      <c r="N113" s="36">
        <f ca="1">IF($A113="","",IF(N$1="","",COUNTIFS(tbl_chests[from],$A113,tbl_chests[legalized],N$1,tbl_chests[datetime],"&gt;="&amp;TODAY()-WEEKDAY(TODAY(),2)+1,tbl_chests[datetime],"&lt;"&amp;TODAY()-WEEKDAY(TODAY(),2)+8)))</f>
        <v>0</v>
      </c>
      <c r="O113" s="36">
        <f ca="1">IF($A113="","",IF(O$1="","",COUNTIFS(tbl_chests[from],$A113,tbl_chests[legalized],O$1,tbl_chests[datetime],"&gt;="&amp;TODAY()-WEEKDAY(TODAY(),2)+1,tbl_chests[datetime],"&lt;"&amp;TODAY()-WEEKDAY(TODAY(),2)+8)))</f>
        <v>0</v>
      </c>
      <c r="P113" s="36">
        <f ca="1">IF($A113="","",IF(P$1="","",COUNTIFS(tbl_chests[from],$A113,tbl_chests[legalized],P$1,tbl_chests[datetime],"&gt;="&amp;TODAY()-WEEKDAY(TODAY(),2)+1,tbl_chests[datetime],"&lt;"&amp;TODAY()-WEEKDAY(TODAY(),2)+8)))</f>
        <v>0</v>
      </c>
      <c r="Q113" s="36">
        <f ca="1">IF($A113="","",IF(Q$1="","",COUNTIFS(tbl_chests[from],$A113,tbl_chests[legalized],Q$1,tbl_chests[datetime],"&gt;="&amp;TODAY()-WEEKDAY(TODAY(),2)+1,tbl_chests[datetime],"&lt;"&amp;TODAY()-WEEKDAY(TODAY(),2)+8)))</f>
        <v>0</v>
      </c>
      <c r="R113" s="36">
        <f ca="1">IF($A113="","",IF(R$1="","",COUNTIFS(tbl_chests[from],$A113,tbl_chests[legalized],R$1,tbl_chests[datetime],"&gt;="&amp;TODAY()-WEEKDAY(TODAY(),2)+1,tbl_chests[datetime],"&lt;"&amp;TODAY()-WEEKDAY(TODAY(),2)+8)))</f>
        <v>0</v>
      </c>
      <c r="S113" s="36">
        <f ca="1">IF($A113="","",IF(S$1="","",COUNTIFS(tbl_chests[from],$A113,tbl_chests[legalized],S$1,tbl_chests[datetime],"&gt;="&amp;TODAY()-WEEKDAY(TODAY(),2)+1,tbl_chests[datetime],"&lt;"&amp;TODAY()-WEEKDAY(TODAY(),2)+8)))</f>
        <v>0</v>
      </c>
      <c r="T113" s="36">
        <f ca="1">IF($A113="","",IF(T$1="","",COUNTIFS(tbl_chests[from],$A113,tbl_chests[legalized],T$1,tbl_chests[datetime],"&gt;="&amp;TODAY()-WEEKDAY(TODAY(),2)+1,tbl_chests[datetime],"&lt;"&amp;TODAY()-WEEKDAY(TODAY(),2)+8)))</f>
        <v>0</v>
      </c>
      <c r="U113" s="36">
        <f ca="1">IF($A113="","",IF(U$1="","",COUNTIFS(tbl_chests[from],$A113,tbl_chests[legalized],U$1,tbl_chests[datetime],"&gt;="&amp;TODAY()-WEEKDAY(TODAY(),2)+1,tbl_chests[datetime],"&lt;"&amp;TODAY()-WEEKDAY(TODAY(),2)+8)))</f>
        <v>0</v>
      </c>
      <c r="V113" s="36">
        <f ca="1">IF($A113="","",IF(V$1="","",COUNTIFS(tbl_chests[from],$A113,tbl_chests[legalized],V$1,tbl_chests[datetime],"&gt;="&amp;TODAY()-WEEKDAY(TODAY(),2)+1,tbl_chests[datetime],"&lt;"&amp;TODAY()-WEEKDAY(TODAY(),2)+8)))</f>
        <v>0</v>
      </c>
      <c r="W113" s="36">
        <f ca="1">IF($A113="","",IF(W$1="","",COUNTIFS(tbl_chests[from],$A113,tbl_chests[legalized],W$1,tbl_chests[datetime],"&gt;="&amp;TODAY()-WEEKDAY(TODAY(),2)+1,tbl_chests[datetime],"&lt;"&amp;TODAY()-WEEKDAY(TODAY(),2)+8)))</f>
        <v>0</v>
      </c>
      <c r="X113" s="36">
        <f ca="1">IF($A113="","",IF(X$1="","",COUNTIFS(tbl_chests[from],$A113,tbl_chests[legalized],X$1,tbl_chests[datetime],"&gt;="&amp;TODAY()-WEEKDAY(TODAY(),2)+1,tbl_chests[datetime],"&lt;"&amp;TODAY()-WEEKDAY(TODAY(),2)+8)))</f>
        <v>0</v>
      </c>
      <c r="Y113" s="36">
        <f ca="1">IF($A113="","",IF(Y$1="","",COUNTIFS(tbl_chests[from],$A113,tbl_chests[legalized],Y$1,tbl_chests[datetime],"&gt;="&amp;TODAY()-WEEKDAY(TODAY(),2)+1,tbl_chests[datetime],"&lt;"&amp;TODAY()-WEEKDAY(TODAY(),2)+8)))</f>
        <v>0</v>
      </c>
      <c r="Z113" s="36">
        <f ca="1">IF($A113="","",IF(Z$1="","",COUNTIFS(tbl_chests[from],$A113,tbl_chests[legalized],Z$1,tbl_chests[datetime],"&gt;="&amp;TODAY()-WEEKDAY(TODAY(),2)+1,tbl_chests[datetime],"&lt;"&amp;TODAY()-WEEKDAY(TODAY(),2)+8)))</f>
        <v>0</v>
      </c>
      <c r="AA113" s="36">
        <f ca="1">IF($A113="","",IF(AA$1="","",COUNTIFS(tbl_chests[from],$A113,tbl_chests[legalized],AA$1,tbl_chests[datetime],"&gt;="&amp;TODAY()-WEEKDAY(TODAY(),2)+1,tbl_chests[datetime],"&lt;"&amp;TODAY()-WEEKDAY(TODAY(),2)+8)))</f>
        <v>0</v>
      </c>
      <c r="AB113" s="36">
        <f ca="1">IF($A113="","",IF(AB$1="","",COUNTIFS(tbl_chests[from],$A113,tbl_chests[legalized],AB$1,tbl_chests[datetime],"&gt;="&amp;TODAY()-WEEKDAY(TODAY(),2)+1,tbl_chests[datetime],"&lt;"&amp;TODAY()-WEEKDAY(TODAY(),2)+8)))</f>
        <v>0</v>
      </c>
      <c r="AC113" s="36">
        <f ca="1">IF($A113="","",IF(AC$1="","",COUNTIFS(tbl_chests[from],$A113,tbl_chests[legalized],AC$1,tbl_chests[datetime],"&gt;="&amp;TODAY()-WEEKDAY(TODAY(),2)+1,tbl_chests[datetime],"&lt;"&amp;TODAY()-WEEKDAY(TODAY(),2)+8)))</f>
        <v>0</v>
      </c>
      <c r="AD113" s="36">
        <f ca="1">IF($A113="","",IF(AD$1="","",COUNTIFS(tbl_chests[from],$A113,tbl_chests[legalized],AD$1,tbl_chests[datetime],"&gt;="&amp;TODAY()-WEEKDAY(TODAY(),2)+1,tbl_chests[datetime],"&lt;"&amp;TODAY()-WEEKDAY(TODAY(),2)+8)))</f>
        <v>0</v>
      </c>
      <c r="AE113" s="36">
        <f ca="1">IF($A113="","",IF(AE$1="","",COUNTIFS(tbl_chests[from],$A113,tbl_chests[legalized],AE$1,tbl_chests[datetime],"&gt;="&amp;TODAY()-WEEKDAY(TODAY(),2)+1,tbl_chests[datetime],"&lt;"&amp;TODAY()-WEEKDAY(TODAY(),2)+8)))</f>
        <v>0</v>
      </c>
      <c r="AF113" s="36">
        <f ca="1">IF($A113="","",IF(AF$1="","",COUNTIFS(tbl_chests[from],$A113,tbl_chests[legalized],AF$1,tbl_chests[datetime],"&gt;="&amp;TODAY()-WEEKDAY(TODAY(),2)+1,tbl_chests[datetime],"&lt;"&amp;TODAY()-WEEKDAY(TODAY(),2)+8)))</f>
        <v>0</v>
      </c>
      <c r="AG113" s="36">
        <f ca="1">IF($A113="","",IF(AG$1="","",COUNTIFS(tbl_chests[from],$A113,tbl_chests[legalized],AG$1,tbl_chests[datetime],"&gt;="&amp;TODAY()-WEEKDAY(TODAY(),2)+1,tbl_chests[datetime],"&lt;"&amp;TODAY()-WEEKDAY(TODAY(),2)+8)))</f>
        <v>0</v>
      </c>
      <c r="AH113" s="36">
        <f ca="1">IF($A113="","",IF(AH$1="","",COUNTIFS(tbl_chests[from],$A113,tbl_chests[legalized],AH$1,tbl_chests[datetime],"&gt;="&amp;TODAY()-WEEKDAY(TODAY(),2)+1,tbl_chests[datetime],"&lt;"&amp;TODAY()-WEEKDAY(TODAY(),2)+8)))</f>
        <v>0</v>
      </c>
      <c r="AI113" s="36">
        <f ca="1">IF($A113="","",IF(AI$1="","",COUNTIFS(tbl_chests[from],$A113,tbl_chests[legalized],AI$1,tbl_chests[datetime],"&gt;="&amp;TODAY()-WEEKDAY(TODAY(),2)+1,tbl_chests[datetime],"&lt;"&amp;TODAY()-WEEKDAY(TODAY(),2)+8)))</f>
        <v>0</v>
      </c>
      <c r="AJ113" s="36">
        <f ca="1">IF($A113="","",IF(AJ$1="","",COUNTIFS(tbl_chests[from],$A113,tbl_chests[legalized],AJ$1,tbl_chests[datetime],"&gt;="&amp;TODAY()-WEEKDAY(TODAY(),2)+1,tbl_chests[datetime],"&lt;"&amp;TODAY()-WEEKDAY(TODAY(),2)+8)))</f>
        <v>0</v>
      </c>
      <c r="AK113" s="36">
        <f ca="1">IF($A113="","",IF(AK$1="","",COUNTIFS(tbl_chests[from],$A113,tbl_chests[legalized],AK$1,tbl_chests[datetime],"&gt;="&amp;TODAY()-WEEKDAY(TODAY(),2)+1,tbl_chests[datetime],"&lt;"&amp;TODAY()-WEEKDAY(TODAY(),2)+8)))</f>
        <v>0</v>
      </c>
      <c r="AL113" s="36">
        <f ca="1">IF($A113="","",IF(AL$1="","",COUNTIFS(tbl_chests[from],$A113,tbl_chests[legalized],AL$1,tbl_chests[datetime],"&gt;="&amp;TODAY()-WEEKDAY(TODAY(),2)+1,tbl_chests[datetime],"&lt;"&amp;TODAY()-WEEKDAY(TODAY(),2)+8)))</f>
        <v>0</v>
      </c>
      <c r="AM113" s="37">
        <f ca="1">IF($A113="","",IF(AM$1="","",COUNTIFS(tbl_chests[from],$A113,tbl_chests[legalized],AM$1,tbl_chests[datetime],"&gt;="&amp;TODAY()-WEEKDAY(TODAY(),2)+1,tbl_chests[datetime],"&lt;"&amp;TODAY()-WEEKDAY(TODAY(),2)+8)))</f>
        <v>0</v>
      </c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 ht="15.75" customHeight="1" x14ac:dyDescent="0.25">
      <c r="A114" s="34">
        <f>chests_counter!$H111</f>
        <v>0</v>
      </c>
      <c r="B114" s="35" cm="1">
        <f t="array" aca="1" ref="B114" ca="1">IF(A114&lt;&gt;"", SUMPRODUCT(($C$2:$AM$2&lt;&gt;0)*(C114:AM114&lt;&gt;0)*($C$2:$AM$2)*(C114:AM114)), "")</f>
        <v>0</v>
      </c>
      <c r="C114" s="36">
        <f ca="1">IF($A114="","",IF(C$1="","",COUNTIFS(tbl_chests[from],$A114,tbl_chests[legalized],C$1,tbl_chests[datetime],"&gt;="&amp;TODAY()-WEEKDAY(TODAY(),2)+1,tbl_chests[datetime],"&lt;"&amp;TODAY()-WEEKDAY(TODAY(),2)+8)))</f>
        <v>0</v>
      </c>
      <c r="D114" s="36">
        <f ca="1">IF($A114="","",IF(D$1="","",COUNTIFS(tbl_chests[from],$A114,tbl_chests[legalized],D$1,tbl_chests[datetime],"&gt;="&amp;TODAY()-WEEKDAY(TODAY(),2)+1,tbl_chests[datetime],"&lt;"&amp;TODAY()-WEEKDAY(TODAY(),2)+8)))</f>
        <v>0</v>
      </c>
      <c r="E114" s="36">
        <f ca="1">IF($A114="","",IF(E$1="","",COUNTIFS(tbl_chests[from],$A114,tbl_chests[legalized],E$1,tbl_chests[datetime],"&gt;="&amp;TODAY()-WEEKDAY(TODAY(),2)+1,tbl_chests[datetime],"&lt;"&amp;TODAY()-WEEKDAY(TODAY(),2)+8)))</f>
        <v>0</v>
      </c>
      <c r="F114" s="36">
        <f ca="1">IF($A114="","",IF(F$1="","",COUNTIFS(tbl_chests[from],$A114,tbl_chests[legalized],F$1,tbl_chests[datetime],"&gt;="&amp;TODAY()-WEEKDAY(TODAY(),2)+1,tbl_chests[datetime],"&lt;"&amp;TODAY()-WEEKDAY(TODAY(),2)+8)))</f>
        <v>0</v>
      </c>
      <c r="G114" s="36">
        <f ca="1">IF($A114="","",IF(G$1="","",COUNTIFS(tbl_chests[from],$A114,tbl_chests[legalized],G$1,tbl_chests[datetime],"&gt;="&amp;TODAY()-WEEKDAY(TODAY(),2)+1,tbl_chests[datetime],"&lt;"&amp;TODAY()-WEEKDAY(TODAY(),2)+8)))</f>
        <v>0</v>
      </c>
      <c r="H114" s="36">
        <f ca="1">IF($A114="","",IF(H$1="","",COUNTIFS(tbl_chests[from],$A114,tbl_chests[legalized],H$1,tbl_chests[datetime],"&gt;="&amp;TODAY()-WEEKDAY(TODAY(),2)+1,tbl_chests[datetime],"&lt;"&amp;TODAY()-WEEKDAY(TODAY(),2)+8)))</f>
        <v>0</v>
      </c>
      <c r="I114" s="36">
        <f ca="1">IF($A114="","",IF(I$1="","",COUNTIFS(tbl_chests[from],$A114,tbl_chests[legalized],I$1,tbl_chests[datetime],"&gt;="&amp;TODAY()-WEEKDAY(TODAY(),2)+1,tbl_chests[datetime],"&lt;"&amp;TODAY()-WEEKDAY(TODAY(),2)+8)))</f>
        <v>0</v>
      </c>
      <c r="J114" s="36">
        <f ca="1">IF($A114="","",IF(J$1="","",COUNTIFS(tbl_chests[from],$A114,tbl_chests[legalized],J$1,tbl_chests[datetime],"&gt;="&amp;TODAY()-WEEKDAY(TODAY(),2)+1,tbl_chests[datetime],"&lt;"&amp;TODAY()-WEEKDAY(TODAY(),2)+8)))</f>
        <v>0</v>
      </c>
      <c r="K114" s="36">
        <f ca="1">IF($A114="","",IF(K$1="","",COUNTIFS(tbl_chests[from],$A114,tbl_chests[legalized],K$1,tbl_chests[datetime],"&gt;="&amp;TODAY()-WEEKDAY(TODAY(),2)+1,tbl_chests[datetime],"&lt;"&amp;TODAY()-WEEKDAY(TODAY(),2)+8)))</f>
        <v>0</v>
      </c>
      <c r="L114" s="36">
        <f ca="1">IF($A114="","",IF(L$1="","",COUNTIFS(tbl_chests[from],$A114,tbl_chests[legalized],L$1,tbl_chests[datetime],"&gt;="&amp;TODAY()-WEEKDAY(TODAY(),2)+1,tbl_chests[datetime],"&lt;"&amp;TODAY()-WEEKDAY(TODAY(),2)+8)))</f>
        <v>0</v>
      </c>
      <c r="M114" s="36">
        <f ca="1">IF($A114="","",IF(M$1="","",COUNTIFS(tbl_chests[from],$A114,tbl_chests[legalized],M$1,tbl_chests[datetime],"&gt;="&amp;TODAY()-WEEKDAY(TODAY(),2)+1,tbl_chests[datetime],"&lt;"&amp;TODAY()-WEEKDAY(TODAY(),2)+8)))</f>
        <v>0</v>
      </c>
      <c r="N114" s="36">
        <f ca="1">IF($A114="","",IF(N$1="","",COUNTIFS(tbl_chests[from],$A114,tbl_chests[legalized],N$1,tbl_chests[datetime],"&gt;="&amp;TODAY()-WEEKDAY(TODAY(),2)+1,tbl_chests[datetime],"&lt;"&amp;TODAY()-WEEKDAY(TODAY(),2)+8)))</f>
        <v>0</v>
      </c>
      <c r="O114" s="36">
        <f ca="1">IF($A114="","",IF(O$1="","",COUNTIFS(tbl_chests[from],$A114,tbl_chests[legalized],O$1,tbl_chests[datetime],"&gt;="&amp;TODAY()-WEEKDAY(TODAY(),2)+1,tbl_chests[datetime],"&lt;"&amp;TODAY()-WEEKDAY(TODAY(),2)+8)))</f>
        <v>0</v>
      </c>
      <c r="P114" s="36">
        <f ca="1">IF($A114="","",IF(P$1="","",COUNTIFS(tbl_chests[from],$A114,tbl_chests[legalized],P$1,tbl_chests[datetime],"&gt;="&amp;TODAY()-WEEKDAY(TODAY(),2)+1,tbl_chests[datetime],"&lt;"&amp;TODAY()-WEEKDAY(TODAY(),2)+8)))</f>
        <v>0</v>
      </c>
      <c r="Q114" s="36">
        <f ca="1">IF($A114="","",IF(Q$1="","",COUNTIFS(tbl_chests[from],$A114,tbl_chests[legalized],Q$1,tbl_chests[datetime],"&gt;="&amp;TODAY()-WEEKDAY(TODAY(),2)+1,tbl_chests[datetime],"&lt;"&amp;TODAY()-WEEKDAY(TODAY(),2)+8)))</f>
        <v>0</v>
      </c>
      <c r="R114" s="36">
        <f ca="1">IF($A114="","",IF(R$1="","",COUNTIFS(tbl_chests[from],$A114,tbl_chests[legalized],R$1,tbl_chests[datetime],"&gt;="&amp;TODAY()-WEEKDAY(TODAY(),2)+1,tbl_chests[datetime],"&lt;"&amp;TODAY()-WEEKDAY(TODAY(),2)+8)))</f>
        <v>0</v>
      </c>
      <c r="S114" s="36">
        <f ca="1">IF($A114="","",IF(S$1="","",COUNTIFS(tbl_chests[from],$A114,tbl_chests[legalized],S$1,tbl_chests[datetime],"&gt;="&amp;TODAY()-WEEKDAY(TODAY(),2)+1,tbl_chests[datetime],"&lt;"&amp;TODAY()-WEEKDAY(TODAY(),2)+8)))</f>
        <v>0</v>
      </c>
      <c r="T114" s="36">
        <f ca="1">IF($A114="","",IF(T$1="","",COUNTIFS(tbl_chests[from],$A114,tbl_chests[legalized],T$1,tbl_chests[datetime],"&gt;="&amp;TODAY()-WEEKDAY(TODAY(),2)+1,tbl_chests[datetime],"&lt;"&amp;TODAY()-WEEKDAY(TODAY(),2)+8)))</f>
        <v>0</v>
      </c>
      <c r="U114" s="36">
        <f ca="1">IF($A114="","",IF(U$1="","",COUNTIFS(tbl_chests[from],$A114,tbl_chests[legalized],U$1,tbl_chests[datetime],"&gt;="&amp;TODAY()-WEEKDAY(TODAY(),2)+1,tbl_chests[datetime],"&lt;"&amp;TODAY()-WEEKDAY(TODAY(),2)+8)))</f>
        <v>0</v>
      </c>
      <c r="V114" s="36">
        <f ca="1">IF($A114="","",IF(V$1="","",COUNTIFS(tbl_chests[from],$A114,tbl_chests[legalized],V$1,tbl_chests[datetime],"&gt;="&amp;TODAY()-WEEKDAY(TODAY(),2)+1,tbl_chests[datetime],"&lt;"&amp;TODAY()-WEEKDAY(TODAY(),2)+8)))</f>
        <v>0</v>
      </c>
      <c r="W114" s="36">
        <f ca="1">IF($A114="","",IF(W$1="","",COUNTIFS(tbl_chests[from],$A114,tbl_chests[legalized],W$1,tbl_chests[datetime],"&gt;="&amp;TODAY()-WEEKDAY(TODAY(),2)+1,tbl_chests[datetime],"&lt;"&amp;TODAY()-WEEKDAY(TODAY(),2)+8)))</f>
        <v>0</v>
      </c>
      <c r="X114" s="36">
        <f ca="1">IF($A114="","",IF(X$1="","",COUNTIFS(tbl_chests[from],$A114,tbl_chests[legalized],X$1,tbl_chests[datetime],"&gt;="&amp;TODAY()-WEEKDAY(TODAY(),2)+1,tbl_chests[datetime],"&lt;"&amp;TODAY()-WEEKDAY(TODAY(),2)+8)))</f>
        <v>0</v>
      </c>
      <c r="Y114" s="36">
        <f ca="1">IF($A114="","",IF(Y$1="","",COUNTIFS(tbl_chests[from],$A114,tbl_chests[legalized],Y$1,tbl_chests[datetime],"&gt;="&amp;TODAY()-WEEKDAY(TODAY(),2)+1,tbl_chests[datetime],"&lt;"&amp;TODAY()-WEEKDAY(TODAY(),2)+8)))</f>
        <v>0</v>
      </c>
      <c r="Z114" s="36">
        <f ca="1">IF($A114="","",IF(Z$1="","",COUNTIFS(tbl_chests[from],$A114,tbl_chests[legalized],Z$1,tbl_chests[datetime],"&gt;="&amp;TODAY()-WEEKDAY(TODAY(),2)+1,tbl_chests[datetime],"&lt;"&amp;TODAY()-WEEKDAY(TODAY(),2)+8)))</f>
        <v>0</v>
      </c>
      <c r="AA114" s="36">
        <f ca="1">IF($A114="","",IF(AA$1="","",COUNTIFS(tbl_chests[from],$A114,tbl_chests[legalized],AA$1,tbl_chests[datetime],"&gt;="&amp;TODAY()-WEEKDAY(TODAY(),2)+1,tbl_chests[datetime],"&lt;"&amp;TODAY()-WEEKDAY(TODAY(),2)+8)))</f>
        <v>0</v>
      </c>
      <c r="AB114" s="36">
        <f ca="1">IF($A114="","",IF(AB$1="","",COUNTIFS(tbl_chests[from],$A114,tbl_chests[legalized],AB$1,tbl_chests[datetime],"&gt;="&amp;TODAY()-WEEKDAY(TODAY(),2)+1,tbl_chests[datetime],"&lt;"&amp;TODAY()-WEEKDAY(TODAY(),2)+8)))</f>
        <v>0</v>
      </c>
      <c r="AC114" s="36">
        <f ca="1">IF($A114="","",IF(AC$1="","",COUNTIFS(tbl_chests[from],$A114,tbl_chests[legalized],AC$1,tbl_chests[datetime],"&gt;="&amp;TODAY()-WEEKDAY(TODAY(),2)+1,tbl_chests[datetime],"&lt;"&amp;TODAY()-WEEKDAY(TODAY(),2)+8)))</f>
        <v>0</v>
      </c>
      <c r="AD114" s="36">
        <f ca="1">IF($A114="","",IF(AD$1="","",COUNTIFS(tbl_chests[from],$A114,tbl_chests[legalized],AD$1,tbl_chests[datetime],"&gt;="&amp;TODAY()-WEEKDAY(TODAY(),2)+1,tbl_chests[datetime],"&lt;"&amp;TODAY()-WEEKDAY(TODAY(),2)+8)))</f>
        <v>0</v>
      </c>
      <c r="AE114" s="36">
        <f ca="1">IF($A114="","",IF(AE$1="","",COUNTIFS(tbl_chests[from],$A114,tbl_chests[legalized],AE$1,tbl_chests[datetime],"&gt;="&amp;TODAY()-WEEKDAY(TODAY(),2)+1,tbl_chests[datetime],"&lt;"&amp;TODAY()-WEEKDAY(TODAY(),2)+8)))</f>
        <v>0</v>
      </c>
      <c r="AF114" s="36">
        <f ca="1">IF($A114="","",IF(AF$1="","",COUNTIFS(tbl_chests[from],$A114,tbl_chests[legalized],AF$1,tbl_chests[datetime],"&gt;="&amp;TODAY()-WEEKDAY(TODAY(),2)+1,tbl_chests[datetime],"&lt;"&amp;TODAY()-WEEKDAY(TODAY(),2)+8)))</f>
        <v>0</v>
      </c>
      <c r="AG114" s="36">
        <f ca="1">IF($A114="","",IF(AG$1="","",COUNTIFS(tbl_chests[from],$A114,tbl_chests[legalized],AG$1,tbl_chests[datetime],"&gt;="&amp;TODAY()-WEEKDAY(TODAY(),2)+1,tbl_chests[datetime],"&lt;"&amp;TODAY()-WEEKDAY(TODAY(),2)+8)))</f>
        <v>0</v>
      </c>
      <c r="AH114" s="36">
        <f ca="1">IF($A114="","",IF(AH$1="","",COUNTIFS(tbl_chests[from],$A114,tbl_chests[legalized],AH$1,tbl_chests[datetime],"&gt;="&amp;TODAY()-WEEKDAY(TODAY(),2)+1,tbl_chests[datetime],"&lt;"&amp;TODAY()-WEEKDAY(TODAY(),2)+8)))</f>
        <v>0</v>
      </c>
      <c r="AI114" s="36">
        <f ca="1">IF($A114="","",IF(AI$1="","",COUNTIFS(tbl_chests[from],$A114,tbl_chests[legalized],AI$1,tbl_chests[datetime],"&gt;="&amp;TODAY()-WEEKDAY(TODAY(),2)+1,tbl_chests[datetime],"&lt;"&amp;TODAY()-WEEKDAY(TODAY(),2)+8)))</f>
        <v>0</v>
      </c>
      <c r="AJ114" s="36">
        <f ca="1">IF($A114="","",IF(AJ$1="","",COUNTIFS(tbl_chests[from],$A114,tbl_chests[legalized],AJ$1,tbl_chests[datetime],"&gt;="&amp;TODAY()-WEEKDAY(TODAY(),2)+1,tbl_chests[datetime],"&lt;"&amp;TODAY()-WEEKDAY(TODAY(),2)+8)))</f>
        <v>0</v>
      </c>
      <c r="AK114" s="36">
        <f ca="1">IF($A114="","",IF(AK$1="","",COUNTIFS(tbl_chests[from],$A114,tbl_chests[legalized],AK$1,tbl_chests[datetime],"&gt;="&amp;TODAY()-WEEKDAY(TODAY(),2)+1,tbl_chests[datetime],"&lt;"&amp;TODAY()-WEEKDAY(TODAY(),2)+8)))</f>
        <v>0</v>
      </c>
      <c r="AL114" s="36">
        <f ca="1">IF($A114="","",IF(AL$1="","",COUNTIFS(tbl_chests[from],$A114,tbl_chests[legalized],AL$1,tbl_chests[datetime],"&gt;="&amp;TODAY()-WEEKDAY(TODAY(),2)+1,tbl_chests[datetime],"&lt;"&amp;TODAY()-WEEKDAY(TODAY(),2)+8)))</f>
        <v>0</v>
      </c>
      <c r="AM114" s="37">
        <f ca="1">IF($A114="","",IF(AM$1="","",COUNTIFS(tbl_chests[from],$A114,tbl_chests[legalized],AM$1,tbl_chests[datetime],"&gt;="&amp;TODAY()-WEEKDAY(TODAY(),2)+1,tbl_chests[datetime],"&lt;"&amp;TODAY()-WEEKDAY(TODAY(),2)+8)))</f>
        <v>0</v>
      </c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 ht="15.75" customHeight="1" x14ac:dyDescent="0.25">
      <c r="A115" s="34">
        <f>chests_counter!$H112</f>
        <v>0</v>
      </c>
      <c r="B115" s="35" cm="1">
        <f t="array" aca="1" ref="B115" ca="1">IF(A115&lt;&gt;"", SUMPRODUCT(($C$2:$AM$2&lt;&gt;0)*(C115:AM115&lt;&gt;0)*($C$2:$AM$2)*(C115:AM115)), "")</f>
        <v>0</v>
      </c>
      <c r="C115" s="36">
        <f ca="1">IF($A115="","",IF(C$1="","",COUNTIFS(tbl_chests[from],$A115,tbl_chests[legalized],C$1,tbl_chests[datetime],"&gt;="&amp;TODAY()-WEEKDAY(TODAY(),2)+1,tbl_chests[datetime],"&lt;"&amp;TODAY()-WEEKDAY(TODAY(),2)+8)))</f>
        <v>0</v>
      </c>
      <c r="D115" s="36">
        <f ca="1">IF($A115="","",IF(D$1="","",COUNTIFS(tbl_chests[from],$A115,tbl_chests[legalized],D$1,tbl_chests[datetime],"&gt;="&amp;TODAY()-WEEKDAY(TODAY(),2)+1,tbl_chests[datetime],"&lt;"&amp;TODAY()-WEEKDAY(TODAY(),2)+8)))</f>
        <v>0</v>
      </c>
      <c r="E115" s="36">
        <f ca="1">IF($A115="","",IF(E$1="","",COUNTIFS(tbl_chests[from],$A115,tbl_chests[legalized],E$1,tbl_chests[datetime],"&gt;="&amp;TODAY()-WEEKDAY(TODAY(),2)+1,tbl_chests[datetime],"&lt;"&amp;TODAY()-WEEKDAY(TODAY(),2)+8)))</f>
        <v>0</v>
      </c>
      <c r="F115" s="36">
        <f ca="1">IF($A115="","",IF(F$1="","",COUNTIFS(tbl_chests[from],$A115,tbl_chests[legalized],F$1,tbl_chests[datetime],"&gt;="&amp;TODAY()-WEEKDAY(TODAY(),2)+1,tbl_chests[datetime],"&lt;"&amp;TODAY()-WEEKDAY(TODAY(),2)+8)))</f>
        <v>0</v>
      </c>
      <c r="G115" s="36">
        <f ca="1">IF($A115="","",IF(G$1="","",COUNTIFS(tbl_chests[from],$A115,tbl_chests[legalized],G$1,tbl_chests[datetime],"&gt;="&amp;TODAY()-WEEKDAY(TODAY(),2)+1,tbl_chests[datetime],"&lt;"&amp;TODAY()-WEEKDAY(TODAY(),2)+8)))</f>
        <v>0</v>
      </c>
      <c r="H115" s="36">
        <f ca="1">IF($A115="","",IF(H$1="","",COUNTIFS(tbl_chests[from],$A115,tbl_chests[legalized],H$1,tbl_chests[datetime],"&gt;="&amp;TODAY()-WEEKDAY(TODAY(),2)+1,tbl_chests[datetime],"&lt;"&amp;TODAY()-WEEKDAY(TODAY(),2)+8)))</f>
        <v>0</v>
      </c>
      <c r="I115" s="36">
        <f ca="1">IF($A115="","",IF(I$1="","",COUNTIFS(tbl_chests[from],$A115,tbl_chests[legalized],I$1,tbl_chests[datetime],"&gt;="&amp;TODAY()-WEEKDAY(TODAY(),2)+1,tbl_chests[datetime],"&lt;"&amp;TODAY()-WEEKDAY(TODAY(),2)+8)))</f>
        <v>0</v>
      </c>
      <c r="J115" s="36">
        <f ca="1">IF($A115="","",IF(J$1="","",COUNTIFS(tbl_chests[from],$A115,tbl_chests[legalized],J$1,tbl_chests[datetime],"&gt;="&amp;TODAY()-WEEKDAY(TODAY(),2)+1,tbl_chests[datetime],"&lt;"&amp;TODAY()-WEEKDAY(TODAY(),2)+8)))</f>
        <v>0</v>
      </c>
      <c r="K115" s="36">
        <f ca="1">IF($A115="","",IF(K$1="","",COUNTIFS(tbl_chests[from],$A115,tbl_chests[legalized],K$1,tbl_chests[datetime],"&gt;="&amp;TODAY()-WEEKDAY(TODAY(),2)+1,tbl_chests[datetime],"&lt;"&amp;TODAY()-WEEKDAY(TODAY(),2)+8)))</f>
        <v>0</v>
      </c>
      <c r="L115" s="36">
        <f ca="1">IF($A115="","",IF(L$1="","",COUNTIFS(tbl_chests[from],$A115,tbl_chests[legalized],L$1,tbl_chests[datetime],"&gt;="&amp;TODAY()-WEEKDAY(TODAY(),2)+1,tbl_chests[datetime],"&lt;"&amp;TODAY()-WEEKDAY(TODAY(),2)+8)))</f>
        <v>0</v>
      </c>
      <c r="M115" s="36">
        <f ca="1">IF($A115="","",IF(M$1="","",COUNTIFS(tbl_chests[from],$A115,tbl_chests[legalized],M$1,tbl_chests[datetime],"&gt;="&amp;TODAY()-WEEKDAY(TODAY(),2)+1,tbl_chests[datetime],"&lt;"&amp;TODAY()-WEEKDAY(TODAY(),2)+8)))</f>
        <v>0</v>
      </c>
      <c r="N115" s="36">
        <f ca="1">IF($A115="","",IF(N$1="","",COUNTIFS(tbl_chests[from],$A115,tbl_chests[legalized],N$1,tbl_chests[datetime],"&gt;="&amp;TODAY()-WEEKDAY(TODAY(),2)+1,tbl_chests[datetime],"&lt;"&amp;TODAY()-WEEKDAY(TODAY(),2)+8)))</f>
        <v>0</v>
      </c>
      <c r="O115" s="36">
        <f ca="1">IF($A115="","",IF(O$1="","",COUNTIFS(tbl_chests[from],$A115,tbl_chests[legalized],O$1,tbl_chests[datetime],"&gt;="&amp;TODAY()-WEEKDAY(TODAY(),2)+1,tbl_chests[datetime],"&lt;"&amp;TODAY()-WEEKDAY(TODAY(),2)+8)))</f>
        <v>0</v>
      </c>
      <c r="P115" s="36">
        <f ca="1">IF($A115="","",IF(P$1="","",COUNTIFS(tbl_chests[from],$A115,tbl_chests[legalized],P$1,tbl_chests[datetime],"&gt;="&amp;TODAY()-WEEKDAY(TODAY(),2)+1,tbl_chests[datetime],"&lt;"&amp;TODAY()-WEEKDAY(TODAY(),2)+8)))</f>
        <v>0</v>
      </c>
      <c r="Q115" s="36">
        <f ca="1">IF($A115="","",IF(Q$1="","",COUNTIFS(tbl_chests[from],$A115,tbl_chests[legalized],Q$1,tbl_chests[datetime],"&gt;="&amp;TODAY()-WEEKDAY(TODAY(),2)+1,tbl_chests[datetime],"&lt;"&amp;TODAY()-WEEKDAY(TODAY(),2)+8)))</f>
        <v>0</v>
      </c>
      <c r="R115" s="36">
        <f ca="1">IF($A115="","",IF(R$1="","",COUNTIFS(tbl_chests[from],$A115,tbl_chests[legalized],R$1,tbl_chests[datetime],"&gt;="&amp;TODAY()-WEEKDAY(TODAY(),2)+1,tbl_chests[datetime],"&lt;"&amp;TODAY()-WEEKDAY(TODAY(),2)+8)))</f>
        <v>0</v>
      </c>
      <c r="S115" s="36">
        <f ca="1">IF($A115="","",IF(S$1="","",COUNTIFS(tbl_chests[from],$A115,tbl_chests[legalized],S$1,tbl_chests[datetime],"&gt;="&amp;TODAY()-WEEKDAY(TODAY(),2)+1,tbl_chests[datetime],"&lt;"&amp;TODAY()-WEEKDAY(TODAY(),2)+8)))</f>
        <v>0</v>
      </c>
      <c r="T115" s="36">
        <f ca="1">IF($A115="","",IF(T$1="","",COUNTIFS(tbl_chests[from],$A115,tbl_chests[legalized],T$1,tbl_chests[datetime],"&gt;="&amp;TODAY()-WEEKDAY(TODAY(),2)+1,tbl_chests[datetime],"&lt;"&amp;TODAY()-WEEKDAY(TODAY(),2)+8)))</f>
        <v>0</v>
      </c>
      <c r="U115" s="36">
        <f ca="1">IF($A115="","",IF(U$1="","",COUNTIFS(tbl_chests[from],$A115,tbl_chests[legalized],U$1,tbl_chests[datetime],"&gt;="&amp;TODAY()-WEEKDAY(TODAY(),2)+1,tbl_chests[datetime],"&lt;"&amp;TODAY()-WEEKDAY(TODAY(),2)+8)))</f>
        <v>0</v>
      </c>
      <c r="V115" s="36">
        <f ca="1">IF($A115="","",IF(V$1="","",COUNTIFS(tbl_chests[from],$A115,tbl_chests[legalized],V$1,tbl_chests[datetime],"&gt;="&amp;TODAY()-WEEKDAY(TODAY(),2)+1,tbl_chests[datetime],"&lt;"&amp;TODAY()-WEEKDAY(TODAY(),2)+8)))</f>
        <v>0</v>
      </c>
      <c r="W115" s="36">
        <f ca="1">IF($A115="","",IF(W$1="","",COUNTIFS(tbl_chests[from],$A115,tbl_chests[legalized],W$1,tbl_chests[datetime],"&gt;="&amp;TODAY()-WEEKDAY(TODAY(),2)+1,tbl_chests[datetime],"&lt;"&amp;TODAY()-WEEKDAY(TODAY(),2)+8)))</f>
        <v>0</v>
      </c>
      <c r="X115" s="36">
        <f ca="1">IF($A115="","",IF(X$1="","",COUNTIFS(tbl_chests[from],$A115,tbl_chests[legalized],X$1,tbl_chests[datetime],"&gt;="&amp;TODAY()-WEEKDAY(TODAY(),2)+1,tbl_chests[datetime],"&lt;"&amp;TODAY()-WEEKDAY(TODAY(),2)+8)))</f>
        <v>0</v>
      </c>
      <c r="Y115" s="36">
        <f ca="1">IF($A115="","",IF(Y$1="","",COUNTIFS(tbl_chests[from],$A115,tbl_chests[legalized],Y$1,tbl_chests[datetime],"&gt;="&amp;TODAY()-WEEKDAY(TODAY(),2)+1,tbl_chests[datetime],"&lt;"&amp;TODAY()-WEEKDAY(TODAY(),2)+8)))</f>
        <v>0</v>
      </c>
      <c r="Z115" s="36">
        <f ca="1">IF($A115="","",IF(Z$1="","",COUNTIFS(tbl_chests[from],$A115,tbl_chests[legalized],Z$1,tbl_chests[datetime],"&gt;="&amp;TODAY()-WEEKDAY(TODAY(),2)+1,tbl_chests[datetime],"&lt;"&amp;TODAY()-WEEKDAY(TODAY(),2)+8)))</f>
        <v>0</v>
      </c>
      <c r="AA115" s="36">
        <f ca="1">IF($A115="","",IF(AA$1="","",COUNTIFS(tbl_chests[from],$A115,tbl_chests[legalized],AA$1,tbl_chests[datetime],"&gt;="&amp;TODAY()-WEEKDAY(TODAY(),2)+1,tbl_chests[datetime],"&lt;"&amp;TODAY()-WEEKDAY(TODAY(),2)+8)))</f>
        <v>0</v>
      </c>
      <c r="AB115" s="36">
        <f ca="1">IF($A115="","",IF(AB$1="","",COUNTIFS(tbl_chests[from],$A115,tbl_chests[legalized],AB$1,tbl_chests[datetime],"&gt;="&amp;TODAY()-WEEKDAY(TODAY(),2)+1,tbl_chests[datetime],"&lt;"&amp;TODAY()-WEEKDAY(TODAY(),2)+8)))</f>
        <v>0</v>
      </c>
      <c r="AC115" s="36">
        <f ca="1">IF($A115="","",IF(AC$1="","",COUNTIFS(tbl_chests[from],$A115,tbl_chests[legalized],AC$1,tbl_chests[datetime],"&gt;="&amp;TODAY()-WEEKDAY(TODAY(),2)+1,tbl_chests[datetime],"&lt;"&amp;TODAY()-WEEKDAY(TODAY(),2)+8)))</f>
        <v>0</v>
      </c>
      <c r="AD115" s="36">
        <f ca="1">IF($A115="","",IF(AD$1="","",COUNTIFS(tbl_chests[from],$A115,tbl_chests[legalized],AD$1,tbl_chests[datetime],"&gt;="&amp;TODAY()-WEEKDAY(TODAY(),2)+1,tbl_chests[datetime],"&lt;"&amp;TODAY()-WEEKDAY(TODAY(),2)+8)))</f>
        <v>0</v>
      </c>
      <c r="AE115" s="36">
        <f ca="1">IF($A115="","",IF(AE$1="","",COUNTIFS(tbl_chests[from],$A115,tbl_chests[legalized],AE$1,tbl_chests[datetime],"&gt;="&amp;TODAY()-WEEKDAY(TODAY(),2)+1,tbl_chests[datetime],"&lt;"&amp;TODAY()-WEEKDAY(TODAY(),2)+8)))</f>
        <v>0</v>
      </c>
      <c r="AF115" s="36">
        <f ca="1">IF($A115="","",IF(AF$1="","",COUNTIFS(tbl_chests[from],$A115,tbl_chests[legalized],AF$1,tbl_chests[datetime],"&gt;="&amp;TODAY()-WEEKDAY(TODAY(),2)+1,tbl_chests[datetime],"&lt;"&amp;TODAY()-WEEKDAY(TODAY(),2)+8)))</f>
        <v>0</v>
      </c>
      <c r="AG115" s="36">
        <f ca="1">IF($A115="","",IF(AG$1="","",COUNTIFS(tbl_chests[from],$A115,tbl_chests[legalized],AG$1,tbl_chests[datetime],"&gt;="&amp;TODAY()-WEEKDAY(TODAY(),2)+1,tbl_chests[datetime],"&lt;"&amp;TODAY()-WEEKDAY(TODAY(),2)+8)))</f>
        <v>0</v>
      </c>
      <c r="AH115" s="36">
        <f ca="1">IF($A115="","",IF(AH$1="","",COUNTIFS(tbl_chests[from],$A115,tbl_chests[legalized],AH$1,tbl_chests[datetime],"&gt;="&amp;TODAY()-WEEKDAY(TODAY(),2)+1,tbl_chests[datetime],"&lt;"&amp;TODAY()-WEEKDAY(TODAY(),2)+8)))</f>
        <v>0</v>
      </c>
      <c r="AI115" s="36">
        <f ca="1">IF($A115="","",IF(AI$1="","",COUNTIFS(tbl_chests[from],$A115,tbl_chests[legalized],AI$1,tbl_chests[datetime],"&gt;="&amp;TODAY()-WEEKDAY(TODAY(),2)+1,tbl_chests[datetime],"&lt;"&amp;TODAY()-WEEKDAY(TODAY(),2)+8)))</f>
        <v>0</v>
      </c>
      <c r="AJ115" s="36">
        <f ca="1">IF($A115="","",IF(AJ$1="","",COUNTIFS(tbl_chests[from],$A115,tbl_chests[legalized],AJ$1,tbl_chests[datetime],"&gt;="&amp;TODAY()-WEEKDAY(TODAY(),2)+1,tbl_chests[datetime],"&lt;"&amp;TODAY()-WEEKDAY(TODAY(),2)+8)))</f>
        <v>0</v>
      </c>
      <c r="AK115" s="36">
        <f ca="1">IF($A115="","",IF(AK$1="","",COUNTIFS(tbl_chests[from],$A115,tbl_chests[legalized],AK$1,tbl_chests[datetime],"&gt;="&amp;TODAY()-WEEKDAY(TODAY(),2)+1,tbl_chests[datetime],"&lt;"&amp;TODAY()-WEEKDAY(TODAY(),2)+8)))</f>
        <v>0</v>
      </c>
      <c r="AL115" s="36">
        <f ca="1">IF($A115="","",IF(AL$1="","",COUNTIFS(tbl_chests[from],$A115,tbl_chests[legalized],AL$1,tbl_chests[datetime],"&gt;="&amp;TODAY()-WEEKDAY(TODAY(),2)+1,tbl_chests[datetime],"&lt;"&amp;TODAY()-WEEKDAY(TODAY(),2)+8)))</f>
        <v>0</v>
      </c>
      <c r="AM115" s="37">
        <f ca="1">IF($A115="","",IF(AM$1="","",COUNTIFS(tbl_chests[from],$A115,tbl_chests[legalized],AM$1,tbl_chests[datetime],"&gt;="&amp;TODAY()-WEEKDAY(TODAY(),2)+1,tbl_chests[datetime],"&lt;"&amp;TODAY()-WEEKDAY(TODAY(),2)+8)))</f>
        <v>0</v>
      </c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 ht="15.75" customHeight="1" x14ac:dyDescent="0.25">
      <c r="A116" s="34">
        <f>chests_counter!$H113</f>
        <v>0</v>
      </c>
      <c r="B116" s="35" cm="1">
        <f t="array" aca="1" ref="B116" ca="1">IF(A116&lt;&gt;"", SUMPRODUCT(($C$2:$AM$2&lt;&gt;0)*(C116:AM116&lt;&gt;0)*($C$2:$AM$2)*(C116:AM116)), "")</f>
        <v>0</v>
      </c>
      <c r="C116" s="36">
        <f ca="1">IF($A116="","",IF(C$1="","",COUNTIFS(tbl_chests[from],$A116,tbl_chests[legalized],C$1,tbl_chests[datetime],"&gt;="&amp;TODAY()-WEEKDAY(TODAY(),2)+1,tbl_chests[datetime],"&lt;"&amp;TODAY()-WEEKDAY(TODAY(),2)+8)))</f>
        <v>0</v>
      </c>
      <c r="D116" s="36">
        <f ca="1">IF($A116="","",IF(D$1="","",COUNTIFS(tbl_chests[from],$A116,tbl_chests[legalized],D$1,tbl_chests[datetime],"&gt;="&amp;TODAY()-WEEKDAY(TODAY(),2)+1,tbl_chests[datetime],"&lt;"&amp;TODAY()-WEEKDAY(TODAY(),2)+8)))</f>
        <v>0</v>
      </c>
      <c r="E116" s="36">
        <f ca="1">IF($A116="","",IF(E$1="","",COUNTIFS(tbl_chests[from],$A116,tbl_chests[legalized],E$1,tbl_chests[datetime],"&gt;="&amp;TODAY()-WEEKDAY(TODAY(),2)+1,tbl_chests[datetime],"&lt;"&amp;TODAY()-WEEKDAY(TODAY(),2)+8)))</f>
        <v>0</v>
      </c>
      <c r="F116" s="36">
        <f ca="1">IF($A116="","",IF(F$1="","",COUNTIFS(tbl_chests[from],$A116,tbl_chests[legalized],F$1,tbl_chests[datetime],"&gt;="&amp;TODAY()-WEEKDAY(TODAY(),2)+1,tbl_chests[datetime],"&lt;"&amp;TODAY()-WEEKDAY(TODAY(),2)+8)))</f>
        <v>0</v>
      </c>
      <c r="G116" s="36">
        <f ca="1">IF($A116="","",IF(G$1="","",COUNTIFS(tbl_chests[from],$A116,tbl_chests[legalized],G$1,tbl_chests[datetime],"&gt;="&amp;TODAY()-WEEKDAY(TODAY(),2)+1,tbl_chests[datetime],"&lt;"&amp;TODAY()-WEEKDAY(TODAY(),2)+8)))</f>
        <v>0</v>
      </c>
      <c r="H116" s="36">
        <f ca="1">IF($A116="","",IF(H$1="","",COUNTIFS(tbl_chests[from],$A116,tbl_chests[legalized],H$1,tbl_chests[datetime],"&gt;="&amp;TODAY()-WEEKDAY(TODAY(),2)+1,tbl_chests[datetime],"&lt;"&amp;TODAY()-WEEKDAY(TODAY(),2)+8)))</f>
        <v>0</v>
      </c>
      <c r="I116" s="36">
        <f ca="1">IF($A116="","",IF(I$1="","",COUNTIFS(tbl_chests[from],$A116,tbl_chests[legalized],I$1,tbl_chests[datetime],"&gt;="&amp;TODAY()-WEEKDAY(TODAY(),2)+1,tbl_chests[datetime],"&lt;"&amp;TODAY()-WEEKDAY(TODAY(),2)+8)))</f>
        <v>0</v>
      </c>
      <c r="J116" s="36">
        <f ca="1">IF($A116="","",IF(J$1="","",COUNTIFS(tbl_chests[from],$A116,tbl_chests[legalized],J$1,tbl_chests[datetime],"&gt;="&amp;TODAY()-WEEKDAY(TODAY(),2)+1,tbl_chests[datetime],"&lt;"&amp;TODAY()-WEEKDAY(TODAY(),2)+8)))</f>
        <v>0</v>
      </c>
      <c r="K116" s="36">
        <f ca="1">IF($A116="","",IF(K$1="","",COUNTIFS(tbl_chests[from],$A116,tbl_chests[legalized],K$1,tbl_chests[datetime],"&gt;="&amp;TODAY()-WEEKDAY(TODAY(),2)+1,tbl_chests[datetime],"&lt;"&amp;TODAY()-WEEKDAY(TODAY(),2)+8)))</f>
        <v>0</v>
      </c>
      <c r="L116" s="36">
        <f ca="1">IF($A116="","",IF(L$1="","",COUNTIFS(tbl_chests[from],$A116,tbl_chests[legalized],L$1,tbl_chests[datetime],"&gt;="&amp;TODAY()-WEEKDAY(TODAY(),2)+1,tbl_chests[datetime],"&lt;"&amp;TODAY()-WEEKDAY(TODAY(),2)+8)))</f>
        <v>0</v>
      </c>
      <c r="M116" s="36">
        <f ca="1">IF($A116="","",IF(M$1="","",COUNTIFS(tbl_chests[from],$A116,tbl_chests[legalized],M$1,tbl_chests[datetime],"&gt;="&amp;TODAY()-WEEKDAY(TODAY(),2)+1,tbl_chests[datetime],"&lt;"&amp;TODAY()-WEEKDAY(TODAY(),2)+8)))</f>
        <v>0</v>
      </c>
      <c r="N116" s="36">
        <f ca="1">IF($A116="","",IF(N$1="","",COUNTIFS(tbl_chests[from],$A116,tbl_chests[legalized],N$1,tbl_chests[datetime],"&gt;="&amp;TODAY()-WEEKDAY(TODAY(),2)+1,tbl_chests[datetime],"&lt;"&amp;TODAY()-WEEKDAY(TODAY(),2)+8)))</f>
        <v>0</v>
      </c>
      <c r="O116" s="36">
        <f ca="1">IF($A116="","",IF(O$1="","",COUNTIFS(tbl_chests[from],$A116,tbl_chests[legalized],O$1,tbl_chests[datetime],"&gt;="&amp;TODAY()-WEEKDAY(TODAY(),2)+1,tbl_chests[datetime],"&lt;"&amp;TODAY()-WEEKDAY(TODAY(),2)+8)))</f>
        <v>0</v>
      </c>
      <c r="P116" s="36">
        <f ca="1">IF($A116="","",IF(P$1="","",COUNTIFS(tbl_chests[from],$A116,tbl_chests[legalized],P$1,tbl_chests[datetime],"&gt;="&amp;TODAY()-WEEKDAY(TODAY(),2)+1,tbl_chests[datetime],"&lt;"&amp;TODAY()-WEEKDAY(TODAY(),2)+8)))</f>
        <v>0</v>
      </c>
      <c r="Q116" s="36">
        <f ca="1">IF($A116="","",IF(Q$1="","",COUNTIFS(tbl_chests[from],$A116,tbl_chests[legalized],Q$1,tbl_chests[datetime],"&gt;="&amp;TODAY()-WEEKDAY(TODAY(),2)+1,tbl_chests[datetime],"&lt;"&amp;TODAY()-WEEKDAY(TODAY(),2)+8)))</f>
        <v>0</v>
      </c>
      <c r="R116" s="36">
        <f ca="1">IF($A116="","",IF(R$1="","",COUNTIFS(tbl_chests[from],$A116,tbl_chests[legalized],R$1,tbl_chests[datetime],"&gt;="&amp;TODAY()-WEEKDAY(TODAY(),2)+1,tbl_chests[datetime],"&lt;"&amp;TODAY()-WEEKDAY(TODAY(),2)+8)))</f>
        <v>0</v>
      </c>
      <c r="S116" s="36">
        <f ca="1">IF($A116="","",IF(S$1="","",COUNTIFS(tbl_chests[from],$A116,tbl_chests[legalized],S$1,tbl_chests[datetime],"&gt;="&amp;TODAY()-WEEKDAY(TODAY(),2)+1,tbl_chests[datetime],"&lt;"&amp;TODAY()-WEEKDAY(TODAY(),2)+8)))</f>
        <v>0</v>
      </c>
      <c r="T116" s="36">
        <f ca="1">IF($A116="","",IF(T$1="","",COUNTIFS(tbl_chests[from],$A116,tbl_chests[legalized],T$1,tbl_chests[datetime],"&gt;="&amp;TODAY()-WEEKDAY(TODAY(),2)+1,tbl_chests[datetime],"&lt;"&amp;TODAY()-WEEKDAY(TODAY(),2)+8)))</f>
        <v>0</v>
      </c>
      <c r="U116" s="36">
        <f ca="1">IF($A116="","",IF(U$1="","",COUNTIFS(tbl_chests[from],$A116,tbl_chests[legalized],U$1,tbl_chests[datetime],"&gt;="&amp;TODAY()-WEEKDAY(TODAY(),2)+1,tbl_chests[datetime],"&lt;"&amp;TODAY()-WEEKDAY(TODAY(),2)+8)))</f>
        <v>0</v>
      </c>
      <c r="V116" s="36">
        <f ca="1">IF($A116="","",IF(V$1="","",COUNTIFS(tbl_chests[from],$A116,tbl_chests[legalized],V$1,tbl_chests[datetime],"&gt;="&amp;TODAY()-WEEKDAY(TODAY(),2)+1,tbl_chests[datetime],"&lt;"&amp;TODAY()-WEEKDAY(TODAY(),2)+8)))</f>
        <v>0</v>
      </c>
      <c r="W116" s="36">
        <f ca="1">IF($A116="","",IF(W$1="","",COUNTIFS(tbl_chests[from],$A116,tbl_chests[legalized],W$1,tbl_chests[datetime],"&gt;="&amp;TODAY()-WEEKDAY(TODAY(),2)+1,tbl_chests[datetime],"&lt;"&amp;TODAY()-WEEKDAY(TODAY(),2)+8)))</f>
        <v>0</v>
      </c>
      <c r="X116" s="36">
        <f ca="1">IF($A116="","",IF(X$1="","",COUNTIFS(tbl_chests[from],$A116,tbl_chests[legalized],X$1,tbl_chests[datetime],"&gt;="&amp;TODAY()-WEEKDAY(TODAY(),2)+1,tbl_chests[datetime],"&lt;"&amp;TODAY()-WEEKDAY(TODAY(),2)+8)))</f>
        <v>0</v>
      </c>
      <c r="Y116" s="36">
        <f ca="1">IF($A116="","",IF(Y$1="","",COUNTIFS(tbl_chests[from],$A116,tbl_chests[legalized],Y$1,tbl_chests[datetime],"&gt;="&amp;TODAY()-WEEKDAY(TODAY(),2)+1,tbl_chests[datetime],"&lt;"&amp;TODAY()-WEEKDAY(TODAY(),2)+8)))</f>
        <v>0</v>
      </c>
      <c r="Z116" s="36">
        <f ca="1">IF($A116="","",IF(Z$1="","",COUNTIFS(tbl_chests[from],$A116,tbl_chests[legalized],Z$1,tbl_chests[datetime],"&gt;="&amp;TODAY()-WEEKDAY(TODAY(),2)+1,tbl_chests[datetime],"&lt;"&amp;TODAY()-WEEKDAY(TODAY(),2)+8)))</f>
        <v>0</v>
      </c>
      <c r="AA116" s="36">
        <f ca="1">IF($A116="","",IF(AA$1="","",COUNTIFS(tbl_chests[from],$A116,tbl_chests[legalized],AA$1,tbl_chests[datetime],"&gt;="&amp;TODAY()-WEEKDAY(TODAY(),2)+1,tbl_chests[datetime],"&lt;"&amp;TODAY()-WEEKDAY(TODAY(),2)+8)))</f>
        <v>0</v>
      </c>
      <c r="AB116" s="36">
        <f ca="1">IF($A116="","",IF(AB$1="","",COUNTIFS(tbl_chests[from],$A116,tbl_chests[legalized],AB$1,tbl_chests[datetime],"&gt;="&amp;TODAY()-WEEKDAY(TODAY(),2)+1,tbl_chests[datetime],"&lt;"&amp;TODAY()-WEEKDAY(TODAY(),2)+8)))</f>
        <v>0</v>
      </c>
      <c r="AC116" s="36">
        <f ca="1">IF($A116="","",IF(AC$1="","",COUNTIFS(tbl_chests[from],$A116,tbl_chests[legalized],AC$1,tbl_chests[datetime],"&gt;="&amp;TODAY()-WEEKDAY(TODAY(),2)+1,tbl_chests[datetime],"&lt;"&amp;TODAY()-WEEKDAY(TODAY(),2)+8)))</f>
        <v>0</v>
      </c>
      <c r="AD116" s="36">
        <f ca="1">IF($A116="","",IF(AD$1="","",COUNTIFS(tbl_chests[from],$A116,tbl_chests[legalized],AD$1,tbl_chests[datetime],"&gt;="&amp;TODAY()-WEEKDAY(TODAY(),2)+1,tbl_chests[datetime],"&lt;"&amp;TODAY()-WEEKDAY(TODAY(),2)+8)))</f>
        <v>0</v>
      </c>
      <c r="AE116" s="36">
        <f ca="1">IF($A116="","",IF(AE$1="","",COUNTIFS(tbl_chests[from],$A116,tbl_chests[legalized],AE$1,tbl_chests[datetime],"&gt;="&amp;TODAY()-WEEKDAY(TODAY(),2)+1,tbl_chests[datetime],"&lt;"&amp;TODAY()-WEEKDAY(TODAY(),2)+8)))</f>
        <v>0</v>
      </c>
      <c r="AF116" s="36">
        <f ca="1">IF($A116="","",IF(AF$1="","",COUNTIFS(tbl_chests[from],$A116,tbl_chests[legalized],AF$1,tbl_chests[datetime],"&gt;="&amp;TODAY()-WEEKDAY(TODAY(),2)+1,tbl_chests[datetime],"&lt;"&amp;TODAY()-WEEKDAY(TODAY(),2)+8)))</f>
        <v>0</v>
      </c>
      <c r="AG116" s="36">
        <f ca="1">IF($A116="","",IF(AG$1="","",COUNTIFS(tbl_chests[from],$A116,tbl_chests[legalized],AG$1,tbl_chests[datetime],"&gt;="&amp;TODAY()-WEEKDAY(TODAY(),2)+1,tbl_chests[datetime],"&lt;"&amp;TODAY()-WEEKDAY(TODAY(),2)+8)))</f>
        <v>0</v>
      </c>
      <c r="AH116" s="36">
        <f ca="1">IF($A116="","",IF(AH$1="","",COUNTIFS(tbl_chests[from],$A116,tbl_chests[legalized],AH$1,tbl_chests[datetime],"&gt;="&amp;TODAY()-WEEKDAY(TODAY(),2)+1,tbl_chests[datetime],"&lt;"&amp;TODAY()-WEEKDAY(TODAY(),2)+8)))</f>
        <v>0</v>
      </c>
      <c r="AI116" s="36">
        <f ca="1">IF($A116="","",IF(AI$1="","",COUNTIFS(tbl_chests[from],$A116,tbl_chests[legalized],AI$1,tbl_chests[datetime],"&gt;="&amp;TODAY()-WEEKDAY(TODAY(),2)+1,tbl_chests[datetime],"&lt;"&amp;TODAY()-WEEKDAY(TODAY(),2)+8)))</f>
        <v>0</v>
      </c>
      <c r="AJ116" s="36">
        <f ca="1">IF($A116="","",IF(AJ$1="","",COUNTIFS(tbl_chests[from],$A116,tbl_chests[legalized],AJ$1,tbl_chests[datetime],"&gt;="&amp;TODAY()-WEEKDAY(TODAY(),2)+1,tbl_chests[datetime],"&lt;"&amp;TODAY()-WEEKDAY(TODAY(),2)+8)))</f>
        <v>0</v>
      </c>
      <c r="AK116" s="36">
        <f ca="1">IF($A116="","",IF(AK$1="","",COUNTIFS(tbl_chests[from],$A116,tbl_chests[legalized],AK$1,tbl_chests[datetime],"&gt;="&amp;TODAY()-WEEKDAY(TODAY(),2)+1,tbl_chests[datetime],"&lt;"&amp;TODAY()-WEEKDAY(TODAY(),2)+8)))</f>
        <v>0</v>
      </c>
      <c r="AL116" s="36">
        <f ca="1">IF($A116="","",IF(AL$1="","",COUNTIFS(tbl_chests[from],$A116,tbl_chests[legalized],AL$1,tbl_chests[datetime],"&gt;="&amp;TODAY()-WEEKDAY(TODAY(),2)+1,tbl_chests[datetime],"&lt;"&amp;TODAY()-WEEKDAY(TODAY(),2)+8)))</f>
        <v>0</v>
      </c>
      <c r="AM116" s="37">
        <f ca="1">IF($A116="","",IF(AM$1="","",COUNTIFS(tbl_chests[from],$A116,tbl_chests[legalized],AM$1,tbl_chests[datetime],"&gt;="&amp;TODAY()-WEEKDAY(TODAY(),2)+1,tbl_chests[datetime],"&lt;"&amp;TODAY()-WEEKDAY(TODAY(),2)+8)))</f>
        <v>0</v>
      </c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 ht="15.75" customHeight="1" x14ac:dyDescent="0.25">
      <c r="A117" s="34">
        <f>chests_counter!$H114</f>
        <v>0</v>
      </c>
      <c r="B117" s="35" cm="1">
        <f t="array" aca="1" ref="B117" ca="1">IF(A117&lt;&gt;"", SUMPRODUCT(($C$2:$AM$2&lt;&gt;0)*(C117:AM117&lt;&gt;0)*($C$2:$AM$2)*(C117:AM117)), "")</f>
        <v>0</v>
      </c>
      <c r="C117" s="36">
        <f ca="1">IF($A117="","",IF(C$1="","",COUNTIFS(tbl_chests[from],$A117,tbl_chests[legalized],C$1,tbl_chests[datetime],"&gt;="&amp;TODAY()-WEEKDAY(TODAY(),2)+1,tbl_chests[datetime],"&lt;"&amp;TODAY()-WEEKDAY(TODAY(),2)+8)))</f>
        <v>0</v>
      </c>
      <c r="D117" s="36">
        <f ca="1">IF($A117="","",IF(D$1="","",COUNTIFS(tbl_chests[from],$A117,tbl_chests[legalized],D$1,tbl_chests[datetime],"&gt;="&amp;TODAY()-WEEKDAY(TODAY(),2)+1,tbl_chests[datetime],"&lt;"&amp;TODAY()-WEEKDAY(TODAY(),2)+8)))</f>
        <v>0</v>
      </c>
      <c r="E117" s="36">
        <f ca="1">IF($A117="","",IF(E$1="","",COUNTIFS(tbl_chests[from],$A117,tbl_chests[legalized],E$1,tbl_chests[datetime],"&gt;="&amp;TODAY()-WEEKDAY(TODAY(),2)+1,tbl_chests[datetime],"&lt;"&amp;TODAY()-WEEKDAY(TODAY(),2)+8)))</f>
        <v>0</v>
      </c>
      <c r="F117" s="36">
        <f ca="1">IF($A117="","",IF(F$1="","",COUNTIFS(tbl_chests[from],$A117,tbl_chests[legalized],F$1,tbl_chests[datetime],"&gt;="&amp;TODAY()-WEEKDAY(TODAY(),2)+1,tbl_chests[datetime],"&lt;"&amp;TODAY()-WEEKDAY(TODAY(),2)+8)))</f>
        <v>0</v>
      </c>
      <c r="G117" s="36">
        <f ca="1">IF($A117="","",IF(G$1="","",COUNTIFS(tbl_chests[from],$A117,tbl_chests[legalized],G$1,tbl_chests[datetime],"&gt;="&amp;TODAY()-WEEKDAY(TODAY(),2)+1,tbl_chests[datetime],"&lt;"&amp;TODAY()-WEEKDAY(TODAY(),2)+8)))</f>
        <v>0</v>
      </c>
      <c r="H117" s="36">
        <f ca="1">IF($A117="","",IF(H$1="","",COUNTIFS(tbl_chests[from],$A117,tbl_chests[legalized],H$1,tbl_chests[datetime],"&gt;="&amp;TODAY()-WEEKDAY(TODAY(),2)+1,tbl_chests[datetime],"&lt;"&amp;TODAY()-WEEKDAY(TODAY(),2)+8)))</f>
        <v>0</v>
      </c>
      <c r="I117" s="36">
        <f ca="1">IF($A117="","",IF(I$1="","",COUNTIFS(tbl_chests[from],$A117,tbl_chests[legalized],I$1,tbl_chests[datetime],"&gt;="&amp;TODAY()-WEEKDAY(TODAY(),2)+1,tbl_chests[datetime],"&lt;"&amp;TODAY()-WEEKDAY(TODAY(),2)+8)))</f>
        <v>0</v>
      </c>
      <c r="J117" s="36">
        <f ca="1">IF($A117="","",IF(J$1="","",COUNTIFS(tbl_chests[from],$A117,tbl_chests[legalized],J$1,tbl_chests[datetime],"&gt;="&amp;TODAY()-WEEKDAY(TODAY(),2)+1,tbl_chests[datetime],"&lt;"&amp;TODAY()-WEEKDAY(TODAY(),2)+8)))</f>
        <v>0</v>
      </c>
      <c r="K117" s="36">
        <f ca="1">IF($A117="","",IF(K$1="","",COUNTIFS(tbl_chests[from],$A117,tbl_chests[legalized],K$1,tbl_chests[datetime],"&gt;="&amp;TODAY()-WEEKDAY(TODAY(),2)+1,tbl_chests[datetime],"&lt;"&amp;TODAY()-WEEKDAY(TODAY(),2)+8)))</f>
        <v>0</v>
      </c>
      <c r="L117" s="36">
        <f ca="1">IF($A117="","",IF(L$1="","",COUNTIFS(tbl_chests[from],$A117,tbl_chests[legalized],L$1,tbl_chests[datetime],"&gt;="&amp;TODAY()-WEEKDAY(TODAY(),2)+1,tbl_chests[datetime],"&lt;"&amp;TODAY()-WEEKDAY(TODAY(),2)+8)))</f>
        <v>0</v>
      </c>
      <c r="M117" s="36">
        <f ca="1">IF($A117="","",IF(M$1="","",COUNTIFS(tbl_chests[from],$A117,tbl_chests[legalized],M$1,tbl_chests[datetime],"&gt;="&amp;TODAY()-WEEKDAY(TODAY(),2)+1,tbl_chests[datetime],"&lt;"&amp;TODAY()-WEEKDAY(TODAY(),2)+8)))</f>
        <v>0</v>
      </c>
      <c r="N117" s="36">
        <f ca="1">IF($A117="","",IF(N$1="","",COUNTIFS(tbl_chests[from],$A117,tbl_chests[legalized],N$1,tbl_chests[datetime],"&gt;="&amp;TODAY()-WEEKDAY(TODAY(),2)+1,tbl_chests[datetime],"&lt;"&amp;TODAY()-WEEKDAY(TODAY(),2)+8)))</f>
        <v>0</v>
      </c>
      <c r="O117" s="36">
        <f ca="1">IF($A117="","",IF(O$1="","",COUNTIFS(tbl_chests[from],$A117,tbl_chests[legalized],O$1,tbl_chests[datetime],"&gt;="&amp;TODAY()-WEEKDAY(TODAY(),2)+1,tbl_chests[datetime],"&lt;"&amp;TODAY()-WEEKDAY(TODAY(),2)+8)))</f>
        <v>0</v>
      </c>
      <c r="P117" s="36">
        <f ca="1">IF($A117="","",IF(P$1="","",COUNTIFS(tbl_chests[from],$A117,tbl_chests[legalized],P$1,tbl_chests[datetime],"&gt;="&amp;TODAY()-WEEKDAY(TODAY(),2)+1,tbl_chests[datetime],"&lt;"&amp;TODAY()-WEEKDAY(TODAY(),2)+8)))</f>
        <v>0</v>
      </c>
      <c r="Q117" s="36">
        <f ca="1">IF($A117="","",IF(Q$1="","",COUNTIFS(tbl_chests[from],$A117,tbl_chests[legalized],Q$1,tbl_chests[datetime],"&gt;="&amp;TODAY()-WEEKDAY(TODAY(),2)+1,tbl_chests[datetime],"&lt;"&amp;TODAY()-WEEKDAY(TODAY(),2)+8)))</f>
        <v>0</v>
      </c>
      <c r="R117" s="36">
        <f ca="1">IF($A117="","",IF(R$1="","",COUNTIFS(tbl_chests[from],$A117,tbl_chests[legalized],R$1,tbl_chests[datetime],"&gt;="&amp;TODAY()-WEEKDAY(TODAY(),2)+1,tbl_chests[datetime],"&lt;"&amp;TODAY()-WEEKDAY(TODAY(),2)+8)))</f>
        <v>0</v>
      </c>
      <c r="S117" s="36">
        <f ca="1">IF($A117="","",IF(S$1="","",COUNTIFS(tbl_chests[from],$A117,tbl_chests[legalized],S$1,tbl_chests[datetime],"&gt;="&amp;TODAY()-WEEKDAY(TODAY(),2)+1,tbl_chests[datetime],"&lt;"&amp;TODAY()-WEEKDAY(TODAY(),2)+8)))</f>
        <v>0</v>
      </c>
      <c r="T117" s="36">
        <f ca="1">IF($A117="","",IF(T$1="","",COUNTIFS(tbl_chests[from],$A117,tbl_chests[legalized],T$1,tbl_chests[datetime],"&gt;="&amp;TODAY()-WEEKDAY(TODAY(),2)+1,tbl_chests[datetime],"&lt;"&amp;TODAY()-WEEKDAY(TODAY(),2)+8)))</f>
        <v>0</v>
      </c>
      <c r="U117" s="36">
        <f ca="1">IF($A117="","",IF(U$1="","",COUNTIFS(tbl_chests[from],$A117,tbl_chests[legalized],U$1,tbl_chests[datetime],"&gt;="&amp;TODAY()-WEEKDAY(TODAY(),2)+1,tbl_chests[datetime],"&lt;"&amp;TODAY()-WEEKDAY(TODAY(),2)+8)))</f>
        <v>0</v>
      </c>
      <c r="V117" s="36">
        <f ca="1">IF($A117="","",IF(V$1="","",COUNTIFS(tbl_chests[from],$A117,tbl_chests[legalized],V$1,tbl_chests[datetime],"&gt;="&amp;TODAY()-WEEKDAY(TODAY(),2)+1,tbl_chests[datetime],"&lt;"&amp;TODAY()-WEEKDAY(TODAY(),2)+8)))</f>
        <v>0</v>
      </c>
      <c r="W117" s="36">
        <f ca="1">IF($A117="","",IF(W$1="","",COUNTIFS(tbl_chests[from],$A117,tbl_chests[legalized],W$1,tbl_chests[datetime],"&gt;="&amp;TODAY()-WEEKDAY(TODAY(),2)+1,tbl_chests[datetime],"&lt;"&amp;TODAY()-WEEKDAY(TODAY(),2)+8)))</f>
        <v>0</v>
      </c>
      <c r="X117" s="36">
        <f ca="1">IF($A117="","",IF(X$1="","",COUNTIFS(tbl_chests[from],$A117,tbl_chests[legalized],X$1,tbl_chests[datetime],"&gt;="&amp;TODAY()-WEEKDAY(TODAY(),2)+1,tbl_chests[datetime],"&lt;"&amp;TODAY()-WEEKDAY(TODAY(),2)+8)))</f>
        <v>0</v>
      </c>
      <c r="Y117" s="36">
        <f ca="1">IF($A117="","",IF(Y$1="","",COUNTIFS(tbl_chests[from],$A117,tbl_chests[legalized],Y$1,tbl_chests[datetime],"&gt;="&amp;TODAY()-WEEKDAY(TODAY(),2)+1,tbl_chests[datetime],"&lt;"&amp;TODAY()-WEEKDAY(TODAY(),2)+8)))</f>
        <v>0</v>
      </c>
      <c r="Z117" s="36">
        <f ca="1">IF($A117="","",IF(Z$1="","",COUNTIFS(tbl_chests[from],$A117,tbl_chests[legalized],Z$1,tbl_chests[datetime],"&gt;="&amp;TODAY()-WEEKDAY(TODAY(),2)+1,tbl_chests[datetime],"&lt;"&amp;TODAY()-WEEKDAY(TODAY(),2)+8)))</f>
        <v>0</v>
      </c>
      <c r="AA117" s="36">
        <f ca="1">IF($A117="","",IF(AA$1="","",COUNTIFS(tbl_chests[from],$A117,tbl_chests[legalized],AA$1,tbl_chests[datetime],"&gt;="&amp;TODAY()-WEEKDAY(TODAY(),2)+1,tbl_chests[datetime],"&lt;"&amp;TODAY()-WEEKDAY(TODAY(),2)+8)))</f>
        <v>0</v>
      </c>
      <c r="AB117" s="36">
        <f ca="1">IF($A117="","",IF(AB$1="","",COUNTIFS(tbl_chests[from],$A117,tbl_chests[legalized],AB$1,tbl_chests[datetime],"&gt;="&amp;TODAY()-WEEKDAY(TODAY(),2)+1,tbl_chests[datetime],"&lt;"&amp;TODAY()-WEEKDAY(TODAY(),2)+8)))</f>
        <v>0</v>
      </c>
      <c r="AC117" s="36">
        <f ca="1">IF($A117="","",IF(AC$1="","",COUNTIFS(tbl_chests[from],$A117,tbl_chests[legalized],AC$1,tbl_chests[datetime],"&gt;="&amp;TODAY()-WEEKDAY(TODAY(),2)+1,tbl_chests[datetime],"&lt;"&amp;TODAY()-WEEKDAY(TODAY(),2)+8)))</f>
        <v>0</v>
      </c>
      <c r="AD117" s="36">
        <f ca="1">IF($A117="","",IF(AD$1="","",COUNTIFS(tbl_chests[from],$A117,tbl_chests[legalized],AD$1,tbl_chests[datetime],"&gt;="&amp;TODAY()-WEEKDAY(TODAY(),2)+1,tbl_chests[datetime],"&lt;"&amp;TODAY()-WEEKDAY(TODAY(),2)+8)))</f>
        <v>0</v>
      </c>
      <c r="AE117" s="36">
        <f ca="1">IF($A117="","",IF(AE$1="","",COUNTIFS(tbl_chests[from],$A117,tbl_chests[legalized],AE$1,tbl_chests[datetime],"&gt;="&amp;TODAY()-WEEKDAY(TODAY(),2)+1,tbl_chests[datetime],"&lt;"&amp;TODAY()-WEEKDAY(TODAY(),2)+8)))</f>
        <v>0</v>
      </c>
      <c r="AF117" s="36">
        <f ca="1">IF($A117="","",IF(AF$1="","",COUNTIFS(tbl_chests[from],$A117,tbl_chests[legalized],AF$1,tbl_chests[datetime],"&gt;="&amp;TODAY()-WEEKDAY(TODAY(),2)+1,tbl_chests[datetime],"&lt;"&amp;TODAY()-WEEKDAY(TODAY(),2)+8)))</f>
        <v>0</v>
      </c>
      <c r="AG117" s="36">
        <f ca="1">IF($A117="","",IF(AG$1="","",COUNTIFS(tbl_chests[from],$A117,tbl_chests[legalized],AG$1,tbl_chests[datetime],"&gt;="&amp;TODAY()-WEEKDAY(TODAY(),2)+1,tbl_chests[datetime],"&lt;"&amp;TODAY()-WEEKDAY(TODAY(),2)+8)))</f>
        <v>0</v>
      </c>
      <c r="AH117" s="36">
        <f ca="1">IF($A117="","",IF(AH$1="","",COUNTIFS(tbl_chests[from],$A117,tbl_chests[legalized],AH$1,tbl_chests[datetime],"&gt;="&amp;TODAY()-WEEKDAY(TODAY(),2)+1,tbl_chests[datetime],"&lt;"&amp;TODAY()-WEEKDAY(TODAY(),2)+8)))</f>
        <v>0</v>
      </c>
      <c r="AI117" s="36">
        <f ca="1">IF($A117="","",IF(AI$1="","",COUNTIFS(tbl_chests[from],$A117,tbl_chests[legalized],AI$1,tbl_chests[datetime],"&gt;="&amp;TODAY()-WEEKDAY(TODAY(),2)+1,tbl_chests[datetime],"&lt;"&amp;TODAY()-WEEKDAY(TODAY(),2)+8)))</f>
        <v>0</v>
      </c>
      <c r="AJ117" s="36">
        <f ca="1">IF($A117="","",IF(AJ$1="","",COUNTIFS(tbl_chests[from],$A117,tbl_chests[legalized],AJ$1,tbl_chests[datetime],"&gt;="&amp;TODAY()-WEEKDAY(TODAY(),2)+1,tbl_chests[datetime],"&lt;"&amp;TODAY()-WEEKDAY(TODAY(),2)+8)))</f>
        <v>0</v>
      </c>
      <c r="AK117" s="36">
        <f ca="1">IF($A117="","",IF(AK$1="","",COUNTIFS(tbl_chests[from],$A117,tbl_chests[legalized],AK$1,tbl_chests[datetime],"&gt;="&amp;TODAY()-WEEKDAY(TODAY(),2)+1,tbl_chests[datetime],"&lt;"&amp;TODAY()-WEEKDAY(TODAY(),2)+8)))</f>
        <v>0</v>
      </c>
      <c r="AL117" s="36">
        <f ca="1">IF($A117="","",IF(AL$1="","",COUNTIFS(tbl_chests[from],$A117,tbl_chests[legalized],AL$1,tbl_chests[datetime],"&gt;="&amp;TODAY()-WEEKDAY(TODAY(),2)+1,tbl_chests[datetime],"&lt;"&amp;TODAY()-WEEKDAY(TODAY(),2)+8)))</f>
        <v>0</v>
      </c>
      <c r="AM117" s="37">
        <f ca="1">IF($A117="","",IF(AM$1="","",COUNTIFS(tbl_chests[from],$A117,tbl_chests[legalized],AM$1,tbl_chests[datetime],"&gt;="&amp;TODAY()-WEEKDAY(TODAY(),2)+1,tbl_chests[datetime],"&lt;"&amp;TODAY()-WEEKDAY(TODAY(),2)+8)))</f>
        <v>0</v>
      </c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 ht="15.75" customHeight="1" x14ac:dyDescent="0.25">
      <c r="A118" s="34">
        <f>chests_counter!$H115</f>
        <v>0</v>
      </c>
      <c r="B118" s="35" cm="1">
        <f t="array" aca="1" ref="B118" ca="1">IF(A118&lt;&gt;"", SUMPRODUCT(($C$2:$AM$2&lt;&gt;0)*(C118:AM118&lt;&gt;0)*($C$2:$AM$2)*(C118:AM118)), "")</f>
        <v>0</v>
      </c>
      <c r="C118" s="36">
        <f ca="1">IF($A118="","",IF(C$1="","",COUNTIFS(tbl_chests[from],$A118,tbl_chests[legalized],C$1,tbl_chests[datetime],"&gt;="&amp;TODAY()-WEEKDAY(TODAY(),2)+1,tbl_chests[datetime],"&lt;"&amp;TODAY()-WEEKDAY(TODAY(),2)+8)))</f>
        <v>0</v>
      </c>
      <c r="D118" s="36">
        <f ca="1">IF($A118="","",IF(D$1="","",COUNTIFS(tbl_chests[from],$A118,tbl_chests[legalized],D$1,tbl_chests[datetime],"&gt;="&amp;TODAY()-WEEKDAY(TODAY(),2)+1,tbl_chests[datetime],"&lt;"&amp;TODAY()-WEEKDAY(TODAY(),2)+8)))</f>
        <v>0</v>
      </c>
      <c r="E118" s="36">
        <f ca="1">IF($A118="","",IF(E$1="","",COUNTIFS(tbl_chests[from],$A118,tbl_chests[legalized],E$1,tbl_chests[datetime],"&gt;="&amp;TODAY()-WEEKDAY(TODAY(),2)+1,tbl_chests[datetime],"&lt;"&amp;TODAY()-WEEKDAY(TODAY(),2)+8)))</f>
        <v>0</v>
      </c>
      <c r="F118" s="36">
        <f ca="1">IF($A118="","",IF(F$1="","",COUNTIFS(tbl_chests[from],$A118,tbl_chests[legalized],F$1,tbl_chests[datetime],"&gt;="&amp;TODAY()-WEEKDAY(TODAY(),2)+1,tbl_chests[datetime],"&lt;"&amp;TODAY()-WEEKDAY(TODAY(),2)+8)))</f>
        <v>0</v>
      </c>
      <c r="G118" s="36">
        <f ca="1">IF($A118="","",IF(G$1="","",COUNTIFS(tbl_chests[from],$A118,tbl_chests[legalized],G$1,tbl_chests[datetime],"&gt;="&amp;TODAY()-WEEKDAY(TODAY(),2)+1,tbl_chests[datetime],"&lt;"&amp;TODAY()-WEEKDAY(TODAY(),2)+8)))</f>
        <v>0</v>
      </c>
      <c r="H118" s="36">
        <f ca="1">IF($A118="","",IF(H$1="","",COUNTIFS(tbl_chests[from],$A118,tbl_chests[legalized],H$1,tbl_chests[datetime],"&gt;="&amp;TODAY()-WEEKDAY(TODAY(),2)+1,tbl_chests[datetime],"&lt;"&amp;TODAY()-WEEKDAY(TODAY(),2)+8)))</f>
        <v>0</v>
      </c>
      <c r="I118" s="36">
        <f ca="1">IF($A118="","",IF(I$1="","",COUNTIFS(tbl_chests[from],$A118,tbl_chests[legalized],I$1,tbl_chests[datetime],"&gt;="&amp;TODAY()-WEEKDAY(TODAY(),2)+1,tbl_chests[datetime],"&lt;"&amp;TODAY()-WEEKDAY(TODAY(),2)+8)))</f>
        <v>0</v>
      </c>
      <c r="J118" s="36">
        <f ca="1">IF($A118="","",IF(J$1="","",COUNTIFS(tbl_chests[from],$A118,tbl_chests[legalized],J$1,tbl_chests[datetime],"&gt;="&amp;TODAY()-WEEKDAY(TODAY(),2)+1,tbl_chests[datetime],"&lt;"&amp;TODAY()-WEEKDAY(TODAY(),2)+8)))</f>
        <v>0</v>
      </c>
      <c r="K118" s="36">
        <f ca="1">IF($A118="","",IF(K$1="","",COUNTIFS(tbl_chests[from],$A118,tbl_chests[legalized],K$1,tbl_chests[datetime],"&gt;="&amp;TODAY()-WEEKDAY(TODAY(),2)+1,tbl_chests[datetime],"&lt;"&amp;TODAY()-WEEKDAY(TODAY(),2)+8)))</f>
        <v>0</v>
      </c>
      <c r="L118" s="36">
        <f ca="1">IF($A118="","",IF(L$1="","",COUNTIFS(tbl_chests[from],$A118,tbl_chests[legalized],L$1,tbl_chests[datetime],"&gt;="&amp;TODAY()-WEEKDAY(TODAY(),2)+1,tbl_chests[datetime],"&lt;"&amp;TODAY()-WEEKDAY(TODAY(),2)+8)))</f>
        <v>0</v>
      </c>
      <c r="M118" s="36">
        <f ca="1">IF($A118="","",IF(M$1="","",COUNTIFS(tbl_chests[from],$A118,tbl_chests[legalized],M$1,tbl_chests[datetime],"&gt;="&amp;TODAY()-WEEKDAY(TODAY(),2)+1,tbl_chests[datetime],"&lt;"&amp;TODAY()-WEEKDAY(TODAY(),2)+8)))</f>
        <v>0</v>
      </c>
      <c r="N118" s="36">
        <f ca="1">IF($A118="","",IF(N$1="","",COUNTIFS(tbl_chests[from],$A118,tbl_chests[legalized],N$1,tbl_chests[datetime],"&gt;="&amp;TODAY()-WEEKDAY(TODAY(),2)+1,tbl_chests[datetime],"&lt;"&amp;TODAY()-WEEKDAY(TODAY(),2)+8)))</f>
        <v>0</v>
      </c>
      <c r="O118" s="36">
        <f ca="1">IF($A118="","",IF(O$1="","",COUNTIFS(tbl_chests[from],$A118,tbl_chests[legalized],O$1,tbl_chests[datetime],"&gt;="&amp;TODAY()-WEEKDAY(TODAY(),2)+1,tbl_chests[datetime],"&lt;"&amp;TODAY()-WEEKDAY(TODAY(),2)+8)))</f>
        <v>0</v>
      </c>
      <c r="P118" s="36">
        <f ca="1">IF($A118="","",IF(P$1="","",COUNTIFS(tbl_chests[from],$A118,tbl_chests[legalized],P$1,tbl_chests[datetime],"&gt;="&amp;TODAY()-WEEKDAY(TODAY(),2)+1,tbl_chests[datetime],"&lt;"&amp;TODAY()-WEEKDAY(TODAY(),2)+8)))</f>
        <v>0</v>
      </c>
      <c r="Q118" s="36">
        <f ca="1">IF($A118="","",IF(Q$1="","",COUNTIFS(tbl_chests[from],$A118,tbl_chests[legalized],Q$1,tbl_chests[datetime],"&gt;="&amp;TODAY()-WEEKDAY(TODAY(),2)+1,tbl_chests[datetime],"&lt;"&amp;TODAY()-WEEKDAY(TODAY(),2)+8)))</f>
        <v>0</v>
      </c>
      <c r="R118" s="36">
        <f ca="1">IF($A118="","",IF(R$1="","",COUNTIFS(tbl_chests[from],$A118,tbl_chests[legalized],R$1,tbl_chests[datetime],"&gt;="&amp;TODAY()-WEEKDAY(TODAY(),2)+1,tbl_chests[datetime],"&lt;"&amp;TODAY()-WEEKDAY(TODAY(),2)+8)))</f>
        <v>0</v>
      </c>
      <c r="S118" s="36">
        <f ca="1">IF($A118="","",IF(S$1="","",COUNTIFS(tbl_chests[from],$A118,tbl_chests[legalized],S$1,tbl_chests[datetime],"&gt;="&amp;TODAY()-WEEKDAY(TODAY(),2)+1,tbl_chests[datetime],"&lt;"&amp;TODAY()-WEEKDAY(TODAY(),2)+8)))</f>
        <v>0</v>
      </c>
      <c r="T118" s="36">
        <f ca="1">IF($A118="","",IF(T$1="","",COUNTIFS(tbl_chests[from],$A118,tbl_chests[legalized],T$1,tbl_chests[datetime],"&gt;="&amp;TODAY()-WEEKDAY(TODAY(),2)+1,tbl_chests[datetime],"&lt;"&amp;TODAY()-WEEKDAY(TODAY(),2)+8)))</f>
        <v>0</v>
      </c>
      <c r="U118" s="36">
        <f ca="1">IF($A118="","",IF(U$1="","",COUNTIFS(tbl_chests[from],$A118,tbl_chests[legalized],U$1,tbl_chests[datetime],"&gt;="&amp;TODAY()-WEEKDAY(TODAY(),2)+1,tbl_chests[datetime],"&lt;"&amp;TODAY()-WEEKDAY(TODAY(),2)+8)))</f>
        <v>0</v>
      </c>
      <c r="V118" s="36">
        <f ca="1">IF($A118="","",IF(V$1="","",COUNTIFS(tbl_chests[from],$A118,tbl_chests[legalized],V$1,tbl_chests[datetime],"&gt;="&amp;TODAY()-WEEKDAY(TODAY(),2)+1,tbl_chests[datetime],"&lt;"&amp;TODAY()-WEEKDAY(TODAY(),2)+8)))</f>
        <v>0</v>
      </c>
      <c r="W118" s="36">
        <f ca="1">IF($A118="","",IF(W$1="","",COUNTIFS(tbl_chests[from],$A118,tbl_chests[legalized],W$1,tbl_chests[datetime],"&gt;="&amp;TODAY()-WEEKDAY(TODAY(),2)+1,tbl_chests[datetime],"&lt;"&amp;TODAY()-WEEKDAY(TODAY(),2)+8)))</f>
        <v>0</v>
      </c>
      <c r="X118" s="36">
        <f ca="1">IF($A118="","",IF(X$1="","",COUNTIFS(tbl_chests[from],$A118,tbl_chests[legalized],X$1,tbl_chests[datetime],"&gt;="&amp;TODAY()-WEEKDAY(TODAY(),2)+1,tbl_chests[datetime],"&lt;"&amp;TODAY()-WEEKDAY(TODAY(),2)+8)))</f>
        <v>0</v>
      </c>
      <c r="Y118" s="36">
        <f ca="1">IF($A118="","",IF(Y$1="","",COUNTIFS(tbl_chests[from],$A118,tbl_chests[legalized],Y$1,tbl_chests[datetime],"&gt;="&amp;TODAY()-WEEKDAY(TODAY(),2)+1,tbl_chests[datetime],"&lt;"&amp;TODAY()-WEEKDAY(TODAY(),2)+8)))</f>
        <v>0</v>
      </c>
      <c r="Z118" s="36">
        <f ca="1">IF($A118="","",IF(Z$1="","",COUNTIFS(tbl_chests[from],$A118,tbl_chests[legalized],Z$1,tbl_chests[datetime],"&gt;="&amp;TODAY()-WEEKDAY(TODAY(),2)+1,tbl_chests[datetime],"&lt;"&amp;TODAY()-WEEKDAY(TODAY(),2)+8)))</f>
        <v>0</v>
      </c>
      <c r="AA118" s="36">
        <f ca="1">IF($A118="","",IF(AA$1="","",COUNTIFS(tbl_chests[from],$A118,tbl_chests[legalized],AA$1,tbl_chests[datetime],"&gt;="&amp;TODAY()-WEEKDAY(TODAY(),2)+1,tbl_chests[datetime],"&lt;"&amp;TODAY()-WEEKDAY(TODAY(),2)+8)))</f>
        <v>0</v>
      </c>
      <c r="AB118" s="36">
        <f ca="1">IF($A118="","",IF(AB$1="","",COUNTIFS(tbl_chests[from],$A118,tbl_chests[legalized],AB$1,tbl_chests[datetime],"&gt;="&amp;TODAY()-WEEKDAY(TODAY(),2)+1,tbl_chests[datetime],"&lt;"&amp;TODAY()-WEEKDAY(TODAY(),2)+8)))</f>
        <v>0</v>
      </c>
      <c r="AC118" s="36">
        <f ca="1">IF($A118="","",IF(AC$1="","",COUNTIFS(tbl_chests[from],$A118,tbl_chests[legalized],AC$1,tbl_chests[datetime],"&gt;="&amp;TODAY()-WEEKDAY(TODAY(),2)+1,tbl_chests[datetime],"&lt;"&amp;TODAY()-WEEKDAY(TODAY(),2)+8)))</f>
        <v>0</v>
      </c>
      <c r="AD118" s="36">
        <f ca="1">IF($A118="","",IF(AD$1="","",COUNTIFS(tbl_chests[from],$A118,tbl_chests[legalized],AD$1,tbl_chests[datetime],"&gt;="&amp;TODAY()-WEEKDAY(TODAY(),2)+1,tbl_chests[datetime],"&lt;"&amp;TODAY()-WEEKDAY(TODAY(),2)+8)))</f>
        <v>0</v>
      </c>
      <c r="AE118" s="36">
        <f ca="1">IF($A118="","",IF(AE$1="","",COUNTIFS(tbl_chests[from],$A118,tbl_chests[legalized],AE$1,tbl_chests[datetime],"&gt;="&amp;TODAY()-WEEKDAY(TODAY(),2)+1,tbl_chests[datetime],"&lt;"&amp;TODAY()-WEEKDAY(TODAY(),2)+8)))</f>
        <v>0</v>
      </c>
      <c r="AF118" s="36">
        <f ca="1">IF($A118="","",IF(AF$1="","",COUNTIFS(tbl_chests[from],$A118,tbl_chests[legalized],AF$1,tbl_chests[datetime],"&gt;="&amp;TODAY()-WEEKDAY(TODAY(),2)+1,tbl_chests[datetime],"&lt;"&amp;TODAY()-WEEKDAY(TODAY(),2)+8)))</f>
        <v>0</v>
      </c>
      <c r="AG118" s="36">
        <f ca="1">IF($A118="","",IF(AG$1="","",COUNTIFS(tbl_chests[from],$A118,tbl_chests[legalized],AG$1,tbl_chests[datetime],"&gt;="&amp;TODAY()-WEEKDAY(TODAY(),2)+1,tbl_chests[datetime],"&lt;"&amp;TODAY()-WEEKDAY(TODAY(),2)+8)))</f>
        <v>0</v>
      </c>
      <c r="AH118" s="36">
        <f ca="1">IF($A118="","",IF(AH$1="","",COUNTIFS(tbl_chests[from],$A118,tbl_chests[legalized],AH$1,tbl_chests[datetime],"&gt;="&amp;TODAY()-WEEKDAY(TODAY(),2)+1,tbl_chests[datetime],"&lt;"&amp;TODAY()-WEEKDAY(TODAY(),2)+8)))</f>
        <v>0</v>
      </c>
      <c r="AI118" s="36">
        <f ca="1">IF($A118="","",IF(AI$1="","",COUNTIFS(tbl_chests[from],$A118,tbl_chests[legalized],AI$1,tbl_chests[datetime],"&gt;="&amp;TODAY()-WEEKDAY(TODAY(),2)+1,tbl_chests[datetime],"&lt;"&amp;TODAY()-WEEKDAY(TODAY(),2)+8)))</f>
        <v>0</v>
      </c>
      <c r="AJ118" s="36">
        <f ca="1">IF($A118="","",IF(AJ$1="","",COUNTIFS(tbl_chests[from],$A118,tbl_chests[legalized],AJ$1,tbl_chests[datetime],"&gt;="&amp;TODAY()-WEEKDAY(TODAY(),2)+1,tbl_chests[datetime],"&lt;"&amp;TODAY()-WEEKDAY(TODAY(),2)+8)))</f>
        <v>0</v>
      </c>
      <c r="AK118" s="36">
        <f ca="1">IF($A118="","",IF(AK$1="","",COUNTIFS(tbl_chests[from],$A118,tbl_chests[legalized],AK$1,tbl_chests[datetime],"&gt;="&amp;TODAY()-WEEKDAY(TODAY(),2)+1,tbl_chests[datetime],"&lt;"&amp;TODAY()-WEEKDAY(TODAY(),2)+8)))</f>
        <v>0</v>
      </c>
      <c r="AL118" s="36">
        <f ca="1">IF($A118="","",IF(AL$1="","",COUNTIFS(tbl_chests[from],$A118,tbl_chests[legalized],AL$1,tbl_chests[datetime],"&gt;="&amp;TODAY()-WEEKDAY(TODAY(),2)+1,tbl_chests[datetime],"&lt;"&amp;TODAY()-WEEKDAY(TODAY(),2)+8)))</f>
        <v>0</v>
      </c>
      <c r="AM118" s="37">
        <f ca="1">IF($A118="","",IF(AM$1="","",COUNTIFS(tbl_chests[from],$A118,tbl_chests[legalized],AM$1,tbl_chests[datetime],"&gt;="&amp;TODAY()-WEEKDAY(TODAY(),2)+1,tbl_chests[datetime],"&lt;"&amp;TODAY()-WEEKDAY(TODAY(),2)+8)))</f>
        <v>0</v>
      </c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 ht="15.75" customHeight="1" x14ac:dyDescent="0.25">
      <c r="A119" s="34">
        <f>chests_counter!$H116</f>
        <v>0</v>
      </c>
      <c r="B119" s="35" cm="1">
        <f t="array" aca="1" ref="B119" ca="1">IF(A119&lt;&gt;"", SUMPRODUCT(($C$2:$AM$2&lt;&gt;0)*(C119:AM119&lt;&gt;0)*($C$2:$AM$2)*(C119:AM119)), "")</f>
        <v>0</v>
      </c>
      <c r="C119" s="36">
        <f ca="1">IF($A119="","",IF(C$1="","",COUNTIFS(tbl_chests[from],$A119,tbl_chests[legalized],C$1,tbl_chests[datetime],"&gt;="&amp;TODAY()-WEEKDAY(TODAY(),2)+1,tbl_chests[datetime],"&lt;"&amp;TODAY()-WEEKDAY(TODAY(),2)+8)))</f>
        <v>0</v>
      </c>
      <c r="D119" s="36">
        <f ca="1">IF($A119="","",IF(D$1="","",COUNTIFS(tbl_chests[from],$A119,tbl_chests[legalized],D$1,tbl_chests[datetime],"&gt;="&amp;TODAY()-WEEKDAY(TODAY(),2)+1,tbl_chests[datetime],"&lt;"&amp;TODAY()-WEEKDAY(TODAY(),2)+8)))</f>
        <v>0</v>
      </c>
      <c r="E119" s="36">
        <f ca="1">IF($A119="","",IF(E$1="","",COUNTIFS(tbl_chests[from],$A119,tbl_chests[legalized],E$1,tbl_chests[datetime],"&gt;="&amp;TODAY()-WEEKDAY(TODAY(),2)+1,tbl_chests[datetime],"&lt;"&amp;TODAY()-WEEKDAY(TODAY(),2)+8)))</f>
        <v>0</v>
      </c>
      <c r="F119" s="36">
        <f ca="1">IF($A119="","",IF(F$1="","",COUNTIFS(tbl_chests[from],$A119,tbl_chests[legalized],F$1,tbl_chests[datetime],"&gt;="&amp;TODAY()-WEEKDAY(TODAY(),2)+1,tbl_chests[datetime],"&lt;"&amp;TODAY()-WEEKDAY(TODAY(),2)+8)))</f>
        <v>0</v>
      </c>
      <c r="G119" s="36">
        <f ca="1">IF($A119="","",IF(G$1="","",COUNTIFS(tbl_chests[from],$A119,tbl_chests[legalized],G$1,tbl_chests[datetime],"&gt;="&amp;TODAY()-WEEKDAY(TODAY(),2)+1,tbl_chests[datetime],"&lt;"&amp;TODAY()-WEEKDAY(TODAY(),2)+8)))</f>
        <v>0</v>
      </c>
      <c r="H119" s="36">
        <f ca="1">IF($A119="","",IF(H$1="","",COUNTIFS(tbl_chests[from],$A119,tbl_chests[legalized],H$1,tbl_chests[datetime],"&gt;="&amp;TODAY()-WEEKDAY(TODAY(),2)+1,tbl_chests[datetime],"&lt;"&amp;TODAY()-WEEKDAY(TODAY(),2)+8)))</f>
        <v>0</v>
      </c>
      <c r="I119" s="36">
        <f ca="1">IF($A119="","",IF(I$1="","",COUNTIFS(tbl_chests[from],$A119,tbl_chests[legalized],I$1,tbl_chests[datetime],"&gt;="&amp;TODAY()-WEEKDAY(TODAY(),2)+1,tbl_chests[datetime],"&lt;"&amp;TODAY()-WEEKDAY(TODAY(),2)+8)))</f>
        <v>0</v>
      </c>
      <c r="J119" s="36">
        <f ca="1">IF($A119="","",IF(J$1="","",COUNTIFS(tbl_chests[from],$A119,tbl_chests[legalized],J$1,tbl_chests[datetime],"&gt;="&amp;TODAY()-WEEKDAY(TODAY(),2)+1,tbl_chests[datetime],"&lt;"&amp;TODAY()-WEEKDAY(TODAY(),2)+8)))</f>
        <v>0</v>
      </c>
      <c r="K119" s="36">
        <f ca="1">IF($A119="","",IF(K$1="","",COUNTIFS(tbl_chests[from],$A119,tbl_chests[legalized],K$1,tbl_chests[datetime],"&gt;="&amp;TODAY()-WEEKDAY(TODAY(),2)+1,tbl_chests[datetime],"&lt;"&amp;TODAY()-WEEKDAY(TODAY(),2)+8)))</f>
        <v>0</v>
      </c>
      <c r="L119" s="36">
        <f ca="1">IF($A119="","",IF(L$1="","",COUNTIFS(tbl_chests[from],$A119,tbl_chests[legalized],L$1,tbl_chests[datetime],"&gt;="&amp;TODAY()-WEEKDAY(TODAY(),2)+1,tbl_chests[datetime],"&lt;"&amp;TODAY()-WEEKDAY(TODAY(),2)+8)))</f>
        <v>0</v>
      </c>
      <c r="M119" s="36">
        <f ca="1">IF($A119="","",IF(M$1="","",COUNTIFS(tbl_chests[from],$A119,tbl_chests[legalized],M$1,tbl_chests[datetime],"&gt;="&amp;TODAY()-WEEKDAY(TODAY(),2)+1,tbl_chests[datetime],"&lt;"&amp;TODAY()-WEEKDAY(TODAY(),2)+8)))</f>
        <v>0</v>
      </c>
      <c r="N119" s="36">
        <f ca="1">IF($A119="","",IF(N$1="","",COUNTIFS(tbl_chests[from],$A119,tbl_chests[legalized],N$1,tbl_chests[datetime],"&gt;="&amp;TODAY()-WEEKDAY(TODAY(),2)+1,tbl_chests[datetime],"&lt;"&amp;TODAY()-WEEKDAY(TODAY(),2)+8)))</f>
        <v>0</v>
      </c>
      <c r="O119" s="36">
        <f ca="1">IF($A119="","",IF(O$1="","",COUNTIFS(tbl_chests[from],$A119,tbl_chests[legalized],O$1,tbl_chests[datetime],"&gt;="&amp;TODAY()-WEEKDAY(TODAY(),2)+1,tbl_chests[datetime],"&lt;"&amp;TODAY()-WEEKDAY(TODAY(),2)+8)))</f>
        <v>0</v>
      </c>
      <c r="P119" s="36">
        <f ca="1">IF($A119="","",IF(P$1="","",COUNTIFS(tbl_chests[from],$A119,tbl_chests[legalized],P$1,tbl_chests[datetime],"&gt;="&amp;TODAY()-WEEKDAY(TODAY(),2)+1,tbl_chests[datetime],"&lt;"&amp;TODAY()-WEEKDAY(TODAY(),2)+8)))</f>
        <v>0</v>
      </c>
      <c r="Q119" s="36">
        <f ca="1">IF($A119="","",IF(Q$1="","",COUNTIFS(tbl_chests[from],$A119,tbl_chests[legalized],Q$1,tbl_chests[datetime],"&gt;="&amp;TODAY()-WEEKDAY(TODAY(),2)+1,tbl_chests[datetime],"&lt;"&amp;TODAY()-WEEKDAY(TODAY(),2)+8)))</f>
        <v>0</v>
      </c>
      <c r="R119" s="36">
        <f ca="1">IF($A119="","",IF(R$1="","",COUNTIFS(tbl_chests[from],$A119,tbl_chests[legalized],R$1,tbl_chests[datetime],"&gt;="&amp;TODAY()-WEEKDAY(TODAY(),2)+1,tbl_chests[datetime],"&lt;"&amp;TODAY()-WEEKDAY(TODAY(),2)+8)))</f>
        <v>0</v>
      </c>
      <c r="S119" s="36">
        <f ca="1">IF($A119="","",IF(S$1="","",COUNTIFS(tbl_chests[from],$A119,tbl_chests[legalized],S$1,tbl_chests[datetime],"&gt;="&amp;TODAY()-WEEKDAY(TODAY(),2)+1,tbl_chests[datetime],"&lt;"&amp;TODAY()-WEEKDAY(TODAY(),2)+8)))</f>
        <v>0</v>
      </c>
      <c r="T119" s="36">
        <f ca="1">IF($A119="","",IF(T$1="","",COUNTIFS(tbl_chests[from],$A119,tbl_chests[legalized],T$1,tbl_chests[datetime],"&gt;="&amp;TODAY()-WEEKDAY(TODAY(),2)+1,tbl_chests[datetime],"&lt;"&amp;TODAY()-WEEKDAY(TODAY(),2)+8)))</f>
        <v>0</v>
      </c>
      <c r="U119" s="36">
        <f ca="1">IF($A119="","",IF(U$1="","",COUNTIFS(tbl_chests[from],$A119,tbl_chests[legalized],U$1,tbl_chests[datetime],"&gt;="&amp;TODAY()-WEEKDAY(TODAY(),2)+1,tbl_chests[datetime],"&lt;"&amp;TODAY()-WEEKDAY(TODAY(),2)+8)))</f>
        <v>0</v>
      </c>
      <c r="V119" s="36">
        <f ca="1">IF($A119="","",IF(V$1="","",COUNTIFS(tbl_chests[from],$A119,tbl_chests[legalized],V$1,tbl_chests[datetime],"&gt;="&amp;TODAY()-WEEKDAY(TODAY(),2)+1,tbl_chests[datetime],"&lt;"&amp;TODAY()-WEEKDAY(TODAY(),2)+8)))</f>
        <v>0</v>
      </c>
      <c r="W119" s="36">
        <f ca="1">IF($A119="","",IF(W$1="","",COUNTIFS(tbl_chests[from],$A119,tbl_chests[legalized],W$1,tbl_chests[datetime],"&gt;="&amp;TODAY()-WEEKDAY(TODAY(),2)+1,tbl_chests[datetime],"&lt;"&amp;TODAY()-WEEKDAY(TODAY(),2)+8)))</f>
        <v>0</v>
      </c>
      <c r="X119" s="36">
        <f ca="1">IF($A119="","",IF(X$1="","",COUNTIFS(tbl_chests[from],$A119,tbl_chests[legalized],X$1,tbl_chests[datetime],"&gt;="&amp;TODAY()-WEEKDAY(TODAY(),2)+1,tbl_chests[datetime],"&lt;"&amp;TODAY()-WEEKDAY(TODAY(),2)+8)))</f>
        <v>0</v>
      </c>
      <c r="Y119" s="36">
        <f ca="1">IF($A119="","",IF(Y$1="","",COUNTIFS(tbl_chests[from],$A119,tbl_chests[legalized],Y$1,tbl_chests[datetime],"&gt;="&amp;TODAY()-WEEKDAY(TODAY(),2)+1,tbl_chests[datetime],"&lt;"&amp;TODAY()-WEEKDAY(TODAY(),2)+8)))</f>
        <v>0</v>
      </c>
      <c r="Z119" s="36">
        <f ca="1">IF($A119="","",IF(Z$1="","",COUNTIFS(tbl_chests[from],$A119,tbl_chests[legalized],Z$1,tbl_chests[datetime],"&gt;="&amp;TODAY()-WEEKDAY(TODAY(),2)+1,tbl_chests[datetime],"&lt;"&amp;TODAY()-WEEKDAY(TODAY(),2)+8)))</f>
        <v>0</v>
      </c>
      <c r="AA119" s="36">
        <f ca="1">IF($A119="","",IF(AA$1="","",COUNTIFS(tbl_chests[from],$A119,tbl_chests[legalized],AA$1,tbl_chests[datetime],"&gt;="&amp;TODAY()-WEEKDAY(TODAY(),2)+1,tbl_chests[datetime],"&lt;"&amp;TODAY()-WEEKDAY(TODAY(),2)+8)))</f>
        <v>0</v>
      </c>
      <c r="AB119" s="36">
        <f ca="1">IF($A119="","",IF(AB$1="","",COUNTIFS(tbl_chests[from],$A119,tbl_chests[legalized],AB$1,tbl_chests[datetime],"&gt;="&amp;TODAY()-WEEKDAY(TODAY(),2)+1,tbl_chests[datetime],"&lt;"&amp;TODAY()-WEEKDAY(TODAY(),2)+8)))</f>
        <v>0</v>
      </c>
      <c r="AC119" s="36">
        <f ca="1">IF($A119="","",IF(AC$1="","",COUNTIFS(tbl_chests[from],$A119,tbl_chests[legalized],AC$1,tbl_chests[datetime],"&gt;="&amp;TODAY()-WEEKDAY(TODAY(),2)+1,tbl_chests[datetime],"&lt;"&amp;TODAY()-WEEKDAY(TODAY(),2)+8)))</f>
        <v>0</v>
      </c>
      <c r="AD119" s="36">
        <f ca="1">IF($A119="","",IF(AD$1="","",COUNTIFS(tbl_chests[from],$A119,tbl_chests[legalized],AD$1,tbl_chests[datetime],"&gt;="&amp;TODAY()-WEEKDAY(TODAY(),2)+1,tbl_chests[datetime],"&lt;"&amp;TODAY()-WEEKDAY(TODAY(),2)+8)))</f>
        <v>0</v>
      </c>
      <c r="AE119" s="36">
        <f ca="1">IF($A119="","",IF(AE$1="","",COUNTIFS(tbl_chests[from],$A119,tbl_chests[legalized],AE$1,tbl_chests[datetime],"&gt;="&amp;TODAY()-WEEKDAY(TODAY(),2)+1,tbl_chests[datetime],"&lt;"&amp;TODAY()-WEEKDAY(TODAY(),2)+8)))</f>
        <v>0</v>
      </c>
      <c r="AF119" s="36">
        <f ca="1">IF($A119="","",IF(AF$1="","",COUNTIFS(tbl_chests[from],$A119,tbl_chests[legalized],AF$1,tbl_chests[datetime],"&gt;="&amp;TODAY()-WEEKDAY(TODAY(),2)+1,tbl_chests[datetime],"&lt;"&amp;TODAY()-WEEKDAY(TODAY(),2)+8)))</f>
        <v>0</v>
      </c>
      <c r="AG119" s="36">
        <f ca="1">IF($A119="","",IF(AG$1="","",COUNTIFS(tbl_chests[from],$A119,tbl_chests[legalized],AG$1,tbl_chests[datetime],"&gt;="&amp;TODAY()-WEEKDAY(TODAY(),2)+1,tbl_chests[datetime],"&lt;"&amp;TODAY()-WEEKDAY(TODAY(),2)+8)))</f>
        <v>0</v>
      </c>
      <c r="AH119" s="36">
        <f ca="1">IF($A119="","",IF(AH$1="","",COUNTIFS(tbl_chests[from],$A119,tbl_chests[legalized],AH$1,tbl_chests[datetime],"&gt;="&amp;TODAY()-WEEKDAY(TODAY(),2)+1,tbl_chests[datetime],"&lt;"&amp;TODAY()-WEEKDAY(TODAY(),2)+8)))</f>
        <v>0</v>
      </c>
      <c r="AI119" s="36">
        <f ca="1">IF($A119="","",IF(AI$1="","",COUNTIFS(tbl_chests[from],$A119,tbl_chests[legalized],AI$1,tbl_chests[datetime],"&gt;="&amp;TODAY()-WEEKDAY(TODAY(),2)+1,tbl_chests[datetime],"&lt;"&amp;TODAY()-WEEKDAY(TODAY(),2)+8)))</f>
        <v>0</v>
      </c>
      <c r="AJ119" s="36">
        <f ca="1">IF($A119="","",IF(AJ$1="","",COUNTIFS(tbl_chests[from],$A119,tbl_chests[legalized],AJ$1,tbl_chests[datetime],"&gt;="&amp;TODAY()-WEEKDAY(TODAY(),2)+1,tbl_chests[datetime],"&lt;"&amp;TODAY()-WEEKDAY(TODAY(),2)+8)))</f>
        <v>0</v>
      </c>
      <c r="AK119" s="36">
        <f ca="1">IF($A119="","",IF(AK$1="","",COUNTIFS(tbl_chests[from],$A119,tbl_chests[legalized],AK$1,tbl_chests[datetime],"&gt;="&amp;TODAY()-WEEKDAY(TODAY(),2)+1,tbl_chests[datetime],"&lt;"&amp;TODAY()-WEEKDAY(TODAY(),2)+8)))</f>
        <v>0</v>
      </c>
      <c r="AL119" s="36">
        <f ca="1">IF($A119="","",IF(AL$1="","",COUNTIFS(tbl_chests[from],$A119,tbl_chests[legalized],AL$1,tbl_chests[datetime],"&gt;="&amp;TODAY()-WEEKDAY(TODAY(),2)+1,tbl_chests[datetime],"&lt;"&amp;TODAY()-WEEKDAY(TODAY(),2)+8)))</f>
        <v>0</v>
      </c>
      <c r="AM119" s="37">
        <f ca="1">IF($A119="","",IF(AM$1="","",COUNTIFS(tbl_chests[from],$A119,tbl_chests[legalized],AM$1,tbl_chests[datetime],"&gt;="&amp;TODAY()-WEEKDAY(TODAY(),2)+1,tbl_chests[datetime],"&lt;"&amp;TODAY()-WEEKDAY(TODAY(),2)+8)))</f>
        <v>0</v>
      </c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 ht="15.75" customHeight="1" x14ac:dyDescent="0.25">
      <c r="A120" s="34">
        <f>chests_counter!$H117</f>
        <v>0</v>
      </c>
      <c r="B120" s="35" cm="1">
        <f t="array" aca="1" ref="B120" ca="1">IF(A120&lt;&gt;"", SUMPRODUCT(($C$2:$AM$2&lt;&gt;0)*(C120:AM120&lt;&gt;0)*($C$2:$AM$2)*(C120:AM120)), "")</f>
        <v>0</v>
      </c>
      <c r="C120" s="36">
        <f ca="1">IF($A120="","",IF(C$1="","",COUNTIFS(tbl_chests[from],$A120,tbl_chests[legalized],C$1,tbl_chests[datetime],"&gt;="&amp;TODAY()-WEEKDAY(TODAY(),2)+1,tbl_chests[datetime],"&lt;"&amp;TODAY()-WEEKDAY(TODAY(),2)+8)))</f>
        <v>0</v>
      </c>
      <c r="D120" s="36">
        <f ca="1">IF($A120="","",IF(D$1="","",COUNTIFS(tbl_chests[from],$A120,tbl_chests[legalized],D$1,tbl_chests[datetime],"&gt;="&amp;TODAY()-WEEKDAY(TODAY(),2)+1,tbl_chests[datetime],"&lt;"&amp;TODAY()-WEEKDAY(TODAY(),2)+8)))</f>
        <v>0</v>
      </c>
      <c r="E120" s="36">
        <f ca="1">IF($A120="","",IF(E$1="","",COUNTIFS(tbl_chests[from],$A120,tbl_chests[legalized],E$1,tbl_chests[datetime],"&gt;="&amp;TODAY()-WEEKDAY(TODAY(),2)+1,tbl_chests[datetime],"&lt;"&amp;TODAY()-WEEKDAY(TODAY(),2)+8)))</f>
        <v>0</v>
      </c>
      <c r="F120" s="36">
        <f ca="1">IF($A120="","",IF(F$1="","",COUNTIFS(tbl_chests[from],$A120,tbl_chests[legalized],F$1,tbl_chests[datetime],"&gt;="&amp;TODAY()-WEEKDAY(TODAY(),2)+1,tbl_chests[datetime],"&lt;"&amp;TODAY()-WEEKDAY(TODAY(),2)+8)))</f>
        <v>0</v>
      </c>
      <c r="G120" s="36">
        <f ca="1">IF($A120="","",IF(G$1="","",COUNTIFS(tbl_chests[from],$A120,tbl_chests[legalized],G$1,tbl_chests[datetime],"&gt;="&amp;TODAY()-WEEKDAY(TODAY(),2)+1,tbl_chests[datetime],"&lt;"&amp;TODAY()-WEEKDAY(TODAY(),2)+8)))</f>
        <v>0</v>
      </c>
      <c r="H120" s="36">
        <f ca="1">IF($A120="","",IF(H$1="","",COUNTIFS(tbl_chests[from],$A120,tbl_chests[legalized],H$1,tbl_chests[datetime],"&gt;="&amp;TODAY()-WEEKDAY(TODAY(),2)+1,tbl_chests[datetime],"&lt;"&amp;TODAY()-WEEKDAY(TODAY(),2)+8)))</f>
        <v>0</v>
      </c>
      <c r="I120" s="36">
        <f ca="1">IF($A120="","",IF(I$1="","",COUNTIFS(tbl_chests[from],$A120,tbl_chests[legalized],I$1,tbl_chests[datetime],"&gt;="&amp;TODAY()-WEEKDAY(TODAY(),2)+1,tbl_chests[datetime],"&lt;"&amp;TODAY()-WEEKDAY(TODAY(),2)+8)))</f>
        <v>0</v>
      </c>
      <c r="J120" s="36">
        <f ca="1">IF($A120="","",IF(J$1="","",COUNTIFS(tbl_chests[from],$A120,tbl_chests[legalized],J$1,tbl_chests[datetime],"&gt;="&amp;TODAY()-WEEKDAY(TODAY(),2)+1,tbl_chests[datetime],"&lt;"&amp;TODAY()-WEEKDAY(TODAY(),2)+8)))</f>
        <v>0</v>
      </c>
      <c r="K120" s="36">
        <f ca="1">IF($A120="","",IF(K$1="","",COUNTIFS(tbl_chests[from],$A120,tbl_chests[legalized],K$1,tbl_chests[datetime],"&gt;="&amp;TODAY()-WEEKDAY(TODAY(),2)+1,tbl_chests[datetime],"&lt;"&amp;TODAY()-WEEKDAY(TODAY(),2)+8)))</f>
        <v>0</v>
      </c>
      <c r="L120" s="36">
        <f ca="1">IF($A120="","",IF(L$1="","",COUNTIFS(tbl_chests[from],$A120,tbl_chests[legalized],L$1,tbl_chests[datetime],"&gt;="&amp;TODAY()-WEEKDAY(TODAY(),2)+1,tbl_chests[datetime],"&lt;"&amp;TODAY()-WEEKDAY(TODAY(),2)+8)))</f>
        <v>0</v>
      </c>
      <c r="M120" s="36">
        <f ca="1">IF($A120="","",IF(M$1="","",COUNTIFS(tbl_chests[from],$A120,tbl_chests[legalized],M$1,tbl_chests[datetime],"&gt;="&amp;TODAY()-WEEKDAY(TODAY(),2)+1,tbl_chests[datetime],"&lt;"&amp;TODAY()-WEEKDAY(TODAY(),2)+8)))</f>
        <v>0</v>
      </c>
      <c r="N120" s="36">
        <f ca="1">IF($A120="","",IF(N$1="","",COUNTIFS(tbl_chests[from],$A120,tbl_chests[legalized],N$1,tbl_chests[datetime],"&gt;="&amp;TODAY()-WEEKDAY(TODAY(),2)+1,tbl_chests[datetime],"&lt;"&amp;TODAY()-WEEKDAY(TODAY(),2)+8)))</f>
        <v>0</v>
      </c>
      <c r="O120" s="36">
        <f ca="1">IF($A120="","",IF(O$1="","",COUNTIFS(tbl_chests[from],$A120,tbl_chests[legalized],O$1,tbl_chests[datetime],"&gt;="&amp;TODAY()-WEEKDAY(TODAY(),2)+1,tbl_chests[datetime],"&lt;"&amp;TODAY()-WEEKDAY(TODAY(),2)+8)))</f>
        <v>0</v>
      </c>
      <c r="P120" s="36">
        <f ca="1">IF($A120="","",IF(P$1="","",COUNTIFS(tbl_chests[from],$A120,tbl_chests[legalized],P$1,tbl_chests[datetime],"&gt;="&amp;TODAY()-WEEKDAY(TODAY(),2)+1,tbl_chests[datetime],"&lt;"&amp;TODAY()-WEEKDAY(TODAY(),2)+8)))</f>
        <v>0</v>
      </c>
      <c r="Q120" s="36">
        <f ca="1">IF($A120="","",IF(Q$1="","",COUNTIFS(tbl_chests[from],$A120,tbl_chests[legalized],Q$1,tbl_chests[datetime],"&gt;="&amp;TODAY()-WEEKDAY(TODAY(),2)+1,tbl_chests[datetime],"&lt;"&amp;TODAY()-WEEKDAY(TODAY(),2)+8)))</f>
        <v>0</v>
      </c>
      <c r="R120" s="36">
        <f ca="1">IF($A120="","",IF(R$1="","",COUNTIFS(tbl_chests[from],$A120,tbl_chests[legalized],R$1,tbl_chests[datetime],"&gt;="&amp;TODAY()-WEEKDAY(TODAY(),2)+1,tbl_chests[datetime],"&lt;"&amp;TODAY()-WEEKDAY(TODAY(),2)+8)))</f>
        <v>0</v>
      </c>
      <c r="S120" s="36">
        <f ca="1">IF($A120="","",IF(S$1="","",COUNTIFS(tbl_chests[from],$A120,tbl_chests[legalized],S$1,tbl_chests[datetime],"&gt;="&amp;TODAY()-WEEKDAY(TODAY(),2)+1,tbl_chests[datetime],"&lt;"&amp;TODAY()-WEEKDAY(TODAY(),2)+8)))</f>
        <v>0</v>
      </c>
      <c r="T120" s="36">
        <f ca="1">IF($A120="","",IF(T$1="","",COUNTIFS(tbl_chests[from],$A120,tbl_chests[legalized],T$1,tbl_chests[datetime],"&gt;="&amp;TODAY()-WEEKDAY(TODAY(),2)+1,tbl_chests[datetime],"&lt;"&amp;TODAY()-WEEKDAY(TODAY(),2)+8)))</f>
        <v>0</v>
      </c>
      <c r="U120" s="36">
        <f ca="1">IF($A120="","",IF(U$1="","",COUNTIFS(tbl_chests[from],$A120,tbl_chests[legalized],U$1,tbl_chests[datetime],"&gt;="&amp;TODAY()-WEEKDAY(TODAY(),2)+1,tbl_chests[datetime],"&lt;"&amp;TODAY()-WEEKDAY(TODAY(),2)+8)))</f>
        <v>0</v>
      </c>
      <c r="V120" s="36">
        <f ca="1">IF($A120="","",IF(V$1="","",COUNTIFS(tbl_chests[from],$A120,tbl_chests[legalized],V$1,tbl_chests[datetime],"&gt;="&amp;TODAY()-WEEKDAY(TODAY(),2)+1,tbl_chests[datetime],"&lt;"&amp;TODAY()-WEEKDAY(TODAY(),2)+8)))</f>
        <v>0</v>
      </c>
      <c r="W120" s="36">
        <f ca="1">IF($A120="","",IF(W$1="","",COUNTIFS(tbl_chests[from],$A120,tbl_chests[legalized],W$1,tbl_chests[datetime],"&gt;="&amp;TODAY()-WEEKDAY(TODAY(),2)+1,tbl_chests[datetime],"&lt;"&amp;TODAY()-WEEKDAY(TODAY(),2)+8)))</f>
        <v>0</v>
      </c>
      <c r="X120" s="36">
        <f ca="1">IF($A120="","",IF(X$1="","",COUNTIFS(tbl_chests[from],$A120,tbl_chests[legalized],X$1,tbl_chests[datetime],"&gt;="&amp;TODAY()-WEEKDAY(TODAY(),2)+1,tbl_chests[datetime],"&lt;"&amp;TODAY()-WEEKDAY(TODAY(),2)+8)))</f>
        <v>0</v>
      </c>
      <c r="Y120" s="36">
        <f ca="1">IF($A120="","",IF(Y$1="","",COUNTIFS(tbl_chests[from],$A120,tbl_chests[legalized],Y$1,tbl_chests[datetime],"&gt;="&amp;TODAY()-WEEKDAY(TODAY(),2)+1,tbl_chests[datetime],"&lt;"&amp;TODAY()-WEEKDAY(TODAY(),2)+8)))</f>
        <v>0</v>
      </c>
      <c r="Z120" s="36">
        <f ca="1">IF($A120="","",IF(Z$1="","",COUNTIFS(tbl_chests[from],$A120,tbl_chests[legalized],Z$1,tbl_chests[datetime],"&gt;="&amp;TODAY()-WEEKDAY(TODAY(),2)+1,tbl_chests[datetime],"&lt;"&amp;TODAY()-WEEKDAY(TODAY(),2)+8)))</f>
        <v>0</v>
      </c>
      <c r="AA120" s="36">
        <f ca="1">IF($A120="","",IF(AA$1="","",COUNTIFS(tbl_chests[from],$A120,tbl_chests[legalized],AA$1,tbl_chests[datetime],"&gt;="&amp;TODAY()-WEEKDAY(TODAY(),2)+1,tbl_chests[datetime],"&lt;"&amp;TODAY()-WEEKDAY(TODAY(),2)+8)))</f>
        <v>0</v>
      </c>
      <c r="AB120" s="36">
        <f ca="1">IF($A120="","",IF(AB$1="","",COUNTIFS(tbl_chests[from],$A120,tbl_chests[legalized],AB$1,tbl_chests[datetime],"&gt;="&amp;TODAY()-WEEKDAY(TODAY(),2)+1,tbl_chests[datetime],"&lt;"&amp;TODAY()-WEEKDAY(TODAY(),2)+8)))</f>
        <v>0</v>
      </c>
      <c r="AC120" s="36">
        <f ca="1">IF($A120="","",IF(AC$1="","",COUNTIFS(tbl_chests[from],$A120,tbl_chests[legalized],AC$1,tbl_chests[datetime],"&gt;="&amp;TODAY()-WEEKDAY(TODAY(),2)+1,tbl_chests[datetime],"&lt;"&amp;TODAY()-WEEKDAY(TODAY(),2)+8)))</f>
        <v>0</v>
      </c>
      <c r="AD120" s="36">
        <f ca="1">IF($A120="","",IF(AD$1="","",COUNTIFS(tbl_chests[from],$A120,tbl_chests[legalized],AD$1,tbl_chests[datetime],"&gt;="&amp;TODAY()-WEEKDAY(TODAY(),2)+1,tbl_chests[datetime],"&lt;"&amp;TODAY()-WEEKDAY(TODAY(),2)+8)))</f>
        <v>0</v>
      </c>
      <c r="AE120" s="36">
        <f ca="1">IF($A120="","",IF(AE$1="","",COUNTIFS(tbl_chests[from],$A120,tbl_chests[legalized],AE$1,tbl_chests[datetime],"&gt;="&amp;TODAY()-WEEKDAY(TODAY(),2)+1,tbl_chests[datetime],"&lt;"&amp;TODAY()-WEEKDAY(TODAY(),2)+8)))</f>
        <v>0</v>
      </c>
      <c r="AF120" s="36">
        <f ca="1">IF($A120="","",IF(AF$1="","",COUNTIFS(tbl_chests[from],$A120,tbl_chests[legalized],AF$1,tbl_chests[datetime],"&gt;="&amp;TODAY()-WEEKDAY(TODAY(),2)+1,tbl_chests[datetime],"&lt;"&amp;TODAY()-WEEKDAY(TODAY(),2)+8)))</f>
        <v>0</v>
      </c>
      <c r="AG120" s="36">
        <f ca="1">IF($A120="","",IF(AG$1="","",COUNTIFS(tbl_chests[from],$A120,tbl_chests[legalized],AG$1,tbl_chests[datetime],"&gt;="&amp;TODAY()-WEEKDAY(TODAY(),2)+1,tbl_chests[datetime],"&lt;"&amp;TODAY()-WEEKDAY(TODAY(),2)+8)))</f>
        <v>0</v>
      </c>
      <c r="AH120" s="36">
        <f ca="1">IF($A120="","",IF(AH$1="","",COUNTIFS(tbl_chests[from],$A120,tbl_chests[legalized],AH$1,tbl_chests[datetime],"&gt;="&amp;TODAY()-WEEKDAY(TODAY(),2)+1,tbl_chests[datetime],"&lt;"&amp;TODAY()-WEEKDAY(TODAY(),2)+8)))</f>
        <v>0</v>
      </c>
      <c r="AI120" s="36">
        <f ca="1">IF($A120="","",IF(AI$1="","",COUNTIFS(tbl_chests[from],$A120,tbl_chests[legalized],AI$1,tbl_chests[datetime],"&gt;="&amp;TODAY()-WEEKDAY(TODAY(),2)+1,tbl_chests[datetime],"&lt;"&amp;TODAY()-WEEKDAY(TODAY(),2)+8)))</f>
        <v>0</v>
      </c>
      <c r="AJ120" s="36">
        <f ca="1">IF($A120="","",IF(AJ$1="","",COUNTIFS(tbl_chests[from],$A120,tbl_chests[legalized],AJ$1,tbl_chests[datetime],"&gt;="&amp;TODAY()-WEEKDAY(TODAY(),2)+1,tbl_chests[datetime],"&lt;"&amp;TODAY()-WEEKDAY(TODAY(),2)+8)))</f>
        <v>0</v>
      </c>
      <c r="AK120" s="36">
        <f ca="1">IF($A120="","",IF(AK$1="","",COUNTIFS(tbl_chests[from],$A120,tbl_chests[legalized],AK$1,tbl_chests[datetime],"&gt;="&amp;TODAY()-WEEKDAY(TODAY(),2)+1,tbl_chests[datetime],"&lt;"&amp;TODAY()-WEEKDAY(TODAY(),2)+8)))</f>
        <v>0</v>
      </c>
      <c r="AL120" s="36">
        <f ca="1">IF($A120="","",IF(AL$1="","",COUNTIFS(tbl_chests[from],$A120,tbl_chests[legalized],AL$1,tbl_chests[datetime],"&gt;="&amp;TODAY()-WEEKDAY(TODAY(),2)+1,tbl_chests[datetime],"&lt;"&amp;TODAY()-WEEKDAY(TODAY(),2)+8)))</f>
        <v>0</v>
      </c>
      <c r="AM120" s="37">
        <f ca="1">IF($A120="","",IF(AM$1="","",COUNTIFS(tbl_chests[from],$A120,tbl_chests[legalized],AM$1,tbl_chests[datetime],"&gt;="&amp;TODAY()-WEEKDAY(TODAY(),2)+1,tbl_chests[datetime],"&lt;"&amp;TODAY()-WEEKDAY(TODAY(),2)+8)))</f>
        <v>0</v>
      </c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 ht="15.75" customHeight="1" x14ac:dyDescent="0.25">
      <c r="A121" s="34">
        <f>chests_counter!$H118</f>
        <v>0</v>
      </c>
      <c r="B121" s="35" cm="1">
        <f t="array" aca="1" ref="B121" ca="1">IF(A121&lt;&gt;"", SUMPRODUCT(($C$2:$AM$2&lt;&gt;0)*(C121:AM121&lt;&gt;0)*($C$2:$AM$2)*(C121:AM121)), "")</f>
        <v>0</v>
      </c>
      <c r="C121" s="36">
        <f ca="1">IF($A121="","",IF(C$1="","",COUNTIFS(tbl_chests[from],$A121,tbl_chests[legalized],C$1,tbl_chests[datetime],"&gt;="&amp;TODAY()-WEEKDAY(TODAY(),2)+1,tbl_chests[datetime],"&lt;"&amp;TODAY()-WEEKDAY(TODAY(),2)+8)))</f>
        <v>0</v>
      </c>
      <c r="D121" s="36">
        <f ca="1">IF($A121="","",IF(D$1="","",COUNTIFS(tbl_chests[from],$A121,tbl_chests[legalized],D$1,tbl_chests[datetime],"&gt;="&amp;TODAY()-WEEKDAY(TODAY(),2)+1,tbl_chests[datetime],"&lt;"&amp;TODAY()-WEEKDAY(TODAY(),2)+8)))</f>
        <v>0</v>
      </c>
      <c r="E121" s="36">
        <f ca="1">IF($A121="","",IF(E$1="","",COUNTIFS(tbl_chests[from],$A121,tbl_chests[legalized],E$1,tbl_chests[datetime],"&gt;="&amp;TODAY()-WEEKDAY(TODAY(),2)+1,tbl_chests[datetime],"&lt;"&amp;TODAY()-WEEKDAY(TODAY(),2)+8)))</f>
        <v>0</v>
      </c>
      <c r="F121" s="36">
        <f ca="1">IF($A121="","",IF(F$1="","",COUNTIFS(tbl_chests[from],$A121,tbl_chests[legalized],F$1,tbl_chests[datetime],"&gt;="&amp;TODAY()-WEEKDAY(TODAY(),2)+1,tbl_chests[datetime],"&lt;"&amp;TODAY()-WEEKDAY(TODAY(),2)+8)))</f>
        <v>0</v>
      </c>
      <c r="G121" s="36">
        <f ca="1">IF($A121="","",IF(G$1="","",COUNTIFS(tbl_chests[from],$A121,tbl_chests[legalized],G$1,tbl_chests[datetime],"&gt;="&amp;TODAY()-WEEKDAY(TODAY(),2)+1,tbl_chests[datetime],"&lt;"&amp;TODAY()-WEEKDAY(TODAY(),2)+8)))</f>
        <v>0</v>
      </c>
      <c r="H121" s="36">
        <f ca="1">IF($A121="","",IF(H$1="","",COUNTIFS(tbl_chests[from],$A121,tbl_chests[legalized],H$1,tbl_chests[datetime],"&gt;="&amp;TODAY()-WEEKDAY(TODAY(),2)+1,tbl_chests[datetime],"&lt;"&amp;TODAY()-WEEKDAY(TODAY(),2)+8)))</f>
        <v>0</v>
      </c>
      <c r="I121" s="36">
        <f ca="1">IF($A121="","",IF(I$1="","",COUNTIFS(tbl_chests[from],$A121,tbl_chests[legalized],I$1,tbl_chests[datetime],"&gt;="&amp;TODAY()-WEEKDAY(TODAY(),2)+1,tbl_chests[datetime],"&lt;"&amp;TODAY()-WEEKDAY(TODAY(),2)+8)))</f>
        <v>0</v>
      </c>
      <c r="J121" s="36">
        <f ca="1">IF($A121="","",IF(J$1="","",COUNTIFS(tbl_chests[from],$A121,tbl_chests[legalized],J$1,tbl_chests[datetime],"&gt;="&amp;TODAY()-WEEKDAY(TODAY(),2)+1,tbl_chests[datetime],"&lt;"&amp;TODAY()-WEEKDAY(TODAY(),2)+8)))</f>
        <v>0</v>
      </c>
      <c r="K121" s="36">
        <f ca="1">IF($A121="","",IF(K$1="","",COUNTIFS(tbl_chests[from],$A121,tbl_chests[legalized],K$1,tbl_chests[datetime],"&gt;="&amp;TODAY()-WEEKDAY(TODAY(),2)+1,tbl_chests[datetime],"&lt;"&amp;TODAY()-WEEKDAY(TODAY(),2)+8)))</f>
        <v>0</v>
      </c>
      <c r="L121" s="36">
        <f ca="1">IF($A121="","",IF(L$1="","",COUNTIFS(tbl_chests[from],$A121,tbl_chests[legalized],L$1,tbl_chests[datetime],"&gt;="&amp;TODAY()-WEEKDAY(TODAY(),2)+1,tbl_chests[datetime],"&lt;"&amp;TODAY()-WEEKDAY(TODAY(),2)+8)))</f>
        <v>0</v>
      </c>
      <c r="M121" s="36">
        <f ca="1">IF($A121="","",IF(M$1="","",COUNTIFS(tbl_chests[from],$A121,tbl_chests[legalized],M$1,tbl_chests[datetime],"&gt;="&amp;TODAY()-WEEKDAY(TODAY(),2)+1,tbl_chests[datetime],"&lt;"&amp;TODAY()-WEEKDAY(TODAY(),2)+8)))</f>
        <v>0</v>
      </c>
      <c r="N121" s="36">
        <f ca="1">IF($A121="","",IF(N$1="","",COUNTIFS(tbl_chests[from],$A121,tbl_chests[legalized],N$1,tbl_chests[datetime],"&gt;="&amp;TODAY()-WEEKDAY(TODAY(),2)+1,tbl_chests[datetime],"&lt;"&amp;TODAY()-WEEKDAY(TODAY(),2)+8)))</f>
        <v>0</v>
      </c>
      <c r="O121" s="36">
        <f ca="1">IF($A121="","",IF(O$1="","",COUNTIFS(tbl_chests[from],$A121,tbl_chests[legalized],O$1,tbl_chests[datetime],"&gt;="&amp;TODAY()-WEEKDAY(TODAY(),2)+1,tbl_chests[datetime],"&lt;"&amp;TODAY()-WEEKDAY(TODAY(),2)+8)))</f>
        <v>0</v>
      </c>
      <c r="P121" s="36">
        <f ca="1">IF($A121="","",IF(P$1="","",COUNTIFS(tbl_chests[from],$A121,tbl_chests[legalized],P$1,tbl_chests[datetime],"&gt;="&amp;TODAY()-WEEKDAY(TODAY(),2)+1,tbl_chests[datetime],"&lt;"&amp;TODAY()-WEEKDAY(TODAY(),2)+8)))</f>
        <v>0</v>
      </c>
      <c r="Q121" s="36">
        <f ca="1">IF($A121="","",IF(Q$1="","",COUNTIFS(tbl_chests[from],$A121,tbl_chests[legalized],Q$1,tbl_chests[datetime],"&gt;="&amp;TODAY()-WEEKDAY(TODAY(),2)+1,tbl_chests[datetime],"&lt;"&amp;TODAY()-WEEKDAY(TODAY(),2)+8)))</f>
        <v>0</v>
      </c>
      <c r="R121" s="36">
        <f ca="1">IF($A121="","",IF(R$1="","",COUNTIFS(tbl_chests[from],$A121,tbl_chests[legalized],R$1,tbl_chests[datetime],"&gt;="&amp;TODAY()-WEEKDAY(TODAY(),2)+1,tbl_chests[datetime],"&lt;"&amp;TODAY()-WEEKDAY(TODAY(),2)+8)))</f>
        <v>0</v>
      </c>
      <c r="S121" s="36">
        <f ca="1">IF($A121="","",IF(S$1="","",COUNTIFS(tbl_chests[from],$A121,tbl_chests[legalized],S$1,tbl_chests[datetime],"&gt;="&amp;TODAY()-WEEKDAY(TODAY(),2)+1,tbl_chests[datetime],"&lt;"&amp;TODAY()-WEEKDAY(TODAY(),2)+8)))</f>
        <v>0</v>
      </c>
      <c r="T121" s="36">
        <f ca="1">IF($A121="","",IF(T$1="","",COUNTIFS(tbl_chests[from],$A121,tbl_chests[legalized],T$1,tbl_chests[datetime],"&gt;="&amp;TODAY()-WEEKDAY(TODAY(),2)+1,tbl_chests[datetime],"&lt;"&amp;TODAY()-WEEKDAY(TODAY(),2)+8)))</f>
        <v>0</v>
      </c>
      <c r="U121" s="36">
        <f ca="1">IF($A121="","",IF(U$1="","",COUNTIFS(tbl_chests[from],$A121,tbl_chests[legalized],U$1,tbl_chests[datetime],"&gt;="&amp;TODAY()-WEEKDAY(TODAY(),2)+1,tbl_chests[datetime],"&lt;"&amp;TODAY()-WEEKDAY(TODAY(),2)+8)))</f>
        <v>0</v>
      </c>
      <c r="V121" s="36">
        <f ca="1">IF($A121="","",IF(V$1="","",COUNTIFS(tbl_chests[from],$A121,tbl_chests[legalized],V$1,tbl_chests[datetime],"&gt;="&amp;TODAY()-WEEKDAY(TODAY(),2)+1,tbl_chests[datetime],"&lt;"&amp;TODAY()-WEEKDAY(TODAY(),2)+8)))</f>
        <v>0</v>
      </c>
      <c r="W121" s="36">
        <f ca="1">IF($A121="","",IF(W$1="","",COUNTIFS(tbl_chests[from],$A121,tbl_chests[legalized],W$1,tbl_chests[datetime],"&gt;="&amp;TODAY()-WEEKDAY(TODAY(),2)+1,tbl_chests[datetime],"&lt;"&amp;TODAY()-WEEKDAY(TODAY(),2)+8)))</f>
        <v>0</v>
      </c>
      <c r="X121" s="36">
        <f ca="1">IF($A121="","",IF(X$1="","",COUNTIFS(tbl_chests[from],$A121,tbl_chests[legalized],X$1,tbl_chests[datetime],"&gt;="&amp;TODAY()-WEEKDAY(TODAY(),2)+1,tbl_chests[datetime],"&lt;"&amp;TODAY()-WEEKDAY(TODAY(),2)+8)))</f>
        <v>0</v>
      </c>
      <c r="Y121" s="36">
        <f ca="1">IF($A121="","",IF(Y$1="","",COUNTIFS(tbl_chests[from],$A121,tbl_chests[legalized],Y$1,tbl_chests[datetime],"&gt;="&amp;TODAY()-WEEKDAY(TODAY(),2)+1,tbl_chests[datetime],"&lt;"&amp;TODAY()-WEEKDAY(TODAY(),2)+8)))</f>
        <v>0</v>
      </c>
      <c r="Z121" s="36">
        <f ca="1">IF($A121="","",IF(Z$1="","",COUNTIFS(tbl_chests[from],$A121,tbl_chests[legalized],Z$1,tbl_chests[datetime],"&gt;="&amp;TODAY()-WEEKDAY(TODAY(),2)+1,tbl_chests[datetime],"&lt;"&amp;TODAY()-WEEKDAY(TODAY(),2)+8)))</f>
        <v>0</v>
      </c>
      <c r="AA121" s="36">
        <f ca="1">IF($A121="","",IF(AA$1="","",COUNTIFS(tbl_chests[from],$A121,tbl_chests[legalized],AA$1,tbl_chests[datetime],"&gt;="&amp;TODAY()-WEEKDAY(TODAY(),2)+1,tbl_chests[datetime],"&lt;"&amp;TODAY()-WEEKDAY(TODAY(),2)+8)))</f>
        <v>0</v>
      </c>
      <c r="AB121" s="36">
        <f ca="1">IF($A121="","",IF(AB$1="","",COUNTIFS(tbl_chests[from],$A121,tbl_chests[legalized],AB$1,tbl_chests[datetime],"&gt;="&amp;TODAY()-WEEKDAY(TODAY(),2)+1,tbl_chests[datetime],"&lt;"&amp;TODAY()-WEEKDAY(TODAY(),2)+8)))</f>
        <v>0</v>
      </c>
      <c r="AC121" s="36">
        <f ca="1">IF($A121="","",IF(AC$1="","",COUNTIFS(tbl_chests[from],$A121,tbl_chests[legalized],AC$1,tbl_chests[datetime],"&gt;="&amp;TODAY()-WEEKDAY(TODAY(),2)+1,tbl_chests[datetime],"&lt;"&amp;TODAY()-WEEKDAY(TODAY(),2)+8)))</f>
        <v>0</v>
      </c>
      <c r="AD121" s="36">
        <f ca="1">IF($A121="","",IF(AD$1="","",COUNTIFS(tbl_chests[from],$A121,tbl_chests[legalized],AD$1,tbl_chests[datetime],"&gt;="&amp;TODAY()-WEEKDAY(TODAY(),2)+1,tbl_chests[datetime],"&lt;"&amp;TODAY()-WEEKDAY(TODAY(),2)+8)))</f>
        <v>0</v>
      </c>
      <c r="AE121" s="36">
        <f ca="1">IF($A121="","",IF(AE$1="","",COUNTIFS(tbl_chests[from],$A121,tbl_chests[legalized],AE$1,tbl_chests[datetime],"&gt;="&amp;TODAY()-WEEKDAY(TODAY(),2)+1,tbl_chests[datetime],"&lt;"&amp;TODAY()-WEEKDAY(TODAY(),2)+8)))</f>
        <v>0</v>
      </c>
      <c r="AF121" s="36">
        <f ca="1">IF($A121="","",IF(AF$1="","",COUNTIFS(tbl_chests[from],$A121,tbl_chests[legalized],AF$1,tbl_chests[datetime],"&gt;="&amp;TODAY()-WEEKDAY(TODAY(),2)+1,tbl_chests[datetime],"&lt;"&amp;TODAY()-WEEKDAY(TODAY(),2)+8)))</f>
        <v>0</v>
      </c>
      <c r="AG121" s="36">
        <f ca="1">IF($A121="","",IF(AG$1="","",COUNTIFS(tbl_chests[from],$A121,tbl_chests[legalized],AG$1,tbl_chests[datetime],"&gt;="&amp;TODAY()-WEEKDAY(TODAY(),2)+1,tbl_chests[datetime],"&lt;"&amp;TODAY()-WEEKDAY(TODAY(),2)+8)))</f>
        <v>0</v>
      </c>
      <c r="AH121" s="36">
        <f ca="1">IF($A121="","",IF(AH$1="","",COUNTIFS(tbl_chests[from],$A121,tbl_chests[legalized],AH$1,tbl_chests[datetime],"&gt;="&amp;TODAY()-WEEKDAY(TODAY(),2)+1,tbl_chests[datetime],"&lt;"&amp;TODAY()-WEEKDAY(TODAY(),2)+8)))</f>
        <v>0</v>
      </c>
      <c r="AI121" s="36">
        <f ca="1">IF($A121="","",IF(AI$1="","",COUNTIFS(tbl_chests[from],$A121,tbl_chests[legalized],AI$1,tbl_chests[datetime],"&gt;="&amp;TODAY()-WEEKDAY(TODAY(),2)+1,tbl_chests[datetime],"&lt;"&amp;TODAY()-WEEKDAY(TODAY(),2)+8)))</f>
        <v>0</v>
      </c>
      <c r="AJ121" s="36">
        <f ca="1">IF($A121="","",IF(AJ$1="","",COUNTIFS(tbl_chests[from],$A121,tbl_chests[legalized],AJ$1,tbl_chests[datetime],"&gt;="&amp;TODAY()-WEEKDAY(TODAY(),2)+1,tbl_chests[datetime],"&lt;"&amp;TODAY()-WEEKDAY(TODAY(),2)+8)))</f>
        <v>0</v>
      </c>
      <c r="AK121" s="36">
        <f ca="1">IF($A121="","",IF(AK$1="","",COUNTIFS(tbl_chests[from],$A121,tbl_chests[legalized],AK$1,tbl_chests[datetime],"&gt;="&amp;TODAY()-WEEKDAY(TODAY(),2)+1,tbl_chests[datetime],"&lt;"&amp;TODAY()-WEEKDAY(TODAY(),2)+8)))</f>
        <v>0</v>
      </c>
      <c r="AL121" s="36">
        <f ca="1">IF($A121="","",IF(AL$1="","",COUNTIFS(tbl_chests[from],$A121,tbl_chests[legalized],AL$1,tbl_chests[datetime],"&gt;="&amp;TODAY()-WEEKDAY(TODAY(),2)+1,tbl_chests[datetime],"&lt;"&amp;TODAY()-WEEKDAY(TODAY(),2)+8)))</f>
        <v>0</v>
      </c>
      <c r="AM121" s="37">
        <f ca="1">IF($A121="","",IF(AM$1="","",COUNTIFS(tbl_chests[from],$A121,tbl_chests[legalized],AM$1,tbl_chests[datetime],"&gt;="&amp;TODAY()-WEEKDAY(TODAY(),2)+1,tbl_chests[datetime],"&lt;"&amp;TODAY()-WEEKDAY(TODAY(),2)+8)))</f>
        <v>0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 ht="15.75" customHeight="1" x14ac:dyDescent="0.25">
      <c r="A122" s="34">
        <f>chests_counter!$H119</f>
        <v>0</v>
      </c>
      <c r="B122" s="35" cm="1">
        <f t="array" aca="1" ref="B122" ca="1">IF(A122&lt;&gt;"", SUMPRODUCT(($C$2:$AM$2&lt;&gt;0)*(C122:AM122&lt;&gt;0)*($C$2:$AM$2)*(C122:AM122)), "")</f>
        <v>0</v>
      </c>
      <c r="C122" s="36">
        <f ca="1">IF($A122="","",IF(C$1="","",COUNTIFS(tbl_chests[from],$A122,tbl_chests[legalized],C$1,tbl_chests[datetime],"&gt;="&amp;TODAY()-WEEKDAY(TODAY(),2)+1,tbl_chests[datetime],"&lt;"&amp;TODAY()-WEEKDAY(TODAY(),2)+8)))</f>
        <v>0</v>
      </c>
      <c r="D122" s="36">
        <f ca="1">IF($A122="","",IF(D$1="","",COUNTIFS(tbl_chests[from],$A122,tbl_chests[legalized],D$1,tbl_chests[datetime],"&gt;="&amp;TODAY()-WEEKDAY(TODAY(),2)+1,tbl_chests[datetime],"&lt;"&amp;TODAY()-WEEKDAY(TODAY(),2)+8)))</f>
        <v>0</v>
      </c>
      <c r="E122" s="36">
        <f ca="1">IF($A122="","",IF(E$1="","",COUNTIFS(tbl_chests[from],$A122,tbl_chests[legalized],E$1,tbl_chests[datetime],"&gt;="&amp;TODAY()-WEEKDAY(TODAY(),2)+1,tbl_chests[datetime],"&lt;"&amp;TODAY()-WEEKDAY(TODAY(),2)+8)))</f>
        <v>0</v>
      </c>
      <c r="F122" s="36">
        <f ca="1">IF($A122="","",IF(F$1="","",COUNTIFS(tbl_chests[from],$A122,tbl_chests[legalized],F$1,tbl_chests[datetime],"&gt;="&amp;TODAY()-WEEKDAY(TODAY(),2)+1,tbl_chests[datetime],"&lt;"&amp;TODAY()-WEEKDAY(TODAY(),2)+8)))</f>
        <v>0</v>
      </c>
      <c r="G122" s="36">
        <f ca="1">IF($A122="","",IF(G$1="","",COUNTIFS(tbl_chests[from],$A122,tbl_chests[legalized],G$1,tbl_chests[datetime],"&gt;="&amp;TODAY()-WEEKDAY(TODAY(),2)+1,tbl_chests[datetime],"&lt;"&amp;TODAY()-WEEKDAY(TODAY(),2)+8)))</f>
        <v>0</v>
      </c>
      <c r="H122" s="36">
        <f ca="1">IF($A122="","",IF(H$1="","",COUNTIFS(tbl_chests[from],$A122,tbl_chests[legalized],H$1,tbl_chests[datetime],"&gt;="&amp;TODAY()-WEEKDAY(TODAY(),2)+1,tbl_chests[datetime],"&lt;"&amp;TODAY()-WEEKDAY(TODAY(),2)+8)))</f>
        <v>0</v>
      </c>
      <c r="I122" s="36">
        <f ca="1">IF($A122="","",IF(I$1="","",COUNTIFS(tbl_chests[from],$A122,tbl_chests[legalized],I$1,tbl_chests[datetime],"&gt;="&amp;TODAY()-WEEKDAY(TODAY(),2)+1,tbl_chests[datetime],"&lt;"&amp;TODAY()-WEEKDAY(TODAY(),2)+8)))</f>
        <v>0</v>
      </c>
      <c r="J122" s="36">
        <f ca="1">IF($A122="","",IF(J$1="","",COUNTIFS(tbl_chests[from],$A122,tbl_chests[legalized],J$1,tbl_chests[datetime],"&gt;="&amp;TODAY()-WEEKDAY(TODAY(),2)+1,tbl_chests[datetime],"&lt;"&amp;TODAY()-WEEKDAY(TODAY(),2)+8)))</f>
        <v>0</v>
      </c>
      <c r="K122" s="36">
        <f ca="1">IF($A122="","",IF(K$1="","",COUNTIFS(tbl_chests[from],$A122,tbl_chests[legalized],K$1,tbl_chests[datetime],"&gt;="&amp;TODAY()-WEEKDAY(TODAY(),2)+1,tbl_chests[datetime],"&lt;"&amp;TODAY()-WEEKDAY(TODAY(),2)+8)))</f>
        <v>0</v>
      </c>
      <c r="L122" s="36">
        <f ca="1">IF($A122="","",IF(L$1="","",COUNTIFS(tbl_chests[from],$A122,tbl_chests[legalized],L$1,tbl_chests[datetime],"&gt;="&amp;TODAY()-WEEKDAY(TODAY(),2)+1,tbl_chests[datetime],"&lt;"&amp;TODAY()-WEEKDAY(TODAY(),2)+8)))</f>
        <v>0</v>
      </c>
      <c r="M122" s="36">
        <f ca="1">IF($A122="","",IF(M$1="","",COUNTIFS(tbl_chests[from],$A122,tbl_chests[legalized],M$1,tbl_chests[datetime],"&gt;="&amp;TODAY()-WEEKDAY(TODAY(),2)+1,tbl_chests[datetime],"&lt;"&amp;TODAY()-WEEKDAY(TODAY(),2)+8)))</f>
        <v>0</v>
      </c>
      <c r="N122" s="36">
        <f ca="1">IF($A122="","",IF(N$1="","",COUNTIFS(tbl_chests[from],$A122,tbl_chests[legalized],N$1,tbl_chests[datetime],"&gt;="&amp;TODAY()-WEEKDAY(TODAY(),2)+1,tbl_chests[datetime],"&lt;"&amp;TODAY()-WEEKDAY(TODAY(),2)+8)))</f>
        <v>0</v>
      </c>
      <c r="O122" s="36">
        <f ca="1">IF($A122="","",IF(O$1="","",COUNTIFS(tbl_chests[from],$A122,tbl_chests[legalized],O$1,tbl_chests[datetime],"&gt;="&amp;TODAY()-WEEKDAY(TODAY(),2)+1,tbl_chests[datetime],"&lt;"&amp;TODAY()-WEEKDAY(TODAY(),2)+8)))</f>
        <v>0</v>
      </c>
      <c r="P122" s="36">
        <f ca="1">IF($A122="","",IF(P$1="","",COUNTIFS(tbl_chests[from],$A122,tbl_chests[legalized],P$1,tbl_chests[datetime],"&gt;="&amp;TODAY()-WEEKDAY(TODAY(),2)+1,tbl_chests[datetime],"&lt;"&amp;TODAY()-WEEKDAY(TODAY(),2)+8)))</f>
        <v>0</v>
      </c>
      <c r="Q122" s="36">
        <f ca="1">IF($A122="","",IF(Q$1="","",COUNTIFS(tbl_chests[from],$A122,tbl_chests[legalized],Q$1,tbl_chests[datetime],"&gt;="&amp;TODAY()-WEEKDAY(TODAY(),2)+1,tbl_chests[datetime],"&lt;"&amp;TODAY()-WEEKDAY(TODAY(),2)+8)))</f>
        <v>0</v>
      </c>
      <c r="R122" s="36">
        <f ca="1">IF($A122="","",IF(R$1="","",COUNTIFS(tbl_chests[from],$A122,tbl_chests[legalized],R$1,tbl_chests[datetime],"&gt;="&amp;TODAY()-WEEKDAY(TODAY(),2)+1,tbl_chests[datetime],"&lt;"&amp;TODAY()-WEEKDAY(TODAY(),2)+8)))</f>
        <v>0</v>
      </c>
      <c r="S122" s="36">
        <f ca="1">IF($A122="","",IF(S$1="","",COUNTIFS(tbl_chests[from],$A122,tbl_chests[legalized],S$1,tbl_chests[datetime],"&gt;="&amp;TODAY()-WEEKDAY(TODAY(),2)+1,tbl_chests[datetime],"&lt;"&amp;TODAY()-WEEKDAY(TODAY(),2)+8)))</f>
        <v>0</v>
      </c>
      <c r="T122" s="36">
        <f ca="1">IF($A122="","",IF(T$1="","",COUNTIFS(tbl_chests[from],$A122,tbl_chests[legalized],T$1,tbl_chests[datetime],"&gt;="&amp;TODAY()-WEEKDAY(TODAY(),2)+1,tbl_chests[datetime],"&lt;"&amp;TODAY()-WEEKDAY(TODAY(),2)+8)))</f>
        <v>0</v>
      </c>
      <c r="U122" s="36">
        <f ca="1">IF($A122="","",IF(U$1="","",COUNTIFS(tbl_chests[from],$A122,tbl_chests[legalized],U$1,tbl_chests[datetime],"&gt;="&amp;TODAY()-WEEKDAY(TODAY(),2)+1,tbl_chests[datetime],"&lt;"&amp;TODAY()-WEEKDAY(TODAY(),2)+8)))</f>
        <v>0</v>
      </c>
      <c r="V122" s="36">
        <f ca="1">IF($A122="","",IF(V$1="","",COUNTIFS(tbl_chests[from],$A122,tbl_chests[legalized],V$1,tbl_chests[datetime],"&gt;="&amp;TODAY()-WEEKDAY(TODAY(),2)+1,tbl_chests[datetime],"&lt;"&amp;TODAY()-WEEKDAY(TODAY(),2)+8)))</f>
        <v>0</v>
      </c>
      <c r="W122" s="36">
        <f ca="1">IF($A122="","",IF(W$1="","",COUNTIFS(tbl_chests[from],$A122,tbl_chests[legalized],W$1,tbl_chests[datetime],"&gt;="&amp;TODAY()-WEEKDAY(TODAY(),2)+1,tbl_chests[datetime],"&lt;"&amp;TODAY()-WEEKDAY(TODAY(),2)+8)))</f>
        <v>0</v>
      </c>
      <c r="X122" s="36">
        <f ca="1">IF($A122="","",IF(X$1="","",COUNTIFS(tbl_chests[from],$A122,tbl_chests[legalized],X$1,tbl_chests[datetime],"&gt;="&amp;TODAY()-WEEKDAY(TODAY(),2)+1,tbl_chests[datetime],"&lt;"&amp;TODAY()-WEEKDAY(TODAY(),2)+8)))</f>
        <v>0</v>
      </c>
      <c r="Y122" s="36">
        <f ca="1">IF($A122="","",IF(Y$1="","",COUNTIFS(tbl_chests[from],$A122,tbl_chests[legalized],Y$1,tbl_chests[datetime],"&gt;="&amp;TODAY()-WEEKDAY(TODAY(),2)+1,tbl_chests[datetime],"&lt;"&amp;TODAY()-WEEKDAY(TODAY(),2)+8)))</f>
        <v>0</v>
      </c>
      <c r="Z122" s="36">
        <f ca="1">IF($A122="","",IF(Z$1="","",COUNTIFS(tbl_chests[from],$A122,tbl_chests[legalized],Z$1,tbl_chests[datetime],"&gt;="&amp;TODAY()-WEEKDAY(TODAY(),2)+1,tbl_chests[datetime],"&lt;"&amp;TODAY()-WEEKDAY(TODAY(),2)+8)))</f>
        <v>0</v>
      </c>
      <c r="AA122" s="36">
        <f ca="1">IF($A122="","",IF(AA$1="","",COUNTIFS(tbl_chests[from],$A122,tbl_chests[legalized],AA$1,tbl_chests[datetime],"&gt;="&amp;TODAY()-WEEKDAY(TODAY(),2)+1,tbl_chests[datetime],"&lt;"&amp;TODAY()-WEEKDAY(TODAY(),2)+8)))</f>
        <v>0</v>
      </c>
      <c r="AB122" s="36">
        <f ca="1">IF($A122="","",IF(AB$1="","",COUNTIFS(tbl_chests[from],$A122,tbl_chests[legalized],AB$1,tbl_chests[datetime],"&gt;="&amp;TODAY()-WEEKDAY(TODAY(),2)+1,tbl_chests[datetime],"&lt;"&amp;TODAY()-WEEKDAY(TODAY(),2)+8)))</f>
        <v>0</v>
      </c>
      <c r="AC122" s="36">
        <f ca="1">IF($A122="","",IF(AC$1="","",COUNTIFS(tbl_chests[from],$A122,tbl_chests[legalized],AC$1,tbl_chests[datetime],"&gt;="&amp;TODAY()-WEEKDAY(TODAY(),2)+1,tbl_chests[datetime],"&lt;"&amp;TODAY()-WEEKDAY(TODAY(),2)+8)))</f>
        <v>0</v>
      </c>
      <c r="AD122" s="36">
        <f ca="1">IF($A122="","",IF(AD$1="","",COUNTIFS(tbl_chests[from],$A122,tbl_chests[legalized],AD$1,tbl_chests[datetime],"&gt;="&amp;TODAY()-WEEKDAY(TODAY(),2)+1,tbl_chests[datetime],"&lt;"&amp;TODAY()-WEEKDAY(TODAY(),2)+8)))</f>
        <v>0</v>
      </c>
      <c r="AE122" s="36">
        <f ca="1">IF($A122="","",IF(AE$1="","",COUNTIFS(tbl_chests[from],$A122,tbl_chests[legalized],AE$1,tbl_chests[datetime],"&gt;="&amp;TODAY()-WEEKDAY(TODAY(),2)+1,tbl_chests[datetime],"&lt;"&amp;TODAY()-WEEKDAY(TODAY(),2)+8)))</f>
        <v>0</v>
      </c>
      <c r="AF122" s="36">
        <f ca="1">IF($A122="","",IF(AF$1="","",COUNTIFS(tbl_chests[from],$A122,tbl_chests[legalized],AF$1,tbl_chests[datetime],"&gt;="&amp;TODAY()-WEEKDAY(TODAY(),2)+1,tbl_chests[datetime],"&lt;"&amp;TODAY()-WEEKDAY(TODAY(),2)+8)))</f>
        <v>0</v>
      </c>
      <c r="AG122" s="36">
        <f ca="1">IF($A122="","",IF(AG$1="","",COUNTIFS(tbl_chests[from],$A122,tbl_chests[legalized],AG$1,tbl_chests[datetime],"&gt;="&amp;TODAY()-WEEKDAY(TODAY(),2)+1,tbl_chests[datetime],"&lt;"&amp;TODAY()-WEEKDAY(TODAY(),2)+8)))</f>
        <v>0</v>
      </c>
      <c r="AH122" s="36">
        <f ca="1">IF($A122="","",IF(AH$1="","",COUNTIFS(tbl_chests[from],$A122,tbl_chests[legalized],AH$1,tbl_chests[datetime],"&gt;="&amp;TODAY()-WEEKDAY(TODAY(),2)+1,tbl_chests[datetime],"&lt;"&amp;TODAY()-WEEKDAY(TODAY(),2)+8)))</f>
        <v>0</v>
      </c>
      <c r="AI122" s="36">
        <f ca="1">IF($A122="","",IF(AI$1="","",COUNTIFS(tbl_chests[from],$A122,tbl_chests[legalized],AI$1,tbl_chests[datetime],"&gt;="&amp;TODAY()-WEEKDAY(TODAY(),2)+1,tbl_chests[datetime],"&lt;"&amp;TODAY()-WEEKDAY(TODAY(),2)+8)))</f>
        <v>0</v>
      </c>
      <c r="AJ122" s="36">
        <f ca="1">IF($A122="","",IF(AJ$1="","",COUNTIFS(tbl_chests[from],$A122,tbl_chests[legalized],AJ$1,tbl_chests[datetime],"&gt;="&amp;TODAY()-WEEKDAY(TODAY(),2)+1,tbl_chests[datetime],"&lt;"&amp;TODAY()-WEEKDAY(TODAY(),2)+8)))</f>
        <v>0</v>
      </c>
      <c r="AK122" s="36">
        <f ca="1">IF($A122="","",IF(AK$1="","",COUNTIFS(tbl_chests[from],$A122,tbl_chests[legalized],AK$1,tbl_chests[datetime],"&gt;="&amp;TODAY()-WEEKDAY(TODAY(),2)+1,tbl_chests[datetime],"&lt;"&amp;TODAY()-WEEKDAY(TODAY(),2)+8)))</f>
        <v>0</v>
      </c>
      <c r="AL122" s="36">
        <f ca="1">IF($A122="","",IF(AL$1="","",COUNTIFS(tbl_chests[from],$A122,tbl_chests[legalized],AL$1,tbl_chests[datetime],"&gt;="&amp;TODAY()-WEEKDAY(TODAY(),2)+1,tbl_chests[datetime],"&lt;"&amp;TODAY()-WEEKDAY(TODAY(),2)+8)))</f>
        <v>0</v>
      </c>
      <c r="AM122" s="37">
        <f ca="1">IF($A122="","",IF(AM$1="","",COUNTIFS(tbl_chests[from],$A122,tbl_chests[legalized],AM$1,tbl_chests[datetime],"&gt;="&amp;TODAY()-WEEKDAY(TODAY(),2)+1,tbl_chests[datetime],"&lt;"&amp;TODAY()-WEEKDAY(TODAY(),2)+8)))</f>
        <v>0</v>
      </c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 ht="15.75" customHeight="1" x14ac:dyDescent="0.25">
      <c r="A123" s="34">
        <f>chests_counter!$H120</f>
        <v>0</v>
      </c>
      <c r="B123" s="35" cm="1">
        <f t="array" aca="1" ref="B123" ca="1">IF(A123&lt;&gt;"", SUMPRODUCT(($C$2:$AM$2&lt;&gt;0)*(C123:AM123&lt;&gt;0)*($C$2:$AM$2)*(C123:AM123)), "")</f>
        <v>0</v>
      </c>
      <c r="C123" s="36">
        <f ca="1">IF($A123="","",IF(C$1="","",COUNTIFS(tbl_chests[from],$A123,tbl_chests[legalized],C$1,tbl_chests[datetime],"&gt;="&amp;TODAY()-WEEKDAY(TODAY(),2)+1,tbl_chests[datetime],"&lt;"&amp;TODAY()-WEEKDAY(TODAY(),2)+8)))</f>
        <v>0</v>
      </c>
      <c r="D123" s="36">
        <f ca="1">IF($A123="","",IF(D$1="","",COUNTIFS(tbl_chests[from],$A123,tbl_chests[legalized],D$1,tbl_chests[datetime],"&gt;="&amp;TODAY()-WEEKDAY(TODAY(),2)+1,tbl_chests[datetime],"&lt;"&amp;TODAY()-WEEKDAY(TODAY(),2)+8)))</f>
        <v>0</v>
      </c>
      <c r="E123" s="36">
        <f ca="1">IF($A123="","",IF(E$1="","",COUNTIFS(tbl_chests[from],$A123,tbl_chests[legalized],E$1,tbl_chests[datetime],"&gt;="&amp;TODAY()-WEEKDAY(TODAY(),2)+1,tbl_chests[datetime],"&lt;"&amp;TODAY()-WEEKDAY(TODAY(),2)+8)))</f>
        <v>0</v>
      </c>
      <c r="F123" s="36">
        <f ca="1">IF($A123="","",IF(F$1="","",COUNTIFS(tbl_chests[from],$A123,tbl_chests[legalized],F$1,tbl_chests[datetime],"&gt;="&amp;TODAY()-WEEKDAY(TODAY(),2)+1,tbl_chests[datetime],"&lt;"&amp;TODAY()-WEEKDAY(TODAY(),2)+8)))</f>
        <v>0</v>
      </c>
      <c r="G123" s="36">
        <f ca="1">IF($A123="","",IF(G$1="","",COUNTIFS(tbl_chests[from],$A123,tbl_chests[legalized],G$1,tbl_chests[datetime],"&gt;="&amp;TODAY()-WEEKDAY(TODAY(),2)+1,tbl_chests[datetime],"&lt;"&amp;TODAY()-WEEKDAY(TODAY(),2)+8)))</f>
        <v>0</v>
      </c>
      <c r="H123" s="36">
        <f ca="1">IF($A123="","",IF(H$1="","",COUNTIFS(tbl_chests[from],$A123,tbl_chests[legalized],H$1,tbl_chests[datetime],"&gt;="&amp;TODAY()-WEEKDAY(TODAY(),2)+1,tbl_chests[datetime],"&lt;"&amp;TODAY()-WEEKDAY(TODAY(),2)+8)))</f>
        <v>0</v>
      </c>
      <c r="I123" s="36">
        <f ca="1">IF($A123="","",IF(I$1="","",COUNTIFS(tbl_chests[from],$A123,tbl_chests[legalized],I$1,tbl_chests[datetime],"&gt;="&amp;TODAY()-WEEKDAY(TODAY(),2)+1,tbl_chests[datetime],"&lt;"&amp;TODAY()-WEEKDAY(TODAY(),2)+8)))</f>
        <v>0</v>
      </c>
      <c r="J123" s="36">
        <f ca="1">IF($A123="","",IF(J$1="","",COUNTIFS(tbl_chests[from],$A123,tbl_chests[legalized],J$1,tbl_chests[datetime],"&gt;="&amp;TODAY()-WEEKDAY(TODAY(),2)+1,tbl_chests[datetime],"&lt;"&amp;TODAY()-WEEKDAY(TODAY(),2)+8)))</f>
        <v>0</v>
      </c>
      <c r="K123" s="36">
        <f ca="1">IF($A123="","",IF(K$1="","",COUNTIFS(tbl_chests[from],$A123,tbl_chests[legalized],K$1,tbl_chests[datetime],"&gt;="&amp;TODAY()-WEEKDAY(TODAY(),2)+1,tbl_chests[datetime],"&lt;"&amp;TODAY()-WEEKDAY(TODAY(),2)+8)))</f>
        <v>0</v>
      </c>
      <c r="L123" s="36">
        <f ca="1">IF($A123="","",IF(L$1="","",COUNTIFS(tbl_chests[from],$A123,tbl_chests[legalized],L$1,tbl_chests[datetime],"&gt;="&amp;TODAY()-WEEKDAY(TODAY(),2)+1,tbl_chests[datetime],"&lt;"&amp;TODAY()-WEEKDAY(TODAY(),2)+8)))</f>
        <v>0</v>
      </c>
      <c r="M123" s="36">
        <f ca="1">IF($A123="","",IF(M$1="","",COUNTIFS(tbl_chests[from],$A123,tbl_chests[legalized],M$1,tbl_chests[datetime],"&gt;="&amp;TODAY()-WEEKDAY(TODAY(),2)+1,tbl_chests[datetime],"&lt;"&amp;TODAY()-WEEKDAY(TODAY(),2)+8)))</f>
        <v>0</v>
      </c>
      <c r="N123" s="36">
        <f ca="1">IF($A123="","",IF(N$1="","",COUNTIFS(tbl_chests[from],$A123,tbl_chests[legalized],N$1,tbl_chests[datetime],"&gt;="&amp;TODAY()-WEEKDAY(TODAY(),2)+1,tbl_chests[datetime],"&lt;"&amp;TODAY()-WEEKDAY(TODAY(),2)+8)))</f>
        <v>0</v>
      </c>
      <c r="O123" s="36">
        <f ca="1">IF($A123="","",IF(O$1="","",COUNTIFS(tbl_chests[from],$A123,tbl_chests[legalized],O$1,tbl_chests[datetime],"&gt;="&amp;TODAY()-WEEKDAY(TODAY(),2)+1,tbl_chests[datetime],"&lt;"&amp;TODAY()-WEEKDAY(TODAY(),2)+8)))</f>
        <v>0</v>
      </c>
      <c r="P123" s="36">
        <f ca="1">IF($A123="","",IF(P$1="","",COUNTIFS(tbl_chests[from],$A123,tbl_chests[legalized],P$1,tbl_chests[datetime],"&gt;="&amp;TODAY()-WEEKDAY(TODAY(),2)+1,tbl_chests[datetime],"&lt;"&amp;TODAY()-WEEKDAY(TODAY(),2)+8)))</f>
        <v>0</v>
      </c>
      <c r="Q123" s="36">
        <f ca="1">IF($A123="","",IF(Q$1="","",COUNTIFS(tbl_chests[from],$A123,tbl_chests[legalized],Q$1,tbl_chests[datetime],"&gt;="&amp;TODAY()-WEEKDAY(TODAY(),2)+1,tbl_chests[datetime],"&lt;"&amp;TODAY()-WEEKDAY(TODAY(),2)+8)))</f>
        <v>0</v>
      </c>
      <c r="R123" s="36">
        <f ca="1">IF($A123="","",IF(R$1="","",COUNTIFS(tbl_chests[from],$A123,tbl_chests[legalized],R$1,tbl_chests[datetime],"&gt;="&amp;TODAY()-WEEKDAY(TODAY(),2)+1,tbl_chests[datetime],"&lt;"&amp;TODAY()-WEEKDAY(TODAY(),2)+8)))</f>
        <v>0</v>
      </c>
      <c r="S123" s="36">
        <f ca="1">IF($A123="","",IF(S$1="","",COUNTIFS(tbl_chests[from],$A123,tbl_chests[legalized],S$1,tbl_chests[datetime],"&gt;="&amp;TODAY()-WEEKDAY(TODAY(),2)+1,tbl_chests[datetime],"&lt;"&amp;TODAY()-WEEKDAY(TODAY(),2)+8)))</f>
        <v>0</v>
      </c>
      <c r="T123" s="36">
        <f ca="1">IF($A123="","",IF(T$1="","",COUNTIFS(tbl_chests[from],$A123,tbl_chests[legalized],T$1,tbl_chests[datetime],"&gt;="&amp;TODAY()-WEEKDAY(TODAY(),2)+1,tbl_chests[datetime],"&lt;"&amp;TODAY()-WEEKDAY(TODAY(),2)+8)))</f>
        <v>0</v>
      </c>
      <c r="U123" s="36">
        <f ca="1">IF($A123="","",IF(U$1="","",COUNTIFS(tbl_chests[from],$A123,tbl_chests[legalized],U$1,tbl_chests[datetime],"&gt;="&amp;TODAY()-WEEKDAY(TODAY(),2)+1,tbl_chests[datetime],"&lt;"&amp;TODAY()-WEEKDAY(TODAY(),2)+8)))</f>
        <v>0</v>
      </c>
      <c r="V123" s="36">
        <f ca="1">IF($A123="","",IF(V$1="","",COUNTIFS(tbl_chests[from],$A123,tbl_chests[legalized],V$1,tbl_chests[datetime],"&gt;="&amp;TODAY()-WEEKDAY(TODAY(),2)+1,tbl_chests[datetime],"&lt;"&amp;TODAY()-WEEKDAY(TODAY(),2)+8)))</f>
        <v>0</v>
      </c>
      <c r="W123" s="36">
        <f ca="1">IF($A123="","",IF(W$1="","",COUNTIFS(tbl_chests[from],$A123,tbl_chests[legalized],W$1,tbl_chests[datetime],"&gt;="&amp;TODAY()-WEEKDAY(TODAY(),2)+1,tbl_chests[datetime],"&lt;"&amp;TODAY()-WEEKDAY(TODAY(),2)+8)))</f>
        <v>0</v>
      </c>
      <c r="X123" s="36">
        <f ca="1">IF($A123="","",IF(X$1="","",COUNTIFS(tbl_chests[from],$A123,tbl_chests[legalized],X$1,tbl_chests[datetime],"&gt;="&amp;TODAY()-WEEKDAY(TODAY(),2)+1,tbl_chests[datetime],"&lt;"&amp;TODAY()-WEEKDAY(TODAY(),2)+8)))</f>
        <v>0</v>
      </c>
      <c r="Y123" s="36">
        <f ca="1">IF($A123="","",IF(Y$1="","",COUNTIFS(tbl_chests[from],$A123,tbl_chests[legalized],Y$1,tbl_chests[datetime],"&gt;="&amp;TODAY()-WEEKDAY(TODAY(),2)+1,tbl_chests[datetime],"&lt;"&amp;TODAY()-WEEKDAY(TODAY(),2)+8)))</f>
        <v>0</v>
      </c>
      <c r="Z123" s="36">
        <f ca="1">IF($A123="","",IF(Z$1="","",COUNTIFS(tbl_chests[from],$A123,tbl_chests[legalized],Z$1,tbl_chests[datetime],"&gt;="&amp;TODAY()-WEEKDAY(TODAY(),2)+1,tbl_chests[datetime],"&lt;"&amp;TODAY()-WEEKDAY(TODAY(),2)+8)))</f>
        <v>0</v>
      </c>
      <c r="AA123" s="36">
        <f ca="1">IF($A123="","",IF(AA$1="","",COUNTIFS(tbl_chests[from],$A123,tbl_chests[legalized],AA$1,tbl_chests[datetime],"&gt;="&amp;TODAY()-WEEKDAY(TODAY(),2)+1,tbl_chests[datetime],"&lt;"&amp;TODAY()-WEEKDAY(TODAY(),2)+8)))</f>
        <v>0</v>
      </c>
      <c r="AB123" s="36">
        <f ca="1">IF($A123="","",IF(AB$1="","",COUNTIFS(tbl_chests[from],$A123,tbl_chests[legalized],AB$1,tbl_chests[datetime],"&gt;="&amp;TODAY()-WEEKDAY(TODAY(),2)+1,tbl_chests[datetime],"&lt;"&amp;TODAY()-WEEKDAY(TODAY(),2)+8)))</f>
        <v>0</v>
      </c>
      <c r="AC123" s="36">
        <f ca="1">IF($A123="","",IF(AC$1="","",COUNTIFS(tbl_chests[from],$A123,tbl_chests[legalized],AC$1,tbl_chests[datetime],"&gt;="&amp;TODAY()-WEEKDAY(TODAY(),2)+1,tbl_chests[datetime],"&lt;"&amp;TODAY()-WEEKDAY(TODAY(),2)+8)))</f>
        <v>0</v>
      </c>
      <c r="AD123" s="36">
        <f ca="1">IF($A123="","",IF(AD$1="","",COUNTIFS(tbl_chests[from],$A123,tbl_chests[legalized],AD$1,tbl_chests[datetime],"&gt;="&amp;TODAY()-WEEKDAY(TODAY(),2)+1,tbl_chests[datetime],"&lt;"&amp;TODAY()-WEEKDAY(TODAY(),2)+8)))</f>
        <v>0</v>
      </c>
      <c r="AE123" s="36">
        <f ca="1">IF($A123="","",IF(AE$1="","",COUNTIFS(tbl_chests[from],$A123,tbl_chests[legalized],AE$1,tbl_chests[datetime],"&gt;="&amp;TODAY()-WEEKDAY(TODAY(),2)+1,tbl_chests[datetime],"&lt;"&amp;TODAY()-WEEKDAY(TODAY(),2)+8)))</f>
        <v>0</v>
      </c>
      <c r="AF123" s="36">
        <f ca="1">IF($A123="","",IF(AF$1="","",COUNTIFS(tbl_chests[from],$A123,tbl_chests[legalized],AF$1,tbl_chests[datetime],"&gt;="&amp;TODAY()-WEEKDAY(TODAY(),2)+1,tbl_chests[datetime],"&lt;"&amp;TODAY()-WEEKDAY(TODAY(),2)+8)))</f>
        <v>0</v>
      </c>
      <c r="AG123" s="36">
        <f ca="1">IF($A123="","",IF(AG$1="","",COUNTIFS(tbl_chests[from],$A123,tbl_chests[legalized],AG$1,tbl_chests[datetime],"&gt;="&amp;TODAY()-WEEKDAY(TODAY(),2)+1,tbl_chests[datetime],"&lt;"&amp;TODAY()-WEEKDAY(TODAY(),2)+8)))</f>
        <v>0</v>
      </c>
      <c r="AH123" s="36">
        <f ca="1">IF($A123="","",IF(AH$1="","",COUNTIFS(tbl_chests[from],$A123,tbl_chests[legalized],AH$1,tbl_chests[datetime],"&gt;="&amp;TODAY()-WEEKDAY(TODAY(),2)+1,tbl_chests[datetime],"&lt;"&amp;TODAY()-WEEKDAY(TODAY(),2)+8)))</f>
        <v>0</v>
      </c>
      <c r="AI123" s="36">
        <f ca="1">IF($A123="","",IF(AI$1="","",COUNTIFS(tbl_chests[from],$A123,tbl_chests[legalized],AI$1,tbl_chests[datetime],"&gt;="&amp;TODAY()-WEEKDAY(TODAY(),2)+1,tbl_chests[datetime],"&lt;"&amp;TODAY()-WEEKDAY(TODAY(),2)+8)))</f>
        <v>0</v>
      </c>
      <c r="AJ123" s="36">
        <f ca="1">IF($A123="","",IF(AJ$1="","",COUNTIFS(tbl_chests[from],$A123,tbl_chests[legalized],AJ$1,tbl_chests[datetime],"&gt;="&amp;TODAY()-WEEKDAY(TODAY(),2)+1,tbl_chests[datetime],"&lt;"&amp;TODAY()-WEEKDAY(TODAY(),2)+8)))</f>
        <v>0</v>
      </c>
      <c r="AK123" s="36">
        <f ca="1">IF($A123="","",IF(AK$1="","",COUNTIFS(tbl_chests[from],$A123,tbl_chests[legalized],AK$1,tbl_chests[datetime],"&gt;="&amp;TODAY()-WEEKDAY(TODAY(),2)+1,tbl_chests[datetime],"&lt;"&amp;TODAY()-WEEKDAY(TODAY(),2)+8)))</f>
        <v>0</v>
      </c>
      <c r="AL123" s="36">
        <f ca="1">IF($A123="","",IF(AL$1="","",COUNTIFS(tbl_chests[from],$A123,tbl_chests[legalized],AL$1,tbl_chests[datetime],"&gt;="&amp;TODAY()-WEEKDAY(TODAY(),2)+1,tbl_chests[datetime],"&lt;"&amp;TODAY()-WEEKDAY(TODAY(),2)+8)))</f>
        <v>0</v>
      </c>
      <c r="AM123" s="37">
        <f ca="1">IF($A123="","",IF(AM$1="","",COUNTIFS(tbl_chests[from],$A123,tbl_chests[legalized],AM$1,tbl_chests[datetime],"&gt;="&amp;TODAY()-WEEKDAY(TODAY(),2)+1,tbl_chests[datetime],"&lt;"&amp;TODAY()-WEEKDAY(TODAY(),2)+8)))</f>
        <v>0</v>
      </c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 spans="1:67" ht="15.75" customHeight="1" x14ac:dyDescent="0.25">
      <c r="A124" s="34">
        <f>chests_counter!$H121</f>
        <v>0</v>
      </c>
      <c r="B124" s="35" cm="1">
        <f t="array" aca="1" ref="B124" ca="1">IF(A124&lt;&gt;"", SUMPRODUCT(($C$2:$AM$2&lt;&gt;0)*(C124:AM124&lt;&gt;0)*($C$2:$AM$2)*(C124:AM124)), "")</f>
        <v>0</v>
      </c>
      <c r="C124" s="36">
        <f ca="1">IF($A124="","",IF(C$1="","",COUNTIFS(tbl_chests[from],$A124,tbl_chests[legalized],C$1,tbl_chests[datetime],"&gt;="&amp;TODAY()-WEEKDAY(TODAY(),2)+1,tbl_chests[datetime],"&lt;"&amp;TODAY()-WEEKDAY(TODAY(),2)+8)))</f>
        <v>0</v>
      </c>
      <c r="D124" s="36">
        <f ca="1">IF($A124="","",IF(D$1="","",COUNTIFS(tbl_chests[from],$A124,tbl_chests[legalized],D$1,tbl_chests[datetime],"&gt;="&amp;TODAY()-WEEKDAY(TODAY(),2)+1,tbl_chests[datetime],"&lt;"&amp;TODAY()-WEEKDAY(TODAY(),2)+8)))</f>
        <v>0</v>
      </c>
      <c r="E124" s="36">
        <f ca="1">IF($A124="","",IF(E$1="","",COUNTIFS(tbl_chests[from],$A124,tbl_chests[legalized],E$1,tbl_chests[datetime],"&gt;="&amp;TODAY()-WEEKDAY(TODAY(),2)+1,tbl_chests[datetime],"&lt;"&amp;TODAY()-WEEKDAY(TODAY(),2)+8)))</f>
        <v>0</v>
      </c>
      <c r="F124" s="36">
        <f ca="1">IF($A124="","",IF(F$1="","",COUNTIFS(tbl_chests[from],$A124,tbl_chests[legalized],F$1,tbl_chests[datetime],"&gt;="&amp;TODAY()-WEEKDAY(TODAY(),2)+1,tbl_chests[datetime],"&lt;"&amp;TODAY()-WEEKDAY(TODAY(),2)+8)))</f>
        <v>0</v>
      </c>
      <c r="G124" s="36">
        <f ca="1">IF($A124="","",IF(G$1="","",COUNTIFS(tbl_chests[from],$A124,tbl_chests[legalized],G$1,tbl_chests[datetime],"&gt;="&amp;TODAY()-WEEKDAY(TODAY(),2)+1,tbl_chests[datetime],"&lt;"&amp;TODAY()-WEEKDAY(TODAY(),2)+8)))</f>
        <v>0</v>
      </c>
      <c r="H124" s="36">
        <f ca="1">IF($A124="","",IF(H$1="","",COUNTIFS(tbl_chests[from],$A124,tbl_chests[legalized],H$1,tbl_chests[datetime],"&gt;="&amp;TODAY()-WEEKDAY(TODAY(),2)+1,tbl_chests[datetime],"&lt;"&amp;TODAY()-WEEKDAY(TODAY(),2)+8)))</f>
        <v>0</v>
      </c>
      <c r="I124" s="36">
        <f ca="1">IF($A124="","",IF(I$1="","",COUNTIFS(tbl_chests[from],$A124,tbl_chests[legalized],I$1,tbl_chests[datetime],"&gt;="&amp;TODAY()-WEEKDAY(TODAY(),2)+1,tbl_chests[datetime],"&lt;"&amp;TODAY()-WEEKDAY(TODAY(),2)+8)))</f>
        <v>0</v>
      </c>
      <c r="J124" s="36">
        <f ca="1">IF($A124="","",IF(J$1="","",COUNTIFS(tbl_chests[from],$A124,tbl_chests[legalized],J$1,tbl_chests[datetime],"&gt;="&amp;TODAY()-WEEKDAY(TODAY(),2)+1,tbl_chests[datetime],"&lt;"&amp;TODAY()-WEEKDAY(TODAY(),2)+8)))</f>
        <v>0</v>
      </c>
      <c r="K124" s="36">
        <f ca="1">IF($A124="","",IF(K$1="","",COUNTIFS(tbl_chests[from],$A124,tbl_chests[legalized],K$1,tbl_chests[datetime],"&gt;="&amp;TODAY()-WEEKDAY(TODAY(),2)+1,tbl_chests[datetime],"&lt;"&amp;TODAY()-WEEKDAY(TODAY(),2)+8)))</f>
        <v>0</v>
      </c>
      <c r="L124" s="36">
        <f ca="1">IF($A124="","",IF(L$1="","",COUNTIFS(tbl_chests[from],$A124,tbl_chests[legalized],L$1,tbl_chests[datetime],"&gt;="&amp;TODAY()-WEEKDAY(TODAY(),2)+1,tbl_chests[datetime],"&lt;"&amp;TODAY()-WEEKDAY(TODAY(),2)+8)))</f>
        <v>0</v>
      </c>
      <c r="M124" s="36">
        <f ca="1">IF($A124="","",IF(M$1="","",COUNTIFS(tbl_chests[from],$A124,tbl_chests[legalized],M$1,tbl_chests[datetime],"&gt;="&amp;TODAY()-WEEKDAY(TODAY(),2)+1,tbl_chests[datetime],"&lt;"&amp;TODAY()-WEEKDAY(TODAY(),2)+8)))</f>
        <v>0</v>
      </c>
      <c r="N124" s="36">
        <f ca="1">IF($A124="","",IF(N$1="","",COUNTIFS(tbl_chests[from],$A124,tbl_chests[legalized],N$1,tbl_chests[datetime],"&gt;="&amp;TODAY()-WEEKDAY(TODAY(),2)+1,tbl_chests[datetime],"&lt;"&amp;TODAY()-WEEKDAY(TODAY(),2)+8)))</f>
        <v>0</v>
      </c>
      <c r="O124" s="36">
        <f ca="1">IF($A124="","",IF(O$1="","",COUNTIFS(tbl_chests[from],$A124,tbl_chests[legalized],O$1,tbl_chests[datetime],"&gt;="&amp;TODAY()-WEEKDAY(TODAY(),2)+1,tbl_chests[datetime],"&lt;"&amp;TODAY()-WEEKDAY(TODAY(),2)+8)))</f>
        <v>0</v>
      </c>
      <c r="P124" s="36">
        <f ca="1">IF($A124="","",IF(P$1="","",COUNTIFS(tbl_chests[from],$A124,tbl_chests[legalized],P$1,tbl_chests[datetime],"&gt;="&amp;TODAY()-WEEKDAY(TODAY(),2)+1,tbl_chests[datetime],"&lt;"&amp;TODAY()-WEEKDAY(TODAY(),2)+8)))</f>
        <v>0</v>
      </c>
      <c r="Q124" s="36">
        <f ca="1">IF($A124="","",IF(Q$1="","",COUNTIFS(tbl_chests[from],$A124,tbl_chests[legalized],Q$1,tbl_chests[datetime],"&gt;="&amp;TODAY()-WEEKDAY(TODAY(),2)+1,tbl_chests[datetime],"&lt;"&amp;TODAY()-WEEKDAY(TODAY(),2)+8)))</f>
        <v>0</v>
      </c>
      <c r="R124" s="36">
        <f ca="1">IF($A124="","",IF(R$1="","",COUNTIFS(tbl_chests[from],$A124,tbl_chests[legalized],R$1,tbl_chests[datetime],"&gt;="&amp;TODAY()-WEEKDAY(TODAY(),2)+1,tbl_chests[datetime],"&lt;"&amp;TODAY()-WEEKDAY(TODAY(),2)+8)))</f>
        <v>0</v>
      </c>
      <c r="S124" s="36">
        <f ca="1">IF($A124="","",IF(S$1="","",COUNTIFS(tbl_chests[from],$A124,tbl_chests[legalized],S$1,tbl_chests[datetime],"&gt;="&amp;TODAY()-WEEKDAY(TODAY(),2)+1,tbl_chests[datetime],"&lt;"&amp;TODAY()-WEEKDAY(TODAY(),2)+8)))</f>
        <v>0</v>
      </c>
      <c r="T124" s="36">
        <f ca="1">IF($A124="","",IF(T$1="","",COUNTIFS(tbl_chests[from],$A124,tbl_chests[legalized],T$1,tbl_chests[datetime],"&gt;="&amp;TODAY()-WEEKDAY(TODAY(),2)+1,tbl_chests[datetime],"&lt;"&amp;TODAY()-WEEKDAY(TODAY(),2)+8)))</f>
        <v>0</v>
      </c>
      <c r="U124" s="36">
        <f ca="1">IF($A124="","",IF(U$1="","",COUNTIFS(tbl_chests[from],$A124,tbl_chests[legalized],U$1,tbl_chests[datetime],"&gt;="&amp;TODAY()-WEEKDAY(TODAY(),2)+1,tbl_chests[datetime],"&lt;"&amp;TODAY()-WEEKDAY(TODAY(),2)+8)))</f>
        <v>0</v>
      </c>
      <c r="V124" s="36">
        <f ca="1">IF($A124="","",IF(V$1="","",COUNTIFS(tbl_chests[from],$A124,tbl_chests[legalized],V$1,tbl_chests[datetime],"&gt;="&amp;TODAY()-WEEKDAY(TODAY(),2)+1,tbl_chests[datetime],"&lt;"&amp;TODAY()-WEEKDAY(TODAY(),2)+8)))</f>
        <v>0</v>
      </c>
      <c r="W124" s="36">
        <f ca="1">IF($A124="","",IF(W$1="","",COUNTIFS(tbl_chests[from],$A124,tbl_chests[legalized],W$1,tbl_chests[datetime],"&gt;="&amp;TODAY()-WEEKDAY(TODAY(),2)+1,tbl_chests[datetime],"&lt;"&amp;TODAY()-WEEKDAY(TODAY(),2)+8)))</f>
        <v>0</v>
      </c>
      <c r="X124" s="36">
        <f ca="1">IF($A124="","",IF(X$1="","",COUNTIFS(tbl_chests[from],$A124,tbl_chests[legalized],X$1,tbl_chests[datetime],"&gt;="&amp;TODAY()-WEEKDAY(TODAY(),2)+1,tbl_chests[datetime],"&lt;"&amp;TODAY()-WEEKDAY(TODAY(),2)+8)))</f>
        <v>0</v>
      </c>
      <c r="Y124" s="36">
        <f ca="1">IF($A124="","",IF(Y$1="","",COUNTIFS(tbl_chests[from],$A124,tbl_chests[legalized],Y$1,tbl_chests[datetime],"&gt;="&amp;TODAY()-WEEKDAY(TODAY(),2)+1,tbl_chests[datetime],"&lt;"&amp;TODAY()-WEEKDAY(TODAY(),2)+8)))</f>
        <v>0</v>
      </c>
      <c r="Z124" s="36">
        <f ca="1">IF($A124="","",IF(Z$1="","",COUNTIFS(tbl_chests[from],$A124,tbl_chests[legalized],Z$1,tbl_chests[datetime],"&gt;="&amp;TODAY()-WEEKDAY(TODAY(),2)+1,tbl_chests[datetime],"&lt;"&amp;TODAY()-WEEKDAY(TODAY(),2)+8)))</f>
        <v>0</v>
      </c>
      <c r="AA124" s="36">
        <f ca="1">IF($A124="","",IF(AA$1="","",COUNTIFS(tbl_chests[from],$A124,tbl_chests[legalized],AA$1,tbl_chests[datetime],"&gt;="&amp;TODAY()-WEEKDAY(TODAY(),2)+1,tbl_chests[datetime],"&lt;"&amp;TODAY()-WEEKDAY(TODAY(),2)+8)))</f>
        <v>0</v>
      </c>
      <c r="AB124" s="36">
        <f ca="1">IF($A124="","",IF(AB$1="","",COUNTIFS(tbl_chests[from],$A124,tbl_chests[legalized],AB$1,tbl_chests[datetime],"&gt;="&amp;TODAY()-WEEKDAY(TODAY(),2)+1,tbl_chests[datetime],"&lt;"&amp;TODAY()-WEEKDAY(TODAY(),2)+8)))</f>
        <v>0</v>
      </c>
      <c r="AC124" s="36">
        <f ca="1">IF($A124="","",IF(AC$1="","",COUNTIFS(tbl_chests[from],$A124,tbl_chests[legalized],AC$1,tbl_chests[datetime],"&gt;="&amp;TODAY()-WEEKDAY(TODAY(),2)+1,tbl_chests[datetime],"&lt;"&amp;TODAY()-WEEKDAY(TODAY(),2)+8)))</f>
        <v>0</v>
      </c>
      <c r="AD124" s="36">
        <f ca="1">IF($A124="","",IF(AD$1="","",COUNTIFS(tbl_chests[from],$A124,tbl_chests[legalized],AD$1,tbl_chests[datetime],"&gt;="&amp;TODAY()-WEEKDAY(TODAY(),2)+1,tbl_chests[datetime],"&lt;"&amp;TODAY()-WEEKDAY(TODAY(),2)+8)))</f>
        <v>0</v>
      </c>
      <c r="AE124" s="36">
        <f ca="1">IF($A124="","",IF(AE$1="","",COUNTIFS(tbl_chests[from],$A124,tbl_chests[legalized],AE$1,tbl_chests[datetime],"&gt;="&amp;TODAY()-WEEKDAY(TODAY(),2)+1,tbl_chests[datetime],"&lt;"&amp;TODAY()-WEEKDAY(TODAY(),2)+8)))</f>
        <v>0</v>
      </c>
      <c r="AF124" s="36">
        <f ca="1">IF($A124="","",IF(AF$1="","",COUNTIFS(tbl_chests[from],$A124,tbl_chests[legalized],AF$1,tbl_chests[datetime],"&gt;="&amp;TODAY()-WEEKDAY(TODAY(),2)+1,tbl_chests[datetime],"&lt;"&amp;TODAY()-WEEKDAY(TODAY(),2)+8)))</f>
        <v>0</v>
      </c>
      <c r="AG124" s="36">
        <f ca="1">IF($A124="","",IF(AG$1="","",COUNTIFS(tbl_chests[from],$A124,tbl_chests[legalized],AG$1,tbl_chests[datetime],"&gt;="&amp;TODAY()-WEEKDAY(TODAY(),2)+1,tbl_chests[datetime],"&lt;"&amp;TODAY()-WEEKDAY(TODAY(),2)+8)))</f>
        <v>0</v>
      </c>
      <c r="AH124" s="36">
        <f ca="1">IF($A124="","",IF(AH$1="","",COUNTIFS(tbl_chests[from],$A124,tbl_chests[legalized],AH$1,tbl_chests[datetime],"&gt;="&amp;TODAY()-WEEKDAY(TODAY(),2)+1,tbl_chests[datetime],"&lt;"&amp;TODAY()-WEEKDAY(TODAY(),2)+8)))</f>
        <v>0</v>
      </c>
      <c r="AI124" s="36">
        <f ca="1">IF($A124="","",IF(AI$1="","",COUNTIFS(tbl_chests[from],$A124,tbl_chests[legalized],AI$1,tbl_chests[datetime],"&gt;="&amp;TODAY()-WEEKDAY(TODAY(),2)+1,tbl_chests[datetime],"&lt;"&amp;TODAY()-WEEKDAY(TODAY(),2)+8)))</f>
        <v>0</v>
      </c>
      <c r="AJ124" s="36">
        <f ca="1">IF($A124="","",IF(AJ$1="","",COUNTIFS(tbl_chests[from],$A124,tbl_chests[legalized],AJ$1,tbl_chests[datetime],"&gt;="&amp;TODAY()-WEEKDAY(TODAY(),2)+1,tbl_chests[datetime],"&lt;"&amp;TODAY()-WEEKDAY(TODAY(),2)+8)))</f>
        <v>0</v>
      </c>
      <c r="AK124" s="36">
        <f ca="1">IF($A124="","",IF(AK$1="","",COUNTIFS(tbl_chests[from],$A124,tbl_chests[legalized],AK$1,tbl_chests[datetime],"&gt;="&amp;TODAY()-WEEKDAY(TODAY(),2)+1,tbl_chests[datetime],"&lt;"&amp;TODAY()-WEEKDAY(TODAY(),2)+8)))</f>
        <v>0</v>
      </c>
      <c r="AL124" s="36">
        <f ca="1">IF($A124="","",IF(AL$1="","",COUNTIFS(tbl_chests[from],$A124,tbl_chests[legalized],AL$1,tbl_chests[datetime],"&gt;="&amp;TODAY()-WEEKDAY(TODAY(),2)+1,tbl_chests[datetime],"&lt;"&amp;TODAY()-WEEKDAY(TODAY(),2)+8)))</f>
        <v>0</v>
      </c>
      <c r="AM124" s="37">
        <f ca="1">IF($A124="","",IF(AM$1="","",COUNTIFS(tbl_chests[from],$A124,tbl_chests[legalized],AM$1,tbl_chests[datetime],"&gt;="&amp;TODAY()-WEEKDAY(TODAY(),2)+1,tbl_chests[datetime],"&lt;"&amp;TODAY()-WEEKDAY(TODAY(),2)+8)))</f>
        <v>0</v>
      </c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 spans="1:67" ht="15.75" customHeight="1" x14ac:dyDescent="0.25">
      <c r="A125" s="34">
        <f>chests_counter!$H122</f>
        <v>0</v>
      </c>
      <c r="B125" s="35" cm="1">
        <f t="array" aca="1" ref="B125" ca="1">IF(A125&lt;&gt;"", SUMPRODUCT(($C$2:$AM$2&lt;&gt;0)*(C125:AM125&lt;&gt;0)*($C$2:$AM$2)*(C125:AM125)), "")</f>
        <v>0</v>
      </c>
      <c r="C125" s="36">
        <f ca="1">IF($A125="","",IF(C$1="","",COUNTIFS(tbl_chests[from],$A125,tbl_chests[legalized],C$1,tbl_chests[datetime],"&gt;="&amp;TODAY()-WEEKDAY(TODAY(),2)+1,tbl_chests[datetime],"&lt;"&amp;TODAY()-WEEKDAY(TODAY(),2)+8)))</f>
        <v>0</v>
      </c>
      <c r="D125" s="36">
        <f ca="1">IF($A125="","",IF(D$1="","",COUNTIFS(tbl_chests[from],$A125,tbl_chests[legalized],D$1,tbl_chests[datetime],"&gt;="&amp;TODAY()-WEEKDAY(TODAY(),2)+1,tbl_chests[datetime],"&lt;"&amp;TODAY()-WEEKDAY(TODAY(),2)+8)))</f>
        <v>0</v>
      </c>
      <c r="E125" s="36">
        <f ca="1">IF($A125="","",IF(E$1="","",COUNTIFS(tbl_chests[from],$A125,tbl_chests[legalized],E$1,tbl_chests[datetime],"&gt;="&amp;TODAY()-WEEKDAY(TODAY(),2)+1,tbl_chests[datetime],"&lt;"&amp;TODAY()-WEEKDAY(TODAY(),2)+8)))</f>
        <v>0</v>
      </c>
      <c r="F125" s="36">
        <f ca="1">IF($A125="","",IF(F$1="","",COUNTIFS(tbl_chests[from],$A125,tbl_chests[legalized],F$1,tbl_chests[datetime],"&gt;="&amp;TODAY()-WEEKDAY(TODAY(),2)+1,tbl_chests[datetime],"&lt;"&amp;TODAY()-WEEKDAY(TODAY(),2)+8)))</f>
        <v>0</v>
      </c>
      <c r="G125" s="36">
        <f ca="1">IF($A125="","",IF(G$1="","",COUNTIFS(tbl_chests[from],$A125,tbl_chests[legalized],G$1,tbl_chests[datetime],"&gt;="&amp;TODAY()-WEEKDAY(TODAY(),2)+1,tbl_chests[datetime],"&lt;"&amp;TODAY()-WEEKDAY(TODAY(),2)+8)))</f>
        <v>0</v>
      </c>
      <c r="H125" s="36">
        <f ca="1">IF($A125="","",IF(H$1="","",COUNTIFS(tbl_chests[from],$A125,tbl_chests[legalized],H$1,tbl_chests[datetime],"&gt;="&amp;TODAY()-WEEKDAY(TODAY(),2)+1,tbl_chests[datetime],"&lt;"&amp;TODAY()-WEEKDAY(TODAY(),2)+8)))</f>
        <v>0</v>
      </c>
      <c r="I125" s="36">
        <f ca="1">IF($A125="","",IF(I$1="","",COUNTIFS(tbl_chests[from],$A125,tbl_chests[legalized],I$1,tbl_chests[datetime],"&gt;="&amp;TODAY()-WEEKDAY(TODAY(),2)+1,tbl_chests[datetime],"&lt;"&amp;TODAY()-WEEKDAY(TODAY(),2)+8)))</f>
        <v>0</v>
      </c>
      <c r="J125" s="36">
        <f ca="1">IF($A125="","",IF(J$1="","",COUNTIFS(tbl_chests[from],$A125,tbl_chests[legalized],J$1,tbl_chests[datetime],"&gt;="&amp;TODAY()-WEEKDAY(TODAY(),2)+1,tbl_chests[datetime],"&lt;"&amp;TODAY()-WEEKDAY(TODAY(),2)+8)))</f>
        <v>0</v>
      </c>
      <c r="K125" s="36">
        <f ca="1">IF($A125="","",IF(K$1="","",COUNTIFS(tbl_chests[from],$A125,tbl_chests[legalized],K$1,tbl_chests[datetime],"&gt;="&amp;TODAY()-WEEKDAY(TODAY(),2)+1,tbl_chests[datetime],"&lt;"&amp;TODAY()-WEEKDAY(TODAY(),2)+8)))</f>
        <v>0</v>
      </c>
      <c r="L125" s="36">
        <f ca="1">IF($A125="","",IF(L$1="","",COUNTIFS(tbl_chests[from],$A125,tbl_chests[legalized],L$1,tbl_chests[datetime],"&gt;="&amp;TODAY()-WEEKDAY(TODAY(),2)+1,tbl_chests[datetime],"&lt;"&amp;TODAY()-WEEKDAY(TODAY(),2)+8)))</f>
        <v>0</v>
      </c>
      <c r="M125" s="36">
        <f ca="1">IF($A125="","",IF(M$1="","",COUNTIFS(tbl_chests[from],$A125,tbl_chests[legalized],M$1,tbl_chests[datetime],"&gt;="&amp;TODAY()-WEEKDAY(TODAY(),2)+1,tbl_chests[datetime],"&lt;"&amp;TODAY()-WEEKDAY(TODAY(),2)+8)))</f>
        <v>0</v>
      </c>
      <c r="N125" s="36">
        <f ca="1">IF($A125="","",IF(N$1="","",COUNTIFS(tbl_chests[from],$A125,tbl_chests[legalized],N$1,tbl_chests[datetime],"&gt;="&amp;TODAY()-WEEKDAY(TODAY(),2)+1,tbl_chests[datetime],"&lt;"&amp;TODAY()-WEEKDAY(TODAY(),2)+8)))</f>
        <v>0</v>
      </c>
      <c r="O125" s="36">
        <f ca="1">IF($A125="","",IF(O$1="","",COUNTIFS(tbl_chests[from],$A125,tbl_chests[legalized],O$1,tbl_chests[datetime],"&gt;="&amp;TODAY()-WEEKDAY(TODAY(),2)+1,tbl_chests[datetime],"&lt;"&amp;TODAY()-WEEKDAY(TODAY(),2)+8)))</f>
        <v>0</v>
      </c>
      <c r="P125" s="36">
        <f ca="1">IF($A125="","",IF(P$1="","",COUNTIFS(tbl_chests[from],$A125,tbl_chests[legalized],P$1,tbl_chests[datetime],"&gt;="&amp;TODAY()-WEEKDAY(TODAY(),2)+1,tbl_chests[datetime],"&lt;"&amp;TODAY()-WEEKDAY(TODAY(),2)+8)))</f>
        <v>0</v>
      </c>
      <c r="Q125" s="36">
        <f ca="1">IF($A125="","",IF(Q$1="","",COUNTIFS(tbl_chests[from],$A125,tbl_chests[legalized],Q$1,tbl_chests[datetime],"&gt;="&amp;TODAY()-WEEKDAY(TODAY(),2)+1,tbl_chests[datetime],"&lt;"&amp;TODAY()-WEEKDAY(TODAY(),2)+8)))</f>
        <v>0</v>
      </c>
      <c r="R125" s="36">
        <f ca="1">IF($A125="","",IF(R$1="","",COUNTIFS(tbl_chests[from],$A125,tbl_chests[legalized],R$1,tbl_chests[datetime],"&gt;="&amp;TODAY()-WEEKDAY(TODAY(),2)+1,tbl_chests[datetime],"&lt;"&amp;TODAY()-WEEKDAY(TODAY(),2)+8)))</f>
        <v>0</v>
      </c>
      <c r="S125" s="36">
        <f ca="1">IF($A125="","",IF(S$1="","",COUNTIFS(tbl_chests[from],$A125,tbl_chests[legalized],S$1,tbl_chests[datetime],"&gt;="&amp;TODAY()-WEEKDAY(TODAY(),2)+1,tbl_chests[datetime],"&lt;"&amp;TODAY()-WEEKDAY(TODAY(),2)+8)))</f>
        <v>0</v>
      </c>
      <c r="T125" s="36">
        <f ca="1">IF($A125="","",IF(T$1="","",COUNTIFS(tbl_chests[from],$A125,tbl_chests[legalized],T$1,tbl_chests[datetime],"&gt;="&amp;TODAY()-WEEKDAY(TODAY(),2)+1,tbl_chests[datetime],"&lt;"&amp;TODAY()-WEEKDAY(TODAY(),2)+8)))</f>
        <v>0</v>
      </c>
      <c r="U125" s="36">
        <f ca="1">IF($A125="","",IF(U$1="","",COUNTIFS(tbl_chests[from],$A125,tbl_chests[legalized],U$1,tbl_chests[datetime],"&gt;="&amp;TODAY()-WEEKDAY(TODAY(),2)+1,tbl_chests[datetime],"&lt;"&amp;TODAY()-WEEKDAY(TODAY(),2)+8)))</f>
        <v>0</v>
      </c>
      <c r="V125" s="36">
        <f ca="1">IF($A125="","",IF(V$1="","",COUNTIFS(tbl_chests[from],$A125,tbl_chests[legalized],V$1,tbl_chests[datetime],"&gt;="&amp;TODAY()-WEEKDAY(TODAY(),2)+1,tbl_chests[datetime],"&lt;"&amp;TODAY()-WEEKDAY(TODAY(),2)+8)))</f>
        <v>0</v>
      </c>
      <c r="W125" s="36">
        <f ca="1">IF($A125="","",IF(W$1="","",COUNTIFS(tbl_chests[from],$A125,tbl_chests[legalized],W$1,tbl_chests[datetime],"&gt;="&amp;TODAY()-WEEKDAY(TODAY(),2)+1,tbl_chests[datetime],"&lt;"&amp;TODAY()-WEEKDAY(TODAY(),2)+8)))</f>
        <v>0</v>
      </c>
      <c r="X125" s="36">
        <f ca="1">IF($A125="","",IF(X$1="","",COUNTIFS(tbl_chests[from],$A125,tbl_chests[legalized],X$1,tbl_chests[datetime],"&gt;="&amp;TODAY()-WEEKDAY(TODAY(),2)+1,tbl_chests[datetime],"&lt;"&amp;TODAY()-WEEKDAY(TODAY(),2)+8)))</f>
        <v>0</v>
      </c>
      <c r="Y125" s="36">
        <f ca="1">IF($A125="","",IF(Y$1="","",COUNTIFS(tbl_chests[from],$A125,tbl_chests[legalized],Y$1,tbl_chests[datetime],"&gt;="&amp;TODAY()-WEEKDAY(TODAY(),2)+1,tbl_chests[datetime],"&lt;"&amp;TODAY()-WEEKDAY(TODAY(),2)+8)))</f>
        <v>0</v>
      </c>
      <c r="Z125" s="36">
        <f ca="1">IF($A125="","",IF(Z$1="","",COUNTIFS(tbl_chests[from],$A125,tbl_chests[legalized],Z$1,tbl_chests[datetime],"&gt;="&amp;TODAY()-WEEKDAY(TODAY(),2)+1,tbl_chests[datetime],"&lt;"&amp;TODAY()-WEEKDAY(TODAY(),2)+8)))</f>
        <v>0</v>
      </c>
      <c r="AA125" s="36">
        <f ca="1">IF($A125="","",IF(AA$1="","",COUNTIFS(tbl_chests[from],$A125,tbl_chests[legalized],AA$1,tbl_chests[datetime],"&gt;="&amp;TODAY()-WEEKDAY(TODAY(),2)+1,tbl_chests[datetime],"&lt;"&amp;TODAY()-WEEKDAY(TODAY(),2)+8)))</f>
        <v>0</v>
      </c>
      <c r="AB125" s="36">
        <f ca="1">IF($A125="","",IF(AB$1="","",COUNTIFS(tbl_chests[from],$A125,tbl_chests[legalized],AB$1,tbl_chests[datetime],"&gt;="&amp;TODAY()-WEEKDAY(TODAY(),2)+1,tbl_chests[datetime],"&lt;"&amp;TODAY()-WEEKDAY(TODAY(),2)+8)))</f>
        <v>0</v>
      </c>
      <c r="AC125" s="36">
        <f ca="1">IF($A125="","",IF(AC$1="","",COUNTIFS(tbl_chests[from],$A125,tbl_chests[legalized],AC$1,tbl_chests[datetime],"&gt;="&amp;TODAY()-WEEKDAY(TODAY(),2)+1,tbl_chests[datetime],"&lt;"&amp;TODAY()-WEEKDAY(TODAY(),2)+8)))</f>
        <v>0</v>
      </c>
      <c r="AD125" s="36">
        <f ca="1">IF($A125="","",IF(AD$1="","",COUNTIFS(tbl_chests[from],$A125,tbl_chests[legalized],AD$1,tbl_chests[datetime],"&gt;="&amp;TODAY()-WEEKDAY(TODAY(),2)+1,tbl_chests[datetime],"&lt;"&amp;TODAY()-WEEKDAY(TODAY(),2)+8)))</f>
        <v>0</v>
      </c>
      <c r="AE125" s="36">
        <f ca="1">IF($A125="","",IF(AE$1="","",COUNTIFS(tbl_chests[from],$A125,tbl_chests[legalized],AE$1,tbl_chests[datetime],"&gt;="&amp;TODAY()-WEEKDAY(TODAY(),2)+1,tbl_chests[datetime],"&lt;"&amp;TODAY()-WEEKDAY(TODAY(),2)+8)))</f>
        <v>0</v>
      </c>
      <c r="AF125" s="36">
        <f ca="1">IF($A125="","",IF(AF$1="","",COUNTIFS(tbl_chests[from],$A125,tbl_chests[legalized],AF$1,tbl_chests[datetime],"&gt;="&amp;TODAY()-WEEKDAY(TODAY(),2)+1,tbl_chests[datetime],"&lt;"&amp;TODAY()-WEEKDAY(TODAY(),2)+8)))</f>
        <v>0</v>
      </c>
      <c r="AG125" s="36">
        <f ca="1">IF($A125="","",IF(AG$1="","",COUNTIFS(tbl_chests[from],$A125,tbl_chests[legalized],AG$1,tbl_chests[datetime],"&gt;="&amp;TODAY()-WEEKDAY(TODAY(),2)+1,tbl_chests[datetime],"&lt;"&amp;TODAY()-WEEKDAY(TODAY(),2)+8)))</f>
        <v>0</v>
      </c>
      <c r="AH125" s="36">
        <f ca="1">IF($A125="","",IF(AH$1="","",COUNTIFS(tbl_chests[from],$A125,tbl_chests[legalized],AH$1,tbl_chests[datetime],"&gt;="&amp;TODAY()-WEEKDAY(TODAY(),2)+1,tbl_chests[datetime],"&lt;"&amp;TODAY()-WEEKDAY(TODAY(),2)+8)))</f>
        <v>0</v>
      </c>
      <c r="AI125" s="36">
        <f ca="1">IF($A125="","",IF(AI$1="","",COUNTIFS(tbl_chests[from],$A125,tbl_chests[legalized],AI$1,tbl_chests[datetime],"&gt;="&amp;TODAY()-WEEKDAY(TODAY(),2)+1,tbl_chests[datetime],"&lt;"&amp;TODAY()-WEEKDAY(TODAY(),2)+8)))</f>
        <v>0</v>
      </c>
      <c r="AJ125" s="36">
        <f ca="1">IF($A125="","",IF(AJ$1="","",COUNTIFS(tbl_chests[from],$A125,tbl_chests[legalized],AJ$1,tbl_chests[datetime],"&gt;="&amp;TODAY()-WEEKDAY(TODAY(),2)+1,tbl_chests[datetime],"&lt;"&amp;TODAY()-WEEKDAY(TODAY(),2)+8)))</f>
        <v>0</v>
      </c>
      <c r="AK125" s="36">
        <f ca="1">IF($A125="","",IF(AK$1="","",COUNTIFS(tbl_chests[from],$A125,tbl_chests[legalized],AK$1,tbl_chests[datetime],"&gt;="&amp;TODAY()-WEEKDAY(TODAY(),2)+1,tbl_chests[datetime],"&lt;"&amp;TODAY()-WEEKDAY(TODAY(),2)+8)))</f>
        <v>0</v>
      </c>
      <c r="AL125" s="36">
        <f ca="1">IF($A125="","",IF(AL$1="","",COUNTIFS(tbl_chests[from],$A125,tbl_chests[legalized],AL$1,tbl_chests[datetime],"&gt;="&amp;TODAY()-WEEKDAY(TODAY(),2)+1,tbl_chests[datetime],"&lt;"&amp;TODAY()-WEEKDAY(TODAY(),2)+8)))</f>
        <v>0</v>
      </c>
      <c r="AM125" s="37">
        <f ca="1">IF($A125="","",IF(AM$1="","",COUNTIFS(tbl_chests[from],$A125,tbl_chests[legalized],AM$1,tbl_chests[datetime],"&gt;="&amp;TODAY()-WEEKDAY(TODAY(),2)+1,tbl_chests[datetime],"&lt;"&amp;TODAY()-WEEKDAY(TODAY(),2)+8)))</f>
        <v>0</v>
      </c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 spans="1:67" ht="15.75" customHeight="1" x14ac:dyDescent="0.25">
      <c r="A126" s="34">
        <f>chests_counter!$H123</f>
        <v>0</v>
      </c>
      <c r="B126" s="35" cm="1">
        <f t="array" aca="1" ref="B126" ca="1">IF(A126&lt;&gt;"", SUMPRODUCT(($C$2:$AM$2&lt;&gt;0)*(C126:AM126&lt;&gt;0)*($C$2:$AM$2)*(C126:AM126)), "")</f>
        <v>0</v>
      </c>
      <c r="C126" s="36">
        <f ca="1">IF($A126="","",IF(C$1="","",COUNTIFS(tbl_chests[from],$A126,tbl_chests[legalized],C$1,tbl_chests[datetime],"&gt;="&amp;TODAY()-WEEKDAY(TODAY(),2)+1,tbl_chests[datetime],"&lt;"&amp;TODAY()-WEEKDAY(TODAY(),2)+8)))</f>
        <v>0</v>
      </c>
      <c r="D126" s="36">
        <f ca="1">IF($A126="","",IF(D$1="","",COUNTIFS(tbl_chests[from],$A126,tbl_chests[legalized],D$1,tbl_chests[datetime],"&gt;="&amp;TODAY()-WEEKDAY(TODAY(),2)+1,tbl_chests[datetime],"&lt;"&amp;TODAY()-WEEKDAY(TODAY(),2)+8)))</f>
        <v>0</v>
      </c>
      <c r="E126" s="36">
        <f ca="1">IF($A126="","",IF(E$1="","",COUNTIFS(tbl_chests[from],$A126,tbl_chests[legalized],E$1,tbl_chests[datetime],"&gt;="&amp;TODAY()-WEEKDAY(TODAY(),2)+1,tbl_chests[datetime],"&lt;"&amp;TODAY()-WEEKDAY(TODAY(),2)+8)))</f>
        <v>0</v>
      </c>
      <c r="F126" s="36">
        <f ca="1">IF($A126="","",IF(F$1="","",COUNTIFS(tbl_chests[from],$A126,tbl_chests[legalized],F$1,tbl_chests[datetime],"&gt;="&amp;TODAY()-WEEKDAY(TODAY(),2)+1,tbl_chests[datetime],"&lt;"&amp;TODAY()-WEEKDAY(TODAY(),2)+8)))</f>
        <v>0</v>
      </c>
      <c r="G126" s="36">
        <f ca="1">IF($A126="","",IF(G$1="","",COUNTIFS(tbl_chests[from],$A126,tbl_chests[legalized],G$1,tbl_chests[datetime],"&gt;="&amp;TODAY()-WEEKDAY(TODAY(),2)+1,tbl_chests[datetime],"&lt;"&amp;TODAY()-WEEKDAY(TODAY(),2)+8)))</f>
        <v>0</v>
      </c>
      <c r="H126" s="36">
        <f ca="1">IF($A126="","",IF(H$1="","",COUNTIFS(tbl_chests[from],$A126,tbl_chests[legalized],H$1,tbl_chests[datetime],"&gt;="&amp;TODAY()-WEEKDAY(TODAY(),2)+1,tbl_chests[datetime],"&lt;"&amp;TODAY()-WEEKDAY(TODAY(),2)+8)))</f>
        <v>0</v>
      </c>
      <c r="I126" s="36">
        <f ca="1">IF($A126="","",IF(I$1="","",COUNTIFS(tbl_chests[from],$A126,tbl_chests[legalized],I$1,tbl_chests[datetime],"&gt;="&amp;TODAY()-WEEKDAY(TODAY(),2)+1,tbl_chests[datetime],"&lt;"&amp;TODAY()-WEEKDAY(TODAY(),2)+8)))</f>
        <v>0</v>
      </c>
      <c r="J126" s="36">
        <f ca="1">IF($A126="","",IF(J$1="","",COUNTIFS(tbl_chests[from],$A126,tbl_chests[legalized],J$1,tbl_chests[datetime],"&gt;="&amp;TODAY()-WEEKDAY(TODAY(),2)+1,tbl_chests[datetime],"&lt;"&amp;TODAY()-WEEKDAY(TODAY(),2)+8)))</f>
        <v>0</v>
      </c>
      <c r="K126" s="36">
        <f ca="1">IF($A126="","",IF(K$1="","",COUNTIFS(tbl_chests[from],$A126,tbl_chests[legalized],K$1,tbl_chests[datetime],"&gt;="&amp;TODAY()-WEEKDAY(TODAY(),2)+1,tbl_chests[datetime],"&lt;"&amp;TODAY()-WEEKDAY(TODAY(),2)+8)))</f>
        <v>0</v>
      </c>
      <c r="L126" s="36">
        <f ca="1">IF($A126="","",IF(L$1="","",COUNTIFS(tbl_chests[from],$A126,tbl_chests[legalized],L$1,tbl_chests[datetime],"&gt;="&amp;TODAY()-WEEKDAY(TODAY(),2)+1,tbl_chests[datetime],"&lt;"&amp;TODAY()-WEEKDAY(TODAY(),2)+8)))</f>
        <v>0</v>
      </c>
      <c r="M126" s="36">
        <f ca="1">IF($A126="","",IF(M$1="","",COUNTIFS(tbl_chests[from],$A126,tbl_chests[legalized],M$1,tbl_chests[datetime],"&gt;="&amp;TODAY()-WEEKDAY(TODAY(),2)+1,tbl_chests[datetime],"&lt;"&amp;TODAY()-WEEKDAY(TODAY(),2)+8)))</f>
        <v>0</v>
      </c>
      <c r="N126" s="36">
        <f ca="1">IF($A126="","",IF(N$1="","",COUNTIFS(tbl_chests[from],$A126,tbl_chests[legalized],N$1,tbl_chests[datetime],"&gt;="&amp;TODAY()-WEEKDAY(TODAY(),2)+1,tbl_chests[datetime],"&lt;"&amp;TODAY()-WEEKDAY(TODAY(),2)+8)))</f>
        <v>0</v>
      </c>
      <c r="O126" s="36">
        <f ca="1">IF($A126="","",IF(O$1="","",COUNTIFS(tbl_chests[from],$A126,tbl_chests[legalized],O$1,tbl_chests[datetime],"&gt;="&amp;TODAY()-WEEKDAY(TODAY(),2)+1,tbl_chests[datetime],"&lt;"&amp;TODAY()-WEEKDAY(TODAY(),2)+8)))</f>
        <v>0</v>
      </c>
      <c r="P126" s="36">
        <f ca="1">IF($A126="","",IF(P$1="","",COUNTIFS(tbl_chests[from],$A126,tbl_chests[legalized],P$1,tbl_chests[datetime],"&gt;="&amp;TODAY()-WEEKDAY(TODAY(),2)+1,tbl_chests[datetime],"&lt;"&amp;TODAY()-WEEKDAY(TODAY(),2)+8)))</f>
        <v>0</v>
      </c>
      <c r="Q126" s="36">
        <f ca="1">IF($A126="","",IF(Q$1="","",COUNTIFS(tbl_chests[from],$A126,tbl_chests[legalized],Q$1,tbl_chests[datetime],"&gt;="&amp;TODAY()-WEEKDAY(TODAY(),2)+1,tbl_chests[datetime],"&lt;"&amp;TODAY()-WEEKDAY(TODAY(),2)+8)))</f>
        <v>0</v>
      </c>
      <c r="R126" s="36">
        <f ca="1">IF($A126="","",IF(R$1="","",COUNTIFS(tbl_chests[from],$A126,tbl_chests[legalized],R$1,tbl_chests[datetime],"&gt;="&amp;TODAY()-WEEKDAY(TODAY(),2)+1,tbl_chests[datetime],"&lt;"&amp;TODAY()-WEEKDAY(TODAY(),2)+8)))</f>
        <v>0</v>
      </c>
      <c r="S126" s="36">
        <f ca="1">IF($A126="","",IF(S$1="","",COUNTIFS(tbl_chests[from],$A126,tbl_chests[legalized],S$1,tbl_chests[datetime],"&gt;="&amp;TODAY()-WEEKDAY(TODAY(),2)+1,tbl_chests[datetime],"&lt;"&amp;TODAY()-WEEKDAY(TODAY(),2)+8)))</f>
        <v>0</v>
      </c>
      <c r="T126" s="36">
        <f ca="1">IF($A126="","",IF(T$1="","",COUNTIFS(tbl_chests[from],$A126,tbl_chests[legalized],T$1,tbl_chests[datetime],"&gt;="&amp;TODAY()-WEEKDAY(TODAY(),2)+1,tbl_chests[datetime],"&lt;"&amp;TODAY()-WEEKDAY(TODAY(),2)+8)))</f>
        <v>0</v>
      </c>
      <c r="U126" s="36">
        <f ca="1">IF($A126="","",IF(U$1="","",COUNTIFS(tbl_chests[from],$A126,tbl_chests[legalized],U$1,tbl_chests[datetime],"&gt;="&amp;TODAY()-WEEKDAY(TODAY(),2)+1,tbl_chests[datetime],"&lt;"&amp;TODAY()-WEEKDAY(TODAY(),2)+8)))</f>
        <v>0</v>
      </c>
      <c r="V126" s="36">
        <f ca="1">IF($A126="","",IF(V$1="","",COUNTIFS(tbl_chests[from],$A126,tbl_chests[legalized],V$1,tbl_chests[datetime],"&gt;="&amp;TODAY()-WEEKDAY(TODAY(),2)+1,tbl_chests[datetime],"&lt;"&amp;TODAY()-WEEKDAY(TODAY(),2)+8)))</f>
        <v>0</v>
      </c>
      <c r="W126" s="36">
        <f ca="1">IF($A126="","",IF(W$1="","",COUNTIFS(tbl_chests[from],$A126,tbl_chests[legalized],W$1,tbl_chests[datetime],"&gt;="&amp;TODAY()-WEEKDAY(TODAY(),2)+1,tbl_chests[datetime],"&lt;"&amp;TODAY()-WEEKDAY(TODAY(),2)+8)))</f>
        <v>0</v>
      </c>
      <c r="X126" s="36">
        <f ca="1">IF($A126="","",IF(X$1="","",COUNTIFS(tbl_chests[from],$A126,tbl_chests[legalized],X$1,tbl_chests[datetime],"&gt;="&amp;TODAY()-WEEKDAY(TODAY(),2)+1,tbl_chests[datetime],"&lt;"&amp;TODAY()-WEEKDAY(TODAY(),2)+8)))</f>
        <v>0</v>
      </c>
      <c r="Y126" s="36">
        <f ca="1">IF($A126="","",IF(Y$1="","",COUNTIFS(tbl_chests[from],$A126,tbl_chests[legalized],Y$1,tbl_chests[datetime],"&gt;="&amp;TODAY()-WEEKDAY(TODAY(),2)+1,tbl_chests[datetime],"&lt;"&amp;TODAY()-WEEKDAY(TODAY(),2)+8)))</f>
        <v>0</v>
      </c>
      <c r="Z126" s="36">
        <f ca="1">IF($A126="","",IF(Z$1="","",COUNTIFS(tbl_chests[from],$A126,tbl_chests[legalized],Z$1,tbl_chests[datetime],"&gt;="&amp;TODAY()-WEEKDAY(TODAY(),2)+1,tbl_chests[datetime],"&lt;"&amp;TODAY()-WEEKDAY(TODAY(),2)+8)))</f>
        <v>0</v>
      </c>
      <c r="AA126" s="36">
        <f ca="1">IF($A126="","",IF(AA$1="","",COUNTIFS(tbl_chests[from],$A126,tbl_chests[legalized],AA$1,tbl_chests[datetime],"&gt;="&amp;TODAY()-WEEKDAY(TODAY(),2)+1,tbl_chests[datetime],"&lt;"&amp;TODAY()-WEEKDAY(TODAY(),2)+8)))</f>
        <v>0</v>
      </c>
      <c r="AB126" s="36">
        <f ca="1">IF($A126="","",IF(AB$1="","",COUNTIFS(tbl_chests[from],$A126,tbl_chests[legalized],AB$1,tbl_chests[datetime],"&gt;="&amp;TODAY()-WEEKDAY(TODAY(),2)+1,tbl_chests[datetime],"&lt;"&amp;TODAY()-WEEKDAY(TODAY(),2)+8)))</f>
        <v>0</v>
      </c>
      <c r="AC126" s="36">
        <f ca="1">IF($A126="","",IF(AC$1="","",COUNTIFS(tbl_chests[from],$A126,tbl_chests[legalized],AC$1,tbl_chests[datetime],"&gt;="&amp;TODAY()-WEEKDAY(TODAY(),2)+1,tbl_chests[datetime],"&lt;"&amp;TODAY()-WEEKDAY(TODAY(),2)+8)))</f>
        <v>0</v>
      </c>
      <c r="AD126" s="36">
        <f ca="1">IF($A126="","",IF(AD$1="","",COUNTIFS(tbl_chests[from],$A126,tbl_chests[legalized],AD$1,tbl_chests[datetime],"&gt;="&amp;TODAY()-WEEKDAY(TODAY(),2)+1,tbl_chests[datetime],"&lt;"&amp;TODAY()-WEEKDAY(TODAY(),2)+8)))</f>
        <v>0</v>
      </c>
      <c r="AE126" s="36">
        <f ca="1">IF($A126="","",IF(AE$1="","",COUNTIFS(tbl_chests[from],$A126,tbl_chests[legalized],AE$1,tbl_chests[datetime],"&gt;="&amp;TODAY()-WEEKDAY(TODAY(),2)+1,tbl_chests[datetime],"&lt;"&amp;TODAY()-WEEKDAY(TODAY(),2)+8)))</f>
        <v>0</v>
      </c>
      <c r="AF126" s="36">
        <f ca="1">IF($A126="","",IF(AF$1="","",COUNTIFS(tbl_chests[from],$A126,tbl_chests[legalized],AF$1,tbl_chests[datetime],"&gt;="&amp;TODAY()-WEEKDAY(TODAY(),2)+1,tbl_chests[datetime],"&lt;"&amp;TODAY()-WEEKDAY(TODAY(),2)+8)))</f>
        <v>0</v>
      </c>
      <c r="AG126" s="36">
        <f ca="1">IF($A126="","",IF(AG$1="","",COUNTIFS(tbl_chests[from],$A126,tbl_chests[legalized],AG$1,tbl_chests[datetime],"&gt;="&amp;TODAY()-WEEKDAY(TODAY(),2)+1,tbl_chests[datetime],"&lt;"&amp;TODAY()-WEEKDAY(TODAY(),2)+8)))</f>
        <v>0</v>
      </c>
      <c r="AH126" s="36">
        <f ca="1">IF($A126="","",IF(AH$1="","",COUNTIFS(tbl_chests[from],$A126,tbl_chests[legalized],AH$1,tbl_chests[datetime],"&gt;="&amp;TODAY()-WEEKDAY(TODAY(),2)+1,tbl_chests[datetime],"&lt;"&amp;TODAY()-WEEKDAY(TODAY(),2)+8)))</f>
        <v>0</v>
      </c>
      <c r="AI126" s="36">
        <f ca="1">IF($A126="","",IF(AI$1="","",COUNTIFS(tbl_chests[from],$A126,tbl_chests[legalized],AI$1,tbl_chests[datetime],"&gt;="&amp;TODAY()-WEEKDAY(TODAY(),2)+1,tbl_chests[datetime],"&lt;"&amp;TODAY()-WEEKDAY(TODAY(),2)+8)))</f>
        <v>0</v>
      </c>
      <c r="AJ126" s="36">
        <f ca="1">IF($A126="","",IF(AJ$1="","",COUNTIFS(tbl_chests[from],$A126,tbl_chests[legalized],AJ$1,tbl_chests[datetime],"&gt;="&amp;TODAY()-WEEKDAY(TODAY(),2)+1,tbl_chests[datetime],"&lt;"&amp;TODAY()-WEEKDAY(TODAY(),2)+8)))</f>
        <v>0</v>
      </c>
      <c r="AK126" s="36">
        <f ca="1">IF($A126="","",IF(AK$1="","",COUNTIFS(tbl_chests[from],$A126,tbl_chests[legalized],AK$1,tbl_chests[datetime],"&gt;="&amp;TODAY()-WEEKDAY(TODAY(),2)+1,tbl_chests[datetime],"&lt;"&amp;TODAY()-WEEKDAY(TODAY(),2)+8)))</f>
        <v>0</v>
      </c>
      <c r="AL126" s="36">
        <f ca="1">IF($A126="","",IF(AL$1="","",COUNTIFS(tbl_chests[from],$A126,tbl_chests[legalized],AL$1,tbl_chests[datetime],"&gt;="&amp;TODAY()-WEEKDAY(TODAY(),2)+1,tbl_chests[datetime],"&lt;"&amp;TODAY()-WEEKDAY(TODAY(),2)+8)))</f>
        <v>0</v>
      </c>
      <c r="AM126" s="37">
        <f ca="1">IF($A126="","",IF(AM$1="","",COUNTIFS(tbl_chests[from],$A126,tbl_chests[legalized],AM$1,tbl_chests[datetime],"&gt;="&amp;TODAY()-WEEKDAY(TODAY(),2)+1,tbl_chests[datetime],"&lt;"&amp;TODAY()-WEEKDAY(TODAY(),2)+8)))</f>
        <v>0</v>
      </c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 spans="1:67" ht="15.75" customHeight="1" x14ac:dyDescent="0.25">
      <c r="A127" s="34">
        <f>chests_counter!$H124</f>
        <v>0</v>
      </c>
      <c r="B127" s="35" cm="1">
        <f t="array" aca="1" ref="B127" ca="1">IF(A127&lt;&gt;"", SUMPRODUCT(($C$2:$AM$2&lt;&gt;0)*(C127:AM127&lt;&gt;0)*($C$2:$AM$2)*(C127:AM127)), "")</f>
        <v>0</v>
      </c>
      <c r="C127" s="36">
        <f ca="1">IF($A127="","",IF(C$1="","",COUNTIFS(tbl_chests[from],$A127,tbl_chests[legalized],C$1,tbl_chests[datetime],"&gt;="&amp;TODAY()-WEEKDAY(TODAY(),2)+1,tbl_chests[datetime],"&lt;"&amp;TODAY()-WEEKDAY(TODAY(),2)+8)))</f>
        <v>0</v>
      </c>
      <c r="D127" s="36">
        <f ca="1">IF($A127="","",IF(D$1="","",COUNTIFS(tbl_chests[from],$A127,tbl_chests[legalized],D$1,tbl_chests[datetime],"&gt;="&amp;TODAY()-WEEKDAY(TODAY(),2)+1,tbl_chests[datetime],"&lt;"&amp;TODAY()-WEEKDAY(TODAY(),2)+8)))</f>
        <v>0</v>
      </c>
      <c r="E127" s="36">
        <f ca="1">IF($A127="","",IF(E$1="","",COUNTIFS(tbl_chests[from],$A127,tbl_chests[legalized],E$1,tbl_chests[datetime],"&gt;="&amp;TODAY()-WEEKDAY(TODAY(),2)+1,tbl_chests[datetime],"&lt;"&amp;TODAY()-WEEKDAY(TODAY(),2)+8)))</f>
        <v>0</v>
      </c>
      <c r="F127" s="36">
        <f ca="1">IF($A127="","",IF(F$1="","",COUNTIFS(tbl_chests[from],$A127,tbl_chests[legalized],F$1,tbl_chests[datetime],"&gt;="&amp;TODAY()-WEEKDAY(TODAY(),2)+1,tbl_chests[datetime],"&lt;"&amp;TODAY()-WEEKDAY(TODAY(),2)+8)))</f>
        <v>0</v>
      </c>
      <c r="G127" s="36">
        <f ca="1">IF($A127="","",IF(G$1="","",COUNTIFS(tbl_chests[from],$A127,tbl_chests[legalized],G$1,tbl_chests[datetime],"&gt;="&amp;TODAY()-WEEKDAY(TODAY(),2)+1,tbl_chests[datetime],"&lt;"&amp;TODAY()-WEEKDAY(TODAY(),2)+8)))</f>
        <v>0</v>
      </c>
      <c r="H127" s="36">
        <f ca="1">IF($A127="","",IF(H$1="","",COUNTIFS(tbl_chests[from],$A127,tbl_chests[legalized],H$1,tbl_chests[datetime],"&gt;="&amp;TODAY()-WEEKDAY(TODAY(),2)+1,tbl_chests[datetime],"&lt;"&amp;TODAY()-WEEKDAY(TODAY(),2)+8)))</f>
        <v>0</v>
      </c>
      <c r="I127" s="36">
        <f ca="1">IF($A127="","",IF(I$1="","",COUNTIFS(tbl_chests[from],$A127,tbl_chests[legalized],I$1,tbl_chests[datetime],"&gt;="&amp;TODAY()-WEEKDAY(TODAY(),2)+1,tbl_chests[datetime],"&lt;"&amp;TODAY()-WEEKDAY(TODAY(),2)+8)))</f>
        <v>0</v>
      </c>
      <c r="J127" s="36">
        <f ca="1">IF($A127="","",IF(J$1="","",COUNTIFS(tbl_chests[from],$A127,tbl_chests[legalized],J$1,tbl_chests[datetime],"&gt;="&amp;TODAY()-WEEKDAY(TODAY(),2)+1,tbl_chests[datetime],"&lt;"&amp;TODAY()-WEEKDAY(TODAY(),2)+8)))</f>
        <v>0</v>
      </c>
      <c r="K127" s="36">
        <f ca="1">IF($A127="","",IF(K$1="","",COUNTIFS(tbl_chests[from],$A127,tbl_chests[legalized],K$1,tbl_chests[datetime],"&gt;="&amp;TODAY()-WEEKDAY(TODAY(),2)+1,tbl_chests[datetime],"&lt;"&amp;TODAY()-WEEKDAY(TODAY(),2)+8)))</f>
        <v>0</v>
      </c>
      <c r="L127" s="36">
        <f ca="1">IF($A127="","",IF(L$1="","",COUNTIFS(tbl_chests[from],$A127,tbl_chests[legalized],L$1,tbl_chests[datetime],"&gt;="&amp;TODAY()-WEEKDAY(TODAY(),2)+1,tbl_chests[datetime],"&lt;"&amp;TODAY()-WEEKDAY(TODAY(),2)+8)))</f>
        <v>0</v>
      </c>
      <c r="M127" s="36">
        <f ca="1">IF($A127="","",IF(M$1="","",COUNTIFS(tbl_chests[from],$A127,tbl_chests[legalized],M$1,tbl_chests[datetime],"&gt;="&amp;TODAY()-WEEKDAY(TODAY(),2)+1,tbl_chests[datetime],"&lt;"&amp;TODAY()-WEEKDAY(TODAY(),2)+8)))</f>
        <v>0</v>
      </c>
      <c r="N127" s="36">
        <f ca="1">IF($A127="","",IF(N$1="","",COUNTIFS(tbl_chests[from],$A127,tbl_chests[legalized],N$1,tbl_chests[datetime],"&gt;="&amp;TODAY()-WEEKDAY(TODAY(),2)+1,tbl_chests[datetime],"&lt;"&amp;TODAY()-WEEKDAY(TODAY(),2)+8)))</f>
        <v>0</v>
      </c>
      <c r="O127" s="36">
        <f ca="1">IF($A127="","",IF(O$1="","",COUNTIFS(tbl_chests[from],$A127,tbl_chests[legalized],O$1,tbl_chests[datetime],"&gt;="&amp;TODAY()-WEEKDAY(TODAY(),2)+1,tbl_chests[datetime],"&lt;"&amp;TODAY()-WEEKDAY(TODAY(),2)+8)))</f>
        <v>0</v>
      </c>
      <c r="P127" s="36">
        <f ca="1">IF($A127="","",IF(P$1="","",COUNTIFS(tbl_chests[from],$A127,tbl_chests[legalized],P$1,tbl_chests[datetime],"&gt;="&amp;TODAY()-WEEKDAY(TODAY(),2)+1,tbl_chests[datetime],"&lt;"&amp;TODAY()-WEEKDAY(TODAY(),2)+8)))</f>
        <v>0</v>
      </c>
      <c r="Q127" s="36">
        <f ca="1">IF($A127="","",IF(Q$1="","",COUNTIFS(tbl_chests[from],$A127,tbl_chests[legalized],Q$1,tbl_chests[datetime],"&gt;="&amp;TODAY()-WEEKDAY(TODAY(),2)+1,tbl_chests[datetime],"&lt;"&amp;TODAY()-WEEKDAY(TODAY(),2)+8)))</f>
        <v>0</v>
      </c>
      <c r="R127" s="36">
        <f ca="1">IF($A127="","",IF(R$1="","",COUNTIFS(tbl_chests[from],$A127,tbl_chests[legalized],R$1,tbl_chests[datetime],"&gt;="&amp;TODAY()-WEEKDAY(TODAY(),2)+1,tbl_chests[datetime],"&lt;"&amp;TODAY()-WEEKDAY(TODAY(),2)+8)))</f>
        <v>0</v>
      </c>
      <c r="S127" s="36">
        <f ca="1">IF($A127="","",IF(S$1="","",COUNTIFS(tbl_chests[from],$A127,tbl_chests[legalized],S$1,tbl_chests[datetime],"&gt;="&amp;TODAY()-WEEKDAY(TODAY(),2)+1,tbl_chests[datetime],"&lt;"&amp;TODAY()-WEEKDAY(TODAY(),2)+8)))</f>
        <v>0</v>
      </c>
      <c r="T127" s="36">
        <f ca="1">IF($A127="","",IF(T$1="","",COUNTIFS(tbl_chests[from],$A127,tbl_chests[legalized],T$1,tbl_chests[datetime],"&gt;="&amp;TODAY()-WEEKDAY(TODAY(),2)+1,tbl_chests[datetime],"&lt;"&amp;TODAY()-WEEKDAY(TODAY(),2)+8)))</f>
        <v>0</v>
      </c>
      <c r="U127" s="36">
        <f ca="1">IF($A127="","",IF(U$1="","",COUNTIFS(tbl_chests[from],$A127,tbl_chests[legalized],U$1,tbl_chests[datetime],"&gt;="&amp;TODAY()-WEEKDAY(TODAY(),2)+1,tbl_chests[datetime],"&lt;"&amp;TODAY()-WEEKDAY(TODAY(),2)+8)))</f>
        <v>0</v>
      </c>
      <c r="V127" s="36">
        <f ca="1">IF($A127="","",IF(V$1="","",COUNTIFS(tbl_chests[from],$A127,tbl_chests[legalized],V$1,tbl_chests[datetime],"&gt;="&amp;TODAY()-WEEKDAY(TODAY(),2)+1,tbl_chests[datetime],"&lt;"&amp;TODAY()-WEEKDAY(TODAY(),2)+8)))</f>
        <v>0</v>
      </c>
      <c r="W127" s="36">
        <f ca="1">IF($A127="","",IF(W$1="","",COUNTIFS(tbl_chests[from],$A127,tbl_chests[legalized],W$1,tbl_chests[datetime],"&gt;="&amp;TODAY()-WEEKDAY(TODAY(),2)+1,tbl_chests[datetime],"&lt;"&amp;TODAY()-WEEKDAY(TODAY(),2)+8)))</f>
        <v>0</v>
      </c>
      <c r="X127" s="36">
        <f ca="1">IF($A127="","",IF(X$1="","",COUNTIFS(tbl_chests[from],$A127,tbl_chests[legalized],X$1,tbl_chests[datetime],"&gt;="&amp;TODAY()-WEEKDAY(TODAY(),2)+1,tbl_chests[datetime],"&lt;"&amp;TODAY()-WEEKDAY(TODAY(),2)+8)))</f>
        <v>0</v>
      </c>
      <c r="Y127" s="36">
        <f ca="1">IF($A127="","",IF(Y$1="","",COUNTIFS(tbl_chests[from],$A127,tbl_chests[legalized],Y$1,tbl_chests[datetime],"&gt;="&amp;TODAY()-WEEKDAY(TODAY(),2)+1,tbl_chests[datetime],"&lt;"&amp;TODAY()-WEEKDAY(TODAY(),2)+8)))</f>
        <v>0</v>
      </c>
      <c r="Z127" s="36">
        <f ca="1">IF($A127="","",IF(Z$1="","",COUNTIFS(tbl_chests[from],$A127,tbl_chests[legalized],Z$1,tbl_chests[datetime],"&gt;="&amp;TODAY()-WEEKDAY(TODAY(),2)+1,tbl_chests[datetime],"&lt;"&amp;TODAY()-WEEKDAY(TODAY(),2)+8)))</f>
        <v>0</v>
      </c>
      <c r="AA127" s="36">
        <f ca="1">IF($A127="","",IF(AA$1="","",COUNTIFS(tbl_chests[from],$A127,tbl_chests[legalized],AA$1,tbl_chests[datetime],"&gt;="&amp;TODAY()-WEEKDAY(TODAY(),2)+1,tbl_chests[datetime],"&lt;"&amp;TODAY()-WEEKDAY(TODAY(),2)+8)))</f>
        <v>0</v>
      </c>
      <c r="AB127" s="36">
        <f ca="1">IF($A127="","",IF(AB$1="","",COUNTIFS(tbl_chests[from],$A127,tbl_chests[legalized],AB$1,tbl_chests[datetime],"&gt;="&amp;TODAY()-WEEKDAY(TODAY(),2)+1,tbl_chests[datetime],"&lt;"&amp;TODAY()-WEEKDAY(TODAY(),2)+8)))</f>
        <v>0</v>
      </c>
      <c r="AC127" s="36">
        <f ca="1">IF($A127="","",IF(AC$1="","",COUNTIFS(tbl_chests[from],$A127,tbl_chests[legalized],AC$1,tbl_chests[datetime],"&gt;="&amp;TODAY()-WEEKDAY(TODAY(),2)+1,tbl_chests[datetime],"&lt;"&amp;TODAY()-WEEKDAY(TODAY(),2)+8)))</f>
        <v>0</v>
      </c>
      <c r="AD127" s="36">
        <f ca="1">IF($A127="","",IF(AD$1="","",COUNTIFS(tbl_chests[from],$A127,tbl_chests[legalized],AD$1,tbl_chests[datetime],"&gt;="&amp;TODAY()-WEEKDAY(TODAY(),2)+1,tbl_chests[datetime],"&lt;"&amp;TODAY()-WEEKDAY(TODAY(),2)+8)))</f>
        <v>0</v>
      </c>
      <c r="AE127" s="36">
        <f ca="1">IF($A127="","",IF(AE$1="","",COUNTIFS(tbl_chests[from],$A127,tbl_chests[legalized],AE$1,tbl_chests[datetime],"&gt;="&amp;TODAY()-WEEKDAY(TODAY(),2)+1,tbl_chests[datetime],"&lt;"&amp;TODAY()-WEEKDAY(TODAY(),2)+8)))</f>
        <v>0</v>
      </c>
      <c r="AF127" s="36">
        <f ca="1">IF($A127="","",IF(AF$1="","",COUNTIFS(tbl_chests[from],$A127,tbl_chests[legalized],AF$1,tbl_chests[datetime],"&gt;="&amp;TODAY()-WEEKDAY(TODAY(),2)+1,tbl_chests[datetime],"&lt;"&amp;TODAY()-WEEKDAY(TODAY(),2)+8)))</f>
        <v>0</v>
      </c>
      <c r="AG127" s="36">
        <f ca="1">IF($A127="","",IF(AG$1="","",COUNTIFS(tbl_chests[from],$A127,tbl_chests[legalized],AG$1,tbl_chests[datetime],"&gt;="&amp;TODAY()-WEEKDAY(TODAY(),2)+1,tbl_chests[datetime],"&lt;"&amp;TODAY()-WEEKDAY(TODAY(),2)+8)))</f>
        <v>0</v>
      </c>
      <c r="AH127" s="36">
        <f ca="1">IF($A127="","",IF(AH$1="","",COUNTIFS(tbl_chests[from],$A127,tbl_chests[legalized],AH$1,tbl_chests[datetime],"&gt;="&amp;TODAY()-WEEKDAY(TODAY(),2)+1,tbl_chests[datetime],"&lt;"&amp;TODAY()-WEEKDAY(TODAY(),2)+8)))</f>
        <v>0</v>
      </c>
      <c r="AI127" s="36">
        <f ca="1">IF($A127="","",IF(AI$1="","",COUNTIFS(tbl_chests[from],$A127,tbl_chests[legalized],AI$1,tbl_chests[datetime],"&gt;="&amp;TODAY()-WEEKDAY(TODAY(),2)+1,tbl_chests[datetime],"&lt;"&amp;TODAY()-WEEKDAY(TODAY(),2)+8)))</f>
        <v>0</v>
      </c>
      <c r="AJ127" s="36">
        <f ca="1">IF($A127="","",IF(AJ$1="","",COUNTIFS(tbl_chests[from],$A127,tbl_chests[legalized],AJ$1,tbl_chests[datetime],"&gt;="&amp;TODAY()-WEEKDAY(TODAY(),2)+1,tbl_chests[datetime],"&lt;"&amp;TODAY()-WEEKDAY(TODAY(),2)+8)))</f>
        <v>0</v>
      </c>
      <c r="AK127" s="36">
        <f ca="1">IF($A127="","",IF(AK$1="","",COUNTIFS(tbl_chests[from],$A127,tbl_chests[legalized],AK$1,tbl_chests[datetime],"&gt;="&amp;TODAY()-WEEKDAY(TODAY(),2)+1,tbl_chests[datetime],"&lt;"&amp;TODAY()-WEEKDAY(TODAY(),2)+8)))</f>
        <v>0</v>
      </c>
      <c r="AL127" s="36">
        <f ca="1">IF($A127="","",IF(AL$1="","",COUNTIFS(tbl_chests[from],$A127,tbl_chests[legalized],AL$1,tbl_chests[datetime],"&gt;="&amp;TODAY()-WEEKDAY(TODAY(),2)+1,tbl_chests[datetime],"&lt;"&amp;TODAY()-WEEKDAY(TODAY(),2)+8)))</f>
        <v>0</v>
      </c>
      <c r="AM127" s="37">
        <f ca="1">IF($A127="","",IF(AM$1="","",COUNTIFS(tbl_chests[from],$A127,tbl_chests[legalized],AM$1,tbl_chests[datetime],"&gt;="&amp;TODAY()-WEEKDAY(TODAY(),2)+1,tbl_chests[datetime],"&lt;"&amp;TODAY()-WEEKDAY(TODAY(),2)+8)))</f>
        <v>0</v>
      </c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 spans="1:67" ht="15.75" customHeight="1" x14ac:dyDescent="0.25">
      <c r="A128" s="34">
        <f>chests_counter!$H125</f>
        <v>0</v>
      </c>
      <c r="B128" s="35" cm="1">
        <f t="array" aca="1" ref="B128" ca="1">IF(A128&lt;&gt;"", SUMPRODUCT(($C$2:$AM$2&lt;&gt;0)*(C128:AM128&lt;&gt;0)*($C$2:$AM$2)*(C128:AM128)), "")</f>
        <v>0</v>
      </c>
      <c r="C128" s="36">
        <f ca="1">IF($A128="","",IF(C$1="","",COUNTIFS(tbl_chests[from],$A128,tbl_chests[legalized],C$1,tbl_chests[datetime],"&gt;="&amp;TODAY()-WEEKDAY(TODAY(),2)+1,tbl_chests[datetime],"&lt;"&amp;TODAY()-WEEKDAY(TODAY(),2)+8)))</f>
        <v>0</v>
      </c>
      <c r="D128" s="36">
        <f ca="1">IF($A128="","",IF(D$1="","",COUNTIFS(tbl_chests[from],$A128,tbl_chests[legalized],D$1,tbl_chests[datetime],"&gt;="&amp;TODAY()-WEEKDAY(TODAY(),2)+1,tbl_chests[datetime],"&lt;"&amp;TODAY()-WEEKDAY(TODAY(),2)+8)))</f>
        <v>0</v>
      </c>
      <c r="E128" s="36">
        <f ca="1">IF($A128="","",IF(E$1="","",COUNTIFS(tbl_chests[from],$A128,tbl_chests[legalized],E$1,tbl_chests[datetime],"&gt;="&amp;TODAY()-WEEKDAY(TODAY(),2)+1,tbl_chests[datetime],"&lt;"&amp;TODAY()-WEEKDAY(TODAY(),2)+8)))</f>
        <v>0</v>
      </c>
      <c r="F128" s="36">
        <f ca="1">IF($A128="","",IF(F$1="","",COUNTIFS(tbl_chests[from],$A128,tbl_chests[legalized],F$1,tbl_chests[datetime],"&gt;="&amp;TODAY()-WEEKDAY(TODAY(),2)+1,tbl_chests[datetime],"&lt;"&amp;TODAY()-WEEKDAY(TODAY(),2)+8)))</f>
        <v>0</v>
      </c>
      <c r="G128" s="36">
        <f ca="1">IF($A128="","",IF(G$1="","",COUNTIFS(tbl_chests[from],$A128,tbl_chests[legalized],G$1,tbl_chests[datetime],"&gt;="&amp;TODAY()-WEEKDAY(TODAY(),2)+1,tbl_chests[datetime],"&lt;"&amp;TODAY()-WEEKDAY(TODAY(),2)+8)))</f>
        <v>0</v>
      </c>
      <c r="H128" s="36">
        <f ca="1">IF($A128="","",IF(H$1="","",COUNTIFS(tbl_chests[from],$A128,tbl_chests[legalized],H$1,tbl_chests[datetime],"&gt;="&amp;TODAY()-WEEKDAY(TODAY(),2)+1,tbl_chests[datetime],"&lt;"&amp;TODAY()-WEEKDAY(TODAY(),2)+8)))</f>
        <v>0</v>
      </c>
      <c r="I128" s="36">
        <f ca="1">IF($A128="","",IF(I$1="","",COUNTIFS(tbl_chests[from],$A128,tbl_chests[legalized],I$1,tbl_chests[datetime],"&gt;="&amp;TODAY()-WEEKDAY(TODAY(),2)+1,tbl_chests[datetime],"&lt;"&amp;TODAY()-WEEKDAY(TODAY(),2)+8)))</f>
        <v>0</v>
      </c>
      <c r="J128" s="36">
        <f ca="1">IF($A128="","",IF(J$1="","",COUNTIFS(tbl_chests[from],$A128,tbl_chests[legalized],J$1,tbl_chests[datetime],"&gt;="&amp;TODAY()-WEEKDAY(TODAY(),2)+1,tbl_chests[datetime],"&lt;"&amp;TODAY()-WEEKDAY(TODAY(),2)+8)))</f>
        <v>0</v>
      </c>
      <c r="K128" s="36">
        <f ca="1">IF($A128="","",IF(K$1="","",COUNTIFS(tbl_chests[from],$A128,tbl_chests[legalized],K$1,tbl_chests[datetime],"&gt;="&amp;TODAY()-WEEKDAY(TODAY(),2)+1,tbl_chests[datetime],"&lt;"&amp;TODAY()-WEEKDAY(TODAY(),2)+8)))</f>
        <v>0</v>
      </c>
      <c r="L128" s="36">
        <f ca="1">IF($A128="","",IF(L$1="","",COUNTIFS(tbl_chests[from],$A128,tbl_chests[legalized],L$1,tbl_chests[datetime],"&gt;="&amp;TODAY()-WEEKDAY(TODAY(),2)+1,tbl_chests[datetime],"&lt;"&amp;TODAY()-WEEKDAY(TODAY(),2)+8)))</f>
        <v>0</v>
      </c>
      <c r="M128" s="36">
        <f ca="1">IF($A128="","",IF(M$1="","",COUNTIFS(tbl_chests[from],$A128,tbl_chests[legalized],M$1,tbl_chests[datetime],"&gt;="&amp;TODAY()-WEEKDAY(TODAY(),2)+1,tbl_chests[datetime],"&lt;"&amp;TODAY()-WEEKDAY(TODAY(),2)+8)))</f>
        <v>0</v>
      </c>
      <c r="N128" s="36">
        <f ca="1">IF($A128="","",IF(N$1="","",COUNTIFS(tbl_chests[from],$A128,tbl_chests[legalized],N$1,tbl_chests[datetime],"&gt;="&amp;TODAY()-WEEKDAY(TODAY(),2)+1,tbl_chests[datetime],"&lt;"&amp;TODAY()-WEEKDAY(TODAY(),2)+8)))</f>
        <v>0</v>
      </c>
      <c r="O128" s="36">
        <f ca="1">IF($A128="","",IF(O$1="","",COUNTIFS(tbl_chests[from],$A128,tbl_chests[legalized],O$1,tbl_chests[datetime],"&gt;="&amp;TODAY()-WEEKDAY(TODAY(),2)+1,tbl_chests[datetime],"&lt;"&amp;TODAY()-WEEKDAY(TODAY(),2)+8)))</f>
        <v>0</v>
      </c>
      <c r="P128" s="36">
        <f ca="1">IF($A128="","",IF(P$1="","",COUNTIFS(tbl_chests[from],$A128,tbl_chests[legalized],P$1,tbl_chests[datetime],"&gt;="&amp;TODAY()-WEEKDAY(TODAY(),2)+1,tbl_chests[datetime],"&lt;"&amp;TODAY()-WEEKDAY(TODAY(),2)+8)))</f>
        <v>0</v>
      </c>
      <c r="Q128" s="36">
        <f ca="1">IF($A128="","",IF(Q$1="","",COUNTIFS(tbl_chests[from],$A128,tbl_chests[legalized],Q$1,tbl_chests[datetime],"&gt;="&amp;TODAY()-WEEKDAY(TODAY(),2)+1,tbl_chests[datetime],"&lt;"&amp;TODAY()-WEEKDAY(TODAY(),2)+8)))</f>
        <v>0</v>
      </c>
      <c r="R128" s="36">
        <f ca="1">IF($A128="","",IF(R$1="","",COUNTIFS(tbl_chests[from],$A128,tbl_chests[legalized],R$1,tbl_chests[datetime],"&gt;="&amp;TODAY()-WEEKDAY(TODAY(),2)+1,tbl_chests[datetime],"&lt;"&amp;TODAY()-WEEKDAY(TODAY(),2)+8)))</f>
        <v>0</v>
      </c>
      <c r="S128" s="36">
        <f ca="1">IF($A128="","",IF(S$1="","",COUNTIFS(tbl_chests[from],$A128,tbl_chests[legalized],S$1,tbl_chests[datetime],"&gt;="&amp;TODAY()-WEEKDAY(TODAY(),2)+1,tbl_chests[datetime],"&lt;"&amp;TODAY()-WEEKDAY(TODAY(),2)+8)))</f>
        <v>0</v>
      </c>
      <c r="T128" s="36">
        <f ca="1">IF($A128="","",IF(T$1="","",COUNTIFS(tbl_chests[from],$A128,tbl_chests[legalized],T$1,tbl_chests[datetime],"&gt;="&amp;TODAY()-WEEKDAY(TODAY(),2)+1,tbl_chests[datetime],"&lt;"&amp;TODAY()-WEEKDAY(TODAY(),2)+8)))</f>
        <v>0</v>
      </c>
      <c r="U128" s="36">
        <f ca="1">IF($A128="","",IF(U$1="","",COUNTIFS(tbl_chests[from],$A128,tbl_chests[legalized],U$1,tbl_chests[datetime],"&gt;="&amp;TODAY()-WEEKDAY(TODAY(),2)+1,tbl_chests[datetime],"&lt;"&amp;TODAY()-WEEKDAY(TODAY(),2)+8)))</f>
        <v>0</v>
      </c>
      <c r="V128" s="36">
        <f ca="1">IF($A128="","",IF(V$1="","",COUNTIFS(tbl_chests[from],$A128,tbl_chests[legalized],V$1,tbl_chests[datetime],"&gt;="&amp;TODAY()-WEEKDAY(TODAY(),2)+1,tbl_chests[datetime],"&lt;"&amp;TODAY()-WEEKDAY(TODAY(),2)+8)))</f>
        <v>0</v>
      </c>
      <c r="W128" s="36">
        <f ca="1">IF($A128="","",IF(W$1="","",COUNTIFS(tbl_chests[from],$A128,tbl_chests[legalized],W$1,tbl_chests[datetime],"&gt;="&amp;TODAY()-WEEKDAY(TODAY(),2)+1,tbl_chests[datetime],"&lt;"&amp;TODAY()-WEEKDAY(TODAY(),2)+8)))</f>
        <v>0</v>
      </c>
      <c r="X128" s="36">
        <f ca="1">IF($A128="","",IF(X$1="","",COUNTIFS(tbl_chests[from],$A128,tbl_chests[legalized],X$1,tbl_chests[datetime],"&gt;="&amp;TODAY()-WEEKDAY(TODAY(),2)+1,tbl_chests[datetime],"&lt;"&amp;TODAY()-WEEKDAY(TODAY(),2)+8)))</f>
        <v>0</v>
      </c>
      <c r="Y128" s="36">
        <f ca="1">IF($A128="","",IF(Y$1="","",COUNTIFS(tbl_chests[from],$A128,tbl_chests[legalized],Y$1,tbl_chests[datetime],"&gt;="&amp;TODAY()-WEEKDAY(TODAY(),2)+1,tbl_chests[datetime],"&lt;"&amp;TODAY()-WEEKDAY(TODAY(),2)+8)))</f>
        <v>0</v>
      </c>
      <c r="Z128" s="36">
        <f ca="1">IF($A128="","",IF(Z$1="","",COUNTIFS(tbl_chests[from],$A128,tbl_chests[legalized],Z$1,tbl_chests[datetime],"&gt;="&amp;TODAY()-WEEKDAY(TODAY(),2)+1,tbl_chests[datetime],"&lt;"&amp;TODAY()-WEEKDAY(TODAY(),2)+8)))</f>
        <v>0</v>
      </c>
      <c r="AA128" s="36">
        <f ca="1">IF($A128="","",IF(AA$1="","",COUNTIFS(tbl_chests[from],$A128,tbl_chests[legalized],AA$1,tbl_chests[datetime],"&gt;="&amp;TODAY()-WEEKDAY(TODAY(),2)+1,tbl_chests[datetime],"&lt;"&amp;TODAY()-WEEKDAY(TODAY(),2)+8)))</f>
        <v>0</v>
      </c>
      <c r="AB128" s="36">
        <f ca="1">IF($A128="","",IF(AB$1="","",COUNTIFS(tbl_chests[from],$A128,tbl_chests[legalized],AB$1,tbl_chests[datetime],"&gt;="&amp;TODAY()-WEEKDAY(TODAY(),2)+1,tbl_chests[datetime],"&lt;"&amp;TODAY()-WEEKDAY(TODAY(),2)+8)))</f>
        <v>0</v>
      </c>
      <c r="AC128" s="36">
        <f ca="1">IF($A128="","",IF(AC$1="","",COUNTIFS(tbl_chests[from],$A128,tbl_chests[legalized],AC$1,tbl_chests[datetime],"&gt;="&amp;TODAY()-WEEKDAY(TODAY(),2)+1,tbl_chests[datetime],"&lt;"&amp;TODAY()-WEEKDAY(TODAY(),2)+8)))</f>
        <v>0</v>
      </c>
      <c r="AD128" s="36">
        <f ca="1">IF($A128="","",IF(AD$1="","",COUNTIFS(tbl_chests[from],$A128,tbl_chests[legalized],AD$1,tbl_chests[datetime],"&gt;="&amp;TODAY()-WEEKDAY(TODAY(),2)+1,tbl_chests[datetime],"&lt;"&amp;TODAY()-WEEKDAY(TODAY(),2)+8)))</f>
        <v>0</v>
      </c>
      <c r="AE128" s="36">
        <f ca="1">IF($A128="","",IF(AE$1="","",COUNTIFS(tbl_chests[from],$A128,tbl_chests[legalized],AE$1,tbl_chests[datetime],"&gt;="&amp;TODAY()-WEEKDAY(TODAY(),2)+1,tbl_chests[datetime],"&lt;"&amp;TODAY()-WEEKDAY(TODAY(),2)+8)))</f>
        <v>0</v>
      </c>
      <c r="AF128" s="36">
        <f ca="1">IF($A128="","",IF(AF$1="","",COUNTIFS(tbl_chests[from],$A128,tbl_chests[legalized],AF$1,tbl_chests[datetime],"&gt;="&amp;TODAY()-WEEKDAY(TODAY(),2)+1,tbl_chests[datetime],"&lt;"&amp;TODAY()-WEEKDAY(TODAY(),2)+8)))</f>
        <v>0</v>
      </c>
      <c r="AG128" s="36">
        <f ca="1">IF($A128="","",IF(AG$1="","",COUNTIFS(tbl_chests[from],$A128,tbl_chests[legalized],AG$1,tbl_chests[datetime],"&gt;="&amp;TODAY()-WEEKDAY(TODAY(),2)+1,tbl_chests[datetime],"&lt;"&amp;TODAY()-WEEKDAY(TODAY(),2)+8)))</f>
        <v>0</v>
      </c>
      <c r="AH128" s="36">
        <f ca="1">IF($A128="","",IF(AH$1="","",COUNTIFS(tbl_chests[from],$A128,tbl_chests[legalized],AH$1,tbl_chests[datetime],"&gt;="&amp;TODAY()-WEEKDAY(TODAY(),2)+1,tbl_chests[datetime],"&lt;"&amp;TODAY()-WEEKDAY(TODAY(),2)+8)))</f>
        <v>0</v>
      </c>
      <c r="AI128" s="36">
        <f ca="1">IF($A128="","",IF(AI$1="","",COUNTIFS(tbl_chests[from],$A128,tbl_chests[legalized],AI$1,tbl_chests[datetime],"&gt;="&amp;TODAY()-WEEKDAY(TODAY(),2)+1,tbl_chests[datetime],"&lt;"&amp;TODAY()-WEEKDAY(TODAY(),2)+8)))</f>
        <v>0</v>
      </c>
      <c r="AJ128" s="36">
        <f ca="1">IF($A128="","",IF(AJ$1="","",COUNTIFS(tbl_chests[from],$A128,tbl_chests[legalized],AJ$1,tbl_chests[datetime],"&gt;="&amp;TODAY()-WEEKDAY(TODAY(),2)+1,tbl_chests[datetime],"&lt;"&amp;TODAY()-WEEKDAY(TODAY(),2)+8)))</f>
        <v>0</v>
      </c>
      <c r="AK128" s="36">
        <f ca="1">IF($A128="","",IF(AK$1="","",COUNTIFS(tbl_chests[from],$A128,tbl_chests[legalized],AK$1,tbl_chests[datetime],"&gt;="&amp;TODAY()-WEEKDAY(TODAY(),2)+1,tbl_chests[datetime],"&lt;"&amp;TODAY()-WEEKDAY(TODAY(),2)+8)))</f>
        <v>0</v>
      </c>
      <c r="AL128" s="36">
        <f ca="1">IF($A128="","",IF(AL$1="","",COUNTIFS(tbl_chests[from],$A128,tbl_chests[legalized],AL$1,tbl_chests[datetime],"&gt;="&amp;TODAY()-WEEKDAY(TODAY(),2)+1,tbl_chests[datetime],"&lt;"&amp;TODAY()-WEEKDAY(TODAY(),2)+8)))</f>
        <v>0</v>
      </c>
      <c r="AM128" s="37">
        <f ca="1">IF($A128="","",IF(AM$1="","",COUNTIFS(tbl_chests[from],$A128,tbl_chests[legalized],AM$1,tbl_chests[datetime],"&gt;="&amp;TODAY()-WEEKDAY(TODAY(),2)+1,tbl_chests[datetime],"&lt;"&amp;TODAY()-WEEKDAY(TODAY(),2)+8)))</f>
        <v>0</v>
      </c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 spans="1:67" ht="15.75" customHeight="1" x14ac:dyDescent="0.25">
      <c r="A129" s="34">
        <f>chests_counter!$H126</f>
        <v>0</v>
      </c>
      <c r="B129" s="35" cm="1">
        <f t="array" aca="1" ref="B129" ca="1">IF(A129&lt;&gt;"", SUMPRODUCT(($C$2:$AM$2&lt;&gt;0)*(C129:AM129&lt;&gt;0)*($C$2:$AM$2)*(C129:AM129)), "")</f>
        <v>0</v>
      </c>
      <c r="C129" s="36">
        <f ca="1">IF($A129="","",IF(C$1="","",COUNTIFS(tbl_chests[from],$A129,tbl_chests[legalized],C$1,tbl_chests[datetime],"&gt;="&amp;TODAY()-WEEKDAY(TODAY(),2)+1,tbl_chests[datetime],"&lt;"&amp;TODAY()-WEEKDAY(TODAY(),2)+8)))</f>
        <v>0</v>
      </c>
      <c r="D129" s="36">
        <f ca="1">IF($A129="","",IF(D$1="","",COUNTIFS(tbl_chests[from],$A129,tbl_chests[legalized],D$1,tbl_chests[datetime],"&gt;="&amp;TODAY()-WEEKDAY(TODAY(),2)+1,tbl_chests[datetime],"&lt;"&amp;TODAY()-WEEKDAY(TODAY(),2)+8)))</f>
        <v>0</v>
      </c>
      <c r="E129" s="36">
        <f ca="1">IF($A129="","",IF(E$1="","",COUNTIFS(tbl_chests[from],$A129,tbl_chests[legalized],E$1,tbl_chests[datetime],"&gt;="&amp;TODAY()-WEEKDAY(TODAY(),2)+1,tbl_chests[datetime],"&lt;"&amp;TODAY()-WEEKDAY(TODAY(),2)+8)))</f>
        <v>0</v>
      </c>
      <c r="F129" s="36">
        <f ca="1">IF($A129="","",IF(F$1="","",COUNTIFS(tbl_chests[from],$A129,tbl_chests[legalized],F$1,tbl_chests[datetime],"&gt;="&amp;TODAY()-WEEKDAY(TODAY(),2)+1,tbl_chests[datetime],"&lt;"&amp;TODAY()-WEEKDAY(TODAY(),2)+8)))</f>
        <v>0</v>
      </c>
      <c r="G129" s="36">
        <f ca="1">IF($A129="","",IF(G$1="","",COUNTIFS(tbl_chests[from],$A129,tbl_chests[legalized],G$1,tbl_chests[datetime],"&gt;="&amp;TODAY()-WEEKDAY(TODAY(),2)+1,tbl_chests[datetime],"&lt;"&amp;TODAY()-WEEKDAY(TODAY(),2)+8)))</f>
        <v>0</v>
      </c>
      <c r="H129" s="36">
        <f ca="1">IF($A129="","",IF(H$1="","",COUNTIFS(tbl_chests[from],$A129,tbl_chests[legalized],H$1,tbl_chests[datetime],"&gt;="&amp;TODAY()-WEEKDAY(TODAY(),2)+1,tbl_chests[datetime],"&lt;"&amp;TODAY()-WEEKDAY(TODAY(),2)+8)))</f>
        <v>0</v>
      </c>
      <c r="I129" s="36">
        <f ca="1">IF($A129="","",IF(I$1="","",COUNTIFS(tbl_chests[from],$A129,tbl_chests[legalized],I$1,tbl_chests[datetime],"&gt;="&amp;TODAY()-WEEKDAY(TODAY(),2)+1,tbl_chests[datetime],"&lt;"&amp;TODAY()-WEEKDAY(TODAY(),2)+8)))</f>
        <v>0</v>
      </c>
      <c r="J129" s="36">
        <f ca="1">IF($A129="","",IF(J$1="","",COUNTIFS(tbl_chests[from],$A129,tbl_chests[legalized],J$1,tbl_chests[datetime],"&gt;="&amp;TODAY()-WEEKDAY(TODAY(),2)+1,tbl_chests[datetime],"&lt;"&amp;TODAY()-WEEKDAY(TODAY(),2)+8)))</f>
        <v>0</v>
      </c>
      <c r="K129" s="36">
        <f ca="1">IF($A129="","",IF(K$1="","",COUNTIFS(tbl_chests[from],$A129,tbl_chests[legalized],K$1,tbl_chests[datetime],"&gt;="&amp;TODAY()-WEEKDAY(TODAY(),2)+1,tbl_chests[datetime],"&lt;"&amp;TODAY()-WEEKDAY(TODAY(),2)+8)))</f>
        <v>0</v>
      </c>
      <c r="L129" s="36">
        <f ca="1">IF($A129="","",IF(L$1="","",COUNTIFS(tbl_chests[from],$A129,tbl_chests[legalized],L$1,tbl_chests[datetime],"&gt;="&amp;TODAY()-WEEKDAY(TODAY(),2)+1,tbl_chests[datetime],"&lt;"&amp;TODAY()-WEEKDAY(TODAY(),2)+8)))</f>
        <v>0</v>
      </c>
      <c r="M129" s="36">
        <f ca="1">IF($A129="","",IF(M$1="","",COUNTIFS(tbl_chests[from],$A129,tbl_chests[legalized],M$1,tbl_chests[datetime],"&gt;="&amp;TODAY()-WEEKDAY(TODAY(),2)+1,tbl_chests[datetime],"&lt;"&amp;TODAY()-WEEKDAY(TODAY(),2)+8)))</f>
        <v>0</v>
      </c>
      <c r="N129" s="36">
        <f ca="1">IF($A129="","",IF(N$1="","",COUNTIFS(tbl_chests[from],$A129,tbl_chests[legalized],N$1,tbl_chests[datetime],"&gt;="&amp;TODAY()-WEEKDAY(TODAY(),2)+1,tbl_chests[datetime],"&lt;"&amp;TODAY()-WEEKDAY(TODAY(),2)+8)))</f>
        <v>0</v>
      </c>
      <c r="O129" s="36">
        <f ca="1">IF($A129="","",IF(O$1="","",COUNTIFS(tbl_chests[from],$A129,tbl_chests[legalized],O$1,tbl_chests[datetime],"&gt;="&amp;TODAY()-WEEKDAY(TODAY(),2)+1,tbl_chests[datetime],"&lt;"&amp;TODAY()-WEEKDAY(TODAY(),2)+8)))</f>
        <v>0</v>
      </c>
      <c r="P129" s="36">
        <f ca="1">IF($A129="","",IF(P$1="","",COUNTIFS(tbl_chests[from],$A129,tbl_chests[legalized],P$1,tbl_chests[datetime],"&gt;="&amp;TODAY()-WEEKDAY(TODAY(),2)+1,tbl_chests[datetime],"&lt;"&amp;TODAY()-WEEKDAY(TODAY(),2)+8)))</f>
        <v>0</v>
      </c>
      <c r="Q129" s="36">
        <f ca="1">IF($A129="","",IF(Q$1="","",COUNTIFS(tbl_chests[from],$A129,tbl_chests[legalized],Q$1,tbl_chests[datetime],"&gt;="&amp;TODAY()-WEEKDAY(TODAY(),2)+1,tbl_chests[datetime],"&lt;"&amp;TODAY()-WEEKDAY(TODAY(),2)+8)))</f>
        <v>0</v>
      </c>
      <c r="R129" s="36">
        <f ca="1">IF($A129="","",IF(R$1="","",COUNTIFS(tbl_chests[from],$A129,tbl_chests[legalized],R$1,tbl_chests[datetime],"&gt;="&amp;TODAY()-WEEKDAY(TODAY(),2)+1,tbl_chests[datetime],"&lt;"&amp;TODAY()-WEEKDAY(TODAY(),2)+8)))</f>
        <v>0</v>
      </c>
      <c r="S129" s="36">
        <f ca="1">IF($A129="","",IF(S$1="","",COUNTIFS(tbl_chests[from],$A129,tbl_chests[legalized],S$1,tbl_chests[datetime],"&gt;="&amp;TODAY()-WEEKDAY(TODAY(),2)+1,tbl_chests[datetime],"&lt;"&amp;TODAY()-WEEKDAY(TODAY(),2)+8)))</f>
        <v>0</v>
      </c>
      <c r="T129" s="36">
        <f ca="1">IF($A129="","",IF(T$1="","",COUNTIFS(tbl_chests[from],$A129,tbl_chests[legalized],T$1,tbl_chests[datetime],"&gt;="&amp;TODAY()-WEEKDAY(TODAY(),2)+1,tbl_chests[datetime],"&lt;"&amp;TODAY()-WEEKDAY(TODAY(),2)+8)))</f>
        <v>0</v>
      </c>
      <c r="U129" s="36">
        <f ca="1">IF($A129="","",IF(U$1="","",COUNTIFS(tbl_chests[from],$A129,tbl_chests[legalized],U$1,tbl_chests[datetime],"&gt;="&amp;TODAY()-WEEKDAY(TODAY(),2)+1,tbl_chests[datetime],"&lt;"&amp;TODAY()-WEEKDAY(TODAY(),2)+8)))</f>
        <v>0</v>
      </c>
      <c r="V129" s="36">
        <f ca="1">IF($A129="","",IF(V$1="","",COUNTIFS(tbl_chests[from],$A129,tbl_chests[legalized],V$1,tbl_chests[datetime],"&gt;="&amp;TODAY()-WEEKDAY(TODAY(),2)+1,tbl_chests[datetime],"&lt;"&amp;TODAY()-WEEKDAY(TODAY(),2)+8)))</f>
        <v>0</v>
      </c>
      <c r="W129" s="36">
        <f ca="1">IF($A129="","",IF(W$1="","",COUNTIFS(tbl_chests[from],$A129,tbl_chests[legalized],W$1,tbl_chests[datetime],"&gt;="&amp;TODAY()-WEEKDAY(TODAY(),2)+1,tbl_chests[datetime],"&lt;"&amp;TODAY()-WEEKDAY(TODAY(),2)+8)))</f>
        <v>0</v>
      </c>
      <c r="X129" s="36">
        <f ca="1">IF($A129="","",IF(X$1="","",COUNTIFS(tbl_chests[from],$A129,tbl_chests[legalized],X$1,tbl_chests[datetime],"&gt;="&amp;TODAY()-WEEKDAY(TODAY(),2)+1,tbl_chests[datetime],"&lt;"&amp;TODAY()-WEEKDAY(TODAY(),2)+8)))</f>
        <v>0</v>
      </c>
      <c r="Y129" s="36">
        <f ca="1">IF($A129="","",IF(Y$1="","",COUNTIFS(tbl_chests[from],$A129,tbl_chests[legalized],Y$1,tbl_chests[datetime],"&gt;="&amp;TODAY()-WEEKDAY(TODAY(),2)+1,tbl_chests[datetime],"&lt;"&amp;TODAY()-WEEKDAY(TODAY(),2)+8)))</f>
        <v>0</v>
      </c>
      <c r="Z129" s="36">
        <f ca="1">IF($A129="","",IF(Z$1="","",COUNTIFS(tbl_chests[from],$A129,tbl_chests[legalized],Z$1,tbl_chests[datetime],"&gt;="&amp;TODAY()-WEEKDAY(TODAY(),2)+1,tbl_chests[datetime],"&lt;"&amp;TODAY()-WEEKDAY(TODAY(),2)+8)))</f>
        <v>0</v>
      </c>
      <c r="AA129" s="36">
        <f ca="1">IF($A129="","",IF(AA$1="","",COUNTIFS(tbl_chests[from],$A129,tbl_chests[legalized],AA$1,tbl_chests[datetime],"&gt;="&amp;TODAY()-WEEKDAY(TODAY(),2)+1,tbl_chests[datetime],"&lt;"&amp;TODAY()-WEEKDAY(TODAY(),2)+8)))</f>
        <v>0</v>
      </c>
      <c r="AB129" s="36">
        <f ca="1">IF($A129="","",IF(AB$1="","",COUNTIFS(tbl_chests[from],$A129,tbl_chests[legalized],AB$1,tbl_chests[datetime],"&gt;="&amp;TODAY()-WEEKDAY(TODAY(),2)+1,tbl_chests[datetime],"&lt;"&amp;TODAY()-WEEKDAY(TODAY(),2)+8)))</f>
        <v>0</v>
      </c>
      <c r="AC129" s="36">
        <f ca="1">IF($A129="","",IF(AC$1="","",COUNTIFS(tbl_chests[from],$A129,tbl_chests[legalized],AC$1,tbl_chests[datetime],"&gt;="&amp;TODAY()-WEEKDAY(TODAY(),2)+1,tbl_chests[datetime],"&lt;"&amp;TODAY()-WEEKDAY(TODAY(),2)+8)))</f>
        <v>0</v>
      </c>
      <c r="AD129" s="36">
        <f ca="1">IF($A129="","",IF(AD$1="","",COUNTIFS(tbl_chests[from],$A129,tbl_chests[legalized],AD$1,tbl_chests[datetime],"&gt;="&amp;TODAY()-WEEKDAY(TODAY(),2)+1,tbl_chests[datetime],"&lt;"&amp;TODAY()-WEEKDAY(TODAY(),2)+8)))</f>
        <v>0</v>
      </c>
      <c r="AE129" s="36">
        <f ca="1">IF($A129="","",IF(AE$1="","",COUNTIFS(tbl_chests[from],$A129,tbl_chests[legalized],AE$1,tbl_chests[datetime],"&gt;="&amp;TODAY()-WEEKDAY(TODAY(),2)+1,tbl_chests[datetime],"&lt;"&amp;TODAY()-WEEKDAY(TODAY(),2)+8)))</f>
        <v>0</v>
      </c>
      <c r="AF129" s="36">
        <f ca="1">IF($A129="","",IF(AF$1="","",COUNTIFS(tbl_chests[from],$A129,tbl_chests[legalized],AF$1,tbl_chests[datetime],"&gt;="&amp;TODAY()-WEEKDAY(TODAY(),2)+1,tbl_chests[datetime],"&lt;"&amp;TODAY()-WEEKDAY(TODAY(),2)+8)))</f>
        <v>0</v>
      </c>
      <c r="AG129" s="36">
        <f ca="1">IF($A129="","",IF(AG$1="","",COUNTIFS(tbl_chests[from],$A129,tbl_chests[legalized],AG$1,tbl_chests[datetime],"&gt;="&amp;TODAY()-WEEKDAY(TODAY(),2)+1,tbl_chests[datetime],"&lt;"&amp;TODAY()-WEEKDAY(TODAY(),2)+8)))</f>
        <v>0</v>
      </c>
      <c r="AH129" s="36">
        <f ca="1">IF($A129="","",IF(AH$1="","",COUNTIFS(tbl_chests[from],$A129,tbl_chests[legalized],AH$1,tbl_chests[datetime],"&gt;="&amp;TODAY()-WEEKDAY(TODAY(),2)+1,tbl_chests[datetime],"&lt;"&amp;TODAY()-WEEKDAY(TODAY(),2)+8)))</f>
        <v>0</v>
      </c>
      <c r="AI129" s="36">
        <f ca="1">IF($A129="","",IF(AI$1="","",COUNTIFS(tbl_chests[from],$A129,tbl_chests[legalized],AI$1,tbl_chests[datetime],"&gt;="&amp;TODAY()-WEEKDAY(TODAY(),2)+1,tbl_chests[datetime],"&lt;"&amp;TODAY()-WEEKDAY(TODAY(),2)+8)))</f>
        <v>0</v>
      </c>
      <c r="AJ129" s="36">
        <f ca="1">IF($A129="","",IF(AJ$1="","",COUNTIFS(tbl_chests[from],$A129,tbl_chests[legalized],AJ$1,tbl_chests[datetime],"&gt;="&amp;TODAY()-WEEKDAY(TODAY(),2)+1,tbl_chests[datetime],"&lt;"&amp;TODAY()-WEEKDAY(TODAY(),2)+8)))</f>
        <v>0</v>
      </c>
      <c r="AK129" s="36">
        <f ca="1">IF($A129="","",IF(AK$1="","",COUNTIFS(tbl_chests[from],$A129,tbl_chests[legalized],AK$1,tbl_chests[datetime],"&gt;="&amp;TODAY()-WEEKDAY(TODAY(),2)+1,tbl_chests[datetime],"&lt;"&amp;TODAY()-WEEKDAY(TODAY(),2)+8)))</f>
        <v>0</v>
      </c>
      <c r="AL129" s="36">
        <f ca="1">IF($A129="","",IF(AL$1="","",COUNTIFS(tbl_chests[from],$A129,tbl_chests[legalized],AL$1,tbl_chests[datetime],"&gt;="&amp;TODAY()-WEEKDAY(TODAY(),2)+1,tbl_chests[datetime],"&lt;"&amp;TODAY()-WEEKDAY(TODAY(),2)+8)))</f>
        <v>0</v>
      </c>
      <c r="AM129" s="37">
        <f ca="1">IF($A129="","",IF(AM$1="","",COUNTIFS(tbl_chests[from],$A129,tbl_chests[legalized],AM$1,tbl_chests[datetime],"&gt;="&amp;TODAY()-WEEKDAY(TODAY(),2)+1,tbl_chests[datetime],"&lt;"&amp;TODAY()-WEEKDAY(TODAY(),2)+8)))</f>
        <v>0</v>
      </c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 spans="1:67" ht="15.75" customHeight="1" x14ac:dyDescent="0.25">
      <c r="A130" s="34">
        <f>chests_counter!$H127</f>
        <v>0</v>
      </c>
      <c r="B130" s="35" cm="1">
        <f t="array" aca="1" ref="B130" ca="1">IF(A130&lt;&gt;"", SUMPRODUCT(($C$2:$AM$2&lt;&gt;0)*(C130:AM130&lt;&gt;0)*($C$2:$AM$2)*(C130:AM130)), "")</f>
        <v>0</v>
      </c>
      <c r="C130" s="36">
        <f ca="1">IF($A130="","",IF(C$1="","",COUNTIFS(tbl_chests[from],$A130,tbl_chests[legalized],C$1,tbl_chests[datetime],"&gt;="&amp;TODAY()-WEEKDAY(TODAY(),2)+1,tbl_chests[datetime],"&lt;"&amp;TODAY()-WEEKDAY(TODAY(),2)+8)))</f>
        <v>0</v>
      </c>
      <c r="D130" s="36">
        <f ca="1">IF($A130="","",IF(D$1="","",COUNTIFS(tbl_chests[from],$A130,tbl_chests[legalized],D$1,tbl_chests[datetime],"&gt;="&amp;TODAY()-WEEKDAY(TODAY(),2)+1,tbl_chests[datetime],"&lt;"&amp;TODAY()-WEEKDAY(TODAY(),2)+8)))</f>
        <v>0</v>
      </c>
      <c r="E130" s="36">
        <f ca="1">IF($A130="","",IF(E$1="","",COUNTIFS(tbl_chests[from],$A130,tbl_chests[legalized],E$1,tbl_chests[datetime],"&gt;="&amp;TODAY()-WEEKDAY(TODAY(),2)+1,tbl_chests[datetime],"&lt;"&amp;TODAY()-WEEKDAY(TODAY(),2)+8)))</f>
        <v>0</v>
      </c>
      <c r="F130" s="36">
        <f ca="1">IF($A130="","",IF(F$1="","",COUNTIFS(tbl_chests[from],$A130,tbl_chests[legalized],F$1,tbl_chests[datetime],"&gt;="&amp;TODAY()-WEEKDAY(TODAY(),2)+1,tbl_chests[datetime],"&lt;"&amp;TODAY()-WEEKDAY(TODAY(),2)+8)))</f>
        <v>0</v>
      </c>
      <c r="G130" s="36">
        <f ca="1">IF($A130="","",IF(G$1="","",COUNTIFS(tbl_chests[from],$A130,tbl_chests[legalized],G$1,tbl_chests[datetime],"&gt;="&amp;TODAY()-WEEKDAY(TODAY(),2)+1,tbl_chests[datetime],"&lt;"&amp;TODAY()-WEEKDAY(TODAY(),2)+8)))</f>
        <v>0</v>
      </c>
      <c r="H130" s="36">
        <f ca="1">IF($A130="","",IF(H$1="","",COUNTIFS(tbl_chests[from],$A130,tbl_chests[legalized],H$1,tbl_chests[datetime],"&gt;="&amp;TODAY()-WEEKDAY(TODAY(),2)+1,tbl_chests[datetime],"&lt;"&amp;TODAY()-WEEKDAY(TODAY(),2)+8)))</f>
        <v>0</v>
      </c>
      <c r="I130" s="36">
        <f ca="1">IF($A130="","",IF(I$1="","",COUNTIFS(tbl_chests[from],$A130,tbl_chests[legalized],I$1,tbl_chests[datetime],"&gt;="&amp;TODAY()-WEEKDAY(TODAY(),2)+1,tbl_chests[datetime],"&lt;"&amp;TODAY()-WEEKDAY(TODAY(),2)+8)))</f>
        <v>0</v>
      </c>
      <c r="J130" s="36">
        <f ca="1">IF($A130="","",IF(J$1="","",COUNTIFS(tbl_chests[from],$A130,tbl_chests[legalized],J$1,tbl_chests[datetime],"&gt;="&amp;TODAY()-WEEKDAY(TODAY(),2)+1,tbl_chests[datetime],"&lt;"&amp;TODAY()-WEEKDAY(TODAY(),2)+8)))</f>
        <v>0</v>
      </c>
      <c r="K130" s="36">
        <f ca="1">IF($A130="","",IF(K$1="","",COUNTIFS(tbl_chests[from],$A130,tbl_chests[legalized],K$1,tbl_chests[datetime],"&gt;="&amp;TODAY()-WEEKDAY(TODAY(),2)+1,tbl_chests[datetime],"&lt;"&amp;TODAY()-WEEKDAY(TODAY(),2)+8)))</f>
        <v>0</v>
      </c>
      <c r="L130" s="36">
        <f ca="1">IF($A130="","",IF(L$1="","",COUNTIFS(tbl_chests[from],$A130,tbl_chests[legalized],L$1,tbl_chests[datetime],"&gt;="&amp;TODAY()-WEEKDAY(TODAY(),2)+1,tbl_chests[datetime],"&lt;"&amp;TODAY()-WEEKDAY(TODAY(),2)+8)))</f>
        <v>0</v>
      </c>
      <c r="M130" s="36">
        <f ca="1">IF($A130="","",IF(M$1="","",COUNTIFS(tbl_chests[from],$A130,tbl_chests[legalized],M$1,tbl_chests[datetime],"&gt;="&amp;TODAY()-WEEKDAY(TODAY(),2)+1,tbl_chests[datetime],"&lt;"&amp;TODAY()-WEEKDAY(TODAY(),2)+8)))</f>
        <v>0</v>
      </c>
      <c r="N130" s="36">
        <f ca="1">IF($A130="","",IF(N$1="","",COUNTIFS(tbl_chests[from],$A130,tbl_chests[legalized],N$1,tbl_chests[datetime],"&gt;="&amp;TODAY()-WEEKDAY(TODAY(),2)+1,tbl_chests[datetime],"&lt;"&amp;TODAY()-WEEKDAY(TODAY(),2)+8)))</f>
        <v>0</v>
      </c>
      <c r="O130" s="36">
        <f ca="1">IF($A130="","",IF(O$1="","",COUNTIFS(tbl_chests[from],$A130,tbl_chests[legalized],O$1,tbl_chests[datetime],"&gt;="&amp;TODAY()-WEEKDAY(TODAY(),2)+1,tbl_chests[datetime],"&lt;"&amp;TODAY()-WEEKDAY(TODAY(),2)+8)))</f>
        <v>0</v>
      </c>
      <c r="P130" s="36">
        <f ca="1">IF($A130="","",IF(P$1="","",COUNTIFS(tbl_chests[from],$A130,tbl_chests[legalized],P$1,tbl_chests[datetime],"&gt;="&amp;TODAY()-WEEKDAY(TODAY(),2)+1,tbl_chests[datetime],"&lt;"&amp;TODAY()-WEEKDAY(TODAY(),2)+8)))</f>
        <v>0</v>
      </c>
      <c r="Q130" s="36">
        <f ca="1">IF($A130="","",IF(Q$1="","",COUNTIFS(tbl_chests[from],$A130,tbl_chests[legalized],Q$1,tbl_chests[datetime],"&gt;="&amp;TODAY()-WEEKDAY(TODAY(),2)+1,tbl_chests[datetime],"&lt;"&amp;TODAY()-WEEKDAY(TODAY(),2)+8)))</f>
        <v>0</v>
      </c>
      <c r="R130" s="36">
        <f ca="1">IF($A130="","",IF(R$1="","",COUNTIFS(tbl_chests[from],$A130,tbl_chests[legalized],R$1,tbl_chests[datetime],"&gt;="&amp;TODAY()-WEEKDAY(TODAY(),2)+1,tbl_chests[datetime],"&lt;"&amp;TODAY()-WEEKDAY(TODAY(),2)+8)))</f>
        <v>0</v>
      </c>
      <c r="S130" s="36">
        <f ca="1">IF($A130="","",IF(S$1="","",COUNTIFS(tbl_chests[from],$A130,tbl_chests[legalized],S$1,tbl_chests[datetime],"&gt;="&amp;TODAY()-WEEKDAY(TODAY(),2)+1,tbl_chests[datetime],"&lt;"&amp;TODAY()-WEEKDAY(TODAY(),2)+8)))</f>
        <v>0</v>
      </c>
      <c r="T130" s="36">
        <f ca="1">IF($A130="","",IF(T$1="","",COUNTIFS(tbl_chests[from],$A130,tbl_chests[legalized],T$1,tbl_chests[datetime],"&gt;="&amp;TODAY()-WEEKDAY(TODAY(),2)+1,tbl_chests[datetime],"&lt;"&amp;TODAY()-WEEKDAY(TODAY(),2)+8)))</f>
        <v>0</v>
      </c>
      <c r="U130" s="36">
        <f ca="1">IF($A130="","",IF(U$1="","",COUNTIFS(tbl_chests[from],$A130,tbl_chests[legalized],U$1,tbl_chests[datetime],"&gt;="&amp;TODAY()-WEEKDAY(TODAY(),2)+1,tbl_chests[datetime],"&lt;"&amp;TODAY()-WEEKDAY(TODAY(),2)+8)))</f>
        <v>0</v>
      </c>
      <c r="V130" s="36">
        <f ca="1">IF($A130="","",IF(V$1="","",COUNTIFS(tbl_chests[from],$A130,tbl_chests[legalized],V$1,tbl_chests[datetime],"&gt;="&amp;TODAY()-WEEKDAY(TODAY(),2)+1,tbl_chests[datetime],"&lt;"&amp;TODAY()-WEEKDAY(TODAY(),2)+8)))</f>
        <v>0</v>
      </c>
      <c r="W130" s="36">
        <f ca="1">IF($A130="","",IF(W$1="","",COUNTIFS(tbl_chests[from],$A130,tbl_chests[legalized],W$1,tbl_chests[datetime],"&gt;="&amp;TODAY()-WEEKDAY(TODAY(),2)+1,tbl_chests[datetime],"&lt;"&amp;TODAY()-WEEKDAY(TODAY(),2)+8)))</f>
        <v>0</v>
      </c>
      <c r="X130" s="36">
        <f ca="1">IF($A130="","",IF(X$1="","",COUNTIFS(tbl_chests[from],$A130,tbl_chests[legalized],X$1,tbl_chests[datetime],"&gt;="&amp;TODAY()-WEEKDAY(TODAY(),2)+1,tbl_chests[datetime],"&lt;"&amp;TODAY()-WEEKDAY(TODAY(),2)+8)))</f>
        <v>0</v>
      </c>
      <c r="Y130" s="36">
        <f ca="1">IF($A130="","",IF(Y$1="","",COUNTIFS(tbl_chests[from],$A130,tbl_chests[legalized],Y$1,tbl_chests[datetime],"&gt;="&amp;TODAY()-WEEKDAY(TODAY(),2)+1,tbl_chests[datetime],"&lt;"&amp;TODAY()-WEEKDAY(TODAY(),2)+8)))</f>
        <v>0</v>
      </c>
      <c r="Z130" s="36">
        <f ca="1">IF($A130="","",IF(Z$1="","",COUNTIFS(tbl_chests[from],$A130,tbl_chests[legalized],Z$1,tbl_chests[datetime],"&gt;="&amp;TODAY()-WEEKDAY(TODAY(),2)+1,tbl_chests[datetime],"&lt;"&amp;TODAY()-WEEKDAY(TODAY(),2)+8)))</f>
        <v>0</v>
      </c>
      <c r="AA130" s="36">
        <f ca="1">IF($A130="","",IF(AA$1="","",COUNTIFS(tbl_chests[from],$A130,tbl_chests[legalized],AA$1,tbl_chests[datetime],"&gt;="&amp;TODAY()-WEEKDAY(TODAY(),2)+1,tbl_chests[datetime],"&lt;"&amp;TODAY()-WEEKDAY(TODAY(),2)+8)))</f>
        <v>0</v>
      </c>
      <c r="AB130" s="36">
        <f ca="1">IF($A130="","",IF(AB$1="","",COUNTIFS(tbl_chests[from],$A130,tbl_chests[legalized],AB$1,tbl_chests[datetime],"&gt;="&amp;TODAY()-WEEKDAY(TODAY(),2)+1,tbl_chests[datetime],"&lt;"&amp;TODAY()-WEEKDAY(TODAY(),2)+8)))</f>
        <v>0</v>
      </c>
      <c r="AC130" s="36">
        <f ca="1">IF($A130="","",IF(AC$1="","",COUNTIFS(tbl_chests[from],$A130,tbl_chests[legalized],AC$1,tbl_chests[datetime],"&gt;="&amp;TODAY()-WEEKDAY(TODAY(),2)+1,tbl_chests[datetime],"&lt;"&amp;TODAY()-WEEKDAY(TODAY(),2)+8)))</f>
        <v>0</v>
      </c>
      <c r="AD130" s="36">
        <f ca="1">IF($A130="","",IF(AD$1="","",COUNTIFS(tbl_chests[from],$A130,tbl_chests[legalized],AD$1,tbl_chests[datetime],"&gt;="&amp;TODAY()-WEEKDAY(TODAY(),2)+1,tbl_chests[datetime],"&lt;"&amp;TODAY()-WEEKDAY(TODAY(),2)+8)))</f>
        <v>0</v>
      </c>
      <c r="AE130" s="36">
        <f ca="1">IF($A130="","",IF(AE$1="","",COUNTIFS(tbl_chests[from],$A130,tbl_chests[legalized],AE$1,tbl_chests[datetime],"&gt;="&amp;TODAY()-WEEKDAY(TODAY(),2)+1,tbl_chests[datetime],"&lt;"&amp;TODAY()-WEEKDAY(TODAY(),2)+8)))</f>
        <v>0</v>
      </c>
      <c r="AF130" s="36">
        <f ca="1">IF($A130="","",IF(AF$1="","",COUNTIFS(tbl_chests[from],$A130,tbl_chests[legalized],AF$1,tbl_chests[datetime],"&gt;="&amp;TODAY()-WEEKDAY(TODAY(),2)+1,tbl_chests[datetime],"&lt;"&amp;TODAY()-WEEKDAY(TODAY(),2)+8)))</f>
        <v>0</v>
      </c>
      <c r="AG130" s="36">
        <f ca="1">IF($A130="","",IF(AG$1="","",COUNTIFS(tbl_chests[from],$A130,tbl_chests[legalized],AG$1,tbl_chests[datetime],"&gt;="&amp;TODAY()-WEEKDAY(TODAY(),2)+1,tbl_chests[datetime],"&lt;"&amp;TODAY()-WEEKDAY(TODAY(),2)+8)))</f>
        <v>0</v>
      </c>
      <c r="AH130" s="36">
        <f ca="1">IF($A130="","",IF(AH$1="","",COUNTIFS(tbl_chests[from],$A130,tbl_chests[legalized],AH$1,tbl_chests[datetime],"&gt;="&amp;TODAY()-WEEKDAY(TODAY(),2)+1,tbl_chests[datetime],"&lt;"&amp;TODAY()-WEEKDAY(TODAY(),2)+8)))</f>
        <v>0</v>
      </c>
      <c r="AI130" s="36">
        <f ca="1">IF($A130="","",IF(AI$1="","",COUNTIFS(tbl_chests[from],$A130,tbl_chests[legalized],AI$1,tbl_chests[datetime],"&gt;="&amp;TODAY()-WEEKDAY(TODAY(),2)+1,tbl_chests[datetime],"&lt;"&amp;TODAY()-WEEKDAY(TODAY(),2)+8)))</f>
        <v>0</v>
      </c>
      <c r="AJ130" s="36">
        <f ca="1">IF($A130="","",IF(AJ$1="","",COUNTIFS(tbl_chests[from],$A130,tbl_chests[legalized],AJ$1,tbl_chests[datetime],"&gt;="&amp;TODAY()-WEEKDAY(TODAY(),2)+1,tbl_chests[datetime],"&lt;"&amp;TODAY()-WEEKDAY(TODAY(),2)+8)))</f>
        <v>0</v>
      </c>
      <c r="AK130" s="36">
        <f ca="1">IF($A130="","",IF(AK$1="","",COUNTIFS(tbl_chests[from],$A130,tbl_chests[legalized],AK$1,tbl_chests[datetime],"&gt;="&amp;TODAY()-WEEKDAY(TODAY(),2)+1,tbl_chests[datetime],"&lt;"&amp;TODAY()-WEEKDAY(TODAY(),2)+8)))</f>
        <v>0</v>
      </c>
      <c r="AL130" s="36">
        <f ca="1">IF($A130="","",IF(AL$1="","",COUNTIFS(tbl_chests[from],$A130,tbl_chests[legalized],AL$1,tbl_chests[datetime],"&gt;="&amp;TODAY()-WEEKDAY(TODAY(),2)+1,tbl_chests[datetime],"&lt;"&amp;TODAY()-WEEKDAY(TODAY(),2)+8)))</f>
        <v>0</v>
      </c>
      <c r="AM130" s="37">
        <f ca="1">IF($A130="","",IF(AM$1="","",COUNTIFS(tbl_chests[from],$A130,tbl_chests[legalized],AM$1,tbl_chests[datetime],"&gt;="&amp;TODAY()-WEEKDAY(TODAY(),2)+1,tbl_chests[datetime],"&lt;"&amp;TODAY()-WEEKDAY(TODAY(),2)+8)))</f>
        <v>0</v>
      </c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 spans="1:67" ht="15.75" customHeight="1" x14ac:dyDescent="0.25">
      <c r="A131" s="34">
        <f>chests_counter!$H128</f>
        <v>0</v>
      </c>
      <c r="B131" s="35" cm="1">
        <f t="array" aca="1" ref="B131" ca="1">IF(A131&lt;&gt;"", SUMPRODUCT(($C$2:$AM$2&lt;&gt;0)*(C131:AM131&lt;&gt;0)*($C$2:$AM$2)*(C131:AM131)), "")</f>
        <v>0</v>
      </c>
      <c r="C131" s="36">
        <f ca="1">IF($A131="","",IF(C$1="","",COUNTIFS(tbl_chests[from],$A131,tbl_chests[legalized],C$1,tbl_chests[datetime],"&gt;="&amp;TODAY()-WEEKDAY(TODAY(),2)+1,tbl_chests[datetime],"&lt;"&amp;TODAY()-WEEKDAY(TODAY(),2)+8)))</f>
        <v>0</v>
      </c>
      <c r="D131" s="36">
        <f ca="1">IF($A131="","",IF(D$1="","",COUNTIFS(tbl_chests[from],$A131,tbl_chests[legalized],D$1,tbl_chests[datetime],"&gt;="&amp;TODAY()-WEEKDAY(TODAY(),2)+1,tbl_chests[datetime],"&lt;"&amp;TODAY()-WEEKDAY(TODAY(),2)+8)))</f>
        <v>0</v>
      </c>
      <c r="E131" s="36">
        <f ca="1">IF($A131="","",IF(E$1="","",COUNTIFS(tbl_chests[from],$A131,tbl_chests[legalized],E$1,tbl_chests[datetime],"&gt;="&amp;TODAY()-WEEKDAY(TODAY(),2)+1,tbl_chests[datetime],"&lt;"&amp;TODAY()-WEEKDAY(TODAY(),2)+8)))</f>
        <v>0</v>
      </c>
      <c r="F131" s="36">
        <f ca="1">IF($A131="","",IF(F$1="","",COUNTIFS(tbl_chests[from],$A131,tbl_chests[legalized],F$1,tbl_chests[datetime],"&gt;="&amp;TODAY()-WEEKDAY(TODAY(),2)+1,tbl_chests[datetime],"&lt;"&amp;TODAY()-WEEKDAY(TODAY(),2)+8)))</f>
        <v>0</v>
      </c>
      <c r="G131" s="36">
        <f ca="1">IF($A131="","",IF(G$1="","",COUNTIFS(tbl_chests[from],$A131,tbl_chests[legalized],G$1,tbl_chests[datetime],"&gt;="&amp;TODAY()-WEEKDAY(TODAY(),2)+1,tbl_chests[datetime],"&lt;"&amp;TODAY()-WEEKDAY(TODAY(),2)+8)))</f>
        <v>0</v>
      </c>
      <c r="H131" s="36">
        <f ca="1">IF($A131="","",IF(H$1="","",COUNTIFS(tbl_chests[from],$A131,tbl_chests[legalized],H$1,tbl_chests[datetime],"&gt;="&amp;TODAY()-WEEKDAY(TODAY(),2)+1,tbl_chests[datetime],"&lt;"&amp;TODAY()-WEEKDAY(TODAY(),2)+8)))</f>
        <v>0</v>
      </c>
      <c r="I131" s="36">
        <f ca="1">IF($A131="","",IF(I$1="","",COUNTIFS(tbl_chests[from],$A131,tbl_chests[legalized],I$1,tbl_chests[datetime],"&gt;="&amp;TODAY()-WEEKDAY(TODAY(),2)+1,tbl_chests[datetime],"&lt;"&amp;TODAY()-WEEKDAY(TODAY(),2)+8)))</f>
        <v>0</v>
      </c>
      <c r="J131" s="36">
        <f ca="1">IF($A131="","",IF(J$1="","",COUNTIFS(tbl_chests[from],$A131,tbl_chests[legalized],J$1,tbl_chests[datetime],"&gt;="&amp;TODAY()-WEEKDAY(TODAY(),2)+1,tbl_chests[datetime],"&lt;"&amp;TODAY()-WEEKDAY(TODAY(),2)+8)))</f>
        <v>0</v>
      </c>
      <c r="K131" s="36">
        <f ca="1">IF($A131="","",IF(K$1="","",COUNTIFS(tbl_chests[from],$A131,tbl_chests[legalized],K$1,tbl_chests[datetime],"&gt;="&amp;TODAY()-WEEKDAY(TODAY(),2)+1,tbl_chests[datetime],"&lt;"&amp;TODAY()-WEEKDAY(TODAY(),2)+8)))</f>
        <v>0</v>
      </c>
      <c r="L131" s="36">
        <f ca="1">IF($A131="","",IF(L$1="","",COUNTIFS(tbl_chests[from],$A131,tbl_chests[legalized],L$1,tbl_chests[datetime],"&gt;="&amp;TODAY()-WEEKDAY(TODAY(),2)+1,tbl_chests[datetime],"&lt;"&amp;TODAY()-WEEKDAY(TODAY(),2)+8)))</f>
        <v>0</v>
      </c>
      <c r="M131" s="36">
        <f ca="1">IF($A131="","",IF(M$1="","",COUNTIFS(tbl_chests[from],$A131,tbl_chests[legalized],M$1,tbl_chests[datetime],"&gt;="&amp;TODAY()-WEEKDAY(TODAY(),2)+1,tbl_chests[datetime],"&lt;"&amp;TODAY()-WEEKDAY(TODAY(),2)+8)))</f>
        <v>0</v>
      </c>
      <c r="N131" s="36">
        <f ca="1">IF($A131="","",IF(N$1="","",COUNTIFS(tbl_chests[from],$A131,tbl_chests[legalized],N$1,tbl_chests[datetime],"&gt;="&amp;TODAY()-WEEKDAY(TODAY(),2)+1,tbl_chests[datetime],"&lt;"&amp;TODAY()-WEEKDAY(TODAY(),2)+8)))</f>
        <v>0</v>
      </c>
      <c r="O131" s="36">
        <f ca="1">IF($A131="","",IF(O$1="","",COUNTIFS(tbl_chests[from],$A131,tbl_chests[legalized],O$1,tbl_chests[datetime],"&gt;="&amp;TODAY()-WEEKDAY(TODAY(),2)+1,tbl_chests[datetime],"&lt;"&amp;TODAY()-WEEKDAY(TODAY(),2)+8)))</f>
        <v>0</v>
      </c>
      <c r="P131" s="36">
        <f ca="1">IF($A131="","",IF(P$1="","",COUNTIFS(tbl_chests[from],$A131,tbl_chests[legalized],P$1,tbl_chests[datetime],"&gt;="&amp;TODAY()-WEEKDAY(TODAY(),2)+1,tbl_chests[datetime],"&lt;"&amp;TODAY()-WEEKDAY(TODAY(),2)+8)))</f>
        <v>0</v>
      </c>
      <c r="Q131" s="36">
        <f ca="1">IF($A131="","",IF(Q$1="","",COUNTIFS(tbl_chests[from],$A131,tbl_chests[legalized],Q$1,tbl_chests[datetime],"&gt;="&amp;TODAY()-WEEKDAY(TODAY(),2)+1,tbl_chests[datetime],"&lt;"&amp;TODAY()-WEEKDAY(TODAY(),2)+8)))</f>
        <v>0</v>
      </c>
      <c r="R131" s="36">
        <f ca="1">IF($A131="","",IF(R$1="","",COUNTIFS(tbl_chests[from],$A131,tbl_chests[legalized],R$1,tbl_chests[datetime],"&gt;="&amp;TODAY()-WEEKDAY(TODAY(),2)+1,tbl_chests[datetime],"&lt;"&amp;TODAY()-WEEKDAY(TODAY(),2)+8)))</f>
        <v>0</v>
      </c>
      <c r="S131" s="36">
        <f ca="1">IF($A131="","",IF(S$1="","",COUNTIFS(tbl_chests[from],$A131,tbl_chests[legalized],S$1,tbl_chests[datetime],"&gt;="&amp;TODAY()-WEEKDAY(TODAY(),2)+1,tbl_chests[datetime],"&lt;"&amp;TODAY()-WEEKDAY(TODAY(),2)+8)))</f>
        <v>0</v>
      </c>
      <c r="T131" s="36">
        <f ca="1">IF($A131="","",IF(T$1="","",COUNTIFS(tbl_chests[from],$A131,tbl_chests[legalized],T$1,tbl_chests[datetime],"&gt;="&amp;TODAY()-WEEKDAY(TODAY(),2)+1,tbl_chests[datetime],"&lt;"&amp;TODAY()-WEEKDAY(TODAY(),2)+8)))</f>
        <v>0</v>
      </c>
      <c r="U131" s="36">
        <f ca="1">IF($A131="","",IF(U$1="","",COUNTIFS(tbl_chests[from],$A131,tbl_chests[legalized],U$1,tbl_chests[datetime],"&gt;="&amp;TODAY()-WEEKDAY(TODAY(),2)+1,tbl_chests[datetime],"&lt;"&amp;TODAY()-WEEKDAY(TODAY(),2)+8)))</f>
        <v>0</v>
      </c>
      <c r="V131" s="36">
        <f ca="1">IF($A131="","",IF(V$1="","",COUNTIFS(tbl_chests[from],$A131,tbl_chests[legalized],V$1,tbl_chests[datetime],"&gt;="&amp;TODAY()-WEEKDAY(TODAY(),2)+1,tbl_chests[datetime],"&lt;"&amp;TODAY()-WEEKDAY(TODAY(),2)+8)))</f>
        <v>0</v>
      </c>
      <c r="W131" s="36">
        <f ca="1">IF($A131="","",IF(W$1="","",COUNTIFS(tbl_chests[from],$A131,tbl_chests[legalized],W$1,tbl_chests[datetime],"&gt;="&amp;TODAY()-WEEKDAY(TODAY(),2)+1,tbl_chests[datetime],"&lt;"&amp;TODAY()-WEEKDAY(TODAY(),2)+8)))</f>
        <v>0</v>
      </c>
      <c r="X131" s="36">
        <f ca="1">IF($A131="","",IF(X$1="","",COUNTIFS(tbl_chests[from],$A131,tbl_chests[legalized],X$1,tbl_chests[datetime],"&gt;="&amp;TODAY()-WEEKDAY(TODAY(),2)+1,tbl_chests[datetime],"&lt;"&amp;TODAY()-WEEKDAY(TODAY(),2)+8)))</f>
        <v>0</v>
      </c>
      <c r="Y131" s="36">
        <f ca="1">IF($A131="","",IF(Y$1="","",COUNTIFS(tbl_chests[from],$A131,tbl_chests[legalized],Y$1,tbl_chests[datetime],"&gt;="&amp;TODAY()-WEEKDAY(TODAY(),2)+1,tbl_chests[datetime],"&lt;"&amp;TODAY()-WEEKDAY(TODAY(),2)+8)))</f>
        <v>0</v>
      </c>
      <c r="Z131" s="36">
        <f ca="1">IF($A131="","",IF(Z$1="","",COUNTIFS(tbl_chests[from],$A131,tbl_chests[legalized],Z$1,tbl_chests[datetime],"&gt;="&amp;TODAY()-WEEKDAY(TODAY(),2)+1,tbl_chests[datetime],"&lt;"&amp;TODAY()-WEEKDAY(TODAY(),2)+8)))</f>
        <v>0</v>
      </c>
      <c r="AA131" s="36">
        <f ca="1">IF($A131="","",IF(AA$1="","",COUNTIFS(tbl_chests[from],$A131,tbl_chests[legalized],AA$1,tbl_chests[datetime],"&gt;="&amp;TODAY()-WEEKDAY(TODAY(),2)+1,tbl_chests[datetime],"&lt;"&amp;TODAY()-WEEKDAY(TODAY(),2)+8)))</f>
        <v>0</v>
      </c>
      <c r="AB131" s="36">
        <f ca="1">IF($A131="","",IF(AB$1="","",COUNTIFS(tbl_chests[from],$A131,tbl_chests[legalized],AB$1,tbl_chests[datetime],"&gt;="&amp;TODAY()-WEEKDAY(TODAY(),2)+1,tbl_chests[datetime],"&lt;"&amp;TODAY()-WEEKDAY(TODAY(),2)+8)))</f>
        <v>0</v>
      </c>
      <c r="AC131" s="36">
        <f ca="1">IF($A131="","",IF(AC$1="","",COUNTIFS(tbl_chests[from],$A131,tbl_chests[legalized],AC$1,tbl_chests[datetime],"&gt;="&amp;TODAY()-WEEKDAY(TODAY(),2)+1,tbl_chests[datetime],"&lt;"&amp;TODAY()-WEEKDAY(TODAY(),2)+8)))</f>
        <v>0</v>
      </c>
      <c r="AD131" s="36">
        <f ca="1">IF($A131="","",IF(AD$1="","",COUNTIFS(tbl_chests[from],$A131,tbl_chests[legalized],AD$1,tbl_chests[datetime],"&gt;="&amp;TODAY()-WEEKDAY(TODAY(),2)+1,tbl_chests[datetime],"&lt;"&amp;TODAY()-WEEKDAY(TODAY(),2)+8)))</f>
        <v>0</v>
      </c>
      <c r="AE131" s="36">
        <f ca="1">IF($A131="","",IF(AE$1="","",COUNTIFS(tbl_chests[from],$A131,tbl_chests[legalized],AE$1,tbl_chests[datetime],"&gt;="&amp;TODAY()-WEEKDAY(TODAY(),2)+1,tbl_chests[datetime],"&lt;"&amp;TODAY()-WEEKDAY(TODAY(),2)+8)))</f>
        <v>0</v>
      </c>
      <c r="AF131" s="36">
        <f ca="1">IF($A131="","",IF(AF$1="","",COUNTIFS(tbl_chests[from],$A131,tbl_chests[legalized],AF$1,tbl_chests[datetime],"&gt;="&amp;TODAY()-WEEKDAY(TODAY(),2)+1,tbl_chests[datetime],"&lt;"&amp;TODAY()-WEEKDAY(TODAY(),2)+8)))</f>
        <v>0</v>
      </c>
      <c r="AG131" s="36">
        <f ca="1">IF($A131="","",IF(AG$1="","",COUNTIFS(tbl_chests[from],$A131,tbl_chests[legalized],AG$1,tbl_chests[datetime],"&gt;="&amp;TODAY()-WEEKDAY(TODAY(),2)+1,tbl_chests[datetime],"&lt;"&amp;TODAY()-WEEKDAY(TODAY(),2)+8)))</f>
        <v>0</v>
      </c>
      <c r="AH131" s="36">
        <f ca="1">IF($A131="","",IF(AH$1="","",COUNTIFS(tbl_chests[from],$A131,tbl_chests[legalized],AH$1,tbl_chests[datetime],"&gt;="&amp;TODAY()-WEEKDAY(TODAY(),2)+1,tbl_chests[datetime],"&lt;"&amp;TODAY()-WEEKDAY(TODAY(),2)+8)))</f>
        <v>0</v>
      </c>
      <c r="AI131" s="36">
        <f ca="1">IF($A131="","",IF(AI$1="","",COUNTIFS(tbl_chests[from],$A131,tbl_chests[legalized],AI$1,tbl_chests[datetime],"&gt;="&amp;TODAY()-WEEKDAY(TODAY(),2)+1,tbl_chests[datetime],"&lt;"&amp;TODAY()-WEEKDAY(TODAY(),2)+8)))</f>
        <v>0</v>
      </c>
      <c r="AJ131" s="36">
        <f ca="1">IF($A131="","",IF(AJ$1="","",COUNTIFS(tbl_chests[from],$A131,tbl_chests[legalized],AJ$1,tbl_chests[datetime],"&gt;="&amp;TODAY()-WEEKDAY(TODAY(),2)+1,tbl_chests[datetime],"&lt;"&amp;TODAY()-WEEKDAY(TODAY(),2)+8)))</f>
        <v>0</v>
      </c>
      <c r="AK131" s="36">
        <f ca="1">IF($A131="","",IF(AK$1="","",COUNTIFS(tbl_chests[from],$A131,tbl_chests[legalized],AK$1,tbl_chests[datetime],"&gt;="&amp;TODAY()-WEEKDAY(TODAY(),2)+1,tbl_chests[datetime],"&lt;"&amp;TODAY()-WEEKDAY(TODAY(),2)+8)))</f>
        <v>0</v>
      </c>
      <c r="AL131" s="36">
        <f ca="1">IF($A131="","",IF(AL$1="","",COUNTIFS(tbl_chests[from],$A131,tbl_chests[legalized],AL$1,tbl_chests[datetime],"&gt;="&amp;TODAY()-WEEKDAY(TODAY(),2)+1,tbl_chests[datetime],"&lt;"&amp;TODAY()-WEEKDAY(TODAY(),2)+8)))</f>
        <v>0</v>
      </c>
      <c r="AM131" s="37">
        <f ca="1">IF($A131="","",IF(AM$1="","",COUNTIFS(tbl_chests[from],$A131,tbl_chests[legalized],AM$1,tbl_chests[datetime],"&gt;="&amp;TODAY()-WEEKDAY(TODAY(),2)+1,tbl_chests[datetime],"&lt;"&amp;TODAY()-WEEKDAY(TODAY(),2)+8)))</f>
        <v>0</v>
      </c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 spans="1:67" ht="15.75" customHeight="1" x14ac:dyDescent="0.25">
      <c r="A132" s="34">
        <f>chests_counter!$H129</f>
        <v>0</v>
      </c>
      <c r="B132" s="35" cm="1">
        <f t="array" aca="1" ref="B132" ca="1">IF(A132&lt;&gt;"", SUMPRODUCT(($C$2:$AM$2&lt;&gt;0)*(C132:AM132&lt;&gt;0)*($C$2:$AM$2)*(C132:AM132)), "")</f>
        <v>0</v>
      </c>
      <c r="C132" s="36">
        <f ca="1">IF($A132="","",IF(C$1="","",COUNTIFS(tbl_chests[from],$A132,tbl_chests[legalized],C$1,tbl_chests[datetime],"&gt;="&amp;TODAY()-WEEKDAY(TODAY(),2)+1,tbl_chests[datetime],"&lt;"&amp;TODAY()-WEEKDAY(TODAY(),2)+8)))</f>
        <v>0</v>
      </c>
      <c r="D132" s="36">
        <f ca="1">IF($A132="","",IF(D$1="","",COUNTIFS(tbl_chests[from],$A132,tbl_chests[legalized],D$1,tbl_chests[datetime],"&gt;="&amp;TODAY()-WEEKDAY(TODAY(),2)+1,tbl_chests[datetime],"&lt;"&amp;TODAY()-WEEKDAY(TODAY(),2)+8)))</f>
        <v>0</v>
      </c>
      <c r="E132" s="36">
        <f ca="1">IF($A132="","",IF(E$1="","",COUNTIFS(tbl_chests[from],$A132,tbl_chests[legalized],E$1,tbl_chests[datetime],"&gt;="&amp;TODAY()-WEEKDAY(TODAY(),2)+1,tbl_chests[datetime],"&lt;"&amp;TODAY()-WEEKDAY(TODAY(),2)+8)))</f>
        <v>0</v>
      </c>
      <c r="F132" s="36">
        <f ca="1">IF($A132="","",IF(F$1="","",COUNTIFS(tbl_chests[from],$A132,tbl_chests[legalized],F$1,tbl_chests[datetime],"&gt;="&amp;TODAY()-WEEKDAY(TODAY(),2)+1,tbl_chests[datetime],"&lt;"&amp;TODAY()-WEEKDAY(TODAY(),2)+8)))</f>
        <v>0</v>
      </c>
      <c r="G132" s="36">
        <f ca="1">IF($A132="","",IF(G$1="","",COUNTIFS(tbl_chests[from],$A132,tbl_chests[legalized],G$1,tbl_chests[datetime],"&gt;="&amp;TODAY()-WEEKDAY(TODAY(),2)+1,tbl_chests[datetime],"&lt;"&amp;TODAY()-WEEKDAY(TODAY(),2)+8)))</f>
        <v>0</v>
      </c>
      <c r="H132" s="36">
        <f ca="1">IF($A132="","",IF(H$1="","",COUNTIFS(tbl_chests[from],$A132,tbl_chests[legalized],H$1,tbl_chests[datetime],"&gt;="&amp;TODAY()-WEEKDAY(TODAY(),2)+1,tbl_chests[datetime],"&lt;"&amp;TODAY()-WEEKDAY(TODAY(),2)+8)))</f>
        <v>0</v>
      </c>
      <c r="I132" s="36">
        <f ca="1">IF($A132="","",IF(I$1="","",COUNTIFS(tbl_chests[from],$A132,tbl_chests[legalized],I$1,tbl_chests[datetime],"&gt;="&amp;TODAY()-WEEKDAY(TODAY(),2)+1,tbl_chests[datetime],"&lt;"&amp;TODAY()-WEEKDAY(TODAY(),2)+8)))</f>
        <v>0</v>
      </c>
      <c r="J132" s="36">
        <f ca="1">IF($A132="","",IF(J$1="","",COUNTIFS(tbl_chests[from],$A132,tbl_chests[legalized],J$1,tbl_chests[datetime],"&gt;="&amp;TODAY()-WEEKDAY(TODAY(),2)+1,tbl_chests[datetime],"&lt;"&amp;TODAY()-WEEKDAY(TODAY(),2)+8)))</f>
        <v>0</v>
      </c>
      <c r="K132" s="36">
        <f ca="1">IF($A132="","",IF(K$1="","",COUNTIFS(tbl_chests[from],$A132,tbl_chests[legalized],K$1,tbl_chests[datetime],"&gt;="&amp;TODAY()-WEEKDAY(TODAY(),2)+1,tbl_chests[datetime],"&lt;"&amp;TODAY()-WEEKDAY(TODAY(),2)+8)))</f>
        <v>0</v>
      </c>
      <c r="L132" s="36">
        <f ca="1">IF($A132="","",IF(L$1="","",COUNTIFS(tbl_chests[from],$A132,tbl_chests[legalized],L$1,tbl_chests[datetime],"&gt;="&amp;TODAY()-WEEKDAY(TODAY(),2)+1,tbl_chests[datetime],"&lt;"&amp;TODAY()-WEEKDAY(TODAY(),2)+8)))</f>
        <v>0</v>
      </c>
      <c r="M132" s="36">
        <f ca="1">IF($A132="","",IF(M$1="","",COUNTIFS(tbl_chests[from],$A132,tbl_chests[legalized],M$1,tbl_chests[datetime],"&gt;="&amp;TODAY()-WEEKDAY(TODAY(),2)+1,tbl_chests[datetime],"&lt;"&amp;TODAY()-WEEKDAY(TODAY(),2)+8)))</f>
        <v>0</v>
      </c>
      <c r="N132" s="36">
        <f ca="1">IF($A132="","",IF(N$1="","",COUNTIFS(tbl_chests[from],$A132,tbl_chests[legalized],N$1,tbl_chests[datetime],"&gt;="&amp;TODAY()-WEEKDAY(TODAY(),2)+1,tbl_chests[datetime],"&lt;"&amp;TODAY()-WEEKDAY(TODAY(),2)+8)))</f>
        <v>0</v>
      </c>
      <c r="O132" s="36">
        <f ca="1">IF($A132="","",IF(O$1="","",COUNTIFS(tbl_chests[from],$A132,tbl_chests[legalized],O$1,tbl_chests[datetime],"&gt;="&amp;TODAY()-WEEKDAY(TODAY(),2)+1,tbl_chests[datetime],"&lt;"&amp;TODAY()-WEEKDAY(TODAY(),2)+8)))</f>
        <v>0</v>
      </c>
      <c r="P132" s="36">
        <f ca="1">IF($A132="","",IF(P$1="","",COUNTIFS(tbl_chests[from],$A132,tbl_chests[legalized],P$1,tbl_chests[datetime],"&gt;="&amp;TODAY()-WEEKDAY(TODAY(),2)+1,tbl_chests[datetime],"&lt;"&amp;TODAY()-WEEKDAY(TODAY(),2)+8)))</f>
        <v>0</v>
      </c>
      <c r="Q132" s="36">
        <f ca="1">IF($A132="","",IF(Q$1="","",COUNTIFS(tbl_chests[from],$A132,tbl_chests[legalized],Q$1,tbl_chests[datetime],"&gt;="&amp;TODAY()-WEEKDAY(TODAY(),2)+1,tbl_chests[datetime],"&lt;"&amp;TODAY()-WEEKDAY(TODAY(),2)+8)))</f>
        <v>0</v>
      </c>
      <c r="R132" s="36">
        <f ca="1">IF($A132="","",IF(R$1="","",COUNTIFS(tbl_chests[from],$A132,tbl_chests[legalized],R$1,tbl_chests[datetime],"&gt;="&amp;TODAY()-WEEKDAY(TODAY(),2)+1,tbl_chests[datetime],"&lt;"&amp;TODAY()-WEEKDAY(TODAY(),2)+8)))</f>
        <v>0</v>
      </c>
      <c r="S132" s="36">
        <f ca="1">IF($A132="","",IF(S$1="","",COUNTIFS(tbl_chests[from],$A132,tbl_chests[legalized],S$1,tbl_chests[datetime],"&gt;="&amp;TODAY()-WEEKDAY(TODAY(),2)+1,tbl_chests[datetime],"&lt;"&amp;TODAY()-WEEKDAY(TODAY(),2)+8)))</f>
        <v>0</v>
      </c>
      <c r="T132" s="36">
        <f ca="1">IF($A132="","",IF(T$1="","",COUNTIFS(tbl_chests[from],$A132,tbl_chests[legalized],T$1,tbl_chests[datetime],"&gt;="&amp;TODAY()-WEEKDAY(TODAY(),2)+1,tbl_chests[datetime],"&lt;"&amp;TODAY()-WEEKDAY(TODAY(),2)+8)))</f>
        <v>0</v>
      </c>
      <c r="U132" s="36">
        <f ca="1">IF($A132="","",IF(U$1="","",COUNTIFS(tbl_chests[from],$A132,tbl_chests[legalized],U$1,tbl_chests[datetime],"&gt;="&amp;TODAY()-WEEKDAY(TODAY(),2)+1,tbl_chests[datetime],"&lt;"&amp;TODAY()-WEEKDAY(TODAY(),2)+8)))</f>
        <v>0</v>
      </c>
      <c r="V132" s="36">
        <f ca="1">IF($A132="","",IF(V$1="","",COUNTIFS(tbl_chests[from],$A132,tbl_chests[legalized],V$1,tbl_chests[datetime],"&gt;="&amp;TODAY()-WEEKDAY(TODAY(),2)+1,tbl_chests[datetime],"&lt;"&amp;TODAY()-WEEKDAY(TODAY(),2)+8)))</f>
        <v>0</v>
      </c>
      <c r="W132" s="36">
        <f ca="1">IF($A132="","",IF(W$1="","",COUNTIFS(tbl_chests[from],$A132,tbl_chests[legalized],W$1,tbl_chests[datetime],"&gt;="&amp;TODAY()-WEEKDAY(TODAY(),2)+1,tbl_chests[datetime],"&lt;"&amp;TODAY()-WEEKDAY(TODAY(),2)+8)))</f>
        <v>0</v>
      </c>
      <c r="X132" s="36">
        <f ca="1">IF($A132="","",IF(X$1="","",COUNTIFS(tbl_chests[from],$A132,tbl_chests[legalized],X$1,tbl_chests[datetime],"&gt;="&amp;TODAY()-WEEKDAY(TODAY(),2)+1,tbl_chests[datetime],"&lt;"&amp;TODAY()-WEEKDAY(TODAY(),2)+8)))</f>
        <v>0</v>
      </c>
      <c r="Y132" s="36">
        <f ca="1">IF($A132="","",IF(Y$1="","",COUNTIFS(tbl_chests[from],$A132,tbl_chests[legalized],Y$1,tbl_chests[datetime],"&gt;="&amp;TODAY()-WEEKDAY(TODAY(),2)+1,tbl_chests[datetime],"&lt;"&amp;TODAY()-WEEKDAY(TODAY(),2)+8)))</f>
        <v>0</v>
      </c>
      <c r="Z132" s="36">
        <f ca="1">IF($A132="","",IF(Z$1="","",COUNTIFS(tbl_chests[from],$A132,tbl_chests[legalized],Z$1,tbl_chests[datetime],"&gt;="&amp;TODAY()-WEEKDAY(TODAY(),2)+1,tbl_chests[datetime],"&lt;"&amp;TODAY()-WEEKDAY(TODAY(),2)+8)))</f>
        <v>0</v>
      </c>
      <c r="AA132" s="36">
        <f ca="1">IF($A132="","",IF(AA$1="","",COUNTIFS(tbl_chests[from],$A132,tbl_chests[legalized],AA$1,tbl_chests[datetime],"&gt;="&amp;TODAY()-WEEKDAY(TODAY(),2)+1,tbl_chests[datetime],"&lt;"&amp;TODAY()-WEEKDAY(TODAY(),2)+8)))</f>
        <v>0</v>
      </c>
      <c r="AB132" s="36">
        <f ca="1">IF($A132="","",IF(AB$1="","",COUNTIFS(tbl_chests[from],$A132,tbl_chests[legalized],AB$1,tbl_chests[datetime],"&gt;="&amp;TODAY()-WEEKDAY(TODAY(),2)+1,tbl_chests[datetime],"&lt;"&amp;TODAY()-WEEKDAY(TODAY(),2)+8)))</f>
        <v>0</v>
      </c>
      <c r="AC132" s="36">
        <f ca="1">IF($A132="","",IF(AC$1="","",COUNTIFS(tbl_chests[from],$A132,tbl_chests[legalized],AC$1,tbl_chests[datetime],"&gt;="&amp;TODAY()-WEEKDAY(TODAY(),2)+1,tbl_chests[datetime],"&lt;"&amp;TODAY()-WEEKDAY(TODAY(),2)+8)))</f>
        <v>0</v>
      </c>
      <c r="AD132" s="36">
        <f ca="1">IF($A132="","",IF(AD$1="","",COUNTIFS(tbl_chests[from],$A132,tbl_chests[legalized],AD$1,tbl_chests[datetime],"&gt;="&amp;TODAY()-WEEKDAY(TODAY(),2)+1,tbl_chests[datetime],"&lt;"&amp;TODAY()-WEEKDAY(TODAY(),2)+8)))</f>
        <v>0</v>
      </c>
      <c r="AE132" s="36">
        <f ca="1">IF($A132="","",IF(AE$1="","",COUNTIFS(tbl_chests[from],$A132,tbl_chests[legalized],AE$1,tbl_chests[datetime],"&gt;="&amp;TODAY()-WEEKDAY(TODAY(),2)+1,tbl_chests[datetime],"&lt;"&amp;TODAY()-WEEKDAY(TODAY(),2)+8)))</f>
        <v>0</v>
      </c>
      <c r="AF132" s="36">
        <f ca="1">IF($A132="","",IF(AF$1="","",COUNTIFS(tbl_chests[from],$A132,tbl_chests[legalized],AF$1,tbl_chests[datetime],"&gt;="&amp;TODAY()-WEEKDAY(TODAY(),2)+1,tbl_chests[datetime],"&lt;"&amp;TODAY()-WEEKDAY(TODAY(),2)+8)))</f>
        <v>0</v>
      </c>
      <c r="AG132" s="36">
        <f ca="1">IF($A132="","",IF(AG$1="","",COUNTIFS(tbl_chests[from],$A132,tbl_chests[legalized],AG$1,tbl_chests[datetime],"&gt;="&amp;TODAY()-WEEKDAY(TODAY(),2)+1,tbl_chests[datetime],"&lt;"&amp;TODAY()-WEEKDAY(TODAY(),2)+8)))</f>
        <v>0</v>
      </c>
      <c r="AH132" s="36">
        <f ca="1">IF($A132="","",IF(AH$1="","",COUNTIFS(tbl_chests[from],$A132,tbl_chests[legalized],AH$1,tbl_chests[datetime],"&gt;="&amp;TODAY()-WEEKDAY(TODAY(),2)+1,tbl_chests[datetime],"&lt;"&amp;TODAY()-WEEKDAY(TODAY(),2)+8)))</f>
        <v>0</v>
      </c>
      <c r="AI132" s="36">
        <f ca="1">IF($A132="","",IF(AI$1="","",COUNTIFS(tbl_chests[from],$A132,tbl_chests[legalized],AI$1,tbl_chests[datetime],"&gt;="&amp;TODAY()-WEEKDAY(TODAY(),2)+1,tbl_chests[datetime],"&lt;"&amp;TODAY()-WEEKDAY(TODAY(),2)+8)))</f>
        <v>0</v>
      </c>
      <c r="AJ132" s="36">
        <f ca="1">IF($A132="","",IF(AJ$1="","",COUNTIFS(tbl_chests[from],$A132,tbl_chests[legalized],AJ$1,tbl_chests[datetime],"&gt;="&amp;TODAY()-WEEKDAY(TODAY(),2)+1,tbl_chests[datetime],"&lt;"&amp;TODAY()-WEEKDAY(TODAY(),2)+8)))</f>
        <v>0</v>
      </c>
      <c r="AK132" s="36">
        <f ca="1">IF($A132="","",IF(AK$1="","",COUNTIFS(tbl_chests[from],$A132,tbl_chests[legalized],AK$1,tbl_chests[datetime],"&gt;="&amp;TODAY()-WEEKDAY(TODAY(),2)+1,tbl_chests[datetime],"&lt;"&amp;TODAY()-WEEKDAY(TODAY(),2)+8)))</f>
        <v>0</v>
      </c>
      <c r="AL132" s="36">
        <f ca="1">IF($A132="","",IF(AL$1="","",COUNTIFS(tbl_chests[from],$A132,tbl_chests[legalized],AL$1,tbl_chests[datetime],"&gt;="&amp;TODAY()-WEEKDAY(TODAY(),2)+1,tbl_chests[datetime],"&lt;"&amp;TODAY()-WEEKDAY(TODAY(),2)+8)))</f>
        <v>0</v>
      </c>
      <c r="AM132" s="37">
        <f ca="1">IF($A132="","",IF(AM$1="","",COUNTIFS(tbl_chests[from],$A132,tbl_chests[legalized],AM$1,tbl_chests[datetime],"&gt;="&amp;TODAY()-WEEKDAY(TODAY(),2)+1,tbl_chests[datetime],"&lt;"&amp;TODAY()-WEEKDAY(TODAY(),2)+8)))</f>
        <v>0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 spans="1:67" ht="15.75" customHeight="1" x14ac:dyDescent="0.25">
      <c r="A133" s="34">
        <f>chests_counter!$H130</f>
        <v>0</v>
      </c>
      <c r="B133" s="35" cm="1">
        <f t="array" aca="1" ref="B133" ca="1">IF(A133&lt;&gt;"", SUMPRODUCT(($C$2:$AM$2&lt;&gt;0)*(C133:AM133&lt;&gt;0)*($C$2:$AM$2)*(C133:AM133)), "")</f>
        <v>0</v>
      </c>
      <c r="C133" s="36">
        <f ca="1">IF($A133="","",IF(C$1="","",COUNTIFS(tbl_chests[from],$A133,tbl_chests[legalized],C$1,tbl_chests[datetime],"&gt;="&amp;TODAY()-WEEKDAY(TODAY(),2)+1,tbl_chests[datetime],"&lt;"&amp;TODAY()-WEEKDAY(TODAY(),2)+8)))</f>
        <v>0</v>
      </c>
      <c r="D133" s="36">
        <f ca="1">IF($A133="","",IF(D$1="","",COUNTIFS(tbl_chests[from],$A133,tbl_chests[legalized],D$1,tbl_chests[datetime],"&gt;="&amp;TODAY()-WEEKDAY(TODAY(),2)+1,tbl_chests[datetime],"&lt;"&amp;TODAY()-WEEKDAY(TODAY(),2)+8)))</f>
        <v>0</v>
      </c>
      <c r="E133" s="36">
        <f ca="1">IF($A133="","",IF(E$1="","",COUNTIFS(tbl_chests[from],$A133,tbl_chests[legalized],E$1,tbl_chests[datetime],"&gt;="&amp;TODAY()-WEEKDAY(TODAY(),2)+1,tbl_chests[datetime],"&lt;"&amp;TODAY()-WEEKDAY(TODAY(),2)+8)))</f>
        <v>0</v>
      </c>
      <c r="F133" s="36">
        <f ca="1">IF($A133="","",IF(F$1="","",COUNTIFS(tbl_chests[from],$A133,tbl_chests[legalized],F$1,tbl_chests[datetime],"&gt;="&amp;TODAY()-WEEKDAY(TODAY(),2)+1,tbl_chests[datetime],"&lt;"&amp;TODAY()-WEEKDAY(TODAY(),2)+8)))</f>
        <v>0</v>
      </c>
      <c r="G133" s="36">
        <f ca="1">IF($A133="","",IF(G$1="","",COUNTIFS(tbl_chests[from],$A133,tbl_chests[legalized],G$1,tbl_chests[datetime],"&gt;="&amp;TODAY()-WEEKDAY(TODAY(),2)+1,tbl_chests[datetime],"&lt;"&amp;TODAY()-WEEKDAY(TODAY(),2)+8)))</f>
        <v>0</v>
      </c>
      <c r="H133" s="36">
        <f ca="1">IF($A133="","",IF(H$1="","",COUNTIFS(tbl_chests[from],$A133,tbl_chests[legalized],H$1,tbl_chests[datetime],"&gt;="&amp;TODAY()-WEEKDAY(TODAY(),2)+1,tbl_chests[datetime],"&lt;"&amp;TODAY()-WEEKDAY(TODAY(),2)+8)))</f>
        <v>0</v>
      </c>
      <c r="I133" s="36">
        <f ca="1">IF($A133="","",IF(I$1="","",COUNTIFS(tbl_chests[from],$A133,tbl_chests[legalized],I$1,tbl_chests[datetime],"&gt;="&amp;TODAY()-WEEKDAY(TODAY(),2)+1,tbl_chests[datetime],"&lt;"&amp;TODAY()-WEEKDAY(TODAY(),2)+8)))</f>
        <v>0</v>
      </c>
      <c r="J133" s="36">
        <f ca="1">IF($A133="","",IF(J$1="","",COUNTIFS(tbl_chests[from],$A133,tbl_chests[legalized],J$1,tbl_chests[datetime],"&gt;="&amp;TODAY()-WEEKDAY(TODAY(),2)+1,tbl_chests[datetime],"&lt;"&amp;TODAY()-WEEKDAY(TODAY(),2)+8)))</f>
        <v>0</v>
      </c>
      <c r="K133" s="36">
        <f ca="1">IF($A133="","",IF(K$1="","",COUNTIFS(tbl_chests[from],$A133,tbl_chests[legalized],K$1,tbl_chests[datetime],"&gt;="&amp;TODAY()-WEEKDAY(TODAY(),2)+1,tbl_chests[datetime],"&lt;"&amp;TODAY()-WEEKDAY(TODAY(),2)+8)))</f>
        <v>0</v>
      </c>
      <c r="L133" s="36">
        <f ca="1">IF($A133="","",IF(L$1="","",COUNTIFS(tbl_chests[from],$A133,tbl_chests[legalized],L$1,tbl_chests[datetime],"&gt;="&amp;TODAY()-WEEKDAY(TODAY(),2)+1,tbl_chests[datetime],"&lt;"&amp;TODAY()-WEEKDAY(TODAY(),2)+8)))</f>
        <v>0</v>
      </c>
      <c r="M133" s="36">
        <f ca="1">IF($A133="","",IF(M$1="","",COUNTIFS(tbl_chests[from],$A133,tbl_chests[legalized],M$1,tbl_chests[datetime],"&gt;="&amp;TODAY()-WEEKDAY(TODAY(),2)+1,tbl_chests[datetime],"&lt;"&amp;TODAY()-WEEKDAY(TODAY(),2)+8)))</f>
        <v>0</v>
      </c>
      <c r="N133" s="36">
        <f ca="1">IF($A133="","",IF(N$1="","",COUNTIFS(tbl_chests[from],$A133,tbl_chests[legalized],N$1,tbl_chests[datetime],"&gt;="&amp;TODAY()-WEEKDAY(TODAY(),2)+1,tbl_chests[datetime],"&lt;"&amp;TODAY()-WEEKDAY(TODAY(),2)+8)))</f>
        <v>0</v>
      </c>
      <c r="O133" s="36">
        <f ca="1">IF($A133="","",IF(O$1="","",COUNTIFS(tbl_chests[from],$A133,tbl_chests[legalized],O$1,tbl_chests[datetime],"&gt;="&amp;TODAY()-WEEKDAY(TODAY(),2)+1,tbl_chests[datetime],"&lt;"&amp;TODAY()-WEEKDAY(TODAY(),2)+8)))</f>
        <v>0</v>
      </c>
      <c r="P133" s="36">
        <f ca="1">IF($A133="","",IF(P$1="","",COUNTIFS(tbl_chests[from],$A133,tbl_chests[legalized],P$1,tbl_chests[datetime],"&gt;="&amp;TODAY()-WEEKDAY(TODAY(),2)+1,tbl_chests[datetime],"&lt;"&amp;TODAY()-WEEKDAY(TODAY(),2)+8)))</f>
        <v>0</v>
      </c>
      <c r="Q133" s="36">
        <f ca="1">IF($A133="","",IF(Q$1="","",COUNTIFS(tbl_chests[from],$A133,tbl_chests[legalized],Q$1,tbl_chests[datetime],"&gt;="&amp;TODAY()-WEEKDAY(TODAY(),2)+1,tbl_chests[datetime],"&lt;"&amp;TODAY()-WEEKDAY(TODAY(),2)+8)))</f>
        <v>0</v>
      </c>
      <c r="R133" s="36">
        <f ca="1">IF($A133="","",IF(R$1="","",COUNTIFS(tbl_chests[from],$A133,tbl_chests[legalized],R$1,tbl_chests[datetime],"&gt;="&amp;TODAY()-WEEKDAY(TODAY(),2)+1,tbl_chests[datetime],"&lt;"&amp;TODAY()-WEEKDAY(TODAY(),2)+8)))</f>
        <v>0</v>
      </c>
      <c r="S133" s="36">
        <f ca="1">IF($A133="","",IF(S$1="","",COUNTIFS(tbl_chests[from],$A133,tbl_chests[legalized],S$1,tbl_chests[datetime],"&gt;="&amp;TODAY()-WEEKDAY(TODAY(),2)+1,tbl_chests[datetime],"&lt;"&amp;TODAY()-WEEKDAY(TODAY(),2)+8)))</f>
        <v>0</v>
      </c>
      <c r="T133" s="36">
        <f ca="1">IF($A133="","",IF(T$1="","",COUNTIFS(tbl_chests[from],$A133,tbl_chests[legalized],T$1,tbl_chests[datetime],"&gt;="&amp;TODAY()-WEEKDAY(TODAY(),2)+1,tbl_chests[datetime],"&lt;"&amp;TODAY()-WEEKDAY(TODAY(),2)+8)))</f>
        <v>0</v>
      </c>
      <c r="U133" s="36">
        <f ca="1">IF($A133="","",IF(U$1="","",COUNTIFS(tbl_chests[from],$A133,tbl_chests[legalized],U$1,tbl_chests[datetime],"&gt;="&amp;TODAY()-WEEKDAY(TODAY(),2)+1,tbl_chests[datetime],"&lt;"&amp;TODAY()-WEEKDAY(TODAY(),2)+8)))</f>
        <v>0</v>
      </c>
      <c r="V133" s="36">
        <f ca="1">IF($A133="","",IF(V$1="","",COUNTIFS(tbl_chests[from],$A133,tbl_chests[legalized],V$1,tbl_chests[datetime],"&gt;="&amp;TODAY()-WEEKDAY(TODAY(),2)+1,tbl_chests[datetime],"&lt;"&amp;TODAY()-WEEKDAY(TODAY(),2)+8)))</f>
        <v>0</v>
      </c>
      <c r="W133" s="36">
        <f ca="1">IF($A133="","",IF(W$1="","",COUNTIFS(tbl_chests[from],$A133,tbl_chests[legalized],W$1,tbl_chests[datetime],"&gt;="&amp;TODAY()-WEEKDAY(TODAY(),2)+1,tbl_chests[datetime],"&lt;"&amp;TODAY()-WEEKDAY(TODAY(),2)+8)))</f>
        <v>0</v>
      </c>
      <c r="X133" s="36">
        <f ca="1">IF($A133="","",IF(X$1="","",COUNTIFS(tbl_chests[from],$A133,tbl_chests[legalized],X$1,tbl_chests[datetime],"&gt;="&amp;TODAY()-WEEKDAY(TODAY(),2)+1,tbl_chests[datetime],"&lt;"&amp;TODAY()-WEEKDAY(TODAY(),2)+8)))</f>
        <v>0</v>
      </c>
      <c r="Y133" s="36">
        <f ca="1">IF($A133="","",IF(Y$1="","",COUNTIFS(tbl_chests[from],$A133,tbl_chests[legalized],Y$1,tbl_chests[datetime],"&gt;="&amp;TODAY()-WEEKDAY(TODAY(),2)+1,tbl_chests[datetime],"&lt;"&amp;TODAY()-WEEKDAY(TODAY(),2)+8)))</f>
        <v>0</v>
      </c>
      <c r="Z133" s="36">
        <f ca="1">IF($A133="","",IF(Z$1="","",COUNTIFS(tbl_chests[from],$A133,tbl_chests[legalized],Z$1,tbl_chests[datetime],"&gt;="&amp;TODAY()-WEEKDAY(TODAY(),2)+1,tbl_chests[datetime],"&lt;"&amp;TODAY()-WEEKDAY(TODAY(),2)+8)))</f>
        <v>0</v>
      </c>
      <c r="AA133" s="36">
        <f ca="1">IF($A133="","",IF(AA$1="","",COUNTIFS(tbl_chests[from],$A133,tbl_chests[legalized],AA$1,tbl_chests[datetime],"&gt;="&amp;TODAY()-WEEKDAY(TODAY(),2)+1,tbl_chests[datetime],"&lt;"&amp;TODAY()-WEEKDAY(TODAY(),2)+8)))</f>
        <v>0</v>
      </c>
      <c r="AB133" s="36">
        <f ca="1">IF($A133="","",IF(AB$1="","",COUNTIFS(tbl_chests[from],$A133,tbl_chests[legalized],AB$1,tbl_chests[datetime],"&gt;="&amp;TODAY()-WEEKDAY(TODAY(),2)+1,tbl_chests[datetime],"&lt;"&amp;TODAY()-WEEKDAY(TODAY(),2)+8)))</f>
        <v>0</v>
      </c>
      <c r="AC133" s="36">
        <f ca="1">IF($A133="","",IF(AC$1="","",COUNTIFS(tbl_chests[from],$A133,tbl_chests[legalized],AC$1,tbl_chests[datetime],"&gt;="&amp;TODAY()-WEEKDAY(TODAY(),2)+1,tbl_chests[datetime],"&lt;"&amp;TODAY()-WEEKDAY(TODAY(),2)+8)))</f>
        <v>0</v>
      </c>
      <c r="AD133" s="36">
        <f ca="1">IF($A133="","",IF(AD$1="","",COUNTIFS(tbl_chests[from],$A133,tbl_chests[legalized],AD$1,tbl_chests[datetime],"&gt;="&amp;TODAY()-WEEKDAY(TODAY(),2)+1,tbl_chests[datetime],"&lt;"&amp;TODAY()-WEEKDAY(TODAY(),2)+8)))</f>
        <v>0</v>
      </c>
      <c r="AE133" s="36">
        <f ca="1">IF($A133="","",IF(AE$1="","",COUNTIFS(tbl_chests[from],$A133,tbl_chests[legalized],AE$1,tbl_chests[datetime],"&gt;="&amp;TODAY()-WEEKDAY(TODAY(),2)+1,tbl_chests[datetime],"&lt;"&amp;TODAY()-WEEKDAY(TODAY(),2)+8)))</f>
        <v>0</v>
      </c>
      <c r="AF133" s="36">
        <f ca="1">IF($A133="","",IF(AF$1="","",COUNTIFS(tbl_chests[from],$A133,tbl_chests[legalized],AF$1,tbl_chests[datetime],"&gt;="&amp;TODAY()-WEEKDAY(TODAY(),2)+1,tbl_chests[datetime],"&lt;"&amp;TODAY()-WEEKDAY(TODAY(),2)+8)))</f>
        <v>0</v>
      </c>
      <c r="AG133" s="36">
        <f ca="1">IF($A133="","",IF(AG$1="","",COUNTIFS(tbl_chests[from],$A133,tbl_chests[legalized],AG$1,tbl_chests[datetime],"&gt;="&amp;TODAY()-WEEKDAY(TODAY(),2)+1,tbl_chests[datetime],"&lt;"&amp;TODAY()-WEEKDAY(TODAY(),2)+8)))</f>
        <v>0</v>
      </c>
      <c r="AH133" s="36">
        <f ca="1">IF($A133="","",IF(AH$1="","",COUNTIFS(tbl_chests[from],$A133,tbl_chests[legalized],AH$1,tbl_chests[datetime],"&gt;="&amp;TODAY()-WEEKDAY(TODAY(),2)+1,tbl_chests[datetime],"&lt;"&amp;TODAY()-WEEKDAY(TODAY(),2)+8)))</f>
        <v>0</v>
      </c>
      <c r="AI133" s="36">
        <f ca="1">IF($A133="","",IF(AI$1="","",COUNTIFS(tbl_chests[from],$A133,tbl_chests[legalized],AI$1,tbl_chests[datetime],"&gt;="&amp;TODAY()-WEEKDAY(TODAY(),2)+1,tbl_chests[datetime],"&lt;"&amp;TODAY()-WEEKDAY(TODAY(),2)+8)))</f>
        <v>0</v>
      </c>
      <c r="AJ133" s="36">
        <f ca="1">IF($A133="","",IF(AJ$1="","",COUNTIFS(tbl_chests[from],$A133,tbl_chests[legalized],AJ$1,tbl_chests[datetime],"&gt;="&amp;TODAY()-WEEKDAY(TODAY(),2)+1,tbl_chests[datetime],"&lt;"&amp;TODAY()-WEEKDAY(TODAY(),2)+8)))</f>
        <v>0</v>
      </c>
      <c r="AK133" s="36">
        <f ca="1">IF($A133="","",IF(AK$1="","",COUNTIFS(tbl_chests[from],$A133,tbl_chests[legalized],AK$1,tbl_chests[datetime],"&gt;="&amp;TODAY()-WEEKDAY(TODAY(),2)+1,tbl_chests[datetime],"&lt;"&amp;TODAY()-WEEKDAY(TODAY(),2)+8)))</f>
        <v>0</v>
      </c>
      <c r="AL133" s="36">
        <f ca="1">IF($A133="","",IF(AL$1="","",COUNTIFS(tbl_chests[from],$A133,tbl_chests[legalized],AL$1,tbl_chests[datetime],"&gt;="&amp;TODAY()-WEEKDAY(TODAY(),2)+1,tbl_chests[datetime],"&lt;"&amp;TODAY()-WEEKDAY(TODAY(),2)+8)))</f>
        <v>0</v>
      </c>
      <c r="AM133" s="37">
        <f ca="1">IF($A133="","",IF(AM$1="","",COUNTIFS(tbl_chests[from],$A133,tbl_chests[legalized],AM$1,tbl_chests[datetime],"&gt;="&amp;TODAY()-WEEKDAY(TODAY(),2)+1,tbl_chests[datetime],"&lt;"&amp;TODAY()-WEEKDAY(TODAY(),2)+8)))</f>
        <v>0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 spans="1:67" ht="15.75" customHeight="1" x14ac:dyDescent="0.25">
      <c r="A134" s="34">
        <f>chests_counter!$H131</f>
        <v>0</v>
      </c>
      <c r="B134" s="35" cm="1">
        <f t="array" aca="1" ref="B134" ca="1">IF(A134&lt;&gt;"", SUMPRODUCT(($C$2:$AM$2&lt;&gt;0)*(C134:AM134&lt;&gt;0)*($C$2:$AM$2)*(C134:AM134)), "")</f>
        <v>0</v>
      </c>
      <c r="C134" s="36">
        <f ca="1">IF($A134="","",IF(C$1="","",COUNTIFS(tbl_chests[from],$A134,tbl_chests[legalized],C$1,tbl_chests[datetime],"&gt;="&amp;TODAY()-WEEKDAY(TODAY(),2)+1,tbl_chests[datetime],"&lt;"&amp;TODAY()-WEEKDAY(TODAY(),2)+8)))</f>
        <v>0</v>
      </c>
      <c r="D134" s="36">
        <f ca="1">IF($A134="","",IF(D$1="","",COUNTIFS(tbl_chests[from],$A134,tbl_chests[legalized],D$1,tbl_chests[datetime],"&gt;="&amp;TODAY()-WEEKDAY(TODAY(),2)+1,tbl_chests[datetime],"&lt;"&amp;TODAY()-WEEKDAY(TODAY(),2)+8)))</f>
        <v>0</v>
      </c>
      <c r="E134" s="36">
        <f ca="1">IF($A134="","",IF(E$1="","",COUNTIFS(tbl_chests[from],$A134,tbl_chests[legalized],E$1,tbl_chests[datetime],"&gt;="&amp;TODAY()-WEEKDAY(TODAY(),2)+1,tbl_chests[datetime],"&lt;"&amp;TODAY()-WEEKDAY(TODAY(),2)+8)))</f>
        <v>0</v>
      </c>
      <c r="F134" s="36">
        <f ca="1">IF($A134="","",IF(F$1="","",COUNTIFS(tbl_chests[from],$A134,tbl_chests[legalized],F$1,tbl_chests[datetime],"&gt;="&amp;TODAY()-WEEKDAY(TODAY(),2)+1,tbl_chests[datetime],"&lt;"&amp;TODAY()-WEEKDAY(TODAY(),2)+8)))</f>
        <v>0</v>
      </c>
      <c r="G134" s="36">
        <f ca="1">IF($A134="","",IF(G$1="","",COUNTIFS(tbl_chests[from],$A134,tbl_chests[legalized],G$1,tbl_chests[datetime],"&gt;="&amp;TODAY()-WEEKDAY(TODAY(),2)+1,tbl_chests[datetime],"&lt;"&amp;TODAY()-WEEKDAY(TODAY(),2)+8)))</f>
        <v>0</v>
      </c>
      <c r="H134" s="36">
        <f ca="1">IF($A134="","",IF(H$1="","",COUNTIFS(tbl_chests[from],$A134,tbl_chests[legalized],H$1,tbl_chests[datetime],"&gt;="&amp;TODAY()-WEEKDAY(TODAY(),2)+1,tbl_chests[datetime],"&lt;"&amp;TODAY()-WEEKDAY(TODAY(),2)+8)))</f>
        <v>0</v>
      </c>
      <c r="I134" s="36">
        <f ca="1">IF($A134="","",IF(I$1="","",COUNTIFS(tbl_chests[from],$A134,tbl_chests[legalized],I$1,tbl_chests[datetime],"&gt;="&amp;TODAY()-WEEKDAY(TODAY(),2)+1,tbl_chests[datetime],"&lt;"&amp;TODAY()-WEEKDAY(TODAY(),2)+8)))</f>
        <v>0</v>
      </c>
      <c r="J134" s="36">
        <f ca="1">IF($A134="","",IF(J$1="","",COUNTIFS(tbl_chests[from],$A134,tbl_chests[legalized],J$1,tbl_chests[datetime],"&gt;="&amp;TODAY()-WEEKDAY(TODAY(),2)+1,tbl_chests[datetime],"&lt;"&amp;TODAY()-WEEKDAY(TODAY(),2)+8)))</f>
        <v>0</v>
      </c>
      <c r="K134" s="36">
        <f ca="1">IF($A134="","",IF(K$1="","",COUNTIFS(tbl_chests[from],$A134,tbl_chests[legalized],K$1,tbl_chests[datetime],"&gt;="&amp;TODAY()-WEEKDAY(TODAY(),2)+1,tbl_chests[datetime],"&lt;"&amp;TODAY()-WEEKDAY(TODAY(),2)+8)))</f>
        <v>0</v>
      </c>
      <c r="L134" s="36">
        <f ca="1">IF($A134="","",IF(L$1="","",COUNTIFS(tbl_chests[from],$A134,tbl_chests[legalized],L$1,tbl_chests[datetime],"&gt;="&amp;TODAY()-WEEKDAY(TODAY(),2)+1,tbl_chests[datetime],"&lt;"&amp;TODAY()-WEEKDAY(TODAY(),2)+8)))</f>
        <v>0</v>
      </c>
      <c r="M134" s="36">
        <f ca="1">IF($A134="","",IF(M$1="","",COUNTIFS(tbl_chests[from],$A134,tbl_chests[legalized],M$1,tbl_chests[datetime],"&gt;="&amp;TODAY()-WEEKDAY(TODAY(),2)+1,tbl_chests[datetime],"&lt;"&amp;TODAY()-WEEKDAY(TODAY(),2)+8)))</f>
        <v>0</v>
      </c>
      <c r="N134" s="36">
        <f ca="1">IF($A134="","",IF(N$1="","",COUNTIFS(tbl_chests[from],$A134,tbl_chests[legalized],N$1,tbl_chests[datetime],"&gt;="&amp;TODAY()-WEEKDAY(TODAY(),2)+1,tbl_chests[datetime],"&lt;"&amp;TODAY()-WEEKDAY(TODAY(),2)+8)))</f>
        <v>0</v>
      </c>
      <c r="O134" s="36">
        <f ca="1">IF($A134="","",IF(O$1="","",COUNTIFS(tbl_chests[from],$A134,tbl_chests[legalized],O$1,tbl_chests[datetime],"&gt;="&amp;TODAY()-WEEKDAY(TODAY(),2)+1,tbl_chests[datetime],"&lt;"&amp;TODAY()-WEEKDAY(TODAY(),2)+8)))</f>
        <v>0</v>
      </c>
      <c r="P134" s="36">
        <f ca="1">IF($A134="","",IF(P$1="","",COUNTIFS(tbl_chests[from],$A134,tbl_chests[legalized],P$1,tbl_chests[datetime],"&gt;="&amp;TODAY()-WEEKDAY(TODAY(),2)+1,tbl_chests[datetime],"&lt;"&amp;TODAY()-WEEKDAY(TODAY(),2)+8)))</f>
        <v>0</v>
      </c>
      <c r="Q134" s="36">
        <f ca="1">IF($A134="","",IF(Q$1="","",COUNTIFS(tbl_chests[from],$A134,tbl_chests[legalized],Q$1,tbl_chests[datetime],"&gt;="&amp;TODAY()-WEEKDAY(TODAY(),2)+1,tbl_chests[datetime],"&lt;"&amp;TODAY()-WEEKDAY(TODAY(),2)+8)))</f>
        <v>0</v>
      </c>
      <c r="R134" s="36">
        <f ca="1">IF($A134="","",IF(R$1="","",COUNTIFS(tbl_chests[from],$A134,tbl_chests[legalized],R$1,tbl_chests[datetime],"&gt;="&amp;TODAY()-WEEKDAY(TODAY(),2)+1,tbl_chests[datetime],"&lt;"&amp;TODAY()-WEEKDAY(TODAY(),2)+8)))</f>
        <v>0</v>
      </c>
      <c r="S134" s="36">
        <f ca="1">IF($A134="","",IF(S$1="","",COUNTIFS(tbl_chests[from],$A134,tbl_chests[legalized],S$1,tbl_chests[datetime],"&gt;="&amp;TODAY()-WEEKDAY(TODAY(),2)+1,tbl_chests[datetime],"&lt;"&amp;TODAY()-WEEKDAY(TODAY(),2)+8)))</f>
        <v>0</v>
      </c>
      <c r="T134" s="36">
        <f ca="1">IF($A134="","",IF(T$1="","",COUNTIFS(tbl_chests[from],$A134,tbl_chests[legalized],T$1,tbl_chests[datetime],"&gt;="&amp;TODAY()-WEEKDAY(TODAY(),2)+1,tbl_chests[datetime],"&lt;"&amp;TODAY()-WEEKDAY(TODAY(),2)+8)))</f>
        <v>0</v>
      </c>
      <c r="U134" s="36">
        <f ca="1">IF($A134="","",IF(U$1="","",COUNTIFS(tbl_chests[from],$A134,tbl_chests[legalized],U$1,tbl_chests[datetime],"&gt;="&amp;TODAY()-WEEKDAY(TODAY(),2)+1,tbl_chests[datetime],"&lt;"&amp;TODAY()-WEEKDAY(TODAY(),2)+8)))</f>
        <v>0</v>
      </c>
      <c r="V134" s="36">
        <f ca="1">IF($A134="","",IF(V$1="","",COUNTIFS(tbl_chests[from],$A134,tbl_chests[legalized],V$1,tbl_chests[datetime],"&gt;="&amp;TODAY()-WEEKDAY(TODAY(),2)+1,tbl_chests[datetime],"&lt;"&amp;TODAY()-WEEKDAY(TODAY(),2)+8)))</f>
        <v>0</v>
      </c>
      <c r="W134" s="36">
        <f ca="1">IF($A134="","",IF(W$1="","",COUNTIFS(tbl_chests[from],$A134,tbl_chests[legalized],W$1,tbl_chests[datetime],"&gt;="&amp;TODAY()-WEEKDAY(TODAY(),2)+1,tbl_chests[datetime],"&lt;"&amp;TODAY()-WEEKDAY(TODAY(),2)+8)))</f>
        <v>0</v>
      </c>
      <c r="X134" s="36">
        <f ca="1">IF($A134="","",IF(X$1="","",COUNTIFS(tbl_chests[from],$A134,tbl_chests[legalized],X$1,tbl_chests[datetime],"&gt;="&amp;TODAY()-WEEKDAY(TODAY(),2)+1,tbl_chests[datetime],"&lt;"&amp;TODAY()-WEEKDAY(TODAY(),2)+8)))</f>
        <v>0</v>
      </c>
      <c r="Y134" s="36">
        <f ca="1">IF($A134="","",IF(Y$1="","",COUNTIFS(tbl_chests[from],$A134,tbl_chests[legalized],Y$1,tbl_chests[datetime],"&gt;="&amp;TODAY()-WEEKDAY(TODAY(),2)+1,tbl_chests[datetime],"&lt;"&amp;TODAY()-WEEKDAY(TODAY(),2)+8)))</f>
        <v>0</v>
      </c>
      <c r="Z134" s="36">
        <f ca="1">IF($A134="","",IF(Z$1="","",COUNTIFS(tbl_chests[from],$A134,tbl_chests[legalized],Z$1,tbl_chests[datetime],"&gt;="&amp;TODAY()-WEEKDAY(TODAY(),2)+1,tbl_chests[datetime],"&lt;"&amp;TODAY()-WEEKDAY(TODAY(),2)+8)))</f>
        <v>0</v>
      </c>
      <c r="AA134" s="36">
        <f ca="1">IF($A134="","",IF(AA$1="","",COUNTIFS(tbl_chests[from],$A134,tbl_chests[legalized],AA$1,tbl_chests[datetime],"&gt;="&amp;TODAY()-WEEKDAY(TODAY(),2)+1,tbl_chests[datetime],"&lt;"&amp;TODAY()-WEEKDAY(TODAY(),2)+8)))</f>
        <v>0</v>
      </c>
      <c r="AB134" s="36">
        <f ca="1">IF($A134="","",IF(AB$1="","",COUNTIFS(tbl_chests[from],$A134,tbl_chests[legalized],AB$1,tbl_chests[datetime],"&gt;="&amp;TODAY()-WEEKDAY(TODAY(),2)+1,tbl_chests[datetime],"&lt;"&amp;TODAY()-WEEKDAY(TODAY(),2)+8)))</f>
        <v>0</v>
      </c>
      <c r="AC134" s="36">
        <f ca="1">IF($A134="","",IF(AC$1="","",COUNTIFS(tbl_chests[from],$A134,tbl_chests[legalized],AC$1,tbl_chests[datetime],"&gt;="&amp;TODAY()-WEEKDAY(TODAY(),2)+1,tbl_chests[datetime],"&lt;"&amp;TODAY()-WEEKDAY(TODAY(),2)+8)))</f>
        <v>0</v>
      </c>
      <c r="AD134" s="36">
        <f ca="1">IF($A134="","",IF(AD$1="","",COUNTIFS(tbl_chests[from],$A134,tbl_chests[legalized],AD$1,tbl_chests[datetime],"&gt;="&amp;TODAY()-WEEKDAY(TODAY(),2)+1,tbl_chests[datetime],"&lt;"&amp;TODAY()-WEEKDAY(TODAY(),2)+8)))</f>
        <v>0</v>
      </c>
      <c r="AE134" s="36">
        <f ca="1">IF($A134="","",IF(AE$1="","",COUNTIFS(tbl_chests[from],$A134,tbl_chests[legalized],AE$1,tbl_chests[datetime],"&gt;="&amp;TODAY()-WEEKDAY(TODAY(),2)+1,tbl_chests[datetime],"&lt;"&amp;TODAY()-WEEKDAY(TODAY(),2)+8)))</f>
        <v>0</v>
      </c>
      <c r="AF134" s="36">
        <f ca="1">IF($A134="","",IF(AF$1="","",COUNTIFS(tbl_chests[from],$A134,tbl_chests[legalized],AF$1,tbl_chests[datetime],"&gt;="&amp;TODAY()-WEEKDAY(TODAY(),2)+1,tbl_chests[datetime],"&lt;"&amp;TODAY()-WEEKDAY(TODAY(),2)+8)))</f>
        <v>0</v>
      </c>
      <c r="AG134" s="36">
        <f ca="1">IF($A134="","",IF(AG$1="","",COUNTIFS(tbl_chests[from],$A134,tbl_chests[legalized],AG$1,tbl_chests[datetime],"&gt;="&amp;TODAY()-WEEKDAY(TODAY(),2)+1,tbl_chests[datetime],"&lt;"&amp;TODAY()-WEEKDAY(TODAY(),2)+8)))</f>
        <v>0</v>
      </c>
      <c r="AH134" s="36">
        <f ca="1">IF($A134="","",IF(AH$1="","",COUNTIFS(tbl_chests[from],$A134,tbl_chests[legalized],AH$1,tbl_chests[datetime],"&gt;="&amp;TODAY()-WEEKDAY(TODAY(),2)+1,tbl_chests[datetime],"&lt;"&amp;TODAY()-WEEKDAY(TODAY(),2)+8)))</f>
        <v>0</v>
      </c>
      <c r="AI134" s="36">
        <f ca="1">IF($A134="","",IF(AI$1="","",COUNTIFS(tbl_chests[from],$A134,tbl_chests[legalized],AI$1,tbl_chests[datetime],"&gt;="&amp;TODAY()-WEEKDAY(TODAY(),2)+1,tbl_chests[datetime],"&lt;"&amp;TODAY()-WEEKDAY(TODAY(),2)+8)))</f>
        <v>0</v>
      </c>
      <c r="AJ134" s="36">
        <f ca="1">IF($A134="","",IF(AJ$1="","",COUNTIFS(tbl_chests[from],$A134,tbl_chests[legalized],AJ$1,tbl_chests[datetime],"&gt;="&amp;TODAY()-WEEKDAY(TODAY(),2)+1,tbl_chests[datetime],"&lt;"&amp;TODAY()-WEEKDAY(TODAY(),2)+8)))</f>
        <v>0</v>
      </c>
      <c r="AK134" s="36">
        <f ca="1">IF($A134="","",IF(AK$1="","",COUNTIFS(tbl_chests[from],$A134,tbl_chests[legalized],AK$1,tbl_chests[datetime],"&gt;="&amp;TODAY()-WEEKDAY(TODAY(),2)+1,tbl_chests[datetime],"&lt;"&amp;TODAY()-WEEKDAY(TODAY(),2)+8)))</f>
        <v>0</v>
      </c>
      <c r="AL134" s="36">
        <f ca="1">IF($A134="","",IF(AL$1="","",COUNTIFS(tbl_chests[from],$A134,tbl_chests[legalized],AL$1,tbl_chests[datetime],"&gt;="&amp;TODAY()-WEEKDAY(TODAY(),2)+1,tbl_chests[datetime],"&lt;"&amp;TODAY()-WEEKDAY(TODAY(),2)+8)))</f>
        <v>0</v>
      </c>
      <c r="AM134" s="37">
        <f ca="1">IF($A134="","",IF(AM$1="","",COUNTIFS(tbl_chests[from],$A134,tbl_chests[legalized],AM$1,tbl_chests[datetime],"&gt;="&amp;TODAY()-WEEKDAY(TODAY(),2)+1,tbl_chests[datetime],"&lt;"&amp;TODAY()-WEEKDAY(TODAY(),2)+8)))</f>
        <v>0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 spans="1:67" ht="15.75" customHeight="1" x14ac:dyDescent="0.25">
      <c r="A135" s="34">
        <f>chests_counter!$H132</f>
        <v>0</v>
      </c>
      <c r="B135" s="35" cm="1">
        <f t="array" aca="1" ref="B135" ca="1">IF(A135&lt;&gt;"", SUMPRODUCT(($C$2:$AM$2&lt;&gt;0)*(C135:AM135&lt;&gt;0)*($C$2:$AM$2)*(C135:AM135)), "")</f>
        <v>0</v>
      </c>
      <c r="C135" s="36">
        <f ca="1">IF($A135="","",IF(C$1="","",COUNTIFS(tbl_chests[from],$A135,tbl_chests[legalized],C$1,tbl_chests[datetime],"&gt;="&amp;TODAY()-WEEKDAY(TODAY(),2)+1,tbl_chests[datetime],"&lt;"&amp;TODAY()-WEEKDAY(TODAY(),2)+8)))</f>
        <v>0</v>
      </c>
      <c r="D135" s="36">
        <f ca="1">IF($A135="","",IF(D$1="","",COUNTIFS(tbl_chests[from],$A135,tbl_chests[legalized],D$1,tbl_chests[datetime],"&gt;="&amp;TODAY()-WEEKDAY(TODAY(),2)+1,tbl_chests[datetime],"&lt;"&amp;TODAY()-WEEKDAY(TODAY(),2)+8)))</f>
        <v>0</v>
      </c>
      <c r="E135" s="36">
        <f ca="1">IF($A135="","",IF(E$1="","",COUNTIFS(tbl_chests[from],$A135,tbl_chests[legalized],E$1,tbl_chests[datetime],"&gt;="&amp;TODAY()-WEEKDAY(TODAY(),2)+1,tbl_chests[datetime],"&lt;"&amp;TODAY()-WEEKDAY(TODAY(),2)+8)))</f>
        <v>0</v>
      </c>
      <c r="F135" s="36">
        <f ca="1">IF($A135="","",IF(F$1="","",COUNTIFS(tbl_chests[from],$A135,tbl_chests[legalized],F$1,tbl_chests[datetime],"&gt;="&amp;TODAY()-WEEKDAY(TODAY(),2)+1,tbl_chests[datetime],"&lt;"&amp;TODAY()-WEEKDAY(TODAY(),2)+8)))</f>
        <v>0</v>
      </c>
      <c r="G135" s="36">
        <f ca="1">IF($A135="","",IF(G$1="","",COUNTIFS(tbl_chests[from],$A135,tbl_chests[legalized],G$1,tbl_chests[datetime],"&gt;="&amp;TODAY()-WEEKDAY(TODAY(),2)+1,tbl_chests[datetime],"&lt;"&amp;TODAY()-WEEKDAY(TODAY(),2)+8)))</f>
        <v>0</v>
      </c>
      <c r="H135" s="36">
        <f ca="1">IF($A135="","",IF(H$1="","",COUNTIFS(tbl_chests[from],$A135,tbl_chests[legalized],H$1,tbl_chests[datetime],"&gt;="&amp;TODAY()-WEEKDAY(TODAY(),2)+1,tbl_chests[datetime],"&lt;"&amp;TODAY()-WEEKDAY(TODAY(),2)+8)))</f>
        <v>0</v>
      </c>
      <c r="I135" s="36">
        <f ca="1">IF($A135="","",IF(I$1="","",COUNTIFS(tbl_chests[from],$A135,tbl_chests[legalized],I$1,tbl_chests[datetime],"&gt;="&amp;TODAY()-WEEKDAY(TODAY(),2)+1,tbl_chests[datetime],"&lt;"&amp;TODAY()-WEEKDAY(TODAY(),2)+8)))</f>
        <v>0</v>
      </c>
      <c r="J135" s="36">
        <f ca="1">IF($A135="","",IF(J$1="","",COUNTIFS(tbl_chests[from],$A135,tbl_chests[legalized],J$1,tbl_chests[datetime],"&gt;="&amp;TODAY()-WEEKDAY(TODAY(),2)+1,tbl_chests[datetime],"&lt;"&amp;TODAY()-WEEKDAY(TODAY(),2)+8)))</f>
        <v>0</v>
      </c>
      <c r="K135" s="36">
        <f ca="1">IF($A135="","",IF(K$1="","",COUNTIFS(tbl_chests[from],$A135,tbl_chests[legalized],K$1,tbl_chests[datetime],"&gt;="&amp;TODAY()-WEEKDAY(TODAY(),2)+1,tbl_chests[datetime],"&lt;"&amp;TODAY()-WEEKDAY(TODAY(),2)+8)))</f>
        <v>0</v>
      </c>
      <c r="L135" s="36">
        <f ca="1">IF($A135="","",IF(L$1="","",COUNTIFS(tbl_chests[from],$A135,tbl_chests[legalized],L$1,tbl_chests[datetime],"&gt;="&amp;TODAY()-WEEKDAY(TODAY(),2)+1,tbl_chests[datetime],"&lt;"&amp;TODAY()-WEEKDAY(TODAY(),2)+8)))</f>
        <v>0</v>
      </c>
      <c r="M135" s="36">
        <f ca="1">IF($A135="","",IF(M$1="","",COUNTIFS(tbl_chests[from],$A135,tbl_chests[legalized],M$1,tbl_chests[datetime],"&gt;="&amp;TODAY()-WEEKDAY(TODAY(),2)+1,tbl_chests[datetime],"&lt;"&amp;TODAY()-WEEKDAY(TODAY(),2)+8)))</f>
        <v>0</v>
      </c>
      <c r="N135" s="36">
        <f ca="1">IF($A135="","",IF(N$1="","",COUNTIFS(tbl_chests[from],$A135,tbl_chests[legalized],N$1,tbl_chests[datetime],"&gt;="&amp;TODAY()-WEEKDAY(TODAY(),2)+1,tbl_chests[datetime],"&lt;"&amp;TODAY()-WEEKDAY(TODAY(),2)+8)))</f>
        <v>0</v>
      </c>
      <c r="O135" s="36">
        <f ca="1">IF($A135="","",IF(O$1="","",COUNTIFS(tbl_chests[from],$A135,tbl_chests[legalized],O$1,tbl_chests[datetime],"&gt;="&amp;TODAY()-WEEKDAY(TODAY(),2)+1,tbl_chests[datetime],"&lt;"&amp;TODAY()-WEEKDAY(TODAY(),2)+8)))</f>
        <v>0</v>
      </c>
      <c r="P135" s="36">
        <f ca="1">IF($A135="","",IF(P$1="","",COUNTIFS(tbl_chests[from],$A135,tbl_chests[legalized],P$1,tbl_chests[datetime],"&gt;="&amp;TODAY()-WEEKDAY(TODAY(),2)+1,tbl_chests[datetime],"&lt;"&amp;TODAY()-WEEKDAY(TODAY(),2)+8)))</f>
        <v>0</v>
      </c>
      <c r="Q135" s="36">
        <f ca="1">IF($A135="","",IF(Q$1="","",COUNTIFS(tbl_chests[from],$A135,tbl_chests[legalized],Q$1,tbl_chests[datetime],"&gt;="&amp;TODAY()-WEEKDAY(TODAY(),2)+1,tbl_chests[datetime],"&lt;"&amp;TODAY()-WEEKDAY(TODAY(),2)+8)))</f>
        <v>0</v>
      </c>
      <c r="R135" s="36">
        <f ca="1">IF($A135="","",IF(R$1="","",COUNTIFS(tbl_chests[from],$A135,tbl_chests[legalized],R$1,tbl_chests[datetime],"&gt;="&amp;TODAY()-WEEKDAY(TODAY(),2)+1,tbl_chests[datetime],"&lt;"&amp;TODAY()-WEEKDAY(TODAY(),2)+8)))</f>
        <v>0</v>
      </c>
      <c r="S135" s="36">
        <f ca="1">IF($A135="","",IF(S$1="","",COUNTIFS(tbl_chests[from],$A135,tbl_chests[legalized],S$1,tbl_chests[datetime],"&gt;="&amp;TODAY()-WEEKDAY(TODAY(),2)+1,tbl_chests[datetime],"&lt;"&amp;TODAY()-WEEKDAY(TODAY(),2)+8)))</f>
        <v>0</v>
      </c>
      <c r="T135" s="36">
        <f ca="1">IF($A135="","",IF(T$1="","",COUNTIFS(tbl_chests[from],$A135,tbl_chests[legalized],T$1,tbl_chests[datetime],"&gt;="&amp;TODAY()-WEEKDAY(TODAY(),2)+1,tbl_chests[datetime],"&lt;"&amp;TODAY()-WEEKDAY(TODAY(),2)+8)))</f>
        <v>0</v>
      </c>
      <c r="U135" s="36">
        <f ca="1">IF($A135="","",IF(U$1="","",COUNTIFS(tbl_chests[from],$A135,tbl_chests[legalized],U$1,tbl_chests[datetime],"&gt;="&amp;TODAY()-WEEKDAY(TODAY(),2)+1,tbl_chests[datetime],"&lt;"&amp;TODAY()-WEEKDAY(TODAY(),2)+8)))</f>
        <v>0</v>
      </c>
      <c r="V135" s="36">
        <f ca="1">IF($A135="","",IF(V$1="","",COUNTIFS(tbl_chests[from],$A135,tbl_chests[legalized],V$1,tbl_chests[datetime],"&gt;="&amp;TODAY()-WEEKDAY(TODAY(),2)+1,tbl_chests[datetime],"&lt;"&amp;TODAY()-WEEKDAY(TODAY(),2)+8)))</f>
        <v>0</v>
      </c>
      <c r="W135" s="36">
        <f ca="1">IF($A135="","",IF(W$1="","",COUNTIFS(tbl_chests[from],$A135,tbl_chests[legalized],W$1,tbl_chests[datetime],"&gt;="&amp;TODAY()-WEEKDAY(TODAY(),2)+1,tbl_chests[datetime],"&lt;"&amp;TODAY()-WEEKDAY(TODAY(),2)+8)))</f>
        <v>0</v>
      </c>
      <c r="X135" s="36">
        <f ca="1">IF($A135="","",IF(X$1="","",COUNTIFS(tbl_chests[from],$A135,tbl_chests[legalized],X$1,tbl_chests[datetime],"&gt;="&amp;TODAY()-WEEKDAY(TODAY(),2)+1,tbl_chests[datetime],"&lt;"&amp;TODAY()-WEEKDAY(TODAY(),2)+8)))</f>
        <v>0</v>
      </c>
      <c r="Y135" s="36">
        <f ca="1">IF($A135="","",IF(Y$1="","",COUNTIFS(tbl_chests[from],$A135,tbl_chests[legalized],Y$1,tbl_chests[datetime],"&gt;="&amp;TODAY()-WEEKDAY(TODAY(),2)+1,tbl_chests[datetime],"&lt;"&amp;TODAY()-WEEKDAY(TODAY(),2)+8)))</f>
        <v>0</v>
      </c>
      <c r="Z135" s="36">
        <f ca="1">IF($A135="","",IF(Z$1="","",COUNTIFS(tbl_chests[from],$A135,tbl_chests[legalized],Z$1,tbl_chests[datetime],"&gt;="&amp;TODAY()-WEEKDAY(TODAY(),2)+1,tbl_chests[datetime],"&lt;"&amp;TODAY()-WEEKDAY(TODAY(),2)+8)))</f>
        <v>0</v>
      </c>
      <c r="AA135" s="36">
        <f ca="1">IF($A135="","",IF(AA$1="","",COUNTIFS(tbl_chests[from],$A135,tbl_chests[legalized],AA$1,tbl_chests[datetime],"&gt;="&amp;TODAY()-WEEKDAY(TODAY(),2)+1,tbl_chests[datetime],"&lt;"&amp;TODAY()-WEEKDAY(TODAY(),2)+8)))</f>
        <v>0</v>
      </c>
      <c r="AB135" s="36">
        <f ca="1">IF($A135="","",IF(AB$1="","",COUNTIFS(tbl_chests[from],$A135,tbl_chests[legalized],AB$1,tbl_chests[datetime],"&gt;="&amp;TODAY()-WEEKDAY(TODAY(),2)+1,tbl_chests[datetime],"&lt;"&amp;TODAY()-WEEKDAY(TODAY(),2)+8)))</f>
        <v>0</v>
      </c>
      <c r="AC135" s="36">
        <f ca="1">IF($A135="","",IF(AC$1="","",COUNTIFS(tbl_chests[from],$A135,tbl_chests[legalized],AC$1,tbl_chests[datetime],"&gt;="&amp;TODAY()-WEEKDAY(TODAY(),2)+1,tbl_chests[datetime],"&lt;"&amp;TODAY()-WEEKDAY(TODAY(),2)+8)))</f>
        <v>0</v>
      </c>
      <c r="AD135" s="36">
        <f ca="1">IF($A135="","",IF(AD$1="","",COUNTIFS(tbl_chests[from],$A135,tbl_chests[legalized],AD$1,tbl_chests[datetime],"&gt;="&amp;TODAY()-WEEKDAY(TODAY(),2)+1,tbl_chests[datetime],"&lt;"&amp;TODAY()-WEEKDAY(TODAY(),2)+8)))</f>
        <v>0</v>
      </c>
      <c r="AE135" s="36">
        <f ca="1">IF($A135="","",IF(AE$1="","",COUNTIFS(tbl_chests[from],$A135,tbl_chests[legalized],AE$1,tbl_chests[datetime],"&gt;="&amp;TODAY()-WEEKDAY(TODAY(),2)+1,tbl_chests[datetime],"&lt;"&amp;TODAY()-WEEKDAY(TODAY(),2)+8)))</f>
        <v>0</v>
      </c>
      <c r="AF135" s="36">
        <f ca="1">IF($A135="","",IF(AF$1="","",COUNTIFS(tbl_chests[from],$A135,tbl_chests[legalized],AF$1,tbl_chests[datetime],"&gt;="&amp;TODAY()-WEEKDAY(TODAY(),2)+1,tbl_chests[datetime],"&lt;"&amp;TODAY()-WEEKDAY(TODAY(),2)+8)))</f>
        <v>0</v>
      </c>
      <c r="AG135" s="36">
        <f ca="1">IF($A135="","",IF(AG$1="","",COUNTIFS(tbl_chests[from],$A135,tbl_chests[legalized],AG$1,tbl_chests[datetime],"&gt;="&amp;TODAY()-WEEKDAY(TODAY(),2)+1,tbl_chests[datetime],"&lt;"&amp;TODAY()-WEEKDAY(TODAY(),2)+8)))</f>
        <v>0</v>
      </c>
      <c r="AH135" s="36">
        <f ca="1">IF($A135="","",IF(AH$1="","",COUNTIFS(tbl_chests[from],$A135,tbl_chests[legalized],AH$1,tbl_chests[datetime],"&gt;="&amp;TODAY()-WEEKDAY(TODAY(),2)+1,tbl_chests[datetime],"&lt;"&amp;TODAY()-WEEKDAY(TODAY(),2)+8)))</f>
        <v>0</v>
      </c>
      <c r="AI135" s="36">
        <f ca="1">IF($A135="","",IF(AI$1="","",COUNTIFS(tbl_chests[from],$A135,tbl_chests[legalized],AI$1,tbl_chests[datetime],"&gt;="&amp;TODAY()-WEEKDAY(TODAY(),2)+1,tbl_chests[datetime],"&lt;"&amp;TODAY()-WEEKDAY(TODAY(),2)+8)))</f>
        <v>0</v>
      </c>
      <c r="AJ135" s="36">
        <f ca="1">IF($A135="","",IF(AJ$1="","",COUNTIFS(tbl_chests[from],$A135,tbl_chests[legalized],AJ$1,tbl_chests[datetime],"&gt;="&amp;TODAY()-WEEKDAY(TODAY(),2)+1,tbl_chests[datetime],"&lt;"&amp;TODAY()-WEEKDAY(TODAY(),2)+8)))</f>
        <v>0</v>
      </c>
      <c r="AK135" s="36">
        <f ca="1">IF($A135="","",IF(AK$1="","",COUNTIFS(tbl_chests[from],$A135,tbl_chests[legalized],AK$1,tbl_chests[datetime],"&gt;="&amp;TODAY()-WEEKDAY(TODAY(),2)+1,tbl_chests[datetime],"&lt;"&amp;TODAY()-WEEKDAY(TODAY(),2)+8)))</f>
        <v>0</v>
      </c>
      <c r="AL135" s="36">
        <f ca="1">IF($A135="","",IF(AL$1="","",COUNTIFS(tbl_chests[from],$A135,tbl_chests[legalized],AL$1,tbl_chests[datetime],"&gt;="&amp;TODAY()-WEEKDAY(TODAY(),2)+1,tbl_chests[datetime],"&lt;"&amp;TODAY()-WEEKDAY(TODAY(),2)+8)))</f>
        <v>0</v>
      </c>
      <c r="AM135" s="37">
        <f ca="1">IF($A135="","",IF(AM$1="","",COUNTIFS(tbl_chests[from],$A135,tbl_chests[legalized],AM$1,tbl_chests[datetime],"&gt;="&amp;TODAY()-WEEKDAY(TODAY(),2)+1,tbl_chests[datetime],"&lt;"&amp;TODAY()-WEEKDAY(TODAY(),2)+8)))</f>
        <v>0</v>
      </c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 ht="15.75" customHeight="1" thickBot="1" x14ac:dyDescent="0.3">
      <c r="A136" s="38">
        <f>chests_counter!$H133</f>
        <v>0</v>
      </c>
      <c r="B136" s="39" cm="1">
        <f t="array" aca="1" ref="B136" ca="1">IF(A136&lt;&gt;"", SUMPRODUCT(($C$2:$AM$2&lt;&gt;0)*(C136:AM136&lt;&gt;0)*($C$2:$AM$2)*(C136:AM136)), "")</f>
        <v>0</v>
      </c>
      <c r="C136" s="40">
        <f ca="1">IF($A136="","",IF(C$1="","",COUNTIFS(tbl_chests[from],$A136,tbl_chests[legalized],C$1,tbl_chests[datetime],"&gt;="&amp;TODAY()-WEEKDAY(TODAY(),2)+1,tbl_chests[datetime],"&lt;"&amp;TODAY()-WEEKDAY(TODAY(),2)+8)))</f>
        <v>0</v>
      </c>
      <c r="D136" s="40">
        <f ca="1">IF($A136="","",IF(D$1="","",COUNTIFS(tbl_chests[from],$A136,tbl_chests[legalized],D$1,tbl_chests[datetime],"&gt;="&amp;TODAY()-WEEKDAY(TODAY(),2)+1,tbl_chests[datetime],"&lt;"&amp;TODAY()-WEEKDAY(TODAY(),2)+8)))</f>
        <v>0</v>
      </c>
      <c r="E136" s="40">
        <f ca="1">IF($A136="","",IF(E$1="","",COUNTIFS(tbl_chests[from],$A136,tbl_chests[legalized],E$1,tbl_chests[datetime],"&gt;="&amp;TODAY()-WEEKDAY(TODAY(),2)+1,tbl_chests[datetime],"&lt;"&amp;TODAY()-WEEKDAY(TODAY(),2)+8)))</f>
        <v>0</v>
      </c>
      <c r="F136" s="40">
        <f ca="1">IF($A136="","",IF(F$1="","",COUNTIFS(tbl_chests[from],$A136,tbl_chests[legalized],F$1,tbl_chests[datetime],"&gt;="&amp;TODAY()-WEEKDAY(TODAY(),2)+1,tbl_chests[datetime],"&lt;"&amp;TODAY()-WEEKDAY(TODAY(),2)+8)))</f>
        <v>0</v>
      </c>
      <c r="G136" s="40">
        <f ca="1">IF($A136="","",IF(G$1="","",COUNTIFS(tbl_chests[from],$A136,tbl_chests[legalized],G$1,tbl_chests[datetime],"&gt;="&amp;TODAY()-WEEKDAY(TODAY(),2)+1,tbl_chests[datetime],"&lt;"&amp;TODAY()-WEEKDAY(TODAY(),2)+8)))</f>
        <v>0</v>
      </c>
      <c r="H136" s="40">
        <f ca="1">IF($A136="","",IF(H$1="","",COUNTIFS(tbl_chests[from],$A136,tbl_chests[legalized],H$1,tbl_chests[datetime],"&gt;="&amp;TODAY()-WEEKDAY(TODAY(),2)+1,tbl_chests[datetime],"&lt;"&amp;TODAY()-WEEKDAY(TODAY(),2)+8)))</f>
        <v>0</v>
      </c>
      <c r="I136" s="40">
        <f ca="1">IF($A136="","",IF(I$1="","",COUNTIFS(tbl_chests[from],$A136,tbl_chests[legalized],I$1,tbl_chests[datetime],"&gt;="&amp;TODAY()-WEEKDAY(TODAY(),2)+1,tbl_chests[datetime],"&lt;"&amp;TODAY()-WEEKDAY(TODAY(),2)+8)))</f>
        <v>0</v>
      </c>
      <c r="J136" s="40">
        <f ca="1">IF($A136="","",IF(J$1="","",COUNTIFS(tbl_chests[from],$A136,tbl_chests[legalized],J$1,tbl_chests[datetime],"&gt;="&amp;TODAY()-WEEKDAY(TODAY(),2)+1,tbl_chests[datetime],"&lt;"&amp;TODAY()-WEEKDAY(TODAY(),2)+8)))</f>
        <v>0</v>
      </c>
      <c r="K136" s="40">
        <f ca="1">IF($A136="","",IF(K$1="","",COUNTIFS(tbl_chests[from],$A136,tbl_chests[legalized],K$1,tbl_chests[datetime],"&gt;="&amp;TODAY()-WEEKDAY(TODAY(),2)+1,tbl_chests[datetime],"&lt;"&amp;TODAY()-WEEKDAY(TODAY(),2)+8)))</f>
        <v>0</v>
      </c>
      <c r="L136" s="40">
        <f ca="1">IF($A136="","",IF(L$1="","",COUNTIFS(tbl_chests[from],$A136,tbl_chests[legalized],L$1,tbl_chests[datetime],"&gt;="&amp;TODAY()-WEEKDAY(TODAY(),2)+1,tbl_chests[datetime],"&lt;"&amp;TODAY()-WEEKDAY(TODAY(),2)+8)))</f>
        <v>0</v>
      </c>
      <c r="M136" s="40">
        <f ca="1">IF($A136="","",IF(M$1="","",COUNTIFS(tbl_chests[from],$A136,tbl_chests[legalized],M$1,tbl_chests[datetime],"&gt;="&amp;TODAY()-WEEKDAY(TODAY(),2)+1,tbl_chests[datetime],"&lt;"&amp;TODAY()-WEEKDAY(TODAY(),2)+8)))</f>
        <v>0</v>
      </c>
      <c r="N136" s="40">
        <f ca="1">IF($A136="","",IF(N$1="","",COUNTIFS(tbl_chests[from],$A136,tbl_chests[legalized],N$1,tbl_chests[datetime],"&gt;="&amp;TODAY()-WEEKDAY(TODAY(),2)+1,tbl_chests[datetime],"&lt;"&amp;TODAY()-WEEKDAY(TODAY(),2)+8)))</f>
        <v>0</v>
      </c>
      <c r="O136" s="40">
        <f ca="1">IF($A136="","",IF(O$1="","",COUNTIFS(tbl_chests[from],$A136,tbl_chests[legalized],O$1,tbl_chests[datetime],"&gt;="&amp;TODAY()-WEEKDAY(TODAY(),2)+1,tbl_chests[datetime],"&lt;"&amp;TODAY()-WEEKDAY(TODAY(),2)+8)))</f>
        <v>0</v>
      </c>
      <c r="P136" s="40">
        <f ca="1">IF($A136="","",IF(P$1="","",COUNTIFS(tbl_chests[from],$A136,tbl_chests[legalized],P$1,tbl_chests[datetime],"&gt;="&amp;TODAY()-WEEKDAY(TODAY(),2)+1,tbl_chests[datetime],"&lt;"&amp;TODAY()-WEEKDAY(TODAY(),2)+8)))</f>
        <v>0</v>
      </c>
      <c r="Q136" s="40">
        <f ca="1">IF($A136="","",IF(Q$1="","",COUNTIFS(tbl_chests[from],$A136,tbl_chests[legalized],Q$1,tbl_chests[datetime],"&gt;="&amp;TODAY()-WEEKDAY(TODAY(),2)+1,tbl_chests[datetime],"&lt;"&amp;TODAY()-WEEKDAY(TODAY(),2)+8)))</f>
        <v>0</v>
      </c>
      <c r="R136" s="40">
        <f ca="1">IF($A136="","",IF(R$1="","",COUNTIFS(tbl_chests[from],$A136,tbl_chests[legalized],R$1,tbl_chests[datetime],"&gt;="&amp;TODAY()-WEEKDAY(TODAY(),2)+1,tbl_chests[datetime],"&lt;"&amp;TODAY()-WEEKDAY(TODAY(),2)+8)))</f>
        <v>0</v>
      </c>
      <c r="S136" s="40">
        <f ca="1">IF($A136="","",IF(S$1="","",COUNTIFS(tbl_chests[from],$A136,tbl_chests[legalized],S$1,tbl_chests[datetime],"&gt;="&amp;TODAY()-WEEKDAY(TODAY(),2)+1,tbl_chests[datetime],"&lt;"&amp;TODAY()-WEEKDAY(TODAY(),2)+8)))</f>
        <v>0</v>
      </c>
      <c r="T136" s="40">
        <f ca="1">IF($A136="","",IF(T$1="","",COUNTIFS(tbl_chests[from],$A136,tbl_chests[legalized],T$1,tbl_chests[datetime],"&gt;="&amp;TODAY()-WEEKDAY(TODAY(),2)+1,tbl_chests[datetime],"&lt;"&amp;TODAY()-WEEKDAY(TODAY(),2)+8)))</f>
        <v>0</v>
      </c>
      <c r="U136" s="40">
        <f ca="1">IF($A136="","",IF(U$1="","",COUNTIFS(tbl_chests[from],$A136,tbl_chests[legalized],U$1,tbl_chests[datetime],"&gt;="&amp;TODAY()-WEEKDAY(TODAY(),2)+1,tbl_chests[datetime],"&lt;"&amp;TODAY()-WEEKDAY(TODAY(),2)+8)))</f>
        <v>0</v>
      </c>
      <c r="V136" s="40">
        <f ca="1">IF($A136="","",IF(V$1="","",COUNTIFS(tbl_chests[from],$A136,tbl_chests[legalized],V$1,tbl_chests[datetime],"&gt;="&amp;TODAY()-WEEKDAY(TODAY(),2)+1,tbl_chests[datetime],"&lt;"&amp;TODAY()-WEEKDAY(TODAY(),2)+8)))</f>
        <v>0</v>
      </c>
      <c r="W136" s="40">
        <f ca="1">IF($A136="","",IF(W$1="","",COUNTIFS(tbl_chests[from],$A136,tbl_chests[legalized],W$1,tbl_chests[datetime],"&gt;="&amp;TODAY()-WEEKDAY(TODAY(),2)+1,tbl_chests[datetime],"&lt;"&amp;TODAY()-WEEKDAY(TODAY(),2)+8)))</f>
        <v>0</v>
      </c>
      <c r="X136" s="40">
        <f ca="1">IF($A136="","",IF(X$1="","",COUNTIFS(tbl_chests[from],$A136,tbl_chests[legalized],X$1,tbl_chests[datetime],"&gt;="&amp;TODAY()-WEEKDAY(TODAY(),2)+1,tbl_chests[datetime],"&lt;"&amp;TODAY()-WEEKDAY(TODAY(),2)+8)))</f>
        <v>0</v>
      </c>
      <c r="Y136" s="40">
        <f ca="1">IF($A136="","",IF(Y$1="","",COUNTIFS(tbl_chests[from],$A136,tbl_chests[legalized],Y$1,tbl_chests[datetime],"&gt;="&amp;TODAY()-WEEKDAY(TODAY(),2)+1,tbl_chests[datetime],"&lt;"&amp;TODAY()-WEEKDAY(TODAY(),2)+8)))</f>
        <v>0</v>
      </c>
      <c r="Z136" s="40">
        <f ca="1">IF($A136="","",IF(Z$1="","",COUNTIFS(tbl_chests[from],$A136,tbl_chests[legalized],Z$1,tbl_chests[datetime],"&gt;="&amp;TODAY()-WEEKDAY(TODAY(),2)+1,tbl_chests[datetime],"&lt;"&amp;TODAY()-WEEKDAY(TODAY(),2)+8)))</f>
        <v>0</v>
      </c>
      <c r="AA136" s="40">
        <f ca="1">IF($A136="","",IF(AA$1="","",COUNTIFS(tbl_chests[from],$A136,tbl_chests[legalized],AA$1,tbl_chests[datetime],"&gt;="&amp;TODAY()-WEEKDAY(TODAY(),2)+1,tbl_chests[datetime],"&lt;"&amp;TODAY()-WEEKDAY(TODAY(),2)+8)))</f>
        <v>0</v>
      </c>
      <c r="AB136" s="40">
        <f ca="1">IF($A136="","",IF(AB$1="","",COUNTIFS(tbl_chests[from],$A136,tbl_chests[legalized],AB$1,tbl_chests[datetime],"&gt;="&amp;TODAY()-WEEKDAY(TODAY(),2)+1,tbl_chests[datetime],"&lt;"&amp;TODAY()-WEEKDAY(TODAY(),2)+8)))</f>
        <v>0</v>
      </c>
      <c r="AC136" s="40">
        <f ca="1">IF($A136="","",IF(AC$1="","",COUNTIFS(tbl_chests[from],$A136,tbl_chests[legalized],AC$1,tbl_chests[datetime],"&gt;="&amp;TODAY()-WEEKDAY(TODAY(),2)+1,tbl_chests[datetime],"&lt;"&amp;TODAY()-WEEKDAY(TODAY(),2)+8)))</f>
        <v>0</v>
      </c>
      <c r="AD136" s="40">
        <f ca="1">IF($A136="","",IF(AD$1="","",COUNTIFS(tbl_chests[from],$A136,tbl_chests[legalized],AD$1,tbl_chests[datetime],"&gt;="&amp;TODAY()-WEEKDAY(TODAY(),2)+1,tbl_chests[datetime],"&lt;"&amp;TODAY()-WEEKDAY(TODAY(),2)+8)))</f>
        <v>0</v>
      </c>
      <c r="AE136" s="40">
        <f ca="1">IF($A136="","",IF(AE$1="","",COUNTIFS(tbl_chests[from],$A136,tbl_chests[legalized],AE$1,tbl_chests[datetime],"&gt;="&amp;TODAY()-WEEKDAY(TODAY(),2)+1,tbl_chests[datetime],"&lt;"&amp;TODAY()-WEEKDAY(TODAY(),2)+8)))</f>
        <v>0</v>
      </c>
      <c r="AF136" s="40">
        <f ca="1">IF($A136="","",IF(AF$1="","",COUNTIFS(tbl_chests[from],$A136,tbl_chests[legalized],AF$1,tbl_chests[datetime],"&gt;="&amp;TODAY()-WEEKDAY(TODAY(),2)+1,tbl_chests[datetime],"&lt;"&amp;TODAY()-WEEKDAY(TODAY(),2)+8)))</f>
        <v>0</v>
      </c>
      <c r="AG136" s="40">
        <f ca="1">IF($A136="","",IF(AG$1="","",COUNTIFS(tbl_chests[from],$A136,tbl_chests[legalized],AG$1,tbl_chests[datetime],"&gt;="&amp;TODAY()-WEEKDAY(TODAY(),2)+1,tbl_chests[datetime],"&lt;"&amp;TODAY()-WEEKDAY(TODAY(),2)+8)))</f>
        <v>0</v>
      </c>
      <c r="AH136" s="40">
        <f ca="1">IF($A136="","",IF(AH$1="","",COUNTIFS(tbl_chests[from],$A136,tbl_chests[legalized],AH$1,tbl_chests[datetime],"&gt;="&amp;TODAY()-WEEKDAY(TODAY(),2)+1,tbl_chests[datetime],"&lt;"&amp;TODAY()-WEEKDAY(TODAY(),2)+8)))</f>
        <v>0</v>
      </c>
      <c r="AI136" s="40">
        <f ca="1">IF($A136="","",IF(AI$1="","",COUNTIFS(tbl_chests[from],$A136,tbl_chests[legalized],AI$1,tbl_chests[datetime],"&gt;="&amp;TODAY()-WEEKDAY(TODAY(),2)+1,tbl_chests[datetime],"&lt;"&amp;TODAY()-WEEKDAY(TODAY(),2)+8)))</f>
        <v>0</v>
      </c>
      <c r="AJ136" s="40">
        <f ca="1">IF($A136="","",IF(AJ$1="","",COUNTIFS(tbl_chests[from],$A136,tbl_chests[legalized],AJ$1,tbl_chests[datetime],"&gt;="&amp;TODAY()-WEEKDAY(TODAY(),2)+1,tbl_chests[datetime],"&lt;"&amp;TODAY()-WEEKDAY(TODAY(),2)+8)))</f>
        <v>0</v>
      </c>
      <c r="AK136" s="40">
        <f ca="1">IF($A136="","",IF(AK$1="","",COUNTIFS(tbl_chests[from],$A136,tbl_chests[legalized],AK$1,tbl_chests[datetime],"&gt;="&amp;TODAY()-WEEKDAY(TODAY(),2)+1,tbl_chests[datetime],"&lt;"&amp;TODAY()-WEEKDAY(TODAY(),2)+8)))</f>
        <v>0</v>
      </c>
      <c r="AL136" s="40">
        <f ca="1">IF($A136="","",IF(AL$1="","",COUNTIFS(tbl_chests[from],$A136,tbl_chests[legalized],AL$1,tbl_chests[datetime],"&gt;="&amp;TODAY()-WEEKDAY(TODAY(),2)+1,tbl_chests[datetime],"&lt;"&amp;TODAY()-WEEKDAY(TODAY(),2)+8)))</f>
        <v>0</v>
      </c>
      <c r="AM136" s="41">
        <f ca="1">IF($A136="","",IF(AM$1="","",COUNTIFS(tbl_chests[from],$A136,tbl_chests[legalized],AM$1,tbl_chests[datetime],"&gt;="&amp;TODAY()-WEEKDAY(TODAY(),2)+1,tbl_chests[datetime],"&lt;"&amp;TODAY()-WEEKDAY(TODAY(),2)+8)))</f>
        <v>0</v>
      </c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 ht="15.75" customHeight="1" x14ac:dyDescent="0.25">
      <c r="A137" s="5"/>
      <c r="B137" s="5"/>
      <c r="C137" s="6" t="str">
        <f>IF($A137 = "","",IF(C$1 = "","",COUNTIFS(#REF!,$A137,#REF!,C$1)))</f>
        <v/>
      </c>
      <c r="D137" s="6" t="str">
        <f>IF($A137 = "","",IF(D$1 = "","",COUNTIFS(#REF!,$A137,#REF!,D$1)))</f>
        <v/>
      </c>
      <c r="E137" s="6" t="str">
        <f>IF($A137 = "","",IF(E$1 = "","",COUNTIFS(#REF!,$A137,#REF!,E$1)))</f>
        <v/>
      </c>
      <c r="F137" s="6" t="str">
        <f>IF($A137 = "","",IF(F$1 = "","",COUNTIFS(#REF!,$A137,#REF!,F$1)))</f>
        <v/>
      </c>
      <c r="G137" s="6" t="str">
        <f>IF($A137 = "","",IF(G$1 = "","",COUNTIFS(#REF!,$A137,#REF!,G$1)))</f>
        <v/>
      </c>
      <c r="H137" s="6" t="str">
        <f>IF($A137 = "","",IF(H$1 = "","",COUNTIFS(#REF!,$A137,#REF!,H$1)))</f>
        <v/>
      </c>
      <c r="I137" s="6" t="str">
        <f>IF($A137 = "","",IF(I$1 = "","",COUNTIFS(#REF!,$A137,#REF!,I$1)))</f>
        <v/>
      </c>
      <c r="J137" s="6" t="str">
        <f>IF($A137 = "","",IF(J$1 = "","",COUNTIFS(#REF!,$A137,#REF!,J$1)))</f>
        <v/>
      </c>
      <c r="K137" s="6" t="str">
        <f>IF($A137 = "","",IF(K$1 = "","",COUNTIFS(#REF!,$A137,#REF!,K$1)))</f>
        <v/>
      </c>
      <c r="L137" s="6" t="str">
        <f>IF($A137 = "","",IF(L$1 = "","",COUNTIFS(#REF!,$A137,#REF!,L$1)))</f>
        <v/>
      </c>
      <c r="M137" s="6" t="str">
        <f>IF($A137 = "","",IF(M$1 = "","",COUNTIFS(#REF!,$A137,#REF!,M$1)))</f>
        <v/>
      </c>
      <c r="N137" s="6" t="str">
        <f>IF($A137 = "","",IF(N$1 = "","",COUNTIFS(#REF!,$A137,#REF!,N$1)))</f>
        <v/>
      </c>
      <c r="O137" s="6" t="str">
        <f>IF($A137 = "","",IF(O$1 = "","",COUNTIFS(#REF!,$A137,#REF!,O$1)))</f>
        <v/>
      </c>
      <c r="P137" s="6" t="str">
        <f>IF($A137 = "","",IF(P$1 = "","",COUNTIFS(#REF!,$A137,#REF!,P$1)))</f>
        <v/>
      </c>
      <c r="Q137" s="6" t="str">
        <f>IF($A137 = "","",IF(Q$1 = "","",COUNTIFS(#REF!,$A137,#REF!,Q$1)))</f>
        <v/>
      </c>
      <c r="R137" s="6" t="str">
        <f>IF($A137 = "","",IF(R$1 = "","",COUNTIFS(#REF!,$A137,#REF!,R$1)))</f>
        <v/>
      </c>
      <c r="S137" s="6" t="str">
        <f>IF($A137 = "","",IF(S$1 = "","",COUNTIFS(#REF!,$A137,#REF!,S$1)))</f>
        <v/>
      </c>
      <c r="T137" s="6" t="str">
        <f>IF($A137 = "","",IF(T$1 = "","",COUNTIFS(#REF!,$A137,#REF!,T$1)))</f>
        <v/>
      </c>
      <c r="U137" s="6" t="str">
        <f>IF($A137 = "","",IF(U$1 = "","",COUNTIFS(#REF!,$A137,#REF!,U$1)))</f>
        <v/>
      </c>
      <c r="V137" s="6" t="str">
        <f>IF($A137 = "","",IF(V$1 = "","",COUNTIFS(#REF!,$A137,#REF!,V$1)))</f>
        <v/>
      </c>
      <c r="W137" s="6" t="str">
        <f>IF($A137 = "","",IF(W$1 = "","",COUNTIFS(#REF!,$A137,#REF!,W$1)))</f>
        <v/>
      </c>
      <c r="X137" s="6" t="str">
        <f>IF($A137 = "","",IF(X$1 = "","",COUNTIFS(#REF!,$A137,#REF!,X$1)))</f>
        <v/>
      </c>
      <c r="Y137" s="6" t="str">
        <f>IF($A137 = "","",IF(Y$1 = "","",COUNTIFS(#REF!,$A137,#REF!,Y$1)))</f>
        <v/>
      </c>
      <c r="Z137" s="6" t="str">
        <f>IF($A137 = "","",IF(Z$1 = "","",COUNTIFS(#REF!,$A137,#REF!,Z$1)))</f>
        <v/>
      </c>
      <c r="AA137" s="6" t="str">
        <f>IF($A137 = "","",IF(AA$1 = "","",COUNTIFS(#REF!,$A137,#REF!,AA$1)))</f>
        <v/>
      </c>
      <c r="AB137" s="6" t="str">
        <f>IF($A137 = "","",IF(AB$1 = "","",COUNTIFS(#REF!,$A137,#REF!,AB$1)))</f>
        <v/>
      </c>
      <c r="AC137" s="6" t="str">
        <f>IF($A137 = "","",IF(AC$1 = "","",COUNTIFS(#REF!,$A137,#REF!,AC$1)))</f>
        <v/>
      </c>
      <c r="AD137" s="6" t="str">
        <f>IF($A137 = "","",IF(AD$1 = "","",COUNTIFS(#REF!,$A137,#REF!,AD$1)))</f>
        <v/>
      </c>
      <c r="AE137" s="6" t="str">
        <f>IF($A137 = "","",IF(AE$1 = "","",COUNTIFS(#REF!,$A137,#REF!,AE$1)))</f>
        <v/>
      </c>
      <c r="AF137" s="6" t="str">
        <f>IF($A137 = "","",IF(AF$1 = "","",COUNTIFS(#REF!,$A137,#REF!,AF$1)))</f>
        <v/>
      </c>
      <c r="AG137" s="6" t="str">
        <f>IF($A137 = "","",IF(AG$1 = "","",COUNTIFS(#REF!,$A137,#REF!,AG$1)))</f>
        <v/>
      </c>
      <c r="AH137" s="6" t="str">
        <f>IF($A137 = "","",IF(AH$1 = "","",COUNTIFS(#REF!,$A137,#REF!,AH$1)))</f>
        <v/>
      </c>
      <c r="AI137" s="6" t="str">
        <f>IF($A137 = "","",IF(AI$1 = "","",COUNTIFS(#REF!,$A137,#REF!,AI$1)))</f>
        <v/>
      </c>
      <c r="AJ137" s="6" t="str">
        <f>IF($A137 = "","",IF(AJ$1 = "","",COUNTIFS(#REF!,$A137,#REF!,AJ$1)))</f>
        <v/>
      </c>
      <c r="AK137" s="6" t="str">
        <f>IF($A137 = "","",IF(AK$1 = "","",COUNTIFS(#REF!,$A137,#REF!,AK$1)))</f>
        <v/>
      </c>
      <c r="AL137" s="6" t="str">
        <f>IF($A137 = "","",IF(AL$1 = "","",COUNTIFS(#REF!,$A137,#REF!,AL$1)))</f>
        <v/>
      </c>
      <c r="AM137" s="6" t="str">
        <f>IF($A137 = "","",IF(AM$1 = "","",COUNTIFS(#REF!,$A137,#REF!,AM$1)))</f>
        <v/>
      </c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 ht="15.75" customHeight="1" x14ac:dyDescent="0.25">
      <c r="A138" s="5"/>
      <c r="B138" s="5"/>
      <c r="C138" s="6" t="str">
        <f>IF($A138 = "","",IF(C$1 = "","",COUNTIFS(#REF!,$A138,#REF!,C$1)))</f>
        <v/>
      </c>
      <c r="D138" s="6" t="str">
        <f>IF($A138 = "","",IF(D$1 = "","",COUNTIFS(#REF!,$A138,#REF!,D$1)))</f>
        <v/>
      </c>
      <c r="E138" s="6" t="str">
        <f>IF($A138 = "","",IF(E$1 = "","",COUNTIFS(#REF!,$A138,#REF!,E$1)))</f>
        <v/>
      </c>
      <c r="F138" s="6" t="str">
        <f>IF($A138 = "","",IF(F$1 = "","",COUNTIFS(#REF!,$A138,#REF!,F$1)))</f>
        <v/>
      </c>
      <c r="G138" s="6" t="str">
        <f>IF($A138 = "","",IF(G$1 = "","",COUNTIFS(#REF!,$A138,#REF!,G$1)))</f>
        <v/>
      </c>
      <c r="H138" s="6" t="str">
        <f>IF($A138 = "","",IF(H$1 = "","",COUNTIFS(#REF!,$A138,#REF!,H$1)))</f>
        <v/>
      </c>
      <c r="I138" s="6" t="str">
        <f>IF($A138 = "","",IF(I$1 = "","",COUNTIFS(#REF!,$A138,#REF!,I$1)))</f>
        <v/>
      </c>
      <c r="J138" s="6" t="str">
        <f>IF($A138 = "","",IF(J$1 = "","",COUNTIFS(#REF!,$A138,#REF!,J$1)))</f>
        <v/>
      </c>
      <c r="K138" s="6" t="str">
        <f>IF($A138 = "","",IF(K$1 = "","",COUNTIFS(#REF!,$A138,#REF!,K$1)))</f>
        <v/>
      </c>
      <c r="L138" s="6" t="str">
        <f>IF($A138 = "","",IF(L$1 = "","",COUNTIFS(#REF!,$A138,#REF!,L$1)))</f>
        <v/>
      </c>
      <c r="M138" s="6" t="str">
        <f>IF($A138 = "","",IF(M$1 = "","",COUNTIFS(#REF!,$A138,#REF!,M$1)))</f>
        <v/>
      </c>
      <c r="N138" s="6" t="str">
        <f>IF($A138 = "","",IF(N$1 = "","",COUNTIFS(#REF!,$A138,#REF!,N$1)))</f>
        <v/>
      </c>
      <c r="O138" s="6" t="str">
        <f>IF($A138 = "","",IF(O$1 = "","",COUNTIFS(#REF!,$A138,#REF!,O$1)))</f>
        <v/>
      </c>
      <c r="P138" s="6" t="str">
        <f>IF($A138 = "","",IF(P$1 = "","",COUNTIFS(#REF!,$A138,#REF!,P$1)))</f>
        <v/>
      </c>
      <c r="Q138" s="6" t="str">
        <f>IF($A138 = "","",IF(Q$1 = "","",COUNTIFS(#REF!,$A138,#REF!,Q$1)))</f>
        <v/>
      </c>
      <c r="R138" s="6" t="str">
        <f>IF($A138 = "","",IF(R$1 = "","",COUNTIFS(#REF!,$A138,#REF!,R$1)))</f>
        <v/>
      </c>
      <c r="S138" s="6" t="str">
        <f>IF($A138 = "","",IF(S$1 = "","",COUNTIFS(#REF!,$A138,#REF!,S$1)))</f>
        <v/>
      </c>
      <c r="T138" s="6" t="str">
        <f>IF($A138 = "","",IF(T$1 = "","",COUNTIFS(#REF!,$A138,#REF!,T$1)))</f>
        <v/>
      </c>
      <c r="U138" s="6" t="str">
        <f>IF($A138 = "","",IF(U$1 = "","",COUNTIFS(#REF!,$A138,#REF!,U$1)))</f>
        <v/>
      </c>
      <c r="V138" s="6" t="str">
        <f>IF($A138 = "","",IF(V$1 = "","",COUNTIFS(#REF!,$A138,#REF!,V$1)))</f>
        <v/>
      </c>
      <c r="W138" s="6" t="str">
        <f>IF($A138 = "","",IF(W$1 = "","",COUNTIFS(#REF!,$A138,#REF!,W$1)))</f>
        <v/>
      </c>
      <c r="X138" s="6" t="str">
        <f>IF($A138 = "","",IF(X$1 = "","",COUNTIFS(#REF!,$A138,#REF!,X$1)))</f>
        <v/>
      </c>
      <c r="Y138" s="6" t="str">
        <f>IF($A138 = "","",IF(Y$1 = "","",COUNTIFS(#REF!,$A138,#REF!,Y$1)))</f>
        <v/>
      </c>
      <c r="Z138" s="6" t="str">
        <f>IF($A138 = "","",IF(Z$1 = "","",COUNTIFS(#REF!,$A138,#REF!,Z$1)))</f>
        <v/>
      </c>
      <c r="AA138" s="6" t="str">
        <f>IF($A138 = "","",IF(AA$1 = "","",COUNTIFS(#REF!,$A138,#REF!,AA$1)))</f>
        <v/>
      </c>
      <c r="AB138" s="6" t="str">
        <f>IF($A138 = "","",IF(AB$1 = "","",COUNTIFS(#REF!,$A138,#REF!,AB$1)))</f>
        <v/>
      </c>
      <c r="AC138" s="6" t="str">
        <f>IF($A138 = "","",IF(AC$1 = "","",COUNTIFS(#REF!,$A138,#REF!,AC$1)))</f>
        <v/>
      </c>
      <c r="AD138" s="6" t="str">
        <f>IF($A138 = "","",IF(AD$1 = "","",COUNTIFS(#REF!,$A138,#REF!,AD$1)))</f>
        <v/>
      </c>
      <c r="AE138" s="6" t="str">
        <f>IF($A138 = "","",IF(AE$1 = "","",COUNTIFS(#REF!,$A138,#REF!,AE$1)))</f>
        <v/>
      </c>
      <c r="AF138" s="6" t="str">
        <f>IF($A138 = "","",IF(AF$1 = "","",COUNTIFS(#REF!,$A138,#REF!,AF$1)))</f>
        <v/>
      </c>
      <c r="AG138" s="6" t="str">
        <f>IF($A138 = "","",IF(AG$1 = "","",COUNTIFS(#REF!,$A138,#REF!,AG$1)))</f>
        <v/>
      </c>
      <c r="AH138" s="6" t="str">
        <f>IF($A138 = "","",IF(AH$1 = "","",COUNTIFS(#REF!,$A138,#REF!,AH$1)))</f>
        <v/>
      </c>
      <c r="AI138" s="6" t="str">
        <f>IF($A138 = "","",IF(AI$1 = "","",COUNTIFS(#REF!,$A138,#REF!,AI$1)))</f>
        <v/>
      </c>
      <c r="AJ138" s="6" t="str">
        <f>IF($A138 = "","",IF(AJ$1 = "","",COUNTIFS(#REF!,$A138,#REF!,AJ$1)))</f>
        <v/>
      </c>
      <c r="AK138" s="6" t="str">
        <f>IF($A138 = "","",IF(AK$1 = "","",COUNTIFS(#REF!,$A138,#REF!,AK$1)))</f>
        <v/>
      </c>
      <c r="AL138" s="6" t="str">
        <f>IF($A138 = "","",IF(AL$1 = "","",COUNTIFS(#REF!,$A138,#REF!,AL$1)))</f>
        <v/>
      </c>
      <c r="AM138" s="6" t="str">
        <f>IF($A138 = "","",IF(AM$1 = "","",COUNTIFS(#REF!,$A138,#REF!,AM$1)))</f>
        <v/>
      </c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 ht="15.75" customHeight="1" x14ac:dyDescent="0.25">
      <c r="A139" s="5"/>
      <c r="B139" s="5"/>
      <c r="C139" s="6" t="str">
        <f>IF($A139 = "","",IF(C$1 = "","",COUNTIFS(#REF!,$A139,#REF!,C$1)))</f>
        <v/>
      </c>
      <c r="D139" s="6" t="str">
        <f>IF($A139 = "","",IF(D$1 = "","",COUNTIFS(#REF!,$A139,#REF!,D$1)))</f>
        <v/>
      </c>
      <c r="E139" s="6" t="str">
        <f>IF($A139 = "","",IF(E$1 = "","",COUNTIFS(#REF!,$A139,#REF!,E$1)))</f>
        <v/>
      </c>
      <c r="F139" s="6" t="str">
        <f>IF($A139 = "","",IF(F$1 = "","",COUNTIFS(#REF!,$A139,#REF!,F$1)))</f>
        <v/>
      </c>
      <c r="G139" s="6" t="str">
        <f>IF($A139 = "","",IF(G$1 = "","",COUNTIFS(#REF!,$A139,#REF!,G$1)))</f>
        <v/>
      </c>
      <c r="H139" s="6" t="str">
        <f>IF($A139 = "","",IF(H$1 = "","",COUNTIFS(#REF!,$A139,#REF!,H$1)))</f>
        <v/>
      </c>
      <c r="I139" s="6" t="str">
        <f>IF($A139 = "","",IF(I$1 = "","",COUNTIFS(#REF!,$A139,#REF!,I$1)))</f>
        <v/>
      </c>
      <c r="J139" s="6" t="str">
        <f>IF($A139 = "","",IF(J$1 = "","",COUNTIFS(#REF!,$A139,#REF!,J$1)))</f>
        <v/>
      </c>
      <c r="K139" s="6" t="str">
        <f>IF($A139 = "","",IF(K$1 = "","",COUNTIFS(#REF!,$A139,#REF!,K$1)))</f>
        <v/>
      </c>
      <c r="L139" s="6" t="str">
        <f>IF($A139 = "","",IF(L$1 = "","",COUNTIFS(#REF!,$A139,#REF!,L$1)))</f>
        <v/>
      </c>
      <c r="M139" s="6" t="str">
        <f>IF($A139 = "","",IF(M$1 = "","",COUNTIFS(#REF!,$A139,#REF!,M$1)))</f>
        <v/>
      </c>
      <c r="N139" s="6" t="str">
        <f>IF($A139 = "","",IF(N$1 = "","",COUNTIFS(#REF!,$A139,#REF!,N$1)))</f>
        <v/>
      </c>
      <c r="O139" s="6" t="str">
        <f>IF($A139 = "","",IF(O$1 = "","",COUNTIFS(#REF!,$A139,#REF!,O$1)))</f>
        <v/>
      </c>
      <c r="P139" s="6" t="str">
        <f>IF($A139 = "","",IF(P$1 = "","",COUNTIFS(#REF!,$A139,#REF!,P$1)))</f>
        <v/>
      </c>
      <c r="Q139" s="6" t="str">
        <f>IF($A139 = "","",IF(Q$1 = "","",COUNTIFS(#REF!,$A139,#REF!,Q$1)))</f>
        <v/>
      </c>
      <c r="R139" s="6" t="str">
        <f>IF($A139 = "","",IF(R$1 = "","",COUNTIFS(#REF!,$A139,#REF!,R$1)))</f>
        <v/>
      </c>
      <c r="S139" s="6" t="str">
        <f>IF($A139 = "","",IF(S$1 = "","",COUNTIFS(#REF!,$A139,#REF!,S$1)))</f>
        <v/>
      </c>
      <c r="T139" s="6" t="str">
        <f>IF($A139 = "","",IF(T$1 = "","",COUNTIFS(#REF!,$A139,#REF!,T$1)))</f>
        <v/>
      </c>
      <c r="U139" s="6" t="str">
        <f>IF($A139 = "","",IF(U$1 = "","",COUNTIFS(#REF!,$A139,#REF!,U$1)))</f>
        <v/>
      </c>
      <c r="V139" s="6" t="str">
        <f>IF($A139 = "","",IF(V$1 = "","",COUNTIFS(#REF!,$A139,#REF!,V$1)))</f>
        <v/>
      </c>
      <c r="W139" s="6" t="str">
        <f>IF($A139 = "","",IF(W$1 = "","",COUNTIFS(#REF!,$A139,#REF!,W$1)))</f>
        <v/>
      </c>
      <c r="X139" s="6" t="str">
        <f>IF($A139 = "","",IF(X$1 = "","",COUNTIFS(#REF!,$A139,#REF!,X$1)))</f>
        <v/>
      </c>
      <c r="Y139" s="6" t="str">
        <f>IF($A139 = "","",IF(Y$1 = "","",COUNTIFS(#REF!,$A139,#REF!,Y$1)))</f>
        <v/>
      </c>
      <c r="Z139" s="6" t="str">
        <f>IF($A139 = "","",IF(Z$1 = "","",COUNTIFS(#REF!,$A139,#REF!,Z$1)))</f>
        <v/>
      </c>
      <c r="AA139" s="6" t="str">
        <f>IF($A139 = "","",IF(AA$1 = "","",COUNTIFS(#REF!,$A139,#REF!,AA$1)))</f>
        <v/>
      </c>
      <c r="AB139" s="6" t="str">
        <f>IF($A139 = "","",IF(AB$1 = "","",COUNTIFS(#REF!,$A139,#REF!,AB$1)))</f>
        <v/>
      </c>
      <c r="AC139" s="6" t="str">
        <f>IF($A139 = "","",IF(AC$1 = "","",COUNTIFS(#REF!,$A139,#REF!,AC$1)))</f>
        <v/>
      </c>
      <c r="AD139" s="6" t="str">
        <f>IF($A139 = "","",IF(AD$1 = "","",COUNTIFS(#REF!,$A139,#REF!,AD$1)))</f>
        <v/>
      </c>
      <c r="AE139" s="6" t="str">
        <f>IF($A139 = "","",IF(AE$1 = "","",COUNTIFS(#REF!,$A139,#REF!,AE$1)))</f>
        <v/>
      </c>
      <c r="AF139" s="6" t="str">
        <f>IF($A139 = "","",IF(AF$1 = "","",COUNTIFS(#REF!,$A139,#REF!,AF$1)))</f>
        <v/>
      </c>
      <c r="AG139" s="6" t="str">
        <f>IF($A139 = "","",IF(AG$1 = "","",COUNTIFS(#REF!,$A139,#REF!,AG$1)))</f>
        <v/>
      </c>
      <c r="AH139" s="6" t="str">
        <f>IF($A139 = "","",IF(AH$1 = "","",COUNTIFS(#REF!,$A139,#REF!,AH$1)))</f>
        <v/>
      </c>
      <c r="AI139" s="6" t="str">
        <f>IF($A139 = "","",IF(AI$1 = "","",COUNTIFS(#REF!,$A139,#REF!,AI$1)))</f>
        <v/>
      </c>
      <c r="AJ139" s="6" t="str">
        <f>IF($A139 = "","",IF(AJ$1 = "","",COUNTIFS(#REF!,$A139,#REF!,AJ$1)))</f>
        <v/>
      </c>
      <c r="AK139" s="6" t="str">
        <f>IF($A139 = "","",IF(AK$1 = "","",COUNTIFS(#REF!,$A139,#REF!,AK$1)))</f>
        <v/>
      </c>
      <c r="AL139" s="6" t="str">
        <f>IF($A139 = "","",IF(AL$1 = "","",COUNTIFS(#REF!,$A139,#REF!,AL$1)))</f>
        <v/>
      </c>
      <c r="AM139" s="6" t="str">
        <f>IF($A139 = "","",IF(AM$1 = "","",COUNTIFS(#REF!,$A139,#REF!,AM$1)))</f>
        <v/>
      </c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 ht="15.75" customHeight="1" x14ac:dyDescent="0.25">
      <c r="A140" s="5"/>
      <c r="B140" s="5"/>
      <c r="C140" s="6" t="str">
        <f>IF($A140 = "","",IF(C$1 = "","",COUNTIFS(#REF!,$A140,#REF!,C$1)))</f>
        <v/>
      </c>
      <c r="D140" s="6" t="str">
        <f>IF($A140 = "","",IF(D$1 = "","",COUNTIFS(#REF!,$A140,#REF!,D$1)))</f>
        <v/>
      </c>
      <c r="E140" s="6" t="str">
        <f>IF($A140 = "","",IF(E$1 = "","",COUNTIFS(#REF!,$A140,#REF!,E$1)))</f>
        <v/>
      </c>
      <c r="F140" s="6" t="str">
        <f>IF($A140 = "","",IF(F$1 = "","",COUNTIFS(#REF!,$A140,#REF!,F$1)))</f>
        <v/>
      </c>
      <c r="G140" s="6" t="str">
        <f>IF($A140 = "","",IF(G$1 = "","",COUNTIFS(#REF!,$A140,#REF!,G$1)))</f>
        <v/>
      </c>
      <c r="H140" s="6" t="str">
        <f>IF($A140 = "","",IF(H$1 = "","",COUNTIFS(#REF!,$A140,#REF!,H$1)))</f>
        <v/>
      </c>
      <c r="I140" s="6" t="str">
        <f>IF($A140 = "","",IF(I$1 = "","",COUNTIFS(#REF!,$A140,#REF!,I$1)))</f>
        <v/>
      </c>
      <c r="J140" s="6" t="str">
        <f>IF($A140 = "","",IF(J$1 = "","",COUNTIFS(#REF!,$A140,#REF!,J$1)))</f>
        <v/>
      </c>
      <c r="K140" s="6" t="str">
        <f>IF($A140 = "","",IF(K$1 = "","",COUNTIFS(#REF!,$A140,#REF!,K$1)))</f>
        <v/>
      </c>
      <c r="L140" s="6" t="str">
        <f>IF($A140 = "","",IF(L$1 = "","",COUNTIFS(#REF!,$A140,#REF!,L$1)))</f>
        <v/>
      </c>
      <c r="M140" s="6" t="str">
        <f>IF($A140 = "","",IF(M$1 = "","",COUNTIFS(#REF!,$A140,#REF!,M$1)))</f>
        <v/>
      </c>
      <c r="N140" s="6" t="str">
        <f>IF($A140 = "","",IF(N$1 = "","",COUNTIFS(#REF!,$A140,#REF!,N$1)))</f>
        <v/>
      </c>
      <c r="O140" s="6" t="str">
        <f>IF($A140 = "","",IF(O$1 = "","",COUNTIFS(#REF!,$A140,#REF!,O$1)))</f>
        <v/>
      </c>
      <c r="P140" s="6" t="str">
        <f>IF($A140 = "","",IF(P$1 = "","",COUNTIFS(#REF!,$A140,#REF!,P$1)))</f>
        <v/>
      </c>
      <c r="Q140" s="6" t="str">
        <f>IF($A140 = "","",IF(Q$1 = "","",COUNTIFS(#REF!,$A140,#REF!,Q$1)))</f>
        <v/>
      </c>
      <c r="R140" s="6" t="str">
        <f>IF($A140 = "","",IF(R$1 = "","",COUNTIFS(#REF!,$A140,#REF!,R$1)))</f>
        <v/>
      </c>
      <c r="S140" s="6" t="str">
        <f>IF($A140 = "","",IF(S$1 = "","",COUNTIFS(#REF!,$A140,#REF!,S$1)))</f>
        <v/>
      </c>
      <c r="T140" s="6" t="str">
        <f>IF($A140 = "","",IF(T$1 = "","",COUNTIFS(#REF!,$A140,#REF!,T$1)))</f>
        <v/>
      </c>
      <c r="U140" s="6" t="str">
        <f>IF($A140 = "","",IF(U$1 = "","",COUNTIFS(#REF!,$A140,#REF!,U$1)))</f>
        <v/>
      </c>
      <c r="V140" s="6" t="str">
        <f>IF($A140 = "","",IF(V$1 = "","",COUNTIFS(#REF!,$A140,#REF!,V$1)))</f>
        <v/>
      </c>
      <c r="W140" s="6" t="str">
        <f>IF($A140 = "","",IF(W$1 = "","",COUNTIFS(#REF!,$A140,#REF!,W$1)))</f>
        <v/>
      </c>
      <c r="X140" s="6" t="str">
        <f>IF($A140 = "","",IF(X$1 = "","",COUNTIFS(#REF!,$A140,#REF!,X$1)))</f>
        <v/>
      </c>
      <c r="Y140" s="6" t="str">
        <f>IF($A140 = "","",IF(Y$1 = "","",COUNTIFS(#REF!,$A140,#REF!,Y$1)))</f>
        <v/>
      </c>
      <c r="Z140" s="6" t="str">
        <f>IF($A140 = "","",IF(Z$1 = "","",COUNTIFS(#REF!,$A140,#REF!,Z$1)))</f>
        <v/>
      </c>
      <c r="AA140" s="6" t="str">
        <f>IF($A140 = "","",IF(AA$1 = "","",COUNTIFS(#REF!,$A140,#REF!,AA$1)))</f>
        <v/>
      </c>
      <c r="AB140" s="6" t="str">
        <f>IF($A140 = "","",IF(AB$1 = "","",COUNTIFS(#REF!,$A140,#REF!,AB$1)))</f>
        <v/>
      </c>
      <c r="AC140" s="6" t="str">
        <f>IF($A140 = "","",IF(AC$1 = "","",COUNTIFS(#REF!,$A140,#REF!,AC$1)))</f>
        <v/>
      </c>
      <c r="AD140" s="6" t="str">
        <f>IF($A140 = "","",IF(AD$1 = "","",COUNTIFS(#REF!,$A140,#REF!,AD$1)))</f>
        <v/>
      </c>
      <c r="AE140" s="6" t="str">
        <f>IF($A140 = "","",IF(AE$1 = "","",COUNTIFS(#REF!,$A140,#REF!,AE$1)))</f>
        <v/>
      </c>
      <c r="AF140" s="6" t="str">
        <f>IF($A140 = "","",IF(AF$1 = "","",COUNTIFS(#REF!,$A140,#REF!,AF$1)))</f>
        <v/>
      </c>
      <c r="AG140" s="6" t="str">
        <f>IF($A140 = "","",IF(AG$1 = "","",COUNTIFS(#REF!,$A140,#REF!,AG$1)))</f>
        <v/>
      </c>
      <c r="AH140" s="6" t="str">
        <f>IF($A140 = "","",IF(AH$1 = "","",COUNTIFS(#REF!,$A140,#REF!,AH$1)))</f>
        <v/>
      </c>
      <c r="AI140" s="6" t="str">
        <f>IF($A140 = "","",IF(AI$1 = "","",COUNTIFS(#REF!,$A140,#REF!,AI$1)))</f>
        <v/>
      </c>
      <c r="AJ140" s="6" t="str">
        <f>IF($A140 = "","",IF(AJ$1 = "","",COUNTIFS(#REF!,$A140,#REF!,AJ$1)))</f>
        <v/>
      </c>
      <c r="AK140" s="6" t="str">
        <f>IF($A140 = "","",IF(AK$1 = "","",COUNTIFS(#REF!,$A140,#REF!,AK$1)))</f>
        <v/>
      </c>
      <c r="AL140" s="6" t="str">
        <f>IF($A140 = "","",IF(AL$1 = "","",COUNTIFS(#REF!,$A140,#REF!,AL$1)))</f>
        <v/>
      </c>
      <c r="AM140" s="6" t="str">
        <f>IF($A140 = "","",IF(AM$1 = "","",COUNTIFS(#REF!,$A140,#REF!,AM$1)))</f>
        <v/>
      </c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 spans="1:67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 spans="1:67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 spans="1:67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 spans="1:67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 spans="1:67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 spans="1:67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 spans="1:67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 spans="1:67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 spans="1:67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1:67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 spans="1:67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 spans="1:67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 spans="1:67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 spans="1:67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 spans="1:67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 spans="1:67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 spans="1:67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 spans="1:67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 spans="1:67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 spans="1:67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 spans="1:67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 spans="1:67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 spans="1:67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 spans="1:67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 spans="1:67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 spans="1:67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 spans="1:67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 spans="1:67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 spans="1:67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 spans="1:67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 spans="1:67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 spans="1:67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 spans="1:67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 spans="1:67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 spans="1:67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 spans="1:67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 spans="1:67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 spans="1:67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 spans="1:67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 spans="1:67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 spans="1:67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 spans="1:67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 spans="1:67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 spans="1:67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 spans="1:67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 spans="1:67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 spans="1:67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 spans="1:67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 spans="1:67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 spans="1:67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 spans="1:67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 spans="1:67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 spans="1:67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 spans="1:67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 spans="1:67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 spans="1:67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 spans="1:67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 spans="1:67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 spans="1:67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 spans="1:67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 spans="1:67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 spans="1:67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 spans="1:67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 spans="1:67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 spans="1:67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 spans="1:67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 spans="1:67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 spans="1:67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 spans="1:67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 spans="1:67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 spans="1:67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 spans="1:67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 spans="1:67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 spans="1:67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 spans="1:67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 spans="1:67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 spans="1:67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 spans="1:67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 spans="1:67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 spans="1:67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 spans="1:67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 spans="1:67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 spans="1:67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 spans="1:67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 spans="1:67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 spans="1:67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 spans="1:67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 spans="1:67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 spans="1:67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 spans="1:67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 spans="1:67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 spans="1:67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 spans="1:67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 spans="1:67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 spans="1:67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 spans="1:67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 spans="1:67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 spans="1:67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 spans="1:67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 spans="1:67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 spans="1:67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 spans="1:67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 spans="1:67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 spans="1:67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 spans="1:67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 spans="1:67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 spans="1:67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 spans="1:67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 spans="1:67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 spans="1:67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 spans="1:67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 spans="1:67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 spans="1:67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 spans="1:67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 spans="1:67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 spans="1:67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 spans="1:67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 spans="1:67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 spans="1:67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 spans="1:67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 spans="1:67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 spans="1:67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 spans="1:67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 spans="1:67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 spans="1:67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 spans="1:67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 spans="1:67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 spans="1:67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 spans="1:67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 spans="1:67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 spans="1:67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 spans="1:67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 spans="1:67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 spans="1:67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 spans="1:67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 spans="1:67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 spans="1:67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 spans="1:67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 spans="1:67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 spans="1:67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 spans="1:67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 spans="1:67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 spans="1:67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 spans="1:67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 spans="1:67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 spans="1:67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 spans="1:67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 spans="1:67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 spans="1:67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 spans="1:67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 spans="1:67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 spans="1:67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 spans="1:67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 spans="1:67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 spans="1:67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 spans="1:67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 spans="1:67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 spans="1:67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 spans="1:67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 spans="1:67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 spans="1:67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 spans="1:67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 spans="1:67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 spans="1:67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 spans="1:67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 spans="1:67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 spans="1:67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 spans="1:67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 spans="1:67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 spans="1:67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 spans="1:67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 spans="1:67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 spans="1:67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 spans="1:67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 spans="1:67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 spans="1:67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 spans="1:67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 spans="1:67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 spans="1:67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 spans="1:67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 spans="1:67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 spans="1:67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 spans="1:67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 spans="1:67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 spans="1:67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 spans="1:67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 spans="1:67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 spans="1:67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 spans="1:67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 spans="1:67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 spans="1:67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 spans="1:67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 spans="1:67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 spans="1:67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 spans="1:67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 spans="1:67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 spans="1:67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 spans="1:67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 spans="1:67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 spans="1:67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 spans="1:67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 spans="1:67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 spans="1:67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 spans="1:67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 spans="1:67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 spans="1:67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 spans="1:67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 spans="1:67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 spans="1:67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 spans="1:67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 spans="1:67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 spans="1:67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 spans="1:67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 spans="1:67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 spans="1:67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 spans="1:67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 spans="1:67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 spans="1:67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 spans="1:67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 spans="1:67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 spans="1:67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 spans="1:67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 spans="1:67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 spans="1:67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 spans="1:67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 spans="1:67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 spans="1:67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 spans="1:67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 spans="1:67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 spans="1:67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 spans="1:67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 spans="1:67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 spans="1:67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 spans="1:67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 spans="1:67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 spans="1:67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 spans="1:67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 spans="1:67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 spans="1:67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 spans="1:67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 spans="1:67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 spans="1:67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 spans="1:67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 spans="1:67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 spans="1:67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 spans="1:67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 spans="1:67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 spans="1:67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 spans="1:67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 spans="1:67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 spans="1:67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 spans="1:67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 spans="1:67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 spans="1:67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 spans="1:67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 spans="1:67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 spans="1:67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 spans="1:67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 spans="1:67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 spans="1:67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 spans="1:67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 spans="1:67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 spans="1:67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 spans="1:67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 spans="1:67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 spans="1:67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 spans="1:67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 spans="1:67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 spans="1:67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 spans="1:67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 spans="1:67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 spans="1:67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 spans="1:67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 spans="1:67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 spans="1:67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 spans="1:67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 spans="1:67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 spans="1:67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 spans="1:67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 spans="1:67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 spans="1:67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 spans="1:67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 spans="1:67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 spans="1:67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 spans="1:67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 spans="1:67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 spans="1:67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 spans="1:67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 spans="1:67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 spans="1:67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 spans="1:67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 spans="1:67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 spans="1:67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 spans="1:67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 spans="1:67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 spans="1:67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 spans="1:67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 spans="1:67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 spans="1:67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 spans="1:67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 spans="1:67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 spans="1:67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 spans="1:67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 spans="1:67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 spans="1:67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 spans="1:67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 spans="1:67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 spans="1:67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 spans="1:67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 spans="1:67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 spans="1:67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 spans="1:67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 spans="1:67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 spans="1:67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 spans="1:67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 spans="1:67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 spans="1:67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 spans="1:67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 spans="1:67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 spans="1:67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 spans="1:67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 spans="1:67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 spans="1:67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 spans="1:67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 spans="1:67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 spans="1:67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 spans="1:67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 spans="1:67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 spans="1:67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 spans="1:67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 spans="1:67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 spans="1:67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 spans="1:67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 spans="1:67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 spans="1:67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 spans="1:67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 spans="1:67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 spans="1:67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 spans="1:67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 spans="1:67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 spans="1:67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 spans="1:67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 spans="1:67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 spans="1:67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 spans="1:67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 spans="1:67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 spans="1:67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 spans="1:67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 spans="1:67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 spans="1:67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 spans="1:67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 spans="1:67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 spans="1:67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 spans="1:67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 spans="1:67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 spans="1:67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 spans="1:67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 spans="1:67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 spans="1:67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 spans="1:67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 spans="1:67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 spans="1:67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 spans="1:67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 spans="1:67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 spans="1:67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 spans="1:67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 spans="1:67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 spans="1:67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 spans="1:67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 spans="1:67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 spans="1:67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 spans="1:67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 spans="1:67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 spans="1:67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 spans="1:67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 spans="1:67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 spans="1:67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 spans="1:67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 spans="1:67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 spans="1:67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 spans="1:67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 spans="1:67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 spans="1:67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 spans="1:67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 spans="1:67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 spans="1:67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 spans="1:67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 spans="1:67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 spans="1:67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 spans="1:67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 spans="1:67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 spans="1:67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 spans="1:67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 spans="1:67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 spans="1:67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 spans="1:67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 spans="1:67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 spans="1:67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 spans="1:67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 spans="1:67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 spans="1:67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 spans="1:67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 spans="1:67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 spans="1:67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 spans="1:67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 spans="1:67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 spans="1:67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 spans="1:67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 spans="1:67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 spans="1:67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 spans="1:67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 spans="1:67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 spans="1:67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 spans="1:67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 spans="1:67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 spans="1:67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 spans="1:67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 spans="1:67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 spans="1:67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 spans="1:67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 spans="1:67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 spans="1:67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 spans="1:67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 spans="1:67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 spans="1:67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 spans="1:67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 spans="1:67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 spans="1:67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 spans="1:67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 spans="1:67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 spans="1:67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 spans="1:67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 spans="1:67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 spans="1:67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 spans="1:67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 spans="1:67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 spans="1:67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 spans="1:67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 spans="1:67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 spans="1:67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 spans="1:67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 spans="1:67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 spans="1:67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 spans="1:67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 spans="1:67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 spans="1:67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 spans="1:67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 spans="1:67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 spans="1:67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 spans="1:67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 spans="1:67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 spans="1:67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 spans="1:67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 spans="1:67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 spans="1:67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 spans="1:67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 spans="1:67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 spans="1:67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 spans="1:67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 spans="1:67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 spans="1:67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 spans="1:67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 spans="1:67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 spans="1:67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 spans="1:67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 spans="1:67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 spans="1:67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 spans="1:67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 spans="1:67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 spans="1:67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 spans="1:67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 spans="1:67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 spans="1:67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 spans="1:67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 spans="1:67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 spans="1:67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 spans="1:67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 spans="1:67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 spans="1:67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 spans="1:67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 spans="1:67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 spans="1:67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 spans="1:67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 spans="1:67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 spans="1:67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 spans="1:67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 spans="1:67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 spans="1:67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 spans="1:67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 spans="1:67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 spans="1:67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 spans="1:67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 spans="1:67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 spans="1:67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 spans="1:67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 spans="1:67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 spans="1:67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 spans="1:67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 spans="1:67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 spans="1:67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 spans="1:67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 spans="1:67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 spans="1:67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 spans="1:67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 spans="1:67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 spans="1:67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 spans="1:67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 spans="1:67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 spans="1:67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 spans="1:67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 spans="1:67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 spans="1:67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 spans="1:67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 spans="1:67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 spans="1:67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 spans="1:67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 spans="1:67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 spans="1:67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 spans="1:67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 spans="1:67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 spans="1:67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 spans="1:67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 spans="1:67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 spans="1:67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 spans="1:67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 spans="1:67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 spans="1:67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 spans="1:67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 spans="1:67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 spans="1:67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 spans="1:67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 spans="1:67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 spans="1:67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 spans="1:67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 spans="1:67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 spans="1:67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 spans="1:67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 spans="1:67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 spans="1:67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 spans="1:67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 spans="1:67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 spans="1:67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 spans="1:67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 spans="1:67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 spans="1:67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 spans="1:67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 spans="1:67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 spans="1:67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 spans="1:67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 spans="1:67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 spans="1:67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 spans="1:67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 spans="1:67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 spans="1:67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 spans="1:67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 spans="1:67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 spans="1:67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 spans="1:67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 spans="1:67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 spans="1:67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 spans="1:67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 spans="1:67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 spans="1:67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 spans="1:67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 spans="1:67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 spans="1:67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 spans="1:67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 spans="1:67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 spans="1:67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 spans="1:67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 spans="1:67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 spans="1:67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 spans="1:67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 spans="1:67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 spans="1:67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 spans="1:67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 spans="1:67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 spans="1:67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 spans="1:67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 spans="1:67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 spans="1:67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 spans="1:67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 spans="1:67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 spans="1:67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 spans="1:67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 spans="1:67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 spans="1:67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 spans="1:67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 spans="1:67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 spans="1:67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 spans="1:67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 spans="1:67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 spans="1:67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 spans="1:67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 spans="1:67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 spans="1:67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 spans="1:67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 spans="1:67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 spans="1:67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 spans="1:67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 spans="1:67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 spans="1:67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 spans="1:67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 spans="1:67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 spans="1:67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 spans="1:67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 spans="1:67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 spans="1:67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 spans="1:67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 spans="1:67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 spans="1:67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 spans="1:67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 spans="1:67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 spans="1:67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 spans="1:67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 spans="1:67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 spans="1:67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 spans="1:67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 spans="1:67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 spans="1:67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 spans="1:67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 spans="1:67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 spans="1:67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 spans="1:67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 spans="1:67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 spans="1:67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 spans="1:67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 spans="1:67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 spans="1:67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 spans="1:67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 spans="1:67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 spans="1:67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 spans="1:67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 spans="1:67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 spans="1:67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 spans="1:67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 spans="1:67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 spans="1:67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 spans="1:67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 spans="1:67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 spans="1:67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 spans="1:67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 spans="1:67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 spans="1:67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 spans="1:67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 spans="1:67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 spans="1:67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 spans="1:67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 spans="1:67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 spans="1:67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 spans="1:67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 spans="1:67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 spans="1:67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 spans="1:67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 spans="1:67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 spans="1:67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 spans="1:67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 spans="1:67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 spans="1:67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 spans="1:67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 spans="1:67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 spans="1:67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 spans="1:67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 spans="1:67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 spans="1:67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 spans="1:67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 spans="1:67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 spans="1:67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 spans="1:67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 spans="1:67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 spans="1:67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 spans="1:67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 spans="1:67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 spans="1:67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 spans="1:67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 spans="1:67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 spans="1:67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 spans="1:67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 spans="1:67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 spans="1:67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 spans="1:67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 spans="1:67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 spans="1:67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 spans="1:67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 spans="1:67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 spans="1:67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 spans="1:67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 spans="1:67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 spans="1:67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 spans="1:67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 spans="1:67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 spans="1:67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 spans="1:67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 spans="1:67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 spans="1:67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 spans="1:67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 spans="1:67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 spans="1:67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 spans="1:67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 spans="1:67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 spans="1:67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 spans="1:67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 spans="1:67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 spans="1:67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 spans="1:67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 spans="1:67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 spans="1:67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 spans="1:67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 spans="1:67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 spans="1:67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 spans="1:67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 spans="1:67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 spans="1:67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 spans="1:67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 spans="1:67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 spans="1:67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 spans="1:67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 spans="1:67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 spans="1:67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 spans="1:67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 spans="1:67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 spans="1:67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 spans="1:67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 spans="1:67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 spans="1:67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 spans="1:67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 spans="1:67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 spans="1:67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 spans="1:67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 spans="1:67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 spans="1:67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 spans="1:67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 spans="1:67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 spans="1:67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 spans="1:67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 spans="1:67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 spans="1:67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 spans="1:67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 spans="1:67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 spans="1:67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 spans="1:67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 spans="1:67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 spans="1:67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 spans="1:67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 spans="1:67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 spans="1:67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 spans="1:67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 spans="1:67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 spans="1:67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mergeCells count="4">
    <mergeCell ref="A2:B2"/>
    <mergeCell ref="C3:G3"/>
    <mergeCell ref="H3:J3"/>
    <mergeCell ref="A1:B1"/>
  </mergeCells>
  <conditionalFormatting sqref="B5:B136">
    <cfRule type="colorScale" priority="3">
      <colorScale>
        <cfvo type="num" val="$B$3"/>
        <cfvo type="num" val="$B$3"/>
        <color rgb="FFFF4F4F"/>
        <color rgb="FF00B050"/>
      </colorScale>
    </cfRule>
  </conditionalFormatting>
  <conditionalFormatting sqref="C5:AM140">
    <cfRule type="cellIs" dxfId="6" priority="2" operator="greaterThan">
      <formula>0</formula>
    </cfRule>
  </conditionalFormatting>
  <conditionalFormatting sqref="AB5:AB140">
    <cfRule type="colorScale" priority="1">
      <colorScale>
        <cfvo type="num" val="0"/>
        <cfvo type="num" val="5"/>
        <color rgb="FFFF0000"/>
        <color rgb="FF00B050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512-FFD9-42C2-91B8-EA8B7E60CFCA}">
  <dimension ref="A1:R862"/>
  <sheetViews>
    <sheetView topLeftCell="A823" zoomScale="130" zoomScaleNormal="130" workbookViewId="0">
      <selection activeCell="C836" sqref="C836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0.140625" bestFit="1" customWidth="1"/>
    <col min="4" max="4" width="13.28515625" bestFit="1" customWidth="1"/>
    <col min="5" max="5" width="15.140625" style="70" bestFit="1" customWidth="1"/>
    <col min="6" max="6" width="16.140625" style="70" bestFit="1" customWidth="1"/>
    <col min="7" max="7" width="17.140625" style="70" bestFit="1" customWidth="1"/>
    <col min="9" max="9" width="20.42578125" bestFit="1" customWidth="1"/>
    <col min="10" max="10" width="16.28515625" bestFit="1" customWidth="1"/>
    <col min="11" max="11" width="12.5703125" bestFit="1" customWidth="1"/>
    <col min="12" max="15" width="12" bestFit="1" customWidth="1"/>
    <col min="16" max="16" width="10.85546875" bestFit="1" customWidth="1"/>
    <col min="17" max="17" width="12" bestFit="1" customWidth="1"/>
    <col min="18" max="19" width="13.7109375" bestFit="1" customWidth="1"/>
    <col min="20" max="20" width="19.7109375" bestFit="1" customWidth="1"/>
    <col min="21" max="21" width="20.5703125" bestFit="1" customWidth="1"/>
    <col min="22" max="22" width="19.7109375" bestFit="1" customWidth="1"/>
    <col min="23" max="23" width="20.5703125" bestFit="1" customWidth="1"/>
    <col min="24" max="24" width="19.7109375" bestFit="1" customWidth="1"/>
    <col min="25" max="25" width="20.5703125" bestFit="1" customWidth="1"/>
    <col min="26" max="26" width="19.7109375" bestFit="1" customWidth="1"/>
    <col min="27" max="27" width="20.5703125" bestFit="1" customWidth="1"/>
    <col min="28" max="28" width="24.7109375" bestFit="1" customWidth="1"/>
    <col min="29" max="29" width="25.7109375" bestFit="1" customWidth="1"/>
  </cols>
  <sheetData>
    <row r="1" spans="1:18" x14ac:dyDescent="0.25">
      <c r="A1" t="s">
        <v>272</v>
      </c>
      <c r="B1" t="s">
        <v>273</v>
      </c>
      <c r="C1" t="s">
        <v>274</v>
      </c>
      <c r="D1" t="s">
        <v>275</v>
      </c>
      <c r="E1" s="70" t="s">
        <v>836</v>
      </c>
      <c r="F1" s="70" t="s">
        <v>839</v>
      </c>
      <c r="G1" s="70" t="s">
        <v>837</v>
      </c>
      <c r="I1" s="71" t="s">
        <v>838</v>
      </c>
      <c r="J1" s="71" t="s">
        <v>270</v>
      </c>
      <c r="K1" s="70"/>
      <c r="L1" s="70"/>
      <c r="M1" s="70"/>
      <c r="N1" s="70"/>
      <c r="O1" s="70"/>
      <c r="P1" s="70"/>
      <c r="Q1" s="70"/>
      <c r="R1" s="70"/>
    </row>
    <row r="2" spans="1:18" x14ac:dyDescent="0.25">
      <c r="A2" s="69">
        <v>46146</v>
      </c>
      <c r="B2" t="s">
        <v>246</v>
      </c>
      <c r="C2" t="s">
        <v>276</v>
      </c>
      <c r="D2" t="s">
        <v>277</v>
      </c>
      <c r="E2" s="70">
        <v>2717000</v>
      </c>
      <c r="I2" s="71" t="s">
        <v>249</v>
      </c>
      <c r="J2" s="70"/>
      <c r="K2" s="70" t="s">
        <v>349</v>
      </c>
      <c r="L2" s="70" t="s">
        <v>285</v>
      </c>
      <c r="M2" s="70" t="s">
        <v>301</v>
      </c>
      <c r="N2" s="70" t="s">
        <v>277</v>
      </c>
      <c r="O2" s="70" t="s">
        <v>286</v>
      </c>
      <c r="P2" s="70" t="s">
        <v>299</v>
      </c>
      <c r="Q2" s="70" t="s">
        <v>279</v>
      </c>
      <c r="R2" s="70" t="s">
        <v>248</v>
      </c>
    </row>
    <row r="3" spans="1:18" x14ac:dyDescent="0.25">
      <c r="A3" s="69">
        <v>46146</v>
      </c>
      <c r="B3" t="s">
        <v>266</v>
      </c>
      <c r="C3" t="s">
        <v>278</v>
      </c>
      <c r="D3" t="s">
        <v>277</v>
      </c>
      <c r="E3" s="70">
        <v>1000000</v>
      </c>
      <c r="I3" s="72" t="s">
        <v>259</v>
      </c>
      <c r="J3" s="70"/>
      <c r="K3" s="70"/>
      <c r="L3" s="70">
        <v>1494607</v>
      </c>
      <c r="M3" s="70">
        <v>395670</v>
      </c>
      <c r="N3" s="70"/>
      <c r="O3" s="70">
        <v>1045008</v>
      </c>
      <c r="P3" s="70">
        <v>1063155</v>
      </c>
      <c r="Q3" s="70"/>
      <c r="R3" s="70">
        <v>3998440</v>
      </c>
    </row>
    <row r="4" spans="1:18" x14ac:dyDescent="0.25">
      <c r="A4" s="69">
        <v>46146</v>
      </c>
      <c r="B4" t="s">
        <v>246</v>
      </c>
      <c r="C4" t="s">
        <v>276</v>
      </c>
      <c r="D4" t="s">
        <v>279</v>
      </c>
      <c r="E4" s="70">
        <v>2717000</v>
      </c>
      <c r="I4" s="72" t="s">
        <v>221</v>
      </c>
      <c r="J4" s="70"/>
      <c r="K4" s="70"/>
      <c r="L4" s="70"/>
      <c r="M4" s="70"/>
      <c r="N4" s="70"/>
      <c r="O4" s="70">
        <v>270</v>
      </c>
      <c r="P4" s="70"/>
      <c r="Q4" s="70"/>
      <c r="R4" s="70">
        <v>270</v>
      </c>
    </row>
    <row r="5" spans="1:18" x14ac:dyDescent="0.25">
      <c r="A5" s="69">
        <v>46146</v>
      </c>
      <c r="B5" t="s">
        <v>280</v>
      </c>
      <c r="C5" t="s">
        <v>281</v>
      </c>
      <c r="D5" t="s">
        <v>282</v>
      </c>
      <c r="F5" s="70">
        <v>7</v>
      </c>
      <c r="G5" s="70">
        <v>168</v>
      </c>
      <c r="I5" s="72" t="s">
        <v>262</v>
      </c>
      <c r="J5" s="70"/>
      <c r="K5" s="70"/>
      <c r="L5" s="70"/>
      <c r="M5" s="70"/>
      <c r="N5" s="70"/>
      <c r="O5" s="70">
        <v>205</v>
      </c>
      <c r="P5" s="70"/>
      <c r="Q5" s="70"/>
      <c r="R5" s="70">
        <v>205</v>
      </c>
    </row>
    <row r="6" spans="1:18" x14ac:dyDescent="0.25">
      <c r="A6" s="69">
        <v>46146</v>
      </c>
      <c r="B6" t="s">
        <v>283</v>
      </c>
      <c r="C6" t="s">
        <v>284</v>
      </c>
      <c r="D6" t="s">
        <v>285</v>
      </c>
      <c r="E6" s="70">
        <v>1872000</v>
      </c>
      <c r="I6" s="72" t="s">
        <v>269</v>
      </c>
      <c r="J6" s="70"/>
      <c r="K6" s="70"/>
      <c r="L6" s="70">
        <v>3758479</v>
      </c>
      <c r="M6" s="70"/>
      <c r="N6" s="70">
        <v>6448479</v>
      </c>
      <c r="O6" s="70">
        <v>6647023</v>
      </c>
      <c r="P6" s="70"/>
      <c r="Q6" s="70">
        <v>2898337</v>
      </c>
      <c r="R6" s="70">
        <v>19752318</v>
      </c>
    </row>
    <row r="7" spans="1:18" x14ac:dyDescent="0.25">
      <c r="A7" s="69">
        <v>46146</v>
      </c>
      <c r="B7" t="s">
        <v>283</v>
      </c>
      <c r="C7" t="s">
        <v>284</v>
      </c>
      <c r="D7" t="s">
        <v>285</v>
      </c>
      <c r="E7" s="70">
        <v>1872000</v>
      </c>
      <c r="I7" s="72" t="s">
        <v>164</v>
      </c>
      <c r="J7" s="70"/>
      <c r="K7" s="70"/>
      <c r="L7" s="70">
        <v>4110624</v>
      </c>
      <c r="M7" s="70">
        <v>1890000</v>
      </c>
      <c r="N7" s="70"/>
      <c r="O7" s="70">
        <v>5810214</v>
      </c>
      <c r="P7" s="70"/>
      <c r="Q7" s="70">
        <v>5805791</v>
      </c>
      <c r="R7" s="70">
        <v>17616629</v>
      </c>
    </row>
    <row r="8" spans="1:18" x14ac:dyDescent="0.25">
      <c r="A8" s="69">
        <v>46146</v>
      </c>
      <c r="B8" t="s">
        <v>283</v>
      </c>
      <c r="C8" t="s">
        <v>284</v>
      </c>
      <c r="D8" t="s">
        <v>286</v>
      </c>
      <c r="E8" s="70">
        <v>1872000</v>
      </c>
      <c r="I8" s="72" t="s">
        <v>251</v>
      </c>
      <c r="J8" s="70"/>
      <c r="K8" s="70"/>
      <c r="L8" s="70">
        <v>647917</v>
      </c>
      <c r="M8" s="70">
        <v>109648</v>
      </c>
      <c r="N8" s="70">
        <v>200</v>
      </c>
      <c r="O8" s="70">
        <v>693389</v>
      </c>
      <c r="P8" s="70">
        <v>200</v>
      </c>
      <c r="Q8" s="70">
        <v>203907</v>
      </c>
      <c r="R8" s="70">
        <v>1655261</v>
      </c>
    </row>
    <row r="9" spans="1:18" x14ac:dyDescent="0.25">
      <c r="A9" s="69">
        <v>46146</v>
      </c>
      <c r="B9" t="s">
        <v>162</v>
      </c>
      <c r="C9" t="s">
        <v>287</v>
      </c>
      <c r="D9" t="s">
        <v>282</v>
      </c>
      <c r="F9" s="70">
        <v>12</v>
      </c>
      <c r="G9" s="70">
        <v>280</v>
      </c>
      <c r="I9" s="72" t="s">
        <v>169</v>
      </c>
      <c r="J9" s="70"/>
      <c r="K9" s="70"/>
      <c r="L9" s="70">
        <v>3050000</v>
      </c>
      <c r="M9" s="70"/>
      <c r="N9" s="70">
        <v>350000</v>
      </c>
      <c r="O9" s="70">
        <v>7439030</v>
      </c>
      <c r="P9" s="70"/>
      <c r="Q9" s="70">
        <v>750000</v>
      </c>
      <c r="R9" s="70">
        <v>11589030</v>
      </c>
    </row>
    <row r="10" spans="1:18" x14ac:dyDescent="0.25">
      <c r="A10" s="69">
        <v>46146</v>
      </c>
      <c r="B10" t="s">
        <v>152</v>
      </c>
      <c r="C10" t="s">
        <v>288</v>
      </c>
      <c r="D10" t="s">
        <v>282</v>
      </c>
      <c r="F10" s="70">
        <v>13</v>
      </c>
      <c r="G10" s="70">
        <v>315</v>
      </c>
      <c r="I10" s="72" t="s">
        <v>254</v>
      </c>
      <c r="J10" s="70">
        <v>1353</v>
      </c>
      <c r="K10" s="70"/>
      <c r="L10" s="70">
        <v>5166</v>
      </c>
      <c r="M10" s="70"/>
      <c r="N10" s="70">
        <v>8862000</v>
      </c>
      <c r="O10" s="70">
        <v>9114551</v>
      </c>
      <c r="P10" s="70"/>
      <c r="Q10" s="70"/>
      <c r="R10" s="70">
        <v>17983070</v>
      </c>
    </row>
    <row r="11" spans="1:18" x14ac:dyDescent="0.25">
      <c r="A11" s="69">
        <v>46146</v>
      </c>
      <c r="B11" t="s">
        <v>162</v>
      </c>
      <c r="C11" t="s">
        <v>289</v>
      </c>
      <c r="D11" t="s">
        <v>285</v>
      </c>
      <c r="E11" s="70">
        <v>18400000</v>
      </c>
      <c r="I11" s="72" t="s">
        <v>759</v>
      </c>
      <c r="J11" s="70"/>
      <c r="K11" s="70"/>
      <c r="L11" s="70"/>
      <c r="M11" s="70"/>
      <c r="N11" s="70"/>
      <c r="O11" s="70">
        <v>7686000</v>
      </c>
      <c r="P11" s="70"/>
      <c r="Q11" s="70"/>
      <c r="R11" s="70">
        <v>7686000</v>
      </c>
    </row>
    <row r="12" spans="1:18" x14ac:dyDescent="0.25">
      <c r="A12" s="69">
        <v>46146</v>
      </c>
      <c r="B12" t="s">
        <v>191</v>
      </c>
      <c r="C12" t="s">
        <v>290</v>
      </c>
      <c r="D12" t="s">
        <v>277</v>
      </c>
      <c r="E12" s="70">
        <v>4587518</v>
      </c>
      <c r="I12" s="72" t="s">
        <v>245</v>
      </c>
      <c r="J12" s="70">
        <v>1880</v>
      </c>
      <c r="K12" s="70">
        <v>1250</v>
      </c>
      <c r="L12" s="70">
        <v>3130</v>
      </c>
      <c r="M12" s="70"/>
      <c r="N12" s="70">
        <v>2743000</v>
      </c>
      <c r="O12" s="70">
        <v>3021474</v>
      </c>
      <c r="P12" s="70"/>
      <c r="Q12" s="70"/>
      <c r="R12" s="70">
        <v>5770734</v>
      </c>
    </row>
    <row r="13" spans="1:18" x14ac:dyDescent="0.25">
      <c r="A13" s="69">
        <v>46146</v>
      </c>
      <c r="B13" t="s">
        <v>291</v>
      </c>
      <c r="C13" t="s">
        <v>292</v>
      </c>
      <c r="D13" t="s">
        <v>285</v>
      </c>
      <c r="E13" s="70">
        <v>1248000</v>
      </c>
      <c r="I13" s="72" t="s">
        <v>153</v>
      </c>
      <c r="J13" s="70"/>
      <c r="K13" s="70"/>
      <c r="L13" s="70">
        <v>1274</v>
      </c>
      <c r="M13" s="70"/>
      <c r="N13" s="70"/>
      <c r="O13" s="70">
        <v>251274</v>
      </c>
      <c r="P13" s="70"/>
      <c r="Q13" s="70"/>
      <c r="R13" s="70">
        <v>252548</v>
      </c>
    </row>
    <row r="14" spans="1:18" x14ac:dyDescent="0.25">
      <c r="A14" s="69">
        <v>46146</v>
      </c>
      <c r="B14" t="s">
        <v>233</v>
      </c>
      <c r="C14" t="s">
        <v>293</v>
      </c>
      <c r="D14" t="s">
        <v>285</v>
      </c>
      <c r="E14" s="70">
        <v>848000</v>
      </c>
      <c r="I14" s="72" t="s">
        <v>157</v>
      </c>
      <c r="J14" s="70"/>
      <c r="K14" s="70"/>
      <c r="L14" s="70">
        <v>7735854</v>
      </c>
      <c r="M14" s="70">
        <v>2788741</v>
      </c>
      <c r="N14" s="70">
        <v>458003</v>
      </c>
      <c r="O14" s="70">
        <v>7637383</v>
      </c>
      <c r="P14" s="70">
        <v>3304379</v>
      </c>
      <c r="Q14" s="70">
        <v>1840999</v>
      </c>
      <c r="R14" s="70">
        <v>23765359</v>
      </c>
    </row>
    <row r="15" spans="1:18" x14ac:dyDescent="0.25">
      <c r="A15" s="69">
        <v>46146</v>
      </c>
      <c r="B15" t="s">
        <v>269</v>
      </c>
      <c r="C15" t="s">
        <v>294</v>
      </c>
      <c r="D15" t="s">
        <v>279</v>
      </c>
      <c r="E15" s="70">
        <v>2690000</v>
      </c>
      <c r="I15" s="72" t="s">
        <v>166</v>
      </c>
      <c r="J15" s="70"/>
      <c r="K15" s="70"/>
      <c r="L15" s="70">
        <v>989</v>
      </c>
      <c r="M15" s="70"/>
      <c r="N15" s="70"/>
      <c r="O15" s="70">
        <v>1746</v>
      </c>
      <c r="P15" s="70"/>
      <c r="Q15" s="70"/>
      <c r="R15" s="70">
        <v>2735</v>
      </c>
    </row>
    <row r="16" spans="1:18" x14ac:dyDescent="0.25">
      <c r="A16" s="69">
        <v>46146</v>
      </c>
      <c r="B16" t="s">
        <v>253</v>
      </c>
      <c r="C16" t="s">
        <v>295</v>
      </c>
      <c r="D16" t="s">
        <v>286</v>
      </c>
      <c r="E16" s="70">
        <v>4428000</v>
      </c>
      <c r="I16" s="72" t="s">
        <v>204</v>
      </c>
      <c r="J16" s="70">
        <v>10000</v>
      </c>
      <c r="K16" s="70">
        <v>10000</v>
      </c>
      <c r="L16" s="70">
        <v>3408000</v>
      </c>
      <c r="M16" s="70"/>
      <c r="N16" s="70"/>
      <c r="O16" s="70">
        <v>3668979</v>
      </c>
      <c r="P16" s="70"/>
      <c r="Q16" s="70"/>
      <c r="R16" s="70">
        <v>7096979</v>
      </c>
    </row>
    <row r="17" spans="1:18" x14ac:dyDescent="0.25">
      <c r="A17" s="69">
        <v>46146</v>
      </c>
      <c r="B17" t="s">
        <v>266</v>
      </c>
      <c r="C17" t="s">
        <v>278</v>
      </c>
      <c r="D17" t="s">
        <v>286</v>
      </c>
      <c r="E17" s="70">
        <v>1000000</v>
      </c>
      <c r="I17" s="72" t="s">
        <v>152</v>
      </c>
      <c r="J17" s="70"/>
      <c r="K17" s="70">
        <v>15000</v>
      </c>
      <c r="L17" s="70">
        <v>22215946</v>
      </c>
      <c r="M17" s="70">
        <v>9418186</v>
      </c>
      <c r="N17" s="70"/>
      <c r="O17" s="70">
        <v>363669</v>
      </c>
      <c r="P17" s="70"/>
      <c r="Q17" s="70"/>
      <c r="R17" s="70">
        <v>32012801</v>
      </c>
    </row>
    <row r="18" spans="1:18" x14ac:dyDescent="0.25">
      <c r="A18" s="69">
        <v>46146</v>
      </c>
      <c r="B18" t="s">
        <v>246</v>
      </c>
      <c r="C18" t="s">
        <v>276</v>
      </c>
      <c r="D18" t="s">
        <v>285</v>
      </c>
      <c r="E18" s="70">
        <v>2717000</v>
      </c>
      <c r="I18" s="72" t="s">
        <v>552</v>
      </c>
      <c r="J18" s="70"/>
      <c r="K18" s="70"/>
      <c r="L18" s="70">
        <v>10750364</v>
      </c>
      <c r="M18" s="70">
        <v>3450469</v>
      </c>
      <c r="N18" s="70"/>
      <c r="O18" s="70">
        <v>9789441</v>
      </c>
      <c r="P18" s="70"/>
      <c r="Q18" s="70">
        <v>2070000</v>
      </c>
      <c r="R18" s="70">
        <v>26060274</v>
      </c>
    </row>
    <row r="19" spans="1:18" x14ac:dyDescent="0.25">
      <c r="A19" s="69">
        <v>46146</v>
      </c>
      <c r="B19" t="s">
        <v>283</v>
      </c>
      <c r="C19" t="s">
        <v>284</v>
      </c>
      <c r="D19" t="s">
        <v>286</v>
      </c>
      <c r="E19" s="70">
        <v>1872000</v>
      </c>
      <c r="I19" s="72" t="s">
        <v>622</v>
      </c>
      <c r="J19" s="70">
        <v>20000</v>
      </c>
      <c r="K19" s="70"/>
      <c r="L19" s="70"/>
      <c r="M19" s="70"/>
      <c r="N19" s="70"/>
      <c r="O19" s="70">
        <v>250000</v>
      </c>
      <c r="P19" s="70"/>
      <c r="Q19" s="70"/>
      <c r="R19" s="70">
        <v>270000</v>
      </c>
    </row>
    <row r="20" spans="1:18" x14ac:dyDescent="0.25">
      <c r="A20" s="69">
        <v>46146</v>
      </c>
      <c r="B20" t="s">
        <v>162</v>
      </c>
      <c r="C20" t="s">
        <v>289</v>
      </c>
      <c r="D20" t="s">
        <v>277</v>
      </c>
      <c r="E20" s="70">
        <v>18400000</v>
      </c>
      <c r="I20" s="72" t="s">
        <v>252</v>
      </c>
      <c r="J20" s="70"/>
      <c r="K20" s="70"/>
      <c r="L20" s="70"/>
      <c r="M20" s="70"/>
      <c r="N20" s="70"/>
      <c r="O20" s="70">
        <v>3744000</v>
      </c>
      <c r="P20" s="70"/>
      <c r="Q20" s="70"/>
      <c r="R20" s="70">
        <v>3744000</v>
      </c>
    </row>
    <row r="21" spans="1:18" x14ac:dyDescent="0.25">
      <c r="A21" s="69">
        <v>46146</v>
      </c>
      <c r="B21" t="s">
        <v>191</v>
      </c>
      <c r="C21" t="s">
        <v>290</v>
      </c>
      <c r="D21" t="s">
        <v>285</v>
      </c>
      <c r="E21" s="70">
        <v>4587518</v>
      </c>
      <c r="I21" s="72" t="s">
        <v>165</v>
      </c>
      <c r="J21" s="70">
        <v>700000</v>
      </c>
      <c r="K21" s="70"/>
      <c r="L21" s="70">
        <v>3004055</v>
      </c>
      <c r="M21" s="70">
        <v>850000</v>
      </c>
      <c r="N21" s="70">
        <v>50000</v>
      </c>
      <c r="O21" s="70">
        <v>2454055</v>
      </c>
      <c r="P21" s="70"/>
      <c r="Q21" s="70">
        <v>50000</v>
      </c>
      <c r="R21" s="70">
        <v>7108110</v>
      </c>
    </row>
    <row r="22" spans="1:18" x14ac:dyDescent="0.25">
      <c r="A22" s="69">
        <v>46146</v>
      </c>
      <c r="B22" t="s">
        <v>269</v>
      </c>
      <c r="C22" t="s">
        <v>294</v>
      </c>
      <c r="D22" t="s">
        <v>277</v>
      </c>
      <c r="E22" s="70">
        <v>2690000</v>
      </c>
      <c r="I22" s="72" t="s">
        <v>247</v>
      </c>
      <c r="J22" s="70"/>
      <c r="K22" s="70"/>
      <c r="L22" s="70">
        <v>22464000</v>
      </c>
      <c r="M22" s="70"/>
      <c r="N22" s="70">
        <v>22464000</v>
      </c>
      <c r="O22" s="70">
        <v>22482842</v>
      </c>
      <c r="P22" s="70"/>
      <c r="Q22" s="70"/>
      <c r="R22" s="70">
        <v>67410842</v>
      </c>
    </row>
    <row r="23" spans="1:18" x14ac:dyDescent="0.25">
      <c r="A23" s="69">
        <v>46146</v>
      </c>
      <c r="B23" t="s">
        <v>163</v>
      </c>
      <c r="C23" t="s">
        <v>296</v>
      </c>
      <c r="D23" t="s">
        <v>285</v>
      </c>
      <c r="E23" s="70">
        <v>2026</v>
      </c>
      <c r="I23" s="72" t="s">
        <v>191</v>
      </c>
      <c r="J23" s="70">
        <v>2717000</v>
      </c>
      <c r="K23" s="70"/>
      <c r="L23" s="70">
        <v>49826599</v>
      </c>
      <c r="M23" s="70">
        <v>13287390</v>
      </c>
      <c r="N23" s="70">
        <v>37191518</v>
      </c>
      <c r="O23" s="70">
        <v>67888259</v>
      </c>
      <c r="P23" s="70"/>
      <c r="Q23" s="70">
        <v>21528588</v>
      </c>
      <c r="R23" s="70">
        <v>192439354</v>
      </c>
    </row>
    <row r="24" spans="1:18" x14ac:dyDescent="0.25">
      <c r="A24" s="69">
        <v>46146</v>
      </c>
      <c r="B24" t="s">
        <v>191</v>
      </c>
      <c r="C24" t="s">
        <v>290</v>
      </c>
      <c r="D24" t="s">
        <v>286</v>
      </c>
      <c r="E24" s="70">
        <v>4587518</v>
      </c>
      <c r="I24" s="72" t="s">
        <v>790</v>
      </c>
      <c r="J24" s="70"/>
      <c r="K24" s="70"/>
      <c r="L24" s="70"/>
      <c r="M24" s="70"/>
      <c r="N24" s="70"/>
      <c r="O24" s="70">
        <v>152</v>
      </c>
      <c r="P24" s="70"/>
      <c r="Q24" s="70"/>
      <c r="R24" s="70">
        <v>152</v>
      </c>
    </row>
    <row r="25" spans="1:18" x14ac:dyDescent="0.25">
      <c r="A25" s="69">
        <v>46146</v>
      </c>
      <c r="B25" t="s">
        <v>269</v>
      </c>
      <c r="C25" t="s">
        <v>294</v>
      </c>
      <c r="D25" t="s">
        <v>286</v>
      </c>
      <c r="E25" s="70">
        <v>2690000</v>
      </c>
      <c r="I25" s="72" t="s">
        <v>159</v>
      </c>
      <c r="J25" s="70"/>
      <c r="K25" s="70"/>
      <c r="L25" s="70">
        <v>6472134</v>
      </c>
      <c r="M25" s="70">
        <v>5881256</v>
      </c>
      <c r="N25" s="70"/>
      <c r="O25" s="70">
        <v>4290741</v>
      </c>
      <c r="P25" s="70"/>
      <c r="Q25" s="70">
        <v>4290741</v>
      </c>
      <c r="R25" s="70">
        <v>20934872</v>
      </c>
    </row>
    <row r="26" spans="1:18" x14ac:dyDescent="0.25">
      <c r="A26" s="69">
        <v>46146</v>
      </c>
      <c r="B26" t="s">
        <v>163</v>
      </c>
      <c r="C26" t="s">
        <v>297</v>
      </c>
      <c r="D26" t="s">
        <v>286</v>
      </c>
      <c r="E26" s="70">
        <v>2926000</v>
      </c>
      <c r="I26" s="72" t="s">
        <v>199</v>
      </c>
      <c r="J26" s="70"/>
      <c r="K26" s="70"/>
      <c r="L26" s="70">
        <v>278</v>
      </c>
      <c r="M26" s="70"/>
      <c r="N26" s="70"/>
      <c r="O26" s="70">
        <v>1000850</v>
      </c>
      <c r="P26" s="70"/>
      <c r="Q26" s="70"/>
      <c r="R26" s="70">
        <v>1001128</v>
      </c>
    </row>
    <row r="27" spans="1:18" x14ac:dyDescent="0.25">
      <c r="A27" s="69">
        <v>46146</v>
      </c>
      <c r="B27" t="s">
        <v>163</v>
      </c>
      <c r="C27" t="s">
        <v>297</v>
      </c>
      <c r="D27" t="s">
        <v>279</v>
      </c>
      <c r="E27" s="70">
        <v>2926000</v>
      </c>
      <c r="I27" s="72" t="s">
        <v>167</v>
      </c>
      <c r="J27" s="70"/>
      <c r="K27" s="70"/>
      <c r="L27" s="70"/>
      <c r="M27" s="70"/>
      <c r="N27" s="70"/>
      <c r="O27" s="70">
        <v>250000</v>
      </c>
      <c r="P27" s="70"/>
      <c r="Q27" s="70"/>
      <c r="R27" s="70">
        <v>250000</v>
      </c>
    </row>
    <row r="28" spans="1:18" x14ac:dyDescent="0.25">
      <c r="A28" s="69">
        <v>46146</v>
      </c>
      <c r="B28" t="s">
        <v>246</v>
      </c>
      <c r="C28" t="s">
        <v>298</v>
      </c>
      <c r="D28" t="s">
        <v>299</v>
      </c>
      <c r="E28" s="70">
        <v>8229000</v>
      </c>
      <c r="I28" s="72" t="s">
        <v>231</v>
      </c>
      <c r="J28" s="70"/>
      <c r="K28" s="70"/>
      <c r="L28" s="70">
        <v>36826209</v>
      </c>
      <c r="M28" s="70">
        <v>14335807</v>
      </c>
      <c r="N28" s="70">
        <v>2912000</v>
      </c>
      <c r="O28" s="70">
        <v>10561611</v>
      </c>
      <c r="P28" s="70"/>
      <c r="Q28" s="70">
        <v>13846748</v>
      </c>
      <c r="R28" s="70">
        <v>78482375</v>
      </c>
    </row>
    <row r="29" spans="1:18" x14ac:dyDescent="0.25">
      <c r="A29" s="69">
        <v>46146</v>
      </c>
      <c r="B29" t="s">
        <v>202</v>
      </c>
      <c r="C29" t="s">
        <v>300</v>
      </c>
      <c r="D29" t="s">
        <v>285</v>
      </c>
      <c r="E29" s="70">
        <v>1890000</v>
      </c>
      <c r="I29" s="72" t="s">
        <v>763</v>
      </c>
      <c r="J29" s="70"/>
      <c r="K29" s="70"/>
      <c r="L29" s="70">
        <v>7620000</v>
      </c>
      <c r="M29" s="70">
        <v>7620000</v>
      </c>
      <c r="N29" s="70"/>
      <c r="O29" s="70">
        <v>250000</v>
      </c>
      <c r="P29" s="70"/>
      <c r="Q29" s="70"/>
      <c r="R29" s="70">
        <v>15490000</v>
      </c>
    </row>
    <row r="30" spans="1:18" x14ac:dyDescent="0.25">
      <c r="A30" s="69">
        <v>46146</v>
      </c>
      <c r="B30" t="s">
        <v>253</v>
      </c>
      <c r="C30" t="s">
        <v>295</v>
      </c>
      <c r="D30" t="s">
        <v>285</v>
      </c>
      <c r="E30" s="70">
        <v>4428000</v>
      </c>
      <c r="I30" s="72" t="s">
        <v>283</v>
      </c>
      <c r="J30" s="70"/>
      <c r="K30" s="70"/>
      <c r="L30" s="70">
        <v>3744000</v>
      </c>
      <c r="M30" s="70"/>
      <c r="N30" s="70"/>
      <c r="O30" s="70">
        <v>3744000</v>
      </c>
      <c r="P30" s="70"/>
      <c r="Q30" s="70"/>
      <c r="R30" s="70">
        <v>7488000</v>
      </c>
    </row>
    <row r="31" spans="1:18" x14ac:dyDescent="0.25">
      <c r="A31" s="69">
        <v>46146</v>
      </c>
      <c r="B31" t="s">
        <v>163</v>
      </c>
      <c r="C31" t="s">
        <v>297</v>
      </c>
      <c r="D31" t="s">
        <v>285</v>
      </c>
      <c r="E31" s="70">
        <v>2926000</v>
      </c>
      <c r="I31" s="72" t="s">
        <v>233</v>
      </c>
      <c r="J31" s="70"/>
      <c r="K31" s="70"/>
      <c r="L31" s="70">
        <v>2385891</v>
      </c>
      <c r="M31" s="70"/>
      <c r="N31" s="70"/>
      <c r="O31" s="70"/>
      <c r="P31" s="70"/>
      <c r="Q31" s="70"/>
      <c r="R31" s="70">
        <v>2385891</v>
      </c>
    </row>
    <row r="32" spans="1:18" x14ac:dyDescent="0.25">
      <c r="A32" s="69">
        <v>46146</v>
      </c>
      <c r="B32" t="s">
        <v>246</v>
      </c>
      <c r="C32" t="s">
        <v>298</v>
      </c>
      <c r="D32" t="s">
        <v>285</v>
      </c>
      <c r="E32" s="70">
        <v>8229000</v>
      </c>
      <c r="I32" s="72" t="s">
        <v>555</v>
      </c>
      <c r="J32" s="70"/>
      <c r="K32" s="70"/>
      <c r="L32" s="70">
        <v>2935496</v>
      </c>
      <c r="M32" s="70"/>
      <c r="N32" s="70">
        <v>1908000</v>
      </c>
      <c r="O32" s="70">
        <v>1386678</v>
      </c>
      <c r="P32" s="70"/>
      <c r="Q32" s="70">
        <v>1386246</v>
      </c>
      <c r="R32" s="70">
        <v>7616420</v>
      </c>
    </row>
    <row r="33" spans="1:18" x14ac:dyDescent="0.25">
      <c r="A33" s="69">
        <v>46146</v>
      </c>
      <c r="B33" t="s">
        <v>202</v>
      </c>
      <c r="C33" t="s">
        <v>300</v>
      </c>
      <c r="D33" t="s">
        <v>301</v>
      </c>
      <c r="E33" s="70">
        <v>1890000</v>
      </c>
      <c r="I33" s="72" t="s">
        <v>613</v>
      </c>
      <c r="J33" s="70"/>
      <c r="K33" s="70">
        <v>6000</v>
      </c>
      <c r="L33" s="70">
        <v>10326000</v>
      </c>
      <c r="M33" s="70"/>
      <c r="N33" s="70">
        <v>28380000</v>
      </c>
      <c r="O33" s="70">
        <v>18381442</v>
      </c>
      <c r="P33" s="70"/>
      <c r="Q33" s="70"/>
      <c r="R33" s="70">
        <v>57093442</v>
      </c>
    </row>
    <row r="34" spans="1:18" x14ac:dyDescent="0.25">
      <c r="A34" s="69">
        <v>46146</v>
      </c>
      <c r="B34" t="s">
        <v>253</v>
      </c>
      <c r="C34" t="s">
        <v>302</v>
      </c>
      <c r="D34" t="s">
        <v>277</v>
      </c>
      <c r="E34" s="70">
        <v>948000</v>
      </c>
      <c r="I34" s="72" t="s">
        <v>243</v>
      </c>
      <c r="J34" s="70"/>
      <c r="K34" s="70"/>
      <c r="L34" s="70"/>
      <c r="M34" s="70"/>
      <c r="N34" s="70"/>
      <c r="O34" s="70">
        <v>1881000</v>
      </c>
      <c r="P34" s="70"/>
      <c r="Q34" s="70"/>
      <c r="R34" s="70">
        <v>1881000</v>
      </c>
    </row>
    <row r="35" spans="1:18" x14ac:dyDescent="0.25">
      <c r="A35" s="69">
        <v>46146</v>
      </c>
      <c r="B35" t="s">
        <v>202</v>
      </c>
      <c r="C35" t="s">
        <v>303</v>
      </c>
      <c r="D35" t="s">
        <v>286</v>
      </c>
      <c r="E35" s="70">
        <v>105856</v>
      </c>
      <c r="I35" s="72" t="s">
        <v>155</v>
      </c>
      <c r="J35" s="70"/>
      <c r="K35" s="70"/>
      <c r="L35" s="70">
        <v>6798895</v>
      </c>
      <c r="M35" s="70"/>
      <c r="N35" s="70">
        <v>5868000</v>
      </c>
      <c r="O35" s="70">
        <v>14506305</v>
      </c>
      <c r="P35" s="70">
        <v>1839410</v>
      </c>
      <c r="Q35" s="70"/>
      <c r="R35" s="70">
        <v>29012610</v>
      </c>
    </row>
    <row r="36" spans="1:18" x14ac:dyDescent="0.25">
      <c r="A36" s="69">
        <v>46146</v>
      </c>
      <c r="B36" t="s">
        <v>202</v>
      </c>
      <c r="C36" t="s">
        <v>300</v>
      </c>
      <c r="D36" t="s">
        <v>279</v>
      </c>
      <c r="E36" s="70">
        <v>1890000</v>
      </c>
      <c r="I36" s="72" t="s">
        <v>609</v>
      </c>
      <c r="J36" s="70">
        <v>20000</v>
      </c>
      <c r="K36" s="70">
        <v>20000</v>
      </c>
      <c r="L36" s="70"/>
      <c r="M36" s="70"/>
      <c r="N36" s="70"/>
      <c r="O36" s="70">
        <v>17395000</v>
      </c>
      <c r="P36" s="70"/>
      <c r="Q36" s="70">
        <v>17145000</v>
      </c>
      <c r="R36" s="70">
        <v>34580000</v>
      </c>
    </row>
    <row r="37" spans="1:18" x14ac:dyDescent="0.25">
      <c r="A37" s="69">
        <v>46146</v>
      </c>
      <c r="B37" t="s">
        <v>269</v>
      </c>
      <c r="C37" t="s">
        <v>304</v>
      </c>
      <c r="D37" t="s">
        <v>277</v>
      </c>
      <c r="E37" s="70">
        <v>3758479</v>
      </c>
      <c r="I37" s="72" t="s">
        <v>150</v>
      </c>
      <c r="J37" s="70"/>
      <c r="K37" s="70"/>
      <c r="L37" s="70"/>
      <c r="M37" s="70"/>
      <c r="N37" s="70"/>
      <c r="O37" s="70">
        <v>3770470</v>
      </c>
      <c r="P37" s="70"/>
      <c r="Q37" s="70"/>
      <c r="R37" s="70">
        <v>3770470</v>
      </c>
    </row>
    <row r="38" spans="1:18" x14ac:dyDescent="0.25">
      <c r="A38" s="69">
        <v>46146</v>
      </c>
      <c r="B38" t="s">
        <v>168</v>
      </c>
      <c r="C38" t="s">
        <v>305</v>
      </c>
      <c r="D38" t="s">
        <v>285</v>
      </c>
      <c r="E38" s="70">
        <v>2584672</v>
      </c>
      <c r="I38" s="72" t="s">
        <v>219</v>
      </c>
      <c r="J38" s="70"/>
      <c r="K38" s="70"/>
      <c r="L38" s="70">
        <v>2704000</v>
      </c>
      <c r="M38" s="70">
        <v>2704000</v>
      </c>
      <c r="N38" s="70"/>
      <c r="O38" s="70">
        <v>4204978</v>
      </c>
      <c r="P38" s="70"/>
      <c r="Q38" s="70"/>
      <c r="R38" s="70">
        <v>9612978</v>
      </c>
    </row>
    <row r="39" spans="1:18" x14ac:dyDescent="0.25">
      <c r="A39" s="69">
        <v>46146</v>
      </c>
      <c r="B39" t="s">
        <v>246</v>
      </c>
      <c r="C39" t="s">
        <v>298</v>
      </c>
      <c r="D39" t="s">
        <v>286</v>
      </c>
      <c r="E39" s="70">
        <v>8229000</v>
      </c>
      <c r="I39" s="72" t="s">
        <v>238</v>
      </c>
      <c r="J39" s="70">
        <v>10000</v>
      </c>
      <c r="K39" s="70">
        <v>10000</v>
      </c>
      <c r="L39" s="70">
        <v>10000</v>
      </c>
      <c r="M39" s="70"/>
      <c r="N39" s="70"/>
      <c r="O39" s="70">
        <v>502966</v>
      </c>
      <c r="P39" s="70"/>
      <c r="Q39" s="70"/>
      <c r="R39" s="70">
        <v>532966</v>
      </c>
    </row>
    <row r="40" spans="1:18" x14ac:dyDescent="0.25">
      <c r="A40" s="69">
        <v>46146</v>
      </c>
      <c r="B40" t="s">
        <v>202</v>
      </c>
      <c r="C40" t="s">
        <v>303</v>
      </c>
      <c r="D40" t="s">
        <v>285</v>
      </c>
      <c r="E40" s="70">
        <v>105856</v>
      </c>
      <c r="I40" s="72" t="s">
        <v>799</v>
      </c>
      <c r="J40" s="70"/>
      <c r="K40" s="70"/>
      <c r="L40" s="70">
        <v>330</v>
      </c>
      <c r="M40" s="70"/>
      <c r="N40" s="70"/>
      <c r="O40" s="70"/>
      <c r="P40" s="70"/>
      <c r="Q40" s="70"/>
      <c r="R40" s="70">
        <v>330</v>
      </c>
    </row>
    <row r="41" spans="1:18" x14ac:dyDescent="0.25">
      <c r="A41" s="69">
        <v>46146</v>
      </c>
      <c r="B41" t="s">
        <v>269</v>
      </c>
      <c r="C41" t="s">
        <v>304</v>
      </c>
      <c r="D41" t="s">
        <v>286</v>
      </c>
      <c r="E41" s="70">
        <v>3758479</v>
      </c>
      <c r="I41" s="72" t="s">
        <v>156</v>
      </c>
      <c r="J41" s="70"/>
      <c r="K41" s="70"/>
      <c r="L41" s="70">
        <v>250000</v>
      </c>
      <c r="M41" s="70"/>
      <c r="N41" s="70">
        <v>2153129</v>
      </c>
      <c r="O41" s="70">
        <v>3841037</v>
      </c>
      <c r="P41" s="70"/>
      <c r="Q41" s="70"/>
      <c r="R41" s="70">
        <v>6244166</v>
      </c>
    </row>
    <row r="42" spans="1:18" x14ac:dyDescent="0.25">
      <c r="A42" s="69">
        <v>46146</v>
      </c>
      <c r="B42" t="s">
        <v>168</v>
      </c>
      <c r="C42" t="s">
        <v>306</v>
      </c>
      <c r="D42" t="s">
        <v>286</v>
      </c>
      <c r="E42" s="70">
        <v>1150054</v>
      </c>
      <c r="I42" s="72" t="s">
        <v>161</v>
      </c>
      <c r="J42" s="70">
        <v>10000</v>
      </c>
      <c r="K42" s="70">
        <v>10000</v>
      </c>
      <c r="L42" s="70">
        <v>10411707</v>
      </c>
      <c r="M42" s="70">
        <v>198911</v>
      </c>
      <c r="N42" s="70"/>
      <c r="O42" s="70">
        <v>10307686</v>
      </c>
      <c r="P42" s="70"/>
      <c r="Q42" s="70"/>
      <c r="R42" s="70">
        <v>20938304</v>
      </c>
    </row>
    <row r="43" spans="1:18" x14ac:dyDescent="0.25">
      <c r="A43" s="69">
        <v>46146</v>
      </c>
      <c r="B43" t="s">
        <v>168</v>
      </c>
      <c r="C43" t="s">
        <v>307</v>
      </c>
      <c r="D43" t="s">
        <v>301</v>
      </c>
      <c r="E43" s="70">
        <v>706134</v>
      </c>
      <c r="I43" s="72" t="s">
        <v>250</v>
      </c>
      <c r="J43" s="70"/>
      <c r="K43" s="70"/>
      <c r="L43" s="70">
        <v>9647694</v>
      </c>
      <c r="M43" s="70">
        <v>7155006</v>
      </c>
      <c r="N43" s="70">
        <v>15565870</v>
      </c>
      <c r="O43" s="70">
        <v>27165751</v>
      </c>
      <c r="P43" s="70"/>
      <c r="Q43" s="70">
        <v>3602310</v>
      </c>
      <c r="R43" s="70">
        <v>63136631</v>
      </c>
    </row>
    <row r="44" spans="1:18" x14ac:dyDescent="0.25">
      <c r="A44" s="69">
        <v>46146</v>
      </c>
      <c r="B44" t="s">
        <v>168</v>
      </c>
      <c r="C44" t="s">
        <v>308</v>
      </c>
      <c r="D44" t="s">
        <v>285</v>
      </c>
      <c r="E44" s="70">
        <v>737452</v>
      </c>
      <c r="I44" s="72" t="s">
        <v>201</v>
      </c>
      <c r="J44" s="70"/>
      <c r="K44" s="70"/>
      <c r="L44" s="70"/>
      <c r="M44" s="70"/>
      <c r="N44" s="70"/>
      <c r="O44" s="70">
        <v>776406</v>
      </c>
      <c r="P44" s="70"/>
      <c r="Q44" s="70"/>
      <c r="R44" s="70">
        <v>776406</v>
      </c>
    </row>
    <row r="45" spans="1:18" x14ac:dyDescent="0.25">
      <c r="A45" s="69">
        <v>46146</v>
      </c>
      <c r="B45" t="s">
        <v>168</v>
      </c>
      <c r="C45" t="s">
        <v>309</v>
      </c>
      <c r="D45" t="s">
        <v>286</v>
      </c>
      <c r="E45" s="70">
        <v>823863</v>
      </c>
      <c r="I45" s="72" t="s">
        <v>234</v>
      </c>
      <c r="J45" s="70"/>
      <c r="K45" s="70"/>
      <c r="L45" s="70"/>
      <c r="M45" s="70"/>
      <c r="N45" s="70"/>
      <c r="O45" s="70">
        <v>2800</v>
      </c>
      <c r="P45" s="70"/>
      <c r="Q45" s="70"/>
      <c r="R45" s="70">
        <v>2800</v>
      </c>
    </row>
    <row r="46" spans="1:18" x14ac:dyDescent="0.25">
      <c r="A46" s="69">
        <v>46146</v>
      </c>
      <c r="B46" t="s">
        <v>269</v>
      </c>
      <c r="C46" t="s">
        <v>310</v>
      </c>
      <c r="D46" t="s">
        <v>279</v>
      </c>
      <c r="E46" s="70">
        <v>208337</v>
      </c>
      <c r="I46" s="72" t="s">
        <v>258</v>
      </c>
      <c r="J46" s="70"/>
      <c r="K46" s="70"/>
      <c r="L46" s="70">
        <v>2743018</v>
      </c>
      <c r="M46" s="70">
        <v>1007106</v>
      </c>
      <c r="N46" s="70">
        <v>6270000</v>
      </c>
      <c r="O46" s="70">
        <v>9013018</v>
      </c>
      <c r="P46" s="70"/>
      <c r="Q46" s="70">
        <v>403139</v>
      </c>
      <c r="R46" s="70">
        <v>19436281</v>
      </c>
    </row>
    <row r="47" spans="1:18" x14ac:dyDescent="0.25">
      <c r="A47" s="69">
        <v>46146</v>
      </c>
      <c r="B47" t="s">
        <v>269</v>
      </c>
      <c r="C47" t="s">
        <v>311</v>
      </c>
      <c r="D47" t="s">
        <v>286</v>
      </c>
      <c r="E47" s="70">
        <v>198544</v>
      </c>
      <c r="I47" s="72" t="s">
        <v>266</v>
      </c>
      <c r="J47" s="70"/>
      <c r="K47" s="70"/>
      <c r="L47" s="70">
        <v>1000000</v>
      </c>
      <c r="M47" s="70"/>
      <c r="N47" s="70">
        <v>1000000</v>
      </c>
      <c r="O47" s="70">
        <v>1404000</v>
      </c>
      <c r="P47" s="70">
        <v>1000000</v>
      </c>
      <c r="Q47" s="70"/>
      <c r="R47" s="70">
        <v>4404000</v>
      </c>
    </row>
    <row r="48" spans="1:18" x14ac:dyDescent="0.25">
      <c r="A48" s="69">
        <v>46146</v>
      </c>
      <c r="B48" t="s">
        <v>269</v>
      </c>
      <c r="C48" t="s">
        <v>304</v>
      </c>
      <c r="D48" t="s">
        <v>285</v>
      </c>
      <c r="E48" s="70">
        <v>3758479</v>
      </c>
      <c r="I48" s="72" t="s">
        <v>291</v>
      </c>
      <c r="J48" s="70"/>
      <c r="K48" s="70"/>
      <c r="L48" s="70">
        <v>1248000</v>
      </c>
      <c r="M48" s="70"/>
      <c r="N48" s="70"/>
      <c r="O48" s="70"/>
      <c r="P48" s="70"/>
      <c r="Q48" s="70"/>
      <c r="R48" s="70">
        <v>1248000</v>
      </c>
    </row>
    <row r="49" spans="1:18" x14ac:dyDescent="0.25">
      <c r="A49" s="69">
        <v>46146</v>
      </c>
      <c r="B49" t="s">
        <v>168</v>
      </c>
      <c r="C49" t="s">
        <v>305</v>
      </c>
      <c r="D49" t="s">
        <v>279</v>
      </c>
      <c r="E49" s="70">
        <v>2584672</v>
      </c>
      <c r="I49" s="72" t="s">
        <v>604</v>
      </c>
      <c r="J49" s="70"/>
      <c r="K49" s="70">
        <v>25000</v>
      </c>
      <c r="L49" s="70">
        <v>10909551</v>
      </c>
      <c r="M49" s="70">
        <v>4819622</v>
      </c>
      <c r="N49" s="70">
        <v>56000000</v>
      </c>
      <c r="O49" s="70">
        <v>66708723</v>
      </c>
      <c r="P49" s="70"/>
      <c r="Q49" s="70">
        <v>6055768</v>
      </c>
      <c r="R49" s="70">
        <v>144518664</v>
      </c>
    </row>
    <row r="50" spans="1:18" x14ac:dyDescent="0.25">
      <c r="A50" s="69">
        <v>46146</v>
      </c>
      <c r="B50" t="s">
        <v>168</v>
      </c>
      <c r="C50" t="s">
        <v>309</v>
      </c>
      <c r="D50" t="s">
        <v>279</v>
      </c>
      <c r="E50" s="70">
        <v>823863</v>
      </c>
      <c r="I50" s="72" t="s">
        <v>162</v>
      </c>
      <c r="J50" s="70">
        <v>10000</v>
      </c>
      <c r="K50" s="70">
        <v>10000</v>
      </c>
      <c r="L50" s="70">
        <v>40588921</v>
      </c>
      <c r="M50" s="70">
        <v>7409978</v>
      </c>
      <c r="N50" s="70">
        <v>57200000</v>
      </c>
      <c r="O50" s="70">
        <v>48406439</v>
      </c>
      <c r="P50" s="70"/>
      <c r="Q50" s="70">
        <v>18400000</v>
      </c>
      <c r="R50" s="70">
        <v>172025338</v>
      </c>
    </row>
    <row r="51" spans="1:18" x14ac:dyDescent="0.25">
      <c r="A51" s="69">
        <v>46146</v>
      </c>
      <c r="B51" t="s">
        <v>265</v>
      </c>
      <c r="C51" t="s">
        <v>312</v>
      </c>
      <c r="D51" t="s">
        <v>285</v>
      </c>
      <c r="E51" s="70">
        <v>1036</v>
      </c>
      <c r="I51" s="72" t="s">
        <v>598</v>
      </c>
      <c r="J51" s="70"/>
      <c r="K51" s="70"/>
      <c r="L51" s="70">
        <v>8416797</v>
      </c>
      <c r="M51" s="70">
        <v>5371003</v>
      </c>
      <c r="N51" s="70">
        <v>2413782</v>
      </c>
      <c r="O51" s="70">
        <v>8525610</v>
      </c>
      <c r="P51" s="70"/>
      <c r="Q51" s="70">
        <v>2063973</v>
      </c>
      <c r="R51" s="70">
        <v>26791165</v>
      </c>
    </row>
    <row r="52" spans="1:18" x14ac:dyDescent="0.25">
      <c r="A52" s="69">
        <v>46146</v>
      </c>
      <c r="B52" t="s">
        <v>268</v>
      </c>
      <c r="C52" t="s">
        <v>313</v>
      </c>
      <c r="D52" t="s">
        <v>285</v>
      </c>
      <c r="E52" s="70">
        <v>100000</v>
      </c>
      <c r="I52" s="72" t="s">
        <v>202</v>
      </c>
      <c r="J52" s="70"/>
      <c r="K52" s="70"/>
      <c r="L52" s="70">
        <v>5726422</v>
      </c>
      <c r="M52" s="70">
        <v>1890000</v>
      </c>
      <c r="N52" s="70">
        <v>1890000</v>
      </c>
      <c r="O52" s="70">
        <v>3776853</v>
      </c>
      <c r="P52" s="70">
        <v>1890000</v>
      </c>
      <c r="Q52" s="70">
        <v>1890000</v>
      </c>
      <c r="R52" s="70">
        <v>17063275</v>
      </c>
    </row>
    <row r="53" spans="1:18" x14ac:dyDescent="0.25">
      <c r="A53" s="69">
        <v>46146</v>
      </c>
      <c r="B53" t="s">
        <v>259</v>
      </c>
      <c r="C53" t="s">
        <v>314</v>
      </c>
      <c r="D53" t="s">
        <v>285</v>
      </c>
      <c r="E53" s="70">
        <v>431452</v>
      </c>
      <c r="I53" s="72" t="s">
        <v>794</v>
      </c>
      <c r="J53" s="70"/>
      <c r="K53" s="70"/>
      <c r="L53" s="70">
        <v>124</v>
      </c>
      <c r="M53" s="70"/>
      <c r="N53" s="70"/>
      <c r="O53" s="70"/>
      <c r="P53" s="70"/>
      <c r="Q53" s="70"/>
      <c r="R53" s="70">
        <v>124</v>
      </c>
    </row>
    <row r="54" spans="1:18" x14ac:dyDescent="0.25">
      <c r="A54" s="69">
        <v>46146</v>
      </c>
      <c r="B54" t="s">
        <v>258</v>
      </c>
      <c r="C54" t="s">
        <v>315</v>
      </c>
      <c r="D54" t="s">
        <v>277</v>
      </c>
      <c r="E54" s="70">
        <v>6270000</v>
      </c>
      <c r="I54" s="72" t="s">
        <v>242</v>
      </c>
      <c r="J54" s="70">
        <v>1250</v>
      </c>
      <c r="K54" s="70">
        <v>1250</v>
      </c>
      <c r="L54" s="70">
        <v>1250</v>
      </c>
      <c r="M54" s="70"/>
      <c r="N54" s="70"/>
      <c r="O54" s="70">
        <v>124</v>
      </c>
      <c r="P54" s="70"/>
      <c r="Q54" s="70"/>
      <c r="R54" s="70">
        <v>3874</v>
      </c>
    </row>
    <row r="55" spans="1:18" x14ac:dyDescent="0.25">
      <c r="A55" s="69">
        <v>46146</v>
      </c>
      <c r="B55" t="s">
        <v>259</v>
      </c>
      <c r="C55" t="s">
        <v>316</v>
      </c>
      <c r="D55" t="s">
        <v>299</v>
      </c>
      <c r="E55" s="70">
        <v>1063155</v>
      </c>
      <c r="I55" s="72" t="s">
        <v>194</v>
      </c>
      <c r="J55" s="70"/>
      <c r="K55" s="70"/>
      <c r="L55" s="70">
        <v>763</v>
      </c>
      <c r="M55" s="70"/>
      <c r="N55" s="70"/>
      <c r="O55" s="70">
        <v>1026169</v>
      </c>
      <c r="P55" s="70"/>
      <c r="Q55" s="70"/>
      <c r="R55" s="70">
        <v>1026932</v>
      </c>
    </row>
    <row r="56" spans="1:18" x14ac:dyDescent="0.25">
      <c r="A56" s="69">
        <v>46146</v>
      </c>
      <c r="B56" t="s">
        <v>259</v>
      </c>
      <c r="C56" t="s">
        <v>316</v>
      </c>
      <c r="D56" t="s">
        <v>285</v>
      </c>
      <c r="E56" s="70">
        <v>1063155</v>
      </c>
      <c r="I56" s="72" t="s">
        <v>717</v>
      </c>
      <c r="J56" s="70"/>
      <c r="K56" s="70"/>
      <c r="L56" s="70">
        <v>11607571</v>
      </c>
      <c r="M56" s="70">
        <v>1138634</v>
      </c>
      <c r="N56" s="70"/>
      <c r="O56" s="70">
        <v>9241795</v>
      </c>
      <c r="P56" s="70"/>
      <c r="Q56" s="70">
        <v>1225415</v>
      </c>
      <c r="R56" s="70">
        <v>23213415</v>
      </c>
    </row>
    <row r="57" spans="1:18" x14ac:dyDescent="0.25">
      <c r="A57" s="69">
        <v>46146</v>
      </c>
      <c r="B57" t="s">
        <v>258</v>
      </c>
      <c r="C57" t="s">
        <v>317</v>
      </c>
      <c r="D57" t="s">
        <v>301</v>
      </c>
      <c r="E57" s="70">
        <v>1007106</v>
      </c>
      <c r="I57" s="72" t="s">
        <v>229</v>
      </c>
      <c r="J57" s="70">
        <v>22500</v>
      </c>
      <c r="K57" s="70">
        <v>4500</v>
      </c>
      <c r="L57" s="70">
        <v>3000</v>
      </c>
      <c r="M57" s="70"/>
      <c r="N57" s="70"/>
      <c r="O57" s="70">
        <v>266830</v>
      </c>
      <c r="P57" s="70"/>
      <c r="Q57" s="70"/>
      <c r="R57" s="70">
        <v>296830</v>
      </c>
    </row>
    <row r="58" spans="1:18" x14ac:dyDescent="0.25">
      <c r="A58" s="69">
        <v>46146</v>
      </c>
      <c r="B58" t="s">
        <v>258</v>
      </c>
      <c r="C58" t="s">
        <v>318</v>
      </c>
      <c r="D58" t="s">
        <v>286</v>
      </c>
      <c r="E58" s="70">
        <v>2339879</v>
      </c>
      <c r="I58" s="72" t="s">
        <v>180</v>
      </c>
      <c r="J58" s="70"/>
      <c r="K58" s="70">
        <v>10000</v>
      </c>
      <c r="L58" s="70">
        <v>16026436</v>
      </c>
      <c r="M58" s="70">
        <v>5629252</v>
      </c>
      <c r="N58" s="70"/>
      <c r="O58" s="70">
        <v>10867212</v>
      </c>
      <c r="P58" s="70"/>
      <c r="Q58" s="70">
        <v>11391546</v>
      </c>
      <c r="R58" s="70">
        <v>43924446</v>
      </c>
    </row>
    <row r="59" spans="1:18" x14ac:dyDescent="0.25">
      <c r="A59" s="69">
        <v>46146</v>
      </c>
      <c r="B59" t="s">
        <v>212</v>
      </c>
      <c r="C59" t="s">
        <v>319</v>
      </c>
      <c r="D59" t="s">
        <v>279</v>
      </c>
      <c r="E59" s="70">
        <v>3290000</v>
      </c>
      <c r="I59" s="72" t="s">
        <v>205</v>
      </c>
      <c r="J59" s="70"/>
      <c r="K59" s="70"/>
      <c r="L59" s="70">
        <v>1063573</v>
      </c>
      <c r="M59" s="70"/>
      <c r="N59" s="70"/>
      <c r="O59" s="70">
        <v>10382082</v>
      </c>
      <c r="P59" s="70"/>
      <c r="Q59" s="70"/>
      <c r="R59" s="70">
        <v>11445655</v>
      </c>
    </row>
    <row r="60" spans="1:18" x14ac:dyDescent="0.25">
      <c r="A60" s="69">
        <v>46146</v>
      </c>
      <c r="B60" t="s">
        <v>258</v>
      </c>
      <c r="C60" t="s">
        <v>320</v>
      </c>
      <c r="D60" t="s">
        <v>285</v>
      </c>
      <c r="E60" s="70">
        <v>403139</v>
      </c>
      <c r="I60" s="72" t="s">
        <v>501</v>
      </c>
      <c r="J60" s="70"/>
      <c r="K60" s="70"/>
      <c r="L60" s="70">
        <v>14911565</v>
      </c>
      <c r="M60" s="70"/>
      <c r="N60" s="70"/>
      <c r="O60" s="70"/>
      <c r="P60" s="70"/>
      <c r="Q60" s="70"/>
      <c r="R60" s="70">
        <v>14911565</v>
      </c>
    </row>
    <row r="61" spans="1:18" x14ac:dyDescent="0.25">
      <c r="A61" s="69">
        <v>46146</v>
      </c>
      <c r="B61" t="s">
        <v>212</v>
      </c>
      <c r="C61" t="s">
        <v>319</v>
      </c>
      <c r="D61" t="s">
        <v>286</v>
      </c>
      <c r="E61" s="70">
        <v>3290000</v>
      </c>
      <c r="I61" s="72" t="s">
        <v>246</v>
      </c>
      <c r="J61" s="70"/>
      <c r="K61" s="70"/>
      <c r="L61" s="70">
        <v>31218150</v>
      </c>
      <c r="M61" s="70">
        <v>6455408</v>
      </c>
      <c r="N61" s="70">
        <v>16509166</v>
      </c>
      <c r="O61" s="70">
        <v>33524514</v>
      </c>
      <c r="P61" s="70">
        <v>8229000</v>
      </c>
      <c r="Q61" s="70">
        <v>11866452</v>
      </c>
      <c r="R61" s="70">
        <v>107802690</v>
      </c>
    </row>
    <row r="62" spans="1:18" x14ac:dyDescent="0.25">
      <c r="A62" s="69">
        <v>46146</v>
      </c>
      <c r="B62" t="s">
        <v>258</v>
      </c>
      <c r="C62" t="s">
        <v>315</v>
      </c>
      <c r="D62" t="s">
        <v>286</v>
      </c>
      <c r="E62" s="70">
        <v>6270000</v>
      </c>
      <c r="I62" s="72" t="s">
        <v>381</v>
      </c>
      <c r="J62" s="70"/>
      <c r="K62" s="70"/>
      <c r="L62" s="70">
        <v>531</v>
      </c>
      <c r="M62" s="70"/>
      <c r="N62" s="70"/>
      <c r="O62" s="70"/>
      <c r="P62" s="70"/>
      <c r="Q62" s="70"/>
      <c r="R62" s="70">
        <v>531</v>
      </c>
    </row>
    <row r="63" spans="1:18" x14ac:dyDescent="0.25">
      <c r="A63" s="69">
        <v>46146</v>
      </c>
      <c r="B63" t="s">
        <v>258</v>
      </c>
      <c r="C63" t="s">
        <v>318</v>
      </c>
      <c r="D63" t="s">
        <v>285</v>
      </c>
      <c r="E63" s="70">
        <v>2339879</v>
      </c>
      <c r="I63" s="72" t="s">
        <v>268</v>
      </c>
      <c r="J63" s="70"/>
      <c r="K63" s="70"/>
      <c r="L63" s="70">
        <v>100000</v>
      </c>
      <c r="M63" s="70"/>
      <c r="N63" s="70"/>
      <c r="O63" s="70"/>
      <c r="P63" s="70"/>
      <c r="Q63" s="70"/>
      <c r="R63" s="70">
        <v>100000</v>
      </c>
    </row>
    <row r="64" spans="1:18" x14ac:dyDescent="0.25">
      <c r="A64" s="69">
        <v>46146</v>
      </c>
      <c r="B64" t="s">
        <v>212</v>
      </c>
      <c r="C64" t="s">
        <v>319</v>
      </c>
      <c r="D64" t="s">
        <v>286</v>
      </c>
      <c r="E64" s="70">
        <v>3290000</v>
      </c>
      <c r="I64" s="72" t="s">
        <v>179</v>
      </c>
      <c r="J64" s="70">
        <v>1293</v>
      </c>
      <c r="K64" s="70"/>
      <c r="L64" s="70">
        <v>2251293</v>
      </c>
      <c r="M64" s="70"/>
      <c r="N64" s="70">
        <v>2250000</v>
      </c>
      <c r="O64" s="70">
        <v>2267263</v>
      </c>
      <c r="P64" s="70"/>
      <c r="Q64" s="70"/>
      <c r="R64" s="70">
        <v>6769849</v>
      </c>
    </row>
    <row r="65" spans="1:18" x14ac:dyDescent="0.25">
      <c r="A65" s="69">
        <v>46146</v>
      </c>
      <c r="B65" t="s">
        <v>258</v>
      </c>
      <c r="C65" t="s">
        <v>320</v>
      </c>
      <c r="D65" t="s">
        <v>279</v>
      </c>
      <c r="E65" s="70">
        <v>403139</v>
      </c>
      <c r="I65" s="72" t="s">
        <v>621</v>
      </c>
      <c r="J65" s="70"/>
      <c r="K65" s="70"/>
      <c r="L65" s="70"/>
      <c r="M65" s="70"/>
      <c r="N65" s="70"/>
      <c r="O65" s="70">
        <v>526650</v>
      </c>
      <c r="P65" s="70"/>
      <c r="Q65" s="70"/>
      <c r="R65" s="70">
        <v>526650</v>
      </c>
    </row>
    <row r="66" spans="1:18" x14ac:dyDescent="0.25">
      <c r="A66" s="69">
        <v>46146</v>
      </c>
      <c r="B66" t="s">
        <v>254</v>
      </c>
      <c r="C66" t="s">
        <v>321</v>
      </c>
      <c r="D66" t="s">
        <v>285</v>
      </c>
      <c r="E66" s="70">
        <v>1794</v>
      </c>
      <c r="I66" s="72" t="s">
        <v>265</v>
      </c>
      <c r="J66" s="70"/>
      <c r="K66" s="70"/>
      <c r="L66" s="70">
        <v>1036</v>
      </c>
      <c r="M66" s="70"/>
      <c r="N66" s="70"/>
      <c r="O66" s="70"/>
      <c r="P66" s="70"/>
      <c r="Q66" s="70"/>
      <c r="R66" s="70">
        <v>1036</v>
      </c>
    </row>
    <row r="67" spans="1:18" x14ac:dyDescent="0.25">
      <c r="A67" s="69">
        <v>46146</v>
      </c>
      <c r="B67" t="s">
        <v>246</v>
      </c>
      <c r="C67" t="s">
        <v>322</v>
      </c>
      <c r="D67" t="s">
        <v>277</v>
      </c>
      <c r="E67" s="70">
        <v>7481771</v>
      </c>
      <c r="I67" s="72" t="s">
        <v>222</v>
      </c>
      <c r="J67" s="70">
        <v>3130</v>
      </c>
      <c r="K67" s="70">
        <v>1250</v>
      </c>
      <c r="L67" s="70">
        <v>7614</v>
      </c>
      <c r="M67" s="70"/>
      <c r="N67" s="70"/>
      <c r="O67" s="70">
        <v>486186</v>
      </c>
      <c r="P67" s="70"/>
      <c r="Q67" s="70"/>
      <c r="R67" s="70">
        <v>498180</v>
      </c>
    </row>
    <row r="68" spans="1:18" x14ac:dyDescent="0.25">
      <c r="A68" s="69">
        <v>46146</v>
      </c>
      <c r="B68" t="s">
        <v>246</v>
      </c>
      <c r="C68" t="s">
        <v>323</v>
      </c>
      <c r="D68" t="s">
        <v>285</v>
      </c>
      <c r="E68" s="70">
        <v>1339713</v>
      </c>
      <c r="I68" s="72" t="s">
        <v>163</v>
      </c>
      <c r="J68" s="70"/>
      <c r="K68" s="70"/>
      <c r="L68" s="70">
        <v>10775370</v>
      </c>
      <c r="M68" s="70">
        <v>8272277</v>
      </c>
      <c r="N68" s="70">
        <v>4753147</v>
      </c>
      <c r="O68" s="70">
        <v>7698051</v>
      </c>
      <c r="P68" s="70">
        <v>2926000</v>
      </c>
      <c r="Q68" s="70">
        <v>11321963</v>
      </c>
      <c r="R68" s="70">
        <v>45746808</v>
      </c>
    </row>
    <row r="69" spans="1:18" x14ac:dyDescent="0.25">
      <c r="A69" s="69">
        <v>46146</v>
      </c>
      <c r="B69" t="s">
        <v>231</v>
      </c>
      <c r="C69" t="s">
        <v>324</v>
      </c>
      <c r="D69" t="s">
        <v>301</v>
      </c>
      <c r="E69" s="70">
        <v>3500000</v>
      </c>
      <c r="I69" s="72" t="s">
        <v>603</v>
      </c>
      <c r="J69" s="70">
        <v>10000</v>
      </c>
      <c r="K69" s="70">
        <v>10000</v>
      </c>
      <c r="L69" s="70"/>
      <c r="M69" s="70"/>
      <c r="N69" s="70"/>
      <c r="O69" s="70">
        <v>690000</v>
      </c>
      <c r="P69" s="70"/>
      <c r="Q69" s="70"/>
      <c r="R69" s="70">
        <v>710000</v>
      </c>
    </row>
    <row r="70" spans="1:18" x14ac:dyDescent="0.25">
      <c r="A70" s="69">
        <v>46146</v>
      </c>
      <c r="B70" t="s">
        <v>169</v>
      </c>
      <c r="C70" t="s">
        <v>325</v>
      </c>
      <c r="D70" t="s">
        <v>279</v>
      </c>
      <c r="E70" s="70">
        <v>400000</v>
      </c>
      <c r="I70" s="72" t="s">
        <v>236</v>
      </c>
      <c r="J70" s="70"/>
      <c r="K70" s="70"/>
      <c r="L70" s="70">
        <v>857</v>
      </c>
      <c r="M70" s="70"/>
      <c r="N70" s="70"/>
      <c r="O70" s="70">
        <v>1251955</v>
      </c>
      <c r="P70" s="70"/>
      <c r="Q70" s="70"/>
      <c r="R70" s="70">
        <v>1252812</v>
      </c>
    </row>
    <row r="71" spans="1:18" x14ac:dyDescent="0.25">
      <c r="A71" s="69">
        <v>46146</v>
      </c>
      <c r="B71" t="s">
        <v>212</v>
      </c>
      <c r="C71" t="s">
        <v>319</v>
      </c>
      <c r="D71" t="s">
        <v>285</v>
      </c>
      <c r="E71" s="70">
        <v>3290000</v>
      </c>
      <c r="I71" s="72" t="s">
        <v>244</v>
      </c>
      <c r="J71" s="70"/>
      <c r="K71" s="70"/>
      <c r="L71" s="70">
        <v>13403880</v>
      </c>
      <c r="M71" s="70"/>
      <c r="N71" s="70">
        <v>14307160</v>
      </c>
      <c r="O71" s="70">
        <v>20836576</v>
      </c>
      <c r="P71" s="70"/>
      <c r="Q71" s="70">
        <v>1890188</v>
      </c>
      <c r="R71" s="70">
        <v>50437804</v>
      </c>
    </row>
    <row r="72" spans="1:18" x14ac:dyDescent="0.25">
      <c r="A72" s="69">
        <v>46146</v>
      </c>
      <c r="B72" t="s">
        <v>258</v>
      </c>
      <c r="C72" t="s">
        <v>320</v>
      </c>
      <c r="D72" t="s">
        <v>286</v>
      </c>
      <c r="E72" s="70">
        <v>403139</v>
      </c>
      <c r="I72" s="72" t="s">
        <v>212</v>
      </c>
      <c r="J72" s="70"/>
      <c r="K72" s="70"/>
      <c r="L72" s="70">
        <v>3291880</v>
      </c>
      <c r="M72" s="70"/>
      <c r="N72" s="70"/>
      <c r="O72" s="70">
        <v>7090444</v>
      </c>
      <c r="P72" s="70"/>
      <c r="Q72" s="70">
        <v>3290000</v>
      </c>
      <c r="R72" s="70">
        <v>13672324</v>
      </c>
    </row>
    <row r="73" spans="1:18" x14ac:dyDescent="0.25">
      <c r="A73" s="69">
        <v>46146</v>
      </c>
      <c r="B73" t="s">
        <v>266</v>
      </c>
      <c r="C73" t="s">
        <v>278</v>
      </c>
      <c r="D73" t="s">
        <v>285</v>
      </c>
      <c r="E73" s="70">
        <v>1000000</v>
      </c>
      <c r="I73" s="72" t="s">
        <v>481</v>
      </c>
      <c r="J73" s="70"/>
      <c r="K73" s="70"/>
      <c r="L73" s="70">
        <v>249574</v>
      </c>
      <c r="M73" s="70"/>
      <c r="N73" s="70">
        <v>454995</v>
      </c>
      <c r="O73" s="70">
        <v>704569</v>
      </c>
      <c r="P73" s="70">
        <v>141587</v>
      </c>
      <c r="Q73" s="70"/>
      <c r="R73" s="70">
        <v>1550725</v>
      </c>
    </row>
    <row r="74" spans="1:18" x14ac:dyDescent="0.25">
      <c r="A74" s="69">
        <v>46146</v>
      </c>
      <c r="B74" t="s">
        <v>246</v>
      </c>
      <c r="C74" t="s">
        <v>322</v>
      </c>
      <c r="D74" t="s">
        <v>286</v>
      </c>
      <c r="E74" s="70">
        <v>7481771</v>
      </c>
      <c r="I74" s="72" t="s">
        <v>168</v>
      </c>
      <c r="J74" s="70"/>
      <c r="K74" s="70">
        <v>4500</v>
      </c>
      <c r="L74" s="70">
        <v>46065014</v>
      </c>
      <c r="M74" s="70">
        <v>8036299</v>
      </c>
      <c r="N74" s="70">
        <v>1732050</v>
      </c>
      <c r="O74" s="70">
        <v>42704618</v>
      </c>
      <c r="P74" s="70"/>
      <c r="Q74" s="70">
        <v>10325259</v>
      </c>
      <c r="R74" s="70">
        <v>108867740</v>
      </c>
    </row>
    <row r="75" spans="1:18" x14ac:dyDescent="0.25">
      <c r="A75" s="69">
        <v>46146</v>
      </c>
      <c r="B75" t="s">
        <v>246</v>
      </c>
      <c r="C75" t="s">
        <v>323</v>
      </c>
      <c r="D75" t="s">
        <v>286</v>
      </c>
      <c r="E75" s="70">
        <v>1339713</v>
      </c>
      <c r="I75" s="72" t="s">
        <v>253</v>
      </c>
      <c r="J75" s="70"/>
      <c r="K75" s="70"/>
      <c r="L75" s="70">
        <v>5352000</v>
      </c>
      <c r="M75" s="70"/>
      <c r="N75" s="70">
        <v>1792000</v>
      </c>
      <c r="O75" s="70">
        <v>6196000</v>
      </c>
      <c r="P75" s="70"/>
      <c r="Q75" s="70"/>
      <c r="R75" s="70">
        <v>13340000</v>
      </c>
    </row>
    <row r="76" spans="1:18" x14ac:dyDescent="0.25">
      <c r="A76" s="69">
        <v>46146</v>
      </c>
      <c r="B76" t="s">
        <v>169</v>
      </c>
      <c r="C76" t="s">
        <v>325</v>
      </c>
      <c r="D76" t="s">
        <v>285</v>
      </c>
      <c r="E76" s="70">
        <v>400000</v>
      </c>
      <c r="I76" s="72" t="s">
        <v>248</v>
      </c>
      <c r="J76" s="70">
        <v>3538406</v>
      </c>
      <c r="K76" s="70">
        <v>138750</v>
      </c>
      <c r="L76" s="70">
        <v>459573828</v>
      </c>
      <c r="M76" s="70">
        <v>120114663</v>
      </c>
      <c r="N76" s="70">
        <v>301926499</v>
      </c>
      <c r="O76" s="70">
        <v>577804366</v>
      </c>
      <c r="P76" s="70">
        <v>20393731</v>
      </c>
      <c r="Q76" s="70">
        <v>155542370</v>
      </c>
      <c r="R76" s="70">
        <v>1639032613</v>
      </c>
    </row>
    <row r="77" spans="1:18" x14ac:dyDescent="0.25">
      <c r="A77" s="69">
        <v>46146</v>
      </c>
      <c r="B77" t="s">
        <v>246</v>
      </c>
      <c r="C77" t="s">
        <v>326</v>
      </c>
      <c r="D77" t="s">
        <v>285</v>
      </c>
      <c r="E77" s="70">
        <v>2196908</v>
      </c>
    </row>
    <row r="78" spans="1:18" x14ac:dyDescent="0.25">
      <c r="A78" s="69">
        <v>46146</v>
      </c>
      <c r="B78" t="s">
        <v>169</v>
      </c>
      <c r="C78" t="s">
        <v>325</v>
      </c>
      <c r="D78" t="s">
        <v>286</v>
      </c>
      <c r="E78" s="70">
        <v>400000</v>
      </c>
    </row>
    <row r="79" spans="1:18" x14ac:dyDescent="0.25">
      <c r="A79" s="69">
        <v>46146</v>
      </c>
      <c r="B79" t="s">
        <v>246</v>
      </c>
      <c r="C79" t="s">
        <v>327</v>
      </c>
      <c r="D79" t="s">
        <v>301</v>
      </c>
      <c r="E79" s="70">
        <v>1108357</v>
      </c>
    </row>
    <row r="80" spans="1:18" x14ac:dyDescent="0.25">
      <c r="A80" s="69">
        <v>46146</v>
      </c>
      <c r="B80" t="s">
        <v>165</v>
      </c>
      <c r="C80" t="s">
        <v>328</v>
      </c>
      <c r="D80" t="s">
        <v>285</v>
      </c>
      <c r="E80" s="70">
        <v>50000</v>
      </c>
    </row>
    <row r="81" spans="1:5" x14ac:dyDescent="0.25">
      <c r="A81" s="69">
        <v>46146</v>
      </c>
      <c r="B81" t="s">
        <v>164</v>
      </c>
      <c r="C81" t="s">
        <v>329</v>
      </c>
      <c r="D81" t="s">
        <v>286</v>
      </c>
      <c r="E81" s="70">
        <v>3998821</v>
      </c>
    </row>
    <row r="82" spans="1:5" x14ac:dyDescent="0.25">
      <c r="A82" s="69">
        <v>46146</v>
      </c>
      <c r="B82" t="s">
        <v>231</v>
      </c>
      <c r="C82" t="s">
        <v>324</v>
      </c>
      <c r="D82" t="s">
        <v>285</v>
      </c>
      <c r="E82" s="70">
        <v>3500000</v>
      </c>
    </row>
    <row r="83" spans="1:5" x14ac:dyDescent="0.25">
      <c r="A83" s="69">
        <v>46146</v>
      </c>
      <c r="B83" t="s">
        <v>165</v>
      </c>
      <c r="C83" t="s">
        <v>328</v>
      </c>
      <c r="D83" t="s">
        <v>301</v>
      </c>
      <c r="E83" s="70">
        <v>50000</v>
      </c>
    </row>
    <row r="84" spans="1:5" x14ac:dyDescent="0.25">
      <c r="A84" s="69">
        <v>46146</v>
      </c>
      <c r="B84" t="s">
        <v>164</v>
      </c>
      <c r="C84" t="s">
        <v>329</v>
      </c>
      <c r="D84" t="s">
        <v>279</v>
      </c>
      <c r="E84" s="70">
        <v>3998821</v>
      </c>
    </row>
    <row r="85" spans="1:5" x14ac:dyDescent="0.25">
      <c r="A85" s="69">
        <v>46146</v>
      </c>
      <c r="B85" t="s">
        <v>266</v>
      </c>
      <c r="C85" t="s">
        <v>330</v>
      </c>
      <c r="D85" t="s">
        <v>286</v>
      </c>
      <c r="E85" s="70">
        <v>404000</v>
      </c>
    </row>
    <row r="86" spans="1:5" x14ac:dyDescent="0.25">
      <c r="A86" s="69">
        <v>46146</v>
      </c>
      <c r="B86" t="s">
        <v>165</v>
      </c>
      <c r="C86" t="s">
        <v>328</v>
      </c>
      <c r="D86" t="s">
        <v>286</v>
      </c>
      <c r="E86" s="70">
        <v>50000</v>
      </c>
    </row>
    <row r="87" spans="1:5" x14ac:dyDescent="0.25">
      <c r="A87" s="69">
        <v>46146</v>
      </c>
      <c r="B87" t="s">
        <v>165</v>
      </c>
      <c r="C87" t="s">
        <v>328</v>
      </c>
      <c r="D87" t="s">
        <v>286</v>
      </c>
      <c r="E87" s="70">
        <v>50000</v>
      </c>
    </row>
    <row r="88" spans="1:5" x14ac:dyDescent="0.25">
      <c r="A88" s="69">
        <v>46146</v>
      </c>
      <c r="B88" t="s">
        <v>254</v>
      </c>
      <c r="C88" t="s">
        <v>331</v>
      </c>
      <c r="D88" t="s">
        <v>286</v>
      </c>
      <c r="E88" s="70">
        <v>8862000</v>
      </c>
    </row>
    <row r="89" spans="1:5" x14ac:dyDescent="0.25">
      <c r="A89" s="69">
        <v>46146</v>
      </c>
      <c r="B89" t="s">
        <v>246</v>
      </c>
      <c r="C89" t="s">
        <v>327</v>
      </c>
      <c r="D89" t="s">
        <v>285</v>
      </c>
      <c r="E89" s="70">
        <v>1108357</v>
      </c>
    </row>
    <row r="90" spans="1:5" x14ac:dyDescent="0.25">
      <c r="A90" s="69">
        <v>46146</v>
      </c>
      <c r="B90" t="s">
        <v>266</v>
      </c>
      <c r="C90" t="s">
        <v>278</v>
      </c>
      <c r="D90" t="s">
        <v>299</v>
      </c>
      <c r="E90" s="70">
        <v>1000000</v>
      </c>
    </row>
    <row r="91" spans="1:5" x14ac:dyDescent="0.25">
      <c r="A91" s="69">
        <v>46146</v>
      </c>
      <c r="B91" t="s">
        <v>165</v>
      </c>
      <c r="C91" t="s">
        <v>328</v>
      </c>
      <c r="D91" t="s">
        <v>285</v>
      </c>
      <c r="E91" s="70">
        <v>50000</v>
      </c>
    </row>
    <row r="92" spans="1:5" x14ac:dyDescent="0.25">
      <c r="A92" s="69">
        <v>46146</v>
      </c>
      <c r="B92" t="s">
        <v>254</v>
      </c>
      <c r="C92" t="s">
        <v>331</v>
      </c>
      <c r="D92" t="s">
        <v>277</v>
      </c>
      <c r="E92" s="70">
        <v>8862000</v>
      </c>
    </row>
    <row r="93" spans="1:5" x14ac:dyDescent="0.25">
      <c r="A93" s="69">
        <v>46146</v>
      </c>
      <c r="B93" t="s">
        <v>163</v>
      </c>
      <c r="C93" t="s">
        <v>297</v>
      </c>
      <c r="D93" t="s">
        <v>301</v>
      </c>
      <c r="E93" s="70">
        <v>2926000</v>
      </c>
    </row>
    <row r="94" spans="1:5" x14ac:dyDescent="0.25">
      <c r="A94" s="69">
        <v>46146</v>
      </c>
      <c r="B94" t="s">
        <v>163</v>
      </c>
      <c r="C94" t="s">
        <v>297</v>
      </c>
      <c r="D94" t="s">
        <v>286</v>
      </c>
      <c r="E94" s="70">
        <v>2926000</v>
      </c>
    </row>
    <row r="95" spans="1:5" x14ac:dyDescent="0.25">
      <c r="A95" s="69">
        <v>46146</v>
      </c>
      <c r="B95" t="s">
        <v>157</v>
      </c>
      <c r="C95" t="s">
        <v>332</v>
      </c>
      <c r="D95" t="s">
        <v>286</v>
      </c>
      <c r="E95" s="70">
        <v>994541</v>
      </c>
    </row>
    <row r="96" spans="1:5" x14ac:dyDescent="0.25">
      <c r="A96" s="69">
        <v>46146</v>
      </c>
      <c r="B96" t="s">
        <v>251</v>
      </c>
      <c r="C96" t="s">
        <v>333</v>
      </c>
      <c r="D96" t="s">
        <v>285</v>
      </c>
      <c r="E96" s="70">
        <v>200</v>
      </c>
    </row>
    <row r="97" spans="1:5" x14ac:dyDescent="0.25">
      <c r="A97" s="69">
        <v>46146</v>
      </c>
      <c r="B97" t="s">
        <v>165</v>
      </c>
      <c r="C97" t="s">
        <v>328</v>
      </c>
      <c r="D97" t="s">
        <v>279</v>
      </c>
      <c r="E97" s="70">
        <v>50000</v>
      </c>
    </row>
    <row r="98" spans="1:5" x14ac:dyDescent="0.25">
      <c r="A98" s="69">
        <v>46146</v>
      </c>
      <c r="B98" t="s">
        <v>163</v>
      </c>
      <c r="C98" t="s">
        <v>297</v>
      </c>
      <c r="D98" t="s">
        <v>285</v>
      </c>
      <c r="E98" s="70">
        <v>2926000</v>
      </c>
    </row>
    <row r="99" spans="1:5" x14ac:dyDescent="0.25">
      <c r="A99" s="69">
        <v>46146</v>
      </c>
      <c r="B99" t="s">
        <v>157</v>
      </c>
      <c r="C99" t="s">
        <v>332</v>
      </c>
      <c r="D99" t="s">
        <v>285</v>
      </c>
      <c r="E99" s="70">
        <v>994541</v>
      </c>
    </row>
    <row r="100" spans="1:5" x14ac:dyDescent="0.25">
      <c r="A100" s="69">
        <v>46146</v>
      </c>
      <c r="B100" t="s">
        <v>251</v>
      </c>
      <c r="C100" t="s">
        <v>333</v>
      </c>
      <c r="D100" t="s">
        <v>285</v>
      </c>
      <c r="E100" s="70">
        <v>200</v>
      </c>
    </row>
    <row r="101" spans="1:5" x14ac:dyDescent="0.25">
      <c r="A101" s="69">
        <v>46146</v>
      </c>
      <c r="B101" t="s">
        <v>251</v>
      </c>
      <c r="C101" t="s">
        <v>333</v>
      </c>
      <c r="D101" t="s">
        <v>301</v>
      </c>
      <c r="E101" s="70">
        <v>200</v>
      </c>
    </row>
    <row r="102" spans="1:5" x14ac:dyDescent="0.25">
      <c r="A102" s="69">
        <v>46146</v>
      </c>
      <c r="B102" t="s">
        <v>251</v>
      </c>
      <c r="C102" t="s">
        <v>333</v>
      </c>
      <c r="D102" t="s">
        <v>286</v>
      </c>
      <c r="E102" s="70">
        <v>200</v>
      </c>
    </row>
    <row r="103" spans="1:5" x14ac:dyDescent="0.25">
      <c r="A103" s="69">
        <v>46146</v>
      </c>
      <c r="B103" t="s">
        <v>251</v>
      </c>
      <c r="C103" t="s">
        <v>333</v>
      </c>
      <c r="D103" t="s">
        <v>286</v>
      </c>
      <c r="E103" s="70">
        <v>200</v>
      </c>
    </row>
    <row r="104" spans="1:5" x14ac:dyDescent="0.25">
      <c r="A104" s="69">
        <v>46146</v>
      </c>
      <c r="B104" t="s">
        <v>231</v>
      </c>
      <c r="C104" t="s">
        <v>334</v>
      </c>
      <c r="D104" t="s">
        <v>285</v>
      </c>
      <c r="E104" s="70">
        <v>2912000</v>
      </c>
    </row>
    <row r="105" spans="1:5" x14ac:dyDescent="0.25">
      <c r="A105" s="69">
        <v>46146</v>
      </c>
      <c r="B105" t="s">
        <v>231</v>
      </c>
      <c r="C105" t="s">
        <v>334</v>
      </c>
      <c r="D105" t="s">
        <v>285</v>
      </c>
      <c r="E105" s="70">
        <v>2912000</v>
      </c>
    </row>
    <row r="106" spans="1:5" x14ac:dyDescent="0.25">
      <c r="A106" s="69">
        <v>46146</v>
      </c>
      <c r="B106" t="s">
        <v>163</v>
      </c>
      <c r="C106" t="s">
        <v>335</v>
      </c>
      <c r="D106" t="s">
        <v>285</v>
      </c>
      <c r="E106" s="70">
        <v>2920000</v>
      </c>
    </row>
    <row r="107" spans="1:5" x14ac:dyDescent="0.25">
      <c r="A107" s="69">
        <v>46146</v>
      </c>
      <c r="B107" t="s">
        <v>251</v>
      </c>
      <c r="C107" t="s">
        <v>333</v>
      </c>
      <c r="D107" t="s">
        <v>277</v>
      </c>
      <c r="E107" s="70">
        <v>200</v>
      </c>
    </row>
    <row r="108" spans="1:5" x14ac:dyDescent="0.25">
      <c r="A108" s="69">
        <v>46146</v>
      </c>
      <c r="B108" t="s">
        <v>251</v>
      </c>
      <c r="C108" t="s">
        <v>333</v>
      </c>
      <c r="D108" t="s">
        <v>279</v>
      </c>
      <c r="E108" s="70">
        <v>200</v>
      </c>
    </row>
    <row r="109" spans="1:5" x14ac:dyDescent="0.25">
      <c r="A109" s="69">
        <v>46146</v>
      </c>
      <c r="B109" t="s">
        <v>231</v>
      </c>
      <c r="C109" t="s">
        <v>334</v>
      </c>
      <c r="D109" t="s">
        <v>279</v>
      </c>
      <c r="E109" s="70">
        <v>2912000</v>
      </c>
    </row>
    <row r="110" spans="1:5" x14ac:dyDescent="0.25">
      <c r="A110" s="69">
        <v>46146</v>
      </c>
      <c r="B110" t="s">
        <v>254</v>
      </c>
      <c r="C110" t="s">
        <v>336</v>
      </c>
      <c r="D110" t="s">
        <v>285</v>
      </c>
      <c r="E110" s="70">
        <v>293</v>
      </c>
    </row>
    <row r="111" spans="1:5" x14ac:dyDescent="0.25">
      <c r="A111" s="69">
        <v>46146</v>
      </c>
      <c r="B111" t="s">
        <v>246</v>
      </c>
      <c r="C111" t="s">
        <v>337</v>
      </c>
      <c r="D111" t="s">
        <v>277</v>
      </c>
      <c r="E111" s="70">
        <v>2782000</v>
      </c>
    </row>
    <row r="112" spans="1:5" x14ac:dyDescent="0.25">
      <c r="A112" s="69">
        <v>46146</v>
      </c>
      <c r="B112" t="s">
        <v>159</v>
      </c>
      <c r="C112" t="s">
        <v>338</v>
      </c>
      <c r="D112" t="s">
        <v>301</v>
      </c>
      <c r="E112" s="70">
        <v>1011581</v>
      </c>
    </row>
    <row r="113" spans="1:7" x14ac:dyDescent="0.25">
      <c r="A113" s="69">
        <v>46146</v>
      </c>
      <c r="B113" t="s">
        <v>159</v>
      </c>
      <c r="C113" t="s">
        <v>339</v>
      </c>
      <c r="D113" t="s">
        <v>285</v>
      </c>
      <c r="E113" s="70">
        <v>1025449</v>
      </c>
    </row>
    <row r="114" spans="1:7" x14ac:dyDescent="0.25">
      <c r="A114" s="69">
        <v>46146</v>
      </c>
      <c r="B114" t="s">
        <v>159</v>
      </c>
      <c r="C114" t="s">
        <v>340</v>
      </c>
      <c r="D114" t="s">
        <v>286</v>
      </c>
      <c r="E114" s="70">
        <v>1023603</v>
      </c>
    </row>
    <row r="115" spans="1:7" x14ac:dyDescent="0.25">
      <c r="A115" s="69">
        <v>46146</v>
      </c>
      <c r="B115" t="s">
        <v>222</v>
      </c>
      <c r="C115" t="s">
        <v>341</v>
      </c>
      <c r="D115" t="s">
        <v>286</v>
      </c>
      <c r="E115" s="70">
        <v>29285</v>
      </c>
    </row>
    <row r="116" spans="1:7" x14ac:dyDescent="0.25">
      <c r="A116" s="69">
        <v>46146</v>
      </c>
      <c r="B116" t="s">
        <v>233</v>
      </c>
      <c r="C116" t="s">
        <v>342</v>
      </c>
      <c r="D116" t="s">
        <v>285</v>
      </c>
      <c r="E116" s="70">
        <v>1537891</v>
      </c>
    </row>
    <row r="117" spans="1:7" x14ac:dyDescent="0.25">
      <c r="A117" s="69">
        <v>46146</v>
      </c>
      <c r="B117" t="s">
        <v>222</v>
      </c>
      <c r="C117" t="s">
        <v>343</v>
      </c>
      <c r="D117" t="s">
        <v>344</v>
      </c>
      <c r="E117" s="70">
        <v>1880</v>
      </c>
    </row>
    <row r="118" spans="1:7" x14ac:dyDescent="0.25">
      <c r="A118" s="69">
        <v>46146</v>
      </c>
      <c r="B118" t="s">
        <v>159</v>
      </c>
      <c r="C118" t="s">
        <v>338</v>
      </c>
      <c r="D118" t="s">
        <v>285</v>
      </c>
      <c r="E118" s="70">
        <v>1011581</v>
      </c>
    </row>
    <row r="119" spans="1:7" x14ac:dyDescent="0.25">
      <c r="A119" s="69">
        <v>46146</v>
      </c>
      <c r="B119" t="s">
        <v>159</v>
      </c>
      <c r="C119" t="s">
        <v>340</v>
      </c>
      <c r="D119" t="s">
        <v>279</v>
      </c>
      <c r="E119" s="70">
        <v>1023603</v>
      </c>
    </row>
    <row r="120" spans="1:7" x14ac:dyDescent="0.25">
      <c r="A120" s="69">
        <v>46146</v>
      </c>
      <c r="B120" t="s">
        <v>222</v>
      </c>
      <c r="C120" t="s">
        <v>343</v>
      </c>
      <c r="D120" t="s">
        <v>285</v>
      </c>
      <c r="E120" s="70">
        <v>1880</v>
      </c>
    </row>
    <row r="121" spans="1:7" x14ac:dyDescent="0.25">
      <c r="A121" s="69">
        <v>46146</v>
      </c>
      <c r="B121" t="s">
        <v>254</v>
      </c>
      <c r="C121" t="s">
        <v>345</v>
      </c>
      <c r="D121" t="s">
        <v>344</v>
      </c>
      <c r="E121" s="70">
        <v>1353</v>
      </c>
    </row>
    <row r="122" spans="1:7" x14ac:dyDescent="0.25">
      <c r="A122" s="69">
        <v>46146</v>
      </c>
      <c r="B122" t="s">
        <v>245</v>
      </c>
      <c r="C122" t="s">
        <v>346</v>
      </c>
      <c r="D122" t="s">
        <v>285</v>
      </c>
      <c r="E122" s="70">
        <v>1250</v>
      </c>
    </row>
    <row r="123" spans="1:7" x14ac:dyDescent="0.25">
      <c r="A123" s="69">
        <v>46146</v>
      </c>
      <c r="B123" t="s">
        <v>253</v>
      </c>
      <c r="C123" t="s">
        <v>347</v>
      </c>
      <c r="D123" t="s">
        <v>285</v>
      </c>
      <c r="E123" s="70">
        <v>924000</v>
      </c>
    </row>
    <row r="124" spans="1:7" x14ac:dyDescent="0.25">
      <c r="A124" s="69">
        <v>46146</v>
      </c>
      <c r="B124" t="s">
        <v>253</v>
      </c>
      <c r="C124" t="s">
        <v>348</v>
      </c>
      <c r="D124" t="s">
        <v>282</v>
      </c>
      <c r="F124" s="70">
        <v>11</v>
      </c>
      <c r="G124" s="70">
        <v>255</v>
      </c>
    </row>
    <row r="125" spans="1:7" x14ac:dyDescent="0.25">
      <c r="A125" s="69">
        <v>46146</v>
      </c>
      <c r="B125" t="s">
        <v>254</v>
      </c>
      <c r="C125" t="s">
        <v>345</v>
      </c>
      <c r="D125" t="s">
        <v>285</v>
      </c>
      <c r="E125" s="70">
        <v>1353</v>
      </c>
    </row>
    <row r="126" spans="1:7" x14ac:dyDescent="0.25">
      <c r="A126" s="69">
        <v>46146</v>
      </c>
      <c r="B126" t="s">
        <v>245</v>
      </c>
      <c r="C126" t="s">
        <v>346</v>
      </c>
      <c r="D126" t="s">
        <v>349</v>
      </c>
      <c r="E126" s="70">
        <v>1250</v>
      </c>
    </row>
    <row r="127" spans="1:7" x14ac:dyDescent="0.25">
      <c r="A127" s="69">
        <v>46146</v>
      </c>
      <c r="B127" t="s">
        <v>253</v>
      </c>
      <c r="C127" t="s">
        <v>347</v>
      </c>
      <c r="D127" t="s">
        <v>286</v>
      </c>
      <c r="E127" s="70">
        <v>924000</v>
      </c>
    </row>
    <row r="128" spans="1:7" x14ac:dyDescent="0.25">
      <c r="A128" s="69">
        <v>46146</v>
      </c>
      <c r="B128" t="s">
        <v>259</v>
      </c>
      <c r="C128" t="s">
        <v>350</v>
      </c>
      <c r="D128" t="s">
        <v>282</v>
      </c>
      <c r="F128" s="70">
        <v>9</v>
      </c>
      <c r="G128" s="70">
        <v>225</v>
      </c>
    </row>
    <row r="129" spans="1:7" x14ac:dyDescent="0.25">
      <c r="A129" s="69">
        <v>46146</v>
      </c>
      <c r="B129" t="s">
        <v>162</v>
      </c>
      <c r="C129" t="s">
        <v>351</v>
      </c>
      <c r="D129" t="s">
        <v>282</v>
      </c>
      <c r="F129" s="70">
        <v>8</v>
      </c>
      <c r="G129" s="70">
        <v>189</v>
      </c>
    </row>
    <row r="130" spans="1:7" x14ac:dyDescent="0.25">
      <c r="A130" s="69">
        <v>46146</v>
      </c>
      <c r="B130" t="s">
        <v>194</v>
      </c>
      <c r="C130" t="s">
        <v>352</v>
      </c>
      <c r="D130" t="s">
        <v>282</v>
      </c>
      <c r="F130" s="70">
        <v>4</v>
      </c>
      <c r="G130" s="70">
        <v>90</v>
      </c>
    </row>
    <row r="131" spans="1:7" x14ac:dyDescent="0.25">
      <c r="A131" s="69">
        <v>46146</v>
      </c>
      <c r="B131" t="s">
        <v>199</v>
      </c>
      <c r="C131" t="s">
        <v>353</v>
      </c>
      <c r="D131" t="s">
        <v>282</v>
      </c>
      <c r="F131" s="70">
        <v>105</v>
      </c>
      <c r="G131" s="70">
        <v>2512</v>
      </c>
    </row>
    <row r="132" spans="1:7" x14ac:dyDescent="0.25">
      <c r="A132" s="69">
        <v>46146</v>
      </c>
      <c r="B132" t="s">
        <v>252</v>
      </c>
      <c r="C132" t="s">
        <v>354</v>
      </c>
      <c r="D132" t="s">
        <v>286</v>
      </c>
      <c r="E132" s="70">
        <v>3744000</v>
      </c>
    </row>
    <row r="133" spans="1:7" x14ac:dyDescent="0.25">
      <c r="A133" s="69">
        <v>46146</v>
      </c>
      <c r="B133" t="s">
        <v>244</v>
      </c>
      <c r="C133" t="s">
        <v>355</v>
      </c>
      <c r="D133" t="s">
        <v>282</v>
      </c>
      <c r="F133" s="70">
        <v>90</v>
      </c>
      <c r="G133" s="70">
        <v>2157</v>
      </c>
    </row>
    <row r="134" spans="1:7" x14ac:dyDescent="0.25">
      <c r="A134" s="69">
        <v>46146</v>
      </c>
      <c r="B134" t="s">
        <v>254</v>
      </c>
      <c r="C134" t="s">
        <v>356</v>
      </c>
      <c r="D134" t="s">
        <v>285</v>
      </c>
      <c r="E134" s="70">
        <v>1314</v>
      </c>
    </row>
    <row r="135" spans="1:7" x14ac:dyDescent="0.25">
      <c r="A135" s="69">
        <v>46146</v>
      </c>
      <c r="B135" t="s">
        <v>246</v>
      </c>
      <c r="C135" t="s">
        <v>357</v>
      </c>
      <c r="D135" t="s">
        <v>285</v>
      </c>
      <c r="E135" s="70">
        <v>1313573</v>
      </c>
    </row>
    <row r="136" spans="1:7" x14ac:dyDescent="0.25">
      <c r="A136" s="69">
        <v>46146</v>
      </c>
      <c r="B136" t="s">
        <v>246</v>
      </c>
      <c r="C136" t="s">
        <v>358</v>
      </c>
      <c r="D136" t="s">
        <v>285</v>
      </c>
      <c r="E136" s="70">
        <v>1076737</v>
      </c>
    </row>
    <row r="137" spans="1:7" x14ac:dyDescent="0.25">
      <c r="A137" s="69">
        <v>46146</v>
      </c>
      <c r="B137" t="s">
        <v>246</v>
      </c>
      <c r="C137" t="s">
        <v>358</v>
      </c>
      <c r="D137" t="s">
        <v>301</v>
      </c>
      <c r="E137" s="70">
        <v>1076737</v>
      </c>
    </row>
    <row r="138" spans="1:7" x14ac:dyDescent="0.25">
      <c r="A138" s="69">
        <v>46146</v>
      </c>
      <c r="B138" t="s">
        <v>246</v>
      </c>
      <c r="C138" t="s">
        <v>359</v>
      </c>
      <c r="D138" t="s">
        <v>286</v>
      </c>
      <c r="E138" s="70">
        <v>2175346</v>
      </c>
    </row>
    <row r="139" spans="1:7" x14ac:dyDescent="0.25">
      <c r="A139" s="69">
        <v>46146</v>
      </c>
      <c r="B139" t="s">
        <v>202</v>
      </c>
      <c r="C139" t="s">
        <v>300</v>
      </c>
      <c r="D139" t="s">
        <v>285</v>
      </c>
      <c r="E139" s="70">
        <v>1890000</v>
      </c>
    </row>
    <row r="140" spans="1:7" x14ac:dyDescent="0.25">
      <c r="A140" s="69">
        <v>46146</v>
      </c>
      <c r="B140" t="s">
        <v>199</v>
      </c>
      <c r="C140" t="s">
        <v>360</v>
      </c>
      <c r="D140" t="s">
        <v>282</v>
      </c>
      <c r="F140" s="70">
        <v>26</v>
      </c>
      <c r="G140" s="70">
        <v>624</v>
      </c>
    </row>
    <row r="141" spans="1:7" x14ac:dyDescent="0.25">
      <c r="A141" s="69">
        <v>46146</v>
      </c>
      <c r="B141" t="s">
        <v>231</v>
      </c>
      <c r="C141" t="s">
        <v>334</v>
      </c>
      <c r="D141" t="s">
        <v>286</v>
      </c>
      <c r="E141" s="70">
        <v>2912000</v>
      </c>
    </row>
    <row r="142" spans="1:7" x14ac:dyDescent="0.25">
      <c r="A142" s="69">
        <v>46146</v>
      </c>
      <c r="B142" t="s">
        <v>246</v>
      </c>
      <c r="C142" t="s">
        <v>359</v>
      </c>
      <c r="D142" t="s">
        <v>277</v>
      </c>
      <c r="E142" s="70">
        <v>2175346</v>
      </c>
    </row>
    <row r="143" spans="1:7" x14ac:dyDescent="0.25">
      <c r="A143" s="69">
        <v>46146</v>
      </c>
      <c r="B143" t="s">
        <v>202</v>
      </c>
      <c r="C143" t="s">
        <v>300</v>
      </c>
      <c r="D143" t="s">
        <v>277</v>
      </c>
      <c r="E143" s="70">
        <v>1890000</v>
      </c>
    </row>
    <row r="144" spans="1:7" x14ac:dyDescent="0.25">
      <c r="A144" s="69">
        <v>46146</v>
      </c>
      <c r="B144" t="s">
        <v>202</v>
      </c>
      <c r="C144" t="s">
        <v>361</v>
      </c>
      <c r="D144" t="s">
        <v>285</v>
      </c>
      <c r="E144" s="70">
        <v>100367</v>
      </c>
    </row>
    <row r="145" spans="1:7" x14ac:dyDescent="0.25">
      <c r="A145" s="69">
        <v>46146</v>
      </c>
      <c r="B145" t="s">
        <v>202</v>
      </c>
      <c r="C145" t="s">
        <v>362</v>
      </c>
      <c r="D145" t="s">
        <v>282</v>
      </c>
      <c r="F145" s="70">
        <v>1</v>
      </c>
      <c r="G145" s="70">
        <v>26</v>
      </c>
    </row>
    <row r="146" spans="1:7" x14ac:dyDescent="0.25">
      <c r="A146" s="69">
        <v>46146</v>
      </c>
      <c r="B146" t="s">
        <v>202</v>
      </c>
      <c r="C146" t="s">
        <v>300</v>
      </c>
      <c r="D146" t="s">
        <v>299</v>
      </c>
      <c r="E146" s="70">
        <v>1890000</v>
      </c>
    </row>
    <row r="147" spans="1:7" x14ac:dyDescent="0.25">
      <c r="A147" s="69">
        <v>46146</v>
      </c>
      <c r="B147" t="s">
        <v>231</v>
      </c>
      <c r="C147" t="s">
        <v>334</v>
      </c>
      <c r="D147" t="s">
        <v>277</v>
      </c>
      <c r="E147" s="70">
        <v>2912000</v>
      </c>
    </row>
    <row r="148" spans="1:7" x14ac:dyDescent="0.25">
      <c r="A148" s="69">
        <v>46146</v>
      </c>
      <c r="B148" t="s">
        <v>202</v>
      </c>
      <c r="C148" t="s">
        <v>361</v>
      </c>
      <c r="D148" t="s">
        <v>286</v>
      </c>
      <c r="E148" s="70">
        <v>100367</v>
      </c>
    </row>
    <row r="149" spans="1:7" x14ac:dyDescent="0.25">
      <c r="A149" s="69">
        <v>46146</v>
      </c>
      <c r="B149" t="s">
        <v>202</v>
      </c>
      <c r="C149" t="s">
        <v>300</v>
      </c>
      <c r="D149" t="s">
        <v>286</v>
      </c>
      <c r="E149" s="70">
        <v>1890000</v>
      </c>
    </row>
    <row r="150" spans="1:7" x14ac:dyDescent="0.25">
      <c r="A150" s="69">
        <v>46146</v>
      </c>
      <c r="B150" t="s">
        <v>231</v>
      </c>
      <c r="C150" t="s">
        <v>334</v>
      </c>
      <c r="D150" t="s">
        <v>301</v>
      </c>
      <c r="E150" s="70">
        <v>2912000</v>
      </c>
    </row>
    <row r="151" spans="1:7" x14ac:dyDescent="0.25">
      <c r="A151" s="69">
        <v>46146</v>
      </c>
      <c r="B151" t="s">
        <v>194</v>
      </c>
      <c r="C151" t="s">
        <v>363</v>
      </c>
      <c r="D151" t="s">
        <v>285</v>
      </c>
      <c r="E151" s="70">
        <v>763</v>
      </c>
    </row>
    <row r="152" spans="1:7" x14ac:dyDescent="0.25">
      <c r="A152" s="69">
        <v>46146</v>
      </c>
      <c r="B152" t="s">
        <v>231</v>
      </c>
      <c r="C152" t="s">
        <v>364</v>
      </c>
      <c r="D152" t="s">
        <v>285</v>
      </c>
      <c r="E152" s="70">
        <v>1883409</v>
      </c>
    </row>
    <row r="153" spans="1:7" x14ac:dyDescent="0.25">
      <c r="A153" s="69">
        <v>46146</v>
      </c>
      <c r="B153" t="s">
        <v>234</v>
      </c>
      <c r="C153" t="s">
        <v>365</v>
      </c>
      <c r="D153" t="s">
        <v>282</v>
      </c>
      <c r="F153" s="70">
        <v>12</v>
      </c>
      <c r="G153" s="70">
        <v>285</v>
      </c>
    </row>
    <row r="154" spans="1:7" x14ac:dyDescent="0.25">
      <c r="A154" s="69">
        <v>46146</v>
      </c>
      <c r="B154" t="s">
        <v>233</v>
      </c>
      <c r="C154" t="s">
        <v>366</v>
      </c>
      <c r="D154" t="s">
        <v>282</v>
      </c>
      <c r="F154" s="70">
        <v>3</v>
      </c>
      <c r="G154" s="70">
        <v>80</v>
      </c>
    </row>
    <row r="155" spans="1:7" x14ac:dyDescent="0.25">
      <c r="A155" s="69">
        <v>46146</v>
      </c>
      <c r="B155" t="s">
        <v>157</v>
      </c>
      <c r="C155" t="s">
        <v>367</v>
      </c>
      <c r="D155" t="s">
        <v>301</v>
      </c>
      <c r="E155" s="70">
        <v>2304851</v>
      </c>
    </row>
    <row r="156" spans="1:7" x14ac:dyDescent="0.25">
      <c r="A156" s="69">
        <v>46146</v>
      </c>
      <c r="B156" t="s">
        <v>157</v>
      </c>
      <c r="C156" t="s">
        <v>368</v>
      </c>
      <c r="D156" t="s">
        <v>286</v>
      </c>
      <c r="E156" s="70">
        <v>1041285</v>
      </c>
    </row>
    <row r="157" spans="1:7" x14ac:dyDescent="0.25">
      <c r="A157" s="69">
        <v>46146</v>
      </c>
      <c r="B157" t="s">
        <v>157</v>
      </c>
      <c r="C157" t="s">
        <v>368</v>
      </c>
      <c r="D157" t="s">
        <v>285</v>
      </c>
      <c r="E157" s="70">
        <v>1041285</v>
      </c>
    </row>
    <row r="158" spans="1:7" x14ac:dyDescent="0.25">
      <c r="A158" s="69">
        <v>46146</v>
      </c>
      <c r="B158" t="s">
        <v>157</v>
      </c>
      <c r="C158" t="s">
        <v>334</v>
      </c>
      <c r="D158" t="s">
        <v>286</v>
      </c>
      <c r="E158" s="70">
        <v>2912000</v>
      </c>
    </row>
    <row r="159" spans="1:7" x14ac:dyDescent="0.25">
      <c r="A159" s="69">
        <v>46146</v>
      </c>
      <c r="B159" t="s">
        <v>165</v>
      </c>
      <c r="C159" t="s">
        <v>369</v>
      </c>
      <c r="D159" t="s">
        <v>282</v>
      </c>
      <c r="F159" s="70">
        <v>19</v>
      </c>
      <c r="G159" s="70">
        <v>447</v>
      </c>
    </row>
    <row r="160" spans="1:7" x14ac:dyDescent="0.25">
      <c r="A160" s="69">
        <v>46146</v>
      </c>
      <c r="B160" t="s">
        <v>247</v>
      </c>
      <c r="C160" t="s">
        <v>370</v>
      </c>
      <c r="D160" t="s">
        <v>286</v>
      </c>
      <c r="E160" s="70">
        <v>755</v>
      </c>
    </row>
    <row r="161" spans="1:7" x14ac:dyDescent="0.25">
      <c r="A161" s="69">
        <v>46146</v>
      </c>
      <c r="B161" t="s">
        <v>236</v>
      </c>
      <c r="C161" t="s">
        <v>371</v>
      </c>
      <c r="D161" t="s">
        <v>286</v>
      </c>
      <c r="E161" s="70">
        <v>1098</v>
      </c>
    </row>
    <row r="162" spans="1:7" x14ac:dyDescent="0.25">
      <c r="A162" s="69">
        <v>46146</v>
      </c>
      <c r="B162" t="s">
        <v>164</v>
      </c>
      <c r="C162" t="s">
        <v>372</v>
      </c>
      <c r="D162" t="s">
        <v>286</v>
      </c>
      <c r="E162" s="70">
        <v>543</v>
      </c>
    </row>
    <row r="163" spans="1:7" x14ac:dyDescent="0.25">
      <c r="A163" s="69">
        <v>46146</v>
      </c>
      <c r="B163" t="s">
        <v>246</v>
      </c>
      <c r="C163" t="s">
        <v>373</v>
      </c>
      <c r="D163" t="s">
        <v>286</v>
      </c>
      <c r="E163" s="70">
        <v>531</v>
      </c>
    </row>
    <row r="164" spans="1:7" x14ac:dyDescent="0.25">
      <c r="A164" s="69">
        <v>46146</v>
      </c>
      <c r="B164" t="s">
        <v>194</v>
      </c>
      <c r="C164" t="s">
        <v>374</v>
      </c>
      <c r="D164" t="s">
        <v>286</v>
      </c>
      <c r="E164" s="70">
        <v>1273</v>
      </c>
    </row>
    <row r="165" spans="1:7" x14ac:dyDescent="0.25">
      <c r="A165" s="69">
        <v>46146</v>
      </c>
      <c r="B165" t="s">
        <v>186</v>
      </c>
      <c r="C165" t="s">
        <v>375</v>
      </c>
      <c r="D165" t="s">
        <v>282</v>
      </c>
      <c r="F165" s="70">
        <v>8</v>
      </c>
      <c r="G165" s="70">
        <v>201</v>
      </c>
    </row>
    <row r="166" spans="1:7" x14ac:dyDescent="0.25">
      <c r="A166" s="69">
        <v>46146</v>
      </c>
      <c r="B166" t="s">
        <v>231</v>
      </c>
      <c r="C166" t="s">
        <v>376</v>
      </c>
      <c r="D166" t="s">
        <v>285</v>
      </c>
      <c r="E166" s="70">
        <v>3276000</v>
      </c>
    </row>
    <row r="167" spans="1:7" x14ac:dyDescent="0.25">
      <c r="A167" s="69">
        <v>46146</v>
      </c>
      <c r="B167" t="s">
        <v>231</v>
      </c>
      <c r="C167" t="s">
        <v>377</v>
      </c>
      <c r="D167" t="s">
        <v>279</v>
      </c>
      <c r="E167" s="70">
        <v>8736000</v>
      </c>
    </row>
    <row r="168" spans="1:7" x14ac:dyDescent="0.25">
      <c r="A168" s="69">
        <v>46146</v>
      </c>
      <c r="B168" t="s">
        <v>231</v>
      </c>
      <c r="C168" t="s">
        <v>378</v>
      </c>
      <c r="D168" t="s">
        <v>301</v>
      </c>
      <c r="E168" s="70">
        <v>5474748</v>
      </c>
    </row>
    <row r="169" spans="1:7" x14ac:dyDescent="0.25">
      <c r="A169" s="69">
        <v>46146</v>
      </c>
      <c r="B169" t="s">
        <v>231</v>
      </c>
      <c r="C169" t="s">
        <v>379</v>
      </c>
      <c r="D169" t="s">
        <v>285</v>
      </c>
      <c r="E169" s="70">
        <v>4987071</v>
      </c>
    </row>
    <row r="170" spans="1:7" x14ac:dyDescent="0.25">
      <c r="A170" s="69">
        <v>46146</v>
      </c>
      <c r="B170" t="s">
        <v>194</v>
      </c>
      <c r="C170" t="s">
        <v>380</v>
      </c>
      <c r="D170" t="s">
        <v>282</v>
      </c>
      <c r="F170" s="70">
        <v>19</v>
      </c>
      <c r="G170" s="70">
        <v>465</v>
      </c>
    </row>
    <row r="171" spans="1:7" x14ac:dyDescent="0.25">
      <c r="A171" s="69">
        <v>46146</v>
      </c>
      <c r="B171" t="s">
        <v>381</v>
      </c>
      <c r="C171" t="s">
        <v>373</v>
      </c>
      <c r="D171" t="s">
        <v>285</v>
      </c>
      <c r="E171" s="70">
        <v>531</v>
      </c>
    </row>
    <row r="172" spans="1:7" x14ac:dyDescent="0.25">
      <c r="A172" s="69">
        <v>46146</v>
      </c>
      <c r="B172" t="s">
        <v>191</v>
      </c>
      <c r="C172" t="s">
        <v>382</v>
      </c>
      <c r="D172" t="s">
        <v>282</v>
      </c>
      <c r="F172" s="70">
        <v>8</v>
      </c>
      <c r="G172" s="70">
        <v>182</v>
      </c>
    </row>
    <row r="173" spans="1:7" x14ac:dyDescent="0.25">
      <c r="A173" s="69">
        <v>46146</v>
      </c>
      <c r="B173" t="s">
        <v>152</v>
      </c>
      <c r="C173" t="s">
        <v>383</v>
      </c>
      <c r="D173" t="s">
        <v>285</v>
      </c>
      <c r="E173" s="70">
        <v>17960</v>
      </c>
    </row>
    <row r="174" spans="1:7" x14ac:dyDescent="0.25">
      <c r="A174" s="69">
        <v>46146</v>
      </c>
      <c r="B174" t="s">
        <v>179</v>
      </c>
      <c r="C174" t="s">
        <v>384</v>
      </c>
      <c r="D174" t="s">
        <v>285</v>
      </c>
      <c r="E174" s="70">
        <v>1293</v>
      </c>
    </row>
    <row r="175" spans="1:7" x14ac:dyDescent="0.25">
      <c r="A175" s="69">
        <v>46146</v>
      </c>
      <c r="B175" t="s">
        <v>179</v>
      </c>
      <c r="C175" t="s">
        <v>385</v>
      </c>
      <c r="D175" t="s">
        <v>285</v>
      </c>
      <c r="E175" s="70">
        <v>2250000</v>
      </c>
    </row>
    <row r="176" spans="1:7" x14ac:dyDescent="0.25">
      <c r="A176" s="69">
        <v>46146</v>
      </c>
      <c r="B176" t="s">
        <v>168</v>
      </c>
      <c r="C176" t="s">
        <v>386</v>
      </c>
      <c r="D176" t="s">
        <v>285</v>
      </c>
      <c r="E176" s="70">
        <v>22144000</v>
      </c>
    </row>
    <row r="177" spans="1:5" x14ac:dyDescent="0.25">
      <c r="A177" s="69">
        <v>46146</v>
      </c>
      <c r="B177" t="s">
        <v>168</v>
      </c>
      <c r="C177" t="s">
        <v>387</v>
      </c>
      <c r="D177" t="s">
        <v>286</v>
      </c>
      <c r="E177" s="70">
        <v>2249036</v>
      </c>
    </row>
    <row r="178" spans="1:5" x14ac:dyDescent="0.25">
      <c r="A178" s="69">
        <v>46146</v>
      </c>
      <c r="B178" t="s">
        <v>168</v>
      </c>
      <c r="C178" t="s">
        <v>388</v>
      </c>
      <c r="D178" t="s">
        <v>301</v>
      </c>
      <c r="E178" s="70">
        <v>4952200</v>
      </c>
    </row>
    <row r="179" spans="1:5" x14ac:dyDescent="0.25">
      <c r="A179" s="69">
        <v>46146</v>
      </c>
      <c r="B179" t="s">
        <v>168</v>
      </c>
      <c r="C179" t="s">
        <v>389</v>
      </c>
      <c r="D179" t="s">
        <v>286</v>
      </c>
      <c r="E179" s="70">
        <v>4981467</v>
      </c>
    </row>
    <row r="180" spans="1:5" x14ac:dyDescent="0.25">
      <c r="A180" s="69">
        <v>46146</v>
      </c>
      <c r="B180" t="s">
        <v>168</v>
      </c>
      <c r="C180" t="s">
        <v>390</v>
      </c>
      <c r="D180" t="s">
        <v>285</v>
      </c>
      <c r="E180" s="70">
        <v>5045290</v>
      </c>
    </row>
    <row r="181" spans="1:5" x14ac:dyDescent="0.25">
      <c r="A181" s="69">
        <v>46146</v>
      </c>
      <c r="B181" t="s">
        <v>246</v>
      </c>
      <c r="C181" t="s">
        <v>391</v>
      </c>
      <c r="D181" t="s">
        <v>285</v>
      </c>
      <c r="E181" s="70">
        <v>2149046</v>
      </c>
    </row>
    <row r="182" spans="1:5" x14ac:dyDescent="0.25">
      <c r="A182" s="69">
        <v>46146</v>
      </c>
      <c r="B182" t="s">
        <v>179</v>
      </c>
      <c r="C182" t="s">
        <v>384</v>
      </c>
      <c r="D182" t="s">
        <v>344</v>
      </c>
      <c r="E182" s="70">
        <v>1293</v>
      </c>
    </row>
    <row r="183" spans="1:5" x14ac:dyDescent="0.25">
      <c r="A183" s="69">
        <v>46146</v>
      </c>
      <c r="B183" t="s">
        <v>168</v>
      </c>
      <c r="C183" t="s">
        <v>386</v>
      </c>
      <c r="D183" t="s">
        <v>286</v>
      </c>
      <c r="E183" s="70">
        <v>22144000</v>
      </c>
    </row>
    <row r="184" spans="1:5" x14ac:dyDescent="0.25">
      <c r="A184" s="69">
        <v>46146</v>
      </c>
      <c r="B184" t="s">
        <v>168</v>
      </c>
      <c r="C184" t="s">
        <v>388</v>
      </c>
      <c r="D184" t="s">
        <v>285</v>
      </c>
      <c r="E184" s="70">
        <v>4952200</v>
      </c>
    </row>
    <row r="185" spans="1:5" x14ac:dyDescent="0.25">
      <c r="A185" s="69">
        <v>46146</v>
      </c>
      <c r="B185" t="s">
        <v>168</v>
      </c>
      <c r="C185" t="s">
        <v>389</v>
      </c>
      <c r="D185" t="s">
        <v>279</v>
      </c>
      <c r="E185" s="70">
        <v>4981467</v>
      </c>
    </row>
    <row r="186" spans="1:5" x14ac:dyDescent="0.25">
      <c r="A186" s="69">
        <v>46146</v>
      </c>
      <c r="B186" t="s">
        <v>246</v>
      </c>
      <c r="C186" t="s">
        <v>391</v>
      </c>
      <c r="D186" t="s">
        <v>286</v>
      </c>
      <c r="E186" s="70">
        <v>2149046</v>
      </c>
    </row>
    <row r="187" spans="1:5" x14ac:dyDescent="0.25">
      <c r="A187" s="69">
        <v>46146</v>
      </c>
      <c r="B187" t="s">
        <v>229</v>
      </c>
      <c r="C187" t="s">
        <v>392</v>
      </c>
      <c r="D187" t="s">
        <v>285</v>
      </c>
      <c r="E187" s="70">
        <v>3000</v>
      </c>
    </row>
    <row r="188" spans="1:5" x14ac:dyDescent="0.25">
      <c r="A188" s="69">
        <v>46146</v>
      </c>
      <c r="B188" t="s">
        <v>221</v>
      </c>
      <c r="C188" t="s">
        <v>393</v>
      </c>
      <c r="D188" t="s">
        <v>286</v>
      </c>
      <c r="E188" s="70">
        <v>270</v>
      </c>
    </row>
    <row r="189" spans="1:5" x14ac:dyDescent="0.25">
      <c r="A189" s="69">
        <v>46146</v>
      </c>
      <c r="B189" t="s">
        <v>229</v>
      </c>
      <c r="C189" t="s">
        <v>392</v>
      </c>
      <c r="D189" t="s">
        <v>344</v>
      </c>
      <c r="E189" s="70">
        <v>3000</v>
      </c>
    </row>
    <row r="190" spans="1:5" x14ac:dyDescent="0.25">
      <c r="A190" s="69">
        <v>46146</v>
      </c>
      <c r="B190" t="s">
        <v>254</v>
      </c>
      <c r="C190" t="s">
        <v>394</v>
      </c>
      <c r="D190" t="s">
        <v>286</v>
      </c>
      <c r="E190" s="70">
        <v>250000</v>
      </c>
    </row>
    <row r="191" spans="1:5" x14ac:dyDescent="0.25">
      <c r="A191" s="69">
        <v>46146</v>
      </c>
      <c r="B191" t="s">
        <v>156</v>
      </c>
      <c r="C191" t="s">
        <v>395</v>
      </c>
      <c r="D191" t="s">
        <v>286</v>
      </c>
      <c r="E191" s="70">
        <v>254</v>
      </c>
    </row>
    <row r="192" spans="1:5" x14ac:dyDescent="0.25">
      <c r="A192" s="69">
        <v>46146</v>
      </c>
      <c r="B192" t="s">
        <v>245</v>
      </c>
      <c r="C192" t="s">
        <v>396</v>
      </c>
      <c r="D192" t="s">
        <v>286</v>
      </c>
      <c r="E192" s="70">
        <v>5230</v>
      </c>
    </row>
    <row r="193" spans="1:5" x14ac:dyDescent="0.25">
      <c r="A193" s="69">
        <v>46146</v>
      </c>
      <c r="B193" t="s">
        <v>247</v>
      </c>
      <c r="C193" t="s">
        <v>397</v>
      </c>
      <c r="D193" t="s">
        <v>286</v>
      </c>
      <c r="E193" s="70">
        <v>216</v>
      </c>
    </row>
    <row r="194" spans="1:5" x14ac:dyDescent="0.25">
      <c r="A194" s="69">
        <v>46146</v>
      </c>
      <c r="B194" t="s">
        <v>222</v>
      </c>
      <c r="C194" t="s">
        <v>398</v>
      </c>
      <c r="D194" t="s">
        <v>286</v>
      </c>
      <c r="E194" s="70">
        <v>1399</v>
      </c>
    </row>
    <row r="195" spans="1:5" x14ac:dyDescent="0.25">
      <c r="A195" s="69">
        <v>46146</v>
      </c>
      <c r="B195" t="s">
        <v>194</v>
      </c>
      <c r="C195" t="s">
        <v>399</v>
      </c>
      <c r="D195" t="s">
        <v>286</v>
      </c>
      <c r="E195" s="70">
        <v>1001146</v>
      </c>
    </row>
    <row r="196" spans="1:5" x14ac:dyDescent="0.25">
      <c r="A196" s="69">
        <v>46146</v>
      </c>
      <c r="B196" t="s">
        <v>163</v>
      </c>
      <c r="C196" t="s">
        <v>400</v>
      </c>
      <c r="D196" t="s">
        <v>286</v>
      </c>
      <c r="E196" s="70">
        <v>155</v>
      </c>
    </row>
    <row r="197" spans="1:5" x14ac:dyDescent="0.25">
      <c r="A197" s="69">
        <v>46146</v>
      </c>
      <c r="B197" t="s">
        <v>246</v>
      </c>
      <c r="C197" t="s">
        <v>401</v>
      </c>
      <c r="D197" t="s">
        <v>279</v>
      </c>
      <c r="E197" s="70">
        <v>1938527</v>
      </c>
    </row>
    <row r="198" spans="1:5" x14ac:dyDescent="0.25">
      <c r="A198" s="69">
        <v>46146</v>
      </c>
      <c r="B198" t="s">
        <v>246</v>
      </c>
      <c r="C198" t="s">
        <v>402</v>
      </c>
      <c r="D198" t="s">
        <v>286</v>
      </c>
      <c r="E198" s="70">
        <v>879393</v>
      </c>
    </row>
    <row r="199" spans="1:5" x14ac:dyDescent="0.25">
      <c r="A199" s="69">
        <v>46146</v>
      </c>
      <c r="B199" t="s">
        <v>157</v>
      </c>
      <c r="C199" t="s">
        <v>403</v>
      </c>
      <c r="D199" t="s">
        <v>286</v>
      </c>
      <c r="E199" s="70">
        <v>6055</v>
      </c>
    </row>
    <row r="200" spans="1:5" x14ac:dyDescent="0.25">
      <c r="A200" s="69">
        <v>46146</v>
      </c>
      <c r="B200" t="s">
        <v>164</v>
      </c>
      <c r="C200" t="s">
        <v>404</v>
      </c>
      <c r="D200" t="s">
        <v>286</v>
      </c>
      <c r="E200" s="70">
        <v>782</v>
      </c>
    </row>
    <row r="201" spans="1:5" x14ac:dyDescent="0.25">
      <c r="A201" s="69">
        <v>46146</v>
      </c>
      <c r="B201" t="s">
        <v>152</v>
      </c>
      <c r="C201" t="s">
        <v>405</v>
      </c>
      <c r="D201" t="s">
        <v>286</v>
      </c>
      <c r="E201" s="70">
        <v>5243</v>
      </c>
    </row>
    <row r="202" spans="1:5" x14ac:dyDescent="0.25">
      <c r="A202" s="69">
        <v>46146</v>
      </c>
      <c r="B202" t="s">
        <v>246</v>
      </c>
      <c r="C202" t="s">
        <v>401</v>
      </c>
      <c r="D202" t="s">
        <v>286</v>
      </c>
      <c r="E202" s="70">
        <v>1938527</v>
      </c>
    </row>
    <row r="203" spans="1:5" x14ac:dyDescent="0.25">
      <c r="A203" s="69">
        <v>46146</v>
      </c>
      <c r="B203" t="s">
        <v>231</v>
      </c>
      <c r="C203" t="s">
        <v>406</v>
      </c>
      <c r="D203" t="s">
        <v>286</v>
      </c>
      <c r="E203" s="70">
        <v>212</v>
      </c>
    </row>
    <row r="204" spans="1:5" x14ac:dyDescent="0.25">
      <c r="A204" s="69">
        <v>46146</v>
      </c>
      <c r="B204" t="s">
        <v>202</v>
      </c>
      <c r="C204" t="s">
        <v>407</v>
      </c>
      <c r="D204" t="s">
        <v>286</v>
      </c>
      <c r="E204" s="70">
        <v>523</v>
      </c>
    </row>
    <row r="205" spans="1:5" x14ac:dyDescent="0.25">
      <c r="A205" s="69">
        <v>46146</v>
      </c>
      <c r="B205" t="s">
        <v>199</v>
      </c>
      <c r="C205" t="s">
        <v>408</v>
      </c>
      <c r="D205" t="s">
        <v>285</v>
      </c>
      <c r="E205" s="70">
        <v>278</v>
      </c>
    </row>
    <row r="206" spans="1:5" x14ac:dyDescent="0.25">
      <c r="A206" s="69">
        <v>46146</v>
      </c>
      <c r="B206" t="s">
        <v>199</v>
      </c>
      <c r="C206" t="s">
        <v>409</v>
      </c>
      <c r="D206" t="s">
        <v>286</v>
      </c>
      <c r="E206" s="70">
        <v>850</v>
      </c>
    </row>
    <row r="207" spans="1:5" x14ac:dyDescent="0.25">
      <c r="A207" s="69">
        <v>46146</v>
      </c>
      <c r="B207" t="s">
        <v>250</v>
      </c>
      <c r="C207" t="s">
        <v>410</v>
      </c>
      <c r="D207" t="s">
        <v>286</v>
      </c>
      <c r="E207" s="70">
        <v>1153</v>
      </c>
    </row>
    <row r="208" spans="1:5" x14ac:dyDescent="0.25">
      <c r="A208" s="69">
        <v>46146</v>
      </c>
      <c r="B208" t="s">
        <v>250</v>
      </c>
      <c r="C208" t="s">
        <v>411</v>
      </c>
      <c r="D208" t="s">
        <v>285</v>
      </c>
      <c r="E208" s="70">
        <v>917</v>
      </c>
    </row>
    <row r="209" spans="1:5" x14ac:dyDescent="0.25">
      <c r="A209" s="69">
        <v>46146</v>
      </c>
      <c r="B209" t="s">
        <v>222</v>
      </c>
      <c r="C209" t="s">
        <v>412</v>
      </c>
      <c r="D209" t="s">
        <v>286</v>
      </c>
      <c r="E209" s="70">
        <v>9179</v>
      </c>
    </row>
    <row r="210" spans="1:5" x14ac:dyDescent="0.25">
      <c r="A210" s="69">
        <v>46146</v>
      </c>
      <c r="B210" t="s">
        <v>246</v>
      </c>
      <c r="C210" t="s">
        <v>413</v>
      </c>
      <c r="D210" t="s">
        <v>286</v>
      </c>
      <c r="E210" s="70">
        <v>748</v>
      </c>
    </row>
    <row r="211" spans="1:5" x14ac:dyDescent="0.25">
      <c r="A211" s="69">
        <v>46146</v>
      </c>
      <c r="B211" t="s">
        <v>205</v>
      </c>
      <c r="C211" t="s">
        <v>414</v>
      </c>
      <c r="D211" t="s">
        <v>286</v>
      </c>
      <c r="E211" s="70">
        <v>28223</v>
      </c>
    </row>
    <row r="212" spans="1:5" x14ac:dyDescent="0.25">
      <c r="A212" s="69">
        <v>46146</v>
      </c>
      <c r="B212" t="s">
        <v>201</v>
      </c>
      <c r="C212" t="s">
        <v>415</v>
      </c>
      <c r="D212" t="s">
        <v>286</v>
      </c>
      <c r="E212" s="70">
        <v>12487</v>
      </c>
    </row>
    <row r="213" spans="1:5" x14ac:dyDescent="0.25">
      <c r="A213" s="69">
        <v>46146</v>
      </c>
      <c r="B213" t="s">
        <v>168</v>
      </c>
      <c r="C213" t="s">
        <v>416</v>
      </c>
      <c r="D213" t="s">
        <v>286</v>
      </c>
      <c r="E213" s="70">
        <v>17429</v>
      </c>
    </row>
    <row r="214" spans="1:5" x14ac:dyDescent="0.25">
      <c r="A214" s="69">
        <v>46146</v>
      </c>
      <c r="B214" t="s">
        <v>152</v>
      </c>
      <c r="C214" t="s">
        <v>417</v>
      </c>
      <c r="D214" t="s">
        <v>286</v>
      </c>
      <c r="E214" s="70">
        <v>19841</v>
      </c>
    </row>
    <row r="215" spans="1:5" x14ac:dyDescent="0.25">
      <c r="A215" s="69">
        <v>46146</v>
      </c>
      <c r="B215" t="s">
        <v>157</v>
      </c>
      <c r="C215" t="s">
        <v>418</v>
      </c>
      <c r="D215" t="s">
        <v>286</v>
      </c>
      <c r="E215" s="70">
        <v>11651</v>
      </c>
    </row>
    <row r="216" spans="1:5" x14ac:dyDescent="0.25">
      <c r="A216" s="69">
        <v>46146</v>
      </c>
      <c r="B216" t="s">
        <v>205</v>
      </c>
      <c r="C216" t="s">
        <v>419</v>
      </c>
      <c r="D216" t="s">
        <v>286</v>
      </c>
      <c r="E216" s="70">
        <v>27828</v>
      </c>
    </row>
    <row r="217" spans="1:5" x14ac:dyDescent="0.25">
      <c r="A217" s="69">
        <v>46146</v>
      </c>
      <c r="B217" t="s">
        <v>168</v>
      </c>
      <c r="C217" t="s">
        <v>420</v>
      </c>
      <c r="D217" t="s">
        <v>286</v>
      </c>
      <c r="E217" s="70">
        <v>13147</v>
      </c>
    </row>
    <row r="218" spans="1:5" x14ac:dyDescent="0.25">
      <c r="A218" s="69">
        <v>46146</v>
      </c>
      <c r="B218" t="s">
        <v>246</v>
      </c>
      <c r="C218" t="s">
        <v>421</v>
      </c>
      <c r="D218" t="s">
        <v>286</v>
      </c>
      <c r="E218" s="70">
        <v>274</v>
      </c>
    </row>
    <row r="219" spans="1:5" x14ac:dyDescent="0.25">
      <c r="A219" s="69">
        <v>46146</v>
      </c>
      <c r="B219" t="s">
        <v>191</v>
      </c>
      <c r="C219" t="s">
        <v>422</v>
      </c>
      <c r="D219" t="s">
        <v>286</v>
      </c>
      <c r="E219" s="70">
        <v>228</v>
      </c>
    </row>
    <row r="220" spans="1:5" x14ac:dyDescent="0.25">
      <c r="A220" s="69">
        <v>46146</v>
      </c>
      <c r="B220" t="s">
        <v>164</v>
      </c>
      <c r="C220" t="s">
        <v>423</v>
      </c>
      <c r="D220" t="s">
        <v>286</v>
      </c>
      <c r="E220" s="70">
        <v>357</v>
      </c>
    </row>
    <row r="221" spans="1:5" x14ac:dyDescent="0.25">
      <c r="A221" s="69">
        <v>46146</v>
      </c>
      <c r="B221" t="s">
        <v>168</v>
      </c>
      <c r="C221" t="s">
        <v>424</v>
      </c>
      <c r="D221" t="s">
        <v>286</v>
      </c>
      <c r="E221" s="70">
        <v>3764</v>
      </c>
    </row>
    <row r="222" spans="1:5" x14ac:dyDescent="0.25">
      <c r="A222" s="69">
        <v>46146</v>
      </c>
      <c r="B222" t="s">
        <v>251</v>
      </c>
      <c r="C222" t="s">
        <v>425</v>
      </c>
      <c r="D222" t="s">
        <v>286</v>
      </c>
      <c r="E222" s="70">
        <v>313</v>
      </c>
    </row>
    <row r="223" spans="1:5" x14ac:dyDescent="0.25">
      <c r="A223" s="69">
        <v>46146</v>
      </c>
      <c r="B223" t="s">
        <v>247</v>
      </c>
      <c r="C223" t="s">
        <v>426</v>
      </c>
      <c r="D223" t="s">
        <v>286</v>
      </c>
      <c r="E223" s="70">
        <v>159</v>
      </c>
    </row>
    <row r="224" spans="1:5" x14ac:dyDescent="0.25">
      <c r="A224" s="69">
        <v>46146</v>
      </c>
      <c r="B224" t="s">
        <v>246</v>
      </c>
      <c r="C224" t="s">
        <v>427</v>
      </c>
      <c r="D224" t="s">
        <v>286</v>
      </c>
      <c r="E224" s="70">
        <v>434</v>
      </c>
    </row>
    <row r="225" spans="1:5" x14ac:dyDescent="0.25">
      <c r="A225" s="69">
        <v>46146</v>
      </c>
      <c r="B225" t="s">
        <v>157</v>
      </c>
      <c r="C225" t="s">
        <v>428</v>
      </c>
      <c r="D225" t="s">
        <v>286</v>
      </c>
      <c r="E225" s="70">
        <v>7768</v>
      </c>
    </row>
    <row r="226" spans="1:5" x14ac:dyDescent="0.25">
      <c r="A226" s="69">
        <v>46146</v>
      </c>
      <c r="B226" t="s">
        <v>250</v>
      </c>
      <c r="C226" t="s">
        <v>429</v>
      </c>
      <c r="D226" t="s">
        <v>286</v>
      </c>
      <c r="E226" s="70">
        <v>1715</v>
      </c>
    </row>
    <row r="227" spans="1:5" x14ac:dyDescent="0.25">
      <c r="A227" s="69">
        <v>46146</v>
      </c>
      <c r="B227" t="s">
        <v>153</v>
      </c>
      <c r="C227" t="s">
        <v>430</v>
      </c>
      <c r="D227" t="s">
        <v>285</v>
      </c>
      <c r="E227" s="70">
        <v>1095</v>
      </c>
    </row>
    <row r="228" spans="1:5" x14ac:dyDescent="0.25">
      <c r="A228" s="69">
        <v>46146</v>
      </c>
      <c r="B228" t="s">
        <v>162</v>
      </c>
      <c r="C228" t="s">
        <v>289</v>
      </c>
      <c r="D228" t="s">
        <v>279</v>
      </c>
      <c r="E228" s="70">
        <v>18400000</v>
      </c>
    </row>
    <row r="229" spans="1:5" x14ac:dyDescent="0.25">
      <c r="A229" s="69">
        <v>46146</v>
      </c>
      <c r="B229" t="s">
        <v>150</v>
      </c>
      <c r="C229" t="s">
        <v>431</v>
      </c>
      <c r="D229" t="s">
        <v>286</v>
      </c>
      <c r="E229" s="70">
        <v>483</v>
      </c>
    </row>
    <row r="230" spans="1:5" x14ac:dyDescent="0.25">
      <c r="A230" s="69">
        <v>46146</v>
      </c>
      <c r="B230" t="s">
        <v>194</v>
      </c>
      <c r="C230" t="s">
        <v>432</v>
      </c>
      <c r="D230" t="s">
        <v>286</v>
      </c>
      <c r="E230" s="70">
        <v>285</v>
      </c>
    </row>
    <row r="231" spans="1:5" x14ac:dyDescent="0.25">
      <c r="A231" s="69">
        <v>46146</v>
      </c>
      <c r="B231" t="s">
        <v>204</v>
      </c>
      <c r="C231" t="s">
        <v>433</v>
      </c>
      <c r="D231" t="s">
        <v>286</v>
      </c>
      <c r="E231" s="70">
        <v>979</v>
      </c>
    </row>
    <row r="232" spans="1:5" x14ac:dyDescent="0.25">
      <c r="A232" s="69">
        <v>46146</v>
      </c>
      <c r="B232" t="s">
        <v>179</v>
      </c>
      <c r="C232" t="s">
        <v>434</v>
      </c>
      <c r="D232" t="s">
        <v>286</v>
      </c>
      <c r="E232" s="70">
        <v>263</v>
      </c>
    </row>
    <row r="233" spans="1:5" x14ac:dyDescent="0.25">
      <c r="A233" s="69">
        <v>46146</v>
      </c>
      <c r="B233" t="s">
        <v>254</v>
      </c>
      <c r="C233" t="s">
        <v>435</v>
      </c>
      <c r="D233" t="s">
        <v>286</v>
      </c>
      <c r="E233" s="70">
        <v>221</v>
      </c>
    </row>
    <row r="234" spans="1:5" x14ac:dyDescent="0.25">
      <c r="A234" s="69">
        <v>46146</v>
      </c>
      <c r="B234" t="s">
        <v>246</v>
      </c>
      <c r="C234" t="s">
        <v>427</v>
      </c>
      <c r="D234" t="s">
        <v>285</v>
      </c>
      <c r="E234" s="70">
        <v>434</v>
      </c>
    </row>
    <row r="235" spans="1:5" x14ac:dyDescent="0.25">
      <c r="A235" s="69">
        <v>46146</v>
      </c>
      <c r="B235" t="s">
        <v>153</v>
      </c>
      <c r="C235" t="s">
        <v>430</v>
      </c>
      <c r="D235" t="s">
        <v>286</v>
      </c>
      <c r="E235" s="70">
        <v>1095</v>
      </c>
    </row>
    <row r="236" spans="1:5" x14ac:dyDescent="0.25">
      <c r="A236" s="69">
        <v>46146</v>
      </c>
      <c r="B236" t="s">
        <v>194</v>
      </c>
      <c r="C236" t="s">
        <v>436</v>
      </c>
      <c r="D236" t="s">
        <v>286</v>
      </c>
      <c r="E236" s="70">
        <v>724</v>
      </c>
    </row>
    <row r="237" spans="1:5" x14ac:dyDescent="0.25">
      <c r="A237" s="69">
        <v>46146</v>
      </c>
      <c r="B237" t="s">
        <v>157</v>
      </c>
      <c r="C237" t="s">
        <v>437</v>
      </c>
      <c r="D237" t="s">
        <v>286</v>
      </c>
      <c r="E237" s="70">
        <v>7814</v>
      </c>
    </row>
    <row r="238" spans="1:5" x14ac:dyDescent="0.25">
      <c r="A238" s="69">
        <v>46146</v>
      </c>
      <c r="B238" t="s">
        <v>168</v>
      </c>
      <c r="C238" t="s">
        <v>438</v>
      </c>
      <c r="D238" t="s">
        <v>286</v>
      </c>
      <c r="E238" s="70">
        <v>2310</v>
      </c>
    </row>
    <row r="239" spans="1:5" x14ac:dyDescent="0.25">
      <c r="A239" s="69">
        <v>46146</v>
      </c>
      <c r="B239" t="s">
        <v>250</v>
      </c>
      <c r="C239" t="s">
        <v>439</v>
      </c>
      <c r="D239" t="s">
        <v>286</v>
      </c>
      <c r="E239" s="70">
        <v>2420</v>
      </c>
    </row>
    <row r="240" spans="1:5" x14ac:dyDescent="0.25">
      <c r="A240" s="69">
        <v>46146</v>
      </c>
      <c r="B240" t="s">
        <v>163</v>
      </c>
      <c r="C240" t="s">
        <v>440</v>
      </c>
      <c r="D240" t="s">
        <v>286</v>
      </c>
      <c r="E240" s="70">
        <v>663</v>
      </c>
    </row>
    <row r="241" spans="1:5" x14ac:dyDescent="0.25">
      <c r="A241" s="69">
        <v>46146</v>
      </c>
      <c r="B241" t="s">
        <v>251</v>
      </c>
      <c r="C241" t="s">
        <v>441</v>
      </c>
      <c r="D241" t="s">
        <v>286</v>
      </c>
      <c r="E241" s="70">
        <v>166</v>
      </c>
    </row>
    <row r="242" spans="1:5" x14ac:dyDescent="0.25">
      <c r="A242" s="69">
        <v>46146</v>
      </c>
      <c r="B242" t="s">
        <v>231</v>
      </c>
      <c r="C242" t="s">
        <v>442</v>
      </c>
      <c r="D242" t="s">
        <v>286</v>
      </c>
      <c r="E242" s="70">
        <v>1855</v>
      </c>
    </row>
    <row r="243" spans="1:5" x14ac:dyDescent="0.25">
      <c r="A243" s="69">
        <v>46146</v>
      </c>
      <c r="B243" t="s">
        <v>153</v>
      </c>
      <c r="C243" t="s">
        <v>443</v>
      </c>
      <c r="D243" t="s">
        <v>286</v>
      </c>
      <c r="E243" s="70">
        <v>179</v>
      </c>
    </row>
    <row r="244" spans="1:5" x14ac:dyDescent="0.25">
      <c r="A244" s="69">
        <v>46146</v>
      </c>
      <c r="B244" t="s">
        <v>202</v>
      </c>
      <c r="C244" t="s">
        <v>444</v>
      </c>
      <c r="D244" t="s">
        <v>286</v>
      </c>
      <c r="E244" s="70">
        <v>201943</v>
      </c>
    </row>
    <row r="245" spans="1:5" x14ac:dyDescent="0.25">
      <c r="A245" s="69">
        <v>46146</v>
      </c>
      <c r="B245" t="s">
        <v>254</v>
      </c>
      <c r="C245" t="s">
        <v>445</v>
      </c>
      <c r="D245" t="s">
        <v>286</v>
      </c>
      <c r="E245" s="70">
        <v>496</v>
      </c>
    </row>
    <row r="246" spans="1:5" x14ac:dyDescent="0.25">
      <c r="A246" s="69">
        <v>46146</v>
      </c>
      <c r="B246" t="s">
        <v>251</v>
      </c>
      <c r="C246" t="s">
        <v>446</v>
      </c>
      <c r="D246" t="s">
        <v>286</v>
      </c>
      <c r="E246" s="70">
        <v>851</v>
      </c>
    </row>
    <row r="247" spans="1:5" x14ac:dyDescent="0.25">
      <c r="A247" s="69">
        <v>46146</v>
      </c>
      <c r="B247" t="s">
        <v>153</v>
      </c>
      <c r="C247" t="s">
        <v>443</v>
      </c>
      <c r="D247" t="s">
        <v>285</v>
      </c>
      <c r="E247" s="70">
        <v>179</v>
      </c>
    </row>
    <row r="248" spans="1:5" x14ac:dyDescent="0.25">
      <c r="A248" s="69">
        <v>46146</v>
      </c>
      <c r="B248" t="s">
        <v>254</v>
      </c>
      <c r="C248" t="s">
        <v>447</v>
      </c>
      <c r="D248" t="s">
        <v>286</v>
      </c>
      <c r="E248" s="70">
        <v>1834</v>
      </c>
    </row>
    <row r="249" spans="1:5" x14ac:dyDescent="0.25">
      <c r="A249" s="69">
        <v>46146</v>
      </c>
      <c r="B249" t="s">
        <v>168</v>
      </c>
      <c r="C249" t="s">
        <v>448</v>
      </c>
      <c r="D249" t="s">
        <v>286</v>
      </c>
      <c r="E249" s="70">
        <v>14849</v>
      </c>
    </row>
    <row r="250" spans="1:5" x14ac:dyDescent="0.25">
      <c r="A250" s="69">
        <v>46146</v>
      </c>
      <c r="B250" t="s">
        <v>163</v>
      </c>
      <c r="C250" t="s">
        <v>449</v>
      </c>
      <c r="D250" t="s">
        <v>286</v>
      </c>
      <c r="E250" s="70">
        <v>822</v>
      </c>
    </row>
    <row r="251" spans="1:5" x14ac:dyDescent="0.25">
      <c r="A251" s="69">
        <v>46146</v>
      </c>
      <c r="B251" t="s">
        <v>162</v>
      </c>
      <c r="C251" t="s">
        <v>450</v>
      </c>
      <c r="D251" t="s">
        <v>286</v>
      </c>
      <c r="E251" s="70">
        <v>6375</v>
      </c>
    </row>
    <row r="252" spans="1:5" x14ac:dyDescent="0.25">
      <c r="A252" s="69">
        <v>46146</v>
      </c>
      <c r="B252" t="s">
        <v>250</v>
      </c>
      <c r="C252" t="s">
        <v>451</v>
      </c>
      <c r="D252" t="s">
        <v>286</v>
      </c>
      <c r="E252" s="70">
        <v>4654</v>
      </c>
    </row>
    <row r="253" spans="1:5" x14ac:dyDescent="0.25">
      <c r="A253" s="69">
        <v>46146</v>
      </c>
      <c r="B253" t="s">
        <v>161</v>
      </c>
      <c r="C253" t="s">
        <v>452</v>
      </c>
      <c r="D253" t="s">
        <v>286</v>
      </c>
      <c r="E253" s="70">
        <v>253</v>
      </c>
    </row>
    <row r="254" spans="1:5" x14ac:dyDescent="0.25">
      <c r="A254" s="69">
        <v>46146</v>
      </c>
      <c r="B254" t="s">
        <v>245</v>
      </c>
      <c r="C254" t="s">
        <v>453</v>
      </c>
      <c r="D254" t="s">
        <v>286</v>
      </c>
      <c r="E254" s="70">
        <v>4019</v>
      </c>
    </row>
    <row r="255" spans="1:5" x14ac:dyDescent="0.25">
      <c r="A255" s="69">
        <v>46146</v>
      </c>
      <c r="B255" t="s">
        <v>155</v>
      </c>
      <c r="C255" t="s">
        <v>454</v>
      </c>
      <c r="D255" t="s">
        <v>286</v>
      </c>
      <c r="E255" s="70">
        <v>3049979</v>
      </c>
    </row>
    <row r="256" spans="1:5" x14ac:dyDescent="0.25">
      <c r="A256" s="69">
        <v>46146</v>
      </c>
      <c r="B256" t="s">
        <v>155</v>
      </c>
      <c r="C256" t="s">
        <v>454</v>
      </c>
      <c r="D256" t="s">
        <v>285</v>
      </c>
      <c r="E256" s="70">
        <v>3049979</v>
      </c>
    </row>
    <row r="257" spans="1:7" x14ac:dyDescent="0.25">
      <c r="A257" s="69">
        <v>46146</v>
      </c>
      <c r="B257" t="s">
        <v>251</v>
      </c>
      <c r="C257" t="s">
        <v>333</v>
      </c>
      <c r="D257" t="s">
        <v>299</v>
      </c>
      <c r="E257" s="70">
        <v>200</v>
      </c>
    </row>
    <row r="258" spans="1:7" x14ac:dyDescent="0.25">
      <c r="A258" s="69">
        <v>46146</v>
      </c>
      <c r="B258" t="s">
        <v>162</v>
      </c>
      <c r="C258" t="s">
        <v>455</v>
      </c>
      <c r="D258" t="s">
        <v>301</v>
      </c>
      <c r="E258" s="70">
        <v>7409978</v>
      </c>
    </row>
    <row r="259" spans="1:7" x14ac:dyDescent="0.25">
      <c r="A259" s="69">
        <v>46146</v>
      </c>
      <c r="B259" t="s">
        <v>162</v>
      </c>
      <c r="C259" t="s">
        <v>456</v>
      </c>
      <c r="D259" t="s">
        <v>285</v>
      </c>
      <c r="E259" s="70">
        <v>6957478</v>
      </c>
    </row>
    <row r="260" spans="1:7" x14ac:dyDescent="0.25">
      <c r="A260" s="69">
        <v>46146</v>
      </c>
      <c r="B260" t="s">
        <v>162</v>
      </c>
      <c r="C260" t="s">
        <v>457</v>
      </c>
      <c r="D260" t="s">
        <v>286</v>
      </c>
      <c r="E260" s="70">
        <v>7811465</v>
      </c>
    </row>
    <row r="261" spans="1:7" x14ac:dyDescent="0.25">
      <c r="A261" s="69">
        <v>46146</v>
      </c>
      <c r="B261" t="s">
        <v>162</v>
      </c>
      <c r="C261" t="s">
        <v>458</v>
      </c>
      <c r="D261" t="s">
        <v>277</v>
      </c>
      <c r="E261" s="70">
        <v>38800000</v>
      </c>
    </row>
    <row r="262" spans="1:7" x14ac:dyDescent="0.25">
      <c r="A262" s="69">
        <v>46146</v>
      </c>
      <c r="B262" t="s">
        <v>162</v>
      </c>
      <c r="C262" t="s">
        <v>457</v>
      </c>
      <c r="D262" t="s">
        <v>285</v>
      </c>
      <c r="E262" s="70">
        <v>7811465</v>
      </c>
    </row>
    <row r="263" spans="1:7" x14ac:dyDescent="0.25">
      <c r="A263" s="69">
        <v>46146</v>
      </c>
      <c r="B263" t="s">
        <v>162</v>
      </c>
      <c r="C263" t="s">
        <v>459</v>
      </c>
      <c r="D263" t="s">
        <v>282</v>
      </c>
      <c r="F263" s="70">
        <v>22</v>
      </c>
      <c r="G263" s="70">
        <v>520</v>
      </c>
    </row>
    <row r="264" spans="1:7" x14ac:dyDescent="0.25">
      <c r="A264" s="69">
        <v>46146</v>
      </c>
      <c r="B264" t="s">
        <v>191</v>
      </c>
      <c r="C264" t="s">
        <v>460</v>
      </c>
      <c r="D264" t="s">
        <v>285</v>
      </c>
      <c r="E264" s="70">
        <v>5434000</v>
      </c>
    </row>
    <row r="265" spans="1:7" x14ac:dyDescent="0.25">
      <c r="A265" s="69">
        <v>46146</v>
      </c>
      <c r="B265" t="s">
        <v>180</v>
      </c>
      <c r="C265" t="s">
        <v>394</v>
      </c>
      <c r="D265" t="s">
        <v>286</v>
      </c>
      <c r="E265" s="70">
        <v>250000</v>
      </c>
    </row>
    <row r="266" spans="1:7" x14ac:dyDescent="0.25">
      <c r="A266" s="69">
        <v>46146</v>
      </c>
      <c r="B266" t="s">
        <v>150</v>
      </c>
      <c r="C266" t="s">
        <v>461</v>
      </c>
      <c r="D266" t="s">
        <v>286</v>
      </c>
      <c r="E266" s="70">
        <v>2769000</v>
      </c>
    </row>
    <row r="267" spans="1:7" x14ac:dyDescent="0.25">
      <c r="A267" s="69">
        <v>46146</v>
      </c>
      <c r="B267" t="s">
        <v>162</v>
      </c>
      <c r="C267" t="s">
        <v>455</v>
      </c>
      <c r="D267" t="s">
        <v>285</v>
      </c>
      <c r="E267" s="70">
        <v>7409978</v>
      </c>
    </row>
    <row r="268" spans="1:7" x14ac:dyDescent="0.25">
      <c r="A268" s="69">
        <v>46146</v>
      </c>
      <c r="B268" t="s">
        <v>162</v>
      </c>
      <c r="C268" t="s">
        <v>458</v>
      </c>
      <c r="D268" t="s">
        <v>286</v>
      </c>
      <c r="E268" s="70">
        <v>38800000</v>
      </c>
    </row>
    <row r="269" spans="1:7" x14ac:dyDescent="0.25">
      <c r="A269" s="69">
        <v>46146</v>
      </c>
      <c r="B269" t="s">
        <v>191</v>
      </c>
      <c r="C269" t="s">
        <v>460</v>
      </c>
      <c r="D269" t="s">
        <v>286</v>
      </c>
      <c r="E269" s="70">
        <v>5434000</v>
      </c>
    </row>
    <row r="270" spans="1:7" x14ac:dyDescent="0.25">
      <c r="A270" s="69">
        <v>46146</v>
      </c>
      <c r="B270" t="s">
        <v>191</v>
      </c>
      <c r="C270" t="s">
        <v>462</v>
      </c>
      <c r="D270" t="s">
        <v>282</v>
      </c>
      <c r="F270" s="70">
        <v>6</v>
      </c>
      <c r="G270" s="70">
        <v>134</v>
      </c>
    </row>
    <row r="271" spans="1:7" x14ac:dyDescent="0.25">
      <c r="A271" s="69">
        <v>46146</v>
      </c>
      <c r="B271" t="s">
        <v>234</v>
      </c>
      <c r="C271" t="s">
        <v>463</v>
      </c>
      <c r="D271" t="s">
        <v>282</v>
      </c>
      <c r="F271" s="70">
        <v>50</v>
      </c>
      <c r="G271" s="70">
        <v>1205</v>
      </c>
    </row>
    <row r="272" spans="1:7" x14ac:dyDescent="0.25">
      <c r="A272" s="69">
        <v>46146</v>
      </c>
      <c r="B272" t="s">
        <v>233</v>
      </c>
      <c r="C272" t="s">
        <v>464</v>
      </c>
      <c r="D272" t="s">
        <v>282</v>
      </c>
      <c r="F272" s="70">
        <v>2</v>
      </c>
      <c r="G272" s="70">
        <v>54</v>
      </c>
    </row>
    <row r="273" spans="1:7" x14ac:dyDescent="0.25">
      <c r="A273" s="69">
        <v>46146</v>
      </c>
      <c r="B273" t="s">
        <v>152</v>
      </c>
      <c r="C273" t="s">
        <v>465</v>
      </c>
      <c r="D273" t="s">
        <v>282</v>
      </c>
      <c r="F273" s="70">
        <v>2</v>
      </c>
      <c r="G273" s="70">
        <v>47</v>
      </c>
    </row>
    <row r="274" spans="1:7" x14ac:dyDescent="0.25">
      <c r="A274" s="69">
        <v>46146</v>
      </c>
      <c r="B274" t="s">
        <v>204</v>
      </c>
      <c r="C274" t="s">
        <v>466</v>
      </c>
      <c r="D274" t="s">
        <v>282</v>
      </c>
      <c r="F274" s="70">
        <v>2</v>
      </c>
      <c r="G274" s="70">
        <v>46</v>
      </c>
    </row>
    <row r="275" spans="1:7" x14ac:dyDescent="0.25">
      <c r="A275" s="69">
        <v>46146</v>
      </c>
      <c r="B275" t="s">
        <v>247</v>
      </c>
      <c r="C275" t="s">
        <v>467</v>
      </c>
      <c r="D275" t="s">
        <v>286</v>
      </c>
      <c r="E275" s="70">
        <v>712</v>
      </c>
    </row>
    <row r="276" spans="1:7" x14ac:dyDescent="0.25">
      <c r="A276" s="69">
        <v>46146</v>
      </c>
      <c r="B276" t="s">
        <v>163</v>
      </c>
      <c r="C276" t="s">
        <v>468</v>
      </c>
      <c r="D276" t="s">
        <v>279</v>
      </c>
      <c r="E276" s="70">
        <v>5852000</v>
      </c>
    </row>
    <row r="277" spans="1:7" x14ac:dyDescent="0.25">
      <c r="A277" s="69">
        <v>46146</v>
      </c>
      <c r="B277" t="s">
        <v>253</v>
      </c>
      <c r="C277" t="s">
        <v>469</v>
      </c>
      <c r="D277" t="s">
        <v>286</v>
      </c>
      <c r="E277" s="70">
        <v>844000</v>
      </c>
    </row>
    <row r="278" spans="1:7" x14ac:dyDescent="0.25">
      <c r="A278" s="69">
        <v>46146</v>
      </c>
      <c r="B278" t="s">
        <v>253</v>
      </c>
      <c r="C278" t="s">
        <v>469</v>
      </c>
      <c r="D278" t="s">
        <v>277</v>
      </c>
      <c r="E278" s="70">
        <v>844000</v>
      </c>
    </row>
    <row r="279" spans="1:7" x14ac:dyDescent="0.25">
      <c r="A279" s="69">
        <v>46146</v>
      </c>
      <c r="B279" t="s">
        <v>155</v>
      </c>
      <c r="C279" t="s">
        <v>470</v>
      </c>
      <c r="D279" t="s">
        <v>286</v>
      </c>
      <c r="E279" s="70">
        <v>5868000</v>
      </c>
    </row>
    <row r="280" spans="1:7" x14ac:dyDescent="0.25">
      <c r="A280" s="69">
        <v>46146</v>
      </c>
      <c r="B280" t="s">
        <v>199</v>
      </c>
      <c r="C280" t="s">
        <v>394</v>
      </c>
      <c r="D280" t="s">
        <v>286</v>
      </c>
      <c r="E280" s="70">
        <v>250000</v>
      </c>
    </row>
    <row r="281" spans="1:7" x14ac:dyDescent="0.25">
      <c r="A281" s="69">
        <v>46146</v>
      </c>
      <c r="B281" t="s">
        <v>202</v>
      </c>
      <c r="C281" t="s">
        <v>471</v>
      </c>
      <c r="D281" t="s">
        <v>282</v>
      </c>
      <c r="F281" s="70">
        <v>55</v>
      </c>
      <c r="G281" s="70">
        <v>1329</v>
      </c>
    </row>
    <row r="282" spans="1:7" x14ac:dyDescent="0.25">
      <c r="A282" s="69">
        <v>46146</v>
      </c>
      <c r="B282" t="s">
        <v>162</v>
      </c>
      <c r="C282" t="s">
        <v>394</v>
      </c>
      <c r="D282" t="s">
        <v>286</v>
      </c>
      <c r="E282" s="70">
        <v>250000</v>
      </c>
    </row>
    <row r="283" spans="1:7" x14ac:dyDescent="0.25">
      <c r="A283" s="69">
        <v>46146</v>
      </c>
      <c r="B283" t="s">
        <v>212</v>
      </c>
      <c r="C283" t="s">
        <v>394</v>
      </c>
      <c r="D283" t="s">
        <v>286</v>
      </c>
      <c r="E283" s="70">
        <v>250000</v>
      </c>
    </row>
    <row r="284" spans="1:7" x14ac:dyDescent="0.25">
      <c r="A284" s="69">
        <v>46146</v>
      </c>
      <c r="B284" t="s">
        <v>254</v>
      </c>
      <c r="C284" t="s">
        <v>472</v>
      </c>
      <c r="D284" t="s">
        <v>285</v>
      </c>
      <c r="E284" s="70">
        <v>412</v>
      </c>
    </row>
    <row r="285" spans="1:7" x14ac:dyDescent="0.25">
      <c r="A285" s="69">
        <v>46146</v>
      </c>
      <c r="B285" t="s">
        <v>157</v>
      </c>
      <c r="C285" t="s">
        <v>394</v>
      </c>
      <c r="D285" t="s">
        <v>286</v>
      </c>
      <c r="E285" s="70">
        <v>250000</v>
      </c>
    </row>
    <row r="286" spans="1:7" x14ac:dyDescent="0.25">
      <c r="A286" s="69">
        <v>46146</v>
      </c>
      <c r="B286" t="s">
        <v>231</v>
      </c>
      <c r="C286" t="s">
        <v>473</v>
      </c>
      <c r="D286" t="s">
        <v>285</v>
      </c>
      <c r="E286" s="70">
        <v>5824000</v>
      </c>
    </row>
    <row r="287" spans="1:7" x14ac:dyDescent="0.25">
      <c r="A287" s="69">
        <v>46146</v>
      </c>
      <c r="B287" t="s">
        <v>155</v>
      </c>
      <c r="C287" t="s">
        <v>470</v>
      </c>
      <c r="D287" t="s">
        <v>277</v>
      </c>
      <c r="E287" s="70">
        <v>5868000</v>
      </c>
    </row>
    <row r="288" spans="1:7" x14ac:dyDescent="0.25">
      <c r="A288" s="69">
        <v>46146</v>
      </c>
      <c r="B288" t="s">
        <v>238</v>
      </c>
      <c r="C288" t="s">
        <v>394</v>
      </c>
      <c r="D288" t="s">
        <v>286</v>
      </c>
      <c r="E288" s="70">
        <v>250000</v>
      </c>
    </row>
    <row r="289" spans="1:7" x14ac:dyDescent="0.25">
      <c r="A289" s="69">
        <v>46146</v>
      </c>
      <c r="B289" t="s">
        <v>246</v>
      </c>
      <c r="C289" t="s">
        <v>474</v>
      </c>
      <c r="D289" t="s">
        <v>285</v>
      </c>
      <c r="E289" s="70">
        <v>1780659</v>
      </c>
    </row>
    <row r="290" spans="1:7" x14ac:dyDescent="0.25">
      <c r="A290" s="69">
        <v>46146</v>
      </c>
      <c r="B290" t="s">
        <v>246</v>
      </c>
      <c r="C290" t="s">
        <v>475</v>
      </c>
      <c r="D290" t="s">
        <v>301</v>
      </c>
      <c r="E290" s="70">
        <v>1039956</v>
      </c>
    </row>
    <row r="291" spans="1:7" x14ac:dyDescent="0.25">
      <c r="A291" s="69">
        <v>46146</v>
      </c>
      <c r="B291" t="s">
        <v>246</v>
      </c>
      <c r="C291" t="s">
        <v>476</v>
      </c>
      <c r="D291" t="s">
        <v>279</v>
      </c>
      <c r="E291" s="70">
        <v>2195092</v>
      </c>
    </row>
    <row r="292" spans="1:7" x14ac:dyDescent="0.25">
      <c r="A292" s="69">
        <v>46146</v>
      </c>
      <c r="B292" t="s">
        <v>205</v>
      </c>
      <c r="C292" t="s">
        <v>394</v>
      </c>
      <c r="D292" t="s">
        <v>286</v>
      </c>
      <c r="E292" s="70">
        <v>250000</v>
      </c>
    </row>
    <row r="293" spans="1:7" x14ac:dyDescent="0.25">
      <c r="A293" s="69">
        <v>46146</v>
      </c>
      <c r="B293" t="s">
        <v>246</v>
      </c>
      <c r="C293" t="s">
        <v>476</v>
      </c>
      <c r="D293" t="s">
        <v>286</v>
      </c>
      <c r="E293" s="70">
        <v>2195092</v>
      </c>
    </row>
    <row r="294" spans="1:7" x14ac:dyDescent="0.25">
      <c r="A294" s="69">
        <v>46146</v>
      </c>
      <c r="B294" t="s">
        <v>229</v>
      </c>
      <c r="C294" t="s">
        <v>394</v>
      </c>
      <c r="D294" t="s">
        <v>286</v>
      </c>
      <c r="E294" s="70">
        <v>250000</v>
      </c>
    </row>
    <row r="295" spans="1:7" x14ac:dyDescent="0.25">
      <c r="A295" s="69">
        <v>46146</v>
      </c>
      <c r="B295" t="s">
        <v>191</v>
      </c>
      <c r="C295" t="s">
        <v>477</v>
      </c>
      <c r="D295" t="s">
        <v>301</v>
      </c>
      <c r="E295" s="70">
        <v>725779</v>
      </c>
    </row>
    <row r="296" spans="1:7" x14ac:dyDescent="0.25">
      <c r="A296" s="69">
        <v>46146</v>
      </c>
      <c r="B296" t="s">
        <v>165</v>
      </c>
      <c r="C296" t="s">
        <v>394</v>
      </c>
      <c r="D296" t="s">
        <v>286</v>
      </c>
      <c r="E296" s="70">
        <v>250000</v>
      </c>
    </row>
    <row r="297" spans="1:7" x14ac:dyDescent="0.25">
      <c r="A297" s="69">
        <v>46146</v>
      </c>
      <c r="B297" t="s">
        <v>224</v>
      </c>
      <c r="C297" t="s">
        <v>478</v>
      </c>
      <c r="D297" t="s">
        <v>282</v>
      </c>
      <c r="F297" s="70">
        <v>117</v>
      </c>
      <c r="G297" s="70">
        <v>2811</v>
      </c>
    </row>
    <row r="298" spans="1:7" x14ac:dyDescent="0.25">
      <c r="A298" s="69">
        <v>46146</v>
      </c>
      <c r="B298" t="s">
        <v>204</v>
      </c>
      <c r="C298" t="s">
        <v>394</v>
      </c>
      <c r="D298" t="s">
        <v>286</v>
      </c>
      <c r="E298" s="70">
        <v>250000</v>
      </c>
    </row>
    <row r="299" spans="1:7" x14ac:dyDescent="0.25">
      <c r="A299" s="69">
        <v>46146</v>
      </c>
      <c r="B299" t="s">
        <v>246</v>
      </c>
      <c r="C299" t="s">
        <v>476</v>
      </c>
      <c r="D299" t="s">
        <v>285</v>
      </c>
      <c r="E299" s="70">
        <v>2195092</v>
      </c>
    </row>
    <row r="300" spans="1:7" x14ac:dyDescent="0.25">
      <c r="A300" s="69">
        <v>46146</v>
      </c>
      <c r="B300" t="s">
        <v>251</v>
      </c>
      <c r="C300" t="s">
        <v>479</v>
      </c>
      <c r="D300" t="s">
        <v>279</v>
      </c>
      <c r="E300" s="70">
        <v>210</v>
      </c>
    </row>
    <row r="301" spans="1:7" x14ac:dyDescent="0.25">
      <c r="A301" s="69">
        <v>46146</v>
      </c>
      <c r="B301" t="s">
        <v>251</v>
      </c>
      <c r="C301" t="s">
        <v>480</v>
      </c>
      <c r="D301" t="s">
        <v>285</v>
      </c>
      <c r="E301" s="70">
        <v>238162</v>
      </c>
    </row>
    <row r="302" spans="1:7" x14ac:dyDescent="0.25">
      <c r="A302" s="69">
        <v>46146</v>
      </c>
      <c r="B302" t="s">
        <v>481</v>
      </c>
      <c r="C302" t="s">
        <v>482</v>
      </c>
      <c r="D302" t="s">
        <v>286</v>
      </c>
      <c r="E302" s="70">
        <v>150546</v>
      </c>
    </row>
    <row r="303" spans="1:7" x14ac:dyDescent="0.25">
      <c r="A303" s="69">
        <v>46146</v>
      </c>
      <c r="B303" t="s">
        <v>251</v>
      </c>
      <c r="C303" t="s">
        <v>480</v>
      </c>
      <c r="D303" t="s">
        <v>286</v>
      </c>
      <c r="E303" s="70">
        <v>238162</v>
      </c>
    </row>
    <row r="304" spans="1:7" x14ac:dyDescent="0.25">
      <c r="A304" s="69">
        <v>46146</v>
      </c>
      <c r="B304" t="s">
        <v>251</v>
      </c>
      <c r="C304" t="s">
        <v>394</v>
      </c>
      <c r="D304" t="s">
        <v>286</v>
      </c>
      <c r="E304" s="70">
        <v>250000</v>
      </c>
    </row>
    <row r="305" spans="1:7" x14ac:dyDescent="0.25">
      <c r="A305" s="69">
        <v>46146</v>
      </c>
      <c r="B305" t="s">
        <v>219</v>
      </c>
      <c r="C305" t="s">
        <v>394</v>
      </c>
      <c r="D305" t="s">
        <v>286</v>
      </c>
      <c r="E305" s="70">
        <v>250000</v>
      </c>
    </row>
    <row r="306" spans="1:7" x14ac:dyDescent="0.25">
      <c r="A306" s="69">
        <v>46146</v>
      </c>
      <c r="B306" t="s">
        <v>245</v>
      </c>
      <c r="C306" t="s">
        <v>394</v>
      </c>
      <c r="D306" t="s">
        <v>286</v>
      </c>
      <c r="E306" s="70">
        <v>250000</v>
      </c>
    </row>
    <row r="307" spans="1:7" x14ac:dyDescent="0.25">
      <c r="A307" s="69">
        <v>46146</v>
      </c>
      <c r="B307" t="s">
        <v>161</v>
      </c>
      <c r="C307" t="s">
        <v>483</v>
      </c>
      <c r="D307" t="s">
        <v>301</v>
      </c>
      <c r="E307" s="70">
        <v>198911</v>
      </c>
    </row>
    <row r="308" spans="1:7" x14ac:dyDescent="0.25">
      <c r="A308" s="69">
        <v>46146</v>
      </c>
      <c r="B308" t="s">
        <v>161</v>
      </c>
      <c r="C308" t="s">
        <v>484</v>
      </c>
      <c r="D308" t="s">
        <v>286</v>
      </c>
      <c r="E308" s="70">
        <v>264926</v>
      </c>
    </row>
    <row r="309" spans="1:7" x14ac:dyDescent="0.25">
      <c r="A309" s="69">
        <v>46146</v>
      </c>
      <c r="B309" t="s">
        <v>161</v>
      </c>
      <c r="C309" t="s">
        <v>485</v>
      </c>
      <c r="D309" t="s">
        <v>285</v>
      </c>
      <c r="E309" s="70">
        <v>377200</v>
      </c>
    </row>
    <row r="310" spans="1:7" x14ac:dyDescent="0.25">
      <c r="A310" s="69">
        <v>46146</v>
      </c>
      <c r="B310" t="s">
        <v>481</v>
      </c>
      <c r="C310" t="s">
        <v>482</v>
      </c>
      <c r="D310" t="s">
        <v>277</v>
      </c>
      <c r="E310" s="70">
        <v>150546</v>
      </c>
    </row>
    <row r="311" spans="1:7" x14ac:dyDescent="0.25">
      <c r="A311" s="69">
        <v>46146</v>
      </c>
      <c r="B311" t="s">
        <v>201</v>
      </c>
      <c r="C311" t="s">
        <v>394</v>
      </c>
      <c r="D311" t="s">
        <v>286</v>
      </c>
      <c r="E311" s="70">
        <v>250000</v>
      </c>
    </row>
    <row r="312" spans="1:7" x14ac:dyDescent="0.25">
      <c r="A312" s="69">
        <v>46146</v>
      </c>
      <c r="B312" t="s">
        <v>159</v>
      </c>
      <c r="C312" t="s">
        <v>486</v>
      </c>
      <c r="D312" t="s">
        <v>301</v>
      </c>
      <c r="E312" s="70">
        <v>1595579</v>
      </c>
    </row>
    <row r="313" spans="1:7" x14ac:dyDescent="0.25">
      <c r="A313" s="69">
        <v>46146</v>
      </c>
      <c r="B313" t="s">
        <v>159</v>
      </c>
      <c r="C313" t="s">
        <v>487</v>
      </c>
      <c r="D313" t="s">
        <v>286</v>
      </c>
      <c r="E313" s="70">
        <v>1881000</v>
      </c>
    </row>
    <row r="314" spans="1:7" x14ac:dyDescent="0.25">
      <c r="A314" s="69">
        <v>46146</v>
      </c>
      <c r="B314" t="s">
        <v>153</v>
      </c>
      <c r="C314" t="s">
        <v>394</v>
      </c>
      <c r="D314" t="s">
        <v>286</v>
      </c>
      <c r="E314" s="70">
        <v>250000</v>
      </c>
    </row>
    <row r="315" spans="1:7" x14ac:dyDescent="0.25">
      <c r="A315" s="69">
        <v>46146</v>
      </c>
      <c r="B315" t="s">
        <v>159</v>
      </c>
      <c r="C315" t="s">
        <v>488</v>
      </c>
      <c r="D315" t="s">
        <v>285</v>
      </c>
      <c r="E315" s="70">
        <v>1523651</v>
      </c>
    </row>
    <row r="316" spans="1:7" x14ac:dyDescent="0.25">
      <c r="A316" s="69">
        <v>46146</v>
      </c>
      <c r="B316" t="s">
        <v>159</v>
      </c>
      <c r="C316" t="s">
        <v>487</v>
      </c>
      <c r="D316" t="s">
        <v>279</v>
      </c>
      <c r="E316" s="70">
        <v>1881000</v>
      </c>
    </row>
    <row r="317" spans="1:7" x14ac:dyDescent="0.25">
      <c r="A317" s="69">
        <v>46146</v>
      </c>
      <c r="B317" t="s">
        <v>163</v>
      </c>
      <c r="C317" t="s">
        <v>489</v>
      </c>
      <c r="D317" t="s">
        <v>301</v>
      </c>
      <c r="E317" s="70">
        <v>1860268</v>
      </c>
    </row>
    <row r="318" spans="1:7" x14ac:dyDescent="0.25">
      <c r="A318" s="69">
        <v>46146</v>
      </c>
      <c r="B318" t="s">
        <v>150</v>
      </c>
      <c r="C318" t="s">
        <v>278</v>
      </c>
      <c r="D318" t="s">
        <v>286</v>
      </c>
      <c r="E318" s="70">
        <v>1000000</v>
      </c>
    </row>
    <row r="319" spans="1:7" x14ac:dyDescent="0.25">
      <c r="A319" s="69">
        <v>46146</v>
      </c>
      <c r="B319" t="s">
        <v>186</v>
      </c>
      <c r="C319" t="s">
        <v>490</v>
      </c>
      <c r="D319" t="s">
        <v>282</v>
      </c>
      <c r="F319" s="70">
        <v>76</v>
      </c>
      <c r="G319" s="70">
        <v>1833</v>
      </c>
    </row>
    <row r="320" spans="1:7" x14ac:dyDescent="0.25">
      <c r="A320" s="69">
        <v>46146</v>
      </c>
      <c r="B320" t="s">
        <v>231</v>
      </c>
      <c r="C320" t="s">
        <v>334</v>
      </c>
      <c r="D320" t="s">
        <v>286</v>
      </c>
      <c r="E320" s="70">
        <v>2912000</v>
      </c>
    </row>
    <row r="321" spans="1:7" x14ac:dyDescent="0.25">
      <c r="A321" s="69">
        <v>46146</v>
      </c>
      <c r="B321" t="s">
        <v>246</v>
      </c>
      <c r="C321" t="s">
        <v>491</v>
      </c>
      <c r="D321" t="s">
        <v>279</v>
      </c>
      <c r="E321" s="70">
        <v>3679692</v>
      </c>
    </row>
    <row r="322" spans="1:7" x14ac:dyDescent="0.25">
      <c r="A322" s="69">
        <v>46146</v>
      </c>
      <c r="B322" t="s">
        <v>246</v>
      </c>
      <c r="C322" t="s">
        <v>492</v>
      </c>
      <c r="D322" t="s">
        <v>301</v>
      </c>
      <c r="E322" s="70">
        <v>1491188</v>
      </c>
    </row>
    <row r="323" spans="1:7" x14ac:dyDescent="0.25">
      <c r="A323" s="69">
        <v>46146</v>
      </c>
      <c r="B323" t="s">
        <v>250</v>
      </c>
      <c r="C323" t="s">
        <v>493</v>
      </c>
      <c r="D323" t="s">
        <v>286</v>
      </c>
      <c r="E323" s="70">
        <v>2389204</v>
      </c>
    </row>
    <row r="324" spans="1:7" x14ac:dyDescent="0.25">
      <c r="A324" s="69">
        <v>46146</v>
      </c>
      <c r="B324" t="s">
        <v>262</v>
      </c>
      <c r="C324" t="s">
        <v>494</v>
      </c>
      <c r="D324" t="s">
        <v>282</v>
      </c>
      <c r="F324" s="70">
        <v>22</v>
      </c>
      <c r="G324" s="70">
        <v>528</v>
      </c>
    </row>
    <row r="325" spans="1:7" x14ac:dyDescent="0.25">
      <c r="A325" s="69">
        <v>46146</v>
      </c>
      <c r="B325" t="s">
        <v>250</v>
      </c>
      <c r="C325" t="s">
        <v>495</v>
      </c>
      <c r="D325" t="s">
        <v>285</v>
      </c>
      <c r="E325" s="70">
        <v>301216</v>
      </c>
    </row>
    <row r="326" spans="1:7" x14ac:dyDescent="0.25">
      <c r="A326" s="69">
        <v>46146</v>
      </c>
      <c r="B326" t="s">
        <v>246</v>
      </c>
      <c r="C326" t="s">
        <v>491</v>
      </c>
      <c r="D326" t="s">
        <v>286</v>
      </c>
      <c r="E326" s="70">
        <v>3679692</v>
      </c>
    </row>
    <row r="327" spans="1:7" x14ac:dyDescent="0.25">
      <c r="A327" s="69">
        <v>46146</v>
      </c>
      <c r="B327" t="s">
        <v>250</v>
      </c>
      <c r="C327" t="s">
        <v>496</v>
      </c>
      <c r="D327" t="s">
        <v>285</v>
      </c>
      <c r="E327" s="70">
        <v>1021025</v>
      </c>
    </row>
    <row r="328" spans="1:7" x14ac:dyDescent="0.25">
      <c r="A328" s="69">
        <v>46146</v>
      </c>
      <c r="B328" t="s">
        <v>250</v>
      </c>
      <c r="C328" t="s">
        <v>497</v>
      </c>
      <c r="D328" t="s">
        <v>279</v>
      </c>
      <c r="E328" s="70">
        <v>512649</v>
      </c>
    </row>
    <row r="329" spans="1:7" x14ac:dyDescent="0.25">
      <c r="A329" s="69">
        <v>46146</v>
      </c>
      <c r="B329" t="s">
        <v>219</v>
      </c>
      <c r="C329" t="s">
        <v>498</v>
      </c>
      <c r="D329" t="s">
        <v>282</v>
      </c>
      <c r="F329" s="70">
        <v>6</v>
      </c>
      <c r="G329" s="70">
        <v>141</v>
      </c>
    </row>
    <row r="330" spans="1:7" x14ac:dyDescent="0.25">
      <c r="A330" s="69">
        <v>46146</v>
      </c>
      <c r="B330" t="s">
        <v>168</v>
      </c>
      <c r="C330" t="s">
        <v>499</v>
      </c>
      <c r="D330" t="s">
        <v>285</v>
      </c>
      <c r="E330" s="70">
        <v>2243080</v>
      </c>
    </row>
    <row r="331" spans="1:7" x14ac:dyDescent="0.25">
      <c r="A331" s="69">
        <v>46146</v>
      </c>
      <c r="B331" t="s">
        <v>168</v>
      </c>
      <c r="C331" t="s">
        <v>500</v>
      </c>
      <c r="D331" t="s">
        <v>285</v>
      </c>
      <c r="E331" s="70">
        <v>1384343</v>
      </c>
    </row>
    <row r="332" spans="1:7" x14ac:dyDescent="0.25">
      <c r="A332" s="69">
        <v>46146</v>
      </c>
      <c r="B332" t="s">
        <v>501</v>
      </c>
      <c r="C332" t="s">
        <v>502</v>
      </c>
      <c r="D332" t="s">
        <v>285</v>
      </c>
      <c r="E332" s="70">
        <v>14911565</v>
      </c>
    </row>
    <row r="333" spans="1:7" x14ac:dyDescent="0.25">
      <c r="A333" s="69">
        <v>46146</v>
      </c>
      <c r="B333" t="s">
        <v>250</v>
      </c>
      <c r="C333" t="s">
        <v>493</v>
      </c>
      <c r="D333" t="s">
        <v>277</v>
      </c>
      <c r="E333" s="70">
        <v>2389204</v>
      </c>
    </row>
    <row r="334" spans="1:7" x14ac:dyDescent="0.25">
      <c r="A334" s="69">
        <v>46146</v>
      </c>
      <c r="B334" t="s">
        <v>250</v>
      </c>
      <c r="C334" t="s">
        <v>496</v>
      </c>
      <c r="D334" t="s">
        <v>301</v>
      </c>
      <c r="E334" s="70">
        <v>1021025</v>
      </c>
    </row>
    <row r="335" spans="1:7" x14ac:dyDescent="0.25">
      <c r="A335" s="69">
        <v>46146</v>
      </c>
      <c r="B335" t="s">
        <v>250</v>
      </c>
      <c r="C335" t="s">
        <v>497</v>
      </c>
      <c r="D335" t="s">
        <v>286</v>
      </c>
      <c r="E335" s="70">
        <v>512649</v>
      </c>
    </row>
    <row r="336" spans="1:7" x14ac:dyDescent="0.25">
      <c r="A336" s="69">
        <v>46146</v>
      </c>
      <c r="B336" t="s">
        <v>168</v>
      </c>
      <c r="C336" t="s">
        <v>499</v>
      </c>
      <c r="D336" t="s">
        <v>286</v>
      </c>
      <c r="E336" s="70">
        <v>2243080</v>
      </c>
    </row>
    <row r="337" spans="1:7" x14ac:dyDescent="0.25">
      <c r="A337" s="69">
        <v>46146</v>
      </c>
      <c r="B337" t="s">
        <v>233</v>
      </c>
      <c r="C337" t="s">
        <v>503</v>
      </c>
      <c r="D337" t="s">
        <v>282</v>
      </c>
      <c r="F337" s="70">
        <v>35</v>
      </c>
      <c r="G337" s="70">
        <v>832</v>
      </c>
    </row>
    <row r="338" spans="1:7" x14ac:dyDescent="0.25">
      <c r="A338" s="69">
        <v>46146</v>
      </c>
      <c r="B338" t="s">
        <v>168</v>
      </c>
      <c r="C338" t="s">
        <v>504</v>
      </c>
      <c r="D338" t="s">
        <v>286</v>
      </c>
      <c r="E338" s="70">
        <v>303617</v>
      </c>
    </row>
    <row r="339" spans="1:7" x14ac:dyDescent="0.25">
      <c r="A339" s="69">
        <v>46146</v>
      </c>
      <c r="B339" t="s">
        <v>168</v>
      </c>
      <c r="C339" t="s">
        <v>505</v>
      </c>
      <c r="D339" t="s">
        <v>285</v>
      </c>
      <c r="E339" s="70">
        <v>981214</v>
      </c>
    </row>
    <row r="340" spans="1:7" x14ac:dyDescent="0.25">
      <c r="A340" s="69">
        <v>46146</v>
      </c>
      <c r="B340" t="s">
        <v>168</v>
      </c>
      <c r="C340" t="s">
        <v>506</v>
      </c>
      <c r="D340" t="s">
        <v>301</v>
      </c>
      <c r="E340" s="70">
        <v>404114</v>
      </c>
    </row>
    <row r="341" spans="1:7" x14ac:dyDescent="0.25">
      <c r="A341" s="69">
        <v>46146</v>
      </c>
      <c r="B341" t="s">
        <v>168</v>
      </c>
      <c r="C341" t="s">
        <v>500</v>
      </c>
      <c r="D341" t="s">
        <v>286</v>
      </c>
      <c r="E341" s="70">
        <v>1384343</v>
      </c>
    </row>
    <row r="342" spans="1:7" x14ac:dyDescent="0.25">
      <c r="A342" s="69">
        <v>46146</v>
      </c>
      <c r="B342" t="s">
        <v>168</v>
      </c>
      <c r="C342" t="s">
        <v>507</v>
      </c>
      <c r="D342" t="s">
        <v>282</v>
      </c>
      <c r="F342" s="70">
        <v>24</v>
      </c>
      <c r="G342" s="70">
        <v>576</v>
      </c>
    </row>
    <row r="343" spans="1:7" x14ac:dyDescent="0.25">
      <c r="A343" s="69">
        <v>46146</v>
      </c>
      <c r="B343" t="s">
        <v>152</v>
      </c>
      <c r="C343" t="s">
        <v>394</v>
      </c>
      <c r="D343" t="s">
        <v>286</v>
      </c>
      <c r="E343" s="70">
        <v>250000</v>
      </c>
    </row>
    <row r="344" spans="1:7" x14ac:dyDescent="0.25">
      <c r="A344" s="69">
        <v>46146</v>
      </c>
      <c r="B344" t="s">
        <v>156</v>
      </c>
      <c r="C344" t="s">
        <v>394</v>
      </c>
      <c r="D344" t="s">
        <v>286</v>
      </c>
      <c r="E344" s="70">
        <v>250000</v>
      </c>
    </row>
    <row r="345" spans="1:7" x14ac:dyDescent="0.25">
      <c r="A345" s="69">
        <v>46146</v>
      </c>
      <c r="B345" t="s">
        <v>202</v>
      </c>
      <c r="C345" t="s">
        <v>508</v>
      </c>
      <c r="D345" t="s">
        <v>282</v>
      </c>
      <c r="F345" s="70">
        <v>38</v>
      </c>
      <c r="G345" s="70">
        <v>920</v>
      </c>
    </row>
    <row r="346" spans="1:7" x14ac:dyDescent="0.25">
      <c r="A346" s="69">
        <v>46146</v>
      </c>
      <c r="B346" t="s">
        <v>250</v>
      </c>
      <c r="C346" t="s">
        <v>509</v>
      </c>
      <c r="D346" t="s">
        <v>285</v>
      </c>
      <c r="E346" s="70">
        <v>2026002</v>
      </c>
    </row>
    <row r="347" spans="1:7" x14ac:dyDescent="0.25">
      <c r="A347" s="69">
        <v>46146</v>
      </c>
      <c r="B347" t="s">
        <v>168</v>
      </c>
      <c r="C347" t="s">
        <v>504</v>
      </c>
      <c r="D347" t="s">
        <v>279</v>
      </c>
      <c r="E347" s="70">
        <v>303617</v>
      </c>
    </row>
    <row r="348" spans="1:7" x14ac:dyDescent="0.25">
      <c r="A348" s="69">
        <v>46146</v>
      </c>
      <c r="B348" t="s">
        <v>222</v>
      </c>
      <c r="C348" t="s">
        <v>394</v>
      </c>
      <c r="D348" t="s">
        <v>286</v>
      </c>
      <c r="E348" s="70">
        <v>250000</v>
      </c>
    </row>
    <row r="349" spans="1:7" x14ac:dyDescent="0.25">
      <c r="A349" s="69">
        <v>46146</v>
      </c>
      <c r="B349" t="s">
        <v>202</v>
      </c>
      <c r="C349" t="s">
        <v>394</v>
      </c>
      <c r="D349" t="s">
        <v>286</v>
      </c>
      <c r="E349" s="70">
        <v>250000</v>
      </c>
    </row>
    <row r="350" spans="1:7" x14ac:dyDescent="0.25">
      <c r="A350" s="69">
        <v>46146</v>
      </c>
      <c r="B350" t="s">
        <v>250</v>
      </c>
      <c r="C350" t="s">
        <v>510</v>
      </c>
      <c r="D350" t="s">
        <v>279</v>
      </c>
      <c r="E350" s="70">
        <v>2496000</v>
      </c>
    </row>
    <row r="351" spans="1:7" x14ac:dyDescent="0.25">
      <c r="A351" s="69">
        <v>46146</v>
      </c>
      <c r="B351" t="s">
        <v>250</v>
      </c>
      <c r="C351" t="s">
        <v>510</v>
      </c>
      <c r="D351" t="s">
        <v>286</v>
      </c>
      <c r="E351" s="70">
        <v>2496000</v>
      </c>
    </row>
    <row r="352" spans="1:7" x14ac:dyDescent="0.25">
      <c r="A352" s="69">
        <v>46146</v>
      </c>
      <c r="B352" t="s">
        <v>250</v>
      </c>
      <c r="C352" t="s">
        <v>511</v>
      </c>
      <c r="D352" t="s">
        <v>301</v>
      </c>
      <c r="E352" s="70">
        <v>2568000</v>
      </c>
    </row>
    <row r="353" spans="1:7" x14ac:dyDescent="0.25">
      <c r="A353" s="69">
        <v>46146</v>
      </c>
      <c r="B353" t="s">
        <v>250</v>
      </c>
      <c r="C353" t="s">
        <v>510</v>
      </c>
      <c r="D353" t="s">
        <v>277</v>
      </c>
      <c r="E353" s="70">
        <v>2496000</v>
      </c>
    </row>
    <row r="354" spans="1:7" x14ac:dyDescent="0.25">
      <c r="A354" s="69">
        <v>46146</v>
      </c>
      <c r="B354" t="s">
        <v>231</v>
      </c>
      <c r="C354" t="s">
        <v>394</v>
      </c>
      <c r="D354" t="s">
        <v>286</v>
      </c>
      <c r="E354" s="70">
        <v>250000</v>
      </c>
    </row>
    <row r="355" spans="1:7" x14ac:dyDescent="0.25">
      <c r="A355" s="69">
        <v>46146</v>
      </c>
      <c r="B355" t="s">
        <v>167</v>
      </c>
      <c r="C355" t="s">
        <v>394</v>
      </c>
      <c r="D355" t="s">
        <v>286</v>
      </c>
      <c r="E355" s="70">
        <v>250000</v>
      </c>
    </row>
    <row r="356" spans="1:7" x14ac:dyDescent="0.25">
      <c r="A356" s="69">
        <v>46146</v>
      </c>
      <c r="B356" t="s">
        <v>250</v>
      </c>
      <c r="C356" t="s">
        <v>394</v>
      </c>
      <c r="D356" t="s">
        <v>286</v>
      </c>
      <c r="E356" s="70">
        <v>250000</v>
      </c>
    </row>
    <row r="357" spans="1:7" x14ac:dyDescent="0.25">
      <c r="A357" s="69">
        <v>46146</v>
      </c>
      <c r="B357" t="s">
        <v>168</v>
      </c>
      <c r="C357" t="s">
        <v>394</v>
      </c>
      <c r="D357" t="s">
        <v>286</v>
      </c>
      <c r="E357" s="70">
        <v>250000</v>
      </c>
    </row>
    <row r="358" spans="1:7" x14ac:dyDescent="0.25">
      <c r="A358" s="69">
        <v>46146</v>
      </c>
      <c r="B358" t="s">
        <v>250</v>
      </c>
      <c r="C358" t="s">
        <v>510</v>
      </c>
      <c r="D358" t="s">
        <v>286</v>
      </c>
      <c r="E358" s="70">
        <v>2496000</v>
      </c>
    </row>
    <row r="359" spans="1:7" x14ac:dyDescent="0.25">
      <c r="A359" s="69">
        <v>46146</v>
      </c>
      <c r="B359" t="s">
        <v>222</v>
      </c>
      <c r="C359" t="s">
        <v>512</v>
      </c>
      <c r="D359" t="s">
        <v>282</v>
      </c>
      <c r="F359" s="70">
        <v>18</v>
      </c>
      <c r="G359" s="70">
        <v>442</v>
      </c>
    </row>
    <row r="360" spans="1:7" x14ac:dyDescent="0.25">
      <c r="A360" s="69">
        <v>46146</v>
      </c>
      <c r="B360" t="s">
        <v>242</v>
      </c>
      <c r="C360" t="s">
        <v>513</v>
      </c>
      <c r="D360" t="s">
        <v>282</v>
      </c>
      <c r="F360" s="70">
        <v>9</v>
      </c>
      <c r="G360" s="70">
        <v>215</v>
      </c>
    </row>
    <row r="361" spans="1:7" x14ac:dyDescent="0.25">
      <c r="A361" s="69">
        <v>46146</v>
      </c>
      <c r="B361" t="s">
        <v>246</v>
      </c>
      <c r="C361" t="s">
        <v>514</v>
      </c>
      <c r="D361" t="s">
        <v>285</v>
      </c>
      <c r="E361" s="70">
        <v>739082</v>
      </c>
    </row>
    <row r="362" spans="1:7" x14ac:dyDescent="0.25">
      <c r="A362" s="69">
        <v>46146</v>
      </c>
      <c r="B362" t="s">
        <v>246</v>
      </c>
      <c r="C362" t="s">
        <v>515</v>
      </c>
      <c r="D362" t="s">
        <v>285</v>
      </c>
      <c r="E362" s="70">
        <v>1616186</v>
      </c>
    </row>
    <row r="363" spans="1:7" x14ac:dyDescent="0.25">
      <c r="A363" s="69">
        <v>46146</v>
      </c>
      <c r="B363" t="s">
        <v>250</v>
      </c>
      <c r="C363" t="s">
        <v>394</v>
      </c>
      <c r="D363" t="s">
        <v>285</v>
      </c>
      <c r="E363" s="70">
        <v>250000</v>
      </c>
    </row>
    <row r="364" spans="1:7" x14ac:dyDescent="0.25">
      <c r="A364" s="69">
        <v>46146</v>
      </c>
      <c r="B364" t="s">
        <v>246</v>
      </c>
      <c r="C364" t="s">
        <v>514</v>
      </c>
      <c r="D364" t="s">
        <v>301</v>
      </c>
      <c r="E364" s="70">
        <v>739082</v>
      </c>
    </row>
    <row r="365" spans="1:7" x14ac:dyDescent="0.25">
      <c r="A365" s="69">
        <v>46146</v>
      </c>
      <c r="B365" t="s">
        <v>168</v>
      </c>
      <c r="C365" t="s">
        <v>516</v>
      </c>
      <c r="D365" t="s">
        <v>282</v>
      </c>
      <c r="F365" s="70">
        <v>103</v>
      </c>
      <c r="G365" s="70">
        <v>2468</v>
      </c>
    </row>
    <row r="366" spans="1:7" x14ac:dyDescent="0.25">
      <c r="A366" s="69">
        <v>46146</v>
      </c>
      <c r="B366" t="s">
        <v>191</v>
      </c>
      <c r="C366" t="s">
        <v>517</v>
      </c>
      <c r="D366" t="s">
        <v>277</v>
      </c>
      <c r="E366" s="70">
        <v>21736000</v>
      </c>
    </row>
    <row r="367" spans="1:7" x14ac:dyDescent="0.25">
      <c r="A367" s="69">
        <v>46146</v>
      </c>
      <c r="B367" t="s">
        <v>246</v>
      </c>
      <c r="C367" t="s">
        <v>518</v>
      </c>
      <c r="D367" t="s">
        <v>279</v>
      </c>
      <c r="E367" s="70">
        <v>1336141</v>
      </c>
    </row>
    <row r="368" spans="1:7" x14ac:dyDescent="0.25">
      <c r="A368" s="69">
        <v>46146</v>
      </c>
      <c r="B368" t="s">
        <v>246</v>
      </c>
      <c r="C368" t="s">
        <v>519</v>
      </c>
      <c r="D368" t="s">
        <v>285</v>
      </c>
      <c r="E368" s="70">
        <v>174920</v>
      </c>
    </row>
    <row r="369" spans="1:7" x14ac:dyDescent="0.25">
      <c r="A369" s="69">
        <v>46146</v>
      </c>
      <c r="B369" t="s">
        <v>242</v>
      </c>
      <c r="C369" t="s">
        <v>346</v>
      </c>
      <c r="D369" t="s">
        <v>285</v>
      </c>
      <c r="E369" s="70">
        <v>1250</v>
      </c>
    </row>
    <row r="370" spans="1:7" x14ac:dyDescent="0.25">
      <c r="A370" s="69">
        <v>46146</v>
      </c>
      <c r="B370" t="s">
        <v>191</v>
      </c>
      <c r="C370" t="s">
        <v>517</v>
      </c>
      <c r="D370" t="s">
        <v>286</v>
      </c>
      <c r="E370" s="70">
        <v>21736000</v>
      </c>
    </row>
    <row r="371" spans="1:7" x14ac:dyDescent="0.25">
      <c r="A371" s="69">
        <v>46146</v>
      </c>
      <c r="B371" t="s">
        <v>246</v>
      </c>
      <c r="C371" t="s">
        <v>518</v>
      </c>
      <c r="D371" t="s">
        <v>286</v>
      </c>
      <c r="E371" s="70">
        <v>1336141</v>
      </c>
    </row>
    <row r="372" spans="1:7" x14ac:dyDescent="0.25">
      <c r="A372" s="69">
        <v>46146</v>
      </c>
      <c r="B372" t="s">
        <v>242</v>
      </c>
      <c r="C372" t="s">
        <v>346</v>
      </c>
      <c r="D372" t="s">
        <v>349</v>
      </c>
      <c r="E372" s="70">
        <v>1250</v>
      </c>
    </row>
    <row r="373" spans="1:7" x14ac:dyDescent="0.25">
      <c r="A373" s="69">
        <v>46146</v>
      </c>
      <c r="B373" t="s">
        <v>191</v>
      </c>
      <c r="C373" t="s">
        <v>520</v>
      </c>
      <c r="D373" t="s">
        <v>282</v>
      </c>
      <c r="F373" s="70">
        <v>11</v>
      </c>
      <c r="G373" s="70">
        <v>274</v>
      </c>
    </row>
    <row r="374" spans="1:7" x14ac:dyDescent="0.25">
      <c r="A374" s="69">
        <v>46146</v>
      </c>
      <c r="B374" t="s">
        <v>191</v>
      </c>
      <c r="C374" t="s">
        <v>521</v>
      </c>
      <c r="D374" t="s">
        <v>301</v>
      </c>
      <c r="E374" s="70">
        <v>600244</v>
      </c>
    </row>
    <row r="375" spans="1:7" x14ac:dyDescent="0.25">
      <c r="A375" s="69">
        <v>46146</v>
      </c>
      <c r="B375" t="s">
        <v>191</v>
      </c>
      <c r="C375" t="s">
        <v>522</v>
      </c>
      <c r="D375" t="s">
        <v>285</v>
      </c>
      <c r="E375" s="70">
        <v>19306713</v>
      </c>
    </row>
    <row r="376" spans="1:7" x14ac:dyDescent="0.25">
      <c r="A376" s="69">
        <v>46146</v>
      </c>
      <c r="B376" t="s">
        <v>157</v>
      </c>
      <c r="C376" t="s">
        <v>523</v>
      </c>
      <c r="D376" t="s">
        <v>285</v>
      </c>
      <c r="E376" s="70">
        <v>395551</v>
      </c>
    </row>
    <row r="377" spans="1:7" x14ac:dyDescent="0.25">
      <c r="A377" s="69">
        <v>46146</v>
      </c>
      <c r="B377" t="s">
        <v>157</v>
      </c>
      <c r="C377" t="s">
        <v>524</v>
      </c>
      <c r="D377" t="s">
        <v>285</v>
      </c>
      <c r="E377" s="70">
        <v>597769</v>
      </c>
    </row>
    <row r="378" spans="1:7" x14ac:dyDescent="0.25">
      <c r="A378" s="69">
        <v>46146</v>
      </c>
      <c r="B378" t="s">
        <v>242</v>
      </c>
      <c r="C378" t="s">
        <v>346</v>
      </c>
      <c r="D378" t="s">
        <v>344</v>
      </c>
      <c r="E378" s="70">
        <v>1250</v>
      </c>
    </row>
    <row r="379" spans="1:7" x14ac:dyDescent="0.25">
      <c r="A379" s="69">
        <v>46146</v>
      </c>
      <c r="B379" t="s">
        <v>157</v>
      </c>
      <c r="C379" t="s">
        <v>523</v>
      </c>
      <c r="D379" t="s">
        <v>277</v>
      </c>
      <c r="E379" s="70">
        <v>395551</v>
      </c>
    </row>
    <row r="380" spans="1:7" x14ac:dyDescent="0.25">
      <c r="A380" s="69">
        <v>46146</v>
      </c>
      <c r="B380" t="s">
        <v>157</v>
      </c>
      <c r="C380" t="s">
        <v>525</v>
      </c>
      <c r="D380" t="s">
        <v>279</v>
      </c>
      <c r="E380" s="70">
        <v>918098</v>
      </c>
    </row>
    <row r="381" spans="1:7" x14ac:dyDescent="0.25">
      <c r="A381" s="69">
        <v>46146</v>
      </c>
      <c r="B381" t="s">
        <v>251</v>
      </c>
      <c r="C381" t="s">
        <v>526</v>
      </c>
      <c r="D381" t="s">
        <v>301</v>
      </c>
      <c r="E381" s="70">
        <v>109448</v>
      </c>
    </row>
    <row r="382" spans="1:7" x14ac:dyDescent="0.25">
      <c r="A382" s="69">
        <v>46146</v>
      </c>
      <c r="B382" t="s">
        <v>251</v>
      </c>
      <c r="C382" t="s">
        <v>527</v>
      </c>
      <c r="D382" t="s">
        <v>285</v>
      </c>
      <c r="E382" s="70">
        <v>205858</v>
      </c>
    </row>
    <row r="383" spans="1:7" x14ac:dyDescent="0.25">
      <c r="A383" s="69">
        <v>46146</v>
      </c>
      <c r="B383" t="s">
        <v>157</v>
      </c>
      <c r="C383" t="s">
        <v>528</v>
      </c>
      <c r="D383" t="s">
        <v>286</v>
      </c>
      <c r="E383" s="70">
        <v>194239</v>
      </c>
    </row>
    <row r="384" spans="1:7" x14ac:dyDescent="0.25">
      <c r="A384" s="69">
        <v>46146</v>
      </c>
      <c r="B384" t="s">
        <v>251</v>
      </c>
      <c r="C384" t="s">
        <v>529</v>
      </c>
      <c r="D384" t="s">
        <v>279</v>
      </c>
      <c r="E384" s="70">
        <v>203497</v>
      </c>
    </row>
    <row r="385" spans="1:5" x14ac:dyDescent="0.25">
      <c r="A385" s="69">
        <v>46146</v>
      </c>
      <c r="B385" t="s">
        <v>157</v>
      </c>
      <c r="C385" t="s">
        <v>523</v>
      </c>
      <c r="D385" t="s">
        <v>299</v>
      </c>
      <c r="E385" s="70">
        <v>395551</v>
      </c>
    </row>
    <row r="386" spans="1:5" x14ac:dyDescent="0.25">
      <c r="A386" s="69">
        <v>46146</v>
      </c>
      <c r="B386" t="s">
        <v>157</v>
      </c>
      <c r="C386" t="s">
        <v>525</v>
      </c>
      <c r="D386" t="s">
        <v>286</v>
      </c>
      <c r="E386" s="70">
        <v>918098</v>
      </c>
    </row>
    <row r="387" spans="1:5" x14ac:dyDescent="0.25">
      <c r="A387" s="69">
        <v>46146</v>
      </c>
      <c r="B387" t="s">
        <v>157</v>
      </c>
      <c r="C387" t="s">
        <v>528</v>
      </c>
      <c r="D387" t="s">
        <v>285</v>
      </c>
      <c r="E387" s="70">
        <v>194239</v>
      </c>
    </row>
    <row r="388" spans="1:5" x14ac:dyDescent="0.25">
      <c r="A388" s="69">
        <v>46146</v>
      </c>
      <c r="B388" t="s">
        <v>251</v>
      </c>
      <c r="C388" t="s">
        <v>529</v>
      </c>
      <c r="D388" t="s">
        <v>285</v>
      </c>
      <c r="E388" s="70">
        <v>203497</v>
      </c>
    </row>
    <row r="389" spans="1:5" x14ac:dyDescent="0.25">
      <c r="A389" s="69">
        <v>46146</v>
      </c>
      <c r="B389" t="s">
        <v>157</v>
      </c>
      <c r="C389" t="s">
        <v>530</v>
      </c>
      <c r="D389" t="s">
        <v>301</v>
      </c>
      <c r="E389" s="70">
        <v>136571</v>
      </c>
    </row>
    <row r="390" spans="1:5" x14ac:dyDescent="0.25">
      <c r="A390" s="69">
        <v>46146</v>
      </c>
      <c r="B390" t="s">
        <v>191</v>
      </c>
      <c r="C390" t="s">
        <v>531</v>
      </c>
      <c r="D390" t="s">
        <v>301</v>
      </c>
      <c r="E390" s="70">
        <v>10868000</v>
      </c>
    </row>
    <row r="391" spans="1:5" x14ac:dyDescent="0.25">
      <c r="A391" s="69">
        <v>46146</v>
      </c>
      <c r="B391" t="s">
        <v>191</v>
      </c>
      <c r="C391" t="s">
        <v>532</v>
      </c>
      <c r="D391" t="s">
        <v>286</v>
      </c>
      <c r="E391" s="70">
        <v>16211093</v>
      </c>
    </row>
    <row r="392" spans="1:5" x14ac:dyDescent="0.25">
      <c r="A392" s="69">
        <v>46146</v>
      </c>
      <c r="B392" t="s">
        <v>222</v>
      </c>
      <c r="C392" t="s">
        <v>346</v>
      </c>
      <c r="D392" t="s">
        <v>344</v>
      </c>
      <c r="E392" s="70">
        <v>1250</v>
      </c>
    </row>
    <row r="393" spans="1:5" x14ac:dyDescent="0.25">
      <c r="A393" s="69">
        <v>46146</v>
      </c>
      <c r="B393" t="s">
        <v>168</v>
      </c>
      <c r="C393" t="s">
        <v>533</v>
      </c>
      <c r="D393" t="s">
        <v>286</v>
      </c>
      <c r="E393" s="70">
        <v>95481</v>
      </c>
    </row>
    <row r="394" spans="1:5" x14ac:dyDescent="0.25">
      <c r="A394" s="69">
        <v>46146</v>
      </c>
      <c r="B394" t="s">
        <v>250</v>
      </c>
      <c r="C394" t="s">
        <v>534</v>
      </c>
      <c r="D394" t="s">
        <v>301</v>
      </c>
      <c r="E394" s="70">
        <v>1023991</v>
      </c>
    </row>
    <row r="395" spans="1:5" x14ac:dyDescent="0.25">
      <c r="A395" s="69">
        <v>46146</v>
      </c>
      <c r="B395" t="s">
        <v>251</v>
      </c>
      <c r="C395" t="s">
        <v>529</v>
      </c>
      <c r="D395" t="s">
        <v>286</v>
      </c>
      <c r="E395" s="70">
        <v>203497</v>
      </c>
    </row>
    <row r="396" spans="1:5" x14ac:dyDescent="0.25">
      <c r="A396" s="69">
        <v>46146</v>
      </c>
      <c r="B396" t="s">
        <v>191</v>
      </c>
      <c r="C396" t="s">
        <v>532</v>
      </c>
      <c r="D396" t="s">
        <v>279</v>
      </c>
      <c r="E396" s="70">
        <v>16211093</v>
      </c>
    </row>
    <row r="397" spans="1:5" x14ac:dyDescent="0.25">
      <c r="A397" s="69">
        <v>46146</v>
      </c>
      <c r="B397" t="s">
        <v>222</v>
      </c>
      <c r="C397" t="s">
        <v>346</v>
      </c>
      <c r="D397" t="s">
        <v>349</v>
      </c>
      <c r="E397" s="70">
        <v>1250</v>
      </c>
    </row>
    <row r="398" spans="1:5" x14ac:dyDescent="0.25">
      <c r="A398" s="69">
        <v>46146</v>
      </c>
      <c r="B398" t="s">
        <v>168</v>
      </c>
      <c r="C398" t="s">
        <v>533</v>
      </c>
      <c r="D398" t="s">
        <v>285</v>
      </c>
      <c r="E398" s="70">
        <v>95481</v>
      </c>
    </row>
    <row r="399" spans="1:5" x14ac:dyDescent="0.25">
      <c r="A399" s="69">
        <v>46146</v>
      </c>
      <c r="B399" t="s">
        <v>168</v>
      </c>
      <c r="C399" t="s">
        <v>535</v>
      </c>
      <c r="D399" t="s">
        <v>285</v>
      </c>
      <c r="E399" s="70">
        <v>290170</v>
      </c>
    </row>
    <row r="400" spans="1:5" x14ac:dyDescent="0.25">
      <c r="A400" s="69">
        <v>46146</v>
      </c>
      <c r="B400" t="s">
        <v>168</v>
      </c>
      <c r="C400" t="s">
        <v>536</v>
      </c>
      <c r="D400" t="s">
        <v>285</v>
      </c>
      <c r="E400" s="70">
        <v>885889</v>
      </c>
    </row>
    <row r="401" spans="1:7" x14ac:dyDescent="0.25">
      <c r="A401" s="69">
        <v>46146</v>
      </c>
      <c r="B401" t="s">
        <v>168</v>
      </c>
      <c r="C401" t="s">
        <v>537</v>
      </c>
      <c r="D401" t="s">
        <v>301</v>
      </c>
      <c r="E401" s="70">
        <v>275328</v>
      </c>
    </row>
    <row r="402" spans="1:7" x14ac:dyDescent="0.25">
      <c r="A402" s="69">
        <v>46146</v>
      </c>
      <c r="B402" t="s">
        <v>245</v>
      </c>
      <c r="C402" t="s">
        <v>343</v>
      </c>
      <c r="D402" t="s">
        <v>344</v>
      </c>
      <c r="E402" s="70">
        <v>1880</v>
      </c>
    </row>
    <row r="403" spans="1:7" x14ac:dyDescent="0.25">
      <c r="A403" s="69">
        <v>46146</v>
      </c>
      <c r="B403" t="s">
        <v>259</v>
      </c>
      <c r="C403" t="s">
        <v>538</v>
      </c>
      <c r="D403" t="s">
        <v>301</v>
      </c>
      <c r="E403" s="70">
        <v>395670</v>
      </c>
    </row>
    <row r="404" spans="1:7" x14ac:dyDescent="0.25">
      <c r="A404" s="69">
        <v>46146</v>
      </c>
      <c r="B404" t="s">
        <v>191</v>
      </c>
      <c r="C404" t="s">
        <v>532</v>
      </c>
      <c r="D404" t="s">
        <v>285</v>
      </c>
      <c r="E404" s="70">
        <v>16211093</v>
      </c>
    </row>
    <row r="405" spans="1:7" x14ac:dyDescent="0.25">
      <c r="A405" s="69">
        <v>46146</v>
      </c>
      <c r="B405" t="s">
        <v>168</v>
      </c>
      <c r="C405" t="s">
        <v>536</v>
      </c>
      <c r="D405" t="s">
        <v>277</v>
      </c>
      <c r="E405" s="70">
        <v>885889</v>
      </c>
    </row>
    <row r="406" spans="1:7" x14ac:dyDescent="0.25">
      <c r="A406" s="69">
        <v>46146</v>
      </c>
      <c r="B406" t="s">
        <v>245</v>
      </c>
      <c r="C406" t="s">
        <v>343</v>
      </c>
      <c r="D406" t="s">
        <v>285</v>
      </c>
      <c r="E406" s="70">
        <v>1880</v>
      </c>
    </row>
    <row r="407" spans="1:7" x14ac:dyDescent="0.25">
      <c r="A407" s="69">
        <v>46146</v>
      </c>
      <c r="B407" t="s">
        <v>259</v>
      </c>
      <c r="C407" t="s">
        <v>539</v>
      </c>
      <c r="D407" t="s">
        <v>286</v>
      </c>
      <c r="E407" s="70">
        <v>1045008</v>
      </c>
    </row>
    <row r="408" spans="1:7" x14ac:dyDescent="0.25">
      <c r="A408" s="69">
        <v>46146</v>
      </c>
      <c r="B408" t="s">
        <v>250</v>
      </c>
      <c r="C408" t="s">
        <v>510</v>
      </c>
      <c r="D408" t="s">
        <v>301</v>
      </c>
      <c r="E408" s="70">
        <v>2496000</v>
      </c>
    </row>
    <row r="409" spans="1:7" x14ac:dyDescent="0.25">
      <c r="A409" s="69">
        <v>46146</v>
      </c>
      <c r="B409" t="s">
        <v>234</v>
      </c>
      <c r="C409" t="s">
        <v>540</v>
      </c>
      <c r="D409" t="s">
        <v>282</v>
      </c>
      <c r="F409" s="70">
        <v>2</v>
      </c>
      <c r="G409" s="70">
        <v>38</v>
      </c>
    </row>
    <row r="410" spans="1:7" x14ac:dyDescent="0.25">
      <c r="A410" s="69">
        <v>46146</v>
      </c>
      <c r="B410" t="s">
        <v>152</v>
      </c>
      <c r="C410" t="s">
        <v>541</v>
      </c>
      <c r="D410" t="s">
        <v>282</v>
      </c>
      <c r="F410" s="70">
        <v>3</v>
      </c>
      <c r="G410" s="70">
        <v>70</v>
      </c>
    </row>
    <row r="411" spans="1:7" x14ac:dyDescent="0.25">
      <c r="A411" s="69">
        <v>46146</v>
      </c>
      <c r="B411" t="s">
        <v>180</v>
      </c>
      <c r="C411" t="s">
        <v>542</v>
      </c>
      <c r="D411" t="s">
        <v>285</v>
      </c>
      <c r="E411" s="70">
        <v>1377552</v>
      </c>
    </row>
    <row r="412" spans="1:7" x14ac:dyDescent="0.25">
      <c r="A412" s="69">
        <v>46146</v>
      </c>
      <c r="B412" t="s">
        <v>180</v>
      </c>
      <c r="C412" t="s">
        <v>543</v>
      </c>
      <c r="D412" t="s">
        <v>301</v>
      </c>
      <c r="E412" s="70">
        <v>1356833</v>
      </c>
    </row>
    <row r="413" spans="1:7" x14ac:dyDescent="0.25">
      <c r="A413" s="69">
        <v>46146</v>
      </c>
      <c r="B413" t="s">
        <v>180</v>
      </c>
      <c r="C413" t="s">
        <v>544</v>
      </c>
      <c r="D413" t="s">
        <v>285</v>
      </c>
      <c r="E413" s="70">
        <v>1160966</v>
      </c>
    </row>
    <row r="414" spans="1:7" x14ac:dyDescent="0.25">
      <c r="A414" s="69">
        <v>46146</v>
      </c>
      <c r="B414" t="s">
        <v>202</v>
      </c>
      <c r="C414" t="s">
        <v>545</v>
      </c>
      <c r="D414" t="s">
        <v>285</v>
      </c>
      <c r="E414" s="70">
        <v>1690000</v>
      </c>
    </row>
    <row r="415" spans="1:7" x14ac:dyDescent="0.25">
      <c r="A415" s="69">
        <v>46146</v>
      </c>
      <c r="B415" t="s">
        <v>180</v>
      </c>
      <c r="C415" t="s">
        <v>544</v>
      </c>
      <c r="D415" t="s">
        <v>279</v>
      </c>
      <c r="E415" s="70">
        <v>1160966</v>
      </c>
    </row>
    <row r="416" spans="1:7" x14ac:dyDescent="0.25">
      <c r="A416" s="69">
        <v>46146</v>
      </c>
      <c r="B416" t="s">
        <v>180</v>
      </c>
      <c r="C416" t="s">
        <v>546</v>
      </c>
      <c r="D416" t="s">
        <v>286</v>
      </c>
      <c r="E416" s="70">
        <v>1114124</v>
      </c>
    </row>
    <row r="417" spans="1:5" x14ac:dyDescent="0.25">
      <c r="A417" s="69">
        <v>46146</v>
      </c>
      <c r="B417" t="s">
        <v>199</v>
      </c>
      <c r="C417" t="s">
        <v>547</v>
      </c>
      <c r="D417" t="s">
        <v>286</v>
      </c>
      <c r="E417" s="70">
        <v>750000</v>
      </c>
    </row>
    <row r="418" spans="1:5" x14ac:dyDescent="0.25">
      <c r="A418" s="69">
        <v>46146</v>
      </c>
      <c r="B418" t="s">
        <v>219</v>
      </c>
      <c r="C418" t="s">
        <v>548</v>
      </c>
      <c r="D418" t="s">
        <v>286</v>
      </c>
      <c r="E418" s="70">
        <v>2704000</v>
      </c>
    </row>
    <row r="419" spans="1:5" x14ac:dyDescent="0.25">
      <c r="A419" s="69">
        <v>46146</v>
      </c>
      <c r="B419" t="s">
        <v>219</v>
      </c>
      <c r="C419" t="s">
        <v>548</v>
      </c>
      <c r="D419" t="s">
        <v>301</v>
      </c>
      <c r="E419" s="70">
        <v>2704000</v>
      </c>
    </row>
    <row r="420" spans="1:5" x14ac:dyDescent="0.25">
      <c r="A420" s="69">
        <v>46146</v>
      </c>
      <c r="B420" t="s">
        <v>231</v>
      </c>
      <c r="C420" t="s">
        <v>549</v>
      </c>
      <c r="D420" t="s">
        <v>285</v>
      </c>
      <c r="E420" s="70">
        <v>2420718</v>
      </c>
    </row>
    <row r="421" spans="1:5" x14ac:dyDescent="0.25">
      <c r="A421" s="69">
        <v>46146</v>
      </c>
      <c r="B421" t="s">
        <v>231</v>
      </c>
      <c r="C421" t="s">
        <v>550</v>
      </c>
      <c r="D421" t="s">
        <v>286</v>
      </c>
      <c r="E421" s="70">
        <v>2453786</v>
      </c>
    </row>
    <row r="422" spans="1:5" x14ac:dyDescent="0.25">
      <c r="A422" s="69">
        <v>46146</v>
      </c>
      <c r="B422" t="s">
        <v>231</v>
      </c>
      <c r="C422" t="s">
        <v>551</v>
      </c>
      <c r="D422" t="s">
        <v>301</v>
      </c>
      <c r="E422" s="70">
        <v>2449059</v>
      </c>
    </row>
    <row r="423" spans="1:5" x14ac:dyDescent="0.25">
      <c r="A423" s="69">
        <v>46146</v>
      </c>
      <c r="B423" t="s">
        <v>219</v>
      </c>
      <c r="C423" t="s">
        <v>548</v>
      </c>
      <c r="D423" t="s">
        <v>285</v>
      </c>
      <c r="E423" s="70">
        <v>2704000</v>
      </c>
    </row>
    <row r="424" spans="1:5" x14ac:dyDescent="0.25">
      <c r="A424" s="69">
        <v>46146</v>
      </c>
      <c r="B424" t="s">
        <v>243</v>
      </c>
      <c r="C424" t="s">
        <v>487</v>
      </c>
      <c r="D424" t="s">
        <v>286</v>
      </c>
      <c r="E424" s="70">
        <v>1881000</v>
      </c>
    </row>
    <row r="425" spans="1:5" x14ac:dyDescent="0.25">
      <c r="A425" s="69">
        <v>46146</v>
      </c>
      <c r="B425" t="s">
        <v>552</v>
      </c>
      <c r="C425" t="s">
        <v>553</v>
      </c>
      <c r="D425" t="s">
        <v>286</v>
      </c>
      <c r="E425" s="70">
        <v>2070000</v>
      </c>
    </row>
    <row r="426" spans="1:5" x14ac:dyDescent="0.25">
      <c r="A426" s="69">
        <v>46146</v>
      </c>
      <c r="B426" t="s">
        <v>552</v>
      </c>
      <c r="C426" t="s">
        <v>553</v>
      </c>
      <c r="D426" t="s">
        <v>286</v>
      </c>
      <c r="E426" s="70">
        <v>2070000</v>
      </c>
    </row>
    <row r="427" spans="1:5" x14ac:dyDescent="0.25">
      <c r="A427" s="69">
        <v>46146</v>
      </c>
      <c r="B427" t="s">
        <v>552</v>
      </c>
      <c r="C427" t="s">
        <v>554</v>
      </c>
      <c r="D427" t="s">
        <v>286</v>
      </c>
      <c r="E427" s="70">
        <v>2322000</v>
      </c>
    </row>
    <row r="428" spans="1:5" x14ac:dyDescent="0.25">
      <c r="A428" s="69">
        <v>46146</v>
      </c>
      <c r="B428" t="s">
        <v>552</v>
      </c>
      <c r="C428" t="s">
        <v>553</v>
      </c>
      <c r="D428" t="s">
        <v>301</v>
      </c>
      <c r="E428" s="70">
        <v>2070000</v>
      </c>
    </row>
    <row r="429" spans="1:5" x14ac:dyDescent="0.25">
      <c r="A429" s="69">
        <v>46146</v>
      </c>
      <c r="B429" t="s">
        <v>231</v>
      </c>
      <c r="C429" t="s">
        <v>550</v>
      </c>
      <c r="D429" t="s">
        <v>285</v>
      </c>
      <c r="E429" s="70">
        <v>2453786</v>
      </c>
    </row>
    <row r="430" spans="1:5" x14ac:dyDescent="0.25">
      <c r="A430" s="69">
        <v>46146</v>
      </c>
      <c r="B430" t="s">
        <v>552</v>
      </c>
      <c r="C430" t="s">
        <v>553</v>
      </c>
      <c r="D430" t="s">
        <v>285</v>
      </c>
      <c r="E430" s="70">
        <v>2070000</v>
      </c>
    </row>
    <row r="431" spans="1:5" x14ac:dyDescent="0.25">
      <c r="A431" s="69">
        <v>46146</v>
      </c>
      <c r="B431" t="s">
        <v>552</v>
      </c>
      <c r="C431" t="s">
        <v>553</v>
      </c>
      <c r="D431" t="s">
        <v>279</v>
      </c>
      <c r="E431" s="70">
        <v>2070000</v>
      </c>
    </row>
    <row r="432" spans="1:5" x14ac:dyDescent="0.25">
      <c r="A432" s="69">
        <v>46146</v>
      </c>
      <c r="B432" t="s">
        <v>552</v>
      </c>
      <c r="C432" t="s">
        <v>554</v>
      </c>
      <c r="D432" t="s">
        <v>285</v>
      </c>
      <c r="E432" s="70">
        <v>2322000</v>
      </c>
    </row>
    <row r="433" spans="1:7" x14ac:dyDescent="0.25">
      <c r="A433" s="69">
        <v>46146</v>
      </c>
      <c r="B433" t="s">
        <v>555</v>
      </c>
      <c r="C433" t="s">
        <v>556</v>
      </c>
      <c r="D433" t="s">
        <v>286</v>
      </c>
      <c r="E433" s="70">
        <v>432</v>
      </c>
    </row>
    <row r="434" spans="1:7" x14ac:dyDescent="0.25">
      <c r="A434" s="69">
        <v>46146</v>
      </c>
      <c r="B434" t="s">
        <v>481</v>
      </c>
      <c r="C434" t="s">
        <v>557</v>
      </c>
      <c r="D434" t="s">
        <v>277</v>
      </c>
      <c r="E434" s="70">
        <v>155027</v>
      </c>
    </row>
    <row r="435" spans="1:7" x14ac:dyDescent="0.25">
      <c r="A435" s="69">
        <v>46146</v>
      </c>
      <c r="B435" t="s">
        <v>555</v>
      </c>
      <c r="C435" t="s">
        <v>558</v>
      </c>
      <c r="D435" t="s">
        <v>285</v>
      </c>
      <c r="E435" s="70">
        <v>1027496</v>
      </c>
    </row>
    <row r="436" spans="1:7" x14ac:dyDescent="0.25">
      <c r="A436" s="69">
        <v>46146</v>
      </c>
      <c r="B436" t="s">
        <v>555</v>
      </c>
      <c r="C436" t="s">
        <v>559</v>
      </c>
      <c r="D436" t="s">
        <v>279</v>
      </c>
      <c r="E436" s="70">
        <v>1386246</v>
      </c>
    </row>
    <row r="437" spans="1:7" x14ac:dyDescent="0.25">
      <c r="A437" s="69">
        <v>46146</v>
      </c>
      <c r="B437" t="s">
        <v>481</v>
      </c>
      <c r="C437" t="s">
        <v>557</v>
      </c>
      <c r="D437" t="s">
        <v>286</v>
      </c>
      <c r="E437" s="70">
        <v>155027</v>
      </c>
    </row>
    <row r="438" spans="1:7" x14ac:dyDescent="0.25">
      <c r="A438" s="69">
        <v>46146</v>
      </c>
      <c r="B438" t="s">
        <v>555</v>
      </c>
      <c r="C438" t="s">
        <v>559</v>
      </c>
      <c r="D438" t="s">
        <v>286</v>
      </c>
      <c r="E438" s="70">
        <v>1386246</v>
      </c>
    </row>
    <row r="439" spans="1:7" x14ac:dyDescent="0.25">
      <c r="A439" s="69">
        <v>46146</v>
      </c>
      <c r="B439" t="s">
        <v>555</v>
      </c>
      <c r="C439" t="s">
        <v>560</v>
      </c>
      <c r="D439" t="s">
        <v>285</v>
      </c>
      <c r="E439" s="70">
        <v>1908000</v>
      </c>
    </row>
    <row r="440" spans="1:7" x14ac:dyDescent="0.25">
      <c r="A440" s="69">
        <v>46146</v>
      </c>
      <c r="B440" t="s">
        <v>159</v>
      </c>
      <c r="C440" t="s">
        <v>561</v>
      </c>
      <c r="D440" t="s">
        <v>301</v>
      </c>
      <c r="E440" s="70">
        <v>1675458</v>
      </c>
    </row>
    <row r="441" spans="1:7" x14ac:dyDescent="0.25">
      <c r="A441" s="69">
        <v>46146</v>
      </c>
      <c r="B441" t="s">
        <v>159</v>
      </c>
      <c r="C441" t="s">
        <v>562</v>
      </c>
      <c r="D441" t="s">
        <v>285</v>
      </c>
      <c r="E441" s="70">
        <v>1443532</v>
      </c>
    </row>
    <row r="442" spans="1:7" x14ac:dyDescent="0.25">
      <c r="A442" s="69">
        <v>46146</v>
      </c>
      <c r="B442" t="s">
        <v>555</v>
      </c>
      <c r="C442" t="s">
        <v>560</v>
      </c>
      <c r="D442" t="s">
        <v>277</v>
      </c>
      <c r="E442" s="70">
        <v>1908000</v>
      </c>
    </row>
    <row r="443" spans="1:7" x14ac:dyDescent="0.25">
      <c r="A443" s="69">
        <v>46146</v>
      </c>
      <c r="B443" t="s">
        <v>191</v>
      </c>
      <c r="C443" t="s">
        <v>563</v>
      </c>
      <c r="D443" t="s">
        <v>282</v>
      </c>
      <c r="F443" s="70">
        <v>31</v>
      </c>
      <c r="G443" s="70">
        <v>752</v>
      </c>
    </row>
    <row r="444" spans="1:7" x14ac:dyDescent="0.25">
      <c r="A444" s="69">
        <v>46146</v>
      </c>
      <c r="B444" t="s">
        <v>262</v>
      </c>
      <c r="C444" t="s">
        <v>564</v>
      </c>
      <c r="D444" t="s">
        <v>282</v>
      </c>
      <c r="F444" s="70">
        <v>11</v>
      </c>
      <c r="G444" s="70">
        <v>260</v>
      </c>
    </row>
    <row r="445" spans="1:7" x14ac:dyDescent="0.25">
      <c r="A445" s="69">
        <v>46146</v>
      </c>
      <c r="B445" t="s">
        <v>204</v>
      </c>
      <c r="C445" t="s">
        <v>565</v>
      </c>
      <c r="D445" t="s">
        <v>282</v>
      </c>
      <c r="F445" s="70">
        <v>3</v>
      </c>
      <c r="G445" s="70">
        <v>66</v>
      </c>
    </row>
    <row r="446" spans="1:7" x14ac:dyDescent="0.25">
      <c r="A446" s="69">
        <v>46146</v>
      </c>
      <c r="B446" t="s">
        <v>162</v>
      </c>
      <c r="C446" t="s">
        <v>566</v>
      </c>
      <c r="D446" t="s">
        <v>282</v>
      </c>
      <c r="F446" s="70">
        <v>7</v>
      </c>
      <c r="G446" s="70">
        <v>170</v>
      </c>
    </row>
    <row r="447" spans="1:7" x14ac:dyDescent="0.25">
      <c r="A447" s="69">
        <v>46146</v>
      </c>
      <c r="B447" t="s">
        <v>250</v>
      </c>
      <c r="C447" t="s">
        <v>567</v>
      </c>
      <c r="D447" t="s">
        <v>285</v>
      </c>
      <c r="E447" s="70">
        <v>299796</v>
      </c>
    </row>
    <row r="448" spans="1:7" x14ac:dyDescent="0.25">
      <c r="A448" s="69">
        <v>46146</v>
      </c>
      <c r="B448" t="s">
        <v>245</v>
      </c>
      <c r="C448" t="s">
        <v>568</v>
      </c>
      <c r="D448" t="s">
        <v>286</v>
      </c>
      <c r="E448" s="70">
        <v>1067</v>
      </c>
    </row>
    <row r="449" spans="1:7" x14ac:dyDescent="0.25">
      <c r="A449" s="69">
        <v>46146</v>
      </c>
      <c r="B449" t="s">
        <v>205</v>
      </c>
      <c r="C449" t="s">
        <v>569</v>
      </c>
      <c r="D449" t="s">
        <v>286</v>
      </c>
      <c r="E449" s="70">
        <v>5727</v>
      </c>
    </row>
    <row r="450" spans="1:7" x14ac:dyDescent="0.25">
      <c r="A450" s="69">
        <v>46146</v>
      </c>
      <c r="B450" t="s">
        <v>212</v>
      </c>
      <c r="C450" t="s">
        <v>570</v>
      </c>
      <c r="D450" t="s">
        <v>286</v>
      </c>
      <c r="E450" s="70">
        <v>966</v>
      </c>
    </row>
    <row r="451" spans="1:7" x14ac:dyDescent="0.25">
      <c r="A451" s="69">
        <v>46146</v>
      </c>
      <c r="B451" t="s">
        <v>152</v>
      </c>
      <c r="C451" t="s">
        <v>571</v>
      </c>
      <c r="D451" t="s">
        <v>286</v>
      </c>
      <c r="E451" s="70">
        <v>11253</v>
      </c>
    </row>
    <row r="452" spans="1:7" x14ac:dyDescent="0.25">
      <c r="A452" s="69">
        <v>46146</v>
      </c>
      <c r="B452" t="s">
        <v>166</v>
      </c>
      <c r="C452" t="s">
        <v>572</v>
      </c>
      <c r="D452" t="s">
        <v>282</v>
      </c>
      <c r="F452" s="70">
        <v>4</v>
      </c>
      <c r="G452" s="70">
        <v>96</v>
      </c>
    </row>
    <row r="453" spans="1:7" x14ac:dyDescent="0.25">
      <c r="A453" s="69">
        <v>46146</v>
      </c>
      <c r="B453" t="s">
        <v>201</v>
      </c>
      <c r="C453" t="s">
        <v>573</v>
      </c>
      <c r="D453" t="s">
        <v>286</v>
      </c>
      <c r="E453" s="70">
        <v>3753</v>
      </c>
    </row>
    <row r="454" spans="1:7" x14ac:dyDescent="0.25">
      <c r="A454" s="69">
        <v>46146</v>
      </c>
      <c r="B454" t="s">
        <v>245</v>
      </c>
      <c r="C454" t="s">
        <v>574</v>
      </c>
      <c r="D454" t="s">
        <v>286</v>
      </c>
      <c r="E454" s="70">
        <v>965</v>
      </c>
    </row>
    <row r="455" spans="1:7" x14ac:dyDescent="0.25">
      <c r="A455" s="69">
        <v>46146</v>
      </c>
      <c r="B455" t="s">
        <v>222</v>
      </c>
      <c r="C455" t="s">
        <v>575</v>
      </c>
      <c r="D455" t="s">
        <v>286</v>
      </c>
      <c r="E455" s="70">
        <v>5734</v>
      </c>
    </row>
    <row r="456" spans="1:7" x14ac:dyDescent="0.25">
      <c r="A456" s="69">
        <v>46146</v>
      </c>
      <c r="B456" t="s">
        <v>163</v>
      </c>
      <c r="C456" t="s">
        <v>576</v>
      </c>
      <c r="D456" t="s">
        <v>301</v>
      </c>
      <c r="E456" s="70">
        <v>922742</v>
      </c>
    </row>
    <row r="457" spans="1:7" x14ac:dyDescent="0.25">
      <c r="A457" s="69">
        <v>46146</v>
      </c>
      <c r="B457" t="s">
        <v>222</v>
      </c>
      <c r="C457" t="s">
        <v>577</v>
      </c>
      <c r="D457" t="s">
        <v>282</v>
      </c>
      <c r="F457" s="70">
        <v>12</v>
      </c>
      <c r="G457" s="70">
        <v>279</v>
      </c>
    </row>
    <row r="458" spans="1:7" x14ac:dyDescent="0.25">
      <c r="A458" s="69">
        <v>46146</v>
      </c>
      <c r="B458" t="s">
        <v>163</v>
      </c>
      <c r="C458" t="s">
        <v>578</v>
      </c>
      <c r="D458" t="s">
        <v>285</v>
      </c>
      <c r="E458" s="70">
        <v>1729321</v>
      </c>
    </row>
    <row r="459" spans="1:7" x14ac:dyDescent="0.25">
      <c r="A459" s="69">
        <v>46146</v>
      </c>
      <c r="B459" t="s">
        <v>242</v>
      </c>
      <c r="C459" t="s">
        <v>579</v>
      </c>
      <c r="D459" t="s">
        <v>282</v>
      </c>
      <c r="F459" s="70">
        <v>20</v>
      </c>
      <c r="G459" s="70">
        <v>483</v>
      </c>
    </row>
    <row r="460" spans="1:7" x14ac:dyDescent="0.25">
      <c r="A460" s="69">
        <v>46146</v>
      </c>
      <c r="B460" t="s">
        <v>194</v>
      </c>
      <c r="C460" t="s">
        <v>580</v>
      </c>
      <c r="D460" t="s">
        <v>282</v>
      </c>
      <c r="F460" s="70">
        <v>7</v>
      </c>
      <c r="G460" s="70">
        <v>179</v>
      </c>
    </row>
    <row r="461" spans="1:7" x14ac:dyDescent="0.25">
      <c r="A461" s="69">
        <v>46146</v>
      </c>
      <c r="B461" t="s">
        <v>222</v>
      </c>
      <c r="C461" t="s">
        <v>575</v>
      </c>
      <c r="D461" t="s">
        <v>285</v>
      </c>
      <c r="E461" s="70">
        <v>5734</v>
      </c>
    </row>
    <row r="462" spans="1:7" x14ac:dyDescent="0.25">
      <c r="A462" s="69">
        <v>46146</v>
      </c>
      <c r="B462" t="s">
        <v>163</v>
      </c>
      <c r="C462" t="s">
        <v>578</v>
      </c>
      <c r="D462" t="s">
        <v>279</v>
      </c>
      <c r="E462" s="70">
        <v>1729321</v>
      </c>
    </row>
    <row r="463" spans="1:7" x14ac:dyDescent="0.25">
      <c r="A463" s="69">
        <v>46146</v>
      </c>
      <c r="B463" t="s">
        <v>152</v>
      </c>
      <c r="C463" t="s">
        <v>581</v>
      </c>
      <c r="D463" t="s">
        <v>282</v>
      </c>
      <c r="F463" s="70">
        <v>5</v>
      </c>
      <c r="G463" s="70">
        <v>116</v>
      </c>
    </row>
    <row r="464" spans="1:7" x14ac:dyDescent="0.25">
      <c r="A464" s="69">
        <v>46146</v>
      </c>
      <c r="B464" t="s">
        <v>152</v>
      </c>
      <c r="C464" t="s">
        <v>582</v>
      </c>
      <c r="D464" t="s">
        <v>285</v>
      </c>
      <c r="E464" s="70">
        <v>4585733</v>
      </c>
    </row>
    <row r="465" spans="1:5" x14ac:dyDescent="0.25">
      <c r="A465" s="69">
        <v>46146</v>
      </c>
      <c r="B465" t="s">
        <v>168</v>
      </c>
      <c r="C465" t="s">
        <v>583</v>
      </c>
      <c r="D465" t="s">
        <v>285</v>
      </c>
      <c r="E465" s="70">
        <v>126761</v>
      </c>
    </row>
    <row r="466" spans="1:5" x14ac:dyDescent="0.25">
      <c r="A466" s="69">
        <v>46146</v>
      </c>
      <c r="B466" t="s">
        <v>168</v>
      </c>
      <c r="C466" t="s">
        <v>584</v>
      </c>
      <c r="D466" t="s">
        <v>285</v>
      </c>
      <c r="E466" s="70">
        <v>506112</v>
      </c>
    </row>
    <row r="467" spans="1:5" x14ac:dyDescent="0.25">
      <c r="A467" s="69">
        <v>46146</v>
      </c>
      <c r="B467" t="s">
        <v>168</v>
      </c>
      <c r="C467" t="s">
        <v>585</v>
      </c>
      <c r="D467" t="s">
        <v>286</v>
      </c>
      <c r="E467" s="70">
        <v>252860</v>
      </c>
    </row>
    <row r="468" spans="1:5" x14ac:dyDescent="0.25">
      <c r="A468" s="69">
        <v>46146</v>
      </c>
      <c r="B468" t="s">
        <v>168</v>
      </c>
      <c r="C468" t="s">
        <v>584</v>
      </c>
      <c r="D468" t="s">
        <v>277</v>
      </c>
      <c r="E468" s="70">
        <v>506112</v>
      </c>
    </row>
    <row r="469" spans="1:5" x14ac:dyDescent="0.25">
      <c r="A469" s="69">
        <v>46146</v>
      </c>
      <c r="B469" t="s">
        <v>168</v>
      </c>
      <c r="C469" t="s">
        <v>586</v>
      </c>
      <c r="D469" t="s">
        <v>301</v>
      </c>
      <c r="E469" s="70">
        <v>134902</v>
      </c>
    </row>
    <row r="470" spans="1:5" x14ac:dyDescent="0.25">
      <c r="A470" s="69">
        <v>46146</v>
      </c>
      <c r="B470" t="s">
        <v>168</v>
      </c>
      <c r="C470" t="s">
        <v>587</v>
      </c>
      <c r="D470" t="s">
        <v>285</v>
      </c>
      <c r="E470" s="70">
        <v>467837</v>
      </c>
    </row>
    <row r="471" spans="1:5" x14ac:dyDescent="0.25">
      <c r="A471" s="69">
        <v>46146</v>
      </c>
      <c r="B471" t="s">
        <v>231</v>
      </c>
      <c r="C471" t="s">
        <v>588</v>
      </c>
      <c r="D471" t="s">
        <v>285</v>
      </c>
      <c r="E471" s="70">
        <v>2071221</v>
      </c>
    </row>
    <row r="472" spans="1:5" x14ac:dyDescent="0.25">
      <c r="A472" s="69">
        <v>46146</v>
      </c>
      <c r="B472" t="s">
        <v>231</v>
      </c>
      <c r="C472" t="s">
        <v>589</v>
      </c>
      <c r="D472" t="s">
        <v>279</v>
      </c>
      <c r="E472" s="70">
        <v>2198748</v>
      </c>
    </row>
    <row r="473" spans="1:5" x14ac:dyDescent="0.25">
      <c r="A473" s="69">
        <v>46146</v>
      </c>
      <c r="B473" t="s">
        <v>168</v>
      </c>
      <c r="C473" t="s">
        <v>585</v>
      </c>
      <c r="D473" t="s">
        <v>279</v>
      </c>
      <c r="E473" s="70">
        <v>252860</v>
      </c>
    </row>
    <row r="474" spans="1:5" x14ac:dyDescent="0.25">
      <c r="A474" s="69">
        <v>46146</v>
      </c>
      <c r="B474" t="s">
        <v>168</v>
      </c>
      <c r="C474" t="s">
        <v>587</v>
      </c>
      <c r="D474" t="s">
        <v>286</v>
      </c>
      <c r="E474" s="70">
        <v>467837</v>
      </c>
    </row>
    <row r="475" spans="1:5" x14ac:dyDescent="0.25">
      <c r="A475" s="69">
        <v>46146</v>
      </c>
      <c r="B475" t="s">
        <v>231</v>
      </c>
      <c r="C475" t="s">
        <v>589</v>
      </c>
      <c r="D475" t="s">
        <v>285</v>
      </c>
      <c r="E475" s="70">
        <v>2198748</v>
      </c>
    </row>
    <row r="476" spans="1:5" x14ac:dyDescent="0.25">
      <c r="A476" s="69">
        <v>46146</v>
      </c>
      <c r="B476" t="s">
        <v>202</v>
      </c>
      <c r="C476" t="s">
        <v>547</v>
      </c>
      <c r="D476" t="s">
        <v>286</v>
      </c>
      <c r="E476" s="70">
        <v>750000</v>
      </c>
    </row>
    <row r="477" spans="1:5" x14ac:dyDescent="0.25">
      <c r="A477" s="69">
        <v>46146</v>
      </c>
      <c r="B477" t="s">
        <v>179</v>
      </c>
      <c r="C477" t="s">
        <v>590</v>
      </c>
      <c r="D477" t="s">
        <v>286</v>
      </c>
      <c r="E477" s="70">
        <v>17000</v>
      </c>
    </row>
    <row r="478" spans="1:5" x14ac:dyDescent="0.25">
      <c r="A478" s="69">
        <v>46146</v>
      </c>
      <c r="B478" t="s">
        <v>245</v>
      </c>
      <c r="C478" t="s">
        <v>590</v>
      </c>
      <c r="D478" t="s">
        <v>286</v>
      </c>
      <c r="E478" s="70">
        <v>17000</v>
      </c>
    </row>
    <row r="479" spans="1:5" x14ac:dyDescent="0.25">
      <c r="A479" s="69">
        <v>46146</v>
      </c>
      <c r="B479" t="s">
        <v>163</v>
      </c>
      <c r="C479" t="s">
        <v>590</v>
      </c>
      <c r="D479" t="s">
        <v>286</v>
      </c>
      <c r="E479" s="70">
        <v>17000</v>
      </c>
    </row>
    <row r="480" spans="1:5" x14ac:dyDescent="0.25">
      <c r="A480" s="69">
        <v>46146</v>
      </c>
      <c r="B480" t="s">
        <v>234</v>
      </c>
      <c r="C480" t="s">
        <v>591</v>
      </c>
      <c r="D480" t="s">
        <v>286</v>
      </c>
      <c r="E480" s="70">
        <v>2800</v>
      </c>
    </row>
    <row r="481" spans="1:5" x14ac:dyDescent="0.25">
      <c r="A481" s="69">
        <v>46146</v>
      </c>
      <c r="B481" t="s">
        <v>156</v>
      </c>
      <c r="C481" t="s">
        <v>590</v>
      </c>
      <c r="D481" t="s">
        <v>286</v>
      </c>
      <c r="E481" s="70">
        <v>17000</v>
      </c>
    </row>
    <row r="482" spans="1:5" x14ac:dyDescent="0.25">
      <c r="A482" s="69">
        <v>46146</v>
      </c>
      <c r="B482" t="s">
        <v>157</v>
      </c>
      <c r="C482" t="s">
        <v>592</v>
      </c>
      <c r="D482" t="s">
        <v>301</v>
      </c>
      <c r="E482" s="70">
        <v>246576</v>
      </c>
    </row>
    <row r="483" spans="1:5" x14ac:dyDescent="0.25">
      <c r="A483" s="69">
        <v>46146</v>
      </c>
      <c r="B483" t="s">
        <v>231</v>
      </c>
      <c r="C483" t="s">
        <v>593</v>
      </c>
      <c r="D483" t="s">
        <v>285</v>
      </c>
      <c r="E483" s="70">
        <v>2387256</v>
      </c>
    </row>
    <row r="484" spans="1:5" x14ac:dyDescent="0.25">
      <c r="A484" s="69">
        <v>46146</v>
      </c>
      <c r="B484" t="s">
        <v>231</v>
      </c>
      <c r="C484" t="s">
        <v>594</v>
      </c>
      <c r="D484" t="s">
        <v>286</v>
      </c>
      <c r="E484" s="70">
        <v>2014538</v>
      </c>
    </row>
    <row r="485" spans="1:5" x14ac:dyDescent="0.25">
      <c r="A485" s="69">
        <v>46146</v>
      </c>
      <c r="B485" t="s">
        <v>157</v>
      </c>
      <c r="C485" t="s">
        <v>592</v>
      </c>
      <c r="D485" t="s">
        <v>285</v>
      </c>
      <c r="E485" s="70">
        <v>246576</v>
      </c>
    </row>
    <row r="486" spans="1:5" x14ac:dyDescent="0.25">
      <c r="A486" s="69">
        <v>46146</v>
      </c>
      <c r="B486" t="s">
        <v>157</v>
      </c>
      <c r="C486" t="s">
        <v>595</v>
      </c>
      <c r="D486" t="s">
        <v>277</v>
      </c>
      <c r="E486" s="70">
        <v>62452</v>
      </c>
    </row>
    <row r="487" spans="1:5" x14ac:dyDescent="0.25">
      <c r="A487" s="69">
        <v>46146</v>
      </c>
      <c r="B487" t="s">
        <v>157</v>
      </c>
      <c r="C487" t="s">
        <v>596</v>
      </c>
      <c r="D487" t="s">
        <v>285</v>
      </c>
      <c r="E487" s="70">
        <v>269564</v>
      </c>
    </row>
    <row r="488" spans="1:5" x14ac:dyDescent="0.25">
      <c r="A488" s="69">
        <v>46146</v>
      </c>
      <c r="B488" t="s">
        <v>202</v>
      </c>
      <c r="C488" t="s">
        <v>597</v>
      </c>
      <c r="D488" t="s">
        <v>286</v>
      </c>
      <c r="E488" s="70">
        <v>81152</v>
      </c>
    </row>
    <row r="489" spans="1:5" x14ac:dyDescent="0.25">
      <c r="A489" s="69">
        <v>46146</v>
      </c>
      <c r="B489" t="s">
        <v>165</v>
      </c>
      <c r="C489" t="s">
        <v>313</v>
      </c>
      <c r="D489" t="s">
        <v>301</v>
      </c>
      <c r="E489" s="70">
        <v>100000</v>
      </c>
    </row>
    <row r="490" spans="1:5" x14ac:dyDescent="0.25">
      <c r="A490" s="69">
        <v>46146</v>
      </c>
      <c r="B490" t="s">
        <v>165</v>
      </c>
      <c r="C490" t="s">
        <v>313</v>
      </c>
      <c r="D490" t="s">
        <v>285</v>
      </c>
      <c r="E490" s="70">
        <v>100000</v>
      </c>
    </row>
    <row r="491" spans="1:5" x14ac:dyDescent="0.25">
      <c r="A491" s="69">
        <v>46146</v>
      </c>
      <c r="B491" t="s">
        <v>157</v>
      </c>
      <c r="C491" t="s">
        <v>595</v>
      </c>
      <c r="D491" t="s">
        <v>285</v>
      </c>
      <c r="E491" s="70">
        <v>62452</v>
      </c>
    </row>
    <row r="492" spans="1:5" x14ac:dyDescent="0.25">
      <c r="A492" s="69">
        <v>46146</v>
      </c>
      <c r="B492" t="s">
        <v>157</v>
      </c>
      <c r="C492" t="s">
        <v>596</v>
      </c>
      <c r="D492" t="s">
        <v>286</v>
      </c>
      <c r="E492" s="70">
        <v>269564</v>
      </c>
    </row>
    <row r="493" spans="1:5" x14ac:dyDescent="0.25">
      <c r="A493" s="69">
        <v>46146</v>
      </c>
      <c r="B493" t="s">
        <v>165</v>
      </c>
      <c r="C493" t="s">
        <v>313</v>
      </c>
      <c r="D493" t="s">
        <v>286</v>
      </c>
      <c r="E493" s="70">
        <v>100000</v>
      </c>
    </row>
    <row r="494" spans="1:5" x14ac:dyDescent="0.25">
      <c r="A494" s="69">
        <v>46146</v>
      </c>
      <c r="B494" t="s">
        <v>598</v>
      </c>
      <c r="C494" t="s">
        <v>599</v>
      </c>
      <c r="D494" t="s">
        <v>301</v>
      </c>
      <c r="E494" s="70">
        <v>1004814</v>
      </c>
    </row>
    <row r="495" spans="1:5" x14ac:dyDescent="0.25">
      <c r="A495" s="69">
        <v>46146</v>
      </c>
      <c r="B495" t="s">
        <v>598</v>
      </c>
      <c r="C495" t="s">
        <v>600</v>
      </c>
      <c r="D495" t="s">
        <v>279</v>
      </c>
      <c r="E495" s="70">
        <v>1013864</v>
      </c>
    </row>
    <row r="496" spans="1:5" x14ac:dyDescent="0.25">
      <c r="A496" s="69">
        <v>46146</v>
      </c>
      <c r="B496" t="s">
        <v>598</v>
      </c>
      <c r="C496" t="s">
        <v>601</v>
      </c>
      <c r="D496" t="s">
        <v>286</v>
      </c>
      <c r="E496" s="70">
        <v>1023935</v>
      </c>
    </row>
    <row r="497" spans="1:7" x14ac:dyDescent="0.25">
      <c r="A497" s="69">
        <v>46146</v>
      </c>
      <c r="B497" t="s">
        <v>165</v>
      </c>
      <c r="C497" t="s">
        <v>313</v>
      </c>
      <c r="D497" t="s">
        <v>285</v>
      </c>
      <c r="E497" s="70">
        <v>100000</v>
      </c>
    </row>
    <row r="498" spans="1:7" x14ac:dyDescent="0.25">
      <c r="A498" s="69">
        <v>46146</v>
      </c>
      <c r="B498" t="s">
        <v>598</v>
      </c>
      <c r="C498" t="s">
        <v>600</v>
      </c>
      <c r="D498" t="s">
        <v>286</v>
      </c>
      <c r="E498" s="70">
        <v>1013864</v>
      </c>
    </row>
    <row r="499" spans="1:7" x14ac:dyDescent="0.25">
      <c r="A499" s="69">
        <v>46146</v>
      </c>
      <c r="B499" t="s">
        <v>598</v>
      </c>
      <c r="C499" t="s">
        <v>601</v>
      </c>
      <c r="D499" t="s">
        <v>277</v>
      </c>
      <c r="E499" s="70">
        <v>1023935</v>
      </c>
    </row>
    <row r="500" spans="1:7" x14ac:dyDescent="0.25">
      <c r="A500" s="69">
        <v>46146</v>
      </c>
      <c r="B500" t="s">
        <v>250</v>
      </c>
      <c r="C500" t="s">
        <v>602</v>
      </c>
      <c r="D500" t="s">
        <v>285</v>
      </c>
      <c r="E500" s="70">
        <v>356</v>
      </c>
    </row>
    <row r="501" spans="1:7" x14ac:dyDescent="0.25">
      <c r="A501" s="69">
        <v>46146</v>
      </c>
      <c r="B501" t="s">
        <v>603</v>
      </c>
      <c r="C501" t="s">
        <v>394</v>
      </c>
      <c r="D501" t="s">
        <v>286</v>
      </c>
      <c r="E501" s="70">
        <v>250000</v>
      </c>
    </row>
    <row r="502" spans="1:7" x14ac:dyDescent="0.25">
      <c r="A502" s="69">
        <v>46146</v>
      </c>
      <c r="B502" t="s">
        <v>604</v>
      </c>
      <c r="C502" t="s">
        <v>394</v>
      </c>
      <c r="D502" t="s">
        <v>286</v>
      </c>
      <c r="E502" s="70">
        <v>250000</v>
      </c>
    </row>
    <row r="503" spans="1:7" x14ac:dyDescent="0.25">
      <c r="A503" s="69">
        <v>46146</v>
      </c>
      <c r="B503" t="s">
        <v>598</v>
      </c>
      <c r="C503" t="s">
        <v>601</v>
      </c>
      <c r="D503" t="s">
        <v>285</v>
      </c>
      <c r="E503" s="70">
        <v>1023935</v>
      </c>
    </row>
    <row r="504" spans="1:7" x14ac:dyDescent="0.25">
      <c r="A504" s="69">
        <v>46146</v>
      </c>
      <c r="B504" t="s">
        <v>163</v>
      </c>
      <c r="C504" t="s">
        <v>605</v>
      </c>
      <c r="D504" t="s">
        <v>301</v>
      </c>
      <c r="E504" s="70">
        <v>775192</v>
      </c>
    </row>
    <row r="505" spans="1:7" x14ac:dyDescent="0.25">
      <c r="A505" s="69">
        <v>46146</v>
      </c>
      <c r="B505" t="s">
        <v>262</v>
      </c>
      <c r="C505" t="s">
        <v>606</v>
      </c>
      <c r="D505" t="s">
        <v>282</v>
      </c>
      <c r="F505" s="70">
        <v>18</v>
      </c>
      <c r="G505" s="70">
        <v>440</v>
      </c>
    </row>
    <row r="506" spans="1:7" x14ac:dyDescent="0.25">
      <c r="A506" s="69">
        <v>46146</v>
      </c>
      <c r="B506" t="s">
        <v>250</v>
      </c>
      <c r="C506" t="s">
        <v>591</v>
      </c>
      <c r="D506" t="s">
        <v>286</v>
      </c>
      <c r="E506" s="70">
        <v>2800</v>
      </c>
    </row>
    <row r="507" spans="1:7" x14ac:dyDescent="0.25">
      <c r="A507" s="69">
        <v>46146</v>
      </c>
      <c r="B507" t="s">
        <v>152</v>
      </c>
      <c r="C507" t="s">
        <v>607</v>
      </c>
      <c r="D507" t="s">
        <v>285</v>
      </c>
      <c r="E507" s="70">
        <v>4781988</v>
      </c>
    </row>
    <row r="508" spans="1:7" x14ac:dyDescent="0.25">
      <c r="A508" s="69">
        <v>46146</v>
      </c>
      <c r="B508" t="s">
        <v>152</v>
      </c>
      <c r="C508" t="s">
        <v>608</v>
      </c>
      <c r="D508" t="s">
        <v>301</v>
      </c>
      <c r="E508" s="70">
        <v>6156540</v>
      </c>
    </row>
    <row r="509" spans="1:7" x14ac:dyDescent="0.25">
      <c r="A509" s="69">
        <v>46146</v>
      </c>
      <c r="B509" t="s">
        <v>609</v>
      </c>
      <c r="C509" t="s">
        <v>394</v>
      </c>
      <c r="D509" t="s">
        <v>286</v>
      </c>
      <c r="E509" s="70">
        <v>250000</v>
      </c>
    </row>
    <row r="510" spans="1:7" x14ac:dyDescent="0.25">
      <c r="A510" s="69">
        <v>46146</v>
      </c>
      <c r="B510" t="s">
        <v>152</v>
      </c>
      <c r="C510" t="s">
        <v>610</v>
      </c>
      <c r="D510" t="s">
        <v>282</v>
      </c>
      <c r="F510" s="70">
        <v>5</v>
      </c>
      <c r="G510" s="70">
        <v>123</v>
      </c>
    </row>
    <row r="511" spans="1:7" x14ac:dyDescent="0.25">
      <c r="A511" s="69">
        <v>46146</v>
      </c>
      <c r="B511" t="s">
        <v>194</v>
      </c>
      <c r="C511" t="s">
        <v>611</v>
      </c>
      <c r="D511" t="s">
        <v>282</v>
      </c>
      <c r="F511" s="70">
        <v>30</v>
      </c>
      <c r="G511" s="70">
        <v>732</v>
      </c>
    </row>
    <row r="512" spans="1:7" x14ac:dyDescent="0.25">
      <c r="A512" s="69">
        <v>46146</v>
      </c>
      <c r="B512" t="s">
        <v>152</v>
      </c>
      <c r="C512" t="s">
        <v>608</v>
      </c>
      <c r="D512" t="s">
        <v>285</v>
      </c>
      <c r="E512" s="70">
        <v>6156540</v>
      </c>
    </row>
    <row r="513" spans="1:7" x14ac:dyDescent="0.25">
      <c r="A513" s="69">
        <v>46146</v>
      </c>
      <c r="B513" t="s">
        <v>222</v>
      </c>
      <c r="C513" t="s">
        <v>612</v>
      </c>
      <c r="D513" t="s">
        <v>282</v>
      </c>
      <c r="F513" s="70">
        <v>36</v>
      </c>
      <c r="G513" s="70">
        <v>852</v>
      </c>
    </row>
    <row r="514" spans="1:7" x14ac:dyDescent="0.25">
      <c r="A514" s="69">
        <v>46146</v>
      </c>
      <c r="B514" t="s">
        <v>231</v>
      </c>
      <c r="C514" t="s">
        <v>590</v>
      </c>
      <c r="D514" t="s">
        <v>286</v>
      </c>
      <c r="E514" s="70">
        <v>17000</v>
      </c>
    </row>
    <row r="515" spans="1:7" x14ac:dyDescent="0.25">
      <c r="A515" s="69">
        <v>46146</v>
      </c>
      <c r="B515" t="s">
        <v>613</v>
      </c>
      <c r="C515" t="s">
        <v>394</v>
      </c>
      <c r="D515" t="s">
        <v>286</v>
      </c>
      <c r="E515" s="70">
        <v>250000</v>
      </c>
    </row>
    <row r="516" spans="1:7" x14ac:dyDescent="0.25">
      <c r="A516" s="69">
        <v>46146</v>
      </c>
      <c r="B516" t="s">
        <v>168</v>
      </c>
      <c r="C516" t="s">
        <v>614</v>
      </c>
      <c r="D516" t="s">
        <v>285</v>
      </c>
      <c r="E516" s="70">
        <v>95562</v>
      </c>
    </row>
    <row r="517" spans="1:7" x14ac:dyDescent="0.25">
      <c r="A517" s="69">
        <v>46146</v>
      </c>
      <c r="B517" t="s">
        <v>168</v>
      </c>
      <c r="C517" t="s">
        <v>614</v>
      </c>
      <c r="D517" t="s">
        <v>286</v>
      </c>
      <c r="E517" s="70">
        <v>95562</v>
      </c>
    </row>
    <row r="518" spans="1:7" x14ac:dyDescent="0.25">
      <c r="A518" s="69">
        <v>46146</v>
      </c>
      <c r="B518" t="s">
        <v>168</v>
      </c>
      <c r="C518" t="s">
        <v>615</v>
      </c>
      <c r="D518" t="s">
        <v>286</v>
      </c>
      <c r="E518" s="70">
        <v>1241605</v>
      </c>
    </row>
    <row r="519" spans="1:7" x14ac:dyDescent="0.25">
      <c r="A519" s="69">
        <v>46146</v>
      </c>
      <c r="B519" t="s">
        <v>168</v>
      </c>
      <c r="C519" t="s">
        <v>616</v>
      </c>
      <c r="D519" t="s">
        <v>285</v>
      </c>
      <c r="E519" s="70">
        <v>314123</v>
      </c>
    </row>
    <row r="520" spans="1:7" x14ac:dyDescent="0.25">
      <c r="A520" s="69">
        <v>46146</v>
      </c>
      <c r="B520" t="s">
        <v>168</v>
      </c>
      <c r="C520" t="s">
        <v>617</v>
      </c>
      <c r="D520" t="s">
        <v>301</v>
      </c>
      <c r="E520" s="70">
        <v>317426</v>
      </c>
    </row>
    <row r="521" spans="1:7" x14ac:dyDescent="0.25">
      <c r="A521" s="69">
        <v>46146</v>
      </c>
      <c r="B521" t="s">
        <v>168</v>
      </c>
      <c r="C521" t="s">
        <v>618</v>
      </c>
      <c r="D521" t="s">
        <v>286</v>
      </c>
      <c r="E521" s="70">
        <v>298145</v>
      </c>
    </row>
    <row r="522" spans="1:7" x14ac:dyDescent="0.25">
      <c r="A522" s="69">
        <v>46146</v>
      </c>
      <c r="B522" t="s">
        <v>219</v>
      </c>
      <c r="C522" t="s">
        <v>619</v>
      </c>
      <c r="D522" t="s">
        <v>286</v>
      </c>
      <c r="E522" s="70">
        <v>846</v>
      </c>
    </row>
    <row r="523" spans="1:7" x14ac:dyDescent="0.25">
      <c r="A523" s="69">
        <v>46146</v>
      </c>
      <c r="B523" t="s">
        <v>219</v>
      </c>
      <c r="C523" t="s">
        <v>547</v>
      </c>
      <c r="D523" t="s">
        <v>286</v>
      </c>
      <c r="E523" s="70">
        <v>750000</v>
      </c>
    </row>
    <row r="524" spans="1:7" x14ac:dyDescent="0.25">
      <c r="A524" s="69">
        <v>46146</v>
      </c>
      <c r="B524" t="s">
        <v>168</v>
      </c>
      <c r="C524" t="s">
        <v>615</v>
      </c>
      <c r="D524" t="s">
        <v>285</v>
      </c>
      <c r="E524" s="70">
        <v>1241605</v>
      </c>
    </row>
    <row r="525" spans="1:7" x14ac:dyDescent="0.25">
      <c r="A525" s="69">
        <v>46146</v>
      </c>
      <c r="B525" t="s">
        <v>168</v>
      </c>
      <c r="C525" t="s">
        <v>618</v>
      </c>
      <c r="D525" t="s">
        <v>285</v>
      </c>
      <c r="E525" s="70">
        <v>298145</v>
      </c>
    </row>
    <row r="526" spans="1:7" x14ac:dyDescent="0.25">
      <c r="A526" s="69">
        <v>46146</v>
      </c>
      <c r="B526" t="s">
        <v>168</v>
      </c>
      <c r="C526" t="s">
        <v>617</v>
      </c>
      <c r="D526" t="s">
        <v>285</v>
      </c>
      <c r="E526" s="70">
        <v>317426</v>
      </c>
    </row>
    <row r="527" spans="1:7" x14ac:dyDescent="0.25">
      <c r="A527" s="69">
        <v>46146</v>
      </c>
      <c r="B527" t="s">
        <v>164</v>
      </c>
      <c r="C527" t="s">
        <v>300</v>
      </c>
      <c r="D527" t="s">
        <v>301</v>
      </c>
      <c r="E527" s="70">
        <v>1890000</v>
      </c>
    </row>
    <row r="528" spans="1:7" x14ac:dyDescent="0.25">
      <c r="A528" s="69">
        <v>46146</v>
      </c>
      <c r="B528" t="s">
        <v>164</v>
      </c>
      <c r="C528" t="s">
        <v>620</v>
      </c>
      <c r="D528" t="s">
        <v>285</v>
      </c>
      <c r="E528" s="70">
        <v>2019538</v>
      </c>
    </row>
    <row r="529" spans="1:5" x14ac:dyDescent="0.25">
      <c r="A529" s="69">
        <v>46146</v>
      </c>
      <c r="B529" t="s">
        <v>621</v>
      </c>
      <c r="C529" t="s">
        <v>394</v>
      </c>
      <c r="D529" t="s">
        <v>286</v>
      </c>
      <c r="E529" s="70">
        <v>250000</v>
      </c>
    </row>
    <row r="530" spans="1:5" x14ac:dyDescent="0.25">
      <c r="A530" s="69">
        <v>46146</v>
      </c>
      <c r="B530" t="s">
        <v>622</v>
      </c>
      <c r="C530" t="s">
        <v>394</v>
      </c>
      <c r="D530" t="s">
        <v>286</v>
      </c>
      <c r="E530" s="70">
        <v>250000</v>
      </c>
    </row>
    <row r="531" spans="1:5" x14ac:dyDescent="0.25">
      <c r="A531" s="69">
        <v>46146</v>
      </c>
      <c r="B531" t="s">
        <v>238</v>
      </c>
      <c r="C531" t="s">
        <v>623</v>
      </c>
      <c r="D531" t="s">
        <v>285</v>
      </c>
      <c r="E531" s="70">
        <v>10000</v>
      </c>
    </row>
    <row r="532" spans="1:5" x14ac:dyDescent="0.25">
      <c r="A532" s="69">
        <v>46146</v>
      </c>
      <c r="B532" t="s">
        <v>168</v>
      </c>
      <c r="C532" t="s">
        <v>394</v>
      </c>
      <c r="D532" t="s">
        <v>285</v>
      </c>
      <c r="E532" s="70">
        <v>250000</v>
      </c>
    </row>
    <row r="533" spans="1:5" x14ac:dyDescent="0.25">
      <c r="A533" s="69">
        <v>46146</v>
      </c>
      <c r="B533" t="s">
        <v>238</v>
      </c>
      <c r="C533" t="s">
        <v>623</v>
      </c>
      <c r="D533" t="s">
        <v>349</v>
      </c>
      <c r="E533" s="70">
        <v>10000</v>
      </c>
    </row>
    <row r="534" spans="1:5" x14ac:dyDescent="0.25">
      <c r="A534" s="69">
        <v>46146</v>
      </c>
      <c r="B534" t="s">
        <v>229</v>
      </c>
      <c r="C534" t="s">
        <v>624</v>
      </c>
      <c r="D534" t="s">
        <v>344</v>
      </c>
      <c r="E534" s="70">
        <v>15000</v>
      </c>
    </row>
    <row r="535" spans="1:5" x14ac:dyDescent="0.25">
      <c r="A535" s="69">
        <v>46146</v>
      </c>
      <c r="B535" t="s">
        <v>219</v>
      </c>
      <c r="C535" t="s">
        <v>625</v>
      </c>
      <c r="D535" t="s">
        <v>286</v>
      </c>
      <c r="E535" s="70">
        <v>500000</v>
      </c>
    </row>
    <row r="536" spans="1:5" x14ac:dyDescent="0.25">
      <c r="A536" s="69">
        <v>46146</v>
      </c>
      <c r="B536" t="s">
        <v>180</v>
      </c>
      <c r="C536" t="s">
        <v>623</v>
      </c>
      <c r="D536" t="s">
        <v>349</v>
      </c>
      <c r="E536" s="70">
        <v>10000</v>
      </c>
    </row>
    <row r="537" spans="1:5" x14ac:dyDescent="0.25">
      <c r="A537" s="69">
        <v>46146</v>
      </c>
      <c r="B537" t="s">
        <v>161</v>
      </c>
      <c r="C537" t="s">
        <v>623</v>
      </c>
      <c r="D537" t="s">
        <v>344</v>
      </c>
      <c r="E537" s="70">
        <v>10000</v>
      </c>
    </row>
    <row r="538" spans="1:5" x14ac:dyDescent="0.25">
      <c r="A538" s="69">
        <v>46146</v>
      </c>
      <c r="B538" t="s">
        <v>604</v>
      </c>
      <c r="C538" t="s">
        <v>626</v>
      </c>
      <c r="D538" t="s">
        <v>349</v>
      </c>
      <c r="E538" s="70">
        <v>25000</v>
      </c>
    </row>
    <row r="539" spans="1:5" x14ac:dyDescent="0.25">
      <c r="A539" s="69">
        <v>46146</v>
      </c>
      <c r="B539" t="s">
        <v>238</v>
      </c>
      <c r="C539" t="s">
        <v>623</v>
      </c>
      <c r="D539" t="s">
        <v>344</v>
      </c>
      <c r="E539" s="70">
        <v>10000</v>
      </c>
    </row>
    <row r="540" spans="1:5" x14ac:dyDescent="0.25">
      <c r="A540" s="69">
        <v>46146</v>
      </c>
      <c r="B540" t="s">
        <v>161</v>
      </c>
      <c r="C540" t="s">
        <v>623</v>
      </c>
      <c r="D540" t="s">
        <v>349</v>
      </c>
      <c r="E540" s="70">
        <v>10000</v>
      </c>
    </row>
    <row r="541" spans="1:5" x14ac:dyDescent="0.25">
      <c r="A541" s="69">
        <v>46146</v>
      </c>
      <c r="B541" t="s">
        <v>201</v>
      </c>
      <c r="C541" t="s">
        <v>625</v>
      </c>
      <c r="D541" t="s">
        <v>286</v>
      </c>
      <c r="E541" s="70">
        <v>500000</v>
      </c>
    </row>
    <row r="542" spans="1:5" x14ac:dyDescent="0.25">
      <c r="A542" s="69">
        <v>46146</v>
      </c>
      <c r="B542" t="s">
        <v>603</v>
      </c>
      <c r="C542" t="s">
        <v>623</v>
      </c>
      <c r="D542" t="s">
        <v>349</v>
      </c>
      <c r="E542" s="70">
        <v>10000</v>
      </c>
    </row>
    <row r="543" spans="1:5" x14ac:dyDescent="0.25">
      <c r="A543" s="69">
        <v>46146</v>
      </c>
      <c r="B543" t="s">
        <v>202</v>
      </c>
      <c r="C543" t="s">
        <v>627</v>
      </c>
      <c r="D543" t="s">
        <v>286</v>
      </c>
      <c r="E543" s="70">
        <v>108605</v>
      </c>
    </row>
    <row r="544" spans="1:5" x14ac:dyDescent="0.25">
      <c r="A544" s="69">
        <v>46146</v>
      </c>
      <c r="B544" t="s">
        <v>162</v>
      </c>
      <c r="C544" t="s">
        <v>623</v>
      </c>
      <c r="D544" t="s">
        <v>285</v>
      </c>
      <c r="E544" s="70">
        <v>10000</v>
      </c>
    </row>
    <row r="545" spans="1:5" x14ac:dyDescent="0.25">
      <c r="A545" s="69">
        <v>46146</v>
      </c>
      <c r="B545" t="s">
        <v>204</v>
      </c>
      <c r="C545" t="s">
        <v>623</v>
      </c>
      <c r="D545" t="s">
        <v>286</v>
      </c>
      <c r="E545" s="70">
        <v>10000</v>
      </c>
    </row>
    <row r="546" spans="1:5" x14ac:dyDescent="0.25">
      <c r="A546" s="69">
        <v>46146</v>
      </c>
      <c r="B546" t="s">
        <v>603</v>
      </c>
      <c r="C546" t="s">
        <v>623</v>
      </c>
      <c r="D546" t="s">
        <v>344</v>
      </c>
      <c r="E546" s="70">
        <v>10000</v>
      </c>
    </row>
    <row r="547" spans="1:5" x14ac:dyDescent="0.25">
      <c r="A547" s="69">
        <v>46146</v>
      </c>
      <c r="B547" t="s">
        <v>162</v>
      </c>
      <c r="C547" t="s">
        <v>623</v>
      </c>
      <c r="D547" t="s">
        <v>349</v>
      </c>
      <c r="E547" s="70">
        <v>10000</v>
      </c>
    </row>
    <row r="548" spans="1:5" x14ac:dyDescent="0.25">
      <c r="A548" s="69">
        <v>46146</v>
      </c>
      <c r="B548" t="s">
        <v>204</v>
      </c>
      <c r="C548" t="s">
        <v>623</v>
      </c>
      <c r="D548" t="s">
        <v>349</v>
      </c>
      <c r="E548" s="70">
        <v>10000</v>
      </c>
    </row>
    <row r="549" spans="1:5" x14ac:dyDescent="0.25">
      <c r="A549" s="69">
        <v>46146</v>
      </c>
      <c r="B549" t="s">
        <v>622</v>
      </c>
      <c r="C549" t="s">
        <v>628</v>
      </c>
      <c r="D549" t="s">
        <v>344</v>
      </c>
      <c r="E549" s="70">
        <v>20000</v>
      </c>
    </row>
    <row r="550" spans="1:5" x14ac:dyDescent="0.25">
      <c r="A550" s="69">
        <v>46146</v>
      </c>
      <c r="B550" t="s">
        <v>609</v>
      </c>
      <c r="C550" t="s">
        <v>628</v>
      </c>
      <c r="D550" t="s">
        <v>344</v>
      </c>
      <c r="E550" s="70">
        <v>20000</v>
      </c>
    </row>
    <row r="551" spans="1:5" x14ac:dyDescent="0.25">
      <c r="A551" s="69">
        <v>46146</v>
      </c>
      <c r="B551" t="s">
        <v>152</v>
      </c>
      <c r="C551" t="s">
        <v>624</v>
      </c>
      <c r="D551" t="s">
        <v>349</v>
      </c>
      <c r="E551" s="70">
        <v>15000</v>
      </c>
    </row>
    <row r="552" spans="1:5" x14ac:dyDescent="0.25">
      <c r="A552" s="69">
        <v>46146</v>
      </c>
      <c r="B552" t="s">
        <v>180</v>
      </c>
      <c r="C552" t="s">
        <v>629</v>
      </c>
      <c r="D552" t="s">
        <v>279</v>
      </c>
      <c r="E552" s="70">
        <v>4444113</v>
      </c>
    </row>
    <row r="553" spans="1:5" x14ac:dyDescent="0.25">
      <c r="A553" s="69">
        <v>46146</v>
      </c>
      <c r="B553" t="s">
        <v>162</v>
      </c>
      <c r="C553" t="s">
        <v>623</v>
      </c>
      <c r="D553" t="s">
        <v>344</v>
      </c>
      <c r="E553" s="70">
        <v>10000</v>
      </c>
    </row>
    <row r="554" spans="1:5" x14ac:dyDescent="0.25">
      <c r="A554" s="69">
        <v>46146</v>
      </c>
      <c r="B554" t="s">
        <v>204</v>
      </c>
      <c r="C554" t="s">
        <v>623</v>
      </c>
      <c r="D554" t="s">
        <v>344</v>
      </c>
      <c r="E554" s="70">
        <v>10000</v>
      </c>
    </row>
    <row r="555" spans="1:5" x14ac:dyDescent="0.25">
      <c r="A555" s="69">
        <v>46146</v>
      </c>
      <c r="B555" t="s">
        <v>609</v>
      </c>
      <c r="C555" t="s">
        <v>628</v>
      </c>
      <c r="D555" t="s">
        <v>349</v>
      </c>
      <c r="E555" s="70">
        <v>20000</v>
      </c>
    </row>
    <row r="556" spans="1:5" x14ac:dyDescent="0.25">
      <c r="A556" s="69">
        <v>46146</v>
      </c>
      <c r="B556" t="s">
        <v>180</v>
      </c>
      <c r="C556" t="s">
        <v>629</v>
      </c>
      <c r="D556" t="s">
        <v>286</v>
      </c>
      <c r="E556" s="70">
        <v>4444113</v>
      </c>
    </row>
    <row r="557" spans="1:5" x14ac:dyDescent="0.25">
      <c r="A557" s="69">
        <v>46146</v>
      </c>
      <c r="B557" t="s">
        <v>219</v>
      </c>
      <c r="C557" t="s">
        <v>630</v>
      </c>
      <c r="D557" t="s">
        <v>286</v>
      </c>
      <c r="E557" s="70">
        <v>132</v>
      </c>
    </row>
    <row r="558" spans="1:5" x14ac:dyDescent="0.25">
      <c r="A558" s="69">
        <v>46146</v>
      </c>
      <c r="B558" t="s">
        <v>155</v>
      </c>
      <c r="C558" t="s">
        <v>631</v>
      </c>
      <c r="D558" t="s">
        <v>286</v>
      </c>
      <c r="E558" s="70">
        <v>1839410</v>
      </c>
    </row>
    <row r="559" spans="1:5" x14ac:dyDescent="0.25">
      <c r="A559" s="69">
        <v>46146</v>
      </c>
      <c r="B559" t="s">
        <v>222</v>
      </c>
      <c r="C559" t="s">
        <v>632</v>
      </c>
      <c r="D559" t="s">
        <v>286</v>
      </c>
      <c r="E559" s="70">
        <v>190000</v>
      </c>
    </row>
    <row r="560" spans="1:5" x14ac:dyDescent="0.25">
      <c r="A560" s="69">
        <v>46146</v>
      </c>
      <c r="B560" t="s">
        <v>194</v>
      </c>
      <c r="C560" t="s">
        <v>590</v>
      </c>
      <c r="D560" t="s">
        <v>286</v>
      </c>
      <c r="E560" s="70">
        <v>17000</v>
      </c>
    </row>
    <row r="561" spans="1:7" x14ac:dyDescent="0.25">
      <c r="A561" s="69">
        <v>46146</v>
      </c>
      <c r="B561" t="s">
        <v>180</v>
      </c>
      <c r="C561" t="s">
        <v>633</v>
      </c>
      <c r="D561" t="s">
        <v>301</v>
      </c>
      <c r="E561" s="70">
        <v>1965088</v>
      </c>
    </row>
    <row r="562" spans="1:7" x14ac:dyDescent="0.25">
      <c r="A562" s="69">
        <v>46146</v>
      </c>
      <c r="B562" t="s">
        <v>180</v>
      </c>
      <c r="C562" t="s">
        <v>629</v>
      </c>
      <c r="D562" t="s">
        <v>285</v>
      </c>
      <c r="E562" s="70">
        <v>4444113</v>
      </c>
    </row>
    <row r="563" spans="1:7" x14ac:dyDescent="0.25">
      <c r="A563" s="69">
        <v>46146</v>
      </c>
      <c r="B563" t="s">
        <v>155</v>
      </c>
      <c r="C563" t="s">
        <v>631</v>
      </c>
      <c r="D563" t="s">
        <v>299</v>
      </c>
      <c r="E563" s="70">
        <v>1839410</v>
      </c>
    </row>
    <row r="564" spans="1:7" x14ac:dyDescent="0.25">
      <c r="A564" s="69">
        <v>46146</v>
      </c>
      <c r="B564" t="s">
        <v>180</v>
      </c>
      <c r="C564" t="s">
        <v>634</v>
      </c>
      <c r="D564" t="s">
        <v>285</v>
      </c>
      <c r="E564" s="70">
        <v>1898472</v>
      </c>
    </row>
    <row r="565" spans="1:7" x14ac:dyDescent="0.25">
      <c r="A565" s="69">
        <v>46146</v>
      </c>
      <c r="B565" t="s">
        <v>180</v>
      </c>
      <c r="C565" t="s">
        <v>635</v>
      </c>
      <c r="D565" t="s">
        <v>279</v>
      </c>
      <c r="E565" s="70">
        <v>1999761</v>
      </c>
    </row>
    <row r="566" spans="1:7" x14ac:dyDescent="0.25">
      <c r="A566" s="69">
        <v>46146</v>
      </c>
      <c r="B566" t="s">
        <v>481</v>
      </c>
      <c r="C566" t="s">
        <v>636</v>
      </c>
      <c r="D566" t="s">
        <v>285</v>
      </c>
      <c r="E566" s="70">
        <v>107987</v>
      </c>
    </row>
    <row r="567" spans="1:7" x14ac:dyDescent="0.25">
      <c r="A567" s="69">
        <v>46146</v>
      </c>
      <c r="B567" t="s">
        <v>244</v>
      </c>
      <c r="C567" t="s">
        <v>548</v>
      </c>
      <c r="D567" t="s">
        <v>285</v>
      </c>
      <c r="E567" s="70">
        <v>2704000</v>
      </c>
    </row>
    <row r="568" spans="1:7" x14ac:dyDescent="0.25">
      <c r="A568" s="69">
        <v>46146</v>
      </c>
      <c r="B568" t="s">
        <v>262</v>
      </c>
      <c r="C568" t="s">
        <v>637</v>
      </c>
      <c r="D568" t="s">
        <v>282</v>
      </c>
      <c r="F568" s="70">
        <v>14</v>
      </c>
      <c r="G568" s="70">
        <v>324</v>
      </c>
    </row>
    <row r="569" spans="1:7" x14ac:dyDescent="0.25">
      <c r="A569" s="69">
        <v>46146</v>
      </c>
      <c r="B569" t="s">
        <v>481</v>
      </c>
      <c r="C569" t="s">
        <v>636</v>
      </c>
      <c r="D569" t="s">
        <v>286</v>
      </c>
      <c r="E569" s="70">
        <v>107987</v>
      </c>
    </row>
    <row r="570" spans="1:7" x14ac:dyDescent="0.25">
      <c r="A570" s="69">
        <v>46146</v>
      </c>
      <c r="B570" t="s">
        <v>244</v>
      </c>
      <c r="C570" t="s">
        <v>548</v>
      </c>
      <c r="D570" t="s">
        <v>286</v>
      </c>
      <c r="E570" s="70">
        <v>2704000</v>
      </c>
    </row>
    <row r="571" spans="1:7" x14ac:dyDescent="0.25">
      <c r="A571" s="69">
        <v>46146</v>
      </c>
      <c r="B571" t="s">
        <v>222</v>
      </c>
      <c r="C571" t="s">
        <v>507</v>
      </c>
      <c r="D571" t="s">
        <v>282</v>
      </c>
      <c r="F571" s="70">
        <v>24</v>
      </c>
      <c r="G571" s="70">
        <v>576</v>
      </c>
    </row>
    <row r="572" spans="1:7" x14ac:dyDescent="0.25">
      <c r="A572" s="69">
        <v>46146</v>
      </c>
      <c r="B572" t="s">
        <v>162</v>
      </c>
      <c r="C572" t="s">
        <v>638</v>
      </c>
      <c r="D572" t="s">
        <v>282</v>
      </c>
      <c r="F572" s="70">
        <v>29</v>
      </c>
      <c r="G572" s="70">
        <v>687</v>
      </c>
    </row>
    <row r="573" spans="1:7" x14ac:dyDescent="0.25">
      <c r="A573" s="69">
        <v>46146</v>
      </c>
      <c r="B573" t="s">
        <v>152</v>
      </c>
      <c r="C573" t="s">
        <v>639</v>
      </c>
      <c r="D573" t="s">
        <v>285</v>
      </c>
      <c r="E573" s="70">
        <v>3412079</v>
      </c>
    </row>
    <row r="574" spans="1:7" x14ac:dyDescent="0.25">
      <c r="A574" s="69">
        <v>46146</v>
      </c>
      <c r="B574" t="s">
        <v>152</v>
      </c>
      <c r="C574" t="s">
        <v>640</v>
      </c>
      <c r="D574" t="s">
        <v>301</v>
      </c>
      <c r="E574" s="70">
        <v>3261646</v>
      </c>
    </row>
    <row r="575" spans="1:7" x14ac:dyDescent="0.25">
      <c r="A575" s="69">
        <v>46146</v>
      </c>
      <c r="B575" t="s">
        <v>152</v>
      </c>
      <c r="C575" t="s">
        <v>640</v>
      </c>
      <c r="D575" t="s">
        <v>285</v>
      </c>
      <c r="E575" s="70">
        <v>3261646</v>
      </c>
    </row>
    <row r="576" spans="1:7" x14ac:dyDescent="0.25">
      <c r="A576" s="69">
        <v>46146</v>
      </c>
      <c r="B576" t="s">
        <v>166</v>
      </c>
      <c r="C576" t="s">
        <v>641</v>
      </c>
      <c r="D576" t="s">
        <v>282</v>
      </c>
      <c r="F576" s="70">
        <v>16</v>
      </c>
      <c r="G576" s="70">
        <v>384</v>
      </c>
    </row>
    <row r="577" spans="1:5" x14ac:dyDescent="0.25">
      <c r="A577" s="69">
        <v>46146</v>
      </c>
      <c r="B577" t="s">
        <v>236</v>
      </c>
      <c r="C577" t="s">
        <v>642</v>
      </c>
      <c r="D577" t="s">
        <v>285</v>
      </c>
      <c r="E577" s="70">
        <v>857</v>
      </c>
    </row>
    <row r="578" spans="1:5" x14ac:dyDescent="0.25">
      <c r="A578" s="69">
        <v>46146</v>
      </c>
      <c r="B578" t="s">
        <v>598</v>
      </c>
      <c r="C578" t="s">
        <v>643</v>
      </c>
      <c r="D578" t="s">
        <v>301</v>
      </c>
      <c r="E578" s="70">
        <v>1023947</v>
      </c>
    </row>
    <row r="579" spans="1:5" x14ac:dyDescent="0.25">
      <c r="A579" s="69">
        <v>46146</v>
      </c>
      <c r="B579" t="s">
        <v>598</v>
      </c>
      <c r="C579" t="s">
        <v>644</v>
      </c>
      <c r="D579" t="s">
        <v>285</v>
      </c>
      <c r="E579" s="70">
        <v>1133682</v>
      </c>
    </row>
    <row r="580" spans="1:5" x14ac:dyDescent="0.25">
      <c r="A580" s="69">
        <v>46146</v>
      </c>
      <c r="B580" t="s">
        <v>159</v>
      </c>
      <c r="C580" t="s">
        <v>645</v>
      </c>
      <c r="D580" t="s">
        <v>301</v>
      </c>
      <c r="E580" s="70">
        <v>1598638</v>
      </c>
    </row>
    <row r="581" spans="1:5" x14ac:dyDescent="0.25">
      <c r="A581" s="69">
        <v>46146</v>
      </c>
      <c r="B581" t="s">
        <v>236</v>
      </c>
      <c r="C581" t="s">
        <v>642</v>
      </c>
      <c r="D581" t="s">
        <v>286</v>
      </c>
      <c r="E581" s="70">
        <v>857</v>
      </c>
    </row>
    <row r="582" spans="1:5" x14ac:dyDescent="0.25">
      <c r="A582" s="69">
        <v>46146</v>
      </c>
      <c r="B582" t="s">
        <v>598</v>
      </c>
      <c r="C582" t="s">
        <v>646</v>
      </c>
      <c r="D582" t="s">
        <v>286</v>
      </c>
      <c r="E582" s="70">
        <v>1013672</v>
      </c>
    </row>
    <row r="583" spans="1:5" x14ac:dyDescent="0.25">
      <c r="A583" s="69">
        <v>46146</v>
      </c>
      <c r="B583" t="s">
        <v>250</v>
      </c>
      <c r="C583" t="s">
        <v>647</v>
      </c>
      <c r="D583" t="s">
        <v>286</v>
      </c>
      <c r="E583" s="70">
        <v>4708000</v>
      </c>
    </row>
    <row r="584" spans="1:5" x14ac:dyDescent="0.25">
      <c r="A584" s="69">
        <v>46146</v>
      </c>
      <c r="B584" t="s">
        <v>159</v>
      </c>
      <c r="C584" t="s">
        <v>648</v>
      </c>
      <c r="D584" t="s">
        <v>285</v>
      </c>
      <c r="E584" s="70">
        <v>1467921</v>
      </c>
    </row>
    <row r="585" spans="1:5" x14ac:dyDescent="0.25">
      <c r="A585" s="69">
        <v>46146</v>
      </c>
      <c r="B585" t="s">
        <v>159</v>
      </c>
      <c r="C585" t="s">
        <v>649</v>
      </c>
      <c r="D585" t="s">
        <v>286</v>
      </c>
      <c r="E585" s="70">
        <v>1386138</v>
      </c>
    </row>
    <row r="586" spans="1:5" x14ac:dyDescent="0.25">
      <c r="A586" s="69">
        <v>46146</v>
      </c>
      <c r="B586" t="s">
        <v>250</v>
      </c>
      <c r="C586" t="s">
        <v>647</v>
      </c>
      <c r="D586" t="s">
        <v>285</v>
      </c>
      <c r="E586" s="70">
        <v>4708000</v>
      </c>
    </row>
    <row r="587" spans="1:5" x14ac:dyDescent="0.25">
      <c r="A587" s="69">
        <v>46146</v>
      </c>
      <c r="B587" t="s">
        <v>159</v>
      </c>
      <c r="C587" t="s">
        <v>649</v>
      </c>
      <c r="D587" t="s">
        <v>279</v>
      </c>
      <c r="E587" s="70">
        <v>1386138</v>
      </c>
    </row>
    <row r="588" spans="1:5" x14ac:dyDescent="0.25">
      <c r="A588" s="69">
        <v>46146</v>
      </c>
      <c r="B588" t="s">
        <v>157</v>
      </c>
      <c r="C588" t="s">
        <v>650</v>
      </c>
      <c r="D588" t="s">
        <v>299</v>
      </c>
      <c r="E588" s="70">
        <v>2908828</v>
      </c>
    </row>
    <row r="589" spans="1:5" x14ac:dyDescent="0.25">
      <c r="A589" s="69">
        <v>46146</v>
      </c>
      <c r="B589" t="s">
        <v>205</v>
      </c>
      <c r="C589" t="s">
        <v>651</v>
      </c>
      <c r="D589" t="s">
        <v>286</v>
      </c>
      <c r="E589" s="70">
        <v>1052143</v>
      </c>
    </row>
    <row r="590" spans="1:5" x14ac:dyDescent="0.25">
      <c r="A590" s="69">
        <v>46146</v>
      </c>
      <c r="B590" t="s">
        <v>168</v>
      </c>
      <c r="C590" t="s">
        <v>652</v>
      </c>
      <c r="D590" t="s">
        <v>286</v>
      </c>
      <c r="E590" s="70">
        <v>1188627</v>
      </c>
    </row>
    <row r="591" spans="1:5" x14ac:dyDescent="0.25">
      <c r="A591" s="69">
        <v>46146</v>
      </c>
      <c r="B591" t="s">
        <v>157</v>
      </c>
      <c r="C591" t="s">
        <v>650</v>
      </c>
      <c r="D591" t="s">
        <v>285</v>
      </c>
      <c r="E591" s="70">
        <v>2908828</v>
      </c>
    </row>
    <row r="592" spans="1:5" x14ac:dyDescent="0.25">
      <c r="A592" s="69">
        <v>46146</v>
      </c>
      <c r="B592" t="s">
        <v>205</v>
      </c>
      <c r="C592" t="s">
        <v>651</v>
      </c>
      <c r="D592" t="s">
        <v>285</v>
      </c>
      <c r="E592" s="70">
        <v>1052143</v>
      </c>
    </row>
    <row r="593" spans="1:5" x14ac:dyDescent="0.25">
      <c r="A593" s="69">
        <v>46146</v>
      </c>
      <c r="B593" t="s">
        <v>157</v>
      </c>
      <c r="C593" t="s">
        <v>653</v>
      </c>
      <c r="D593" t="s">
        <v>285</v>
      </c>
      <c r="E593" s="70">
        <v>102746</v>
      </c>
    </row>
    <row r="594" spans="1:5" x14ac:dyDescent="0.25">
      <c r="A594" s="69">
        <v>46146</v>
      </c>
      <c r="B594" t="s">
        <v>157</v>
      </c>
      <c r="C594" t="s">
        <v>654</v>
      </c>
      <c r="D594" t="s">
        <v>301</v>
      </c>
      <c r="E594" s="70">
        <v>100743</v>
      </c>
    </row>
    <row r="595" spans="1:5" x14ac:dyDescent="0.25">
      <c r="A595" s="69">
        <v>46146</v>
      </c>
      <c r="B595" t="s">
        <v>157</v>
      </c>
      <c r="C595" t="s">
        <v>655</v>
      </c>
      <c r="D595" t="s">
        <v>279</v>
      </c>
      <c r="E595" s="70">
        <v>101179</v>
      </c>
    </row>
    <row r="596" spans="1:5" x14ac:dyDescent="0.25">
      <c r="A596" s="69">
        <v>46146</v>
      </c>
      <c r="B596" t="s">
        <v>157</v>
      </c>
      <c r="C596" t="s">
        <v>656</v>
      </c>
      <c r="D596" t="s">
        <v>286</v>
      </c>
      <c r="E596" s="70">
        <v>100581</v>
      </c>
    </row>
    <row r="597" spans="1:5" x14ac:dyDescent="0.25">
      <c r="A597" s="69">
        <v>46146</v>
      </c>
      <c r="B597" t="s">
        <v>168</v>
      </c>
      <c r="C597" t="s">
        <v>657</v>
      </c>
      <c r="D597" t="s">
        <v>301</v>
      </c>
      <c r="E597" s="70">
        <v>472910</v>
      </c>
    </row>
    <row r="598" spans="1:5" x14ac:dyDescent="0.25">
      <c r="A598" s="69">
        <v>46146</v>
      </c>
      <c r="B598" t="s">
        <v>157</v>
      </c>
      <c r="C598" t="s">
        <v>655</v>
      </c>
      <c r="D598" t="s">
        <v>286</v>
      </c>
      <c r="E598" s="70">
        <v>101179</v>
      </c>
    </row>
    <row r="599" spans="1:5" x14ac:dyDescent="0.25">
      <c r="A599" s="69">
        <v>46146</v>
      </c>
      <c r="B599" t="s">
        <v>157</v>
      </c>
      <c r="C599" t="s">
        <v>656</v>
      </c>
      <c r="D599" t="s">
        <v>285</v>
      </c>
      <c r="E599" s="70">
        <v>100581</v>
      </c>
    </row>
    <row r="600" spans="1:5" x14ac:dyDescent="0.25">
      <c r="A600" s="69">
        <v>46146</v>
      </c>
      <c r="B600" t="s">
        <v>168</v>
      </c>
      <c r="C600" t="s">
        <v>658</v>
      </c>
      <c r="D600" t="s">
        <v>285</v>
      </c>
      <c r="E600" s="70">
        <v>345719</v>
      </c>
    </row>
    <row r="601" spans="1:5" x14ac:dyDescent="0.25">
      <c r="A601" s="69">
        <v>46146</v>
      </c>
      <c r="B601" t="s">
        <v>168</v>
      </c>
      <c r="C601" t="s">
        <v>659</v>
      </c>
      <c r="D601" t="s">
        <v>279</v>
      </c>
      <c r="E601" s="70">
        <v>499117</v>
      </c>
    </row>
    <row r="602" spans="1:5" x14ac:dyDescent="0.25">
      <c r="A602" s="69">
        <v>46146</v>
      </c>
      <c r="B602" t="s">
        <v>168</v>
      </c>
      <c r="C602" t="s">
        <v>660</v>
      </c>
      <c r="D602" t="s">
        <v>277</v>
      </c>
      <c r="E602" s="70">
        <v>340049</v>
      </c>
    </row>
    <row r="603" spans="1:5" x14ac:dyDescent="0.25">
      <c r="A603" s="69">
        <v>46146</v>
      </c>
      <c r="B603" t="s">
        <v>250</v>
      </c>
      <c r="C603" t="s">
        <v>661</v>
      </c>
      <c r="D603" t="s">
        <v>285</v>
      </c>
      <c r="E603" s="70">
        <v>643</v>
      </c>
    </row>
    <row r="604" spans="1:5" x14ac:dyDescent="0.25">
      <c r="A604" s="69">
        <v>46146</v>
      </c>
      <c r="B604" t="s">
        <v>168</v>
      </c>
      <c r="C604" t="s">
        <v>659</v>
      </c>
      <c r="D604" t="s">
        <v>286</v>
      </c>
      <c r="E604" s="70">
        <v>499117</v>
      </c>
    </row>
    <row r="605" spans="1:5" x14ac:dyDescent="0.25">
      <c r="A605" s="69">
        <v>46146</v>
      </c>
      <c r="B605" t="s">
        <v>168</v>
      </c>
      <c r="C605" t="s">
        <v>660</v>
      </c>
      <c r="D605" t="s">
        <v>286</v>
      </c>
      <c r="E605" s="70">
        <v>340049</v>
      </c>
    </row>
    <row r="606" spans="1:5" x14ac:dyDescent="0.25">
      <c r="A606" s="69">
        <v>46146</v>
      </c>
      <c r="B606" t="s">
        <v>250</v>
      </c>
      <c r="C606" t="s">
        <v>284</v>
      </c>
      <c r="D606" t="s">
        <v>286</v>
      </c>
      <c r="E606" s="70">
        <v>1872000</v>
      </c>
    </row>
    <row r="607" spans="1:5" x14ac:dyDescent="0.25">
      <c r="A607" s="69">
        <v>46146</v>
      </c>
      <c r="B607" t="s">
        <v>169</v>
      </c>
      <c r="C607" t="s">
        <v>662</v>
      </c>
      <c r="D607" t="s">
        <v>286</v>
      </c>
      <c r="E607" s="70">
        <v>2050000</v>
      </c>
    </row>
    <row r="608" spans="1:5" x14ac:dyDescent="0.25">
      <c r="A608" s="69">
        <v>46146</v>
      </c>
      <c r="B608" t="s">
        <v>204</v>
      </c>
      <c r="C608" t="s">
        <v>663</v>
      </c>
      <c r="D608" t="s">
        <v>286</v>
      </c>
      <c r="E608" s="70">
        <v>3408000</v>
      </c>
    </row>
    <row r="609" spans="1:5" x14ac:dyDescent="0.25">
      <c r="A609" s="69">
        <v>46146</v>
      </c>
      <c r="B609" t="s">
        <v>168</v>
      </c>
      <c r="C609" t="s">
        <v>660</v>
      </c>
      <c r="D609" t="s">
        <v>285</v>
      </c>
      <c r="E609" s="70">
        <v>340049</v>
      </c>
    </row>
    <row r="610" spans="1:5" x14ac:dyDescent="0.25">
      <c r="A610" s="69">
        <v>46146</v>
      </c>
      <c r="B610" t="s">
        <v>169</v>
      </c>
      <c r="C610" t="s">
        <v>662</v>
      </c>
      <c r="D610" t="s">
        <v>285</v>
      </c>
      <c r="E610" s="70">
        <v>2050000</v>
      </c>
    </row>
    <row r="611" spans="1:5" x14ac:dyDescent="0.25">
      <c r="A611" s="69">
        <v>46146</v>
      </c>
      <c r="B611" t="s">
        <v>204</v>
      </c>
      <c r="C611" t="s">
        <v>663</v>
      </c>
      <c r="D611" t="s">
        <v>285</v>
      </c>
      <c r="E611" s="70">
        <v>3408000</v>
      </c>
    </row>
    <row r="612" spans="1:5" x14ac:dyDescent="0.25">
      <c r="A612" s="69">
        <v>46146</v>
      </c>
      <c r="B612" t="s">
        <v>191</v>
      </c>
      <c r="C612" t="s">
        <v>664</v>
      </c>
      <c r="D612" t="s">
        <v>286</v>
      </c>
      <c r="E612" s="70">
        <v>6446111</v>
      </c>
    </row>
    <row r="613" spans="1:5" x14ac:dyDescent="0.25">
      <c r="A613" s="69">
        <v>46146</v>
      </c>
      <c r="B613" t="s">
        <v>164</v>
      </c>
      <c r="C613" t="s">
        <v>665</v>
      </c>
      <c r="D613" t="s">
        <v>286</v>
      </c>
      <c r="E613" s="70">
        <v>1806970</v>
      </c>
    </row>
    <row r="614" spans="1:5" x14ac:dyDescent="0.25">
      <c r="A614" s="69">
        <v>46146</v>
      </c>
      <c r="B614" t="s">
        <v>161</v>
      </c>
      <c r="C614" t="s">
        <v>666</v>
      </c>
      <c r="D614" t="s">
        <v>286</v>
      </c>
      <c r="E614" s="70">
        <v>6298507</v>
      </c>
    </row>
    <row r="615" spans="1:5" x14ac:dyDescent="0.25">
      <c r="A615" s="69">
        <v>46146</v>
      </c>
      <c r="B615" t="s">
        <v>604</v>
      </c>
      <c r="C615" t="s">
        <v>667</v>
      </c>
      <c r="D615" t="s">
        <v>286</v>
      </c>
      <c r="E615" s="70">
        <v>440000</v>
      </c>
    </row>
    <row r="616" spans="1:5" x14ac:dyDescent="0.25">
      <c r="A616" s="69">
        <v>46146</v>
      </c>
      <c r="B616" t="s">
        <v>244</v>
      </c>
      <c r="C616" t="s">
        <v>668</v>
      </c>
      <c r="D616" t="s">
        <v>279</v>
      </c>
      <c r="E616" s="70">
        <v>1890188</v>
      </c>
    </row>
    <row r="617" spans="1:5" x14ac:dyDescent="0.25">
      <c r="A617" s="69">
        <v>46146</v>
      </c>
      <c r="B617" t="s">
        <v>164</v>
      </c>
      <c r="C617" t="s">
        <v>665</v>
      </c>
      <c r="D617" t="s">
        <v>279</v>
      </c>
      <c r="E617" s="70">
        <v>1806970</v>
      </c>
    </row>
    <row r="618" spans="1:5" x14ac:dyDescent="0.25">
      <c r="A618" s="69">
        <v>46146</v>
      </c>
      <c r="B618" t="s">
        <v>244</v>
      </c>
      <c r="C618" t="s">
        <v>668</v>
      </c>
      <c r="D618" t="s">
        <v>286</v>
      </c>
      <c r="E618" s="70">
        <v>1890188</v>
      </c>
    </row>
    <row r="619" spans="1:5" x14ac:dyDescent="0.25">
      <c r="A619" s="69">
        <v>46146</v>
      </c>
      <c r="B619" t="s">
        <v>161</v>
      </c>
      <c r="C619" t="s">
        <v>354</v>
      </c>
      <c r="D619" t="s">
        <v>285</v>
      </c>
      <c r="E619" s="70">
        <v>3744000</v>
      </c>
    </row>
    <row r="620" spans="1:5" x14ac:dyDescent="0.25">
      <c r="A620" s="69">
        <v>46146</v>
      </c>
      <c r="B620" t="s">
        <v>244</v>
      </c>
      <c r="C620" t="s">
        <v>669</v>
      </c>
      <c r="D620" t="s">
        <v>277</v>
      </c>
      <c r="E620" s="70">
        <v>2014710</v>
      </c>
    </row>
    <row r="621" spans="1:5" x14ac:dyDescent="0.25">
      <c r="A621" s="69">
        <v>46146</v>
      </c>
      <c r="B621" t="s">
        <v>180</v>
      </c>
      <c r="C621" t="s">
        <v>278</v>
      </c>
      <c r="D621" t="s">
        <v>286</v>
      </c>
      <c r="E621" s="70">
        <v>1000000</v>
      </c>
    </row>
    <row r="622" spans="1:5" x14ac:dyDescent="0.25">
      <c r="A622" s="69">
        <v>46146</v>
      </c>
      <c r="B622" t="s">
        <v>244</v>
      </c>
      <c r="C622" t="s">
        <v>670</v>
      </c>
      <c r="D622" t="s">
        <v>286</v>
      </c>
      <c r="E622" s="70">
        <v>5142530</v>
      </c>
    </row>
    <row r="623" spans="1:5" x14ac:dyDescent="0.25">
      <c r="A623" s="69">
        <v>46146</v>
      </c>
      <c r="B623" t="s">
        <v>168</v>
      </c>
      <c r="C623" t="s">
        <v>667</v>
      </c>
      <c r="D623" t="s">
        <v>286</v>
      </c>
      <c r="E623" s="70">
        <v>440000</v>
      </c>
    </row>
    <row r="624" spans="1:5" x14ac:dyDescent="0.25">
      <c r="A624" s="69">
        <v>46146</v>
      </c>
      <c r="B624" t="s">
        <v>161</v>
      </c>
      <c r="C624" t="s">
        <v>671</v>
      </c>
      <c r="D624" t="s">
        <v>285</v>
      </c>
      <c r="E624" s="70">
        <v>6290507</v>
      </c>
    </row>
    <row r="625" spans="1:5" x14ac:dyDescent="0.25">
      <c r="A625" s="69">
        <v>46146</v>
      </c>
      <c r="B625" t="s">
        <v>161</v>
      </c>
      <c r="C625" t="s">
        <v>354</v>
      </c>
      <c r="D625" t="s">
        <v>286</v>
      </c>
      <c r="E625" s="70">
        <v>3744000</v>
      </c>
    </row>
    <row r="626" spans="1:5" x14ac:dyDescent="0.25">
      <c r="A626" s="69">
        <v>46146</v>
      </c>
      <c r="B626" t="s">
        <v>244</v>
      </c>
      <c r="C626" t="s">
        <v>669</v>
      </c>
      <c r="D626" t="s">
        <v>286</v>
      </c>
      <c r="E626" s="70">
        <v>2014710</v>
      </c>
    </row>
    <row r="627" spans="1:5" x14ac:dyDescent="0.25">
      <c r="A627" s="69">
        <v>46146</v>
      </c>
      <c r="B627" t="s">
        <v>180</v>
      </c>
      <c r="C627" t="s">
        <v>278</v>
      </c>
      <c r="D627" t="s">
        <v>285</v>
      </c>
      <c r="E627" s="70">
        <v>1000000</v>
      </c>
    </row>
    <row r="628" spans="1:5" x14ac:dyDescent="0.25">
      <c r="A628" s="69">
        <v>46146</v>
      </c>
      <c r="B628" t="s">
        <v>244</v>
      </c>
      <c r="C628" t="s">
        <v>670</v>
      </c>
      <c r="D628" t="s">
        <v>285</v>
      </c>
      <c r="E628" s="70">
        <v>5142530</v>
      </c>
    </row>
    <row r="629" spans="1:5" x14ac:dyDescent="0.25">
      <c r="A629" s="69">
        <v>46146</v>
      </c>
      <c r="B629" t="s">
        <v>180</v>
      </c>
      <c r="C629" t="s">
        <v>672</v>
      </c>
      <c r="D629" t="s">
        <v>286</v>
      </c>
      <c r="E629" s="70">
        <v>267000</v>
      </c>
    </row>
    <row r="630" spans="1:5" x14ac:dyDescent="0.25">
      <c r="A630" s="69">
        <v>46146</v>
      </c>
      <c r="B630" t="s">
        <v>168</v>
      </c>
      <c r="C630" t="s">
        <v>673</v>
      </c>
      <c r="D630" t="s">
        <v>286</v>
      </c>
      <c r="E630" s="70">
        <v>477286</v>
      </c>
    </row>
    <row r="631" spans="1:5" x14ac:dyDescent="0.25">
      <c r="A631" s="69">
        <v>46146</v>
      </c>
      <c r="B631" t="s">
        <v>603</v>
      </c>
      <c r="C631" t="s">
        <v>667</v>
      </c>
      <c r="D631" t="s">
        <v>286</v>
      </c>
      <c r="E631" s="70">
        <v>440000</v>
      </c>
    </row>
    <row r="632" spans="1:5" x14ac:dyDescent="0.25">
      <c r="A632" s="69">
        <v>46146</v>
      </c>
      <c r="B632" t="s">
        <v>247</v>
      </c>
      <c r="C632" t="s">
        <v>590</v>
      </c>
      <c r="D632" t="s">
        <v>286</v>
      </c>
      <c r="E632" s="70">
        <v>17000</v>
      </c>
    </row>
    <row r="633" spans="1:5" x14ac:dyDescent="0.25">
      <c r="A633" s="69">
        <v>46146</v>
      </c>
      <c r="B633" t="s">
        <v>169</v>
      </c>
      <c r="C633" t="s">
        <v>674</v>
      </c>
      <c r="D633" t="s">
        <v>286</v>
      </c>
      <c r="E633" s="70">
        <v>4389030</v>
      </c>
    </row>
    <row r="634" spans="1:5" x14ac:dyDescent="0.25">
      <c r="A634" s="69">
        <v>46146</v>
      </c>
      <c r="B634" t="s">
        <v>552</v>
      </c>
      <c r="C634" t="s">
        <v>675</v>
      </c>
      <c r="D634" t="s">
        <v>286</v>
      </c>
      <c r="E634" s="70">
        <v>3327441</v>
      </c>
    </row>
    <row r="635" spans="1:5" x14ac:dyDescent="0.25">
      <c r="A635" s="69">
        <v>46146</v>
      </c>
      <c r="B635" t="s">
        <v>552</v>
      </c>
      <c r="C635" t="s">
        <v>676</v>
      </c>
      <c r="D635" t="s">
        <v>285</v>
      </c>
      <c r="E635" s="70">
        <v>1650454</v>
      </c>
    </row>
    <row r="636" spans="1:5" x14ac:dyDescent="0.25">
      <c r="A636" s="69">
        <v>46146</v>
      </c>
      <c r="B636" t="s">
        <v>552</v>
      </c>
      <c r="C636" t="s">
        <v>677</v>
      </c>
      <c r="D636" t="s">
        <v>301</v>
      </c>
      <c r="E636" s="70">
        <v>1380469</v>
      </c>
    </row>
    <row r="637" spans="1:5" x14ac:dyDescent="0.25">
      <c r="A637" s="69">
        <v>46146</v>
      </c>
      <c r="B637" t="s">
        <v>552</v>
      </c>
      <c r="C637" t="s">
        <v>675</v>
      </c>
      <c r="D637" t="s">
        <v>285</v>
      </c>
      <c r="E637" s="70">
        <v>3327441</v>
      </c>
    </row>
    <row r="638" spans="1:5" x14ac:dyDescent="0.25">
      <c r="A638" s="69">
        <v>46146</v>
      </c>
      <c r="B638" t="s">
        <v>162</v>
      </c>
      <c r="C638" t="s">
        <v>678</v>
      </c>
      <c r="D638" t="s">
        <v>286</v>
      </c>
      <c r="E638" s="70">
        <v>1350000</v>
      </c>
    </row>
    <row r="639" spans="1:5" x14ac:dyDescent="0.25">
      <c r="A639" s="69">
        <v>46146</v>
      </c>
      <c r="B639" t="s">
        <v>552</v>
      </c>
      <c r="C639" t="s">
        <v>677</v>
      </c>
      <c r="D639" t="s">
        <v>285</v>
      </c>
      <c r="E639" s="70">
        <v>1380469</v>
      </c>
    </row>
    <row r="640" spans="1:5" x14ac:dyDescent="0.25">
      <c r="A640" s="69">
        <v>46146</v>
      </c>
      <c r="B640" t="s">
        <v>169</v>
      </c>
      <c r="C640" t="s">
        <v>679</v>
      </c>
      <c r="D640" t="s">
        <v>279</v>
      </c>
      <c r="E640" s="70">
        <v>350000</v>
      </c>
    </row>
    <row r="641" spans="1:5" x14ac:dyDescent="0.25">
      <c r="A641" s="69">
        <v>46146</v>
      </c>
      <c r="B641" t="s">
        <v>202</v>
      </c>
      <c r="C641" t="s">
        <v>680</v>
      </c>
      <c r="D641" t="s">
        <v>286</v>
      </c>
      <c r="E641" s="70">
        <v>51213</v>
      </c>
    </row>
    <row r="642" spans="1:5" x14ac:dyDescent="0.25">
      <c r="A642" s="69">
        <v>46146</v>
      </c>
      <c r="B642" t="s">
        <v>169</v>
      </c>
      <c r="C642" t="s">
        <v>679</v>
      </c>
      <c r="D642" t="s">
        <v>286</v>
      </c>
      <c r="E642" s="70">
        <v>350000</v>
      </c>
    </row>
    <row r="643" spans="1:5" x14ac:dyDescent="0.25">
      <c r="A643" s="69">
        <v>46146</v>
      </c>
      <c r="B643" t="s">
        <v>163</v>
      </c>
      <c r="C643" t="s">
        <v>297</v>
      </c>
      <c r="D643" t="s">
        <v>299</v>
      </c>
      <c r="E643" s="70">
        <v>2926000</v>
      </c>
    </row>
    <row r="644" spans="1:5" x14ac:dyDescent="0.25">
      <c r="A644" s="69">
        <v>46146</v>
      </c>
      <c r="B644" t="s">
        <v>163</v>
      </c>
      <c r="C644" t="s">
        <v>681</v>
      </c>
      <c r="D644" t="s">
        <v>301</v>
      </c>
      <c r="E644" s="70">
        <v>1377898</v>
      </c>
    </row>
    <row r="645" spans="1:5" x14ac:dyDescent="0.25">
      <c r="A645" s="69">
        <v>46146</v>
      </c>
      <c r="B645" t="s">
        <v>155</v>
      </c>
      <c r="C645" t="s">
        <v>682</v>
      </c>
      <c r="D645" t="s">
        <v>285</v>
      </c>
      <c r="E645" s="70">
        <v>3748916</v>
      </c>
    </row>
    <row r="646" spans="1:5" x14ac:dyDescent="0.25">
      <c r="A646" s="69">
        <v>46146</v>
      </c>
      <c r="B646" t="s">
        <v>244</v>
      </c>
      <c r="C646" t="s">
        <v>683</v>
      </c>
      <c r="D646" t="s">
        <v>285</v>
      </c>
      <c r="E646" s="70">
        <v>1376900</v>
      </c>
    </row>
    <row r="647" spans="1:5" x14ac:dyDescent="0.25">
      <c r="A647" s="69">
        <v>46146</v>
      </c>
      <c r="B647" t="s">
        <v>244</v>
      </c>
      <c r="C647" t="s">
        <v>684</v>
      </c>
      <c r="D647" t="s">
        <v>286</v>
      </c>
      <c r="E647" s="70">
        <v>973148</v>
      </c>
    </row>
    <row r="648" spans="1:5" x14ac:dyDescent="0.25">
      <c r="A648" s="69">
        <v>46146</v>
      </c>
      <c r="B648" t="s">
        <v>163</v>
      </c>
      <c r="C648" t="s">
        <v>297</v>
      </c>
      <c r="D648" t="s">
        <v>277</v>
      </c>
      <c r="E648" s="70">
        <v>2926000</v>
      </c>
    </row>
    <row r="649" spans="1:5" x14ac:dyDescent="0.25">
      <c r="A649" s="69">
        <v>46146</v>
      </c>
      <c r="B649" t="s">
        <v>155</v>
      </c>
      <c r="C649" t="s">
        <v>682</v>
      </c>
      <c r="D649" t="s">
        <v>286</v>
      </c>
      <c r="E649" s="70">
        <v>3748916</v>
      </c>
    </row>
    <row r="650" spans="1:5" x14ac:dyDescent="0.25">
      <c r="A650" s="69">
        <v>46146</v>
      </c>
      <c r="B650" t="s">
        <v>244</v>
      </c>
      <c r="C650" t="s">
        <v>685</v>
      </c>
      <c r="D650" t="s">
        <v>285</v>
      </c>
      <c r="E650" s="70">
        <v>2679890</v>
      </c>
    </row>
    <row r="651" spans="1:5" x14ac:dyDescent="0.25">
      <c r="A651" s="69">
        <v>46146</v>
      </c>
      <c r="B651" t="s">
        <v>156</v>
      </c>
      <c r="C651" t="s">
        <v>686</v>
      </c>
      <c r="D651" t="s">
        <v>277</v>
      </c>
      <c r="E651" s="70">
        <v>2153129</v>
      </c>
    </row>
    <row r="652" spans="1:5" x14ac:dyDescent="0.25">
      <c r="A652" s="69">
        <v>46146</v>
      </c>
      <c r="B652" t="s">
        <v>244</v>
      </c>
      <c r="C652" t="s">
        <v>685</v>
      </c>
      <c r="D652" t="s">
        <v>277</v>
      </c>
      <c r="E652" s="70">
        <v>2679890</v>
      </c>
    </row>
    <row r="653" spans="1:5" x14ac:dyDescent="0.25">
      <c r="A653" s="69">
        <v>46146</v>
      </c>
      <c r="B653" t="s">
        <v>156</v>
      </c>
      <c r="C653" t="s">
        <v>686</v>
      </c>
      <c r="D653" t="s">
        <v>286</v>
      </c>
      <c r="E653" s="70">
        <v>2153129</v>
      </c>
    </row>
    <row r="654" spans="1:5" x14ac:dyDescent="0.25">
      <c r="A654" s="69">
        <v>46146</v>
      </c>
      <c r="B654" t="s">
        <v>598</v>
      </c>
      <c r="C654" t="s">
        <v>687</v>
      </c>
      <c r="D654" t="s">
        <v>285</v>
      </c>
      <c r="E654" s="70">
        <v>1090261</v>
      </c>
    </row>
    <row r="655" spans="1:5" x14ac:dyDescent="0.25">
      <c r="A655" s="69">
        <v>46146</v>
      </c>
      <c r="B655" t="s">
        <v>179</v>
      </c>
      <c r="C655" t="s">
        <v>385</v>
      </c>
      <c r="D655" t="s">
        <v>286</v>
      </c>
      <c r="E655" s="70">
        <v>2250000</v>
      </c>
    </row>
    <row r="656" spans="1:5" x14ac:dyDescent="0.25">
      <c r="A656" s="69">
        <v>46146</v>
      </c>
      <c r="B656" t="s">
        <v>180</v>
      </c>
      <c r="C656" t="s">
        <v>688</v>
      </c>
      <c r="D656" t="s">
        <v>286</v>
      </c>
      <c r="E656" s="70">
        <v>2676000</v>
      </c>
    </row>
    <row r="657" spans="1:7" x14ac:dyDescent="0.25">
      <c r="A657" s="69">
        <v>46146</v>
      </c>
      <c r="B657" t="s">
        <v>180</v>
      </c>
      <c r="C657" t="s">
        <v>689</v>
      </c>
      <c r="D657" t="s">
        <v>285</v>
      </c>
      <c r="E657" s="70">
        <v>1240206</v>
      </c>
    </row>
    <row r="658" spans="1:7" x14ac:dyDescent="0.25">
      <c r="A658" s="69">
        <v>46146</v>
      </c>
      <c r="B658" t="s">
        <v>180</v>
      </c>
      <c r="C658" t="s">
        <v>690</v>
      </c>
      <c r="D658" t="s">
        <v>285</v>
      </c>
      <c r="E658" s="70">
        <v>1017080</v>
      </c>
    </row>
    <row r="659" spans="1:7" x14ac:dyDescent="0.25">
      <c r="A659" s="69">
        <v>46146</v>
      </c>
      <c r="B659" t="s">
        <v>180</v>
      </c>
      <c r="C659" t="s">
        <v>688</v>
      </c>
      <c r="D659" t="s">
        <v>279</v>
      </c>
      <c r="E659" s="70">
        <v>2676000</v>
      </c>
    </row>
    <row r="660" spans="1:7" x14ac:dyDescent="0.25">
      <c r="A660" s="69">
        <v>46146</v>
      </c>
      <c r="B660" t="s">
        <v>180</v>
      </c>
      <c r="C660" t="s">
        <v>691</v>
      </c>
      <c r="D660" t="s">
        <v>301</v>
      </c>
      <c r="E660" s="70">
        <v>1017980</v>
      </c>
    </row>
    <row r="661" spans="1:7" x14ac:dyDescent="0.25">
      <c r="A661" s="69">
        <v>46146</v>
      </c>
      <c r="B661" t="s">
        <v>598</v>
      </c>
      <c r="C661" t="s">
        <v>692</v>
      </c>
      <c r="D661" t="s">
        <v>301</v>
      </c>
      <c r="E661" s="70">
        <v>1020835</v>
      </c>
    </row>
    <row r="662" spans="1:7" x14ac:dyDescent="0.25">
      <c r="A662" s="69">
        <v>46146</v>
      </c>
      <c r="B662" t="s">
        <v>598</v>
      </c>
      <c r="C662" t="s">
        <v>693</v>
      </c>
      <c r="D662" t="s">
        <v>286</v>
      </c>
      <c r="E662" s="70">
        <v>1018892</v>
      </c>
    </row>
    <row r="663" spans="1:7" x14ac:dyDescent="0.25">
      <c r="A663" s="69">
        <v>46146</v>
      </c>
      <c r="B663" t="s">
        <v>598</v>
      </c>
      <c r="C663" t="s">
        <v>694</v>
      </c>
      <c r="D663" t="s">
        <v>286</v>
      </c>
      <c r="E663" s="70">
        <v>1013599</v>
      </c>
    </row>
    <row r="664" spans="1:7" x14ac:dyDescent="0.25">
      <c r="A664" s="69">
        <v>46146</v>
      </c>
      <c r="B664" t="s">
        <v>222</v>
      </c>
      <c r="C664" t="s">
        <v>695</v>
      </c>
      <c r="D664" t="s">
        <v>286</v>
      </c>
      <c r="E664" s="70">
        <v>589</v>
      </c>
    </row>
    <row r="665" spans="1:7" x14ac:dyDescent="0.25">
      <c r="A665" s="69">
        <v>46146</v>
      </c>
      <c r="B665" t="s">
        <v>202</v>
      </c>
      <c r="C665" t="s">
        <v>696</v>
      </c>
      <c r="D665" t="s">
        <v>282</v>
      </c>
      <c r="F665" s="70">
        <v>25</v>
      </c>
      <c r="G665" s="70">
        <v>603</v>
      </c>
    </row>
    <row r="666" spans="1:7" x14ac:dyDescent="0.25">
      <c r="A666" s="69">
        <v>46146</v>
      </c>
      <c r="B666" t="s">
        <v>179</v>
      </c>
      <c r="C666" t="s">
        <v>385</v>
      </c>
      <c r="D666" t="s">
        <v>277</v>
      </c>
      <c r="E666" s="70">
        <v>2250000</v>
      </c>
    </row>
    <row r="667" spans="1:7" x14ac:dyDescent="0.25">
      <c r="A667" s="69">
        <v>46146</v>
      </c>
      <c r="B667" t="s">
        <v>180</v>
      </c>
      <c r="C667" t="s">
        <v>688</v>
      </c>
      <c r="D667" t="s">
        <v>285</v>
      </c>
      <c r="E667" s="70">
        <v>2676000</v>
      </c>
    </row>
    <row r="668" spans="1:7" x14ac:dyDescent="0.25">
      <c r="A668" s="69">
        <v>46146</v>
      </c>
      <c r="B668" t="s">
        <v>609</v>
      </c>
      <c r="C668" t="s">
        <v>697</v>
      </c>
      <c r="D668" t="s">
        <v>282</v>
      </c>
      <c r="F668" s="70">
        <v>2</v>
      </c>
      <c r="G668" s="70">
        <v>56</v>
      </c>
    </row>
    <row r="669" spans="1:7" x14ac:dyDescent="0.25">
      <c r="A669" s="69">
        <v>46146</v>
      </c>
      <c r="B669" t="s">
        <v>164</v>
      </c>
      <c r="C669" t="s">
        <v>698</v>
      </c>
      <c r="D669" t="s">
        <v>282</v>
      </c>
      <c r="F669" s="70">
        <v>86</v>
      </c>
      <c r="G669" s="70">
        <v>2075</v>
      </c>
    </row>
    <row r="670" spans="1:7" x14ac:dyDescent="0.25">
      <c r="A670" s="69">
        <v>46146</v>
      </c>
      <c r="B670" t="s">
        <v>152</v>
      </c>
      <c r="C670" t="s">
        <v>699</v>
      </c>
      <c r="D670" t="s">
        <v>282</v>
      </c>
      <c r="F670" s="70">
        <v>13</v>
      </c>
      <c r="G670" s="70">
        <v>307</v>
      </c>
    </row>
    <row r="671" spans="1:7" x14ac:dyDescent="0.25">
      <c r="A671" s="69">
        <v>46146</v>
      </c>
      <c r="B671" t="s">
        <v>598</v>
      </c>
      <c r="C671" t="s">
        <v>700</v>
      </c>
      <c r="D671" t="s">
        <v>285</v>
      </c>
      <c r="E671" s="70">
        <v>1010692</v>
      </c>
    </row>
    <row r="672" spans="1:7" x14ac:dyDescent="0.25">
      <c r="A672" s="69">
        <v>46146</v>
      </c>
      <c r="B672" t="s">
        <v>243</v>
      </c>
      <c r="C672" t="s">
        <v>701</v>
      </c>
      <c r="D672" t="s">
        <v>282</v>
      </c>
      <c r="F672" s="70">
        <v>22</v>
      </c>
      <c r="G672" s="70">
        <v>529</v>
      </c>
    </row>
    <row r="673" spans="1:7" x14ac:dyDescent="0.25">
      <c r="A673" s="69">
        <v>46146</v>
      </c>
      <c r="B673" t="s">
        <v>242</v>
      </c>
      <c r="C673" t="s">
        <v>702</v>
      </c>
      <c r="D673" t="s">
        <v>282</v>
      </c>
      <c r="F673" s="70">
        <v>21</v>
      </c>
      <c r="G673" s="70">
        <v>499</v>
      </c>
    </row>
    <row r="674" spans="1:7" x14ac:dyDescent="0.25">
      <c r="A674" s="69">
        <v>46146</v>
      </c>
      <c r="B674" t="s">
        <v>159</v>
      </c>
      <c r="C674" t="s">
        <v>703</v>
      </c>
      <c r="D674" t="s">
        <v>282</v>
      </c>
      <c r="F674" s="70">
        <v>14</v>
      </c>
      <c r="G674" s="70">
        <v>329</v>
      </c>
    </row>
    <row r="675" spans="1:7" x14ac:dyDescent="0.25">
      <c r="A675" s="69">
        <v>46146</v>
      </c>
      <c r="B675" t="s">
        <v>250</v>
      </c>
      <c r="C675" t="s">
        <v>704</v>
      </c>
      <c r="D675" t="s">
        <v>301</v>
      </c>
      <c r="E675" s="70">
        <v>45990</v>
      </c>
    </row>
    <row r="676" spans="1:7" x14ac:dyDescent="0.25">
      <c r="A676" s="69">
        <v>46146</v>
      </c>
      <c r="B676" t="s">
        <v>250</v>
      </c>
      <c r="C676" t="s">
        <v>705</v>
      </c>
      <c r="D676" t="s">
        <v>286</v>
      </c>
      <c r="E676" s="70">
        <v>593661</v>
      </c>
    </row>
    <row r="677" spans="1:7" x14ac:dyDescent="0.25">
      <c r="A677" s="69">
        <v>46146</v>
      </c>
      <c r="B677" t="s">
        <v>706</v>
      </c>
      <c r="C677" t="s">
        <v>701</v>
      </c>
      <c r="D677" t="s">
        <v>282</v>
      </c>
      <c r="F677" s="70">
        <v>22</v>
      </c>
      <c r="G677" s="70">
        <v>529</v>
      </c>
    </row>
    <row r="678" spans="1:7" x14ac:dyDescent="0.25">
      <c r="A678" s="69">
        <v>46146</v>
      </c>
      <c r="B678" t="s">
        <v>250</v>
      </c>
      <c r="C678" t="s">
        <v>707</v>
      </c>
      <c r="D678" t="s">
        <v>285</v>
      </c>
      <c r="E678" s="70">
        <v>538993</v>
      </c>
    </row>
    <row r="679" spans="1:7" x14ac:dyDescent="0.25">
      <c r="A679" s="69">
        <v>46146</v>
      </c>
      <c r="B679" t="s">
        <v>244</v>
      </c>
      <c r="C679" t="s">
        <v>708</v>
      </c>
      <c r="D679" t="s">
        <v>285</v>
      </c>
      <c r="E679" s="70">
        <v>1500560</v>
      </c>
    </row>
    <row r="680" spans="1:7" x14ac:dyDescent="0.25">
      <c r="A680" s="69">
        <v>46146</v>
      </c>
      <c r="B680" t="s">
        <v>156</v>
      </c>
      <c r="C680" t="s">
        <v>709</v>
      </c>
      <c r="D680" t="s">
        <v>286</v>
      </c>
      <c r="E680" s="70">
        <v>1418888</v>
      </c>
    </row>
    <row r="681" spans="1:7" x14ac:dyDescent="0.25">
      <c r="A681" s="69">
        <v>46146</v>
      </c>
      <c r="B681" t="s">
        <v>604</v>
      </c>
      <c r="C681" t="s">
        <v>710</v>
      </c>
      <c r="D681" t="s">
        <v>277</v>
      </c>
      <c r="E681" s="70">
        <v>42000000</v>
      </c>
    </row>
    <row r="682" spans="1:7" x14ac:dyDescent="0.25">
      <c r="A682" s="69">
        <v>46146</v>
      </c>
      <c r="B682" t="s">
        <v>250</v>
      </c>
      <c r="C682" t="s">
        <v>705</v>
      </c>
      <c r="D682" t="s">
        <v>279</v>
      </c>
      <c r="E682" s="70">
        <v>593661</v>
      </c>
    </row>
    <row r="683" spans="1:7" x14ac:dyDescent="0.25">
      <c r="A683" s="69">
        <v>46146</v>
      </c>
      <c r="B683" t="s">
        <v>250</v>
      </c>
      <c r="C683" t="s">
        <v>707</v>
      </c>
      <c r="D683" t="s">
        <v>286</v>
      </c>
      <c r="E683" s="70">
        <v>538993</v>
      </c>
    </row>
    <row r="684" spans="1:7" x14ac:dyDescent="0.25">
      <c r="A684" s="69">
        <v>46146</v>
      </c>
      <c r="B684" t="s">
        <v>244</v>
      </c>
      <c r="C684" t="s">
        <v>708</v>
      </c>
      <c r="D684" t="s">
        <v>277</v>
      </c>
      <c r="E684" s="70">
        <v>1500560</v>
      </c>
    </row>
    <row r="685" spans="1:7" x14ac:dyDescent="0.25">
      <c r="A685" s="69">
        <v>46146</v>
      </c>
      <c r="B685" t="s">
        <v>604</v>
      </c>
      <c r="C685" t="s">
        <v>710</v>
      </c>
      <c r="D685" t="s">
        <v>286</v>
      </c>
      <c r="E685" s="70">
        <v>42000000</v>
      </c>
    </row>
    <row r="686" spans="1:7" x14ac:dyDescent="0.25">
      <c r="A686" s="69">
        <v>46146</v>
      </c>
      <c r="B686" t="s">
        <v>165</v>
      </c>
      <c r="C686" t="s">
        <v>711</v>
      </c>
      <c r="D686" t="s">
        <v>286</v>
      </c>
      <c r="E686" s="70">
        <v>879055</v>
      </c>
    </row>
    <row r="687" spans="1:7" x14ac:dyDescent="0.25">
      <c r="A687" s="69">
        <v>46146</v>
      </c>
      <c r="B687" t="s">
        <v>604</v>
      </c>
      <c r="C687" t="s">
        <v>712</v>
      </c>
      <c r="D687" t="s">
        <v>285</v>
      </c>
      <c r="E687" s="70">
        <v>3909551</v>
      </c>
    </row>
    <row r="688" spans="1:7" x14ac:dyDescent="0.25">
      <c r="A688" s="69">
        <v>46146</v>
      </c>
      <c r="B688" t="s">
        <v>604</v>
      </c>
      <c r="C688" t="s">
        <v>713</v>
      </c>
      <c r="D688" t="s">
        <v>301</v>
      </c>
      <c r="E688" s="70">
        <v>4819622</v>
      </c>
    </row>
    <row r="689" spans="1:5" x14ac:dyDescent="0.25">
      <c r="A689" s="69">
        <v>46146</v>
      </c>
      <c r="B689" t="s">
        <v>604</v>
      </c>
      <c r="C689" t="s">
        <v>714</v>
      </c>
      <c r="D689" t="s">
        <v>286</v>
      </c>
      <c r="E689" s="70">
        <v>6055768</v>
      </c>
    </row>
    <row r="690" spans="1:5" x14ac:dyDescent="0.25">
      <c r="A690" s="69">
        <v>46146</v>
      </c>
      <c r="B690" t="s">
        <v>604</v>
      </c>
      <c r="C690" t="s">
        <v>715</v>
      </c>
      <c r="D690" t="s">
        <v>285</v>
      </c>
      <c r="E690" s="70">
        <v>7000000</v>
      </c>
    </row>
    <row r="691" spans="1:5" x14ac:dyDescent="0.25">
      <c r="A691" s="69">
        <v>46146</v>
      </c>
      <c r="B691" t="s">
        <v>247</v>
      </c>
      <c r="C691" t="s">
        <v>716</v>
      </c>
      <c r="D691" t="s">
        <v>285</v>
      </c>
      <c r="E691" s="70">
        <v>22464000</v>
      </c>
    </row>
    <row r="692" spans="1:5" x14ac:dyDescent="0.25">
      <c r="A692" s="69">
        <v>46146</v>
      </c>
      <c r="B692" t="s">
        <v>165</v>
      </c>
      <c r="C692" t="s">
        <v>711</v>
      </c>
      <c r="D692" t="s">
        <v>285</v>
      </c>
      <c r="E692" s="70">
        <v>879055</v>
      </c>
    </row>
    <row r="693" spans="1:5" x14ac:dyDescent="0.25">
      <c r="A693" s="69">
        <v>46146</v>
      </c>
      <c r="B693" t="s">
        <v>604</v>
      </c>
      <c r="C693" t="s">
        <v>712</v>
      </c>
      <c r="D693" t="s">
        <v>286</v>
      </c>
      <c r="E693" s="70">
        <v>3909551</v>
      </c>
    </row>
    <row r="694" spans="1:5" x14ac:dyDescent="0.25">
      <c r="A694" s="69">
        <v>46146</v>
      </c>
      <c r="B694" t="s">
        <v>604</v>
      </c>
      <c r="C694" t="s">
        <v>714</v>
      </c>
      <c r="D694" t="s">
        <v>279</v>
      </c>
      <c r="E694" s="70">
        <v>6055768</v>
      </c>
    </row>
    <row r="695" spans="1:5" x14ac:dyDescent="0.25">
      <c r="A695" s="69">
        <v>46146</v>
      </c>
      <c r="B695" t="s">
        <v>247</v>
      </c>
      <c r="C695" t="s">
        <v>716</v>
      </c>
      <c r="D695" t="s">
        <v>286</v>
      </c>
      <c r="E695" s="70">
        <v>22464000</v>
      </c>
    </row>
    <row r="696" spans="1:5" x14ac:dyDescent="0.25">
      <c r="A696" s="69">
        <v>46146</v>
      </c>
      <c r="B696" t="s">
        <v>717</v>
      </c>
      <c r="C696" t="s">
        <v>718</v>
      </c>
      <c r="D696" t="s">
        <v>285</v>
      </c>
      <c r="E696" s="70">
        <v>1142156</v>
      </c>
    </row>
    <row r="697" spans="1:5" x14ac:dyDescent="0.25">
      <c r="A697" s="69">
        <v>46146</v>
      </c>
      <c r="B697" t="s">
        <v>717</v>
      </c>
      <c r="C697" t="s">
        <v>719</v>
      </c>
      <c r="D697" t="s">
        <v>279</v>
      </c>
      <c r="E697" s="70">
        <v>1225415</v>
      </c>
    </row>
    <row r="698" spans="1:5" x14ac:dyDescent="0.25">
      <c r="A698" s="69">
        <v>46146</v>
      </c>
      <c r="B698" t="s">
        <v>717</v>
      </c>
      <c r="C698" t="s">
        <v>720</v>
      </c>
      <c r="D698" t="s">
        <v>301</v>
      </c>
      <c r="E698" s="70">
        <v>1138634</v>
      </c>
    </row>
    <row r="699" spans="1:5" x14ac:dyDescent="0.25">
      <c r="A699" s="69">
        <v>46146</v>
      </c>
      <c r="B699" t="s">
        <v>717</v>
      </c>
      <c r="C699" t="s">
        <v>721</v>
      </c>
      <c r="D699" t="s">
        <v>285</v>
      </c>
      <c r="E699" s="70">
        <v>9240000</v>
      </c>
    </row>
    <row r="700" spans="1:5" x14ac:dyDescent="0.25">
      <c r="A700" s="69">
        <v>46146</v>
      </c>
      <c r="B700" t="s">
        <v>613</v>
      </c>
      <c r="C700" t="s">
        <v>722</v>
      </c>
      <c r="D700" t="s">
        <v>285</v>
      </c>
      <c r="E700" s="70">
        <v>10320000</v>
      </c>
    </row>
    <row r="701" spans="1:5" x14ac:dyDescent="0.25">
      <c r="A701" s="69">
        <v>46146</v>
      </c>
      <c r="B701" t="s">
        <v>247</v>
      </c>
      <c r="C701" t="s">
        <v>716</v>
      </c>
      <c r="D701" t="s">
        <v>277</v>
      </c>
      <c r="E701" s="70">
        <v>22464000</v>
      </c>
    </row>
    <row r="702" spans="1:5" x14ac:dyDescent="0.25">
      <c r="A702" s="69">
        <v>46146</v>
      </c>
      <c r="B702" t="s">
        <v>717</v>
      </c>
      <c r="C702" t="s">
        <v>719</v>
      </c>
      <c r="D702" t="s">
        <v>285</v>
      </c>
      <c r="E702" s="70">
        <v>1225415</v>
      </c>
    </row>
    <row r="703" spans="1:5" x14ac:dyDescent="0.25">
      <c r="A703" s="69">
        <v>46146</v>
      </c>
      <c r="B703" t="s">
        <v>717</v>
      </c>
      <c r="C703" t="s">
        <v>721</v>
      </c>
      <c r="D703" t="s">
        <v>286</v>
      </c>
      <c r="E703" s="70">
        <v>9240000</v>
      </c>
    </row>
    <row r="704" spans="1:5" x14ac:dyDescent="0.25">
      <c r="A704" s="69">
        <v>46146</v>
      </c>
      <c r="B704" t="s">
        <v>613</v>
      </c>
      <c r="C704" t="s">
        <v>723</v>
      </c>
      <c r="D704" t="s">
        <v>286</v>
      </c>
      <c r="E704" s="70">
        <v>25091</v>
      </c>
    </row>
    <row r="705" spans="1:5" x14ac:dyDescent="0.25">
      <c r="A705" s="69">
        <v>46146</v>
      </c>
      <c r="B705" t="s">
        <v>205</v>
      </c>
      <c r="C705" t="s">
        <v>724</v>
      </c>
      <c r="D705" t="s">
        <v>286</v>
      </c>
      <c r="E705" s="70">
        <v>12542</v>
      </c>
    </row>
    <row r="706" spans="1:5" x14ac:dyDescent="0.25">
      <c r="A706" s="69">
        <v>46146</v>
      </c>
      <c r="B706" t="s">
        <v>168</v>
      </c>
      <c r="C706" t="s">
        <v>725</v>
      </c>
      <c r="D706" t="s">
        <v>286</v>
      </c>
      <c r="E706" s="70">
        <v>29582</v>
      </c>
    </row>
    <row r="707" spans="1:5" x14ac:dyDescent="0.25">
      <c r="A707" s="69">
        <v>46146</v>
      </c>
      <c r="B707" t="s">
        <v>621</v>
      </c>
      <c r="C707" t="s">
        <v>726</v>
      </c>
      <c r="D707" t="s">
        <v>286</v>
      </c>
      <c r="E707" s="70">
        <v>24745</v>
      </c>
    </row>
    <row r="708" spans="1:5" x14ac:dyDescent="0.25">
      <c r="A708" s="69">
        <v>46146</v>
      </c>
      <c r="B708" t="s">
        <v>156</v>
      </c>
      <c r="C708" t="s">
        <v>727</v>
      </c>
      <c r="D708" t="s">
        <v>286</v>
      </c>
      <c r="E708" s="70">
        <v>1766</v>
      </c>
    </row>
    <row r="709" spans="1:5" x14ac:dyDescent="0.25">
      <c r="A709" s="69">
        <v>46146</v>
      </c>
      <c r="B709" t="s">
        <v>169</v>
      </c>
      <c r="C709" t="s">
        <v>394</v>
      </c>
      <c r="D709" t="s">
        <v>285</v>
      </c>
      <c r="E709" s="70">
        <v>250000</v>
      </c>
    </row>
    <row r="710" spans="1:5" x14ac:dyDescent="0.25">
      <c r="A710" s="69">
        <v>46146</v>
      </c>
      <c r="B710" t="s">
        <v>613</v>
      </c>
      <c r="C710" t="s">
        <v>722</v>
      </c>
      <c r="D710" t="s">
        <v>277</v>
      </c>
      <c r="E710" s="70">
        <v>10320000</v>
      </c>
    </row>
    <row r="711" spans="1:5" x14ac:dyDescent="0.25">
      <c r="A711" s="69">
        <v>46146</v>
      </c>
      <c r="B711" t="s">
        <v>169</v>
      </c>
      <c r="C711" t="s">
        <v>394</v>
      </c>
      <c r="D711" t="s">
        <v>286</v>
      </c>
      <c r="E711" s="70">
        <v>250000</v>
      </c>
    </row>
    <row r="712" spans="1:5" x14ac:dyDescent="0.25">
      <c r="A712" s="69">
        <v>46146</v>
      </c>
      <c r="B712" t="s">
        <v>205</v>
      </c>
      <c r="C712" t="s">
        <v>728</v>
      </c>
      <c r="D712" t="s">
        <v>286</v>
      </c>
      <c r="E712" s="70">
        <v>25772</v>
      </c>
    </row>
    <row r="713" spans="1:5" x14ac:dyDescent="0.25">
      <c r="A713" s="69">
        <v>46146</v>
      </c>
      <c r="B713" t="s">
        <v>168</v>
      </c>
      <c r="C713" t="s">
        <v>729</v>
      </c>
      <c r="D713" t="s">
        <v>286</v>
      </c>
      <c r="E713" s="70">
        <v>817845</v>
      </c>
    </row>
    <row r="714" spans="1:5" x14ac:dyDescent="0.25">
      <c r="A714" s="69">
        <v>46146</v>
      </c>
      <c r="B714" t="s">
        <v>212</v>
      </c>
      <c r="C714" t="s">
        <v>730</v>
      </c>
      <c r="D714" t="s">
        <v>286</v>
      </c>
      <c r="E714" s="70">
        <v>257263</v>
      </c>
    </row>
    <row r="715" spans="1:5" x14ac:dyDescent="0.25">
      <c r="A715" s="69">
        <v>46146</v>
      </c>
      <c r="B715" t="s">
        <v>168</v>
      </c>
      <c r="C715" t="s">
        <v>731</v>
      </c>
      <c r="D715" t="s">
        <v>279</v>
      </c>
      <c r="E715" s="70">
        <v>879663</v>
      </c>
    </row>
    <row r="716" spans="1:5" x14ac:dyDescent="0.25">
      <c r="A716" s="69">
        <v>46146</v>
      </c>
      <c r="B716" t="s">
        <v>168</v>
      </c>
      <c r="C716" t="s">
        <v>732</v>
      </c>
      <c r="D716" t="s">
        <v>285</v>
      </c>
      <c r="E716" s="70">
        <v>413384</v>
      </c>
    </row>
    <row r="717" spans="1:5" x14ac:dyDescent="0.25">
      <c r="A717" s="69">
        <v>46146</v>
      </c>
      <c r="B717" t="s">
        <v>168</v>
      </c>
      <c r="C717" t="s">
        <v>731</v>
      </c>
      <c r="D717" t="s">
        <v>286</v>
      </c>
      <c r="E717" s="70">
        <v>879663</v>
      </c>
    </row>
    <row r="718" spans="1:5" x14ac:dyDescent="0.25">
      <c r="A718" s="69">
        <v>46146</v>
      </c>
      <c r="B718" t="s">
        <v>168</v>
      </c>
      <c r="C718" t="s">
        <v>733</v>
      </c>
      <c r="D718" t="s">
        <v>301</v>
      </c>
      <c r="E718" s="70">
        <v>773285</v>
      </c>
    </row>
    <row r="719" spans="1:5" x14ac:dyDescent="0.25">
      <c r="A719" s="69">
        <v>46146</v>
      </c>
      <c r="B719" t="s">
        <v>180</v>
      </c>
      <c r="C719" t="s">
        <v>734</v>
      </c>
      <c r="D719" t="s">
        <v>286</v>
      </c>
      <c r="E719" s="70">
        <v>4502</v>
      </c>
    </row>
    <row r="720" spans="1:5" x14ac:dyDescent="0.25">
      <c r="A720" s="69">
        <v>46146</v>
      </c>
      <c r="B720" t="s">
        <v>246</v>
      </c>
      <c r="C720" t="s">
        <v>735</v>
      </c>
      <c r="D720" t="s">
        <v>286</v>
      </c>
      <c r="E720" s="70">
        <v>1088</v>
      </c>
    </row>
    <row r="721" spans="1:5" x14ac:dyDescent="0.25">
      <c r="A721" s="69">
        <v>46146</v>
      </c>
      <c r="B721" t="s">
        <v>604</v>
      </c>
      <c r="C721" t="s">
        <v>736</v>
      </c>
      <c r="D721" t="s">
        <v>286</v>
      </c>
      <c r="E721" s="70">
        <v>1856</v>
      </c>
    </row>
    <row r="722" spans="1:5" x14ac:dyDescent="0.25">
      <c r="A722" s="69">
        <v>46146</v>
      </c>
      <c r="B722" t="s">
        <v>191</v>
      </c>
      <c r="C722" t="s">
        <v>531</v>
      </c>
      <c r="D722" t="s">
        <v>277</v>
      </c>
      <c r="E722" s="70">
        <v>10868000</v>
      </c>
    </row>
    <row r="723" spans="1:5" x14ac:dyDescent="0.25">
      <c r="A723" s="69">
        <v>46146</v>
      </c>
      <c r="B723" t="s">
        <v>191</v>
      </c>
      <c r="C723" t="s">
        <v>531</v>
      </c>
      <c r="D723" t="s">
        <v>286</v>
      </c>
      <c r="E723" s="70">
        <v>10868000</v>
      </c>
    </row>
    <row r="724" spans="1:5" x14ac:dyDescent="0.25">
      <c r="A724" s="69">
        <v>46146</v>
      </c>
      <c r="B724" t="s">
        <v>621</v>
      </c>
      <c r="C724" t="s">
        <v>737</v>
      </c>
      <c r="D724" t="s">
        <v>286</v>
      </c>
      <c r="E724" s="70">
        <v>1025</v>
      </c>
    </row>
    <row r="725" spans="1:5" x14ac:dyDescent="0.25">
      <c r="A725" s="69">
        <v>46146</v>
      </c>
      <c r="B725" t="s">
        <v>150</v>
      </c>
      <c r="C725" t="s">
        <v>738</v>
      </c>
      <c r="D725" t="s">
        <v>286</v>
      </c>
      <c r="E725" s="70">
        <v>987</v>
      </c>
    </row>
    <row r="726" spans="1:5" x14ac:dyDescent="0.25">
      <c r="A726" s="69">
        <v>46146</v>
      </c>
      <c r="B726" t="s">
        <v>164</v>
      </c>
      <c r="C726" t="s">
        <v>739</v>
      </c>
      <c r="D726" t="s">
        <v>286</v>
      </c>
      <c r="E726" s="70">
        <v>350</v>
      </c>
    </row>
    <row r="727" spans="1:5" x14ac:dyDescent="0.25">
      <c r="A727" s="69">
        <v>46146</v>
      </c>
      <c r="B727" t="s">
        <v>194</v>
      </c>
      <c r="C727" t="s">
        <v>574</v>
      </c>
      <c r="D727" t="s">
        <v>286</v>
      </c>
      <c r="E727" s="70">
        <v>965</v>
      </c>
    </row>
    <row r="728" spans="1:5" x14ac:dyDescent="0.25">
      <c r="A728" s="69">
        <v>46146</v>
      </c>
      <c r="B728" t="s">
        <v>191</v>
      </c>
      <c r="C728" t="s">
        <v>740</v>
      </c>
      <c r="D728" t="s">
        <v>285</v>
      </c>
      <c r="E728" s="70">
        <v>4287275</v>
      </c>
    </row>
    <row r="729" spans="1:5" x14ac:dyDescent="0.25">
      <c r="A729" s="69">
        <v>46146</v>
      </c>
      <c r="B729" t="s">
        <v>201</v>
      </c>
      <c r="C729" t="s">
        <v>741</v>
      </c>
      <c r="D729" t="s">
        <v>286</v>
      </c>
      <c r="E729" s="70">
        <v>3550</v>
      </c>
    </row>
    <row r="730" spans="1:5" x14ac:dyDescent="0.25">
      <c r="A730" s="69">
        <v>46146</v>
      </c>
      <c r="B730" t="s">
        <v>262</v>
      </c>
      <c r="C730" t="s">
        <v>742</v>
      </c>
      <c r="D730" t="s">
        <v>286</v>
      </c>
      <c r="E730" s="70">
        <v>205</v>
      </c>
    </row>
    <row r="731" spans="1:5" x14ac:dyDescent="0.25">
      <c r="A731" s="69">
        <v>46146</v>
      </c>
      <c r="B731" t="s">
        <v>165</v>
      </c>
      <c r="C731" t="s">
        <v>743</v>
      </c>
      <c r="D731" t="s">
        <v>301</v>
      </c>
      <c r="E731" s="70">
        <v>700000</v>
      </c>
    </row>
    <row r="732" spans="1:5" x14ac:dyDescent="0.25">
      <c r="A732" s="69">
        <v>46146</v>
      </c>
      <c r="B732" t="s">
        <v>166</v>
      </c>
      <c r="C732" t="s">
        <v>744</v>
      </c>
      <c r="D732" t="s">
        <v>285</v>
      </c>
      <c r="E732" s="70">
        <v>989</v>
      </c>
    </row>
    <row r="733" spans="1:5" x14ac:dyDescent="0.25">
      <c r="A733" s="69">
        <v>46146</v>
      </c>
      <c r="B733" t="s">
        <v>191</v>
      </c>
      <c r="C733" t="s">
        <v>727</v>
      </c>
      <c r="D733" t="s">
        <v>286</v>
      </c>
      <c r="E733" s="70">
        <v>1766</v>
      </c>
    </row>
    <row r="734" spans="1:5" x14ac:dyDescent="0.25">
      <c r="A734" s="69">
        <v>46146</v>
      </c>
      <c r="B734" t="s">
        <v>717</v>
      </c>
      <c r="C734" t="s">
        <v>745</v>
      </c>
      <c r="D734" t="s">
        <v>286</v>
      </c>
      <c r="E734" s="70">
        <v>1311</v>
      </c>
    </row>
    <row r="735" spans="1:5" x14ac:dyDescent="0.25">
      <c r="A735" s="69">
        <v>46146</v>
      </c>
      <c r="B735" t="s">
        <v>165</v>
      </c>
      <c r="C735" t="s">
        <v>743</v>
      </c>
      <c r="D735" t="s">
        <v>285</v>
      </c>
      <c r="E735" s="70">
        <v>700000</v>
      </c>
    </row>
    <row r="736" spans="1:5" x14ac:dyDescent="0.25">
      <c r="A736" s="69">
        <v>46146</v>
      </c>
      <c r="B736" t="s">
        <v>202</v>
      </c>
      <c r="C736" t="s">
        <v>746</v>
      </c>
      <c r="D736" t="s">
        <v>286</v>
      </c>
      <c r="E736" s="70">
        <v>50199</v>
      </c>
    </row>
    <row r="737" spans="1:5" x14ac:dyDescent="0.25">
      <c r="A737" s="69">
        <v>46146</v>
      </c>
      <c r="B737" t="s">
        <v>165</v>
      </c>
      <c r="C737" t="s">
        <v>743</v>
      </c>
      <c r="D737" t="s">
        <v>344</v>
      </c>
      <c r="E737" s="70">
        <v>700000</v>
      </c>
    </row>
    <row r="738" spans="1:5" x14ac:dyDescent="0.25">
      <c r="A738" s="69">
        <v>46146</v>
      </c>
      <c r="B738" t="s">
        <v>202</v>
      </c>
      <c r="C738" t="s">
        <v>746</v>
      </c>
      <c r="D738" t="s">
        <v>285</v>
      </c>
      <c r="E738" s="70">
        <v>50199</v>
      </c>
    </row>
    <row r="739" spans="1:5" x14ac:dyDescent="0.25">
      <c r="A739" s="69">
        <v>46146</v>
      </c>
      <c r="B739" t="s">
        <v>191</v>
      </c>
      <c r="C739" t="s">
        <v>276</v>
      </c>
      <c r="D739" t="s">
        <v>279</v>
      </c>
      <c r="E739" s="70">
        <v>2717000</v>
      </c>
    </row>
    <row r="740" spans="1:5" x14ac:dyDescent="0.25">
      <c r="A740" s="69">
        <v>46146</v>
      </c>
      <c r="B740" t="s">
        <v>191</v>
      </c>
      <c r="C740" t="s">
        <v>747</v>
      </c>
      <c r="D740" t="s">
        <v>301</v>
      </c>
      <c r="E740" s="70">
        <v>1093367</v>
      </c>
    </row>
    <row r="741" spans="1:5" x14ac:dyDescent="0.25">
      <c r="A741" s="69">
        <v>46146</v>
      </c>
      <c r="B741" t="s">
        <v>191</v>
      </c>
      <c r="C741" t="s">
        <v>276</v>
      </c>
      <c r="D741" t="s">
        <v>344</v>
      </c>
      <c r="E741" s="70">
        <v>2717000</v>
      </c>
    </row>
    <row r="742" spans="1:5" x14ac:dyDescent="0.25">
      <c r="A742" s="69">
        <v>46146</v>
      </c>
      <c r="B742" t="s">
        <v>162</v>
      </c>
      <c r="C742" t="s">
        <v>748</v>
      </c>
      <c r="D742" t="s">
        <v>286</v>
      </c>
      <c r="E742" s="70">
        <v>188599</v>
      </c>
    </row>
    <row r="743" spans="1:5" x14ac:dyDescent="0.25">
      <c r="A743" s="69">
        <v>46146</v>
      </c>
      <c r="B743" t="s">
        <v>152</v>
      </c>
      <c r="C743" t="s">
        <v>749</v>
      </c>
      <c r="D743" t="s">
        <v>286</v>
      </c>
      <c r="E743" s="70">
        <v>59043</v>
      </c>
    </row>
    <row r="744" spans="1:5" x14ac:dyDescent="0.25">
      <c r="A744" s="69">
        <v>46146</v>
      </c>
      <c r="B744" t="s">
        <v>229</v>
      </c>
      <c r="C744" t="s">
        <v>750</v>
      </c>
      <c r="D744" t="s">
        <v>286</v>
      </c>
      <c r="E744" s="70">
        <v>16830</v>
      </c>
    </row>
    <row r="745" spans="1:5" x14ac:dyDescent="0.25">
      <c r="A745" s="69">
        <v>46146</v>
      </c>
      <c r="B745" t="s">
        <v>613</v>
      </c>
      <c r="C745" t="s">
        <v>751</v>
      </c>
      <c r="D745" t="s">
        <v>286</v>
      </c>
      <c r="E745" s="70">
        <v>46351</v>
      </c>
    </row>
    <row r="746" spans="1:5" x14ac:dyDescent="0.25">
      <c r="A746" s="69">
        <v>46146</v>
      </c>
      <c r="B746" t="s">
        <v>205</v>
      </c>
      <c r="C746" t="s">
        <v>752</v>
      </c>
      <c r="D746" t="s">
        <v>285</v>
      </c>
      <c r="E746" s="70">
        <v>11430</v>
      </c>
    </row>
    <row r="747" spans="1:5" x14ac:dyDescent="0.25">
      <c r="A747" s="69">
        <v>46146</v>
      </c>
      <c r="B747" t="s">
        <v>205</v>
      </c>
      <c r="C747" t="s">
        <v>752</v>
      </c>
      <c r="D747" t="s">
        <v>286</v>
      </c>
      <c r="E747" s="70">
        <v>11430</v>
      </c>
    </row>
    <row r="748" spans="1:5" x14ac:dyDescent="0.25">
      <c r="A748" s="69">
        <v>46146</v>
      </c>
      <c r="B748" t="s">
        <v>212</v>
      </c>
      <c r="C748" t="s">
        <v>753</v>
      </c>
      <c r="D748" t="s">
        <v>286</v>
      </c>
      <c r="E748" s="70">
        <v>2215</v>
      </c>
    </row>
    <row r="749" spans="1:5" x14ac:dyDescent="0.25">
      <c r="A749" s="69">
        <v>46146</v>
      </c>
      <c r="B749" t="s">
        <v>238</v>
      </c>
      <c r="C749" t="s">
        <v>754</v>
      </c>
      <c r="D749" t="s">
        <v>286</v>
      </c>
      <c r="E749" s="70">
        <v>1517</v>
      </c>
    </row>
    <row r="750" spans="1:5" x14ac:dyDescent="0.25">
      <c r="A750" s="69">
        <v>46146</v>
      </c>
      <c r="B750" t="s">
        <v>166</v>
      </c>
      <c r="C750" t="s">
        <v>755</v>
      </c>
      <c r="D750" t="s">
        <v>286</v>
      </c>
      <c r="E750" s="70">
        <v>1746</v>
      </c>
    </row>
    <row r="751" spans="1:5" x14ac:dyDescent="0.25">
      <c r="A751" s="69">
        <v>46146</v>
      </c>
      <c r="B751" t="s">
        <v>157</v>
      </c>
      <c r="C751" t="s">
        <v>756</v>
      </c>
      <c r="D751" t="s">
        <v>286</v>
      </c>
      <c r="E751" s="70">
        <v>601</v>
      </c>
    </row>
    <row r="752" spans="1:5" x14ac:dyDescent="0.25">
      <c r="A752" s="69">
        <v>46146</v>
      </c>
      <c r="B752" t="s">
        <v>194</v>
      </c>
      <c r="C752" t="s">
        <v>757</v>
      </c>
      <c r="D752" t="s">
        <v>286</v>
      </c>
      <c r="E752" s="70">
        <v>598</v>
      </c>
    </row>
    <row r="753" spans="1:5" x14ac:dyDescent="0.25">
      <c r="A753" s="69">
        <v>46146</v>
      </c>
      <c r="B753" t="s">
        <v>604</v>
      </c>
      <c r="C753" t="s">
        <v>758</v>
      </c>
      <c r="D753" t="s">
        <v>286</v>
      </c>
      <c r="E753" s="70">
        <v>51548</v>
      </c>
    </row>
    <row r="754" spans="1:5" x14ac:dyDescent="0.25">
      <c r="A754" s="69">
        <v>46146</v>
      </c>
      <c r="B754" t="s">
        <v>759</v>
      </c>
      <c r="C754" t="s">
        <v>760</v>
      </c>
      <c r="D754" t="s">
        <v>286</v>
      </c>
      <c r="E754" s="70">
        <v>7686000</v>
      </c>
    </row>
    <row r="755" spans="1:5" x14ac:dyDescent="0.25">
      <c r="A755" s="69">
        <v>46146</v>
      </c>
      <c r="B755" t="s">
        <v>191</v>
      </c>
      <c r="C755" t="s">
        <v>761</v>
      </c>
      <c r="D755" t="s">
        <v>279</v>
      </c>
      <c r="E755" s="70">
        <v>2600495</v>
      </c>
    </row>
    <row r="756" spans="1:5" x14ac:dyDescent="0.25">
      <c r="A756" s="69">
        <v>46146</v>
      </c>
      <c r="B756" t="s">
        <v>481</v>
      </c>
      <c r="C756" t="s">
        <v>762</v>
      </c>
      <c r="D756" t="s">
        <v>299</v>
      </c>
      <c r="E756" s="70">
        <v>141587</v>
      </c>
    </row>
    <row r="757" spans="1:5" x14ac:dyDescent="0.25">
      <c r="A757" s="69">
        <v>46146</v>
      </c>
      <c r="B757" t="s">
        <v>763</v>
      </c>
      <c r="C757" t="s">
        <v>394</v>
      </c>
      <c r="D757" t="s">
        <v>286</v>
      </c>
      <c r="E757" s="70">
        <v>250000</v>
      </c>
    </row>
    <row r="758" spans="1:5" x14ac:dyDescent="0.25">
      <c r="A758" s="69">
        <v>46146</v>
      </c>
      <c r="B758" t="s">
        <v>163</v>
      </c>
      <c r="C758" t="s">
        <v>764</v>
      </c>
      <c r="D758" t="s">
        <v>301</v>
      </c>
      <c r="E758" s="70">
        <v>410177</v>
      </c>
    </row>
    <row r="759" spans="1:5" x14ac:dyDescent="0.25">
      <c r="A759" s="69">
        <v>46146</v>
      </c>
      <c r="B759" t="s">
        <v>191</v>
      </c>
      <c r="C759" t="s">
        <v>761</v>
      </c>
      <c r="D759" t="s">
        <v>286</v>
      </c>
      <c r="E759" s="70">
        <v>2600495</v>
      </c>
    </row>
    <row r="760" spans="1:5" x14ac:dyDescent="0.25">
      <c r="A760" s="69">
        <v>46146</v>
      </c>
      <c r="B760" t="s">
        <v>481</v>
      </c>
      <c r="C760" t="s">
        <v>762</v>
      </c>
      <c r="D760" t="s">
        <v>286</v>
      </c>
      <c r="E760" s="70">
        <v>141587</v>
      </c>
    </row>
    <row r="761" spans="1:5" x14ac:dyDescent="0.25">
      <c r="A761" s="69">
        <v>46146</v>
      </c>
      <c r="B761" t="s">
        <v>245</v>
      </c>
      <c r="C761" t="s">
        <v>765</v>
      </c>
      <c r="D761" t="s">
        <v>286</v>
      </c>
      <c r="E761" s="70">
        <v>2743000</v>
      </c>
    </row>
    <row r="762" spans="1:5" x14ac:dyDescent="0.25">
      <c r="A762" s="69">
        <v>46146</v>
      </c>
      <c r="B762" t="s">
        <v>481</v>
      </c>
      <c r="C762" t="s">
        <v>762</v>
      </c>
      <c r="D762" t="s">
        <v>285</v>
      </c>
      <c r="E762" s="70">
        <v>141587</v>
      </c>
    </row>
    <row r="763" spans="1:5" x14ac:dyDescent="0.25">
      <c r="A763" s="69">
        <v>46146</v>
      </c>
      <c r="B763" t="s">
        <v>245</v>
      </c>
      <c r="C763" t="s">
        <v>765</v>
      </c>
      <c r="D763" t="s">
        <v>277</v>
      </c>
      <c r="E763" s="70">
        <v>2743000</v>
      </c>
    </row>
    <row r="764" spans="1:5" x14ac:dyDescent="0.25">
      <c r="A764" s="69">
        <v>46146</v>
      </c>
      <c r="B764" t="s">
        <v>598</v>
      </c>
      <c r="C764" t="s">
        <v>766</v>
      </c>
      <c r="D764" t="s">
        <v>286</v>
      </c>
      <c r="E764" s="70">
        <v>1389847</v>
      </c>
    </row>
    <row r="765" spans="1:5" x14ac:dyDescent="0.25">
      <c r="A765" s="69">
        <v>46146</v>
      </c>
      <c r="B765" t="s">
        <v>598</v>
      </c>
      <c r="C765" t="s">
        <v>767</v>
      </c>
      <c r="D765" t="s">
        <v>285</v>
      </c>
      <c r="E765" s="70">
        <v>1096865</v>
      </c>
    </row>
    <row r="766" spans="1:5" x14ac:dyDescent="0.25">
      <c r="A766" s="69">
        <v>46146</v>
      </c>
      <c r="B766" t="s">
        <v>598</v>
      </c>
      <c r="C766" t="s">
        <v>768</v>
      </c>
      <c r="D766" t="s">
        <v>286</v>
      </c>
      <c r="E766" s="70">
        <v>1000924</v>
      </c>
    </row>
    <row r="767" spans="1:5" x14ac:dyDescent="0.25">
      <c r="A767" s="69">
        <v>46146</v>
      </c>
      <c r="B767" t="s">
        <v>598</v>
      </c>
      <c r="C767" t="s">
        <v>769</v>
      </c>
      <c r="D767" t="s">
        <v>301</v>
      </c>
      <c r="E767" s="70">
        <v>1283133</v>
      </c>
    </row>
    <row r="768" spans="1:5" x14ac:dyDescent="0.25">
      <c r="A768" s="69">
        <v>46146</v>
      </c>
      <c r="B768" t="s">
        <v>598</v>
      </c>
      <c r="C768" t="s">
        <v>766</v>
      </c>
      <c r="D768" t="s">
        <v>277</v>
      </c>
      <c r="E768" s="70">
        <v>1389847</v>
      </c>
    </row>
    <row r="769" spans="1:5" x14ac:dyDescent="0.25">
      <c r="A769" s="69">
        <v>46146</v>
      </c>
      <c r="B769" t="s">
        <v>164</v>
      </c>
      <c r="C769" t="s">
        <v>770</v>
      </c>
      <c r="D769" t="s">
        <v>285</v>
      </c>
      <c r="E769" s="70">
        <v>1081245</v>
      </c>
    </row>
    <row r="770" spans="1:5" x14ac:dyDescent="0.25">
      <c r="A770" s="69">
        <v>46146</v>
      </c>
      <c r="B770" t="s">
        <v>165</v>
      </c>
      <c r="C770" t="s">
        <v>771</v>
      </c>
      <c r="D770" t="s">
        <v>286</v>
      </c>
      <c r="E770" s="70">
        <v>1125000</v>
      </c>
    </row>
    <row r="771" spans="1:5" x14ac:dyDescent="0.25">
      <c r="A771" s="69">
        <v>46146</v>
      </c>
      <c r="B771" t="s">
        <v>164</v>
      </c>
      <c r="C771" t="s">
        <v>772</v>
      </c>
      <c r="D771" t="s">
        <v>286</v>
      </c>
      <c r="E771" s="70">
        <v>1553</v>
      </c>
    </row>
    <row r="772" spans="1:5" x14ac:dyDescent="0.25">
      <c r="A772" s="69">
        <v>46146</v>
      </c>
      <c r="B772" t="s">
        <v>152</v>
      </c>
      <c r="C772" t="s">
        <v>773</v>
      </c>
      <c r="D772" t="s">
        <v>286</v>
      </c>
      <c r="E772" s="70">
        <v>18289</v>
      </c>
    </row>
    <row r="773" spans="1:5" x14ac:dyDescent="0.25">
      <c r="A773" s="69">
        <v>46146</v>
      </c>
      <c r="B773" t="s">
        <v>194</v>
      </c>
      <c r="C773" t="s">
        <v>774</v>
      </c>
      <c r="D773" t="s">
        <v>286</v>
      </c>
      <c r="E773" s="70">
        <v>2348</v>
      </c>
    </row>
    <row r="774" spans="1:5" x14ac:dyDescent="0.25">
      <c r="A774" s="69">
        <v>46146</v>
      </c>
      <c r="B774" t="s">
        <v>598</v>
      </c>
      <c r="C774" t="s">
        <v>768</v>
      </c>
      <c r="D774" t="s">
        <v>285</v>
      </c>
      <c r="E774" s="70">
        <v>1000924</v>
      </c>
    </row>
    <row r="775" spans="1:5" x14ac:dyDescent="0.25">
      <c r="A775" s="69">
        <v>46146</v>
      </c>
      <c r="B775" t="s">
        <v>165</v>
      </c>
      <c r="C775" t="s">
        <v>771</v>
      </c>
      <c r="D775" t="s">
        <v>285</v>
      </c>
      <c r="E775" s="70">
        <v>1125000</v>
      </c>
    </row>
    <row r="776" spans="1:5" x14ac:dyDescent="0.25">
      <c r="A776" s="69">
        <v>46146</v>
      </c>
      <c r="B776" t="s">
        <v>191</v>
      </c>
      <c r="C776" t="s">
        <v>775</v>
      </c>
      <c r="D776" t="s">
        <v>286</v>
      </c>
      <c r="E776" s="70">
        <v>487</v>
      </c>
    </row>
    <row r="777" spans="1:5" x14ac:dyDescent="0.25">
      <c r="A777" s="69">
        <v>46146</v>
      </c>
      <c r="B777" t="s">
        <v>205</v>
      </c>
      <c r="C777" t="s">
        <v>776</v>
      </c>
      <c r="D777" t="s">
        <v>286</v>
      </c>
      <c r="E777" s="70">
        <v>4513</v>
      </c>
    </row>
    <row r="778" spans="1:5" x14ac:dyDescent="0.25">
      <c r="A778" s="69">
        <v>46146</v>
      </c>
      <c r="B778" t="s">
        <v>157</v>
      </c>
      <c r="C778" t="s">
        <v>432</v>
      </c>
      <c r="D778" t="s">
        <v>286</v>
      </c>
      <c r="E778" s="70">
        <v>285</v>
      </c>
    </row>
    <row r="779" spans="1:5" x14ac:dyDescent="0.25">
      <c r="A779" s="69">
        <v>46146</v>
      </c>
      <c r="B779" t="s">
        <v>202</v>
      </c>
      <c r="C779" t="s">
        <v>777</v>
      </c>
      <c r="D779" t="s">
        <v>286</v>
      </c>
      <c r="E779" s="70">
        <v>994</v>
      </c>
    </row>
    <row r="780" spans="1:5" x14ac:dyDescent="0.25">
      <c r="A780" s="69">
        <v>46146</v>
      </c>
      <c r="B780" t="s">
        <v>205</v>
      </c>
      <c r="C780" t="s">
        <v>778</v>
      </c>
      <c r="D780" t="s">
        <v>286</v>
      </c>
      <c r="E780" s="70">
        <v>17904</v>
      </c>
    </row>
    <row r="781" spans="1:5" x14ac:dyDescent="0.25">
      <c r="A781" s="69">
        <v>46146</v>
      </c>
      <c r="B781" t="s">
        <v>238</v>
      </c>
      <c r="C781" t="s">
        <v>779</v>
      </c>
      <c r="D781" t="s">
        <v>286</v>
      </c>
      <c r="E781" s="70">
        <v>251053</v>
      </c>
    </row>
    <row r="782" spans="1:5" x14ac:dyDescent="0.25">
      <c r="A782" s="69">
        <v>46146</v>
      </c>
      <c r="B782" t="s">
        <v>201</v>
      </c>
      <c r="C782" t="s">
        <v>780</v>
      </c>
      <c r="D782" t="s">
        <v>286</v>
      </c>
      <c r="E782" s="70">
        <v>1907</v>
      </c>
    </row>
    <row r="783" spans="1:5" x14ac:dyDescent="0.25">
      <c r="A783" s="69">
        <v>46146</v>
      </c>
      <c r="B783" t="s">
        <v>194</v>
      </c>
      <c r="C783" t="s">
        <v>781</v>
      </c>
      <c r="D783" t="s">
        <v>286</v>
      </c>
      <c r="E783" s="70">
        <v>1405</v>
      </c>
    </row>
    <row r="784" spans="1:5" x14ac:dyDescent="0.25">
      <c r="A784" s="69">
        <v>46146</v>
      </c>
      <c r="B784" t="s">
        <v>598</v>
      </c>
      <c r="C784" t="s">
        <v>782</v>
      </c>
      <c r="D784" t="s">
        <v>286</v>
      </c>
      <c r="E784" s="70">
        <v>768</v>
      </c>
    </row>
    <row r="785" spans="1:5" x14ac:dyDescent="0.25">
      <c r="A785" s="69">
        <v>46146</v>
      </c>
      <c r="B785" t="s">
        <v>201</v>
      </c>
      <c r="C785" t="s">
        <v>783</v>
      </c>
      <c r="D785" t="s">
        <v>286</v>
      </c>
      <c r="E785" s="70">
        <v>4709</v>
      </c>
    </row>
    <row r="786" spans="1:5" x14ac:dyDescent="0.25">
      <c r="A786" s="69">
        <v>46146</v>
      </c>
      <c r="B786" t="s">
        <v>164</v>
      </c>
      <c r="C786" t="s">
        <v>784</v>
      </c>
      <c r="D786" t="s">
        <v>286</v>
      </c>
      <c r="E786" s="70">
        <v>838</v>
      </c>
    </row>
    <row r="787" spans="1:5" x14ac:dyDescent="0.25">
      <c r="A787" s="69">
        <v>46146</v>
      </c>
      <c r="B787" t="s">
        <v>246</v>
      </c>
      <c r="C787" t="s">
        <v>785</v>
      </c>
      <c r="D787" t="s">
        <v>286</v>
      </c>
      <c r="E787" s="70">
        <v>535</v>
      </c>
    </row>
    <row r="788" spans="1:5" x14ac:dyDescent="0.25">
      <c r="A788" s="69">
        <v>46146</v>
      </c>
      <c r="B788" t="s">
        <v>180</v>
      </c>
      <c r="C788" t="s">
        <v>786</v>
      </c>
      <c r="D788" t="s">
        <v>286</v>
      </c>
      <c r="E788" s="70">
        <v>767</v>
      </c>
    </row>
    <row r="789" spans="1:5" x14ac:dyDescent="0.25">
      <c r="A789" s="69">
        <v>46146</v>
      </c>
      <c r="B789" t="s">
        <v>191</v>
      </c>
      <c r="C789" t="s">
        <v>787</v>
      </c>
      <c r="D789" t="s">
        <v>286</v>
      </c>
      <c r="E789" s="70">
        <v>1984</v>
      </c>
    </row>
    <row r="790" spans="1:5" x14ac:dyDescent="0.25">
      <c r="A790" s="69">
        <v>46146</v>
      </c>
      <c r="B790" t="s">
        <v>245</v>
      </c>
      <c r="C790" t="s">
        <v>788</v>
      </c>
      <c r="D790" t="s">
        <v>286</v>
      </c>
      <c r="E790" s="70">
        <v>193</v>
      </c>
    </row>
    <row r="791" spans="1:5" x14ac:dyDescent="0.25">
      <c r="A791" s="69">
        <v>46146</v>
      </c>
      <c r="B791" t="s">
        <v>202</v>
      </c>
      <c r="C791" t="s">
        <v>785</v>
      </c>
      <c r="D791" t="s">
        <v>286</v>
      </c>
      <c r="E791" s="70">
        <v>535</v>
      </c>
    </row>
    <row r="792" spans="1:5" x14ac:dyDescent="0.25">
      <c r="A792" s="69">
        <v>46146</v>
      </c>
      <c r="B792" t="s">
        <v>231</v>
      </c>
      <c r="C792" t="s">
        <v>789</v>
      </c>
      <c r="D792" t="s">
        <v>286</v>
      </c>
      <c r="E792" s="70">
        <v>220</v>
      </c>
    </row>
    <row r="793" spans="1:5" x14ac:dyDescent="0.25">
      <c r="A793" s="69">
        <v>46146</v>
      </c>
      <c r="B793" t="s">
        <v>790</v>
      </c>
      <c r="C793" t="s">
        <v>791</v>
      </c>
      <c r="D793" t="s">
        <v>286</v>
      </c>
      <c r="E793" s="70">
        <v>152</v>
      </c>
    </row>
    <row r="794" spans="1:5" x14ac:dyDescent="0.25">
      <c r="A794" s="69">
        <v>46146</v>
      </c>
      <c r="B794" t="s">
        <v>194</v>
      </c>
      <c r="C794" t="s">
        <v>792</v>
      </c>
      <c r="D794" t="s">
        <v>286</v>
      </c>
      <c r="E794" s="70">
        <v>425</v>
      </c>
    </row>
    <row r="795" spans="1:5" x14ac:dyDescent="0.25">
      <c r="A795" s="69">
        <v>46146</v>
      </c>
      <c r="B795" t="s">
        <v>621</v>
      </c>
      <c r="C795" t="s">
        <v>793</v>
      </c>
      <c r="D795" t="s">
        <v>286</v>
      </c>
      <c r="E795" s="70">
        <v>250880</v>
      </c>
    </row>
    <row r="796" spans="1:5" x14ac:dyDescent="0.25">
      <c r="A796" s="69">
        <v>46146</v>
      </c>
      <c r="B796" t="s">
        <v>794</v>
      </c>
      <c r="C796" t="s">
        <v>795</v>
      </c>
      <c r="D796" t="s">
        <v>285</v>
      </c>
      <c r="E796" s="70">
        <v>124</v>
      </c>
    </row>
    <row r="797" spans="1:5" x14ac:dyDescent="0.25">
      <c r="A797" s="69">
        <v>46146</v>
      </c>
      <c r="B797" t="s">
        <v>156</v>
      </c>
      <c r="C797" t="s">
        <v>394</v>
      </c>
      <c r="D797" t="s">
        <v>285</v>
      </c>
      <c r="E797" s="70">
        <v>250000</v>
      </c>
    </row>
    <row r="798" spans="1:5" x14ac:dyDescent="0.25">
      <c r="A798" s="69">
        <v>46146</v>
      </c>
      <c r="B798" t="s">
        <v>242</v>
      </c>
      <c r="C798" t="s">
        <v>795</v>
      </c>
      <c r="D798" t="s">
        <v>286</v>
      </c>
      <c r="E798" s="70">
        <v>124</v>
      </c>
    </row>
    <row r="799" spans="1:5" x14ac:dyDescent="0.25">
      <c r="A799" s="69">
        <v>46146</v>
      </c>
      <c r="B799" t="s">
        <v>717</v>
      </c>
      <c r="C799" t="s">
        <v>796</v>
      </c>
      <c r="D799" t="s">
        <v>286</v>
      </c>
      <c r="E799" s="70">
        <v>484</v>
      </c>
    </row>
    <row r="800" spans="1:5" x14ac:dyDescent="0.25">
      <c r="A800" s="69">
        <v>46146</v>
      </c>
      <c r="B800" t="s">
        <v>238</v>
      </c>
      <c r="C800" t="s">
        <v>797</v>
      </c>
      <c r="D800" t="s">
        <v>286</v>
      </c>
      <c r="E800" s="70">
        <v>396</v>
      </c>
    </row>
    <row r="801" spans="1:7" x14ac:dyDescent="0.25">
      <c r="A801" s="69">
        <v>46146</v>
      </c>
      <c r="B801" t="s">
        <v>191</v>
      </c>
      <c r="C801" t="s">
        <v>798</v>
      </c>
      <c r="D801" t="s">
        <v>286</v>
      </c>
      <c r="E801" s="70">
        <v>577</v>
      </c>
    </row>
    <row r="802" spans="1:7" x14ac:dyDescent="0.25">
      <c r="A802" s="69">
        <v>46146</v>
      </c>
      <c r="B802" t="s">
        <v>799</v>
      </c>
      <c r="C802" t="s">
        <v>800</v>
      </c>
      <c r="D802" t="s">
        <v>285</v>
      </c>
      <c r="E802" s="70">
        <v>330</v>
      </c>
    </row>
    <row r="803" spans="1:7" x14ac:dyDescent="0.25">
      <c r="A803" s="69">
        <v>46146</v>
      </c>
      <c r="B803" t="s">
        <v>168</v>
      </c>
      <c r="C803" t="s">
        <v>801</v>
      </c>
      <c r="D803" t="s">
        <v>285</v>
      </c>
      <c r="E803" s="70">
        <v>4500</v>
      </c>
    </row>
    <row r="804" spans="1:7" x14ac:dyDescent="0.25">
      <c r="A804" s="69">
        <v>46146</v>
      </c>
      <c r="B804" t="s">
        <v>212</v>
      </c>
      <c r="C804" t="s">
        <v>343</v>
      </c>
      <c r="D804" t="s">
        <v>285</v>
      </c>
      <c r="E804" s="70">
        <v>1880</v>
      </c>
    </row>
    <row r="805" spans="1:7" x14ac:dyDescent="0.25">
      <c r="A805" s="69">
        <v>46146</v>
      </c>
      <c r="B805" t="s">
        <v>229</v>
      </c>
      <c r="C805" t="s">
        <v>281</v>
      </c>
      <c r="D805" t="s">
        <v>282</v>
      </c>
      <c r="F805" s="70">
        <v>7</v>
      </c>
      <c r="G805" s="70">
        <v>168</v>
      </c>
    </row>
    <row r="806" spans="1:7" x14ac:dyDescent="0.25">
      <c r="A806" s="69">
        <v>46146</v>
      </c>
      <c r="B806" t="s">
        <v>613</v>
      </c>
      <c r="C806" t="s">
        <v>802</v>
      </c>
      <c r="D806" t="s">
        <v>286</v>
      </c>
      <c r="E806" s="70">
        <v>18060000</v>
      </c>
    </row>
    <row r="807" spans="1:7" x14ac:dyDescent="0.25">
      <c r="A807" s="69">
        <v>46146</v>
      </c>
      <c r="B807" t="s">
        <v>168</v>
      </c>
      <c r="C807" t="s">
        <v>801</v>
      </c>
      <c r="D807" t="s">
        <v>349</v>
      </c>
      <c r="E807" s="70">
        <v>4500</v>
      </c>
    </row>
    <row r="808" spans="1:7" x14ac:dyDescent="0.25">
      <c r="A808" s="69">
        <v>46146</v>
      </c>
      <c r="B808" t="s">
        <v>613</v>
      </c>
      <c r="C808" t="s">
        <v>802</v>
      </c>
      <c r="D808" t="s">
        <v>277</v>
      </c>
      <c r="E808" s="70">
        <v>18060000</v>
      </c>
    </row>
    <row r="809" spans="1:7" x14ac:dyDescent="0.25">
      <c r="A809" s="69">
        <v>46146</v>
      </c>
      <c r="B809" t="s">
        <v>613</v>
      </c>
      <c r="C809" t="s">
        <v>803</v>
      </c>
      <c r="D809" t="s">
        <v>285</v>
      </c>
      <c r="E809" s="70">
        <v>6000</v>
      </c>
    </row>
    <row r="810" spans="1:7" x14ac:dyDescent="0.25">
      <c r="A810" s="69">
        <v>46146</v>
      </c>
      <c r="B810" t="s">
        <v>229</v>
      </c>
      <c r="C810" t="s">
        <v>801</v>
      </c>
      <c r="D810" t="s">
        <v>344</v>
      </c>
      <c r="E810" s="70">
        <v>4500</v>
      </c>
    </row>
    <row r="811" spans="1:7" x14ac:dyDescent="0.25">
      <c r="A811" s="69">
        <v>46146</v>
      </c>
      <c r="B811" t="s">
        <v>165</v>
      </c>
      <c r="C811" t="s">
        <v>328</v>
      </c>
      <c r="D811" t="s">
        <v>277</v>
      </c>
      <c r="E811" s="70">
        <v>50000</v>
      </c>
    </row>
    <row r="812" spans="1:7" x14ac:dyDescent="0.25">
      <c r="A812" s="69">
        <v>46146</v>
      </c>
      <c r="B812" t="s">
        <v>613</v>
      </c>
      <c r="C812" t="s">
        <v>803</v>
      </c>
      <c r="D812" t="s">
        <v>349</v>
      </c>
      <c r="E812" s="70">
        <v>6000</v>
      </c>
    </row>
    <row r="813" spans="1:7" x14ac:dyDescent="0.25">
      <c r="A813" s="69">
        <v>46146</v>
      </c>
      <c r="B813" t="s">
        <v>229</v>
      </c>
      <c r="C813" t="s">
        <v>801</v>
      </c>
      <c r="D813" t="s">
        <v>349</v>
      </c>
      <c r="E813" s="70">
        <v>4500</v>
      </c>
    </row>
    <row r="814" spans="1:7" x14ac:dyDescent="0.25">
      <c r="A814" s="69">
        <v>46146</v>
      </c>
      <c r="B814" t="s">
        <v>202</v>
      </c>
      <c r="C814" t="s">
        <v>804</v>
      </c>
      <c r="D814" t="s">
        <v>286</v>
      </c>
      <c r="E814" s="70">
        <v>185466</v>
      </c>
    </row>
    <row r="815" spans="1:7" x14ac:dyDescent="0.25">
      <c r="A815" s="69">
        <v>46146</v>
      </c>
      <c r="B815" t="s">
        <v>180</v>
      </c>
      <c r="C815" t="s">
        <v>805</v>
      </c>
      <c r="D815" t="s">
        <v>301</v>
      </c>
      <c r="E815" s="70">
        <v>1289351</v>
      </c>
    </row>
    <row r="816" spans="1:7" x14ac:dyDescent="0.25">
      <c r="A816" s="69">
        <v>46146</v>
      </c>
      <c r="B816" t="s">
        <v>180</v>
      </c>
      <c r="C816" t="s">
        <v>806</v>
      </c>
      <c r="D816" t="s">
        <v>286</v>
      </c>
      <c r="E816" s="70">
        <v>1110706</v>
      </c>
    </row>
    <row r="817" spans="1:5" x14ac:dyDescent="0.25">
      <c r="A817" s="69">
        <v>46146</v>
      </c>
      <c r="B817" t="s">
        <v>180</v>
      </c>
      <c r="C817" t="s">
        <v>807</v>
      </c>
      <c r="D817" t="s">
        <v>285</v>
      </c>
      <c r="E817" s="70">
        <v>1212047</v>
      </c>
    </row>
    <row r="818" spans="1:5" x14ac:dyDescent="0.25">
      <c r="A818" s="69">
        <v>46146</v>
      </c>
      <c r="B818" t="s">
        <v>180</v>
      </c>
      <c r="C818" t="s">
        <v>806</v>
      </c>
      <c r="D818" t="s">
        <v>279</v>
      </c>
      <c r="E818" s="70">
        <v>1110706</v>
      </c>
    </row>
    <row r="819" spans="1:5" x14ac:dyDescent="0.25">
      <c r="A819" s="69">
        <v>46146</v>
      </c>
      <c r="B819" t="s">
        <v>246</v>
      </c>
      <c r="C819" t="s">
        <v>808</v>
      </c>
      <c r="D819" t="s">
        <v>286</v>
      </c>
      <c r="E819" s="70">
        <v>1015986</v>
      </c>
    </row>
    <row r="820" spans="1:5" x14ac:dyDescent="0.25">
      <c r="A820" s="69">
        <v>46146</v>
      </c>
      <c r="B820" t="s">
        <v>246</v>
      </c>
      <c r="C820" t="s">
        <v>809</v>
      </c>
      <c r="D820" t="s">
        <v>301</v>
      </c>
      <c r="E820" s="70">
        <v>1000088</v>
      </c>
    </row>
    <row r="821" spans="1:5" x14ac:dyDescent="0.25">
      <c r="A821" s="69">
        <v>46146</v>
      </c>
      <c r="B821" t="s">
        <v>246</v>
      </c>
      <c r="C821" t="s">
        <v>810</v>
      </c>
      <c r="D821" t="s">
        <v>286</v>
      </c>
      <c r="E821" s="70">
        <v>1101197</v>
      </c>
    </row>
    <row r="822" spans="1:5" x14ac:dyDescent="0.25">
      <c r="A822" s="69">
        <v>46146</v>
      </c>
      <c r="B822" t="s">
        <v>246</v>
      </c>
      <c r="C822" t="s">
        <v>811</v>
      </c>
      <c r="D822" t="s">
        <v>285</v>
      </c>
      <c r="E822" s="70">
        <v>1111211</v>
      </c>
    </row>
    <row r="823" spans="1:5" x14ac:dyDescent="0.25">
      <c r="A823" s="69">
        <v>46146</v>
      </c>
      <c r="B823" t="s">
        <v>169</v>
      </c>
      <c r="C823" t="s">
        <v>679</v>
      </c>
      <c r="D823" t="s">
        <v>277</v>
      </c>
      <c r="E823" s="70">
        <v>350000</v>
      </c>
    </row>
    <row r="824" spans="1:5" x14ac:dyDescent="0.25">
      <c r="A824" s="69">
        <v>46146</v>
      </c>
      <c r="B824" t="s">
        <v>604</v>
      </c>
      <c r="C824" t="s">
        <v>812</v>
      </c>
      <c r="D824" t="s">
        <v>286</v>
      </c>
      <c r="E824" s="70">
        <v>14000000</v>
      </c>
    </row>
    <row r="825" spans="1:5" x14ac:dyDescent="0.25">
      <c r="A825" s="69">
        <v>46146</v>
      </c>
      <c r="B825" t="s">
        <v>246</v>
      </c>
      <c r="C825" t="s">
        <v>808</v>
      </c>
      <c r="D825" t="s">
        <v>285</v>
      </c>
      <c r="E825" s="70">
        <v>1015986</v>
      </c>
    </row>
    <row r="826" spans="1:5" x14ac:dyDescent="0.25">
      <c r="A826" s="69">
        <v>46146</v>
      </c>
      <c r="B826" t="s">
        <v>604</v>
      </c>
      <c r="C826" t="s">
        <v>812</v>
      </c>
      <c r="D826" t="s">
        <v>277</v>
      </c>
      <c r="E826" s="70">
        <v>14000000</v>
      </c>
    </row>
    <row r="827" spans="1:5" x14ac:dyDescent="0.25">
      <c r="A827" s="69">
        <v>46146</v>
      </c>
      <c r="B827" t="s">
        <v>246</v>
      </c>
      <c r="C827" t="s">
        <v>813</v>
      </c>
      <c r="D827" t="s">
        <v>285</v>
      </c>
      <c r="E827" s="70">
        <v>1353049</v>
      </c>
    </row>
    <row r="828" spans="1:5" x14ac:dyDescent="0.25">
      <c r="A828" s="69">
        <v>46146</v>
      </c>
      <c r="B828" t="s">
        <v>163</v>
      </c>
      <c r="C828" t="s">
        <v>814</v>
      </c>
      <c r="D828" t="s">
        <v>286</v>
      </c>
      <c r="E828" s="70">
        <v>264</v>
      </c>
    </row>
    <row r="829" spans="1:5" x14ac:dyDescent="0.25">
      <c r="A829" s="69">
        <v>46146</v>
      </c>
      <c r="B829" t="s">
        <v>250</v>
      </c>
      <c r="C829" t="s">
        <v>815</v>
      </c>
      <c r="D829" t="s">
        <v>285</v>
      </c>
      <c r="E829" s="70">
        <v>500746</v>
      </c>
    </row>
    <row r="830" spans="1:5" x14ac:dyDescent="0.25">
      <c r="A830" s="69">
        <v>46146</v>
      </c>
      <c r="B830" t="s">
        <v>250</v>
      </c>
      <c r="C830" t="s">
        <v>816</v>
      </c>
      <c r="D830" t="s">
        <v>286</v>
      </c>
      <c r="E830" s="70">
        <v>10680666</v>
      </c>
    </row>
    <row r="831" spans="1:5" x14ac:dyDescent="0.25">
      <c r="A831" s="69">
        <v>46146</v>
      </c>
      <c r="B831" t="s">
        <v>598</v>
      </c>
      <c r="C831" t="s">
        <v>817</v>
      </c>
      <c r="D831" t="s">
        <v>301</v>
      </c>
      <c r="E831" s="70">
        <v>1038274</v>
      </c>
    </row>
    <row r="832" spans="1:5" x14ac:dyDescent="0.25">
      <c r="A832" s="69">
        <v>46146</v>
      </c>
      <c r="B832" t="s">
        <v>246</v>
      </c>
      <c r="C832" t="s">
        <v>810</v>
      </c>
      <c r="D832" t="s">
        <v>285</v>
      </c>
      <c r="E832" s="70">
        <v>1101197</v>
      </c>
    </row>
    <row r="833" spans="1:5" x14ac:dyDescent="0.25">
      <c r="A833" s="69">
        <v>46146</v>
      </c>
      <c r="B833" t="s">
        <v>169</v>
      </c>
      <c r="C833" t="s">
        <v>679</v>
      </c>
      <c r="D833" t="s">
        <v>285</v>
      </c>
      <c r="E833" s="70">
        <v>350000</v>
      </c>
    </row>
    <row r="834" spans="1:5" x14ac:dyDescent="0.25">
      <c r="A834" s="69">
        <v>46146</v>
      </c>
      <c r="B834" t="s">
        <v>246</v>
      </c>
      <c r="C834" t="s">
        <v>813</v>
      </c>
      <c r="D834" t="s">
        <v>277</v>
      </c>
      <c r="E834" s="70">
        <v>1353049</v>
      </c>
    </row>
    <row r="835" spans="1:5" x14ac:dyDescent="0.25">
      <c r="A835" s="69">
        <v>46146</v>
      </c>
      <c r="B835" t="s">
        <v>250</v>
      </c>
      <c r="C835" t="s">
        <v>816</v>
      </c>
      <c r="D835" t="s">
        <v>277</v>
      </c>
      <c r="E835" s="70">
        <v>10680666</v>
      </c>
    </row>
    <row r="836" spans="1:5" x14ac:dyDescent="0.25">
      <c r="A836" s="69">
        <v>46146</v>
      </c>
      <c r="B836" t="s">
        <v>244</v>
      </c>
      <c r="C836" t="s">
        <v>818</v>
      </c>
      <c r="D836" t="s">
        <v>286</v>
      </c>
      <c r="E836" s="70">
        <v>8112000</v>
      </c>
    </row>
    <row r="837" spans="1:5" x14ac:dyDescent="0.25">
      <c r="A837" s="69">
        <v>46146</v>
      </c>
      <c r="B837" t="s">
        <v>250</v>
      </c>
      <c r="C837" t="s">
        <v>819</v>
      </c>
      <c r="D837" t="s">
        <v>286</v>
      </c>
      <c r="E837" s="70">
        <v>615836</v>
      </c>
    </row>
    <row r="838" spans="1:5" x14ac:dyDescent="0.25">
      <c r="A838" s="69">
        <v>46146</v>
      </c>
      <c r="B838" t="s">
        <v>598</v>
      </c>
      <c r="C838" t="s">
        <v>820</v>
      </c>
      <c r="D838" t="s">
        <v>286</v>
      </c>
      <c r="E838" s="70">
        <v>1050109</v>
      </c>
    </row>
    <row r="839" spans="1:5" x14ac:dyDescent="0.25">
      <c r="A839" s="69">
        <v>46146</v>
      </c>
      <c r="B839" t="s">
        <v>598</v>
      </c>
      <c r="C839" t="s">
        <v>821</v>
      </c>
      <c r="D839" t="s">
        <v>285</v>
      </c>
      <c r="E839" s="70">
        <v>1010329</v>
      </c>
    </row>
    <row r="840" spans="1:5" x14ac:dyDescent="0.25">
      <c r="A840" s="69">
        <v>46146</v>
      </c>
      <c r="B840" t="s">
        <v>481</v>
      </c>
      <c r="C840" t="s">
        <v>822</v>
      </c>
      <c r="D840" t="s">
        <v>286</v>
      </c>
      <c r="E840" s="70">
        <v>149422</v>
      </c>
    </row>
    <row r="841" spans="1:5" x14ac:dyDescent="0.25">
      <c r="A841" s="69">
        <v>46146</v>
      </c>
      <c r="B841" t="s">
        <v>763</v>
      </c>
      <c r="C841" t="s">
        <v>823</v>
      </c>
      <c r="D841" t="s">
        <v>301</v>
      </c>
      <c r="E841" s="70">
        <v>7620000</v>
      </c>
    </row>
    <row r="842" spans="1:5" x14ac:dyDescent="0.25">
      <c r="A842" s="69">
        <v>46146</v>
      </c>
      <c r="B842" t="s">
        <v>244</v>
      </c>
      <c r="C842" t="s">
        <v>818</v>
      </c>
      <c r="D842" t="s">
        <v>277</v>
      </c>
      <c r="E842" s="70">
        <v>8112000</v>
      </c>
    </row>
    <row r="843" spans="1:5" x14ac:dyDescent="0.25">
      <c r="A843" s="69">
        <v>46146</v>
      </c>
      <c r="B843" t="s">
        <v>598</v>
      </c>
      <c r="C843" t="s">
        <v>820</v>
      </c>
      <c r="D843" t="s">
        <v>279</v>
      </c>
      <c r="E843" s="70">
        <v>1050109</v>
      </c>
    </row>
    <row r="844" spans="1:5" x14ac:dyDescent="0.25">
      <c r="A844" s="69">
        <v>46146</v>
      </c>
      <c r="B844" t="s">
        <v>481</v>
      </c>
      <c r="C844" t="s">
        <v>822</v>
      </c>
      <c r="D844" t="s">
        <v>277</v>
      </c>
      <c r="E844" s="70">
        <v>149422</v>
      </c>
    </row>
    <row r="845" spans="1:5" x14ac:dyDescent="0.25">
      <c r="A845" s="69">
        <v>46146</v>
      </c>
      <c r="B845" t="s">
        <v>763</v>
      </c>
      <c r="C845" t="s">
        <v>823</v>
      </c>
      <c r="D845" t="s">
        <v>285</v>
      </c>
      <c r="E845" s="70">
        <v>7620000</v>
      </c>
    </row>
    <row r="846" spans="1:5" x14ac:dyDescent="0.25">
      <c r="A846" s="69">
        <v>46146</v>
      </c>
      <c r="B846" t="s">
        <v>163</v>
      </c>
      <c r="C846" t="s">
        <v>824</v>
      </c>
      <c r="D846" t="s">
        <v>279</v>
      </c>
      <c r="E846" s="70">
        <v>814642</v>
      </c>
    </row>
    <row r="847" spans="1:5" x14ac:dyDescent="0.25">
      <c r="A847" s="69">
        <v>46146</v>
      </c>
      <c r="B847" t="s">
        <v>163</v>
      </c>
      <c r="C847" t="s">
        <v>825</v>
      </c>
      <c r="D847" t="s">
        <v>285</v>
      </c>
      <c r="E847" s="70">
        <v>272023</v>
      </c>
    </row>
    <row r="848" spans="1:5" x14ac:dyDescent="0.25">
      <c r="A848" s="69">
        <v>46146</v>
      </c>
      <c r="B848" t="s">
        <v>609</v>
      </c>
      <c r="C848" t="s">
        <v>826</v>
      </c>
      <c r="D848" t="s">
        <v>286</v>
      </c>
      <c r="E848" s="70">
        <v>17145000</v>
      </c>
    </row>
    <row r="849" spans="1:7" x14ac:dyDescent="0.25">
      <c r="A849" s="69">
        <v>46146</v>
      </c>
      <c r="B849" t="s">
        <v>163</v>
      </c>
      <c r="C849" t="s">
        <v>827</v>
      </c>
      <c r="D849" t="s">
        <v>286</v>
      </c>
      <c r="E849" s="70">
        <v>1827147</v>
      </c>
    </row>
    <row r="850" spans="1:7" x14ac:dyDescent="0.25">
      <c r="A850" s="69">
        <v>46146</v>
      </c>
      <c r="B850" t="s">
        <v>157</v>
      </c>
      <c r="C850" t="s">
        <v>828</v>
      </c>
      <c r="D850" t="s">
        <v>285</v>
      </c>
      <c r="E850" s="70">
        <v>821722</v>
      </c>
    </row>
    <row r="851" spans="1:7" x14ac:dyDescent="0.25">
      <c r="A851" s="69">
        <v>46146</v>
      </c>
      <c r="B851" t="s">
        <v>598</v>
      </c>
      <c r="C851" t="s">
        <v>820</v>
      </c>
      <c r="D851" t="s">
        <v>285</v>
      </c>
      <c r="E851" s="70">
        <v>1050109</v>
      </c>
    </row>
    <row r="852" spans="1:7" x14ac:dyDescent="0.25">
      <c r="A852" s="69">
        <v>46146</v>
      </c>
      <c r="B852" t="s">
        <v>609</v>
      </c>
      <c r="C852" t="s">
        <v>826</v>
      </c>
      <c r="D852" t="s">
        <v>279</v>
      </c>
      <c r="E852" s="70">
        <v>17145000</v>
      </c>
    </row>
    <row r="853" spans="1:7" x14ac:dyDescent="0.25">
      <c r="A853" s="69">
        <v>46146</v>
      </c>
      <c r="B853" t="s">
        <v>163</v>
      </c>
      <c r="C853" t="s">
        <v>827</v>
      </c>
      <c r="D853" t="s">
        <v>277</v>
      </c>
      <c r="E853" s="70">
        <v>1827147</v>
      </c>
    </row>
    <row r="854" spans="1:7" x14ac:dyDescent="0.25">
      <c r="A854" s="69">
        <v>46146</v>
      </c>
      <c r="B854" t="s">
        <v>157</v>
      </c>
      <c r="C854" t="s">
        <v>828</v>
      </c>
      <c r="D854" t="s">
        <v>286</v>
      </c>
      <c r="E854" s="70">
        <v>821722</v>
      </c>
    </row>
    <row r="855" spans="1:7" x14ac:dyDescent="0.25">
      <c r="A855" s="69">
        <v>46146</v>
      </c>
      <c r="B855" t="s">
        <v>236</v>
      </c>
      <c r="C855" t="s">
        <v>829</v>
      </c>
      <c r="D855" t="s">
        <v>286</v>
      </c>
      <c r="E855" s="70">
        <v>1250000</v>
      </c>
    </row>
    <row r="856" spans="1:7" x14ac:dyDescent="0.25">
      <c r="A856" s="69">
        <v>46146</v>
      </c>
      <c r="B856" t="s">
        <v>194</v>
      </c>
      <c r="C856" t="s">
        <v>830</v>
      </c>
      <c r="D856" t="s">
        <v>282</v>
      </c>
      <c r="F856" s="70">
        <v>8</v>
      </c>
      <c r="G856" s="70">
        <v>194</v>
      </c>
    </row>
    <row r="857" spans="1:7" x14ac:dyDescent="0.25">
      <c r="A857" s="69">
        <v>46146</v>
      </c>
      <c r="B857" t="s">
        <v>242</v>
      </c>
      <c r="C857" t="s">
        <v>831</v>
      </c>
      <c r="D857" t="s">
        <v>282</v>
      </c>
      <c r="F857" s="70">
        <v>1</v>
      </c>
      <c r="G857" s="70">
        <v>30</v>
      </c>
    </row>
    <row r="858" spans="1:7" x14ac:dyDescent="0.25">
      <c r="A858" s="69">
        <v>46146</v>
      </c>
      <c r="B858" t="s">
        <v>157</v>
      </c>
      <c r="C858" t="s">
        <v>828</v>
      </c>
      <c r="D858" t="s">
        <v>279</v>
      </c>
      <c r="E858" s="70">
        <v>821722</v>
      </c>
    </row>
    <row r="859" spans="1:7" x14ac:dyDescent="0.25">
      <c r="A859" s="69">
        <v>46146</v>
      </c>
      <c r="B859" t="s">
        <v>622</v>
      </c>
      <c r="C859" t="s">
        <v>832</v>
      </c>
      <c r="D859" t="s">
        <v>282</v>
      </c>
      <c r="F859" s="70">
        <v>77</v>
      </c>
      <c r="G859" s="70">
        <v>1855</v>
      </c>
    </row>
    <row r="860" spans="1:7" x14ac:dyDescent="0.25">
      <c r="A860" s="69">
        <v>46146</v>
      </c>
      <c r="B860" t="s">
        <v>621</v>
      </c>
      <c r="C860" t="s">
        <v>833</v>
      </c>
      <c r="D860" t="s">
        <v>282</v>
      </c>
      <c r="F860" s="70">
        <v>3</v>
      </c>
      <c r="G860" s="70">
        <v>77</v>
      </c>
    </row>
    <row r="861" spans="1:7" x14ac:dyDescent="0.25">
      <c r="A861" s="69">
        <v>46146</v>
      </c>
      <c r="B861" t="s">
        <v>164</v>
      </c>
      <c r="C861" t="s">
        <v>834</v>
      </c>
      <c r="D861" t="s">
        <v>285</v>
      </c>
      <c r="E861" s="70">
        <v>1009841</v>
      </c>
    </row>
    <row r="862" spans="1:7" x14ac:dyDescent="0.25">
      <c r="A862" s="69">
        <v>46146</v>
      </c>
      <c r="B862" t="s">
        <v>205</v>
      </c>
      <c r="C862" t="s">
        <v>835</v>
      </c>
      <c r="D862" t="s">
        <v>286</v>
      </c>
      <c r="E862" s="70">
        <v>8946000</v>
      </c>
    </row>
  </sheetData>
  <phoneticPr fontId="14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D5D5-91A8-4825-A4CF-1847A8C7B677}">
  <dimension ref="A1:AA3139"/>
  <sheetViews>
    <sheetView topLeftCell="A3084" zoomScale="130" zoomScaleNormal="130" workbookViewId="0">
      <selection activeCell="C3106" sqref="C3106"/>
    </sheetView>
  </sheetViews>
  <sheetFormatPr defaultRowHeight="15" x14ac:dyDescent="0.25"/>
  <cols>
    <col min="1" max="1" width="14.7109375" style="13" bestFit="1" customWidth="1"/>
    <col min="2" max="2" width="14.7109375" bestFit="1" customWidth="1"/>
    <col min="3" max="3" width="26.28515625" bestFit="1" customWidth="1"/>
    <col min="4" max="4" width="20.42578125" bestFit="1" customWidth="1"/>
    <col min="5" max="5" width="32" bestFit="1" customWidth="1"/>
    <col min="6" max="6" width="15.140625" bestFit="1" customWidth="1"/>
    <col min="8" max="8" width="20.42578125" bestFit="1" customWidth="1"/>
    <col min="9" max="9" width="6.140625" customWidth="1"/>
    <col min="10" max="10" width="20.42578125" bestFit="1" customWidth="1"/>
    <col min="11" max="11" width="16.28515625" bestFit="1" customWidth="1"/>
    <col min="12" max="12" width="14" bestFit="1" customWidth="1"/>
    <col min="13" max="13" width="5.28515625" bestFit="1" customWidth="1"/>
    <col min="14" max="14" width="10.7109375" bestFit="1" customWidth="1"/>
    <col min="15" max="15" width="9.28515625" bestFit="1" customWidth="1"/>
    <col min="16" max="16" width="13.7109375" bestFit="1" customWidth="1"/>
    <col min="17" max="17" width="10.7109375" bestFit="1" customWidth="1"/>
    <col min="18" max="18" width="9.28515625" bestFit="1" customWidth="1"/>
    <col min="19" max="19" width="13.28515625" bestFit="1" customWidth="1"/>
    <col min="20" max="20" width="13.7109375" bestFit="1" customWidth="1"/>
    <col min="21" max="21" width="10.7109375" bestFit="1" customWidth="1"/>
    <col min="22" max="22" width="9.28515625" bestFit="1" customWidth="1"/>
    <col min="23" max="23" width="13.28515625" bestFit="1" customWidth="1"/>
    <col min="24" max="24" width="13.7109375" bestFit="1" customWidth="1"/>
    <col min="25" max="25" width="8.140625" bestFit="1" customWidth="1"/>
    <col min="26" max="26" width="7" bestFit="1" customWidth="1"/>
    <col min="27" max="27" width="11.28515625" bestFit="1" customWidth="1"/>
    <col min="28" max="28" width="17.7109375" bestFit="1" customWidth="1"/>
    <col min="29" max="29" width="17.5703125" bestFit="1" customWidth="1"/>
    <col min="30" max="30" width="30.5703125" bestFit="1" customWidth="1"/>
    <col min="31" max="31" width="12.28515625" bestFit="1" customWidth="1"/>
    <col min="32" max="32" width="12" bestFit="1" customWidth="1"/>
    <col min="33" max="33" width="24.5703125" bestFit="1" customWidth="1"/>
    <col min="34" max="34" width="5.5703125" bestFit="1" customWidth="1"/>
    <col min="35" max="35" width="32.140625" bestFit="1" customWidth="1"/>
    <col min="36" max="36" width="11.28515625" bestFit="1" customWidth="1"/>
    <col min="37" max="70" width="20.42578125" bestFit="1" customWidth="1"/>
    <col min="71" max="71" width="11.28515625" bestFit="1" customWidth="1"/>
  </cols>
  <sheetData>
    <row r="1" spans="1:27" x14ac:dyDescent="0.25">
      <c r="A1" s="13" t="s">
        <v>154</v>
      </c>
      <c r="B1" t="s">
        <v>145</v>
      </c>
      <c r="C1" t="s">
        <v>146</v>
      </c>
      <c r="D1" t="s">
        <v>147</v>
      </c>
      <c r="E1" t="s">
        <v>148</v>
      </c>
      <c r="F1" s="21" t="s">
        <v>170</v>
      </c>
      <c r="H1" s="15" t="s">
        <v>249</v>
      </c>
      <c r="J1" s="15" t="s">
        <v>271</v>
      </c>
      <c r="K1" s="15" t="s">
        <v>270</v>
      </c>
    </row>
    <row r="2" spans="1:27" x14ac:dyDescent="0.25">
      <c r="A2" s="14">
        <v>46143.04583333333</v>
      </c>
      <c r="B2" s="79" t="s">
        <v>149</v>
      </c>
      <c r="C2" s="79" t="s">
        <v>158</v>
      </c>
      <c r="D2" s="79" t="s">
        <v>242</v>
      </c>
      <c r="E2" s="79" t="s">
        <v>49</v>
      </c>
      <c r="F2" s="79" t="str">
        <f>IF(E2="", "", IF(COUNTIF(ChestType!$A$5:$A$195, E2)&gt;0, VLOOKUP(E2, ChestType!$A$5:$B$195, 2, 0), "Others"))</f>
        <v>L15 Crypt</v>
      </c>
      <c r="H2" s="13" t="s">
        <v>259</v>
      </c>
      <c r="J2" s="15" t="s">
        <v>249</v>
      </c>
      <c r="K2" t="s">
        <v>35</v>
      </c>
      <c r="L2" t="s">
        <v>124</v>
      </c>
      <c r="M2" t="s">
        <v>24</v>
      </c>
      <c r="N2" t="s">
        <v>15</v>
      </c>
      <c r="O2" t="s">
        <v>1</v>
      </c>
      <c r="P2" t="s">
        <v>93</v>
      </c>
      <c r="Q2" t="s">
        <v>16</v>
      </c>
      <c r="R2" t="s">
        <v>2</v>
      </c>
      <c r="S2" t="s">
        <v>98</v>
      </c>
      <c r="T2" t="s">
        <v>94</v>
      </c>
      <c r="U2" t="s">
        <v>17</v>
      </c>
      <c r="V2" t="s">
        <v>3</v>
      </c>
      <c r="W2" t="s">
        <v>99</v>
      </c>
      <c r="X2" t="s">
        <v>95</v>
      </c>
      <c r="Y2" t="s">
        <v>0</v>
      </c>
      <c r="Z2" t="s">
        <v>28</v>
      </c>
      <c r="AA2" t="s">
        <v>248</v>
      </c>
    </row>
    <row r="3" spans="1:27" x14ac:dyDescent="0.25">
      <c r="A3" s="14">
        <v>46143.04583333333</v>
      </c>
      <c r="B3" s="79" t="s">
        <v>149</v>
      </c>
      <c r="C3" s="79" t="s">
        <v>235</v>
      </c>
      <c r="D3" s="79" t="s">
        <v>245</v>
      </c>
      <c r="E3" s="79" t="s">
        <v>73</v>
      </c>
      <c r="F3" s="79" t="str">
        <f>IF(E3="", "", IF(COUNTIF(ChestType!$A$5:$A$195, E3)&gt;0, VLOOKUP(E3, ChestType!$A$5:$B$195, 2, 0), "Others"))</f>
        <v>Others</v>
      </c>
      <c r="H3" s="13" t="s">
        <v>221</v>
      </c>
      <c r="J3" s="13" t="s">
        <v>259</v>
      </c>
      <c r="K3" s="79"/>
      <c r="L3" s="79"/>
      <c r="M3" s="79"/>
      <c r="N3" s="79"/>
      <c r="O3" s="79">
        <v>12</v>
      </c>
      <c r="P3" s="79"/>
      <c r="Q3" s="79"/>
      <c r="R3" s="79"/>
      <c r="S3" s="79"/>
      <c r="T3" s="79"/>
      <c r="U3" s="79"/>
      <c r="V3" s="79"/>
      <c r="W3" s="79"/>
      <c r="X3" s="79"/>
      <c r="Y3" s="79">
        <v>6</v>
      </c>
      <c r="Z3" s="79"/>
      <c r="AA3" s="79">
        <v>18</v>
      </c>
    </row>
    <row r="4" spans="1:27" x14ac:dyDescent="0.25">
      <c r="A4" s="14">
        <v>46143.04583333333</v>
      </c>
      <c r="B4" s="79" t="s">
        <v>149</v>
      </c>
      <c r="C4" s="79" t="s">
        <v>175</v>
      </c>
      <c r="D4" s="79" t="s">
        <v>157</v>
      </c>
      <c r="E4" s="79" t="s">
        <v>50</v>
      </c>
      <c r="F4" s="79" t="str">
        <f>IF(E4="", "", IF(COUNTIF(ChestType!$A$5:$A$195, E4)&gt;0, VLOOKUP(E4, ChestType!$A$5:$B$195, 2, 0), "Others"))</f>
        <v>L10 Crypt</v>
      </c>
      <c r="H4" s="13" t="s">
        <v>262</v>
      </c>
      <c r="J4" s="13" t="s">
        <v>221</v>
      </c>
      <c r="K4" s="79"/>
      <c r="L4" s="79"/>
      <c r="M4" s="79"/>
      <c r="N4" s="79"/>
      <c r="O4" s="79">
        <v>6</v>
      </c>
      <c r="P4" s="79"/>
      <c r="Q4" s="79"/>
      <c r="R4" s="79"/>
      <c r="S4" s="79"/>
      <c r="T4" s="79"/>
      <c r="U4" s="79"/>
      <c r="V4" s="79"/>
      <c r="W4" s="79"/>
      <c r="X4" s="79"/>
      <c r="Y4" s="79">
        <v>5</v>
      </c>
      <c r="Z4" s="79"/>
      <c r="AA4" s="79">
        <v>11</v>
      </c>
    </row>
    <row r="5" spans="1:27" x14ac:dyDescent="0.25">
      <c r="A5" s="14">
        <v>46143.04583333333</v>
      </c>
      <c r="B5" s="79" t="s">
        <v>149</v>
      </c>
      <c r="C5" s="79" t="s">
        <v>182</v>
      </c>
      <c r="D5" s="79" t="s">
        <v>157</v>
      </c>
      <c r="E5" s="79" t="s">
        <v>50</v>
      </c>
      <c r="F5" s="79" t="str">
        <f>IF(E5="", "", IF(COUNTIF(ChestType!$A$5:$A$195, E5)&gt;0, VLOOKUP(E5, ChestType!$A$5:$B$195, 2, 0), "Others"))</f>
        <v>L10 Crypt</v>
      </c>
      <c r="H5" s="13" t="s">
        <v>269</v>
      </c>
      <c r="J5" s="13" t="s">
        <v>262</v>
      </c>
      <c r="K5" s="79"/>
      <c r="L5" s="79"/>
      <c r="M5" s="79"/>
      <c r="N5" s="79">
        <v>1</v>
      </c>
      <c r="O5" s="79">
        <v>3</v>
      </c>
      <c r="P5" s="79"/>
      <c r="Q5" s="79"/>
      <c r="R5" s="79">
        <v>1</v>
      </c>
      <c r="S5" s="79"/>
      <c r="T5" s="79"/>
      <c r="U5" s="79"/>
      <c r="V5" s="79"/>
      <c r="W5" s="79"/>
      <c r="X5" s="79"/>
      <c r="Y5" s="79">
        <v>18</v>
      </c>
      <c r="Z5" s="79">
        <v>1</v>
      </c>
      <c r="AA5" s="79">
        <v>24</v>
      </c>
    </row>
    <row r="6" spans="1:27" x14ac:dyDescent="0.25">
      <c r="A6" s="14">
        <v>46143.04583333333</v>
      </c>
      <c r="B6" s="79" t="s">
        <v>149</v>
      </c>
      <c r="C6" s="79" t="s">
        <v>235</v>
      </c>
      <c r="D6" s="79" t="s">
        <v>157</v>
      </c>
      <c r="E6" s="79" t="s">
        <v>73</v>
      </c>
      <c r="F6" s="79" t="str">
        <f>IF(E6="", "", IF(COUNTIF(ChestType!$A$5:$A$195, E6)&gt;0, VLOOKUP(E6, ChestType!$A$5:$B$195, 2, 0), "Others"))</f>
        <v>Others</v>
      </c>
      <c r="H6" s="13" t="s">
        <v>164</v>
      </c>
      <c r="J6" s="13" t="s">
        <v>269</v>
      </c>
      <c r="K6" s="79"/>
      <c r="L6" s="79"/>
      <c r="M6" s="79">
        <v>3</v>
      </c>
      <c r="N6" s="79">
        <v>1</v>
      </c>
      <c r="O6" s="79">
        <v>1</v>
      </c>
      <c r="P6" s="79"/>
      <c r="Q6" s="79"/>
      <c r="R6" s="79"/>
      <c r="S6" s="79"/>
      <c r="T6" s="79"/>
      <c r="U6" s="79"/>
      <c r="V6" s="79"/>
      <c r="W6" s="79"/>
      <c r="X6" s="79"/>
      <c r="Y6" s="79">
        <v>1</v>
      </c>
      <c r="Z6" s="79"/>
      <c r="AA6" s="79">
        <v>6</v>
      </c>
    </row>
    <row r="7" spans="1:27" x14ac:dyDescent="0.25">
      <c r="A7" s="14">
        <v>46143.04583333333</v>
      </c>
      <c r="B7" s="79" t="s">
        <v>149</v>
      </c>
      <c r="C7" s="79" t="s">
        <v>181</v>
      </c>
      <c r="D7" s="79" t="s">
        <v>222</v>
      </c>
      <c r="E7" s="79" t="s">
        <v>49</v>
      </c>
      <c r="F7" s="79" t="str">
        <f>IF(E7="", "", IF(COUNTIF(ChestType!$A$5:$A$195, E7)&gt;0, VLOOKUP(E7, ChestType!$A$5:$B$195, 2, 0), "Others"))</f>
        <v>L15 Crypt</v>
      </c>
      <c r="H7" s="13" t="s">
        <v>251</v>
      </c>
      <c r="J7" s="13" t="s">
        <v>164</v>
      </c>
      <c r="K7" s="79"/>
      <c r="L7" s="79"/>
      <c r="M7" s="79"/>
      <c r="N7" s="79"/>
      <c r="O7" s="79">
        <v>18</v>
      </c>
      <c r="P7" s="79">
        <v>4</v>
      </c>
      <c r="Q7" s="79"/>
      <c r="R7" s="79">
        <v>9</v>
      </c>
      <c r="S7" s="79">
        <v>2</v>
      </c>
      <c r="T7" s="79"/>
      <c r="U7" s="79"/>
      <c r="V7" s="79"/>
      <c r="W7" s="79"/>
      <c r="X7" s="79"/>
      <c r="Y7" s="79">
        <v>3</v>
      </c>
      <c r="Z7" s="79">
        <v>2</v>
      </c>
      <c r="AA7" s="79">
        <v>38</v>
      </c>
    </row>
    <row r="8" spans="1:27" x14ac:dyDescent="0.25">
      <c r="A8" s="14">
        <v>46143.04583333333</v>
      </c>
      <c r="B8" s="79" t="s">
        <v>149</v>
      </c>
      <c r="C8" s="79" t="s">
        <v>158</v>
      </c>
      <c r="D8" s="79" t="s">
        <v>252</v>
      </c>
      <c r="E8" s="79" t="s">
        <v>52</v>
      </c>
      <c r="F8" s="79" t="str">
        <f>IF(E8="", "", IF(COUNTIF(ChestType!$A$5:$A$195, E8)&gt;0, VLOOKUP(E8, ChestType!$A$5:$B$195, 2, 0), "Others"))</f>
        <v>L5 Crypt</v>
      </c>
      <c r="H8" s="13" t="s">
        <v>224</v>
      </c>
      <c r="J8" s="13" t="s">
        <v>251</v>
      </c>
      <c r="K8" s="79">
        <v>13</v>
      </c>
      <c r="L8" s="79"/>
      <c r="M8" s="79">
        <v>12</v>
      </c>
      <c r="N8" s="79">
        <v>1</v>
      </c>
      <c r="O8" s="79">
        <v>2</v>
      </c>
      <c r="P8" s="79"/>
      <c r="Q8" s="79"/>
      <c r="R8" s="79">
        <v>20</v>
      </c>
      <c r="S8" s="79">
        <v>3</v>
      </c>
      <c r="T8" s="79"/>
      <c r="U8" s="79"/>
      <c r="V8" s="79"/>
      <c r="W8" s="79"/>
      <c r="X8" s="79"/>
      <c r="Y8" s="79"/>
      <c r="Z8" s="79">
        <v>4</v>
      </c>
      <c r="AA8" s="79">
        <v>55</v>
      </c>
    </row>
    <row r="9" spans="1:27" x14ac:dyDescent="0.25">
      <c r="A9" s="14">
        <v>46143.04583333333</v>
      </c>
      <c r="B9" s="79" t="s">
        <v>149</v>
      </c>
      <c r="C9" s="79" t="s">
        <v>175</v>
      </c>
      <c r="D9" s="79" t="s">
        <v>253</v>
      </c>
      <c r="E9" s="79" t="s">
        <v>52</v>
      </c>
      <c r="F9" s="79" t="str">
        <f>IF(E9="", "", IF(COUNTIF(ChestType!$A$5:$A$195, E9)&gt;0, VLOOKUP(E9, ChestType!$A$5:$B$195, 2, 0), "Others"))</f>
        <v>L5 Crypt</v>
      </c>
      <c r="H9" s="13" t="s">
        <v>169</v>
      </c>
      <c r="J9" s="13" t="s">
        <v>224</v>
      </c>
      <c r="K9" s="79"/>
      <c r="L9" s="79"/>
      <c r="M9" s="79"/>
      <c r="N9" s="79">
        <v>1</v>
      </c>
      <c r="O9" s="79">
        <v>2</v>
      </c>
      <c r="P9" s="79"/>
      <c r="Q9" s="79"/>
      <c r="R9" s="79"/>
      <c r="S9" s="79"/>
      <c r="T9" s="79"/>
      <c r="U9" s="79"/>
      <c r="V9" s="79"/>
      <c r="W9" s="79"/>
      <c r="X9" s="79"/>
      <c r="Y9" s="79">
        <v>2</v>
      </c>
      <c r="Z9" s="79">
        <v>1</v>
      </c>
      <c r="AA9" s="79">
        <v>6</v>
      </c>
    </row>
    <row r="10" spans="1:27" x14ac:dyDescent="0.25">
      <c r="A10" s="14">
        <v>46143.04583333333</v>
      </c>
      <c r="B10" s="79" t="s">
        <v>149</v>
      </c>
      <c r="C10" s="79" t="s">
        <v>190</v>
      </c>
      <c r="D10" s="79" t="s">
        <v>222</v>
      </c>
      <c r="E10" s="79" t="s">
        <v>48</v>
      </c>
      <c r="F10" s="79" t="str">
        <f>IF(E10="", "", IF(COUNTIF(ChestType!$A$5:$A$195, E10)&gt;0, VLOOKUP(E10, ChestType!$A$5:$B$195, 2, 0), "Others"))</f>
        <v>L20 Crypt</v>
      </c>
      <c r="H10" s="13" t="s">
        <v>254</v>
      </c>
      <c r="J10" s="13" t="s">
        <v>169</v>
      </c>
      <c r="K10" s="79"/>
      <c r="L10" s="79"/>
      <c r="M10" s="79"/>
      <c r="N10" s="79"/>
      <c r="O10" s="79">
        <v>6</v>
      </c>
      <c r="P10" s="79"/>
      <c r="Q10" s="79"/>
      <c r="R10" s="79">
        <v>1</v>
      </c>
      <c r="S10" s="79"/>
      <c r="T10" s="79"/>
      <c r="U10" s="79"/>
      <c r="V10" s="79"/>
      <c r="W10" s="79"/>
      <c r="X10" s="79"/>
      <c r="Y10" s="79">
        <v>9</v>
      </c>
      <c r="Z10" s="79"/>
      <c r="AA10" s="79">
        <v>16</v>
      </c>
    </row>
    <row r="11" spans="1:27" x14ac:dyDescent="0.25">
      <c r="A11" s="14">
        <v>46143.04583333333</v>
      </c>
      <c r="B11" s="79" t="s">
        <v>149</v>
      </c>
      <c r="C11" s="79" t="s">
        <v>173</v>
      </c>
      <c r="D11" s="79" t="s">
        <v>231</v>
      </c>
      <c r="E11" s="79" t="s">
        <v>49</v>
      </c>
      <c r="F11" s="79" t="str">
        <f>IF(E11="", "", IF(COUNTIF(ChestType!$A$5:$A$195, E11)&gt;0, VLOOKUP(E11, ChestType!$A$5:$B$195, 2, 0), "Others"))</f>
        <v>L15 Crypt</v>
      </c>
      <c r="H11" s="13" t="s">
        <v>241</v>
      </c>
      <c r="J11" s="13" t="s">
        <v>254</v>
      </c>
      <c r="K11" s="79"/>
      <c r="L11" s="79"/>
      <c r="M11" s="79">
        <v>15</v>
      </c>
      <c r="N11" s="79">
        <v>20</v>
      </c>
      <c r="O11" s="79">
        <v>3</v>
      </c>
      <c r="P11" s="79">
        <v>3</v>
      </c>
      <c r="Q11" s="79"/>
      <c r="R11" s="79"/>
      <c r="S11" s="79">
        <v>1</v>
      </c>
      <c r="T11" s="79"/>
      <c r="U11" s="79"/>
      <c r="V11" s="79"/>
      <c r="W11" s="79"/>
      <c r="X11" s="79"/>
      <c r="Y11" s="79"/>
      <c r="Z11" s="79">
        <v>3</v>
      </c>
      <c r="AA11" s="79">
        <v>45</v>
      </c>
    </row>
    <row r="12" spans="1:27" x14ac:dyDescent="0.25">
      <c r="A12" s="14">
        <v>46143.04583333333</v>
      </c>
      <c r="B12" s="79" t="s">
        <v>149</v>
      </c>
      <c r="C12" s="79" t="s">
        <v>190</v>
      </c>
      <c r="D12" s="79" t="s">
        <v>231</v>
      </c>
      <c r="E12" s="79" t="s">
        <v>50</v>
      </c>
      <c r="F12" s="79" t="str">
        <f>IF(E12="", "", IF(COUNTIF(ChestType!$A$5:$A$195, E12)&gt;0, VLOOKUP(E12, ChestType!$A$5:$B$195, 2, 0), "Others"))</f>
        <v>L10 Crypt</v>
      </c>
      <c r="H12" s="13" t="s">
        <v>186</v>
      </c>
      <c r="J12" s="13" t="s">
        <v>241</v>
      </c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>
        <v>1</v>
      </c>
      <c r="AA12" s="79">
        <v>1</v>
      </c>
    </row>
    <row r="13" spans="1:27" x14ac:dyDescent="0.25">
      <c r="A13" s="14">
        <v>46143.04583333333</v>
      </c>
      <c r="B13" s="79" t="s">
        <v>195</v>
      </c>
      <c r="C13" s="79" t="s">
        <v>209</v>
      </c>
      <c r="D13" s="79" t="s">
        <v>222</v>
      </c>
      <c r="E13" s="79" t="s">
        <v>24</v>
      </c>
      <c r="F13" s="79" t="str">
        <f>IF(E13="", "", IF(COUNTIF(ChestType!$A$5:$A$195, E13)&gt;0, VLOOKUP(E13, ChestType!$A$5:$B$195, 2, 0), "Others"))</f>
        <v>Bank</v>
      </c>
      <c r="H13" s="13" t="s">
        <v>245</v>
      </c>
      <c r="J13" s="13" t="s">
        <v>186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>
        <v>1</v>
      </c>
      <c r="AA13" s="79">
        <v>1</v>
      </c>
    </row>
    <row r="14" spans="1:27" x14ac:dyDescent="0.25">
      <c r="A14" s="14">
        <v>46143.04583333333</v>
      </c>
      <c r="B14" s="79" t="s">
        <v>195</v>
      </c>
      <c r="C14" s="79" t="s">
        <v>209</v>
      </c>
      <c r="D14" s="79" t="s">
        <v>222</v>
      </c>
      <c r="E14" s="79" t="s">
        <v>24</v>
      </c>
      <c r="F14" s="79" t="str">
        <f>IF(E14="", "", IF(COUNTIF(ChestType!$A$5:$A$195, E14)&gt;0, VLOOKUP(E14, ChestType!$A$5:$B$195, 2, 0), "Others"))</f>
        <v>Bank</v>
      </c>
      <c r="H14" s="13" t="s">
        <v>216</v>
      </c>
      <c r="J14" s="13" t="s">
        <v>245</v>
      </c>
      <c r="K14" s="79"/>
      <c r="L14" s="79">
        <v>2</v>
      </c>
      <c r="M14" s="79">
        <v>6</v>
      </c>
      <c r="N14" s="79"/>
      <c r="O14" s="79">
        <v>1</v>
      </c>
      <c r="P14" s="79">
        <v>1</v>
      </c>
      <c r="Q14" s="79"/>
      <c r="R14" s="79">
        <v>11</v>
      </c>
      <c r="S14" s="79"/>
      <c r="T14" s="79"/>
      <c r="U14" s="79"/>
      <c r="V14" s="79"/>
      <c r="W14" s="79"/>
      <c r="X14" s="79"/>
      <c r="Y14" s="79"/>
      <c r="Z14" s="79">
        <v>5</v>
      </c>
      <c r="AA14" s="79">
        <v>26</v>
      </c>
    </row>
    <row r="15" spans="1:27" x14ac:dyDescent="0.25">
      <c r="A15" s="14">
        <v>46143.04583333333</v>
      </c>
      <c r="B15" s="79" t="s">
        <v>195</v>
      </c>
      <c r="C15" s="79" t="s">
        <v>209</v>
      </c>
      <c r="D15" s="79" t="s">
        <v>222</v>
      </c>
      <c r="E15" s="79" t="s">
        <v>24</v>
      </c>
      <c r="F15" s="79" t="str">
        <f>IF(E15="", "", IF(COUNTIF(ChestType!$A$5:$A$195, E15)&gt;0, VLOOKUP(E15, ChestType!$A$5:$B$195, 2, 0), "Others"))</f>
        <v>Bank</v>
      </c>
      <c r="H15" s="13" t="s">
        <v>153</v>
      </c>
      <c r="J15" s="13" t="s">
        <v>216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>
        <v>1</v>
      </c>
      <c r="AA15" s="79">
        <v>1</v>
      </c>
    </row>
    <row r="16" spans="1:27" x14ac:dyDescent="0.25">
      <c r="A16" s="14">
        <v>46143.04583333333</v>
      </c>
      <c r="B16" s="79" t="s">
        <v>195</v>
      </c>
      <c r="C16" s="79" t="s">
        <v>198</v>
      </c>
      <c r="D16" s="79" t="s">
        <v>254</v>
      </c>
      <c r="E16" s="79" t="s">
        <v>24</v>
      </c>
      <c r="F16" s="79" t="str">
        <f>IF(E16="", "", IF(COUNTIF(ChestType!$A$5:$A$195, E16)&gt;0, VLOOKUP(E16, ChestType!$A$5:$B$195, 2, 0), "Others"))</f>
        <v>Bank</v>
      </c>
      <c r="H16" s="13" t="s">
        <v>157</v>
      </c>
      <c r="J16" s="13" t="s">
        <v>153</v>
      </c>
      <c r="K16" s="79"/>
      <c r="L16" s="79">
        <v>1</v>
      </c>
      <c r="M16" s="79"/>
      <c r="N16" s="79">
        <v>4</v>
      </c>
      <c r="O16" s="79">
        <v>13</v>
      </c>
      <c r="P16" s="79">
        <v>4</v>
      </c>
      <c r="Q16" s="79"/>
      <c r="R16" s="79">
        <v>4</v>
      </c>
      <c r="S16" s="79">
        <v>2</v>
      </c>
      <c r="T16" s="79"/>
      <c r="U16" s="79"/>
      <c r="V16" s="79"/>
      <c r="W16" s="79"/>
      <c r="X16" s="79"/>
      <c r="Y16" s="79">
        <v>7</v>
      </c>
      <c r="Z16" s="79">
        <v>1</v>
      </c>
      <c r="AA16" s="79">
        <v>36</v>
      </c>
    </row>
    <row r="17" spans="1:27" x14ac:dyDescent="0.25">
      <c r="A17" s="14">
        <v>46143.04583333333</v>
      </c>
      <c r="B17" s="79" t="s">
        <v>195</v>
      </c>
      <c r="C17" s="79" t="s">
        <v>198</v>
      </c>
      <c r="D17" s="79" t="s">
        <v>254</v>
      </c>
      <c r="E17" s="79" t="s">
        <v>24</v>
      </c>
      <c r="F17" s="79" t="str">
        <f>IF(E17="", "", IF(COUNTIF(ChestType!$A$5:$A$195, E17)&gt;0, VLOOKUP(E17, ChestType!$A$5:$B$195, 2, 0), "Others"))</f>
        <v>Bank</v>
      </c>
      <c r="H17" s="13" t="s">
        <v>842</v>
      </c>
      <c r="J17" s="13" t="s">
        <v>157</v>
      </c>
      <c r="K17" s="79">
        <v>4</v>
      </c>
      <c r="L17" s="79">
        <v>5</v>
      </c>
      <c r="M17" s="79">
        <v>3</v>
      </c>
      <c r="N17" s="79">
        <v>7</v>
      </c>
      <c r="O17" s="79">
        <v>54</v>
      </c>
      <c r="P17" s="79">
        <v>9</v>
      </c>
      <c r="Q17" s="79">
        <v>3</v>
      </c>
      <c r="R17" s="79">
        <v>7</v>
      </c>
      <c r="S17" s="79">
        <v>3</v>
      </c>
      <c r="T17" s="79">
        <v>3</v>
      </c>
      <c r="U17" s="79">
        <v>1</v>
      </c>
      <c r="V17" s="79">
        <v>2</v>
      </c>
      <c r="W17" s="79"/>
      <c r="X17" s="79"/>
      <c r="Y17" s="79">
        <v>5</v>
      </c>
      <c r="Z17" s="79">
        <v>9</v>
      </c>
      <c r="AA17" s="79">
        <v>115</v>
      </c>
    </row>
    <row r="18" spans="1:27" x14ac:dyDescent="0.25">
      <c r="A18" s="14">
        <v>46143.04583333333</v>
      </c>
      <c r="B18" s="79" t="s">
        <v>195</v>
      </c>
      <c r="C18" s="79" t="s">
        <v>198</v>
      </c>
      <c r="D18" s="79" t="s">
        <v>254</v>
      </c>
      <c r="E18" s="79" t="s">
        <v>24</v>
      </c>
      <c r="F18" s="79" t="str">
        <f>IF(E18="", "", IF(COUNTIF(ChestType!$A$5:$A$195, E18)&gt;0, VLOOKUP(E18, ChestType!$A$5:$B$195, 2, 0), "Others"))</f>
        <v>Bank</v>
      </c>
      <c r="H18" s="13" t="s">
        <v>166</v>
      </c>
      <c r="J18" s="13" t="s">
        <v>166</v>
      </c>
      <c r="K18" s="79"/>
      <c r="L18" s="79"/>
      <c r="M18" s="79">
        <v>12</v>
      </c>
      <c r="N18" s="79">
        <v>6</v>
      </c>
      <c r="O18" s="79">
        <v>38</v>
      </c>
      <c r="P18" s="79">
        <v>6</v>
      </c>
      <c r="Q18" s="79"/>
      <c r="R18" s="79">
        <v>1</v>
      </c>
      <c r="S18" s="79">
        <v>6</v>
      </c>
      <c r="T18" s="79"/>
      <c r="U18" s="79"/>
      <c r="V18" s="79"/>
      <c r="W18" s="79"/>
      <c r="X18" s="79"/>
      <c r="Y18" s="79">
        <v>2</v>
      </c>
      <c r="Z18" s="79">
        <v>1</v>
      </c>
      <c r="AA18" s="79">
        <v>72</v>
      </c>
    </row>
    <row r="19" spans="1:27" x14ac:dyDescent="0.25">
      <c r="A19" s="14">
        <v>46143.073611111111</v>
      </c>
      <c r="B19" s="79" t="s">
        <v>149</v>
      </c>
      <c r="C19" s="79" t="s">
        <v>232</v>
      </c>
      <c r="D19" s="79" t="s">
        <v>222</v>
      </c>
      <c r="E19" s="79" t="s">
        <v>44</v>
      </c>
      <c r="F19" s="79" t="str">
        <f>IF(E19="", "", IF(COUNTIF(ChestType!$A$5:$A$195, E19)&gt;0, VLOOKUP(E19, ChestType!$A$5:$B$195, 2, 0), "Others"))</f>
        <v>L20 Citadel</v>
      </c>
      <c r="H19" s="13" t="s">
        <v>204</v>
      </c>
      <c r="J19" s="13" t="s">
        <v>204</v>
      </c>
      <c r="K19" s="79">
        <v>13</v>
      </c>
      <c r="L19" s="79"/>
      <c r="M19" s="79"/>
      <c r="N19" s="79">
        <v>1</v>
      </c>
      <c r="O19" s="79">
        <v>12</v>
      </c>
      <c r="P19" s="79"/>
      <c r="Q19" s="79"/>
      <c r="R19" s="79">
        <v>7</v>
      </c>
      <c r="S19" s="79"/>
      <c r="T19" s="79"/>
      <c r="U19" s="79"/>
      <c r="V19" s="79"/>
      <c r="W19" s="79"/>
      <c r="X19" s="79"/>
      <c r="Y19" s="79"/>
      <c r="Z19" s="79">
        <v>4</v>
      </c>
      <c r="AA19" s="79">
        <v>37</v>
      </c>
    </row>
    <row r="20" spans="1:27" x14ac:dyDescent="0.25">
      <c r="A20" s="14">
        <v>46143.073611111111</v>
      </c>
      <c r="B20" s="79" t="s">
        <v>149</v>
      </c>
      <c r="C20" s="79" t="s">
        <v>187</v>
      </c>
      <c r="D20" s="79" t="s">
        <v>152</v>
      </c>
      <c r="E20" s="79" t="s">
        <v>54</v>
      </c>
      <c r="F20" s="79" t="str">
        <f>IF(E20="", "", IF(COUNTIF(ChestType!$A$5:$A$195, E20)&gt;0, VLOOKUP(E20, ChestType!$A$5:$B$195, 2, 0), "Others"))</f>
        <v>L20 Rare Crypt</v>
      </c>
      <c r="H20" s="13" t="s">
        <v>152</v>
      </c>
      <c r="J20" s="13" t="s">
        <v>152</v>
      </c>
      <c r="K20" s="79"/>
      <c r="L20" s="79">
        <v>4</v>
      </c>
      <c r="M20" s="79">
        <v>3</v>
      </c>
      <c r="N20" s="79"/>
      <c r="O20" s="79">
        <v>44</v>
      </c>
      <c r="P20" s="79"/>
      <c r="Q20" s="79"/>
      <c r="R20" s="79">
        <v>64</v>
      </c>
      <c r="S20" s="79">
        <v>5</v>
      </c>
      <c r="T20" s="79">
        <v>1</v>
      </c>
      <c r="U20" s="79"/>
      <c r="V20" s="79">
        <v>3</v>
      </c>
      <c r="W20" s="79">
        <v>1</v>
      </c>
      <c r="X20" s="79">
        <v>1</v>
      </c>
      <c r="Y20" s="79"/>
      <c r="Z20" s="79">
        <v>6</v>
      </c>
      <c r="AA20" s="79">
        <v>132</v>
      </c>
    </row>
    <row r="21" spans="1:27" x14ac:dyDescent="0.25">
      <c r="A21" s="14">
        <v>46143.073611111111</v>
      </c>
      <c r="B21" s="79" t="s">
        <v>149</v>
      </c>
      <c r="C21" s="79" t="s">
        <v>187</v>
      </c>
      <c r="D21" s="79" t="s">
        <v>156</v>
      </c>
      <c r="E21" s="79" t="s">
        <v>75</v>
      </c>
      <c r="F21" s="79" t="str">
        <f>IF(E21="", "", IF(COUNTIF(ChestType!$A$5:$A$195, E21)&gt;0, VLOOKUP(E21, ChestType!$A$5:$B$195, 2, 0), "Others"))</f>
        <v>L10 Rare Crypt</v>
      </c>
      <c r="H21" s="13" t="s">
        <v>252</v>
      </c>
      <c r="J21" s="13" t="s">
        <v>252</v>
      </c>
      <c r="K21" s="79"/>
      <c r="L21" s="79"/>
      <c r="M21" s="79"/>
      <c r="N21" s="79"/>
      <c r="O21" s="79">
        <v>8</v>
      </c>
      <c r="P21" s="79"/>
      <c r="Q21" s="79"/>
      <c r="R21" s="79"/>
      <c r="S21" s="79"/>
      <c r="T21" s="79"/>
      <c r="U21" s="79"/>
      <c r="V21" s="79"/>
      <c r="W21" s="79"/>
      <c r="X21" s="79"/>
      <c r="Y21" s="79">
        <v>5</v>
      </c>
      <c r="Z21" s="79">
        <v>2</v>
      </c>
      <c r="AA21" s="79">
        <v>15</v>
      </c>
    </row>
    <row r="22" spans="1:27" x14ac:dyDescent="0.25">
      <c r="A22" s="14">
        <v>46143.073611111111</v>
      </c>
      <c r="B22" s="79" t="s">
        <v>149</v>
      </c>
      <c r="C22" s="79" t="s">
        <v>187</v>
      </c>
      <c r="D22" s="79" t="s">
        <v>156</v>
      </c>
      <c r="E22" s="79" t="s">
        <v>75</v>
      </c>
      <c r="F22" s="79" t="str">
        <f>IF(E22="", "", IF(COUNTIF(ChestType!$A$5:$A$195, E22)&gt;0, VLOOKUP(E22, ChestType!$A$5:$B$195, 2, 0), "Others"))</f>
        <v>L10 Rare Crypt</v>
      </c>
      <c r="H22" s="13" t="s">
        <v>165</v>
      </c>
      <c r="J22" s="13" t="s">
        <v>165</v>
      </c>
      <c r="K22" s="79"/>
      <c r="L22" s="79"/>
      <c r="M22" s="79"/>
      <c r="N22" s="79">
        <v>3</v>
      </c>
      <c r="O22" s="79">
        <v>47</v>
      </c>
      <c r="P22" s="79">
        <v>12</v>
      </c>
      <c r="Q22" s="79"/>
      <c r="R22" s="79"/>
      <c r="S22" s="79"/>
      <c r="T22" s="79"/>
      <c r="U22" s="79"/>
      <c r="V22" s="79"/>
      <c r="W22" s="79"/>
      <c r="X22" s="79"/>
      <c r="Y22" s="79">
        <v>10</v>
      </c>
      <c r="Z22" s="79">
        <v>5</v>
      </c>
      <c r="AA22" s="79">
        <v>77</v>
      </c>
    </row>
    <row r="23" spans="1:27" x14ac:dyDescent="0.25">
      <c r="A23" s="14">
        <v>46143.073611111111</v>
      </c>
      <c r="B23" s="79" t="s">
        <v>149</v>
      </c>
      <c r="C23" s="79" t="s">
        <v>181</v>
      </c>
      <c r="D23" s="79" t="s">
        <v>168</v>
      </c>
      <c r="E23" s="79" t="s">
        <v>50</v>
      </c>
      <c r="F23" s="79" t="str">
        <f>IF(E23="", "", IF(COUNTIF(ChestType!$A$5:$A$195, E23)&gt;0, VLOOKUP(E23, ChestType!$A$5:$B$195, 2, 0), "Others"))</f>
        <v>L10 Crypt</v>
      </c>
      <c r="H23" s="13" t="s">
        <v>247</v>
      </c>
      <c r="J23" s="13" t="s">
        <v>247</v>
      </c>
      <c r="K23" s="79">
        <v>4</v>
      </c>
      <c r="L23" s="79"/>
      <c r="M23" s="79">
        <v>6</v>
      </c>
      <c r="N23" s="79">
        <v>1</v>
      </c>
      <c r="O23" s="79">
        <v>5</v>
      </c>
      <c r="P23" s="79">
        <v>2</v>
      </c>
      <c r="Q23" s="79"/>
      <c r="R23" s="79">
        <v>1</v>
      </c>
      <c r="S23" s="79"/>
      <c r="T23" s="79"/>
      <c r="U23" s="79"/>
      <c r="V23" s="79"/>
      <c r="W23" s="79"/>
      <c r="X23" s="79"/>
      <c r="Y23" s="79">
        <v>1</v>
      </c>
      <c r="Z23" s="79">
        <v>2</v>
      </c>
      <c r="AA23" s="79">
        <v>22</v>
      </c>
    </row>
    <row r="24" spans="1:27" x14ac:dyDescent="0.25">
      <c r="A24" s="14">
        <v>46143.073611111111</v>
      </c>
      <c r="B24" s="79" t="s">
        <v>149</v>
      </c>
      <c r="C24" s="79" t="s">
        <v>187</v>
      </c>
      <c r="D24" s="79" t="s">
        <v>156</v>
      </c>
      <c r="E24" s="79" t="s">
        <v>75</v>
      </c>
      <c r="F24" s="79" t="str">
        <f>IF(E24="", "", IF(COUNTIF(ChestType!$A$5:$A$195, E24)&gt;0, VLOOKUP(E24, ChestType!$A$5:$B$195, 2, 0), "Others"))</f>
        <v>L10 Rare Crypt</v>
      </c>
      <c r="H24" s="13" t="s">
        <v>191</v>
      </c>
      <c r="J24" s="13" t="s">
        <v>191</v>
      </c>
      <c r="K24" s="79">
        <v>5</v>
      </c>
      <c r="L24" s="79"/>
      <c r="M24" s="79"/>
      <c r="N24" s="79"/>
      <c r="O24" s="79">
        <v>7</v>
      </c>
      <c r="P24" s="79"/>
      <c r="Q24" s="79"/>
      <c r="R24" s="79">
        <v>5</v>
      </c>
      <c r="S24" s="79"/>
      <c r="T24" s="79"/>
      <c r="U24" s="79"/>
      <c r="V24" s="79"/>
      <c r="W24" s="79"/>
      <c r="X24" s="79"/>
      <c r="Y24" s="79">
        <v>4</v>
      </c>
      <c r="Z24" s="79">
        <v>3</v>
      </c>
      <c r="AA24" s="79">
        <v>24</v>
      </c>
    </row>
    <row r="25" spans="1:27" x14ac:dyDescent="0.25">
      <c r="A25" s="14">
        <v>46143.073611111111</v>
      </c>
      <c r="B25" s="79" t="s">
        <v>149</v>
      </c>
      <c r="C25" s="79" t="s">
        <v>171</v>
      </c>
      <c r="D25" s="79" t="s">
        <v>168</v>
      </c>
      <c r="E25" s="79" t="s">
        <v>49</v>
      </c>
      <c r="F25" s="79" t="str">
        <f>IF(E25="", "", IF(COUNTIF(ChestType!$A$5:$A$195, E25)&gt;0, VLOOKUP(E25, ChestType!$A$5:$B$195, 2, 0), "Others"))</f>
        <v>L15 Crypt</v>
      </c>
      <c r="H25" s="13" t="s">
        <v>159</v>
      </c>
      <c r="J25" s="13" t="s">
        <v>159</v>
      </c>
      <c r="K25" s="79">
        <v>5</v>
      </c>
      <c r="L25" s="79"/>
      <c r="M25" s="79"/>
      <c r="N25" s="79">
        <v>1</v>
      </c>
      <c r="O25" s="79">
        <v>2</v>
      </c>
      <c r="P25" s="79"/>
      <c r="Q25" s="79"/>
      <c r="R25" s="79"/>
      <c r="S25" s="79"/>
      <c r="T25" s="79"/>
      <c r="U25" s="79"/>
      <c r="V25" s="79"/>
      <c r="W25" s="79"/>
      <c r="X25" s="79"/>
      <c r="Y25" s="79">
        <v>2</v>
      </c>
      <c r="Z25" s="79">
        <v>2</v>
      </c>
      <c r="AA25" s="79">
        <v>12</v>
      </c>
    </row>
    <row r="26" spans="1:27" x14ac:dyDescent="0.25">
      <c r="A26" s="14">
        <v>46143.073611111111</v>
      </c>
      <c r="B26" s="79" t="s">
        <v>149</v>
      </c>
      <c r="C26" s="79" t="s">
        <v>184</v>
      </c>
      <c r="D26" s="79" t="s">
        <v>168</v>
      </c>
      <c r="E26" s="79" t="s">
        <v>50</v>
      </c>
      <c r="F26" s="79" t="str">
        <f>IF(E26="", "", IF(COUNTIF(ChestType!$A$5:$A$195, E26)&gt;0, VLOOKUP(E26, ChestType!$A$5:$B$195, 2, 0), "Others"))</f>
        <v>L10 Crypt</v>
      </c>
      <c r="H26" s="13" t="s">
        <v>199</v>
      </c>
      <c r="J26" s="13" t="s">
        <v>199</v>
      </c>
      <c r="K26" s="79"/>
      <c r="L26" s="79"/>
      <c r="M26" s="79">
        <v>18</v>
      </c>
      <c r="N26" s="79"/>
      <c r="O26" s="79">
        <v>8</v>
      </c>
      <c r="P26" s="79">
        <v>1</v>
      </c>
      <c r="Q26" s="79">
        <v>1</v>
      </c>
      <c r="R26" s="79">
        <v>7</v>
      </c>
      <c r="S26" s="79">
        <v>1</v>
      </c>
      <c r="T26" s="79">
        <v>1</v>
      </c>
      <c r="U26" s="79"/>
      <c r="V26" s="79"/>
      <c r="W26" s="79"/>
      <c r="X26" s="79"/>
      <c r="Y26" s="79">
        <v>5</v>
      </c>
      <c r="Z26" s="79">
        <v>4</v>
      </c>
      <c r="AA26" s="79">
        <v>46</v>
      </c>
    </row>
    <row r="27" spans="1:27" x14ac:dyDescent="0.25">
      <c r="A27" s="14">
        <v>46143.073611111111</v>
      </c>
      <c r="B27" s="79" t="s">
        <v>149</v>
      </c>
      <c r="C27" s="79" t="s">
        <v>173</v>
      </c>
      <c r="D27" s="79" t="s">
        <v>160</v>
      </c>
      <c r="E27" s="79" t="s">
        <v>52</v>
      </c>
      <c r="F27" s="79" t="str">
        <f>IF(E27="", "", IF(COUNTIF(ChestType!$A$5:$A$195, E27)&gt;0, VLOOKUP(E27, ChestType!$A$5:$B$195, 2, 0), "Others"))</f>
        <v>L5 Crypt</v>
      </c>
      <c r="H27" s="13" t="s">
        <v>167</v>
      </c>
      <c r="J27" s="13" t="s">
        <v>167</v>
      </c>
      <c r="K27" s="79">
        <v>4</v>
      </c>
      <c r="L27" s="79"/>
      <c r="M27" s="79"/>
      <c r="N27" s="79">
        <v>30</v>
      </c>
      <c r="O27" s="79">
        <v>66</v>
      </c>
      <c r="P27" s="79">
        <v>30</v>
      </c>
      <c r="Q27" s="79"/>
      <c r="R27" s="79">
        <v>15</v>
      </c>
      <c r="S27" s="79">
        <v>5</v>
      </c>
      <c r="T27" s="79"/>
      <c r="U27" s="79"/>
      <c r="V27" s="79"/>
      <c r="W27" s="79"/>
      <c r="X27" s="79"/>
      <c r="Y27" s="79">
        <v>3</v>
      </c>
      <c r="Z27" s="79"/>
      <c r="AA27" s="79">
        <v>153</v>
      </c>
    </row>
    <row r="28" spans="1:27" x14ac:dyDescent="0.25">
      <c r="A28" s="14">
        <v>46143.073611111111</v>
      </c>
      <c r="B28" s="79" t="s">
        <v>149</v>
      </c>
      <c r="C28" s="79" t="s">
        <v>171</v>
      </c>
      <c r="D28" s="79" t="s">
        <v>168</v>
      </c>
      <c r="E28" s="79" t="s">
        <v>49</v>
      </c>
      <c r="F28" s="79" t="str">
        <f>IF(E28="", "", IF(COUNTIF(ChestType!$A$5:$A$195, E28)&gt;0, VLOOKUP(E28, ChestType!$A$5:$B$195, 2, 0), "Others"))</f>
        <v>L15 Crypt</v>
      </c>
      <c r="H28" s="13" t="s">
        <v>231</v>
      </c>
      <c r="J28" s="13" t="s">
        <v>231</v>
      </c>
      <c r="K28" s="79">
        <v>13</v>
      </c>
      <c r="L28" s="79"/>
      <c r="M28" s="79">
        <v>18</v>
      </c>
      <c r="N28" s="79">
        <v>17</v>
      </c>
      <c r="O28" s="79">
        <v>33</v>
      </c>
      <c r="P28" s="79">
        <v>18</v>
      </c>
      <c r="Q28" s="79">
        <v>8</v>
      </c>
      <c r="R28" s="79">
        <v>19</v>
      </c>
      <c r="S28" s="79">
        <v>7</v>
      </c>
      <c r="T28" s="79">
        <v>9</v>
      </c>
      <c r="U28" s="79"/>
      <c r="V28" s="79"/>
      <c r="W28" s="79"/>
      <c r="X28" s="79"/>
      <c r="Y28" s="79">
        <v>25</v>
      </c>
      <c r="Z28" s="79">
        <v>3</v>
      </c>
      <c r="AA28" s="79">
        <v>170</v>
      </c>
    </row>
    <row r="29" spans="1:27" x14ac:dyDescent="0.25">
      <c r="A29" s="14">
        <v>46143.073611111111</v>
      </c>
      <c r="B29" s="79" t="s">
        <v>149</v>
      </c>
      <c r="C29" s="79" t="s">
        <v>182</v>
      </c>
      <c r="D29" s="79" t="s">
        <v>168</v>
      </c>
      <c r="E29" s="79" t="s">
        <v>50</v>
      </c>
      <c r="F29" s="79" t="str">
        <f>IF(E29="", "", IF(COUNTIF(ChestType!$A$5:$A$195, E29)&gt;0, VLOOKUP(E29, ChestType!$A$5:$B$195, 2, 0), "Others"))</f>
        <v>L10 Crypt</v>
      </c>
      <c r="H29" s="13" t="s">
        <v>257</v>
      </c>
      <c r="J29" s="13" t="s">
        <v>257</v>
      </c>
      <c r="K29" s="79"/>
      <c r="L29" s="79"/>
      <c r="M29" s="79"/>
      <c r="N29" s="79"/>
      <c r="O29" s="79">
        <v>12</v>
      </c>
      <c r="P29" s="79"/>
      <c r="Q29" s="79"/>
      <c r="R29" s="79"/>
      <c r="S29" s="79"/>
      <c r="T29" s="79"/>
      <c r="U29" s="79"/>
      <c r="V29" s="79"/>
      <c r="W29" s="79"/>
      <c r="X29" s="79"/>
      <c r="Y29" s="79">
        <v>31</v>
      </c>
      <c r="Z29" s="79">
        <v>1</v>
      </c>
      <c r="AA29" s="79">
        <v>44</v>
      </c>
    </row>
    <row r="30" spans="1:27" x14ac:dyDescent="0.25">
      <c r="A30" s="14">
        <v>46143.073611111111</v>
      </c>
      <c r="B30" s="79" t="s">
        <v>149</v>
      </c>
      <c r="C30" s="79" t="s">
        <v>187</v>
      </c>
      <c r="D30" s="79" t="s">
        <v>156</v>
      </c>
      <c r="E30" s="79" t="s">
        <v>75</v>
      </c>
      <c r="F30" s="79" t="str">
        <f>IF(E30="", "", IF(COUNTIF(ChestType!$A$5:$A$195, E30)&gt;0, VLOOKUP(E30, ChestType!$A$5:$B$195, 2, 0), "Others"))</f>
        <v>L10 Rare Crypt</v>
      </c>
      <c r="H30" s="13" t="s">
        <v>283</v>
      </c>
      <c r="J30" s="13" t="s">
        <v>233</v>
      </c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>
        <v>7</v>
      </c>
      <c r="Z30" s="79"/>
      <c r="AA30" s="79">
        <v>7</v>
      </c>
    </row>
    <row r="31" spans="1:27" x14ac:dyDescent="0.25">
      <c r="A31" s="14">
        <v>46143.073611111111</v>
      </c>
      <c r="B31" s="79" t="s">
        <v>149</v>
      </c>
      <c r="C31" s="79" t="s">
        <v>182</v>
      </c>
      <c r="D31" s="79" t="s">
        <v>160</v>
      </c>
      <c r="E31" s="79" t="s">
        <v>50</v>
      </c>
      <c r="F31" s="79" t="str">
        <f>IF(E31="", "", IF(COUNTIF(ChestType!$A$5:$A$195, E31)&gt;0, VLOOKUP(E31, ChestType!$A$5:$B$195, 2, 0), "Others"))</f>
        <v>L10 Crypt</v>
      </c>
      <c r="H31" s="13" t="s">
        <v>233</v>
      </c>
      <c r="J31" s="13" t="s">
        <v>555</v>
      </c>
      <c r="K31" s="79"/>
      <c r="L31" s="79"/>
      <c r="M31" s="79"/>
      <c r="N31" s="79"/>
      <c r="O31" s="79">
        <v>1</v>
      </c>
      <c r="P31" s="79"/>
      <c r="Q31" s="79"/>
      <c r="R31" s="79"/>
      <c r="S31" s="79"/>
      <c r="T31" s="79"/>
      <c r="U31" s="79"/>
      <c r="V31" s="79"/>
      <c r="W31" s="79"/>
      <c r="X31" s="79"/>
      <c r="Y31" s="79">
        <v>2</v>
      </c>
      <c r="Z31" s="79"/>
      <c r="AA31" s="79">
        <v>3</v>
      </c>
    </row>
    <row r="32" spans="1:27" x14ac:dyDescent="0.25">
      <c r="A32" s="14">
        <v>46143.073611111111</v>
      </c>
      <c r="B32" s="79" t="s">
        <v>149</v>
      </c>
      <c r="C32" s="79" t="s">
        <v>185</v>
      </c>
      <c r="D32" s="79" t="s">
        <v>168</v>
      </c>
      <c r="E32" s="79" t="s">
        <v>50</v>
      </c>
      <c r="F32" s="79" t="str">
        <f>IF(E32="", "", IF(COUNTIF(ChestType!$A$5:$A$195, E32)&gt;0, VLOOKUP(E32, ChestType!$A$5:$B$195, 2, 0), "Others"))</f>
        <v>L10 Crypt</v>
      </c>
      <c r="H32" s="13" t="s">
        <v>555</v>
      </c>
      <c r="J32" s="13" t="s">
        <v>243</v>
      </c>
      <c r="K32" s="79"/>
      <c r="L32" s="79"/>
      <c r="M32" s="79"/>
      <c r="N32" s="79"/>
      <c r="O32" s="79"/>
      <c r="P32" s="79"/>
      <c r="Q32" s="79"/>
      <c r="R32" s="79">
        <v>2</v>
      </c>
      <c r="S32" s="79"/>
      <c r="T32" s="79"/>
      <c r="U32" s="79"/>
      <c r="V32" s="79"/>
      <c r="W32" s="79"/>
      <c r="X32" s="79"/>
      <c r="Y32" s="79"/>
      <c r="Z32" s="79">
        <v>1</v>
      </c>
      <c r="AA32" s="79">
        <v>3</v>
      </c>
    </row>
    <row r="33" spans="1:27" x14ac:dyDescent="0.25">
      <c r="A33" s="14">
        <v>46143.073611111111</v>
      </c>
      <c r="B33" s="79" t="s">
        <v>149</v>
      </c>
      <c r="C33" s="79" t="s">
        <v>187</v>
      </c>
      <c r="D33" s="79" t="s">
        <v>156</v>
      </c>
      <c r="E33" s="79" t="s">
        <v>75</v>
      </c>
      <c r="F33" s="79" t="str">
        <f>IF(E33="", "", IF(COUNTIF(ChestType!$A$5:$A$195, E33)&gt;0, VLOOKUP(E33, ChestType!$A$5:$B$195, 2, 0), "Others"))</f>
        <v>L10 Rare Crypt</v>
      </c>
      <c r="H33" s="13" t="s">
        <v>243</v>
      </c>
      <c r="J33" s="13" t="s">
        <v>155</v>
      </c>
      <c r="K33" s="79"/>
      <c r="L33" s="79"/>
      <c r="M33" s="79"/>
      <c r="N33" s="79"/>
      <c r="O33" s="79">
        <v>25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>
        <v>3</v>
      </c>
      <c r="AA33" s="79">
        <v>28</v>
      </c>
    </row>
    <row r="34" spans="1:27" x14ac:dyDescent="0.25">
      <c r="A34" s="14">
        <v>46143.073611111111</v>
      </c>
      <c r="B34" s="79" t="s">
        <v>149</v>
      </c>
      <c r="C34" s="79" t="s">
        <v>171</v>
      </c>
      <c r="D34" s="79" t="s">
        <v>168</v>
      </c>
      <c r="E34" s="79" t="s">
        <v>49</v>
      </c>
      <c r="F34" s="79" t="str">
        <f>IF(E34="", "", IF(COUNTIF(ChestType!$A$5:$A$195, E34)&gt;0, VLOOKUP(E34, ChestType!$A$5:$B$195, 2, 0), "Others"))</f>
        <v>L15 Crypt</v>
      </c>
      <c r="H34" s="13" t="s">
        <v>155</v>
      </c>
      <c r="J34" s="13" t="s">
        <v>150</v>
      </c>
      <c r="K34" s="79">
        <v>13</v>
      </c>
      <c r="L34" s="79"/>
      <c r="M34" s="79">
        <v>6</v>
      </c>
      <c r="N34" s="79">
        <v>6</v>
      </c>
      <c r="O34" s="79">
        <v>31</v>
      </c>
      <c r="P34" s="79">
        <v>4</v>
      </c>
      <c r="Q34" s="79">
        <v>1</v>
      </c>
      <c r="R34" s="79">
        <v>15</v>
      </c>
      <c r="S34" s="79"/>
      <c r="T34" s="79">
        <v>1</v>
      </c>
      <c r="U34" s="79"/>
      <c r="V34" s="79"/>
      <c r="W34" s="79"/>
      <c r="X34" s="79"/>
      <c r="Y34" s="79"/>
      <c r="Z34" s="79">
        <v>16</v>
      </c>
      <c r="AA34" s="79">
        <v>93</v>
      </c>
    </row>
    <row r="35" spans="1:27" x14ac:dyDescent="0.25">
      <c r="A35" s="14">
        <v>46143.073611111111</v>
      </c>
      <c r="B35" s="79" t="s">
        <v>149</v>
      </c>
      <c r="C35" s="79" t="s">
        <v>187</v>
      </c>
      <c r="D35" s="79" t="s">
        <v>156</v>
      </c>
      <c r="E35" s="79" t="s">
        <v>75</v>
      </c>
      <c r="F35" s="79" t="str">
        <f>IF(E35="", "", IF(COUNTIF(ChestType!$A$5:$A$195, E35)&gt;0, VLOOKUP(E35, ChestType!$A$5:$B$195, 2, 0), "Others"))</f>
        <v>L10 Rare Crypt</v>
      </c>
      <c r="H35" s="13" t="s">
        <v>150</v>
      </c>
      <c r="J35" s="13" t="s">
        <v>219</v>
      </c>
      <c r="K35" s="79"/>
      <c r="L35" s="79"/>
      <c r="M35" s="79">
        <v>3</v>
      </c>
      <c r="N35" s="79">
        <v>1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>
        <v>1</v>
      </c>
      <c r="Z35" s="79"/>
      <c r="AA35" s="79">
        <v>5</v>
      </c>
    </row>
    <row r="36" spans="1:27" x14ac:dyDescent="0.25">
      <c r="A36" s="14">
        <v>46143.073611111111</v>
      </c>
      <c r="B36" s="79" t="s">
        <v>149</v>
      </c>
      <c r="C36" s="79" t="s">
        <v>215</v>
      </c>
      <c r="D36" s="79" t="s">
        <v>168</v>
      </c>
      <c r="E36" s="79" t="s">
        <v>65</v>
      </c>
      <c r="F36" s="79" t="str">
        <f>IF(E36="", "", IF(COUNTIF(ChestType!$A$5:$A$195, E36)&gt;0, VLOOKUP(E36, ChestType!$A$5:$B$195, 2, 0), "Others"))</f>
        <v>L20 Epic Crypt</v>
      </c>
      <c r="H36" s="13" t="s">
        <v>219</v>
      </c>
      <c r="J36" s="13" t="s">
        <v>260</v>
      </c>
      <c r="K36" s="79"/>
      <c r="L36" s="79"/>
      <c r="M36" s="79"/>
      <c r="N36" s="79"/>
      <c r="O36" s="79">
        <v>12</v>
      </c>
      <c r="P36" s="79"/>
      <c r="Q36" s="79"/>
      <c r="R36" s="79"/>
      <c r="S36" s="79"/>
      <c r="T36" s="79"/>
      <c r="U36" s="79"/>
      <c r="V36" s="79"/>
      <c r="W36" s="79"/>
      <c r="X36" s="79"/>
      <c r="Y36" s="79">
        <v>3</v>
      </c>
      <c r="Z36" s="79"/>
      <c r="AA36" s="79">
        <v>15</v>
      </c>
    </row>
    <row r="37" spans="1:27" x14ac:dyDescent="0.25">
      <c r="A37" s="14">
        <v>46143.073611111111</v>
      </c>
      <c r="B37" s="79" t="s">
        <v>149</v>
      </c>
      <c r="C37" s="79" t="s">
        <v>187</v>
      </c>
      <c r="D37" s="79" t="s">
        <v>156</v>
      </c>
      <c r="E37" s="79" t="s">
        <v>75</v>
      </c>
      <c r="F37" s="79" t="str">
        <f>IF(E37="", "", IF(COUNTIF(ChestType!$A$5:$A$195, E37)&gt;0, VLOOKUP(E37, ChestType!$A$5:$B$195, 2, 0), "Others"))</f>
        <v>L10 Rare Crypt</v>
      </c>
      <c r="H37" s="13" t="s">
        <v>260</v>
      </c>
      <c r="J37" s="13" t="s">
        <v>238</v>
      </c>
      <c r="K37" s="79"/>
      <c r="L37" s="79"/>
      <c r="M37" s="79">
        <v>3</v>
      </c>
      <c r="N37" s="79"/>
      <c r="O37" s="79">
        <v>3</v>
      </c>
      <c r="P37" s="79"/>
      <c r="Q37" s="79"/>
      <c r="R37" s="79">
        <v>3</v>
      </c>
      <c r="S37" s="79"/>
      <c r="T37" s="79"/>
      <c r="U37" s="79"/>
      <c r="V37" s="79"/>
      <c r="W37" s="79"/>
      <c r="X37" s="79"/>
      <c r="Y37" s="79">
        <v>3</v>
      </c>
      <c r="Z37" s="79">
        <v>1</v>
      </c>
      <c r="AA37" s="79">
        <v>13</v>
      </c>
    </row>
    <row r="38" spans="1:27" x14ac:dyDescent="0.25">
      <c r="A38" s="14">
        <v>46143.073611111111</v>
      </c>
      <c r="B38" s="79" t="s">
        <v>149</v>
      </c>
      <c r="C38" s="79" t="s">
        <v>226</v>
      </c>
      <c r="D38" s="79" t="s">
        <v>168</v>
      </c>
      <c r="E38" s="79" t="s">
        <v>64</v>
      </c>
      <c r="F38" s="79" t="str">
        <f>IF(E38="", "", IF(COUNTIF(ChestType!$A$5:$A$195, E38)&gt;0, VLOOKUP(E38, ChestType!$A$5:$B$195, 2, 0), "Others"))</f>
        <v>L15 Epic Crypt</v>
      </c>
      <c r="H38" s="13" t="s">
        <v>841</v>
      </c>
      <c r="J38" s="13" t="s">
        <v>156</v>
      </c>
      <c r="K38" s="79">
        <v>13</v>
      </c>
      <c r="L38" s="79"/>
      <c r="M38" s="79">
        <v>6</v>
      </c>
      <c r="N38" s="79">
        <v>4</v>
      </c>
      <c r="O38" s="79">
        <v>12</v>
      </c>
      <c r="P38" s="79">
        <v>40</v>
      </c>
      <c r="Q38" s="79"/>
      <c r="R38" s="79">
        <v>59</v>
      </c>
      <c r="S38" s="79">
        <v>8</v>
      </c>
      <c r="T38" s="79"/>
      <c r="U38" s="79"/>
      <c r="V38" s="79"/>
      <c r="W38" s="79"/>
      <c r="X38" s="79"/>
      <c r="Y38" s="79"/>
      <c r="Z38" s="79">
        <v>18</v>
      </c>
      <c r="AA38" s="79">
        <v>160</v>
      </c>
    </row>
    <row r="39" spans="1:27" x14ac:dyDescent="0.25">
      <c r="A39" s="14">
        <v>46143.073611111111</v>
      </c>
      <c r="B39" s="79" t="s">
        <v>149</v>
      </c>
      <c r="C39" s="79" t="s">
        <v>187</v>
      </c>
      <c r="D39" s="79" t="s">
        <v>156</v>
      </c>
      <c r="E39" s="79" t="s">
        <v>75</v>
      </c>
      <c r="F39" s="79" t="str">
        <f>IF(E39="", "", IF(COUNTIF(ChestType!$A$5:$A$195, E39)&gt;0, VLOOKUP(E39, ChestType!$A$5:$B$195, 2, 0), "Others"))</f>
        <v>L10 Rare Crypt</v>
      </c>
      <c r="H39" s="13" t="s">
        <v>238</v>
      </c>
      <c r="J39" s="13" t="s">
        <v>161</v>
      </c>
      <c r="K39" s="79"/>
      <c r="L39" s="79"/>
      <c r="M39" s="79"/>
      <c r="N39" s="79"/>
      <c r="O39" s="79">
        <v>10</v>
      </c>
      <c r="P39" s="79"/>
      <c r="Q39" s="79"/>
      <c r="R39" s="79"/>
      <c r="S39" s="79"/>
      <c r="T39" s="79"/>
      <c r="U39" s="79"/>
      <c r="V39" s="79"/>
      <c r="W39" s="79"/>
      <c r="X39" s="79"/>
      <c r="Y39" s="79">
        <v>3</v>
      </c>
      <c r="Z39" s="79">
        <v>2</v>
      </c>
      <c r="AA39" s="79">
        <v>15</v>
      </c>
    </row>
    <row r="40" spans="1:27" x14ac:dyDescent="0.25">
      <c r="A40" s="14">
        <v>46143.073611111111</v>
      </c>
      <c r="B40" s="79" t="s">
        <v>149</v>
      </c>
      <c r="C40" s="79" t="s">
        <v>217</v>
      </c>
      <c r="D40" s="79" t="s">
        <v>152</v>
      </c>
      <c r="E40" s="79" t="s">
        <v>65</v>
      </c>
      <c r="F40" s="79" t="str">
        <f>IF(E40="", "", IF(COUNTIF(ChestType!$A$5:$A$195, E40)&gt;0, VLOOKUP(E40, ChestType!$A$5:$B$195, 2, 0), "Others"))</f>
        <v>L20 Epic Crypt</v>
      </c>
      <c r="H40" s="13" t="s">
        <v>156</v>
      </c>
      <c r="J40" s="13" t="s">
        <v>250</v>
      </c>
      <c r="K40" s="79">
        <v>13</v>
      </c>
      <c r="L40" s="79"/>
      <c r="M40" s="79">
        <v>12</v>
      </c>
      <c r="N40" s="79">
        <v>1</v>
      </c>
      <c r="O40" s="79">
        <v>15</v>
      </c>
      <c r="P40" s="79">
        <v>1</v>
      </c>
      <c r="Q40" s="79"/>
      <c r="R40" s="79">
        <v>11</v>
      </c>
      <c r="S40" s="79">
        <v>2</v>
      </c>
      <c r="T40" s="79">
        <v>1</v>
      </c>
      <c r="U40" s="79"/>
      <c r="V40" s="79"/>
      <c r="W40" s="79"/>
      <c r="X40" s="79"/>
      <c r="Y40" s="79">
        <v>13</v>
      </c>
      <c r="Z40" s="79">
        <v>8</v>
      </c>
      <c r="AA40" s="79">
        <v>77</v>
      </c>
    </row>
    <row r="41" spans="1:27" x14ac:dyDescent="0.25">
      <c r="A41" s="14">
        <v>46143.073611111111</v>
      </c>
      <c r="B41" s="79" t="s">
        <v>149</v>
      </c>
      <c r="C41" s="79" t="s">
        <v>171</v>
      </c>
      <c r="D41" s="79" t="s">
        <v>168</v>
      </c>
      <c r="E41" s="79" t="s">
        <v>48</v>
      </c>
      <c r="F41" s="79" t="str">
        <f>IF(E41="", "", IF(COUNTIF(ChestType!$A$5:$A$195, E41)&gt;0, VLOOKUP(E41, ChestType!$A$5:$B$195, 2, 0), "Others"))</f>
        <v>L20 Crypt</v>
      </c>
      <c r="H41" s="13" t="s">
        <v>161</v>
      </c>
      <c r="J41" s="13" t="s">
        <v>160</v>
      </c>
      <c r="K41" s="79"/>
      <c r="L41" s="79"/>
      <c r="M41" s="79"/>
      <c r="N41" s="79"/>
      <c r="O41" s="79">
        <v>2</v>
      </c>
      <c r="P41" s="79"/>
      <c r="Q41" s="79"/>
      <c r="R41" s="79">
        <v>1</v>
      </c>
      <c r="S41" s="79">
        <v>1</v>
      </c>
      <c r="T41" s="79"/>
      <c r="U41" s="79"/>
      <c r="V41" s="79"/>
      <c r="W41" s="79"/>
      <c r="X41" s="79"/>
      <c r="Y41" s="79">
        <v>8</v>
      </c>
      <c r="Z41" s="79">
        <v>2</v>
      </c>
      <c r="AA41" s="79">
        <v>14</v>
      </c>
    </row>
    <row r="42" spans="1:27" x14ac:dyDescent="0.25">
      <c r="A42" s="14">
        <v>46143.073611111111</v>
      </c>
      <c r="B42" s="79" t="s">
        <v>149</v>
      </c>
      <c r="C42" s="79" t="s">
        <v>187</v>
      </c>
      <c r="D42" s="79" t="s">
        <v>156</v>
      </c>
      <c r="E42" s="79" t="s">
        <v>75</v>
      </c>
      <c r="F42" s="79" t="str">
        <f>IF(E42="", "", IF(COUNTIF(ChestType!$A$5:$A$195, E42)&gt;0, VLOOKUP(E42, ChestType!$A$5:$B$195, 2, 0), "Others"))</f>
        <v>L10 Rare Crypt</v>
      </c>
      <c r="H42" s="13" t="s">
        <v>250</v>
      </c>
      <c r="J42" s="13" t="s">
        <v>201</v>
      </c>
      <c r="K42" s="79">
        <v>13</v>
      </c>
      <c r="L42" s="79"/>
      <c r="M42" s="79"/>
      <c r="N42" s="79"/>
      <c r="O42" s="79"/>
      <c r="P42" s="79">
        <v>1</v>
      </c>
      <c r="Q42" s="79"/>
      <c r="R42" s="79">
        <v>3</v>
      </c>
      <c r="S42" s="79">
        <v>1</v>
      </c>
      <c r="T42" s="79"/>
      <c r="U42" s="79"/>
      <c r="V42" s="79">
        <v>1</v>
      </c>
      <c r="W42" s="79"/>
      <c r="X42" s="79"/>
      <c r="Y42" s="79"/>
      <c r="Z42" s="79">
        <v>6</v>
      </c>
      <c r="AA42" s="79">
        <v>25</v>
      </c>
    </row>
    <row r="43" spans="1:27" x14ac:dyDescent="0.25">
      <c r="A43" s="14">
        <v>46143.073611111111</v>
      </c>
      <c r="B43" s="79" t="s">
        <v>195</v>
      </c>
      <c r="C43" s="79" t="s">
        <v>198</v>
      </c>
      <c r="D43" s="79" t="s">
        <v>247</v>
      </c>
      <c r="E43" s="79" t="s">
        <v>24</v>
      </c>
      <c r="F43" s="79" t="str">
        <f>IF(E43="", "", IF(COUNTIF(ChestType!$A$5:$A$195, E43)&gt;0, VLOOKUP(E43, ChestType!$A$5:$B$195, 2, 0), "Others"))</f>
        <v>Bank</v>
      </c>
      <c r="H43" s="13" t="s">
        <v>160</v>
      </c>
      <c r="J43" s="13" t="s">
        <v>234</v>
      </c>
      <c r="K43" s="79"/>
      <c r="L43" s="79"/>
      <c r="M43" s="79"/>
      <c r="N43" s="79"/>
      <c r="O43" s="79">
        <v>5</v>
      </c>
      <c r="P43" s="79"/>
      <c r="Q43" s="79"/>
      <c r="R43" s="79">
        <v>1</v>
      </c>
      <c r="S43" s="79"/>
      <c r="T43" s="79"/>
      <c r="U43" s="79"/>
      <c r="V43" s="79"/>
      <c r="W43" s="79"/>
      <c r="X43" s="79"/>
      <c r="Y43" s="79">
        <v>1</v>
      </c>
      <c r="Z43" s="79">
        <v>4</v>
      </c>
      <c r="AA43" s="79">
        <v>11</v>
      </c>
    </row>
    <row r="44" spans="1:27" x14ac:dyDescent="0.25">
      <c r="A44" s="14">
        <v>46143.073611111111</v>
      </c>
      <c r="B44" s="79" t="s">
        <v>195</v>
      </c>
      <c r="C44" s="79" t="s">
        <v>198</v>
      </c>
      <c r="D44" s="79" t="s">
        <v>247</v>
      </c>
      <c r="E44" s="79" t="s">
        <v>24</v>
      </c>
      <c r="F44" s="79" t="str">
        <f>IF(E44="", "", IF(COUNTIF(ChestType!$A$5:$A$195, E44)&gt;0, VLOOKUP(E44, ChestType!$A$5:$B$195, 2, 0), "Others"))</f>
        <v>Bank</v>
      </c>
      <c r="H44" s="13" t="s">
        <v>201</v>
      </c>
      <c r="J44" s="13" t="s">
        <v>258</v>
      </c>
      <c r="K44" s="79"/>
      <c r="L44" s="79"/>
      <c r="M44" s="79">
        <v>3</v>
      </c>
      <c r="N44" s="79"/>
      <c r="O44" s="79">
        <v>2</v>
      </c>
      <c r="P44" s="79"/>
      <c r="Q44" s="79"/>
      <c r="R44" s="79"/>
      <c r="S44" s="79"/>
      <c r="T44" s="79"/>
      <c r="U44" s="79"/>
      <c r="V44" s="79"/>
      <c r="W44" s="79"/>
      <c r="X44" s="79"/>
      <c r="Y44" s="79">
        <v>19</v>
      </c>
      <c r="Z44" s="79">
        <v>2</v>
      </c>
      <c r="AA44" s="79">
        <v>26</v>
      </c>
    </row>
    <row r="45" spans="1:27" x14ac:dyDescent="0.25">
      <c r="A45" s="14">
        <v>46143.073611111111</v>
      </c>
      <c r="B45" s="79" t="s">
        <v>195</v>
      </c>
      <c r="C45" s="79" t="s">
        <v>198</v>
      </c>
      <c r="D45" s="79" t="s">
        <v>247</v>
      </c>
      <c r="E45" s="79" t="s">
        <v>24</v>
      </c>
      <c r="F45" s="79" t="str">
        <f>IF(E45="", "", IF(COUNTIF(ChestType!$A$5:$A$195, E45)&gt;0, VLOOKUP(E45, ChestType!$A$5:$B$195, 2, 0), "Others"))</f>
        <v>Bank</v>
      </c>
      <c r="H45" s="13" t="s">
        <v>234</v>
      </c>
      <c r="J45" s="13" t="s">
        <v>266</v>
      </c>
      <c r="K45" s="79"/>
      <c r="L45" s="79"/>
      <c r="M45" s="79"/>
      <c r="N45" s="79"/>
      <c r="O45" s="79">
        <v>2</v>
      </c>
      <c r="P45" s="79"/>
      <c r="Q45" s="79"/>
      <c r="R45" s="79"/>
      <c r="S45" s="79"/>
      <c r="T45" s="79"/>
      <c r="U45" s="79"/>
      <c r="V45" s="79"/>
      <c r="W45" s="79"/>
      <c r="X45" s="79"/>
      <c r="Y45" s="79">
        <v>7</v>
      </c>
      <c r="Z45" s="79">
        <v>6</v>
      </c>
      <c r="AA45" s="79">
        <v>15</v>
      </c>
    </row>
    <row r="46" spans="1:27" x14ac:dyDescent="0.25">
      <c r="A46" s="14">
        <v>46143.073611111111</v>
      </c>
      <c r="B46" s="79" t="s">
        <v>195</v>
      </c>
      <c r="C46" s="79" t="s">
        <v>198</v>
      </c>
      <c r="D46" s="79" t="s">
        <v>219</v>
      </c>
      <c r="E46" s="79" t="s">
        <v>24</v>
      </c>
      <c r="F46" s="79" t="str">
        <f>IF(E46="", "", IF(COUNTIF(ChestType!$A$5:$A$195, E46)&gt;0, VLOOKUP(E46, ChestType!$A$5:$B$195, 2, 0), "Others"))</f>
        <v>Bank</v>
      </c>
      <c r="H46" s="13" t="s">
        <v>258</v>
      </c>
      <c r="J46" s="13" t="s">
        <v>225</v>
      </c>
      <c r="K46" s="79"/>
      <c r="L46" s="79"/>
      <c r="M46" s="79"/>
      <c r="N46" s="79"/>
      <c r="O46" s="79">
        <v>2</v>
      </c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>
        <v>2</v>
      </c>
    </row>
    <row r="47" spans="1:27" x14ac:dyDescent="0.25">
      <c r="A47" s="14">
        <v>46143.073611111111</v>
      </c>
      <c r="B47" s="79" t="s">
        <v>195</v>
      </c>
      <c r="C47" s="79" t="s">
        <v>198</v>
      </c>
      <c r="D47" s="79" t="s">
        <v>219</v>
      </c>
      <c r="E47" s="79" t="s">
        <v>24</v>
      </c>
      <c r="F47" s="79" t="str">
        <f>IF(E47="", "", IF(COUNTIF(ChestType!$A$5:$A$195, E47)&gt;0, VLOOKUP(E47, ChestType!$A$5:$B$195, 2, 0), "Others"))</f>
        <v>Bank</v>
      </c>
      <c r="H47" s="13" t="s">
        <v>266</v>
      </c>
      <c r="J47" s="13" t="s">
        <v>267</v>
      </c>
      <c r="K47" s="79"/>
      <c r="L47" s="79"/>
      <c r="M47" s="79"/>
      <c r="N47" s="79"/>
      <c r="O47" s="79">
        <v>2</v>
      </c>
      <c r="P47" s="79"/>
      <c r="Q47" s="79"/>
      <c r="R47" s="79"/>
      <c r="S47" s="79"/>
      <c r="T47" s="79"/>
      <c r="U47" s="79"/>
      <c r="V47" s="79"/>
      <c r="W47" s="79"/>
      <c r="X47" s="79"/>
      <c r="Y47" s="79">
        <v>9</v>
      </c>
      <c r="Z47" s="79">
        <v>1</v>
      </c>
      <c r="AA47" s="79">
        <v>12</v>
      </c>
    </row>
    <row r="48" spans="1:27" x14ac:dyDescent="0.25">
      <c r="A48" s="14">
        <v>46143.073611111111</v>
      </c>
      <c r="B48" s="79" t="s">
        <v>195</v>
      </c>
      <c r="C48" s="79" t="s">
        <v>198</v>
      </c>
      <c r="D48" s="79" t="s">
        <v>219</v>
      </c>
      <c r="E48" s="79" t="s">
        <v>24</v>
      </c>
      <c r="F48" s="79" t="str">
        <f>IF(E48="", "", IF(COUNTIF(ChestType!$A$5:$A$195, E48)&gt;0, VLOOKUP(E48, ChestType!$A$5:$B$195, 2, 0), "Others"))</f>
        <v>Bank</v>
      </c>
      <c r="H48" s="13" t="s">
        <v>225</v>
      </c>
      <c r="J48" s="13" t="s">
        <v>162</v>
      </c>
      <c r="K48" s="79">
        <v>16</v>
      </c>
      <c r="L48" s="79">
        <v>2</v>
      </c>
      <c r="M48" s="79">
        <v>45</v>
      </c>
      <c r="N48" s="79"/>
      <c r="O48" s="79">
        <v>39</v>
      </c>
      <c r="P48" s="79"/>
      <c r="Q48" s="79"/>
      <c r="R48" s="79">
        <v>66</v>
      </c>
      <c r="S48" s="79">
        <v>3</v>
      </c>
      <c r="T48" s="79"/>
      <c r="U48" s="79"/>
      <c r="V48" s="79">
        <v>23</v>
      </c>
      <c r="W48" s="79">
        <v>1</v>
      </c>
      <c r="X48" s="79"/>
      <c r="Y48" s="79"/>
      <c r="Z48" s="79">
        <v>7</v>
      </c>
      <c r="AA48" s="79">
        <v>202</v>
      </c>
    </row>
    <row r="49" spans="1:27" x14ac:dyDescent="0.25">
      <c r="A49" s="14">
        <v>46143.120138888888</v>
      </c>
      <c r="B49" s="79" t="s">
        <v>149</v>
      </c>
      <c r="C49" s="79" t="s">
        <v>158</v>
      </c>
      <c r="D49" s="79" t="s">
        <v>163</v>
      </c>
      <c r="E49" s="79" t="s">
        <v>50</v>
      </c>
      <c r="F49" s="79" t="str">
        <f>IF(E49="", "", IF(COUNTIF(ChestType!$A$5:$A$195, E49)&gt;0, VLOOKUP(E49, ChestType!$A$5:$B$195, 2, 0), "Others"))</f>
        <v>L10 Crypt</v>
      </c>
      <c r="H49" s="13" t="s">
        <v>267</v>
      </c>
      <c r="J49" s="13" t="s">
        <v>202</v>
      </c>
      <c r="K49" s="79"/>
      <c r="L49" s="79">
        <v>1</v>
      </c>
      <c r="M49" s="79"/>
      <c r="N49" s="79">
        <v>3</v>
      </c>
      <c r="O49" s="79">
        <v>1</v>
      </c>
      <c r="P49" s="79">
        <v>3</v>
      </c>
      <c r="Q49" s="79"/>
      <c r="R49" s="79">
        <v>7</v>
      </c>
      <c r="S49" s="79"/>
      <c r="T49" s="79"/>
      <c r="U49" s="79"/>
      <c r="V49" s="79"/>
      <c r="W49" s="79"/>
      <c r="X49" s="79"/>
      <c r="Y49" s="79"/>
      <c r="Z49" s="79">
        <v>3</v>
      </c>
      <c r="AA49" s="79">
        <v>18</v>
      </c>
    </row>
    <row r="50" spans="1:27" x14ac:dyDescent="0.25">
      <c r="A50" s="14">
        <v>46143.120138888888</v>
      </c>
      <c r="B50" s="79" t="s">
        <v>149</v>
      </c>
      <c r="C50" s="79" t="s">
        <v>203</v>
      </c>
      <c r="D50" s="79" t="s">
        <v>150</v>
      </c>
      <c r="E50" s="79" t="s">
        <v>72</v>
      </c>
      <c r="F50" s="79" t="str">
        <f>IF(E50="", "", IF(COUNTIF(ChestType!$A$5:$A$195, E50)&gt;0, VLOOKUP(E50, ChestType!$A$5:$B$195, 2, 0), "Others"))</f>
        <v>Others</v>
      </c>
      <c r="H50" s="13" t="s">
        <v>162</v>
      </c>
      <c r="J50" s="13" t="s">
        <v>242</v>
      </c>
      <c r="K50" s="79"/>
      <c r="L50" s="79"/>
      <c r="M50" s="79">
        <v>12</v>
      </c>
      <c r="N50" s="79"/>
      <c r="O50" s="79">
        <v>38</v>
      </c>
      <c r="P50" s="79"/>
      <c r="Q50" s="79"/>
      <c r="R50" s="79">
        <v>3</v>
      </c>
      <c r="S50" s="79"/>
      <c r="T50" s="79"/>
      <c r="U50" s="79"/>
      <c r="V50" s="79"/>
      <c r="W50" s="79"/>
      <c r="X50" s="79"/>
      <c r="Y50" s="79"/>
      <c r="Z50" s="79">
        <v>2</v>
      </c>
      <c r="AA50" s="79">
        <v>55</v>
      </c>
    </row>
    <row r="51" spans="1:27" x14ac:dyDescent="0.25">
      <c r="A51" s="14">
        <v>46143.120138888888</v>
      </c>
      <c r="B51" s="79" t="s">
        <v>149</v>
      </c>
      <c r="C51" s="79" t="s">
        <v>203</v>
      </c>
      <c r="D51" s="79" t="s">
        <v>150</v>
      </c>
      <c r="E51" s="79" t="s">
        <v>72</v>
      </c>
      <c r="F51" s="79" t="str">
        <f>IF(E51="", "", IF(COUNTIF(ChestType!$A$5:$A$195, E51)&gt;0, VLOOKUP(E51, ChestType!$A$5:$B$195, 2, 0), "Others"))</f>
        <v>Others</v>
      </c>
      <c r="H51" s="13" t="s">
        <v>202</v>
      </c>
      <c r="J51" s="13" t="s">
        <v>194</v>
      </c>
      <c r="K51" s="79">
        <v>13</v>
      </c>
      <c r="L51" s="79">
        <v>2</v>
      </c>
      <c r="M51" s="79"/>
      <c r="N51" s="79"/>
      <c r="O51" s="79">
        <v>2</v>
      </c>
      <c r="P51" s="79"/>
      <c r="Q51" s="79"/>
      <c r="R51" s="79"/>
      <c r="S51" s="79"/>
      <c r="T51" s="79"/>
      <c r="U51" s="79"/>
      <c r="V51" s="79"/>
      <c r="W51" s="79"/>
      <c r="X51" s="79"/>
      <c r="Y51" s="79">
        <v>3</v>
      </c>
      <c r="Z51" s="79">
        <v>11</v>
      </c>
      <c r="AA51" s="79">
        <v>31</v>
      </c>
    </row>
    <row r="52" spans="1:27" x14ac:dyDescent="0.25">
      <c r="A52" s="14">
        <v>46143.120138888888</v>
      </c>
      <c r="B52" s="79" t="s">
        <v>149</v>
      </c>
      <c r="C52" s="79" t="s">
        <v>203</v>
      </c>
      <c r="D52" s="79" t="s">
        <v>150</v>
      </c>
      <c r="E52" s="79" t="s">
        <v>72</v>
      </c>
      <c r="F52" s="79" t="str">
        <f>IF(E52="", "", IF(COUNTIF(ChestType!$A$5:$A$195, E52)&gt;0, VLOOKUP(E52, ChestType!$A$5:$B$195, 2, 0), "Others"))</f>
        <v>Others</v>
      </c>
      <c r="H52" s="13" t="s">
        <v>242</v>
      </c>
      <c r="J52" s="13" t="s">
        <v>229</v>
      </c>
      <c r="K52" s="79"/>
      <c r="L52" s="79"/>
      <c r="M52" s="79">
        <v>12</v>
      </c>
      <c r="N52" s="79"/>
      <c r="O52" s="79">
        <v>13</v>
      </c>
      <c r="P52" s="79"/>
      <c r="Q52" s="79">
        <v>1</v>
      </c>
      <c r="R52" s="79">
        <v>6</v>
      </c>
      <c r="S52" s="79">
        <v>3</v>
      </c>
      <c r="T52" s="79">
        <v>2</v>
      </c>
      <c r="U52" s="79"/>
      <c r="V52" s="79">
        <v>3</v>
      </c>
      <c r="W52" s="79">
        <v>1</v>
      </c>
      <c r="X52" s="79">
        <v>1</v>
      </c>
      <c r="Y52" s="79">
        <v>7</v>
      </c>
      <c r="Z52" s="79">
        <v>2</v>
      </c>
      <c r="AA52" s="79">
        <v>51</v>
      </c>
    </row>
    <row r="53" spans="1:27" x14ac:dyDescent="0.25">
      <c r="A53" s="14">
        <v>46143.120138888888</v>
      </c>
      <c r="B53" s="79" t="s">
        <v>149</v>
      </c>
      <c r="C53" s="79" t="s">
        <v>203</v>
      </c>
      <c r="D53" s="79" t="s">
        <v>150</v>
      </c>
      <c r="E53" s="79" t="s">
        <v>72</v>
      </c>
      <c r="F53" s="79" t="str">
        <f>IF(E53="", "", IF(COUNTIF(ChestType!$A$5:$A$195, E53)&gt;0, VLOOKUP(E53, ChestType!$A$5:$B$195, 2, 0), "Others"))</f>
        <v>Others</v>
      </c>
      <c r="H53" s="13" t="s">
        <v>194</v>
      </c>
      <c r="J53" s="13" t="s">
        <v>180</v>
      </c>
      <c r="K53" s="79"/>
      <c r="L53" s="79"/>
      <c r="M53" s="79"/>
      <c r="N53" s="79">
        <v>1</v>
      </c>
      <c r="O53" s="79">
        <v>8</v>
      </c>
      <c r="P53" s="79"/>
      <c r="Q53" s="79"/>
      <c r="R53" s="79">
        <v>2</v>
      </c>
      <c r="S53" s="79">
        <v>1</v>
      </c>
      <c r="T53" s="79"/>
      <c r="U53" s="79"/>
      <c r="V53" s="79"/>
      <c r="W53" s="79"/>
      <c r="X53" s="79"/>
      <c r="Y53" s="79">
        <v>4</v>
      </c>
      <c r="Z53" s="79">
        <v>3</v>
      </c>
      <c r="AA53" s="79">
        <v>19</v>
      </c>
    </row>
    <row r="54" spans="1:27" x14ac:dyDescent="0.25">
      <c r="A54" s="14">
        <v>46143.120138888888</v>
      </c>
      <c r="B54" s="79" t="s">
        <v>149</v>
      </c>
      <c r="C54" s="79" t="s">
        <v>203</v>
      </c>
      <c r="D54" s="79" t="s">
        <v>150</v>
      </c>
      <c r="E54" s="79" t="s">
        <v>72</v>
      </c>
      <c r="F54" s="79" t="str">
        <f>IF(E54="", "", IF(COUNTIF(ChestType!$A$5:$A$195, E54)&gt;0, VLOOKUP(E54, ChestType!$A$5:$B$195, 2, 0), "Others"))</f>
        <v>Others</v>
      </c>
      <c r="H54" s="13" t="s">
        <v>229</v>
      </c>
      <c r="J54" s="13" t="s">
        <v>261</v>
      </c>
      <c r="K54" s="79">
        <v>4</v>
      </c>
      <c r="L54" s="79"/>
      <c r="M54" s="79">
        <v>3</v>
      </c>
      <c r="N54" s="79">
        <v>1</v>
      </c>
      <c r="O54" s="79">
        <v>44</v>
      </c>
      <c r="P54" s="79">
        <v>3</v>
      </c>
      <c r="Q54" s="79"/>
      <c r="R54" s="79"/>
      <c r="S54" s="79"/>
      <c r="T54" s="79"/>
      <c r="U54" s="79"/>
      <c r="V54" s="79"/>
      <c r="W54" s="79"/>
      <c r="X54" s="79"/>
      <c r="Y54" s="79">
        <v>80</v>
      </c>
      <c r="Z54" s="79">
        <v>9</v>
      </c>
      <c r="AA54" s="79">
        <v>144</v>
      </c>
    </row>
    <row r="55" spans="1:27" x14ac:dyDescent="0.25">
      <c r="A55" s="14">
        <v>46143.120138888888</v>
      </c>
      <c r="B55" s="79" t="s">
        <v>149</v>
      </c>
      <c r="C55" s="79" t="s">
        <v>203</v>
      </c>
      <c r="D55" s="79" t="s">
        <v>150</v>
      </c>
      <c r="E55" s="79" t="s">
        <v>72</v>
      </c>
      <c r="F55" s="79" t="str">
        <f>IF(E55="", "", IF(COUNTIF(ChestType!$A$5:$A$195, E55)&gt;0, VLOOKUP(E55, ChestType!$A$5:$B$195, 2, 0), "Others"))</f>
        <v>Others</v>
      </c>
      <c r="H55" s="13" t="s">
        <v>180</v>
      </c>
      <c r="J55" s="13" t="s">
        <v>205</v>
      </c>
      <c r="K55" s="79">
        <v>13</v>
      </c>
      <c r="L55" s="79">
        <v>7</v>
      </c>
      <c r="M55" s="79">
        <v>15</v>
      </c>
      <c r="N55" s="79">
        <v>2</v>
      </c>
      <c r="O55" s="79">
        <v>6</v>
      </c>
      <c r="P55" s="79">
        <v>3</v>
      </c>
      <c r="Q55" s="79"/>
      <c r="R55" s="79">
        <v>3</v>
      </c>
      <c r="S55" s="79">
        <v>4</v>
      </c>
      <c r="T55" s="79">
        <v>2</v>
      </c>
      <c r="U55" s="79">
        <v>1</v>
      </c>
      <c r="V55" s="79"/>
      <c r="W55" s="79"/>
      <c r="X55" s="79"/>
      <c r="Y55" s="79">
        <v>6</v>
      </c>
      <c r="Z55" s="79">
        <v>11</v>
      </c>
      <c r="AA55" s="79">
        <v>73</v>
      </c>
    </row>
    <row r="56" spans="1:27" x14ac:dyDescent="0.25">
      <c r="A56" s="14">
        <v>46143.120138888888</v>
      </c>
      <c r="B56" s="79" t="s">
        <v>149</v>
      </c>
      <c r="C56" s="79" t="s">
        <v>185</v>
      </c>
      <c r="D56" s="79" t="s">
        <v>161</v>
      </c>
      <c r="E56" s="79" t="s">
        <v>50</v>
      </c>
      <c r="F56" s="79" t="str">
        <f>IF(E56="", "", IF(COUNTIF(ChestType!$A$5:$A$195, E56)&gt;0, VLOOKUP(E56, ChestType!$A$5:$B$195, 2, 0), "Others"))</f>
        <v>L10 Crypt</v>
      </c>
      <c r="H56" s="13" t="s">
        <v>261</v>
      </c>
      <c r="J56" s="13" t="s">
        <v>246</v>
      </c>
      <c r="K56" s="79"/>
      <c r="L56" s="79"/>
      <c r="M56" s="79"/>
      <c r="N56" s="79"/>
      <c r="O56" s="79">
        <v>7</v>
      </c>
      <c r="P56" s="79"/>
      <c r="Q56" s="79"/>
      <c r="R56" s="79">
        <v>2</v>
      </c>
      <c r="S56" s="79"/>
      <c r="T56" s="79"/>
      <c r="U56" s="79"/>
      <c r="V56" s="79"/>
      <c r="W56" s="79"/>
      <c r="X56" s="79"/>
      <c r="Y56" s="79">
        <v>14</v>
      </c>
      <c r="Z56" s="79"/>
      <c r="AA56" s="79">
        <v>23</v>
      </c>
    </row>
    <row r="57" spans="1:27" x14ac:dyDescent="0.25">
      <c r="A57" s="14">
        <v>46143.120138888888</v>
      </c>
      <c r="B57" s="79" t="s">
        <v>149</v>
      </c>
      <c r="C57" s="79" t="s">
        <v>176</v>
      </c>
      <c r="D57" s="79" t="s">
        <v>163</v>
      </c>
      <c r="E57" s="79" t="s">
        <v>70</v>
      </c>
      <c r="F57" s="79" t="str">
        <f>IF(E57="", "", IF(COUNTIF(ChestType!$A$5:$A$195, E57)&gt;0, VLOOKUP(E57, ChestType!$A$5:$B$195, 2, 0), "Others"))</f>
        <v>L10 Citadel</v>
      </c>
      <c r="H57" s="13" t="s">
        <v>205</v>
      </c>
      <c r="J57" s="13" t="s">
        <v>268</v>
      </c>
      <c r="K57" s="79"/>
      <c r="L57" s="79"/>
      <c r="M57" s="79"/>
      <c r="N57" s="79"/>
      <c r="O57" s="79">
        <v>7</v>
      </c>
      <c r="P57" s="79"/>
      <c r="Q57" s="79"/>
      <c r="R57" s="79">
        <v>4</v>
      </c>
      <c r="S57" s="79"/>
      <c r="T57" s="79"/>
      <c r="U57" s="79"/>
      <c r="V57" s="79"/>
      <c r="W57" s="79"/>
      <c r="X57" s="79"/>
      <c r="Y57" s="79">
        <v>3</v>
      </c>
      <c r="Z57" s="79">
        <v>4</v>
      </c>
      <c r="AA57" s="79">
        <v>18</v>
      </c>
    </row>
    <row r="58" spans="1:27" x14ac:dyDescent="0.25">
      <c r="A58" s="14">
        <v>46143.120138888888</v>
      </c>
      <c r="B58" s="79" t="s">
        <v>149</v>
      </c>
      <c r="C58" s="79" t="s">
        <v>151</v>
      </c>
      <c r="D58" s="79" t="s">
        <v>152</v>
      </c>
      <c r="E58" s="79" t="s">
        <v>50</v>
      </c>
      <c r="F58" s="79" t="str">
        <f>IF(E58="", "", IF(COUNTIF(ChestType!$A$5:$A$195, E58)&gt;0, VLOOKUP(E58, ChestType!$A$5:$B$195, 2, 0), "Others"))</f>
        <v>L10 Crypt</v>
      </c>
      <c r="H58" s="13" t="s">
        <v>246</v>
      </c>
      <c r="J58" s="13" t="s">
        <v>179</v>
      </c>
      <c r="K58" s="79">
        <v>4</v>
      </c>
      <c r="L58" s="79"/>
      <c r="M58" s="79"/>
      <c r="N58" s="79"/>
      <c r="O58" s="79">
        <v>41</v>
      </c>
      <c r="P58" s="79"/>
      <c r="Q58" s="79"/>
      <c r="R58" s="79">
        <v>1</v>
      </c>
      <c r="S58" s="79">
        <v>2</v>
      </c>
      <c r="T58" s="79"/>
      <c r="U58" s="79"/>
      <c r="V58" s="79"/>
      <c r="W58" s="79"/>
      <c r="X58" s="79"/>
      <c r="Y58" s="79">
        <v>2</v>
      </c>
      <c r="Z58" s="79">
        <v>18</v>
      </c>
      <c r="AA58" s="79">
        <v>68</v>
      </c>
    </row>
    <row r="59" spans="1:27" x14ac:dyDescent="0.25">
      <c r="A59" s="14">
        <v>46143.120138888888</v>
      </c>
      <c r="B59" s="79" t="s">
        <v>149</v>
      </c>
      <c r="C59" s="79" t="s">
        <v>182</v>
      </c>
      <c r="D59" s="79" t="s">
        <v>152</v>
      </c>
      <c r="E59" s="79" t="s">
        <v>50</v>
      </c>
      <c r="F59" s="79" t="str">
        <f>IF(E59="", "", IF(COUNTIF(ChestType!$A$5:$A$195, E59)&gt;0, VLOOKUP(E59, ChestType!$A$5:$B$195, 2, 0), "Others"))</f>
        <v>L10 Crypt</v>
      </c>
      <c r="H59" s="13" t="s">
        <v>268</v>
      </c>
      <c r="J59" s="13" t="s">
        <v>263</v>
      </c>
      <c r="K59" s="79"/>
      <c r="L59" s="79"/>
      <c r="M59" s="79">
        <v>3</v>
      </c>
      <c r="N59" s="79"/>
      <c r="O59" s="79">
        <v>4</v>
      </c>
      <c r="P59" s="79"/>
      <c r="Q59" s="79"/>
      <c r="R59" s="79"/>
      <c r="S59" s="79"/>
      <c r="T59" s="79"/>
      <c r="U59" s="79"/>
      <c r="V59" s="79"/>
      <c r="W59" s="79"/>
      <c r="X59" s="79"/>
      <c r="Y59" s="79">
        <v>3</v>
      </c>
      <c r="Z59" s="79">
        <v>1</v>
      </c>
      <c r="AA59" s="79">
        <v>11</v>
      </c>
    </row>
    <row r="60" spans="1:27" x14ac:dyDescent="0.25">
      <c r="A60" s="14">
        <v>46143.120138888888</v>
      </c>
      <c r="B60" s="79" t="s">
        <v>149</v>
      </c>
      <c r="C60" s="79" t="s">
        <v>175</v>
      </c>
      <c r="D60" s="79" t="s">
        <v>152</v>
      </c>
      <c r="E60" s="79" t="s">
        <v>50</v>
      </c>
      <c r="F60" s="79" t="str">
        <f>IF(E60="", "", IF(COUNTIF(ChestType!$A$5:$A$195, E60)&gt;0, VLOOKUP(E60, ChestType!$A$5:$B$195, 2, 0), "Others"))</f>
        <v>L10 Crypt</v>
      </c>
      <c r="H60" s="13" t="s">
        <v>179</v>
      </c>
      <c r="J60" s="13" t="s">
        <v>240</v>
      </c>
      <c r="K60" s="79"/>
      <c r="L60" s="79"/>
      <c r="M60" s="79"/>
      <c r="N60" s="79"/>
      <c r="O60" s="79">
        <v>11</v>
      </c>
      <c r="P60" s="79"/>
      <c r="Q60" s="79"/>
      <c r="R60" s="79"/>
      <c r="S60" s="79"/>
      <c r="T60" s="79"/>
      <c r="U60" s="79"/>
      <c r="V60" s="79"/>
      <c r="W60" s="79"/>
      <c r="X60" s="79"/>
      <c r="Y60" s="79">
        <v>17</v>
      </c>
      <c r="Z60" s="79">
        <v>1</v>
      </c>
      <c r="AA60" s="79">
        <v>29</v>
      </c>
    </row>
    <row r="61" spans="1:27" x14ac:dyDescent="0.25">
      <c r="A61" s="14">
        <v>46143.120138888888</v>
      </c>
      <c r="B61" s="79" t="s">
        <v>149</v>
      </c>
      <c r="C61" s="79" t="s">
        <v>183</v>
      </c>
      <c r="D61" s="79" t="s">
        <v>253</v>
      </c>
      <c r="E61" s="79" t="s">
        <v>52</v>
      </c>
      <c r="F61" s="79" t="str">
        <f>IF(E61="", "", IF(COUNTIF(ChestType!$A$5:$A$195, E61)&gt;0, VLOOKUP(E61, ChestType!$A$5:$B$195, 2, 0), "Others"))</f>
        <v>L5 Crypt</v>
      </c>
      <c r="H61" s="13" t="s">
        <v>263</v>
      </c>
      <c r="J61" s="13" t="s">
        <v>264</v>
      </c>
      <c r="K61" s="79"/>
      <c r="L61" s="79"/>
      <c r="M61" s="79"/>
      <c r="N61" s="79"/>
      <c r="O61" s="79">
        <v>1</v>
      </c>
      <c r="P61" s="79"/>
      <c r="Q61" s="79"/>
      <c r="R61" s="79"/>
      <c r="S61" s="79"/>
      <c r="T61" s="79"/>
      <c r="U61" s="79"/>
      <c r="V61" s="79"/>
      <c r="W61" s="79"/>
      <c r="X61" s="79"/>
      <c r="Y61" s="79">
        <v>3</v>
      </c>
      <c r="Z61" s="79"/>
      <c r="AA61" s="79">
        <v>4</v>
      </c>
    </row>
    <row r="62" spans="1:27" x14ac:dyDescent="0.25">
      <c r="A62" s="14">
        <v>46143.120138888888</v>
      </c>
      <c r="B62" s="79" t="s">
        <v>195</v>
      </c>
      <c r="C62" s="79" t="s">
        <v>198</v>
      </c>
      <c r="D62" s="79" t="s">
        <v>163</v>
      </c>
      <c r="E62" s="79" t="s">
        <v>24</v>
      </c>
      <c r="F62" s="79" t="str">
        <f>IF(E62="", "", IF(COUNTIF(ChestType!$A$5:$A$195, E62)&gt;0, VLOOKUP(E62, ChestType!$A$5:$B$195, 2, 0), "Others"))</f>
        <v>Bank</v>
      </c>
      <c r="H62" s="13" t="s">
        <v>240</v>
      </c>
      <c r="J62" s="13" t="s">
        <v>265</v>
      </c>
      <c r="K62" s="79"/>
      <c r="L62" s="79"/>
      <c r="M62" s="79">
        <v>18</v>
      </c>
      <c r="N62" s="79"/>
      <c r="O62" s="79">
        <v>19</v>
      </c>
      <c r="P62" s="79">
        <v>25</v>
      </c>
      <c r="Q62" s="79"/>
      <c r="R62" s="79">
        <v>55</v>
      </c>
      <c r="S62" s="79">
        <v>1</v>
      </c>
      <c r="T62" s="79"/>
      <c r="U62" s="79"/>
      <c r="V62" s="79"/>
      <c r="W62" s="79"/>
      <c r="X62" s="79"/>
      <c r="Y62" s="79">
        <v>1</v>
      </c>
      <c r="Z62" s="79">
        <v>1</v>
      </c>
      <c r="AA62" s="79">
        <v>120</v>
      </c>
    </row>
    <row r="63" spans="1:27" x14ac:dyDescent="0.25">
      <c r="A63" s="14">
        <v>46143.120138888888</v>
      </c>
      <c r="B63" s="79" t="s">
        <v>195</v>
      </c>
      <c r="C63" s="79" t="s">
        <v>198</v>
      </c>
      <c r="D63" s="79" t="s">
        <v>163</v>
      </c>
      <c r="E63" s="79" t="s">
        <v>24</v>
      </c>
      <c r="F63" s="79" t="str">
        <f>IF(E63="", "", IF(COUNTIF(ChestType!$A$5:$A$195, E63)&gt;0, VLOOKUP(E63, ChestType!$A$5:$B$195, 2, 0), "Others"))</f>
        <v>Bank</v>
      </c>
      <c r="H63" s="13" t="s">
        <v>264</v>
      </c>
      <c r="J63" s="13" t="s">
        <v>222</v>
      </c>
      <c r="K63" s="79"/>
      <c r="L63" s="79">
        <v>1</v>
      </c>
      <c r="M63" s="79">
        <v>27</v>
      </c>
      <c r="N63" s="79">
        <v>2</v>
      </c>
      <c r="O63" s="79">
        <v>2</v>
      </c>
      <c r="P63" s="79">
        <v>28</v>
      </c>
      <c r="Q63" s="79">
        <v>1</v>
      </c>
      <c r="R63" s="79">
        <v>3</v>
      </c>
      <c r="S63" s="79">
        <v>3</v>
      </c>
      <c r="T63" s="79">
        <v>1</v>
      </c>
      <c r="U63" s="79">
        <v>7</v>
      </c>
      <c r="V63" s="79">
        <v>6</v>
      </c>
      <c r="W63" s="79">
        <v>1</v>
      </c>
      <c r="X63" s="79">
        <v>2</v>
      </c>
      <c r="Y63" s="79"/>
      <c r="Z63" s="79">
        <v>9</v>
      </c>
      <c r="AA63" s="79">
        <v>93</v>
      </c>
    </row>
    <row r="64" spans="1:27" x14ac:dyDescent="0.25">
      <c r="A64" s="14">
        <v>46143.120138888888</v>
      </c>
      <c r="B64" s="79" t="s">
        <v>195</v>
      </c>
      <c r="C64" s="79" t="s">
        <v>198</v>
      </c>
      <c r="D64" s="79" t="s">
        <v>163</v>
      </c>
      <c r="E64" s="79" t="s">
        <v>24</v>
      </c>
      <c r="F64" s="79" t="str">
        <f>IF(E64="", "", IF(COUNTIF(ChestType!$A$5:$A$195, E64)&gt;0, VLOOKUP(E64, ChestType!$A$5:$B$195, 2, 0), "Others"))</f>
        <v>Bank</v>
      </c>
      <c r="H64" s="13" t="s">
        <v>265</v>
      </c>
      <c r="J64" s="13" t="s">
        <v>163</v>
      </c>
      <c r="K64" s="79">
        <v>4</v>
      </c>
      <c r="L64" s="79"/>
      <c r="M64" s="79">
        <v>12</v>
      </c>
      <c r="N64" s="79">
        <v>2</v>
      </c>
      <c r="O64" s="79">
        <v>17</v>
      </c>
      <c r="P64" s="79">
        <v>2</v>
      </c>
      <c r="Q64" s="79"/>
      <c r="R64" s="79">
        <v>2</v>
      </c>
      <c r="S64" s="79">
        <v>2</v>
      </c>
      <c r="T64" s="79"/>
      <c r="U64" s="79"/>
      <c r="V64" s="79"/>
      <c r="W64" s="79"/>
      <c r="X64" s="79"/>
      <c r="Y64" s="79">
        <v>10</v>
      </c>
      <c r="Z64" s="79">
        <v>1</v>
      </c>
      <c r="AA64" s="79">
        <v>52</v>
      </c>
    </row>
    <row r="65" spans="1:27" x14ac:dyDescent="0.25">
      <c r="A65" s="14">
        <v>46143.527777777781</v>
      </c>
      <c r="B65" s="79" t="s">
        <v>149</v>
      </c>
      <c r="C65" s="79" t="s">
        <v>176</v>
      </c>
      <c r="D65" s="79" t="s">
        <v>222</v>
      </c>
      <c r="E65" s="79" t="s">
        <v>63</v>
      </c>
      <c r="F65" s="79" t="str">
        <f>IF(E65="", "", IF(COUNTIF(ChestType!$A$5:$A$195, E65)&gt;0, VLOOKUP(E65, ChestType!$A$5:$B$195, 2, 0), "Others"))</f>
        <v>L15 Citadel</v>
      </c>
      <c r="H65" s="13" t="s">
        <v>222</v>
      </c>
      <c r="J65" s="13" t="s">
        <v>193</v>
      </c>
      <c r="K65" s="79"/>
      <c r="L65" s="79"/>
      <c r="M65" s="79">
        <v>6</v>
      </c>
      <c r="N65" s="79"/>
      <c r="O65" s="79">
        <v>42</v>
      </c>
      <c r="P65" s="79">
        <v>1</v>
      </c>
      <c r="Q65" s="79"/>
      <c r="R65" s="79"/>
      <c r="S65" s="79"/>
      <c r="T65" s="79"/>
      <c r="U65" s="79"/>
      <c r="V65" s="79"/>
      <c r="W65" s="79"/>
      <c r="X65" s="79"/>
      <c r="Y65" s="79">
        <v>4</v>
      </c>
      <c r="Z65" s="79">
        <v>9</v>
      </c>
      <c r="AA65" s="79">
        <v>62</v>
      </c>
    </row>
    <row r="66" spans="1:27" x14ac:dyDescent="0.25">
      <c r="A66" s="14">
        <v>46143.527777777781</v>
      </c>
      <c r="B66" s="79" t="s">
        <v>149</v>
      </c>
      <c r="C66" s="79" t="s">
        <v>192</v>
      </c>
      <c r="D66" s="79" t="s">
        <v>160</v>
      </c>
      <c r="E66" s="79" t="s">
        <v>60</v>
      </c>
      <c r="F66" s="79" t="str">
        <f>IF(E66="", "", IF(COUNTIF(ChestType!$A$5:$A$195, E66)&gt;0, VLOOKUP(E66, ChestType!$A$5:$B$195, 2, 0), "Others"))</f>
        <v>Others</v>
      </c>
      <c r="H66" s="13" t="s">
        <v>163</v>
      </c>
      <c r="J66" s="13" t="s">
        <v>236</v>
      </c>
      <c r="K66" s="79"/>
      <c r="L66" s="79">
        <v>1</v>
      </c>
      <c r="M66" s="79"/>
      <c r="N66" s="79"/>
      <c r="O66" s="79">
        <v>7</v>
      </c>
      <c r="P66" s="79"/>
      <c r="Q66" s="79"/>
      <c r="R66" s="79">
        <v>1</v>
      </c>
      <c r="S66" s="79"/>
      <c r="T66" s="79">
        <v>1</v>
      </c>
      <c r="U66" s="79"/>
      <c r="V66" s="79"/>
      <c r="W66" s="79"/>
      <c r="X66" s="79"/>
      <c r="Y66" s="79"/>
      <c r="Z66" s="79">
        <v>2</v>
      </c>
      <c r="AA66" s="79">
        <v>12</v>
      </c>
    </row>
    <row r="67" spans="1:27" x14ac:dyDescent="0.25">
      <c r="A67" s="14">
        <v>46143.527777777781</v>
      </c>
      <c r="B67" s="79" t="s">
        <v>149</v>
      </c>
      <c r="C67" s="79" t="s">
        <v>176</v>
      </c>
      <c r="D67" s="79" t="s">
        <v>222</v>
      </c>
      <c r="E67" s="79" t="s">
        <v>44</v>
      </c>
      <c r="F67" s="79" t="str">
        <f>IF(E67="", "", IF(COUNTIF(ChestType!$A$5:$A$195, E67)&gt;0, VLOOKUP(E67, ChestType!$A$5:$B$195, 2, 0), "Others"))</f>
        <v>L20 Citadel</v>
      </c>
      <c r="H67" s="13" t="s">
        <v>193</v>
      </c>
      <c r="J67" s="13" t="s">
        <v>244</v>
      </c>
      <c r="K67" s="79">
        <v>4</v>
      </c>
      <c r="L67" s="79"/>
      <c r="M67" s="79"/>
      <c r="N67" s="79"/>
      <c r="O67" s="79">
        <v>1</v>
      </c>
      <c r="P67" s="79"/>
      <c r="Q67" s="79"/>
      <c r="R67" s="79">
        <v>3</v>
      </c>
      <c r="S67" s="79"/>
      <c r="T67" s="79"/>
      <c r="U67" s="79"/>
      <c r="V67" s="79"/>
      <c r="W67" s="79"/>
      <c r="X67" s="79"/>
      <c r="Y67" s="79">
        <v>1</v>
      </c>
      <c r="Z67" s="79"/>
      <c r="AA67" s="79">
        <v>9</v>
      </c>
    </row>
    <row r="68" spans="1:27" x14ac:dyDescent="0.25">
      <c r="A68" s="14">
        <v>46143.527777777781</v>
      </c>
      <c r="B68" s="79" t="s">
        <v>149</v>
      </c>
      <c r="C68" s="79" t="s">
        <v>192</v>
      </c>
      <c r="D68" s="79" t="s">
        <v>160</v>
      </c>
      <c r="E68" s="79" t="s">
        <v>60</v>
      </c>
      <c r="F68" s="79" t="str">
        <f>IF(E68="", "", IF(COUNTIF(ChestType!$A$5:$A$195, E68)&gt;0, VLOOKUP(E68, ChestType!$A$5:$B$195, 2, 0), "Others"))</f>
        <v>Others</v>
      </c>
      <c r="H68" s="13" t="s">
        <v>236</v>
      </c>
      <c r="J68" s="13" t="s">
        <v>212</v>
      </c>
      <c r="K68" s="79">
        <v>4</v>
      </c>
      <c r="L68" s="79"/>
      <c r="M68" s="79"/>
      <c r="N68" s="79"/>
      <c r="O68" s="79">
        <v>5</v>
      </c>
      <c r="P68" s="79"/>
      <c r="Q68" s="79"/>
      <c r="R68" s="79">
        <v>15</v>
      </c>
      <c r="S68" s="79">
        <v>1</v>
      </c>
      <c r="T68" s="79"/>
      <c r="U68" s="79"/>
      <c r="V68" s="79"/>
      <c r="W68" s="79"/>
      <c r="X68" s="79"/>
      <c r="Y68" s="79">
        <v>2</v>
      </c>
      <c r="Z68" s="79">
        <v>1</v>
      </c>
      <c r="AA68" s="79">
        <v>28</v>
      </c>
    </row>
    <row r="69" spans="1:27" x14ac:dyDescent="0.25">
      <c r="A69" s="14">
        <v>46143.527777777781</v>
      </c>
      <c r="B69" s="79" t="s">
        <v>149</v>
      </c>
      <c r="C69" s="79" t="s">
        <v>183</v>
      </c>
      <c r="D69" s="79" t="s">
        <v>160</v>
      </c>
      <c r="E69" s="79" t="s">
        <v>52</v>
      </c>
      <c r="F69" s="79" t="str">
        <f>IF(E69="", "", IF(COUNTIF(ChestType!$A$5:$A$195, E69)&gt;0, VLOOKUP(E69, ChestType!$A$5:$B$195, 2, 0), "Others"))</f>
        <v>L5 Crypt</v>
      </c>
      <c r="H69" s="13" t="s">
        <v>244</v>
      </c>
      <c r="J69" s="13" t="s">
        <v>168</v>
      </c>
      <c r="K69" s="79">
        <v>13</v>
      </c>
      <c r="L69" s="79">
        <v>10</v>
      </c>
      <c r="M69" s="79">
        <v>6</v>
      </c>
      <c r="N69" s="79"/>
      <c r="O69" s="79">
        <v>70</v>
      </c>
      <c r="P69" s="79">
        <v>1</v>
      </c>
      <c r="Q69" s="79"/>
      <c r="R69" s="79">
        <v>30</v>
      </c>
      <c r="S69" s="79">
        <v>4</v>
      </c>
      <c r="T69" s="79"/>
      <c r="U69" s="79"/>
      <c r="V69" s="79">
        <v>8</v>
      </c>
      <c r="W69" s="79">
        <v>1</v>
      </c>
      <c r="X69" s="79"/>
      <c r="Y69" s="79">
        <v>35</v>
      </c>
      <c r="Z69" s="79">
        <v>3</v>
      </c>
      <c r="AA69" s="79">
        <v>181</v>
      </c>
    </row>
    <row r="70" spans="1:27" x14ac:dyDescent="0.25">
      <c r="A70" s="14">
        <v>46143.527777777781</v>
      </c>
      <c r="B70" s="79" t="s">
        <v>149</v>
      </c>
      <c r="C70" s="79" t="s">
        <v>173</v>
      </c>
      <c r="D70" s="79" t="s">
        <v>160</v>
      </c>
      <c r="E70" s="79" t="s">
        <v>52</v>
      </c>
      <c r="F70" s="79" t="str">
        <f>IF(E70="", "", IF(COUNTIF(ChestType!$A$5:$A$195, E70)&gt;0, VLOOKUP(E70, ChestType!$A$5:$B$195, 2, 0), "Others"))</f>
        <v>L5 Crypt</v>
      </c>
      <c r="H70" s="13" t="s">
        <v>212</v>
      </c>
      <c r="J70" s="13" t="s">
        <v>253</v>
      </c>
      <c r="K70" s="79"/>
      <c r="L70" s="79"/>
      <c r="M70" s="79"/>
      <c r="N70" s="79"/>
      <c r="O70" s="79">
        <v>16</v>
      </c>
      <c r="P70" s="79"/>
      <c r="Q70" s="79"/>
      <c r="R70" s="79"/>
      <c r="S70" s="79"/>
      <c r="T70" s="79"/>
      <c r="U70" s="79"/>
      <c r="V70" s="79"/>
      <c r="W70" s="79"/>
      <c r="X70" s="79"/>
      <c r="Y70" s="79">
        <v>16</v>
      </c>
      <c r="Z70" s="79">
        <v>1</v>
      </c>
      <c r="AA70" s="79">
        <v>33</v>
      </c>
    </row>
    <row r="71" spans="1:27" x14ac:dyDescent="0.25">
      <c r="A71" s="14">
        <v>46143.527777777781</v>
      </c>
      <c r="B71" s="79" t="s">
        <v>149</v>
      </c>
      <c r="C71" s="79" t="s">
        <v>185</v>
      </c>
      <c r="D71" s="79" t="s">
        <v>160</v>
      </c>
      <c r="E71" s="79" t="s">
        <v>52</v>
      </c>
      <c r="F71" s="79" t="str">
        <f>IF(E71="", "", IF(COUNTIF(ChestType!$A$5:$A$195, E71)&gt;0, VLOOKUP(E71, ChestType!$A$5:$B$195, 2, 0), "Others"))</f>
        <v>L5 Crypt</v>
      </c>
      <c r="H71" s="13" t="s">
        <v>168</v>
      </c>
      <c r="J71" s="13" t="s">
        <v>841</v>
      </c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>
        <v>1</v>
      </c>
      <c r="Z71" s="79">
        <v>1</v>
      </c>
      <c r="AA71" s="79">
        <v>2</v>
      </c>
    </row>
    <row r="72" spans="1:27" x14ac:dyDescent="0.25">
      <c r="A72" s="14">
        <v>46143.527777777781</v>
      </c>
      <c r="B72" s="79" t="s">
        <v>149</v>
      </c>
      <c r="C72" s="79" t="s">
        <v>181</v>
      </c>
      <c r="D72" s="79" t="s">
        <v>160</v>
      </c>
      <c r="E72" s="79" t="s">
        <v>52</v>
      </c>
      <c r="F72" s="79" t="str">
        <f>IF(E72="", "", IF(COUNTIF(ChestType!$A$5:$A$195, E72)&gt;0, VLOOKUP(E72, ChestType!$A$5:$B$195, 2, 0), "Others"))</f>
        <v>L5 Crypt</v>
      </c>
      <c r="H72" s="13" t="s">
        <v>253</v>
      </c>
      <c r="J72" s="13" t="s">
        <v>842</v>
      </c>
      <c r="K72" s="79"/>
      <c r="L72" s="79"/>
      <c r="M72" s="79"/>
      <c r="N72" s="79"/>
      <c r="O72" s="79">
        <v>4</v>
      </c>
      <c r="P72" s="79"/>
      <c r="Q72" s="79"/>
      <c r="R72" s="79"/>
      <c r="S72" s="79"/>
      <c r="T72" s="79"/>
      <c r="U72" s="79"/>
      <c r="V72" s="79"/>
      <c r="W72" s="79"/>
      <c r="X72" s="79"/>
      <c r="Y72" s="79">
        <v>36</v>
      </c>
      <c r="Z72" s="79"/>
      <c r="AA72" s="79">
        <v>40</v>
      </c>
    </row>
    <row r="73" spans="1:27" x14ac:dyDescent="0.25">
      <c r="A73" s="14">
        <v>46143.527777777781</v>
      </c>
      <c r="B73" s="79" t="s">
        <v>149</v>
      </c>
      <c r="C73" s="79" t="s">
        <v>184</v>
      </c>
      <c r="D73" s="79" t="s">
        <v>193</v>
      </c>
      <c r="E73" s="79" t="s">
        <v>50</v>
      </c>
      <c r="F73" s="79" t="str">
        <f>IF(E73="", "", IF(COUNTIF(ChestType!$A$5:$A$195, E73)&gt;0, VLOOKUP(E73, ChestType!$A$5:$B$195, 2, 0), "Others"))</f>
        <v>L10 Crypt</v>
      </c>
      <c r="J73" s="13" t="s">
        <v>283</v>
      </c>
      <c r="K73" s="79"/>
      <c r="L73" s="79"/>
      <c r="M73" s="79"/>
      <c r="N73" s="79">
        <v>1</v>
      </c>
      <c r="O73" s="79">
        <v>1</v>
      </c>
      <c r="P73" s="79"/>
      <c r="Q73" s="79"/>
      <c r="R73" s="79"/>
      <c r="S73" s="79"/>
      <c r="T73" s="79"/>
      <c r="U73" s="79"/>
      <c r="V73" s="79"/>
      <c r="W73" s="79"/>
      <c r="X73" s="79"/>
      <c r="Y73" s="79">
        <v>1</v>
      </c>
      <c r="Z73" s="79"/>
      <c r="AA73" s="79">
        <v>3</v>
      </c>
    </row>
    <row r="74" spans="1:27" x14ac:dyDescent="0.25">
      <c r="A74" s="14">
        <v>46143.527777777781</v>
      </c>
      <c r="B74" s="79" t="s">
        <v>149</v>
      </c>
      <c r="C74" s="79" t="s">
        <v>184</v>
      </c>
      <c r="D74" s="79" t="s">
        <v>193</v>
      </c>
      <c r="E74" s="79" t="s">
        <v>50</v>
      </c>
      <c r="F74" s="79" t="str">
        <f>IF(E74="", "", IF(COUNTIF(ChestType!$A$5:$A$195, E74)&gt;0, VLOOKUP(E74, ChestType!$A$5:$B$195, 2, 0), "Others"))</f>
        <v>L10 Crypt</v>
      </c>
      <c r="J74" s="13" t="s">
        <v>248</v>
      </c>
      <c r="K74" s="79">
        <v>188</v>
      </c>
      <c r="L74" s="79">
        <v>36</v>
      </c>
      <c r="M74" s="79">
        <v>288</v>
      </c>
      <c r="N74" s="79">
        <v>118</v>
      </c>
      <c r="O74" s="79">
        <v>933</v>
      </c>
      <c r="P74" s="79">
        <v>202</v>
      </c>
      <c r="Q74" s="79">
        <v>15</v>
      </c>
      <c r="R74" s="79">
        <v>470</v>
      </c>
      <c r="S74" s="79">
        <v>71</v>
      </c>
      <c r="T74" s="79">
        <v>22</v>
      </c>
      <c r="U74" s="79">
        <v>9</v>
      </c>
      <c r="V74" s="79">
        <v>46</v>
      </c>
      <c r="W74" s="79">
        <v>5</v>
      </c>
      <c r="X74" s="79">
        <v>4</v>
      </c>
      <c r="Y74" s="79">
        <v>469</v>
      </c>
      <c r="Z74" s="79">
        <v>232</v>
      </c>
      <c r="AA74" s="79">
        <v>3108</v>
      </c>
    </row>
    <row r="75" spans="1:27" x14ac:dyDescent="0.25">
      <c r="A75" s="14">
        <v>46143.527777777781</v>
      </c>
      <c r="B75" s="79" t="s">
        <v>149</v>
      </c>
      <c r="C75" s="79" t="s">
        <v>192</v>
      </c>
      <c r="D75" s="79" t="s">
        <v>245</v>
      </c>
      <c r="E75" s="79" t="s">
        <v>60</v>
      </c>
      <c r="F75" s="79" t="str">
        <f>IF(E75="", "", IF(COUNTIF(ChestType!$A$5:$A$195, E75)&gt;0, VLOOKUP(E75, ChestType!$A$5:$B$195, 2, 0), "Others"))</f>
        <v>Others</v>
      </c>
    </row>
    <row r="76" spans="1:27" x14ac:dyDescent="0.25">
      <c r="A76" s="14">
        <v>46143.527777777781</v>
      </c>
      <c r="B76" s="79" t="s">
        <v>149</v>
      </c>
      <c r="C76" s="79" t="s">
        <v>171</v>
      </c>
      <c r="D76" s="79" t="s">
        <v>179</v>
      </c>
      <c r="E76" s="79" t="s">
        <v>50</v>
      </c>
      <c r="F76" s="79" t="str">
        <f>IF(E76="", "", IF(COUNTIF(ChestType!$A$5:$A$195, E76)&gt;0, VLOOKUP(E76, ChestType!$A$5:$B$195, 2, 0), "Others"))</f>
        <v>L10 Crypt</v>
      </c>
    </row>
    <row r="77" spans="1:27" x14ac:dyDescent="0.25">
      <c r="A77" s="14">
        <v>46143.527777777781</v>
      </c>
      <c r="B77" s="79" t="s">
        <v>149</v>
      </c>
      <c r="C77" s="79" t="s">
        <v>183</v>
      </c>
      <c r="D77" s="79" t="s">
        <v>193</v>
      </c>
      <c r="E77" s="79" t="s">
        <v>52</v>
      </c>
      <c r="F77" s="79" t="str">
        <f>IF(E77="", "", IF(COUNTIF(ChestType!$A$5:$A$195, E77)&gt;0, VLOOKUP(E77, ChestType!$A$5:$B$195, 2, 0), "Others"))</f>
        <v>L5 Crypt</v>
      </c>
    </row>
    <row r="78" spans="1:27" x14ac:dyDescent="0.25">
      <c r="A78" s="14">
        <v>46143.527777777781</v>
      </c>
      <c r="B78" s="79" t="s">
        <v>149</v>
      </c>
      <c r="C78" s="79" t="s">
        <v>173</v>
      </c>
      <c r="D78" s="79" t="s">
        <v>193</v>
      </c>
      <c r="E78" s="79" t="s">
        <v>50</v>
      </c>
      <c r="F78" s="79" t="str">
        <f>IF(E78="", "", IF(COUNTIF(ChestType!$A$5:$A$195, E78)&gt;0, VLOOKUP(E78, ChestType!$A$5:$B$195, 2, 0), "Others"))</f>
        <v>L10 Crypt</v>
      </c>
    </row>
    <row r="79" spans="1:27" x14ac:dyDescent="0.25">
      <c r="A79" s="14">
        <v>46143.527777777781</v>
      </c>
      <c r="B79" s="79" t="s">
        <v>149</v>
      </c>
      <c r="C79" s="79" t="s">
        <v>173</v>
      </c>
      <c r="D79" s="79" t="s">
        <v>251</v>
      </c>
      <c r="E79" s="79" t="s">
        <v>49</v>
      </c>
      <c r="F79" s="79" t="str">
        <f>IF(E79="", "", IF(COUNTIF(ChestType!$A$5:$A$195, E79)&gt;0, VLOOKUP(E79, ChestType!$A$5:$B$195, 2, 0), "Others"))</f>
        <v>L15 Crypt</v>
      </c>
    </row>
    <row r="80" spans="1:27" x14ac:dyDescent="0.25">
      <c r="A80" s="14">
        <v>46143.527777777781</v>
      </c>
      <c r="B80" s="79" t="s">
        <v>149</v>
      </c>
      <c r="C80" s="79" t="s">
        <v>158</v>
      </c>
      <c r="D80" s="79" t="s">
        <v>165</v>
      </c>
      <c r="E80" s="79" t="s">
        <v>50</v>
      </c>
      <c r="F80" s="79" t="str">
        <f>IF(E80="", "", IF(COUNTIF(ChestType!$A$5:$A$195, E80)&gt;0, VLOOKUP(E80, ChestType!$A$5:$B$195, 2, 0), "Others"))</f>
        <v>L10 Crypt</v>
      </c>
    </row>
    <row r="81" spans="1:6" x14ac:dyDescent="0.25">
      <c r="A81" s="14">
        <v>46143.527777777781</v>
      </c>
      <c r="B81" s="79" t="s">
        <v>149</v>
      </c>
      <c r="C81" s="79" t="s">
        <v>230</v>
      </c>
      <c r="D81" s="79" t="s">
        <v>160</v>
      </c>
      <c r="E81" s="79" t="s">
        <v>64</v>
      </c>
      <c r="F81" s="79" t="str">
        <f>IF(E81="", "", IF(COUNTIF(ChestType!$A$5:$A$195, E81)&gt;0, VLOOKUP(E81, ChestType!$A$5:$B$195, 2, 0), "Others"))</f>
        <v>L15 Epic Crypt</v>
      </c>
    </row>
    <row r="82" spans="1:6" x14ac:dyDescent="0.25">
      <c r="A82" s="14">
        <v>46143.527777777781</v>
      </c>
      <c r="B82" s="79" t="s">
        <v>149</v>
      </c>
      <c r="C82" s="79" t="s">
        <v>158</v>
      </c>
      <c r="D82" s="79" t="s">
        <v>165</v>
      </c>
      <c r="E82" s="79" t="s">
        <v>50</v>
      </c>
      <c r="F82" s="79" t="str">
        <f>IF(E82="", "", IF(COUNTIF(ChestType!$A$5:$A$195, E82)&gt;0, VLOOKUP(E82, ChestType!$A$5:$B$195, 2, 0), "Others"))</f>
        <v>L10 Crypt</v>
      </c>
    </row>
    <row r="83" spans="1:6" x14ac:dyDescent="0.25">
      <c r="A83" s="14">
        <v>46143.527777777781</v>
      </c>
      <c r="B83" s="79" t="s">
        <v>149</v>
      </c>
      <c r="C83" s="79" t="s">
        <v>173</v>
      </c>
      <c r="D83" s="79" t="s">
        <v>165</v>
      </c>
      <c r="E83" s="79" t="s">
        <v>50</v>
      </c>
      <c r="F83" s="79" t="str">
        <f>IF(E83="", "", IF(COUNTIF(ChestType!$A$5:$A$195, E83)&gt;0, VLOOKUP(E83, ChestType!$A$5:$B$195, 2, 0), "Others"))</f>
        <v>L10 Crypt</v>
      </c>
    </row>
    <row r="84" spans="1:6" x14ac:dyDescent="0.25">
      <c r="A84" s="14">
        <v>46143.527777777781</v>
      </c>
      <c r="B84" s="79" t="s">
        <v>149</v>
      </c>
      <c r="C84" s="79" t="s">
        <v>176</v>
      </c>
      <c r="D84" s="79" t="s">
        <v>153</v>
      </c>
      <c r="E84" s="79" t="s">
        <v>70</v>
      </c>
      <c r="F84" s="79" t="str">
        <f>IF(E84="", "", IF(COUNTIF(ChestType!$A$5:$A$195, E84)&gt;0, VLOOKUP(E84, ChestType!$A$5:$B$195, 2, 0), "Others"))</f>
        <v>L10 Citadel</v>
      </c>
    </row>
    <row r="85" spans="1:6" x14ac:dyDescent="0.25">
      <c r="A85" s="14">
        <v>46143.527777777781</v>
      </c>
      <c r="B85" s="79" t="s">
        <v>149</v>
      </c>
      <c r="C85" s="79" t="s">
        <v>158</v>
      </c>
      <c r="D85" s="79" t="s">
        <v>236</v>
      </c>
      <c r="E85" s="79" t="s">
        <v>50</v>
      </c>
      <c r="F85" s="79" t="str">
        <f>IF(E85="", "", IF(COUNTIF(ChestType!$A$5:$A$195, E85)&gt;0, VLOOKUP(E85, ChestType!$A$5:$B$195, 2, 0), "Others"))</f>
        <v>L10 Crypt</v>
      </c>
    </row>
    <row r="86" spans="1:6" x14ac:dyDescent="0.25">
      <c r="A86" s="14">
        <v>46143.527777777781</v>
      </c>
      <c r="B86" s="79" t="s">
        <v>149</v>
      </c>
      <c r="C86" s="79" t="s">
        <v>151</v>
      </c>
      <c r="D86" s="79" t="s">
        <v>153</v>
      </c>
      <c r="E86" s="79" t="s">
        <v>50</v>
      </c>
      <c r="F86" s="79" t="str">
        <f>IF(E86="", "", IF(COUNTIF(ChestType!$A$5:$A$195, E86)&gt;0, VLOOKUP(E86, ChestType!$A$5:$B$195, 2, 0), "Others"))</f>
        <v>L10 Crypt</v>
      </c>
    </row>
    <row r="87" spans="1:6" x14ac:dyDescent="0.25">
      <c r="A87" s="14">
        <v>46143.527777777781</v>
      </c>
      <c r="B87" s="79" t="s">
        <v>149</v>
      </c>
      <c r="C87" s="79" t="s">
        <v>232</v>
      </c>
      <c r="D87" s="79" t="s">
        <v>222</v>
      </c>
      <c r="E87" s="79" t="s">
        <v>44</v>
      </c>
      <c r="F87" s="79" t="str">
        <f>IF(E87="", "", IF(COUNTIF(ChestType!$A$5:$A$195, E87)&gt;0, VLOOKUP(E87, ChestType!$A$5:$B$195, 2, 0), "Others"))</f>
        <v>L20 Citadel</v>
      </c>
    </row>
    <row r="88" spans="1:6" x14ac:dyDescent="0.25">
      <c r="A88" s="14">
        <v>46143.527777777781</v>
      </c>
      <c r="B88" s="79" t="s">
        <v>149</v>
      </c>
      <c r="C88" s="79" t="s">
        <v>187</v>
      </c>
      <c r="D88" s="79" t="s">
        <v>222</v>
      </c>
      <c r="E88" s="79" t="s">
        <v>75</v>
      </c>
      <c r="F88" s="79" t="str">
        <f>IF(E88="", "", IF(COUNTIF(ChestType!$A$5:$A$195, E88)&gt;0, VLOOKUP(E88, ChestType!$A$5:$B$195, 2, 0), "Others"))</f>
        <v>L10 Rare Crypt</v>
      </c>
    </row>
    <row r="89" spans="1:6" x14ac:dyDescent="0.25">
      <c r="A89" s="14">
        <v>46143.527777777781</v>
      </c>
      <c r="B89" s="79" t="s">
        <v>149</v>
      </c>
      <c r="C89" s="79" t="s">
        <v>187</v>
      </c>
      <c r="D89" s="79" t="s">
        <v>222</v>
      </c>
      <c r="E89" s="79" t="s">
        <v>75</v>
      </c>
      <c r="F89" s="79" t="str">
        <f>IF(E89="", "", IF(COUNTIF(ChestType!$A$5:$A$195, E89)&gt;0, VLOOKUP(E89, ChestType!$A$5:$B$195, 2, 0), "Others"))</f>
        <v>L10 Rare Crypt</v>
      </c>
    </row>
    <row r="90" spans="1:6" x14ac:dyDescent="0.25">
      <c r="A90" s="14">
        <v>46143.527777777781</v>
      </c>
      <c r="B90" s="79" t="s">
        <v>149</v>
      </c>
      <c r="C90" s="79" t="s">
        <v>187</v>
      </c>
      <c r="D90" s="79" t="s">
        <v>222</v>
      </c>
      <c r="E90" s="79" t="s">
        <v>75</v>
      </c>
      <c r="F90" s="79" t="str">
        <f>IF(E90="", "", IF(COUNTIF(ChestType!$A$5:$A$195, E90)&gt;0, VLOOKUP(E90, ChestType!$A$5:$B$195, 2, 0), "Others"))</f>
        <v>L10 Rare Crypt</v>
      </c>
    </row>
    <row r="91" spans="1:6" x14ac:dyDescent="0.25">
      <c r="A91" s="14">
        <v>46143.527777777781</v>
      </c>
      <c r="B91" s="79" t="s">
        <v>149</v>
      </c>
      <c r="C91" s="79" t="s">
        <v>187</v>
      </c>
      <c r="D91" s="79" t="s">
        <v>222</v>
      </c>
      <c r="E91" s="79" t="s">
        <v>75</v>
      </c>
      <c r="F91" s="79" t="str">
        <f>IF(E91="", "", IF(COUNTIF(ChestType!$A$5:$A$195, E91)&gt;0, VLOOKUP(E91, ChestType!$A$5:$B$195, 2, 0), "Others"))</f>
        <v>L10 Rare Crypt</v>
      </c>
    </row>
    <row r="92" spans="1:6" x14ac:dyDescent="0.25">
      <c r="A92" s="14">
        <v>46143.527777777781</v>
      </c>
      <c r="B92" s="79" t="s">
        <v>149</v>
      </c>
      <c r="C92" s="79" t="s">
        <v>187</v>
      </c>
      <c r="D92" s="79" t="s">
        <v>222</v>
      </c>
      <c r="E92" s="79" t="s">
        <v>75</v>
      </c>
      <c r="F92" s="79" t="str">
        <f>IF(E92="", "", IF(COUNTIF(ChestType!$A$5:$A$195, E92)&gt;0, VLOOKUP(E92, ChestType!$A$5:$B$195, 2, 0), "Others"))</f>
        <v>L10 Rare Crypt</v>
      </c>
    </row>
    <row r="93" spans="1:6" x14ac:dyDescent="0.25">
      <c r="A93" s="14">
        <v>46143.527777777781</v>
      </c>
      <c r="B93" s="79" t="s">
        <v>149</v>
      </c>
      <c r="C93" s="79" t="s">
        <v>187</v>
      </c>
      <c r="D93" s="79" t="s">
        <v>222</v>
      </c>
      <c r="E93" s="79" t="s">
        <v>75</v>
      </c>
      <c r="F93" s="79" t="str">
        <f>IF(E93="", "", IF(COUNTIF(ChestType!$A$5:$A$195, E93)&gt;0, VLOOKUP(E93, ChestType!$A$5:$B$195, 2, 0), "Others"))</f>
        <v>L10 Rare Crypt</v>
      </c>
    </row>
    <row r="94" spans="1:6" x14ac:dyDescent="0.25">
      <c r="A94" s="14">
        <v>46143.527777777781</v>
      </c>
      <c r="B94" s="79" t="s">
        <v>149</v>
      </c>
      <c r="C94" s="79" t="s">
        <v>187</v>
      </c>
      <c r="D94" s="79" t="s">
        <v>222</v>
      </c>
      <c r="E94" s="79" t="s">
        <v>75</v>
      </c>
      <c r="F94" s="79" t="str">
        <f>IF(E94="", "", IF(COUNTIF(ChestType!$A$5:$A$195, E94)&gt;0, VLOOKUP(E94, ChestType!$A$5:$B$195, 2, 0), "Others"))</f>
        <v>L10 Rare Crypt</v>
      </c>
    </row>
    <row r="95" spans="1:6" x14ac:dyDescent="0.25">
      <c r="A95" s="14">
        <v>46143.527777777781</v>
      </c>
      <c r="B95" s="79" t="s">
        <v>149</v>
      </c>
      <c r="C95" s="79" t="s">
        <v>187</v>
      </c>
      <c r="D95" s="79" t="s">
        <v>222</v>
      </c>
      <c r="E95" s="79" t="s">
        <v>75</v>
      </c>
      <c r="F95" s="79" t="str">
        <f>IF(E95="", "", IF(COUNTIF(ChestType!$A$5:$A$195, E95)&gt;0, VLOOKUP(E95, ChestType!$A$5:$B$195, 2, 0), "Others"))</f>
        <v>L10 Rare Crypt</v>
      </c>
    </row>
    <row r="96" spans="1:6" x14ac:dyDescent="0.25">
      <c r="A96" s="14">
        <v>46143.527777777781</v>
      </c>
      <c r="B96" s="79" t="s">
        <v>149</v>
      </c>
      <c r="C96" s="79" t="s">
        <v>187</v>
      </c>
      <c r="D96" s="79" t="s">
        <v>222</v>
      </c>
      <c r="E96" s="79" t="s">
        <v>75</v>
      </c>
      <c r="F96" s="79" t="str">
        <f>IF(E96="", "", IF(COUNTIF(ChestType!$A$5:$A$195, E96)&gt;0, VLOOKUP(E96, ChestType!$A$5:$B$195, 2, 0), "Others"))</f>
        <v>L10 Rare Crypt</v>
      </c>
    </row>
    <row r="97" spans="1:6" x14ac:dyDescent="0.25">
      <c r="A97" s="14">
        <v>46143.527777777781</v>
      </c>
      <c r="B97" s="79" t="s">
        <v>149</v>
      </c>
      <c r="C97" s="79" t="s">
        <v>187</v>
      </c>
      <c r="D97" s="79" t="s">
        <v>222</v>
      </c>
      <c r="E97" s="79" t="s">
        <v>75</v>
      </c>
      <c r="F97" s="79" t="str">
        <f>IF(E97="", "", IF(COUNTIF(ChestType!$A$5:$A$195, E97)&gt;0, VLOOKUP(E97, ChestType!$A$5:$B$195, 2, 0), "Others"))</f>
        <v>L10 Rare Crypt</v>
      </c>
    </row>
    <row r="98" spans="1:6" x14ac:dyDescent="0.25">
      <c r="A98" s="14">
        <v>46143.527777777781</v>
      </c>
      <c r="B98" s="79" t="s">
        <v>149</v>
      </c>
      <c r="C98" s="79" t="s">
        <v>187</v>
      </c>
      <c r="D98" s="79" t="s">
        <v>222</v>
      </c>
      <c r="E98" s="79" t="s">
        <v>75</v>
      </c>
      <c r="F98" s="79" t="str">
        <f>IF(E98="", "", IF(COUNTIF(ChestType!$A$5:$A$195, E98)&gt;0, VLOOKUP(E98, ChestType!$A$5:$B$195, 2, 0), "Others"))</f>
        <v>L10 Rare Crypt</v>
      </c>
    </row>
    <row r="99" spans="1:6" x14ac:dyDescent="0.25">
      <c r="A99" s="14">
        <v>46143.527777777781</v>
      </c>
      <c r="B99" s="79" t="s">
        <v>149</v>
      </c>
      <c r="C99" s="79" t="s">
        <v>187</v>
      </c>
      <c r="D99" s="79" t="s">
        <v>222</v>
      </c>
      <c r="E99" s="79" t="s">
        <v>75</v>
      </c>
      <c r="F99" s="79" t="str">
        <f>IF(E99="", "", IF(COUNTIF(ChestType!$A$5:$A$195, E99)&gt;0, VLOOKUP(E99, ChestType!$A$5:$B$195, 2, 0), "Others"))</f>
        <v>L10 Rare Crypt</v>
      </c>
    </row>
    <row r="100" spans="1:6" x14ac:dyDescent="0.25">
      <c r="A100" s="14">
        <v>46143.527777777781</v>
      </c>
      <c r="B100" s="79" t="s">
        <v>149</v>
      </c>
      <c r="C100" s="79" t="s">
        <v>187</v>
      </c>
      <c r="D100" s="79" t="s">
        <v>222</v>
      </c>
      <c r="E100" s="79" t="s">
        <v>75</v>
      </c>
      <c r="F100" s="79" t="str">
        <f>IF(E100="", "", IF(COUNTIF(ChestType!$A$5:$A$195, E100)&gt;0, VLOOKUP(E100, ChestType!$A$5:$B$195, 2, 0), "Others"))</f>
        <v>L10 Rare Crypt</v>
      </c>
    </row>
    <row r="101" spans="1:6" x14ac:dyDescent="0.25">
      <c r="A101" s="14">
        <v>46143.527777777781</v>
      </c>
      <c r="B101" s="79" t="s">
        <v>149</v>
      </c>
      <c r="C101" s="79" t="s">
        <v>187</v>
      </c>
      <c r="D101" s="79" t="s">
        <v>222</v>
      </c>
      <c r="E101" s="79" t="s">
        <v>75</v>
      </c>
      <c r="F101" s="79" t="str">
        <f>IF(E101="", "", IF(COUNTIF(ChestType!$A$5:$A$195, E101)&gt;0, VLOOKUP(E101, ChestType!$A$5:$B$195, 2, 0), "Others"))</f>
        <v>L10 Rare Crypt</v>
      </c>
    </row>
    <row r="102" spans="1:6" x14ac:dyDescent="0.25">
      <c r="A102" s="14">
        <v>46143.527777777781</v>
      </c>
      <c r="B102" s="79" t="s">
        <v>149</v>
      </c>
      <c r="C102" s="79" t="s">
        <v>187</v>
      </c>
      <c r="D102" s="79" t="s">
        <v>222</v>
      </c>
      <c r="E102" s="79" t="s">
        <v>75</v>
      </c>
      <c r="F102" s="79" t="str">
        <f>IF(E102="", "", IF(COUNTIF(ChestType!$A$5:$A$195, E102)&gt;0, VLOOKUP(E102, ChestType!$A$5:$B$195, 2, 0), "Others"))</f>
        <v>L10 Rare Crypt</v>
      </c>
    </row>
    <row r="103" spans="1:6" x14ac:dyDescent="0.25">
      <c r="A103" s="14">
        <v>46143.527777777781</v>
      </c>
      <c r="B103" s="79" t="s">
        <v>149</v>
      </c>
      <c r="C103" s="79" t="s">
        <v>187</v>
      </c>
      <c r="D103" s="79" t="s">
        <v>222</v>
      </c>
      <c r="E103" s="79" t="s">
        <v>75</v>
      </c>
      <c r="F103" s="79" t="str">
        <f>IF(E103="", "", IF(COUNTIF(ChestType!$A$5:$A$195, E103)&gt;0, VLOOKUP(E103, ChestType!$A$5:$B$195, 2, 0), "Others"))</f>
        <v>L10 Rare Crypt</v>
      </c>
    </row>
    <row r="104" spans="1:6" x14ac:dyDescent="0.25">
      <c r="A104" s="14">
        <v>46143.527777777781</v>
      </c>
      <c r="B104" s="79" t="s">
        <v>149</v>
      </c>
      <c r="C104" s="79" t="s">
        <v>187</v>
      </c>
      <c r="D104" s="79" t="s">
        <v>222</v>
      </c>
      <c r="E104" s="79" t="s">
        <v>75</v>
      </c>
      <c r="F104" s="79" t="str">
        <f>IF(E104="", "", IF(COUNTIF(ChestType!$A$5:$A$195, E104)&gt;0, VLOOKUP(E104, ChestType!$A$5:$B$195, 2, 0), "Others"))</f>
        <v>L10 Rare Crypt</v>
      </c>
    </row>
    <row r="105" spans="1:6" x14ac:dyDescent="0.25">
      <c r="A105" s="14">
        <v>46143.527777777781</v>
      </c>
      <c r="B105" s="79" t="s">
        <v>149</v>
      </c>
      <c r="C105" s="79" t="s">
        <v>187</v>
      </c>
      <c r="D105" s="79" t="s">
        <v>222</v>
      </c>
      <c r="E105" s="79" t="s">
        <v>75</v>
      </c>
      <c r="F105" s="79" t="str">
        <f>IF(E105="", "", IF(COUNTIF(ChestType!$A$5:$A$195, E105)&gt;0, VLOOKUP(E105, ChestType!$A$5:$B$195, 2, 0), "Others"))</f>
        <v>L10 Rare Crypt</v>
      </c>
    </row>
    <row r="106" spans="1:6" x14ac:dyDescent="0.25">
      <c r="A106" s="14">
        <v>46143.527777777781</v>
      </c>
      <c r="B106" s="79" t="s">
        <v>149</v>
      </c>
      <c r="C106" s="79" t="s">
        <v>187</v>
      </c>
      <c r="D106" s="79" t="s">
        <v>222</v>
      </c>
      <c r="E106" s="79" t="s">
        <v>75</v>
      </c>
      <c r="F106" s="79" t="str">
        <f>IF(E106="", "", IF(COUNTIF(ChestType!$A$5:$A$195, E106)&gt;0, VLOOKUP(E106, ChestType!$A$5:$B$195, 2, 0), "Others"))</f>
        <v>L10 Rare Crypt</v>
      </c>
    </row>
    <row r="107" spans="1:6" x14ac:dyDescent="0.25">
      <c r="A107" s="14">
        <v>46143.527777777781</v>
      </c>
      <c r="B107" s="79" t="s">
        <v>149</v>
      </c>
      <c r="C107" s="79" t="s">
        <v>187</v>
      </c>
      <c r="D107" s="79" t="s">
        <v>222</v>
      </c>
      <c r="E107" s="79" t="s">
        <v>75</v>
      </c>
      <c r="F107" s="79" t="str">
        <f>IF(E107="", "", IF(COUNTIF(ChestType!$A$5:$A$195, E107)&gt;0, VLOOKUP(E107, ChestType!$A$5:$B$195, 2, 0), "Others"))</f>
        <v>L10 Rare Crypt</v>
      </c>
    </row>
    <row r="108" spans="1:6" x14ac:dyDescent="0.25">
      <c r="A108" s="14">
        <v>46143.527777777781</v>
      </c>
      <c r="B108" s="79" t="s">
        <v>149</v>
      </c>
      <c r="C108" s="79" t="s">
        <v>187</v>
      </c>
      <c r="D108" s="79" t="s">
        <v>222</v>
      </c>
      <c r="E108" s="79" t="s">
        <v>75</v>
      </c>
      <c r="F108" s="79" t="str">
        <f>IF(E108="", "", IF(COUNTIF(ChestType!$A$5:$A$195, E108)&gt;0, VLOOKUP(E108, ChestType!$A$5:$B$195, 2, 0), "Others"))</f>
        <v>L10 Rare Crypt</v>
      </c>
    </row>
    <row r="109" spans="1:6" x14ac:dyDescent="0.25">
      <c r="A109" s="14">
        <v>46143.527777777781</v>
      </c>
      <c r="B109" s="79" t="s">
        <v>149</v>
      </c>
      <c r="C109" s="79" t="s">
        <v>187</v>
      </c>
      <c r="D109" s="79" t="s">
        <v>222</v>
      </c>
      <c r="E109" s="79" t="s">
        <v>75</v>
      </c>
      <c r="F109" s="79" t="str">
        <f>IF(E109="", "", IF(COUNTIF(ChestType!$A$5:$A$195, E109)&gt;0, VLOOKUP(E109, ChestType!$A$5:$B$195, 2, 0), "Others"))</f>
        <v>L10 Rare Crypt</v>
      </c>
    </row>
    <row r="110" spans="1:6" x14ac:dyDescent="0.25">
      <c r="A110" s="14">
        <v>46143.527777777781</v>
      </c>
      <c r="B110" s="79" t="s">
        <v>149</v>
      </c>
      <c r="C110" s="79" t="s">
        <v>187</v>
      </c>
      <c r="D110" s="79" t="s">
        <v>222</v>
      </c>
      <c r="E110" s="79" t="s">
        <v>75</v>
      </c>
      <c r="F110" s="79" t="str">
        <f>IF(E110="", "", IF(COUNTIF(ChestType!$A$5:$A$195, E110)&gt;0, VLOOKUP(E110, ChestType!$A$5:$B$195, 2, 0), "Others"))</f>
        <v>L10 Rare Crypt</v>
      </c>
    </row>
    <row r="111" spans="1:6" x14ac:dyDescent="0.25">
      <c r="A111" s="14">
        <v>46143.527777777781</v>
      </c>
      <c r="B111" s="79" t="s">
        <v>149</v>
      </c>
      <c r="C111" s="79" t="s">
        <v>187</v>
      </c>
      <c r="D111" s="79" t="s">
        <v>222</v>
      </c>
      <c r="E111" s="79" t="s">
        <v>75</v>
      </c>
      <c r="F111" s="79" t="str">
        <f>IF(E111="", "", IF(COUNTIF(ChestType!$A$5:$A$195, E111)&gt;0, VLOOKUP(E111, ChestType!$A$5:$B$195, 2, 0), "Others"))</f>
        <v>L10 Rare Crypt</v>
      </c>
    </row>
    <row r="112" spans="1:6" x14ac:dyDescent="0.25">
      <c r="A112" s="14">
        <v>46143.527777777781</v>
      </c>
      <c r="B112" s="79" t="s">
        <v>149</v>
      </c>
      <c r="C112" s="79" t="s">
        <v>187</v>
      </c>
      <c r="D112" s="79" t="s">
        <v>222</v>
      </c>
      <c r="E112" s="79" t="s">
        <v>75</v>
      </c>
      <c r="F112" s="79" t="str">
        <f>IF(E112="", "", IF(COUNTIF(ChestType!$A$5:$A$195, E112)&gt;0, VLOOKUP(E112, ChestType!$A$5:$B$195, 2, 0), "Others"))</f>
        <v>L10 Rare Crypt</v>
      </c>
    </row>
    <row r="113" spans="1:6" x14ac:dyDescent="0.25">
      <c r="A113" s="14">
        <v>46143.527777777781</v>
      </c>
      <c r="B113" s="79" t="s">
        <v>149</v>
      </c>
      <c r="C113" s="79" t="s">
        <v>187</v>
      </c>
      <c r="D113" s="79" t="s">
        <v>222</v>
      </c>
      <c r="E113" s="79" t="s">
        <v>75</v>
      </c>
      <c r="F113" s="79" t="str">
        <f>IF(E113="", "", IF(COUNTIF(ChestType!$A$5:$A$195, E113)&gt;0, VLOOKUP(E113, ChestType!$A$5:$B$195, 2, 0), "Others"))</f>
        <v>L10 Rare Crypt</v>
      </c>
    </row>
    <row r="114" spans="1:6" x14ac:dyDescent="0.25">
      <c r="A114" s="14">
        <v>46143.527777777781</v>
      </c>
      <c r="B114" s="79" t="s">
        <v>149</v>
      </c>
      <c r="C114" s="79" t="s">
        <v>187</v>
      </c>
      <c r="D114" s="79" t="s">
        <v>222</v>
      </c>
      <c r="E114" s="79" t="s">
        <v>75</v>
      </c>
      <c r="F114" s="79" t="str">
        <f>IF(E114="", "", IF(COUNTIF(ChestType!$A$5:$A$195, E114)&gt;0, VLOOKUP(E114, ChestType!$A$5:$B$195, 2, 0), "Others"))</f>
        <v>L10 Rare Crypt</v>
      </c>
    </row>
    <row r="115" spans="1:6" x14ac:dyDescent="0.25">
      <c r="A115" s="14">
        <v>46143.527777777781</v>
      </c>
      <c r="B115" s="79" t="s">
        <v>149</v>
      </c>
      <c r="C115" s="79" t="s">
        <v>187</v>
      </c>
      <c r="D115" s="79" t="s">
        <v>222</v>
      </c>
      <c r="E115" s="79" t="s">
        <v>75</v>
      </c>
      <c r="F115" s="79" t="str">
        <f>IF(E115="", "", IF(COUNTIF(ChestType!$A$5:$A$195, E115)&gt;0, VLOOKUP(E115, ChestType!$A$5:$B$195, 2, 0), "Others"))</f>
        <v>L10 Rare Crypt</v>
      </c>
    </row>
    <row r="116" spans="1:6" x14ac:dyDescent="0.25">
      <c r="A116" s="14">
        <v>46143.527777777781</v>
      </c>
      <c r="B116" s="79" t="s">
        <v>149</v>
      </c>
      <c r="C116" s="79" t="s">
        <v>176</v>
      </c>
      <c r="D116" s="79" t="s">
        <v>222</v>
      </c>
      <c r="E116" s="79" t="s">
        <v>70</v>
      </c>
      <c r="F116" s="79" t="str">
        <f>IF(E116="", "", IF(COUNTIF(ChestType!$A$5:$A$195, E116)&gt;0, VLOOKUP(E116, ChestType!$A$5:$B$195, 2, 0), "Others"))</f>
        <v>L10 Citadel</v>
      </c>
    </row>
    <row r="117" spans="1:6" x14ac:dyDescent="0.25">
      <c r="A117" s="14">
        <v>46143.527777777781</v>
      </c>
      <c r="B117" s="79" t="s">
        <v>149</v>
      </c>
      <c r="C117" s="79" t="s">
        <v>192</v>
      </c>
      <c r="D117" s="79" t="s">
        <v>247</v>
      </c>
      <c r="E117" s="79" t="s">
        <v>60</v>
      </c>
      <c r="F117" s="79" t="str">
        <f>IF(E117="", "", IF(COUNTIF(ChestType!$A$5:$A$195, E117)&gt;0, VLOOKUP(E117, ChestType!$A$5:$B$195, 2, 0), "Others"))</f>
        <v>Others</v>
      </c>
    </row>
    <row r="118" spans="1:6" x14ac:dyDescent="0.25">
      <c r="A118" s="14">
        <v>46143.527777777781</v>
      </c>
      <c r="B118" s="79" t="s">
        <v>149</v>
      </c>
      <c r="C118" s="79" t="s">
        <v>187</v>
      </c>
      <c r="D118" s="79" t="s">
        <v>247</v>
      </c>
      <c r="E118" s="79" t="s">
        <v>75</v>
      </c>
      <c r="F118" s="79" t="str">
        <f>IF(E118="", "", IF(COUNTIF(ChestType!$A$5:$A$195, E118)&gt;0, VLOOKUP(E118, ChestType!$A$5:$B$195, 2, 0), "Others"))</f>
        <v>L10 Rare Crypt</v>
      </c>
    </row>
    <row r="119" spans="1:6" x14ac:dyDescent="0.25">
      <c r="A119" s="14">
        <v>46143.527777777781</v>
      </c>
      <c r="B119" s="79" t="s">
        <v>149</v>
      </c>
      <c r="C119" s="79" t="s">
        <v>255</v>
      </c>
      <c r="D119" s="79" t="s">
        <v>241</v>
      </c>
      <c r="E119" s="79" t="s">
        <v>256</v>
      </c>
      <c r="F119" s="79" t="str">
        <f>IF(E119="", "", IF(COUNTIF(ChestType!$A$5:$A$195, E119)&gt;0, VLOOKUP(E119, ChestType!$A$5:$B$195, 2, 0), "Others"))</f>
        <v>Others</v>
      </c>
    </row>
    <row r="120" spans="1:6" x14ac:dyDescent="0.25">
      <c r="A120" s="14">
        <v>46143.527777777781</v>
      </c>
      <c r="B120" s="79" t="s">
        <v>149</v>
      </c>
      <c r="C120" s="79" t="s">
        <v>187</v>
      </c>
      <c r="D120" s="79" t="s">
        <v>247</v>
      </c>
      <c r="E120" s="79" t="s">
        <v>75</v>
      </c>
      <c r="F120" s="79" t="str">
        <f>IF(E120="", "", IF(COUNTIF(ChestType!$A$5:$A$195, E120)&gt;0, VLOOKUP(E120, ChestType!$A$5:$B$195, 2, 0), "Others"))</f>
        <v>L10 Rare Crypt</v>
      </c>
    </row>
    <row r="121" spans="1:6" x14ac:dyDescent="0.25">
      <c r="A121" s="14">
        <v>46143.527777777781</v>
      </c>
      <c r="B121" s="79" t="s">
        <v>149</v>
      </c>
      <c r="C121" s="79" t="s">
        <v>187</v>
      </c>
      <c r="D121" s="79" t="s">
        <v>205</v>
      </c>
      <c r="E121" s="79" t="s">
        <v>75</v>
      </c>
      <c r="F121" s="79" t="str">
        <f>IF(E121="", "", IF(COUNTIF(ChestType!$A$5:$A$195, E121)&gt;0, VLOOKUP(E121, ChestType!$A$5:$B$195, 2, 0), "Others"))</f>
        <v>L10 Rare Crypt</v>
      </c>
    </row>
    <row r="122" spans="1:6" x14ac:dyDescent="0.25">
      <c r="A122" s="14">
        <v>46143.527777777781</v>
      </c>
      <c r="B122" s="79" t="s">
        <v>149</v>
      </c>
      <c r="C122" s="79" t="s">
        <v>176</v>
      </c>
      <c r="D122" s="79" t="s">
        <v>205</v>
      </c>
      <c r="E122" s="79" t="s">
        <v>237</v>
      </c>
      <c r="F122" s="79" t="str">
        <f>IF(E122="", "", IF(COUNTIF(ChestType!$A$5:$A$195, E122)&gt;0, VLOOKUP(E122, ChestType!$A$5:$B$195, 2, 0), "Others"))</f>
        <v>Others</v>
      </c>
    </row>
    <row r="123" spans="1:6" x14ac:dyDescent="0.25">
      <c r="A123" s="14">
        <v>46143.527777777781</v>
      </c>
      <c r="B123" s="79" t="s">
        <v>149</v>
      </c>
      <c r="C123" s="79" t="s">
        <v>176</v>
      </c>
      <c r="D123" s="79" t="s">
        <v>231</v>
      </c>
      <c r="E123" s="79" t="s">
        <v>70</v>
      </c>
      <c r="F123" s="79" t="str">
        <f>IF(E123="", "", IF(COUNTIF(ChestType!$A$5:$A$195, E123)&gt;0, VLOOKUP(E123, ChestType!$A$5:$B$195, 2, 0), "Others"))</f>
        <v>L10 Citadel</v>
      </c>
    </row>
    <row r="124" spans="1:6" x14ac:dyDescent="0.25">
      <c r="A124" s="14">
        <v>46143.527777777781</v>
      </c>
      <c r="B124" s="79" t="s">
        <v>149</v>
      </c>
      <c r="C124" s="79" t="s">
        <v>176</v>
      </c>
      <c r="D124" s="79" t="s">
        <v>205</v>
      </c>
      <c r="E124" s="79" t="s">
        <v>237</v>
      </c>
      <c r="F124" s="79" t="str">
        <f>IF(E124="", "", IF(COUNTIF(ChestType!$A$5:$A$195, E124)&gt;0, VLOOKUP(E124, ChestType!$A$5:$B$195, 2, 0), "Others"))</f>
        <v>Others</v>
      </c>
    </row>
    <row r="125" spans="1:6" x14ac:dyDescent="0.25">
      <c r="A125" s="14">
        <v>46143.527777777781</v>
      </c>
      <c r="B125" s="79" t="s">
        <v>149</v>
      </c>
      <c r="C125" s="79" t="s">
        <v>187</v>
      </c>
      <c r="D125" s="79" t="s">
        <v>205</v>
      </c>
      <c r="E125" s="79" t="s">
        <v>71</v>
      </c>
      <c r="F125" s="79" t="str">
        <f>IF(E125="", "", IF(COUNTIF(ChestType!$A$5:$A$195, E125)&gt;0, VLOOKUP(E125, ChestType!$A$5:$B$195, 2, 0), "Others"))</f>
        <v>L15 Rare Crypt</v>
      </c>
    </row>
    <row r="126" spans="1:6" x14ac:dyDescent="0.25">
      <c r="A126" s="14">
        <v>46143.527777777781</v>
      </c>
      <c r="B126" s="79" t="s">
        <v>149</v>
      </c>
      <c r="C126" s="79" t="s">
        <v>187</v>
      </c>
      <c r="D126" s="79" t="s">
        <v>231</v>
      </c>
      <c r="E126" s="79" t="s">
        <v>75</v>
      </c>
      <c r="F126" s="79" t="str">
        <f>IF(E126="", "", IF(COUNTIF(ChestType!$A$5:$A$195, E126)&gt;0, VLOOKUP(E126, ChestType!$A$5:$B$195, 2, 0), "Others"))</f>
        <v>L10 Rare Crypt</v>
      </c>
    </row>
    <row r="127" spans="1:6" x14ac:dyDescent="0.25">
      <c r="A127" s="14">
        <v>46143.527777777781</v>
      </c>
      <c r="B127" s="79" t="s">
        <v>149</v>
      </c>
      <c r="C127" s="79" t="s">
        <v>255</v>
      </c>
      <c r="D127" s="79" t="s">
        <v>205</v>
      </c>
      <c r="E127" s="79" t="s">
        <v>256</v>
      </c>
      <c r="F127" s="79" t="str">
        <f>IF(E127="", "", IF(COUNTIF(ChestType!$A$5:$A$195, E127)&gt;0, VLOOKUP(E127, ChestType!$A$5:$B$195, 2, 0), "Others"))</f>
        <v>Others</v>
      </c>
    </row>
    <row r="128" spans="1:6" x14ac:dyDescent="0.25">
      <c r="A128" s="14">
        <v>46143.527777777781</v>
      </c>
      <c r="B128" s="79" t="s">
        <v>149</v>
      </c>
      <c r="C128" s="79" t="s">
        <v>223</v>
      </c>
      <c r="D128" s="79" t="s">
        <v>231</v>
      </c>
      <c r="E128" s="79" t="s">
        <v>64</v>
      </c>
      <c r="F128" s="79" t="str">
        <f>IF(E128="", "", IF(COUNTIF(ChestType!$A$5:$A$195, E128)&gt;0, VLOOKUP(E128, ChestType!$A$5:$B$195, 2, 0), "Others"))</f>
        <v>L15 Epic Crypt</v>
      </c>
    </row>
    <row r="129" spans="1:6" x14ac:dyDescent="0.25">
      <c r="A129" s="14">
        <v>46143.527777777781</v>
      </c>
      <c r="B129" s="79" t="s">
        <v>149</v>
      </c>
      <c r="C129" s="79" t="s">
        <v>255</v>
      </c>
      <c r="D129" s="79" t="s">
        <v>159</v>
      </c>
      <c r="E129" s="79" t="s">
        <v>256</v>
      </c>
      <c r="F129" s="79" t="str">
        <f>IF(E129="", "", IF(COUNTIF(ChestType!$A$5:$A$195, E129)&gt;0, VLOOKUP(E129, ChestType!$A$5:$B$195, 2, 0), "Others"))</f>
        <v>Others</v>
      </c>
    </row>
    <row r="130" spans="1:6" x14ac:dyDescent="0.25">
      <c r="A130" s="14">
        <v>46143.527777777781</v>
      </c>
      <c r="B130" s="79" t="s">
        <v>149</v>
      </c>
      <c r="C130" s="79" t="s">
        <v>175</v>
      </c>
      <c r="D130" s="79" t="s">
        <v>238</v>
      </c>
      <c r="E130" s="79" t="s">
        <v>52</v>
      </c>
      <c r="F130" s="79" t="str">
        <f>IF(E130="", "", IF(COUNTIF(ChestType!$A$5:$A$195, E130)&gt;0, VLOOKUP(E130, ChestType!$A$5:$B$195, 2, 0), "Others"))</f>
        <v>L5 Crypt</v>
      </c>
    </row>
    <row r="131" spans="1:6" x14ac:dyDescent="0.25">
      <c r="A131" s="14">
        <v>46143.527777777781</v>
      </c>
      <c r="B131" s="79" t="s">
        <v>149</v>
      </c>
      <c r="C131" s="79" t="s">
        <v>181</v>
      </c>
      <c r="D131" s="79" t="s">
        <v>231</v>
      </c>
      <c r="E131" s="79" t="s">
        <v>49</v>
      </c>
      <c r="F131" s="79" t="str">
        <f>IF(E131="", "", IF(COUNTIF(ChestType!$A$5:$A$195, E131)&gt;0, VLOOKUP(E131, ChestType!$A$5:$B$195, 2, 0), "Others"))</f>
        <v>L15 Crypt</v>
      </c>
    </row>
    <row r="132" spans="1:6" x14ac:dyDescent="0.25">
      <c r="A132" s="14">
        <v>46143.527777777781</v>
      </c>
      <c r="B132" s="79" t="s">
        <v>149</v>
      </c>
      <c r="C132" s="79" t="s">
        <v>181</v>
      </c>
      <c r="D132" s="79" t="s">
        <v>157</v>
      </c>
      <c r="E132" s="79" t="s">
        <v>49</v>
      </c>
      <c r="F132" s="79" t="str">
        <f>IF(E132="", "", IF(COUNTIF(ChestType!$A$5:$A$195, E132)&gt;0, VLOOKUP(E132, ChestType!$A$5:$B$195, 2, 0), "Others"))</f>
        <v>L15 Crypt</v>
      </c>
    </row>
    <row r="133" spans="1:6" x14ac:dyDescent="0.25">
      <c r="A133" s="14">
        <v>46143.527777777781</v>
      </c>
      <c r="B133" s="79" t="s">
        <v>149</v>
      </c>
      <c r="C133" s="79" t="s">
        <v>255</v>
      </c>
      <c r="D133" s="79" t="s">
        <v>229</v>
      </c>
      <c r="E133" s="79" t="s">
        <v>256</v>
      </c>
      <c r="F133" s="79" t="str">
        <f>IF(E133="", "", IF(COUNTIF(ChestType!$A$5:$A$195, E133)&gt;0, VLOOKUP(E133, ChestType!$A$5:$B$195, 2, 0), "Others"))</f>
        <v>Others</v>
      </c>
    </row>
    <row r="134" spans="1:6" x14ac:dyDescent="0.25">
      <c r="A134" s="14">
        <v>46143.527777777781</v>
      </c>
      <c r="B134" s="79" t="s">
        <v>149</v>
      </c>
      <c r="C134" s="79" t="s">
        <v>190</v>
      </c>
      <c r="D134" s="79" t="s">
        <v>229</v>
      </c>
      <c r="E134" s="79" t="s">
        <v>50</v>
      </c>
      <c r="F134" s="79" t="str">
        <f>IF(E134="", "", IF(COUNTIF(ChestType!$A$5:$A$195, E134)&gt;0, VLOOKUP(E134, ChestType!$A$5:$B$195, 2, 0), "Others"))</f>
        <v>L10 Crypt</v>
      </c>
    </row>
    <row r="135" spans="1:6" x14ac:dyDescent="0.25">
      <c r="A135" s="14">
        <v>46143.527777777781</v>
      </c>
      <c r="B135" s="79" t="s">
        <v>149</v>
      </c>
      <c r="C135" s="79" t="s">
        <v>171</v>
      </c>
      <c r="D135" s="79" t="s">
        <v>229</v>
      </c>
      <c r="E135" s="79" t="s">
        <v>50</v>
      </c>
      <c r="F135" s="79" t="str">
        <f>IF(E135="", "", IF(COUNTIF(ChestType!$A$5:$A$195, E135)&gt;0, VLOOKUP(E135, ChestType!$A$5:$B$195, 2, 0), "Others"))</f>
        <v>L10 Crypt</v>
      </c>
    </row>
    <row r="136" spans="1:6" x14ac:dyDescent="0.25">
      <c r="A136" s="14">
        <v>46143.527777777781</v>
      </c>
      <c r="B136" s="79" t="s">
        <v>149</v>
      </c>
      <c r="C136" s="79" t="s">
        <v>255</v>
      </c>
      <c r="D136" s="79" t="s">
        <v>186</v>
      </c>
      <c r="E136" s="79" t="s">
        <v>256</v>
      </c>
      <c r="F136" s="79" t="str">
        <f>IF(E136="", "", IF(COUNTIF(ChestType!$A$5:$A$195, E136)&gt;0, VLOOKUP(E136, ChestType!$A$5:$B$195, 2, 0), "Others"))</f>
        <v>Others</v>
      </c>
    </row>
    <row r="137" spans="1:6" x14ac:dyDescent="0.25">
      <c r="A137" s="14">
        <v>46143.527777777781</v>
      </c>
      <c r="B137" s="79" t="s">
        <v>149</v>
      </c>
      <c r="C137" s="79" t="s">
        <v>158</v>
      </c>
      <c r="D137" s="79" t="s">
        <v>245</v>
      </c>
      <c r="E137" s="79" t="s">
        <v>49</v>
      </c>
      <c r="F137" s="79" t="str">
        <f>IF(E137="", "", IF(COUNTIF(ChestType!$A$5:$A$195, E137)&gt;0, VLOOKUP(E137, ChestType!$A$5:$B$195, 2, 0), "Others"))</f>
        <v>L15 Crypt</v>
      </c>
    </row>
    <row r="138" spans="1:6" x14ac:dyDescent="0.25">
      <c r="A138" s="14">
        <v>46143.527777777781</v>
      </c>
      <c r="B138" s="79" t="s">
        <v>149</v>
      </c>
      <c r="C138" s="79" t="s">
        <v>158</v>
      </c>
      <c r="D138" s="79" t="s">
        <v>157</v>
      </c>
      <c r="E138" s="79" t="s">
        <v>50</v>
      </c>
      <c r="F138" s="79" t="str">
        <f>IF(E138="", "", IF(COUNTIF(ChestType!$A$5:$A$195, E138)&gt;0, VLOOKUP(E138, ChestType!$A$5:$B$195, 2, 0), "Others"))</f>
        <v>L10 Crypt</v>
      </c>
    </row>
    <row r="139" spans="1:6" x14ac:dyDescent="0.25">
      <c r="A139" s="14">
        <v>46143.527777777781</v>
      </c>
      <c r="B139" s="79" t="s">
        <v>149</v>
      </c>
      <c r="C139" s="79" t="s">
        <v>184</v>
      </c>
      <c r="D139" s="79" t="s">
        <v>157</v>
      </c>
      <c r="E139" s="79" t="s">
        <v>50</v>
      </c>
      <c r="F139" s="79" t="str">
        <f>IF(E139="", "", IF(COUNTIF(ChestType!$A$5:$A$195, E139)&gt;0, VLOOKUP(E139, ChestType!$A$5:$B$195, 2, 0), "Others"))</f>
        <v>L10 Crypt</v>
      </c>
    </row>
    <row r="140" spans="1:6" x14ac:dyDescent="0.25">
      <c r="A140" s="14">
        <v>46143.527777777781</v>
      </c>
      <c r="B140" s="79" t="s">
        <v>149</v>
      </c>
      <c r="C140" s="79" t="s">
        <v>171</v>
      </c>
      <c r="D140" s="79" t="s">
        <v>157</v>
      </c>
      <c r="E140" s="79" t="s">
        <v>50</v>
      </c>
      <c r="F140" s="79" t="str">
        <f>IF(E140="", "", IF(COUNTIF(ChestType!$A$5:$A$195, E140)&gt;0, VLOOKUP(E140, ChestType!$A$5:$B$195, 2, 0), "Others"))</f>
        <v>L10 Crypt</v>
      </c>
    </row>
    <row r="141" spans="1:6" x14ac:dyDescent="0.25">
      <c r="A141" s="14">
        <v>46143.527777777781</v>
      </c>
      <c r="B141" s="79" t="s">
        <v>149</v>
      </c>
      <c r="C141" s="79" t="s">
        <v>171</v>
      </c>
      <c r="D141" s="79" t="s">
        <v>157</v>
      </c>
      <c r="E141" s="79" t="s">
        <v>50</v>
      </c>
      <c r="F141" s="79" t="str">
        <f>IF(E141="", "", IF(COUNTIF(ChestType!$A$5:$A$195, E141)&gt;0, VLOOKUP(E141, ChestType!$A$5:$B$195, 2, 0), "Others"))</f>
        <v>L10 Crypt</v>
      </c>
    </row>
    <row r="142" spans="1:6" x14ac:dyDescent="0.25">
      <c r="A142" s="14">
        <v>46143.527777777781</v>
      </c>
      <c r="B142" s="79" t="s">
        <v>149</v>
      </c>
      <c r="C142" s="79" t="s">
        <v>173</v>
      </c>
      <c r="D142" s="79" t="s">
        <v>240</v>
      </c>
      <c r="E142" s="79" t="s">
        <v>52</v>
      </c>
      <c r="F142" s="79" t="str">
        <f>IF(E142="", "", IF(COUNTIF(ChestType!$A$5:$A$195, E142)&gt;0, VLOOKUP(E142, ChestType!$A$5:$B$195, 2, 0), "Others"))</f>
        <v>L5 Crypt</v>
      </c>
    </row>
    <row r="143" spans="1:6" x14ac:dyDescent="0.25">
      <c r="A143" s="14">
        <v>46143.527777777781</v>
      </c>
      <c r="B143" s="79" t="s">
        <v>149</v>
      </c>
      <c r="C143" s="79" t="s">
        <v>151</v>
      </c>
      <c r="D143" s="79" t="s">
        <v>229</v>
      </c>
      <c r="E143" s="79" t="s">
        <v>49</v>
      </c>
      <c r="F143" s="79" t="str">
        <f>IF(E143="", "", IF(COUNTIF(ChestType!$A$5:$A$195, E143)&gt;0, VLOOKUP(E143, ChestType!$A$5:$B$195, 2, 0), "Others"))</f>
        <v>L15 Crypt</v>
      </c>
    </row>
    <row r="144" spans="1:6" x14ac:dyDescent="0.25">
      <c r="A144" s="14">
        <v>46143.527777777781</v>
      </c>
      <c r="B144" s="79" t="s">
        <v>149</v>
      </c>
      <c r="C144" s="79" t="s">
        <v>158</v>
      </c>
      <c r="D144" s="79" t="s">
        <v>229</v>
      </c>
      <c r="E144" s="79" t="s">
        <v>49</v>
      </c>
      <c r="F144" s="79" t="str">
        <f>IF(E144="", "", IF(COUNTIF(ChestType!$A$5:$A$195, E144)&gt;0, VLOOKUP(E144, ChestType!$A$5:$B$195, 2, 0), "Others"))</f>
        <v>L15 Crypt</v>
      </c>
    </row>
    <row r="145" spans="1:6" x14ac:dyDescent="0.25">
      <c r="A145" s="14">
        <v>46143.527777777781</v>
      </c>
      <c r="B145" s="79" t="s">
        <v>149</v>
      </c>
      <c r="C145" s="79" t="s">
        <v>176</v>
      </c>
      <c r="D145" s="79" t="s">
        <v>231</v>
      </c>
      <c r="E145" s="79" t="s">
        <v>70</v>
      </c>
      <c r="F145" s="79" t="str">
        <f>IF(E145="", "", IF(COUNTIF(ChestType!$A$5:$A$195, E145)&gt;0, VLOOKUP(E145, ChestType!$A$5:$B$195, 2, 0), "Others"))</f>
        <v>L10 Citadel</v>
      </c>
    </row>
    <row r="146" spans="1:6" x14ac:dyDescent="0.25">
      <c r="A146" s="14">
        <v>46143.527777777781</v>
      </c>
      <c r="B146" s="79" t="s">
        <v>149</v>
      </c>
      <c r="C146" s="79" t="s">
        <v>190</v>
      </c>
      <c r="D146" s="79" t="s">
        <v>229</v>
      </c>
      <c r="E146" s="79" t="s">
        <v>52</v>
      </c>
      <c r="F146" s="79" t="str">
        <f>IF(E146="", "", IF(COUNTIF(ChestType!$A$5:$A$195, E146)&gt;0, VLOOKUP(E146, ChestType!$A$5:$B$195, 2, 0), "Others"))</f>
        <v>L5 Crypt</v>
      </c>
    </row>
    <row r="147" spans="1:6" x14ac:dyDescent="0.25">
      <c r="A147" s="14">
        <v>46143.527777777781</v>
      </c>
      <c r="B147" s="79" t="s">
        <v>149</v>
      </c>
      <c r="C147" s="79" t="s">
        <v>182</v>
      </c>
      <c r="D147" s="79" t="s">
        <v>240</v>
      </c>
      <c r="E147" s="79" t="s">
        <v>52</v>
      </c>
      <c r="F147" s="79" t="str">
        <f>IF(E147="", "", IF(COUNTIF(ChestType!$A$5:$A$195, E147)&gt;0, VLOOKUP(E147, ChestType!$A$5:$B$195, 2, 0), "Others"))</f>
        <v>L5 Crypt</v>
      </c>
    </row>
    <row r="148" spans="1:6" x14ac:dyDescent="0.25">
      <c r="A148" s="14">
        <v>46143.527777777781</v>
      </c>
      <c r="B148" s="79" t="s">
        <v>149</v>
      </c>
      <c r="C148" s="79" t="s">
        <v>187</v>
      </c>
      <c r="D148" s="79" t="s">
        <v>231</v>
      </c>
      <c r="E148" s="79" t="s">
        <v>75</v>
      </c>
      <c r="F148" s="79" t="str">
        <f>IF(E148="", "", IF(COUNTIF(ChestType!$A$5:$A$195, E148)&gt;0, VLOOKUP(E148, ChestType!$A$5:$B$195, 2, 0), "Others"))</f>
        <v>L10 Rare Crypt</v>
      </c>
    </row>
    <row r="149" spans="1:6" x14ac:dyDescent="0.25">
      <c r="A149" s="14">
        <v>46143.527777777781</v>
      </c>
      <c r="B149" s="79" t="s">
        <v>149</v>
      </c>
      <c r="C149" s="79" t="s">
        <v>183</v>
      </c>
      <c r="D149" s="79" t="s">
        <v>229</v>
      </c>
      <c r="E149" s="79" t="s">
        <v>52</v>
      </c>
      <c r="F149" s="79" t="str">
        <f>IF(E149="", "", IF(COUNTIF(ChestType!$A$5:$A$195, E149)&gt;0, VLOOKUP(E149, ChestType!$A$5:$B$195, 2, 0), "Others"))</f>
        <v>L5 Crypt</v>
      </c>
    </row>
    <row r="150" spans="1:6" x14ac:dyDescent="0.25">
      <c r="A150" s="14">
        <v>46143.527777777781</v>
      </c>
      <c r="B150" s="79" t="s">
        <v>149</v>
      </c>
      <c r="C150" s="79" t="s">
        <v>177</v>
      </c>
      <c r="D150" s="79" t="s">
        <v>229</v>
      </c>
      <c r="E150" s="79" t="s">
        <v>48</v>
      </c>
      <c r="F150" s="79" t="str">
        <f>IF(E150="", "", IF(COUNTIF(ChestType!$A$5:$A$195, E150)&gt;0, VLOOKUP(E150, ChestType!$A$5:$B$195, 2, 0), "Others"))</f>
        <v>L20 Crypt</v>
      </c>
    </row>
    <row r="151" spans="1:6" x14ac:dyDescent="0.25">
      <c r="A151" s="14">
        <v>46143.527777777781</v>
      </c>
      <c r="B151" s="79" t="s">
        <v>149</v>
      </c>
      <c r="C151" s="79" t="s">
        <v>151</v>
      </c>
      <c r="D151" s="79" t="s">
        <v>246</v>
      </c>
      <c r="E151" s="79" t="s">
        <v>50</v>
      </c>
      <c r="F151" s="79" t="str">
        <f>IF(E151="", "", IF(COUNTIF(ChestType!$A$5:$A$195, E151)&gt;0, VLOOKUP(E151, ChestType!$A$5:$B$195, 2, 0), "Others"))</f>
        <v>L10 Crypt</v>
      </c>
    </row>
    <row r="152" spans="1:6" x14ac:dyDescent="0.25">
      <c r="A152" s="14">
        <v>46143.527777777781</v>
      </c>
      <c r="B152" s="79" t="s">
        <v>149</v>
      </c>
      <c r="C152" s="79" t="s">
        <v>184</v>
      </c>
      <c r="D152" s="79" t="s">
        <v>246</v>
      </c>
      <c r="E152" s="79" t="s">
        <v>52</v>
      </c>
      <c r="F152" s="79" t="str">
        <f>IF(E152="", "", IF(COUNTIF(ChestType!$A$5:$A$195, E152)&gt;0, VLOOKUP(E152, ChestType!$A$5:$B$195, 2, 0), "Others"))</f>
        <v>L5 Crypt</v>
      </c>
    </row>
    <row r="153" spans="1:6" x14ac:dyDescent="0.25">
      <c r="A153" s="14">
        <v>46143.527777777781</v>
      </c>
      <c r="B153" s="79" t="s">
        <v>149</v>
      </c>
      <c r="C153" s="79" t="s">
        <v>178</v>
      </c>
      <c r="D153" s="79" t="s">
        <v>242</v>
      </c>
      <c r="E153" s="79" t="s">
        <v>137</v>
      </c>
      <c r="F153" s="79" t="str">
        <f>IF(E153="", "", IF(COUNTIF(ChestType!$A$5:$A$195, E153)&gt;0, VLOOKUP(E153, ChestType!$A$5:$B$195, 2, 0), "Others"))</f>
        <v>Others</v>
      </c>
    </row>
    <row r="154" spans="1:6" x14ac:dyDescent="0.25">
      <c r="A154" s="14">
        <v>46143.527777777781</v>
      </c>
      <c r="B154" s="79" t="s">
        <v>149</v>
      </c>
      <c r="C154" s="79" t="s">
        <v>203</v>
      </c>
      <c r="D154" s="79" t="s">
        <v>150</v>
      </c>
      <c r="E154" s="79" t="s">
        <v>72</v>
      </c>
      <c r="F154" s="79" t="str">
        <f>IF(E154="", "", IF(COUNTIF(ChestType!$A$5:$A$195, E154)&gt;0, VLOOKUP(E154, ChestType!$A$5:$B$195, 2, 0), "Others"))</f>
        <v>Others</v>
      </c>
    </row>
    <row r="155" spans="1:6" x14ac:dyDescent="0.25">
      <c r="A155" s="14">
        <v>46143.527777777781</v>
      </c>
      <c r="B155" s="79" t="s">
        <v>149</v>
      </c>
      <c r="C155" s="79" t="s">
        <v>203</v>
      </c>
      <c r="D155" s="79" t="s">
        <v>150</v>
      </c>
      <c r="E155" s="79" t="s">
        <v>72</v>
      </c>
      <c r="F155" s="79" t="str">
        <f>IF(E155="", "", IF(COUNTIF(ChestType!$A$5:$A$195, E155)&gt;0, VLOOKUP(E155, ChestType!$A$5:$B$195, 2, 0), "Others"))</f>
        <v>Others</v>
      </c>
    </row>
    <row r="156" spans="1:6" x14ac:dyDescent="0.25">
      <c r="A156" s="14">
        <v>46143.527777777781</v>
      </c>
      <c r="B156" s="79" t="s">
        <v>149</v>
      </c>
      <c r="C156" s="79" t="s">
        <v>203</v>
      </c>
      <c r="D156" s="79" t="s">
        <v>150</v>
      </c>
      <c r="E156" s="79" t="s">
        <v>72</v>
      </c>
      <c r="F156" s="79" t="str">
        <f>IF(E156="", "", IF(COUNTIF(ChestType!$A$5:$A$195, E156)&gt;0, VLOOKUP(E156, ChestType!$A$5:$B$195, 2, 0), "Others"))</f>
        <v>Others</v>
      </c>
    </row>
    <row r="157" spans="1:6" x14ac:dyDescent="0.25">
      <c r="A157" s="14">
        <v>46143.527777777781</v>
      </c>
      <c r="B157" s="79" t="s">
        <v>149</v>
      </c>
      <c r="C157" s="79" t="s">
        <v>203</v>
      </c>
      <c r="D157" s="79" t="s">
        <v>150</v>
      </c>
      <c r="E157" s="79" t="s">
        <v>72</v>
      </c>
      <c r="F157" s="79" t="str">
        <f>IF(E157="", "", IF(COUNTIF(ChestType!$A$5:$A$195, E157)&gt;0, VLOOKUP(E157, ChestType!$A$5:$B$195, 2, 0), "Others"))</f>
        <v>Others</v>
      </c>
    </row>
    <row r="158" spans="1:6" x14ac:dyDescent="0.25">
      <c r="A158" s="14">
        <v>46143.527777777781</v>
      </c>
      <c r="B158" s="79" t="s">
        <v>149</v>
      </c>
      <c r="C158" s="79" t="s">
        <v>203</v>
      </c>
      <c r="D158" s="79" t="s">
        <v>150</v>
      </c>
      <c r="E158" s="79" t="s">
        <v>72</v>
      </c>
      <c r="F158" s="79" t="str">
        <f>IF(E158="", "", IF(COUNTIF(ChestType!$A$5:$A$195, E158)&gt;0, VLOOKUP(E158, ChestType!$A$5:$B$195, 2, 0), "Others"))</f>
        <v>Others</v>
      </c>
    </row>
    <row r="159" spans="1:6" x14ac:dyDescent="0.25">
      <c r="A159" s="14">
        <v>46143.527777777781</v>
      </c>
      <c r="B159" s="79" t="s">
        <v>149</v>
      </c>
      <c r="C159" s="79" t="s">
        <v>255</v>
      </c>
      <c r="D159" s="79" t="s">
        <v>251</v>
      </c>
      <c r="E159" s="79" t="s">
        <v>256</v>
      </c>
      <c r="F159" s="79" t="str">
        <f>IF(E159="", "", IF(COUNTIF(ChestType!$A$5:$A$195, E159)&gt;0, VLOOKUP(E159, ChestType!$A$5:$B$195, 2, 0), "Others"))</f>
        <v>Others</v>
      </c>
    </row>
    <row r="160" spans="1:6" x14ac:dyDescent="0.25">
      <c r="A160" s="14">
        <v>46143.527777777781</v>
      </c>
      <c r="B160" s="79" t="s">
        <v>149</v>
      </c>
      <c r="C160" s="79" t="s">
        <v>181</v>
      </c>
      <c r="D160" s="79" t="s">
        <v>199</v>
      </c>
      <c r="E160" s="79" t="s">
        <v>49</v>
      </c>
      <c r="F160" s="79" t="str">
        <f>IF(E160="", "", IF(COUNTIF(ChestType!$A$5:$A$195, E160)&gt;0, VLOOKUP(E160, ChestType!$A$5:$B$195, 2, 0), "Others"))</f>
        <v>L15 Crypt</v>
      </c>
    </row>
    <row r="161" spans="1:6" x14ac:dyDescent="0.25">
      <c r="A161" s="14">
        <v>46143.527777777781</v>
      </c>
      <c r="B161" s="79" t="s">
        <v>149</v>
      </c>
      <c r="C161" s="79" t="s">
        <v>181</v>
      </c>
      <c r="D161" s="79" t="s">
        <v>163</v>
      </c>
      <c r="E161" s="79" t="s">
        <v>52</v>
      </c>
      <c r="F161" s="79" t="str">
        <f>IF(E161="", "", IF(COUNTIF(ChestType!$A$5:$A$195, E161)&gt;0, VLOOKUP(E161, ChestType!$A$5:$B$195, 2, 0), "Others"))</f>
        <v>L5 Crypt</v>
      </c>
    </row>
    <row r="162" spans="1:6" x14ac:dyDescent="0.25">
      <c r="A162" s="14">
        <v>46143.527777777781</v>
      </c>
      <c r="B162" s="79" t="s">
        <v>149</v>
      </c>
      <c r="C162" s="79" t="s">
        <v>183</v>
      </c>
      <c r="D162" s="79" t="s">
        <v>199</v>
      </c>
      <c r="E162" s="79" t="s">
        <v>49</v>
      </c>
      <c r="F162" s="79" t="str">
        <f>IF(E162="", "", IF(COUNTIF(ChestType!$A$5:$A$195, E162)&gt;0, VLOOKUP(E162, ChestType!$A$5:$B$195, 2, 0), "Others"))</f>
        <v>L15 Crypt</v>
      </c>
    </row>
    <row r="163" spans="1:6" x14ac:dyDescent="0.25">
      <c r="A163" s="14">
        <v>46143.527777777781</v>
      </c>
      <c r="B163" s="79" t="s">
        <v>149</v>
      </c>
      <c r="C163" s="79" t="s">
        <v>171</v>
      </c>
      <c r="D163" s="79" t="s">
        <v>253</v>
      </c>
      <c r="E163" s="79" t="s">
        <v>50</v>
      </c>
      <c r="F163" s="79" t="str">
        <f>IF(E163="", "", IF(COUNTIF(ChestType!$A$5:$A$195, E163)&gt;0, VLOOKUP(E163, ChestType!$A$5:$B$195, 2, 0), "Others"))</f>
        <v>L10 Crypt</v>
      </c>
    </row>
    <row r="164" spans="1:6" x14ac:dyDescent="0.25">
      <c r="A164" s="14">
        <v>46143.527777777781</v>
      </c>
      <c r="B164" s="79" t="s">
        <v>149</v>
      </c>
      <c r="C164" s="79" t="s">
        <v>182</v>
      </c>
      <c r="D164" s="79" t="s">
        <v>199</v>
      </c>
      <c r="E164" s="79" t="s">
        <v>50</v>
      </c>
      <c r="F164" s="79" t="str">
        <f>IF(E164="", "", IF(COUNTIF(ChestType!$A$5:$A$195, E164)&gt;0, VLOOKUP(E164, ChestType!$A$5:$B$195, 2, 0), "Others"))</f>
        <v>L10 Crypt</v>
      </c>
    </row>
    <row r="165" spans="1:6" x14ac:dyDescent="0.25">
      <c r="A165" s="14">
        <v>46143.527777777781</v>
      </c>
      <c r="B165" s="79" t="s">
        <v>149</v>
      </c>
      <c r="C165" s="79" t="s">
        <v>173</v>
      </c>
      <c r="D165" s="79" t="s">
        <v>199</v>
      </c>
      <c r="E165" s="79" t="s">
        <v>52</v>
      </c>
      <c r="F165" s="79" t="str">
        <f>IF(E165="", "", IF(COUNTIF(ChestType!$A$5:$A$195, E165)&gt;0, VLOOKUP(E165, ChestType!$A$5:$B$195, 2, 0), "Others"))</f>
        <v>L5 Crypt</v>
      </c>
    </row>
    <row r="166" spans="1:6" x14ac:dyDescent="0.25">
      <c r="A166" s="14">
        <v>46143.527777777781</v>
      </c>
      <c r="B166" s="79" t="s">
        <v>149</v>
      </c>
      <c r="C166" s="79" t="s">
        <v>182</v>
      </c>
      <c r="D166" s="79" t="s">
        <v>253</v>
      </c>
      <c r="E166" s="79" t="s">
        <v>52</v>
      </c>
      <c r="F166" s="79" t="str">
        <f>IF(E166="", "", IF(COUNTIF(ChestType!$A$5:$A$195, E166)&gt;0, VLOOKUP(E166, ChestType!$A$5:$B$195, 2, 0), "Others"))</f>
        <v>L5 Crypt</v>
      </c>
    </row>
    <row r="167" spans="1:6" x14ac:dyDescent="0.25">
      <c r="A167" s="14">
        <v>46143.527777777781</v>
      </c>
      <c r="B167" s="79" t="s">
        <v>149</v>
      </c>
      <c r="C167" s="79" t="s">
        <v>171</v>
      </c>
      <c r="D167" s="79" t="s">
        <v>253</v>
      </c>
      <c r="E167" s="79" t="s">
        <v>52</v>
      </c>
      <c r="F167" s="79" t="str">
        <f>IF(E167="", "", IF(COUNTIF(ChestType!$A$5:$A$195, E167)&gt;0, VLOOKUP(E167, ChestType!$A$5:$B$195, 2, 0), "Others"))</f>
        <v>L5 Crypt</v>
      </c>
    </row>
    <row r="168" spans="1:6" x14ac:dyDescent="0.25">
      <c r="A168" s="14">
        <v>46143.527777777781</v>
      </c>
      <c r="B168" s="79" t="s">
        <v>149</v>
      </c>
      <c r="C168" s="79" t="s">
        <v>185</v>
      </c>
      <c r="D168" s="79" t="s">
        <v>221</v>
      </c>
      <c r="E168" s="79" t="s">
        <v>52</v>
      </c>
      <c r="F168" s="79" t="str">
        <f>IF(E168="", "", IF(COUNTIF(ChestType!$A$5:$A$195, E168)&gt;0, VLOOKUP(E168, ChestType!$A$5:$B$195, 2, 0), "Others"))</f>
        <v>L5 Crypt</v>
      </c>
    </row>
    <row r="169" spans="1:6" x14ac:dyDescent="0.25">
      <c r="A169" s="14">
        <v>46143.527777777781</v>
      </c>
      <c r="B169" s="79" t="s">
        <v>149</v>
      </c>
      <c r="C169" s="79" t="s">
        <v>171</v>
      </c>
      <c r="D169" s="79" t="s">
        <v>253</v>
      </c>
      <c r="E169" s="79" t="s">
        <v>52</v>
      </c>
      <c r="F169" s="79" t="str">
        <f>IF(E169="", "", IF(COUNTIF(ChestType!$A$5:$A$195, E169)&gt;0, VLOOKUP(E169, ChestType!$A$5:$B$195, 2, 0), "Others"))</f>
        <v>L5 Crypt</v>
      </c>
    </row>
    <row r="170" spans="1:6" x14ac:dyDescent="0.25">
      <c r="A170" s="14">
        <v>46143.527777777781</v>
      </c>
      <c r="B170" s="79" t="s">
        <v>149</v>
      </c>
      <c r="C170" s="79" t="s">
        <v>158</v>
      </c>
      <c r="D170" s="79" t="s">
        <v>199</v>
      </c>
      <c r="E170" s="79" t="s">
        <v>52</v>
      </c>
      <c r="F170" s="79" t="str">
        <f>IF(E170="", "", IF(COUNTIF(ChestType!$A$5:$A$195, E170)&gt;0, VLOOKUP(E170, ChestType!$A$5:$B$195, 2, 0), "Others"))</f>
        <v>L5 Crypt</v>
      </c>
    </row>
    <row r="171" spans="1:6" x14ac:dyDescent="0.25">
      <c r="A171" s="14">
        <v>46143.527777777781</v>
      </c>
      <c r="B171" s="79" t="s">
        <v>149</v>
      </c>
      <c r="C171" s="79" t="s">
        <v>192</v>
      </c>
      <c r="D171" s="79" t="s">
        <v>253</v>
      </c>
      <c r="E171" s="79" t="s">
        <v>60</v>
      </c>
      <c r="F171" s="79" t="str">
        <f>IF(E171="", "", IF(COUNTIF(ChestType!$A$5:$A$195, E171)&gt;0, VLOOKUP(E171, ChestType!$A$5:$B$195, 2, 0), "Others"))</f>
        <v>Others</v>
      </c>
    </row>
    <row r="172" spans="1:6" x14ac:dyDescent="0.25">
      <c r="A172" s="14">
        <v>46143.527777777781</v>
      </c>
      <c r="B172" s="79" t="s">
        <v>149</v>
      </c>
      <c r="C172" s="79" t="s">
        <v>255</v>
      </c>
      <c r="D172" s="79" t="s">
        <v>155</v>
      </c>
      <c r="E172" s="79" t="s">
        <v>256</v>
      </c>
      <c r="F172" s="79" t="str">
        <f>IF(E172="", "", IF(COUNTIF(ChestType!$A$5:$A$195, E172)&gt;0, VLOOKUP(E172, ChestType!$A$5:$B$195, 2, 0), "Others"))</f>
        <v>Others</v>
      </c>
    </row>
    <row r="173" spans="1:6" x14ac:dyDescent="0.25">
      <c r="A173" s="14">
        <v>46143.527777777781</v>
      </c>
      <c r="B173" s="79" t="s">
        <v>149</v>
      </c>
      <c r="C173" s="79" t="s">
        <v>151</v>
      </c>
      <c r="D173" s="79" t="s">
        <v>155</v>
      </c>
      <c r="E173" s="79" t="s">
        <v>50</v>
      </c>
      <c r="F173" s="79" t="str">
        <f>IF(E173="", "", IF(COUNTIF(ChestType!$A$5:$A$195, E173)&gt;0, VLOOKUP(E173, ChestType!$A$5:$B$195, 2, 0), "Others"))</f>
        <v>L10 Crypt</v>
      </c>
    </row>
    <row r="174" spans="1:6" x14ac:dyDescent="0.25">
      <c r="A174" s="14">
        <v>46143.527777777781</v>
      </c>
      <c r="B174" s="79" t="s">
        <v>149</v>
      </c>
      <c r="C174" s="79" t="s">
        <v>181</v>
      </c>
      <c r="D174" s="79" t="s">
        <v>155</v>
      </c>
      <c r="E174" s="79" t="s">
        <v>50</v>
      </c>
      <c r="F174" s="79" t="str">
        <f>IF(E174="", "", IF(COUNTIF(ChestType!$A$5:$A$195, E174)&gt;0, VLOOKUP(E174, ChestType!$A$5:$B$195, 2, 0), "Others"))</f>
        <v>L10 Crypt</v>
      </c>
    </row>
    <row r="175" spans="1:6" x14ac:dyDescent="0.25">
      <c r="A175" s="14">
        <v>46143.527777777781</v>
      </c>
      <c r="B175" s="79" t="s">
        <v>149</v>
      </c>
      <c r="C175" s="79" t="s">
        <v>175</v>
      </c>
      <c r="D175" s="79" t="s">
        <v>253</v>
      </c>
      <c r="E175" s="79" t="s">
        <v>52</v>
      </c>
      <c r="F175" s="79" t="str">
        <f>IF(E175="", "", IF(COUNTIF(ChestType!$A$5:$A$195, E175)&gt;0, VLOOKUP(E175, ChestType!$A$5:$B$195, 2, 0), "Others"))</f>
        <v>L5 Crypt</v>
      </c>
    </row>
    <row r="176" spans="1:6" x14ac:dyDescent="0.25">
      <c r="A176" s="14">
        <v>46143.527777777781</v>
      </c>
      <c r="B176" s="79" t="s">
        <v>195</v>
      </c>
      <c r="C176" s="79" t="s">
        <v>198</v>
      </c>
      <c r="D176" s="79" t="s">
        <v>150</v>
      </c>
      <c r="E176" s="79" t="s">
        <v>24</v>
      </c>
      <c r="F176" s="79" t="str">
        <f>IF(E176="", "", IF(COUNTIF(ChestType!$A$5:$A$195, E176)&gt;0, VLOOKUP(E176, ChestType!$A$5:$B$195, 2, 0), "Others"))</f>
        <v>Bank</v>
      </c>
    </row>
    <row r="177" spans="1:6" x14ac:dyDescent="0.25">
      <c r="A177" s="14">
        <v>46143.527777777781</v>
      </c>
      <c r="B177" s="79" t="s">
        <v>195</v>
      </c>
      <c r="C177" s="79" t="s">
        <v>198</v>
      </c>
      <c r="D177" s="79" t="s">
        <v>150</v>
      </c>
      <c r="E177" s="79" t="s">
        <v>24</v>
      </c>
      <c r="F177" s="79" t="str">
        <f>IF(E177="", "", IF(COUNTIF(ChestType!$A$5:$A$195, E177)&gt;0, VLOOKUP(E177, ChestType!$A$5:$B$195, 2, 0), "Others"))</f>
        <v>Bank</v>
      </c>
    </row>
    <row r="178" spans="1:6" x14ac:dyDescent="0.25">
      <c r="A178" s="14">
        <v>46143.527777777781</v>
      </c>
      <c r="B178" s="79" t="s">
        <v>195</v>
      </c>
      <c r="C178" s="79" t="s">
        <v>198</v>
      </c>
      <c r="D178" s="79" t="s">
        <v>150</v>
      </c>
      <c r="E178" s="79" t="s">
        <v>24</v>
      </c>
      <c r="F178" s="79" t="str">
        <f>IF(E178="", "", IF(COUNTIF(ChestType!$A$5:$A$195, E178)&gt;0, VLOOKUP(E178, ChestType!$A$5:$B$195, 2, 0), "Others"))</f>
        <v>Bank</v>
      </c>
    </row>
    <row r="179" spans="1:6" x14ac:dyDescent="0.25">
      <c r="A179" s="14">
        <v>46143.527777777781</v>
      </c>
      <c r="B179" s="79" t="s">
        <v>195</v>
      </c>
      <c r="C179" s="79" t="s">
        <v>196</v>
      </c>
      <c r="D179" s="79" t="s">
        <v>222</v>
      </c>
      <c r="E179" s="79" t="s">
        <v>24</v>
      </c>
      <c r="F179" s="79" t="str">
        <f>IF(E179="", "", IF(COUNTIF(ChestType!$A$5:$A$195, E179)&gt;0, VLOOKUP(E179, ChestType!$A$5:$B$195, 2, 0), "Others"))</f>
        <v>Bank</v>
      </c>
    </row>
    <row r="180" spans="1:6" x14ac:dyDescent="0.25">
      <c r="A180" s="14">
        <v>46143.527777777781</v>
      </c>
      <c r="B180" s="79" t="s">
        <v>195</v>
      </c>
      <c r="C180" s="79" t="s">
        <v>196</v>
      </c>
      <c r="D180" s="79" t="s">
        <v>222</v>
      </c>
      <c r="E180" s="79" t="s">
        <v>24</v>
      </c>
      <c r="F180" s="79" t="str">
        <f>IF(E180="", "", IF(COUNTIF(ChestType!$A$5:$A$195, E180)&gt;0, VLOOKUP(E180, ChestType!$A$5:$B$195, 2, 0), "Others"))</f>
        <v>Bank</v>
      </c>
    </row>
    <row r="181" spans="1:6" x14ac:dyDescent="0.25">
      <c r="A181" s="14">
        <v>46143.527777777781</v>
      </c>
      <c r="B181" s="79" t="s">
        <v>195</v>
      </c>
      <c r="C181" s="79" t="s">
        <v>196</v>
      </c>
      <c r="D181" s="79" t="s">
        <v>222</v>
      </c>
      <c r="E181" s="79" t="s">
        <v>24</v>
      </c>
      <c r="F181" s="79" t="str">
        <f>IF(E181="", "", IF(COUNTIF(ChestType!$A$5:$A$195, E181)&gt;0, VLOOKUP(E181, ChestType!$A$5:$B$195, 2, 0), "Others"))</f>
        <v>Bank</v>
      </c>
    </row>
    <row r="182" spans="1:6" x14ac:dyDescent="0.25">
      <c r="A182" s="14">
        <v>46143.527777777781</v>
      </c>
      <c r="B182" s="79" t="s">
        <v>195</v>
      </c>
      <c r="C182" s="79" t="s">
        <v>198</v>
      </c>
      <c r="D182" s="79" t="s">
        <v>222</v>
      </c>
      <c r="E182" s="79" t="s">
        <v>24</v>
      </c>
      <c r="F182" s="79" t="str">
        <f>IF(E182="", "", IF(COUNTIF(ChestType!$A$5:$A$195, E182)&gt;0, VLOOKUP(E182, ChestType!$A$5:$B$195, 2, 0), "Others"))</f>
        <v>Bank</v>
      </c>
    </row>
    <row r="183" spans="1:6" x14ac:dyDescent="0.25">
      <c r="A183" s="14">
        <v>46143.527777777781</v>
      </c>
      <c r="B183" s="79" t="s">
        <v>195</v>
      </c>
      <c r="C183" s="79" t="s">
        <v>198</v>
      </c>
      <c r="D183" s="79" t="s">
        <v>222</v>
      </c>
      <c r="E183" s="79" t="s">
        <v>24</v>
      </c>
      <c r="F183" s="79" t="str">
        <f>IF(E183="", "", IF(COUNTIF(ChestType!$A$5:$A$195, E183)&gt;0, VLOOKUP(E183, ChestType!$A$5:$B$195, 2, 0), "Others"))</f>
        <v>Bank</v>
      </c>
    </row>
    <row r="184" spans="1:6" x14ac:dyDescent="0.25">
      <c r="A184" s="14">
        <v>46143.527777777781</v>
      </c>
      <c r="B184" s="79" t="s">
        <v>195</v>
      </c>
      <c r="C184" s="79" t="s">
        <v>198</v>
      </c>
      <c r="D184" s="79" t="s">
        <v>222</v>
      </c>
      <c r="E184" s="79" t="s">
        <v>24</v>
      </c>
      <c r="F184" s="79" t="str">
        <f>IF(E184="", "", IF(COUNTIF(ChestType!$A$5:$A$195, E184)&gt;0, VLOOKUP(E184, ChestType!$A$5:$B$195, 2, 0), "Others"))</f>
        <v>Bank</v>
      </c>
    </row>
    <row r="185" spans="1:6" x14ac:dyDescent="0.25">
      <c r="A185" s="14">
        <v>46143.527777777781</v>
      </c>
      <c r="B185" s="79" t="s">
        <v>195</v>
      </c>
      <c r="C185" s="79" t="s">
        <v>210</v>
      </c>
      <c r="D185" s="79" t="s">
        <v>222</v>
      </c>
      <c r="E185" s="79" t="s">
        <v>24</v>
      </c>
      <c r="F185" s="79" t="str">
        <f>IF(E185="", "", IF(COUNTIF(ChestType!$A$5:$A$195, E185)&gt;0, VLOOKUP(E185, ChestType!$A$5:$B$195, 2, 0), "Others"))</f>
        <v>Bank</v>
      </c>
    </row>
    <row r="186" spans="1:6" x14ac:dyDescent="0.25">
      <c r="A186" s="14">
        <v>46143.527777777781</v>
      </c>
      <c r="B186" s="79" t="s">
        <v>195</v>
      </c>
      <c r="C186" s="79" t="s">
        <v>210</v>
      </c>
      <c r="D186" s="79" t="s">
        <v>222</v>
      </c>
      <c r="E186" s="79" t="s">
        <v>24</v>
      </c>
      <c r="F186" s="79" t="str">
        <f>IF(E186="", "", IF(COUNTIF(ChestType!$A$5:$A$195, E186)&gt;0, VLOOKUP(E186, ChestType!$A$5:$B$195, 2, 0), "Others"))</f>
        <v>Bank</v>
      </c>
    </row>
    <row r="187" spans="1:6" x14ac:dyDescent="0.25">
      <c r="A187" s="14">
        <v>46143.527777777781</v>
      </c>
      <c r="B187" s="79" t="s">
        <v>195</v>
      </c>
      <c r="C187" s="79" t="s">
        <v>210</v>
      </c>
      <c r="D187" s="79" t="s">
        <v>222</v>
      </c>
      <c r="E187" s="79" t="s">
        <v>24</v>
      </c>
      <c r="F187" s="79" t="str">
        <f>IF(E187="", "", IF(COUNTIF(ChestType!$A$5:$A$195, E187)&gt;0, VLOOKUP(E187, ChestType!$A$5:$B$195, 2, 0), "Others"))</f>
        <v>Bank</v>
      </c>
    </row>
    <row r="188" spans="1:6" x14ac:dyDescent="0.25">
      <c r="A188" s="14">
        <v>46143.527777777781</v>
      </c>
      <c r="B188" s="79" t="s">
        <v>195</v>
      </c>
      <c r="C188" s="79" t="s">
        <v>198</v>
      </c>
      <c r="D188" s="79" t="s">
        <v>229</v>
      </c>
      <c r="E188" s="79" t="s">
        <v>24</v>
      </c>
      <c r="F188" s="79" t="str">
        <f>IF(E188="", "", IF(COUNTIF(ChestType!$A$5:$A$195, E188)&gt;0, VLOOKUP(E188, ChestType!$A$5:$B$195, 2, 0), "Others"))</f>
        <v>Bank</v>
      </c>
    </row>
    <row r="189" spans="1:6" x14ac:dyDescent="0.25">
      <c r="A189" s="14">
        <v>46143.527777777781</v>
      </c>
      <c r="B189" s="79" t="s">
        <v>195</v>
      </c>
      <c r="C189" s="79" t="s">
        <v>198</v>
      </c>
      <c r="D189" s="79" t="s">
        <v>229</v>
      </c>
      <c r="E189" s="79" t="s">
        <v>24</v>
      </c>
      <c r="F189" s="79" t="str">
        <f>IF(E189="", "", IF(COUNTIF(ChestType!$A$5:$A$195, E189)&gt;0, VLOOKUP(E189, ChestType!$A$5:$B$195, 2, 0), "Others"))</f>
        <v>Bank</v>
      </c>
    </row>
    <row r="190" spans="1:6" x14ac:dyDescent="0.25">
      <c r="A190" s="14">
        <v>46143.527777777781</v>
      </c>
      <c r="B190" s="79" t="s">
        <v>195</v>
      </c>
      <c r="C190" s="79" t="s">
        <v>198</v>
      </c>
      <c r="D190" s="79" t="s">
        <v>229</v>
      </c>
      <c r="E190" s="79" t="s">
        <v>24</v>
      </c>
      <c r="F190" s="79" t="str">
        <f>IF(E190="", "", IF(COUNTIF(ChestType!$A$5:$A$195, E190)&gt;0, VLOOKUP(E190, ChestType!$A$5:$B$195, 2, 0), "Others"))</f>
        <v>Bank</v>
      </c>
    </row>
    <row r="191" spans="1:6" x14ac:dyDescent="0.25">
      <c r="A191" s="14">
        <v>46143.527777777781</v>
      </c>
      <c r="B191" s="79" t="s">
        <v>195</v>
      </c>
      <c r="C191" s="79" t="s">
        <v>198</v>
      </c>
      <c r="D191" s="79" t="s">
        <v>231</v>
      </c>
      <c r="E191" s="79" t="s">
        <v>24</v>
      </c>
      <c r="F191" s="79" t="str">
        <f>IF(E191="", "", IF(COUNTIF(ChestType!$A$5:$A$195, E191)&gt;0, VLOOKUP(E191, ChestType!$A$5:$B$195, 2, 0), "Others"))</f>
        <v>Bank</v>
      </c>
    </row>
    <row r="192" spans="1:6" x14ac:dyDescent="0.25">
      <c r="A192" s="14">
        <v>46143.527777777781</v>
      </c>
      <c r="B192" s="79" t="s">
        <v>195</v>
      </c>
      <c r="C192" s="79" t="s">
        <v>198</v>
      </c>
      <c r="D192" s="79" t="s">
        <v>231</v>
      </c>
      <c r="E192" s="79" t="s">
        <v>24</v>
      </c>
      <c r="F192" s="79" t="str">
        <f>IF(E192="", "", IF(COUNTIF(ChestType!$A$5:$A$195, E192)&gt;0, VLOOKUP(E192, ChestType!$A$5:$B$195, 2, 0), "Others"))</f>
        <v>Bank</v>
      </c>
    </row>
    <row r="193" spans="1:6" x14ac:dyDescent="0.25">
      <c r="A193" s="14">
        <v>46143.527777777781</v>
      </c>
      <c r="B193" s="79" t="s">
        <v>195</v>
      </c>
      <c r="C193" s="79" t="s">
        <v>198</v>
      </c>
      <c r="D193" s="79" t="s">
        <v>231</v>
      </c>
      <c r="E193" s="79" t="s">
        <v>24</v>
      </c>
      <c r="F193" s="79" t="str">
        <f>IF(E193="", "", IF(COUNTIF(ChestType!$A$5:$A$195, E193)&gt;0, VLOOKUP(E193, ChestType!$A$5:$B$195, 2, 0), "Others"))</f>
        <v>Bank</v>
      </c>
    </row>
    <row r="194" spans="1:6" x14ac:dyDescent="0.25">
      <c r="A194" s="14">
        <v>46143.527777777781</v>
      </c>
      <c r="B194" s="79" t="s">
        <v>195</v>
      </c>
      <c r="C194" s="79" t="s">
        <v>198</v>
      </c>
      <c r="D194" s="79" t="s">
        <v>199</v>
      </c>
      <c r="E194" s="79" t="s">
        <v>24</v>
      </c>
      <c r="F194" s="79" t="str">
        <f>IF(E194="", "", IF(COUNTIF(ChestType!$A$5:$A$195, E194)&gt;0, VLOOKUP(E194, ChestType!$A$5:$B$195, 2, 0), "Others"))</f>
        <v>Bank</v>
      </c>
    </row>
    <row r="195" spans="1:6" x14ac:dyDescent="0.25">
      <c r="A195" s="14">
        <v>46143.527777777781</v>
      </c>
      <c r="B195" s="79" t="s">
        <v>195</v>
      </c>
      <c r="C195" s="79" t="s">
        <v>198</v>
      </c>
      <c r="D195" s="79" t="s">
        <v>199</v>
      </c>
      <c r="E195" s="79" t="s">
        <v>24</v>
      </c>
      <c r="F195" s="79" t="str">
        <f>IF(E195="", "", IF(COUNTIF(ChestType!$A$5:$A$195, E195)&gt;0, VLOOKUP(E195, ChestType!$A$5:$B$195, 2, 0), "Others"))</f>
        <v>Bank</v>
      </c>
    </row>
    <row r="196" spans="1:6" x14ac:dyDescent="0.25">
      <c r="A196" s="14">
        <v>46143.527777777781</v>
      </c>
      <c r="B196" s="79" t="s">
        <v>195</v>
      </c>
      <c r="C196" s="79" t="s">
        <v>198</v>
      </c>
      <c r="D196" s="79" t="s">
        <v>199</v>
      </c>
      <c r="E196" s="79" t="s">
        <v>24</v>
      </c>
      <c r="F196" s="79" t="str">
        <f>IF(E196="", "", IF(COUNTIF(ChestType!$A$5:$A$195, E196)&gt;0, VLOOKUP(E196, ChestType!$A$5:$B$195, 2, 0), "Others"))</f>
        <v>Bank</v>
      </c>
    </row>
    <row r="197" spans="1:6" x14ac:dyDescent="0.25">
      <c r="A197" s="14">
        <v>46143.527777777781</v>
      </c>
      <c r="B197" s="79" t="s">
        <v>195</v>
      </c>
      <c r="C197" s="79" t="s">
        <v>197</v>
      </c>
      <c r="D197" s="79" t="s">
        <v>199</v>
      </c>
      <c r="E197" s="79" t="s">
        <v>24</v>
      </c>
      <c r="F197" s="79" t="str">
        <f>IF(E197="", "", IF(COUNTIF(ChestType!$A$5:$A$195, E197)&gt;0, VLOOKUP(E197, ChestType!$A$5:$B$195, 2, 0), "Others"))</f>
        <v>Bank</v>
      </c>
    </row>
    <row r="198" spans="1:6" x14ac:dyDescent="0.25">
      <c r="A198" s="14">
        <v>46143.527777777781</v>
      </c>
      <c r="B198" s="79" t="s">
        <v>195</v>
      </c>
      <c r="C198" s="79" t="s">
        <v>197</v>
      </c>
      <c r="D198" s="79" t="s">
        <v>199</v>
      </c>
      <c r="E198" s="79" t="s">
        <v>24</v>
      </c>
      <c r="F198" s="79" t="str">
        <f>IF(E198="", "", IF(COUNTIF(ChestType!$A$5:$A$195, E198)&gt;0, VLOOKUP(E198, ChestType!$A$5:$B$195, 2, 0), "Others"))</f>
        <v>Bank</v>
      </c>
    </row>
    <row r="199" spans="1:6" x14ac:dyDescent="0.25">
      <c r="A199" s="14">
        <v>46143.527777777781</v>
      </c>
      <c r="B199" s="79" t="s">
        <v>195</v>
      </c>
      <c r="C199" s="79" t="s">
        <v>197</v>
      </c>
      <c r="D199" s="79" t="s">
        <v>199</v>
      </c>
      <c r="E199" s="79" t="s">
        <v>24</v>
      </c>
      <c r="F199" s="79" t="str">
        <f>IF(E199="", "", IF(COUNTIF(ChestType!$A$5:$A$195, E199)&gt;0, VLOOKUP(E199, ChestType!$A$5:$B$195, 2, 0), "Others"))</f>
        <v>Bank</v>
      </c>
    </row>
    <row r="200" spans="1:6" x14ac:dyDescent="0.25">
      <c r="A200" s="14">
        <v>46143.560416666667</v>
      </c>
      <c r="B200" s="79" t="s">
        <v>149</v>
      </c>
      <c r="C200" s="79" t="s">
        <v>171</v>
      </c>
      <c r="D200" s="79" t="s">
        <v>253</v>
      </c>
      <c r="E200" s="79" t="s">
        <v>52</v>
      </c>
      <c r="F200" s="79" t="str">
        <f>IF(E200="", "", IF(COUNTIF(ChestType!$A$5:$A$195, E200)&gt;0, VLOOKUP(E200, ChestType!$A$5:$B$195, 2, 0), "Others"))</f>
        <v>L5 Crypt</v>
      </c>
    </row>
    <row r="201" spans="1:6" x14ac:dyDescent="0.25">
      <c r="A201" s="14">
        <v>46143.560416666667</v>
      </c>
      <c r="B201" s="79" t="s">
        <v>149</v>
      </c>
      <c r="C201" s="79" t="s">
        <v>255</v>
      </c>
      <c r="D201" s="79" t="s">
        <v>204</v>
      </c>
      <c r="E201" s="79" t="s">
        <v>256</v>
      </c>
      <c r="F201" s="79" t="str">
        <f>IF(E201="", "", IF(COUNTIF(ChestType!$A$5:$A$195, E201)&gt;0, VLOOKUP(E201, ChestType!$A$5:$B$195, 2, 0), "Others"))</f>
        <v>Others</v>
      </c>
    </row>
    <row r="202" spans="1:6" x14ac:dyDescent="0.25">
      <c r="A202" s="14">
        <v>46143.560416666667</v>
      </c>
      <c r="B202" s="79" t="s">
        <v>149</v>
      </c>
      <c r="C202" s="79" t="s">
        <v>175</v>
      </c>
      <c r="D202" s="79" t="s">
        <v>204</v>
      </c>
      <c r="E202" s="79" t="s">
        <v>49</v>
      </c>
      <c r="F202" s="79" t="str">
        <f>IF(E202="", "", IF(COUNTIF(ChestType!$A$5:$A$195, E202)&gt;0, VLOOKUP(E202, ChestType!$A$5:$B$195, 2, 0), "Others"))</f>
        <v>L15 Crypt</v>
      </c>
    </row>
    <row r="203" spans="1:6" x14ac:dyDescent="0.25">
      <c r="A203" s="14">
        <v>46143.560416666667</v>
      </c>
      <c r="B203" s="79" t="s">
        <v>149</v>
      </c>
      <c r="C203" s="79" t="s">
        <v>184</v>
      </c>
      <c r="D203" s="79" t="s">
        <v>204</v>
      </c>
      <c r="E203" s="79" t="s">
        <v>50</v>
      </c>
      <c r="F203" s="79" t="str">
        <f>IF(E203="", "", IF(COUNTIF(ChestType!$A$5:$A$195, E203)&gt;0, VLOOKUP(E203, ChestType!$A$5:$B$195, 2, 0), "Others"))</f>
        <v>L10 Crypt</v>
      </c>
    </row>
    <row r="204" spans="1:6" x14ac:dyDescent="0.25">
      <c r="A204" s="14">
        <v>46143.560416666667</v>
      </c>
      <c r="B204" s="79" t="s">
        <v>149</v>
      </c>
      <c r="C204" s="79" t="s">
        <v>177</v>
      </c>
      <c r="D204" s="79" t="s">
        <v>204</v>
      </c>
      <c r="E204" s="79" t="s">
        <v>50</v>
      </c>
      <c r="F204" s="79" t="str">
        <f>IF(E204="", "", IF(COUNTIF(ChestType!$A$5:$A$195, E204)&gt;0, VLOOKUP(E204, ChestType!$A$5:$B$195, 2, 0), "Others"))</f>
        <v>L10 Crypt</v>
      </c>
    </row>
    <row r="205" spans="1:6" x14ac:dyDescent="0.25">
      <c r="A205" s="14">
        <v>46143.560416666667</v>
      </c>
      <c r="B205" s="79" t="s">
        <v>149</v>
      </c>
      <c r="C205" s="79" t="s">
        <v>171</v>
      </c>
      <c r="D205" s="79" t="s">
        <v>204</v>
      </c>
      <c r="E205" s="79" t="s">
        <v>50</v>
      </c>
      <c r="F205" s="79" t="str">
        <f>IF(E205="", "", IF(COUNTIF(ChestType!$A$5:$A$195, E205)&gt;0, VLOOKUP(E205, ChestType!$A$5:$B$195, 2, 0), "Others"))</f>
        <v>L10 Crypt</v>
      </c>
    </row>
    <row r="206" spans="1:6" x14ac:dyDescent="0.25">
      <c r="A206" s="14">
        <v>46143.560416666667</v>
      </c>
      <c r="B206" s="79" t="s">
        <v>149</v>
      </c>
      <c r="C206" s="79" t="s">
        <v>158</v>
      </c>
      <c r="D206" s="79" t="s">
        <v>245</v>
      </c>
      <c r="E206" s="79" t="s">
        <v>49</v>
      </c>
      <c r="F206" s="79" t="str">
        <f>IF(E206="", "", IF(COUNTIF(ChestType!$A$5:$A$195, E206)&gt;0, VLOOKUP(E206, ChestType!$A$5:$B$195, 2, 0), "Others"))</f>
        <v>L15 Crypt</v>
      </c>
    </row>
    <row r="207" spans="1:6" x14ac:dyDescent="0.25">
      <c r="A207" s="14">
        <v>46143.560416666667</v>
      </c>
      <c r="B207" s="79" t="s">
        <v>149</v>
      </c>
      <c r="C207" s="79" t="s">
        <v>187</v>
      </c>
      <c r="D207" s="79" t="s">
        <v>163</v>
      </c>
      <c r="E207" s="79" t="s">
        <v>75</v>
      </c>
      <c r="F207" s="79" t="str">
        <f>IF(E207="", "", IF(COUNTIF(ChestType!$A$5:$A$195, E207)&gt;0, VLOOKUP(E207, ChestType!$A$5:$B$195, 2, 0), "Others"))</f>
        <v>L10 Rare Crypt</v>
      </c>
    </row>
    <row r="208" spans="1:6" x14ac:dyDescent="0.25">
      <c r="A208" s="14">
        <v>46143.560416666667</v>
      </c>
      <c r="B208" s="79" t="s">
        <v>149</v>
      </c>
      <c r="C208" s="79" t="s">
        <v>255</v>
      </c>
      <c r="D208" s="79" t="s">
        <v>216</v>
      </c>
      <c r="E208" s="79" t="s">
        <v>256</v>
      </c>
      <c r="F208" s="79" t="str">
        <f>IF(E208="", "", IF(COUNTIF(ChestType!$A$5:$A$195, E208)&gt;0, VLOOKUP(E208, ChestType!$A$5:$B$195, 2, 0), "Others"))</f>
        <v>Others</v>
      </c>
    </row>
    <row r="209" spans="1:6" x14ac:dyDescent="0.25">
      <c r="A209" s="14">
        <v>46143.560416666667</v>
      </c>
      <c r="B209" s="79" t="s">
        <v>149</v>
      </c>
      <c r="C209" s="79" t="s">
        <v>187</v>
      </c>
      <c r="D209" s="79" t="s">
        <v>163</v>
      </c>
      <c r="E209" s="79" t="s">
        <v>75</v>
      </c>
      <c r="F209" s="79" t="str">
        <f>IF(E209="", "", IF(COUNTIF(ChestType!$A$5:$A$195, E209)&gt;0, VLOOKUP(E209, ChestType!$A$5:$B$195, 2, 0), "Others"))</f>
        <v>L10 Rare Crypt</v>
      </c>
    </row>
    <row r="210" spans="1:6" x14ac:dyDescent="0.25">
      <c r="A210" s="14">
        <v>46143.566666666666</v>
      </c>
      <c r="B210" s="79" t="s">
        <v>149</v>
      </c>
      <c r="C210" s="79" t="s">
        <v>181</v>
      </c>
      <c r="D210" s="79" t="s">
        <v>155</v>
      </c>
      <c r="E210" s="79" t="s">
        <v>50</v>
      </c>
      <c r="F210" s="79" t="str">
        <f>IF(E210="", "", IF(COUNTIF(ChestType!$A$5:$A$195, E210)&gt;0, VLOOKUP(E210, ChestType!$A$5:$B$195, 2, 0), "Others"))</f>
        <v>L10 Crypt</v>
      </c>
    </row>
    <row r="211" spans="1:6" x14ac:dyDescent="0.25">
      <c r="A211" s="14">
        <v>46143.566666666666</v>
      </c>
      <c r="B211" s="79" t="s">
        <v>149</v>
      </c>
      <c r="C211" s="79" t="s">
        <v>255</v>
      </c>
      <c r="D211" s="79" t="s">
        <v>150</v>
      </c>
      <c r="E211" s="79" t="s">
        <v>256</v>
      </c>
      <c r="F211" s="79" t="str">
        <f>IF(E211="", "", IF(COUNTIF(ChestType!$A$5:$A$195, E211)&gt;0, VLOOKUP(E211, ChestType!$A$5:$B$195, 2, 0), "Others"))</f>
        <v>Others</v>
      </c>
    </row>
    <row r="212" spans="1:6" x14ac:dyDescent="0.25">
      <c r="A212" s="14">
        <v>46143.566666666666</v>
      </c>
      <c r="B212" s="79" t="s">
        <v>149</v>
      </c>
      <c r="C212" s="79" t="s">
        <v>255</v>
      </c>
      <c r="D212" s="79" t="s">
        <v>150</v>
      </c>
      <c r="E212" s="79" t="s">
        <v>256</v>
      </c>
      <c r="F212" s="79" t="str">
        <f>IF(E212="", "", IF(COUNTIF(ChestType!$A$5:$A$195, E212)&gt;0, VLOOKUP(E212, ChestType!$A$5:$B$195, 2, 0), "Others"))</f>
        <v>Others</v>
      </c>
    </row>
    <row r="213" spans="1:6" x14ac:dyDescent="0.25">
      <c r="A213" s="14">
        <v>46143.566666666666</v>
      </c>
      <c r="B213" s="79" t="s">
        <v>149</v>
      </c>
      <c r="C213" s="79" t="s">
        <v>255</v>
      </c>
      <c r="D213" s="79" t="s">
        <v>234</v>
      </c>
      <c r="E213" s="79" t="s">
        <v>256</v>
      </c>
      <c r="F213" s="79" t="str">
        <f>IF(E213="", "", IF(COUNTIF(ChestType!$A$5:$A$195, E213)&gt;0, VLOOKUP(E213, ChestType!$A$5:$B$195, 2, 0), "Others"))</f>
        <v>Others</v>
      </c>
    </row>
    <row r="214" spans="1:6" x14ac:dyDescent="0.25">
      <c r="A214" s="14">
        <v>46143.570138888892</v>
      </c>
      <c r="B214" s="79" t="s">
        <v>149</v>
      </c>
      <c r="C214" s="79" t="s">
        <v>188</v>
      </c>
      <c r="D214" s="79" t="s">
        <v>152</v>
      </c>
      <c r="E214" s="79" t="s">
        <v>45</v>
      </c>
      <c r="F214" s="79" t="str">
        <f>IF(E214="", "", IF(COUNTIF(ChestType!$A$5:$A$195, E214)&gt;0, VLOOKUP(E214, ChestType!$A$5:$B$195, 2, 0), "Others"))</f>
        <v>Others</v>
      </c>
    </row>
    <row r="215" spans="1:6" x14ac:dyDescent="0.25">
      <c r="A215" s="14">
        <v>46143.570138888892</v>
      </c>
      <c r="B215" s="79" t="s">
        <v>149</v>
      </c>
      <c r="C215" s="79" t="s">
        <v>189</v>
      </c>
      <c r="D215" s="79" t="s">
        <v>152</v>
      </c>
      <c r="E215" s="79" t="s">
        <v>45</v>
      </c>
      <c r="F215" s="79" t="str">
        <f>IF(E215="", "", IF(COUNTIF(ChestType!$A$5:$A$195, E215)&gt;0, VLOOKUP(E215, ChestType!$A$5:$B$195, 2, 0), "Others"))</f>
        <v>Others</v>
      </c>
    </row>
    <row r="216" spans="1:6" x14ac:dyDescent="0.25">
      <c r="A216" s="14">
        <v>46143.570138888892</v>
      </c>
      <c r="B216" s="79" t="s">
        <v>149</v>
      </c>
      <c r="C216" s="79" t="s">
        <v>239</v>
      </c>
      <c r="D216" s="79" t="s">
        <v>152</v>
      </c>
      <c r="E216" s="79" t="s">
        <v>45</v>
      </c>
      <c r="F216" s="79" t="str">
        <f>IF(E216="", "", IF(COUNTIF(ChestType!$A$5:$A$195, E216)&gt;0, VLOOKUP(E216, ChestType!$A$5:$B$195, 2, 0), "Others"))</f>
        <v>Others</v>
      </c>
    </row>
    <row r="217" spans="1:6" x14ac:dyDescent="0.25">
      <c r="A217" s="14">
        <v>46143.618055555555</v>
      </c>
      <c r="B217" s="79" t="s">
        <v>149</v>
      </c>
      <c r="C217" s="79" t="s">
        <v>255</v>
      </c>
      <c r="D217" s="79" t="s">
        <v>234</v>
      </c>
      <c r="E217" s="79" t="s">
        <v>256</v>
      </c>
      <c r="F217" s="79" t="str">
        <f>IF(E217="", "", IF(COUNTIF(ChestType!$A$5:$A$195, E217)&gt;0, VLOOKUP(E217, ChestType!$A$5:$B$195, 2, 0), "Others"))</f>
        <v>Others</v>
      </c>
    </row>
    <row r="218" spans="1:6" x14ac:dyDescent="0.25">
      <c r="A218" s="14">
        <v>46143.618055555555</v>
      </c>
      <c r="B218" s="79" t="s">
        <v>149</v>
      </c>
      <c r="C218" s="79" t="s">
        <v>255</v>
      </c>
      <c r="D218" s="79" t="s">
        <v>234</v>
      </c>
      <c r="E218" s="79" t="s">
        <v>256</v>
      </c>
      <c r="F218" s="79" t="str">
        <f>IF(E218="", "", IF(COUNTIF(ChestType!$A$5:$A$195, E218)&gt;0, VLOOKUP(E218, ChestType!$A$5:$B$195, 2, 0), "Others"))</f>
        <v>Others</v>
      </c>
    </row>
    <row r="219" spans="1:6" x14ac:dyDescent="0.25">
      <c r="A219" s="14">
        <v>46143.618055555555</v>
      </c>
      <c r="B219" s="79" t="s">
        <v>149</v>
      </c>
      <c r="C219" s="79" t="s">
        <v>255</v>
      </c>
      <c r="D219" s="79" t="s">
        <v>150</v>
      </c>
      <c r="E219" s="79" t="s">
        <v>256</v>
      </c>
      <c r="F219" s="79" t="str">
        <f>IF(E219="", "", IF(COUNTIF(ChestType!$A$5:$A$195, E219)&gt;0, VLOOKUP(E219, ChestType!$A$5:$B$195, 2, 0), "Others"))</f>
        <v>Others</v>
      </c>
    </row>
    <row r="220" spans="1:6" x14ac:dyDescent="0.25">
      <c r="A220" s="14">
        <v>46143.618055555555</v>
      </c>
      <c r="B220" s="79" t="s">
        <v>149</v>
      </c>
      <c r="C220" s="79" t="s">
        <v>255</v>
      </c>
      <c r="D220" s="79" t="s">
        <v>150</v>
      </c>
      <c r="E220" s="79" t="s">
        <v>256</v>
      </c>
      <c r="F220" s="79" t="str">
        <f>IF(E220="", "", IF(COUNTIF(ChestType!$A$5:$A$195, E220)&gt;0, VLOOKUP(E220, ChestType!$A$5:$B$195, 2, 0), "Others"))</f>
        <v>Others</v>
      </c>
    </row>
    <row r="221" spans="1:6" x14ac:dyDescent="0.25">
      <c r="A221" s="14">
        <v>46143.618055555555</v>
      </c>
      <c r="B221" s="79" t="s">
        <v>149</v>
      </c>
      <c r="C221" s="79" t="s">
        <v>158</v>
      </c>
      <c r="D221" s="79" t="s">
        <v>160</v>
      </c>
      <c r="E221" s="79" t="s">
        <v>52</v>
      </c>
      <c r="F221" s="79" t="str">
        <f>IF(E221="", "", IF(COUNTIF(ChestType!$A$5:$A$195, E221)&gt;0, VLOOKUP(E221, ChestType!$A$5:$B$195, 2, 0), "Others"))</f>
        <v>L5 Crypt</v>
      </c>
    </row>
    <row r="222" spans="1:6" x14ac:dyDescent="0.25">
      <c r="A222" s="14">
        <v>46143.618055555555</v>
      </c>
      <c r="B222" s="79" t="s">
        <v>149</v>
      </c>
      <c r="C222" s="79" t="s">
        <v>177</v>
      </c>
      <c r="D222" s="79" t="s">
        <v>160</v>
      </c>
      <c r="E222" s="79" t="s">
        <v>52</v>
      </c>
      <c r="F222" s="79" t="str">
        <f>IF(E222="", "", IF(COUNTIF(ChestType!$A$5:$A$195, E222)&gt;0, VLOOKUP(E222, ChestType!$A$5:$B$195, 2, 0), "Others"))</f>
        <v>L5 Crypt</v>
      </c>
    </row>
    <row r="223" spans="1:6" x14ac:dyDescent="0.25">
      <c r="A223" s="14">
        <v>46143.618055555555</v>
      </c>
      <c r="B223" s="79" t="s">
        <v>149</v>
      </c>
      <c r="C223" s="79" t="s">
        <v>181</v>
      </c>
      <c r="D223" s="79" t="s">
        <v>160</v>
      </c>
      <c r="E223" s="79" t="s">
        <v>52</v>
      </c>
      <c r="F223" s="79" t="str">
        <f>IF(E223="", "", IF(COUNTIF(ChestType!$A$5:$A$195, E223)&gt;0, VLOOKUP(E223, ChestType!$A$5:$B$195, 2, 0), "Others"))</f>
        <v>L5 Crypt</v>
      </c>
    </row>
    <row r="224" spans="1:6" x14ac:dyDescent="0.25">
      <c r="A224" s="14">
        <v>46143.618055555555</v>
      </c>
      <c r="B224" s="79" t="s">
        <v>149</v>
      </c>
      <c r="C224" s="79" t="s">
        <v>175</v>
      </c>
      <c r="D224" s="79" t="s">
        <v>250</v>
      </c>
      <c r="E224" s="79" t="s">
        <v>50</v>
      </c>
      <c r="F224" s="79" t="str">
        <f>IF(E224="", "", IF(COUNTIF(ChestType!$A$5:$A$195, E224)&gt;0, VLOOKUP(E224, ChestType!$A$5:$B$195, 2, 0), "Others"))</f>
        <v>L10 Crypt</v>
      </c>
    </row>
    <row r="225" spans="1:6" x14ac:dyDescent="0.25">
      <c r="A225" s="14">
        <v>46143.618055555555</v>
      </c>
      <c r="B225" s="79" t="s">
        <v>149</v>
      </c>
      <c r="C225" s="79" t="s">
        <v>184</v>
      </c>
      <c r="D225" s="79" t="s">
        <v>250</v>
      </c>
      <c r="E225" s="79" t="s">
        <v>50</v>
      </c>
      <c r="F225" s="79" t="str">
        <f>IF(E225="", "", IF(COUNTIF(ChestType!$A$5:$A$195, E225)&gt;0, VLOOKUP(E225, ChestType!$A$5:$B$195, 2, 0), "Others"))</f>
        <v>L10 Crypt</v>
      </c>
    </row>
    <row r="226" spans="1:6" x14ac:dyDescent="0.25">
      <c r="A226" s="14">
        <v>46143.618055555555</v>
      </c>
      <c r="B226" s="79" t="s">
        <v>149</v>
      </c>
      <c r="C226" s="79" t="s">
        <v>184</v>
      </c>
      <c r="D226" s="79" t="s">
        <v>191</v>
      </c>
      <c r="E226" s="79" t="s">
        <v>49</v>
      </c>
      <c r="F226" s="79" t="str">
        <f>IF(E226="", "", IF(COUNTIF(ChestType!$A$5:$A$195, E226)&gt;0, VLOOKUP(E226, ChestType!$A$5:$B$195, 2, 0), "Others"))</f>
        <v>L15 Crypt</v>
      </c>
    </row>
    <row r="227" spans="1:6" x14ac:dyDescent="0.25">
      <c r="A227" s="14">
        <v>46143.618055555555</v>
      </c>
      <c r="B227" s="79" t="s">
        <v>149</v>
      </c>
      <c r="C227" s="79" t="s">
        <v>173</v>
      </c>
      <c r="D227" s="79" t="s">
        <v>252</v>
      </c>
      <c r="E227" s="79" t="s">
        <v>52</v>
      </c>
      <c r="F227" s="79" t="str">
        <f>IF(E227="", "", IF(COUNTIF(ChestType!$A$5:$A$195, E227)&gt;0, VLOOKUP(E227, ChestType!$A$5:$B$195, 2, 0), "Others"))</f>
        <v>L5 Crypt</v>
      </c>
    </row>
    <row r="228" spans="1:6" x14ac:dyDescent="0.25">
      <c r="A228" s="14">
        <v>46143.618055555555</v>
      </c>
      <c r="B228" s="79" t="s">
        <v>149</v>
      </c>
      <c r="C228" s="79" t="s">
        <v>151</v>
      </c>
      <c r="D228" s="79" t="s">
        <v>204</v>
      </c>
      <c r="E228" s="79" t="s">
        <v>50</v>
      </c>
      <c r="F228" s="79" t="str">
        <f>IF(E228="", "", IF(COUNTIF(ChestType!$A$5:$A$195, E228)&gt;0, VLOOKUP(E228, ChestType!$A$5:$B$195, 2, 0), "Others"))</f>
        <v>L10 Crypt</v>
      </c>
    </row>
    <row r="229" spans="1:6" x14ac:dyDescent="0.25">
      <c r="A229" s="14">
        <v>46143.618055555555</v>
      </c>
      <c r="B229" s="79" t="s">
        <v>149</v>
      </c>
      <c r="C229" s="79" t="s">
        <v>181</v>
      </c>
      <c r="D229" s="79" t="s">
        <v>251</v>
      </c>
      <c r="E229" s="79" t="s">
        <v>49</v>
      </c>
      <c r="F229" s="79" t="str">
        <f>IF(E229="", "", IF(COUNTIF(ChestType!$A$5:$A$195, E229)&gt;0, VLOOKUP(E229, ChestType!$A$5:$B$195, 2, 0), "Others"))</f>
        <v>L15 Crypt</v>
      </c>
    </row>
    <row r="230" spans="1:6" x14ac:dyDescent="0.25">
      <c r="A230" s="14">
        <v>46143.618055555555</v>
      </c>
      <c r="B230" s="79" t="s">
        <v>149</v>
      </c>
      <c r="C230" s="79" t="s">
        <v>183</v>
      </c>
      <c r="D230" s="79" t="s">
        <v>252</v>
      </c>
      <c r="E230" s="79" t="s">
        <v>52</v>
      </c>
      <c r="F230" s="79" t="str">
        <f>IF(E230="", "", IF(COUNTIF(ChestType!$A$5:$A$195, E230)&gt;0, VLOOKUP(E230, ChestType!$A$5:$B$195, 2, 0), "Others"))</f>
        <v>L5 Crypt</v>
      </c>
    </row>
    <row r="231" spans="1:6" x14ac:dyDescent="0.25">
      <c r="A231" s="14">
        <v>46143.618055555555</v>
      </c>
      <c r="B231" s="79" t="s">
        <v>149</v>
      </c>
      <c r="C231" s="79" t="s">
        <v>175</v>
      </c>
      <c r="D231" s="79" t="s">
        <v>250</v>
      </c>
      <c r="E231" s="79" t="s">
        <v>52</v>
      </c>
      <c r="F231" s="79" t="str">
        <f>IF(E231="", "", IF(COUNTIF(ChestType!$A$5:$A$195, E231)&gt;0, VLOOKUP(E231, ChestType!$A$5:$B$195, 2, 0), "Others"))</f>
        <v>L5 Crypt</v>
      </c>
    </row>
    <row r="232" spans="1:6" x14ac:dyDescent="0.25">
      <c r="A232" s="14">
        <v>46143.618055555555</v>
      </c>
      <c r="B232" s="79" t="s">
        <v>149</v>
      </c>
      <c r="C232" s="79" t="s">
        <v>184</v>
      </c>
      <c r="D232" s="79" t="s">
        <v>204</v>
      </c>
      <c r="E232" s="79" t="s">
        <v>50</v>
      </c>
      <c r="F232" s="79" t="str">
        <f>IF(E232="", "", IF(COUNTIF(ChestType!$A$5:$A$195, E232)&gt;0, VLOOKUP(E232, ChestType!$A$5:$B$195, 2, 0), "Others"))</f>
        <v>L10 Crypt</v>
      </c>
    </row>
    <row r="233" spans="1:6" x14ac:dyDescent="0.25">
      <c r="A233" s="14">
        <v>46143.618055555555</v>
      </c>
      <c r="B233" s="79" t="s">
        <v>149</v>
      </c>
      <c r="C233" s="79" t="s">
        <v>177</v>
      </c>
      <c r="D233" s="79" t="s">
        <v>204</v>
      </c>
      <c r="E233" s="79" t="s">
        <v>50</v>
      </c>
      <c r="F233" s="79" t="str">
        <f>IF(E233="", "", IF(COUNTIF(ChestType!$A$5:$A$195, E233)&gt;0, VLOOKUP(E233, ChestType!$A$5:$B$195, 2, 0), "Others"))</f>
        <v>L10 Crypt</v>
      </c>
    </row>
    <row r="234" spans="1:6" x14ac:dyDescent="0.25">
      <c r="A234" s="14">
        <v>46143.618055555555</v>
      </c>
      <c r="B234" s="79" t="s">
        <v>149</v>
      </c>
      <c r="C234" s="79" t="s">
        <v>177</v>
      </c>
      <c r="D234" s="79" t="s">
        <v>250</v>
      </c>
      <c r="E234" s="79" t="s">
        <v>52</v>
      </c>
      <c r="F234" s="79" t="str">
        <f>IF(E234="", "", IF(COUNTIF(ChestType!$A$5:$A$195, E234)&gt;0, VLOOKUP(E234, ChestType!$A$5:$B$195, 2, 0), "Others"))</f>
        <v>L5 Crypt</v>
      </c>
    </row>
    <row r="235" spans="1:6" x14ac:dyDescent="0.25">
      <c r="A235" s="14">
        <v>46143.618055555555</v>
      </c>
      <c r="B235" s="79" t="s">
        <v>149</v>
      </c>
      <c r="C235" s="79" t="s">
        <v>255</v>
      </c>
      <c r="D235" s="79" t="s">
        <v>201</v>
      </c>
      <c r="E235" s="79" t="s">
        <v>256</v>
      </c>
      <c r="F235" s="79" t="str">
        <f>IF(E235="", "", IF(COUNTIF(ChestType!$A$5:$A$195, E235)&gt;0, VLOOKUP(E235, ChestType!$A$5:$B$195, 2, 0), "Others"))</f>
        <v>Others</v>
      </c>
    </row>
    <row r="236" spans="1:6" x14ac:dyDescent="0.25">
      <c r="A236" s="14">
        <v>46143.618055555555</v>
      </c>
      <c r="B236" s="79" t="s">
        <v>149</v>
      </c>
      <c r="C236" s="79" t="s">
        <v>192</v>
      </c>
      <c r="D236" s="79" t="s">
        <v>252</v>
      </c>
      <c r="E236" s="79" t="s">
        <v>60</v>
      </c>
      <c r="F236" s="79" t="str">
        <f>IF(E236="", "", IF(COUNTIF(ChestType!$A$5:$A$195, E236)&gt;0, VLOOKUP(E236, ChestType!$A$5:$B$195, 2, 0), "Others"))</f>
        <v>Others</v>
      </c>
    </row>
    <row r="237" spans="1:6" x14ac:dyDescent="0.25">
      <c r="A237" s="14">
        <v>46143.618055555555</v>
      </c>
      <c r="B237" s="79" t="s">
        <v>149</v>
      </c>
      <c r="C237" s="79" t="s">
        <v>181</v>
      </c>
      <c r="D237" s="79" t="s">
        <v>250</v>
      </c>
      <c r="E237" s="79" t="s">
        <v>50</v>
      </c>
      <c r="F237" s="79" t="str">
        <f>IF(E237="", "", IF(COUNTIF(ChestType!$A$5:$A$195, E237)&gt;0, VLOOKUP(E237, ChestType!$A$5:$B$195, 2, 0), "Others"))</f>
        <v>L10 Crypt</v>
      </c>
    </row>
    <row r="238" spans="1:6" x14ac:dyDescent="0.25">
      <c r="A238" s="14">
        <v>46143.618055555555</v>
      </c>
      <c r="B238" s="79" t="s">
        <v>149</v>
      </c>
      <c r="C238" s="79" t="s">
        <v>192</v>
      </c>
      <c r="D238" s="79" t="s">
        <v>251</v>
      </c>
      <c r="E238" s="79" t="s">
        <v>60</v>
      </c>
      <c r="F238" s="79" t="str">
        <f>IF(E238="", "", IF(COUNTIF(ChestType!$A$5:$A$195, E238)&gt;0, VLOOKUP(E238, ChestType!$A$5:$B$195, 2, 0), "Others"))</f>
        <v>Others</v>
      </c>
    </row>
    <row r="239" spans="1:6" x14ac:dyDescent="0.25">
      <c r="A239" s="14">
        <v>46143.618055555555</v>
      </c>
      <c r="B239" s="79" t="s">
        <v>149</v>
      </c>
      <c r="C239" s="79" t="s">
        <v>175</v>
      </c>
      <c r="D239" s="79" t="s">
        <v>150</v>
      </c>
      <c r="E239" s="79" t="s">
        <v>50</v>
      </c>
      <c r="F239" s="79" t="str">
        <f>IF(E239="", "", IF(COUNTIF(ChestType!$A$5:$A$195, E239)&gt;0, VLOOKUP(E239, ChestType!$A$5:$B$195, 2, 0), "Others"))</f>
        <v>L10 Crypt</v>
      </c>
    </row>
    <row r="240" spans="1:6" x14ac:dyDescent="0.25">
      <c r="A240" s="14">
        <v>46143.618055555555</v>
      </c>
      <c r="B240" s="79" t="s">
        <v>149</v>
      </c>
      <c r="C240" s="79" t="s">
        <v>255</v>
      </c>
      <c r="D240" s="79" t="s">
        <v>180</v>
      </c>
      <c r="E240" s="79" t="s">
        <v>256</v>
      </c>
      <c r="F240" s="79" t="str">
        <f>IF(E240="", "", IF(COUNTIF(ChestType!$A$5:$A$195, E240)&gt;0, VLOOKUP(E240, ChestType!$A$5:$B$195, 2, 0), "Others"))</f>
        <v>Others</v>
      </c>
    </row>
    <row r="241" spans="1:6" x14ac:dyDescent="0.25">
      <c r="A241" s="14">
        <v>46143.618055555555</v>
      </c>
      <c r="B241" s="79" t="s">
        <v>149</v>
      </c>
      <c r="C241" s="79" t="s">
        <v>182</v>
      </c>
      <c r="D241" s="79" t="s">
        <v>150</v>
      </c>
      <c r="E241" s="79" t="s">
        <v>50</v>
      </c>
      <c r="F241" s="79" t="str">
        <f>IF(E241="", "", IF(COUNTIF(ChestType!$A$5:$A$195, E241)&gt;0, VLOOKUP(E241, ChestType!$A$5:$B$195, 2, 0), "Others"))</f>
        <v>L10 Crypt</v>
      </c>
    </row>
    <row r="242" spans="1:6" x14ac:dyDescent="0.25">
      <c r="A242" s="14">
        <v>46143.618055555555</v>
      </c>
      <c r="B242" s="79" t="s">
        <v>149</v>
      </c>
      <c r="C242" s="79" t="s">
        <v>175</v>
      </c>
      <c r="D242" s="79" t="s">
        <v>253</v>
      </c>
      <c r="E242" s="79" t="s">
        <v>52</v>
      </c>
      <c r="F242" s="79" t="str">
        <f>IF(E242="", "", IF(COUNTIF(ChestType!$A$5:$A$195, E242)&gt;0, VLOOKUP(E242, ChestType!$A$5:$B$195, 2, 0), "Others"))</f>
        <v>L5 Crypt</v>
      </c>
    </row>
    <row r="243" spans="1:6" x14ac:dyDescent="0.25">
      <c r="A243" s="14">
        <v>46143.618055555555</v>
      </c>
      <c r="B243" s="79" t="s">
        <v>149</v>
      </c>
      <c r="C243" s="79" t="s">
        <v>255</v>
      </c>
      <c r="D243" s="79" t="s">
        <v>180</v>
      </c>
      <c r="E243" s="79" t="s">
        <v>256</v>
      </c>
      <c r="F243" s="79" t="str">
        <f>IF(E243="", "", IF(COUNTIF(ChestType!$A$5:$A$195, E243)&gt;0, VLOOKUP(E243, ChestType!$A$5:$B$195, 2, 0), "Others"))</f>
        <v>Others</v>
      </c>
    </row>
    <row r="244" spans="1:6" x14ac:dyDescent="0.25">
      <c r="A244" s="14">
        <v>46143.618055555555</v>
      </c>
      <c r="B244" s="79" t="s">
        <v>149</v>
      </c>
      <c r="C244" s="79" t="s">
        <v>184</v>
      </c>
      <c r="D244" s="79" t="s">
        <v>150</v>
      </c>
      <c r="E244" s="79" t="s">
        <v>50</v>
      </c>
      <c r="F244" s="79" t="str">
        <f>IF(E244="", "", IF(COUNTIF(ChestType!$A$5:$A$195, E244)&gt;0, VLOOKUP(E244, ChestType!$A$5:$B$195, 2, 0), "Others"))</f>
        <v>L10 Crypt</v>
      </c>
    </row>
    <row r="245" spans="1:6" x14ac:dyDescent="0.25">
      <c r="A245" s="14">
        <v>46143.618055555555</v>
      </c>
      <c r="B245" s="79" t="s">
        <v>149</v>
      </c>
      <c r="C245" s="79" t="s">
        <v>183</v>
      </c>
      <c r="D245" s="79" t="s">
        <v>150</v>
      </c>
      <c r="E245" s="79" t="s">
        <v>50</v>
      </c>
      <c r="F245" s="79" t="str">
        <f>IF(E245="", "", IF(COUNTIF(ChestType!$A$5:$A$195, E245)&gt;0, VLOOKUP(E245, ChestType!$A$5:$B$195, 2, 0), "Others"))</f>
        <v>L10 Crypt</v>
      </c>
    </row>
    <row r="246" spans="1:6" x14ac:dyDescent="0.25">
      <c r="A246" s="14">
        <v>46143.618055555555</v>
      </c>
      <c r="B246" s="79" t="s">
        <v>149</v>
      </c>
      <c r="C246" s="79" t="s">
        <v>213</v>
      </c>
      <c r="D246" s="79" t="s">
        <v>251</v>
      </c>
      <c r="E246" s="79" t="s">
        <v>64</v>
      </c>
      <c r="F246" s="79" t="str">
        <f>IF(E246="", "", IF(COUNTIF(ChestType!$A$5:$A$195, E246)&gt;0, VLOOKUP(E246, ChestType!$A$5:$B$195, 2, 0), "Others"))</f>
        <v>L15 Epic Crypt</v>
      </c>
    </row>
    <row r="247" spans="1:6" x14ac:dyDescent="0.25">
      <c r="A247" s="14">
        <v>46143.618055555555</v>
      </c>
      <c r="B247" s="79" t="s">
        <v>149</v>
      </c>
      <c r="C247" s="79" t="s">
        <v>158</v>
      </c>
      <c r="D247" s="79" t="s">
        <v>231</v>
      </c>
      <c r="E247" s="79" t="s">
        <v>52</v>
      </c>
      <c r="F247" s="79" t="str">
        <f>IF(E247="", "", IF(COUNTIF(ChestType!$A$5:$A$195, E247)&gt;0, VLOOKUP(E247, ChestType!$A$5:$B$195, 2, 0), "Others"))</f>
        <v>L5 Crypt</v>
      </c>
    </row>
    <row r="248" spans="1:6" x14ac:dyDescent="0.25">
      <c r="A248" s="14">
        <v>46143.618055555555</v>
      </c>
      <c r="B248" s="79" t="s">
        <v>149</v>
      </c>
      <c r="C248" s="79" t="s">
        <v>158</v>
      </c>
      <c r="D248" s="79" t="s">
        <v>150</v>
      </c>
      <c r="E248" s="79" t="s">
        <v>50</v>
      </c>
      <c r="F248" s="79" t="str">
        <f>IF(E248="", "", IF(COUNTIF(ChestType!$A$5:$A$195, E248)&gt;0, VLOOKUP(E248, ChestType!$A$5:$B$195, 2, 0), "Others"))</f>
        <v>L10 Crypt</v>
      </c>
    </row>
    <row r="249" spans="1:6" x14ac:dyDescent="0.25">
      <c r="A249" s="14">
        <v>46143.618055555555</v>
      </c>
      <c r="B249" s="79" t="s">
        <v>149</v>
      </c>
      <c r="C249" s="79" t="s">
        <v>177</v>
      </c>
      <c r="D249" s="79" t="s">
        <v>150</v>
      </c>
      <c r="E249" s="79" t="s">
        <v>50</v>
      </c>
      <c r="F249" s="79" t="str">
        <f>IF(E249="", "", IF(COUNTIF(ChestType!$A$5:$A$195, E249)&gt;0, VLOOKUP(E249, ChestType!$A$5:$B$195, 2, 0), "Others"))</f>
        <v>L10 Crypt</v>
      </c>
    </row>
    <row r="250" spans="1:6" x14ac:dyDescent="0.25">
      <c r="A250" s="14">
        <v>46143.618055555555</v>
      </c>
      <c r="B250" s="79" t="s">
        <v>149</v>
      </c>
      <c r="C250" s="79" t="s">
        <v>185</v>
      </c>
      <c r="D250" s="79" t="s">
        <v>231</v>
      </c>
      <c r="E250" s="79" t="s">
        <v>52</v>
      </c>
      <c r="F250" s="79" t="str">
        <f>IF(E250="", "", IF(COUNTIF(ChestType!$A$5:$A$195, E250)&gt;0, VLOOKUP(E250, ChestType!$A$5:$B$195, 2, 0), "Others"))</f>
        <v>L5 Crypt</v>
      </c>
    </row>
    <row r="251" spans="1:6" x14ac:dyDescent="0.25">
      <c r="A251" s="14">
        <v>46143.618055555555</v>
      </c>
      <c r="B251" s="79" t="s">
        <v>149</v>
      </c>
      <c r="C251" s="79" t="s">
        <v>177</v>
      </c>
      <c r="D251" s="79" t="s">
        <v>150</v>
      </c>
      <c r="E251" s="79" t="s">
        <v>50</v>
      </c>
      <c r="F251" s="79" t="str">
        <f>IF(E251="", "", IF(COUNTIF(ChestType!$A$5:$A$195, E251)&gt;0, VLOOKUP(E251, ChestType!$A$5:$B$195, 2, 0), "Others"))</f>
        <v>L10 Crypt</v>
      </c>
    </row>
    <row r="252" spans="1:6" x14ac:dyDescent="0.25">
      <c r="A252" s="14">
        <v>46143.618055555555</v>
      </c>
      <c r="B252" s="79" t="s">
        <v>149</v>
      </c>
      <c r="C252" s="79" t="s">
        <v>151</v>
      </c>
      <c r="D252" s="79" t="s">
        <v>231</v>
      </c>
      <c r="E252" s="79" t="s">
        <v>52</v>
      </c>
      <c r="F252" s="79" t="str">
        <f>IF(E252="", "", IF(COUNTIF(ChestType!$A$5:$A$195, E252)&gt;0, VLOOKUP(E252, ChestType!$A$5:$B$195, 2, 0), "Others"))</f>
        <v>L5 Crypt</v>
      </c>
    </row>
    <row r="253" spans="1:6" x14ac:dyDescent="0.25">
      <c r="A253" s="14">
        <v>46143.618055555555</v>
      </c>
      <c r="B253" s="79" t="s">
        <v>149</v>
      </c>
      <c r="C253" s="79" t="s">
        <v>176</v>
      </c>
      <c r="D253" s="79" t="s">
        <v>150</v>
      </c>
      <c r="E253" s="79" t="s">
        <v>70</v>
      </c>
      <c r="F253" s="79" t="str">
        <f>IF(E253="", "", IF(COUNTIF(ChestType!$A$5:$A$195, E253)&gt;0, VLOOKUP(E253, ChestType!$A$5:$B$195, 2, 0), "Others"))</f>
        <v>L10 Citadel</v>
      </c>
    </row>
    <row r="254" spans="1:6" x14ac:dyDescent="0.25">
      <c r="A254" s="14">
        <v>46143.618055555555</v>
      </c>
      <c r="B254" s="79" t="s">
        <v>149</v>
      </c>
      <c r="C254" s="79" t="s">
        <v>151</v>
      </c>
      <c r="D254" s="79" t="s">
        <v>162</v>
      </c>
      <c r="E254" s="79" t="s">
        <v>49</v>
      </c>
      <c r="F254" s="79" t="str">
        <f>IF(E254="", "", IF(COUNTIF(ChestType!$A$5:$A$195, E254)&gt;0, VLOOKUP(E254, ChestType!$A$5:$B$195, 2, 0), "Others"))</f>
        <v>L15 Crypt</v>
      </c>
    </row>
    <row r="255" spans="1:6" x14ac:dyDescent="0.25">
      <c r="A255" s="14">
        <v>46143.618055555555</v>
      </c>
      <c r="B255" s="79" t="s">
        <v>149</v>
      </c>
      <c r="C255" s="79" t="s">
        <v>175</v>
      </c>
      <c r="D255" s="79" t="s">
        <v>160</v>
      </c>
      <c r="E255" s="79" t="s">
        <v>50</v>
      </c>
      <c r="F255" s="79" t="str">
        <f>IF(E255="", "", IF(COUNTIF(ChestType!$A$5:$A$195, E255)&gt;0, VLOOKUP(E255, ChestType!$A$5:$B$195, 2, 0), "Others"))</f>
        <v>L10 Crypt</v>
      </c>
    </row>
    <row r="256" spans="1:6" x14ac:dyDescent="0.25">
      <c r="A256" s="14">
        <v>46143.618055555555</v>
      </c>
      <c r="B256" s="79" t="s">
        <v>149</v>
      </c>
      <c r="C256" s="79" t="s">
        <v>176</v>
      </c>
      <c r="D256" s="79" t="s">
        <v>150</v>
      </c>
      <c r="E256" s="79" t="s">
        <v>70</v>
      </c>
      <c r="F256" s="79" t="str">
        <f>IF(E256="", "", IF(COUNTIF(ChestType!$A$5:$A$195, E256)&gt;0, VLOOKUP(E256, ChestType!$A$5:$B$195, 2, 0), "Others"))</f>
        <v>L10 Citadel</v>
      </c>
    </row>
    <row r="257" spans="1:6" x14ac:dyDescent="0.25">
      <c r="A257" s="14">
        <v>46143.618055555555</v>
      </c>
      <c r="B257" s="79" t="s">
        <v>149</v>
      </c>
      <c r="C257" s="79" t="s">
        <v>176</v>
      </c>
      <c r="D257" s="79" t="s">
        <v>150</v>
      </c>
      <c r="E257" s="79" t="s">
        <v>70</v>
      </c>
      <c r="F257" s="79" t="str">
        <f>IF(E257="", "", IF(COUNTIF(ChestType!$A$5:$A$195, E257)&gt;0, VLOOKUP(E257, ChestType!$A$5:$B$195, 2, 0), "Others"))</f>
        <v>L10 Citadel</v>
      </c>
    </row>
    <row r="258" spans="1:6" x14ac:dyDescent="0.25">
      <c r="A258" s="14">
        <v>46143.618055555555</v>
      </c>
      <c r="B258" s="79" t="s">
        <v>149</v>
      </c>
      <c r="C258" s="79" t="s">
        <v>177</v>
      </c>
      <c r="D258" s="79" t="s">
        <v>247</v>
      </c>
      <c r="E258" s="79" t="s">
        <v>49</v>
      </c>
      <c r="F258" s="79" t="str">
        <f>IF(E258="", "", IF(COUNTIF(ChestType!$A$5:$A$195, E258)&gt;0, VLOOKUP(E258, ChestType!$A$5:$B$195, 2, 0), "Others"))</f>
        <v>L15 Crypt</v>
      </c>
    </row>
    <row r="259" spans="1:6" x14ac:dyDescent="0.25">
      <c r="A259" s="14">
        <v>46143.618055555555</v>
      </c>
      <c r="B259" s="79" t="s">
        <v>149</v>
      </c>
      <c r="C259" s="79" t="s">
        <v>176</v>
      </c>
      <c r="D259" s="79" t="s">
        <v>231</v>
      </c>
      <c r="E259" s="79" t="s">
        <v>70</v>
      </c>
      <c r="F259" s="79" t="str">
        <f>IF(E259="", "", IF(COUNTIF(ChestType!$A$5:$A$195, E259)&gt;0, VLOOKUP(E259, ChestType!$A$5:$B$195, 2, 0), "Others"))</f>
        <v>L10 Citadel</v>
      </c>
    </row>
    <row r="260" spans="1:6" x14ac:dyDescent="0.25">
      <c r="A260" s="14">
        <v>46143.618055555555</v>
      </c>
      <c r="B260" s="79" t="s">
        <v>149</v>
      </c>
      <c r="C260" s="79" t="s">
        <v>151</v>
      </c>
      <c r="D260" s="79" t="s">
        <v>251</v>
      </c>
      <c r="E260" s="79" t="s">
        <v>49</v>
      </c>
      <c r="F260" s="79" t="str">
        <f>IF(E260="", "", IF(COUNTIF(ChestType!$A$5:$A$195, E260)&gt;0, VLOOKUP(E260, ChestType!$A$5:$B$195, 2, 0), "Others"))</f>
        <v>L15 Crypt</v>
      </c>
    </row>
    <row r="261" spans="1:6" x14ac:dyDescent="0.25">
      <c r="A261" s="14">
        <v>46143.618055555555</v>
      </c>
      <c r="B261" s="79" t="s">
        <v>195</v>
      </c>
      <c r="C261" s="79" t="s">
        <v>196</v>
      </c>
      <c r="D261" s="79" t="s">
        <v>245</v>
      </c>
      <c r="E261" s="79" t="s">
        <v>24</v>
      </c>
      <c r="F261" s="79" t="str">
        <f>IF(E261="", "", IF(COUNTIF(ChestType!$A$5:$A$195, E261)&gt;0, VLOOKUP(E261, ChestType!$A$5:$B$195, 2, 0), "Others"))</f>
        <v>Bank</v>
      </c>
    </row>
    <row r="262" spans="1:6" x14ac:dyDescent="0.25">
      <c r="A262" s="14">
        <v>46143.618055555555</v>
      </c>
      <c r="B262" s="79" t="s">
        <v>195</v>
      </c>
      <c r="C262" s="79" t="s">
        <v>196</v>
      </c>
      <c r="D262" s="79" t="s">
        <v>245</v>
      </c>
      <c r="E262" s="79" t="s">
        <v>24</v>
      </c>
      <c r="F262" s="79" t="str">
        <f>IF(E262="", "", IF(COUNTIF(ChestType!$A$5:$A$195, E262)&gt;0, VLOOKUP(E262, ChestType!$A$5:$B$195, 2, 0), "Others"))</f>
        <v>Bank</v>
      </c>
    </row>
    <row r="263" spans="1:6" x14ac:dyDescent="0.25">
      <c r="A263" s="14">
        <v>46143.618055555555</v>
      </c>
      <c r="B263" s="79" t="s">
        <v>195</v>
      </c>
      <c r="C263" s="79" t="s">
        <v>196</v>
      </c>
      <c r="D263" s="79" t="s">
        <v>245</v>
      </c>
      <c r="E263" s="79" t="s">
        <v>24</v>
      </c>
      <c r="F263" s="79" t="str">
        <f>IF(E263="", "", IF(COUNTIF(ChestType!$A$5:$A$195, E263)&gt;0, VLOOKUP(E263, ChestType!$A$5:$B$195, 2, 0), "Others"))</f>
        <v>Bank</v>
      </c>
    </row>
    <row r="264" spans="1:6" x14ac:dyDescent="0.25">
      <c r="A264" s="14">
        <v>46143.618055555555</v>
      </c>
      <c r="B264" s="79" t="s">
        <v>195</v>
      </c>
      <c r="C264" s="79" t="s">
        <v>198</v>
      </c>
      <c r="D264" s="79" t="s">
        <v>193</v>
      </c>
      <c r="E264" s="79" t="s">
        <v>24</v>
      </c>
      <c r="F264" s="79" t="str">
        <f>IF(E264="", "", IF(COUNTIF(ChestType!$A$5:$A$195, E264)&gt;0, VLOOKUP(E264, ChestType!$A$5:$B$195, 2, 0), "Others"))</f>
        <v>Bank</v>
      </c>
    </row>
    <row r="265" spans="1:6" x14ac:dyDescent="0.25">
      <c r="A265" s="14">
        <v>46143.618055555555</v>
      </c>
      <c r="B265" s="79" t="s">
        <v>195</v>
      </c>
      <c r="C265" s="79" t="s">
        <v>198</v>
      </c>
      <c r="D265" s="79" t="s">
        <v>193</v>
      </c>
      <c r="E265" s="79" t="s">
        <v>24</v>
      </c>
      <c r="F265" s="79" t="str">
        <f>IF(E265="", "", IF(COUNTIF(ChestType!$A$5:$A$195, E265)&gt;0, VLOOKUP(E265, ChestType!$A$5:$B$195, 2, 0), "Others"))</f>
        <v>Bank</v>
      </c>
    </row>
    <row r="266" spans="1:6" x14ac:dyDescent="0.25">
      <c r="A266" s="14">
        <v>46143.618055555555</v>
      </c>
      <c r="B266" s="79" t="s">
        <v>195</v>
      </c>
      <c r="C266" s="79" t="s">
        <v>198</v>
      </c>
      <c r="D266" s="79" t="s">
        <v>193</v>
      </c>
      <c r="E266" s="79" t="s">
        <v>24</v>
      </c>
      <c r="F266" s="79" t="str">
        <f>IF(E266="", "", IF(COUNTIF(ChestType!$A$5:$A$195, E266)&gt;0, VLOOKUP(E266, ChestType!$A$5:$B$195, 2, 0), "Others"))</f>
        <v>Bank</v>
      </c>
    </row>
    <row r="267" spans="1:6" x14ac:dyDescent="0.25">
      <c r="A267" s="14">
        <v>46143.678472222222</v>
      </c>
      <c r="B267" s="79" t="s">
        <v>149</v>
      </c>
      <c r="C267" s="79" t="s">
        <v>173</v>
      </c>
      <c r="D267" s="79" t="s">
        <v>150</v>
      </c>
      <c r="E267" s="79" t="s">
        <v>50</v>
      </c>
      <c r="F267" s="79" t="str">
        <f>IF(E267="", "", IF(COUNTIF(ChestType!$A$5:$A$195, E267)&gt;0, VLOOKUP(E267, ChestType!$A$5:$B$195, 2, 0), "Others"))</f>
        <v>L10 Crypt</v>
      </c>
    </row>
    <row r="268" spans="1:6" x14ac:dyDescent="0.25">
      <c r="A268" s="14">
        <v>46143.678472222222</v>
      </c>
      <c r="B268" s="79" t="s">
        <v>149</v>
      </c>
      <c r="C268" s="79" t="s">
        <v>187</v>
      </c>
      <c r="D268" s="79" t="s">
        <v>231</v>
      </c>
      <c r="E268" s="79" t="s">
        <v>75</v>
      </c>
      <c r="F268" s="79" t="str">
        <f>IF(E268="", "", IF(COUNTIF(ChestType!$A$5:$A$195, E268)&gt;0, VLOOKUP(E268, ChestType!$A$5:$B$195, 2, 0), "Others"))</f>
        <v>L10 Rare Crypt</v>
      </c>
    </row>
    <row r="269" spans="1:6" x14ac:dyDescent="0.25">
      <c r="A269" s="14">
        <v>46143.678472222222</v>
      </c>
      <c r="B269" s="79" t="s">
        <v>149</v>
      </c>
      <c r="C269" s="79" t="s">
        <v>177</v>
      </c>
      <c r="D269" s="79" t="s">
        <v>150</v>
      </c>
      <c r="E269" s="79" t="s">
        <v>50</v>
      </c>
      <c r="F269" s="79" t="str">
        <f>IF(E269="", "", IF(COUNTIF(ChestType!$A$5:$A$195, E269)&gt;0, VLOOKUP(E269, ChestType!$A$5:$B$195, 2, 0), "Others"))</f>
        <v>L10 Crypt</v>
      </c>
    </row>
    <row r="270" spans="1:6" x14ac:dyDescent="0.25">
      <c r="A270" s="14">
        <v>46143.678472222222</v>
      </c>
      <c r="B270" s="79" t="s">
        <v>149</v>
      </c>
      <c r="C270" s="79" t="s">
        <v>171</v>
      </c>
      <c r="D270" s="79" t="s">
        <v>251</v>
      </c>
      <c r="E270" s="79" t="s">
        <v>49</v>
      </c>
      <c r="F270" s="79" t="str">
        <f>IF(E270="", "", IF(COUNTIF(ChestType!$A$5:$A$195, E270)&gt;0, VLOOKUP(E270, ChestType!$A$5:$B$195, 2, 0), "Others"))</f>
        <v>L15 Crypt</v>
      </c>
    </row>
    <row r="271" spans="1:6" x14ac:dyDescent="0.25">
      <c r="A271" s="14">
        <v>46143.678472222222</v>
      </c>
      <c r="B271" s="79" t="s">
        <v>149</v>
      </c>
      <c r="C271" s="79" t="s">
        <v>173</v>
      </c>
      <c r="D271" s="79" t="s">
        <v>150</v>
      </c>
      <c r="E271" s="79" t="s">
        <v>50</v>
      </c>
      <c r="F271" s="79" t="str">
        <f>IF(E271="", "", IF(COUNTIF(ChestType!$A$5:$A$195, E271)&gt;0, VLOOKUP(E271, ChestType!$A$5:$B$195, 2, 0), "Others"))</f>
        <v>L10 Crypt</v>
      </c>
    </row>
    <row r="272" spans="1:6" x14ac:dyDescent="0.25">
      <c r="A272" s="14">
        <v>46143.678472222222</v>
      </c>
      <c r="B272" s="79" t="s">
        <v>149</v>
      </c>
      <c r="C272" s="79" t="s">
        <v>176</v>
      </c>
      <c r="D272" s="79" t="s">
        <v>150</v>
      </c>
      <c r="E272" s="79" t="s">
        <v>70</v>
      </c>
      <c r="F272" s="79" t="str">
        <f>IF(E272="", "", IF(COUNTIF(ChestType!$A$5:$A$195, E272)&gt;0, VLOOKUP(E272, ChestType!$A$5:$B$195, 2, 0), "Others"))</f>
        <v>L10 Citadel</v>
      </c>
    </row>
    <row r="273" spans="1:6" x14ac:dyDescent="0.25">
      <c r="A273" s="14">
        <v>46143.678472222222</v>
      </c>
      <c r="B273" s="79" t="s">
        <v>149</v>
      </c>
      <c r="C273" s="79" t="s">
        <v>190</v>
      </c>
      <c r="D273" s="79" t="s">
        <v>150</v>
      </c>
      <c r="E273" s="79" t="s">
        <v>50</v>
      </c>
      <c r="F273" s="79" t="str">
        <f>IF(E273="", "", IF(COUNTIF(ChestType!$A$5:$A$195, E273)&gt;0, VLOOKUP(E273, ChestType!$A$5:$B$195, 2, 0), "Others"))</f>
        <v>L10 Crypt</v>
      </c>
    </row>
    <row r="274" spans="1:6" x14ac:dyDescent="0.25">
      <c r="A274" s="14">
        <v>46143.678472222222</v>
      </c>
      <c r="B274" s="79" t="s">
        <v>149</v>
      </c>
      <c r="C274" s="79" t="s">
        <v>176</v>
      </c>
      <c r="D274" s="79" t="s">
        <v>150</v>
      </c>
      <c r="E274" s="79" t="s">
        <v>63</v>
      </c>
      <c r="F274" s="79" t="str">
        <f>IF(E274="", "", IF(COUNTIF(ChestType!$A$5:$A$195, E274)&gt;0, VLOOKUP(E274, ChestType!$A$5:$B$195, 2, 0), "Others"))</f>
        <v>L15 Citadel</v>
      </c>
    </row>
    <row r="275" spans="1:6" x14ac:dyDescent="0.25">
      <c r="A275" s="14">
        <v>46143.678472222222</v>
      </c>
      <c r="B275" s="79" t="s">
        <v>149</v>
      </c>
      <c r="C275" s="79" t="s">
        <v>177</v>
      </c>
      <c r="D275" s="79" t="s">
        <v>193</v>
      </c>
      <c r="E275" s="79" t="s">
        <v>50</v>
      </c>
      <c r="F275" s="79" t="str">
        <f>IF(E275="", "", IF(COUNTIF(ChestType!$A$5:$A$195, E275)&gt;0, VLOOKUP(E275, ChestType!$A$5:$B$195, 2, 0), "Others"))</f>
        <v>L10 Crypt</v>
      </c>
    </row>
    <row r="276" spans="1:6" x14ac:dyDescent="0.25">
      <c r="A276" s="14">
        <v>46143.678472222222</v>
      </c>
      <c r="B276" s="79" t="s">
        <v>149</v>
      </c>
      <c r="C276" s="79" t="s">
        <v>192</v>
      </c>
      <c r="D276" s="79" t="s">
        <v>245</v>
      </c>
      <c r="E276" s="79" t="s">
        <v>60</v>
      </c>
      <c r="F276" s="79" t="str">
        <f>IF(E276="", "", IF(COUNTIF(ChestType!$A$5:$A$195, E276)&gt;0, VLOOKUP(E276, ChestType!$A$5:$B$195, 2, 0), "Others"))</f>
        <v>Others</v>
      </c>
    </row>
    <row r="277" spans="1:6" x14ac:dyDescent="0.25">
      <c r="A277" s="14">
        <v>46143.678472222222</v>
      </c>
      <c r="B277" s="79" t="s">
        <v>149</v>
      </c>
      <c r="C277" s="79" t="s">
        <v>173</v>
      </c>
      <c r="D277" s="79" t="s">
        <v>193</v>
      </c>
      <c r="E277" s="79" t="s">
        <v>50</v>
      </c>
      <c r="F277" s="79" t="str">
        <f>IF(E277="", "", IF(COUNTIF(ChestType!$A$5:$A$195, E277)&gt;0, VLOOKUP(E277, ChestType!$A$5:$B$195, 2, 0), "Others"))</f>
        <v>L10 Crypt</v>
      </c>
    </row>
    <row r="278" spans="1:6" x14ac:dyDescent="0.25">
      <c r="A278" s="14">
        <v>46143.678472222222</v>
      </c>
      <c r="B278" s="79" t="s">
        <v>149</v>
      </c>
      <c r="C278" s="79" t="s">
        <v>181</v>
      </c>
      <c r="D278" s="79" t="s">
        <v>257</v>
      </c>
      <c r="E278" s="79" t="s">
        <v>52</v>
      </c>
      <c r="F278" s="79" t="str">
        <f>IF(E278="", "", IF(COUNTIF(ChestType!$A$5:$A$195, E278)&gt;0, VLOOKUP(E278, ChestType!$A$5:$B$195, 2, 0), "Others"))</f>
        <v>L5 Crypt</v>
      </c>
    </row>
    <row r="279" spans="1:6" x14ac:dyDescent="0.25">
      <c r="A279" s="14">
        <v>46143.678472222222</v>
      </c>
      <c r="B279" s="79" t="s">
        <v>149</v>
      </c>
      <c r="C279" s="79" t="s">
        <v>151</v>
      </c>
      <c r="D279" s="79" t="s">
        <v>160</v>
      </c>
      <c r="E279" s="79" t="s">
        <v>49</v>
      </c>
      <c r="F279" s="79" t="str">
        <f>IF(E279="", "", IF(COUNTIF(ChestType!$A$5:$A$195, E279)&gt;0, VLOOKUP(E279, ChestType!$A$5:$B$195, 2, 0), "Others"))</f>
        <v>L15 Crypt</v>
      </c>
    </row>
    <row r="280" spans="1:6" x14ac:dyDescent="0.25">
      <c r="A280" s="14">
        <v>46143.678472222222</v>
      </c>
      <c r="B280" s="79" t="s">
        <v>149</v>
      </c>
      <c r="C280" s="79" t="s">
        <v>171</v>
      </c>
      <c r="D280" s="79" t="s">
        <v>202</v>
      </c>
      <c r="E280" s="79" t="s">
        <v>49</v>
      </c>
      <c r="F280" s="79" t="str">
        <f>IF(E280="", "", IF(COUNTIF(ChestType!$A$5:$A$195, E280)&gt;0, VLOOKUP(E280, ChestType!$A$5:$B$195, 2, 0), "Others"))</f>
        <v>L15 Crypt</v>
      </c>
    </row>
    <row r="281" spans="1:6" x14ac:dyDescent="0.25">
      <c r="A281" s="14">
        <v>46143.678472222222</v>
      </c>
      <c r="B281" s="79" t="s">
        <v>149</v>
      </c>
      <c r="C281" s="79" t="s">
        <v>151</v>
      </c>
      <c r="D281" s="79" t="s">
        <v>240</v>
      </c>
      <c r="E281" s="79" t="s">
        <v>52</v>
      </c>
      <c r="F281" s="79" t="str">
        <f>IF(E281="", "", IF(COUNTIF(ChestType!$A$5:$A$195, E281)&gt;0, VLOOKUP(E281, ChestType!$A$5:$B$195, 2, 0), "Others"))</f>
        <v>L5 Crypt</v>
      </c>
    </row>
    <row r="282" spans="1:6" x14ac:dyDescent="0.25">
      <c r="A282" s="14">
        <v>46143.678472222222</v>
      </c>
      <c r="B282" s="79" t="s">
        <v>149</v>
      </c>
      <c r="C282" s="79" t="s">
        <v>255</v>
      </c>
      <c r="D282" s="79" t="s">
        <v>202</v>
      </c>
      <c r="E282" s="79" t="s">
        <v>256</v>
      </c>
      <c r="F282" s="79" t="str">
        <f>IF(E282="", "", IF(COUNTIF(ChestType!$A$5:$A$195, E282)&gt;0, VLOOKUP(E282, ChestType!$A$5:$B$195, 2, 0), "Others"))</f>
        <v>Others</v>
      </c>
    </row>
    <row r="283" spans="1:6" x14ac:dyDescent="0.25">
      <c r="A283" s="14">
        <v>46143.678472222222</v>
      </c>
      <c r="B283" s="79" t="s">
        <v>149</v>
      </c>
      <c r="C283" s="79" t="s">
        <v>177</v>
      </c>
      <c r="D283" s="79" t="s">
        <v>257</v>
      </c>
      <c r="E283" s="79" t="s">
        <v>52</v>
      </c>
      <c r="F283" s="79" t="str">
        <f>IF(E283="", "", IF(COUNTIF(ChestType!$A$5:$A$195, E283)&gt;0, VLOOKUP(E283, ChestType!$A$5:$B$195, 2, 0), "Others"))</f>
        <v>L5 Crypt</v>
      </c>
    </row>
    <row r="284" spans="1:6" x14ac:dyDescent="0.25">
      <c r="A284" s="14">
        <v>46143.678472222222</v>
      </c>
      <c r="B284" s="79" t="s">
        <v>149</v>
      </c>
      <c r="C284" s="79" t="s">
        <v>171</v>
      </c>
      <c r="D284" s="79" t="s">
        <v>245</v>
      </c>
      <c r="E284" s="79" t="s">
        <v>49</v>
      </c>
      <c r="F284" s="79" t="str">
        <f>IF(E284="", "", IF(COUNTIF(ChestType!$A$5:$A$195, E284)&gt;0, VLOOKUP(E284, ChestType!$A$5:$B$195, 2, 0), "Others"))</f>
        <v>L15 Crypt</v>
      </c>
    </row>
    <row r="285" spans="1:6" x14ac:dyDescent="0.25">
      <c r="A285" s="14">
        <v>46143.678472222222</v>
      </c>
      <c r="B285" s="79" t="s">
        <v>149</v>
      </c>
      <c r="C285" s="79" t="s">
        <v>173</v>
      </c>
      <c r="D285" s="79" t="s">
        <v>167</v>
      </c>
      <c r="E285" s="79" t="s">
        <v>49</v>
      </c>
      <c r="F285" s="79" t="str">
        <f>IF(E285="", "", IF(COUNTIF(ChestType!$A$5:$A$195, E285)&gt;0, VLOOKUP(E285, ChestType!$A$5:$B$195, 2, 0), "Others"))</f>
        <v>L15 Crypt</v>
      </c>
    </row>
    <row r="286" spans="1:6" x14ac:dyDescent="0.25">
      <c r="A286" s="14">
        <v>46143.678472222222</v>
      </c>
      <c r="B286" s="79" t="s">
        <v>149</v>
      </c>
      <c r="C286" s="79" t="s">
        <v>185</v>
      </c>
      <c r="D286" s="79" t="s">
        <v>251</v>
      </c>
      <c r="E286" s="79" t="s">
        <v>49</v>
      </c>
      <c r="F286" s="79" t="str">
        <f>IF(E286="", "", IF(COUNTIF(ChestType!$A$5:$A$195, E286)&gt;0, VLOOKUP(E286, ChestType!$A$5:$B$195, 2, 0), "Others"))</f>
        <v>L15 Crypt</v>
      </c>
    </row>
    <row r="287" spans="1:6" x14ac:dyDescent="0.25">
      <c r="A287" s="14">
        <v>46143.678472222222</v>
      </c>
      <c r="B287" s="79" t="s">
        <v>149</v>
      </c>
      <c r="C287" s="79" t="s">
        <v>255</v>
      </c>
      <c r="D287" s="79" t="s">
        <v>250</v>
      </c>
      <c r="E287" s="79" t="s">
        <v>256</v>
      </c>
      <c r="F287" s="79" t="str">
        <f>IF(E287="", "", IF(COUNTIF(ChestType!$A$5:$A$195, E287)&gt;0, VLOOKUP(E287, ChestType!$A$5:$B$195, 2, 0), "Others"))</f>
        <v>Others</v>
      </c>
    </row>
    <row r="288" spans="1:6" x14ac:dyDescent="0.25">
      <c r="A288" s="14">
        <v>46143.678472222222</v>
      </c>
      <c r="B288" s="79" t="s">
        <v>149</v>
      </c>
      <c r="C288" s="79" t="s">
        <v>175</v>
      </c>
      <c r="D288" s="79" t="s">
        <v>155</v>
      </c>
      <c r="E288" s="79" t="s">
        <v>50</v>
      </c>
      <c r="F288" s="79" t="str">
        <f>IF(E288="", "", IF(COUNTIF(ChestType!$A$5:$A$195, E288)&gt;0, VLOOKUP(E288, ChestType!$A$5:$B$195, 2, 0), "Others"))</f>
        <v>L10 Crypt</v>
      </c>
    </row>
    <row r="289" spans="1:6" x14ac:dyDescent="0.25">
      <c r="A289" s="14">
        <v>46143.678472222222</v>
      </c>
      <c r="B289" s="79" t="s">
        <v>149</v>
      </c>
      <c r="C289" s="79" t="s">
        <v>255</v>
      </c>
      <c r="D289" s="79" t="s">
        <v>202</v>
      </c>
      <c r="E289" s="79" t="s">
        <v>256</v>
      </c>
      <c r="F289" s="79" t="str">
        <f>IF(E289="", "", IF(COUNTIF(ChestType!$A$5:$A$195, E289)&gt;0, VLOOKUP(E289, ChestType!$A$5:$B$195, 2, 0), "Others"))</f>
        <v>Others</v>
      </c>
    </row>
    <row r="290" spans="1:6" x14ac:dyDescent="0.25">
      <c r="A290" s="14">
        <v>46143.678472222222</v>
      </c>
      <c r="B290" s="79" t="s">
        <v>149</v>
      </c>
      <c r="C290" s="79" t="s">
        <v>177</v>
      </c>
      <c r="D290" s="79" t="s">
        <v>257</v>
      </c>
      <c r="E290" s="79" t="s">
        <v>52</v>
      </c>
      <c r="F290" s="79" t="str">
        <f>IF(E290="", "", IF(COUNTIF(ChestType!$A$5:$A$195, E290)&gt;0, VLOOKUP(E290, ChestType!$A$5:$B$195, 2, 0), "Others"))</f>
        <v>L5 Crypt</v>
      </c>
    </row>
    <row r="291" spans="1:6" x14ac:dyDescent="0.25">
      <c r="A291" s="14">
        <v>46143.678472222222</v>
      </c>
      <c r="B291" s="79" t="s">
        <v>149</v>
      </c>
      <c r="C291" s="79" t="s">
        <v>190</v>
      </c>
      <c r="D291" s="79" t="s">
        <v>155</v>
      </c>
      <c r="E291" s="79" t="s">
        <v>50</v>
      </c>
      <c r="F291" s="79" t="str">
        <f>IF(E291="", "", IF(COUNTIF(ChestType!$A$5:$A$195, E291)&gt;0, VLOOKUP(E291, ChestType!$A$5:$B$195, 2, 0), "Others"))</f>
        <v>L10 Crypt</v>
      </c>
    </row>
    <row r="292" spans="1:6" x14ac:dyDescent="0.25">
      <c r="A292" s="14">
        <v>46143.678472222222</v>
      </c>
      <c r="B292" s="79" t="s">
        <v>149</v>
      </c>
      <c r="C292" s="79" t="s">
        <v>158</v>
      </c>
      <c r="D292" s="79" t="s">
        <v>251</v>
      </c>
      <c r="E292" s="79" t="s">
        <v>49</v>
      </c>
      <c r="F292" s="79" t="str">
        <f>IF(E292="", "", IF(COUNTIF(ChestType!$A$5:$A$195, E292)&gt;0, VLOOKUP(E292, ChestType!$A$5:$B$195, 2, 0), "Others"))</f>
        <v>L15 Crypt</v>
      </c>
    </row>
    <row r="293" spans="1:6" x14ac:dyDescent="0.25">
      <c r="A293" s="14">
        <v>46143.678472222222</v>
      </c>
      <c r="B293" s="79" t="s">
        <v>149</v>
      </c>
      <c r="C293" s="79" t="s">
        <v>200</v>
      </c>
      <c r="D293" s="79" t="s">
        <v>168</v>
      </c>
      <c r="E293" s="79" t="s">
        <v>125</v>
      </c>
      <c r="F293" s="79" t="str">
        <f>IF(E293="", "", IF(COUNTIF(ChestType!$A$5:$A$195, E293)&gt;0, VLOOKUP(E293, ChestType!$A$5:$B$195, 2, 0), "Others"))</f>
        <v>Ancients Vault</v>
      </c>
    </row>
    <row r="294" spans="1:6" x14ac:dyDescent="0.25">
      <c r="A294" s="14">
        <v>46143.836805555555</v>
      </c>
      <c r="B294" s="79" t="s">
        <v>149</v>
      </c>
      <c r="C294" s="79" t="s">
        <v>255</v>
      </c>
      <c r="D294" s="79" t="s">
        <v>254</v>
      </c>
      <c r="E294" s="79" t="s">
        <v>256</v>
      </c>
      <c r="F294" s="79" t="str">
        <f>IF(E294="", "", IF(COUNTIF(ChestType!$A$5:$A$195, E294)&gt;0, VLOOKUP(E294, ChestType!$A$5:$B$195, 2, 0), "Others"))</f>
        <v>Others</v>
      </c>
    </row>
    <row r="295" spans="1:6" x14ac:dyDescent="0.25">
      <c r="A295" s="14">
        <v>46143.836805555555</v>
      </c>
      <c r="B295" s="79" t="s">
        <v>149</v>
      </c>
      <c r="C295" s="79" t="s">
        <v>200</v>
      </c>
      <c r="D295" s="79" t="s">
        <v>168</v>
      </c>
      <c r="E295" s="79" t="s">
        <v>126</v>
      </c>
      <c r="F295" s="79" t="str">
        <f>IF(E295="", "", IF(COUNTIF(ChestType!$A$5:$A$195, E295)&gt;0, VLOOKUP(E295, ChestType!$A$5:$B$195, 2, 0), "Others"))</f>
        <v>Ancients Vault</v>
      </c>
    </row>
    <row r="296" spans="1:6" x14ac:dyDescent="0.25">
      <c r="A296" s="14">
        <v>46143.836805555555</v>
      </c>
      <c r="B296" s="79" t="s">
        <v>149</v>
      </c>
      <c r="C296" s="79" t="s">
        <v>200</v>
      </c>
      <c r="D296" s="79" t="s">
        <v>162</v>
      </c>
      <c r="E296" s="79" t="s">
        <v>125</v>
      </c>
      <c r="F296" s="79" t="str">
        <f>IF(E296="", "", IF(COUNTIF(ChestType!$A$5:$A$195, E296)&gt;0, VLOOKUP(E296, ChestType!$A$5:$B$195, 2, 0), "Others"))</f>
        <v>Ancients Vault</v>
      </c>
    </row>
    <row r="297" spans="1:6" x14ac:dyDescent="0.25">
      <c r="A297" s="14">
        <v>46143.836805555555</v>
      </c>
      <c r="B297" s="79" t="s">
        <v>149</v>
      </c>
      <c r="C297" s="79" t="s">
        <v>173</v>
      </c>
      <c r="D297" s="79" t="s">
        <v>240</v>
      </c>
      <c r="E297" s="79" t="s">
        <v>50</v>
      </c>
      <c r="F297" s="79" t="str">
        <f>IF(E297="", "", IF(COUNTIF(ChestType!$A$5:$A$195, E297)&gt;0, VLOOKUP(E297, ChestType!$A$5:$B$195, 2, 0), "Others"))</f>
        <v>L10 Crypt</v>
      </c>
    </row>
    <row r="298" spans="1:6" x14ac:dyDescent="0.25">
      <c r="A298" s="14">
        <v>46143.836805555555</v>
      </c>
      <c r="B298" s="79" t="s">
        <v>149</v>
      </c>
      <c r="C298" s="79" t="s">
        <v>175</v>
      </c>
      <c r="D298" s="79" t="s">
        <v>240</v>
      </c>
      <c r="E298" s="79" t="s">
        <v>50</v>
      </c>
      <c r="F298" s="79" t="str">
        <f>IF(E298="", "", IF(COUNTIF(ChestType!$A$5:$A$195, E298)&gt;0, VLOOKUP(E298, ChestType!$A$5:$B$195, 2, 0), "Others"))</f>
        <v>L10 Crypt</v>
      </c>
    </row>
    <row r="299" spans="1:6" x14ac:dyDescent="0.25">
      <c r="A299" s="14">
        <v>46143.836805555555</v>
      </c>
      <c r="B299" s="79" t="s">
        <v>149</v>
      </c>
      <c r="C299" s="79" t="s">
        <v>200</v>
      </c>
      <c r="D299" s="79" t="s">
        <v>168</v>
      </c>
      <c r="E299" s="79" t="s">
        <v>125</v>
      </c>
      <c r="F299" s="79" t="str">
        <f>IF(E299="", "", IF(COUNTIF(ChestType!$A$5:$A$195, E299)&gt;0, VLOOKUP(E299, ChestType!$A$5:$B$195, 2, 0), "Others"))</f>
        <v>Ancients Vault</v>
      </c>
    </row>
    <row r="300" spans="1:6" x14ac:dyDescent="0.25">
      <c r="A300" s="14">
        <v>46143.836805555555</v>
      </c>
      <c r="B300" s="79" t="s">
        <v>149</v>
      </c>
      <c r="C300" s="79" t="s">
        <v>173</v>
      </c>
      <c r="D300" s="79" t="s">
        <v>240</v>
      </c>
      <c r="E300" s="79" t="s">
        <v>52</v>
      </c>
      <c r="F300" s="79" t="str">
        <f>IF(E300="", "", IF(COUNTIF(ChestType!$A$5:$A$195, E300)&gt;0, VLOOKUP(E300, ChestType!$A$5:$B$195, 2, 0), "Others"))</f>
        <v>L5 Crypt</v>
      </c>
    </row>
    <row r="301" spans="1:6" x14ac:dyDescent="0.25">
      <c r="A301" s="14">
        <v>46143.836805555555</v>
      </c>
      <c r="B301" s="79" t="s">
        <v>149</v>
      </c>
      <c r="C301" s="79" t="s">
        <v>151</v>
      </c>
      <c r="D301" s="79" t="s">
        <v>250</v>
      </c>
      <c r="E301" s="79" t="s">
        <v>52</v>
      </c>
      <c r="F301" s="79" t="str">
        <f>IF(E301="", "", IF(COUNTIF(ChestType!$A$5:$A$195, E301)&gt;0, VLOOKUP(E301, ChestType!$A$5:$B$195, 2, 0), "Others"))</f>
        <v>L5 Crypt</v>
      </c>
    </row>
    <row r="302" spans="1:6" x14ac:dyDescent="0.25">
      <c r="A302" s="14">
        <v>46143.836805555555</v>
      </c>
      <c r="B302" s="79" t="s">
        <v>149</v>
      </c>
      <c r="C302" s="79" t="s">
        <v>185</v>
      </c>
      <c r="D302" s="79" t="s">
        <v>257</v>
      </c>
      <c r="E302" s="79" t="s">
        <v>50</v>
      </c>
      <c r="F302" s="79" t="str">
        <f>IF(E302="", "", IF(COUNTIF(ChestType!$A$5:$A$195, E302)&gt;0, VLOOKUP(E302, ChestType!$A$5:$B$195, 2, 0), "Others"))</f>
        <v>L10 Crypt</v>
      </c>
    </row>
    <row r="303" spans="1:6" x14ac:dyDescent="0.25">
      <c r="A303" s="14">
        <v>46143.836805555555</v>
      </c>
      <c r="B303" s="79" t="s">
        <v>149</v>
      </c>
      <c r="C303" s="79" t="s">
        <v>181</v>
      </c>
      <c r="D303" s="79" t="s">
        <v>168</v>
      </c>
      <c r="E303" s="79" t="s">
        <v>50</v>
      </c>
      <c r="F303" s="79" t="str">
        <f>IF(E303="", "", IF(COUNTIF(ChestType!$A$5:$A$195, E303)&gt;0, VLOOKUP(E303, ChestType!$A$5:$B$195, 2, 0), "Others"))</f>
        <v>L10 Crypt</v>
      </c>
    </row>
    <row r="304" spans="1:6" x14ac:dyDescent="0.25">
      <c r="A304" s="14">
        <v>46143.836805555555</v>
      </c>
      <c r="B304" s="79" t="s">
        <v>149</v>
      </c>
      <c r="C304" s="79" t="s">
        <v>158</v>
      </c>
      <c r="D304" s="79" t="s">
        <v>231</v>
      </c>
      <c r="E304" s="79" t="s">
        <v>49</v>
      </c>
      <c r="F304" s="79" t="str">
        <f>IF(E304="", "", IF(COUNTIF(ChestType!$A$5:$A$195, E304)&gt;0, VLOOKUP(E304, ChestType!$A$5:$B$195, 2, 0), "Others"))</f>
        <v>L15 Crypt</v>
      </c>
    </row>
    <row r="305" spans="1:6" x14ac:dyDescent="0.25">
      <c r="A305" s="14">
        <v>46143.836805555555</v>
      </c>
      <c r="B305" s="79" t="s">
        <v>149</v>
      </c>
      <c r="C305" s="79" t="s">
        <v>182</v>
      </c>
      <c r="D305" s="79" t="s">
        <v>168</v>
      </c>
      <c r="E305" s="79" t="s">
        <v>52</v>
      </c>
      <c r="F305" s="79" t="str">
        <f>IF(E305="", "", IF(COUNTIF(ChestType!$A$5:$A$195, E305)&gt;0, VLOOKUP(E305, ChestType!$A$5:$B$195, 2, 0), "Others"))</f>
        <v>L5 Crypt</v>
      </c>
    </row>
    <row r="306" spans="1:6" x14ac:dyDescent="0.25">
      <c r="A306" s="14">
        <v>46143.836805555555</v>
      </c>
      <c r="B306" s="79" t="s">
        <v>149</v>
      </c>
      <c r="C306" s="79" t="s">
        <v>200</v>
      </c>
      <c r="D306" s="79" t="s">
        <v>162</v>
      </c>
      <c r="E306" s="79" t="s">
        <v>125</v>
      </c>
      <c r="F306" s="79" t="str">
        <f>IF(E306="", "", IF(COUNTIF(ChestType!$A$5:$A$195, E306)&gt;0, VLOOKUP(E306, ChestType!$A$5:$B$195, 2, 0), "Others"))</f>
        <v>Ancients Vault</v>
      </c>
    </row>
    <row r="307" spans="1:6" x14ac:dyDescent="0.25">
      <c r="A307" s="14">
        <v>46143.836805555555</v>
      </c>
      <c r="B307" s="79" t="s">
        <v>149</v>
      </c>
      <c r="C307" s="79" t="s">
        <v>182</v>
      </c>
      <c r="D307" s="79" t="s">
        <v>168</v>
      </c>
      <c r="E307" s="79" t="s">
        <v>52</v>
      </c>
      <c r="F307" s="79" t="str">
        <f>IF(E307="", "", IF(COUNTIF(ChestType!$A$5:$A$195, E307)&gt;0, VLOOKUP(E307, ChestType!$A$5:$B$195, 2, 0), "Others"))</f>
        <v>L5 Crypt</v>
      </c>
    </row>
    <row r="308" spans="1:6" x14ac:dyDescent="0.25">
      <c r="A308" s="14">
        <v>46143.836805555555</v>
      </c>
      <c r="B308" s="79" t="s">
        <v>149</v>
      </c>
      <c r="C308" s="79" t="s">
        <v>175</v>
      </c>
      <c r="D308" s="79" t="s">
        <v>161</v>
      </c>
      <c r="E308" s="79" t="s">
        <v>50</v>
      </c>
      <c r="F308" s="79" t="str">
        <f>IF(E308="", "", IF(COUNTIF(ChestType!$A$5:$A$195, E308)&gt;0, VLOOKUP(E308, ChestType!$A$5:$B$195, 2, 0), "Others"))</f>
        <v>L10 Crypt</v>
      </c>
    </row>
    <row r="309" spans="1:6" x14ac:dyDescent="0.25">
      <c r="A309" s="14">
        <v>46143.836805555555</v>
      </c>
      <c r="B309" s="79" t="s">
        <v>149</v>
      </c>
      <c r="C309" s="79" t="s">
        <v>255</v>
      </c>
      <c r="D309" s="79" t="s">
        <v>250</v>
      </c>
      <c r="E309" s="79" t="s">
        <v>256</v>
      </c>
      <c r="F309" s="79" t="str">
        <f>IF(E309="", "", IF(COUNTIF(ChestType!$A$5:$A$195, E309)&gt;0, VLOOKUP(E309, ChestType!$A$5:$B$195, 2, 0), "Others"))</f>
        <v>Others</v>
      </c>
    </row>
    <row r="310" spans="1:6" x14ac:dyDescent="0.25">
      <c r="A310" s="14">
        <v>46143.836805555555</v>
      </c>
      <c r="B310" s="79" t="s">
        <v>149</v>
      </c>
      <c r="C310" s="79" t="s">
        <v>181</v>
      </c>
      <c r="D310" s="79" t="s">
        <v>157</v>
      </c>
      <c r="E310" s="79" t="s">
        <v>50</v>
      </c>
      <c r="F310" s="79" t="str">
        <f>IF(E310="", "", IF(COUNTIF(ChestType!$A$5:$A$195, E310)&gt;0, VLOOKUP(E310, ChestType!$A$5:$B$195, 2, 0), "Others"))</f>
        <v>L10 Crypt</v>
      </c>
    </row>
    <row r="311" spans="1:6" x14ac:dyDescent="0.25">
      <c r="A311" s="14">
        <v>46143.836805555555</v>
      </c>
      <c r="B311" s="79" t="s">
        <v>149</v>
      </c>
      <c r="C311" s="79" t="s">
        <v>175</v>
      </c>
      <c r="D311" s="79" t="s">
        <v>199</v>
      </c>
      <c r="E311" s="79" t="s">
        <v>49</v>
      </c>
      <c r="F311" s="79" t="str">
        <f>IF(E311="", "", IF(COUNTIF(ChestType!$A$5:$A$195, E311)&gt;0, VLOOKUP(E311, ChestType!$A$5:$B$195, 2, 0), "Others"))</f>
        <v>L15 Crypt</v>
      </c>
    </row>
    <row r="312" spans="1:6" x14ac:dyDescent="0.25">
      <c r="A312" s="14">
        <v>46143.836805555555</v>
      </c>
      <c r="B312" s="79" t="s">
        <v>149</v>
      </c>
      <c r="C312" s="79" t="s">
        <v>185</v>
      </c>
      <c r="D312" s="79" t="s">
        <v>157</v>
      </c>
      <c r="E312" s="79" t="s">
        <v>52</v>
      </c>
      <c r="F312" s="79" t="str">
        <f>IF(E312="", "", IF(COUNTIF(ChestType!$A$5:$A$195, E312)&gt;0, VLOOKUP(E312, ChestType!$A$5:$B$195, 2, 0), "Others"))</f>
        <v>L5 Crypt</v>
      </c>
    </row>
    <row r="313" spans="1:6" x14ac:dyDescent="0.25">
      <c r="A313" s="14">
        <v>46143.836805555555</v>
      </c>
      <c r="B313" s="79" t="s">
        <v>149</v>
      </c>
      <c r="C313" s="79" t="s">
        <v>190</v>
      </c>
      <c r="D313" s="79" t="s">
        <v>157</v>
      </c>
      <c r="E313" s="79" t="s">
        <v>50</v>
      </c>
      <c r="F313" s="79" t="str">
        <f>IF(E313="", "", IF(COUNTIF(ChestType!$A$5:$A$195, E313)&gt;0, VLOOKUP(E313, ChestType!$A$5:$B$195, 2, 0), "Others"))</f>
        <v>L10 Crypt</v>
      </c>
    </row>
    <row r="314" spans="1:6" x14ac:dyDescent="0.25">
      <c r="A314" s="14">
        <v>46143.836805555555</v>
      </c>
      <c r="B314" s="79" t="s">
        <v>149</v>
      </c>
      <c r="C314" s="79" t="s">
        <v>190</v>
      </c>
      <c r="D314" s="79" t="s">
        <v>157</v>
      </c>
      <c r="E314" s="79" t="s">
        <v>50</v>
      </c>
      <c r="F314" s="79" t="str">
        <f>IF(E314="", "", IF(COUNTIF(ChestType!$A$5:$A$195, E314)&gt;0, VLOOKUP(E314, ChestType!$A$5:$B$195, 2, 0), "Others"))</f>
        <v>L10 Crypt</v>
      </c>
    </row>
    <row r="315" spans="1:6" x14ac:dyDescent="0.25">
      <c r="A315" s="14">
        <v>46143.836805555555</v>
      </c>
      <c r="B315" s="79" t="s">
        <v>149</v>
      </c>
      <c r="C315" s="79" t="s">
        <v>175</v>
      </c>
      <c r="D315" s="79" t="s">
        <v>257</v>
      </c>
      <c r="E315" s="79" t="s">
        <v>52</v>
      </c>
      <c r="F315" s="79" t="str">
        <f>IF(E315="", "", IF(COUNTIF(ChestType!$A$5:$A$195, E315)&gt;0, VLOOKUP(E315, ChestType!$A$5:$B$195, 2, 0), "Others"))</f>
        <v>L5 Crypt</v>
      </c>
    </row>
    <row r="316" spans="1:6" x14ac:dyDescent="0.25">
      <c r="A316" s="14">
        <v>46143.836805555555</v>
      </c>
      <c r="B316" s="79" t="s">
        <v>149</v>
      </c>
      <c r="C316" s="79" t="s">
        <v>200</v>
      </c>
      <c r="D316" s="79" t="s">
        <v>168</v>
      </c>
      <c r="E316" s="79" t="s">
        <v>125</v>
      </c>
      <c r="F316" s="79" t="str">
        <f>IF(E316="", "", IF(COUNTIF(ChestType!$A$5:$A$195, E316)&gt;0, VLOOKUP(E316, ChestType!$A$5:$B$195, 2, 0), "Others"))</f>
        <v>Ancients Vault</v>
      </c>
    </row>
    <row r="317" spans="1:6" x14ac:dyDescent="0.25">
      <c r="A317" s="14">
        <v>46143.836805555555</v>
      </c>
      <c r="B317" s="79" t="s">
        <v>149</v>
      </c>
      <c r="C317" s="79" t="s">
        <v>151</v>
      </c>
      <c r="D317" s="79" t="s">
        <v>153</v>
      </c>
      <c r="E317" s="79" t="s">
        <v>52</v>
      </c>
      <c r="F317" s="79" t="str">
        <f>IF(E317="", "", IF(COUNTIF(ChestType!$A$5:$A$195, E317)&gt;0, VLOOKUP(E317, ChestType!$A$5:$B$195, 2, 0), "Others"))</f>
        <v>L5 Crypt</v>
      </c>
    </row>
    <row r="318" spans="1:6" x14ac:dyDescent="0.25">
      <c r="A318" s="14">
        <v>46143.836805555555</v>
      </c>
      <c r="B318" s="79" t="s">
        <v>149</v>
      </c>
      <c r="C318" s="79" t="s">
        <v>181</v>
      </c>
      <c r="D318" s="79" t="s">
        <v>157</v>
      </c>
      <c r="E318" s="79" t="s">
        <v>50</v>
      </c>
      <c r="F318" s="79" t="str">
        <f>IF(E318="", "", IF(COUNTIF(ChestType!$A$5:$A$195, E318)&gt;0, VLOOKUP(E318, ChestType!$A$5:$B$195, 2, 0), "Others"))</f>
        <v>L10 Crypt</v>
      </c>
    </row>
    <row r="319" spans="1:6" x14ac:dyDescent="0.25">
      <c r="A319" s="14">
        <v>46143.836805555555</v>
      </c>
      <c r="B319" s="79" t="s">
        <v>149</v>
      </c>
      <c r="C319" s="79" t="s">
        <v>171</v>
      </c>
      <c r="D319" s="79" t="s">
        <v>153</v>
      </c>
      <c r="E319" s="79" t="s">
        <v>52</v>
      </c>
      <c r="F319" s="79" t="str">
        <f>IF(E319="", "", IF(COUNTIF(ChestType!$A$5:$A$195, E319)&gt;0, VLOOKUP(E319, ChestType!$A$5:$B$195, 2, 0), "Others"))</f>
        <v>L5 Crypt</v>
      </c>
    </row>
    <row r="320" spans="1:6" x14ac:dyDescent="0.25">
      <c r="A320" s="14">
        <v>46143.836805555555</v>
      </c>
      <c r="B320" s="79" t="s">
        <v>149</v>
      </c>
      <c r="C320" s="79" t="s">
        <v>175</v>
      </c>
      <c r="D320" s="79" t="s">
        <v>157</v>
      </c>
      <c r="E320" s="79" t="s">
        <v>50</v>
      </c>
      <c r="F320" s="79" t="str">
        <f>IF(E320="", "", IF(COUNTIF(ChestType!$A$5:$A$195, E320)&gt;0, VLOOKUP(E320, ChestType!$A$5:$B$195, 2, 0), "Others"))</f>
        <v>L10 Crypt</v>
      </c>
    </row>
    <row r="321" spans="1:6" x14ac:dyDescent="0.25">
      <c r="A321" s="14">
        <v>46143.836805555555</v>
      </c>
      <c r="B321" s="79" t="s">
        <v>149</v>
      </c>
      <c r="C321" s="79" t="s">
        <v>177</v>
      </c>
      <c r="D321" s="79" t="s">
        <v>153</v>
      </c>
      <c r="E321" s="79" t="s">
        <v>49</v>
      </c>
      <c r="F321" s="79" t="str">
        <f>IF(E321="", "", IF(COUNTIF(ChestType!$A$5:$A$195, E321)&gt;0, VLOOKUP(E321, ChestType!$A$5:$B$195, 2, 0), "Others"))</f>
        <v>L15 Crypt</v>
      </c>
    </row>
    <row r="322" spans="1:6" x14ac:dyDescent="0.25">
      <c r="A322" s="14">
        <v>46143.836805555555</v>
      </c>
      <c r="B322" s="79" t="s">
        <v>149</v>
      </c>
      <c r="C322" s="79" t="s">
        <v>200</v>
      </c>
      <c r="D322" s="79" t="s">
        <v>168</v>
      </c>
      <c r="E322" s="79" t="s">
        <v>125</v>
      </c>
      <c r="F322" s="79" t="str">
        <f>IF(E322="", "", IF(COUNTIF(ChestType!$A$5:$A$195, E322)&gt;0, VLOOKUP(E322, ChestType!$A$5:$B$195, 2, 0), "Others"))</f>
        <v>Ancients Vault</v>
      </c>
    </row>
    <row r="323" spans="1:6" x14ac:dyDescent="0.25">
      <c r="A323" s="14">
        <v>46143.836805555555</v>
      </c>
      <c r="B323" s="79" t="s">
        <v>149</v>
      </c>
      <c r="C323" s="79" t="s">
        <v>185</v>
      </c>
      <c r="D323" s="79" t="s">
        <v>257</v>
      </c>
      <c r="E323" s="79" t="s">
        <v>52</v>
      </c>
      <c r="F323" s="79" t="str">
        <f>IF(E323="", "", IF(COUNTIF(ChestType!$A$5:$A$195, E323)&gt;0, VLOOKUP(E323, ChestType!$A$5:$B$195, 2, 0), "Others"))</f>
        <v>L5 Crypt</v>
      </c>
    </row>
    <row r="324" spans="1:6" x14ac:dyDescent="0.25">
      <c r="A324" s="14">
        <v>46143.836805555555</v>
      </c>
      <c r="B324" s="79" t="s">
        <v>149</v>
      </c>
      <c r="C324" s="79" t="s">
        <v>255</v>
      </c>
      <c r="D324" s="79" t="s">
        <v>250</v>
      </c>
      <c r="E324" s="79" t="s">
        <v>256</v>
      </c>
      <c r="F324" s="79" t="str">
        <f>IF(E324="", "", IF(COUNTIF(ChestType!$A$5:$A$195, E324)&gt;0, VLOOKUP(E324, ChestType!$A$5:$B$195, 2, 0), "Others"))</f>
        <v>Others</v>
      </c>
    </row>
    <row r="325" spans="1:6" x14ac:dyDescent="0.25">
      <c r="A325" s="14">
        <v>46143.836805555555</v>
      </c>
      <c r="B325" s="79" t="s">
        <v>149</v>
      </c>
      <c r="C325" s="79" t="s">
        <v>181</v>
      </c>
      <c r="D325" s="79" t="s">
        <v>161</v>
      </c>
      <c r="E325" s="79" t="s">
        <v>50</v>
      </c>
      <c r="F325" s="79" t="str">
        <f>IF(E325="", "", IF(COUNTIF(ChestType!$A$5:$A$195, E325)&gt;0, VLOOKUP(E325, ChestType!$A$5:$B$195, 2, 0), "Others"))</f>
        <v>L10 Crypt</v>
      </c>
    </row>
    <row r="326" spans="1:6" x14ac:dyDescent="0.25">
      <c r="A326" s="14">
        <v>46143.836805555555</v>
      </c>
      <c r="B326" s="79" t="s">
        <v>149</v>
      </c>
      <c r="C326" s="79" t="s">
        <v>151</v>
      </c>
      <c r="D326" s="79" t="s">
        <v>257</v>
      </c>
      <c r="E326" s="79" t="s">
        <v>52</v>
      </c>
      <c r="F326" s="79" t="str">
        <f>IF(E326="", "", IF(COUNTIF(ChestType!$A$5:$A$195, E326)&gt;0, VLOOKUP(E326, ChestType!$A$5:$B$195, 2, 0), "Others"))</f>
        <v>L5 Crypt</v>
      </c>
    </row>
    <row r="327" spans="1:6" x14ac:dyDescent="0.25">
      <c r="A327" s="14">
        <v>46143.836805555555</v>
      </c>
      <c r="B327" s="79" t="s">
        <v>149</v>
      </c>
      <c r="C327" s="79" t="s">
        <v>181</v>
      </c>
      <c r="D327" s="79" t="s">
        <v>161</v>
      </c>
      <c r="E327" s="79" t="s">
        <v>50</v>
      </c>
      <c r="F327" s="79" t="str">
        <f>IF(E327="", "", IF(COUNTIF(ChestType!$A$5:$A$195, E327)&gt;0, VLOOKUP(E327, ChestType!$A$5:$B$195, 2, 0), "Others"))</f>
        <v>L10 Crypt</v>
      </c>
    </row>
    <row r="328" spans="1:6" x14ac:dyDescent="0.25">
      <c r="A328" s="14">
        <v>46143.836805555555</v>
      </c>
      <c r="B328" s="79" t="s">
        <v>149</v>
      </c>
      <c r="C328" s="79" t="s">
        <v>200</v>
      </c>
      <c r="D328" s="79" t="s">
        <v>168</v>
      </c>
      <c r="E328" s="79" t="s">
        <v>125</v>
      </c>
      <c r="F328" s="79" t="str">
        <f>IF(E328="", "", IF(COUNTIF(ChestType!$A$5:$A$195, E328)&gt;0, VLOOKUP(E328, ChestType!$A$5:$B$195, 2, 0), "Others"))</f>
        <v>Ancients Vault</v>
      </c>
    </row>
    <row r="329" spans="1:6" x14ac:dyDescent="0.25">
      <c r="A329" s="14">
        <v>46143.836805555555</v>
      </c>
      <c r="B329" s="79" t="s">
        <v>149</v>
      </c>
      <c r="C329" s="79" t="s">
        <v>182</v>
      </c>
      <c r="D329" s="79" t="s">
        <v>163</v>
      </c>
      <c r="E329" s="79" t="s">
        <v>52</v>
      </c>
      <c r="F329" s="79" t="str">
        <f>IF(E329="", "", IF(COUNTIF(ChestType!$A$5:$A$195, E329)&gt;0, VLOOKUP(E329, ChestType!$A$5:$B$195, 2, 0), "Others"))</f>
        <v>L5 Crypt</v>
      </c>
    </row>
    <row r="330" spans="1:6" x14ac:dyDescent="0.25">
      <c r="A330" s="14">
        <v>46143.836805555555</v>
      </c>
      <c r="B330" s="79" t="s">
        <v>149</v>
      </c>
      <c r="C330" s="79" t="s">
        <v>200</v>
      </c>
      <c r="D330" s="79" t="s">
        <v>153</v>
      </c>
      <c r="E330" s="79" t="s">
        <v>123</v>
      </c>
      <c r="F330" s="79" t="str">
        <f>IF(E330="", "", IF(COUNTIF(ChestType!$A$5:$A$195, E330)&gt;0, VLOOKUP(E330, ChestType!$A$5:$B$195, 2, 0), "Others"))</f>
        <v>Ancients Vault</v>
      </c>
    </row>
    <row r="331" spans="1:6" x14ac:dyDescent="0.25">
      <c r="A331" s="14">
        <v>46143.836805555555</v>
      </c>
      <c r="B331" s="79" t="s">
        <v>149</v>
      </c>
      <c r="C331" s="79" t="s">
        <v>255</v>
      </c>
      <c r="D331" s="79" t="s">
        <v>161</v>
      </c>
      <c r="E331" s="79" t="s">
        <v>256</v>
      </c>
      <c r="F331" s="79" t="str">
        <f>IF(E331="", "", IF(COUNTIF(ChestType!$A$5:$A$195, E331)&gt;0, VLOOKUP(E331, ChestType!$A$5:$B$195, 2, 0), "Others"))</f>
        <v>Others</v>
      </c>
    </row>
    <row r="332" spans="1:6" x14ac:dyDescent="0.25">
      <c r="A332" s="14">
        <v>46143.836805555555</v>
      </c>
      <c r="B332" s="79" t="s">
        <v>149</v>
      </c>
      <c r="C332" s="79" t="s">
        <v>190</v>
      </c>
      <c r="D332" s="79" t="s">
        <v>257</v>
      </c>
      <c r="E332" s="79" t="s">
        <v>52</v>
      </c>
      <c r="F332" s="79" t="str">
        <f>IF(E332="", "", IF(COUNTIF(ChestType!$A$5:$A$195, E332)&gt;0, VLOOKUP(E332, ChestType!$A$5:$B$195, 2, 0), "Others"))</f>
        <v>L5 Crypt</v>
      </c>
    </row>
    <row r="333" spans="1:6" x14ac:dyDescent="0.25">
      <c r="A333" s="14">
        <v>46143.836805555555</v>
      </c>
      <c r="B333" s="79" t="s">
        <v>149</v>
      </c>
      <c r="C333" s="79" t="s">
        <v>173</v>
      </c>
      <c r="D333" s="79" t="s">
        <v>167</v>
      </c>
      <c r="E333" s="79" t="s">
        <v>49</v>
      </c>
      <c r="F333" s="79" t="str">
        <f>IF(E333="", "", IF(COUNTIF(ChestType!$A$5:$A$195, E333)&gt;0, VLOOKUP(E333, ChestType!$A$5:$B$195, 2, 0), "Others"))</f>
        <v>L15 Crypt</v>
      </c>
    </row>
    <row r="334" spans="1:6" x14ac:dyDescent="0.25">
      <c r="A334" s="14">
        <v>46143.836805555555</v>
      </c>
      <c r="B334" s="79" t="s">
        <v>149</v>
      </c>
      <c r="C334" s="79" t="s">
        <v>171</v>
      </c>
      <c r="D334" s="79" t="s">
        <v>163</v>
      </c>
      <c r="E334" s="79" t="s">
        <v>50</v>
      </c>
      <c r="F334" s="79" t="str">
        <f>IF(E334="", "", IF(COUNTIF(ChestType!$A$5:$A$195, E334)&gt;0, VLOOKUP(E334, ChestType!$A$5:$B$195, 2, 0), "Others"))</f>
        <v>L10 Crypt</v>
      </c>
    </row>
    <row r="335" spans="1:6" x14ac:dyDescent="0.25">
      <c r="A335" s="14">
        <v>46143.836805555555</v>
      </c>
      <c r="B335" s="79" t="s">
        <v>149</v>
      </c>
      <c r="C335" s="79" t="s">
        <v>173</v>
      </c>
      <c r="D335" s="79" t="s">
        <v>167</v>
      </c>
      <c r="E335" s="79" t="s">
        <v>49</v>
      </c>
      <c r="F335" s="79" t="str">
        <f>IF(E335="", "", IF(COUNTIF(ChestType!$A$5:$A$195, E335)&gt;0, VLOOKUP(E335, ChestType!$A$5:$B$195, 2, 0), "Others"))</f>
        <v>L15 Crypt</v>
      </c>
    </row>
    <row r="336" spans="1:6" x14ac:dyDescent="0.25">
      <c r="A336" s="14">
        <v>46143.836805555555</v>
      </c>
      <c r="B336" s="79" t="s">
        <v>149</v>
      </c>
      <c r="C336" s="79" t="s">
        <v>200</v>
      </c>
      <c r="D336" s="79" t="s">
        <v>157</v>
      </c>
      <c r="E336" s="79" t="s">
        <v>125</v>
      </c>
      <c r="F336" s="79" t="str">
        <f>IF(E336="", "", IF(COUNTIF(ChestType!$A$5:$A$195, E336)&gt;0, VLOOKUP(E336, ChestType!$A$5:$B$195, 2, 0), "Others"))</f>
        <v>Ancients Vault</v>
      </c>
    </row>
    <row r="337" spans="1:6" x14ac:dyDescent="0.25">
      <c r="A337" s="14">
        <v>46143.836805555555</v>
      </c>
      <c r="B337" s="79" t="s">
        <v>149</v>
      </c>
      <c r="C337" s="79" t="s">
        <v>184</v>
      </c>
      <c r="D337" s="79" t="s">
        <v>167</v>
      </c>
      <c r="E337" s="79" t="s">
        <v>64</v>
      </c>
      <c r="F337" s="79" t="str">
        <f>IF(E337="", "", IF(COUNTIF(ChestType!$A$5:$A$195, E337)&gt;0, VLOOKUP(E337, ChestType!$A$5:$B$195, 2, 0), "Others"))</f>
        <v>L15 Epic Crypt</v>
      </c>
    </row>
    <row r="338" spans="1:6" x14ac:dyDescent="0.25">
      <c r="A338" s="14">
        <v>46143.836805555555</v>
      </c>
      <c r="B338" s="79" t="s">
        <v>149</v>
      </c>
      <c r="C338" s="79" t="s">
        <v>228</v>
      </c>
      <c r="D338" s="79" t="s">
        <v>167</v>
      </c>
      <c r="E338" s="79" t="s">
        <v>64</v>
      </c>
      <c r="F338" s="79" t="str">
        <f>IF(E338="", "", IF(COUNTIF(ChestType!$A$5:$A$195, E338)&gt;0, VLOOKUP(E338, ChestType!$A$5:$B$195, 2, 0), "Others"))</f>
        <v>L15 Epic Crypt</v>
      </c>
    </row>
    <row r="339" spans="1:6" x14ac:dyDescent="0.25">
      <c r="A339" s="14">
        <v>46143.836805555555</v>
      </c>
      <c r="B339" s="79" t="s">
        <v>149</v>
      </c>
      <c r="C339" s="79" t="s">
        <v>200</v>
      </c>
      <c r="D339" s="79" t="s">
        <v>168</v>
      </c>
      <c r="E339" s="79" t="s">
        <v>125</v>
      </c>
      <c r="F339" s="79" t="str">
        <f>IF(E339="", "", IF(COUNTIF(ChestType!$A$5:$A$195, E339)&gt;0, VLOOKUP(E339, ChestType!$A$5:$B$195, 2, 0), "Others"))</f>
        <v>Ancients Vault</v>
      </c>
    </row>
    <row r="340" spans="1:6" x14ac:dyDescent="0.25">
      <c r="A340" s="14">
        <v>46143.836805555555</v>
      </c>
      <c r="B340" s="79" t="s">
        <v>149</v>
      </c>
      <c r="C340" s="79" t="s">
        <v>173</v>
      </c>
      <c r="D340" s="79" t="s">
        <v>167</v>
      </c>
      <c r="E340" s="79" t="s">
        <v>50</v>
      </c>
      <c r="F340" s="79" t="str">
        <f>IF(E340="", "", IF(COUNTIF(ChestType!$A$5:$A$195, E340)&gt;0, VLOOKUP(E340, ChestType!$A$5:$B$195, 2, 0), "Others"))</f>
        <v>L10 Crypt</v>
      </c>
    </row>
    <row r="341" spans="1:6" x14ac:dyDescent="0.25">
      <c r="A341" s="14">
        <v>46143.836805555555</v>
      </c>
      <c r="B341" s="79" t="s">
        <v>149</v>
      </c>
      <c r="C341" s="79" t="s">
        <v>226</v>
      </c>
      <c r="D341" s="79" t="s">
        <v>163</v>
      </c>
      <c r="E341" s="79" t="s">
        <v>64</v>
      </c>
      <c r="F341" s="79" t="str">
        <f>IF(E341="", "", IF(COUNTIF(ChestType!$A$5:$A$195, E341)&gt;0, VLOOKUP(E341, ChestType!$A$5:$B$195, 2, 0), "Others"))</f>
        <v>L15 Epic Crypt</v>
      </c>
    </row>
    <row r="342" spans="1:6" x14ac:dyDescent="0.25">
      <c r="A342" s="14">
        <v>46143.836805555555</v>
      </c>
      <c r="B342" s="79" t="s">
        <v>149</v>
      </c>
      <c r="C342" s="79" t="s">
        <v>173</v>
      </c>
      <c r="D342" s="79" t="s">
        <v>167</v>
      </c>
      <c r="E342" s="79" t="s">
        <v>49</v>
      </c>
      <c r="F342" s="79" t="str">
        <f>IF(E342="", "", IF(COUNTIF(ChestType!$A$5:$A$195, E342)&gt;0, VLOOKUP(E342, ChestType!$A$5:$B$195, 2, 0), "Others"))</f>
        <v>L15 Crypt</v>
      </c>
    </row>
    <row r="343" spans="1:6" x14ac:dyDescent="0.25">
      <c r="A343" s="14">
        <v>46143.836805555555</v>
      </c>
      <c r="B343" s="79" t="s">
        <v>149</v>
      </c>
      <c r="C343" s="79" t="s">
        <v>177</v>
      </c>
      <c r="D343" s="79" t="s">
        <v>164</v>
      </c>
      <c r="E343" s="79" t="s">
        <v>50</v>
      </c>
      <c r="F343" s="79" t="str">
        <f>IF(E343="", "", IF(COUNTIF(ChestType!$A$5:$A$195, E343)&gt;0, VLOOKUP(E343, ChestType!$A$5:$B$195, 2, 0), "Others"))</f>
        <v>L10 Crypt</v>
      </c>
    </row>
    <row r="344" spans="1:6" x14ac:dyDescent="0.25">
      <c r="A344" s="14">
        <v>46143.836805555555</v>
      </c>
      <c r="B344" s="79" t="s">
        <v>149</v>
      </c>
      <c r="C344" s="79" t="s">
        <v>173</v>
      </c>
      <c r="D344" s="79" t="s">
        <v>167</v>
      </c>
      <c r="E344" s="79" t="s">
        <v>50</v>
      </c>
      <c r="F344" s="79" t="str">
        <f>IF(E344="", "", IF(COUNTIF(ChestType!$A$5:$A$195, E344)&gt;0, VLOOKUP(E344, ChestType!$A$5:$B$195, 2, 0), "Others"))</f>
        <v>L10 Crypt</v>
      </c>
    </row>
    <row r="345" spans="1:6" x14ac:dyDescent="0.25">
      <c r="A345" s="14">
        <v>46143.836805555555</v>
      </c>
      <c r="B345" s="79" t="s">
        <v>149</v>
      </c>
      <c r="C345" s="79" t="s">
        <v>151</v>
      </c>
      <c r="D345" s="79" t="s">
        <v>250</v>
      </c>
      <c r="E345" s="79" t="s">
        <v>49</v>
      </c>
      <c r="F345" s="79" t="str">
        <f>IF(E345="", "", IF(COUNTIF(ChestType!$A$5:$A$195, E345)&gt;0, VLOOKUP(E345, ChestType!$A$5:$B$195, 2, 0), "Others"))</f>
        <v>L15 Crypt</v>
      </c>
    </row>
    <row r="346" spans="1:6" x14ac:dyDescent="0.25">
      <c r="A346" s="14">
        <v>46143.836805555555</v>
      </c>
      <c r="B346" s="79" t="s">
        <v>149</v>
      </c>
      <c r="C346" s="79" t="s">
        <v>182</v>
      </c>
      <c r="D346" s="79" t="s">
        <v>250</v>
      </c>
      <c r="E346" s="79" t="s">
        <v>49</v>
      </c>
      <c r="F346" s="79" t="str">
        <f>IF(E346="", "", IF(COUNTIF(ChestType!$A$5:$A$195, E346)&gt;0, VLOOKUP(E346, ChestType!$A$5:$B$195, 2, 0), "Others"))</f>
        <v>L15 Crypt</v>
      </c>
    </row>
    <row r="347" spans="1:6" x14ac:dyDescent="0.25">
      <c r="A347" s="14">
        <v>46143.836805555555</v>
      </c>
      <c r="B347" s="79" t="s">
        <v>149</v>
      </c>
      <c r="C347" s="79" t="s">
        <v>173</v>
      </c>
      <c r="D347" s="79" t="s">
        <v>167</v>
      </c>
      <c r="E347" s="79" t="s">
        <v>50</v>
      </c>
      <c r="F347" s="79" t="str">
        <f>IF(E347="", "", IF(COUNTIF(ChestType!$A$5:$A$195, E347)&gt;0, VLOOKUP(E347, ChestType!$A$5:$B$195, 2, 0), "Others"))</f>
        <v>L10 Crypt</v>
      </c>
    </row>
    <row r="348" spans="1:6" x14ac:dyDescent="0.25">
      <c r="A348" s="14">
        <v>46143.836805555555</v>
      </c>
      <c r="B348" s="79" t="s">
        <v>149</v>
      </c>
      <c r="C348" s="79" t="s">
        <v>176</v>
      </c>
      <c r="D348" s="79" t="s">
        <v>224</v>
      </c>
      <c r="E348" s="79" t="s">
        <v>70</v>
      </c>
      <c r="F348" s="79" t="str">
        <f>IF(E348="", "", IF(COUNTIF(ChestType!$A$5:$A$195, E348)&gt;0, VLOOKUP(E348, ChestType!$A$5:$B$195, 2, 0), "Others"))</f>
        <v>L10 Citadel</v>
      </c>
    </row>
    <row r="349" spans="1:6" x14ac:dyDescent="0.25">
      <c r="A349" s="14">
        <v>46143.836805555555</v>
      </c>
      <c r="B349" s="79" t="s">
        <v>149</v>
      </c>
      <c r="C349" s="79" t="s">
        <v>185</v>
      </c>
      <c r="D349" s="79" t="s">
        <v>257</v>
      </c>
      <c r="E349" s="79" t="s">
        <v>52</v>
      </c>
      <c r="F349" s="79" t="str">
        <f>IF(E349="", "", IF(COUNTIF(ChestType!$A$5:$A$195, E349)&gt;0, VLOOKUP(E349, ChestType!$A$5:$B$195, 2, 0), "Others"))</f>
        <v>L5 Crypt</v>
      </c>
    </row>
    <row r="350" spans="1:6" x14ac:dyDescent="0.25">
      <c r="A350" s="14">
        <v>46143.836805555555</v>
      </c>
      <c r="B350" s="79" t="s">
        <v>149</v>
      </c>
      <c r="C350" s="79" t="s">
        <v>181</v>
      </c>
      <c r="D350" s="79" t="s">
        <v>250</v>
      </c>
      <c r="E350" s="79" t="s">
        <v>49</v>
      </c>
      <c r="F350" s="79" t="str">
        <f>IF(E350="", "", IF(COUNTIF(ChestType!$A$5:$A$195, E350)&gt;0, VLOOKUP(E350, ChestType!$A$5:$B$195, 2, 0), "Others"))</f>
        <v>L15 Crypt</v>
      </c>
    </row>
    <row r="351" spans="1:6" x14ac:dyDescent="0.25">
      <c r="A351" s="14">
        <v>46143.836805555555</v>
      </c>
      <c r="B351" s="79" t="s">
        <v>149</v>
      </c>
      <c r="C351" s="79" t="s">
        <v>158</v>
      </c>
      <c r="D351" s="79" t="s">
        <v>179</v>
      </c>
      <c r="E351" s="79" t="s">
        <v>50</v>
      </c>
      <c r="F351" s="79" t="str">
        <f>IF(E351="", "", IF(COUNTIF(ChestType!$A$5:$A$195, E351)&gt;0, VLOOKUP(E351, ChestType!$A$5:$B$195, 2, 0), "Others"))</f>
        <v>L10 Crypt</v>
      </c>
    </row>
    <row r="352" spans="1:6" x14ac:dyDescent="0.25">
      <c r="A352" s="14">
        <v>46143.836805555555</v>
      </c>
      <c r="B352" s="79" t="s">
        <v>149</v>
      </c>
      <c r="C352" s="79" t="s">
        <v>183</v>
      </c>
      <c r="D352" s="79" t="s">
        <v>179</v>
      </c>
      <c r="E352" s="79" t="s">
        <v>50</v>
      </c>
      <c r="F352" s="79" t="str">
        <f>IF(E352="", "", IF(COUNTIF(ChestType!$A$5:$A$195, E352)&gt;0, VLOOKUP(E352, ChestType!$A$5:$B$195, 2, 0), "Others"))</f>
        <v>L10 Crypt</v>
      </c>
    </row>
    <row r="353" spans="1:6" x14ac:dyDescent="0.25">
      <c r="A353" s="14">
        <v>46143.836805555555</v>
      </c>
      <c r="B353" s="79" t="s">
        <v>149</v>
      </c>
      <c r="C353" s="79" t="s">
        <v>183</v>
      </c>
      <c r="D353" s="79" t="s">
        <v>250</v>
      </c>
      <c r="E353" s="79" t="s">
        <v>50</v>
      </c>
      <c r="F353" s="79" t="str">
        <f>IF(E353="", "", IF(COUNTIF(ChestType!$A$5:$A$195, E353)&gt;0, VLOOKUP(E353, ChestType!$A$5:$B$195, 2, 0), "Others"))</f>
        <v>L10 Crypt</v>
      </c>
    </row>
    <row r="354" spans="1:6" x14ac:dyDescent="0.25">
      <c r="A354" s="14">
        <v>46143.836805555555</v>
      </c>
      <c r="B354" s="79" t="s">
        <v>149</v>
      </c>
      <c r="C354" s="79" t="s">
        <v>173</v>
      </c>
      <c r="D354" s="79" t="s">
        <v>167</v>
      </c>
      <c r="E354" s="79" t="s">
        <v>50</v>
      </c>
      <c r="F354" s="79" t="str">
        <f>IF(E354="", "", IF(COUNTIF(ChestType!$A$5:$A$195, E354)&gt;0, VLOOKUP(E354, ChestType!$A$5:$B$195, 2, 0), "Others"))</f>
        <v>L10 Crypt</v>
      </c>
    </row>
    <row r="355" spans="1:6" x14ac:dyDescent="0.25">
      <c r="A355" s="14">
        <v>46143.836805555555</v>
      </c>
      <c r="B355" s="79" t="s">
        <v>149</v>
      </c>
      <c r="C355" s="79" t="s">
        <v>173</v>
      </c>
      <c r="D355" s="79" t="s">
        <v>179</v>
      </c>
      <c r="E355" s="79" t="s">
        <v>50</v>
      </c>
      <c r="F355" s="79" t="str">
        <f>IF(E355="", "", IF(COUNTIF(ChestType!$A$5:$A$195, E355)&gt;0, VLOOKUP(E355, ChestType!$A$5:$B$195, 2, 0), "Others"))</f>
        <v>L10 Crypt</v>
      </c>
    </row>
    <row r="356" spans="1:6" x14ac:dyDescent="0.25">
      <c r="A356" s="14">
        <v>46143.836805555555</v>
      </c>
      <c r="B356" s="79" t="s">
        <v>149</v>
      </c>
      <c r="C356" s="79" t="s">
        <v>181</v>
      </c>
      <c r="D356" s="79" t="s">
        <v>250</v>
      </c>
      <c r="E356" s="79" t="s">
        <v>49</v>
      </c>
      <c r="F356" s="79" t="str">
        <f>IF(E356="", "", IF(COUNTIF(ChestType!$A$5:$A$195, E356)&gt;0, VLOOKUP(E356, ChestType!$A$5:$B$195, 2, 0), "Others"))</f>
        <v>L15 Crypt</v>
      </c>
    </row>
    <row r="357" spans="1:6" x14ac:dyDescent="0.25">
      <c r="A357" s="14">
        <v>46143.836805555555</v>
      </c>
      <c r="B357" s="79" t="s">
        <v>149</v>
      </c>
      <c r="C357" s="79" t="s">
        <v>184</v>
      </c>
      <c r="D357" s="79" t="s">
        <v>257</v>
      </c>
      <c r="E357" s="79" t="s">
        <v>52</v>
      </c>
      <c r="F357" s="79" t="str">
        <f>IF(E357="", "", IF(COUNTIF(ChestType!$A$5:$A$195, E357)&gt;0, VLOOKUP(E357, ChestType!$A$5:$B$195, 2, 0), "Others"))</f>
        <v>L5 Crypt</v>
      </c>
    </row>
    <row r="358" spans="1:6" x14ac:dyDescent="0.25">
      <c r="A358" s="14">
        <v>46143.836805555555</v>
      </c>
      <c r="B358" s="79" t="s">
        <v>149</v>
      </c>
      <c r="C358" s="79" t="s">
        <v>176</v>
      </c>
      <c r="D358" s="79" t="s">
        <v>150</v>
      </c>
      <c r="E358" s="79" t="s">
        <v>70</v>
      </c>
      <c r="F358" s="79" t="str">
        <f>IF(E358="", "", IF(COUNTIF(ChestType!$A$5:$A$195, E358)&gt;0, VLOOKUP(E358, ChestType!$A$5:$B$195, 2, 0), "Others"))</f>
        <v>L10 Citadel</v>
      </c>
    </row>
    <row r="359" spans="1:6" x14ac:dyDescent="0.25">
      <c r="A359" s="14">
        <v>46143.836805555555</v>
      </c>
      <c r="B359" s="79" t="s">
        <v>149</v>
      </c>
      <c r="C359" s="79" t="s">
        <v>184</v>
      </c>
      <c r="D359" s="79" t="s">
        <v>179</v>
      </c>
      <c r="E359" s="79" t="s">
        <v>50</v>
      </c>
      <c r="F359" s="79" t="str">
        <f>IF(E359="", "", IF(COUNTIF(ChestType!$A$5:$A$195, E359)&gt;0, VLOOKUP(E359, ChestType!$A$5:$B$195, 2, 0), "Others"))</f>
        <v>L10 Crypt</v>
      </c>
    </row>
    <row r="360" spans="1:6" x14ac:dyDescent="0.25">
      <c r="A360" s="14">
        <v>46143.836805555555</v>
      </c>
      <c r="B360" s="79" t="s">
        <v>149</v>
      </c>
      <c r="C360" s="79" t="s">
        <v>173</v>
      </c>
      <c r="D360" s="79" t="s">
        <v>167</v>
      </c>
      <c r="E360" s="79" t="s">
        <v>49</v>
      </c>
      <c r="F360" s="79" t="str">
        <f>IF(E360="", "", IF(COUNTIF(ChestType!$A$5:$A$195, E360)&gt;0, VLOOKUP(E360, ChestType!$A$5:$B$195, 2, 0), "Others"))</f>
        <v>L15 Crypt</v>
      </c>
    </row>
    <row r="361" spans="1:6" x14ac:dyDescent="0.25">
      <c r="A361" s="14">
        <v>46143.836805555555</v>
      </c>
      <c r="B361" s="79" t="s">
        <v>149</v>
      </c>
      <c r="C361" s="79" t="s">
        <v>176</v>
      </c>
      <c r="D361" s="79" t="s">
        <v>150</v>
      </c>
      <c r="E361" s="79" t="s">
        <v>70</v>
      </c>
      <c r="F361" s="79" t="str">
        <f>IF(E361="", "", IF(COUNTIF(ChestType!$A$5:$A$195, E361)&gt;0, VLOOKUP(E361, ChestType!$A$5:$B$195, 2, 0), "Others"))</f>
        <v>L10 Citadel</v>
      </c>
    </row>
    <row r="362" spans="1:6" x14ac:dyDescent="0.25">
      <c r="A362" s="14">
        <v>46143.836805555555</v>
      </c>
      <c r="B362" s="79" t="s">
        <v>149</v>
      </c>
      <c r="C362" s="79" t="s">
        <v>185</v>
      </c>
      <c r="D362" s="79" t="s">
        <v>179</v>
      </c>
      <c r="E362" s="79" t="s">
        <v>50</v>
      </c>
      <c r="F362" s="79" t="str">
        <f>IF(E362="", "", IF(COUNTIF(ChestType!$A$5:$A$195, E362)&gt;0, VLOOKUP(E362, ChestType!$A$5:$B$195, 2, 0), "Others"))</f>
        <v>L10 Crypt</v>
      </c>
    </row>
    <row r="363" spans="1:6" x14ac:dyDescent="0.25">
      <c r="A363" s="14">
        <v>46143.836805555555</v>
      </c>
      <c r="B363" s="79" t="s">
        <v>149</v>
      </c>
      <c r="C363" s="79" t="s">
        <v>200</v>
      </c>
      <c r="D363" s="79" t="s">
        <v>157</v>
      </c>
      <c r="E363" s="79" t="s">
        <v>125</v>
      </c>
      <c r="F363" s="79" t="str">
        <f>IF(E363="", "", IF(COUNTIF(ChestType!$A$5:$A$195, E363)&gt;0, VLOOKUP(E363, ChestType!$A$5:$B$195, 2, 0), "Others"))</f>
        <v>Ancients Vault</v>
      </c>
    </row>
    <row r="364" spans="1:6" x14ac:dyDescent="0.25">
      <c r="A364" s="14">
        <v>46143.836805555555</v>
      </c>
      <c r="B364" s="79" t="s">
        <v>149</v>
      </c>
      <c r="C364" s="79" t="s">
        <v>190</v>
      </c>
      <c r="D364" s="79" t="s">
        <v>205</v>
      </c>
      <c r="E364" s="79" t="s">
        <v>52</v>
      </c>
      <c r="F364" s="79" t="str">
        <f>IF(E364="", "", IF(COUNTIF(ChestType!$A$5:$A$195, E364)&gt;0, VLOOKUP(E364, ChestType!$A$5:$B$195, 2, 0), "Others"))</f>
        <v>L5 Crypt</v>
      </c>
    </row>
    <row r="365" spans="1:6" x14ac:dyDescent="0.25">
      <c r="A365" s="14">
        <v>46143.836805555555</v>
      </c>
      <c r="B365" s="79" t="s">
        <v>149</v>
      </c>
      <c r="C365" s="79" t="s">
        <v>182</v>
      </c>
      <c r="D365" s="79" t="s">
        <v>205</v>
      </c>
      <c r="E365" s="79" t="s">
        <v>52</v>
      </c>
      <c r="F365" s="79" t="str">
        <f>IF(E365="", "", IF(COUNTIF(ChestType!$A$5:$A$195, E365)&gt;0, VLOOKUP(E365, ChestType!$A$5:$B$195, 2, 0), "Others"))</f>
        <v>L5 Crypt</v>
      </c>
    </row>
    <row r="366" spans="1:6" x14ac:dyDescent="0.25">
      <c r="A366" s="14">
        <v>46143.836805555555</v>
      </c>
      <c r="B366" s="79" t="s">
        <v>149</v>
      </c>
      <c r="C366" s="79" t="s">
        <v>173</v>
      </c>
      <c r="D366" s="79" t="s">
        <v>167</v>
      </c>
      <c r="E366" s="79" t="s">
        <v>50</v>
      </c>
      <c r="F366" s="79" t="str">
        <f>IF(E366="", "", IF(COUNTIF(ChestType!$A$5:$A$195, E366)&gt;0, VLOOKUP(E366, ChestType!$A$5:$B$195, 2, 0), "Others"))</f>
        <v>L10 Crypt</v>
      </c>
    </row>
    <row r="367" spans="1:6" x14ac:dyDescent="0.25">
      <c r="A367" s="14">
        <v>46143.836805555555</v>
      </c>
      <c r="B367" s="79" t="s">
        <v>149</v>
      </c>
      <c r="C367" s="79" t="s">
        <v>255</v>
      </c>
      <c r="D367" s="79" t="s">
        <v>150</v>
      </c>
      <c r="E367" s="79" t="s">
        <v>256</v>
      </c>
      <c r="F367" s="79" t="str">
        <f>IF(E367="", "", IF(COUNTIF(ChestType!$A$5:$A$195, E367)&gt;0, VLOOKUP(E367, ChestType!$A$5:$B$195, 2, 0), "Others"))</f>
        <v>Others</v>
      </c>
    </row>
    <row r="368" spans="1:6" x14ac:dyDescent="0.25">
      <c r="A368" s="14">
        <v>46143.836805555555</v>
      </c>
      <c r="B368" s="79" t="s">
        <v>149</v>
      </c>
      <c r="C368" s="79" t="s">
        <v>192</v>
      </c>
      <c r="D368" s="79" t="s">
        <v>162</v>
      </c>
      <c r="E368" s="79" t="s">
        <v>60</v>
      </c>
      <c r="F368" s="79" t="str">
        <f>IF(E368="", "", IF(COUNTIF(ChestType!$A$5:$A$195, E368)&gt;0, VLOOKUP(E368, ChestType!$A$5:$B$195, 2, 0), "Others"))</f>
        <v>Others</v>
      </c>
    </row>
    <row r="369" spans="1:6" x14ac:dyDescent="0.25">
      <c r="A369" s="14">
        <v>46143.836805555555</v>
      </c>
      <c r="B369" s="79" t="s">
        <v>149</v>
      </c>
      <c r="C369" s="79" t="s">
        <v>173</v>
      </c>
      <c r="D369" s="79" t="s">
        <v>167</v>
      </c>
      <c r="E369" s="79" t="s">
        <v>49</v>
      </c>
      <c r="F369" s="79" t="str">
        <f>IF(E369="", "", IF(COUNTIF(ChestType!$A$5:$A$195, E369)&gt;0, VLOOKUP(E369, ChestType!$A$5:$B$195, 2, 0), "Others"))</f>
        <v>L15 Crypt</v>
      </c>
    </row>
    <row r="370" spans="1:6" x14ac:dyDescent="0.25">
      <c r="A370" s="14">
        <v>46143.836805555555</v>
      </c>
      <c r="B370" s="79" t="s">
        <v>149</v>
      </c>
      <c r="C370" s="79" t="s">
        <v>200</v>
      </c>
      <c r="D370" s="79" t="s">
        <v>157</v>
      </c>
      <c r="E370" s="79" t="s">
        <v>125</v>
      </c>
      <c r="F370" s="79" t="str">
        <f>IF(E370="", "", IF(COUNTIF(ChestType!$A$5:$A$195, E370)&gt;0, VLOOKUP(E370, ChestType!$A$5:$B$195, 2, 0), "Others"))</f>
        <v>Ancients Vault</v>
      </c>
    </row>
    <row r="371" spans="1:6" x14ac:dyDescent="0.25">
      <c r="A371" s="14">
        <v>46143.836805555555</v>
      </c>
      <c r="B371" s="79" t="s">
        <v>149</v>
      </c>
      <c r="C371" s="79" t="s">
        <v>181</v>
      </c>
      <c r="D371" s="79" t="s">
        <v>246</v>
      </c>
      <c r="E371" s="79" t="s">
        <v>52</v>
      </c>
      <c r="F371" s="79" t="str">
        <f>IF(E371="", "", IF(COUNTIF(ChestType!$A$5:$A$195, E371)&gt;0, VLOOKUP(E371, ChestType!$A$5:$B$195, 2, 0), "Others"))</f>
        <v>L5 Crypt</v>
      </c>
    </row>
    <row r="372" spans="1:6" x14ac:dyDescent="0.25">
      <c r="A372" s="14">
        <v>46143.836805555555</v>
      </c>
      <c r="B372" s="79" t="s">
        <v>149</v>
      </c>
      <c r="C372" s="79" t="s">
        <v>255</v>
      </c>
      <c r="D372" s="79" t="s">
        <v>250</v>
      </c>
      <c r="E372" s="79" t="s">
        <v>256</v>
      </c>
      <c r="F372" s="79" t="str">
        <f>IF(E372="", "", IF(COUNTIF(ChestType!$A$5:$A$195, E372)&gt;0, VLOOKUP(E372, ChestType!$A$5:$B$195, 2, 0), "Others"))</f>
        <v>Others</v>
      </c>
    </row>
    <row r="373" spans="1:6" x14ac:dyDescent="0.25">
      <c r="A373" s="14">
        <v>46143.836805555555</v>
      </c>
      <c r="B373" s="79" t="s">
        <v>149</v>
      </c>
      <c r="C373" s="79" t="s">
        <v>177</v>
      </c>
      <c r="D373" s="79" t="s">
        <v>205</v>
      </c>
      <c r="E373" s="79" t="s">
        <v>52</v>
      </c>
      <c r="F373" s="79" t="str">
        <f>IF(E373="", "", IF(COUNTIF(ChestType!$A$5:$A$195, E373)&gt;0, VLOOKUP(E373, ChestType!$A$5:$B$195, 2, 0), "Others"))</f>
        <v>L5 Crypt</v>
      </c>
    </row>
    <row r="374" spans="1:6" x14ac:dyDescent="0.25">
      <c r="A374" s="14">
        <v>46143.836805555555</v>
      </c>
      <c r="B374" s="79" t="s">
        <v>149</v>
      </c>
      <c r="C374" s="79" t="s">
        <v>171</v>
      </c>
      <c r="D374" s="79" t="s">
        <v>205</v>
      </c>
      <c r="E374" s="79" t="s">
        <v>52</v>
      </c>
      <c r="F374" s="79" t="str">
        <f>IF(E374="", "", IF(COUNTIF(ChestType!$A$5:$A$195, E374)&gt;0, VLOOKUP(E374, ChestType!$A$5:$B$195, 2, 0), "Others"))</f>
        <v>L5 Crypt</v>
      </c>
    </row>
    <row r="375" spans="1:6" x14ac:dyDescent="0.25">
      <c r="A375" s="14">
        <v>46143.836805555555</v>
      </c>
      <c r="B375" s="79" t="s">
        <v>149</v>
      </c>
      <c r="C375" s="79" t="s">
        <v>158</v>
      </c>
      <c r="D375" s="79" t="s">
        <v>153</v>
      </c>
      <c r="E375" s="79" t="s">
        <v>50</v>
      </c>
      <c r="F375" s="79" t="str">
        <f>IF(E375="", "", IF(COUNTIF(ChestType!$A$5:$A$195, E375)&gt;0, VLOOKUP(E375, ChestType!$A$5:$B$195, 2, 0), "Others"))</f>
        <v>L10 Crypt</v>
      </c>
    </row>
    <row r="376" spans="1:6" x14ac:dyDescent="0.25">
      <c r="A376" s="14">
        <v>46143.836805555555</v>
      </c>
      <c r="B376" s="79" t="s">
        <v>149</v>
      </c>
      <c r="C376" s="79" t="s">
        <v>185</v>
      </c>
      <c r="D376" s="79" t="s">
        <v>205</v>
      </c>
      <c r="E376" s="79" t="s">
        <v>50</v>
      </c>
      <c r="F376" s="79" t="str">
        <f>IF(E376="", "", IF(COUNTIF(ChestType!$A$5:$A$195, E376)&gt;0, VLOOKUP(E376, ChestType!$A$5:$B$195, 2, 0), "Others"))</f>
        <v>L10 Crypt</v>
      </c>
    </row>
    <row r="377" spans="1:6" x14ac:dyDescent="0.25">
      <c r="A377" s="14">
        <v>46143.836805555555</v>
      </c>
      <c r="B377" s="79" t="s">
        <v>149</v>
      </c>
      <c r="C377" s="79" t="s">
        <v>158</v>
      </c>
      <c r="D377" s="79" t="s">
        <v>205</v>
      </c>
      <c r="E377" s="79" t="s">
        <v>50</v>
      </c>
      <c r="F377" s="79" t="str">
        <f>IF(E377="", "", IF(COUNTIF(ChestType!$A$5:$A$195, E377)&gt;0, VLOOKUP(E377, ChestType!$A$5:$B$195, 2, 0), "Others"))</f>
        <v>L10 Crypt</v>
      </c>
    </row>
    <row r="378" spans="1:6" x14ac:dyDescent="0.25">
      <c r="A378" s="14">
        <v>46143.836805555555</v>
      </c>
      <c r="B378" s="79" t="s">
        <v>149</v>
      </c>
      <c r="C378" s="79" t="s">
        <v>200</v>
      </c>
      <c r="D378" s="79" t="s">
        <v>168</v>
      </c>
      <c r="E378" s="79" t="s">
        <v>125</v>
      </c>
      <c r="F378" s="79" t="str">
        <f>IF(E378="", "", IF(COUNTIF(ChestType!$A$5:$A$195, E378)&gt;0, VLOOKUP(E378, ChestType!$A$5:$B$195, 2, 0), "Others"))</f>
        <v>Ancients Vault</v>
      </c>
    </row>
    <row r="379" spans="1:6" x14ac:dyDescent="0.25">
      <c r="A379" s="14">
        <v>46143.836805555555</v>
      </c>
      <c r="B379" s="79" t="s">
        <v>149</v>
      </c>
      <c r="C379" s="79" t="s">
        <v>173</v>
      </c>
      <c r="D379" s="79" t="s">
        <v>167</v>
      </c>
      <c r="E379" s="79" t="s">
        <v>50</v>
      </c>
      <c r="F379" s="79" t="str">
        <f>IF(E379="", "", IF(COUNTIF(ChestType!$A$5:$A$195, E379)&gt;0, VLOOKUP(E379, ChestType!$A$5:$B$195, 2, 0), "Others"))</f>
        <v>L10 Crypt</v>
      </c>
    </row>
    <row r="380" spans="1:6" x14ac:dyDescent="0.25">
      <c r="A380" s="14">
        <v>46143.836805555555</v>
      </c>
      <c r="B380" s="79" t="s">
        <v>149</v>
      </c>
      <c r="C380" s="79" t="s">
        <v>185</v>
      </c>
      <c r="D380" s="79" t="s">
        <v>246</v>
      </c>
      <c r="E380" s="79" t="s">
        <v>50</v>
      </c>
      <c r="F380" s="79" t="str">
        <f>IF(E380="", "", IF(COUNTIF(ChestType!$A$5:$A$195, E380)&gt;0, VLOOKUP(E380, ChestType!$A$5:$B$195, 2, 0), "Others"))</f>
        <v>L10 Crypt</v>
      </c>
    </row>
    <row r="381" spans="1:6" x14ac:dyDescent="0.25">
      <c r="A381" s="14">
        <v>46143.836805555555</v>
      </c>
      <c r="B381" s="79" t="s">
        <v>149</v>
      </c>
      <c r="C381" s="79" t="s">
        <v>173</v>
      </c>
      <c r="D381" s="79" t="s">
        <v>167</v>
      </c>
      <c r="E381" s="79" t="s">
        <v>50</v>
      </c>
      <c r="F381" s="79" t="str">
        <f>IF(E381="", "", IF(COUNTIF(ChestType!$A$5:$A$195, E381)&gt;0, VLOOKUP(E381, ChestType!$A$5:$B$195, 2, 0), "Others"))</f>
        <v>L10 Crypt</v>
      </c>
    </row>
    <row r="382" spans="1:6" x14ac:dyDescent="0.25">
      <c r="A382" s="14">
        <v>46143.836805555555</v>
      </c>
      <c r="B382" s="79" t="s">
        <v>149</v>
      </c>
      <c r="C382" s="79" t="s">
        <v>175</v>
      </c>
      <c r="D382" s="79" t="s">
        <v>153</v>
      </c>
      <c r="E382" s="79" t="s">
        <v>52</v>
      </c>
      <c r="F382" s="79" t="str">
        <f>IF(E382="", "", IF(COUNTIF(ChestType!$A$5:$A$195, E382)&gt;0, VLOOKUP(E382, ChestType!$A$5:$B$195, 2, 0), "Others"))</f>
        <v>L5 Crypt</v>
      </c>
    </row>
    <row r="383" spans="1:6" x14ac:dyDescent="0.25">
      <c r="A383" s="14">
        <v>46143.836805555555</v>
      </c>
      <c r="B383" s="79" t="s">
        <v>149</v>
      </c>
      <c r="C383" s="79" t="s">
        <v>177</v>
      </c>
      <c r="D383" s="79" t="s">
        <v>253</v>
      </c>
      <c r="E383" s="79" t="s">
        <v>50</v>
      </c>
      <c r="F383" s="79" t="str">
        <f>IF(E383="", "", IF(COUNTIF(ChestType!$A$5:$A$195, E383)&gt;0, VLOOKUP(E383, ChestType!$A$5:$B$195, 2, 0), "Others"))</f>
        <v>L10 Crypt</v>
      </c>
    </row>
    <row r="384" spans="1:6" x14ac:dyDescent="0.25">
      <c r="A384" s="14">
        <v>46143.836805555555</v>
      </c>
      <c r="B384" s="79" t="s">
        <v>149</v>
      </c>
      <c r="C384" s="79" t="s">
        <v>176</v>
      </c>
      <c r="D384" s="79" t="s">
        <v>231</v>
      </c>
      <c r="E384" s="79" t="s">
        <v>70</v>
      </c>
      <c r="F384" s="79" t="str">
        <f>IF(E384="", "", IF(COUNTIF(ChestType!$A$5:$A$195, E384)&gt;0, VLOOKUP(E384, ChestType!$A$5:$B$195, 2, 0), "Others"))</f>
        <v>L10 Citadel</v>
      </c>
    </row>
    <row r="385" spans="1:6" x14ac:dyDescent="0.25">
      <c r="A385" s="14">
        <v>46143.836805555555</v>
      </c>
      <c r="B385" s="79" t="s">
        <v>149</v>
      </c>
      <c r="C385" s="79" t="s">
        <v>255</v>
      </c>
      <c r="D385" s="79" t="s">
        <v>204</v>
      </c>
      <c r="E385" s="79" t="s">
        <v>256</v>
      </c>
      <c r="F385" s="79" t="str">
        <f>IF(E385="", "", IF(COUNTIF(ChestType!$A$5:$A$195, E385)&gt;0, VLOOKUP(E385, ChestType!$A$5:$B$195, 2, 0), "Others"))</f>
        <v>Others</v>
      </c>
    </row>
    <row r="386" spans="1:6" x14ac:dyDescent="0.25">
      <c r="A386" s="14">
        <v>46143.836805555555</v>
      </c>
      <c r="B386" s="79" t="s">
        <v>149</v>
      </c>
      <c r="C386" s="79" t="s">
        <v>173</v>
      </c>
      <c r="D386" s="79" t="s">
        <v>167</v>
      </c>
      <c r="E386" s="79" t="s">
        <v>50</v>
      </c>
      <c r="F386" s="79" t="str">
        <f>IF(E386="", "", IF(COUNTIF(ChestType!$A$5:$A$195, E386)&gt;0, VLOOKUP(E386, ChestType!$A$5:$B$195, 2, 0), "Others"))</f>
        <v>L10 Crypt</v>
      </c>
    </row>
    <row r="387" spans="1:6" x14ac:dyDescent="0.25">
      <c r="A387" s="14">
        <v>46143.836805555555</v>
      </c>
      <c r="B387" s="79" t="s">
        <v>149</v>
      </c>
      <c r="C387" s="79" t="s">
        <v>187</v>
      </c>
      <c r="D387" s="79" t="s">
        <v>231</v>
      </c>
      <c r="E387" s="79" t="s">
        <v>75</v>
      </c>
      <c r="F387" s="79" t="str">
        <f>IF(E387="", "", IF(COUNTIF(ChestType!$A$5:$A$195, E387)&gt;0, VLOOKUP(E387, ChestType!$A$5:$B$195, 2, 0), "Others"))</f>
        <v>L10 Rare Crypt</v>
      </c>
    </row>
    <row r="388" spans="1:6" x14ac:dyDescent="0.25">
      <c r="A388" s="14">
        <v>46143.836805555555</v>
      </c>
      <c r="B388" s="79" t="s">
        <v>149</v>
      </c>
      <c r="C388" s="79" t="s">
        <v>255</v>
      </c>
      <c r="D388" s="79" t="s">
        <v>204</v>
      </c>
      <c r="E388" s="79" t="s">
        <v>256</v>
      </c>
      <c r="F388" s="79" t="str">
        <f>IF(E388="", "", IF(COUNTIF(ChestType!$A$5:$A$195, E388)&gt;0, VLOOKUP(E388, ChestType!$A$5:$B$195, 2, 0), "Others"))</f>
        <v>Others</v>
      </c>
    </row>
    <row r="389" spans="1:6" x14ac:dyDescent="0.25">
      <c r="A389" s="14">
        <v>46143.836805555555</v>
      </c>
      <c r="B389" s="79" t="s">
        <v>149</v>
      </c>
      <c r="C389" s="79" t="s">
        <v>173</v>
      </c>
      <c r="D389" s="79" t="s">
        <v>167</v>
      </c>
      <c r="E389" s="79" t="s">
        <v>50</v>
      </c>
      <c r="F389" s="79" t="str">
        <f>IF(E389="", "", IF(COUNTIF(ChestType!$A$5:$A$195, E389)&gt;0, VLOOKUP(E389, ChestType!$A$5:$B$195, 2, 0), "Others"))</f>
        <v>L10 Crypt</v>
      </c>
    </row>
    <row r="390" spans="1:6" x14ac:dyDescent="0.25">
      <c r="A390" s="14">
        <v>46143.836805555555</v>
      </c>
      <c r="B390" s="79" t="s">
        <v>149</v>
      </c>
      <c r="C390" s="79" t="s">
        <v>176</v>
      </c>
      <c r="D390" s="79" t="s">
        <v>231</v>
      </c>
      <c r="E390" s="79" t="s">
        <v>70</v>
      </c>
      <c r="F390" s="79" t="str">
        <f>IF(E390="", "", IF(COUNTIF(ChestType!$A$5:$A$195, E390)&gt;0, VLOOKUP(E390, ChestType!$A$5:$B$195, 2, 0), "Others"))</f>
        <v>L10 Citadel</v>
      </c>
    </row>
    <row r="391" spans="1:6" x14ac:dyDescent="0.25">
      <c r="A391" s="14">
        <v>46143.836805555555</v>
      </c>
      <c r="B391" s="79" t="s">
        <v>149</v>
      </c>
      <c r="C391" s="79" t="s">
        <v>187</v>
      </c>
      <c r="D391" s="79" t="s">
        <v>231</v>
      </c>
      <c r="E391" s="79" t="s">
        <v>75</v>
      </c>
      <c r="F391" s="79" t="str">
        <f>IF(E391="", "", IF(COUNTIF(ChestType!$A$5:$A$195, E391)&gt;0, VLOOKUP(E391, ChestType!$A$5:$B$195, 2, 0), "Others"))</f>
        <v>L10 Rare Crypt</v>
      </c>
    </row>
    <row r="392" spans="1:6" x14ac:dyDescent="0.25">
      <c r="A392" s="14">
        <v>46143.836805555555</v>
      </c>
      <c r="B392" s="79" t="s">
        <v>149</v>
      </c>
      <c r="C392" s="79" t="s">
        <v>151</v>
      </c>
      <c r="D392" s="79" t="s">
        <v>253</v>
      </c>
      <c r="E392" s="79" t="s">
        <v>52</v>
      </c>
      <c r="F392" s="79" t="str">
        <f>IF(E392="", "", IF(COUNTIF(ChestType!$A$5:$A$195, E392)&gt;0, VLOOKUP(E392, ChestType!$A$5:$B$195, 2, 0), "Others"))</f>
        <v>L5 Crypt</v>
      </c>
    </row>
    <row r="393" spans="1:6" x14ac:dyDescent="0.25">
      <c r="A393" s="14">
        <v>46143.836805555555</v>
      </c>
      <c r="B393" s="79" t="s">
        <v>149</v>
      </c>
      <c r="C393" s="79" t="s">
        <v>173</v>
      </c>
      <c r="D393" s="79" t="s">
        <v>167</v>
      </c>
      <c r="E393" s="79" t="s">
        <v>50</v>
      </c>
      <c r="F393" s="79" t="str">
        <f>IF(E393="", "", IF(COUNTIF(ChestType!$A$5:$A$195, E393)&gt;0, VLOOKUP(E393, ChestType!$A$5:$B$195, 2, 0), "Others"))</f>
        <v>L10 Crypt</v>
      </c>
    </row>
    <row r="394" spans="1:6" x14ac:dyDescent="0.25">
      <c r="A394" s="14">
        <v>46143.836805555555</v>
      </c>
      <c r="B394" s="79" t="s">
        <v>149</v>
      </c>
      <c r="C394" s="79" t="s">
        <v>173</v>
      </c>
      <c r="D394" s="79" t="s">
        <v>167</v>
      </c>
      <c r="E394" s="79" t="s">
        <v>52</v>
      </c>
      <c r="F394" s="79" t="str">
        <f>IF(E394="", "", IF(COUNTIF(ChestType!$A$5:$A$195, E394)&gt;0, VLOOKUP(E394, ChestType!$A$5:$B$195, 2, 0), "Others"))</f>
        <v>L5 Crypt</v>
      </c>
    </row>
    <row r="395" spans="1:6" x14ac:dyDescent="0.25">
      <c r="A395" s="14">
        <v>46143.836805555555</v>
      </c>
      <c r="B395" s="79" t="s">
        <v>149</v>
      </c>
      <c r="C395" s="79" t="s">
        <v>173</v>
      </c>
      <c r="D395" s="79" t="s">
        <v>167</v>
      </c>
      <c r="E395" s="79" t="s">
        <v>50</v>
      </c>
      <c r="F395" s="79" t="str">
        <f>IF(E395="", "", IF(COUNTIF(ChestType!$A$5:$A$195, E395)&gt;0, VLOOKUP(E395, ChestType!$A$5:$B$195, 2, 0), "Others"))</f>
        <v>L10 Crypt</v>
      </c>
    </row>
    <row r="396" spans="1:6" x14ac:dyDescent="0.25">
      <c r="A396" s="14">
        <v>46143.836805555555</v>
      </c>
      <c r="B396" s="79" t="s">
        <v>149</v>
      </c>
      <c r="C396" s="79" t="s">
        <v>200</v>
      </c>
      <c r="D396" s="79" t="s">
        <v>157</v>
      </c>
      <c r="E396" s="79" t="s">
        <v>125</v>
      </c>
      <c r="F396" s="79" t="str">
        <f>IF(E396="", "", IF(COUNTIF(ChestType!$A$5:$A$195, E396)&gt;0, VLOOKUP(E396, ChestType!$A$5:$B$195, 2, 0), "Others"))</f>
        <v>Ancients Vault</v>
      </c>
    </row>
    <row r="397" spans="1:6" x14ac:dyDescent="0.25">
      <c r="A397" s="14">
        <v>46143.836805555555</v>
      </c>
      <c r="B397" s="79" t="s">
        <v>149</v>
      </c>
      <c r="C397" s="79" t="s">
        <v>151</v>
      </c>
      <c r="D397" s="79" t="s">
        <v>157</v>
      </c>
      <c r="E397" s="79" t="s">
        <v>50</v>
      </c>
      <c r="F397" s="79" t="str">
        <f>IF(E397="", "", IF(COUNTIF(ChestType!$A$5:$A$195, E397)&gt;0, VLOOKUP(E397, ChestType!$A$5:$B$195, 2, 0), "Others"))</f>
        <v>L10 Crypt</v>
      </c>
    </row>
    <row r="398" spans="1:6" x14ac:dyDescent="0.25">
      <c r="A398" s="14">
        <v>46143.836805555555</v>
      </c>
      <c r="B398" s="79" t="s">
        <v>149</v>
      </c>
      <c r="C398" s="79" t="s">
        <v>173</v>
      </c>
      <c r="D398" s="79" t="s">
        <v>167</v>
      </c>
      <c r="E398" s="79" t="s">
        <v>50</v>
      </c>
      <c r="F398" s="79" t="str">
        <f>IF(E398="", "", IF(COUNTIF(ChestType!$A$5:$A$195, E398)&gt;0, VLOOKUP(E398, ChestType!$A$5:$B$195, 2, 0), "Others"))</f>
        <v>L10 Crypt</v>
      </c>
    </row>
    <row r="399" spans="1:6" x14ac:dyDescent="0.25">
      <c r="A399" s="14">
        <v>46143.836805555555</v>
      </c>
      <c r="B399" s="79" t="s">
        <v>149</v>
      </c>
      <c r="C399" s="79" t="s">
        <v>255</v>
      </c>
      <c r="D399" s="79" t="s">
        <v>242</v>
      </c>
      <c r="E399" s="79" t="s">
        <v>256</v>
      </c>
      <c r="F399" s="79" t="str">
        <f>IF(E399="", "", IF(COUNTIF(ChestType!$A$5:$A$195, E399)&gt;0, VLOOKUP(E399, ChestType!$A$5:$B$195, 2, 0), "Others"))</f>
        <v>Others</v>
      </c>
    </row>
    <row r="400" spans="1:6" x14ac:dyDescent="0.25">
      <c r="A400" s="14">
        <v>46143.836805555555</v>
      </c>
      <c r="B400" s="79" t="s">
        <v>149</v>
      </c>
      <c r="C400" s="79" t="s">
        <v>182</v>
      </c>
      <c r="D400" s="79" t="s">
        <v>257</v>
      </c>
      <c r="E400" s="79" t="s">
        <v>52</v>
      </c>
      <c r="F400" s="79" t="str">
        <f>IF(E400="", "", IF(COUNTIF(ChestType!$A$5:$A$195, E400)&gt;0, VLOOKUP(E400, ChestType!$A$5:$B$195, 2, 0), "Others"))</f>
        <v>L5 Crypt</v>
      </c>
    </row>
    <row r="401" spans="1:6" x14ac:dyDescent="0.25">
      <c r="A401" s="14">
        <v>46143.836805555555</v>
      </c>
      <c r="B401" s="79" t="s">
        <v>149</v>
      </c>
      <c r="C401" s="79" t="s">
        <v>215</v>
      </c>
      <c r="D401" s="79" t="s">
        <v>250</v>
      </c>
      <c r="E401" s="79" t="s">
        <v>64</v>
      </c>
      <c r="F401" s="79" t="str">
        <f>IF(E401="", "", IF(COUNTIF(ChestType!$A$5:$A$195, E401)&gt;0, VLOOKUP(E401, ChestType!$A$5:$B$195, 2, 0), "Others"))</f>
        <v>L15 Epic Crypt</v>
      </c>
    </row>
    <row r="402" spans="1:6" x14ac:dyDescent="0.25">
      <c r="A402" s="14">
        <v>46143.836805555555</v>
      </c>
      <c r="B402" s="79" t="s">
        <v>149</v>
      </c>
      <c r="C402" s="79" t="s">
        <v>177</v>
      </c>
      <c r="D402" s="79" t="s">
        <v>247</v>
      </c>
      <c r="E402" s="79" t="s">
        <v>50</v>
      </c>
      <c r="F402" s="79" t="str">
        <f>IF(E402="", "", IF(COUNTIF(ChestType!$A$5:$A$195, E402)&gt;0, VLOOKUP(E402, ChestType!$A$5:$B$195, 2, 0), "Others"))</f>
        <v>L10 Crypt</v>
      </c>
    </row>
    <row r="403" spans="1:6" x14ac:dyDescent="0.25">
      <c r="A403" s="14">
        <v>46143.836805555555</v>
      </c>
      <c r="B403" s="79" t="s">
        <v>149</v>
      </c>
      <c r="C403" s="79" t="s">
        <v>185</v>
      </c>
      <c r="D403" s="79" t="s">
        <v>258</v>
      </c>
      <c r="E403" s="79" t="s">
        <v>50</v>
      </c>
      <c r="F403" s="79" t="str">
        <f>IF(E403="", "", IF(COUNTIF(ChestType!$A$5:$A$195, E403)&gt;0, VLOOKUP(E403, ChestType!$A$5:$B$195, 2, 0), "Others"))</f>
        <v>L10 Crypt</v>
      </c>
    </row>
    <row r="404" spans="1:6" x14ac:dyDescent="0.25">
      <c r="A404" s="14">
        <v>46143.836805555555</v>
      </c>
      <c r="B404" s="79" t="s">
        <v>149</v>
      </c>
      <c r="C404" s="79" t="s">
        <v>187</v>
      </c>
      <c r="D404" s="79" t="s">
        <v>245</v>
      </c>
      <c r="E404" s="79" t="s">
        <v>75</v>
      </c>
      <c r="F404" s="79" t="str">
        <f>IF(E404="", "", IF(COUNTIF(ChestType!$A$5:$A$195, E404)&gt;0, VLOOKUP(E404, ChestType!$A$5:$B$195, 2, 0), "Others"))</f>
        <v>L10 Rare Crypt</v>
      </c>
    </row>
    <row r="405" spans="1:6" x14ac:dyDescent="0.25">
      <c r="A405" s="14">
        <v>46143.836805555555</v>
      </c>
      <c r="B405" s="79" t="s">
        <v>149</v>
      </c>
      <c r="C405" s="79" t="s">
        <v>187</v>
      </c>
      <c r="D405" s="79" t="s">
        <v>205</v>
      </c>
      <c r="E405" s="79" t="s">
        <v>71</v>
      </c>
      <c r="F405" s="79" t="str">
        <f>IF(E405="", "", IF(COUNTIF(ChestType!$A$5:$A$195, E405)&gt;0, VLOOKUP(E405, ChestType!$A$5:$B$195, 2, 0), "Others"))</f>
        <v>L15 Rare Crypt</v>
      </c>
    </row>
    <row r="406" spans="1:6" x14ac:dyDescent="0.25">
      <c r="A406" s="14">
        <v>46143.836805555555</v>
      </c>
      <c r="B406" s="79" t="s">
        <v>149</v>
      </c>
      <c r="C406" s="79" t="s">
        <v>190</v>
      </c>
      <c r="D406" s="79" t="s">
        <v>157</v>
      </c>
      <c r="E406" s="79" t="s">
        <v>50</v>
      </c>
      <c r="F406" s="79" t="str">
        <f>IF(E406="", "", IF(COUNTIF(ChestType!$A$5:$A$195, E406)&gt;0, VLOOKUP(E406, ChestType!$A$5:$B$195, 2, 0), "Others"))</f>
        <v>L10 Crypt</v>
      </c>
    </row>
    <row r="407" spans="1:6" x14ac:dyDescent="0.25">
      <c r="A407" s="14">
        <v>46143.836805555555</v>
      </c>
      <c r="B407" s="79" t="s">
        <v>149</v>
      </c>
      <c r="C407" s="79" t="s">
        <v>173</v>
      </c>
      <c r="D407" s="79" t="s">
        <v>157</v>
      </c>
      <c r="E407" s="79" t="s">
        <v>50</v>
      </c>
      <c r="F407" s="79" t="str">
        <f>IF(E407="", "", IF(COUNTIF(ChestType!$A$5:$A$195, E407)&gt;0, VLOOKUP(E407, ChestType!$A$5:$B$195, 2, 0), "Others"))</f>
        <v>L10 Crypt</v>
      </c>
    </row>
    <row r="408" spans="1:6" x14ac:dyDescent="0.25">
      <c r="A408" s="14">
        <v>46143.836805555555</v>
      </c>
      <c r="B408" s="79" t="s">
        <v>149</v>
      </c>
      <c r="C408" s="79" t="s">
        <v>200</v>
      </c>
      <c r="D408" s="79" t="s">
        <v>205</v>
      </c>
      <c r="E408" s="79" t="s">
        <v>125</v>
      </c>
      <c r="F408" s="79" t="str">
        <f>IF(E408="", "", IF(COUNTIF(ChestType!$A$5:$A$195, E408)&gt;0, VLOOKUP(E408, ChestType!$A$5:$B$195, 2, 0), "Others"))</f>
        <v>Ancients Vault</v>
      </c>
    </row>
    <row r="409" spans="1:6" x14ac:dyDescent="0.25">
      <c r="A409" s="14">
        <v>46143.836805555555</v>
      </c>
      <c r="B409" s="79" t="s">
        <v>149</v>
      </c>
      <c r="C409" s="79" t="s">
        <v>200</v>
      </c>
      <c r="D409" s="79" t="s">
        <v>168</v>
      </c>
      <c r="E409" s="79" t="s">
        <v>125</v>
      </c>
      <c r="F409" s="79" t="str">
        <f>IF(E409="", "", IF(COUNTIF(ChestType!$A$5:$A$195, E409)&gt;0, VLOOKUP(E409, ChestType!$A$5:$B$195, 2, 0), "Others"))</f>
        <v>Ancients Vault</v>
      </c>
    </row>
    <row r="410" spans="1:6" x14ac:dyDescent="0.25">
      <c r="A410" s="14">
        <v>46143.836805555555</v>
      </c>
      <c r="B410" s="79" t="s">
        <v>149</v>
      </c>
      <c r="C410" s="79" t="s">
        <v>151</v>
      </c>
      <c r="D410" s="79" t="s">
        <v>257</v>
      </c>
      <c r="E410" s="79" t="s">
        <v>52</v>
      </c>
      <c r="F410" s="79" t="str">
        <f>IF(E410="", "", IF(COUNTIF(ChestType!$A$5:$A$195, E410)&gt;0, VLOOKUP(E410, ChestType!$A$5:$B$195, 2, 0), "Others"))</f>
        <v>L5 Crypt</v>
      </c>
    </row>
    <row r="411" spans="1:6" x14ac:dyDescent="0.25">
      <c r="A411" s="14">
        <v>46143.836805555555</v>
      </c>
      <c r="B411" s="79" t="s">
        <v>149</v>
      </c>
      <c r="C411" s="79" t="s">
        <v>200</v>
      </c>
      <c r="D411" s="79" t="s">
        <v>205</v>
      </c>
      <c r="E411" s="79" t="s">
        <v>126</v>
      </c>
      <c r="F411" s="79" t="str">
        <f>IF(E411="", "", IF(COUNTIF(ChestType!$A$5:$A$195, E411)&gt;0, VLOOKUP(E411, ChestType!$A$5:$B$195, 2, 0), "Others"))</f>
        <v>Ancients Vault</v>
      </c>
    </row>
    <row r="412" spans="1:6" x14ac:dyDescent="0.25">
      <c r="A412" s="14">
        <v>46143.836805555555</v>
      </c>
      <c r="B412" s="79" t="s">
        <v>195</v>
      </c>
      <c r="C412" s="79" t="s">
        <v>198</v>
      </c>
      <c r="D412" s="79" t="s">
        <v>162</v>
      </c>
      <c r="E412" s="79" t="s">
        <v>24</v>
      </c>
      <c r="F412" s="79" t="str">
        <f>IF(E412="", "", IF(COUNTIF(ChestType!$A$5:$A$195, E412)&gt;0, VLOOKUP(E412, ChestType!$A$5:$B$195, 2, 0), "Others"))</f>
        <v>Bank</v>
      </c>
    </row>
    <row r="413" spans="1:6" x14ac:dyDescent="0.25">
      <c r="A413" s="14">
        <v>46143.836805555555</v>
      </c>
      <c r="B413" s="79" t="s">
        <v>195</v>
      </c>
      <c r="C413" s="79" t="s">
        <v>198</v>
      </c>
      <c r="D413" s="79" t="s">
        <v>162</v>
      </c>
      <c r="E413" s="79" t="s">
        <v>24</v>
      </c>
      <c r="F413" s="79" t="str">
        <f>IF(E413="", "", IF(COUNTIF(ChestType!$A$5:$A$195, E413)&gt;0, VLOOKUP(E413, ChestType!$A$5:$B$195, 2, 0), "Others"))</f>
        <v>Bank</v>
      </c>
    </row>
    <row r="414" spans="1:6" x14ac:dyDescent="0.25">
      <c r="A414" s="14">
        <v>46143.836805555555</v>
      </c>
      <c r="B414" s="79" t="s">
        <v>195</v>
      </c>
      <c r="C414" s="79" t="s">
        <v>198</v>
      </c>
      <c r="D414" s="79" t="s">
        <v>162</v>
      </c>
      <c r="E414" s="79" t="s">
        <v>24</v>
      </c>
      <c r="F414" s="79" t="str">
        <f>IF(E414="", "", IF(COUNTIF(ChestType!$A$5:$A$195, E414)&gt;0, VLOOKUP(E414, ChestType!$A$5:$B$195, 2, 0), "Others"))</f>
        <v>Bank</v>
      </c>
    </row>
    <row r="415" spans="1:6" x14ac:dyDescent="0.25">
      <c r="A415" s="14">
        <v>46143.836805555555</v>
      </c>
      <c r="B415" s="79" t="s">
        <v>195</v>
      </c>
      <c r="C415" s="79" t="s">
        <v>196</v>
      </c>
      <c r="D415" s="79" t="s">
        <v>162</v>
      </c>
      <c r="E415" s="79" t="s">
        <v>24</v>
      </c>
      <c r="F415" s="79" t="str">
        <f>IF(E415="", "", IF(COUNTIF(ChestType!$A$5:$A$195, E415)&gt;0, VLOOKUP(E415, ChestType!$A$5:$B$195, 2, 0), "Others"))</f>
        <v>Bank</v>
      </c>
    </row>
    <row r="416" spans="1:6" x14ac:dyDescent="0.25">
      <c r="A416" s="14">
        <v>46143.836805555555</v>
      </c>
      <c r="B416" s="79" t="s">
        <v>195</v>
      </c>
      <c r="C416" s="79" t="s">
        <v>196</v>
      </c>
      <c r="D416" s="79" t="s">
        <v>162</v>
      </c>
      <c r="E416" s="79" t="s">
        <v>24</v>
      </c>
      <c r="F416" s="79" t="str">
        <f>IF(E416="", "", IF(COUNTIF(ChestType!$A$5:$A$195, E416)&gt;0, VLOOKUP(E416, ChestType!$A$5:$B$195, 2, 0), "Others"))</f>
        <v>Bank</v>
      </c>
    </row>
    <row r="417" spans="1:6" x14ac:dyDescent="0.25">
      <c r="A417" s="14">
        <v>46143.836805555555</v>
      </c>
      <c r="B417" s="79" t="s">
        <v>195</v>
      </c>
      <c r="C417" s="79" t="s">
        <v>196</v>
      </c>
      <c r="D417" s="79" t="s">
        <v>162</v>
      </c>
      <c r="E417" s="79" t="s">
        <v>24</v>
      </c>
      <c r="F417" s="79" t="str">
        <f>IF(E417="", "", IF(COUNTIF(ChestType!$A$5:$A$195, E417)&gt;0, VLOOKUP(E417, ChestType!$A$5:$B$195, 2, 0), "Others"))</f>
        <v>Bank</v>
      </c>
    </row>
    <row r="418" spans="1:6" x14ac:dyDescent="0.25">
      <c r="A418" s="14">
        <v>46143.836805555555</v>
      </c>
      <c r="B418" s="79" t="s">
        <v>195</v>
      </c>
      <c r="C418" s="79" t="s">
        <v>197</v>
      </c>
      <c r="D418" s="79" t="s">
        <v>162</v>
      </c>
      <c r="E418" s="79" t="s">
        <v>24</v>
      </c>
      <c r="F418" s="79" t="str">
        <f>IF(E418="", "", IF(COUNTIF(ChestType!$A$5:$A$195, E418)&gt;0, VLOOKUP(E418, ChestType!$A$5:$B$195, 2, 0), "Others"))</f>
        <v>Bank</v>
      </c>
    </row>
    <row r="419" spans="1:6" x14ac:dyDescent="0.25">
      <c r="A419" s="14">
        <v>46143.836805555555</v>
      </c>
      <c r="B419" s="79" t="s">
        <v>195</v>
      </c>
      <c r="C419" s="79" t="s">
        <v>197</v>
      </c>
      <c r="D419" s="79" t="s">
        <v>162</v>
      </c>
      <c r="E419" s="79" t="s">
        <v>24</v>
      </c>
      <c r="F419" s="79" t="str">
        <f>IF(E419="", "", IF(COUNTIF(ChestType!$A$5:$A$195, E419)&gt;0, VLOOKUP(E419, ChestType!$A$5:$B$195, 2, 0), "Others"))</f>
        <v>Bank</v>
      </c>
    </row>
    <row r="420" spans="1:6" x14ac:dyDescent="0.25">
      <c r="A420" s="14">
        <v>46143.836805555555</v>
      </c>
      <c r="B420" s="79" t="s">
        <v>195</v>
      </c>
      <c r="C420" s="79" t="s">
        <v>197</v>
      </c>
      <c r="D420" s="79" t="s">
        <v>162</v>
      </c>
      <c r="E420" s="79" t="s">
        <v>24</v>
      </c>
      <c r="F420" s="79" t="str">
        <f>IF(E420="", "", IF(COUNTIF(ChestType!$A$5:$A$195, E420)&gt;0, VLOOKUP(E420, ChestType!$A$5:$B$195, 2, 0), "Others"))</f>
        <v>Bank</v>
      </c>
    </row>
    <row r="421" spans="1:6" x14ac:dyDescent="0.25">
      <c r="A421" s="14">
        <v>46143.836805555555</v>
      </c>
      <c r="B421" s="79" t="s">
        <v>195</v>
      </c>
      <c r="C421" s="79" t="s">
        <v>209</v>
      </c>
      <c r="D421" s="79" t="s">
        <v>162</v>
      </c>
      <c r="E421" s="79" t="s">
        <v>24</v>
      </c>
      <c r="F421" s="79" t="str">
        <f>IF(E421="", "", IF(COUNTIF(ChestType!$A$5:$A$195, E421)&gt;0, VLOOKUP(E421, ChestType!$A$5:$B$195, 2, 0), "Others"))</f>
        <v>Bank</v>
      </c>
    </row>
    <row r="422" spans="1:6" x14ac:dyDescent="0.25">
      <c r="A422" s="14">
        <v>46143.836805555555</v>
      </c>
      <c r="B422" s="79" t="s">
        <v>195</v>
      </c>
      <c r="C422" s="79" t="s">
        <v>209</v>
      </c>
      <c r="D422" s="79" t="s">
        <v>162</v>
      </c>
      <c r="E422" s="79" t="s">
        <v>24</v>
      </c>
      <c r="F422" s="79" t="str">
        <f>IF(E422="", "", IF(COUNTIF(ChestType!$A$5:$A$195, E422)&gt;0, VLOOKUP(E422, ChestType!$A$5:$B$195, 2, 0), "Others"))</f>
        <v>Bank</v>
      </c>
    </row>
    <row r="423" spans="1:6" x14ac:dyDescent="0.25">
      <c r="A423" s="14">
        <v>46143.836805555555</v>
      </c>
      <c r="B423" s="79" t="s">
        <v>195</v>
      </c>
      <c r="C423" s="79" t="s">
        <v>209</v>
      </c>
      <c r="D423" s="79" t="s">
        <v>162</v>
      </c>
      <c r="E423" s="79" t="s">
        <v>24</v>
      </c>
      <c r="F423" s="79" t="str">
        <f>IF(E423="", "", IF(COUNTIF(ChestType!$A$5:$A$195, E423)&gt;0, VLOOKUP(E423, ChestType!$A$5:$B$195, 2, 0), "Others"))</f>
        <v>Bank</v>
      </c>
    </row>
    <row r="424" spans="1:6" x14ac:dyDescent="0.25">
      <c r="A424" s="14">
        <v>46143.836805555555</v>
      </c>
      <c r="B424" s="79" t="s">
        <v>195</v>
      </c>
      <c r="C424" s="79" t="s">
        <v>198</v>
      </c>
      <c r="D424" s="79" t="s">
        <v>205</v>
      </c>
      <c r="E424" s="79" t="s">
        <v>24</v>
      </c>
      <c r="F424" s="79" t="str">
        <f>IF(E424="", "", IF(COUNTIF(ChestType!$A$5:$A$195, E424)&gt;0, VLOOKUP(E424, ChestType!$A$5:$B$195, 2, 0), "Others"))</f>
        <v>Bank</v>
      </c>
    </row>
    <row r="425" spans="1:6" x14ac:dyDescent="0.25">
      <c r="A425" s="14">
        <v>46143.836805555555</v>
      </c>
      <c r="B425" s="79" t="s">
        <v>195</v>
      </c>
      <c r="C425" s="79" t="s">
        <v>198</v>
      </c>
      <c r="D425" s="79" t="s">
        <v>205</v>
      </c>
      <c r="E425" s="79" t="s">
        <v>24</v>
      </c>
      <c r="F425" s="79" t="str">
        <f>IF(E425="", "", IF(COUNTIF(ChestType!$A$5:$A$195, E425)&gt;0, VLOOKUP(E425, ChestType!$A$5:$B$195, 2, 0), "Others"))</f>
        <v>Bank</v>
      </c>
    </row>
    <row r="426" spans="1:6" x14ac:dyDescent="0.25">
      <c r="A426" s="14">
        <v>46143.836805555555</v>
      </c>
      <c r="B426" s="79" t="s">
        <v>195</v>
      </c>
      <c r="C426" s="79" t="s">
        <v>198</v>
      </c>
      <c r="D426" s="79" t="s">
        <v>205</v>
      </c>
      <c r="E426" s="79" t="s">
        <v>24</v>
      </c>
      <c r="F426" s="79" t="str">
        <f>IF(E426="", "", IF(COUNTIF(ChestType!$A$5:$A$195, E426)&gt;0, VLOOKUP(E426, ChestType!$A$5:$B$195, 2, 0), "Others"))</f>
        <v>Bank</v>
      </c>
    </row>
    <row r="427" spans="1:6" x14ac:dyDescent="0.25">
      <c r="A427" s="14">
        <v>46143.836805555555</v>
      </c>
      <c r="B427" s="79" t="s">
        <v>195</v>
      </c>
      <c r="C427" s="79" t="s">
        <v>196</v>
      </c>
      <c r="D427" s="79" t="s">
        <v>205</v>
      </c>
      <c r="E427" s="79" t="s">
        <v>24</v>
      </c>
      <c r="F427" s="79" t="str">
        <f>IF(E427="", "", IF(COUNTIF(ChestType!$A$5:$A$195, E427)&gt;0, VLOOKUP(E427, ChestType!$A$5:$B$195, 2, 0), "Others"))</f>
        <v>Bank</v>
      </c>
    </row>
    <row r="428" spans="1:6" x14ac:dyDescent="0.25">
      <c r="A428" s="14">
        <v>46143.836805555555</v>
      </c>
      <c r="B428" s="79" t="s">
        <v>195</v>
      </c>
      <c r="C428" s="79" t="s">
        <v>196</v>
      </c>
      <c r="D428" s="79" t="s">
        <v>205</v>
      </c>
      <c r="E428" s="79" t="s">
        <v>24</v>
      </c>
      <c r="F428" s="79" t="str">
        <f>IF(E428="", "", IF(COUNTIF(ChestType!$A$5:$A$195, E428)&gt;0, VLOOKUP(E428, ChestType!$A$5:$B$195, 2, 0), "Others"))</f>
        <v>Bank</v>
      </c>
    </row>
    <row r="429" spans="1:6" x14ac:dyDescent="0.25">
      <c r="A429" s="14">
        <v>46143.836805555555</v>
      </c>
      <c r="B429" s="79" t="s">
        <v>195</v>
      </c>
      <c r="C429" s="79" t="s">
        <v>196</v>
      </c>
      <c r="D429" s="79" t="s">
        <v>205</v>
      </c>
      <c r="E429" s="79" t="s">
        <v>24</v>
      </c>
      <c r="F429" s="79" t="str">
        <f>IF(E429="", "", IF(COUNTIF(ChestType!$A$5:$A$195, E429)&gt;0, VLOOKUP(E429, ChestType!$A$5:$B$195, 2, 0), "Others"))</f>
        <v>Bank</v>
      </c>
    </row>
    <row r="430" spans="1:6" x14ac:dyDescent="0.25">
      <c r="A430" s="14">
        <v>46143.836805555555</v>
      </c>
      <c r="B430" s="79" t="s">
        <v>195</v>
      </c>
      <c r="C430" s="79" t="s">
        <v>197</v>
      </c>
      <c r="D430" s="79" t="s">
        <v>205</v>
      </c>
      <c r="E430" s="79" t="s">
        <v>24</v>
      </c>
      <c r="F430" s="79" t="str">
        <f>IF(E430="", "", IF(COUNTIF(ChestType!$A$5:$A$195, E430)&gt;0, VLOOKUP(E430, ChestType!$A$5:$B$195, 2, 0), "Others"))</f>
        <v>Bank</v>
      </c>
    </row>
    <row r="431" spans="1:6" x14ac:dyDescent="0.25">
      <c r="A431" s="14">
        <v>46143.836805555555</v>
      </c>
      <c r="B431" s="79" t="s">
        <v>195</v>
      </c>
      <c r="C431" s="79" t="s">
        <v>197</v>
      </c>
      <c r="D431" s="79" t="s">
        <v>205</v>
      </c>
      <c r="E431" s="79" t="s">
        <v>24</v>
      </c>
      <c r="F431" s="79" t="str">
        <f>IF(E431="", "", IF(COUNTIF(ChestType!$A$5:$A$195, E431)&gt;0, VLOOKUP(E431, ChestType!$A$5:$B$195, 2, 0), "Others"))</f>
        <v>Bank</v>
      </c>
    </row>
    <row r="432" spans="1:6" x14ac:dyDescent="0.25">
      <c r="A432" s="14">
        <v>46143.836805555555</v>
      </c>
      <c r="B432" s="79" t="s">
        <v>195</v>
      </c>
      <c r="C432" s="79" t="s">
        <v>197</v>
      </c>
      <c r="D432" s="79" t="s">
        <v>205</v>
      </c>
      <c r="E432" s="79" t="s">
        <v>24</v>
      </c>
      <c r="F432" s="79" t="str">
        <f>IF(E432="", "", IF(COUNTIF(ChestType!$A$5:$A$195, E432)&gt;0, VLOOKUP(E432, ChestType!$A$5:$B$195, 2, 0), "Others"))</f>
        <v>Bank</v>
      </c>
    </row>
    <row r="433" spans="1:6" x14ac:dyDescent="0.25">
      <c r="A433" s="14">
        <v>46143.836805555555</v>
      </c>
      <c r="B433" s="79" t="s">
        <v>195</v>
      </c>
      <c r="C433" s="79" t="s">
        <v>198</v>
      </c>
      <c r="D433" s="79" t="s">
        <v>250</v>
      </c>
      <c r="E433" s="79" t="s">
        <v>24</v>
      </c>
      <c r="F433" s="79" t="str">
        <f>IF(E433="", "", IF(COUNTIF(ChestType!$A$5:$A$195, E433)&gt;0, VLOOKUP(E433, ChestType!$A$5:$B$195, 2, 0), "Others"))</f>
        <v>Bank</v>
      </c>
    </row>
    <row r="434" spans="1:6" x14ac:dyDescent="0.25">
      <c r="A434" s="14">
        <v>46143.836805555555</v>
      </c>
      <c r="B434" s="79" t="s">
        <v>195</v>
      </c>
      <c r="C434" s="79" t="s">
        <v>198</v>
      </c>
      <c r="D434" s="79" t="s">
        <v>250</v>
      </c>
      <c r="E434" s="79" t="s">
        <v>24</v>
      </c>
      <c r="F434" s="79" t="str">
        <f>IF(E434="", "", IF(COUNTIF(ChestType!$A$5:$A$195, E434)&gt;0, VLOOKUP(E434, ChestType!$A$5:$B$195, 2, 0), "Others"))</f>
        <v>Bank</v>
      </c>
    </row>
    <row r="435" spans="1:6" x14ac:dyDescent="0.25">
      <c r="A435" s="14">
        <v>46143.836805555555</v>
      </c>
      <c r="B435" s="79" t="s">
        <v>195</v>
      </c>
      <c r="C435" s="79" t="s">
        <v>198</v>
      </c>
      <c r="D435" s="79" t="s">
        <v>250</v>
      </c>
      <c r="E435" s="79" t="s">
        <v>24</v>
      </c>
      <c r="F435" s="79" t="str">
        <f>IF(E435="", "", IF(COUNTIF(ChestType!$A$5:$A$195, E435)&gt;0, VLOOKUP(E435, ChestType!$A$5:$B$195, 2, 0), "Others"))</f>
        <v>Bank</v>
      </c>
    </row>
    <row r="436" spans="1:6" x14ac:dyDescent="0.25">
      <c r="A436" s="14">
        <v>46143.836805555555</v>
      </c>
      <c r="B436" s="79" t="s">
        <v>195</v>
      </c>
      <c r="C436" s="79" t="s">
        <v>198</v>
      </c>
      <c r="D436" s="79" t="s">
        <v>245</v>
      </c>
      <c r="E436" s="79" t="s">
        <v>24</v>
      </c>
      <c r="F436" s="79" t="str">
        <f>IF(E436="", "", IF(COUNTIF(ChestType!$A$5:$A$195, E436)&gt;0, VLOOKUP(E436, ChestType!$A$5:$B$195, 2, 0), "Others"))</f>
        <v>Bank</v>
      </c>
    </row>
    <row r="437" spans="1:6" x14ac:dyDescent="0.25">
      <c r="A437" s="14">
        <v>46143.836805555555</v>
      </c>
      <c r="B437" s="79" t="s">
        <v>195</v>
      </c>
      <c r="C437" s="79" t="s">
        <v>198</v>
      </c>
      <c r="D437" s="79" t="s">
        <v>245</v>
      </c>
      <c r="E437" s="79" t="s">
        <v>24</v>
      </c>
      <c r="F437" s="79" t="str">
        <f>IF(E437="", "", IF(COUNTIF(ChestType!$A$5:$A$195, E437)&gt;0, VLOOKUP(E437, ChestType!$A$5:$B$195, 2, 0), "Others"))</f>
        <v>Bank</v>
      </c>
    </row>
    <row r="438" spans="1:6" x14ac:dyDescent="0.25">
      <c r="A438" s="14">
        <v>46143.836805555555</v>
      </c>
      <c r="B438" s="79" t="s">
        <v>195</v>
      </c>
      <c r="C438" s="79" t="s">
        <v>198</v>
      </c>
      <c r="D438" s="79" t="s">
        <v>245</v>
      </c>
      <c r="E438" s="79" t="s">
        <v>24</v>
      </c>
      <c r="F438" s="79" t="str">
        <f>IF(E438="", "", IF(COUNTIF(ChestType!$A$5:$A$195, E438)&gt;0, VLOOKUP(E438, ChestType!$A$5:$B$195, 2, 0), "Others"))</f>
        <v>Bank</v>
      </c>
    </row>
    <row r="439" spans="1:6" x14ac:dyDescent="0.25">
      <c r="A439" s="14">
        <v>46143.836805555555</v>
      </c>
      <c r="B439" s="79" t="s">
        <v>195</v>
      </c>
      <c r="C439" s="79" t="s">
        <v>197</v>
      </c>
      <c r="D439" s="79" t="s">
        <v>250</v>
      </c>
      <c r="E439" s="79" t="s">
        <v>24</v>
      </c>
      <c r="F439" s="79" t="str">
        <f>IF(E439="", "", IF(COUNTIF(ChestType!$A$5:$A$195, E439)&gt;0, VLOOKUP(E439, ChestType!$A$5:$B$195, 2, 0), "Others"))</f>
        <v>Bank</v>
      </c>
    </row>
    <row r="440" spans="1:6" x14ac:dyDescent="0.25">
      <c r="A440" s="14">
        <v>46143.836805555555</v>
      </c>
      <c r="B440" s="79" t="s">
        <v>195</v>
      </c>
      <c r="C440" s="79" t="s">
        <v>197</v>
      </c>
      <c r="D440" s="79" t="s">
        <v>250</v>
      </c>
      <c r="E440" s="79" t="s">
        <v>24</v>
      </c>
      <c r="F440" s="79" t="str">
        <f>IF(E440="", "", IF(COUNTIF(ChestType!$A$5:$A$195, E440)&gt;0, VLOOKUP(E440, ChestType!$A$5:$B$195, 2, 0), "Others"))</f>
        <v>Bank</v>
      </c>
    </row>
    <row r="441" spans="1:6" x14ac:dyDescent="0.25">
      <c r="A441" s="14">
        <v>46143.836805555555</v>
      </c>
      <c r="B441" s="79" t="s">
        <v>195</v>
      </c>
      <c r="C441" s="79" t="s">
        <v>197</v>
      </c>
      <c r="D441" s="79" t="s">
        <v>250</v>
      </c>
      <c r="E441" s="79" t="s">
        <v>24</v>
      </c>
      <c r="F441" s="79" t="str">
        <f>IF(E441="", "", IF(COUNTIF(ChestType!$A$5:$A$195, E441)&gt;0, VLOOKUP(E441, ChestType!$A$5:$B$195, 2, 0), "Others"))</f>
        <v>Bank</v>
      </c>
    </row>
    <row r="442" spans="1:6" x14ac:dyDescent="0.25">
      <c r="A442" s="14">
        <v>46143.934027777781</v>
      </c>
      <c r="B442" s="79" t="s">
        <v>149</v>
      </c>
      <c r="C442" s="79" t="s">
        <v>151</v>
      </c>
      <c r="D442" s="79" t="s">
        <v>242</v>
      </c>
      <c r="E442" s="79" t="s">
        <v>49</v>
      </c>
      <c r="F442" s="79" t="str">
        <f>IF(E442="", "", IF(COUNTIF(ChestType!$A$5:$A$195, E442)&gt;0, VLOOKUP(E442, ChestType!$A$5:$B$195, 2, 0), "Others"))</f>
        <v>L15 Crypt</v>
      </c>
    </row>
    <row r="443" spans="1:6" x14ac:dyDescent="0.25">
      <c r="A443" s="14">
        <v>46143.934027777781</v>
      </c>
      <c r="B443" s="79" t="s">
        <v>149</v>
      </c>
      <c r="C443" s="79" t="s">
        <v>200</v>
      </c>
      <c r="D443" s="79" t="s">
        <v>152</v>
      </c>
      <c r="E443" s="79" t="s">
        <v>125</v>
      </c>
      <c r="F443" s="79" t="str">
        <f>IF(E443="", "", IF(COUNTIF(ChestType!$A$5:$A$195, E443)&gt;0, VLOOKUP(E443, ChestType!$A$5:$B$195, 2, 0), "Others"))</f>
        <v>Ancients Vault</v>
      </c>
    </row>
    <row r="444" spans="1:6" x14ac:dyDescent="0.25">
      <c r="A444" s="14">
        <v>46143.934027777781</v>
      </c>
      <c r="B444" s="79" t="s">
        <v>149</v>
      </c>
      <c r="C444" s="79" t="s">
        <v>200</v>
      </c>
      <c r="D444" s="79" t="s">
        <v>205</v>
      </c>
      <c r="E444" s="79" t="s">
        <v>125</v>
      </c>
      <c r="F444" s="79" t="str">
        <f>IF(E444="", "", IF(COUNTIF(ChestType!$A$5:$A$195, E444)&gt;0, VLOOKUP(E444, ChestType!$A$5:$B$195, 2, 0), "Others"))</f>
        <v>Ancients Vault</v>
      </c>
    </row>
    <row r="445" spans="1:6" x14ac:dyDescent="0.25">
      <c r="A445" s="14">
        <v>46143.934027777781</v>
      </c>
      <c r="B445" s="79" t="s">
        <v>149</v>
      </c>
      <c r="C445" s="79" t="s">
        <v>184</v>
      </c>
      <c r="D445" s="79" t="s">
        <v>165</v>
      </c>
      <c r="E445" s="79" t="s">
        <v>52</v>
      </c>
      <c r="F445" s="79" t="str">
        <f>IF(E445="", "", IF(COUNTIF(ChestType!$A$5:$A$195, E445)&gt;0, VLOOKUP(E445, ChestType!$A$5:$B$195, 2, 0), "Others"))</f>
        <v>L5 Crypt</v>
      </c>
    </row>
    <row r="446" spans="1:6" x14ac:dyDescent="0.25">
      <c r="A446" s="14">
        <v>46143.934027777781</v>
      </c>
      <c r="B446" s="79" t="s">
        <v>149</v>
      </c>
      <c r="C446" s="79" t="s">
        <v>175</v>
      </c>
      <c r="D446" s="79" t="s">
        <v>157</v>
      </c>
      <c r="E446" s="79" t="s">
        <v>50</v>
      </c>
      <c r="F446" s="79" t="str">
        <f>IF(E446="", "", IF(COUNTIF(ChestType!$A$5:$A$195, E446)&gt;0, VLOOKUP(E446, ChestType!$A$5:$B$195, 2, 0), "Others"))</f>
        <v>L10 Crypt</v>
      </c>
    </row>
    <row r="447" spans="1:6" x14ac:dyDescent="0.25">
      <c r="A447" s="14">
        <v>46143.934027777781</v>
      </c>
      <c r="B447" s="79" t="s">
        <v>149</v>
      </c>
      <c r="C447" s="79" t="s">
        <v>190</v>
      </c>
      <c r="D447" s="79" t="s">
        <v>231</v>
      </c>
      <c r="E447" s="79" t="s">
        <v>52</v>
      </c>
      <c r="F447" s="79" t="str">
        <f>IF(E447="", "", IF(COUNTIF(ChestType!$A$5:$A$195, E447)&gt;0, VLOOKUP(E447, ChestType!$A$5:$B$195, 2, 0), "Others"))</f>
        <v>L5 Crypt</v>
      </c>
    </row>
    <row r="448" spans="1:6" x14ac:dyDescent="0.25">
      <c r="A448" s="14">
        <v>46143.934027777781</v>
      </c>
      <c r="B448" s="79" t="s">
        <v>149</v>
      </c>
      <c r="C448" s="79" t="s">
        <v>185</v>
      </c>
      <c r="D448" s="79" t="s">
        <v>231</v>
      </c>
      <c r="E448" s="79" t="s">
        <v>49</v>
      </c>
      <c r="F448" s="79" t="str">
        <f>IF(E448="", "", IF(COUNTIF(ChestType!$A$5:$A$195, E448)&gt;0, VLOOKUP(E448, ChestType!$A$5:$B$195, 2, 0), "Others"))</f>
        <v>L15 Crypt</v>
      </c>
    </row>
    <row r="449" spans="1:6" x14ac:dyDescent="0.25">
      <c r="A449" s="14">
        <v>46143.934027777781</v>
      </c>
      <c r="B449" s="79" t="s">
        <v>149</v>
      </c>
      <c r="C449" s="79" t="s">
        <v>173</v>
      </c>
      <c r="D449" s="79" t="s">
        <v>231</v>
      </c>
      <c r="E449" s="79" t="s">
        <v>49</v>
      </c>
      <c r="F449" s="79" t="str">
        <f>IF(E449="", "", IF(COUNTIF(ChestType!$A$5:$A$195, E449)&gt;0, VLOOKUP(E449, ChestType!$A$5:$B$195, 2, 0), "Others"))</f>
        <v>L15 Crypt</v>
      </c>
    </row>
    <row r="450" spans="1:6" x14ac:dyDescent="0.25">
      <c r="A450" s="14">
        <v>46143.934027777781</v>
      </c>
      <c r="B450" s="79" t="s">
        <v>149</v>
      </c>
      <c r="C450" s="79" t="s">
        <v>151</v>
      </c>
      <c r="D450" s="79" t="s">
        <v>157</v>
      </c>
      <c r="E450" s="79" t="s">
        <v>50</v>
      </c>
      <c r="F450" s="79" t="str">
        <f>IF(E450="", "", IF(COUNTIF(ChestType!$A$5:$A$195, E450)&gt;0, VLOOKUP(E450, ChestType!$A$5:$B$195, 2, 0), "Others"))</f>
        <v>L10 Crypt</v>
      </c>
    </row>
    <row r="451" spans="1:6" x14ac:dyDescent="0.25">
      <c r="A451" s="14">
        <v>46143.934027777781</v>
      </c>
      <c r="B451" s="79" t="s">
        <v>149</v>
      </c>
      <c r="C451" s="79" t="s">
        <v>200</v>
      </c>
      <c r="D451" s="79" t="s">
        <v>152</v>
      </c>
      <c r="E451" s="79" t="s">
        <v>123</v>
      </c>
      <c r="F451" s="79" t="str">
        <f>IF(E451="", "", IF(COUNTIF(ChestType!$A$5:$A$195, E451)&gt;0, VLOOKUP(E451, ChestType!$A$5:$B$195, 2, 0), "Others"))</f>
        <v>Ancients Vault</v>
      </c>
    </row>
    <row r="452" spans="1:6" x14ac:dyDescent="0.25">
      <c r="A452" s="14">
        <v>46143.934027777781</v>
      </c>
      <c r="B452" s="79" t="s">
        <v>149</v>
      </c>
      <c r="C452" s="79" t="s">
        <v>184</v>
      </c>
      <c r="D452" s="79" t="s">
        <v>252</v>
      </c>
      <c r="E452" s="79" t="s">
        <v>50</v>
      </c>
      <c r="F452" s="79" t="str">
        <f>IF(E452="", "", IF(COUNTIF(ChestType!$A$5:$A$195, E452)&gt;0, VLOOKUP(E452, ChestType!$A$5:$B$195, 2, 0), "Others"))</f>
        <v>L10 Crypt</v>
      </c>
    </row>
    <row r="453" spans="1:6" x14ac:dyDescent="0.25">
      <c r="A453" s="14">
        <v>46143.934027777781</v>
      </c>
      <c r="B453" s="79" t="s">
        <v>149</v>
      </c>
      <c r="C453" s="79" t="s">
        <v>181</v>
      </c>
      <c r="D453" s="79" t="s">
        <v>250</v>
      </c>
      <c r="E453" s="79" t="s">
        <v>52</v>
      </c>
      <c r="F453" s="79" t="str">
        <f>IF(E453="", "", IF(COUNTIF(ChestType!$A$5:$A$195, E453)&gt;0, VLOOKUP(E453, ChestType!$A$5:$B$195, 2, 0), "Others"))</f>
        <v>L5 Crypt</v>
      </c>
    </row>
    <row r="454" spans="1:6" x14ac:dyDescent="0.25">
      <c r="A454" s="14">
        <v>46143.934027777781</v>
      </c>
      <c r="B454" s="79" t="s">
        <v>149</v>
      </c>
      <c r="C454" s="79" t="s">
        <v>200</v>
      </c>
      <c r="D454" s="79" t="s">
        <v>205</v>
      </c>
      <c r="E454" s="79" t="s">
        <v>126</v>
      </c>
      <c r="F454" s="79" t="str">
        <f>IF(E454="", "", IF(COUNTIF(ChestType!$A$5:$A$195, E454)&gt;0, VLOOKUP(E454, ChestType!$A$5:$B$195, 2, 0), "Others"))</f>
        <v>Ancients Vault</v>
      </c>
    </row>
    <row r="455" spans="1:6" x14ac:dyDescent="0.25">
      <c r="A455" s="14">
        <v>46143.934027777781</v>
      </c>
      <c r="B455" s="79" t="s">
        <v>149</v>
      </c>
      <c r="C455" s="79" t="s">
        <v>183</v>
      </c>
      <c r="D455" s="79" t="s">
        <v>159</v>
      </c>
      <c r="E455" s="79" t="s">
        <v>52</v>
      </c>
      <c r="F455" s="79" t="str">
        <f>IF(E455="", "", IF(COUNTIF(ChestType!$A$5:$A$195, E455)&gt;0, VLOOKUP(E455, ChestType!$A$5:$B$195, 2, 0), "Others"))</f>
        <v>L5 Crypt</v>
      </c>
    </row>
    <row r="456" spans="1:6" x14ac:dyDescent="0.25">
      <c r="A456" s="14">
        <v>46143.934027777781</v>
      </c>
      <c r="B456" s="79" t="s">
        <v>149</v>
      </c>
      <c r="C456" s="79" t="s">
        <v>177</v>
      </c>
      <c r="D456" s="79" t="s">
        <v>250</v>
      </c>
      <c r="E456" s="79" t="s">
        <v>50</v>
      </c>
      <c r="F456" s="79" t="str">
        <f>IF(E456="", "", IF(COUNTIF(ChestType!$A$5:$A$195, E456)&gt;0, VLOOKUP(E456, ChestType!$A$5:$B$195, 2, 0), "Others"))</f>
        <v>L10 Crypt</v>
      </c>
    </row>
    <row r="457" spans="1:6" x14ac:dyDescent="0.25">
      <c r="A457" s="14">
        <v>46143.934027777781</v>
      </c>
      <c r="B457" s="79" t="s">
        <v>149</v>
      </c>
      <c r="C457" s="79" t="s">
        <v>173</v>
      </c>
      <c r="D457" s="79" t="s">
        <v>231</v>
      </c>
      <c r="E457" s="79" t="s">
        <v>49</v>
      </c>
      <c r="F457" s="79" t="str">
        <f>IF(E457="", "", IF(COUNTIF(ChestType!$A$5:$A$195, E457)&gt;0, VLOOKUP(E457, ChestType!$A$5:$B$195, 2, 0), "Others"))</f>
        <v>L15 Crypt</v>
      </c>
    </row>
    <row r="458" spans="1:6" x14ac:dyDescent="0.25">
      <c r="A458" s="14">
        <v>46143.934027777781</v>
      </c>
      <c r="B458" s="79" t="s">
        <v>149</v>
      </c>
      <c r="C458" s="79" t="s">
        <v>151</v>
      </c>
      <c r="D458" s="79" t="s">
        <v>159</v>
      </c>
      <c r="E458" s="79" t="s">
        <v>50</v>
      </c>
      <c r="F458" s="79" t="str">
        <f>IF(E458="", "", IF(COUNTIF(ChestType!$A$5:$A$195, E458)&gt;0, VLOOKUP(E458, ChestType!$A$5:$B$195, 2, 0), "Others"))</f>
        <v>L10 Crypt</v>
      </c>
    </row>
    <row r="459" spans="1:6" x14ac:dyDescent="0.25">
      <c r="A459" s="14">
        <v>46143.934027777781</v>
      </c>
      <c r="B459" s="79" t="s">
        <v>149</v>
      </c>
      <c r="C459" s="79" t="s">
        <v>200</v>
      </c>
      <c r="D459" s="79" t="s">
        <v>205</v>
      </c>
      <c r="E459" s="79" t="s">
        <v>126</v>
      </c>
      <c r="F459" s="79" t="str">
        <f>IF(E459="", "", IF(COUNTIF(ChestType!$A$5:$A$195, E459)&gt;0, VLOOKUP(E459, ChestType!$A$5:$B$195, 2, 0), "Others"))</f>
        <v>Ancients Vault</v>
      </c>
    </row>
    <row r="460" spans="1:6" x14ac:dyDescent="0.25">
      <c r="A460" s="14">
        <v>46143.934027777781</v>
      </c>
      <c r="B460" s="79" t="s">
        <v>149</v>
      </c>
      <c r="C460" s="79" t="s">
        <v>217</v>
      </c>
      <c r="D460" s="79" t="s">
        <v>231</v>
      </c>
      <c r="E460" s="79" t="s">
        <v>64</v>
      </c>
      <c r="F460" s="79" t="str">
        <f>IF(E460="", "", IF(COUNTIF(ChestType!$A$5:$A$195, E460)&gt;0, VLOOKUP(E460, ChestType!$A$5:$B$195, 2, 0), "Others"))</f>
        <v>L15 Epic Crypt</v>
      </c>
    </row>
    <row r="461" spans="1:6" x14ac:dyDescent="0.25">
      <c r="A461" s="14">
        <v>46143.934027777781</v>
      </c>
      <c r="B461" s="79" t="s">
        <v>149</v>
      </c>
      <c r="C461" s="79" t="s">
        <v>177</v>
      </c>
      <c r="D461" s="79" t="s">
        <v>157</v>
      </c>
      <c r="E461" s="79" t="s">
        <v>50</v>
      </c>
      <c r="F461" s="79" t="str">
        <f>IF(E461="", "", IF(COUNTIF(ChestType!$A$5:$A$195, E461)&gt;0, VLOOKUP(E461, ChestType!$A$5:$B$195, 2, 0), "Others"))</f>
        <v>L10 Crypt</v>
      </c>
    </row>
    <row r="462" spans="1:6" x14ac:dyDescent="0.25">
      <c r="A462" s="14">
        <v>46143.934027777781</v>
      </c>
      <c r="B462" s="79" t="s">
        <v>149</v>
      </c>
      <c r="C462" s="79" t="s">
        <v>255</v>
      </c>
      <c r="D462" s="79" t="s">
        <v>250</v>
      </c>
      <c r="E462" s="79" t="s">
        <v>256</v>
      </c>
      <c r="F462" s="79" t="str">
        <f>IF(E462="", "", IF(COUNTIF(ChestType!$A$5:$A$195, E462)&gt;0, VLOOKUP(E462, ChestType!$A$5:$B$195, 2, 0), "Others"))</f>
        <v>Others</v>
      </c>
    </row>
    <row r="463" spans="1:6" x14ac:dyDescent="0.25">
      <c r="A463" s="14">
        <v>46143.934027777781</v>
      </c>
      <c r="B463" s="79" t="s">
        <v>149</v>
      </c>
      <c r="C463" s="79" t="s">
        <v>200</v>
      </c>
      <c r="D463" s="79" t="s">
        <v>205</v>
      </c>
      <c r="E463" s="79" t="s">
        <v>125</v>
      </c>
      <c r="F463" s="79" t="str">
        <f>IF(E463="", "", IF(COUNTIF(ChestType!$A$5:$A$195, E463)&gt;0, VLOOKUP(E463, ChestType!$A$5:$B$195, 2, 0), "Others"))</f>
        <v>Ancients Vault</v>
      </c>
    </row>
    <row r="464" spans="1:6" x14ac:dyDescent="0.25">
      <c r="A464" s="14">
        <v>46143.934027777781</v>
      </c>
      <c r="B464" s="79" t="s">
        <v>149</v>
      </c>
      <c r="C464" s="79" t="s">
        <v>184</v>
      </c>
      <c r="D464" s="79" t="s">
        <v>231</v>
      </c>
      <c r="E464" s="79" t="s">
        <v>49</v>
      </c>
      <c r="F464" s="79" t="str">
        <f>IF(E464="", "", IF(COUNTIF(ChestType!$A$5:$A$195, E464)&gt;0, VLOOKUP(E464, ChestType!$A$5:$B$195, 2, 0), "Others"))</f>
        <v>L15 Crypt</v>
      </c>
    </row>
    <row r="465" spans="1:6" x14ac:dyDescent="0.25">
      <c r="A465" s="14">
        <v>46143.934027777781</v>
      </c>
      <c r="B465" s="79" t="s">
        <v>149</v>
      </c>
      <c r="C465" s="79" t="s">
        <v>187</v>
      </c>
      <c r="D465" s="79" t="s">
        <v>205</v>
      </c>
      <c r="E465" s="79" t="s">
        <v>75</v>
      </c>
      <c r="F465" s="79" t="str">
        <f>IF(E465="", "", IF(COUNTIF(ChestType!$A$5:$A$195, E465)&gt;0, VLOOKUP(E465, ChestType!$A$5:$B$195, 2, 0), "Others"))</f>
        <v>L10 Rare Crypt</v>
      </c>
    </row>
    <row r="466" spans="1:6" x14ac:dyDescent="0.25">
      <c r="A466" s="14">
        <v>46143.934027777781</v>
      </c>
      <c r="B466" s="79" t="s">
        <v>149</v>
      </c>
      <c r="C466" s="79" t="s">
        <v>176</v>
      </c>
      <c r="D466" s="79" t="s">
        <v>250</v>
      </c>
      <c r="E466" s="79" t="s">
        <v>70</v>
      </c>
      <c r="F466" s="79" t="str">
        <f>IF(E466="", "", IF(COUNTIF(ChestType!$A$5:$A$195, E466)&gt;0, VLOOKUP(E466, ChestType!$A$5:$B$195, 2, 0), "Others"))</f>
        <v>L10 Citadel</v>
      </c>
    </row>
    <row r="467" spans="1:6" x14ac:dyDescent="0.25">
      <c r="A467" s="14">
        <v>46143.934027777781</v>
      </c>
      <c r="B467" s="79" t="s">
        <v>149</v>
      </c>
      <c r="C467" s="79" t="s">
        <v>200</v>
      </c>
      <c r="D467" s="79" t="s">
        <v>152</v>
      </c>
      <c r="E467" s="79" t="s">
        <v>126</v>
      </c>
      <c r="F467" s="79" t="str">
        <f>IF(E467="", "", IF(COUNTIF(ChestType!$A$5:$A$195, E467)&gt;0, VLOOKUP(E467, ChestType!$A$5:$B$195, 2, 0), "Others"))</f>
        <v>Ancients Vault</v>
      </c>
    </row>
    <row r="468" spans="1:6" x14ac:dyDescent="0.25">
      <c r="A468" s="14">
        <v>46143.934027777781</v>
      </c>
      <c r="B468" s="79" t="s">
        <v>149</v>
      </c>
      <c r="C468" s="79" t="s">
        <v>200</v>
      </c>
      <c r="D468" s="79" t="s">
        <v>168</v>
      </c>
      <c r="E468" s="79" t="s">
        <v>126</v>
      </c>
      <c r="F468" s="79" t="str">
        <f>IF(E468="", "", IF(COUNTIF(ChestType!$A$5:$A$195, E468)&gt;0, VLOOKUP(E468, ChestType!$A$5:$B$195, 2, 0), "Others"))</f>
        <v>Ancients Vault</v>
      </c>
    </row>
    <row r="469" spans="1:6" x14ac:dyDescent="0.25">
      <c r="A469" s="14">
        <v>46143.934027777781</v>
      </c>
      <c r="B469" s="79" t="s">
        <v>149</v>
      </c>
      <c r="C469" s="79" t="s">
        <v>182</v>
      </c>
      <c r="D469" s="79" t="s">
        <v>250</v>
      </c>
      <c r="E469" s="79" t="s">
        <v>52</v>
      </c>
      <c r="F469" s="79" t="str">
        <f>IF(E469="", "", IF(COUNTIF(ChestType!$A$5:$A$195, E469)&gt;0, VLOOKUP(E469, ChestType!$A$5:$B$195, 2, 0), "Others"))</f>
        <v>L5 Crypt</v>
      </c>
    </row>
    <row r="470" spans="1:6" x14ac:dyDescent="0.25">
      <c r="A470" s="14">
        <v>46143.934027777781</v>
      </c>
      <c r="B470" s="79" t="s">
        <v>149</v>
      </c>
      <c r="C470" s="79" t="s">
        <v>183</v>
      </c>
      <c r="D470" s="79" t="s">
        <v>250</v>
      </c>
      <c r="E470" s="79" t="s">
        <v>52</v>
      </c>
      <c r="F470" s="79" t="str">
        <f>IF(E470="", "", IF(COUNTIF(ChestType!$A$5:$A$195, E470)&gt;0, VLOOKUP(E470, ChestType!$A$5:$B$195, 2, 0), "Others"))</f>
        <v>L5 Crypt</v>
      </c>
    </row>
    <row r="471" spans="1:6" x14ac:dyDescent="0.25">
      <c r="A471" s="14">
        <v>46143.934027777781</v>
      </c>
      <c r="B471" s="79" t="s">
        <v>149</v>
      </c>
      <c r="C471" s="79" t="s">
        <v>182</v>
      </c>
      <c r="D471" s="79" t="s">
        <v>199</v>
      </c>
      <c r="E471" s="79" t="s">
        <v>49</v>
      </c>
      <c r="F471" s="79" t="str">
        <f>IF(E471="", "", IF(COUNTIF(ChestType!$A$5:$A$195, E471)&gt;0, VLOOKUP(E471, ChestType!$A$5:$B$195, 2, 0), "Others"))</f>
        <v>L15 Crypt</v>
      </c>
    </row>
    <row r="472" spans="1:6" x14ac:dyDescent="0.25">
      <c r="A472" s="14">
        <v>46143.934027777781</v>
      </c>
      <c r="B472" s="79" t="s">
        <v>149</v>
      </c>
      <c r="C472" s="79" t="s">
        <v>185</v>
      </c>
      <c r="D472" s="79" t="s">
        <v>250</v>
      </c>
      <c r="E472" s="79" t="s">
        <v>52</v>
      </c>
      <c r="F472" s="79" t="str">
        <f>IF(E472="", "", IF(COUNTIF(ChestType!$A$5:$A$195, E472)&gt;0, VLOOKUP(E472, ChestType!$A$5:$B$195, 2, 0), "Others"))</f>
        <v>L5 Crypt</v>
      </c>
    </row>
    <row r="473" spans="1:6" x14ac:dyDescent="0.25">
      <c r="A473" s="14">
        <v>46143.934027777781</v>
      </c>
      <c r="B473" s="79" t="s">
        <v>149</v>
      </c>
      <c r="C473" s="79" t="s">
        <v>200</v>
      </c>
      <c r="D473" s="79" t="s">
        <v>205</v>
      </c>
      <c r="E473" s="79" t="s">
        <v>126</v>
      </c>
      <c r="F473" s="79" t="str">
        <f>IF(E473="", "", IF(COUNTIF(ChestType!$A$5:$A$195, E473)&gt;0, VLOOKUP(E473, ChestType!$A$5:$B$195, 2, 0), "Others"))</f>
        <v>Ancients Vault</v>
      </c>
    </row>
    <row r="474" spans="1:6" x14ac:dyDescent="0.25">
      <c r="A474" s="14">
        <v>46143.934027777781</v>
      </c>
      <c r="B474" s="79" t="s">
        <v>149</v>
      </c>
      <c r="C474" s="79" t="s">
        <v>182</v>
      </c>
      <c r="D474" s="79" t="s">
        <v>250</v>
      </c>
      <c r="E474" s="79" t="s">
        <v>52</v>
      </c>
      <c r="F474" s="79" t="str">
        <f>IF(E474="", "", IF(COUNTIF(ChestType!$A$5:$A$195, E474)&gt;0, VLOOKUP(E474, ChestType!$A$5:$B$195, 2, 0), "Others"))</f>
        <v>L5 Crypt</v>
      </c>
    </row>
    <row r="475" spans="1:6" x14ac:dyDescent="0.25">
      <c r="A475" s="14">
        <v>46143.934027777781</v>
      </c>
      <c r="B475" s="79" t="s">
        <v>149</v>
      </c>
      <c r="C475" s="79" t="s">
        <v>185</v>
      </c>
      <c r="D475" s="79" t="s">
        <v>157</v>
      </c>
      <c r="E475" s="79" t="s">
        <v>50</v>
      </c>
      <c r="F475" s="79" t="str">
        <f>IF(E475="", "", IF(COUNTIF(ChestType!$A$5:$A$195, E475)&gt;0, VLOOKUP(E475, ChestType!$A$5:$B$195, 2, 0), "Others"))</f>
        <v>L10 Crypt</v>
      </c>
    </row>
    <row r="476" spans="1:6" x14ac:dyDescent="0.25">
      <c r="A476" s="14">
        <v>46143.934027777781</v>
      </c>
      <c r="B476" s="79" t="s">
        <v>149</v>
      </c>
      <c r="C476" s="79" t="s">
        <v>182</v>
      </c>
      <c r="D476" s="79" t="s">
        <v>157</v>
      </c>
      <c r="E476" s="79" t="s">
        <v>50</v>
      </c>
      <c r="F476" s="79" t="str">
        <f>IF(E476="", "", IF(COUNTIF(ChestType!$A$5:$A$195, E476)&gt;0, VLOOKUP(E476, ChestType!$A$5:$B$195, 2, 0), "Others"))</f>
        <v>L10 Crypt</v>
      </c>
    </row>
    <row r="477" spans="1:6" x14ac:dyDescent="0.25">
      <c r="A477" s="14">
        <v>46143.934027777781</v>
      </c>
      <c r="B477" s="79" t="s">
        <v>149</v>
      </c>
      <c r="C477" s="79" t="s">
        <v>151</v>
      </c>
      <c r="D477" s="79" t="s">
        <v>157</v>
      </c>
      <c r="E477" s="79" t="s">
        <v>50</v>
      </c>
      <c r="F477" s="79" t="str">
        <f>IF(E477="", "", IF(COUNTIF(ChestType!$A$5:$A$195, E477)&gt;0, VLOOKUP(E477, ChestType!$A$5:$B$195, 2, 0), "Others"))</f>
        <v>L10 Crypt</v>
      </c>
    </row>
    <row r="478" spans="1:6" x14ac:dyDescent="0.25">
      <c r="A478" s="14">
        <v>46143.934027777781</v>
      </c>
      <c r="B478" s="79" t="s">
        <v>149</v>
      </c>
      <c r="C478" s="79" t="s">
        <v>255</v>
      </c>
      <c r="D478" s="79" t="s">
        <v>222</v>
      </c>
      <c r="E478" s="79" t="s">
        <v>256</v>
      </c>
      <c r="F478" s="79" t="str">
        <f>IF(E478="", "", IF(COUNTIF(ChestType!$A$5:$A$195, E478)&gt;0, VLOOKUP(E478, ChestType!$A$5:$B$195, 2, 0), "Others"))</f>
        <v>Others</v>
      </c>
    </row>
    <row r="479" spans="1:6" x14ac:dyDescent="0.25">
      <c r="A479" s="14">
        <v>46143.934027777781</v>
      </c>
      <c r="B479" s="79" t="s">
        <v>149</v>
      </c>
      <c r="C479" s="79" t="s">
        <v>255</v>
      </c>
      <c r="D479" s="79" t="s">
        <v>222</v>
      </c>
      <c r="E479" s="79" t="s">
        <v>256</v>
      </c>
      <c r="F479" s="79" t="str">
        <f>IF(E479="", "", IF(COUNTIF(ChestType!$A$5:$A$195, E479)&gt;0, VLOOKUP(E479, ChestType!$A$5:$B$195, 2, 0), "Others"))</f>
        <v>Others</v>
      </c>
    </row>
    <row r="480" spans="1:6" x14ac:dyDescent="0.25">
      <c r="A480" s="14">
        <v>46143.934027777781</v>
      </c>
      <c r="B480" s="79" t="s">
        <v>149</v>
      </c>
      <c r="C480" s="79" t="s">
        <v>181</v>
      </c>
      <c r="D480" s="79" t="s">
        <v>231</v>
      </c>
      <c r="E480" s="79" t="s">
        <v>49</v>
      </c>
      <c r="F480" s="79" t="str">
        <f>IF(E480="", "", IF(COUNTIF(ChestType!$A$5:$A$195, E480)&gt;0, VLOOKUP(E480, ChestType!$A$5:$B$195, 2, 0), "Others"))</f>
        <v>L15 Crypt</v>
      </c>
    </row>
    <row r="481" spans="1:6" x14ac:dyDescent="0.25">
      <c r="A481" s="14">
        <v>46143.934027777781</v>
      </c>
      <c r="B481" s="79" t="s">
        <v>149</v>
      </c>
      <c r="C481" s="79" t="s">
        <v>200</v>
      </c>
      <c r="D481" s="79" t="s">
        <v>222</v>
      </c>
      <c r="E481" s="79" t="s">
        <v>125</v>
      </c>
      <c r="F481" s="79" t="str">
        <f>IF(E481="", "", IF(COUNTIF(ChestType!$A$5:$A$195, E481)&gt;0, VLOOKUP(E481, ChestType!$A$5:$B$195, 2, 0), "Others"))</f>
        <v>Ancients Vault</v>
      </c>
    </row>
    <row r="482" spans="1:6" x14ac:dyDescent="0.25">
      <c r="A482" s="14">
        <v>46143.934027777781</v>
      </c>
      <c r="B482" s="79" t="s">
        <v>149</v>
      </c>
      <c r="C482" s="79" t="s">
        <v>255</v>
      </c>
      <c r="D482" s="79" t="s">
        <v>199</v>
      </c>
      <c r="E482" s="79" t="s">
        <v>256</v>
      </c>
      <c r="F482" s="79" t="str">
        <f>IF(E482="", "", IF(COUNTIF(ChestType!$A$5:$A$195, E482)&gt;0, VLOOKUP(E482, ChestType!$A$5:$B$195, 2, 0), "Others"))</f>
        <v>Others</v>
      </c>
    </row>
    <row r="483" spans="1:6" x14ac:dyDescent="0.25">
      <c r="A483" s="14">
        <v>46143.934027777781</v>
      </c>
      <c r="B483" s="79" t="s">
        <v>149</v>
      </c>
      <c r="C483" s="79" t="s">
        <v>181</v>
      </c>
      <c r="D483" s="79" t="s">
        <v>157</v>
      </c>
      <c r="E483" s="79" t="s">
        <v>50</v>
      </c>
      <c r="F483" s="79" t="str">
        <f>IF(E483="", "", IF(COUNTIF(ChestType!$A$5:$A$195, E483)&gt;0, VLOOKUP(E483, ChestType!$A$5:$B$195, 2, 0), "Others"))</f>
        <v>L10 Crypt</v>
      </c>
    </row>
    <row r="484" spans="1:6" x14ac:dyDescent="0.25">
      <c r="A484" s="14">
        <v>46143.934027777781</v>
      </c>
      <c r="B484" s="79" t="s">
        <v>149</v>
      </c>
      <c r="C484" s="79" t="s">
        <v>203</v>
      </c>
      <c r="D484" s="79" t="s">
        <v>205</v>
      </c>
      <c r="E484" s="79" t="s">
        <v>72</v>
      </c>
      <c r="F484" s="79" t="str">
        <f>IF(E484="", "", IF(COUNTIF(ChestType!$A$5:$A$195, E484)&gt;0, VLOOKUP(E484, ChestType!$A$5:$B$195, 2, 0), "Others"))</f>
        <v>Others</v>
      </c>
    </row>
    <row r="485" spans="1:6" x14ac:dyDescent="0.25">
      <c r="A485" s="14">
        <v>46143.934027777781</v>
      </c>
      <c r="B485" s="79" t="s">
        <v>149</v>
      </c>
      <c r="C485" s="79" t="s">
        <v>255</v>
      </c>
      <c r="D485" s="79" t="s">
        <v>205</v>
      </c>
      <c r="E485" s="79" t="s">
        <v>256</v>
      </c>
      <c r="F485" s="79" t="str">
        <f>IF(E485="", "", IF(COUNTIF(ChestType!$A$5:$A$195, E485)&gt;0, VLOOKUP(E485, ChestType!$A$5:$B$195, 2, 0), "Others"))</f>
        <v>Others</v>
      </c>
    </row>
    <row r="486" spans="1:6" x14ac:dyDescent="0.25">
      <c r="A486" s="14">
        <v>46143.934027777781</v>
      </c>
      <c r="B486" s="79" t="s">
        <v>149</v>
      </c>
      <c r="C486" s="79" t="s">
        <v>255</v>
      </c>
      <c r="D486" s="79" t="s">
        <v>205</v>
      </c>
      <c r="E486" s="79" t="s">
        <v>256</v>
      </c>
      <c r="F486" s="79" t="str">
        <f>IF(E486="", "", IF(COUNTIF(ChestType!$A$5:$A$195, E486)&gt;0, VLOOKUP(E486, ChestType!$A$5:$B$195, 2, 0), "Others"))</f>
        <v>Others</v>
      </c>
    </row>
    <row r="487" spans="1:6" x14ac:dyDescent="0.25">
      <c r="A487" s="14">
        <v>46143.934027777781</v>
      </c>
      <c r="B487" s="79" t="s">
        <v>149</v>
      </c>
      <c r="C487" s="79" t="s">
        <v>255</v>
      </c>
      <c r="D487" s="79" t="s">
        <v>205</v>
      </c>
      <c r="E487" s="79" t="s">
        <v>256</v>
      </c>
      <c r="F487" s="79" t="str">
        <f>IF(E487="", "", IF(COUNTIF(ChestType!$A$5:$A$195, E487)&gt;0, VLOOKUP(E487, ChestType!$A$5:$B$195, 2, 0), "Others"))</f>
        <v>Others</v>
      </c>
    </row>
    <row r="488" spans="1:6" x14ac:dyDescent="0.25">
      <c r="A488" s="14">
        <v>46143.934027777781</v>
      </c>
      <c r="B488" s="79" t="s">
        <v>149</v>
      </c>
      <c r="C488" s="79" t="s">
        <v>175</v>
      </c>
      <c r="D488" s="79" t="s">
        <v>253</v>
      </c>
      <c r="E488" s="79" t="s">
        <v>50</v>
      </c>
      <c r="F488" s="79" t="str">
        <f>IF(E488="", "", IF(COUNTIF(ChestType!$A$5:$A$195, E488)&gt;0, VLOOKUP(E488, ChestType!$A$5:$B$195, 2, 0), "Others"))</f>
        <v>L10 Crypt</v>
      </c>
    </row>
    <row r="489" spans="1:6" x14ac:dyDescent="0.25">
      <c r="A489" s="14">
        <v>46143.934027777781</v>
      </c>
      <c r="B489" s="79" t="s">
        <v>149</v>
      </c>
      <c r="C489" s="79" t="s">
        <v>184</v>
      </c>
      <c r="D489" s="79" t="s">
        <v>205</v>
      </c>
      <c r="E489" s="79" t="s">
        <v>49</v>
      </c>
      <c r="F489" s="79" t="str">
        <f>IF(E489="", "", IF(COUNTIF(ChestType!$A$5:$A$195, E489)&gt;0, VLOOKUP(E489, ChestType!$A$5:$B$195, 2, 0), "Others"))</f>
        <v>L15 Crypt</v>
      </c>
    </row>
    <row r="490" spans="1:6" x14ac:dyDescent="0.25">
      <c r="A490" s="14">
        <v>46143.934027777781</v>
      </c>
      <c r="B490" s="79" t="s">
        <v>149</v>
      </c>
      <c r="C490" s="79" t="s">
        <v>183</v>
      </c>
      <c r="D490" s="79" t="s">
        <v>205</v>
      </c>
      <c r="E490" s="79" t="s">
        <v>49</v>
      </c>
      <c r="F490" s="79" t="str">
        <f>IF(E490="", "", IF(COUNTIF(ChestType!$A$5:$A$195, E490)&gt;0, VLOOKUP(E490, ChestType!$A$5:$B$195, 2, 0), "Others"))</f>
        <v>L15 Crypt</v>
      </c>
    </row>
    <row r="491" spans="1:6" x14ac:dyDescent="0.25">
      <c r="A491" s="14">
        <v>46143.934027777781</v>
      </c>
      <c r="B491" s="79" t="s">
        <v>149</v>
      </c>
      <c r="C491" s="79" t="s">
        <v>173</v>
      </c>
      <c r="D491" s="79" t="s">
        <v>157</v>
      </c>
      <c r="E491" s="79" t="s">
        <v>50</v>
      </c>
      <c r="F491" s="79" t="str">
        <f>IF(E491="", "", IF(COUNTIF(ChestType!$A$5:$A$195, E491)&gt;0, VLOOKUP(E491, ChestType!$A$5:$B$195, 2, 0), "Others"))</f>
        <v>L10 Crypt</v>
      </c>
    </row>
    <row r="492" spans="1:6" x14ac:dyDescent="0.25">
      <c r="A492" s="14">
        <v>46143.934027777781</v>
      </c>
      <c r="B492" s="79" t="s">
        <v>149</v>
      </c>
      <c r="C492" s="79" t="s">
        <v>175</v>
      </c>
      <c r="D492" s="79" t="s">
        <v>250</v>
      </c>
      <c r="E492" s="79" t="s">
        <v>49</v>
      </c>
      <c r="F492" s="79" t="str">
        <f>IF(E492="", "", IF(COUNTIF(ChestType!$A$5:$A$195, E492)&gt;0, VLOOKUP(E492, ChestType!$A$5:$B$195, 2, 0), "Others"))</f>
        <v>L15 Crypt</v>
      </c>
    </row>
    <row r="493" spans="1:6" x14ac:dyDescent="0.25">
      <c r="A493" s="14">
        <v>46143.934027777781</v>
      </c>
      <c r="B493" s="79" t="s">
        <v>149</v>
      </c>
      <c r="C493" s="79" t="s">
        <v>182</v>
      </c>
      <c r="D493" s="79" t="s">
        <v>250</v>
      </c>
      <c r="E493" s="79" t="s">
        <v>52</v>
      </c>
      <c r="F493" s="79" t="str">
        <f>IF(E493="", "", IF(COUNTIF(ChestType!$A$5:$A$195, E493)&gt;0, VLOOKUP(E493, ChestType!$A$5:$B$195, 2, 0), "Others"))</f>
        <v>L5 Crypt</v>
      </c>
    </row>
    <row r="494" spans="1:6" x14ac:dyDescent="0.25">
      <c r="A494" s="14">
        <v>46143.934027777781</v>
      </c>
      <c r="B494" s="79" t="s">
        <v>149</v>
      </c>
      <c r="C494" s="79" t="s">
        <v>200</v>
      </c>
      <c r="D494" s="79" t="s">
        <v>152</v>
      </c>
      <c r="E494" s="79" t="s">
        <v>125</v>
      </c>
      <c r="F494" s="79" t="str">
        <f>IF(E494="", "", IF(COUNTIF(ChestType!$A$5:$A$195, E494)&gt;0, VLOOKUP(E494, ChestType!$A$5:$B$195, 2, 0), "Others"))</f>
        <v>Ancients Vault</v>
      </c>
    </row>
    <row r="495" spans="1:6" x14ac:dyDescent="0.25">
      <c r="A495" s="14">
        <v>46143.934027777781</v>
      </c>
      <c r="B495" s="79" t="s">
        <v>149</v>
      </c>
      <c r="C495" s="79" t="s">
        <v>151</v>
      </c>
      <c r="D495" s="79" t="s">
        <v>157</v>
      </c>
      <c r="E495" s="79" t="s">
        <v>50</v>
      </c>
      <c r="F495" s="79" t="str">
        <f>IF(E495="", "", IF(COUNTIF(ChestType!$A$5:$A$195, E495)&gt;0, VLOOKUP(E495, ChestType!$A$5:$B$195, 2, 0), "Others"))</f>
        <v>L10 Crypt</v>
      </c>
    </row>
    <row r="496" spans="1:6" x14ac:dyDescent="0.25">
      <c r="A496" s="14">
        <v>46143.934027777781</v>
      </c>
      <c r="B496" s="79" t="s">
        <v>149</v>
      </c>
      <c r="C496" s="79" t="s">
        <v>151</v>
      </c>
      <c r="D496" s="79" t="s">
        <v>165</v>
      </c>
      <c r="E496" s="79" t="s">
        <v>50</v>
      </c>
      <c r="F496" s="79" t="str">
        <f>IF(E496="", "", IF(COUNTIF(ChestType!$A$5:$A$195, E496)&gt;0, VLOOKUP(E496, ChestType!$A$5:$B$195, 2, 0), "Others"))</f>
        <v>L10 Crypt</v>
      </c>
    </row>
    <row r="497" spans="1:6" x14ac:dyDescent="0.25">
      <c r="A497" s="14">
        <v>46143.934027777781</v>
      </c>
      <c r="B497" s="79" t="s">
        <v>149</v>
      </c>
      <c r="C497" s="79" t="s">
        <v>181</v>
      </c>
      <c r="D497" s="79" t="s">
        <v>157</v>
      </c>
      <c r="E497" s="79" t="s">
        <v>50</v>
      </c>
      <c r="F497" s="79" t="str">
        <f>IF(E497="", "", IF(COUNTIF(ChestType!$A$5:$A$195, E497)&gt;0, VLOOKUP(E497, ChestType!$A$5:$B$195, 2, 0), "Others"))</f>
        <v>L10 Crypt</v>
      </c>
    </row>
    <row r="498" spans="1:6" x14ac:dyDescent="0.25">
      <c r="A498" s="14">
        <v>46143.934027777781</v>
      </c>
      <c r="B498" s="79" t="s">
        <v>149</v>
      </c>
      <c r="C498" s="79" t="s">
        <v>181</v>
      </c>
      <c r="D498" s="79" t="s">
        <v>253</v>
      </c>
      <c r="E498" s="79" t="s">
        <v>52</v>
      </c>
      <c r="F498" s="79" t="str">
        <f>IF(E498="", "", IF(COUNTIF(ChestType!$A$5:$A$195, E498)&gt;0, VLOOKUP(E498, ChestType!$A$5:$B$195, 2, 0), "Others"))</f>
        <v>L5 Crypt</v>
      </c>
    </row>
    <row r="499" spans="1:6" x14ac:dyDescent="0.25">
      <c r="A499" s="14">
        <v>46143.934027777781</v>
      </c>
      <c r="B499" s="79" t="s">
        <v>149</v>
      </c>
      <c r="C499" s="79" t="s">
        <v>151</v>
      </c>
      <c r="D499" s="79" t="s">
        <v>157</v>
      </c>
      <c r="E499" s="79" t="s">
        <v>50</v>
      </c>
      <c r="F499" s="79" t="str">
        <f>IF(E499="", "", IF(COUNTIF(ChestType!$A$5:$A$195, E499)&gt;0, VLOOKUP(E499, ChestType!$A$5:$B$195, 2, 0), "Others"))</f>
        <v>L10 Crypt</v>
      </c>
    </row>
    <row r="500" spans="1:6" x14ac:dyDescent="0.25">
      <c r="A500" s="14">
        <v>46143.934027777781</v>
      </c>
      <c r="B500" s="79" t="s">
        <v>149</v>
      </c>
      <c r="C500" s="79" t="s">
        <v>176</v>
      </c>
      <c r="D500" s="79" t="s">
        <v>157</v>
      </c>
      <c r="E500" s="79" t="s">
        <v>70</v>
      </c>
      <c r="F500" s="79" t="str">
        <f>IF(E500="", "", IF(COUNTIF(ChestType!$A$5:$A$195, E500)&gt;0, VLOOKUP(E500, ChestType!$A$5:$B$195, 2, 0), "Others"))</f>
        <v>L10 Citadel</v>
      </c>
    </row>
    <row r="501" spans="1:6" x14ac:dyDescent="0.25">
      <c r="A501" s="14">
        <v>46143.934027777781</v>
      </c>
      <c r="B501" s="79" t="s">
        <v>149</v>
      </c>
      <c r="C501" s="79" t="s">
        <v>181</v>
      </c>
      <c r="D501" s="79" t="s">
        <v>199</v>
      </c>
      <c r="E501" s="79" t="s">
        <v>50</v>
      </c>
      <c r="F501" s="79" t="str">
        <f>IF(E501="", "", IF(COUNTIF(ChestType!$A$5:$A$195, E501)&gt;0, VLOOKUP(E501, ChestType!$A$5:$B$195, 2, 0), "Others"))</f>
        <v>L10 Crypt</v>
      </c>
    </row>
    <row r="502" spans="1:6" x14ac:dyDescent="0.25">
      <c r="A502" s="14">
        <v>46143.934027777781</v>
      </c>
      <c r="B502" s="79" t="s">
        <v>149</v>
      </c>
      <c r="C502" s="79" t="s">
        <v>176</v>
      </c>
      <c r="D502" s="79" t="s">
        <v>157</v>
      </c>
      <c r="E502" s="79" t="s">
        <v>70</v>
      </c>
      <c r="F502" s="79" t="str">
        <f>IF(E502="", "", IF(COUNTIF(ChestType!$A$5:$A$195, E502)&gt;0, VLOOKUP(E502, ChestType!$A$5:$B$195, 2, 0), "Others"))</f>
        <v>L10 Citadel</v>
      </c>
    </row>
    <row r="503" spans="1:6" x14ac:dyDescent="0.25">
      <c r="A503" s="14">
        <v>46143.934027777781</v>
      </c>
      <c r="B503" s="79" t="s">
        <v>195</v>
      </c>
      <c r="C503" s="79" t="s">
        <v>198</v>
      </c>
      <c r="D503" s="79" t="s">
        <v>157</v>
      </c>
      <c r="E503" s="79" t="s">
        <v>24</v>
      </c>
      <c r="F503" s="79" t="str">
        <f>IF(E503="", "", IF(COUNTIF(ChestType!$A$5:$A$195, E503)&gt;0, VLOOKUP(E503, ChestType!$A$5:$B$195, 2, 0), "Others"))</f>
        <v>Bank</v>
      </c>
    </row>
    <row r="504" spans="1:6" x14ac:dyDescent="0.25">
      <c r="A504" s="14">
        <v>46143.934027777781</v>
      </c>
      <c r="B504" s="79" t="s">
        <v>195</v>
      </c>
      <c r="C504" s="79" t="s">
        <v>198</v>
      </c>
      <c r="D504" s="79" t="s">
        <v>157</v>
      </c>
      <c r="E504" s="79" t="s">
        <v>24</v>
      </c>
      <c r="F504" s="79" t="str">
        <f>IF(E504="", "", IF(COUNTIF(ChestType!$A$5:$A$195, E504)&gt;0, VLOOKUP(E504, ChestType!$A$5:$B$195, 2, 0), "Others"))</f>
        <v>Bank</v>
      </c>
    </row>
    <row r="505" spans="1:6" x14ac:dyDescent="0.25">
      <c r="A505" s="14">
        <v>46143.934027777781</v>
      </c>
      <c r="B505" s="79" t="s">
        <v>195</v>
      </c>
      <c r="C505" s="79" t="s">
        <v>198</v>
      </c>
      <c r="D505" s="79" t="s">
        <v>157</v>
      </c>
      <c r="E505" s="79" t="s">
        <v>24</v>
      </c>
      <c r="F505" s="79" t="str">
        <f>IF(E505="", "", IF(COUNTIF(ChestType!$A$5:$A$195, E505)&gt;0, VLOOKUP(E505, ChestType!$A$5:$B$195, 2, 0), "Others"))</f>
        <v>Bank</v>
      </c>
    </row>
    <row r="506" spans="1:6" x14ac:dyDescent="0.25">
      <c r="A506" s="14">
        <v>46144.277777777781</v>
      </c>
      <c r="B506" s="79" t="s">
        <v>149</v>
      </c>
      <c r="C506" s="79" t="s">
        <v>171</v>
      </c>
      <c r="D506" s="79" t="s">
        <v>259</v>
      </c>
      <c r="E506" s="79" t="s">
        <v>52</v>
      </c>
      <c r="F506" s="79" t="str">
        <f>IF(E506="", "", IF(COUNTIF(ChestType!$A$5:$A$195, E506)&gt;0, VLOOKUP(E506, ChestType!$A$5:$B$195, 2, 0), "Others"))</f>
        <v>L5 Crypt</v>
      </c>
    </row>
    <row r="507" spans="1:6" x14ac:dyDescent="0.25">
      <c r="A507" s="14">
        <v>46144.277777777781</v>
      </c>
      <c r="B507" s="79" t="s">
        <v>149</v>
      </c>
      <c r="C507" s="79" t="s">
        <v>171</v>
      </c>
      <c r="D507" s="79" t="s">
        <v>259</v>
      </c>
      <c r="E507" s="79" t="s">
        <v>50</v>
      </c>
      <c r="F507" s="79" t="str">
        <f>IF(E507="", "", IF(COUNTIF(ChestType!$A$5:$A$195, E507)&gt;0, VLOOKUP(E507, ChestType!$A$5:$B$195, 2, 0), "Others"))</f>
        <v>L10 Crypt</v>
      </c>
    </row>
    <row r="508" spans="1:6" x14ac:dyDescent="0.25">
      <c r="A508" s="14">
        <v>46144.277777777781</v>
      </c>
      <c r="B508" s="79" t="s">
        <v>149</v>
      </c>
      <c r="C508" s="79" t="s">
        <v>184</v>
      </c>
      <c r="D508" s="79" t="s">
        <v>259</v>
      </c>
      <c r="E508" s="79" t="s">
        <v>50</v>
      </c>
      <c r="F508" s="79" t="str">
        <f>IF(E508="", "", IF(COUNTIF(ChestType!$A$5:$A$195, E508)&gt;0, VLOOKUP(E508, ChestType!$A$5:$B$195, 2, 0), "Others"))</f>
        <v>L10 Crypt</v>
      </c>
    </row>
    <row r="509" spans="1:6" x14ac:dyDescent="0.25">
      <c r="A509" s="14">
        <v>46144.277777777781</v>
      </c>
      <c r="B509" s="79" t="s">
        <v>149</v>
      </c>
      <c r="C509" s="79" t="s">
        <v>192</v>
      </c>
      <c r="D509" s="79" t="s">
        <v>165</v>
      </c>
      <c r="E509" s="79" t="s">
        <v>60</v>
      </c>
      <c r="F509" s="79" t="str">
        <f>IF(E509="", "", IF(COUNTIF(ChestType!$A$5:$A$195, E509)&gt;0, VLOOKUP(E509, ChestType!$A$5:$B$195, 2, 0), "Others"))</f>
        <v>Others</v>
      </c>
    </row>
    <row r="510" spans="1:6" x14ac:dyDescent="0.25">
      <c r="A510" s="14">
        <v>46144.277777777781</v>
      </c>
      <c r="B510" s="79" t="s">
        <v>149</v>
      </c>
      <c r="C510" s="79" t="s">
        <v>158</v>
      </c>
      <c r="D510" s="79" t="s">
        <v>233</v>
      </c>
      <c r="E510" s="79" t="s">
        <v>52</v>
      </c>
      <c r="F510" s="79" t="str">
        <f>IF(E510="", "", IF(COUNTIF(ChestType!$A$5:$A$195, E510)&gt;0, VLOOKUP(E510, ChestType!$A$5:$B$195, 2, 0), "Others"))</f>
        <v>L5 Crypt</v>
      </c>
    </row>
    <row r="511" spans="1:6" x14ac:dyDescent="0.25">
      <c r="A511" s="14">
        <v>46144.277777777781</v>
      </c>
      <c r="B511" s="79" t="s">
        <v>149</v>
      </c>
      <c r="C511" s="79" t="s">
        <v>171</v>
      </c>
      <c r="D511" s="79" t="s">
        <v>233</v>
      </c>
      <c r="E511" s="79" t="s">
        <v>52</v>
      </c>
      <c r="F511" s="79" t="str">
        <f>IF(E511="", "", IF(COUNTIF(ChestType!$A$5:$A$195, E511)&gt;0, VLOOKUP(E511, ChestType!$A$5:$B$195, 2, 0), "Others"))</f>
        <v>L5 Crypt</v>
      </c>
    </row>
    <row r="512" spans="1:6" x14ac:dyDescent="0.25">
      <c r="A512" s="14">
        <v>46144.277777777781</v>
      </c>
      <c r="B512" s="79" t="s">
        <v>149</v>
      </c>
      <c r="C512" s="79" t="s">
        <v>200</v>
      </c>
      <c r="D512" s="79" t="s">
        <v>157</v>
      </c>
      <c r="E512" s="79" t="s">
        <v>123</v>
      </c>
      <c r="F512" s="79" t="str">
        <f>IF(E512="", "", IF(COUNTIF(ChestType!$A$5:$A$195, E512)&gt;0, VLOOKUP(E512, ChestType!$A$5:$B$195, 2, 0), "Others"))</f>
        <v>Ancients Vault</v>
      </c>
    </row>
    <row r="513" spans="1:6" x14ac:dyDescent="0.25">
      <c r="A513" s="14">
        <v>46144.277777777781</v>
      </c>
      <c r="B513" s="79" t="s">
        <v>149</v>
      </c>
      <c r="C513" s="79" t="s">
        <v>188</v>
      </c>
      <c r="D513" s="79" t="s">
        <v>156</v>
      </c>
      <c r="E513" s="79" t="s">
        <v>45</v>
      </c>
      <c r="F513" s="79" t="str">
        <f>IF(E513="", "", IF(COUNTIF(ChestType!$A$5:$A$195, E513)&gt;0, VLOOKUP(E513, ChestType!$A$5:$B$195, 2, 0), "Others"))</f>
        <v>Others</v>
      </c>
    </row>
    <row r="514" spans="1:6" x14ac:dyDescent="0.25">
      <c r="A514" s="14">
        <v>46144.277777777781</v>
      </c>
      <c r="B514" s="79" t="s">
        <v>149</v>
      </c>
      <c r="C514" s="79" t="s">
        <v>189</v>
      </c>
      <c r="D514" s="79" t="s">
        <v>156</v>
      </c>
      <c r="E514" s="79" t="s">
        <v>45</v>
      </c>
      <c r="F514" s="79" t="str">
        <f>IF(E514="", "", IF(COUNTIF(ChestType!$A$5:$A$195, E514)&gt;0, VLOOKUP(E514, ChestType!$A$5:$B$195, 2, 0), "Others"))</f>
        <v>Others</v>
      </c>
    </row>
    <row r="515" spans="1:6" x14ac:dyDescent="0.25">
      <c r="A515" s="14">
        <v>46144.277777777781</v>
      </c>
      <c r="B515" s="79" t="s">
        <v>149</v>
      </c>
      <c r="C515" s="79" t="s">
        <v>239</v>
      </c>
      <c r="D515" s="79" t="s">
        <v>156</v>
      </c>
      <c r="E515" s="79" t="s">
        <v>45</v>
      </c>
      <c r="F515" s="79" t="str">
        <f>IF(E515="", "", IF(COUNTIF(ChestType!$A$5:$A$195, E515)&gt;0, VLOOKUP(E515, ChestType!$A$5:$B$195, 2, 0), "Others"))</f>
        <v>Others</v>
      </c>
    </row>
    <row r="516" spans="1:6" x14ac:dyDescent="0.25">
      <c r="A516" s="14">
        <v>46144.277777777781</v>
      </c>
      <c r="B516" s="79" t="s">
        <v>149</v>
      </c>
      <c r="C516" s="79" t="s">
        <v>182</v>
      </c>
      <c r="D516" s="79" t="s">
        <v>167</v>
      </c>
      <c r="E516" s="79" t="s">
        <v>50</v>
      </c>
      <c r="F516" s="79" t="str">
        <f>IF(E516="", "", IF(COUNTIF(ChestType!$A$5:$A$195, E516)&gt;0, VLOOKUP(E516, ChestType!$A$5:$B$195, 2, 0), "Others"))</f>
        <v>L10 Crypt</v>
      </c>
    </row>
    <row r="517" spans="1:6" x14ac:dyDescent="0.25">
      <c r="A517" s="14">
        <v>46144.277777777781</v>
      </c>
      <c r="B517" s="79" t="s">
        <v>149</v>
      </c>
      <c r="C517" s="79" t="s">
        <v>181</v>
      </c>
      <c r="D517" s="79" t="s">
        <v>167</v>
      </c>
      <c r="E517" s="79" t="s">
        <v>50</v>
      </c>
      <c r="F517" s="79" t="str">
        <f>IF(E517="", "", IF(COUNTIF(ChestType!$A$5:$A$195, E517)&gt;0, VLOOKUP(E517, ChestType!$A$5:$B$195, 2, 0), "Others"))</f>
        <v>L10 Crypt</v>
      </c>
    </row>
    <row r="518" spans="1:6" x14ac:dyDescent="0.25">
      <c r="A518" s="14">
        <v>46144.277777777781</v>
      </c>
      <c r="B518" s="79" t="s">
        <v>149</v>
      </c>
      <c r="C518" s="79" t="s">
        <v>255</v>
      </c>
      <c r="D518" s="79" t="s">
        <v>222</v>
      </c>
      <c r="E518" s="79" t="s">
        <v>256</v>
      </c>
      <c r="F518" s="79" t="str">
        <f>IF(E518="", "", IF(COUNTIF(ChestType!$A$5:$A$195, E518)&gt;0, VLOOKUP(E518, ChestType!$A$5:$B$195, 2, 0), "Others"))</f>
        <v>Others</v>
      </c>
    </row>
    <row r="519" spans="1:6" x14ac:dyDescent="0.25">
      <c r="A519" s="14">
        <v>46144.277777777781</v>
      </c>
      <c r="B519" s="79" t="s">
        <v>149</v>
      </c>
      <c r="C519" s="79" t="s">
        <v>158</v>
      </c>
      <c r="D519" s="79" t="s">
        <v>245</v>
      </c>
      <c r="E519" s="79" t="s">
        <v>49</v>
      </c>
      <c r="F519" s="79" t="str">
        <f>IF(E519="", "", IF(COUNTIF(ChestType!$A$5:$A$195, E519)&gt;0, VLOOKUP(E519, ChestType!$A$5:$B$195, 2, 0), "Others"))</f>
        <v>L15 Crypt</v>
      </c>
    </row>
    <row r="520" spans="1:6" x14ac:dyDescent="0.25">
      <c r="A520" s="14">
        <v>46144.277777777781</v>
      </c>
      <c r="B520" s="79" t="s">
        <v>149</v>
      </c>
      <c r="C520" s="79" t="s">
        <v>218</v>
      </c>
      <c r="D520" s="79" t="s">
        <v>222</v>
      </c>
      <c r="E520" s="79" t="s">
        <v>64</v>
      </c>
      <c r="F520" s="79" t="str">
        <f>IF(E520="", "", IF(COUNTIF(ChestType!$A$5:$A$195, E520)&gt;0, VLOOKUP(E520, ChestType!$A$5:$B$195, 2, 0), "Others"))</f>
        <v>L15 Epic Crypt</v>
      </c>
    </row>
    <row r="521" spans="1:6" x14ac:dyDescent="0.25">
      <c r="A521" s="14">
        <v>46144.277777777781</v>
      </c>
      <c r="B521" s="79" t="s">
        <v>149</v>
      </c>
      <c r="C521" s="79" t="s">
        <v>158</v>
      </c>
      <c r="D521" s="79" t="s">
        <v>222</v>
      </c>
      <c r="E521" s="79" t="s">
        <v>50</v>
      </c>
      <c r="F521" s="79" t="str">
        <f>IF(E521="", "", IF(COUNTIF(ChestType!$A$5:$A$195, E521)&gt;0, VLOOKUP(E521, ChestType!$A$5:$B$195, 2, 0), "Others"))</f>
        <v>L10 Crypt</v>
      </c>
    </row>
    <row r="522" spans="1:6" x14ac:dyDescent="0.25">
      <c r="A522" s="14">
        <v>46144.277777777781</v>
      </c>
      <c r="B522" s="79" t="s">
        <v>149</v>
      </c>
      <c r="C522" s="79" t="s">
        <v>183</v>
      </c>
      <c r="D522" s="79" t="s">
        <v>222</v>
      </c>
      <c r="E522" s="79" t="s">
        <v>49</v>
      </c>
      <c r="F522" s="79" t="str">
        <f>IF(E522="", "", IF(COUNTIF(ChestType!$A$5:$A$195, E522)&gt;0, VLOOKUP(E522, ChestType!$A$5:$B$195, 2, 0), "Others"))</f>
        <v>L15 Crypt</v>
      </c>
    </row>
    <row r="523" spans="1:6" x14ac:dyDescent="0.25">
      <c r="A523" s="14">
        <v>46144.277777777781</v>
      </c>
      <c r="B523" s="79" t="s">
        <v>149</v>
      </c>
      <c r="C523" s="79" t="s">
        <v>203</v>
      </c>
      <c r="D523" s="79" t="s">
        <v>194</v>
      </c>
      <c r="E523" s="79" t="s">
        <v>72</v>
      </c>
      <c r="F523" s="79" t="str">
        <f>IF(E523="", "", IF(COUNTIF(ChestType!$A$5:$A$195, E523)&gt;0, VLOOKUP(E523, ChestType!$A$5:$B$195, 2, 0), "Others"))</f>
        <v>Others</v>
      </c>
    </row>
    <row r="524" spans="1:6" x14ac:dyDescent="0.25">
      <c r="A524" s="14">
        <v>46144.277777777781</v>
      </c>
      <c r="B524" s="79" t="s">
        <v>149</v>
      </c>
      <c r="C524" s="79" t="s">
        <v>203</v>
      </c>
      <c r="D524" s="79" t="s">
        <v>194</v>
      </c>
      <c r="E524" s="79" t="s">
        <v>72</v>
      </c>
      <c r="F524" s="79" t="str">
        <f>IF(E524="", "", IF(COUNTIF(ChestType!$A$5:$A$195, E524)&gt;0, VLOOKUP(E524, ChestType!$A$5:$B$195, 2, 0), "Others"))</f>
        <v>Others</v>
      </c>
    </row>
    <row r="525" spans="1:6" x14ac:dyDescent="0.25">
      <c r="A525" s="14">
        <v>46144.277777777781</v>
      </c>
      <c r="B525" s="79" t="s">
        <v>149</v>
      </c>
      <c r="C525" s="79" t="s">
        <v>203</v>
      </c>
      <c r="D525" s="79" t="s">
        <v>194</v>
      </c>
      <c r="E525" s="79" t="s">
        <v>72</v>
      </c>
      <c r="F525" s="79" t="str">
        <f>IF(E525="", "", IF(COUNTIF(ChestType!$A$5:$A$195, E525)&gt;0, VLOOKUP(E525, ChestType!$A$5:$B$195, 2, 0), "Others"))</f>
        <v>Others</v>
      </c>
    </row>
    <row r="526" spans="1:6" x14ac:dyDescent="0.25">
      <c r="A526" s="14">
        <v>46144.277777777781</v>
      </c>
      <c r="B526" s="79" t="s">
        <v>149</v>
      </c>
      <c r="C526" s="79" t="s">
        <v>203</v>
      </c>
      <c r="D526" s="79" t="s">
        <v>194</v>
      </c>
      <c r="E526" s="79" t="s">
        <v>72</v>
      </c>
      <c r="F526" s="79" t="str">
        <f>IF(E526="", "", IF(COUNTIF(ChestType!$A$5:$A$195, E526)&gt;0, VLOOKUP(E526, ChestType!$A$5:$B$195, 2, 0), "Others"))</f>
        <v>Others</v>
      </c>
    </row>
    <row r="527" spans="1:6" x14ac:dyDescent="0.25">
      <c r="A527" s="14">
        <v>46144.277777777781</v>
      </c>
      <c r="B527" s="79" t="s">
        <v>149</v>
      </c>
      <c r="C527" s="79" t="s">
        <v>203</v>
      </c>
      <c r="D527" s="79" t="s">
        <v>194</v>
      </c>
      <c r="E527" s="79" t="s">
        <v>72</v>
      </c>
      <c r="F527" s="79" t="str">
        <f>IF(E527="", "", IF(COUNTIF(ChestType!$A$5:$A$195, E527)&gt;0, VLOOKUP(E527, ChestType!$A$5:$B$195, 2, 0), "Others"))</f>
        <v>Others</v>
      </c>
    </row>
    <row r="528" spans="1:6" x14ac:dyDescent="0.25">
      <c r="A528" s="14">
        <v>46144.277777777781</v>
      </c>
      <c r="B528" s="79" t="s">
        <v>149</v>
      </c>
      <c r="C528" s="79" t="s">
        <v>203</v>
      </c>
      <c r="D528" s="79" t="s">
        <v>194</v>
      </c>
      <c r="E528" s="79" t="s">
        <v>72</v>
      </c>
      <c r="F528" s="79" t="str">
        <f>IF(E528="", "", IF(COUNTIF(ChestType!$A$5:$A$195, E528)&gt;0, VLOOKUP(E528, ChestType!$A$5:$B$195, 2, 0), "Others"))</f>
        <v>Others</v>
      </c>
    </row>
    <row r="529" spans="1:6" x14ac:dyDescent="0.25">
      <c r="A529" s="14">
        <v>46144.277777777781</v>
      </c>
      <c r="B529" s="79" t="s">
        <v>149</v>
      </c>
      <c r="C529" s="79" t="s">
        <v>181</v>
      </c>
      <c r="D529" s="79" t="s">
        <v>247</v>
      </c>
      <c r="E529" s="79" t="s">
        <v>50</v>
      </c>
      <c r="F529" s="79" t="str">
        <f>IF(E529="", "", IF(COUNTIF(ChestType!$A$5:$A$195, E529)&gt;0, VLOOKUP(E529, ChestType!$A$5:$B$195, 2, 0), "Others"))</f>
        <v>L10 Crypt</v>
      </c>
    </row>
    <row r="530" spans="1:6" x14ac:dyDescent="0.25">
      <c r="A530" s="14">
        <v>46144.277777777781</v>
      </c>
      <c r="B530" s="79" t="s">
        <v>149</v>
      </c>
      <c r="C530" s="79" t="s">
        <v>171</v>
      </c>
      <c r="D530" s="79" t="s">
        <v>245</v>
      </c>
      <c r="E530" s="79" t="s">
        <v>49</v>
      </c>
      <c r="F530" s="79" t="str">
        <f>IF(E530="", "", IF(COUNTIF(ChestType!$A$5:$A$195, E530)&gt;0, VLOOKUP(E530, ChestType!$A$5:$B$195, 2, 0), "Others"))</f>
        <v>L15 Crypt</v>
      </c>
    </row>
    <row r="531" spans="1:6" x14ac:dyDescent="0.25">
      <c r="A531" s="14">
        <v>46144.277777777781</v>
      </c>
      <c r="B531" s="79" t="s">
        <v>149</v>
      </c>
      <c r="C531" s="79" t="s">
        <v>176</v>
      </c>
      <c r="D531" s="79" t="s">
        <v>219</v>
      </c>
      <c r="E531" s="79" t="s">
        <v>70</v>
      </c>
      <c r="F531" s="79" t="str">
        <f>IF(E531="", "", IF(COUNTIF(ChestType!$A$5:$A$195, E531)&gt;0, VLOOKUP(E531, ChestType!$A$5:$B$195, 2, 0), "Others"))</f>
        <v>L10 Citadel</v>
      </c>
    </row>
    <row r="532" spans="1:6" x14ac:dyDescent="0.25">
      <c r="A532" s="14">
        <v>46144.277777777781</v>
      </c>
      <c r="B532" s="79" t="s">
        <v>149</v>
      </c>
      <c r="C532" s="79" t="s">
        <v>200</v>
      </c>
      <c r="D532" s="79" t="s">
        <v>245</v>
      </c>
      <c r="E532" s="79" t="s">
        <v>125</v>
      </c>
      <c r="F532" s="79" t="str">
        <f>IF(E532="", "", IF(COUNTIF(ChestType!$A$5:$A$195, E532)&gt;0, VLOOKUP(E532, ChestType!$A$5:$B$195, 2, 0), "Others"))</f>
        <v>Ancients Vault</v>
      </c>
    </row>
    <row r="533" spans="1:6" x14ac:dyDescent="0.25">
      <c r="A533" s="14">
        <v>46144.277777777781</v>
      </c>
      <c r="B533" s="79" t="s">
        <v>149</v>
      </c>
      <c r="C533" s="79" t="s">
        <v>182</v>
      </c>
      <c r="D533" s="79" t="s">
        <v>253</v>
      </c>
      <c r="E533" s="79" t="s">
        <v>50</v>
      </c>
      <c r="F533" s="79" t="str">
        <f>IF(E533="", "", IF(COUNTIF(ChestType!$A$5:$A$195, E533)&gt;0, VLOOKUP(E533, ChestType!$A$5:$B$195, 2, 0), "Others"))</f>
        <v>L10 Crypt</v>
      </c>
    </row>
    <row r="534" spans="1:6" x14ac:dyDescent="0.25">
      <c r="A534" s="14">
        <v>46144.277777777781</v>
      </c>
      <c r="B534" s="79" t="s">
        <v>149</v>
      </c>
      <c r="C534" s="79" t="s">
        <v>177</v>
      </c>
      <c r="D534" s="79" t="s">
        <v>156</v>
      </c>
      <c r="E534" s="79" t="s">
        <v>49</v>
      </c>
      <c r="F534" s="79" t="str">
        <f>IF(E534="", "", IF(COUNTIF(ChestType!$A$5:$A$195, E534)&gt;0, VLOOKUP(E534, ChestType!$A$5:$B$195, 2, 0), "Others"))</f>
        <v>L15 Crypt</v>
      </c>
    </row>
    <row r="535" spans="1:6" x14ac:dyDescent="0.25">
      <c r="A535" s="14">
        <v>46144.277777777781</v>
      </c>
      <c r="B535" s="79" t="s">
        <v>149</v>
      </c>
      <c r="C535" s="79" t="s">
        <v>177</v>
      </c>
      <c r="D535" s="79" t="s">
        <v>253</v>
      </c>
      <c r="E535" s="79" t="s">
        <v>50</v>
      </c>
      <c r="F535" s="79" t="str">
        <f>IF(E535="", "", IF(COUNTIF(ChestType!$A$5:$A$195, E535)&gt;0, VLOOKUP(E535, ChestType!$A$5:$B$195, 2, 0), "Others"))</f>
        <v>L10 Crypt</v>
      </c>
    </row>
    <row r="536" spans="1:6" x14ac:dyDescent="0.25">
      <c r="A536" s="14">
        <v>46144.277777777781</v>
      </c>
      <c r="B536" s="79" t="s">
        <v>149</v>
      </c>
      <c r="C536" s="79" t="s">
        <v>177</v>
      </c>
      <c r="D536" s="79" t="s">
        <v>163</v>
      </c>
      <c r="E536" s="79" t="s">
        <v>50</v>
      </c>
      <c r="F536" s="79" t="str">
        <f>IF(E536="", "", IF(COUNTIF(ChestType!$A$5:$A$195, E536)&gt;0, VLOOKUP(E536, ChestType!$A$5:$B$195, 2, 0), "Others"))</f>
        <v>L10 Crypt</v>
      </c>
    </row>
    <row r="537" spans="1:6" x14ac:dyDescent="0.25">
      <c r="A537" s="14">
        <v>46144.277777777781</v>
      </c>
      <c r="B537" s="79" t="s">
        <v>149</v>
      </c>
      <c r="C537" s="79" t="s">
        <v>171</v>
      </c>
      <c r="D537" s="79" t="s">
        <v>247</v>
      </c>
      <c r="E537" s="79" t="s">
        <v>52</v>
      </c>
      <c r="F537" s="79" t="str">
        <f>IF(E537="", "", IF(COUNTIF(ChestType!$A$5:$A$195, E537)&gt;0, VLOOKUP(E537, ChestType!$A$5:$B$195, 2, 0), "Others"))</f>
        <v>L5 Crypt</v>
      </c>
    </row>
    <row r="538" spans="1:6" x14ac:dyDescent="0.25">
      <c r="A538" s="14">
        <v>46144.277777777781</v>
      </c>
      <c r="B538" s="79" t="s">
        <v>149</v>
      </c>
      <c r="C538" s="79" t="s">
        <v>190</v>
      </c>
      <c r="D538" s="79" t="s">
        <v>253</v>
      </c>
      <c r="E538" s="79" t="s">
        <v>50</v>
      </c>
      <c r="F538" s="79" t="str">
        <f>IF(E538="", "", IF(COUNTIF(ChestType!$A$5:$A$195, E538)&gt;0, VLOOKUP(E538, ChestType!$A$5:$B$195, 2, 0), "Others"))</f>
        <v>L10 Crypt</v>
      </c>
    </row>
    <row r="539" spans="1:6" x14ac:dyDescent="0.25">
      <c r="A539" s="14">
        <v>46144.277777777781</v>
      </c>
      <c r="B539" s="79" t="s">
        <v>149</v>
      </c>
      <c r="C539" s="79" t="s">
        <v>182</v>
      </c>
      <c r="D539" s="79" t="s">
        <v>253</v>
      </c>
      <c r="E539" s="79" t="s">
        <v>52</v>
      </c>
      <c r="F539" s="79" t="str">
        <f>IF(E539="", "", IF(COUNTIF(ChestType!$A$5:$A$195, E539)&gt;0, VLOOKUP(E539, ChestType!$A$5:$B$195, 2, 0), "Others"))</f>
        <v>L5 Crypt</v>
      </c>
    </row>
    <row r="540" spans="1:6" x14ac:dyDescent="0.25">
      <c r="A540" s="14">
        <v>46144.277777777781</v>
      </c>
      <c r="B540" s="79" t="s">
        <v>149</v>
      </c>
      <c r="C540" s="79" t="s">
        <v>181</v>
      </c>
      <c r="D540" s="79" t="s">
        <v>156</v>
      </c>
      <c r="E540" s="79" t="s">
        <v>49</v>
      </c>
      <c r="F540" s="79" t="str">
        <f>IF(E540="", "", IF(COUNTIF(ChestType!$A$5:$A$195, E540)&gt;0, VLOOKUP(E540, ChestType!$A$5:$B$195, 2, 0), "Others"))</f>
        <v>L15 Crypt</v>
      </c>
    </row>
    <row r="541" spans="1:6" x14ac:dyDescent="0.25">
      <c r="A541" s="14">
        <v>46144.277777777781</v>
      </c>
      <c r="B541" s="79" t="s">
        <v>149</v>
      </c>
      <c r="C541" s="79" t="s">
        <v>184</v>
      </c>
      <c r="D541" s="79" t="s">
        <v>247</v>
      </c>
      <c r="E541" s="79" t="s">
        <v>50</v>
      </c>
      <c r="F541" s="79" t="str">
        <f>IF(E541="", "", IF(COUNTIF(ChestType!$A$5:$A$195, E541)&gt;0, VLOOKUP(E541, ChestType!$A$5:$B$195, 2, 0), "Others"))</f>
        <v>L10 Crypt</v>
      </c>
    </row>
    <row r="542" spans="1:6" x14ac:dyDescent="0.25">
      <c r="A542" s="14">
        <v>46144.277777777781</v>
      </c>
      <c r="B542" s="79" t="s">
        <v>149</v>
      </c>
      <c r="C542" s="79" t="s">
        <v>173</v>
      </c>
      <c r="D542" s="79" t="s">
        <v>156</v>
      </c>
      <c r="E542" s="79" t="s">
        <v>49</v>
      </c>
      <c r="F542" s="79" t="str">
        <f>IF(E542="", "", IF(COUNTIF(ChestType!$A$5:$A$195, E542)&gt;0, VLOOKUP(E542, ChestType!$A$5:$B$195, 2, 0), "Others"))</f>
        <v>L15 Crypt</v>
      </c>
    </row>
    <row r="543" spans="1:6" x14ac:dyDescent="0.25">
      <c r="A543" s="14">
        <v>46144.277777777781</v>
      </c>
      <c r="B543" s="79" t="s">
        <v>149</v>
      </c>
      <c r="C543" s="79" t="s">
        <v>175</v>
      </c>
      <c r="D543" s="79" t="s">
        <v>156</v>
      </c>
      <c r="E543" s="79" t="s">
        <v>49</v>
      </c>
      <c r="F543" s="79" t="str">
        <f>IF(E543="", "", IF(COUNTIF(ChestType!$A$5:$A$195, E543)&gt;0, VLOOKUP(E543, ChestType!$A$5:$B$195, 2, 0), "Others"))</f>
        <v>L15 Crypt</v>
      </c>
    </row>
    <row r="544" spans="1:6" x14ac:dyDescent="0.25">
      <c r="A544" s="14">
        <v>46144.277777777781</v>
      </c>
      <c r="B544" s="79" t="s">
        <v>149</v>
      </c>
      <c r="C544" s="79" t="s">
        <v>190</v>
      </c>
      <c r="D544" s="79" t="s">
        <v>156</v>
      </c>
      <c r="E544" s="79" t="s">
        <v>49</v>
      </c>
      <c r="F544" s="79" t="str">
        <f>IF(E544="", "", IF(COUNTIF(ChestType!$A$5:$A$195, E544)&gt;0, VLOOKUP(E544, ChestType!$A$5:$B$195, 2, 0), "Others"))</f>
        <v>L15 Crypt</v>
      </c>
    </row>
    <row r="545" spans="1:6" x14ac:dyDescent="0.25">
      <c r="A545" s="14">
        <v>46144.277777777781</v>
      </c>
      <c r="B545" s="79" t="s">
        <v>149</v>
      </c>
      <c r="C545" s="79" t="s">
        <v>173</v>
      </c>
      <c r="D545" s="79" t="s">
        <v>156</v>
      </c>
      <c r="E545" s="79" t="s">
        <v>49</v>
      </c>
      <c r="F545" s="79" t="str">
        <f>IF(E545="", "", IF(COUNTIF(ChestType!$A$5:$A$195, E545)&gt;0, VLOOKUP(E545, ChestType!$A$5:$B$195, 2, 0), "Others"))</f>
        <v>L15 Crypt</v>
      </c>
    </row>
    <row r="546" spans="1:6" x14ac:dyDescent="0.25">
      <c r="A546" s="14">
        <v>46144.277777777781</v>
      </c>
      <c r="B546" s="79" t="s">
        <v>149</v>
      </c>
      <c r="C546" s="79" t="s">
        <v>185</v>
      </c>
      <c r="D546" s="79" t="s">
        <v>156</v>
      </c>
      <c r="E546" s="79" t="s">
        <v>49</v>
      </c>
      <c r="F546" s="79" t="str">
        <f>IF(E546="", "", IF(COUNTIF(ChestType!$A$5:$A$195, E546)&gt;0, VLOOKUP(E546, ChestType!$A$5:$B$195, 2, 0), "Others"))</f>
        <v>L15 Crypt</v>
      </c>
    </row>
    <row r="547" spans="1:6" x14ac:dyDescent="0.25">
      <c r="A547" s="14">
        <v>46144.277777777781</v>
      </c>
      <c r="B547" s="79" t="s">
        <v>149</v>
      </c>
      <c r="C547" s="79" t="s">
        <v>192</v>
      </c>
      <c r="D547" s="79" t="s">
        <v>247</v>
      </c>
      <c r="E547" s="79" t="s">
        <v>60</v>
      </c>
      <c r="F547" s="79" t="str">
        <f>IF(E547="", "", IF(COUNTIF(ChestType!$A$5:$A$195, E547)&gt;0, VLOOKUP(E547, ChestType!$A$5:$B$195, 2, 0), "Others"))</f>
        <v>Others</v>
      </c>
    </row>
    <row r="548" spans="1:6" x14ac:dyDescent="0.25">
      <c r="A548" s="14">
        <v>46144.277777777781</v>
      </c>
      <c r="B548" s="79" t="s">
        <v>149</v>
      </c>
      <c r="C548" s="79" t="s">
        <v>175</v>
      </c>
      <c r="D548" s="79" t="s">
        <v>156</v>
      </c>
      <c r="E548" s="79" t="s">
        <v>49</v>
      </c>
      <c r="F548" s="79" t="str">
        <f>IF(E548="", "", IF(COUNTIF(ChestType!$A$5:$A$195, E548)&gt;0, VLOOKUP(E548, ChestType!$A$5:$B$195, 2, 0), "Others"))</f>
        <v>L15 Crypt</v>
      </c>
    </row>
    <row r="549" spans="1:6" x14ac:dyDescent="0.25">
      <c r="A549" s="14">
        <v>46144.277777777781</v>
      </c>
      <c r="B549" s="79" t="s">
        <v>149</v>
      </c>
      <c r="C549" s="79" t="s">
        <v>171</v>
      </c>
      <c r="D549" s="79" t="s">
        <v>253</v>
      </c>
      <c r="E549" s="79" t="s">
        <v>50</v>
      </c>
      <c r="F549" s="79" t="str">
        <f>IF(E549="", "", IF(COUNTIF(ChestType!$A$5:$A$195, E549)&gt;0, VLOOKUP(E549, ChestType!$A$5:$B$195, 2, 0), "Others"))</f>
        <v>L10 Crypt</v>
      </c>
    </row>
    <row r="550" spans="1:6" x14ac:dyDescent="0.25">
      <c r="A550" s="14">
        <v>46144.277777777781</v>
      </c>
      <c r="B550" s="79" t="s">
        <v>149</v>
      </c>
      <c r="C550" s="79" t="s">
        <v>184</v>
      </c>
      <c r="D550" s="79" t="s">
        <v>163</v>
      </c>
      <c r="E550" s="79" t="s">
        <v>49</v>
      </c>
      <c r="F550" s="79" t="str">
        <f>IF(E550="", "", IF(COUNTIF(ChestType!$A$5:$A$195, E550)&gt;0, VLOOKUP(E550, ChestType!$A$5:$B$195, 2, 0), "Others"))</f>
        <v>L15 Crypt</v>
      </c>
    </row>
    <row r="551" spans="1:6" x14ac:dyDescent="0.25">
      <c r="A551" s="14">
        <v>46144.277777777781</v>
      </c>
      <c r="B551" s="79" t="s">
        <v>149</v>
      </c>
      <c r="C551" s="79" t="s">
        <v>187</v>
      </c>
      <c r="D551" s="79" t="s">
        <v>222</v>
      </c>
      <c r="E551" s="79" t="s">
        <v>71</v>
      </c>
      <c r="F551" s="79" t="str">
        <f>IF(E551="", "", IF(COUNTIF(ChestType!$A$5:$A$195, E551)&gt;0, VLOOKUP(E551, ChestType!$A$5:$B$195, 2, 0), "Others"))</f>
        <v>L15 Rare Crypt</v>
      </c>
    </row>
    <row r="552" spans="1:6" x14ac:dyDescent="0.25">
      <c r="A552" s="14">
        <v>46144.277777777781</v>
      </c>
      <c r="B552" s="79" t="s">
        <v>149</v>
      </c>
      <c r="C552" s="79" t="s">
        <v>185</v>
      </c>
      <c r="D552" s="79" t="s">
        <v>156</v>
      </c>
      <c r="E552" s="79" t="s">
        <v>49</v>
      </c>
      <c r="F552" s="79" t="str">
        <f>IF(E552="", "", IF(COUNTIF(ChestType!$A$5:$A$195, E552)&gt;0, VLOOKUP(E552, ChestType!$A$5:$B$195, 2, 0), "Others"))</f>
        <v>L15 Crypt</v>
      </c>
    </row>
    <row r="553" spans="1:6" x14ac:dyDescent="0.25">
      <c r="A553" s="14">
        <v>46144.277777777781</v>
      </c>
      <c r="B553" s="79" t="s">
        <v>149</v>
      </c>
      <c r="C553" s="79" t="s">
        <v>151</v>
      </c>
      <c r="D553" s="79" t="s">
        <v>156</v>
      </c>
      <c r="E553" s="79" t="s">
        <v>49</v>
      </c>
      <c r="F553" s="79" t="str">
        <f>IF(E553="", "", IF(COUNTIF(ChestType!$A$5:$A$195, E553)&gt;0, VLOOKUP(E553, ChestType!$A$5:$B$195, 2, 0), "Others"))</f>
        <v>L15 Crypt</v>
      </c>
    </row>
    <row r="554" spans="1:6" x14ac:dyDescent="0.25">
      <c r="A554" s="14">
        <v>46144.277777777781</v>
      </c>
      <c r="B554" s="79" t="s">
        <v>149</v>
      </c>
      <c r="C554" s="79" t="s">
        <v>190</v>
      </c>
      <c r="D554" s="79" t="s">
        <v>156</v>
      </c>
      <c r="E554" s="79" t="s">
        <v>49</v>
      </c>
      <c r="F554" s="79" t="str">
        <f>IF(E554="", "", IF(COUNTIF(ChestType!$A$5:$A$195, E554)&gt;0, VLOOKUP(E554, ChestType!$A$5:$B$195, 2, 0), "Others"))</f>
        <v>L15 Crypt</v>
      </c>
    </row>
    <row r="555" spans="1:6" x14ac:dyDescent="0.25">
      <c r="A555" s="14">
        <v>46144.277777777781</v>
      </c>
      <c r="B555" s="79" t="s">
        <v>149</v>
      </c>
      <c r="C555" s="79" t="s">
        <v>190</v>
      </c>
      <c r="D555" s="79" t="s">
        <v>156</v>
      </c>
      <c r="E555" s="79" t="s">
        <v>49</v>
      </c>
      <c r="F555" s="79" t="str">
        <f>IF(E555="", "", IF(COUNTIF(ChestType!$A$5:$A$195, E555)&gt;0, VLOOKUP(E555, ChestType!$A$5:$B$195, 2, 0), "Others"))</f>
        <v>L15 Crypt</v>
      </c>
    </row>
    <row r="556" spans="1:6" x14ac:dyDescent="0.25">
      <c r="A556" s="14">
        <v>46144.277777777781</v>
      </c>
      <c r="B556" s="79" t="s">
        <v>149</v>
      </c>
      <c r="C556" s="79" t="s">
        <v>171</v>
      </c>
      <c r="D556" s="79" t="s">
        <v>253</v>
      </c>
      <c r="E556" s="79" t="s">
        <v>50</v>
      </c>
      <c r="F556" s="79" t="str">
        <f>IF(E556="", "", IF(COUNTIF(ChestType!$A$5:$A$195, E556)&gt;0, VLOOKUP(E556, ChestType!$A$5:$B$195, 2, 0), "Others"))</f>
        <v>L10 Crypt</v>
      </c>
    </row>
    <row r="557" spans="1:6" x14ac:dyDescent="0.25">
      <c r="A557" s="14">
        <v>46144.277777777781</v>
      </c>
      <c r="B557" s="79" t="s">
        <v>149</v>
      </c>
      <c r="C557" s="79" t="s">
        <v>190</v>
      </c>
      <c r="D557" s="79" t="s">
        <v>156</v>
      </c>
      <c r="E557" s="79" t="s">
        <v>49</v>
      </c>
      <c r="F557" s="79" t="str">
        <f>IF(E557="", "", IF(COUNTIF(ChestType!$A$5:$A$195, E557)&gt;0, VLOOKUP(E557, ChestType!$A$5:$B$195, 2, 0), "Others"))</f>
        <v>L15 Crypt</v>
      </c>
    </row>
    <row r="558" spans="1:6" x14ac:dyDescent="0.25">
      <c r="A558" s="14">
        <v>46144.277777777781</v>
      </c>
      <c r="B558" s="79" t="s">
        <v>149</v>
      </c>
      <c r="C558" s="79" t="s">
        <v>177</v>
      </c>
      <c r="D558" s="79" t="s">
        <v>156</v>
      </c>
      <c r="E558" s="79" t="s">
        <v>49</v>
      </c>
      <c r="F558" s="79" t="str">
        <f>IF(E558="", "", IF(COUNTIF(ChestType!$A$5:$A$195, E558)&gt;0, VLOOKUP(E558, ChestType!$A$5:$B$195, 2, 0), "Others"))</f>
        <v>L15 Crypt</v>
      </c>
    </row>
    <row r="559" spans="1:6" x14ac:dyDescent="0.25">
      <c r="A559" s="14">
        <v>46144.277777777781</v>
      </c>
      <c r="B559" s="79" t="s">
        <v>149</v>
      </c>
      <c r="C559" s="79" t="s">
        <v>255</v>
      </c>
      <c r="D559" s="79" t="s">
        <v>222</v>
      </c>
      <c r="E559" s="79" t="s">
        <v>256</v>
      </c>
      <c r="F559" s="79" t="str">
        <f>IF(E559="", "", IF(COUNTIF(ChestType!$A$5:$A$195, E559)&gt;0, VLOOKUP(E559, ChestType!$A$5:$B$195, 2, 0), "Others"))</f>
        <v>Others</v>
      </c>
    </row>
    <row r="560" spans="1:6" x14ac:dyDescent="0.25">
      <c r="A560" s="14">
        <v>46144.277777777781</v>
      </c>
      <c r="B560" s="79" t="s">
        <v>149</v>
      </c>
      <c r="C560" s="79" t="s">
        <v>255</v>
      </c>
      <c r="D560" s="79" t="s">
        <v>222</v>
      </c>
      <c r="E560" s="79" t="s">
        <v>256</v>
      </c>
      <c r="F560" s="79" t="str">
        <f>IF(E560="", "", IF(COUNTIF(ChestType!$A$5:$A$195, E560)&gt;0, VLOOKUP(E560, ChestType!$A$5:$B$195, 2, 0), "Others"))</f>
        <v>Others</v>
      </c>
    </row>
    <row r="561" spans="1:6" x14ac:dyDescent="0.25">
      <c r="A561" s="14">
        <v>46144.277777777781</v>
      </c>
      <c r="B561" s="79" t="s">
        <v>149</v>
      </c>
      <c r="C561" s="79" t="s">
        <v>182</v>
      </c>
      <c r="D561" s="79" t="s">
        <v>253</v>
      </c>
      <c r="E561" s="79" t="s">
        <v>50</v>
      </c>
      <c r="F561" s="79" t="str">
        <f>IF(E561="", "", IF(COUNTIF(ChestType!$A$5:$A$195, E561)&gt;0, VLOOKUP(E561, ChestType!$A$5:$B$195, 2, 0), "Others"))</f>
        <v>L10 Crypt</v>
      </c>
    </row>
    <row r="562" spans="1:6" x14ac:dyDescent="0.25">
      <c r="A562" s="14">
        <v>46144.277777777781</v>
      </c>
      <c r="B562" s="79" t="s">
        <v>149</v>
      </c>
      <c r="C562" s="79" t="s">
        <v>255</v>
      </c>
      <c r="D562" s="79" t="s">
        <v>163</v>
      </c>
      <c r="E562" s="79" t="s">
        <v>256</v>
      </c>
      <c r="F562" s="79" t="str">
        <f>IF(E562="", "", IF(COUNTIF(ChestType!$A$5:$A$195, E562)&gt;0, VLOOKUP(E562, ChestType!$A$5:$B$195, 2, 0), "Others"))</f>
        <v>Others</v>
      </c>
    </row>
    <row r="563" spans="1:6" x14ac:dyDescent="0.25">
      <c r="A563" s="14">
        <v>46144.277777777781</v>
      </c>
      <c r="B563" s="79" t="s">
        <v>149</v>
      </c>
      <c r="C563" s="79" t="s">
        <v>200</v>
      </c>
      <c r="D563" s="79" t="s">
        <v>245</v>
      </c>
      <c r="E563" s="79" t="s">
        <v>125</v>
      </c>
      <c r="F563" s="79" t="str">
        <f>IF(E563="", "", IF(COUNTIF(ChestType!$A$5:$A$195, E563)&gt;0, VLOOKUP(E563, ChestType!$A$5:$B$195, 2, 0), "Others"))</f>
        <v>Ancients Vault</v>
      </c>
    </row>
    <row r="564" spans="1:6" x14ac:dyDescent="0.25">
      <c r="A564" s="14">
        <v>46144.277777777781</v>
      </c>
      <c r="B564" s="79" t="s">
        <v>149</v>
      </c>
      <c r="C564" s="79" t="s">
        <v>184</v>
      </c>
      <c r="D564" s="79" t="s">
        <v>245</v>
      </c>
      <c r="E564" s="79" t="s">
        <v>49</v>
      </c>
      <c r="F564" s="79" t="str">
        <f>IF(E564="", "", IF(COUNTIF(ChestType!$A$5:$A$195, E564)&gt;0, VLOOKUP(E564, ChestType!$A$5:$B$195, 2, 0), "Others"))</f>
        <v>L15 Crypt</v>
      </c>
    </row>
    <row r="565" spans="1:6" x14ac:dyDescent="0.25">
      <c r="A565" s="14">
        <v>46144.277777777781</v>
      </c>
      <c r="B565" s="79" t="s">
        <v>149</v>
      </c>
      <c r="C565" s="79" t="s">
        <v>158</v>
      </c>
      <c r="D565" s="79" t="s">
        <v>253</v>
      </c>
      <c r="E565" s="79" t="s">
        <v>52</v>
      </c>
      <c r="F565" s="79" t="str">
        <f>IF(E565="", "", IF(COUNTIF(ChestType!$A$5:$A$195, E565)&gt;0, VLOOKUP(E565, ChestType!$A$5:$B$195, 2, 0), "Others"))</f>
        <v>L5 Crypt</v>
      </c>
    </row>
    <row r="566" spans="1:6" x14ac:dyDescent="0.25">
      <c r="A566" s="14">
        <v>46144.277777777781</v>
      </c>
      <c r="B566" s="79" t="s">
        <v>149</v>
      </c>
      <c r="C566" s="79" t="s">
        <v>171</v>
      </c>
      <c r="D566" s="79" t="s">
        <v>163</v>
      </c>
      <c r="E566" s="79" t="s">
        <v>50</v>
      </c>
      <c r="F566" s="79" t="str">
        <f>IF(E566="", "", IF(COUNTIF(ChestType!$A$5:$A$195, E566)&gt;0, VLOOKUP(E566, ChestType!$A$5:$B$195, 2, 0), "Others"))</f>
        <v>L10 Crypt</v>
      </c>
    </row>
    <row r="567" spans="1:6" x14ac:dyDescent="0.25">
      <c r="A567" s="14">
        <v>46144.277777777781</v>
      </c>
      <c r="B567" s="79" t="s">
        <v>149</v>
      </c>
      <c r="C567" s="79" t="s">
        <v>255</v>
      </c>
      <c r="D567" s="79" t="s">
        <v>245</v>
      </c>
      <c r="E567" s="79" t="s">
        <v>256</v>
      </c>
      <c r="F567" s="79" t="str">
        <f>IF(E567="", "", IF(COUNTIF(ChestType!$A$5:$A$195, E567)&gt;0, VLOOKUP(E567, ChestType!$A$5:$B$195, 2, 0), "Others"))</f>
        <v>Others</v>
      </c>
    </row>
    <row r="568" spans="1:6" x14ac:dyDescent="0.25">
      <c r="A568" s="14">
        <v>46144.277777777781</v>
      </c>
      <c r="B568" s="79" t="s">
        <v>149</v>
      </c>
      <c r="C568" s="79" t="s">
        <v>255</v>
      </c>
      <c r="D568" s="79" t="s">
        <v>245</v>
      </c>
      <c r="E568" s="79" t="s">
        <v>256</v>
      </c>
      <c r="F568" s="79" t="str">
        <f>IF(E568="", "", IF(COUNTIF(ChestType!$A$5:$A$195, E568)&gt;0, VLOOKUP(E568, ChestType!$A$5:$B$195, 2, 0), "Others"))</f>
        <v>Others</v>
      </c>
    </row>
    <row r="569" spans="1:6" x14ac:dyDescent="0.25">
      <c r="A569" s="14">
        <v>46144.277777777781</v>
      </c>
      <c r="B569" s="79" t="s">
        <v>149</v>
      </c>
      <c r="C569" s="79" t="s">
        <v>215</v>
      </c>
      <c r="D569" s="79" t="s">
        <v>163</v>
      </c>
      <c r="E569" s="79" t="s">
        <v>64</v>
      </c>
      <c r="F569" s="79" t="str">
        <f>IF(E569="", "", IF(COUNTIF(ChestType!$A$5:$A$195, E569)&gt;0, VLOOKUP(E569, ChestType!$A$5:$B$195, 2, 0), "Others"))</f>
        <v>L15 Epic Crypt</v>
      </c>
    </row>
    <row r="570" spans="1:6" x14ac:dyDescent="0.25">
      <c r="A570" s="14">
        <v>46144.277777777781</v>
      </c>
      <c r="B570" s="79" t="s">
        <v>149</v>
      </c>
      <c r="C570" s="79" t="s">
        <v>175</v>
      </c>
      <c r="D570" s="79" t="s">
        <v>240</v>
      </c>
      <c r="E570" s="79" t="s">
        <v>50</v>
      </c>
      <c r="F570" s="79" t="str">
        <f>IF(E570="", "", IF(COUNTIF(ChestType!$A$5:$A$195, E570)&gt;0, VLOOKUP(E570, ChestType!$A$5:$B$195, 2, 0), "Others"))</f>
        <v>L10 Crypt</v>
      </c>
    </row>
    <row r="571" spans="1:6" x14ac:dyDescent="0.25">
      <c r="A571" s="14">
        <v>46144.277777777781</v>
      </c>
      <c r="B571" s="79" t="s">
        <v>149</v>
      </c>
      <c r="C571" s="79" t="s">
        <v>190</v>
      </c>
      <c r="D571" s="79" t="s">
        <v>163</v>
      </c>
      <c r="E571" s="79" t="s">
        <v>52</v>
      </c>
      <c r="F571" s="79" t="str">
        <f>IF(E571="", "", IF(COUNTIF(ChestType!$A$5:$A$195, E571)&gt;0, VLOOKUP(E571, ChestType!$A$5:$B$195, 2, 0), "Others"))</f>
        <v>L5 Crypt</v>
      </c>
    </row>
    <row r="572" spans="1:6" x14ac:dyDescent="0.25">
      <c r="A572" s="14">
        <v>46144.277777777781</v>
      </c>
      <c r="B572" s="79" t="s">
        <v>149</v>
      </c>
      <c r="C572" s="79" t="s">
        <v>175</v>
      </c>
      <c r="D572" s="79" t="s">
        <v>253</v>
      </c>
      <c r="E572" s="79" t="s">
        <v>50</v>
      </c>
      <c r="F572" s="79" t="str">
        <f>IF(E572="", "", IF(COUNTIF(ChestType!$A$5:$A$195, E572)&gt;0, VLOOKUP(E572, ChestType!$A$5:$B$195, 2, 0), "Others"))</f>
        <v>L10 Crypt</v>
      </c>
    </row>
    <row r="573" spans="1:6" x14ac:dyDescent="0.25">
      <c r="A573" s="14">
        <v>46144.277777777781</v>
      </c>
      <c r="B573" s="79" t="s">
        <v>149</v>
      </c>
      <c r="C573" s="79" t="s">
        <v>177</v>
      </c>
      <c r="D573" s="79" t="s">
        <v>163</v>
      </c>
      <c r="E573" s="79" t="s">
        <v>50</v>
      </c>
      <c r="F573" s="79" t="str">
        <f>IF(E573="", "", IF(COUNTIF(ChestType!$A$5:$A$195, E573)&gt;0, VLOOKUP(E573, ChestType!$A$5:$B$195, 2, 0), "Others"))</f>
        <v>L10 Crypt</v>
      </c>
    </row>
    <row r="574" spans="1:6" x14ac:dyDescent="0.25">
      <c r="A574" s="14">
        <v>46144.277777777781</v>
      </c>
      <c r="B574" s="79" t="s">
        <v>149</v>
      </c>
      <c r="C574" s="79" t="s">
        <v>190</v>
      </c>
      <c r="D574" s="79" t="s">
        <v>247</v>
      </c>
      <c r="E574" s="79" t="s">
        <v>50</v>
      </c>
      <c r="F574" s="79" t="str">
        <f>IF(E574="", "", IF(COUNTIF(ChestType!$A$5:$A$195, E574)&gt;0, VLOOKUP(E574, ChestType!$A$5:$B$195, 2, 0), "Others"))</f>
        <v>L10 Crypt</v>
      </c>
    </row>
    <row r="575" spans="1:6" x14ac:dyDescent="0.25">
      <c r="A575" s="14">
        <v>46144.277777777781</v>
      </c>
      <c r="B575" s="79" t="s">
        <v>149</v>
      </c>
      <c r="C575" s="79" t="s">
        <v>182</v>
      </c>
      <c r="D575" s="79" t="s">
        <v>240</v>
      </c>
      <c r="E575" s="79" t="s">
        <v>50</v>
      </c>
      <c r="F575" s="79" t="str">
        <f>IF(E575="", "", IF(COUNTIF(ChestType!$A$5:$A$195, E575)&gt;0, VLOOKUP(E575, ChestType!$A$5:$B$195, 2, 0), "Others"))</f>
        <v>L10 Crypt</v>
      </c>
    </row>
    <row r="576" spans="1:6" x14ac:dyDescent="0.25">
      <c r="A576" s="14">
        <v>46144.277777777781</v>
      </c>
      <c r="B576" s="79" t="s">
        <v>149</v>
      </c>
      <c r="C576" s="79" t="s">
        <v>190</v>
      </c>
      <c r="D576" s="79" t="s">
        <v>240</v>
      </c>
      <c r="E576" s="79" t="s">
        <v>52</v>
      </c>
      <c r="F576" s="79" t="str">
        <f>IF(E576="", "", IF(COUNTIF(ChestType!$A$5:$A$195, E576)&gt;0, VLOOKUP(E576, ChestType!$A$5:$B$195, 2, 0), "Others"))</f>
        <v>L5 Crypt</v>
      </c>
    </row>
    <row r="577" spans="1:6" x14ac:dyDescent="0.25">
      <c r="A577" s="14">
        <v>46144.277777777781</v>
      </c>
      <c r="B577" s="79" t="s">
        <v>149</v>
      </c>
      <c r="C577" s="79" t="s">
        <v>183</v>
      </c>
      <c r="D577" s="79" t="s">
        <v>240</v>
      </c>
      <c r="E577" s="79" t="s">
        <v>50</v>
      </c>
      <c r="F577" s="79" t="str">
        <f>IF(E577="", "", IF(COUNTIF(ChestType!$A$5:$A$195, E577)&gt;0, VLOOKUP(E577, ChestType!$A$5:$B$195, 2, 0), "Others"))</f>
        <v>L10 Crypt</v>
      </c>
    </row>
    <row r="578" spans="1:6" x14ac:dyDescent="0.25">
      <c r="A578" s="14">
        <v>46144.277777777781</v>
      </c>
      <c r="B578" s="79" t="s">
        <v>149</v>
      </c>
      <c r="C578" s="79" t="s">
        <v>184</v>
      </c>
      <c r="D578" s="79" t="s">
        <v>240</v>
      </c>
      <c r="E578" s="79" t="s">
        <v>50</v>
      </c>
      <c r="F578" s="79" t="str">
        <f>IF(E578="", "", IF(COUNTIF(ChestType!$A$5:$A$195, E578)&gt;0, VLOOKUP(E578, ChestType!$A$5:$B$195, 2, 0), "Others"))</f>
        <v>L10 Crypt</v>
      </c>
    </row>
    <row r="579" spans="1:6" x14ac:dyDescent="0.25">
      <c r="A579" s="14">
        <v>46144.277777777781</v>
      </c>
      <c r="B579" s="79" t="s">
        <v>149</v>
      </c>
      <c r="C579" s="79" t="s">
        <v>172</v>
      </c>
      <c r="D579" s="79" t="s">
        <v>222</v>
      </c>
      <c r="E579" s="79" t="s">
        <v>64</v>
      </c>
      <c r="F579" s="79" t="str">
        <f>IF(E579="", "", IF(COUNTIF(ChestType!$A$5:$A$195, E579)&gt;0, VLOOKUP(E579, ChestType!$A$5:$B$195, 2, 0), "Others"))</f>
        <v>L15 Epic Crypt</v>
      </c>
    </row>
    <row r="580" spans="1:6" x14ac:dyDescent="0.25">
      <c r="A580" s="14">
        <v>46144.277777777781</v>
      </c>
      <c r="B580" s="79" t="s">
        <v>149</v>
      </c>
      <c r="C580" s="79" t="s">
        <v>220</v>
      </c>
      <c r="D580" s="79" t="s">
        <v>222</v>
      </c>
      <c r="E580" s="79" t="s">
        <v>65</v>
      </c>
      <c r="F580" s="79" t="str">
        <f>IF(E580="", "", IF(COUNTIF(ChestType!$A$5:$A$195, E580)&gt;0, VLOOKUP(E580, ChestType!$A$5:$B$195, 2, 0), "Others"))</f>
        <v>L20 Epic Crypt</v>
      </c>
    </row>
    <row r="581" spans="1:6" x14ac:dyDescent="0.25">
      <c r="A581" s="14">
        <v>46144.277777777781</v>
      </c>
      <c r="B581" s="79" t="s">
        <v>149</v>
      </c>
      <c r="C581" s="79" t="s">
        <v>185</v>
      </c>
      <c r="D581" s="79" t="s">
        <v>155</v>
      </c>
      <c r="E581" s="79" t="s">
        <v>50</v>
      </c>
      <c r="F581" s="79" t="str">
        <f>IF(E581="", "", IF(COUNTIF(ChestType!$A$5:$A$195, E581)&gt;0, VLOOKUP(E581, ChestType!$A$5:$B$195, 2, 0), "Others"))</f>
        <v>L10 Crypt</v>
      </c>
    </row>
    <row r="582" spans="1:6" x14ac:dyDescent="0.25">
      <c r="A582" s="14">
        <v>46144.277777777781</v>
      </c>
      <c r="B582" s="79" t="s">
        <v>149</v>
      </c>
      <c r="C582" s="79" t="s">
        <v>175</v>
      </c>
      <c r="D582" s="79" t="s">
        <v>155</v>
      </c>
      <c r="E582" s="79" t="s">
        <v>50</v>
      </c>
      <c r="F582" s="79" t="str">
        <f>IF(E582="", "", IF(COUNTIF(ChestType!$A$5:$A$195, E582)&gt;0, VLOOKUP(E582, ChestType!$A$5:$B$195, 2, 0), "Others"))</f>
        <v>L10 Crypt</v>
      </c>
    </row>
    <row r="583" spans="1:6" x14ac:dyDescent="0.25">
      <c r="A583" s="14">
        <v>46144.277777777781</v>
      </c>
      <c r="B583" s="79" t="s">
        <v>149</v>
      </c>
      <c r="C583" s="79" t="s">
        <v>255</v>
      </c>
      <c r="D583" s="79" t="s">
        <v>222</v>
      </c>
      <c r="E583" s="79" t="s">
        <v>256</v>
      </c>
      <c r="F583" s="79" t="str">
        <f>IF(E583="", "", IF(COUNTIF(ChestType!$A$5:$A$195, E583)&gt;0, VLOOKUP(E583, ChestType!$A$5:$B$195, 2, 0), "Others"))</f>
        <v>Others</v>
      </c>
    </row>
    <row r="584" spans="1:6" x14ac:dyDescent="0.25">
      <c r="A584" s="14">
        <v>46144.277777777781</v>
      </c>
      <c r="B584" s="79" t="s">
        <v>149</v>
      </c>
      <c r="C584" s="79" t="s">
        <v>255</v>
      </c>
      <c r="D584" s="79" t="s">
        <v>222</v>
      </c>
      <c r="E584" s="79" t="s">
        <v>256</v>
      </c>
      <c r="F584" s="79" t="str">
        <f>IF(E584="", "", IF(COUNTIF(ChestType!$A$5:$A$195, E584)&gt;0, VLOOKUP(E584, ChestType!$A$5:$B$195, 2, 0), "Others"))</f>
        <v>Others</v>
      </c>
    </row>
    <row r="585" spans="1:6" x14ac:dyDescent="0.25">
      <c r="A585" s="14">
        <v>46144.277777777781</v>
      </c>
      <c r="B585" s="79" t="s">
        <v>149</v>
      </c>
      <c r="C585" s="79" t="s">
        <v>176</v>
      </c>
      <c r="D585" s="79" t="s">
        <v>247</v>
      </c>
      <c r="E585" s="79" t="s">
        <v>70</v>
      </c>
      <c r="F585" s="79" t="str">
        <f>IF(E585="", "", IF(COUNTIF(ChestType!$A$5:$A$195, E585)&gt;0, VLOOKUP(E585, ChestType!$A$5:$B$195, 2, 0), "Others"))</f>
        <v>L10 Citadel</v>
      </c>
    </row>
    <row r="586" spans="1:6" x14ac:dyDescent="0.25">
      <c r="A586" s="14">
        <v>46144.277777777781</v>
      </c>
      <c r="B586" s="79" t="s">
        <v>149</v>
      </c>
      <c r="C586" s="79" t="s">
        <v>151</v>
      </c>
      <c r="D586" s="79" t="s">
        <v>155</v>
      </c>
      <c r="E586" s="79" t="s">
        <v>50</v>
      </c>
      <c r="F586" s="79" t="str">
        <f>IF(E586="", "", IF(COUNTIF(ChestType!$A$5:$A$195, E586)&gt;0, VLOOKUP(E586, ChestType!$A$5:$B$195, 2, 0), "Others"))</f>
        <v>L10 Crypt</v>
      </c>
    </row>
    <row r="587" spans="1:6" x14ac:dyDescent="0.25">
      <c r="A587" s="14">
        <v>46144.277777777781</v>
      </c>
      <c r="B587" s="79" t="s">
        <v>149</v>
      </c>
      <c r="C587" s="79" t="s">
        <v>192</v>
      </c>
      <c r="D587" s="79" t="s">
        <v>155</v>
      </c>
      <c r="E587" s="79" t="s">
        <v>60</v>
      </c>
      <c r="F587" s="79" t="str">
        <f>IF(E587="", "", IF(COUNTIF(ChestType!$A$5:$A$195, E587)&gt;0, VLOOKUP(E587, ChestType!$A$5:$B$195, 2, 0), "Others"))</f>
        <v>Others</v>
      </c>
    </row>
    <row r="588" spans="1:6" x14ac:dyDescent="0.25">
      <c r="A588" s="14">
        <v>46144.277777777781</v>
      </c>
      <c r="B588" s="79" t="s">
        <v>149</v>
      </c>
      <c r="C588" s="79" t="s">
        <v>213</v>
      </c>
      <c r="D588" s="79" t="s">
        <v>222</v>
      </c>
      <c r="E588" s="79" t="s">
        <v>64</v>
      </c>
      <c r="F588" s="79" t="str">
        <f>IF(E588="", "", IF(COUNTIF(ChestType!$A$5:$A$195, E588)&gt;0, VLOOKUP(E588, ChestType!$A$5:$B$195, 2, 0), "Others"))</f>
        <v>L15 Epic Crypt</v>
      </c>
    </row>
    <row r="589" spans="1:6" x14ac:dyDescent="0.25">
      <c r="A589" s="14">
        <v>46144.277777777781</v>
      </c>
      <c r="B589" s="79" t="s">
        <v>149</v>
      </c>
      <c r="C589" s="79" t="s">
        <v>177</v>
      </c>
      <c r="D589" s="79" t="s">
        <v>236</v>
      </c>
      <c r="E589" s="79" t="s">
        <v>50</v>
      </c>
      <c r="F589" s="79" t="str">
        <f>IF(E589="", "", IF(COUNTIF(ChestType!$A$5:$A$195, E589)&gt;0, VLOOKUP(E589, ChestType!$A$5:$B$195, 2, 0), "Others"))</f>
        <v>L10 Crypt</v>
      </c>
    </row>
    <row r="590" spans="1:6" x14ac:dyDescent="0.25">
      <c r="A590" s="14">
        <v>46144.277777777781</v>
      </c>
      <c r="B590" s="79" t="s">
        <v>149</v>
      </c>
      <c r="C590" s="79" t="s">
        <v>200</v>
      </c>
      <c r="D590" s="79" t="s">
        <v>236</v>
      </c>
      <c r="E590" s="79" t="s">
        <v>123</v>
      </c>
      <c r="F590" s="79" t="str">
        <f>IF(E590="", "", IF(COUNTIF(ChestType!$A$5:$A$195, E590)&gt;0, VLOOKUP(E590, ChestType!$A$5:$B$195, 2, 0), "Others"))</f>
        <v>Ancients Vault</v>
      </c>
    </row>
    <row r="591" spans="1:6" x14ac:dyDescent="0.25">
      <c r="A591" s="14">
        <v>46144.277777777781</v>
      </c>
      <c r="B591" s="79" t="s">
        <v>149</v>
      </c>
      <c r="C591" s="79" t="s">
        <v>173</v>
      </c>
      <c r="D591" s="79" t="s">
        <v>166</v>
      </c>
      <c r="E591" s="79" t="s">
        <v>50</v>
      </c>
      <c r="F591" s="79" t="str">
        <f>IF(E591="", "", IF(COUNTIF(ChestType!$A$5:$A$195, E591)&gt;0, VLOOKUP(E591, ChestType!$A$5:$B$195, 2, 0), "Others"))</f>
        <v>L10 Crypt</v>
      </c>
    </row>
    <row r="592" spans="1:6" x14ac:dyDescent="0.25">
      <c r="A592" s="14">
        <v>46144.277777777781</v>
      </c>
      <c r="B592" s="79" t="s">
        <v>149</v>
      </c>
      <c r="C592" s="79" t="s">
        <v>175</v>
      </c>
      <c r="D592" s="79" t="s">
        <v>156</v>
      </c>
      <c r="E592" s="79" t="s">
        <v>49</v>
      </c>
      <c r="F592" s="79" t="str">
        <f>IF(E592="", "", IF(COUNTIF(ChestType!$A$5:$A$195, E592)&gt;0, VLOOKUP(E592, ChestType!$A$5:$B$195, 2, 0), "Others"))</f>
        <v>L15 Crypt</v>
      </c>
    </row>
    <row r="593" spans="1:6" x14ac:dyDescent="0.25">
      <c r="A593" s="14">
        <v>46144.277777777781</v>
      </c>
      <c r="B593" s="79" t="s">
        <v>149</v>
      </c>
      <c r="C593" s="79" t="s">
        <v>177</v>
      </c>
      <c r="D593" s="79" t="s">
        <v>163</v>
      </c>
      <c r="E593" s="79" t="s">
        <v>52</v>
      </c>
      <c r="F593" s="79" t="str">
        <f>IF(E593="", "", IF(COUNTIF(ChestType!$A$5:$A$195, E593)&gt;0, VLOOKUP(E593, ChestType!$A$5:$B$195, 2, 0), "Others"))</f>
        <v>L5 Crypt</v>
      </c>
    </row>
    <row r="594" spans="1:6" x14ac:dyDescent="0.25">
      <c r="A594" s="14">
        <v>46144.277777777781</v>
      </c>
      <c r="B594" s="79" t="s">
        <v>149</v>
      </c>
      <c r="C594" s="79" t="s">
        <v>182</v>
      </c>
      <c r="D594" s="79" t="s">
        <v>236</v>
      </c>
      <c r="E594" s="79" t="s">
        <v>50</v>
      </c>
      <c r="F594" s="79" t="str">
        <f>IF(E594="", "", IF(COUNTIF(ChestType!$A$5:$A$195, E594)&gt;0, VLOOKUP(E594, ChestType!$A$5:$B$195, 2, 0), "Others"))</f>
        <v>L10 Crypt</v>
      </c>
    </row>
    <row r="595" spans="1:6" x14ac:dyDescent="0.25">
      <c r="A595" s="14">
        <v>46144.277777777781</v>
      </c>
      <c r="B595" s="79" t="s">
        <v>149</v>
      </c>
      <c r="C595" s="79" t="s">
        <v>255</v>
      </c>
      <c r="D595" s="79" t="s">
        <v>222</v>
      </c>
      <c r="E595" s="79" t="s">
        <v>256</v>
      </c>
      <c r="F595" s="79" t="str">
        <f>IF(E595="", "", IF(COUNTIF(ChestType!$A$5:$A$195, E595)&gt;0, VLOOKUP(E595, ChestType!$A$5:$B$195, 2, 0), "Others"))</f>
        <v>Others</v>
      </c>
    </row>
    <row r="596" spans="1:6" x14ac:dyDescent="0.25">
      <c r="A596" s="14">
        <v>46144.277777777781</v>
      </c>
      <c r="B596" s="79" t="s">
        <v>149</v>
      </c>
      <c r="C596" s="79" t="s">
        <v>255</v>
      </c>
      <c r="D596" s="79" t="s">
        <v>222</v>
      </c>
      <c r="E596" s="79" t="s">
        <v>256</v>
      </c>
      <c r="F596" s="79" t="str">
        <f>IF(E596="", "", IF(COUNTIF(ChestType!$A$5:$A$195, E596)&gt;0, VLOOKUP(E596, ChestType!$A$5:$B$195, 2, 0), "Others"))</f>
        <v>Others</v>
      </c>
    </row>
    <row r="597" spans="1:6" x14ac:dyDescent="0.25">
      <c r="A597" s="14">
        <v>46144.277777777781</v>
      </c>
      <c r="B597" s="79" t="s">
        <v>149</v>
      </c>
      <c r="C597" s="79" t="s">
        <v>255</v>
      </c>
      <c r="D597" s="79" t="s">
        <v>159</v>
      </c>
      <c r="E597" s="79" t="s">
        <v>256</v>
      </c>
      <c r="F597" s="79" t="str">
        <f>IF(E597="", "", IF(COUNTIF(ChestType!$A$5:$A$195, E597)&gt;0, VLOOKUP(E597, ChestType!$A$5:$B$195, 2, 0), "Others"))</f>
        <v>Others</v>
      </c>
    </row>
    <row r="598" spans="1:6" x14ac:dyDescent="0.25">
      <c r="A598" s="14">
        <v>46144.277777777781</v>
      </c>
      <c r="B598" s="79" t="s">
        <v>149</v>
      </c>
      <c r="C598" s="79" t="s">
        <v>177</v>
      </c>
      <c r="D598" s="79" t="s">
        <v>251</v>
      </c>
      <c r="E598" s="79" t="s">
        <v>49</v>
      </c>
      <c r="F598" s="79" t="str">
        <f>IF(E598="", "", IF(COUNTIF(ChestType!$A$5:$A$195, E598)&gt;0, VLOOKUP(E598, ChestType!$A$5:$B$195, 2, 0), "Others"))</f>
        <v>L15 Crypt</v>
      </c>
    </row>
    <row r="599" spans="1:6" x14ac:dyDescent="0.25">
      <c r="A599" s="14">
        <v>46144.277777777781</v>
      </c>
      <c r="B599" s="79" t="s">
        <v>149</v>
      </c>
      <c r="C599" s="79" t="s">
        <v>176</v>
      </c>
      <c r="D599" s="79" t="s">
        <v>222</v>
      </c>
      <c r="E599" s="79" t="s">
        <v>44</v>
      </c>
      <c r="F599" s="79" t="str">
        <f>IF(E599="", "", IF(COUNTIF(ChestType!$A$5:$A$195, E599)&gt;0, VLOOKUP(E599, ChestType!$A$5:$B$195, 2, 0), "Others"))</f>
        <v>L20 Citadel</v>
      </c>
    </row>
    <row r="600" spans="1:6" x14ac:dyDescent="0.25">
      <c r="A600" s="14">
        <v>46144.277777777781</v>
      </c>
      <c r="B600" s="79" t="s">
        <v>149</v>
      </c>
      <c r="C600" s="79" t="s">
        <v>151</v>
      </c>
      <c r="D600" s="79" t="s">
        <v>251</v>
      </c>
      <c r="E600" s="79" t="s">
        <v>49</v>
      </c>
      <c r="F600" s="79" t="str">
        <f>IF(E600="", "", IF(COUNTIF(ChestType!$A$5:$A$195, E600)&gt;0, VLOOKUP(E600, ChestType!$A$5:$B$195, 2, 0), "Others"))</f>
        <v>L15 Crypt</v>
      </c>
    </row>
    <row r="601" spans="1:6" x14ac:dyDescent="0.25">
      <c r="A601" s="14">
        <v>46144.277777777781</v>
      </c>
      <c r="B601" s="79" t="s">
        <v>149</v>
      </c>
      <c r="C601" s="79" t="s">
        <v>158</v>
      </c>
      <c r="D601" s="79" t="s">
        <v>251</v>
      </c>
      <c r="E601" s="79" t="s">
        <v>50</v>
      </c>
      <c r="F601" s="79" t="str">
        <f>IF(E601="", "", IF(COUNTIF(ChestType!$A$5:$A$195, E601)&gt;0, VLOOKUP(E601, ChestType!$A$5:$B$195, 2, 0), "Others"))</f>
        <v>L10 Crypt</v>
      </c>
    </row>
    <row r="602" spans="1:6" x14ac:dyDescent="0.25">
      <c r="A602" s="14">
        <v>46144.277777777781</v>
      </c>
      <c r="B602" s="79" t="s">
        <v>149</v>
      </c>
      <c r="C602" s="79" t="s">
        <v>181</v>
      </c>
      <c r="D602" s="79" t="s">
        <v>251</v>
      </c>
      <c r="E602" s="79" t="s">
        <v>49</v>
      </c>
      <c r="F602" s="79" t="str">
        <f>IF(E602="", "", IF(COUNTIF(ChestType!$A$5:$A$195, E602)&gt;0, VLOOKUP(E602, ChestType!$A$5:$B$195, 2, 0), "Others"))</f>
        <v>L15 Crypt</v>
      </c>
    </row>
    <row r="603" spans="1:6" x14ac:dyDescent="0.25">
      <c r="A603" s="14">
        <v>46144.277777777781</v>
      </c>
      <c r="B603" s="79" t="s">
        <v>149</v>
      </c>
      <c r="C603" s="79" t="s">
        <v>192</v>
      </c>
      <c r="D603" s="79" t="s">
        <v>191</v>
      </c>
      <c r="E603" s="79" t="s">
        <v>60</v>
      </c>
      <c r="F603" s="79" t="str">
        <f>IF(E603="", "", IF(COUNTIF(ChestType!$A$5:$A$195, E603)&gt;0, VLOOKUP(E603, ChestType!$A$5:$B$195, 2, 0), "Others"))</f>
        <v>Others</v>
      </c>
    </row>
    <row r="604" spans="1:6" x14ac:dyDescent="0.25">
      <c r="A604" s="14">
        <v>46144.277777777781</v>
      </c>
      <c r="B604" s="79" t="s">
        <v>149</v>
      </c>
      <c r="C604" s="79" t="s">
        <v>183</v>
      </c>
      <c r="D604" s="79" t="s">
        <v>221</v>
      </c>
      <c r="E604" s="79" t="s">
        <v>52</v>
      </c>
      <c r="F604" s="79" t="str">
        <f>IF(E604="", "", IF(COUNTIF(ChestType!$A$5:$A$195, E604)&gt;0, VLOOKUP(E604, ChestType!$A$5:$B$195, 2, 0), "Others"))</f>
        <v>L5 Crypt</v>
      </c>
    </row>
    <row r="605" spans="1:6" x14ac:dyDescent="0.25">
      <c r="A605" s="14">
        <v>46144.277777777781</v>
      </c>
      <c r="B605" s="79" t="s">
        <v>149</v>
      </c>
      <c r="C605" s="79" t="s">
        <v>255</v>
      </c>
      <c r="D605" s="79" t="s">
        <v>180</v>
      </c>
      <c r="E605" s="79" t="s">
        <v>256</v>
      </c>
      <c r="F605" s="79" t="str">
        <f>IF(E605="", "", IF(COUNTIF(ChestType!$A$5:$A$195, E605)&gt;0, VLOOKUP(E605, ChestType!$A$5:$B$195, 2, 0), "Others"))</f>
        <v>Others</v>
      </c>
    </row>
    <row r="606" spans="1:6" x14ac:dyDescent="0.25">
      <c r="A606" s="14">
        <v>46144.277777777781</v>
      </c>
      <c r="B606" s="79" t="s">
        <v>149</v>
      </c>
      <c r="C606" s="79" t="s">
        <v>177</v>
      </c>
      <c r="D606" s="79" t="s">
        <v>257</v>
      </c>
      <c r="E606" s="79" t="s">
        <v>52</v>
      </c>
      <c r="F606" s="79" t="str">
        <f>IF(E606="", "", IF(COUNTIF(ChestType!$A$5:$A$195, E606)&gt;0, VLOOKUP(E606, ChestType!$A$5:$B$195, 2, 0), "Others"))</f>
        <v>L5 Crypt</v>
      </c>
    </row>
    <row r="607" spans="1:6" x14ac:dyDescent="0.25">
      <c r="A607" s="14">
        <v>46144.277777777781</v>
      </c>
      <c r="B607" s="79" t="s">
        <v>149</v>
      </c>
      <c r="C607" s="79" t="s">
        <v>190</v>
      </c>
      <c r="D607" s="79" t="s">
        <v>221</v>
      </c>
      <c r="E607" s="79" t="s">
        <v>52</v>
      </c>
      <c r="F607" s="79" t="str">
        <f>IF(E607="", "", IF(COUNTIF(ChestType!$A$5:$A$195, E607)&gt;0, VLOOKUP(E607, ChestType!$A$5:$B$195, 2, 0), "Others"))</f>
        <v>L5 Crypt</v>
      </c>
    </row>
    <row r="608" spans="1:6" x14ac:dyDescent="0.25">
      <c r="A608" s="14">
        <v>46144.277777777781</v>
      </c>
      <c r="B608" s="79" t="s">
        <v>149</v>
      </c>
      <c r="C608" s="79" t="s">
        <v>171</v>
      </c>
      <c r="D608" s="79" t="s">
        <v>191</v>
      </c>
      <c r="E608" s="79" t="s">
        <v>52</v>
      </c>
      <c r="F608" s="79" t="str">
        <f>IF(E608="", "", IF(COUNTIF(ChestType!$A$5:$A$195, E608)&gt;0, VLOOKUP(E608, ChestType!$A$5:$B$195, 2, 0), "Others"))</f>
        <v>L5 Crypt</v>
      </c>
    </row>
    <row r="609" spans="1:6" x14ac:dyDescent="0.25">
      <c r="A609" s="14">
        <v>46144.277777777781</v>
      </c>
      <c r="B609" s="79" t="s">
        <v>149</v>
      </c>
      <c r="C609" s="79" t="s">
        <v>172</v>
      </c>
      <c r="D609" s="79" t="s">
        <v>251</v>
      </c>
      <c r="E609" s="79" t="s">
        <v>64</v>
      </c>
      <c r="F609" s="79" t="str">
        <f>IF(E609="", "", IF(COUNTIF(ChestType!$A$5:$A$195, E609)&gt;0, VLOOKUP(E609, ChestType!$A$5:$B$195, 2, 0), "Others"))</f>
        <v>L15 Epic Crypt</v>
      </c>
    </row>
    <row r="610" spans="1:6" x14ac:dyDescent="0.25">
      <c r="A610" s="14">
        <v>46144.277777777781</v>
      </c>
      <c r="B610" s="79" t="s">
        <v>149</v>
      </c>
      <c r="C610" s="79" t="s">
        <v>181</v>
      </c>
      <c r="D610" s="79" t="s">
        <v>254</v>
      </c>
      <c r="E610" s="79" t="s">
        <v>50</v>
      </c>
      <c r="F610" s="79" t="str">
        <f>IF(E610="", "", IF(COUNTIF(ChestType!$A$5:$A$195, E610)&gt;0, VLOOKUP(E610, ChestType!$A$5:$B$195, 2, 0), "Others"))</f>
        <v>L10 Crypt</v>
      </c>
    </row>
    <row r="611" spans="1:6" x14ac:dyDescent="0.25">
      <c r="A611" s="14">
        <v>46144.277777777781</v>
      </c>
      <c r="B611" s="79" t="s">
        <v>149</v>
      </c>
      <c r="C611" s="79" t="s">
        <v>158</v>
      </c>
      <c r="D611" s="79" t="s">
        <v>180</v>
      </c>
      <c r="E611" s="79" t="s">
        <v>50</v>
      </c>
      <c r="F611" s="79" t="str">
        <f>IF(E611="", "", IF(COUNTIF(ChestType!$A$5:$A$195, E611)&gt;0, VLOOKUP(E611, ChestType!$A$5:$B$195, 2, 0), "Others"))</f>
        <v>L10 Crypt</v>
      </c>
    </row>
    <row r="612" spans="1:6" x14ac:dyDescent="0.25">
      <c r="A612" s="14">
        <v>46144.277777777781</v>
      </c>
      <c r="B612" s="79" t="s">
        <v>149</v>
      </c>
      <c r="C612" s="79" t="s">
        <v>173</v>
      </c>
      <c r="D612" s="79" t="s">
        <v>191</v>
      </c>
      <c r="E612" s="79" t="s">
        <v>50</v>
      </c>
      <c r="F612" s="79" t="str">
        <f>IF(E612="", "", IF(COUNTIF(ChestType!$A$5:$A$195, E612)&gt;0, VLOOKUP(E612, ChestType!$A$5:$B$195, 2, 0), "Others"))</f>
        <v>L10 Crypt</v>
      </c>
    </row>
    <row r="613" spans="1:6" x14ac:dyDescent="0.25">
      <c r="A613" s="14">
        <v>46144.277777777781</v>
      </c>
      <c r="B613" s="79" t="s">
        <v>149</v>
      </c>
      <c r="C613" s="79" t="s">
        <v>175</v>
      </c>
      <c r="D613" s="79" t="s">
        <v>180</v>
      </c>
      <c r="E613" s="79" t="s">
        <v>50</v>
      </c>
      <c r="F613" s="79" t="str">
        <f>IF(E613="", "", IF(COUNTIF(ChestType!$A$5:$A$195, E613)&gt;0, VLOOKUP(E613, ChestType!$A$5:$B$195, 2, 0), "Others"))</f>
        <v>L10 Crypt</v>
      </c>
    </row>
    <row r="614" spans="1:6" x14ac:dyDescent="0.25">
      <c r="A614" s="14">
        <v>46144.277777777781</v>
      </c>
      <c r="B614" s="79" t="s">
        <v>149</v>
      </c>
      <c r="C614" s="79" t="s">
        <v>173</v>
      </c>
      <c r="D614" s="79" t="s">
        <v>180</v>
      </c>
      <c r="E614" s="79" t="s">
        <v>52</v>
      </c>
      <c r="F614" s="79" t="str">
        <f>IF(E614="", "", IF(COUNTIF(ChestType!$A$5:$A$195, E614)&gt;0, VLOOKUP(E614, ChestType!$A$5:$B$195, 2, 0), "Others"))</f>
        <v>L5 Crypt</v>
      </c>
    </row>
    <row r="615" spans="1:6" x14ac:dyDescent="0.25">
      <c r="A615" s="14">
        <v>46144.277777777781</v>
      </c>
      <c r="B615" s="79" t="s">
        <v>149</v>
      </c>
      <c r="C615" s="79" t="s">
        <v>177</v>
      </c>
      <c r="D615" s="79" t="s">
        <v>257</v>
      </c>
      <c r="E615" s="79" t="s">
        <v>52</v>
      </c>
      <c r="F615" s="79" t="str">
        <f>IF(E615="", "", IF(COUNTIF(ChestType!$A$5:$A$195, E615)&gt;0, VLOOKUP(E615, ChestType!$A$5:$B$195, 2, 0), "Others"))</f>
        <v>L5 Crypt</v>
      </c>
    </row>
    <row r="616" spans="1:6" x14ac:dyDescent="0.25">
      <c r="A616" s="14">
        <v>46144.277777777781</v>
      </c>
      <c r="B616" s="79" t="s">
        <v>149</v>
      </c>
      <c r="C616" s="79" t="s">
        <v>176</v>
      </c>
      <c r="D616" s="79" t="s">
        <v>180</v>
      </c>
      <c r="E616" s="79" t="s">
        <v>70</v>
      </c>
      <c r="F616" s="79" t="str">
        <f>IF(E616="", "", IF(COUNTIF(ChestType!$A$5:$A$195, E616)&gt;0, VLOOKUP(E616, ChestType!$A$5:$B$195, 2, 0), "Others"))</f>
        <v>L10 Citadel</v>
      </c>
    </row>
    <row r="617" spans="1:6" x14ac:dyDescent="0.25">
      <c r="A617" s="14">
        <v>46144.277777777781</v>
      </c>
      <c r="B617" s="79" t="s">
        <v>149</v>
      </c>
      <c r="C617" s="79" t="s">
        <v>227</v>
      </c>
      <c r="D617" s="79" t="s">
        <v>179</v>
      </c>
      <c r="E617" s="79" t="s">
        <v>64</v>
      </c>
      <c r="F617" s="79" t="str">
        <f>IF(E617="", "", IF(COUNTIF(ChestType!$A$5:$A$195, E617)&gt;0, VLOOKUP(E617, ChestType!$A$5:$B$195, 2, 0), "Others"))</f>
        <v>L15 Epic Crypt</v>
      </c>
    </row>
    <row r="618" spans="1:6" x14ac:dyDescent="0.25">
      <c r="A618" s="14">
        <v>46144.277777777781</v>
      </c>
      <c r="B618" s="79" t="s">
        <v>149</v>
      </c>
      <c r="C618" s="79" t="s">
        <v>158</v>
      </c>
      <c r="D618" s="79" t="s">
        <v>180</v>
      </c>
      <c r="E618" s="79" t="s">
        <v>52</v>
      </c>
      <c r="F618" s="79" t="str">
        <f>IF(E618="", "", IF(COUNTIF(ChestType!$A$5:$A$195, E618)&gt;0, VLOOKUP(E618, ChestType!$A$5:$B$195, 2, 0), "Others"))</f>
        <v>L5 Crypt</v>
      </c>
    </row>
    <row r="619" spans="1:6" x14ac:dyDescent="0.25">
      <c r="A619" s="14">
        <v>46144.277777777781</v>
      </c>
      <c r="B619" s="79" t="s">
        <v>149</v>
      </c>
      <c r="C619" s="79" t="s">
        <v>151</v>
      </c>
      <c r="D619" s="79" t="s">
        <v>180</v>
      </c>
      <c r="E619" s="79" t="s">
        <v>52</v>
      </c>
      <c r="F619" s="79" t="str">
        <f>IF(E619="", "", IF(COUNTIF(ChestType!$A$5:$A$195, E619)&gt;0, VLOOKUP(E619, ChestType!$A$5:$B$195, 2, 0), "Others"))</f>
        <v>L5 Crypt</v>
      </c>
    </row>
    <row r="620" spans="1:6" x14ac:dyDescent="0.25">
      <c r="A620" s="14">
        <v>46144.277777777781</v>
      </c>
      <c r="B620" s="79" t="s">
        <v>149</v>
      </c>
      <c r="C620" s="79" t="s">
        <v>187</v>
      </c>
      <c r="D620" s="79" t="s">
        <v>166</v>
      </c>
      <c r="E620" s="79" t="s">
        <v>75</v>
      </c>
      <c r="F620" s="79" t="str">
        <f>IF(E620="", "", IF(COUNTIF(ChestType!$A$5:$A$195, E620)&gt;0, VLOOKUP(E620, ChestType!$A$5:$B$195, 2, 0), "Others"))</f>
        <v>L10 Rare Crypt</v>
      </c>
    </row>
    <row r="621" spans="1:6" x14ac:dyDescent="0.25">
      <c r="A621" s="14">
        <v>46144.277777777781</v>
      </c>
      <c r="B621" s="79" t="s">
        <v>149</v>
      </c>
      <c r="C621" s="79" t="s">
        <v>185</v>
      </c>
      <c r="D621" s="79" t="s">
        <v>180</v>
      </c>
      <c r="E621" s="79" t="s">
        <v>50</v>
      </c>
      <c r="F621" s="79" t="str">
        <f>IF(E621="", "", IF(COUNTIF(ChestType!$A$5:$A$195, E621)&gt;0, VLOOKUP(E621, ChestType!$A$5:$B$195, 2, 0), "Others"))</f>
        <v>L10 Crypt</v>
      </c>
    </row>
    <row r="622" spans="1:6" x14ac:dyDescent="0.25">
      <c r="A622" s="14">
        <v>46144.277777777781</v>
      </c>
      <c r="B622" s="79" t="s">
        <v>149</v>
      </c>
      <c r="C622" s="79" t="s">
        <v>173</v>
      </c>
      <c r="D622" s="79" t="s">
        <v>166</v>
      </c>
      <c r="E622" s="79" t="s">
        <v>50</v>
      </c>
      <c r="F622" s="79" t="str">
        <f>IF(E622="", "", IF(COUNTIF(ChestType!$A$5:$A$195, E622)&gt;0, VLOOKUP(E622, ChestType!$A$5:$B$195, 2, 0), "Others"))</f>
        <v>L10 Crypt</v>
      </c>
    </row>
    <row r="623" spans="1:6" x14ac:dyDescent="0.25">
      <c r="A623" s="14">
        <v>46144.277777777781</v>
      </c>
      <c r="B623" s="79" t="s">
        <v>149</v>
      </c>
      <c r="C623" s="79" t="s">
        <v>190</v>
      </c>
      <c r="D623" s="79" t="s">
        <v>166</v>
      </c>
      <c r="E623" s="79" t="s">
        <v>50</v>
      </c>
      <c r="F623" s="79" t="str">
        <f>IF(E623="", "", IF(COUNTIF(ChestType!$A$5:$A$195, E623)&gt;0, VLOOKUP(E623, ChestType!$A$5:$B$195, 2, 0), "Others"))</f>
        <v>L10 Crypt</v>
      </c>
    </row>
    <row r="624" spans="1:6" x14ac:dyDescent="0.25">
      <c r="A624" s="14">
        <v>46144.277777777781</v>
      </c>
      <c r="B624" s="79" t="s">
        <v>149</v>
      </c>
      <c r="C624" s="79" t="s">
        <v>158</v>
      </c>
      <c r="D624" s="79" t="s">
        <v>257</v>
      </c>
      <c r="E624" s="79" t="s">
        <v>50</v>
      </c>
      <c r="F624" s="79" t="str">
        <f>IF(E624="", "", IF(COUNTIF(ChestType!$A$5:$A$195, E624)&gt;0, VLOOKUP(E624, ChestType!$A$5:$B$195, 2, 0), "Others"))</f>
        <v>L10 Crypt</v>
      </c>
    </row>
    <row r="625" spans="1:6" x14ac:dyDescent="0.25">
      <c r="A625" s="14">
        <v>46144.277777777781</v>
      </c>
      <c r="B625" s="79" t="s">
        <v>149</v>
      </c>
      <c r="C625" s="79" t="s">
        <v>185</v>
      </c>
      <c r="D625" s="79" t="s">
        <v>180</v>
      </c>
      <c r="E625" s="79" t="s">
        <v>50</v>
      </c>
      <c r="F625" s="79" t="str">
        <f>IF(E625="", "", IF(COUNTIF(ChestType!$A$5:$A$195, E625)&gt;0, VLOOKUP(E625, ChestType!$A$5:$B$195, 2, 0), "Others"))</f>
        <v>L10 Crypt</v>
      </c>
    </row>
    <row r="626" spans="1:6" x14ac:dyDescent="0.25">
      <c r="A626" s="14">
        <v>46144.277777777781</v>
      </c>
      <c r="B626" s="79" t="s">
        <v>149</v>
      </c>
      <c r="C626" s="79" t="s">
        <v>171</v>
      </c>
      <c r="D626" s="79" t="s">
        <v>246</v>
      </c>
      <c r="E626" s="79" t="s">
        <v>50</v>
      </c>
      <c r="F626" s="79" t="str">
        <f>IF(E626="", "", IF(COUNTIF(ChestType!$A$5:$A$195, E626)&gt;0, VLOOKUP(E626, ChestType!$A$5:$B$195, 2, 0), "Others"))</f>
        <v>L10 Crypt</v>
      </c>
    </row>
    <row r="627" spans="1:6" x14ac:dyDescent="0.25">
      <c r="A627" s="14">
        <v>46144.277777777781</v>
      </c>
      <c r="B627" s="79" t="s">
        <v>149</v>
      </c>
      <c r="C627" s="79" t="s">
        <v>183</v>
      </c>
      <c r="D627" s="79" t="s">
        <v>153</v>
      </c>
      <c r="E627" s="79" t="s">
        <v>50</v>
      </c>
      <c r="F627" s="79" t="str">
        <f>IF(E627="", "", IF(COUNTIF(ChestType!$A$5:$A$195, E627)&gt;0, VLOOKUP(E627, ChestType!$A$5:$B$195, 2, 0), "Others"))</f>
        <v>L10 Crypt</v>
      </c>
    </row>
    <row r="628" spans="1:6" x14ac:dyDescent="0.25">
      <c r="A628" s="14">
        <v>46144.277777777781</v>
      </c>
      <c r="B628" s="79" t="s">
        <v>149</v>
      </c>
      <c r="C628" s="79" t="s">
        <v>255</v>
      </c>
      <c r="D628" s="79" t="s">
        <v>168</v>
      </c>
      <c r="E628" s="79" t="s">
        <v>256</v>
      </c>
      <c r="F628" s="79" t="str">
        <f>IF(E628="", "", IF(COUNTIF(ChestType!$A$5:$A$195, E628)&gt;0, VLOOKUP(E628, ChestType!$A$5:$B$195, 2, 0), "Others"))</f>
        <v>Others</v>
      </c>
    </row>
    <row r="629" spans="1:6" x14ac:dyDescent="0.25">
      <c r="A629" s="14">
        <v>46144.277777777781</v>
      </c>
      <c r="B629" s="79" t="s">
        <v>149</v>
      </c>
      <c r="C629" s="79" t="s">
        <v>185</v>
      </c>
      <c r="D629" s="79" t="s">
        <v>257</v>
      </c>
      <c r="E629" s="79" t="s">
        <v>52</v>
      </c>
      <c r="F629" s="79" t="str">
        <f>IF(E629="", "", IF(COUNTIF(ChestType!$A$5:$A$195, E629)&gt;0, VLOOKUP(E629, ChestType!$A$5:$B$195, 2, 0), "Others"))</f>
        <v>L5 Crypt</v>
      </c>
    </row>
    <row r="630" spans="1:6" x14ac:dyDescent="0.25">
      <c r="A630" s="14">
        <v>46144.277777777781</v>
      </c>
      <c r="B630" s="79" t="s">
        <v>149</v>
      </c>
      <c r="C630" s="79" t="s">
        <v>255</v>
      </c>
      <c r="D630" s="79" t="s">
        <v>251</v>
      </c>
      <c r="E630" s="79" t="s">
        <v>256</v>
      </c>
      <c r="F630" s="79" t="str">
        <f>IF(E630="", "", IF(COUNTIF(ChestType!$A$5:$A$195, E630)&gt;0, VLOOKUP(E630, ChestType!$A$5:$B$195, 2, 0), "Others"))</f>
        <v>Others</v>
      </c>
    </row>
    <row r="631" spans="1:6" x14ac:dyDescent="0.25">
      <c r="A631" s="14">
        <v>46144.277777777781</v>
      </c>
      <c r="B631" s="79" t="s">
        <v>149</v>
      </c>
      <c r="C631" s="79" t="s">
        <v>173</v>
      </c>
      <c r="D631" s="79" t="s">
        <v>166</v>
      </c>
      <c r="E631" s="79" t="s">
        <v>50</v>
      </c>
      <c r="F631" s="79" t="str">
        <f>IF(E631="", "", IF(COUNTIF(ChestType!$A$5:$A$195, E631)&gt;0, VLOOKUP(E631, ChestType!$A$5:$B$195, 2, 0), "Others"))</f>
        <v>L10 Crypt</v>
      </c>
    </row>
    <row r="632" spans="1:6" x14ac:dyDescent="0.25">
      <c r="A632" s="14">
        <v>46144.277777777781</v>
      </c>
      <c r="B632" s="79" t="s">
        <v>149</v>
      </c>
      <c r="C632" s="79" t="s">
        <v>182</v>
      </c>
      <c r="D632" s="79" t="s">
        <v>153</v>
      </c>
      <c r="E632" s="79" t="s">
        <v>50</v>
      </c>
      <c r="F632" s="79" t="str">
        <f>IF(E632="", "", IF(COUNTIF(ChestType!$A$5:$A$195, E632)&gt;0, VLOOKUP(E632, ChestType!$A$5:$B$195, 2, 0), "Others"))</f>
        <v>L10 Crypt</v>
      </c>
    </row>
    <row r="633" spans="1:6" x14ac:dyDescent="0.25">
      <c r="A633" s="14">
        <v>46144.277777777781</v>
      </c>
      <c r="B633" s="79" t="s">
        <v>149</v>
      </c>
      <c r="C633" s="79" t="s">
        <v>184</v>
      </c>
      <c r="D633" s="79" t="s">
        <v>257</v>
      </c>
      <c r="E633" s="79" t="s">
        <v>50</v>
      </c>
      <c r="F633" s="79" t="str">
        <f>IF(E633="", "", IF(COUNTIF(ChestType!$A$5:$A$195, E633)&gt;0, VLOOKUP(E633, ChestType!$A$5:$B$195, 2, 0), "Others"))</f>
        <v>L10 Crypt</v>
      </c>
    </row>
    <row r="634" spans="1:6" x14ac:dyDescent="0.25">
      <c r="A634" s="14">
        <v>46144.277777777781</v>
      </c>
      <c r="B634" s="79" t="s">
        <v>149</v>
      </c>
      <c r="C634" s="79" t="s">
        <v>185</v>
      </c>
      <c r="D634" s="79" t="s">
        <v>166</v>
      </c>
      <c r="E634" s="79" t="s">
        <v>50</v>
      </c>
      <c r="F634" s="79" t="str">
        <f>IF(E634="", "", IF(COUNTIF(ChestType!$A$5:$A$195, E634)&gt;0, VLOOKUP(E634, ChestType!$A$5:$B$195, 2, 0), "Others"))</f>
        <v>L10 Crypt</v>
      </c>
    </row>
    <row r="635" spans="1:6" x14ac:dyDescent="0.25">
      <c r="A635" s="14">
        <v>46144.277777777781</v>
      </c>
      <c r="B635" s="79" t="s">
        <v>149</v>
      </c>
      <c r="C635" s="79" t="s">
        <v>184</v>
      </c>
      <c r="D635" s="79" t="s">
        <v>257</v>
      </c>
      <c r="E635" s="79" t="s">
        <v>50</v>
      </c>
      <c r="F635" s="79" t="str">
        <f>IF(E635="", "", IF(COUNTIF(ChestType!$A$5:$A$195, E635)&gt;0, VLOOKUP(E635, ChestType!$A$5:$B$195, 2, 0), "Others"))</f>
        <v>L10 Crypt</v>
      </c>
    </row>
    <row r="636" spans="1:6" x14ac:dyDescent="0.25">
      <c r="A636" s="14">
        <v>46144.277777777781</v>
      </c>
      <c r="B636" s="79" t="s">
        <v>149</v>
      </c>
      <c r="C636" s="79" t="s">
        <v>182</v>
      </c>
      <c r="D636" s="79" t="s">
        <v>257</v>
      </c>
      <c r="E636" s="79" t="s">
        <v>52</v>
      </c>
      <c r="F636" s="79" t="str">
        <f>IF(E636="", "", IF(COUNTIF(ChestType!$A$5:$A$195, E636)&gt;0, VLOOKUP(E636, ChestType!$A$5:$B$195, 2, 0), "Others"))</f>
        <v>L5 Crypt</v>
      </c>
    </row>
    <row r="637" spans="1:6" x14ac:dyDescent="0.25">
      <c r="A637" s="14">
        <v>46144.277777777781</v>
      </c>
      <c r="B637" s="79" t="s">
        <v>149</v>
      </c>
      <c r="C637" s="79" t="s">
        <v>181</v>
      </c>
      <c r="D637" s="79" t="s">
        <v>152</v>
      </c>
      <c r="E637" s="79" t="s">
        <v>49</v>
      </c>
      <c r="F637" s="79" t="str">
        <f>IF(E637="", "", IF(COUNTIF(ChestType!$A$5:$A$195, E637)&gt;0, VLOOKUP(E637, ChestType!$A$5:$B$195, 2, 0), "Others"))</f>
        <v>L15 Crypt</v>
      </c>
    </row>
    <row r="638" spans="1:6" x14ac:dyDescent="0.25">
      <c r="A638" s="14">
        <v>46144.277777777781</v>
      </c>
      <c r="B638" s="79" t="s">
        <v>149</v>
      </c>
      <c r="C638" s="79" t="s">
        <v>151</v>
      </c>
      <c r="D638" s="79" t="s">
        <v>152</v>
      </c>
      <c r="E638" s="79" t="s">
        <v>49</v>
      </c>
      <c r="F638" s="79" t="str">
        <f>IF(E638="", "", IF(COUNTIF(ChestType!$A$5:$A$195, E638)&gt;0, VLOOKUP(E638, ChestType!$A$5:$B$195, 2, 0), "Others"))</f>
        <v>L15 Crypt</v>
      </c>
    </row>
    <row r="639" spans="1:6" x14ac:dyDescent="0.25">
      <c r="A639" s="14">
        <v>46144.277777777781</v>
      </c>
      <c r="B639" s="79" t="s">
        <v>149</v>
      </c>
      <c r="C639" s="79" t="s">
        <v>151</v>
      </c>
      <c r="D639" s="79" t="s">
        <v>166</v>
      </c>
      <c r="E639" s="79" t="s">
        <v>50</v>
      </c>
      <c r="F639" s="79" t="str">
        <f>IF(E639="", "", IF(COUNTIF(ChestType!$A$5:$A$195, E639)&gt;0, VLOOKUP(E639, ChestType!$A$5:$B$195, 2, 0), "Others"))</f>
        <v>L10 Crypt</v>
      </c>
    </row>
    <row r="640" spans="1:6" x14ac:dyDescent="0.25">
      <c r="A640" s="14">
        <v>46144.277777777781</v>
      </c>
      <c r="B640" s="79" t="s">
        <v>149</v>
      </c>
      <c r="C640" s="79" t="s">
        <v>175</v>
      </c>
      <c r="D640" s="79" t="s">
        <v>152</v>
      </c>
      <c r="E640" s="79" t="s">
        <v>49</v>
      </c>
      <c r="F640" s="79" t="str">
        <f>IF(E640="", "", IF(COUNTIF(ChestType!$A$5:$A$195, E640)&gt;0, VLOOKUP(E640, ChestType!$A$5:$B$195, 2, 0), "Others"))</f>
        <v>L15 Crypt</v>
      </c>
    </row>
    <row r="641" spans="1:6" x14ac:dyDescent="0.25">
      <c r="A641" s="14">
        <v>46144.277777777781</v>
      </c>
      <c r="B641" s="79" t="s">
        <v>149</v>
      </c>
      <c r="C641" s="79" t="s">
        <v>182</v>
      </c>
      <c r="D641" s="79" t="s">
        <v>152</v>
      </c>
      <c r="E641" s="79" t="s">
        <v>49</v>
      </c>
      <c r="F641" s="79" t="str">
        <f>IF(E641="", "", IF(COUNTIF(ChestType!$A$5:$A$195, E641)&gt;0, VLOOKUP(E641, ChestType!$A$5:$B$195, 2, 0), "Others"))</f>
        <v>L15 Crypt</v>
      </c>
    </row>
    <row r="642" spans="1:6" x14ac:dyDescent="0.25">
      <c r="A642" s="14">
        <v>46144.277777777781</v>
      </c>
      <c r="B642" s="79" t="s">
        <v>149</v>
      </c>
      <c r="C642" s="79" t="s">
        <v>183</v>
      </c>
      <c r="D642" s="79" t="s">
        <v>152</v>
      </c>
      <c r="E642" s="79" t="s">
        <v>49</v>
      </c>
      <c r="F642" s="79" t="str">
        <f>IF(E642="", "", IF(COUNTIF(ChestType!$A$5:$A$195, E642)&gt;0, VLOOKUP(E642, ChestType!$A$5:$B$195, 2, 0), "Others"))</f>
        <v>L15 Crypt</v>
      </c>
    </row>
    <row r="643" spans="1:6" x14ac:dyDescent="0.25">
      <c r="A643" s="14">
        <v>46144.277777777781</v>
      </c>
      <c r="B643" s="79" t="s">
        <v>149</v>
      </c>
      <c r="C643" s="79" t="s">
        <v>183</v>
      </c>
      <c r="D643" s="79" t="s">
        <v>152</v>
      </c>
      <c r="E643" s="79" t="s">
        <v>49</v>
      </c>
      <c r="F643" s="79" t="str">
        <f>IF(E643="", "", IF(COUNTIF(ChestType!$A$5:$A$195, E643)&gt;0, VLOOKUP(E643, ChestType!$A$5:$B$195, 2, 0), "Others"))</f>
        <v>L15 Crypt</v>
      </c>
    </row>
    <row r="644" spans="1:6" x14ac:dyDescent="0.25">
      <c r="A644" s="14">
        <v>46144.277777777781</v>
      </c>
      <c r="B644" s="79" t="s">
        <v>149</v>
      </c>
      <c r="C644" s="79" t="s">
        <v>158</v>
      </c>
      <c r="D644" s="79" t="s">
        <v>152</v>
      </c>
      <c r="E644" s="79" t="s">
        <v>49</v>
      </c>
      <c r="F644" s="79" t="str">
        <f>IF(E644="", "", IF(COUNTIF(ChestType!$A$5:$A$195, E644)&gt;0, VLOOKUP(E644, ChestType!$A$5:$B$195, 2, 0), "Others"))</f>
        <v>L15 Crypt</v>
      </c>
    </row>
    <row r="645" spans="1:6" x14ac:dyDescent="0.25">
      <c r="A645" s="14">
        <v>46144.277777777781</v>
      </c>
      <c r="B645" s="79" t="s">
        <v>149</v>
      </c>
      <c r="C645" s="79" t="s">
        <v>190</v>
      </c>
      <c r="D645" s="79" t="s">
        <v>152</v>
      </c>
      <c r="E645" s="79" t="s">
        <v>49</v>
      </c>
      <c r="F645" s="79" t="str">
        <f>IF(E645="", "", IF(COUNTIF(ChestType!$A$5:$A$195, E645)&gt;0, VLOOKUP(E645, ChestType!$A$5:$B$195, 2, 0), "Others"))</f>
        <v>L15 Crypt</v>
      </c>
    </row>
    <row r="646" spans="1:6" x14ac:dyDescent="0.25">
      <c r="A646" s="14">
        <v>46144.277777777781</v>
      </c>
      <c r="B646" s="79" t="s">
        <v>149</v>
      </c>
      <c r="C646" s="79" t="s">
        <v>181</v>
      </c>
      <c r="D646" s="79" t="s">
        <v>152</v>
      </c>
      <c r="E646" s="79" t="s">
        <v>49</v>
      </c>
      <c r="F646" s="79" t="str">
        <f>IF(E646="", "", IF(COUNTIF(ChestType!$A$5:$A$195, E646)&gt;0, VLOOKUP(E646, ChestType!$A$5:$B$195, 2, 0), "Others"))</f>
        <v>L15 Crypt</v>
      </c>
    </row>
    <row r="647" spans="1:6" x14ac:dyDescent="0.25">
      <c r="A647" s="14">
        <v>46144.277777777781</v>
      </c>
      <c r="B647" s="79" t="s">
        <v>149</v>
      </c>
      <c r="C647" s="79" t="s">
        <v>175</v>
      </c>
      <c r="D647" s="79" t="s">
        <v>152</v>
      </c>
      <c r="E647" s="79" t="s">
        <v>49</v>
      </c>
      <c r="F647" s="79" t="str">
        <f>IF(E647="", "", IF(COUNTIF(ChestType!$A$5:$A$195, E647)&gt;0, VLOOKUP(E647, ChestType!$A$5:$B$195, 2, 0), "Others"))</f>
        <v>L15 Crypt</v>
      </c>
    </row>
    <row r="648" spans="1:6" x14ac:dyDescent="0.25">
      <c r="A648" s="14">
        <v>46144.277777777781</v>
      </c>
      <c r="B648" s="79" t="s">
        <v>149</v>
      </c>
      <c r="C648" s="79" t="s">
        <v>182</v>
      </c>
      <c r="D648" s="79" t="s">
        <v>152</v>
      </c>
      <c r="E648" s="79" t="s">
        <v>49</v>
      </c>
      <c r="F648" s="79" t="str">
        <f>IF(E648="", "", IF(COUNTIF(ChestType!$A$5:$A$195, E648)&gt;0, VLOOKUP(E648, ChestType!$A$5:$B$195, 2, 0), "Others"))</f>
        <v>L15 Crypt</v>
      </c>
    </row>
    <row r="649" spans="1:6" x14ac:dyDescent="0.25">
      <c r="A649" s="14">
        <v>46144.277777777781</v>
      </c>
      <c r="B649" s="79" t="s">
        <v>149</v>
      </c>
      <c r="C649" s="79" t="s">
        <v>185</v>
      </c>
      <c r="D649" s="79" t="s">
        <v>152</v>
      </c>
      <c r="E649" s="79" t="s">
        <v>49</v>
      </c>
      <c r="F649" s="79" t="str">
        <f>IF(E649="", "", IF(COUNTIF(ChestType!$A$5:$A$195, E649)&gt;0, VLOOKUP(E649, ChestType!$A$5:$B$195, 2, 0), "Others"))</f>
        <v>L15 Crypt</v>
      </c>
    </row>
    <row r="650" spans="1:6" x14ac:dyDescent="0.25">
      <c r="A650" s="14">
        <v>46144.277777777781</v>
      </c>
      <c r="B650" s="79" t="s">
        <v>149</v>
      </c>
      <c r="C650" s="79" t="s">
        <v>183</v>
      </c>
      <c r="D650" s="79" t="s">
        <v>152</v>
      </c>
      <c r="E650" s="79" t="s">
        <v>49</v>
      </c>
      <c r="F650" s="79" t="str">
        <f>IF(E650="", "", IF(COUNTIF(ChestType!$A$5:$A$195, E650)&gt;0, VLOOKUP(E650, ChestType!$A$5:$B$195, 2, 0), "Others"))</f>
        <v>L15 Crypt</v>
      </c>
    </row>
    <row r="651" spans="1:6" x14ac:dyDescent="0.25">
      <c r="A651" s="14">
        <v>46144.277777777781</v>
      </c>
      <c r="B651" s="79" t="s">
        <v>149</v>
      </c>
      <c r="C651" s="79" t="s">
        <v>151</v>
      </c>
      <c r="D651" s="79" t="s">
        <v>152</v>
      </c>
      <c r="E651" s="79" t="s">
        <v>49</v>
      </c>
      <c r="F651" s="79" t="str">
        <f>IF(E651="", "", IF(COUNTIF(ChestType!$A$5:$A$195, E651)&gt;0, VLOOKUP(E651, ChestType!$A$5:$B$195, 2, 0), "Others"))</f>
        <v>L15 Crypt</v>
      </c>
    </row>
    <row r="652" spans="1:6" x14ac:dyDescent="0.25">
      <c r="A652" s="14">
        <v>46144.277777777781</v>
      </c>
      <c r="B652" s="79" t="s">
        <v>149</v>
      </c>
      <c r="C652" s="79" t="s">
        <v>185</v>
      </c>
      <c r="D652" s="79" t="s">
        <v>152</v>
      </c>
      <c r="E652" s="79" t="s">
        <v>49</v>
      </c>
      <c r="F652" s="79" t="str">
        <f>IF(E652="", "", IF(COUNTIF(ChestType!$A$5:$A$195, E652)&gt;0, VLOOKUP(E652, ChestType!$A$5:$B$195, 2, 0), "Others"))</f>
        <v>L15 Crypt</v>
      </c>
    </row>
    <row r="653" spans="1:6" x14ac:dyDescent="0.25">
      <c r="A653" s="14">
        <v>46144.277777777781</v>
      </c>
      <c r="B653" s="79" t="s">
        <v>149</v>
      </c>
      <c r="C653" s="79" t="s">
        <v>187</v>
      </c>
      <c r="D653" s="79" t="s">
        <v>152</v>
      </c>
      <c r="E653" s="79" t="s">
        <v>71</v>
      </c>
      <c r="F653" s="79" t="str">
        <f>IF(E653="", "", IF(COUNTIF(ChestType!$A$5:$A$195, E653)&gt;0, VLOOKUP(E653, ChestType!$A$5:$B$195, 2, 0), "Others"))</f>
        <v>L15 Rare Crypt</v>
      </c>
    </row>
    <row r="654" spans="1:6" x14ac:dyDescent="0.25">
      <c r="A654" s="14">
        <v>46144.277777777781</v>
      </c>
      <c r="B654" s="79" t="s">
        <v>149</v>
      </c>
      <c r="C654" s="79" t="s">
        <v>181</v>
      </c>
      <c r="D654" s="79" t="s">
        <v>152</v>
      </c>
      <c r="E654" s="79" t="s">
        <v>49</v>
      </c>
      <c r="F654" s="79" t="str">
        <f>IF(E654="", "", IF(COUNTIF(ChestType!$A$5:$A$195, E654)&gt;0, VLOOKUP(E654, ChestType!$A$5:$B$195, 2, 0), "Others"))</f>
        <v>L15 Crypt</v>
      </c>
    </row>
    <row r="655" spans="1:6" x14ac:dyDescent="0.25">
      <c r="A655" s="14">
        <v>46144.277777777781</v>
      </c>
      <c r="B655" s="79" t="s">
        <v>149</v>
      </c>
      <c r="C655" s="79" t="s">
        <v>175</v>
      </c>
      <c r="D655" s="79" t="s">
        <v>152</v>
      </c>
      <c r="E655" s="79" t="s">
        <v>49</v>
      </c>
      <c r="F655" s="79" t="str">
        <f>IF(E655="", "", IF(COUNTIF(ChestType!$A$5:$A$195, E655)&gt;0, VLOOKUP(E655, ChestType!$A$5:$B$195, 2, 0), "Others"))</f>
        <v>L15 Crypt</v>
      </c>
    </row>
    <row r="656" spans="1:6" x14ac:dyDescent="0.25">
      <c r="A656" s="14">
        <v>46144.277777777781</v>
      </c>
      <c r="B656" s="79" t="s">
        <v>149</v>
      </c>
      <c r="C656" s="79" t="s">
        <v>158</v>
      </c>
      <c r="D656" s="79" t="s">
        <v>219</v>
      </c>
      <c r="E656" s="79" t="s">
        <v>52</v>
      </c>
      <c r="F656" s="79" t="str">
        <f>IF(E656="", "", IF(COUNTIF(ChestType!$A$5:$A$195, E656)&gt;0, VLOOKUP(E656, ChestType!$A$5:$B$195, 2, 0), "Others"))</f>
        <v>L5 Crypt</v>
      </c>
    </row>
    <row r="657" spans="1:6" x14ac:dyDescent="0.25">
      <c r="A657" s="14">
        <v>46144.277777777781</v>
      </c>
      <c r="B657" s="79" t="s">
        <v>149</v>
      </c>
      <c r="C657" s="79" t="s">
        <v>181</v>
      </c>
      <c r="D657" s="79" t="s">
        <v>193</v>
      </c>
      <c r="E657" s="79" t="s">
        <v>50</v>
      </c>
      <c r="F657" s="79" t="str">
        <f>IF(E657="", "", IF(COUNTIF(ChestType!$A$5:$A$195, E657)&gt;0, VLOOKUP(E657, ChestType!$A$5:$B$195, 2, 0), "Others"))</f>
        <v>L10 Crypt</v>
      </c>
    </row>
    <row r="658" spans="1:6" x14ac:dyDescent="0.25">
      <c r="A658" s="14">
        <v>46144.277777777781</v>
      </c>
      <c r="B658" s="79" t="s">
        <v>149</v>
      </c>
      <c r="C658" s="79" t="s">
        <v>190</v>
      </c>
      <c r="D658" s="79" t="s">
        <v>152</v>
      </c>
      <c r="E658" s="79" t="s">
        <v>49</v>
      </c>
      <c r="F658" s="79" t="str">
        <f>IF(E658="", "", IF(COUNTIF(ChestType!$A$5:$A$195, E658)&gt;0, VLOOKUP(E658, ChestType!$A$5:$B$195, 2, 0), "Others"))</f>
        <v>L15 Crypt</v>
      </c>
    </row>
    <row r="659" spans="1:6" x14ac:dyDescent="0.25">
      <c r="A659" s="14">
        <v>46144.277777777781</v>
      </c>
      <c r="B659" s="79" t="s">
        <v>149</v>
      </c>
      <c r="C659" s="79" t="s">
        <v>171</v>
      </c>
      <c r="D659" s="79" t="s">
        <v>152</v>
      </c>
      <c r="E659" s="79" t="s">
        <v>49</v>
      </c>
      <c r="F659" s="79" t="str">
        <f>IF(E659="", "", IF(COUNTIF(ChestType!$A$5:$A$195, E659)&gt;0, VLOOKUP(E659, ChestType!$A$5:$B$195, 2, 0), "Others"))</f>
        <v>L15 Crypt</v>
      </c>
    </row>
    <row r="660" spans="1:6" x14ac:dyDescent="0.25">
      <c r="A660" s="14">
        <v>46144.277777777781</v>
      </c>
      <c r="B660" s="79" t="s">
        <v>149</v>
      </c>
      <c r="C660" s="79" t="s">
        <v>184</v>
      </c>
      <c r="D660" s="79" t="s">
        <v>152</v>
      </c>
      <c r="E660" s="79" t="s">
        <v>49</v>
      </c>
      <c r="F660" s="79" t="str">
        <f>IF(E660="", "", IF(COUNTIF(ChestType!$A$5:$A$195, E660)&gt;0, VLOOKUP(E660, ChestType!$A$5:$B$195, 2, 0), "Others"))</f>
        <v>L15 Crypt</v>
      </c>
    </row>
    <row r="661" spans="1:6" x14ac:dyDescent="0.25">
      <c r="A661" s="14">
        <v>46144.277777777781</v>
      </c>
      <c r="B661" s="79" t="s">
        <v>149</v>
      </c>
      <c r="C661" s="79" t="s">
        <v>183</v>
      </c>
      <c r="D661" s="79" t="s">
        <v>193</v>
      </c>
      <c r="E661" s="79" t="s">
        <v>50</v>
      </c>
      <c r="F661" s="79" t="str">
        <f>IF(E661="", "", IF(COUNTIF(ChestType!$A$5:$A$195, E661)&gt;0, VLOOKUP(E661, ChestType!$A$5:$B$195, 2, 0), "Others"))</f>
        <v>L10 Crypt</v>
      </c>
    </row>
    <row r="662" spans="1:6" x14ac:dyDescent="0.25">
      <c r="A662" s="14">
        <v>46144.277777777781</v>
      </c>
      <c r="B662" s="79" t="s">
        <v>149</v>
      </c>
      <c r="C662" s="79" t="s">
        <v>188</v>
      </c>
      <c r="D662" s="79" t="s">
        <v>179</v>
      </c>
      <c r="E662" s="79" t="s">
        <v>45</v>
      </c>
      <c r="F662" s="79" t="str">
        <f>IF(E662="", "", IF(COUNTIF(ChestType!$A$5:$A$195, E662)&gt;0, VLOOKUP(E662, ChestType!$A$5:$B$195, 2, 0), "Others"))</f>
        <v>Others</v>
      </c>
    </row>
    <row r="663" spans="1:6" x14ac:dyDescent="0.25">
      <c r="A663" s="14">
        <v>46144.277777777781</v>
      </c>
      <c r="B663" s="79" t="s">
        <v>149</v>
      </c>
      <c r="C663" s="79" t="s">
        <v>189</v>
      </c>
      <c r="D663" s="79" t="s">
        <v>179</v>
      </c>
      <c r="E663" s="79" t="s">
        <v>45</v>
      </c>
      <c r="F663" s="79" t="str">
        <f>IF(E663="", "", IF(COUNTIF(ChestType!$A$5:$A$195, E663)&gt;0, VLOOKUP(E663, ChestType!$A$5:$B$195, 2, 0), "Others"))</f>
        <v>Others</v>
      </c>
    </row>
    <row r="664" spans="1:6" x14ac:dyDescent="0.25">
      <c r="A664" s="14">
        <v>46144.277777777781</v>
      </c>
      <c r="B664" s="79" t="s">
        <v>149</v>
      </c>
      <c r="C664" s="79" t="s">
        <v>239</v>
      </c>
      <c r="D664" s="79" t="s">
        <v>179</v>
      </c>
      <c r="E664" s="79" t="s">
        <v>45</v>
      </c>
      <c r="F664" s="79" t="str">
        <f>IF(E664="", "", IF(COUNTIF(ChestType!$A$5:$A$195, E664)&gt;0, VLOOKUP(E664, ChestType!$A$5:$B$195, 2, 0), "Others"))</f>
        <v>Others</v>
      </c>
    </row>
    <row r="665" spans="1:6" x14ac:dyDescent="0.25">
      <c r="A665" s="14">
        <v>46144.277777777781</v>
      </c>
      <c r="B665" s="79" t="s">
        <v>149</v>
      </c>
      <c r="C665" s="79" t="s">
        <v>175</v>
      </c>
      <c r="D665" s="79" t="s">
        <v>193</v>
      </c>
      <c r="E665" s="79" t="s">
        <v>50</v>
      </c>
      <c r="F665" s="79" t="str">
        <f>IF(E665="", "", IF(COUNTIF(ChestType!$A$5:$A$195, E665)&gt;0, VLOOKUP(E665, ChestType!$A$5:$B$195, 2, 0), "Others"))</f>
        <v>L10 Crypt</v>
      </c>
    </row>
    <row r="666" spans="1:6" x14ac:dyDescent="0.25">
      <c r="A666" s="14">
        <v>46144.277777777781</v>
      </c>
      <c r="B666" s="79" t="s">
        <v>149</v>
      </c>
      <c r="C666" s="79" t="s">
        <v>151</v>
      </c>
      <c r="D666" s="79" t="s">
        <v>193</v>
      </c>
      <c r="E666" s="79" t="s">
        <v>50</v>
      </c>
      <c r="F666" s="79" t="str">
        <f>IF(E666="", "", IF(COUNTIF(ChestType!$A$5:$A$195, E666)&gt;0, VLOOKUP(E666, ChestType!$A$5:$B$195, 2, 0), "Others"))</f>
        <v>L10 Crypt</v>
      </c>
    </row>
    <row r="667" spans="1:6" x14ac:dyDescent="0.25">
      <c r="A667" s="14">
        <v>46144.277777777781</v>
      </c>
      <c r="B667" s="79" t="s">
        <v>149</v>
      </c>
      <c r="C667" s="79" t="s">
        <v>173</v>
      </c>
      <c r="D667" s="79" t="s">
        <v>191</v>
      </c>
      <c r="E667" s="79" t="s">
        <v>52</v>
      </c>
      <c r="F667" s="79" t="str">
        <f>IF(E667="", "", IF(COUNTIF(ChestType!$A$5:$A$195, E667)&gt;0, VLOOKUP(E667, ChestType!$A$5:$B$195, 2, 0), "Others"))</f>
        <v>L5 Crypt</v>
      </c>
    </row>
    <row r="668" spans="1:6" x14ac:dyDescent="0.25">
      <c r="A668" s="14">
        <v>46144.277777777781</v>
      </c>
      <c r="B668" s="79" t="s">
        <v>149</v>
      </c>
      <c r="C668" s="79" t="s">
        <v>173</v>
      </c>
      <c r="D668" s="79" t="s">
        <v>166</v>
      </c>
      <c r="E668" s="79" t="s">
        <v>50</v>
      </c>
      <c r="F668" s="79" t="str">
        <f>IF(E668="", "", IF(COUNTIF(ChestType!$A$5:$A$195, E668)&gt;0, VLOOKUP(E668, ChestType!$A$5:$B$195, 2, 0), "Others"))</f>
        <v>L10 Crypt</v>
      </c>
    </row>
    <row r="669" spans="1:6" x14ac:dyDescent="0.25">
      <c r="A669" s="14">
        <v>46144.277777777781</v>
      </c>
      <c r="B669" s="79" t="s">
        <v>149</v>
      </c>
      <c r="C669" s="79" t="s">
        <v>151</v>
      </c>
      <c r="D669" s="79" t="s">
        <v>193</v>
      </c>
      <c r="E669" s="79" t="s">
        <v>50</v>
      </c>
      <c r="F669" s="79" t="str">
        <f>IF(E669="", "", IF(COUNTIF(ChestType!$A$5:$A$195, E669)&gt;0, VLOOKUP(E669, ChestType!$A$5:$B$195, 2, 0), "Others"))</f>
        <v>L10 Crypt</v>
      </c>
    </row>
    <row r="670" spans="1:6" x14ac:dyDescent="0.25">
      <c r="A670" s="14">
        <v>46144.277777777781</v>
      </c>
      <c r="B670" s="79" t="s">
        <v>195</v>
      </c>
      <c r="C670" s="79" t="s">
        <v>196</v>
      </c>
      <c r="D670" s="79" t="s">
        <v>247</v>
      </c>
      <c r="E670" s="79" t="s">
        <v>24</v>
      </c>
      <c r="F670" s="79" t="str">
        <f>IF(E670="", "", IF(COUNTIF(ChestType!$A$5:$A$195, E670)&gt;0, VLOOKUP(E670, ChestType!$A$5:$B$195, 2, 0), "Others"))</f>
        <v>Bank</v>
      </c>
    </row>
    <row r="671" spans="1:6" x14ac:dyDescent="0.25">
      <c r="A671" s="14">
        <v>46144.277777777781</v>
      </c>
      <c r="B671" s="79" t="s">
        <v>195</v>
      </c>
      <c r="C671" s="79" t="s">
        <v>196</v>
      </c>
      <c r="D671" s="79" t="s">
        <v>247</v>
      </c>
      <c r="E671" s="79" t="s">
        <v>24</v>
      </c>
      <c r="F671" s="79" t="str">
        <f>IF(E671="", "", IF(COUNTIF(ChestType!$A$5:$A$195, E671)&gt;0, VLOOKUP(E671, ChestType!$A$5:$B$195, 2, 0), "Others"))</f>
        <v>Bank</v>
      </c>
    </row>
    <row r="672" spans="1:6" x14ac:dyDescent="0.25">
      <c r="A672" s="14">
        <v>46144.277777777781</v>
      </c>
      <c r="B672" s="79" t="s">
        <v>195</v>
      </c>
      <c r="C672" s="79" t="s">
        <v>196</v>
      </c>
      <c r="D672" s="79" t="s">
        <v>247</v>
      </c>
      <c r="E672" s="79" t="s">
        <v>24</v>
      </c>
      <c r="F672" s="79" t="str">
        <f>IF(E672="", "", IF(COUNTIF(ChestType!$A$5:$A$195, E672)&gt;0, VLOOKUP(E672, ChestType!$A$5:$B$195, 2, 0), "Others"))</f>
        <v>Bank</v>
      </c>
    </row>
    <row r="673" spans="1:6" x14ac:dyDescent="0.25">
      <c r="A673" s="14">
        <v>46144.277777777781</v>
      </c>
      <c r="B673" s="79" t="s">
        <v>195</v>
      </c>
      <c r="C673" s="79" t="s">
        <v>209</v>
      </c>
      <c r="D673" s="79" t="s">
        <v>222</v>
      </c>
      <c r="E673" s="79" t="s">
        <v>24</v>
      </c>
      <c r="F673" s="79" t="str">
        <f>IF(E673="", "", IF(COUNTIF(ChestType!$A$5:$A$195, E673)&gt;0, VLOOKUP(E673, ChestType!$A$5:$B$195, 2, 0), "Others"))</f>
        <v>Bank</v>
      </c>
    </row>
    <row r="674" spans="1:6" x14ac:dyDescent="0.25">
      <c r="A674" s="14">
        <v>46144.277777777781</v>
      </c>
      <c r="B674" s="79" t="s">
        <v>195</v>
      </c>
      <c r="C674" s="79" t="s">
        <v>209</v>
      </c>
      <c r="D674" s="79" t="s">
        <v>222</v>
      </c>
      <c r="E674" s="79" t="s">
        <v>24</v>
      </c>
      <c r="F674" s="79" t="str">
        <f>IF(E674="", "", IF(COUNTIF(ChestType!$A$5:$A$195, E674)&gt;0, VLOOKUP(E674, ChestType!$A$5:$B$195, 2, 0), "Others"))</f>
        <v>Bank</v>
      </c>
    </row>
    <row r="675" spans="1:6" x14ac:dyDescent="0.25">
      <c r="A675" s="14">
        <v>46144.277777777781</v>
      </c>
      <c r="B675" s="79" t="s">
        <v>195</v>
      </c>
      <c r="C675" s="79" t="s">
        <v>209</v>
      </c>
      <c r="D675" s="79" t="s">
        <v>222</v>
      </c>
      <c r="E675" s="79" t="s">
        <v>24</v>
      </c>
      <c r="F675" s="79" t="str">
        <f>IF(E675="", "", IF(COUNTIF(ChestType!$A$5:$A$195, E675)&gt;0, VLOOKUP(E675, ChestType!$A$5:$B$195, 2, 0), "Others"))</f>
        <v>Bank</v>
      </c>
    </row>
    <row r="676" spans="1:6" x14ac:dyDescent="0.25">
      <c r="A676" s="14">
        <v>46144.277777777781</v>
      </c>
      <c r="B676" s="79" t="s">
        <v>195</v>
      </c>
      <c r="C676" s="79" t="s">
        <v>197</v>
      </c>
      <c r="D676" s="79" t="s">
        <v>222</v>
      </c>
      <c r="E676" s="79" t="s">
        <v>24</v>
      </c>
      <c r="F676" s="79" t="str">
        <f>IF(E676="", "", IF(COUNTIF(ChestType!$A$5:$A$195, E676)&gt;0, VLOOKUP(E676, ChestType!$A$5:$B$195, 2, 0), "Others"))</f>
        <v>Bank</v>
      </c>
    </row>
    <row r="677" spans="1:6" x14ac:dyDescent="0.25">
      <c r="A677" s="14">
        <v>46144.277777777781</v>
      </c>
      <c r="B677" s="79" t="s">
        <v>195</v>
      </c>
      <c r="C677" s="79" t="s">
        <v>197</v>
      </c>
      <c r="D677" s="79" t="s">
        <v>222</v>
      </c>
      <c r="E677" s="79" t="s">
        <v>24</v>
      </c>
      <c r="F677" s="79" t="str">
        <f>IF(E677="", "", IF(COUNTIF(ChestType!$A$5:$A$195, E677)&gt;0, VLOOKUP(E677, ChestType!$A$5:$B$195, 2, 0), "Others"))</f>
        <v>Bank</v>
      </c>
    </row>
    <row r="678" spans="1:6" x14ac:dyDescent="0.25">
      <c r="A678" s="14">
        <v>46144.277777777781</v>
      </c>
      <c r="B678" s="79" t="s">
        <v>195</v>
      </c>
      <c r="C678" s="79" t="s">
        <v>197</v>
      </c>
      <c r="D678" s="79" t="s">
        <v>222</v>
      </c>
      <c r="E678" s="79" t="s">
        <v>24</v>
      </c>
      <c r="F678" s="79" t="str">
        <f>IF(E678="", "", IF(COUNTIF(ChestType!$A$5:$A$195, E678)&gt;0, VLOOKUP(E678, ChestType!$A$5:$B$195, 2, 0), "Others"))</f>
        <v>Bank</v>
      </c>
    </row>
    <row r="679" spans="1:6" x14ac:dyDescent="0.25">
      <c r="A679" s="14">
        <v>46144.277777777781</v>
      </c>
      <c r="B679" s="79" t="s">
        <v>195</v>
      </c>
      <c r="C679" s="79" t="s">
        <v>198</v>
      </c>
      <c r="D679" s="79" t="s">
        <v>168</v>
      </c>
      <c r="E679" s="79" t="s">
        <v>24</v>
      </c>
      <c r="F679" s="79" t="str">
        <f>IF(E679="", "", IF(COUNTIF(ChestType!$A$5:$A$195, E679)&gt;0, VLOOKUP(E679, ChestType!$A$5:$B$195, 2, 0), "Others"))</f>
        <v>Bank</v>
      </c>
    </row>
    <row r="680" spans="1:6" x14ac:dyDescent="0.25">
      <c r="A680" s="14">
        <v>46144.277777777781</v>
      </c>
      <c r="B680" s="79" t="s">
        <v>195</v>
      </c>
      <c r="C680" s="79" t="s">
        <v>198</v>
      </c>
      <c r="D680" s="79" t="s">
        <v>168</v>
      </c>
      <c r="E680" s="79" t="s">
        <v>24</v>
      </c>
      <c r="F680" s="79" t="str">
        <f>IF(E680="", "", IF(COUNTIF(ChestType!$A$5:$A$195, E680)&gt;0, VLOOKUP(E680, ChestType!$A$5:$B$195, 2, 0), "Others"))</f>
        <v>Bank</v>
      </c>
    </row>
    <row r="681" spans="1:6" x14ac:dyDescent="0.25">
      <c r="A681" s="14">
        <v>46144.277777777781</v>
      </c>
      <c r="B681" s="79" t="s">
        <v>195</v>
      </c>
      <c r="C681" s="79" t="s">
        <v>198</v>
      </c>
      <c r="D681" s="79" t="s">
        <v>168</v>
      </c>
      <c r="E681" s="79" t="s">
        <v>24</v>
      </c>
      <c r="F681" s="79" t="str">
        <f>IF(E681="", "", IF(COUNTIF(ChestType!$A$5:$A$195, E681)&gt;0, VLOOKUP(E681, ChestType!$A$5:$B$195, 2, 0), "Others"))</f>
        <v>Bank</v>
      </c>
    </row>
    <row r="682" spans="1:6" x14ac:dyDescent="0.25">
      <c r="A682" s="14">
        <v>46144.277777777781</v>
      </c>
      <c r="B682" s="79" t="s">
        <v>195</v>
      </c>
      <c r="C682" s="79" t="s">
        <v>196</v>
      </c>
      <c r="D682" s="79" t="s">
        <v>168</v>
      </c>
      <c r="E682" s="79" t="s">
        <v>24</v>
      </c>
      <c r="F682" s="79" t="str">
        <f>IF(E682="", "", IF(COUNTIF(ChestType!$A$5:$A$195, E682)&gt;0, VLOOKUP(E682, ChestType!$A$5:$B$195, 2, 0), "Others"))</f>
        <v>Bank</v>
      </c>
    </row>
    <row r="683" spans="1:6" x14ac:dyDescent="0.25">
      <c r="A683" s="14">
        <v>46144.277777777781</v>
      </c>
      <c r="B683" s="79" t="s">
        <v>195</v>
      </c>
      <c r="C683" s="79" t="s">
        <v>196</v>
      </c>
      <c r="D683" s="79" t="s">
        <v>168</v>
      </c>
      <c r="E683" s="79" t="s">
        <v>24</v>
      </c>
      <c r="F683" s="79" t="str">
        <f>IF(E683="", "", IF(COUNTIF(ChestType!$A$5:$A$195, E683)&gt;0, VLOOKUP(E683, ChestType!$A$5:$B$195, 2, 0), "Others"))</f>
        <v>Bank</v>
      </c>
    </row>
    <row r="684" spans="1:6" x14ac:dyDescent="0.25">
      <c r="A684" s="14">
        <v>46144.277777777781</v>
      </c>
      <c r="B684" s="79" t="s">
        <v>195</v>
      </c>
      <c r="C684" s="79" t="s">
        <v>196</v>
      </c>
      <c r="D684" s="79" t="s">
        <v>168</v>
      </c>
      <c r="E684" s="79" t="s">
        <v>24</v>
      </c>
      <c r="F684" s="79" t="str">
        <f>IF(E684="", "", IF(COUNTIF(ChestType!$A$5:$A$195, E684)&gt;0, VLOOKUP(E684, ChestType!$A$5:$B$195, 2, 0), "Others"))</f>
        <v>Bank</v>
      </c>
    </row>
    <row r="685" spans="1:6" x14ac:dyDescent="0.25">
      <c r="A685" s="14">
        <v>46144.277777777781</v>
      </c>
      <c r="B685" s="79" t="s">
        <v>195</v>
      </c>
      <c r="C685" s="79" t="s">
        <v>196</v>
      </c>
      <c r="D685" s="79" t="s">
        <v>229</v>
      </c>
      <c r="E685" s="79" t="s">
        <v>24</v>
      </c>
      <c r="F685" s="79" t="str">
        <f>IF(E685="", "", IF(COUNTIF(ChestType!$A$5:$A$195, E685)&gt;0, VLOOKUP(E685, ChestType!$A$5:$B$195, 2, 0), "Others"))</f>
        <v>Bank</v>
      </c>
    </row>
    <row r="686" spans="1:6" x14ac:dyDescent="0.25">
      <c r="A686" s="14">
        <v>46144.277777777781</v>
      </c>
      <c r="B686" s="79" t="s">
        <v>195</v>
      </c>
      <c r="C686" s="79" t="s">
        <v>196</v>
      </c>
      <c r="D686" s="79" t="s">
        <v>229</v>
      </c>
      <c r="E686" s="79" t="s">
        <v>24</v>
      </c>
      <c r="F686" s="79" t="str">
        <f>IF(E686="", "", IF(COUNTIF(ChestType!$A$5:$A$195, E686)&gt;0, VLOOKUP(E686, ChestType!$A$5:$B$195, 2, 0), "Others"))</f>
        <v>Bank</v>
      </c>
    </row>
    <row r="687" spans="1:6" x14ac:dyDescent="0.25">
      <c r="A687" s="14">
        <v>46144.277777777781</v>
      </c>
      <c r="B687" s="79" t="s">
        <v>195</v>
      </c>
      <c r="C687" s="79" t="s">
        <v>196</v>
      </c>
      <c r="D687" s="79" t="s">
        <v>229</v>
      </c>
      <c r="E687" s="79" t="s">
        <v>24</v>
      </c>
      <c r="F687" s="79" t="str">
        <f>IF(E687="", "", IF(COUNTIF(ChestType!$A$5:$A$195, E687)&gt;0, VLOOKUP(E687, ChestType!$A$5:$B$195, 2, 0), "Others"))</f>
        <v>Bank</v>
      </c>
    </row>
    <row r="688" spans="1:6" x14ac:dyDescent="0.25">
      <c r="A688" s="14">
        <v>46144.304166666669</v>
      </c>
      <c r="B688" s="79" t="s">
        <v>149</v>
      </c>
      <c r="C688" s="79" t="s">
        <v>187</v>
      </c>
      <c r="D688" s="79" t="s">
        <v>193</v>
      </c>
      <c r="E688" s="79" t="s">
        <v>75</v>
      </c>
      <c r="F688" s="79" t="str">
        <f>IF(E688="", "", IF(COUNTIF(ChestType!$A$5:$A$195, E688)&gt;0, VLOOKUP(E688, ChestType!$A$5:$B$195, 2, 0), "Others"))</f>
        <v>L10 Rare Crypt</v>
      </c>
    </row>
    <row r="689" spans="1:6" x14ac:dyDescent="0.25">
      <c r="A689" s="14">
        <v>46144.304166666669</v>
      </c>
      <c r="B689" s="79" t="s">
        <v>149</v>
      </c>
      <c r="C689" s="79" t="s">
        <v>184</v>
      </c>
      <c r="D689" s="79" t="s">
        <v>168</v>
      </c>
      <c r="E689" s="79" t="s">
        <v>50</v>
      </c>
      <c r="F689" s="79" t="str">
        <f>IF(E689="", "", IF(COUNTIF(ChestType!$A$5:$A$195, E689)&gt;0, VLOOKUP(E689, ChestType!$A$5:$B$195, 2, 0), "Others"))</f>
        <v>L10 Crypt</v>
      </c>
    </row>
    <row r="690" spans="1:6" x14ac:dyDescent="0.25">
      <c r="A690" s="14">
        <v>46144.304166666669</v>
      </c>
      <c r="B690" s="79" t="s">
        <v>149</v>
      </c>
      <c r="C690" s="79" t="s">
        <v>184</v>
      </c>
      <c r="D690" s="79" t="s">
        <v>168</v>
      </c>
      <c r="E690" s="79" t="s">
        <v>50</v>
      </c>
      <c r="F690" s="79" t="str">
        <f>IF(E690="", "", IF(COUNTIF(ChestType!$A$5:$A$195, E690)&gt;0, VLOOKUP(E690, ChestType!$A$5:$B$195, 2, 0), "Others"))</f>
        <v>L10 Crypt</v>
      </c>
    </row>
    <row r="691" spans="1:6" x14ac:dyDescent="0.25">
      <c r="A691" s="14">
        <v>46144.304166666669</v>
      </c>
      <c r="B691" s="79" t="s">
        <v>149</v>
      </c>
      <c r="C691" s="79" t="s">
        <v>177</v>
      </c>
      <c r="D691" s="79" t="s">
        <v>168</v>
      </c>
      <c r="E691" s="79" t="s">
        <v>50</v>
      </c>
      <c r="F691" s="79" t="str">
        <f>IF(E691="", "", IF(COUNTIF(ChestType!$A$5:$A$195, E691)&gt;0, VLOOKUP(E691, ChestType!$A$5:$B$195, 2, 0), "Others"))</f>
        <v>L10 Crypt</v>
      </c>
    </row>
    <row r="692" spans="1:6" x14ac:dyDescent="0.25">
      <c r="A692" s="14">
        <v>46144.304166666669</v>
      </c>
      <c r="B692" s="79" t="s">
        <v>149</v>
      </c>
      <c r="C692" s="79" t="s">
        <v>185</v>
      </c>
      <c r="D692" s="79" t="s">
        <v>168</v>
      </c>
      <c r="E692" s="79" t="s">
        <v>49</v>
      </c>
      <c r="F692" s="79" t="str">
        <f>IF(E692="", "", IF(COUNTIF(ChestType!$A$5:$A$195, E692)&gt;0, VLOOKUP(E692, ChestType!$A$5:$B$195, 2, 0), "Others"))</f>
        <v>L15 Crypt</v>
      </c>
    </row>
    <row r="693" spans="1:6" x14ac:dyDescent="0.25">
      <c r="A693" s="14">
        <v>46144.304166666669</v>
      </c>
      <c r="B693" s="79" t="s">
        <v>149</v>
      </c>
      <c r="C693" s="79" t="s">
        <v>185</v>
      </c>
      <c r="D693" s="79" t="s">
        <v>257</v>
      </c>
      <c r="E693" s="79" t="s">
        <v>50</v>
      </c>
      <c r="F693" s="79" t="str">
        <f>IF(E693="", "", IF(COUNTIF(ChestType!$A$5:$A$195, E693)&gt;0, VLOOKUP(E693, ChestType!$A$5:$B$195, 2, 0), "Others"))</f>
        <v>L10 Crypt</v>
      </c>
    </row>
    <row r="694" spans="1:6" x14ac:dyDescent="0.25">
      <c r="A694" s="14">
        <v>46144.304166666669</v>
      </c>
      <c r="B694" s="79" t="s">
        <v>149</v>
      </c>
      <c r="C694" s="79" t="s">
        <v>171</v>
      </c>
      <c r="D694" s="79" t="s">
        <v>168</v>
      </c>
      <c r="E694" s="79" t="s">
        <v>50</v>
      </c>
      <c r="F694" s="79" t="str">
        <f>IF(E694="", "", IF(COUNTIF(ChestType!$A$5:$A$195, E694)&gt;0, VLOOKUP(E694, ChestType!$A$5:$B$195, 2, 0), "Others"))</f>
        <v>L10 Crypt</v>
      </c>
    </row>
    <row r="695" spans="1:6" x14ac:dyDescent="0.25">
      <c r="A695" s="14">
        <v>46144.304166666669</v>
      </c>
      <c r="B695" s="79" t="s">
        <v>149</v>
      </c>
      <c r="C695" s="79" t="s">
        <v>151</v>
      </c>
      <c r="D695" s="79" t="s">
        <v>168</v>
      </c>
      <c r="E695" s="79" t="s">
        <v>50</v>
      </c>
      <c r="F695" s="79" t="str">
        <f>IF(E695="", "", IF(COUNTIF(ChestType!$A$5:$A$195, E695)&gt;0, VLOOKUP(E695, ChestType!$A$5:$B$195, 2, 0), "Others"))</f>
        <v>L10 Crypt</v>
      </c>
    </row>
    <row r="696" spans="1:6" x14ac:dyDescent="0.25">
      <c r="A696" s="14">
        <v>46144.304166666669</v>
      </c>
      <c r="B696" s="79" t="s">
        <v>149</v>
      </c>
      <c r="C696" s="79" t="s">
        <v>151</v>
      </c>
      <c r="D696" s="79" t="s">
        <v>168</v>
      </c>
      <c r="E696" s="79" t="s">
        <v>50</v>
      </c>
      <c r="F696" s="79" t="str">
        <f>IF(E696="", "", IF(COUNTIF(ChestType!$A$5:$A$195, E696)&gt;0, VLOOKUP(E696, ChestType!$A$5:$B$195, 2, 0), "Others"))</f>
        <v>L10 Crypt</v>
      </c>
    </row>
    <row r="697" spans="1:6" x14ac:dyDescent="0.25">
      <c r="A697" s="14">
        <v>46144.304166666669</v>
      </c>
      <c r="B697" s="79" t="s">
        <v>149</v>
      </c>
      <c r="C697" s="79" t="s">
        <v>177</v>
      </c>
      <c r="D697" s="79" t="s">
        <v>152</v>
      </c>
      <c r="E697" s="79" t="s">
        <v>49</v>
      </c>
      <c r="F697" s="79" t="str">
        <f>IF(E697="", "", IF(COUNTIF(ChestType!$A$5:$A$195, E697)&gt;0, VLOOKUP(E697, ChestType!$A$5:$B$195, 2, 0), "Others"))</f>
        <v>L15 Crypt</v>
      </c>
    </row>
    <row r="698" spans="1:6" x14ac:dyDescent="0.25">
      <c r="A698" s="14">
        <v>46144.304166666669</v>
      </c>
      <c r="B698" s="79" t="s">
        <v>149</v>
      </c>
      <c r="C698" s="79" t="s">
        <v>182</v>
      </c>
      <c r="D698" s="79" t="s">
        <v>168</v>
      </c>
      <c r="E698" s="79" t="s">
        <v>49</v>
      </c>
      <c r="F698" s="79" t="str">
        <f>IF(E698="", "", IF(COUNTIF(ChestType!$A$5:$A$195, E698)&gt;0, VLOOKUP(E698, ChestType!$A$5:$B$195, 2, 0), "Others"))</f>
        <v>L15 Crypt</v>
      </c>
    </row>
    <row r="699" spans="1:6" x14ac:dyDescent="0.25">
      <c r="A699" s="14">
        <v>46144.304166666669</v>
      </c>
      <c r="B699" s="79" t="s">
        <v>149</v>
      </c>
      <c r="C699" s="79" t="s">
        <v>171</v>
      </c>
      <c r="D699" s="79" t="s">
        <v>168</v>
      </c>
      <c r="E699" s="79" t="s">
        <v>49</v>
      </c>
      <c r="F699" s="79" t="str">
        <f>IF(E699="", "", IF(COUNTIF(ChestType!$A$5:$A$195, E699)&gt;0, VLOOKUP(E699, ChestType!$A$5:$B$195, 2, 0), "Others"))</f>
        <v>L15 Crypt</v>
      </c>
    </row>
    <row r="700" spans="1:6" x14ac:dyDescent="0.25">
      <c r="A700" s="14">
        <v>46144.304166666669</v>
      </c>
      <c r="B700" s="79" t="s">
        <v>149</v>
      </c>
      <c r="C700" s="79" t="s">
        <v>183</v>
      </c>
      <c r="D700" s="79" t="s">
        <v>257</v>
      </c>
      <c r="E700" s="79" t="s">
        <v>52</v>
      </c>
      <c r="F700" s="79" t="str">
        <f>IF(E700="", "", IF(COUNTIF(ChestType!$A$5:$A$195, E700)&gt;0, VLOOKUP(E700, ChestType!$A$5:$B$195, 2, 0), "Others"))</f>
        <v>L5 Crypt</v>
      </c>
    </row>
    <row r="701" spans="1:6" x14ac:dyDescent="0.25">
      <c r="A701" s="14">
        <v>46144.304166666669</v>
      </c>
      <c r="B701" s="79" t="s">
        <v>149</v>
      </c>
      <c r="C701" s="79" t="s">
        <v>185</v>
      </c>
      <c r="D701" s="79" t="s">
        <v>231</v>
      </c>
      <c r="E701" s="79" t="s">
        <v>50</v>
      </c>
      <c r="F701" s="79" t="str">
        <f>IF(E701="", "", IF(COUNTIF(ChestType!$A$5:$A$195, E701)&gt;0, VLOOKUP(E701, ChestType!$A$5:$B$195, 2, 0), "Others"))</f>
        <v>L10 Crypt</v>
      </c>
    </row>
    <row r="702" spans="1:6" x14ac:dyDescent="0.25">
      <c r="A702" s="14">
        <v>46144.304166666669</v>
      </c>
      <c r="B702" s="79" t="s">
        <v>149</v>
      </c>
      <c r="C702" s="79" t="s">
        <v>226</v>
      </c>
      <c r="D702" s="79" t="s">
        <v>231</v>
      </c>
      <c r="E702" s="79" t="s">
        <v>64</v>
      </c>
      <c r="F702" s="79" t="str">
        <f>IF(E702="", "", IF(COUNTIF(ChestType!$A$5:$A$195, E702)&gt;0, VLOOKUP(E702, ChestType!$A$5:$B$195, 2, 0), "Others"))</f>
        <v>L15 Epic Crypt</v>
      </c>
    </row>
    <row r="703" spans="1:6" x14ac:dyDescent="0.25">
      <c r="A703" s="14">
        <v>46144.304166666669</v>
      </c>
      <c r="B703" s="79" t="s">
        <v>149</v>
      </c>
      <c r="C703" s="79" t="s">
        <v>176</v>
      </c>
      <c r="D703" s="79" t="s">
        <v>153</v>
      </c>
      <c r="E703" s="79" t="s">
        <v>70</v>
      </c>
      <c r="F703" s="79" t="str">
        <f>IF(E703="", "", IF(COUNTIF(ChestType!$A$5:$A$195, E703)&gt;0, VLOOKUP(E703, ChestType!$A$5:$B$195, 2, 0), "Others"))</f>
        <v>L10 Citadel</v>
      </c>
    </row>
    <row r="704" spans="1:6" x14ac:dyDescent="0.25">
      <c r="A704" s="14">
        <v>46144.304166666669</v>
      </c>
      <c r="B704" s="79" t="s">
        <v>149</v>
      </c>
      <c r="C704" s="79" t="s">
        <v>181</v>
      </c>
      <c r="D704" s="79" t="s">
        <v>231</v>
      </c>
      <c r="E704" s="79" t="s">
        <v>52</v>
      </c>
      <c r="F704" s="79" t="str">
        <f>IF(E704="", "", IF(COUNTIF(ChestType!$A$5:$A$195, E704)&gt;0, VLOOKUP(E704, ChestType!$A$5:$B$195, 2, 0), "Others"))</f>
        <v>L5 Crypt</v>
      </c>
    </row>
    <row r="705" spans="1:6" x14ac:dyDescent="0.25">
      <c r="A705" s="14">
        <v>46144.304166666669</v>
      </c>
      <c r="B705" s="79" t="s">
        <v>149</v>
      </c>
      <c r="C705" s="79" t="s">
        <v>176</v>
      </c>
      <c r="D705" s="79" t="s">
        <v>231</v>
      </c>
      <c r="E705" s="79" t="s">
        <v>70</v>
      </c>
      <c r="F705" s="79" t="str">
        <f>IF(E705="", "", IF(COUNTIF(ChestType!$A$5:$A$195, E705)&gt;0, VLOOKUP(E705, ChestType!$A$5:$B$195, 2, 0), "Others"))</f>
        <v>L10 Citadel</v>
      </c>
    </row>
    <row r="706" spans="1:6" x14ac:dyDescent="0.25">
      <c r="A706" s="14">
        <v>46144.304166666669</v>
      </c>
      <c r="B706" s="79" t="s">
        <v>149</v>
      </c>
      <c r="C706" s="79" t="s">
        <v>151</v>
      </c>
      <c r="D706" s="79" t="s">
        <v>231</v>
      </c>
      <c r="E706" s="79" t="s">
        <v>52</v>
      </c>
      <c r="F706" s="79" t="str">
        <f>IF(E706="", "", IF(COUNTIF(ChestType!$A$5:$A$195, E706)&gt;0, VLOOKUP(E706, ChestType!$A$5:$B$195, 2, 0), "Others"))</f>
        <v>L5 Crypt</v>
      </c>
    </row>
    <row r="707" spans="1:6" x14ac:dyDescent="0.25">
      <c r="A707" s="14">
        <v>46144.304166666669</v>
      </c>
      <c r="B707" s="79" t="s">
        <v>149</v>
      </c>
      <c r="C707" s="79" t="s">
        <v>171</v>
      </c>
      <c r="D707" s="79" t="s">
        <v>231</v>
      </c>
      <c r="E707" s="79" t="s">
        <v>52</v>
      </c>
      <c r="F707" s="79" t="str">
        <f>IF(E707="", "", IF(COUNTIF(ChestType!$A$5:$A$195, E707)&gt;0, VLOOKUP(E707, ChestType!$A$5:$B$195, 2, 0), "Others"))</f>
        <v>L5 Crypt</v>
      </c>
    </row>
    <row r="708" spans="1:6" x14ac:dyDescent="0.25">
      <c r="A708" s="14">
        <v>46144.304166666669</v>
      </c>
      <c r="B708" s="79" t="s">
        <v>149</v>
      </c>
      <c r="C708" s="79" t="s">
        <v>176</v>
      </c>
      <c r="D708" s="79" t="s">
        <v>229</v>
      </c>
      <c r="E708" s="79" t="s">
        <v>63</v>
      </c>
      <c r="F708" s="79" t="str">
        <f>IF(E708="", "", IF(COUNTIF(ChestType!$A$5:$A$195, E708)&gt;0, VLOOKUP(E708, ChestType!$A$5:$B$195, 2, 0), "Others"))</f>
        <v>L15 Citadel</v>
      </c>
    </row>
    <row r="709" spans="1:6" x14ac:dyDescent="0.25">
      <c r="A709" s="14">
        <v>46144.304166666669</v>
      </c>
      <c r="B709" s="79" t="s">
        <v>149</v>
      </c>
      <c r="C709" s="79" t="s">
        <v>182</v>
      </c>
      <c r="D709" s="79" t="s">
        <v>257</v>
      </c>
      <c r="E709" s="79" t="s">
        <v>52</v>
      </c>
      <c r="F709" s="79" t="str">
        <f>IF(E709="", "", IF(COUNTIF(ChestType!$A$5:$A$195, E709)&gt;0, VLOOKUP(E709, ChestType!$A$5:$B$195, 2, 0), "Others"))</f>
        <v>L5 Crypt</v>
      </c>
    </row>
    <row r="710" spans="1:6" x14ac:dyDescent="0.25">
      <c r="A710" s="14">
        <v>46144.304166666669</v>
      </c>
      <c r="B710" s="79" t="s">
        <v>149</v>
      </c>
      <c r="C710" s="79" t="s">
        <v>176</v>
      </c>
      <c r="D710" s="79" t="s">
        <v>231</v>
      </c>
      <c r="E710" s="79" t="s">
        <v>70</v>
      </c>
      <c r="F710" s="79" t="str">
        <f>IF(E710="", "", IF(COUNTIF(ChestType!$A$5:$A$195, E710)&gt;0, VLOOKUP(E710, ChestType!$A$5:$B$195, 2, 0), "Others"))</f>
        <v>L10 Citadel</v>
      </c>
    </row>
    <row r="711" spans="1:6" x14ac:dyDescent="0.25">
      <c r="A711" s="14">
        <v>46144.309027777781</v>
      </c>
      <c r="B711" s="79" t="s">
        <v>149</v>
      </c>
      <c r="C711" s="79" t="s">
        <v>187</v>
      </c>
      <c r="D711" s="79" t="s">
        <v>231</v>
      </c>
      <c r="E711" s="79" t="s">
        <v>75</v>
      </c>
      <c r="F711" s="79" t="str">
        <f>IF(E711="", "", IF(COUNTIF(ChestType!$A$5:$A$195, E711)&gt;0, VLOOKUP(E711, ChestType!$A$5:$B$195, 2, 0), "Others"))</f>
        <v>L10 Rare Crypt</v>
      </c>
    </row>
    <row r="712" spans="1:6" x14ac:dyDescent="0.25">
      <c r="A712" s="14">
        <v>46144.309027777781</v>
      </c>
      <c r="B712" s="79" t="s">
        <v>149</v>
      </c>
      <c r="C712" s="79" t="s">
        <v>187</v>
      </c>
      <c r="D712" s="79" t="s">
        <v>231</v>
      </c>
      <c r="E712" s="79" t="s">
        <v>75</v>
      </c>
      <c r="F712" s="79" t="str">
        <f>IF(E712="", "", IF(COUNTIF(ChestType!$A$5:$A$195, E712)&gt;0, VLOOKUP(E712, ChestType!$A$5:$B$195, 2, 0), "Others"))</f>
        <v>L10 Rare Crypt</v>
      </c>
    </row>
    <row r="713" spans="1:6" x14ac:dyDescent="0.25">
      <c r="A713" s="14">
        <v>46144.309027777781</v>
      </c>
      <c r="B713" s="79" t="s">
        <v>149</v>
      </c>
      <c r="C713" s="79" t="s">
        <v>185</v>
      </c>
      <c r="D713" s="79" t="s">
        <v>229</v>
      </c>
      <c r="E713" s="79" t="s">
        <v>49</v>
      </c>
      <c r="F713" s="79" t="str">
        <f>IF(E713="", "", IF(COUNTIF(ChestType!$A$5:$A$195, E713)&gt;0, VLOOKUP(E713, ChestType!$A$5:$B$195, 2, 0), "Others"))</f>
        <v>L15 Crypt</v>
      </c>
    </row>
    <row r="714" spans="1:6" x14ac:dyDescent="0.25">
      <c r="A714" s="14">
        <v>46144.309027777781</v>
      </c>
      <c r="B714" s="79" t="s">
        <v>149</v>
      </c>
      <c r="C714" s="79" t="s">
        <v>192</v>
      </c>
      <c r="D714" s="79" t="s">
        <v>229</v>
      </c>
      <c r="E714" s="79" t="s">
        <v>60</v>
      </c>
      <c r="F714" s="79" t="str">
        <f>IF(E714="", "", IF(COUNTIF(ChestType!$A$5:$A$195, E714)&gt;0, VLOOKUP(E714, ChestType!$A$5:$B$195, 2, 0), "Others"))</f>
        <v>Others</v>
      </c>
    </row>
    <row r="715" spans="1:6" x14ac:dyDescent="0.25">
      <c r="A715" s="14">
        <v>46144.309027777781</v>
      </c>
      <c r="B715" s="79" t="s">
        <v>149</v>
      </c>
      <c r="C715" s="79" t="s">
        <v>187</v>
      </c>
      <c r="D715" s="79" t="s">
        <v>231</v>
      </c>
      <c r="E715" s="79" t="s">
        <v>75</v>
      </c>
      <c r="F715" s="79" t="str">
        <f>IF(E715="", "", IF(COUNTIF(ChestType!$A$5:$A$195, E715)&gt;0, VLOOKUP(E715, ChestType!$A$5:$B$195, 2, 0), "Others"))</f>
        <v>L10 Rare Crypt</v>
      </c>
    </row>
    <row r="716" spans="1:6" x14ac:dyDescent="0.25">
      <c r="A716" s="14">
        <v>46144.309027777781</v>
      </c>
      <c r="B716" s="79" t="s">
        <v>149</v>
      </c>
      <c r="C716" s="79" t="s">
        <v>185</v>
      </c>
      <c r="D716" s="79" t="s">
        <v>229</v>
      </c>
      <c r="E716" s="79" t="s">
        <v>50</v>
      </c>
      <c r="F716" s="79" t="str">
        <f>IF(E716="", "", IF(COUNTIF(ChestType!$A$5:$A$195, E716)&gt;0, VLOOKUP(E716, ChestType!$A$5:$B$195, 2, 0), "Others"))</f>
        <v>L10 Crypt</v>
      </c>
    </row>
    <row r="717" spans="1:6" x14ac:dyDescent="0.25">
      <c r="A717" s="14">
        <v>46144.309027777781</v>
      </c>
      <c r="B717" s="79" t="s">
        <v>149</v>
      </c>
      <c r="C717" s="79" t="s">
        <v>182</v>
      </c>
      <c r="D717" s="79" t="s">
        <v>257</v>
      </c>
      <c r="E717" s="79" t="s">
        <v>50</v>
      </c>
      <c r="F717" s="79" t="str">
        <f>IF(E717="", "", IF(COUNTIF(ChestType!$A$5:$A$195, E717)&gt;0, VLOOKUP(E717, ChestType!$A$5:$B$195, 2, 0), "Others"))</f>
        <v>L10 Crypt</v>
      </c>
    </row>
    <row r="718" spans="1:6" x14ac:dyDescent="0.25">
      <c r="A718" s="14">
        <v>46144.309027777781</v>
      </c>
      <c r="B718" s="79" t="s">
        <v>149</v>
      </c>
      <c r="C718" s="79" t="s">
        <v>175</v>
      </c>
      <c r="D718" s="79" t="s">
        <v>229</v>
      </c>
      <c r="E718" s="79" t="s">
        <v>52</v>
      </c>
      <c r="F718" s="79" t="str">
        <f>IF(E718="", "", IF(COUNTIF(ChestType!$A$5:$A$195, E718)&gt;0, VLOOKUP(E718, ChestType!$A$5:$B$195, 2, 0), "Others"))</f>
        <v>L5 Crypt</v>
      </c>
    </row>
    <row r="719" spans="1:6" x14ac:dyDescent="0.25">
      <c r="A719" s="14">
        <v>46144.38958333333</v>
      </c>
      <c r="B719" s="79" t="s">
        <v>149</v>
      </c>
      <c r="C719" s="79" t="s">
        <v>184</v>
      </c>
      <c r="D719" s="79" t="s">
        <v>260</v>
      </c>
      <c r="E719" s="79" t="s">
        <v>50</v>
      </c>
      <c r="F719" s="79" t="str">
        <f>IF(E719="", "", IF(COUNTIF(ChestType!$A$5:$A$195, E719)&gt;0, VLOOKUP(E719, ChestType!$A$5:$B$195, 2, 0), "Others"))</f>
        <v>L10 Crypt</v>
      </c>
    </row>
    <row r="720" spans="1:6" x14ac:dyDescent="0.25">
      <c r="A720" s="14">
        <v>46144.38958333333</v>
      </c>
      <c r="B720" s="79" t="s">
        <v>149</v>
      </c>
      <c r="C720" s="79" t="s">
        <v>215</v>
      </c>
      <c r="D720" s="79" t="s">
        <v>229</v>
      </c>
      <c r="E720" s="79" t="s">
        <v>64</v>
      </c>
      <c r="F720" s="79" t="str">
        <f>IF(E720="", "", IF(COUNTIF(ChestType!$A$5:$A$195, E720)&gt;0, VLOOKUP(E720, ChestType!$A$5:$B$195, 2, 0), "Others"))</f>
        <v>L15 Epic Crypt</v>
      </c>
    </row>
    <row r="721" spans="1:6" x14ac:dyDescent="0.25">
      <c r="A721" s="14">
        <v>46144.38958333333</v>
      </c>
      <c r="B721" s="79" t="s">
        <v>149</v>
      </c>
      <c r="C721" s="79" t="s">
        <v>218</v>
      </c>
      <c r="D721" s="79" t="s">
        <v>229</v>
      </c>
      <c r="E721" s="79" t="s">
        <v>64</v>
      </c>
      <c r="F721" s="79" t="str">
        <f>IF(E721="", "", IF(COUNTIF(ChestType!$A$5:$A$195, E721)&gt;0, VLOOKUP(E721, ChestType!$A$5:$B$195, 2, 0), "Others"))</f>
        <v>L15 Epic Crypt</v>
      </c>
    </row>
    <row r="722" spans="1:6" x14ac:dyDescent="0.25">
      <c r="A722" s="14">
        <v>46144.38958333333</v>
      </c>
      <c r="B722" s="79" t="s">
        <v>149</v>
      </c>
      <c r="C722" s="79" t="s">
        <v>171</v>
      </c>
      <c r="D722" s="79" t="s">
        <v>260</v>
      </c>
      <c r="E722" s="79" t="s">
        <v>50</v>
      </c>
      <c r="F722" s="79" t="str">
        <f>IF(E722="", "", IF(COUNTIF(ChestType!$A$5:$A$195, E722)&gt;0, VLOOKUP(E722, ChestType!$A$5:$B$195, 2, 0), "Others"))</f>
        <v>L10 Crypt</v>
      </c>
    </row>
    <row r="723" spans="1:6" x14ac:dyDescent="0.25">
      <c r="A723" s="14">
        <v>46144.38958333333</v>
      </c>
      <c r="B723" s="79" t="s">
        <v>149</v>
      </c>
      <c r="C723" s="79" t="s">
        <v>190</v>
      </c>
      <c r="D723" s="79" t="s">
        <v>260</v>
      </c>
      <c r="E723" s="79" t="s">
        <v>50</v>
      </c>
      <c r="F723" s="79" t="str">
        <f>IF(E723="", "", IF(COUNTIF(ChestType!$A$5:$A$195, E723)&gt;0, VLOOKUP(E723, ChestType!$A$5:$B$195, 2, 0), "Others"))</f>
        <v>L10 Crypt</v>
      </c>
    </row>
    <row r="724" spans="1:6" x14ac:dyDescent="0.25">
      <c r="A724" s="14">
        <v>46144.38958333333</v>
      </c>
      <c r="B724" s="79" t="s">
        <v>149</v>
      </c>
      <c r="C724" s="79" t="s">
        <v>158</v>
      </c>
      <c r="D724" s="79" t="s">
        <v>260</v>
      </c>
      <c r="E724" s="79" t="s">
        <v>50</v>
      </c>
      <c r="F724" s="79" t="str">
        <f>IF(E724="", "", IF(COUNTIF(ChestType!$A$5:$A$195, E724)&gt;0, VLOOKUP(E724, ChestType!$A$5:$B$195, 2, 0), "Others"))</f>
        <v>L10 Crypt</v>
      </c>
    </row>
    <row r="725" spans="1:6" x14ac:dyDescent="0.25">
      <c r="A725" s="14">
        <v>46144.38958333333</v>
      </c>
      <c r="B725" s="79" t="s">
        <v>149</v>
      </c>
      <c r="C725" s="79" t="s">
        <v>184</v>
      </c>
      <c r="D725" s="79" t="s">
        <v>260</v>
      </c>
      <c r="E725" s="79" t="s">
        <v>50</v>
      </c>
      <c r="F725" s="79" t="str">
        <f>IF(E725="", "", IF(COUNTIF(ChestType!$A$5:$A$195, E725)&gt;0, VLOOKUP(E725, ChestType!$A$5:$B$195, 2, 0), "Others"))</f>
        <v>L10 Crypt</v>
      </c>
    </row>
    <row r="726" spans="1:6" x14ac:dyDescent="0.25">
      <c r="A726" s="14">
        <v>46144.38958333333</v>
      </c>
      <c r="B726" s="79" t="s">
        <v>149</v>
      </c>
      <c r="C726" s="79" t="s">
        <v>187</v>
      </c>
      <c r="D726" s="79" t="s">
        <v>229</v>
      </c>
      <c r="E726" s="79" t="s">
        <v>71</v>
      </c>
      <c r="F726" s="79" t="str">
        <f>IF(E726="", "", IF(COUNTIF(ChestType!$A$5:$A$195, E726)&gt;0, VLOOKUP(E726, ChestType!$A$5:$B$195, 2, 0), "Others"))</f>
        <v>L15 Rare Crypt</v>
      </c>
    </row>
    <row r="727" spans="1:6" x14ac:dyDescent="0.25">
      <c r="A727" s="14">
        <v>46144.38958333333</v>
      </c>
      <c r="B727" s="79" t="s">
        <v>149</v>
      </c>
      <c r="C727" s="79" t="s">
        <v>190</v>
      </c>
      <c r="D727" s="79" t="s">
        <v>260</v>
      </c>
      <c r="E727" s="79" t="s">
        <v>50</v>
      </c>
      <c r="F727" s="79" t="str">
        <f>IF(E727="", "", IF(COUNTIF(ChestType!$A$5:$A$195, E727)&gt;0, VLOOKUP(E727, ChestType!$A$5:$B$195, 2, 0), "Others"))</f>
        <v>L10 Crypt</v>
      </c>
    </row>
    <row r="728" spans="1:6" x14ac:dyDescent="0.25">
      <c r="A728" s="14">
        <v>46144.38958333333</v>
      </c>
      <c r="B728" s="79" t="s">
        <v>149</v>
      </c>
      <c r="C728" s="79" t="s">
        <v>182</v>
      </c>
      <c r="D728" s="79" t="s">
        <v>150</v>
      </c>
      <c r="E728" s="79" t="s">
        <v>50</v>
      </c>
      <c r="F728" s="79" t="str">
        <f>IF(E728="", "", IF(COUNTIF(ChestType!$A$5:$A$195, E728)&gt;0, VLOOKUP(E728, ChestType!$A$5:$B$195, 2, 0), "Others"))</f>
        <v>L10 Crypt</v>
      </c>
    </row>
    <row r="729" spans="1:6" x14ac:dyDescent="0.25">
      <c r="A729" s="14">
        <v>46144.38958333333</v>
      </c>
      <c r="B729" s="79" t="s">
        <v>149</v>
      </c>
      <c r="C729" s="79" t="s">
        <v>158</v>
      </c>
      <c r="D729" s="79" t="s">
        <v>150</v>
      </c>
      <c r="E729" s="79" t="s">
        <v>50</v>
      </c>
      <c r="F729" s="79" t="str">
        <f>IF(E729="", "", IF(COUNTIF(ChestType!$A$5:$A$195, E729)&gt;0, VLOOKUP(E729, ChestType!$A$5:$B$195, 2, 0), "Others"))</f>
        <v>L10 Crypt</v>
      </c>
    </row>
    <row r="730" spans="1:6" x14ac:dyDescent="0.25">
      <c r="A730" s="14">
        <v>46144.38958333333</v>
      </c>
      <c r="B730" s="79" t="s">
        <v>149</v>
      </c>
      <c r="C730" s="79" t="s">
        <v>184</v>
      </c>
      <c r="D730" s="79" t="s">
        <v>150</v>
      </c>
      <c r="E730" s="79" t="s">
        <v>50</v>
      </c>
      <c r="F730" s="79" t="str">
        <f>IF(E730="", "", IF(COUNTIF(ChestType!$A$5:$A$195, E730)&gt;0, VLOOKUP(E730, ChestType!$A$5:$B$195, 2, 0), "Others"))</f>
        <v>L10 Crypt</v>
      </c>
    </row>
    <row r="731" spans="1:6" x14ac:dyDescent="0.25">
      <c r="A731" s="14">
        <v>46144.38958333333</v>
      </c>
      <c r="B731" s="79" t="s">
        <v>149</v>
      </c>
      <c r="C731" s="79" t="s">
        <v>176</v>
      </c>
      <c r="D731" s="79" t="s">
        <v>153</v>
      </c>
      <c r="E731" s="79" t="s">
        <v>70</v>
      </c>
      <c r="F731" s="79" t="str">
        <f>IF(E731="", "", IF(COUNTIF(ChestType!$A$5:$A$195, E731)&gt;0, VLOOKUP(E731, ChestType!$A$5:$B$195, 2, 0), "Others"))</f>
        <v>L10 Citadel</v>
      </c>
    </row>
    <row r="732" spans="1:6" x14ac:dyDescent="0.25">
      <c r="A732" s="14">
        <v>46144.38958333333</v>
      </c>
      <c r="B732" s="79" t="s">
        <v>149</v>
      </c>
      <c r="C732" s="79" t="s">
        <v>185</v>
      </c>
      <c r="D732" s="79" t="s">
        <v>260</v>
      </c>
      <c r="E732" s="79" t="s">
        <v>50</v>
      </c>
      <c r="F732" s="79" t="str">
        <f>IF(E732="", "", IF(COUNTIF(ChestType!$A$5:$A$195, E732)&gt;0, VLOOKUP(E732, ChestType!$A$5:$B$195, 2, 0), "Others"))</f>
        <v>L10 Crypt</v>
      </c>
    </row>
    <row r="733" spans="1:6" x14ac:dyDescent="0.25">
      <c r="A733" s="14">
        <v>46144.38958333333</v>
      </c>
      <c r="B733" s="79" t="s">
        <v>149</v>
      </c>
      <c r="C733" s="79" t="s">
        <v>183</v>
      </c>
      <c r="D733" s="79" t="s">
        <v>150</v>
      </c>
      <c r="E733" s="79" t="s">
        <v>49</v>
      </c>
      <c r="F733" s="79" t="str">
        <f>IF(E733="", "", IF(COUNTIF(ChestType!$A$5:$A$195, E733)&gt;0, VLOOKUP(E733, ChestType!$A$5:$B$195, 2, 0), "Others"))</f>
        <v>L15 Crypt</v>
      </c>
    </row>
    <row r="734" spans="1:6" x14ac:dyDescent="0.25">
      <c r="A734" s="14">
        <v>46144.38958333333</v>
      </c>
      <c r="B734" s="79" t="s">
        <v>149</v>
      </c>
      <c r="C734" s="79" t="s">
        <v>190</v>
      </c>
      <c r="D734" s="79" t="s">
        <v>150</v>
      </c>
      <c r="E734" s="79" t="s">
        <v>50</v>
      </c>
      <c r="F734" s="79" t="str">
        <f>IF(E734="", "", IF(COUNTIF(ChestType!$A$5:$A$195, E734)&gt;0, VLOOKUP(E734, ChestType!$A$5:$B$195, 2, 0), "Others"))</f>
        <v>L10 Crypt</v>
      </c>
    </row>
    <row r="735" spans="1:6" x14ac:dyDescent="0.25">
      <c r="A735" s="14">
        <v>46144.38958333333</v>
      </c>
      <c r="B735" s="79" t="s">
        <v>149</v>
      </c>
      <c r="C735" s="79" t="s">
        <v>181</v>
      </c>
      <c r="D735" s="79" t="s">
        <v>150</v>
      </c>
      <c r="E735" s="79" t="s">
        <v>50</v>
      </c>
      <c r="F735" s="79" t="str">
        <f>IF(E735="", "", IF(COUNTIF(ChestType!$A$5:$A$195, E735)&gt;0, VLOOKUP(E735, ChestType!$A$5:$B$195, 2, 0), "Others"))</f>
        <v>L10 Crypt</v>
      </c>
    </row>
    <row r="736" spans="1:6" x14ac:dyDescent="0.25">
      <c r="A736" s="14">
        <v>46144.38958333333</v>
      </c>
      <c r="B736" s="79" t="s">
        <v>149</v>
      </c>
      <c r="C736" s="79" t="s">
        <v>182</v>
      </c>
      <c r="D736" s="79" t="s">
        <v>260</v>
      </c>
      <c r="E736" s="79" t="s">
        <v>52</v>
      </c>
      <c r="F736" s="79" t="str">
        <f>IF(E736="", "", IF(COUNTIF(ChestType!$A$5:$A$195, E736)&gt;0, VLOOKUP(E736, ChestType!$A$5:$B$195, 2, 0), "Others"))</f>
        <v>L5 Crypt</v>
      </c>
    </row>
    <row r="737" spans="1:6" x14ac:dyDescent="0.25">
      <c r="A737" s="14">
        <v>46144.38958333333</v>
      </c>
      <c r="B737" s="79" t="s">
        <v>149</v>
      </c>
      <c r="C737" s="79" t="s">
        <v>184</v>
      </c>
      <c r="D737" s="79" t="s">
        <v>150</v>
      </c>
      <c r="E737" s="79" t="s">
        <v>50</v>
      </c>
      <c r="F737" s="79" t="str">
        <f>IF(E737="", "", IF(COUNTIF(ChestType!$A$5:$A$195, E737)&gt;0, VLOOKUP(E737, ChestType!$A$5:$B$195, 2, 0), "Others"))</f>
        <v>L10 Crypt</v>
      </c>
    </row>
    <row r="738" spans="1:6" x14ac:dyDescent="0.25">
      <c r="A738" s="14">
        <v>46144.38958333333</v>
      </c>
      <c r="B738" s="79" t="s">
        <v>149</v>
      </c>
      <c r="C738" s="79" t="s">
        <v>173</v>
      </c>
      <c r="D738" s="79" t="s">
        <v>150</v>
      </c>
      <c r="E738" s="79" t="s">
        <v>50</v>
      </c>
      <c r="F738" s="79" t="str">
        <f>IF(E738="", "", IF(COUNTIF(ChestType!$A$5:$A$195, E738)&gt;0, VLOOKUP(E738, ChestType!$A$5:$B$195, 2, 0), "Others"))</f>
        <v>L10 Crypt</v>
      </c>
    </row>
    <row r="739" spans="1:6" x14ac:dyDescent="0.25">
      <c r="A739" s="14">
        <v>46144.38958333333</v>
      </c>
      <c r="B739" s="79" t="s">
        <v>149</v>
      </c>
      <c r="C739" s="79" t="s">
        <v>182</v>
      </c>
      <c r="D739" s="79" t="s">
        <v>150</v>
      </c>
      <c r="E739" s="79" t="s">
        <v>50</v>
      </c>
      <c r="F739" s="79" t="str">
        <f>IF(E739="", "", IF(COUNTIF(ChestType!$A$5:$A$195, E739)&gt;0, VLOOKUP(E739, ChestType!$A$5:$B$195, 2, 0), "Others"))</f>
        <v>L10 Crypt</v>
      </c>
    </row>
    <row r="740" spans="1:6" x14ac:dyDescent="0.25">
      <c r="A740" s="14">
        <v>46144.38958333333</v>
      </c>
      <c r="B740" s="79" t="s">
        <v>149</v>
      </c>
      <c r="C740" s="79" t="s">
        <v>182</v>
      </c>
      <c r="D740" s="79" t="s">
        <v>150</v>
      </c>
      <c r="E740" s="79" t="s">
        <v>50</v>
      </c>
      <c r="F740" s="79" t="str">
        <f>IF(E740="", "", IF(COUNTIF(ChestType!$A$5:$A$195, E740)&gt;0, VLOOKUP(E740, ChestType!$A$5:$B$195, 2, 0), "Others"))</f>
        <v>L10 Crypt</v>
      </c>
    </row>
    <row r="741" spans="1:6" x14ac:dyDescent="0.25">
      <c r="A741" s="14">
        <v>46144.38958333333</v>
      </c>
      <c r="B741" s="79" t="s">
        <v>149</v>
      </c>
      <c r="C741" s="79" t="s">
        <v>175</v>
      </c>
      <c r="D741" s="79" t="s">
        <v>150</v>
      </c>
      <c r="E741" s="79" t="s">
        <v>50</v>
      </c>
      <c r="F741" s="79" t="str">
        <f>IF(E741="", "", IF(COUNTIF(ChestType!$A$5:$A$195, E741)&gt;0, VLOOKUP(E741, ChestType!$A$5:$B$195, 2, 0), "Others"))</f>
        <v>L10 Crypt</v>
      </c>
    </row>
    <row r="742" spans="1:6" x14ac:dyDescent="0.25">
      <c r="A742" s="14">
        <v>46144.38958333333</v>
      </c>
      <c r="B742" s="79" t="s">
        <v>149</v>
      </c>
      <c r="C742" s="79" t="s">
        <v>151</v>
      </c>
      <c r="D742" s="79" t="s">
        <v>150</v>
      </c>
      <c r="E742" s="79" t="s">
        <v>49</v>
      </c>
      <c r="F742" s="79" t="str">
        <f>IF(E742="", "", IF(COUNTIF(ChestType!$A$5:$A$195, E742)&gt;0, VLOOKUP(E742, ChestType!$A$5:$B$195, 2, 0), "Others"))</f>
        <v>L15 Crypt</v>
      </c>
    </row>
    <row r="743" spans="1:6" x14ac:dyDescent="0.25">
      <c r="A743" s="14">
        <v>46144.38958333333</v>
      </c>
      <c r="B743" s="79" t="s">
        <v>149</v>
      </c>
      <c r="C743" s="79" t="s">
        <v>187</v>
      </c>
      <c r="D743" s="79" t="s">
        <v>153</v>
      </c>
      <c r="E743" s="79" t="s">
        <v>75</v>
      </c>
      <c r="F743" s="79" t="str">
        <f>IF(E743="", "", IF(COUNTIF(ChestType!$A$5:$A$195, E743)&gt;0, VLOOKUP(E743, ChestType!$A$5:$B$195, 2, 0), "Others"))</f>
        <v>L10 Rare Crypt</v>
      </c>
    </row>
    <row r="744" spans="1:6" x14ac:dyDescent="0.25">
      <c r="A744" s="14">
        <v>46144.38958333333</v>
      </c>
      <c r="B744" s="79" t="s">
        <v>149</v>
      </c>
      <c r="C744" s="79" t="s">
        <v>182</v>
      </c>
      <c r="D744" s="79" t="s">
        <v>150</v>
      </c>
      <c r="E744" s="79" t="s">
        <v>49</v>
      </c>
      <c r="F744" s="79" t="str">
        <f>IF(E744="", "", IF(COUNTIF(ChestType!$A$5:$A$195, E744)&gt;0, VLOOKUP(E744, ChestType!$A$5:$B$195, 2, 0), "Others"))</f>
        <v>L15 Crypt</v>
      </c>
    </row>
    <row r="745" spans="1:6" x14ac:dyDescent="0.25">
      <c r="A745" s="14">
        <v>46144.38958333333</v>
      </c>
      <c r="B745" s="79" t="s">
        <v>149</v>
      </c>
      <c r="C745" s="79" t="s">
        <v>177</v>
      </c>
      <c r="D745" s="79" t="s">
        <v>258</v>
      </c>
      <c r="E745" s="79" t="s">
        <v>50</v>
      </c>
      <c r="F745" s="79" t="str">
        <f>IF(E745="", "", IF(COUNTIF(ChestType!$A$5:$A$195, E745)&gt;0, VLOOKUP(E745, ChestType!$A$5:$B$195, 2, 0), "Others"))</f>
        <v>L10 Crypt</v>
      </c>
    </row>
    <row r="746" spans="1:6" x14ac:dyDescent="0.25">
      <c r="A746" s="14">
        <v>46144.38958333333</v>
      </c>
      <c r="B746" s="79" t="s">
        <v>149</v>
      </c>
      <c r="C746" s="79" t="s">
        <v>175</v>
      </c>
      <c r="D746" s="79" t="s">
        <v>150</v>
      </c>
      <c r="E746" s="79" t="s">
        <v>49</v>
      </c>
      <c r="F746" s="79" t="str">
        <f>IF(E746="", "", IF(COUNTIF(ChestType!$A$5:$A$195, E746)&gt;0, VLOOKUP(E746, ChestType!$A$5:$B$195, 2, 0), "Others"))</f>
        <v>L15 Crypt</v>
      </c>
    </row>
    <row r="747" spans="1:6" x14ac:dyDescent="0.25">
      <c r="A747" s="14">
        <v>46144.38958333333</v>
      </c>
      <c r="B747" s="79" t="s">
        <v>149</v>
      </c>
      <c r="C747" s="79" t="s">
        <v>173</v>
      </c>
      <c r="D747" s="79" t="s">
        <v>150</v>
      </c>
      <c r="E747" s="79" t="s">
        <v>49</v>
      </c>
      <c r="F747" s="79" t="str">
        <f>IF(E747="", "", IF(COUNTIF(ChestType!$A$5:$A$195, E747)&gt;0, VLOOKUP(E747, ChestType!$A$5:$B$195, 2, 0), "Others"))</f>
        <v>L15 Crypt</v>
      </c>
    </row>
    <row r="748" spans="1:6" x14ac:dyDescent="0.25">
      <c r="A748" s="14">
        <v>46144.38958333333</v>
      </c>
      <c r="B748" s="79" t="s">
        <v>149</v>
      </c>
      <c r="C748" s="79" t="s">
        <v>184</v>
      </c>
      <c r="D748" s="79" t="s">
        <v>150</v>
      </c>
      <c r="E748" s="79" t="s">
        <v>49</v>
      </c>
      <c r="F748" s="79" t="str">
        <f>IF(E748="", "", IF(COUNTIF(ChestType!$A$5:$A$195, E748)&gt;0, VLOOKUP(E748, ChestType!$A$5:$B$195, 2, 0), "Others"))</f>
        <v>L15 Crypt</v>
      </c>
    </row>
    <row r="749" spans="1:6" x14ac:dyDescent="0.25">
      <c r="A749" s="14">
        <v>46144.38958333333</v>
      </c>
      <c r="B749" s="79" t="s">
        <v>149</v>
      </c>
      <c r="C749" s="79" t="s">
        <v>185</v>
      </c>
      <c r="D749" s="79" t="s">
        <v>258</v>
      </c>
      <c r="E749" s="79" t="s">
        <v>52</v>
      </c>
      <c r="F749" s="79" t="str">
        <f>IF(E749="", "", IF(COUNTIF(ChestType!$A$5:$A$195, E749)&gt;0, VLOOKUP(E749, ChestType!$A$5:$B$195, 2, 0), "Others"))</f>
        <v>L5 Crypt</v>
      </c>
    </row>
    <row r="750" spans="1:6" x14ac:dyDescent="0.25">
      <c r="A750" s="14">
        <v>46144.38958333333</v>
      </c>
      <c r="B750" s="79" t="s">
        <v>149</v>
      </c>
      <c r="C750" s="79" t="s">
        <v>175</v>
      </c>
      <c r="D750" s="79" t="s">
        <v>260</v>
      </c>
      <c r="E750" s="79" t="s">
        <v>52</v>
      </c>
      <c r="F750" s="79" t="str">
        <f>IF(E750="", "", IF(COUNTIF(ChestType!$A$5:$A$195, E750)&gt;0, VLOOKUP(E750, ChestType!$A$5:$B$195, 2, 0), "Others"))</f>
        <v>L5 Crypt</v>
      </c>
    </row>
    <row r="751" spans="1:6" x14ac:dyDescent="0.25">
      <c r="A751" s="14">
        <v>46144.38958333333</v>
      </c>
      <c r="B751" s="79" t="s">
        <v>149</v>
      </c>
      <c r="C751" s="79" t="s">
        <v>158</v>
      </c>
      <c r="D751" s="79" t="s">
        <v>260</v>
      </c>
      <c r="E751" s="79" t="s">
        <v>50</v>
      </c>
      <c r="F751" s="79" t="str">
        <f>IF(E751="", "", IF(COUNTIF(ChestType!$A$5:$A$195, E751)&gt;0, VLOOKUP(E751, ChestType!$A$5:$B$195, 2, 0), "Others"))</f>
        <v>L10 Crypt</v>
      </c>
    </row>
    <row r="752" spans="1:6" x14ac:dyDescent="0.25">
      <c r="A752" s="14">
        <v>46144.38958333333</v>
      </c>
      <c r="B752" s="79" t="s">
        <v>149</v>
      </c>
      <c r="C752" s="79" t="s">
        <v>158</v>
      </c>
      <c r="D752" s="79" t="s">
        <v>260</v>
      </c>
      <c r="E752" s="79" t="s">
        <v>52</v>
      </c>
      <c r="F752" s="79" t="str">
        <f>IF(E752="", "", IF(COUNTIF(ChestType!$A$5:$A$195, E752)&gt;0, VLOOKUP(E752, ChestType!$A$5:$B$195, 2, 0), "Others"))</f>
        <v>L5 Crypt</v>
      </c>
    </row>
    <row r="753" spans="1:6" x14ac:dyDescent="0.25">
      <c r="A753" s="14">
        <v>46144.38958333333</v>
      </c>
      <c r="B753" s="79" t="s">
        <v>149</v>
      </c>
      <c r="C753" s="79" t="s">
        <v>171</v>
      </c>
      <c r="D753" s="79" t="s">
        <v>260</v>
      </c>
      <c r="E753" s="79" t="s">
        <v>50</v>
      </c>
      <c r="F753" s="79" t="str">
        <f>IF(E753="", "", IF(COUNTIF(ChestType!$A$5:$A$195, E753)&gt;0, VLOOKUP(E753, ChestType!$A$5:$B$195, 2, 0), "Others"))</f>
        <v>L10 Crypt</v>
      </c>
    </row>
    <row r="754" spans="1:6" x14ac:dyDescent="0.25">
      <c r="A754" s="14">
        <v>46144.38958333333</v>
      </c>
      <c r="B754" s="79" t="s">
        <v>149</v>
      </c>
      <c r="C754" s="79" t="s">
        <v>182</v>
      </c>
      <c r="D754" s="79" t="s">
        <v>260</v>
      </c>
      <c r="E754" s="79" t="s">
        <v>50</v>
      </c>
      <c r="F754" s="79" t="str">
        <f>IF(E754="", "", IF(COUNTIF(ChestType!$A$5:$A$195, E754)&gt;0, VLOOKUP(E754, ChestType!$A$5:$B$195, 2, 0), "Others"))</f>
        <v>L10 Crypt</v>
      </c>
    </row>
    <row r="755" spans="1:6" x14ac:dyDescent="0.25">
      <c r="A755" s="14">
        <v>46144.38958333333</v>
      </c>
      <c r="B755" s="79" t="s">
        <v>149</v>
      </c>
      <c r="C755" s="79" t="s">
        <v>255</v>
      </c>
      <c r="D755" s="79" t="s">
        <v>236</v>
      </c>
      <c r="E755" s="79" t="s">
        <v>256</v>
      </c>
      <c r="F755" s="79" t="str">
        <f>IF(E755="", "", IF(COUNTIF(ChestType!$A$5:$A$195, E755)&gt;0, VLOOKUP(E755, ChestType!$A$5:$B$195, 2, 0), "Others"))</f>
        <v>Others</v>
      </c>
    </row>
    <row r="756" spans="1:6" x14ac:dyDescent="0.25">
      <c r="A756" s="14">
        <v>46144.38958333333</v>
      </c>
      <c r="B756" s="79" t="s">
        <v>149</v>
      </c>
      <c r="C756" s="79" t="s">
        <v>171</v>
      </c>
      <c r="D756" s="79" t="s">
        <v>243</v>
      </c>
      <c r="E756" s="79" t="s">
        <v>49</v>
      </c>
      <c r="F756" s="79" t="str">
        <f>IF(E756="", "", IF(COUNTIF(ChestType!$A$5:$A$195, E756)&gt;0, VLOOKUP(E756, ChestType!$A$5:$B$195, 2, 0), "Others"))</f>
        <v>L15 Crypt</v>
      </c>
    </row>
    <row r="757" spans="1:6" x14ac:dyDescent="0.25">
      <c r="A757" s="14">
        <v>46144.38958333333</v>
      </c>
      <c r="B757" s="79" t="s">
        <v>149</v>
      </c>
      <c r="C757" s="79" t="s">
        <v>151</v>
      </c>
      <c r="D757" s="79" t="s">
        <v>258</v>
      </c>
      <c r="E757" s="79" t="s">
        <v>52</v>
      </c>
      <c r="F757" s="79" t="str">
        <f>IF(E757="", "", IF(COUNTIF(ChestType!$A$5:$A$195, E757)&gt;0, VLOOKUP(E757, ChestType!$A$5:$B$195, 2, 0), "Others"))</f>
        <v>L5 Crypt</v>
      </c>
    </row>
    <row r="758" spans="1:6" x14ac:dyDescent="0.25">
      <c r="A758" s="14">
        <v>46144.38958333333</v>
      </c>
      <c r="B758" s="79" t="s">
        <v>149</v>
      </c>
      <c r="C758" s="79" t="s">
        <v>255</v>
      </c>
      <c r="D758" s="79" t="s">
        <v>194</v>
      </c>
      <c r="E758" s="79" t="s">
        <v>256</v>
      </c>
      <c r="F758" s="79" t="str">
        <f>IF(E758="", "", IF(COUNTIF(ChestType!$A$5:$A$195, E758)&gt;0, VLOOKUP(E758, ChestType!$A$5:$B$195, 2, 0), "Others"))</f>
        <v>Others</v>
      </c>
    </row>
    <row r="759" spans="1:6" x14ac:dyDescent="0.25">
      <c r="A759" s="14">
        <v>46144.38958333333</v>
      </c>
      <c r="B759" s="79" t="s">
        <v>149</v>
      </c>
      <c r="C759" s="79" t="s">
        <v>255</v>
      </c>
      <c r="D759" s="79" t="s">
        <v>194</v>
      </c>
      <c r="E759" s="79" t="s">
        <v>256</v>
      </c>
      <c r="F759" s="79" t="str">
        <f>IF(E759="", "", IF(COUNTIF(ChestType!$A$5:$A$195, E759)&gt;0, VLOOKUP(E759, ChestType!$A$5:$B$195, 2, 0), "Others"))</f>
        <v>Others</v>
      </c>
    </row>
    <row r="760" spans="1:6" x14ac:dyDescent="0.25">
      <c r="A760" s="14">
        <v>46144.38958333333</v>
      </c>
      <c r="B760" s="79" t="s">
        <v>149</v>
      </c>
      <c r="C760" s="79" t="s">
        <v>200</v>
      </c>
      <c r="D760" s="79" t="s">
        <v>194</v>
      </c>
      <c r="E760" s="79" t="s">
        <v>125</v>
      </c>
      <c r="F760" s="79" t="str">
        <f>IF(E760="", "", IF(COUNTIF(ChestType!$A$5:$A$195, E760)&gt;0, VLOOKUP(E760, ChestType!$A$5:$B$195, 2, 0), "Others"))</f>
        <v>Ancients Vault</v>
      </c>
    </row>
    <row r="761" spans="1:6" x14ac:dyDescent="0.25">
      <c r="A761" s="14">
        <v>46144.38958333333</v>
      </c>
      <c r="B761" s="79" t="s">
        <v>195</v>
      </c>
      <c r="C761" s="79" t="s">
        <v>196</v>
      </c>
      <c r="D761" s="79" t="s">
        <v>231</v>
      </c>
      <c r="E761" s="79" t="s">
        <v>24</v>
      </c>
      <c r="F761" s="79" t="str">
        <f>IF(E761="", "", IF(COUNTIF(ChestType!$A$5:$A$195, E761)&gt;0, VLOOKUP(E761, ChestType!$A$5:$B$195, 2, 0), "Others"))</f>
        <v>Bank</v>
      </c>
    </row>
    <row r="762" spans="1:6" x14ac:dyDescent="0.25">
      <c r="A762" s="14">
        <v>46144.38958333333</v>
      </c>
      <c r="B762" s="79" t="s">
        <v>195</v>
      </c>
      <c r="C762" s="79" t="s">
        <v>196</v>
      </c>
      <c r="D762" s="79" t="s">
        <v>231</v>
      </c>
      <c r="E762" s="79" t="s">
        <v>24</v>
      </c>
      <c r="F762" s="79" t="str">
        <f>IF(E762="", "", IF(COUNTIF(ChestType!$A$5:$A$195, E762)&gt;0, VLOOKUP(E762, ChestType!$A$5:$B$195, 2, 0), "Others"))</f>
        <v>Bank</v>
      </c>
    </row>
    <row r="763" spans="1:6" x14ac:dyDescent="0.25">
      <c r="A763" s="14">
        <v>46144.38958333333</v>
      </c>
      <c r="B763" s="79" t="s">
        <v>195</v>
      </c>
      <c r="C763" s="79" t="s">
        <v>196</v>
      </c>
      <c r="D763" s="79" t="s">
        <v>231</v>
      </c>
      <c r="E763" s="79" t="s">
        <v>24</v>
      </c>
      <c r="F763" s="79" t="str">
        <f>IF(E763="", "", IF(COUNTIF(ChestType!$A$5:$A$195, E763)&gt;0, VLOOKUP(E763, ChestType!$A$5:$B$195, 2, 0), "Others"))</f>
        <v>Bank</v>
      </c>
    </row>
    <row r="764" spans="1:6" x14ac:dyDescent="0.25">
      <c r="A764" s="14">
        <v>46144.427777777775</v>
      </c>
      <c r="B764" s="79" t="s">
        <v>149</v>
      </c>
      <c r="C764" s="79" t="s">
        <v>255</v>
      </c>
      <c r="D764" s="79" t="s">
        <v>236</v>
      </c>
      <c r="E764" s="79" t="s">
        <v>256</v>
      </c>
      <c r="F764" s="79" t="str">
        <f>IF(E764="", "", IF(COUNTIF(ChestType!$A$5:$A$195, E764)&gt;0, VLOOKUP(E764, ChestType!$A$5:$B$195, 2, 0), "Others"))</f>
        <v>Others</v>
      </c>
    </row>
    <row r="765" spans="1:6" x14ac:dyDescent="0.25">
      <c r="A765" s="14">
        <v>46144.427777777775</v>
      </c>
      <c r="B765" s="79" t="s">
        <v>149</v>
      </c>
      <c r="C765" s="79" t="s">
        <v>176</v>
      </c>
      <c r="D765" s="79" t="s">
        <v>157</v>
      </c>
      <c r="E765" s="79" t="s">
        <v>70</v>
      </c>
      <c r="F765" s="79" t="str">
        <f>IF(E765="", "", IF(COUNTIF(ChestType!$A$5:$A$195, E765)&gt;0, VLOOKUP(E765, ChestType!$A$5:$B$195, 2, 0), "Others"))</f>
        <v>L10 Citadel</v>
      </c>
    </row>
    <row r="766" spans="1:6" x14ac:dyDescent="0.25">
      <c r="A766" s="14">
        <v>46144.427777777775</v>
      </c>
      <c r="B766" s="79" t="s">
        <v>149</v>
      </c>
      <c r="C766" s="79" t="s">
        <v>171</v>
      </c>
      <c r="D766" s="79" t="s">
        <v>257</v>
      </c>
      <c r="E766" s="79" t="s">
        <v>52</v>
      </c>
      <c r="F766" s="79" t="str">
        <f>IF(E766="", "", IF(COUNTIF(ChestType!$A$5:$A$195, E766)&gt;0, VLOOKUP(E766, ChestType!$A$5:$B$195, 2, 0), "Others"))</f>
        <v>L5 Crypt</v>
      </c>
    </row>
    <row r="767" spans="1:6" x14ac:dyDescent="0.25">
      <c r="A767" s="14">
        <v>46144.427777777775</v>
      </c>
      <c r="B767" s="79" t="s">
        <v>149</v>
      </c>
      <c r="C767" s="79" t="s">
        <v>187</v>
      </c>
      <c r="D767" s="79" t="s">
        <v>157</v>
      </c>
      <c r="E767" s="79" t="s">
        <v>75</v>
      </c>
      <c r="F767" s="79" t="str">
        <f>IF(E767="", "", IF(COUNTIF(ChestType!$A$5:$A$195, E767)&gt;0, VLOOKUP(E767, ChestType!$A$5:$B$195, 2, 0), "Others"))</f>
        <v>L10 Rare Crypt</v>
      </c>
    </row>
    <row r="768" spans="1:6" x14ac:dyDescent="0.25">
      <c r="A768" s="14">
        <v>46144.427777777775</v>
      </c>
      <c r="B768" s="79" t="s">
        <v>149</v>
      </c>
      <c r="C768" s="79" t="s">
        <v>181</v>
      </c>
      <c r="D768" s="79" t="s">
        <v>165</v>
      </c>
      <c r="E768" s="79" t="s">
        <v>50</v>
      </c>
      <c r="F768" s="79" t="str">
        <f>IF(E768="", "", IF(COUNTIF(ChestType!$A$5:$A$195, E768)&gt;0, VLOOKUP(E768, ChestType!$A$5:$B$195, 2, 0), "Others"))</f>
        <v>L10 Crypt</v>
      </c>
    </row>
    <row r="769" spans="1:6" x14ac:dyDescent="0.25">
      <c r="A769" s="14">
        <v>46144.427777777775</v>
      </c>
      <c r="B769" s="79" t="s">
        <v>149</v>
      </c>
      <c r="C769" s="79" t="s">
        <v>182</v>
      </c>
      <c r="D769" s="79" t="s">
        <v>231</v>
      </c>
      <c r="E769" s="79" t="s">
        <v>52</v>
      </c>
      <c r="F769" s="79" t="str">
        <f>IF(E769="", "", IF(COUNTIF(ChestType!$A$5:$A$195, E769)&gt;0, VLOOKUP(E769, ChestType!$A$5:$B$195, 2, 0), "Others"))</f>
        <v>L5 Crypt</v>
      </c>
    </row>
    <row r="770" spans="1:6" x14ac:dyDescent="0.25">
      <c r="A770" s="14">
        <v>46144.427777777775</v>
      </c>
      <c r="B770" s="79" t="s">
        <v>149</v>
      </c>
      <c r="C770" s="79" t="s">
        <v>187</v>
      </c>
      <c r="D770" s="79" t="s">
        <v>157</v>
      </c>
      <c r="E770" s="79" t="s">
        <v>75</v>
      </c>
      <c r="F770" s="79" t="str">
        <f>IF(E770="", "", IF(COUNTIF(ChestType!$A$5:$A$195, E770)&gt;0, VLOOKUP(E770, ChestType!$A$5:$B$195, 2, 0), "Others"))</f>
        <v>L10 Rare Crypt</v>
      </c>
    </row>
    <row r="771" spans="1:6" x14ac:dyDescent="0.25">
      <c r="A771" s="14">
        <v>46144.427777777775</v>
      </c>
      <c r="B771" s="79" t="s">
        <v>149</v>
      </c>
      <c r="C771" s="79" t="s">
        <v>187</v>
      </c>
      <c r="D771" s="79" t="s">
        <v>157</v>
      </c>
      <c r="E771" s="79" t="s">
        <v>75</v>
      </c>
      <c r="F771" s="79" t="str">
        <f>IF(E771="", "", IF(COUNTIF(ChestType!$A$5:$A$195, E771)&gt;0, VLOOKUP(E771, ChestType!$A$5:$B$195, 2, 0), "Others"))</f>
        <v>L10 Rare Crypt</v>
      </c>
    </row>
    <row r="772" spans="1:6" x14ac:dyDescent="0.25">
      <c r="A772" s="14">
        <v>46144.427777777775</v>
      </c>
      <c r="B772" s="79" t="s">
        <v>149</v>
      </c>
      <c r="C772" s="79" t="s">
        <v>185</v>
      </c>
      <c r="D772" s="79" t="s">
        <v>231</v>
      </c>
      <c r="E772" s="79" t="s">
        <v>49</v>
      </c>
      <c r="F772" s="79" t="str">
        <f>IF(E772="", "", IF(COUNTIF(ChestType!$A$5:$A$195, E772)&gt;0, VLOOKUP(E772, ChestType!$A$5:$B$195, 2, 0), "Others"))</f>
        <v>L15 Crypt</v>
      </c>
    </row>
    <row r="773" spans="1:6" x14ac:dyDescent="0.25">
      <c r="A773" s="14">
        <v>46144.427777777775</v>
      </c>
      <c r="B773" s="79" t="s">
        <v>195</v>
      </c>
      <c r="C773" s="79" t="s">
        <v>198</v>
      </c>
      <c r="D773" s="79" t="s">
        <v>258</v>
      </c>
      <c r="E773" s="79" t="s">
        <v>24</v>
      </c>
      <c r="F773" s="79" t="str">
        <f>IF(E773="", "", IF(COUNTIF(ChestType!$A$5:$A$195, E773)&gt;0, VLOOKUP(E773, ChestType!$A$5:$B$195, 2, 0), "Others"))</f>
        <v>Bank</v>
      </c>
    </row>
    <row r="774" spans="1:6" x14ac:dyDescent="0.25">
      <c r="A774" s="14">
        <v>46144.427777777775</v>
      </c>
      <c r="B774" s="79" t="s">
        <v>195</v>
      </c>
      <c r="C774" s="79" t="s">
        <v>198</v>
      </c>
      <c r="D774" s="79" t="s">
        <v>258</v>
      </c>
      <c r="E774" s="79" t="s">
        <v>24</v>
      </c>
      <c r="F774" s="79" t="str">
        <f>IF(E774="", "", IF(COUNTIF(ChestType!$A$5:$A$195, E774)&gt;0, VLOOKUP(E774, ChestType!$A$5:$B$195, 2, 0), "Others"))</f>
        <v>Bank</v>
      </c>
    </row>
    <row r="775" spans="1:6" x14ac:dyDescent="0.25">
      <c r="A775" s="14">
        <v>46144.427777777775</v>
      </c>
      <c r="B775" s="79" t="s">
        <v>195</v>
      </c>
      <c r="C775" s="79" t="s">
        <v>198</v>
      </c>
      <c r="D775" s="79" t="s">
        <v>258</v>
      </c>
      <c r="E775" s="79" t="s">
        <v>24</v>
      </c>
      <c r="F775" s="79" t="str">
        <f>IF(E775="", "", IF(COUNTIF(ChestType!$A$5:$A$195, E775)&gt;0, VLOOKUP(E775, ChestType!$A$5:$B$195, 2, 0), "Others"))</f>
        <v>Bank</v>
      </c>
    </row>
    <row r="776" spans="1:6" x14ac:dyDescent="0.25">
      <c r="A776" s="14">
        <v>46144.487500000003</v>
      </c>
      <c r="B776" s="79" t="s">
        <v>149</v>
      </c>
      <c r="C776" s="79" t="s">
        <v>185</v>
      </c>
      <c r="D776" s="79" t="s">
        <v>231</v>
      </c>
      <c r="E776" s="79" t="s">
        <v>52</v>
      </c>
      <c r="F776" s="79" t="str">
        <f>IF(E776="", "", IF(COUNTIF(ChestType!$A$5:$A$195, E776)&gt;0, VLOOKUP(E776, ChestType!$A$5:$B$195, 2, 0), "Others"))</f>
        <v>L5 Crypt</v>
      </c>
    </row>
    <row r="777" spans="1:6" x14ac:dyDescent="0.25">
      <c r="A777" s="14">
        <v>46144.487500000003</v>
      </c>
      <c r="B777" s="79" t="s">
        <v>149</v>
      </c>
      <c r="C777" s="79" t="s">
        <v>181</v>
      </c>
      <c r="D777" s="79" t="s">
        <v>231</v>
      </c>
      <c r="E777" s="79" t="s">
        <v>52</v>
      </c>
      <c r="F777" s="79" t="str">
        <f>IF(E777="", "", IF(COUNTIF(ChestType!$A$5:$A$195, E777)&gt;0, VLOOKUP(E777, ChestType!$A$5:$B$195, 2, 0), "Others"))</f>
        <v>L5 Crypt</v>
      </c>
    </row>
    <row r="778" spans="1:6" x14ac:dyDescent="0.25">
      <c r="A778" s="14">
        <v>46144.487500000003</v>
      </c>
      <c r="B778" s="79" t="s">
        <v>149</v>
      </c>
      <c r="C778" s="79" t="s">
        <v>158</v>
      </c>
      <c r="D778" s="79" t="s">
        <v>234</v>
      </c>
      <c r="E778" s="79" t="s">
        <v>50</v>
      </c>
      <c r="F778" s="79" t="str">
        <f>IF(E778="", "", IF(COUNTIF(ChestType!$A$5:$A$195, E778)&gt;0, VLOOKUP(E778, ChestType!$A$5:$B$195, 2, 0), "Others"))</f>
        <v>L10 Crypt</v>
      </c>
    </row>
    <row r="779" spans="1:6" x14ac:dyDescent="0.25">
      <c r="A779" s="14">
        <v>46144.487500000003</v>
      </c>
      <c r="B779" s="79" t="s">
        <v>149</v>
      </c>
      <c r="C779" s="79" t="s">
        <v>181</v>
      </c>
      <c r="D779" s="79" t="s">
        <v>165</v>
      </c>
      <c r="E779" s="79" t="s">
        <v>50</v>
      </c>
      <c r="F779" s="79" t="str">
        <f>IF(E779="", "", IF(COUNTIF(ChestType!$A$5:$A$195, E779)&gt;0, VLOOKUP(E779, ChestType!$A$5:$B$195, 2, 0), "Others"))</f>
        <v>L10 Crypt</v>
      </c>
    </row>
    <row r="780" spans="1:6" x14ac:dyDescent="0.25">
      <c r="A780" s="14">
        <v>46144.487500000003</v>
      </c>
      <c r="B780" s="79" t="s">
        <v>149</v>
      </c>
      <c r="C780" s="79" t="s">
        <v>200</v>
      </c>
      <c r="D780" s="79" t="s">
        <v>194</v>
      </c>
      <c r="E780" s="79" t="s">
        <v>123</v>
      </c>
      <c r="F780" s="79" t="str">
        <f>IF(E780="", "", IF(COUNTIF(ChestType!$A$5:$A$195, E780)&gt;0, VLOOKUP(E780, ChestType!$A$5:$B$195, 2, 0), "Others"))</f>
        <v>Ancients Vault</v>
      </c>
    </row>
    <row r="781" spans="1:6" x14ac:dyDescent="0.25">
      <c r="A781" s="14">
        <v>46144.487500000003</v>
      </c>
      <c r="B781" s="79" t="s">
        <v>149</v>
      </c>
      <c r="C781" s="79" t="s">
        <v>175</v>
      </c>
      <c r="D781" s="79" t="s">
        <v>163</v>
      </c>
      <c r="E781" s="79" t="s">
        <v>49</v>
      </c>
      <c r="F781" s="79" t="str">
        <f>IF(E781="", "", IF(COUNTIF(ChestType!$A$5:$A$195, E781)&gt;0, VLOOKUP(E781, ChestType!$A$5:$B$195, 2, 0), "Others"))</f>
        <v>L15 Crypt</v>
      </c>
    </row>
    <row r="782" spans="1:6" x14ac:dyDescent="0.25">
      <c r="A782" s="14">
        <v>46144.487500000003</v>
      </c>
      <c r="B782" s="79" t="s">
        <v>149</v>
      </c>
      <c r="C782" s="79" t="s">
        <v>176</v>
      </c>
      <c r="D782" s="79" t="s">
        <v>231</v>
      </c>
      <c r="E782" s="79" t="s">
        <v>70</v>
      </c>
      <c r="F782" s="79" t="str">
        <f>IF(E782="", "", IF(COUNTIF(ChestType!$A$5:$A$195, E782)&gt;0, VLOOKUP(E782, ChestType!$A$5:$B$195, 2, 0), "Others"))</f>
        <v>L10 Citadel</v>
      </c>
    </row>
    <row r="783" spans="1:6" x14ac:dyDescent="0.25">
      <c r="A783" s="14">
        <v>46144.487500000003</v>
      </c>
      <c r="B783" s="79" t="s">
        <v>149</v>
      </c>
      <c r="C783" s="79" t="s">
        <v>182</v>
      </c>
      <c r="D783" s="79" t="s">
        <v>257</v>
      </c>
      <c r="E783" s="79" t="s">
        <v>50</v>
      </c>
      <c r="F783" s="79" t="str">
        <f>IF(E783="", "", IF(COUNTIF(ChestType!$A$5:$A$195, E783)&gt;0, VLOOKUP(E783, ChestType!$A$5:$B$195, 2, 0), "Others"))</f>
        <v>L10 Crypt</v>
      </c>
    </row>
    <row r="784" spans="1:6" x14ac:dyDescent="0.25">
      <c r="A784" s="14">
        <v>46144.487500000003</v>
      </c>
      <c r="B784" s="79" t="s">
        <v>149</v>
      </c>
      <c r="C784" s="79" t="s">
        <v>182</v>
      </c>
      <c r="D784" s="79" t="s">
        <v>257</v>
      </c>
      <c r="E784" s="79" t="s">
        <v>52</v>
      </c>
      <c r="F784" s="79" t="str">
        <f>IF(E784="", "", IF(COUNTIF(ChestType!$A$5:$A$195, E784)&gt;0, VLOOKUP(E784, ChestType!$A$5:$B$195, 2, 0), "Others"))</f>
        <v>L5 Crypt</v>
      </c>
    </row>
    <row r="785" spans="1:6" x14ac:dyDescent="0.25">
      <c r="A785" s="14">
        <v>46144.487500000003</v>
      </c>
      <c r="B785" s="79" t="s">
        <v>149</v>
      </c>
      <c r="C785" s="79" t="s">
        <v>175</v>
      </c>
      <c r="D785" s="79" t="s">
        <v>157</v>
      </c>
      <c r="E785" s="79" t="s">
        <v>50</v>
      </c>
      <c r="F785" s="79" t="str">
        <f>IF(E785="", "", IF(COUNTIF(ChestType!$A$5:$A$195, E785)&gt;0, VLOOKUP(E785, ChestType!$A$5:$B$195, 2, 0), "Others"))</f>
        <v>L10 Crypt</v>
      </c>
    </row>
    <row r="786" spans="1:6" x14ac:dyDescent="0.25">
      <c r="A786" s="14">
        <v>46144.487500000003</v>
      </c>
      <c r="B786" s="79" t="s">
        <v>149</v>
      </c>
      <c r="C786" s="79" t="s">
        <v>187</v>
      </c>
      <c r="D786" s="79" t="s">
        <v>231</v>
      </c>
      <c r="E786" s="79" t="s">
        <v>75</v>
      </c>
      <c r="F786" s="79" t="str">
        <f>IF(E786="", "", IF(COUNTIF(ChestType!$A$5:$A$195, E786)&gt;0, VLOOKUP(E786, ChestType!$A$5:$B$195, 2, 0), "Others"))</f>
        <v>L10 Rare Crypt</v>
      </c>
    </row>
    <row r="787" spans="1:6" x14ac:dyDescent="0.25">
      <c r="A787" s="14">
        <v>46144.487500000003</v>
      </c>
      <c r="B787" s="79" t="s">
        <v>149</v>
      </c>
      <c r="C787" s="79" t="s">
        <v>183</v>
      </c>
      <c r="D787" s="79" t="s">
        <v>260</v>
      </c>
      <c r="E787" s="79" t="s">
        <v>50</v>
      </c>
      <c r="F787" s="79" t="str">
        <f>IF(E787="", "", IF(COUNTIF(ChestType!$A$5:$A$195, E787)&gt;0, VLOOKUP(E787, ChestType!$A$5:$B$195, 2, 0), "Others"))</f>
        <v>L10 Crypt</v>
      </c>
    </row>
    <row r="788" spans="1:6" x14ac:dyDescent="0.25">
      <c r="A788" s="14">
        <v>46144.487500000003</v>
      </c>
      <c r="B788" s="79" t="s">
        <v>149</v>
      </c>
      <c r="C788" s="79" t="s">
        <v>182</v>
      </c>
      <c r="D788" s="79" t="s">
        <v>234</v>
      </c>
      <c r="E788" s="79" t="s">
        <v>52</v>
      </c>
      <c r="F788" s="79" t="str">
        <f>IF(E788="", "", IF(COUNTIF(ChestType!$A$5:$A$195, E788)&gt;0, VLOOKUP(E788, ChestType!$A$5:$B$195, 2, 0), "Others"))</f>
        <v>L5 Crypt</v>
      </c>
    </row>
    <row r="789" spans="1:6" x14ac:dyDescent="0.25">
      <c r="A789" s="14">
        <v>46144.487500000003</v>
      </c>
      <c r="B789" s="79" t="s">
        <v>149</v>
      </c>
      <c r="C789" s="79" t="s">
        <v>192</v>
      </c>
      <c r="D789" s="79" t="s">
        <v>157</v>
      </c>
      <c r="E789" s="79" t="s">
        <v>60</v>
      </c>
      <c r="F789" s="79" t="str">
        <f>IF(E789="", "", IF(COUNTIF(ChestType!$A$5:$A$195, E789)&gt;0, VLOOKUP(E789, ChestType!$A$5:$B$195, 2, 0), "Others"))</f>
        <v>Others</v>
      </c>
    </row>
    <row r="790" spans="1:6" x14ac:dyDescent="0.25">
      <c r="A790" s="14">
        <v>46144.487500000003</v>
      </c>
      <c r="B790" s="79" t="s">
        <v>149</v>
      </c>
      <c r="C790" s="79" t="s">
        <v>182</v>
      </c>
      <c r="D790" s="79" t="s">
        <v>234</v>
      </c>
      <c r="E790" s="79" t="s">
        <v>50</v>
      </c>
      <c r="F790" s="79" t="str">
        <f>IF(E790="", "", IF(COUNTIF(ChestType!$A$5:$A$195, E790)&gt;0, VLOOKUP(E790, ChestType!$A$5:$B$195, 2, 0), "Others"))</f>
        <v>L10 Crypt</v>
      </c>
    </row>
    <row r="791" spans="1:6" x14ac:dyDescent="0.25">
      <c r="A791" s="14">
        <v>46144.487500000003</v>
      </c>
      <c r="B791" s="79" t="s">
        <v>149</v>
      </c>
      <c r="C791" s="79" t="s">
        <v>177</v>
      </c>
      <c r="D791" s="79" t="s">
        <v>260</v>
      </c>
      <c r="E791" s="79" t="s">
        <v>50</v>
      </c>
      <c r="F791" s="79" t="str">
        <f>IF(E791="", "", IF(COUNTIF(ChestType!$A$5:$A$195, E791)&gt;0, VLOOKUP(E791, ChestType!$A$5:$B$195, 2, 0), "Others"))</f>
        <v>L10 Crypt</v>
      </c>
    </row>
    <row r="792" spans="1:6" x14ac:dyDescent="0.25">
      <c r="A792" s="14">
        <v>46144.487500000003</v>
      </c>
      <c r="B792" s="79" t="s">
        <v>149</v>
      </c>
      <c r="C792" s="79" t="s">
        <v>173</v>
      </c>
      <c r="D792" s="79" t="s">
        <v>179</v>
      </c>
      <c r="E792" s="79" t="s">
        <v>50</v>
      </c>
      <c r="F792" s="79" t="str">
        <f>IF(E792="", "", IF(COUNTIF(ChestType!$A$5:$A$195, E792)&gt;0, VLOOKUP(E792, ChestType!$A$5:$B$195, 2, 0), "Others"))</f>
        <v>L10 Crypt</v>
      </c>
    </row>
    <row r="793" spans="1:6" x14ac:dyDescent="0.25">
      <c r="A793" s="14">
        <v>46144.487500000003</v>
      </c>
      <c r="B793" s="79" t="s">
        <v>149</v>
      </c>
      <c r="C793" s="79" t="s">
        <v>177</v>
      </c>
      <c r="D793" s="79" t="s">
        <v>179</v>
      </c>
      <c r="E793" s="79" t="s">
        <v>50</v>
      </c>
      <c r="F793" s="79" t="str">
        <f>IF(E793="", "", IF(COUNTIF(ChestType!$A$5:$A$195, E793)&gt;0, VLOOKUP(E793, ChestType!$A$5:$B$195, 2, 0), "Others"))</f>
        <v>L10 Crypt</v>
      </c>
    </row>
    <row r="794" spans="1:6" x14ac:dyDescent="0.25">
      <c r="A794" s="14">
        <v>46144.487500000003</v>
      </c>
      <c r="B794" s="79" t="s">
        <v>149</v>
      </c>
      <c r="C794" s="79" t="s">
        <v>185</v>
      </c>
      <c r="D794" s="79" t="s">
        <v>234</v>
      </c>
      <c r="E794" s="79" t="s">
        <v>50</v>
      </c>
      <c r="F794" s="79" t="str">
        <f>IF(E794="", "", IF(COUNTIF(ChestType!$A$5:$A$195, E794)&gt;0, VLOOKUP(E794, ChestType!$A$5:$B$195, 2, 0), "Others"))</f>
        <v>L10 Crypt</v>
      </c>
    </row>
    <row r="795" spans="1:6" x14ac:dyDescent="0.25">
      <c r="A795" s="14">
        <v>46144.487500000003</v>
      </c>
      <c r="B795" s="79" t="s">
        <v>149</v>
      </c>
      <c r="C795" s="79" t="s">
        <v>176</v>
      </c>
      <c r="D795" s="79" t="s">
        <v>157</v>
      </c>
      <c r="E795" s="79" t="s">
        <v>70</v>
      </c>
      <c r="F795" s="79" t="str">
        <f>IF(E795="", "", IF(COUNTIF(ChestType!$A$5:$A$195, E795)&gt;0, VLOOKUP(E795, ChestType!$A$5:$B$195, 2, 0), "Others"))</f>
        <v>L10 Citadel</v>
      </c>
    </row>
    <row r="796" spans="1:6" x14ac:dyDescent="0.25">
      <c r="A796" s="14">
        <v>46144.487500000003</v>
      </c>
      <c r="B796" s="79" t="s">
        <v>149</v>
      </c>
      <c r="C796" s="79" t="s">
        <v>185</v>
      </c>
      <c r="D796" s="79" t="s">
        <v>163</v>
      </c>
      <c r="E796" s="79" t="s">
        <v>52</v>
      </c>
      <c r="F796" s="79" t="str">
        <f>IF(E796="", "", IF(COUNTIF(ChestType!$A$5:$A$195, E796)&gt;0, VLOOKUP(E796, ChestType!$A$5:$B$195, 2, 0), "Others"))</f>
        <v>L5 Crypt</v>
      </c>
    </row>
    <row r="797" spans="1:6" x14ac:dyDescent="0.25">
      <c r="A797" s="14">
        <v>46144.487500000003</v>
      </c>
      <c r="B797" s="79" t="s">
        <v>149</v>
      </c>
      <c r="C797" s="79" t="s">
        <v>187</v>
      </c>
      <c r="D797" s="79" t="s">
        <v>199</v>
      </c>
      <c r="E797" s="79" t="s">
        <v>75</v>
      </c>
      <c r="F797" s="79" t="str">
        <f>IF(E797="", "", IF(COUNTIF(ChestType!$A$5:$A$195, E797)&gt;0, VLOOKUP(E797, ChestType!$A$5:$B$195, 2, 0), "Others"))</f>
        <v>L10 Rare Crypt</v>
      </c>
    </row>
    <row r="798" spans="1:6" x14ac:dyDescent="0.25">
      <c r="A798" s="14">
        <v>46144.487500000003</v>
      </c>
      <c r="B798" s="79" t="s">
        <v>149</v>
      </c>
      <c r="C798" s="79" t="s">
        <v>176</v>
      </c>
      <c r="D798" s="79" t="s">
        <v>157</v>
      </c>
      <c r="E798" s="79" t="s">
        <v>63</v>
      </c>
      <c r="F798" s="79" t="str">
        <f>IF(E798="", "", IF(COUNTIF(ChestType!$A$5:$A$195, E798)&gt;0, VLOOKUP(E798, ChestType!$A$5:$B$195, 2, 0), "Others"))</f>
        <v>L15 Citadel</v>
      </c>
    </row>
    <row r="799" spans="1:6" x14ac:dyDescent="0.25">
      <c r="A799" s="14">
        <v>46144.487500000003</v>
      </c>
      <c r="B799" s="79" t="s">
        <v>149</v>
      </c>
      <c r="C799" s="79" t="s">
        <v>181</v>
      </c>
      <c r="D799" s="79" t="s">
        <v>246</v>
      </c>
      <c r="E799" s="79" t="s">
        <v>52</v>
      </c>
      <c r="F799" s="79" t="str">
        <f>IF(E799="", "", IF(COUNTIF(ChestType!$A$5:$A$195, E799)&gt;0, VLOOKUP(E799, ChestType!$A$5:$B$195, 2, 0), "Others"))</f>
        <v>L5 Crypt</v>
      </c>
    </row>
    <row r="800" spans="1:6" x14ac:dyDescent="0.25">
      <c r="A800" s="14">
        <v>46144.487500000003</v>
      </c>
      <c r="B800" s="79" t="s">
        <v>149</v>
      </c>
      <c r="C800" s="79" t="s">
        <v>151</v>
      </c>
      <c r="D800" s="79" t="s">
        <v>246</v>
      </c>
      <c r="E800" s="79" t="s">
        <v>52</v>
      </c>
      <c r="F800" s="79" t="str">
        <f>IF(E800="", "", IF(COUNTIF(ChestType!$A$5:$A$195, E800)&gt;0, VLOOKUP(E800, ChestType!$A$5:$B$195, 2, 0), "Others"))</f>
        <v>L5 Crypt</v>
      </c>
    </row>
    <row r="801" spans="1:6" x14ac:dyDescent="0.25">
      <c r="A801" s="14">
        <v>46144.487500000003</v>
      </c>
      <c r="B801" s="79" t="s">
        <v>149</v>
      </c>
      <c r="C801" s="79" t="s">
        <v>173</v>
      </c>
      <c r="D801" s="79" t="s">
        <v>246</v>
      </c>
      <c r="E801" s="79" t="s">
        <v>52</v>
      </c>
      <c r="F801" s="79" t="str">
        <f>IF(E801="", "", IF(COUNTIF(ChestType!$A$5:$A$195, E801)&gt;0, VLOOKUP(E801, ChestType!$A$5:$B$195, 2, 0), "Others"))</f>
        <v>L5 Crypt</v>
      </c>
    </row>
    <row r="802" spans="1:6" x14ac:dyDescent="0.25">
      <c r="A802" s="14">
        <v>46144.487500000003</v>
      </c>
      <c r="B802" s="79" t="s">
        <v>149</v>
      </c>
      <c r="C802" s="79" t="s">
        <v>255</v>
      </c>
      <c r="D802" s="79" t="s">
        <v>194</v>
      </c>
      <c r="E802" s="79" t="s">
        <v>256</v>
      </c>
      <c r="F802" s="79" t="str">
        <f>IF(E802="", "", IF(COUNTIF(ChestType!$A$5:$A$195, E802)&gt;0, VLOOKUP(E802, ChestType!$A$5:$B$195, 2, 0), "Others"))</f>
        <v>Others</v>
      </c>
    </row>
    <row r="803" spans="1:6" x14ac:dyDescent="0.25">
      <c r="A803" s="14">
        <v>46144.487500000003</v>
      </c>
      <c r="B803" s="79" t="s">
        <v>149</v>
      </c>
      <c r="C803" s="79" t="s">
        <v>182</v>
      </c>
      <c r="D803" s="79" t="s">
        <v>199</v>
      </c>
      <c r="E803" s="79" t="s">
        <v>49</v>
      </c>
      <c r="F803" s="79" t="str">
        <f>IF(E803="", "", IF(COUNTIF(ChestType!$A$5:$A$195, E803)&gt;0, VLOOKUP(E803, ChestType!$A$5:$B$195, 2, 0), "Others"))</f>
        <v>L15 Crypt</v>
      </c>
    </row>
    <row r="804" spans="1:6" x14ac:dyDescent="0.25">
      <c r="A804" s="14">
        <v>46144.487500000003</v>
      </c>
      <c r="B804" s="79" t="s">
        <v>149</v>
      </c>
      <c r="C804" s="79" t="s">
        <v>184</v>
      </c>
      <c r="D804" s="79" t="s">
        <v>199</v>
      </c>
      <c r="E804" s="79" t="s">
        <v>50</v>
      </c>
      <c r="F804" s="79" t="str">
        <f>IF(E804="", "", IF(COUNTIF(ChestType!$A$5:$A$195, E804)&gt;0, VLOOKUP(E804, ChestType!$A$5:$B$195, 2, 0), "Others"))</f>
        <v>L10 Crypt</v>
      </c>
    </row>
    <row r="805" spans="1:6" x14ac:dyDescent="0.25">
      <c r="A805" s="14">
        <v>46144.487500000003</v>
      </c>
      <c r="B805" s="79" t="s">
        <v>149</v>
      </c>
      <c r="C805" s="79" t="s">
        <v>158</v>
      </c>
      <c r="D805" s="79" t="s">
        <v>246</v>
      </c>
      <c r="E805" s="79" t="s">
        <v>52</v>
      </c>
      <c r="F805" s="79" t="str">
        <f>IF(E805="", "", IF(COUNTIF(ChestType!$A$5:$A$195, E805)&gt;0, VLOOKUP(E805, ChestType!$A$5:$B$195, 2, 0), "Others"))</f>
        <v>L5 Crypt</v>
      </c>
    </row>
    <row r="806" spans="1:6" x14ac:dyDescent="0.25">
      <c r="A806" s="14">
        <v>46144.487500000003</v>
      </c>
      <c r="B806" s="79" t="s">
        <v>149</v>
      </c>
      <c r="C806" s="79" t="s">
        <v>183</v>
      </c>
      <c r="D806" s="79" t="s">
        <v>199</v>
      </c>
      <c r="E806" s="79" t="s">
        <v>50</v>
      </c>
      <c r="F806" s="79" t="str">
        <f>IF(E806="", "", IF(COUNTIF(ChestType!$A$5:$A$195, E806)&gt;0, VLOOKUP(E806, ChestType!$A$5:$B$195, 2, 0), "Others"))</f>
        <v>L10 Crypt</v>
      </c>
    </row>
    <row r="807" spans="1:6" x14ac:dyDescent="0.25">
      <c r="A807" s="14">
        <v>46144.487500000003</v>
      </c>
      <c r="B807" s="79" t="s">
        <v>149</v>
      </c>
      <c r="C807" s="79" t="s">
        <v>176</v>
      </c>
      <c r="D807" s="79" t="s">
        <v>157</v>
      </c>
      <c r="E807" s="79" t="s">
        <v>63</v>
      </c>
      <c r="F807" s="79" t="str">
        <f>IF(E807="", "", IF(COUNTIF(ChestType!$A$5:$A$195, E807)&gt;0, VLOOKUP(E807, ChestType!$A$5:$B$195, 2, 0), "Others"))</f>
        <v>L15 Citadel</v>
      </c>
    </row>
    <row r="808" spans="1:6" x14ac:dyDescent="0.25">
      <c r="A808" s="14">
        <v>46144.487500000003</v>
      </c>
      <c r="B808" s="79" t="s">
        <v>149</v>
      </c>
      <c r="C808" s="79" t="s">
        <v>173</v>
      </c>
      <c r="D808" s="79" t="s">
        <v>167</v>
      </c>
      <c r="E808" s="79" t="s">
        <v>50</v>
      </c>
      <c r="F808" s="79" t="str">
        <f>IF(E808="", "", IF(COUNTIF(ChestType!$A$5:$A$195, E808)&gt;0, VLOOKUP(E808, ChestType!$A$5:$B$195, 2, 0), "Others"))</f>
        <v>L10 Crypt</v>
      </c>
    </row>
    <row r="809" spans="1:6" x14ac:dyDescent="0.25">
      <c r="A809" s="14">
        <v>46144.487500000003</v>
      </c>
      <c r="B809" s="79" t="s">
        <v>149</v>
      </c>
      <c r="C809" s="79" t="s">
        <v>175</v>
      </c>
      <c r="D809" s="79" t="s">
        <v>199</v>
      </c>
      <c r="E809" s="79" t="s">
        <v>50</v>
      </c>
      <c r="F809" s="79" t="str">
        <f>IF(E809="", "", IF(COUNTIF(ChestType!$A$5:$A$195, E809)&gt;0, VLOOKUP(E809, ChestType!$A$5:$B$195, 2, 0), "Others"))</f>
        <v>L10 Crypt</v>
      </c>
    </row>
    <row r="810" spans="1:6" x14ac:dyDescent="0.25">
      <c r="A810" s="14">
        <v>46144.619444444441</v>
      </c>
      <c r="B810" s="79" t="s">
        <v>149</v>
      </c>
      <c r="C810" s="79" t="s">
        <v>173</v>
      </c>
      <c r="D810" s="79" t="s">
        <v>167</v>
      </c>
      <c r="E810" s="79" t="s">
        <v>50</v>
      </c>
      <c r="F810" s="79" t="str">
        <f>IF(E810="", "", IF(COUNTIF(ChestType!$A$5:$A$195, E810)&gt;0, VLOOKUP(E810, ChestType!$A$5:$B$195, 2, 0), "Others"))</f>
        <v>L10 Crypt</v>
      </c>
    </row>
    <row r="811" spans="1:6" x14ac:dyDescent="0.25">
      <c r="A811" s="14">
        <v>46144.619444444441</v>
      </c>
      <c r="B811" s="79" t="s">
        <v>149</v>
      </c>
      <c r="C811" s="79" t="s">
        <v>176</v>
      </c>
      <c r="D811" s="79" t="s">
        <v>254</v>
      </c>
      <c r="E811" s="79" t="s">
        <v>70</v>
      </c>
      <c r="F811" s="79" t="str">
        <f>IF(E811="", "", IF(COUNTIF(ChestType!$A$5:$A$195, E811)&gt;0, VLOOKUP(E811, ChestType!$A$5:$B$195, 2, 0), "Others"))</f>
        <v>L10 Citadel</v>
      </c>
    </row>
    <row r="812" spans="1:6" x14ac:dyDescent="0.25">
      <c r="A812" s="14">
        <v>46144.619444444441</v>
      </c>
      <c r="B812" s="79" t="s">
        <v>149</v>
      </c>
      <c r="C812" s="79" t="s">
        <v>173</v>
      </c>
      <c r="D812" s="79" t="s">
        <v>167</v>
      </c>
      <c r="E812" s="79" t="s">
        <v>52</v>
      </c>
      <c r="F812" s="79" t="str">
        <f>IF(E812="", "", IF(COUNTIF(ChestType!$A$5:$A$195, E812)&gt;0, VLOOKUP(E812, ChestType!$A$5:$B$195, 2, 0), "Others"))</f>
        <v>L5 Crypt</v>
      </c>
    </row>
    <row r="813" spans="1:6" x14ac:dyDescent="0.25">
      <c r="A813" s="14">
        <v>46144.619444444441</v>
      </c>
      <c r="B813" s="79" t="s">
        <v>149</v>
      </c>
      <c r="C813" s="79" t="s">
        <v>200</v>
      </c>
      <c r="D813" s="79" t="s">
        <v>202</v>
      </c>
      <c r="E813" s="79" t="s">
        <v>123</v>
      </c>
      <c r="F813" s="79" t="str">
        <f>IF(E813="", "", IF(COUNTIF(ChestType!$A$5:$A$195, E813)&gt;0, VLOOKUP(E813, ChestType!$A$5:$B$195, 2, 0), "Others"))</f>
        <v>Ancients Vault</v>
      </c>
    </row>
    <row r="814" spans="1:6" x14ac:dyDescent="0.25">
      <c r="A814" s="14">
        <v>46144.619444444441</v>
      </c>
      <c r="B814" s="79" t="s">
        <v>149</v>
      </c>
      <c r="C814" s="79" t="s">
        <v>173</v>
      </c>
      <c r="D814" s="79" t="s">
        <v>167</v>
      </c>
      <c r="E814" s="79" t="s">
        <v>50</v>
      </c>
      <c r="F814" s="79" t="str">
        <f>IF(E814="", "", IF(COUNTIF(ChestType!$A$5:$A$195, E814)&gt;0, VLOOKUP(E814, ChestType!$A$5:$B$195, 2, 0), "Others"))</f>
        <v>L10 Crypt</v>
      </c>
    </row>
    <row r="815" spans="1:6" x14ac:dyDescent="0.25">
      <c r="A815" s="14">
        <v>46144.619444444441</v>
      </c>
      <c r="B815" s="79" t="s">
        <v>149</v>
      </c>
      <c r="C815" s="79" t="s">
        <v>176</v>
      </c>
      <c r="D815" s="79" t="s">
        <v>254</v>
      </c>
      <c r="E815" s="79" t="s">
        <v>70</v>
      </c>
      <c r="F815" s="79" t="str">
        <f>IF(E815="", "", IF(COUNTIF(ChestType!$A$5:$A$195, E815)&gt;0, VLOOKUP(E815, ChestType!$A$5:$B$195, 2, 0), "Others"))</f>
        <v>L10 Citadel</v>
      </c>
    </row>
    <row r="816" spans="1:6" x14ac:dyDescent="0.25">
      <c r="A816" s="14">
        <v>46144.619444444441</v>
      </c>
      <c r="B816" s="79" t="s">
        <v>149</v>
      </c>
      <c r="C816" s="79" t="s">
        <v>151</v>
      </c>
      <c r="D816" s="79" t="s">
        <v>194</v>
      </c>
      <c r="E816" s="79" t="s">
        <v>50</v>
      </c>
      <c r="F816" s="79" t="str">
        <f>IF(E816="", "", IF(COUNTIF(ChestType!$A$5:$A$195, E816)&gt;0, VLOOKUP(E816, ChestType!$A$5:$B$195, 2, 0), "Others"))</f>
        <v>L10 Crypt</v>
      </c>
    </row>
    <row r="817" spans="1:6" x14ac:dyDescent="0.25">
      <c r="A817" s="14">
        <v>46144.619444444441</v>
      </c>
      <c r="B817" s="79" t="s">
        <v>149</v>
      </c>
      <c r="C817" s="79" t="s">
        <v>173</v>
      </c>
      <c r="D817" s="79" t="s">
        <v>167</v>
      </c>
      <c r="E817" s="79" t="s">
        <v>50</v>
      </c>
      <c r="F817" s="79" t="str">
        <f>IF(E817="", "", IF(COUNTIF(ChestType!$A$5:$A$195, E817)&gt;0, VLOOKUP(E817, ChestType!$A$5:$B$195, 2, 0), "Others"))</f>
        <v>L10 Crypt</v>
      </c>
    </row>
    <row r="818" spans="1:6" x14ac:dyDescent="0.25">
      <c r="A818" s="14">
        <v>46144.619444444441</v>
      </c>
      <c r="B818" s="79" t="s">
        <v>149</v>
      </c>
      <c r="C818" s="79" t="s">
        <v>190</v>
      </c>
      <c r="D818" s="79" t="s">
        <v>194</v>
      </c>
      <c r="E818" s="79" t="s">
        <v>50</v>
      </c>
      <c r="F818" s="79" t="str">
        <f>IF(E818="", "", IF(COUNTIF(ChestType!$A$5:$A$195, E818)&gt;0, VLOOKUP(E818, ChestType!$A$5:$B$195, 2, 0), "Others"))</f>
        <v>L10 Crypt</v>
      </c>
    </row>
    <row r="819" spans="1:6" x14ac:dyDescent="0.25">
      <c r="A819" s="14">
        <v>46144.619444444441</v>
      </c>
      <c r="B819" s="79" t="s">
        <v>149</v>
      </c>
      <c r="C819" s="79" t="s">
        <v>185</v>
      </c>
      <c r="D819" s="79" t="s">
        <v>254</v>
      </c>
      <c r="E819" s="79" t="s">
        <v>50</v>
      </c>
      <c r="F819" s="79" t="str">
        <f>IF(E819="", "", IF(COUNTIF(ChestType!$A$5:$A$195, E819)&gt;0, VLOOKUP(E819, ChestType!$A$5:$B$195, 2, 0), "Others"))</f>
        <v>L10 Crypt</v>
      </c>
    </row>
    <row r="820" spans="1:6" x14ac:dyDescent="0.25">
      <c r="A820" s="14">
        <v>46144.619444444441</v>
      </c>
      <c r="B820" s="79" t="s">
        <v>149</v>
      </c>
      <c r="C820" s="79" t="s">
        <v>173</v>
      </c>
      <c r="D820" s="79" t="s">
        <v>167</v>
      </c>
      <c r="E820" s="79" t="s">
        <v>50</v>
      </c>
      <c r="F820" s="79" t="str">
        <f>IF(E820="", "", IF(COUNTIF(ChestType!$A$5:$A$195, E820)&gt;0, VLOOKUP(E820, ChestType!$A$5:$B$195, 2, 0), "Others"))</f>
        <v>L10 Crypt</v>
      </c>
    </row>
    <row r="821" spans="1:6" x14ac:dyDescent="0.25">
      <c r="A821" s="14">
        <v>46144.619444444441</v>
      </c>
      <c r="B821" s="79" t="s">
        <v>149</v>
      </c>
      <c r="C821" s="79" t="s">
        <v>190</v>
      </c>
      <c r="D821" s="79" t="s">
        <v>163</v>
      </c>
      <c r="E821" s="79" t="s">
        <v>52</v>
      </c>
      <c r="F821" s="79" t="str">
        <f>IF(E821="", "", IF(COUNTIF(ChestType!$A$5:$A$195, E821)&gt;0, VLOOKUP(E821, ChestType!$A$5:$B$195, 2, 0), "Others"))</f>
        <v>L5 Crypt</v>
      </c>
    </row>
    <row r="822" spans="1:6" x14ac:dyDescent="0.25">
      <c r="A822" s="14">
        <v>46144.619444444441</v>
      </c>
      <c r="B822" s="79" t="s">
        <v>149</v>
      </c>
      <c r="C822" s="79" t="s">
        <v>173</v>
      </c>
      <c r="D822" s="79" t="s">
        <v>167</v>
      </c>
      <c r="E822" s="79" t="s">
        <v>50</v>
      </c>
      <c r="F822" s="79" t="str">
        <f>IF(E822="", "", IF(COUNTIF(ChestType!$A$5:$A$195, E822)&gt;0, VLOOKUP(E822, ChestType!$A$5:$B$195, 2, 0), "Others"))</f>
        <v>L10 Crypt</v>
      </c>
    </row>
    <row r="823" spans="1:6" x14ac:dyDescent="0.25">
      <c r="A823" s="14">
        <v>46144.619444444441</v>
      </c>
      <c r="B823" s="79" t="s">
        <v>149</v>
      </c>
      <c r="C823" s="79" t="s">
        <v>151</v>
      </c>
      <c r="D823" s="79" t="s">
        <v>231</v>
      </c>
      <c r="E823" s="79" t="s">
        <v>49</v>
      </c>
      <c r="F823" s="79" t="str">
        <f>IF(E823="", "", IF(COUNTIF(ChestType!$A$5:$A$195, E823)&gt;0, VLOOKUP(E823, ChestType!$A$5:$B$195, 2, 0), "Others"))</f>
        <v>L15 Crypt</v>
      </c>
    </row>
    <row r="824" spans="1:6" x14ac:dyDescent="0.25">
      <c r="A824" s="14">
        <v>46144.619444444441</v>
      </c>
      <c r="B824" s="79" t="s">
        <v>149</v>
      </c>
      <c r="C824" s="79" t="s">
        <v>158</v>
      </c>
      <c r="D824" s="79" t="s">
        <v>231</v>
      </c>
      <c r="E824" s="79" t="s">
        <v>49</v>
      </c>
      <c r="F824" s="79" t="str">
        <f>IF(E824="", "", IF(COUNTIF(ChestType!$A$5:$A$195, E824)&gt;0, VLOOKUP(E824, ChestType!$A$5:$B$195, 2, 0), "Others"))</f>
        <v>L15 Crypt</v>
      </c>
    </row>
    <row r="825" spans="1:6" x14ac:dyDescent="0.25">
      <c r="A825" s="14">
        <v>46144.619444444441</v>
      </c>
      <c r="B825" s="79" t="s">
        <v>149</v>
      </c>
      <c r="C825" s="79" t="s">
        <v>173</v>
      </c>
      <c r="D825" s="79" t="s">
        <v>167</v>
      </c>
      <c r="E825" s="79" t="s">
        <v>50</v>
      </c>
      <c r="F825" s="79" t="str">
        <f>IF(E825="", "", IF(COUNTIF(ChestType!$A$5:$A$195, E825)&gt;0, VLOOKUP(E825, ChestType!$A$5:$B$195, 2, 0), "Others"))</f>
        <v>L10 Crypt</v>
      </c>
    </row>
    <row r="826" spans="1:6" x14ac:dyDescent="0.25">
      <c r="A826" s="14">
        <v>46144.619444444441</v>
      </c>
      <c r="B826" s="79" t="s">
        <v>149</v>
      </c>
      <c r="C826" s="79" t="s">
        <v>182</v>
      </c>
      <c r="D826" s="79" t="s">
        <v>231</v>
      </c>
      <c r="E826" s="79" t="s">
        <v>52</v>
      </c>
      <c r="F826" s="79" t="str">
        <f>IF(E826="", "", IF(COUNTIF(ChestType!$A$5:$A$195, E826)&gt;0, VLOOKUP(E826, ChestType!$A$5:$B$195, 2, 0), "Others"))</f>
        <v>L5 Crypt</v>
      </c>
    </row>
    <row r="827" spans="1:6" x14ac:dyDescent="0.25">
      <c r="A827" s="14">
        <v>46144.619444444441</v>
      </c>
      <c r="B827" s="79" t="s">
        <v>149</v>
      </c>
      <c r="C827" s="79" t="s">
        <v>176</v>
      </c>
      <c r="D827" s="79" t="s">
        <v>254</v>
      </c>
      <c r="E827" s="79" t="s">
        <v>70</v>
      </c>
      <c r="F827" s="79" t="str">
        <f>IF(E827="", "", IF(COUNTIF(ChestType!$A$5:$A$195, E827)&gt;0, VLOOKUP(E827, ChestType!$A$5:$B$195, 2, 0), "Others"))</f>
        <v>L10 Citadel</v>
      </c>
    </row>
    <row r="828" spans="1:6" x14ac:dyDescent="0.25">
      <c r="A828" s="14">
        <v>46144.619444444441</v>
      </c>
      <c r="B828" s="79" t="s">
        <v>149</v>
      </c>
      <c r="C828" s="79" t="s">
        <v>176</v>
      </c>
      <c r="D828" s="79" t="s">
        <v>254</v>
      </c>
      <c r="E828" s="79" t="s">
        <v>70</v>
      </c>
      <c r="F828" s="79" t="str">
        <f>IF(E828="", "", IF(COUNTIF(ChestType!$A$5:$A$195, E828)&gt;0, VLOOKUP(E828, ChestType!$A$5:$B$195, 2, 0), "Others"))</f>
        <v>L10 Citadel</v>
      </c>
    </row>
    <row r="829" spans="1:6" x14ac:dyDescent="0.25">
      <c r="A829" s="14">
        <v>46144.619444444441</v>
      </c>
      <c r="B829" s="79" t="s">
        <v>149</v>
      </c>
      <c r="C829" s="79" t="s">
        <v>176</v>
      </c>
      <c r="D829" s="79" t="s">
        <v>254</v>
      </c>
      <c r="E829" s="79" t="s">
        <v>70</v>
      </c>
      <c r="F829" s="79" t="str">
        <f>IF(E829="", "", IF(COUNTIF(ChestType!$A$5:$A$195, E829)&gt;0, VLOOKUP(E829, ChestType!$A$5:$B$195, 2, 0), "Others"))</f>
        <v>L10 Citadel</v>
      </c>
    </row>
    <row r="830" spans="1:6" x14ac:dyDescent="0.25">
      <c r="A830" s="14">
        <v>46144.619444444441</v>
      </c>
      <c r="B830" s="79" t="s">
        <v>149</v>
      </c>
      <c r="C830" s="79" t="s">
        <v>173</v>
      </c>
      <c r="D830" s="79" t="s">
        <v>167</v>
      </c>
      <c r="E830" s="79" t="s">
        <v>50</v>
      </c>
      <c r="F830" s="79" t="str">
        <f>IF(E830="", "", IF(COUNTIF(ChestType!$A$5:$A$195, E830)&gt;0, VLOOKUP(E830, ChestType!$A$5:$B$195, 2, 0), "Others"))</f>
        <v>L10 Crypt</v>
      </c>
    </row>
    <row r="831" spans="1:6" x14ac:dyDescent="0.25">
      <c r="A831" s="14">
        <v>46144.619444444441</v>
      </c>
      <c r="B831" s="79" t="s">
        <v>149</v>
      </c>
      <c r="C831" s="79" t="s">
        <v>176</v>
      </c>
      <c r="D831" s="79" t="s">
        <v>254</v>
      </c>
      <c r="E831" s="79" t="s">
        <v>70</v>
      </c>
      <c r="F831" s="79" t="str">
        <f>IF(E831="", "", IF(COUNTIF(ChestType!$A$5:$A$195, E831)&gt;0, VLOOKUP(E831, ChestType!$A$5:$B$195, 2, 0), "Others"))</f>
        <v>L10 Citadel</v>
      </c>
    </row>
    <row r="832" spans="1:6" x14ac:dyDescent="0.25">
      <c r="A832" s="14">
        <v>46144.619444444441</v>
      </c>
      <c r="B832" s="79" t="s">
        <v>149</v>
      </c>
      <c r="C832" s="79" t="s">
        <v>187</v>
      </c>
      <c r="D832" s="79" t="s">
        <v>254</v>
      </c>
      <c r="E832" s="79" t="s">
        <v>75</v>
      </c>
      <c r="F832" s="79" t="str">
        <f>IF(E832="", "", IF(COUNTIF(ChestType!$A$5:$A$195, E832)&gt;0, VLOOKUP(E832, ChestType!$A$5:$B$195, 2, 0), "Others"))</f>
        <v>L10 Rare Crypt</v>
      </c>
    </row>
    <row r="833" spans="1:6" x14ac:dyDescent="0.25">
      <c r="A833" s="14">
        <v>46144.619444444441</v>
      </c>
      <c r="B833" s="79" t="s">
        <v>149</v>
      </c>
      <c r="C833" s="79" t="s">
        <v>187</v>
      </c>
      <c r="D833" s="79" t="s">
        <v>254</v>
      </c>
      <c r="E833" s="79" t="s">
        <v>75</v>
      </c>
      <c r="F833" s="79" t="str">
        <f>IF(E833="", "", IF(COUNTIF(ChestType!$A$5:$A$195, E833)&gt;0, VLOOKUP(E833, ChestType!$A$5:$B$195, 2, 0), "Others"))</f>
        <v>L10 Rare Crypt</v>
      </c>
    </row>
    <row r="834" spans="1:6" x14ac:dyDescent="0.25">
      <c r="A834" s="14">
        <v>46144.619444444441</v>
      </c>
      <c r="B834" s="79" t="s">
        <v>149</v>
      </c>
      <c r="C834" s="79" t="s">
        <v>187</v>
      </c>
      <c r="D834" s="79" t="s">
        <v>254</v>
      </c>
      <c r="E834" s="79" t="s">
        <v>75</v>
      </c>
      <c r="F834" s="79" t="str">
        <f>IF(E834="", "", IF(COUNTIF(ChestType!$A$5:$A$195, E834)&gt;0, VLOOKUP(E834, ChestType!$A$5:$B$195, 2, 0), "Others"))</f>
        <v>L10 Rare Crypt</v>
      </c>
    </row>
    <row r="835" spans="1:6" x14ac:dyDescent="0.25">
      <c r="A835" s="14">
        <v>46144.619444444441</v>
      </c>
      <c r="B835" s="79" t="s">
        <v>149</v>
      </c>
      <c r="C835" s="79" t="s">
        <v>151</v>
      </c>
      <c r="D835" s="79" t="s">
        <v>179</v>
      </c>
      <c r="E835" s="79" t="s">
        <v>50</v>
      </c>
      <c r="F835" s="79" t="str">
        <f>IF(E835="", "", IF(COUNTIF(ChestType!$A$5:$A$195, E835)&gt;0, VLOOKUP(E835, ChestType!$A$5:$B$195, 2, 0), "Others"))</f>
        <v>L10 Crypt</v>
      </c>
    </row>
    <row r="836" spans="1:6" x14ac:dyDescent="0.25">
      <c r="A836" s="14">
        <v>46144.619444444441</v>
      </c>
      <c r="B836" s="79" t="s">
        <v>149</v>
      </c>
      <c r="C836" s="79" t="s">
        <v>255</v>
      </c>
      <c r="D836" s="79" t="s">
        <v>254</v>
      </c>
      <c r="E836" s="79" t="s">
        <v>256</v>
      </c>
      <c r="F836" s="79" t="str">
        <f>IF(E836="", "", IF(COUNTIF(ChestType!$A$5:$A$195, E836)&gt;0, VLOOKUP(E836, ChestType!$A$5:$B$195, 2, 0), "Others"))</f>
        <v>Others</v>
      </c>
    </row>
    <row r="837" spans="1:6" x14ac:dyDescent="0.25">
      <c r="A837" s="14">
        <v>46144.619444444441</v>
      </c>
      <c r="B837" s="79" t="s">
        <v>149</v>
      </c>
      <c r="C837" s="79" t="s">
        <v>181</v>
      </c>
      <c r="D837" s="79" t="s">
        <v>202</v>
      </c>
      <c r="E837" s="79" t="s">
        <v>49</v>
      </c>
      <c r="F837" s="79" t="str">
        <f>IF(E837="", "", IF(COUNTIF(ChestType!$A$5:$A$195, E837)&gt;0, VLOOKUP(E837, ChestType!$A$5:$B$195, 2, 0), "Others"))</f>
        <v>L15 Crypt</v>
      </c>
    </row>
    <row r="838" spans="1:6" x14ac:dyDescent="0.25">
      <c r="A838" s="14">
        <v>46144.619444444441</v>
      </c>
      <c r="B838" s="79" t="s">
        <v>149</v>
      </c>
      <c r="C838" s="79" t="s">
        <v>151</v>
      </c>
      <c r="D838" s="79" t="s">
        <v>202</v>
      </c>
      <c r="E838" s="79" t="s">
        <v>49</v>
      </c>
      <c r="F838" s="79" t="str">
        <f>IF(E838="", "", IF(COUNTIF(ChestType!$A$5:$A$195, E838)&gt;0, VLOOKUP(E838, ChestType!$A$5:$B$195, 2, 0), "Others"))</f>
        <v>L15 Crypt</v>
      </c>
    </row>
    <row r="839" spans="1:6" x14ac:dyDescent="0.25">
      <c r="A839" s="14">
        <v>46144.619444444441</v>
      </c>
      <c r="B839" s="79" t="s">
        <v>149</v>
      </c>
      <c r="C839" s="79" t="s">
        <v>187</v>
      </c>
      <c r="D839" s="79" t="s">
        <v>236</v>
      </c>
      <c r="E839" s="79" t="s">
        <v>71</v>
      </c>
      <c r="F839" s="79" t="str">
        <f>IF(E839="", "", IF(COUNTIF(ChestType!$A$5:$A$195, E839)&gt;0, VLOOKUP(E839, ChestType!$A$5:$B$195, 2, 0), "Others"))</f>
        <v>L15 Rare Crypt</v>
      </c>
    </row>
    <row r="840" spans="1:6" x14ac:dyDescent="0.25">
      <c r="A840" s="14">
        <v>46144.619444444441</v>
      </c>
      <c r="B840" s="79" t="s">
        <v>149</v>
      </c>
      <c r="C840" s="79" t="s">
        <v>158</v>
      </c>
      <c r="D840" s="79" t="s">
        <v>231</v>
      </c>
      <c r="E840" s="79" t="s">
        <v>52</v>
      </c>
      <c r="F840" s="79" t="str">
        <f>IF(E840="", "", IF(COUNTIF(ChestType!$A$5:$A$195, E840)&gt;0, VLOOKUP(E840, ChestType!$A$5:$B$195, 2, 0), "Others"))</f>
        <v>L5 Crypt</v>
      </c>
    </row>
    <row r="841" spans="1:6" x14ac:dyDescent="0.25">
      <c r="A841" s="14">
        <v>46144.619444444441</v>
      </c>
      <c r="B841" s="79" t="s">
        <v>149</v>
      </c>
      <c r="C841" s="79" t="s">
        <v>187</v>
      </c>
      <c r="D841" s="79" t="s">
        <v>157</v>
      </c>
      <c r="E841" s="79" t="s">
        <v>71</v>
      </c>
      <c r="F841" s="79" t="str">
        <f>IF(E841="", "", IF(COUNTIF(ChestType!$A$5:$A$195, E841)&gt;0, VLOOKUP(E841, ChestType!$A$5:$B$195, 2, 0), "Others"))</f>
        <v>L15 Rare Crypt</v>
      </c>
    </row>
    <row r="842" spans="1:6" x14ac:dyDescent="0.25">
      <c r="A842" s="14">
        <v>46144.619444444441</v>
      </c>
      <c r="B842" s="79" t="s">
        <v>149</v>
      </c>
      <c r="C842" s="79" t="s">
        <v>187</v>
      </c>
      <c r="D842" s="79" t="s">
        <v>157</v>
      </c>
      <c r="E842" s="79" t="s">
        <v>71</v>
      </c>
      <c r="F842" s="79" t="str">
        <f>IF(E842="", "", IF(COUNTIF(ChestType!$A$5:$A$195, E842)&gt;0, VLOOKUP(E842, ChestType!$A$5:$B$195, 2, 0), "Others"))</f>
        <v>L15 Rare Crypt</v>
      </c>
    </row>
    <row r="843" spans="1:6" x14ac:dyDescent="0.25">
      <c r="A843" s="14">
        <v>46144.619444444441</v>
      </c>
      <c r="B843" s="79" t="s">
        <v>149</v>
      </c>
      <c r="C843" s="79" t="s">
        <v>158</v>
      </c>
      <c r="D843" s="79" t="s">
        <v>236</v>
      </c>
      <c r="E843" s="79" t="s">
        <v>50</v>
      </c>
      <c r="F843" s="79" t="str">
        <f>IF(E843="", "", IF(COUNTIF(ChestType!$A$5:$A$195, E843)&gt;0, VLOOKUP(E843, ChestType!$A$5:$B$195, 2, 0), "Others"))</f>
        <v>L10 Crypt</v>
      </c>
    </row>
    <row r="844" spans="1:6" x14ac:dyDescent="0.25">
      <c r="A844" s="14">
        <v>46144.619444444441</v>
      </c>
      <c r="B844" s="79" t="s">
        <v>149</v>
      </c>
      <c r="C844" s="79" t="s">
        <v>187</v>
      </c>
      <c r="D844" s="79" t="s">
        <v>157</v>
      </c>
      <c r="E844" s="79" t="s">
        <v>75</v>
      </c>
      <c r="F844" s="79" t="str">
        <f>IF(E844="", "", IF(COUNTIF(ChestType!$A$5:$A$195, E844)&gt;0, VLOOKUP(E844, ChestType!$A$5:$B$195, 2, 0), "Others"))</f>
        <v>L10 Rare Crypt</v>
      </c>
    </row>
    <row r="845" spans="1:6" x14ac:dyDescent="0.25">
      <c r="A845" s="14">
        <v>46144.619444444441</v>
      </c>
      <c r="B845" s="79" t="s">
        <v>149</v>
      </c>
      <c r="C845" s="79" t="s">
        <v>182</v>
      </c>
      <c r="D845" s="79" t="s">
        <v>163</v>
      </c>
      <c r="E845" s="79" t="s">
        <v>52</v>
      </c>
      <c r="F845" s="79" t="str">
        <f>IF(E845="", "", IF(COUNTIF(ChestType!$A$5:$A$195, E845)&gt;0, VLOOKUP(E845, ChestType!$A$5:$B$195, 2, 0), "Others"))</f>
        <v>L5 Crypt</v>
      </c>
    </row>
    <row r="846" spans="1:6" x14ac:dyDescent="0.25">
      <c r="A846" s="14">
        <v>46144.619444444441</v>
      </c>
      <c r="B846" s="79" t="s">
        <v>149</v>
      </c>
      <c r="C846" s="79" t="s">
        <v>232</v>
      </c>
      <c r="D846" s="79" t="s">
        <v>157</v>
      </c>
      <c r="E846" s="79" t="s">
        <v>44</v>
      </c>
      <c r="F846" s="79" t="str">
        <f>IF(E846="", "", IF(COUNTIF(ChestType!$A$5:$A$195, E846)&gt;0, VLOOKUP(E846, ChestType!$A$5:$B$195, 2, 0), "Others"))</f>
        <v>L20 Citadel</v>
      </c>
    </row>
    <row r="847" spans="1:6" x14ac:dyDescent="0.25">
      <c r="A847" s="14">
        <v>46144.619444444441</v>
      </c>
      <c r="B847" s="79" t="s">
        <v>149</v>
      </c>
      <c r="C847" s="79" t="s">
        <v>182</v>
      </c>
      <c r="D847" s="79" t="s">
        <v>212</v>
      </c>
      <c r="E847" s="79" t="s">
        <v>49</v>
      </c>
      <c r="F847" s="79" t="str">
        <f>IF(E847="", "", IF(COUNTIF(ChestType!$A$5:$A$195, E847)&gt;0, VLOOKUP(E847, ChestType!$A$5:$B$195, 2, 0), "Others"))</f>
        <v>L15 Crypt</v>
      </c>
    </row>
    <row r="848" spans="1:6" x14ac:dyDescent="0.25">
      <c r="A848" s="14">
        <v>46144.619444444441</v>
      </c>
      <c r="B848" s="79" t="s">
        <v>149</v>
      </c>
      <c r="C848" s="79" t="s">
        <v>173</v>
      </c>
      <c r="D848" s="79" t="s">
        <v>164</v>
      </c>
      <c r="E848" s="79" t="s">
        <v>52</v>
      </c>
      <c r="F848" s="79" t="str">
        <f>IF(E848="", "", IF(COUNTIF(ChestType!$A$5:$A$195, E848)&gt;0, VLOOKUP(E848, ChestType!$A$5:$B$195, 2, 0), "Others"))</f>
        <v>L5 Crypt</v>
      </c>
    </row>
    <row r="849" spans="1:6" x14ac:dyDescent="0.25">
      <c r="A849" s="14">
        <v>46144.619444444441</v>
      </c>
      <c r="B849" s="79" t="s">
        <v>149</v>
      </c>
      <c r="C849" s="79" t="s">
        <v>183</v>
      </c>
      <c r="D849" s="79" t="s">
        <v>164</v>
      </c>
      <c r="E849" s="79" t="s">
        <v>50</v>
      </c>
      <c r="F849" s="79" t="str">
        <f>IF(E849="", "", IF(COUNTIF(ChestType!$A$5:$A$195, E849)&gt;0, VLOOKUP(E849, ChestType!$A$5:$B$195, 2, 0), "Others"))</f>
        <v>L10 Crypt</v>
      </c>
    </row>
    <row r="850" spans="1:6" x14ac:dyDescent="0.25">
      <c r="A850" s="14">
        <v>46144.619444444441</v>
      </c>
      <c r="B850" s="79" t="s">
        <v>149</v>
      </c>
      <c r="C850" s="79" t="s">
        <v>184</v>
      </c>
      <c r="D850" s="79" t="s">
        <v>202</v>
      </c>
      <c r="E850" s="79" t="s">
        <v>50</v>
      </c>
      <c r="F850" s="79" t="str">
        <f>IF(E850="", "", IF(COUNTIF(ChestType!$A$5:$A$195, E850)&gt;0, VLOOKUP(E850, ChestType!$A$5:$B$195, 2, 0), "Others"))</f>
        <v>L10 Crypt</v>
      </c>
    </row>
    <row r="851" spans="1:6" x14ac:dyDescent="0.25">
      <c r="A851" s="14">
        <v>46144.619444444441</v>
      </c>
      <c r="B851" s="79" t="s">
        <v>149</v>
      </c>
      <c r="C851" s="79" t="s">
        <v>171</v>
      </c>
      <c r="D851" s="79" t="s">
        <v>212</v>
      </c>
      <c r="E851" s="79" t="s">
        <v>49</v>
      </c>
      <c r="F851" s="79" t="str">
        <f>IF(E851="", "", IF(COUNTIF(ChestType!$A$5:$A$195, E851)&gt;0, VLOOKUP(E851, ChestType!$A$5:$B$195, 2, 0), "Others"))</f>
        <v>L15 Crypt</v>
      </c>
    </row>
    <row r="852" spans="1:6" x14ac:dyDescent="0.25">
      <c r="A852" s="14">
        <v>46144.619444444441</v>
      </c>
      <c r="B852" s="79" t="s">
        <v>149</v>
      </c>
      <c r="C852" s="79" t="s">
        <v>151</v>
      </c>
      <c r="D852" s="79" t="s">
        <v>258</v>
      </c>
      <c r="E852" s="79" t="s">
        <v>52</v>
      </c>
      <c r="F852" s="79" t="str">
        <f>IF(E852="", "", IF(COUNTIF(ChestType!$A$5:$A$195, E852)&gt;0, VLOOKUP(E852, ChestType!$A$5:$B$195, 2, 0), "Others"))</f>
        <v>L5 Crypt</v>
      </c>
    </row>
    <row r="853" spans="1:6" x14ac:dyDescent="0.25">
      <c r="A853" s="14">
        <v>46144.619444444441</v>
      </c>
      <c r="B853" s="79" t="s">
        <v>149</v>
      </c>
      <c r="C853" s="79" t="s">
        <v>171</v>
      </c>
      <c r="D853" s="79" t="s">
        <v>251</v>
      </c>
      <c r="E853" s="79" t="s">
        <v>49</v>
      </c>
      <c r="F853" s="79" t="str">
        <f>IF(E853="", "", IF(COUNTIF(ChestType!$A$5:$A$195, E853)&gt;0, VLOOKUP(E853, ChestType!$A$5:$B$195, 2, 0), "Others"))</f>
        <v>L15 Crypt</v>
      </c>
    </row>
    <row r="854" spans="1:6" x14ac:dyDescent="0.25">
      <c r="A854" s="14">
        <v>46144.619444444441</v>
      </c>
      <c r="B854" s="79" t="s">
        <v>149</v>
      </c>
      <c r="C854" s="79" t="s">
        <v>171</v>
      </c>
      <c r="D854" s="79" t="s">
        <v>164</v>
      </c>
      <c r="E854" s="79" t="s">
        <v>50</v>
      </c>
      <c r="F854" s="79" t="str">
        <f>IF(E854="", "", IF(COUNTIF(ChestType!$A$5:$A$195, E854)&gt;0, VLOOKUP(E854, ChestType!$A$5:$B$195, 2, 0), "Others"))</f>
        <v>L10 Crypt</v>
      </c>
    </row>
    <row r="855" spans="1:6" x14ac:dyDescent="0.25">
      <c r="A855" s="14">
        <v>46144.619444444441</v>
      </c>
      <c r="B855" s="79" t="s">
        <v>149</v>
      </c>
      <c r="C855" s="79" t="s">
        <v>184</v>
      </c>
      <c r="D855" s="79" t="s">
        <v>157</v>
      </c>
      <c r="E855" s="79" t="s">
        <v>64</v>
      </c>
      <c r="F855" s="79" t="str">
        <f>IF(E855="", "", IF(COUNTIF(ChestType!$A$5:$A$195, E855)&gt;0, VLOOKUP(E855, ChestType!$A$5:$B$195, 2, 0), "Others"))</f>
        <v>L15 Epic Crypt</v>
      </c>
    </row>
    <row r="856" spans="1:6" x14ac:dyDescent="0.25">
      <c r="A856" s="14">
        <v>46144.619444444441</v>
      </c>
      <c r="B856" s="79" t="s">
        <v>149</v>
      </c>
      <c r="C856" s="79" t="s">
        <v>187</v>
      </c>
      <c r="D856" s="79" t="s">
        <v>201</v>
      </c>
      <c r="E856" s="79" t="s">
        <v>75</v>
      </c>
      <c r="F856" s="79" t="str">
        <f>IF(E856="", "", IF(COUNTIF(ChestType!$A$5:$A$195, E856)&gt;0, VLOOKUP(E856, ChestType!$A$5:$B$195, 2, 0), "Others"))</f>
        <v>L10 Rare Crypt</v>
      </c>
    </row>
    <row r="857" spans="1:6" x14ac:dyDescent="0.25">
      <c r="A857" s="14">
        <v>46144.619444444441</v>
      </c>
      <c r="B857" s="79" t="s">
        <v>149</v>
      </c>
      <c r="C857" s="79" t="s">
        <v>175</v>
      </c>
      <c r="D857" s="79" t="s">
        <v>212</v>
      </c>
      <c r="E857" s="79" t="s">
        <v>49</v>
      </c>
      <c r="F857" s="79" t="str">
        <f>IF(E857="", "", IF(COUNTIF(ChestType!$A$5:$A$195, E857)&gt;0, VLOOKUP(E857, ChestType!$A$5:$B$195, 2, 0), "Others"))</f>
        <v>L15 Crypt</v>
      </c>
    </row>
    <row r="858" spans="1:6" x14ac:dyDescent="0.25">
      <c r="A858" s="14">
        <v>46144.619444444441</v>
      </c>
      <c r="B858" s="79" t="s">
        <v>149</v>
      </c>
      <c r="C858" s="79" t="s">
        <v>188</v>
      </c>
      <c r="D858" s="79" t="s">
        <v>179</v>
      </c>
      <c r="E858" s="79" t="s">
        <v>45</v>
      </c>
      <c r="F858" s="79" t="str">
        <f>IF(E858="", "", IF(COUNTIF(ChestType!$A$5:$A$195, E858)&gt;0, VLOOKUP(E858, ChestType!$A$5:$B$195, 2, 0), "Others"))</f>
        <v>Others</v>
      </c>
    </row>
    <row r="859" spans="1:6" x14ac:dyDescent="0.25">
      <c r="A859" s="14">
        <v>46144.619444444441</v>
      </c>
      <c r="B859" s="79" t="s">
        <v>149</v>
      </c>
      <c r="C859" s="79" t="s">
        <v>189</v>
      </c>
      <c r="D859" s="79" t="s">
        <v>179</v>
      </c>
      <c r="E859" s="79" t="s">
        <v>45</v>
      </c>
      <c r="F859" s="79" t="str">
        <f>IF(E859="", "", IF(COUNTIF(ChestType!$A$5:$A$195, E859)&gt;0, VLOOKUP(E859, ChestType!$A$5:$B$195, 2, 0), "Others"))</f>
        <v>Others</v>
      </c>
    </row>
    <row r="860" spans="1:6" x14ac:dyDescent="0.25">
      <c r="A860" s="14">
        <v>46144.619444444441</v>
      </c>
      <c r="B860" s="79" t="s">
        <v>149</v>
      </c>
      <c r="C860" s="79" t="s">
        <v>239</v>
      </c>
      <c r="D860" s="79" t="s">
        <v>179</v>
      </c>
      <c r="E860" s="79" t="s">
        <v>45</v>
      </c>
      <c r="F860" s="79" t="str">
        <f>IF(E860="", "", IF(COUNTIF(ChestType!$A$5:$A$195, E860)&gt;0, VLOOKUP(E860, ChestType!$A$5:$B$195, 2, 0), "Others"))</f>
        <v>Others</v>
      </c>
    </row>
    <row r="861" spans="1:6" x14ac:dyDescent="0.25">
      <c r="A861" s="14">
        <v>46144.619444444441</v>
      </c>
      <c r="B861" s="79" t="s">
        <v>149</v>
      </c>
      <c r="C861" s="79" t="s">
        <v>184</v>
      </c>
      <c r="D861" s="79" t="s">
        <v>201</v>
      </c>
      <c r="E861" s="79" t="s">
        <v>49</v>
      </c>
      <c r="F861" s="79" t="str">
        <f>IF(E861="", "", IF(COUNTIF(ChestType!$A$5:$A$195, E861)&gt;0, VLOOKUP(E861, ChestType!$A$5:$B$195, 2, 0), "Others"))</f>
        <v>L15 Crypt</v>
      </c>
    </row>
    <row r="862" spans="1:6" x14ac:dyDescent="0.25">
      <c r="A862" s="14">
        <v>46144.619444444441</v>
      </c>
      <c r="B862" s="79" t="s">
        <v>149</v>
      </c>
      <c r="C862" s="79" t="s">
        <v>158</v>
      </c>
      <c r="D862" s="79" t="s">
        <v>201</v>
      </c>
      <c r="E862" s="79" t="s">
        <v>49</v>
      </c>
      <c r="F862" s="79" t="str">
        <f>IF(E862="", "", IF(COUNTIF(ChestType!$A$5:$A$195, E862)&gt;0, VLOOKUP(E862, ChestType!$A$5:$B$195, 2, 0), "Others"))</f>
        <v>L15 Crypt</v>
      </c>
    </row>
    <row r="863" spans="1:6" x14ac:dyDescent="0.25">
      <c r="A863" s="14">
        <v>46144.619444444441</v>
      </c>
      <c r="B863" s="79" t="s">
        <v>149</v>
      </c>
      <c r="C863" s="79" t="s">
        <v>158</v>
      </c>
      <c r="D863" s="79" t="s">
        <v>240</v>
      </c>
      <c r="E863" s="79" t="s">
        <v>50</v>
      </c>
      <c r="F863" s="79" t="str">
        <f>IF(E863="", "", IF(COUNTIF(ChestType!$A$5:$A$195, E863)&gt;0, VLOOKUP(E863, ChestType!$A$5:$B$195, 2, 0), "Others"))</f>
        <v>L10 Crypt</v>
      </c>
    </row>
    <row r="864" spans="1:6" x14ac:dyDescent="0.25">
      <c r="A864" s="14">
        <v>46144.619444444441</v>
      </c>
      <c r="B864" s="79" t="s">
        <v>149</v>
      </c>
      <c r="C864" s="79" t="s">
        <v>175</v>
      </c>
      <c r="D864" s="79" t="s">
        <v>179</v>
      </c>
      <c r="E864" s="79" t="s">
        <v>50</v>
      </c>
      <c r="F864" s="79" t="str">
        <f>IF(E864="", "", IF(COUNTIF(ChestType!$A$5:$A$195, E864)&gt;0, VLOOKUP(E864, ChestType!$A$5:$B$195, 2, 0), "Others"))</f>
        <v>L10 Crypt</v>
      </c>
    </row>
    <row r="865" spans="1:6" x14ac:dyDescent="0.25">
      <c r="A865" s="14">
        <v>46144.619444444441</v>
      </c>
      <c r="B865" s="79" t="s">
        <v>149</v>
      </c>
      <c r="C865" s="79" t="s">
        <v>183</v>
      </c>
      <c r="D865" s="79" t="s">
        <v>212</v>
      </c>
      <c r="E865" s="79" t="s">
        <v>49</v>
      </c>
      <c r="F865" s="79" t="str">
        <f>IF(E865="", "", IF(COUNTIF(ChestType!$A$5:$A$195, E865)&gt;0, VLOOKUP(E865, ChestType!$A$5:$B$195, 2, 0), "Others"))</f>
        <v>L15 Crypt</v>
      </c>
    </row>
    <row r="866" spans="1:6" x14ac:dyDescent="0.25">
      <c r="A866" s="14">
        <v>46144.619444444441</v>
      </c>
      <c r="B866" s="79" t="s">
        <v>149</v>
      </c>
      <c r="C866" s="79" t="s">
        <v>177</v>
      </c>
      <c r="D866" s="79" t="s">
        <v>240</v>
      </c>
      <c r="E866" s="79" t="s">
        <v>50</v>
      </c>
      <c r="F866" s="79" t="str">
        <f>IF(E866="", "", IF(COUNTIF(ChestType!$A$5:$A$195, E866)&gt;0, VLOOKUP(E866, ChestType!$A$5:$B$195, 2, 0), "Others"))</f>
        <v>L10 Crypt</v>
      </c>
    </row>
    <row r="867" spans="1:6" x14ac:dyDescent="0.25">
      <c r="A867" s="14">
        <v>46144.619444444441</v>
      </c>
      <c r="B867" s="79" t="s">
        <v>149</v>
      </c>
      <c r="C867" s="79" t="s">
        <v>207</v>
      </c>
      <c r="D867" s="79" t="s">
        <v>201</v>
      </c>
      <c r="E867" s="79" t="s">
        <v>66</v>
      </c>
      <c r="F867" s="79" t="str">
        <f>IF(E867="", "", IF(COUNTIF(ChestType!$A$5:$A$195, E867)&gt;0, VLOOKUP(E867, ChestType!$A$5:$B$195, 2, 0), "Others"))</f>
        <v>Ancients Chests</v>
      </c>
    </row>
    <row r="868" spans="1:6" x14ac:dyDescent="0.25">
      <c r="A868" s="14">
        <v>46144.619444444441</v>
      </c>
      <c r="B868" s="79" t="s">
        <v>149</v>
      </c>
      <c r="C868" s="79" t="s">
        <v>207</v>
      </c>
      <c r="D868" s="79" t="s">
        <v>201</v>
      </c>
      <c r="E868" s="79" t="s">
        <v>66</v>
      </c>
      <c r="F868" s="79" t="str">
        <f>IF(E868="", "", IF(COUNTIF(ChestType!$A$5:$A$195, E868)&gt;0, VLOOKUP(E868, ChestType!$A$5:$B$195, 2, 0), "Others"))</f>
        <v>Ancients Chests</v>
      </c>
    </row>
    <row r="869" spans="1:6" x14ac:dyDescent="0.25">
      <c r="A869" s="14">
        <v>46144.619444444441</v>
      </c>
      <c r="B869" s="79" t="s">
        <v>149</v>
      </c>
      <c r="C869" s="79" t="s">
        <v>207</v>
      </c>
      <c r="D869" s="79" t="s">
        <v>201</v>
      </c>
      <c r="E869" s="79" t="s">
        <v>66</v>
      </c>
      <c r="F869" s="79" t="str">
        <f>IF(E869="", "", IF(COUNTIF(ChestType!$A$5:$A$195, E869)&gt;0, VLOOKUP(E869, ChestType!$A$5:$B$195, 2, 0), "Others"))</f>
        <v>Ancients Chests</v>
      </c>
    </row>
    <row r="870" spans="1:6" x14ac:dyDescent="0.25">
      <c r="A870" s="14">
        <v>46144.619444444441</v>
      </c>
      <c r="B870" s="79" t="s">
        <v>149</v>
      </c>
      <c r="C870" s="79" t="s">
        <v>207</v>
      </c>
      <c r="D870" s="79" t="s">
        <v>201</v>
      </c>
      <c r="E870" s="79" t="s">
        <v>66</v>
      </c>
      <c r="F870" s="79" t="str">
        <f>IF(E870="", "", IF(COUNTIF(ChestType!$A$5:$A$195, E870)&gt;0, VLOOKUP(E870, ChestType!$A$5:$B$195, 2, 0), "Others"))</f>
        <v>Ancients Chests</v>
      </c>
    </row>
    <row r="871" spans="1:6" x14ac:dyDescent="0.25">
      <c r="A871" s="14">
        <v>46144.619444444441</v>
      </c>
      <c r="B871" s="79" t="s">
        <v>149</v>
      </c>
      <c r="C871" s="79" t="s">
        <v>207</v>
      </c>
      <c r="D871" s="79" t="s">
        <v>204</v>
      </c>
      <c r="E871" s="79" t="s">
        <v>66</v>
      </c>
      <c r="F871" s="79" t="str">
        <f>IF(E871="", "", IF(COUNTIF(ChestType!$A$5:$A$195, E871)&gt;0, VLOOKUP(E871, ChestType!$A$5:$B$195, 2, 0), "Others"))</f>
        <v>Ancients Chests</v>
      </c>
    </row>
    <row r="872" spans="1:6" x14ac:dyDescent="0.25">
      <c r="A872" s="14">
        <v>46144.619444444441</v>
      </c>
      <c r="B872" s="79" t="s">
        <v>149</v>
      </c>
      <c r="C872" s="79" t="s">
        <v>207</v>
      </c>
      <c r="D872" s="79" t="s">
        <v>204</v>
      </c>
      <c r="E872" s="79" t="s">
        <v>66</v>
      </c>
      <c r="F872" s="79" t="str">
        <f>IF(E872="", "", IF(COUNTIF(ChestType!$A$5:$A$195, E872)&gt;0, VLOOKUP(E872, ChestType!$A$5:$B$195, 2, 0), "Others"))</f>
        <v>Ancients Chests</v>
      </c>
    </row>
    <row r="873" spans="1:6" x14ac:dyDescent="0.25">
      <c r="A873" s="14">
        <v>46144.619444444441</v>
      </c>
      <c r="B873" s="79" t="s">
        <v>149</v>
      </c>
      <c r="C873" s="79" t="s">
        <v>207</v>
      </c>
      <c r="D873" s="79" t="s">
        <v>204</v>
      </c>
      <c r="E873" s="79" t="s">
        <v>66</v>
      </c>
      <c r="F873" s="79" t="str">
        <f>IF(E873="", "", IF(COUNTIF(ChestType!$A$5:$A$195, E873)&gt;0, VLOOKUP(E873, ChestType!$A$5:$B$195, 2, 0), "Others"))</f>
        <v>Ancients Chests</v>
      </c>
    </row>
    <row r="874" spans="1:6" x14ac:dyDescent="0.25">
      <c r="A874" s="14">
        <v>46144.619444444441</v>
      </c>
      <c r="B874" s="79" t="s">
        <v>149</v>
      </c>
      <c r="C874" s="79" t="s">
        <v>207</v>
      </c>
      <c r="D874" s="79" t="s">
        <v>204</v>
      </c>
      <c r="E874" s="79" t="s">
        <v>66</v>
      </c>
      <c r="F874" s="79" t="str">
        <f>IF(E874="", "", IF(COUNTIF(ChestType!$A$5:$A$195, E874)&gt;0, VLOOKUP(E874, ChestType!$A$5:$B$195, 2, 0), "Others"))</f>
        <v>Ancients Chests</v>
      </c>
    </row>
    <row r="875" spans="1:6" x14ac:dyDescent="0.25">
      <c r="A875" s="14">
        <v>46144.619444444441</v>
      </c>
      <c r="B875" s="79" t="s">
        <v>149</v>
      </c>
      <c r="C875" s="79" t="s">
        <v>208</v>
      </c>
      <c r="D875" s="79" t="s">
        <v>204</v>
      </c>
      <c r="E875" s="79" t="s">
        <v>66</v>
      </c>
      <c r="F875" s="79" t="str">
        <f>IF(E875="", "", IF(COUNTIF(ChestType!$A$5:$A$195, E875)&gt;0, VLOOKUP(E875, ChestType!$A$5:$B$195, 2, 0), "Others"))</f>
        <v>Ancients Chests</v>
      </c>
    </row>
    <row r="876" spans="1:6" x14ac:dyDescent="0.25">
      <c r="A876" s="14">
        <v>46144.619444444441</v>
      </c>
      <c r="B876" s="79" t="s">
        <v>149</v>
      </c>
      <c r="C876" s="79" t="s">
        <v>207</v>
      </c>
      <c r="D876" s="79" t="s">
        <v>191</v>
      </c>
      <c r="E876" s="79" t="s">
        <v>66</v>
      </c>
      <c r="F876" s="79" t="str">
        <f>IF(E876="", "", IF(COUNTIF(ChestType!$A$5:$A$195, E876)&gt;0, VLOOKUP(E876, ChestType!$A$5:$B$195, 2, 0), "Others"))</f>
        <v>Ancients Chests</v>
      </c>
    </row>
    <row r="877" spans="1:6" x14ac:dyDescent="0.25">
      <c r="A877" s="14">
        <v>46144.619444444441</v>
      </c>
      <c r="B877" s="79" t="s">
        <v>149</v>
      </c>
      <c r="C877" s="79" t="s">
        <v>207</v>
      </c>
      <c r="D877" s="79" t="s">
        <v>191</v>
      </c>
      <c r="E877" s="79" t="s">
        <v>66</v>
      </c>
      <c r="F877" s="79" t="str">
        <f>IF(E877="", "", IF(COUNTIF(ChestType!$A$5:$A$195, E877)&gt;0, VLOOKUP(E877, ChestType!$A$5:$B$195, 2, 0), "Others"))</f>
        <v>Ancients Chests</v>
      </c>
    </row>
    <row r="878" spans="1:6" x14ac:dyDescent="0.25">
      <c r="A878" s="14">
        <v>46144.619444444441</v>
      </c>
      <c r="B878" s="79" t="s">
        <v>149</v>
      </c>
      <c r="C878" s="79" t="s">
        <v>207</v>
      </c>
      <c r="D878" s="79" t="s">
        <v>191</v>
      </c>
      <c r="E878" s="79" t="s">
        <v>66</v>
      </c>
      <c r="F878" s="79" t="str">
        <f>IF(E878="", "", IF(COUNTIF(ChestType!$A$5:$A$195, E878)&gt;0, VLOOKUP(E878, ChestType!$A$5:$B$195, 2, 0), "Others"))</f>
        <v>Ancients Chests</v>
      </c>
    </row>
    <row r="879" spans="1:6" x14ac:dyDescent="0.25">
      <c r="A879" s="14">
        <v>46144.619444444441</v>
      </c>
      <c r="B879" s="79" t="s">
        <v>149</v>
      </c>
      <c r="C879" s="79" t="s">
        <v>207</v>
      </c>
      <c r="D879" s="79" t="s">
        <v>191</v>
      </c>
      <c r="E879" s="79" t="s">
        <v>66</v>
      </c>
      <c r="F879" s="79" t="str">
        <f>IF(E879="", "", IF(COUNTIF(ChestType!$A$5:$A$195, E879)&gt;0, VLOOKUP(E879, ChestType!$A$5:$B$195, 2, 0), "Others"))</f>
        <v>Ancients Chests</v>
      </c>
    </row>
    <row r="880" spans="1:6" x14ac:dyDescent="0.25">
      <c r="A880" s="14">
        <v>46144.619444444441</v>
      </c>
      <c r="B880" s="79" t="s">
        <v>149</v>
      </c>
      <c r="C880" s="79" t="s">
        <v>207</v>
      </c>
      <c r="D880" s="79" t="s">
        <v>204</v>
      </c>
      <c r="E880" s="79" t="s">
        <v>66</v>
      </c>
      <c r="F880" s="79" t="str">
        <f>IF(E880="", "", IF(COUNTIF(ChestType!$A$5:$A$195, E880)&gt;0, VLOOKUP(E880, ChestType!$A$5:$B$195, 2, 0), "Others"))</f>
        <v>Ancients Chests</v>
      </c>
    </row>
    <row r="881" spans="1:6" x14ac:dyDescent="0.25">
      <c r="A881" s="14">
        <v>46144.619444444441</v>
      </c>
      <c r="B881" s="79" t="s">
        <v>149</v>
      </c>
      <c r="C881" s="79" t="s">
        <v>207</v>
      </c>
      <c r="D881" s="79" t="s">
        <v>204</v>
      </c>
      <c r="E881" s="79" t="s">
        <v>66</v>
      </c>
      <c r="F881" s="79" t="str">
        <f>IF(E881="", "", IF(COUNTIF(ChestType!$A$5:$A$195, E881)&gt;0, VLOOKUP(E881, ChestType!$A$5:$B$195, 2, 0), "Others"))</f>
        <v>Ancients Chests</v>
      </c>
    </row>
    <row r="882" spans="1:6" x14ac:dyDescent="0.25">
      <c r="A882" s="14">
        <v>46144.619444444441</v>
      </c>
      <c r="B882" s="79" t="s">
        <v>149</v>
      </c>
      <c r="C882" s="79" t="s">
        <v>207</v>
      </c>
      <c r="D882" s="79" t="s">
        <v>204</v>
      </c>
      <c r="E882" s="79" t="s">
        <v>66</v>
      </c>
      <c r="F882" s="79" t="str">
        <f>IF(E882="", "", IF(COUNTIF(ChestType!$A$5:$A$195, E882)&gt;0, VLOOKUP(E882, ChestType!$A$5:$B$195, 2, 0), "Others"))</f>
        <v>Ancients Chests</v>
      </c>
    </row>
    <row r="883" spans="1:6" x14ac:dyDescent="0.25">
      <c r="A883" s="14">
        <v>46144.619444444441</v>
      </c>
      <c r="B883" s="79" t="s">
        <v>149</v>
      </c>
      <c r="C883" s="79" t="s">
        <v>207</v>
      </c>
      <c r="D883" s="79" t="s">
        <v>204</v>
      </c>
      <c r="E883" s="79" t="s">
        <v>66</v>
      </c>
      <c r="F883" s="79" t="str">
        <f>IF(E883="", "", IF(COUNTIF(ChestType!$A$5:$A$195, E883)&gt;0, VLOOKUP(E883, ChestType!$A$5:$B$195, 2, 0), "Others"))</f>
        <v>Ancients Chests</v>
      </c>
    </row>
    <row r="884" spans="1:6" x14ac:dyDescent="0.25">
      <c r="A884" s="14">
        <v>46144.619444444441</v>
      </c>
      <c r="B884" s="79" t="s">
        <v>149</v>
      </c>
      <c r="C884" s="79" t="s">
        <v>207</v>
      </c>
      <c r="D884" s="79" t="s">
        <v>204</v>
      </c>
      <c r="E884" s="79" t="s">
        <v>66</v>
      </c>
      <c r="F884" s="79" t="str">
        <f>IF(E884="", "", IF(COUNTIF(ChestType!$A$5:$A$195, E884)&gt;0, VLOOKUP(E884, ChestType!$A$5:$B$195, 2, 0), "Others"))</f>
        <v>Ancients Chests</v>
      </c>
    </row>
    <row r="885" spans="1:6" x14ac:dyDescent="0.25">
      <c r="A885" s="14">
        <v>46144.619444444441</v>
      </c>
      <c r="B885" s="79" t="s">
        <v>149</v>
      </c>
      <c r="C885" s="79" t="s">
        <v>207</v>
      </c>
      <c r="D885" s="79" t="s">
        <v>204</v>
      </c>
      <c r="E885" s="79" t="s">
        <v>66</v>
      </c>
      <c r="F885" s="79" t="str">
        <f>IF(E885="", "", IF(COUNTIF(ChestType!$A$5:$A$195, E885)&gt;0, VLOOKUP(E885, ChestType!$A$5:$B$195, 2, 0), "Others"))</f>
        <v>Ancients Chests</v>
      </c>
    </row>
    <row r="886" spans="1:6" x14ac:dyDescent="0.25">
      <c r="A886" s="14">
        <v>46144.619444444441</v>
      </c>
      <c r="B886" s="79" t="s">
        <v>149</v>
      </c>
      <c r="C886" s="79" t="s">
        <v>207</v>
      </c>
      <c r="D886" s="79" t="s">
        <v>204</v>
      </c>
      <c r="E886" s="79" t="s">
        <v>66</v>
      </c>
      <c r="F886" s="79" t="str">
        <f>IF(E886="", "", IF(COUNTIF(ChestType!$A$5:$A$195, E886)&gt;0, VLOOKUP(E886, ChestType!$A$5:$B$195, 2, 0), "Others"))</f>
        <v>Ancients Chests</v>
      </c>
    </row>
    <row r="887" spans="1:6" x14ac:dyDescent="0.25">
      <c r="A887" s="14">
        <v>46144.619444444441</v>
      </c>
      <c r="B887" s="79" t="s">
        <v>149</v>
      </c>
      <c r="C887" s="79" t="s">
        <v>207</v>
      </c>
      <c r="D887" s="79" t="s">
        <v>204</v>
      </c>
      <c r="E887" s="79" t="s">
        <v>66</v>
      </c>
      <c r="F887" s="79" t="str">
        <f>IF(E887="", "", IF(COUNTIF(ChestType!$A$5:$A$195, E887)&gt;0, VLOOKUP(E887, ChestType!$A$5:$B$195, 2, 0), "Others"))</f>
        <v>Ancients Chests</v>
      </c>
    </row>
    <row r="888" spans="1:6" x14ac:dyDescent="0.25">
      <c r="A888" s="14">
        <v>46144.619444444441</v>
      </c>
      <c r="B888" s="79" t="s">
        <v>149</v>
      </c>
      <c r="C888" s="79" t="s">
        <v>208</v>
      </c>
      <c r="D888" s="79" t="s">
        <v>201</v>
      </c>
      <c r="E888" s="79" t="s">
        <v>66</v>
      </c>
      <c r="F888" s="79" t="str">
        <f>IF(E888="", "", IF(COUNTIF(ChestType!$A$5:$A$195, E888)&gt;0, VLOOKUP(E888, ChestType!$A$5:$B$195, 2, 0), "Others"))</f>
        <v>Ancients Chests</v>
      </c>
    </row>
    <row r="889" spans="1:6" x14ac:dyDescent="0.25">
      <c r="A889" s="14">
        <v>46144.619444444441</v>
      </c>
      <c r="B889" s="79" t="s">
        <v>149</v>
      </c>
      <c r="C889" s="79" t="s">
        <v>207</v>
      </c>
      <c r="D889" s="79" t="s">
        <v>150</v>
      </c>
      <c r="E889" s="79" t="s">
        <v>66</v>
      </c>
      <c r="F889" s="79" t="str">
        <f>IF(E889="", "", IF(COUNTIF(ChestType!$A$5:$A$195, E889)&gt;0, VLOOKUP(E889, ChestType!$A$5:$B$195, 2, 0), "Others"))</f>
        <v>Ancients Chests</v>
      </c>
    </row>
    <row r="890" spans="1:6" x14ac:dyDescent="0.25">
      <c r="A890" s="14">
        <v>46144.619444444441</v>
      </c>
      <c r="B890" s="79" t="s">
        <v>149</v>
      </c>
      <c r="C890" s="79" t="s">
        <v>207</v>
      </c>
      <c r="D890" s="79" t="s">
        <v>150</v>
      </c>
      <c r="E890" s="79" t="s">
        <v>66</v>
      </c>
      <c r="F890" s="79" t="str">
        <f>IF(E890="", "", IF(COUNTIF(ChestType!$A$5:$A$195, E890)&gt;0, VLOOKUP(E890, ChestType!$A$5:$B$195, 2, 0), "Others"))</f>
        <v>Ancients Chests</v>
      </c>
    </row>
    <row r="891" spans="1:6" x14ac:dyDescent="0.25">
      <c r="A891" s="14">
        <v>46144.619444444441</v>
      </c>
      <c r="B891" s="79" t="s">
        <v>149</v>
      </c>
      <c r="C891" s="79" t="s">
        <v>207</v>
      </c>
      <c r="D891" s="79" t="s">
        <v>150</v>
      </c>
      <c r="E891" s="79" t="s">
        <v>66</v>
      </c>
      <c r="F891" s="79" t="str">
        <f>IF(E891="", "", IF(COUNTIF(ChestType!$A$5:$A$195, E891)&gt;0, VLOOKUP(E891, ChestType!$A$5:$B$195, 2, 0), "Others"))</f>
        <v>Ancients Chests</v>
      </c>
    </row>
    <row r="892" spans="1:6" x14ac:dyDescent="0.25">
      <c r="A892" s="14">
        <v>46144.619444444441</v>
      </c>
      <c r="B892" s="79" t="s">
        <v>149</v>
      </c>
      <c r="C892" s="79" t="s">
        <v>207</v>
      </c>
      <c r="D892" s="79" t="s">
        <v>150</v>
      </c>
      <c r="E892" s="79" t="s">
        <v>66</v>
      </c>
      <c r="F892" s="79" t="str">
        <f>IF(E892="", "", IF(COUNTIF(ChestType!$A$5:$A$195, E892)&gt;0, VLOOKUP(E892, ChestType!$A$5:$B$195, 2, 0), "Others"))</f>
        <v>Ancients Chests</v>
      </c>
    </row>
    <row r="893" spans="1:6" x14ac:dyDescent="0.25">
      <c r="A893" s="14">
        <v>46144.619444444441</v>
      </c>
      <c r="B893" s="79" t="s">
        <v>149</v>
      </c>
      <c r="C893" s="79" t="s">
        <v>207</v>
      </c>
      <c r="D893" s="79" t="s">
        <v>156</v>
      </c>
      <c r="E893" s="79" t="s">
        <v>66</v>
      </c>
      <c r="F893" s="79" t="str">
        <f>IF(E893="", "", IF(COUNTIF(ChestType!$A$5:$A$195, E893)&gt;0, VLOOKUP(E893, ChestType!$A$5:$B$195, 2, 0), "Others"))</f>
        <v>Ancients Chests</v>
      </c>
    </row>
    <row r="894" spans="1:6" x14ac:dyDescent="0.25">
      <c r="A894" s="14">
        <v>46144.619444444441</v>
      </c>
      <c r="B894" s="79" t="s">
        <v>149</v>
      </c>
      <c r="C894" s="79" t="s">
        <v>207</v>
      </c>
      <c r="D894" s="79" t="s">
        <v>156</v>
      </c>
      <c r="E894" s="79" t="s">
        <v>66</v>
      </c>
      <c r="F894" s="79" t="str">
        <f>IF(E894="", "", IF(COUNTIF(ChestType!$A$5:$A$195, E894)&gt;0, VLOOKUP(E894, ChestType!$A$5:$B$195, 2, 0), "Others"))</f>
        <v>Ancients Chests</v>
      </c>
    </row>
    <row r="895" spans="1:6" x14ac:dyDescent="0.25">
      <c r="A895" s="14">
        <v>46144.619444444441</v>
      </c>
      <c r="B895" s="79" t="s">
        <v>149</v>
      </c>
      <c r="C895" s="79" t="s">
        <v>207</v>
      </c>
      <c r="D895" s="79" t="s">
        <v>156</v>
      </c>
      <c r="E895" s="79" t="s">
        <v>66</v>
      </c>
      <c r="F895" s="79" t="str">
        <f>IF(E895="", "", IF(COUNTIF(ChestType!$A$5:$A$195, E895)&gt;0, VLOOKUP(E895, ChestType!$A$5:$B$195, 2, 0), "Others"))</f>
        <v>Ancients Chests</v>
      </c>
    </row>
    <row r="896" spans="1:6" x14ac:dyDescent="0.25">
      <c r="A896" s="14">
        <v>46144.619444444441</v>
      </c>
      <c r="B896" s="79" t="s">
        <v>149</v>
      </c>
      <c r="C896" s="79" t="s">
        <v>207</v>
      </c>
      <c r="D896" s="79" t="s">
        <v>156</v>
      </c>
      <c r="E896" s="79" t="s">
        <v>66</v>
      </c>
      <c r="F896" s="79" t="str">
        <f>IF(E896="", "", IF(COUNTIF(ChestType!$A$5:$A$195, E896)&gt;0, VLOOKUP(E896, ChestType!$A$5:$B$195, 2, 0), "Others"))</f>
        <v>Ancients Chests</v>
      </c>
    </row>
    <row r="897" spans="1:6" x14ac:dyDescent="0.25">
      <c r="A897" s="14">
        <v>46144.619444444441</v>
      </c>
      <c r="B897" s="79" t="s">
        <v>149</v>
      </c>
      <c r="C897" s="79" t="s">
        <v>208</v>
      </c>
      <c r="D897" s="79" t="s">
        <v>156</v>
      </c>
      <c r="E897" s="79" t="s">
        <v>66</v>
      </c>
      <c r="F897" s="79" t="str">
        <f>IF(E897="", "", IF(COUNTIF(ChestType!$A$5:$A$195, E897)&gt;0, VLOOKUP(E897, ChestType!$A$5:$B$195, 2, 0), "Others"))</f>
        <v>Ancients Chests</v>
      </c>
    </row>
    <row r="898" spans="1:6" x14ac:dyDescent="0.25">
      <c r="A898" s="14">
        <v>46144.619444444441</v>
      </c>
      <c r="B898" s="79" t="s">
        <v>149</v>
      </c>
      <c r="C898" s="79" t="s">
        <v>207</v>
      </c>
      <c r="D898" s="79" t="s">
        <v>244</v>
      </c>
      <c r="E898" s="79" t="s">
        <v>66</v>
      </c>
      <c r="F898" s="79" t="str">
        <f>IF(E898="", "", IF(COUNTIF(ChestType!$A$5:$A$195, E898)&gt;0, VLOOKUP(E898, ChestType!$A$5:$B$195, 2, 0), "Others"))</f>
        <v>Ancients Chests</v>
      </c>
    </row>
    <row r="899" spans="1:6" x14ac:dyDescent="0.25">
      <c r="A899" s="14">
        <v>46144.619444444441</v>
      </c>
      <c r="B899" s="79" t="s">
        <v>149</v>
      </c>
      <c r="C899" s="79" t="s">
        <v>207</v>
      </c>
      <c r="D899" s="79" t="s">
        <v>244</v>
      </c>
      <c r="E899" s="79" t="s">
        <v>66</v>
      </c>
      <c r="F899" s="79" t="str">
        <f>IF(E899="", "", IF(COUNTIF(ChestType!$A$5:$A$195, E899)&gt;0, VLOOKUP(E899, ChestType!$A$5:$B$195, 2, 0), "Others"))</f>
        <v>Ancients Chests</v>
      </c>
    </row>
    <row r="900" spans="1:6" x14ac:dyDescent="0.25">
      <c r="A900" s="14">
        <v>46144.619444444441</v>
      </c>
      <c r="B900" s="79" t="s">
        <v>149</v>
      </c>
      <c r="C900" s="79" t="s">
        <v>207</v>
      </c>
      <c r="D900" s="79" t="s">
        <v>244</v>
      </c>
      <c r="E900" s="79" t="s">
        <v>66</v>
      </c>
      <c r="F900" s="79" t="str">
        <f>IF(E900="", "", IF(COUNTIF(ChestType!$A$5:$A$195, E900)&gt;0, VLOOKUP(E900, ChestType!$A$5:$B$195, 2, 0), "Others"))</f>
        <v>Ancients Chests</v>
      </c>
    </row>
    <row r="901" spans="1:6" x14ac:dyDescent="0.25">
      <c r="A901" s="14">
        <v>46144.619444444441</v>
      </c>
      <c r="B901" s="79" t="s">
        <v>149</v>
      </c>
      <c r="C901" s="79" t="s">
        <v>207</v>
      </c>
      <c r="D901" s="79" t="s">
        <v>244</v>
      </c>
      <c r="E901" s="79" t="s">
        <v>66</v>
      </c>
      <c r="F901" s="79" t="str">
        <f>IF(E901="", "", IF(COUNTIF(ChestType!$A$5:$A$195, E901)&gt;0, VLOOKUP(E901, ChestType!$A$5:$B$195, 2, 0), "Others"))</f>
        <v>Ancients Chests</v>
      </c>
    </row>
    <row r="902" spans="1:6" x14ac:dyDescent="0.25">
      <c r="A902" s="14">
        <v>46144.619444444441</v>
      </c>
      <c r="B902" s="79" t="s">
        <v>149</v>
      </c>
      <c r="C902" s="79" t="s">
        <v>206</v>
      </c>
      <c r="D902" s="79" t="s">
        <v>162</v>
      </c>
      <c r="E902" s="79" t="s">
        <v>67</v>
      </c>
      <c r="F902" s="79" t="str">
        <f>IF(E902="", "", IF(COUNTIF(ChestType!$A$5:$A$195, E902)&gt;0, VLOOKUP(E902, ChestType!$A$5:$B$195, 2, 0), "Others"))</f>
        <v>Ancients Chests</v>
      </c>
    </row>
    <row r="903" spans="1:6" x14ac:dyDescent="0.25">
      <c r="A903" s="14">
        <v>46144.619444444441</v>
      </c>
      <c r="B903" s="79" t="s">
        <v>149</v>
      </c>
      <c r="C903" s="79" t="s">
        <v>206</v>
      </c>
      <c r="D903" s="79" t="s">
        <v>162</v>
      </c>
      <c r="E903" s="79" t="s">
        <v>67</v>
      </c>
      <c r="F903" s="79" t="str">
        <f>IF(E903="", "", IF(COUNTIF(ChestType!$A$5:$A$195, E903)&gt;0, VLOOKUP(E903, ChestType!$A$5:$B$195, 2, 0), "Others"))</f>
        <v>Ancients Chests</v>
      </c>
    </row>
    <row r="904" spans="1:6" x14ac:dyDescent="0.25">
      <c r="A904" s="14">
        <v>46144.619444444441</v>
      </c>
      <c r="B904" s="79" t="s">
        <v>149</v>
      </c>
      <c r="C904" s="79" t="s">
        <v>206</v>
      </c>
      <c r="D904" s="79" t="s">
        <v>162</v>
      </c>
      <c r="E904" s="79" t="s">
        <v>67</v>
      </c>
      <c r="F904" s="79" t="str">
        <f>IF(E904="", "", IF(COUNTIF(ChestType!$A$5:$A$195, E904)&gt;0, VLOOKUP(E904, ChestType!$A$5:$B$195, 2, 0), "Others"))</f>
        <v>Ancients Chests</v>
      </c>
    </row>
    <row r="905" spans="1:6" x14ac:dyDescent="0.25">
      <c r="A905" s="14">
        <v>46144.619444444441</v>
      </c>
      <c r="B905" s="79" t="s">
        <v>149</v>
      </c>
      <c r="C905" s="79" t="s">
        <v>206</v>
      </c>
      <c r="D905" s="79" t="s">
        <v>162</v>
      </c>
      <c r="E905" s="79" t="s">
        <v>67</v>
      </c>
      <c r="F905" s="79" t="str">
        <f>IF(E905="", "", IF(COUNTIF(ChestType!$A$5:$A$195, E905)&gt;0, VLOOKUP(E905, ChestType!$A$5:$B$195, 2, 0), "Others"))</f>
        <v>Ancients Chests</v>
      </c>
    </row>
    <row r="906" spans="1:6" x14ac:dyDescent="0.25">
      <c r="A906" s="14">
        <v>46144.619444444441</v>
      </c>
      <c r="B906" s="79" t="s">
        <v>149</v>
      </c>
      <c r="C906" s="79" t="s">
        <v>206</v>
      </c>
      <c r="D906" s="79" t="s">
        <v>162</v>
      </c>
      <c r="E906" s="79" t="s">
        <v>67</v>
      </c>
      <c r="F906" s="79" t="str">
        <f>IF(E906="", "", IF(COUNTIF(ChestType!$A$5:$A$195, E906)&gt;0, VLOOKUP(E906, ChestType!$A$5:$B$195, 2, 0), "Others"))</f>
        <v>Ancients Chests</v>
      </c>
    </row>
    <row r="907" spans="1:6" x14ac:dyDescent="0.25">
      <c r="A907" s="14">
        <v>46144.619444444441</v>
      </c>
      <c r="B907" s="79" t="s">
        <v>149</v>
      </c>
      <c r="C907" s="79" t="s">
        <v>206</v>
      </c>
      <c r="D907" s="79" t="s">
        <v>162</v>
      </c>
      <c r="E907" s="79" t="s">
        <v>67</v>
      </c>
      <c r="F907" s="79" t="str">
        <f>IF(E907="", "", IF(COUNTIF(ChestType!$A$5:$A$195, E907)&gt;0, VLOOKUP(E907, ChestType!$A$5:$B$195, 2, 0), "Others"))</f>
        <v>Ancients Chests</v>
      </c>
    </row>
    <row r="908" spans="1:6" x14ac:dyDescent="0.25">
      <c r="A908" s="14">
        <v>46144.619444444441</v>
      </c>
      <c r="B908" s="79" t="s">
        <v>149</v>
      </c>
      <c r="C908" s="79" t="s">
        <v>206</v>
      </c>
      <c r="D908" s="79" t="s">
        <v>162</v>
      </c>
      <c r="E908" s="79" t="s">
        <v>67</v>
      </c>
      <c r="F908" s="79" t="str">
        <f>IF(E908="", "", IF(COUNTIF(ChestType!$A$5:$A$195, E908)&gt;0, VLOOKUP(E908, ChestType!$A$5:$B$195, 2, 0), "Others"))</f>
        <v>Ancients Chests</v>
      </c>
    </row>
    <row r="909" spans="1:6" x14ac:dyDescent="0.25">
      <c r="A909" s="14">
        <v>46144.619444444441</v>
      </c>
      <c r="B909" s="79" t="s">
        <v>149</v>
      </c>
      <c r="C909" s="79" t="s">
        <v>206</v>
      </c>
      <c r="D909" s="79" t="s">
        <v>162</v>
      </c>
      <c r="E909" s="79" t="s">
        <v>67</v>
      </c>
      <c r="F909" s="79" t="str">
        <f>IF(E909="", "", IF(COUNTIF(ChestType!$A$5:$A$195, E909)&gt;0, VLOOKUP(E909, ChestType!$A$5:$B$195, 2, 0), "Others"))</f>
        <v>Ancients Chests</v>
      </c>
    </row>
    <row r="910" spans="1:6" x14ac:dyDescent="0.25">
      <c r="A910" s="14">
        <v>46144.619444444441</v>
      </c>
      <c r="B910" s="79" t="s">
        <v>149</v>
      </c>
      <c r="C910" s="79" t="s">
        <v>206</v>
      </c>
      <c r="D910" s="79" t="s">
        <v>162</v>
      </c>
      <c r="E910" s="79" t="s">
        <v>67</v>
      </c>
      <c r="F910" s="79" t="str">
        <f>IF(E910="", "", IF(COUNTIF(ChestType!$A$5:$A$195, E910)&gt;0, VLOOKUP(E910, ChestType!$A$5:$B$195, 2, 0), "Others"))</f>
        <v>Ancients Chests</v>
      </c>
    </row>
    <row r="911" spans="1:6" x14ac:dyDescent="0.25">
      <c r="A911" s="14">
        <v>46144.619444444441</v>
      </c>
      <c r="B911" s="79" t="s">
        <v>149</v>
      </c>
      <c r="C911" s="79" t="s">
        <v>206</v>
      </c>
      <c r="D911" s="79" t="s">
        <v>162</v>
      </c>
      <c r="E911" s="79" t="s">
        <v>67</v>
      </c>
      <c r="F911" s="79" t="str">
        <f>IF(E911="", "", IF(COUNTIF(ChestType!$A$5:$A$195, E911)&gt;0, VLOOKUP(E911, ChestType!$A$5:$B$195, 2, 0), "Others"))</f>
        <v>Ancients Chests</v>
      </c>
    </row>
    <row r="912" spans="1:6" x14ac:dyDescent="0.25">
      <c r="A912" s="14">
        <v>46144.619444444441</v>
      </c>
      <c r="B912" s="79" t="s">
        <v>149</v>
      </c>
      <c r="C912" s="79" t="s">
        <v>206</v>
      </c>
      <c r="D912" s="79" t="s">
        <v>162</v>
      </c>
      <c r="E912" s="79" t="s">
        <v>67</v>
      </c>
      <c r="F912" s="79" t="str">
        <f>IF(E912="", "", IF(COUNTIF(ChestType!$A$5:$A$195, E912)&gt;0, VLOOKUP(E912, ChestType!$A$5:$B$195, 2, 0), "Others"))</f>
        <v>Ancients Chests</v>
      </c>
    </row>
    <row r="913" spans="1:6" x14ac:dyDescent="0.25">
      <c r="A913" s="14">
        <v>46144.619444444441</v>
      </c>
      <c r="B913" s="79" t="s">
        <v>149</v>
      </c>
      <c r="C913" s="79" t="s">
        <v>208</v>
      </c>
      <c r="D913" s="79" t="s">
        <v>191</v>
      </c>
      <c r="E913" s="79" t="s">
        <v>66</v>
      </c>
      <c r="F913" s="79" t="str">
        <f>IF(E913="", "", IF(COUNTIF(ChestType!$A$5:$A$195, E913)&gt;0, VLOOKUP(E913, ChestType!$A$5:$B$195, 2, 0), "Others"))</f>
        <v>Ancients Chests</v>
      </c>
    </row>
    <row r="914" spans="1:6" x14ac:dyDescent="0.25">
      <c r="A914" s="14">
        <v>46144.619444444441</v>
      </c>
      <c r="B914" s="79" t="s">
        <v>149</v>
      </c>
      <c r="C914" s="79" t="s">
        <v>190</v>
      </c>
      <c r="D914" s="79" t="s">
        <v>240</v>
      </c>
      <c r="E914" s="79" t="s">
        <v>50</v>
      </c>
      <c r="F914" s="79" t="str">
        <f>IF(E914="", "", IF(COUNTIF(ChestType!$A$5:$A$195, E914)&gt;0, VLOOKUP(E914, ChestType!$A$5:$B$195, 2, 0), "Others"))</f>
        <v>L10 Crypt</v>
      </c>
    </row>
    <row r="915" spans="1:6" x14ac:dyDescent="0.25">
      <c r="A915" s="14">
        <v>46144.619444444441</v>
      </c>
      <c r="B915" s="79" t="s">
        <v>149</v>
      </c>
      <c r="C915" s="79" t="s">
        <v>207</v>
      </c>
      <c r="D915" s="79" t="s">
        <v>157</v>
      </c>
      <c r="E915" s="79" t="s">
        <v>66</v>
      </c>
      <c r="F915" s="79" t="str">
        <f>IF(E915="", "", IF(COUNTIF(ChestType!$A$5:$A$195, E915)&gt;0, VLOOKUP(E915, ChestType!$A$5:$B$195, 2, 0), "Others"))</f>
        <v>Ancients Chests</v>
      </c>
    </row>
    <row r="916" spans="1:6" x14ac:dyDescent="0.25">
      <c r="A916" s="14">
        <v>46144.619444444441</v>
      </c>
      <c r="B916" s="79" t="s">
        <v>149</v>
      </c>
      <c r="C916" s="79" t="s">
        <v>207</v>
      </c>
      <c r="D916" s="79" t="s">
        <v>157</v>
      </c>
      <c r="E916" s="79" t="s">
        <v>66</v>
      </c>
      <c r="F916" s="79" t="str">
        <f>IF(E916="", "", IF(COUNTIF(ChestType!$A$5:$A$195, E916)&gt;0, VLOOKUP(E916, ChestType!$A$5:$B$195, 2, 0), "Others"))</f>
        <v>Ancients Chests</v>
      </c>
    </row>
    <row r="917" spans="1:6" x14ac:dyDescent="0.25">
      <c r="A917" s="14">
        <v>46144.619444444441</v>
      </c>
      <c r="B917" s="79" t="s">
        <v>149</v>
      </c>
      <c r="C917" s="79" t="s">
        <v>207</v>
      </c>
      <c r="D917" s="79" t="s">
        <v>157</v>
      </c>
      <c r="E917" s="79" t="s">
        <v>66</v>
      </c>
      <c r="F917" s="79" t="str">
        <f>IF(E917="", "", IF(COUNTIF(ChestType!$A$5:$A$195, E917)&gt;0, VLOOKUP(E917, ChestType!$A$5:$B$195, 2, 0), "Others"))</f>
        <v>Ancients Chests</v>
      </c>
    </row>
    <row r="918" spans="1:6" x14ac:dyDescent="0.25">
      <c r="A918" s="14">
        <v>46144.619444444441</v>
      </c>
      <c r="B918" s="79" t="s">
        <v>149</v>
      </c>
      <c r="C918" s="79" t="s">
        <v>207</v>
      </c>
      <c r="D918" s="79" t="s">
        <v>157</v>
      </c>
      <c r="E918" s="79" t="s">
        <v>66</v>
      </c>
      <c r="F918" s="79" t="str">
        <f>IF(E918="", "", IF(COUNTIF(ChestType!$A$5:$A$195, E918)&gt;0, VLOOKUP(E918, ChestType!$A$5:$B$195, 2, 0), "Others"))</f>
        <v>Ancients Chests</v>
      </c>
    </row>
    <row r="919" spans="1:6" x14ac:dyDescent="0.25">
      <c r="A919" s="14">
        <v>46144.619444444441</v>
      </c>
      <c r="B919" s="79" t="s">
        <v>149</v>
      </c>
      <c r="C919" s="79" t="s">
        <v>207</v>
      </c>
      <c r="D919" s="79" t="s">
        <v>194</v>
      </c>
      <c r="E919" s="79" t="s">
        <v>66</v>
      </c>
      <c r="F919" s="79" t="str">
        <f>IF(E919="", "", IF(COUNTIF(ChestType!$A$5:$A$195, E919)&gt;0, VLOOKUP(E919, ChestType!$A$5:$B$195, 2, 0), "Others"))</f>
        <v>Ancients Chests</v>
      </c>
    </row>
    <row r="920" spans="1:6" x14ac:dyDescent="0.25">
      <c r="A920" s="14">
        <v>46144.619444444441</v>
      </c>
      <c r="B920" s="79" t="s">
        <v>149</v>
      </c>
      <c r="C920" s="79" t="s">
        <v>207</v>
      </c>
      <c r="D920" s="79" t="s">
        <v>194</v>
      </c>
      <c r="E920" s="79" t="s">
        <v>66</v>
      </c>
      <c r="F920" s="79" t="str">
        <f>IF(E920="", "", IF(COUNTIF(ChestType!$A$5:$A$195, E920)&gt;0, VLOOKUP(E920, ChestType!$A$5:$B$195, 2, 0), "Others"))</f>
        <v>Ancients Chests</v>
      </c>
    </row>
    <row r="921" spans="1:6" x14ac:dyDescent="0.25">
      <c r="A921" s="14">
        <v>46144.619444444441</v>
      </c>
      <c r="B921" s="79" t="s">
        <v>149</v>
      </c>
      <c r="C921" s="79" t="s">
        <v>207</v>
      </c>
      <c r="D921" s="79" t="s">
        <v>194</v>
      </c>
      <c r="E921" s="79" t="s">
        <v>66</v>
      </c>
      <c r="F921" s="79" t="str">
        <f>IF(E921="", "", IF(COUNTIF(ChestType!$A$5:$A$195, E921)&gt;0, VLOOKUP(E921, ChestType!$A$5:$B$195, 2, 0), "Others"))</f>
        <v>Ancients Chests</v>
      </c>
    </row>
    <row r="922" spans="1:6" x14ac:dyDescent="0.25">
      <c r="A922" s="14">
        <v>46144.619444444441</v>
      </c>
      <c r="B922" s="79" t="s">
        <v>149</v>
      </c>
      <c r="C922" s="79" t="s">
        <v>207</v>
      </c>
      <c r="D922" s="79" t="s">
        <v>194</v>
      </c>
      <c r="E922" s="79" t="s">
        <v>66</v>
      </c>
      <c r="F922" s="79" t="str">
        <f>IF(E922="", "", IF(COUNTIF(ChestType!$A$5:$A$195, E922)&gt;0, VLOOKUP(E922, ChestType!$A$5:$B$195, 2, 0), "Others"))</f>
        <v>Ancients Chests</v>
      </c>
    </row>
    <row r="923" spans="1:6" x14ac:dyDescent="0.25">
      <c r="A923" s="14">
        <v>46144.619444444441</v>
      </c>
      <c r="B923" s="79" t="s">
        <v>149</v>
      </c>
      <c r="C923" s="79" t="s">
        <v>207</v>
      </c>
      <c r="D923" s="79" t="s">
        <v>251</v>
      </c>
      <c r="E923" s="79" t="s">
        <v>66</v>
      </c>
      <c r="F923" s="79" t="str">
        <f>IF(E923="", "", IF(COUNTIF(ChestType!$A$5:$A$195, E923)&gt;0, VLOOKUP(E923, ChestType!$A$5:$B$195, 2, 0), "Others"))</f>
        <v>Ancients Chests</v>
      </c>
    </row>
    <row r="924" spans="1:6" x14ac:dyDescent="0.25">
      <c r="A924" s="14">
        <v>46144.619444444441</v>
      </c>
      <c r="B924" s="79" t="s">
        <v>149</v>
      </c>
      <c r="C924" s="79" t="s">
        <v>207</v>
      </c>
      <c r="D924" s="79" t="s">
        <v>251</v>
      </c>
      <c r="E924" s="79" t="s">
        <v>66</v>
      </c>
      <c r="F924" s="79" t="str">
        <f>IF(E924="", "", IF(COUNTIF(ChestType!$A$5:$A$195, E924)&gt;0, VLOOKUP(E924, ChestType!$A$5:$B$195, 2, 0), "Others"))</f>
        <v>Ancients Chests</v>
      </c>
    </row>
    <row r="925" spans="1:6" x14ac:dyDescent="0.25">
      <c r="A925" s="14">
        <v>46144.619444444441</v>
      </c>
      <c r="B925" s="79" t="s">
        <v>149</v>
      </c>
      <c r="C925" s="79" t="s">
        <v>207</v>
      </c>
      <c r="D925" s="79" t="s">
        <v>251</v>
      </c>
      <c r="E925" s="79" t="s">
        <v>66</v>
      </c>
      <c r="F925" s="79" t="str">
        <f>IF(E925="", "", IF(COUNTIF(ChestType!$A$5:$A$195, E925)&gt;0, VLOOKUP(E925, ChestType!$A$5:$B$195, 2, 0), "Others"))</f>
        <v>Ancients Chests</v>
      </c>
    </row>
    <row r="926" spans="1:6" x14ac:dyDescent="0.25">
      <c r="A926" s="14">
        <v>46144.619444444441</v>
      </c>
      <c r="B926" s="79" t="s">
        <v>149</v>
      </c>
      <c r="C926" s="79" t="s">
        <v>207</v>
      </c>
      <c r="D926" s="79" t="s">
        <v>251</v>
      </c>
      <c r="E926" s="79" t="s">
        <v>66</v>
      </c>
      <c r="F926" s="79" t="str">
        <f>IF(E926="", "", IF(COUNTIF(ChestType!$A$5:$A$195, E926)&gt;0, VLOOKUP(E926, ChestType!$A$5:$B$195, 2, 0), "Others"))</f>
        <v>Ancients Chests</v>
      </c>
    </row>
    <row r="927" spans="1:6" x14ac:dyDescent="0.25">
      <c r="A927" s="14">
        <v>46144.619444444441</v>
      </c>
      <c r="B927" s="79" t="s">
        <v>149</v>
      </c>
      <c r="C927" s="79" t="s">
        <v>208</v>
      </c>
      <c r="D927" s="79" t="s">
        <v>251</v>
      </c>
      <c r="E927" s="79" t="s">
        <v>66</v>
      </c>
      <c r="F927" s="79" t="str">
        <f>IF(E927="", "", IF(COUNTIF(ChestType!$A$5:$A$195, E927)&gt;0, VLOOKUP(E927, ChestType!$A$5:$B$195, 2, 0), "Others"))</f>
        <v>Ancients Chests</v>
      </c>
    </row>
    <row r="928" spans="1:6" x14ac:dyDescent="0.25">
      <c r="A928" s="14">
        <v>46144.619444444441</v>
      </c>
      <c r="B928" s="79" t="s">
        <v>149</v>
      </c>
      <c r="C928" s="79" t="s">
        <v>207</v>
      </c>
      <c r="D928" s="79" t="s">
        <v>162</v>
      </c>
      <c r="E928" s="79" t="s">
        <v>66</v>
      </c>
      <c r="F928" s="79" t="str">
        <f>IF(E928="", "", IF(COUNTIF(ChestType!$A$5:$A$195, E928)&gt;0, VLOOKUP(E928, ChestType!$A$5:$B$195, 2, 0), "Others"))</f>
        <v>Ancients Chests</v>
      </c>
    </row>
    <row r="929" spans="1:6" x14ac:dyDescent="0.25">
      <c r="A929" s="14">
        <v>46144.619444444441</v>
      </c>
      <c r="B929" s="79" t="s">
        <v>149</v>
      </c>
      <c r="C929" s="79" t="s">
        <v>207</v>
      </c>
      <c r="D929" s="79" t="s">
        <v>162</v>
      </c>
      <c r="E929" s="79" t="s">
        <v>66</v>
      </c>
      <c r="F929" s="79" t="str">
        <f>IF(E929="", "", IF(COUNTIF(ChestType!$A$5:$A$195, E929)&gt;0, VLOOKUP(E929, ChestType!$A$5:$B$195, 2, 0), "Others"))</f>
        <v>Ancients Chests</v>
      </c>
    </row>
    <row r="930" spans="1:6" x14ac:dyDescent="0.25">
      <c r="A930" s="14">
        <v>46144.619444444441</v>
      </c>
      <c r="B930" s="79" t="s">
        <v>149</v>
      </c>
      <c r="C930" s="79" t="s">
        <v>207</v>
      </c>
      <c r="D930" s="79" t="s">
        <v>162</v>
      </c>
      <c r="E930" s="79" t="s">
        <v>66</v>
      </c>
      <c r="F930" s="79" t="str">
        <f>IF(E930="", "", IF(COUNTIF(ChestType!$A$5:$A$195, E930)&gt;0, VLOOKUP(E930, ChestType!$A$5:$B$195, 2, 0), "Others"))</f>
        <v>Ancients Chests</v>
      </c>
    </row>
    <row r="931" spans="1:6" x14ac:dyDescent="0.25">
      <c r="A931" s="14">
        <v>46144.619444444441</v>
      </c>
      <c r="B931" s="79" t="s">
        <v>149</v>
      </c>
      <c r="C931" s="79" t="s">
        <v>207</v>
      </c>
      <c r="D931" s="79" t="s">
        <v>162</v>
      </c>
      <c r="E931" s="79" t="s">
        <v>66</v>
      </c>
      <c r="F931" s="79" t="str">
        <f>IF(E931="", "", IF(COUNTIF(ChestType!$A$5:$A$195, E931)&gt;0, VLOOKUP(E931, ChestType!$A$5:$B$195, 2, 0), "Others"))</f>
        <v>Ancients Chests</v>
      </c>
    </row>
    <row r="932" spans="1:6" x14ac:dyDescent="0.25">
      <c r="A932" s="14">
        <v>46144.619444444441</v>
      </c>
      <c r="B932" s="79" t="s">
        <v>149</v>
      </c>
      <c r="C932" s="79" t="s">
        <v>208</v>
      </c>
      <c r="D932" s="79" t="s">
        <v>162</v>
      </c>
      <c r="E932" s="79" t="s">
        <v>66</v>
      </c>
      <c r="F932" s="79" t="str">
        <f>IF(E932="", "", IF(COUNTIF(ChestType!$A$5:$A$195, E932)&gt;0, VLOOKUP(E932, ChestType!$A$5:$B$195, 2, 0), "Others"))</f>
        <v>Ancients Chests</v>
      </c>
    </row>
    <row r="933" spans="1:6" x14ac:dyDescent="0.25">
      <c r="A933" s="14">
        <v>46144.619444444441</v>
      </c>
      <c r="B933" s="79" t="s">
        <v>149</v>
      </c>
      <c r="C933" s="79" t="s">
        <v>208</v>
      </c>
      <c r="D933" s="79" t="s">
        <v>168</v>
      </c>
      <c r="E933" s="79" t="s">
        <v>66</v>
      </c>
      <c r="F933" s="79" t="str">
        <f>IF(E933="", "", IF(COUNTIF(ChestType!$A$5:$A$195, E933)&gt;0, VLOOKUP(E933, ChestType!$A$5:$B$195, 2, 0), "Others"))</f>
        <v>Ancients Chests</v>
      </c>
    </row>
    <row r="934" spans="1:6" x14ac:dyDescent="0.25">
      <c r="A934" s="14">
        <v>46144.619444444441</v>
      </c>
      <c r="B934" s="79" t="s">
        <v>149</v>
      </c>
      <c r="C934" s="79" t="s">
        <v>207</v>
      </c>
      <c r="D934" s="79" t="s">
        <v>168</v>
      </c>
      <c r="E934" s="79" t="s">
        <v>66</v>
      </c>
      <c r="F934" s="79" t="str">
        <f>IF(E934="", "", IF(COUNTIF(ChestType!$A$5:$A$195, E934)&gt;0, VLOOKUP(E934, ChestType!$A$5:$B$195, 2, 0), "Others"))</f>
        <v>Ancients Chests</v>
      </c>
    </row>
    <row r="935" spans="1:6" x14ac:dyDescent="0.25">
      <c r="A935" s="14">
        <v>46144.619444444441</v>
      </c>
      <c r="B935" s="79" t="s">
        <v>149</v>
      </c>
      <c r="C935" s="79" t="s">
        <v>207</v>
      </c>
      <c r="D935" s="79" t="s">
        <v>168</v>
      </c>
      <c r="E935" s="79" t="s">
        <v>66</v>
      </c>
      <c r="F935" s="79" t="str">
        <f>IF(E935="", "", IF(COUNTIF(ChestType!$A$5:$A$195, E935)&gt;0, VLOOKUP(E935, ChestType!$A$5:$B$195, 2, 0), "Others"))</f>
        <v>Ancients Chests</v>
      </c>
    </row>
    <row r="936" spans="1:6" x14ac:dyDescent="0.25">
      <c r="A936" s="14">
        <v>46144.619444444441</v>
      </c>
      <c r="B936" s="79" t="s">
        <v>149</v>
      </c>
      <c r="C936" s="79" t="s">
        <v>207</v>
      </c>
      <c r="D936" s="79" t="s">
        <v>168</v>
      </c>
      <c r="E936" s="79" t="s">
        <v>66</v>
      </c>
      <c r="F936" s="79" t="str">
        <f>IF(E936="", "", IF(COUNTIF(ChestType!$A$5:$A$195, E936)&gt;0, VLOOKUP(E936, ChestType!$A$5:$B$195, 2, 0), "Others"))</f>
        <v>Ancients Chests</v>
      </c>
    </row>
    <row r="937" spans="1:6" x14ac:dyDescent="0.25">
      <c r="A937" s="14">
        <v>46144.619444444441</v>
      </c>
      <c r="B937" s="79" t="s">
        <v>149</v>
      </c>
      <c r="C937" s="79" t="s">
        <v>207</v>
      </c>
      <c r="D937" s="79" t="s">
        <v>168</v>
      </c>
      <c r="E937" s="79" t="s">
        <v>66</v>
      </c>
      <c r="F937" s="79" t="str">
        <f>IF(E937="", "", IF(COUNTIF(ChestType!$A$5:$A$195, E937)&gt;0, VLOOKUP(E937, ChestType!$A$5:$B$195, 2, 0), "Others"))</f>
        <v>Ancients Chests</v>
      </c>
    </row>
    <row r="938" spans="1:6" x14ac:dyDescent="0.25">
      <c r="A938" s="14">
        <v>46144.619444444441</v>
      </c>
      <c r="B938" s="79" t="s">
        <v>149</v>
      </c>
      <c r="C938" s="79" t="s">
        <v>183</v>
      </c>
      <c r="D938" s="79" t="s">
        <v>157</v>
      </c>
      <c r="E938" s="79" t="s">
        <v>49</v>
      </c>
      <c r="F938" s="79" t="str">
        <f>IF(E938="", "", IF(COUNTIF(ChestType!$A$5:$A$195, E938)&gt;0, VLOOKUP(E938, ChestType!$A$5:$B$195, 2, 0), "Others"))</f>
        <v>L15 Crypt</v>
      </c>
    </row>
    <row r="939" spans="1:6" x14ac:dyDescent="0.25">
      <c r="A939" s="14">
        <v>46144.619444444441</v>
      </c>
      <c r="B939" s="79" t="s">
        <v>149</v>
      </c>
      <c r="C939" s="79" t="s">
        <v>208</v>
      </c>
      <c r="D939" s="79" t="s">
        <v>194</v>
      </c>
      <c r="E939" s="79" t="s">
        <v>66</v>
      </c>
      <c r="F939" s="79" t="str">
        <f>IF(E939="", "", IF(COUNTIF(ChestType!$A$5:$A$195, E939)&gt;0, VLOOKUP(E939, ChestType!$A$5:$B$195, 2, 0), "Others"))</f>
        <v>Ancients Chests</v>
      </c>
    </row>
    <row r="940" spans="1:6" x14ac:dyDescent="0.25">
      <c r="A940" s="14">
        <v>46144.619444444441</v>
      </c>
      <c r="B940" s="79" t="s">
        <v>149</v>
      </c>
      <c r="C940" s="79" t="s">
        <v>208</v>
      </c>
      <c r="D940" s="79" t="s">
        <v>150</v>
      </c>
      <c r="E940" s="79" t="s">
        <v>66</v>
      </c>
      <c r="F940" s="79" t="str">
        <f>IF(E940="", "", IF(COUNTIF(ChestType!$A$5:$A$195, E940)&gt;0, VLOOKUP(E940, ChestType!$A$5:$B$195, 2, 0), "Others"))</f>
        <v>Ancients Chests</v>
      </c>
    </row>
    <row r="941" spans="1:6" x14ac:dyDescent="0.25">
      <c r="A941" s="14">
        <v>46144.619444444441</v>
      </c>
      <c r="B941" s="79" t="s">
        <v>149</v>
      </c>
      <c r="C941" s="79" t="s">
        <v>207</v>
      </c>
      <c r="D941" s="79" t="s">
        <v>167</v>
      </c>
      <c r="E941" s="79" t="s">
        <v>66</v>
      </c>
      <c r="F941" s="79" t="str">
        <f>IF(E941="", "", IF(COUNTIF(ChestType!$A$5:$A$195, E941)&gt;0, VLOOKUP(E941, ChestType!$A$5:$B$195, 2, 0), "Others"))</f>
        <v>Ancients Chests</v>
      </c>
    </row>
    <row r="942" spans="1:6" x14ac:dyDescent="0.25">
      <c r="A942" s="14">
        <v>46144.619444444441</v>
      </c>
      <c r="B942" s="79" t="s">
        <v>149</v>
      </c>
      <c r="C942" s="79" t="s">
        <v>207</v>
      </c>
      <c r="D942" s="79" t="s">
        <v>167</v>
      </c>
      <c r="E942" s="79" t="s">
        <v>66</v>
      </c>
      <c r="F942" s="79" t="str">
        <f>IF(E942="", "", IF(COUNTIF(ChestType!$A$5:$A$195, E942)&gt;0, VLOOKUP(E942, ChestType!$A$5:$B$195, 2, 0), "Others"))</f>
        <v>Ancients Chests</v>
      </c>
    </row>
    <row r="943" spans="1:6" x14ac:dyDescent="0.25">
      <c r="A943" s="14">
        <v>46144.619444444441</v>
      </c>
      <c r="B943" s="79" t="s">
        <v>149</v>
      </c>
      <c r="C943" s="79" t="s">
        <v>207</v>
      </c>
      <c r="D943" s="79" t="s">
        <v>167</v>
      </c>
      <c r="E943" s="79" t="s">
        <v>66</v>
      </c>
      <c r="F943" s="79" t="str">
        <f>IF(E943="", "", IF(COUNTIF(ChestType!$A$5:$A$195, E943)&gt;0, VLOOKUP(E943, ChestType!$A$5:$B$195, 2, 0), "Others"))</f>
        <v>Ancients Chests</v>
      </c>
    </row>
    <row r="944" spans="1:6" x14ac:dyDescent="0.25">
      <c r="A944" s="14">
        <v>46144.619444444441</v>
      </c>
      <c r="B944" s="79" t="s">
        <v>149</v>
      </c>
      <c r="C944" s="79" t="s">
        <v>207</v>
      </c>
      <c r="D944" s="79" t="s">
        <v>167</v>
      </c>
      <c r="E944" s="79" t="s">
        <v>66</v>
      </c>
      <c r="F944" s="79" t="str">
        <f>IF(E944="", "", IF(COUNTIF(ChestType!$A$5:$A$195, E944)&gt;0, VLOOKUP(E944, ChestType!$A$5:$B$195, 2, 0), "Others"))</f>
        <v>Ancients Chests</v>
      </c>
    </row>
    <row r="945" spans="1:6" x14ac:dyDescent="0.25">
      <c r="A945" s="14">
        <v>46144.619444444441</v>
      </c>
      <c r="B945" s="79" t="s">
        <v>149</v>
      </c>
      <c r="C945" s="79" t="s">
        <v>207</v>
      </c>
      <c r="D945" s="79" t="s">
        <v>201</v>
      </c>
      <c r="E945" s="79" t="s">
        <v>66</v>
      </c>
      <c r="F945" s="79" t="str">
        <f>IF(E945="", "", IF(COUNTIF(ChestType!$A$5:$A$195, E945)&gt;0, VLOOKUP(E945, ChestType!$A$5:$B$195, 2, 0), "Others"))</f>
        <v>Ancients Chests</v>
      </c>
    </row>
    <row r="946" spans="1:6" x14ac:dyDescent="0.25">
      <c r="A946" s="14">
        <v>46144.619444444441</v>
      </c>
      <c r="B946" s="79" t="s">
        <v>149</v>
      </c>
      <c r="C946" s="79" t="s">
        <v>207</v>
      </c>
      <c r="D946" s="79" t="s">
        <v>201</v>
      </c>
      <c r="E946" s="79" t="s">
        <v>66</v>
      </c>
      <c r="F946" s="79" t="str">
        <f>IF(E946="", "", IF(COUNTIF(ChestType!$A$5:$A$195, E946)&gt;0, VLOOKUP(E946, ChestType!$A$5:$B$195, 2, 0), "Others"))</f>
        <v>Ancients Chests</v>
      </c>
    </row>
    <row r="947" spans="1:6" x14ac:dyDescent="0.25">
      <c r="A947" s="14">
        <v>46144.619444444441</v>
      </c>
      <c r="B947" s="79" t="s">
        <v>149</v>
      </c>
      <c r="C947" s="79" t="s">
        <v>207</v>
      </c>
      <c r="D947" s="79" t="s">
        <v>201</v>
      </c>
      <c r="E947" s="79" t="s">
        <v>66</v>
      </c>
      <c r="F947" s="79" t="str">
        <f>IF(E947="", "", IF(COUNTIF(ChestType!$A$5:$A$195, E947)&gt;0, VLOOKUP(E947, ChestType!$A$5:$B$195, 2, 0), "Others"))</f>
        <v>Ancients Chests</v>
      </c>
    </row>
    <row r="948" spans="1:6" x14ac:dyDescent="0.25">
      <c r="A948" s="14">
        <v>46144.619444444441</v>
      </c>
      <c r="B948" s="79" t="s">
        <v>149</v>
      </c>
      <c r="C948" s="79" t="s">
        <v>207</v>
      </c>
      <c r="D948" s="79" t="s">
        <v>201</v>
      </c>
      <c r="E948" s="79" t="s">
        <v>66</v>
      </c>
      <c r="F948" s="79" t="str">
        <f>IF(E948="", "", IF(COUNTIF(ChestType!$A$5:$A$195, E948)&gt;0, VLOOKUP(E948, ChestType!$A$5:$B$195, 2, 0), "Others"))</f>
        <v>Ancients Chests</v>
      </c>
    </row>
    <row r="949" spans="1:6" x14ac:dyDescent="0.25">
      <c r="A949" s="14">
        <v>46144.619444444441</v>
      </c>
      <c r="B949" s="79" t="s">
        <v>149</v>
      </c>
      <c r="C949" s="79" t="s">
        <v>207</v>
      </c>
      <c r="D949" s="79" t="s">
        <v>201</v>
      </c>
      <c r="E949" s="79" t="s">
        <v>66</v>
      </c>
      <c r="F949" s="79" t="str">
        <f>IF(E949="", "", IF(COUNTIF(ChestType!$A$5:$A$195, E949)&gt;0, VLOOKUP(E949, ChestType!$A$5:$B$195, 2, 0), "Others"))</f>
        <v>Ancients Chests</v>
      </c>
    </row>
    <row r="950" spans="1:6" x14ac:dyDescent="0.25">
      <c r="A950" s="14">
        <v>46144.619444444441</v>
      </c>
      <c r="B950" s="79" t="s">
        <v>149</v>
      </c>
      <c r="C950" s="79" t="s">
        <v>207</v>
      </c>
      <c r="D950" s="79" t="s">
        <v>201</v>
      </c>
      <c r="E950" s="79" t="s">
        <v>66</v>
      </c>
      <c r="F950" s="79" t="str">
        <f>IF(E950="", "", IF(COUNTIF(ChestType!$A$5:$A$195, E950)&gt;0, VLOOKUP(E950, ChestType!$A$5:$B$195, 2, 0), "Others"))</f>
        <v>Ancients Chests</v>
      </c>
    </row>
    <row r="951" spans="1:6" x14ac:dyDescent="0.25">
      <c r="A951" s="14">
        <v>46144.619444444441</v>
      </c>
      <c r="B951" s="79" t="s">
        <v>149</v>
      </c>
      <c r="C951" s="79" t="s">
        <v>207</v>
      </c>
      <c r="D951" s="79" t="s">
        <v>201</v>
      </c>
      <c r="E951" s="79" t="s">
        <v>66</v>
      </c>
      <c r="F951" s="79" t="str">
        <f>IF(E951="", "", IF(COUNTIF(ChestType!$A$5:$A$195, E951)&gt;0, VLOOKUP(E951, ChestType!$A$5:$B$195, 2, 0), "Others"))</f>
        <v>Ancients Chests</v>
      </c>
    </row>
    <row r="952" spans="1:6" x14ac:dyDescent="0.25">
      <c r="A952" s="14">
        <v>46144.619444444441</v>
      </c>
      <c r="B952" s="79" t="s">
        <v>149</v>
      </c>
      <c r="C952" s="79" t="s">
        <v>207</v>
      </c>
      <c r="D952" s="79" t="s">
        <v>201</v>
      </c>
      <c r="E952" s="79" t="s">
        <v>66</v>
      </c>
      <c r="F952" s="79" t="str">
        <f>IF(E952="", "", IF(COUNTIF(ChestType!$A$5:$A$195, E952)&gt;0, VLOOKUP(E952, ChestType!$A$5:$B$195, 2, 0), "Others"))</f>
        <v>Ancients Chests</v>
      </c>
    </row>
    <row r="953" spans="1:6" x14ac:dyDescent="0.25">
      <c r="A953" s="14">
        <v>46144.619444444441</v>
      </c>
      <c r="B953" s="79" t="s">
        <v>149</v>
      </c>
      <c r="C953" s="79" t="s">
        <v>207</v>
      </c>
      <c r="D953" s="79" t="s">
        <v>179</v>
      </c>
      <c r="E953" s="79" t="s">
        <v>66</v>
      </c>
      <c r="F953" s="79" t="str">
        <f>IF(E953="", "", IF(COUNTIF(ChestType!$A$5:$A$195, E953)&gt;0, VLOOKUP(E953, ChestType!$A$5:$B$195, 2, 0), "Others"))</f>
        <v>Ancients Chests</v>
      </c>
    </row>
    <row r="954" spans="1:6" x14ac:dyDescent="0.25">
      <c r="A954" s="14">
        <v>46144.619444444441</v>
      </c>
      <c r="B954" s="79" t="s">
        <v>149</v>
      </c>
      <c r="C954" s="79" t="s">
        <v>207</v>
      </c>
      <c r="D954" s="79" t="s">
        <v>179</v>
      </c>
      <c r="E954" s="79" t="s">
        <v>66</v>
      </c>
      <c r="F954" s="79" t="str">
        <f>IF(E954="", "", IF(COUNTIF(ChestType!$A$5:$A$195, E954)&gt;0, VLOOKUP(E954, ChestType!$A$5:$B$195, 2, 0), "Others"))</f>
        <v>Ancients Chests</v>
      </c>
    </row>
    <row r="955" spans="1:6" x14ac:dyDescent="0.25">
      <c r="A955" s="14">
        <v>46144.619444444441</v>
      </c>
      <c r="B955" s="79" t="s">
        <v>149</v>
      </c>
      <c r="C955" s="79" t="s">
        <v>207</v>
      </c>
      <c r="D955" s="79" t="s">
        <v>179</v>
      </c>
      <c r="E955" s="79" t="s">
        <v>66</v>
      </c>
      <c r="F955" s="79" t="str">
        <f>IF(E955="", "", IF(COUNTIF(ChestType!$A$5:$A$195, E955)&gt;0, VLOOKUP(E955, ChestType!$A$5:$B$195, 2, 0), "Others"))</f>
        <v>Ancients Chests</v>
      </c>
    </row>
    <row r="956" spans="1:6" x14ac:dyDescent="0.25">
      <c r="A956" s="14">
        <v>46144.619444444441</v>
      </c>
      <c r="B956" s="79" t="s">
        <v>149</v>
      </c>
      <c r="C956" s="79" t="s">
        <v>207</v>
      </c>
      <c r="D956" s="79" t="s">
        <v>179</v>
      </c>
      <c r="E956" s="79" t="s">
        <v>66</v>
      </c>
      <c r="F956" s="79" t="str">
        <f>IF(E956="", "", IF(COUNTIF(ChestType!$A$5:$A$195, E956)&gt;0, VLOOKUP(E956, ChestType!$A$5:$B$195, 2, 0), "Others"))</f>
        <v>Ancients Chests</v>
      </c>
    </row>
    <row r="957" spans="1:6" x14ac:dyDescent="0.25">
      <c r="A957" s="14">
        <v>46144.619444444441</v>
      </c>
      <c r="B957" s="79" t="s">
        <v>149</v>
      </c>
      <c r="C957" s="79" t="s">
        <v>207</v>
      </c>
      <c r="D957" s="79" t="s">
        <v>251</v>
      </c>
      <c r="E957" s="79" t="s">
        <v>66</v>
      </c>
      <c r="F957" s="79" t="str">
        <f>IF(E957="", "", IF(COUNTIF(ChestType!$A$5:$A$195, E957)&gt;0, VLOOKUP(E957, ChestType!$A$5:$B$195, 2, 0), "Others"))</f>
        <v>Ancients Chests</v>
      </c>
    </row>
    <row r="958" spans="1:6" x14ac:dyDescent="0.25">
      <c r="A958" s="14">
        <v>46144.619444444441</v>
      </c>
      <c r="B958" s="79" t="s">
        <v>149</v>
      </c>
      <c r="C958" s="79" t="s">
        <v>207</v>
      </c>
      <c r="D958" s="79" t="s">
        <v>251</v>
      </c>
      <c r="E958" s="79" t="s">
        <v>66</v>
      </c>
      <c r="F958" s="79" t="str">
        <f>IF(E958="", "", IF(COUNTIF(ChestType!$A$5:$A$195, E958)&gt;0, VLOOKUP(E958, ChestType!$A$5:$B$195, 2, 0), "Others"))</f>
        <v>Ancients Chests</v>
      </c>
    </row>
    <row r="959" spans="1:6" x14ac:dyDescent="0.25">
      <c r="A959" s="14">
        <v>46144.619444444441</v>
      </c>
      <c r="B959" s="79" t="s">
        <v>149</v>
      </c>
      <c r="C959" s="79" t="s">
        <v>207</v>
      </c>
      <c r="D959" s="79" t="s">
        <v>251</v>
      </c>
      <c r="E959" s="79" t="s">
        <v>66</v>
      </c>
      <c r="F959" s="79" t="str">
        <f>IF(E959="", "", IF(COUNTIF(ChestType!$A$5:$A$195, E959)&gt;0, VLOOKUP(E959, ChestType!$A$5:$B$195, 2, 0), "Others"))</f>
        <v>Ancients Chests</v>
      </c>
    </row>
    <row r="960" spans="1:6" x14ac:dyDescent="0.25">
      <c r="A960" s="14">
        <v>46144.619444444441</v>
      </c>
      <c r="B960" s="79" t="s">
        <v>149</v>
      </c>
      <c r="C960" s="79" t="s">
        <v>207</v>
      </c>
      <c r="D960" s="79" t="s">
        <v>251</v>
      </c>
      <c r="E960" s="79" t="s">
        <v>66</v>
      </c>
      <c r="F960" s="79" t="str">
        <f>IF(E960="", "", IF(COUNTIF(ChestType!$A$5:$A$195, E960)&gt;0, VLOOKUP(E960, ChestType!$A$5:$B$195, 2, 0), "Others"))</f>
        <v>Ancients Chests</v>
      </c>
    </row>
    <row r="961" spans="1:6" x14ac:dyDescent="0.25">
      <c r="A961" s="14">
        <v>46144.619444444441</v>
      </c>
      <c r="B961" s="79" t="s">
        <v>149</v>
      </c>
      <c r="C961" s="79" t="s">
        <v>207</v>
      </c>
      <c r="D961" s="79" t="s">
        <v>251</v>
      </c>
      <c r="E961" s="79" t="s">
        <v>66</v>
      </c>
      <c r="F961" s="79" t="str">
        <f>IF(E961="", "", IF(COUNTIF(ChestType!$A$5:$A$195, E961)&gt;0, VLOOKUP(E961, ChestType!$A$5:$B$195, 2, 0), "Others"))</f>
        <v>Ancients Chests</v>
      </c>
    </row>
    <row r="962" spans="1:6" x14ac:dyDescent="0.25">
      <c r="A962" s="14">
        <v>46144.619444444441</v>
      </c>
      <c r="B962" s="79" t="s">
        <v>149</v>
      </c>
      <c r="C962" s="79" t="s">
        <v>207</v>
      </c>
      <c r="D962" s="79" t="s">
        <v>251</v>
      </c>
      <c r="E962" s="79" t="s">
        <v>66</v>
      </c>
      <c r="F962" s="79" t="str">
        <f>IF(E962="", "", IF(COUNTIF(ChestType!$A$5:$A$195, E962)&gt;0, VLOOKUP(E962, ChestType!$A$5:$B$195, 2, 0), "Others"))</f>
        <v>Ancients Chests</v>
      </c>
    </row>
    <row r="963" spans="1:6" x14ac:dyDescent="0.25">
      <c r="A963" s="14">
        <v>46144.619444444441</v>
      </c>
      <c r="B963" s="79" t="s">
        <v>149</v>
      </c>
      <c r="C963" s="79" t="s">
        <v>207</v>
      </c>
      <c r="D963" s="79" t="s">
        <v>251</v>
      </c>
      <c r="E963" s="79" t="s">
        <v>66</v>
      </c>
      <c r="F963" s="79" t="str">
        <f>IF(E963="", "", IF(COUNTIF(ChestType!$A$5:$A$195, E963)&gt;0, VLOOKUP(E963, ChestType!$A$5:$B$195, 2, 0), "Others"))</f>
        <v>Ancients Chests</v>
      </c>
    </row>
    <row r="964" spans="1:6" x14ac:dyDescent="0.25">
      <c r="A964" s="14">
        <v>46144.619444444441</v>
      </c>
      <c r="B964" s="79" t="s">
        <v>149</v>
      </c>
      <c r="C964" s="79" t="s">
        <v>207</v>
      </c>
      <c r="D964" s="79" t="s">
        <v>251</v>
      </c>
      <c r="E964" s="79" t="s">
        <v>66</v>
      </c>
      <c r="F964" s="79" t="str">
        <f>IF(E964="", "", IF(COUNTIF(ChestType!$A$5:$A$195, E964)&gt;0, VLOOKUP(E964, ChestType!$A$5:$B$195, 2, 0), "Others"))</f>
        <v>Ancients Chests</v>
      </c>
    </row>
    <row r="965" spans="1:6" x14ac:dyDescent="0.25">
      <c r="A965" s="14">
        <v>46144.619444444441</v>
      </c>
      <c r="B965" s="79" t="s">
        <v>149</v>
      </c>
      <c r="C965" s="79" t="s">
        <v>190</v>
      </c>
      <c r="D965" s="79" t="s">
        <v>252</v>
      </c>
      <c r="E965" s="79" t="s">
        <v>50</v>
      </c>
      <c r="F965" s="79" t="str">
        <f>IF(E965="", "", IF(COUNTIF(ChestType!$A$5:$A$195, E965)&gt;0, VLOOKUP(E965, ChestType!$A$5:$B$195, 2, 0), "Others"))</f>
        <v>L10 Crypt</v>
      </c>
    </row>
    <row r="966" spans="1:6" x14ac:dyDescent="0.25">
      <c r="A966" s="14">
        <v>46144.619444444441</v>
      </c>
      <c r="B966" s="79" t="s">
        <v>149</v>
      </c>
      <c r="C966" s="79" t="s">
        <v>207</v>
      </c>
      <c r="D966" s="79" t="s">
        <v>168</v>
      </c>
      <c r="E966" s="79" t="s">
        <v>66</v>
      </c>
      <c r="F966" s="79" t="str">
        <f>IF(E966="", "", IF(COUNTIF(ChestType!$A$5:$A$195, E966)&gt;0, VLOOKUP(E966, ChestType!$A$5:$B$195, 2, 0), "Others"))</f>
        <v>Ancients Chests</v>
      </c>
    </row>
    <row r="967" spans="1:6" x14ac:dyDescent="0.25">
      <c r="A967" s="14">
        <v>46144.619444444441</v>
      </c>
      <c r="B967" s="79" t="s">
        <v>149</v>
      </c>
      <c r="C967" s="79" t="s">
        <v>207</v>
      </c>
      <c r="D967" s="79" t="s">
        <v>168</v>
      </c>
      <c r="E967" s="79" t="s">
        <v>66</v>
      </c>
      <c r="F967" s="79" t="str">
        <f>IF(E967="", "", IF(COUNTIF(ChestType!$A$5:$A$195, E967)&gt;0, VLOOKUP(E967, ChestType!$A$5:$B$195, 2, 0), "Others"))</f>
        <v>Ancients Chests</v>
      </c>
    </row>
    <row r="968" spans="1:6" x14ac:dyDescent="0.25">
      <c r="A968" s="14">
        <v>46144.619444444441</v>
      </c>
      <c r="B968" s="79" t="s">
        <v>149</v>
      </c>
      <c r="C968" s="79" t="s">
        <v>207</v>
      </c>
      <c r="D968" s="79" t="s">
        <v>168</v>
      </c>
      <c r="E968" s="79" t="s">
        <v>66</v>
      </c>
      <c r="F968" s="79" t="str">
        <f>IF(E968="", "", IF(COUNTIF(ChestType!$A$5:$A$195, E968)&gt;0, VLOOKUP(E968, ChestType!$A$5:$B$195, 2, 0), "Others"))</f>
        <v>Ancients Chests</v>
      </c>
    </row>
    <row r="969" spans="1:6" x14ac:dyDescent="0.25">
      <c r="A969" s="14">
        <v>46144.619444444441</v>
      </c>
      <c r="B969" s="79" t="s">
        <v>149</v>
      </c>
      <c r="C969" s="79" t="s">
        <v>207</v>
      </c>
      <c r="D969" s="79" t="s">
        <v>168</v>
      </c>
      <c r="E969" s="79" t="s">
        <v>66</v>
      </c>
      <c r="F969" s="79" t="str">
        <f>IF(E969="", "", IF(COUNTIF(ChestType!$A$5:$A$195, E969)&gt;0, VLOOKUP(E969, ChestType!$A$5:$B$195, 2, 0), "Others"))</f>
        <v>Ancients Chests</v>
      </c>
    </row>
    <row r="970" spans="1:6" x14ac:dyDescent="0.25">
      <c r="A970" s="14">
        <v>46144.619444444441</v>
      </c>
      <c r="B970" s="79" t="s">
        <v>149</v>
      </c>
      <c r="C970" s="79" t="s">
        <v>207</v>
      </c>
      <c r="D970" s="79" t="s">
        <v>168</v>
      </c>
      <c r="E970" s="79" t="s">
        <v>66</v>
      </c>
      <c r="F970" s="79" t="str">
        <f>IF(E970="", "", IF(COUNTIF(ChestType!$A$5:$A$195, E970)&gt;0, VLOOKUP(E970, ChestType!$A$5:$B$195, 2, 0), "Others"))</f>
        <v>Ancients Chests</v>
      </c>
    </row>
    <row r="971" spans="1:6" x14ac:dyDescent="0.25">
      <c r="A971" s="14">
        <v>46144.619444444441</v>
      </c>
      <c r="B971" s="79" t="s">
        <v>149</v>
      </c>
      <c r="C971" s="79" t="s">
        <v>207</v>
      </c>
      <c r="D971" s="79" t="s">
        <v>168</v>
      </c>
      <c r="E971" s="79" t="s">
        <v>66</v>
      </c>
      <c r="F971" s="79" t="str">
        <f>IF(E971="", "", IF(COUNTIF(ChestType!$A$5:$A$195, E971)&gt;0, VLOOKUP(E971, ChestType!$A$5:$B$195, 2, 0), "Others"))</f>
        <v>Ancients Chests</v>
      </c>
    </row>
    <row r="972" spans="1:6" x14ac:dyDescent="0.25">
      <c r="A972" s="14">
        <v>46144.619444444441</v>
      </c>
      <c r="B972" s="79" t="s">
        <v>149</v>
      </c>
      <c r="C972" s="79" t="s">
        <v>207</v>
      </c>
      <c r="D972" s="79" t="s">
        <v>168</v>
      </c>
      <c r="E972" s="79" t="s">
        <v>66</v>
      </c>
      <c r="F972" s="79" t="str">
        <f>IF(E972="", "", IF(COUNTIF(ChestType!$A$5:$A$195, E972)&gt;0, VLOOKUP(E972, ChestType!$A$5:$B$195, 2, 0), "Others"))</f>
        <v>Ancients Chests</v>
      </c>
    </row>
    <row r="973" spans="1:6" x14ac:dyDescent="0.25">
      <c r="A973" s="14">
        <v>46144.619444444441</v>
      </c>
      <c r="B973" s="79" t="s">
        <v>149</v>
      </c>
      <c r="C973" s="79" t="s">
        <v>207</v>
      </c>
      <c r="D973" s="79" t="s">
        <v>168</v>
      </c>
      <c r="E973" s="79" t="s">
        <v>66</v>
      </c>
      <c r="F973" s="79" t="str">
        <f>IF(E973="", "", IF(COUNTIF(ChestType!$A$5:$A$195, E973)&gt;0, VLOOKUP(E973, ChestType!$A$5:$B$195, 2, 0), "Others"))</f>
        <v>Ancients Chests</v>
      </c>
    </row>
    <row r="974" spans="1:6" x14ac:dyDescent="0.25">
      <c r="A974" s="14">
        <v>46144.619444444441</v>
      </c>
      <c r="B974" s="79" t="s">
        <v>149</v>
      </c>
      <c r="C974" s="79" t="s">
        <v>207</v>
      </c>
      <c r="D974" s="79" t="s">
        <v>205</v>
      </c>
      <c r="E974" s="79" t="s">
        <v>66</v>
      </c>
      <c r="F974" s="79" t="str">
        <f>IF(E974="", "", IF(COUNTIF(ChestType!$A$5:$A$195, E974)&gt;0, VLOOKUP(E974, ChestType!$A$5:$B$195, 2, 0), "Others"))</f>
        <v>Ancients Chests</v>
      </c>
    </row>
    <row r="975" spans="1:6" x14ac:dyDescent="0.25">
      <c r="A975" s="14">
        <v>46144.619444444441</v>
      </c>
      <c r="B975" s="79" t="s">
        <v>149</v>
      </c>
      <c r="C975" s="79" t="s">
        <v>207</v>
      </c>
      <c r="D975" s="79" t="s">
        <v>205</v>
      </c>
      <c r="E975" s="79" t="s">
        <v>66</v>
      </c>
      <c r="F975" s="79" t="str">
        <f>IF(E975="", "", IF(COUNTIF(ChestType!$A$5:$A$195, E975)&gt;0, VLOOKUP(E975, ChestType!$A$5:$B$195, 2, 0), "Others"))</f>
        <v>Ancients Chests</v>
      </c>
    </row>
    <row r="976" spans="1:6" x14ac:dyDescent="0.25">
      <c r="A976" s="14">
        <v>46144.619444444441</v>
      </c>
      <c r="B976" s="79" t="s">
        <v>149</v>
      </c>
      <c r="C976" s="79" t="s">
        <v>207</v>
      </c>
      <c r="D976" s="79" t="s">
        <v>205</v>
      </c>
      <c r="E976" s="79" t="s">
        <v>66</v>
      </c>
      <c r="F976" s="79" t="str">
        <f>IF(E976="", "", IF(COUNTIF(ChestType!$A$5:$A$195, E976)&gt;0, VLOOKUP(E976, ChestType!$A$5:$B$195, 2, 0), "Others"))</f>
        <v>Ancients Chests</v>
      </c>
    </row>
    <row r="977" spans="1:6" x14ac:dyDescent="0.25">
      <c r="A977" s="14">
        <v>46144.619444444441</v>
      </c>
      <c r="B977" s="79" t="s">
        <v>149</v>
      </c>
      <c r="C977" s="79" t="s">
        <v>207</v>
      </c>
      <c r="D977" s="79" t="s">
        <v>205</v>
      </c>
      <c r="E977" s="79" t="s">
        <v>66</v>
      </c>
      <c r="F977" s="79" t="str">
        <f>IF(E977="", "", IF(COUNTIF(ChestType!$A$5:$A$195, E977)&gt;0, VLOOKUP(E977, ChestType!$A$5:$B$195, 2, 0), "Others"))</f>
        <v>Ancients Chests</v>
      </c>
    </row>
    <row r="978" spans="1:6" x14ac:dyDescent="0.25">
      <c r="A978" s="14">
        <v>46144.619444444441</v>
      </c>
      <c r="B978" s="79" t="s">
        <v>149</v>
      </c>
      <c r="C978" s="79" t="s">
        <v>208</v>
      </c>
      <c r="D978" s="79" t="s">
        <v>205</v>
      </c>
      <c r="E978" s="79" t="s">
        <v>66</v>
      </c>
      <c r="F978" s="79" t="str">
        <f>IF(E978="", "", IF(COUNTIF(ChestType!$A$5:$A$195, E978)&gt;0, VLOOKUP(E978, ChestType!$A$5:$B$195, 2, 0), "Others"))</f>
        <v>Ancients Chests</v>
      </c>
    </row>
    <row r="979" spans="1:6" x14ac:dyDescent="0.25">
      <c r="A979" s="14">
        <v>46144.619444444441</v>
      </c>
      <c r="B979" s="79" t="s">
        <v>149</v>
      </c>
      <c r="C979" s="79" t="s">
        <v>207</v>
      </c>
      <c r="D979" s="79" t="s">
        <v>205</v>
      </c>
      <c r="E979" s="79" t="s">
        <v>66</v>
      </c>
      <c r="F979" s="79" t="str">
        <f>IF(E979="", "", IF(COUNTIF(ChestType!$A$5:$A$195, E979)&gt;0, VLOOKUP(E979, ChestType!$A$5:$B$195, 2, 0), "Others"))</f>
        <v>Ancients Chests</v>
      </c>
    </row>
    <row r="980" spans="1:6" x14ac:dyDescent="0.25">
      <c r="A980" s="14">
        <v>46144.619444444441</v>
      </c>
      <c r="B980" s="79" t="s">
        <v>149</v>
      </c>
      <c r="C980" s="79" t="s">
        <v>207</v>
      </c>
      <c r="D980" s="79" t="s">
        <v>205</v>
      </c>
      <c r="E980" s="79" t="s">
        <v>66</v>
      </c>
      <c r="F980" s="79" t="str">
        <f>IF(E980="", "", IF(COUNTIF(ChestType!$A$5:$A$195, E980)&gt;0, VLOOKUP(E980, ChestType!$A$5:$B$195, 2, 0), "Others"))</f>
        <v>Ancients Chests</v>
      </c>
    </row>
    <row r="981" spans="1:6" x14ac:dyDescent="0.25">
      <c r="A981" s="14">
        <v>46144.619444444441</v>
      </c>
      <c r="B981" s="79" t="s">
        <v>149</v>
      </c>
      <c r="C981" s="79" t="s">
        <v>207</v>
      </c>
      <c r="D981" s="79" t="s">
        <v>205</v>
      </c>
      <c r="E981" s="79" t="s">
        <v>66</v>
      </c>
      <c r="F981" s="79" t="str">
        <f>IF(E981="", "", IF(COUNTIF(ChestType!$A$5:$A$195, E981)&gt;0, VLOOKUP(E981, ChestType!$A$5:$B$195, 2, 0), "Others"))</f>
        <v>Ancients Chests</v>
      </c>
    </row>
    <row r="982" spans="1:6" x14ac:dyDescent="0.25">
      <c r="A982" s="14">
        <v>46144.619444444441</v>
      </c>
      <c r="B982" s="79" t="s">
        <v>149</v>
      </c>
      <c r="C982" s="79" t="s">
        <v>207</v>
      </c>
      <c r="D982" s="79" t="s">
        <v>205</v>
      </c>
      <c r="E982" s="79" t="s">
        <v>66</v>
      </c>
      <c r="F982" s="79" t="str">
        <f>IF(E982="", "", IF(COUNTIF(ChestType!$A$5:$A$195, E982)&gt;0, VLOOKUP(E982, ChestType!$A$5:$B$195, 2, 0), "Others"))</f>
        <v>Ancients Chests</v>
      </c>
    </row>
    <row r="983" spans="1:6" x14ac:dyDescent="0.25">
      <c r="A983" s="14">
        <v>46144.619444444441</v>
      </c>
      <c r="B983" s="79" t="s">
        <v>149</v>
      </c>
      <c r="C983" s="79" t="s">
        <v>207</v>
      </c>
      <c r="D983" s="79" t="s">
        <v>205</v>
      </c>
      <c r="E983" s="79" t="s">
        <v>66</v>
      </c>
      <c r="F983" s="79" t="str">
        <f>IF(E983="", "", IF(COUNTIF(ChestType!$A$5:$A$195, E983)&gt;0, VLOOKUP(E983, ChestType!$A$5:$B$195, 2, 0), "Others"))</f>
        <v>Ancients Chests</v>
      </c>
    </row>
    <row r="984" spans="1:6" x14ac:dyDescent="0.25">
      <c r="A984" s="14">
        <v>46144.619444444441</v>
      </c>
      <c r="B984" s="79" t="s">
        <v>149</v>
      </c>
      <c r="C984" s="79" t="s">
        <v>207</v>
      </c>
      <c r="D984" s="79" t="s">
        <v>205</v>
      </c>
      <c r="E984" s="79" t="s">
        <v>66</v>
      </c>
      <c r="F984" s="79" t="str">
        <f>IF(E984="", "", IF(COUNTIF(ChestType!$A$5:$A$195, E984)&gt;0, VLOOKUP(E984, ChestType!$A$5:$B$195, 2, 0), "Others"))</f>
        <v>Ancients Chests</v>
      </c>
    </row>
    <row r="985" spans="1:6" x14ac:dyDescent="0.25">
      <c r="A985" s="14">
        <v>46144.619444444441</v>
      </c>
      <c r="B985" s="79" t="s">
        <v>149</v>
      </c>
      <c r="C985" s="79" t="s">
        <v>207</v>
      </c>
      <c r="D985" s="79" t="s">
        <v>205</v>
      </c>
      <c r="E985" s="79" t="s">
        <v>66</v>
      </c>
      <c r="F985" s="79" t="str">
        <f>IF(E985="", "", IF(COUNTIF(ChestType!$A$5:$A$195, E985)&gt;0, VLOOKUP(E985, ChestType!$A$5:$B$195, 2, 0), "Others"))</f>
        <v>Ancients Chests</v>
      </c>
    </row>
    <row r="986" spans="1:6" x14ac:dyDescent="0.25">
      <c r="A986" s="14">
        <v>46144.619444444441</v>
      </c>
      <c r="B986" s="79" t="s">
        <v>149</v>
      </c>
      <c r="C986" s="79" t="s">
        <v>207</v>
      </c>
      <c r="D986" s="79" t="s">
        <v>205</v>
      </c>
      <c r="E986" s="79" t="s">
        <v>66</v>
      </c>
      <c r="F986" s="79" t="str">
        <f>IF(E986="", "", IF(COUNTIF(ChestType!$A$5:$A$195, E986)&gt;0, VLOOKUP(E986, ChestType!$A$5:$B$195, 2, 0), "Others"))</f>
        <v>Ancients Chests</v>
      </c>
    </row>
    <row r="987" spans="1:6" x14ac:dyDescent="0.25">
      <c r="A987" s="14">
        <v>46144.619444444441</v>
      </c>
      <c r="B987" s="79" t="s">
        <v>149</v>
      </c>
      <c r="C987" s="79" t="s">
        <v>183</v>
      </c>
      <c r="D987" s="79" t="s">
        <v>193</v>
      </c>
      <c r="E987" s="79" t="s">
        <v>50</v>
      </c>
      <c r="F987" s="79" t="str">
        <f>IF(E987="", "", IF(COUNTIF(ChestType!$A$5:$A$195, E987)&gt;0, VLOOKUP(E987, ChestType!$A$5:$B$195, 2, 0), "Others"))</f>
        <v>L10 Crypt</v>
      </c>
    </row>
    <row r="988" spans="1:6" x14ac:dyDescent="0.25">
      <c r="A988" s="14">
        <v>46144.619444444441</v>
      </c>
      <c r="B988" s="79" t="s">
        <v>149</v>
      </c>
      <c r="C988" s="79" t="s">
        <v>207</v>
      </c>
      <c r="D988" s="79" t="s">
        <v>231</v>
      </c>
      <c r="E988" s="79" t="s">
        <v>66</v>
      </c>
      <c r="F988" s="79" t="str">
        <f>IF(E988="", "", IF(COUNTIF(ChestType!$A$5:$A$195, E988)&gt;0, VLOOKUP(E988, ChestType!$A$5:$B$195, 2, 0), "Others"))</f>
        <v>Ancients Chests</v>
      </c>
    </row>
    <row r="989" spans="1:6" x14ac:dyDescent="0.25">
      <c r="A989" s="14">
        <v>46144.619444444441</v>
      </c>
      <c r="B989" s="79" t="s">
        <v>149</v>
      </c>
      <c r="C989" s="79" t="s">
        <v>207</v>
      </c>
      <c r="D989" s="79" t="s">
        <v>231</v>
      </c>
      <c r="E989" s="79" t="s">
        <v>66</v>
      </c>
      <c r="F989" s="79" t="str">
        <f>IF(E989="", "", IF(COUNTIF(ChestType!$A$5:$A$195, E989)&gt;0, VLOOKUP(E989, ChestType!$A$5:$B$195, 2, 0), "Others"))</f>
        <v>Ancients Chests</v>
      </c>
    </row>
    <row r="990" spans="1:6" x14ac:dyDescent="0.25">
      <c r="A990" s="14">
        <v>46144.619444444441</v>
      </c>
      <c r="B990" s="79" t="s">
        <v>149</v>
      </c>
      <c r="C990" s="79" t="s">
        <v>207</v>
      </c>
      <c r="D990" s="79" t="s">
        <v>231</v>
      </c>
      <c r="E990" s="79" t="s">
        <v>66</v>
      </c>
      <c r="F990" s="79" t="str">
        <f>IF(E990="", "", IF(COUNTIF(ChestType!$A$5:$A$195, E990)&gt;0, VLOOKUP(E990, ChestType!$A$5:$B$195, 2, 0), "Others"))</f>
        <v>Ancients Chests</v>
      </c>
    </row>
    <row r="991" spans="1:6" x14ac:dyDescent="0.25">
      <c r="A991" s="14">
        <v>46144.619444444441</v>
      </c>
      <c r="B991" s="79" t="s">
        <v>149</v>
      </c>
      <c r="C991" s="79" t="s">
        <v>207</v>
      </c>
      <c r="D991" s="79" t="s">
        <v>231</v>
      </c>
      <c r="E991" s="79" t="s">
        <v>66</v>
      </c>
      <c r="F991" s="79" t="str">
        <f>IF(E991="", "", IF(COUNTIF(ChestType!$A$5:$A$195, E991)&gt;0, VLOOKUP(E991, ChestType!$A$5:$B$195, 2, 0), "Others"))</f>
        <v>Ancients Chests</v>
      </c>
    </row>
    <row r="992" spans="1:6" x14ac:dyDescent="0.25">
      <c r="A992" s="14">
        <v>46144.619444444441</v>
      </c>
      <c r="B992" s="79" t="s">
        <v>149</v>
      </c>
      <c r="C992" s="79" t="s">
        <v>177</v>
      </c>
      <c r="D992" s="79" t="s">
        <v>164</v>
      </c>
      <c r="E992" s="79" t="s">
        <v>50</v>
      </c>
      <c r="F992" s="79" t="str">
        <f>IF(E992="", "", IF(COUNTIF(ChestType!$A$5:$A$195, E992)&gt;0, VLOOKUP(E992, ChestType!$A$5:$B$195, 2, 0), "Others"))</f>
        <v>L10 Crypt</v>
      </c>
    </row>
    <row r="993" spans="1:6" x14ac:dyDescent="0.25">
      <c r="A993" s="14">
        <v>46144.619444444441</v>
      </c>
      <c r="B993" s="79" t="s">
        <v>149</v>
      </c>
      <c r="C993" s="79" t="s">
        <v>208</v>
      </c>
      <c r="D993" s="79" t="s">
        <v>231</v>
      </c>
      <c r="E993" s="79" t="s">
        <v>66</v>
      </c>
      <c r="F993" s="79" t="str">
        <f>IF(E993="", "", IF(COUNTIF(ChestType!$A$5:$A$195, E993)&gt;0, VLOOKUP(E993, ChestType!$A$5:$B$195, 2, 0), "Others"))</f>
        <v>Ancients Chests</v>
      </c>
    </row>
    <row r="994" spans="1:6" x14ac:dyDescent="0.25">
      <c r="A994" s="14">
        <v>46144.619444444441</v>
      </c>
      <c r="B994" s="79" t="s">
        <v>149</v>
      </c>
      <c r="C994" s="79" t="s">
        <v>171</v>
      </c>
      <c r="D994" s="79" t="s">
        <v>252</v>
      </c>
      <c r="E994" s="79" t="s">
        <v>52</v>
      </c>
      <c r="F994" s="79" t="str">
        <f>IF(E994="", "", IF(COUNTIF(ChestType!$A$5:$A$195, E994)&gt;0, VLOOKUP(E994, ChestType!$A$5:$B$195, 2, 0), "Others"))</f>
        <v>L5 Crypt</v>
      </c>
    </row>
    <row r="995" spans="1:6" x14ac:dyDescent="0.25">
      <c r="A995" s="14">
        <v>46144.619444444441</v>
      </c>
      <c r="B995" s="79" t="s">
        <v>149</v>
      </c>
      <c r="C995" s="79" t="s">
        <v>192</v>
      </c>
      <c r="D995" s="79" t="s">
        <v>252</v>
      </c>
      <c r="E995" s="79" t="s">
        <v>60</v>
      </c>
      <c r="F995" s="79" t="str">
        <f>IF(E995="", "", IF(COUNTIF(ChestType!$A$5:$A$195, E995)&gt;0, VLOOKUP(E995, ChestType!$A$5:$B$195, 2, 0), "Others"))</f>
        <v>Others</v>
      </c>
    </row>
    <row r="996" spans="1:6" x14ac:dyDescent="0.25">
      <c r="A996" s="14">
        <v>46144.619444444441</v>
      </c>
      <c r="B996" s="79" t="s">
        <v>149</v>
      </c>
      <c r="C996" s="79" t="s">
        <v>207</v>
      </c>
      <c r="D996" s="79" t="s">
        <v>156</v>
      </c>
      <c r="E996" s="79" t="s">
        <v>66</v>
      </c>
      <c r="F996" s="79" t="str">
        <f>IF(E996="", "", IF(COUNTIF(ChestType!$A$5:$A$195, E996)&gt;0, VLOOKUP(E996, ChestType!$A$5:$B$195, 2, 0), "Others"))</f>
        <v>Ancients Chests</v>
      </c>
    </row>
    <row r="997" spans="1:6" x14ac:dyDescent="0.25">
      <c r="A997" s="14">
        <v>46144.619444444441</v>
      </c>
      <c r="B997" s="79" t="s">
        <v>149</v>
      </c>
      <c r="C997" s="79" t="s">
        <v>207</v>
      </c>
      <c r="D997" s="79" t="s">
        <v>156</v>
      </c>
      <c r="E997" s="79" t="s">
        <v>66</v>
      </c>
      <c r="F997" s="79" t="str">
        <f>IF(E997="", "", IF(COUNTIF(ChestType!$A$5:$A$195, E997)&gt;0, VLOOKUP(E997, ChestType!$A$5:$B$195, 2, 0), "Others"))</f>
        <v>Ancients Chests</v>
      </c>
    </row>
    <row r="998" spans="1:6" x14ac:dyDescent="0.25">
      <c r="A998" s="14">
        <v>46144.619444444441</v>
      </c>
      <c r="B998" s="79" t="s">
        <v>149</v>
      </c>
      <c r="C998" s="79" t="s">
        <v>207</v>
      </c>
      <c r="D998" s="79" t="s">
        <v>156</v>
      </c>
      <c r="E998" s="79" t="s">
        <v>66</v>
      </c>
      <c r="F998" s="79" t="str">
        <f>IF(E998="", "", IF(COUNTIF(ChestType!$A$5:$A$195, E998)&gt;0, VLOOKUP(E998, ChestType!$A$5:$B$195, 2, 0), "Others"))</f>
        <v>Ancients Chests</v>
      </c>
    </row>
    <row r="999" spans="1:6" x14ac:dyDescent="0.25">
      <c r="A999" s="14">
        <v>46144.619444444441</v>
      </c>
      <c r="B999" s="79" t="s">
        <v>149</v>
      </c>
      <c r="C999" s="79" t="s">
        <v>207</v>
      </c>
      <c r="D999" s="79" t="s">
        <v>156</v>
      </c>
      <c r="E999" s="79" t="s">
        <v>66</v>
      </c>
      <c r="F999" s="79" t="str">
        <f>IF(E999="", "", IF(COUNTIF(ChestType!$A$5:$A$195, E999)&gt;0, VLOOKUP(E999, ChestType!$A$5:$B$195, 2, 0), "Others"))</f>
        <v>Ancients Chests</v>
      </c>
    </row>
    <row r="1000" spans="1:6" x14ac:dyDescent="0.25">
      <c r="A1000" s="14">
        <v>46144.619444444441</v>
      </c>
      <c r="B1000" s="79" t="s">
        <v>149</v>
      </c>
      <c r="C1000" s="79" t="s">
        <v>207</v>
      </c>
      <c r="D1000" s="79" t="s">
        <v>156</v>
      </c>
      <c r="E1000" s="79" t="s">
        <v>66</v>
      </c>
      <c r="F1000" s="79" t="str">
        <f>IF(E1000="", "", IF(COUNTIF(ChestType!$A$5:$A$195, E1000)&gt;0, VLOOKUP(E1000, ChestType!$A$5:$B$195, 2, 0), "Others"))</f>
        <v>Ancients Chests</v>
      </c>
    </row>
    <row r="1001" spans="1:6" x14ac:dyDescent="0.25">
      <c r="A1001" s="14">
        <v>46144.619444444441</v>
      </c>
      <c r="B1001" s="79" t="s">
        <v>149</v>
      </c>
      <c r="C1001" s="79" t="s">
        <v>207</v>
      </c>
      <c r="D1001" s="79" t="s">
        <v>156</v>
      </c>
      <c r="E1001" s="79" t="s">
        <v>66</v>
      </c>
      <c r="F1001" s="79" t="str">
        <f>IF(E1001="", "", IF(COUNTIF(ChestType!$A$5:$A$195, E1001)&gt;0, VLOOKUP(E1001, ChestType!$A$5:$B$195, 2, 0), "Others"))</f>
        <v>Ancients Chests</v>
      </c>
    </row>
    <row r="1002" spans="1:6" x14ac:dyDescent="0.25">
      <c r="A1002" s="14">
        <v>46144.619444444441</v>
      </c>
      <c r="B1002" s="79" t="s">
        <v>149</v>
      </c>
      <c r="C1002" s="79" t="s">
        <v>207</v>
      </c>
      <c r="D1002" s="79" t="s">
        <v>156</v>
      </c>
      <c r="E1002" s="79" t="s">
        <v>66</v>
      </c>
      <c r="F1002" s="79" t="str">
        <f>IF(E1002="", "", IF(COUNTIF(ChestType!$A$5:$A$195, E1002)&gt;0, VLOOKUP(E1002, ChestType!$A$5:$B$195, 2, 0), "Others"))</f>
        <v>Ancients Chests</v>
      </c>
    </row>
    <row r="1003" spans="1:6" x14ac:dyDescent="0.25">
      <c r="A1003" s="14">
        <v>46144.619444444441</v>
      </c>
      <c r="B1003" s="79" t="s">
        <v>149</v>
      </c>
      <c r="C1003" s="79" t="s">
        <v>207</v>
      </c>
      <c r="D1003" s="79" t="s">
        <v>156</v>
      </c>
      <c r="E1003" s="79" t="s">
        <v>66</v>
      </c>
      <c r="F1003" s="79" t="str">
        <f>IF(E1003="", "", IF(COUNTIF(ChestType!$A$5:$A$195, E1003)&gt;0, VLOOKUP(E1003, ChestType!$A$5:$B$195, 2, 0), "Others"))</f>
        <v>Ancients Chests</v>
      </c>
    </row>
    <row r="1004" spans="1:6" x14ac:dyDescent="0.25">
      <c r="A1004" s="14">
        <v>46144.619444444441</v>
      </c>
      <c r="B1004" s="79" t="s">
        <v>149</v>
      </c>
      <c r="C1004" s="79" t="s">
        <v>158</v>
      </c>
      <c r="D1004" s="79" t="s">
        <v>157</v>
      </c>
      <c r="E1004" s="79" t="s">
        <v>49</v>
      </c>
      <c r="F1004" s="79" t="str">
        <f>IF(E1004="", "", IF(COUNTIF(ChestType!$A$5:$A$195, E1004)&gt;0, VLOOKUP(E1004, ChestType!$A$5:$B$195, 2, 0), "Others"))</f>
        <v>L15 Crypt</v>
      </c>
    </row>
    <row r="1005" spans="1:6" x14ac:dyDescent="0.25">
      <c r="A1005" s="14">
        <v>46144.619444444441</v>
      </c>
      <c r="B1005" s="79" t="s">
        <v>149</v>
      </c>
      <c r="C1005" s="79" t="s">
        <v>192</v>
      </c>
      <c r="D1005" s="79" t="s">
        <v>234</v>
      </c>
      <c r="E1005" s="79" t="s">
        <v>60</v>
      </c>
      <c r="F1005" s="79" t="str">
        <f>IF(E1005="", "", IF(COUNTIF(ChestType!$A$5:$A$195, E1005)&gt;0, VLOOKUP(E1005, ChestType!$A$5:$B$195, 2, 0), "Others"))</f>
        <v>Others</v>
      </c>
    </row>
    <row r="1006" spans="1:6" x14ac:dyDescent="0.25">
      <c r="A1006" s="14">
        <v>46144.619444444441</v>
      </c>
      <c r="B1006" s="79" t="s">
        <v>149</v>
      </c>
      <c r="C1006" s="79" t="s">
        <v>184</v>
      </c>
      <c r="D1006" s="79" t="s">
        <v>231</v>
      </c>
      <c r="E1006" s="79" t="s">
        <v>52</v>
      </c>
      <c r="F1006" s="79" t="str">
        <f>IF(E1006="", "", IF(COUNTIF(ChestType!$A$5:$A$195, E1006)&gt;0, VLOOKUP(E1006, ChestType!$A$5:$B$195, 2, 0), "Others"))</f>
        <v>L5 Crypt</v>
      </c>
    </row>
    <row r="1007" spans="1:6" x14ac:dyDescent="0.25">
      <c r="A1007" s="14">
        <v>46144.619444444441</v>
      </c>
      <c r="B1007" s="79" t="s">
        <v>149</v>
      </c>
      <c r="C1007" s="79" t="s">
        <v>183</v>
      </c>
      <c r="D1007" s="79" t="s">
        <v>240</v>
      </c>
      <c r="E1007" s="79" t="s">
        <v>50</v>
      </c>
      <c r="F1007" s="79" t="str">
        <f>IF(E1007="", "", IF(COUNTIF(ChestType!$A$5:$A$195, E1007)&gt;0, VLOOKUP(E1007, ChestType!$A$5:$B$195, 2, 0), "Others"))</f>
        <v>L10 Crypt</v>
      </c>
    </row>
    <row r="1008" spans="1:6" x14ac:dyDescent="0.25">
      <c r="A1008" s="14">
        <v>46144.619444444441</v>
      </c>
      <c r="B1008" s="79" t="s">
        <v>149</v>
      </c>
      <c r="C1008" s="79" t="s">
        <v>190</v>
      </c>
      <c r="D1008" s="79" t="s">
        <v>234</v>
      </c>
      <c r="E1008" s="79" t="s">
        <v>49</v>
      </c>
      <c r="F1008" s="79" t="str">
        <f>IF(E1008="", "", IF(COUNTIF(ChestType!$A$5:$A$195, E1008)&gt;0, VLOOKUP(E1008, ChestType!$A$5:$B$195, 2, 0), "Others"))</f>
        <v>L15 Crypt</v>
      </c>
    </row>
    <row r="1009" spans="1:6" x14ac:dyDescent="0.25">
      <c r="A1009" s="14">
        <v>46144.619444444441</v>
      </c>
      <c r="B1009" s="79" t="s">
        <v>149</v>
      </c>
      <c r="C1009" s="79" t="s">
        <v>183</v>
      </c>
      <c r="D1009" s="79" t="s">
        <v>231</v>
      </c>
      <c r="E1009" s="79" t="s">
        <v>52</v>
      </c>
      <c r="F1009" s="79" t="str">
        <f>IF(E1009="", "", IF(COUNTIF(ChestType!$A$5:$A$195, E1009)&gt;0, VLOOKUP(E1009, ChestType!$A$5:$B$195, 2, 0), "Others"))</f>
        <v>L5 Crypt</v>
      </c>
    </row>
    <row r="1010" spans="1:6" x14ac:dyDescent="0.25">
      <c r="A1010" s="14">
        <v>46144.619444444441</v>
      </c>
      <c r="B1010" s="79" t="s">
        <v>195</v>
      </c>
      <c r="C1010" s="79" t="s">
        <v>198</v>
      </c>
      <c r="D1010" s="79" t="s">
        <v>254</v>
      </c>
      <c r="E1010" s="79" t="s">
        <v>24</v>
      </c>
      <c r="F1010" s="79" t="str">
        <f>IF(E1010="", "", IF(COUNTIF(ChestType!$A$5:$A$195, E1010)&gt;0, VLOOKUP(E1010, ChestType!$A$5:$B$195, 2, 0), "Others"))</f>
        <v>Bank</v>
      </c>
    </row>
    <row r="1011" spans="1:6" x14ac:dyDescent="0.25">
      <c r="A1011" s="14">
        <v>46144.619444444441</v>
      </c>
      <c r="B1011" s="79" t="s">
        <v>195</v>
      </c>
      <c r="C1011" s="79" t="s">
        <v>198</v>
      </c>
      <c r="D1011" s="79" t="s">
        <v>254</v>
      </c>
      <c r="E1011" s="79" t="s">
        <v>24</v>
      </c>
      <c r="F1011" s="79" t="str">
        <f>IF(E1011="", "", IF(COUNTIF(ChestType!$A$5:$A$195, E1011)&gt;0, VLOOKUP(E1011, ChestType!$A$5:$B$195, 2, 0), "Others"))</f>
        <v>Bank</v>
      </c>
    </row>
    <row r="1012" spans="1:6" x14ac:dyDescent="0.25">
      <c r="A1012" s="14">
        <v>46144.619444444441</v>
      </c>
      <c r="B1012" s="79" t="s">
        <v>195</v>
      </c>
      <c r="C1012" s="79" t="s">
        <v>198</v>
      </c>
      <c r="D1012" s="79" t="s">
        <v>254</v>
      </c>
      <c r="E1012" s="79" t="s">
        <v>24</v>
      </c>
      <c r="F1012" s="79" t="str">
        <f>IF(E1012="", "", IF(COUNTIF(ChestType!$A$5:$A$195, E1012)&gt;0, VLOOKUP(E1012, ChestType!$A$5:$B$195, 2, 0), "Others"))</f>
        <v>Bank</v>
      </c>
    </row>
    <row r="1013" spans="1:6" x14ac:dyDescent="0.25">
      <c r="A1013" s="14">
        <v>46144.619444444441</v>
      </c>
      <c r="B1013" s="79" t="s">
        <v>195</v>
      </c>
      <c r="C1013" s="79" t="s">
        <v>209</v>
      </c>
      <c r="D1013" s="79" t="s">
        <v>254</v>
      </c>
      <c r="E1013" s="79" t="s">
        <v>24</v>
      </c>
      <c r="F1013" s="79" t="str">
        <f>IF(E1013="", "", IF(COUNTIF(ChestType!$A$5:$A$195, E1013)&gt;0, VLOOKUP(E1013, ChestType!$A$5:$B$195, 2, 0), "Others"))</f>
        <v>Bank</v>
      </c>
    </row>
    <row r="1014" spans="1:6" x14ac:dyDescent="0.25">
      <c r="A1014" s="14">
        <v>46144.619444444441</v>
      </c>
      <c r="B1014" s="79" t="s">
        <v>195</v>
      </c>
      <c r="C1014" s="79" t="s">
        <v>209</v>
      </c>
      <c r="D1014" s="79" t="s">
        <v>254</v>
      </c>
      <c r="E1014" s="79" t="s">
        <v>24</v>
      </c>
      <c r="F1014" s="79" t="str">
        <f>IF(E1014="", "", IF(COUNTIF(ChestType!$A$5:$A$195, E1014)&gt;0, VLOOKUP(E1014, ChestType!$A$5:$B$195, 2, 0), "Others"))</f>
        <v>Bank</v>
      </c>
    </row>
    <row r="1015" spans="1:6" x14ac:dyDescent="0.25">
      <c r="A1015" s="14">
        <v>46144.619444444441</v>
      </c>
      <c r="B1015" s="79" t="s">
        <v>195</v>
      </c>
      <c r="C1015" s="79" t="s">
        <v>209</v>
      </c>
      <c r="D1015" s="79" t="s">
        <v>254</v>
      </c>
      <c r="E1015" s="79" t="s">
        <v>24</v>
      </c>
      <c r="F1015" s="79" t="str">
        <f>IF(E1015="", "", IF(COUNTIF(ChestType!$A$5:$A$195, E1015)&gt;0, VLOOKUP(E1015, ChestType!$A$5:$B$195, 2, 0), "Others"))</f>
        <v>Bank</v>
      </c>
    </row>
    <row r="1016" spans="1:6" x14ac:dyDescent="0.25">
      <c r="A1016" s="14">
        <v>46144.803472222222</v>
      </c>
      <c r="B1016" s="79" t="s">
        <v>149</v>
      </c>
      <c r="C1016" s="79" t="s">
        <v>173</v>
      </c>
      <c r="D1016" s="79" t="s">
        <v>157</v>
      </c>
      <c r="E1016" s="79" t="s">
        <v>50</v>
      </c>
      <c r="F1016" s="79" t="str">
        <f>IF(E1016="", "", IF(COUNTIF(ChestType!$A$5:$A$195, E1016)&gt;0, VLOOKUP(E1016, ChestType!$A$5:$B$195, 2, 0), "Others"))</f>
        <v>L10 Crypt</v>
      </c>
    </row>
    <row r="1017" spans="1:6" x14ac:dyDescent="0.25">
      <c r="A1017" s="14">
        <v>46144.803472222222</v>
      </c>
      <c r="B1017" s="79" t="s">
        <v>149</v>
      </c>
      <c r="C1017" s="79" t="s">
        <v>173</v>
      </c>
      <c r="D1017" s="79" t="s">
        <v>247</v>
      </c>
      <c r="E1017" s="79" t="s">
        <v>50</v>
      </c>
      <c r="F1017" s="79" t="str">
        <f>IF(E1017="", "", IF(COUNTIF(ChestType!$A$5:$A$195, E1017)&gt;0, VLOOKUP(E1017, ChestType!$A$5:$B$195, 2, 0), "Others"))</f>
        <v>L10 Crypt</v>
      </c>
    </row>
    <row r="1018" spans="1:6" x14ac:dyDescent="0.25">
      <c r="A1018" s="14">
        <v>46144.803472222222</v>
      </c>
      <c r="B1018" s="79" t="s">
        <v>149</v>
      </c>
      <c r="C1018" s="79" t="s">
        <v>151</v>
      </c>
      <c r="D1018" s="79" t="s">
        <v>153</v>
      </c>
      <c r="E1018" s="79" t="s">
        <v>49</v>
      </c>
      <c r="F1018" s="79" t="str">
        <f>IF(E1018="", "", IF(COUNTIF(ChestType!$A$5:$A$195, E1018)&gt;0, VLOOKUP(E1018, ChestType!$A$5:$B$195, 2, 0), "Others"))</f>
        <v>L15 Crypt</v>
      </c>
    </row>
    <row r="1019" spans="1:6" x14ac:dyDescent="0.25">
      <c r="A1019" s="14">
        <v>46144.803472222222</v>
      </c>
      <c r="B1019" s="79" t="s">
        <v>149</v>
      </c>
      <c r="C1019" s="79" t="s">
        <v>213</v>
      </c>
      <c r="D1019" s="79" t="s">
        <v>168</v>
      </c>
      <c r="E1019" s="79" t="s">
        <v>64</v>
      </c>
      <c r="F1019" s="79" t="str">
        <f>IF(E1019="", "", IF(COUNTIF(ChestType!$A$5:$A$195, E1019)&gt;0, VLOOKUP(E1019, ChestType!$A$5:$B$195, 2, 0), "Others"))</f>
        <v>L15 Epic Crypt</v>
      </c>
    </row>
    <row r="1020" spans="1:6" x14ac:dyDescent="0.25">
      <c r="A1020" s="14">
        <v>46144.803472222222</v>
      </c>
      <c r="B1020" s="79" t="s">
        <v>149</v>
      </c>
      <c r="C1020" s="79" t="s">
        <v>171</v>
      </c>
      <c r="D1020" s="79" t="s">
        <v>168</v>
      </c>
      <c r="E1020" s="79" t="s">
        <v>49</v>
      </c>
      <c r="F1020" s="79" t="str">
        <f>IF(E1020="", "", IF(COUNTIF(ChestType!$A$5:$A$195, E1020)&gt;0, VLOOKUP(E1020, ChestType!$A$5:$B$195, 2, 0), "Others"))</f>
        <v>L15 Crypt</v>
      </c>
    </row>
    <row r="1021" spans="1:6" x14ac:dyDescent="0.25">
      <c r="A1021" s="14">
        <v>46144.803472222222</v>
      </c>
      <c r="B1021" s="79" t="s">
        <v>149</v>
      </c>
      <c r="C1021" s="79" t="s">
        <v>184</v>
      </c>
      <c r="D1021" s="79" t="s">
        <v>168</v>
      </c>
      <c r="E1021" s="79" t="s">
        <v>49</v>
      </c>
      <c r="F1021" s="79" t="str">
        <f>IF(E1021="", "", IF(COUNTIF(ChestType!$A$5:$A$195, E1021)&gt;0, VLOOKUP(E1021, ChestType!$A$5:$B$195, 2, 0), "Others"))</f>
        <v>L15 Crypt</v>
      </c>
    </row>
    <row r="1022" spans="1:6" x14ac:dyDescent="0.25">
      <c r="A1022" s="14">
        <v>46144.803472222222</v>
      </c>
      <c r="B1022" s="79" t="s">
        <v>149</v>
      </c>
      <c r="C1022" s="79" t="s">
        <v>175</v>
      </c>
      <c r="D1022" s="79" t="s">
        <v>168</v>
      </c>
      <c r="E1022" s="79" t="s">
        <v>49</v>
      </c>
      <c r="F1022" s="79" t="str">
        <f>IF(E1022="", "", IF(COUNTIF(ChestType!$A$5:$A$195, E1022)&gt;0, VLOOKUP(E1022, ChestType!$A$5:$B$195, 2, 0), "Others"))</f>
        <v>L15 Crypt</v>
      </c>
    </row>
    <row r="1023" spans="1:6" x14ac:dyDescent="0.25">
      <c r="A1023" s="14">
        <v>46144.803472222222</v>
      </c>
      <c r="B1023" s="79" t="s">
        <v>149</v>
      </c>
      <c r="C1023" s="79" t="s">
        <v>217</v>
      </c>
      <c r="D1023" s="79" t="s">
        <v>168</v>
      </c>
      <c r="E1023" s="79" t="s">
        <v>64</v>
      </c>
      <c r="F1023" s="79" t="str">
        <f>IF(E1023="", "", IF(COUNTIF(ChestType!$A$5:$A$195, E1023)&gt;0, VLOOKUP(E1023, ChestType!$A$5:$B$195, 2, 0), "Others"))</f>
        <v>L15 Epic Crypt</v>
      </c>
    </row>
    <row r="1024" spans="1:6" x14ac:dyDescent="0.25">
      <c r="A1024" s="14">
        <v>46144.803472222222</v>
      </c>
      <c r="B1024" s="79" t="s">
        <v>149</v>
      </c>
      <c r="C1024" s="79" t="s">
        <v>177</v>
      </c>
      <c r="D1024" s="79" t="s">
        <v>168</v>
      </c>
      <c r="E1024" s="79" t="s">
        <v>49</v>
      </c>
      <c r="F1024" s="79" t="str">
        <f>IF(E1024="", "", IF(COUNTIF(ChestType!$A$5:$A$195, E1024)&gt;0, VLOOKUP(E1024, ChestType!$A$5:$B$195, 2, 0), "Others"))</f>
        <v>L15 Crypt</v>
      </c>
    </row>
    <row r="1025" spans="1:6" x14ac:dyDescent="0.25">
      <c r="A1025" s="14">
        <v>46144.803472222222</v>
      </c>
      <c r="B1025" s="79" t="s">
        <v>149</v>
      </c>
      <c r="C1025" s="79" t="s">
        <v>177</v>
      </c>
      <c r="D1025" s="79" t="s">
        <v>168</v>
      </c>
      <c r="E1025" s="79" t="s">
        <v>49</v>
      </c>
      <c r="F1025" s="79" t="str">
        <f>IF(E1025="", "", IF(COUNTIF(ChestType!$A$5:$A$195, E1025)&gt;0, VLOOKUP(E1025, ChestType!$A$5:$B$195, 2, 0), "Others"))</f>
        <v>L15 Crypt</v>
      </c>
    </row>
    <row r="1026" spans="1:6" x14ac:dyDescent="0.25">
      <c r="A1026" s="14">
        <v>46144.803472222222</v>
      </c>
      <c r="B1026" s="79" t="s">
        <v>149</v>
      </c>
      <c r="C1026" s="79" t="s">
        <v>177</v>
      </c>
      <c r="D1026" s="79" t="s">
        <v>168</v>
      </c>
      <c r="E1026" s="79" t="s">
        <v>50</v>
      </c>
      <c r="F1026" s="79" t="str">
        <f>IF(E1026="", "", IF(COUNTIF(ChestType!$A$5:$A$195, E1026)&gt;0, VLOOKUP(E1026, ChestType!$A$5:$B$195, 2, 0), "Others"))</f>
        <v>L10 Crypt</v>
      </c>
    </row>
    <row r="1027" spans="1:6" x14ac:dyDescent="0.25">
      <c r="A1027" s="14">
        <v>46144.803472222222</v>
      </c>
      <c r="B1027" s="79" t="s">
        <v>149</v>
      </c>
      <c r="C1027" s="79" t="s">
        <v>177</v>
      </c>
      <c r="D1027" s="79" t="s">
        <v>168</v>
      </c>
      <c r="E1027" s="79" t="s">
        <v>48</v>
      </c>
      <c r="F1027" s="79" t="str">
        <f>IF(E1027="", "", IF(COUNTIF(ChestType!$A$5:$A$195, E1027)&gt;0, VLOOKUP(E1027, ChestType!$A$5:$B$195, 2, 0), "Others"))</f>
        <v>L20 Crypt</v>
      </c>
    </row>
    <row r="1028" spans="1:6" x14ac:dyDescent="0.25">
      <c r="A1028" s="14">
        <v>46144.803472222222</v>
      </c>
      <c r="B1028" s="79" t="s">
        <v>149</v>
      </c>
      <c r="C1028" s="79" t="s">
        <v>151</v>
      </c>
      <c r="D1028" s="79" t="s">
        <v>168</v>
      </c>
      <c r="E1028" s="79" t="s">
        <v>48</v>
      </c>
      <c r="F1028" s="79" t="str">
        <f>IF(E1028="", "", IF(COUNTIF(ChestType!$A$5:$A$195, E1028)&gt;0, VLOOKUP(E1028, ChestType!$A$5:$B$195, 2, 0), "Others"))</f>
        <v>L20 Crypt</v>
      </c>
    </row>
    <row r="1029" spans="1:6" x14ac:dyDescent="0.25">
      <c r="A1029" s="14">
        <v>46144.803472222222</v>
      </c>
      <c r="B1029" s="79" t="s">
        <v>149</v>
      </c>
      <c r="C1029" s="79" t="s">
        <v>176</v>
      </c>
      <c r="D1029" s="79" t="s">
        <v>254</v>
      </c>
      <c r="E1029" s="79" t="s">
        <v>70</v>
      </c>
      <c r="F1029" s="79" t="str">
        <f>IF(E1029="", "", IF(COUNTIF(ChestType!$A$5:$A$195, E1029)&gt;0, VLOOKUP(E1029, ChestType!$A$5:$B$195, 2, 0), "Others"))</f>
        <v>L10 Citadel</v>
      </c>
    </row>
    <row r="1030" spans="1:6" x14ac:dyDescent="0.25">
      <c r="A1030" s="14">
        <v>46144.803472222222</v>
      </c>
      <c r="B1030" s="79" t="s">
        <v>149</v>
      </c>
      <c r="C1030" s="79" t="s">
        <v>183</v>
      </c>
      <c r="D1030" s="79" t="s">
        <v>168</v>
      </c>
      <c r="E1030" s="79" t="s">
        <v>49</v>
      </c>
      <c r="F1030" s="79" t="str">
        <f>IF(E1030="", "", IF(COUNTIF(ChestType!$A$5:$A$195, E1030)&gt;0, VLOOKUP(E1030, ChestType!$A$5:$B$195, 2, 0), "Others"))</f>
        <v>L15 Crypt</v>
      </c>
    </row>
    <row r="1031" spans="1:6" x14ac:dyDescent="0.25">
      <c r="A1031" s="14">
        <v>46144.803472222222</v>
      </c>
      <c r="B1031" s="79" t="s">
        <v>149</v>
      </c>
      <c r="C1031" s="79" t="s">
        <v>176</v>
      </c>
      <c r="D1031" s="79" t="s">
        <v>231</v>
      </c>
      <c r="E1031" s="79" t="s">
        <v>70</v>
      </c>
      <c r="F1031" s="79" t="str">
        <f>IF(E1031="", "", IF(COUNTIF(ChestType!$A$5:$A$195, E1031)&gt;0, VLOOKUP(E1031, ChestType!$A$5:$B$195, 2, 0), "Others"))</f>
        <v>L10 Citadel</v>
      </c>
    </row>
    <row r="1032" spans="1:6" x14ac:dyDescent="0.25">
      <c r="A1032" s="14">
        <v>46144.803472222222</v>
      </c>
      <c r="B1032" s="79" t="s">
        <v>149</v>
      </c>
      <c r="C1032" s="79" t="s">
        <v>171</v>
      </c>
      <c r="D1032" s="79" t="s">
        <v>212</v>
      </c>
      <c r="E1032" s="79" t="s">
        <v>49</v>
      </c>
      <c r="F1032" s="79" t="str">
        <f>IF(E1032="", "", IF(COUNTIF(ChestType!$A$5:$A$195, E1032)&gt;0, VLOOKUP(E1032, ChestType!$A$5:$B$195, 2, 0), "Others"))</f>
        <v>L15 Crypt</v>
      </c>
    </row>
    <row r="1033" spans="1:6" x14ac:dyDescent="0.25">
      <c r="A1033" s="14">
        <v>46144.803472222222</v>
      </c>
      <c r="B1033" s="79" t="s">
        <v>149</v>
      </c>
      <c r="C1033" s="79" t="s">
        <v>175</v>
      </c>
      <c r="D1033" s="79" t="s">
        <v>212</v>
      </c>
      <c r="E1033" s="79" t="s">
        <v>50</v>
      </c>
      <c r="F1033" s="79" t="str">
        <f>IF(E1033="", "", IF(COUNTIF(ChestType!$A$5:$A$195, E1033)&gt;0, VLOOKUP(E1033, ChestType!$A$5:$B$195, 2, 0), "Others"))</f>
        <v>L10 Crypt</v>
      </c>
    </row>
    <row r="1034" spans="1:6" x14ac:dyDescent="0.25">
      <c r="A1034" s="14">
        <v>46144.803472222222</v>
      </c>
      <c r="B1034" s="79" t="s">
        <v>149</v>
      </c>
      <c r="C1034" s="79" t="s">
        <v>176</v>
      </c>
      <c r="D1034" s="79" t="s">
        <v>254</v>
      </c>
      <c r="E1034" s="79" t="s">
        <v>70</v>
      </c>
      <c r="F1034" s="79" t="str">
        <f>IF(E1034="", "", IF(COUNTIF(ChestType!$A$5:$A$195, E1034)&gt;0, VLOOKUP(E1034, ChestType!$A$5:$B$195, 2, 0), "Others"))</f>
        <v>L10 Citadel</v>
      </c>
    </row>
    <row r="1035" spans="1:6" x14ac:dyDescent="0.25">
      <c r="A1035" s="14">
        <v>46144.803472222222</v>
      </c>
      <c r="B1035" s="79" t="s">
        <v>149</v>
      </c>
      <c r="C1035" s="79" t="s">
        <v>151</v>
      </c>
      <c r="D1035" s="79" t="s">
        <v>163</v>
      </c>
      <c r="E1035" s="79" t="s">
        <v>50</v>
      </c>
      <c r="F1035" s="79" t="str">
        <f>IF(E1035="", "", IF(COUNTIF(ChestType!$A$5:$A$195, E1035)&gt;0, VLOOKUP(E1035, ChestType!$A$5:$B$195, 2, 0), "Others"))</f>
        <v>L10 Crypt</v>
      </c>
    </row>
    <row r="1036" spans="1:6" x14ac:dyDescent="0.25">
      <c r="A1036" s="14">
        <v>46144.803472222222</v>
      </c>
      <c r="B1036" s="79" t="s">
        <v>149</v>
      </c>
      <c r="C1036" s="79" t="s">
        <v>182</v>
      </c>
      <c r="D1036" s="79" t="s">
        <v>250</v>
      </c>
      <c r="E1036" s="79" t="s">
        <v>49</v>
      </c>
      <c r="F1036" s="79" t="str">
        <f>IF(E1036="", "", IF(COUNTIF(ChestType!$A$5:$A$195, E1036)&gt;0, VLOOKUP(E1036, ChestType!$A$5:$B$195, 2, 0), "Others"))</f>
        <v>L15 Crypt</v>
      </c>
    </row>
    <row r="1037" spans="1:6" x14ac:dyDescent="0.25">
      <c r="A1037" s="14">
        <v>46144.803472222222</v>
      </c>
      <c r="B1037" s="79" t="s">
        <v>149</v>
      </c>
      <c r="C1037" s="79" t="s">
        <v>187</v>
      </c>
      <c r="D1037" s="79" t="s">
        <v>231</v>
      </c>
      <c r="E1037" s="79" t="s">
        <v>75</v>
      </c>
      <c r="F1037" s="79" t="str">
        <f>IF(E1037="", "", IF(COUNTIF(ChestType!$A$5:$A$195, E1037)&gt;0, VLOOKUP(E1037, ChestType!$A$5:$B$195, 2, 0), "Others"))</f>
        <v>L10 Rare Crypt</v>
      </c>
    </row>
    <row r="1038" spans="1:6" x14ac:dyDescent="0.25">
      <c r="A1038" s="14">
        <v>46144.803472222222</v>
      </c>
      <c r="B1038" s="79" t="s">
        <v>149</v>
      </c>
      <c r="C1038" s="79" t="s">
        <v>184</v>
      </c>
      <c r="D1038" s="79" t="s">
        <v>240</v>
      </c>
      <c r="E1038" s="79" t="s">
        <v>52</v>
      </c>
      <c r="F1038" s="79" t="str">
        <f>IF(E1038="", "", IF(COUNTIF(ChestType!$A$5:$A$195, E1038)&gt;0, VLOOKUP(E1038, ChestType!$A$5:$B$195, 2, 0), "Others"))</f>
        <v>L5 Crypt</v>
      </c>
    </row>
    <row r="1039" spans="1:6" x14ac:dyDescent="0.25">
      <c r="A1039" s="14">
        <v>46144.803472222222</v>
      </c>
      <c r="B1039" s="79" t="s">
        <v>149</v>
      </c>
      <c r="C1039" s="79" t="s">
        <v>185</v>
      </c>
      <c r="D1039" s="79" t="s">
        <v>163</v>
      </c>
      <c r="E1039" s="79" t="s">
        <v>50</v>
      </c>
      <c r="F1039" s="79" t="str">
        <f>IF(E1039="", "", IF(COUNTIF(ChestType!$A$5:$A$195, E1039)&gt;0, VLOOKUP(E1039, ChestType!$A$5:$B$195, 2, 0), "Others"))</f>
        <v>L10 Crypt</v>
      </c>
    </row>
    <row r="1040" spans="1:6" x14ac:dyDescent="0.25">
      <c r="A1040" s="14">
        <v>46144.803472222222</v>
      </c>
      <c r="B1040" s="79" t="s">
        <v>149</v>
      </c>
      <c r="C1040" s="79" t="s">
        <v>176</v>
      </c>
      <c r="D1040" s="79" t="s">
        <v>167</v>
      </c>
      <c r="E1040" s="79" t="s">
        <v>70</v>
      </c>
      <c r="F1040" s="79" t="str">
        <f>IF(E1040="", "", IF(COUNTIF(ChestType!$A$5:$A$195, E1040)&gt;0, VLOOKUP(E1040, ChestType!$A$5:$B$195, 2, 0), "Others"))</f>
        <v>L10 Citadel</v>
      </c>
    </row>
    <row r="1041" spans="1:6" x14ac:dyDescent="0.25">
      <c r="A1041" s="14">
        <v>46144.803472222222</v>
      </c>
      <c r="B1041" s="79" t="s">
        <v>149</v>
      </c>
      <c r="C1041" s="79" t="s">
        <v>158</v>
      </c>
      <c r="D1041" s="79" t="s">
        <v>259</v>
      </c>
      <c r="E1041" s="79" t="s">
        <v>50</v>
      </c>
      <c r="F1041" s="79" t="str">
        <f>IF(E1041="", "", IF(COUNTIF(ChestType!$A$5:$A$195, E1041)&gt;0, VLOOKUP(E1041, ChestType!$A$5:$B$195, 2, 0), "Others"))</f>
        <v>L10 Crypt</v>
      </c>
    </row>
    <row r="1042" spans="1:6" x14ac:dyDescent="0.25">
      <c r="A1042" s="14">
        <v>46144.803472222222</v>
      </c>
      <c r="B1042" s="79" t="s">
        <v>149</v>
      </c>
      <c r="C1042" s="79" t="s">
        <v>176</v>
      </c>
      <c r="D1042" s="79" t="s">
        <v>167</v>
      </c>
      <c r="E1042" s="79" t="s">
        <v>70</v>
      </c>
      <c r="F1042" s="79" t="str">
        <f>IF(E1042="", "", IF(COUNTIF(ChestType!$A$5:$A$195, E1042)&gt;0, VLOOKUP(E1042, ChestType!$A$5:$B$195, 2, 0), "Others"))</f>
        <v>L10 Citadel</v>
      </c>
    </row>
    <row r="1043" spans="1:6" x14ac:dyDescent="0.25">
      <c r="A1043" s="14">
        <v>46144.803472222222</v>
      </c>
      <c r="B1043" s="79" t="s">
        <v>149</v>
      </c>
      <c r="C1043" s="79" t="s">
        <v>192</v>
      </c>
      <c r="D1043" s="79" t="s">
        <v>257</v>
      </c>
      <c r="E1043" s="79" t="s">
        <v>60</v>
      </c>
      <c r="F1043" s="79" t="str">
        <f>IF(E1043="", "", IF(COUNTIF(ChestType!$A$5:$A$195, E1043)&gt;0, VLOOKUP(E1043, ChestType!$A$5:$B$195, 2, 0), "Others"))</f>
        <v>Others</v>
      </c>
    </row>
    <row r="1044" spans="1:6" x14ac:dyDescent="0.25">
      <c r="A1044" s="14">
        <v>46144.803472222222</v>
      </c>
      <c r="B1044" s="79" t="s">
        <v>149</v>
      </c>
      <c r="C1044" s="79" t="s">
        <v>192</v>
      </c>
      <c r="D1044" s="79" t="s">
        <v>168</v>
      </c>
      <c r="E1044" s="79" t="s">
        <v>60</v>
      </c>
      <c r="F1044" s="79" t="str">
        <f>IF(E1044="", "", IF(COUNTIF(ChestType!$A$5:$A$195, E1044)&gt;0, VLOOKUP(E1044, ChestType!$A$5:$B$195, 2, 0), "Others"))</f>
        <v>Others</v>
      </c>
    </row>
    <row r="1045" spans="1:6" x14ac:dyDescent="0.25">
      <c r="A1045" s="14">
        <v>46144.803472222222</v>
      </c>
      <c r="B1045" s="79" t="s">
        <v>149</v>
      </c>
      <c r="C1045" s="79" t="s">
        <v>190</v>
      </c>
      <c r="D1045" s="79" t="s">
        <v>157</v>
      </c>
      <c r="E1045" s="79" t="s">
        <v>50</v>
      </c>
      <c r="F1045" s="79" t="str">
        <f>IF(E1045="", "", IF(COUNTIF(ChestType!$A$5:$A$195, E1045)&gt;0, VLOOKUP(E1045, ChestType!$A$5:$B$195, 2, 0), "Others"))</f>
        <v>L10 Crypt</v>
      </c>
    </row>
    <row r="1046" spans="1:6" x14ac:dyDescent="0.25">
      <c r="A1046" s="14">
        <v>46144.803472222222</v>
      </c>
      <c r="B1046" s="79" t="s">
        <v>149</v>
      </c>
      <c r="C1046" s="79" t="s">
        <v>184</v>
      </c>
      <c r="D1046" s="79" t="s">
        <v>168</v>
      </c>
      <c r="E1046" s="79" t="s">
        <v>48</v>
      </c>
      <c r="F1046" s="79" t="str">
        <f>IF(E1046="", "", IF(COUNTIF(ChestType!$A$5:$A$195, E1046)&gt;0, VLOOKUP(E1046, ChestType!$A$5:$B$195, 2, 0), "Others"))</f>
        <v>L20 Crypt</v>
      </c>
    </row>
    <row r="1047" spans="1:6" x14ac:dyDescent="0.25">
      <c r="A1047" s="14">
        <v>46144.803472222222</v>
      </c>
      <c r="B1047" s="79" t="s">
        <v>149</v>
      </c>
      <c r="C1047" s="79" t="s">
        <v>171</v>
      </c>
      <c r="D1047" s="79" t="s">
        <v>168</v>
      </c>
      <c r="E1047" s="79" t="s">
        <v>48</v>
      </c>
      <c r="F1047" s="79" t="str">
        <f>IF(E1047="", "", IF(COUNTIF(ChestType!$A$5:$A$195, E1047)&gt;0, VLOOKUP(E1047, ChestType!$A$5:$B$195, 2, 0), "Others"))</f>
        <v>L20 Crypt</v>
      </c>
    </row>
    <row r="1048" spans="1:6" x14ac:dyDescent="0.25">
      <c r="A1048" s="14">
        <v>46144.803472222222</v>
      </c>
      <c r="B1048" s="79" t="s">
        <v>149</v>
      </c>
      <c r="C1048" s="79" t="s">
        <v>184</v>
      </c>
      <c r="D1048" s="79" t="s">
        <v>168</v>
      </c>
      <c r="E1048" s="79" t="s">
        <v>48</v>
      </c>
      <c r="F1048" s="79" t="str">
        <f>IF(E1048="", "", IF(COUNTIF(ChestType!$A$5:$A$195, E1048)&gt;0, VLOOKUP(E1048, ChestType!$A$5:$B$195, 2, 0), "Others"))</f>
        <v>L20 Crypt</v>
      </c>
    </row>
    <row r="1049" spans="1:6" x14ac:dyDescent="0.25">
      <c r="A1049" s="14">
        <v>46144.803472222222</v>
      </c>
      <c r="B1049" s="79" t="s">
        <v>149</v>
      </c>
      <c r="C1049" s="79" t="s">
        <v>173</v>
      </c>
      <c r="D1049" s="79" t="s">
        <v>168</v>
      </c>
      <c r="E1049" s="79" t="s">
        <v>48</v>
      </c>
      <c r="F1049" s="79" t="str">
        <f>IF(E1049="", "", IF(COUNTIF(ChestType!$A$5:$A$195, E1049)&gt;0, VLOOKUP(E1049, ChestType!$A$5:$B$195, 2, 0), "Others"))</f>
        <v>L20 Crypt</v>
      </c>
    </row>
    <row r="1050" spans="1:6" x14ac:dyDescent="0.25">
      <c r="A1050" s="14">
        <v>46144.803472222222</v>
      </c>
      <c r="B1050" s="79" t="s">
        <v>149</v>
      </c>
      <c r="C1050" s="79" t="s">
        <v>182</v>
      </c>
      <c r="D1050" s="79" t="s">
        <v>157</v>
      </c>
      <c r="E1050" s="79" t="s">
        <v>50</v>
      </c>
      <c r="F1050" s="79" t="str">
        <f>IF(E1050="", "", IF(COUNTIF(ChestType!$A$5:$A$195, E1050)&gt;0, VLOOKUP(E1050, ChestType!$A$5:$B$195, 2, 0), "Others"))</f>
        <v>L10 Crypt</v>
      </c>
    </row>
    <row r="1051" spans="1:6" x14ac:dyDescent="0.25">
      <c r="A1051" s="14">
        <v>46144.803472222222</v>
      </c>
      <c r="B1051" s="79" t="s">
        <v>149</v>
      </c>
      <c r="C1051" s="79" t="s">
        <v>177</v>
      </c>
      <c r="D1051" s="79" t="s">
        <v>168</v>
      </c>
      <c r="E1051" s="79" t="s">
        <v>48</v>
      </c>
      <c r="F1051" s="79" t="str">
        <f>IF(E1051="", "", IF(COUNTIF(ChestType!$A$5:$A$195, E1051)&gt;0, VLOOKUP(E1051, ChestType!$A$5:$B$195, 2, 0), "Others"))</f>
        <v>L20 Crypt</v>
      </c>
    </row>
    <row r="1052" spans="1:6" x14ac:dyDescent="0.25">
      <c r="A1052" s="14">
        <v>46144.803472222222</v>
      </c>
      <c r="B1052" s="79" t="s">
        <v>149</v>
      </c>
      <c r="C1052" s="79" t="s">
        <v>185</v>
      </c>
      <c r="D1052" s="79" t="s">
        <v>257</v>
      </c>
      <c r="E1052" s="79" t="s">
        <v>50</v>
      </c>
      <c r="F1052" s="79" t="str">
        <f>IF(E1052="", "", IF(COUNTIF(ChestType!$A$5:$A$195, E1052)&gt;0, VLOOKUP(E1052, ChestType!$A$5:$B$195, 2, 0), "Others"))</f>
        <v>L10 Crypt</v>
      </c>
    </row>
    <row r="1053" spans="1:6" x14ac:dyDescent="0.25">
      <c r="A1053" s="14">
        <v>46144.803472222222</v>
      </c>
      <c r="B1053" s="79" t="s">
        <v>149</v>
      </c>
      <c r="C1053" s="79" t="s">
        <v>185</v>
      </c>
      <c r="D1053" s="79" t="s">
        <v>168</v>
      </c>
      <c r="E1053" s="79" t="s">
        <v>49</v>
      </c>
      <c r="F1053" s="79" t="str">
        <f>IF(E1053="", "", IF(COUNTIF(ChestType!$A$5:$A$195, E1053)&gt;0, VLOOKUP(E1053, ChestType!$A$5:$B$195, 2, 0), "Others"))</f>
        <v>L15 Crypt</v>
      </c>
    </row>
    <row r="1054" spans="1:6" x14ac:dyDescent="0.25">
      <c r="A1054" s="14">
        <v>46144.803472222222</v>
      </c>
      <c r="B1054" s="79" t="s">
        <v>149</v>
      </c>
      <c r="C1054" s="79" t="s">
        <v>175</v>
      </c>
      <c r="D1054" s="79" t="s">
        <v>168</v>
      </c>
      <c r="E1054" s="79" t="s">
        <v>49</v>
      </c>
      <c r="F1054" s="79" t="str">
        <f>IF(E1054="", "", IF(COUNTIF(ChestType!$A$5:$A$195, E1054)&gt;0, VLOOKUP(E1054, ChestType!$A$5:$B$195, 2, 0), "Others"))</f>
        <v>L15 Crypt</v>
      </c>
    </row>
    <row r="1055" spans="1:6" x14ac:dyDescent="0.25">
      <c r="A1055" s="14">
        <v>46144.803472222222</v>
      </c>
      <c r="B1055" s="79" t="s">
        <v>149</v>
      </c>
      <c r="C1055" s="79" t="s">
        <v>177</v>
      </c>
      <c r="D1055" s="79" t="s">
        <v>168</v>
      </c>
      <c r="E1055" s="79" t="s">
        <v>50</v>
      </c>
      <c r="F1055" s="79" t="str">
        <f>IF(E1055="", "", IF(COUNTIF(ChestType!$A$5:$A$195, E1055)&gt;0, VLOOKUP(E1055, ChestType!$A$5:$B$195, 2, 0), "Others"))</f>
        <v>L10 Crypt</v>
      </c>
    </row>
    <row r="1056" spans="1:6" x14ac:dyDescent="0.25">
      <c r="A1056" s="14">
        <v>46144.803472222222</v>
      </c>
      <c r="B1056" s="79" t="s">
        <v>149</v>
      </c>
      <c r="C1056" s="79" t="s">
        <v>173</v>
      </c>
      <c r="D1056" s="79" t="s">
        <v>168</v>
      </c>
      <c r="E1056" s="79" t="s">
        <v>49</v>
      </c>
      <c r="F1056" s="79" t="str">
        <f>IF(E1056="", "", IF(COUNTIF(ChestType!$A$5:$A$195, E1056)&gt;0, VLOOKUP(E1056, ChestType!$A$5:$B$195, 2, 0), "Others"))</f>
        <v>L15 Crypt</v>
      </c>
    </row>
    <row r="1057" spans="1:6" x14ac:dyDescent="0.25">
      <c r="A1057" s="14">
        <v>46144.803472222222</v>
      </c>
      <c r="B1057" s="79" t="s">
        <v>149</v>
      </c>
      <c r="C1057" s="79" t="s">
        <v>175</v>
      </c>
      <c r="D1057" s="79" t="s">
        <v>258</v>
      </c>
      <c r="E1057" s="79" t="s">
        <v>52</v>
      </c>
      <c r="F1057" s="79" t="str">
        <f>IF(E1057="", "", IF(COUNTIF(ChestType!$A$5:$A$195, E1057)&gt;0, VLOOKUP(E1057, ChestType!$A$5:$B$195, 2, 0), "Others"))</f>
        <v>L5 Crypt</v>
      </c>
    </row>
    <row r="1058" spans="1:6" x14ac:dyDescent="0.25">
      <c r="A1058" s="14">
        <v>46144.803472222222</v>
      </c>
      <c r="B1058" s="79" t="s">
        <v>149</v>
      </c>
      <c r="C1058" s="79" t="s">
        <v>183</v>
      </c>
      <c r="D1058" s="79" t="s">
        <v>240</v>
      </c>
      <c r="E1058" s="79" t="s">
        <v>50</v>
      </c>
      <c r="F1058" s="79" t="str">
        <f>IF(E1058="", "", IF(COUNTIF(ChestType!$A$5:$A$195, E1058)&gt;0, VLOOKUP(E1058, ChestType!$A$5:$B$195, 2, 0), "Others"))</f>
        <v>L10 Crypt</v>
      </c>
    </row>
    <row r="1059" spans="1:6" x14ac:dyDescent="0.25">
      <c r="A1059" s="14">
        <v>46144.803472222222</v>
      </c>
      <c r="B1059" s="79" t="s">
        <v>149</v>
      </c>
      <c r="C1059" s="79" t="s">
        <v>158</v>
      </c>
      <c r="D1059" s="79" t="s">
        <v>240</v>
      </c>
      <c r="E1059" s="79" t="s">
        <v>52</v>
      </c>
      <c r="F1059" s="79" t="str">
        <f>IF(E1059="", "", IF(COUNTIF(ChestType!$A$5:$A$195, E1059)&gt;0, VLOOKUP(E1059, ChestType!$A$5:$B$195, 2, 0), "Others"))</f>
        <v>L5 Crypt</v>
      </c>
    </row>
    <row r="1060" spans="1:6" x14ac:dyDescent="0.25">
      <c r="A1060" s="14">
        <v>46144.803472222222</v>
      </c>
      <c r="B1060" s="79" t="s">
        <v>149</v>
      </c>
      <c r="C1060" s="79" t="s">
        <v>176</v>
      </c>
      <c r="D1060" s="79" t="s">
        <v>167</v>
      </c>
      <c r="E1060" s="79" t="s">
        <v>70</v>
      </c>
      <c r="F1060" s="79" t="str">
        <f>IF(E1060="", "", IF(COUNTIF(ChestType!$A$5:$A$195, E1060)&gt;0, VLOOKUP(E1060, ChestType!$A$5:$B$195, 2, 0), "Others"))</f>
        <v>L10 Citadel</v>
      </c>
    </row>
    <row r="1061" spans="1:6" x14ac:dyDescent="0.25">
      <c r="A1061" s="14">
        <v>46144.803472222222</v>
      </c>
      <c r="B1061" s="79" t="s">
        <v>149</v>
      </c>
      <c r="C1061" s="79" t="s">
        <v>184</v>
      </c>
      <c r="D1061" s="79" t="s">
        <v>253</v>
      </c>
      <c r="E1061" s="79" t="s">
        <v>50</v>
      </c>
      <c r="F1061" s="79" t="str">
        <f>IF(E1061="", "", IF(COUNTIF(ChestType!$A$5:$A$195, E1061)&gt;0, VLOOKUP(E1061, ChestType!$A$5:$B$195, 2, 0), "Others"))</f>
        <v>L10 Crypt</v>
      </c>
    </row>
    <row r="1062" spans="1:6" x14ac:dyDescent="0.25">
      <c r="A1062" s="14">
        <v>46144.803472222222</v>
      </c>
      <c r="B1062" s="79" t="s">
        <v>149</v>
      </c>
      <c r="C1062" s="79" t="s">
        <v>184</v>
      </c>
      <c r="D1062" s="79" t="s">
        <v>179</v>
      </c>
      <c r="E1062" s="79" t="s">
        <v>50</v>
      </c>
      <c r="F1062" s="79" t="str">
        <f>IF(E1062="", "", IF(COUNTIF(ChestType!$A$5:$A$195, E1062)&gt;0, VLOOKUP(E1062, ChestType!$A$5:$B$195, 2, 0), "Others"))</f>
        <v>L10 Crypt</v>
      </c>
    </row>
    <row r="1063" spans="1:6" x14ac:dyDescent="0.25">
      <c r="A1063" s="14">
        <v>46144.803472222222</v>
      </c>
      <c r="B1063" s="79" t="s">
        <v>149</v>
      </c>
      <c r="C1063" s="79" t="s">
        <v>182</v>
      </c>
      <c r="D1063" s="79" t="s">
        <v>240</v>
      </c>
      <c r="E1063" s="79" t="s">
        <v>52</v>
      </c>
      <c r="F1063" s="79" t="str">
        <f>IF(E1063="", "", IF(COUNTIF(ChestType!$A$5:$A$195, E1063)&gt;0, VLOOKUP(E1063, ChestType!$A$5:$B$195, 2, 0), "Others"))</f>
        <v>L5 Crypt</v>
      </c>
    </row>
    <row r="1064" spans="1:6" x14ac:dyDescent="0.25">
      <c r="A1064" s="14">
        <v>46144.803472222222</v>
      </c>
      <c r="B1064" s="79" t="s">
        <v>149</v>
      </c>
      <c r="C1064" s="79" t="s">
        <v>158</v>
      </c>
      <c r="D1064" s="79" t="s">
        <v>261</v>
      </c>
      <c r="E1064" s="79" t="s">
        <v>50</v>
      </c>
      <c r="F1064" s="79" t="str">
        <f>IF(E1064="", "", IF(COUNTIF(ChestType!$A$5:$A$195, E1064)&gt;0, VLOOKUP(E1064, ChestType!$A$5:$B$195, 2, 0), "Others"))</f>
        <v>L10 Crypt</v>
      </c>
    </row>
    <row r="1065" spans="1:6" x14ac:dyDescent="0.25">
      <c r="A1065" s="14">
        <v>46144.803472222222</v>
      </c>
      <c r="B1065" s="79" t="s">
        <v>149</v>
      </c>
      <c r="C1065" s="79" t="s">
        <v>177</v>
      </c>
      <c r="D1065" s="79" t="s">
        <v>240</v>
      </c>
      <c r="E1065" s="79" t="s">
        <v>52</v>
      </c>
      <c r="F1065" s="79" t="str">
        <f>IF(E1065="", "", IF(COUNTIF(ChestType!$A$5:$A$195, E1065)&gt;0, VLOOKUP(E1065, ChestType!$A$5:$B$195, 2, 0), "Others"))</f>
        <v>L5 Crypt</v>
      </c>
    </row>
    <row r="1066" spans="1:6" x14ac:dyDescent="0.25">
      <c r="A1066" s="14">
        <v>46144.803472222222</v>
      </c>
      <c r="B1066" s="79" t="s">
        <v>149</v>
      </c>
      <c r="C1066" s="79" t="s">
        <v>181</v>
      </c>
      <c r="D1066" s="79" t="s">
        <v>179</v>
      </c>
      <c r="E1066" s="79" t="s">
        <v>50</v>
      </c>
      <c r="F1066" s="79" t="str">
        <f>IF(E1066="", "", IF(COUNTIF(ChestType!$A$5:$A$195, E1066)&gt;0, VLOOKUP(E1066, ChestType!$A$5:$B$195, 2, 0), "Others"))</f>
        <v>L10 Crypt</v>
      </c>
    </row>
    <row r="1067" spans="1:6" x14ac:dyDescent="0.25">
      <c r="A1067" s="14">
        <v>46144.803472222222</v>
      </c>
      <c r="B1067" s="79" t="s">
        <v>149</v>
      </c>
      <c r="C1067" s="79" t="s">
        <v>182</v>
      </c>
      <c r="D1067" s="79" t="s">
        <v>261</v>
      </c>
      <c r="E1067" s="79" t="s">
        <v>50</v>
      </c>
      <c r="F1067" s="79" t="str">
        <f>IF(E1067="", "", IF(COUNTIF(ChestType!$A$5:$A$195, E1067)&gt;0, VLOOKUP(E1067, ChestType!$A$5:$B$195, 2, 0), "Others"))</f>
        <v>L10 Crypt</v>
      </c>
    </row>
    <row r="1068" spans="1:6" x14ac:dyDescent="0.25">
      <c r="A1068" s="14">
        <v>46144.803472222222</v>
      </c>
      <c r="B1068" s="79" t="s">
        <v>149</v>
      </c>
      <c r="C1068" s="79" t="s">
        <v>184</v>
      </c>
      <c r="D1068" s="79" t="s">
        <v>261</v>
      </c>
      <c r="E1068" s="79" t="s">
        <v>50</v>
      </c>
      <c r="F1068" s="79" t="str">
        <f>IF(E1068="", "", IF(COUNTIF(ChestType!$A$5:$A$195, E1068)&gt;0, VLOOKUP(E1068, ChestType!$A$5:$B$195, 2, 0), "Others"))</f>
        <v>L10 Crypt</v>
      </c>
    </row>
    <row r="1069" spans="1:6" x14ac:dyDescent="0.25">
      <c r="A1069" s="14">
        <v>46144.803472222222</v>
      </c>
      <c r="B1069" s="79" t="s">
        <v>149</v>
      </c>
      <c r="C1069" s="79" t="s">
        <v>190</v>
      </c>
      <c r="D1069" s="79" t="s">
        <v>261</v>
      </c>
      <c r="E1069" s="79" t="s">
        <v>50</v>
      </c>
      <c r="F1069" s="79" t="str">
        <f>IF(E1069="", "", IF(COUNTIF(ChestType!$A$5:$A$195, E1069)&gt;0, VLOOKUP(E1069, ChestType!$A$5:$B$195, 2, 0), "Others"))</f>
        <v>L10 Crypt</v>
      </c>
    </row>
    <row r="1070" spans="1:6" x14ac:dyDescent="0.25">
      <c r="A1070" s="14">
        <v>46144.803472222222</v>
      </c>
      <c r="B1070" s="79" t="s">
        <v>149</v>
      </c>
      <c r="C1070" s="79" t="s">
        <v>182</v>
      </c>
      <c r="D1070" s="79" t="s">
        <v>261</v>
      </c>
      <c r="E1070" s="79" t="s">
        <v>50</v>
      </c>
      <c r="F1070" s="79" t="str">
        <f>IF(E1070="", "", IF(COUNTIF(ChestType!$A$5:$A$195, E1070)&gt;0, VLOOKUP(E1070, ChestType!$A$5:$B$195, 2, 0), "Others"))</f>
        <v>L10 Crypt</v>
      </c>
    </row>
    <row r="1071" spans="1:6" x14ac:dyDescent="0.25">
      <c r="A1071" s="14">
        <v>46144.803472222222</v>
      </c>
      <c r="B1071" s="79" t="s">
        <v>149</v>
      </c>
      <c r="C1071" s="79" t="s">
        <v>182</v>
      </c>
      <c r="D1071" s="79" t="s">
        <v>179</v>
      </c>
      <c r="E1071" s="79" t="s">
        <v>50</v>
      </c>
      <c r="F1071" s="79" t="str">
        <f>IF(E1071="", "", IF(COUNTIF(ChestType!$A$5:$A$195, E1071)&gt;0, VLOOKUP(E1071, ChestType!$A$5:$B$195, 2, 0), "Others"))</f>
        <v>L10 Crypt</v>
      </c>
    </row>
    <row r="1072" spans="1:6" x14ac:dyDescent="0.25">
      <c r="A1072" s="14">
        <v>46144.803472222222</v>
      </c>
      <c r="B1072" s="79" t="s">
        <v>149</v>
      </c>
      <c r="C1072" s="79" t="s">
        <v>183</v>
      </c>
      <c r="D1072" s="79" t="s">
        <v>261</v>
      </c>
      <c r="E1072" s="79" t="s">
        <v>50</v>
      </c>
      <c r="F1072" s="79" t="str">
        <f>IF(E1072="", "", IF(COUNTIF(ChestType!$A$5:$A$195, E1072)&gt;0, VLOOKUP(E1072, ChestType!$A$5:$B$195, 2, 0), "Others"))</f>
        <v>L10 Crypt</v>
      </c>
    </row>
    <row r="1073" spans="1:6" x14ac:dyDescent="0.25">
      <c r="A1073" s="14">
        <v>46144.803472222222</v>
      </c>
      <c r="B1073" s="79" t="s">
        <v>149</v>
      </c>
      <c r="C1073" s="79" t="s">
        <v>171</v>
      </c>
      <c r="D1073" s="79" t="s">
        <v>150</v>
      </c>
      <c r="E1073" s="79" t="s">
        <v>49</v>
      </c>
      <c r="F1073" s="79" t="str">
        <f>IF(E1073="", "", IF(COUNTIF(ChestType!$A$5:$A$195, E1073)&gt;0, VLOOKUP(E1073, ChestType!$A$5:$B$195, 2, 0), "Others"))</f>
        <v>L15 Crypt</v>
      </c>
    </row>
    <row r="1074" spans="1:6" x14ac:dyDescent="0.25">
      <c r="A1074" s="14">
        <v>46144.803472222222</v>
      </c>
      <c r="B1074" s="79" t="s">
        <v>149</v>
      </c>
      <c r="C1074" s="79" t="s">
        <v>151</v>
      </c>
      <c r="D1074" s="79" t="s">
        <v>150</v>
      </c>
      <c r="E1074" s="79" t="s">
        <v>49</v>
      </c>
      <c r="F1074" s="79" t="str">
        <f>IF(E1074="", "", IF(COUNTIF(ChestType!$A$5:$A$195, E1074)&gt;0, VLOOKUP(E1074, ChestType!$A$5:$B$195, 2, 0), "Others"))</f>
        <v>L15 Crypt</v>
      </c>
    </row>
    <row r="1075" spans="1:6" x14ac:dyDescent="0.25">
      <c r="A1075" s="14">
        <v>46144.803472222222</v>
      </c>
      <c r="B1075" s="79" t="s">
        <v>149</v>
      </c>
      <c r="C1075" s="79" t="s">
        <v>190</v>
      </c>
      <c r="D1075" s="79" t="s">
        <v>150</v>
      </c>
      <c r="E1075" s="79" t="s">
        <v>49</v>
      </c>
      <c r="F1075" s="79" t="str">
        <f>IF(E1075="", "", IF(COUNTIF(ChestType!$A$5:$A$195, E1075)&gt;0, VLOOKUP(E1075, ChestType!$A$5:$B$195, 2, 0), "Others"))</f>
        <v>L15 Crypt</v>
      </c>
    </row>
    <row r="1076" spans="1:6" x14ac:dyDescent="0.25">
      <c r="A1076" s="14">
        <v>46144.803472222222</v>
      </c>
      <c r="B1076" s="79" t="s">
        <v>149</v>
      </c>
      <c r="C1076" s="79" t="s">
        <v>175</v>
      </c>
      <c r="D1076" s="79" t="s">
        <v>150</v>
      </c>
      <c r="E1076" s="79" t="s">
        <v>49</v>
      </c>
      <c r="F1076" s="79" t="str">
        <f>IF(E1076="", "", IF(COUNTIF(ChestType!$A$5:$A$195, E1076)&gt;0, VLOOKUP(E1076, ChestType!$A$5:$B$195, 2, 0), "Others"))</f>
        <v>L15 Crypt</v>
      </c>
    </row>
    <row r="1077" spans="1:6" x14ac:dyDescent="0.25">
      <c r="A1077" s="14">
        <v>46144.803472222222</v>
      </c>
      <c r="B1077" s="79" t="s">
        <v>149</v>
      </c>
      <c r="C1077" s="79" t="s">
        <v>151</v>
      </c>
      <c r="D1077" s="79" t="s">
        <v>257</v>
      </c>
      <c r="E1077" s="79" t="s">
        <v>52</v>
      </c>
      <c r="F1077" s="79" t="str">
        <f>IF(E1077="", "", IF(COUNTIF(ChestType!$A$5:$A$195, E1077)&gt;0, VLOOKUP(E1077, ChestType!$A$5:$B$195, 2, 0), "Others"))</f>
        <v>L5 Crypt</v>
      </c>
    </row>
    <row r="1078" spans="1:6" x14ac:dyDescent="0.25">
      <c r="A1078" s="14">
        <v>46144.803472222222</v>
      </c>
      <c r="B1078" s="79" t="s">
        <v>149</v>
      </c>
      <c r="C1078" s="79" t="s">
        <v>158</v>
      </c>
      <c r="D1078" s="79" t="s">
        <v>150</v>
      </c>
      <c r="E1078" s="79" t="s">
        <v>49</v>
      </c>
      <c r="F1078" s="79" t="str">
        <f>IF(E1078="", "", IF(COUNTIF(ChestType!$A$5:$A$195, E1078)&gt;0, VLOOKUP(E1078, ChestType!$A$5:$B$195, 2, 0), "Others"))</f>
        <v>L15 Crypt</v>
      </c>
    </row>
    <row r="1079" spans="1:6" x14ac:dyDescent="0.25">
      <c r="A1079" s="14">
        <v>46144.803472222222</v>
      </c>
      <c r="B1079" s="79" t="s">
        <v>149</v>
      </c>
      <c r="C1079" s="79" t="s">
        <v>190</v>
      </c>
      <c r="D1079" s="79" t="s">
        <v>150</v>
      </c>
      <c r="E1079" s="79" t="s">
        <v>49</v>
      </c>
      <c r="F1079" s="79" t="str">
        <f>IF(E1079="", "", IF(COUNTIF(ChestType!$A$5:$A$195, E1079)&gt;0, VLOOKUP(E1079, ChestType!$A$5:$B$195, 2, 0), "Others"))</f>
        <v>L15 Crypt</v>
      </c>
    </row>
    <row r="1080" spans="1:6" x14ac:dyDescent="0.25">
      <c r="A1080" s="14">
        <v>46144.803472222222</v>
      </c>
      <c r="B1080" s="79" t="s">
        <v>149</v>
      </c>
      <c r="C1080" s="79" t="s">
        <v>173</v>
      </c>
      <c r="D1080" s="79" t="s">
        <v>150</v>
      </c>
      <c r="E1080" s="79" t="s">
        <v>49</v>
      </c>
      <c r="F1080" s="79" t="str">
        <f>IF(E1080="", "", IF(COUNTIF(ChestType!$A$5:$A$195, E1080)&gt;0, VLOOKUP(E1080, ChestType!$A$5:$B$195, 2, 0), "Others"))</f>
        <v>L15 Crypt</v>
      </c>
    </row>
    <row r="1081" spans="1:6" x14ac:dyDescent="0.25">
      <c r="A1081" s="14">
        <v>46144.803472222222</v>
      </c>
      <c r="B1081" s="79" t="s">
        <v>149</v>
      </c>
      <c r="C1081" s="79" t="s">
        <v>181</v>
      </c>
      <c r="D1081" s="79" t="s">
        <v>150</v>
      </c>
      <c r="E1081" s="79" t="s">
        <v>49</v>
      </c>
      <c r="F1081" s="79" t="str">
        <f>IF(E1081="", "", IF(COUNTIF(ChestType!$A$5:$A$195, E1081)&gt;0, VLOOKUP(E1081, ChestType!$A$5:$B$195, 2, 0), "Others"))</f>
        <v>L15 Crypt</v>
      </c>
    </row>
    <row r="1082" spans="1:6" x14ac:dyDescent="0.25">
      <c r="A1082" s="14">
        <v>46144.803472222222</v>
      </c>
      <c r="B1082" s="79" t="s">
        <v>149</v>
      </c>
      <c r="C1082" s="79" t="s">
        <v>176</v>
      </c>
      <c r="D1082" s="79" t="s">
        <v>202</v>
      </c>
      <c r="E1082" s="79" t="s">
        <v>70</v>
      </c>
      <c r="F1082" s="79" t="str">
        <f>IF(E1082="", "", IF(COUNTIF(ChestType!$A$5:$A$195, E1082)&gt;0, VLOOKUP(E1082, ChestType!$A$5:$B$195, 2, 0), "Others"))</f>
        <v>L10 Citadel</v>
      </c>
    </row>
    <row r="1083" spans="1:6" x14ac:dyDescent="0.25">
      <c r="A1083" s="14">
        <v>46144.803472222222</v>
      </c>
      <c r="B1083" s="79" t="s">
        <v>149</v>
      </c>
      <c r="C1083" s="79" t="s">
        <v>151</v>
      </c>
      <c r="D1083" s="79" t="s">
        <v>150</v>
      </c>
      <c r="E1083" s="79" t="s">
        <v>50</v>
      </c>
      <c r="F1083" s="79" t="str">
        <f>IF(E1083="", "", IF(COUNTIF(ChestType!$A$5:$A$195, E1083)&gt;0, VLOOKUP(E1083, ChestType!$A$5:$B$195, 2, 0), "Others"))</f>
        <v>L10 Crypt</v>
      </c>
    </row>
    <row r="1084" spans="1:6" x14ac:dyDescent="0.25">
      <c r="A1084" s="14">
        <v>46144.803472222222</v>
      </c>
      <c r="B1084" s="79" t="s">
        <v>149</v>
      </c>
      <c r="C1084" s="79" t="s">
        <v>151</v>
      </c>
      <c r="D1084" s="79" t="s">
        <v>150</v>
      </c>
      <c r="E1084" s="79" t="s">
        <v>50</v>
      </c>
      <c r="F1084" s="79" t="str">
        <f>IF(E1084="", "", IF(COUNTIF(ChestType!$A$5:$A$195, E1084)&gt;0, VLOOKUP(E1084, ChestType!$A$5:$B$195, 2, 0), "Others"))</f>
        <v>L10 Crypt</v>
      </c>
    </row>
    <row r="1085" spans="1:6" x14ac:dyDescent="0.25">
      <c r="A1085" s="14">
        <v>46144.803472222222</v>
      </c>
      <c r="B1085" s="79" t="s">
        <v>149</v>
      </c>
      <c r="C1085" s="79" t="s">
        <v>187</v>
      </c>
      <c r="D1085" s="79" t="s">
        <v>150</v>
      </c>
      <c r="E1085" s="79" t="s">
        <v>71</v>
      </c>
      <c r="F1085" s="79" t="str">
        <f>IF(E1085="", "", IF(COUNTIF(ChestType!$A$5:$A$195, E1085)&gt;0, VLOOKUP(E1085, ChestType!$A$5:$B$195, 2, 0), "Others"))</f>
        <v>L15 Rare Crypt</v>
      </c>
    </row>
    <row r="1086" spans="1:6" x14ac:dyDescent="0.25">
      <c r="A1086" s="14">
        <v>46144.803472222222</v>
      </c>
      <c r="B1086" s="79" t="s">
        <v>149</v>
      </c>
      <c r="C1086" s="79" t="s">
        <v>187</v>
      </c>
      <c r="D1086" s="79" t="s">
        <v>202</v>
      </c>
      <c r="E1086" s="79" t="s">
        <v>75</v>
      </c>
      <c r="F1086" s="79" t="str">
        <f>IF(E1086="", "", IF(COUNTIF(ChestType!$A$5:$A$195, E1086)&gt;0, VLOOKUP(E1086, ChestType!$A$5:$B$195, 2, 0), "Others"))</f>
        <v>L10 Rare Crypt</v>
      </c>
    </row>
    <row r="1087" spans="1:6" x14ac:dyDescent="0.25">
      <c r="A1087" s="14">
        <v>46144.803472222222</v>
      </c>
      <c r="B1087" s="79" t="s">
        <v>149</v>
      </c>
      <c r="C1087" s="79" t="s">
        <v>187</v>
      </c>
      <c r="D1087" s="79" t="s">
        <v>150</v>
      </c>
      <c r="E1087" s="79" t="s">
        <v>75</v>
      </c>
      <c r="F1087" s="79" t="str">
        <f>IF(E1087="", "", IF(COUNTIF(ChestType!$A$5:$A$195, E1087)&gt;0, VLOOKUP(E1087, ChestType!$A$5:$B$195, 2, 0), "Others"))</f>
        <v>L10 Rare Crypt</v>
      </c>
    </row>
    <row r="1088" spans="1:6" x14ac:dyDescent="0.25">
      <c r="A1088" s="14">
        <v>46144.803472222222</v>
      </c>
      <c r="B1088" s="79" t="s">
        <v>149</v>
      </c>
      <c r="C1088" s="79" t="s">
        <v>183</v>
      </c>
      <c r="D1088" s="79" t="s">
        <v>155</v>
      </c>
      <c r="E1088" s="79" t="s">
        <v>50</v>
      </c>
      <c r="F1088" s="79" t="str">
        <f>IF(E1088="", "", IF(COUNTIF(ChestType!$A$5:$A$195, E1088)&gt;0, VLOOKUP(E1088, ChestType!$A$5:$B$195, 2, 0), "Others"))</f>
        <v>L10 Crypt</v>
      </c>
    </row>
    <row r="1089" spans="1:6" x14ac:dyDescent="0.25">
      <c r="A1089" s="14">
        <v>46144.803472222222</v>
      </c>
      <c r="B1089" s="79" t="s">
        <v>149</v>
      </c>
      <c r="C1089" s="79" t="s">
        <v>187</v>
      </c>
      <c r="D1089" s="79" t="s">
        <v>150</v>
      </c>
      <c r="E1089" s="79" t="s">
        <v>75</v>
      </c>
      <c r="F1089" s="79" t="str">
        <f>IF(E1089="", "", IF(COUNTIF(ChestType!$A$5:$A$195, E1089)&gt;0, VLOOKUP(E1089, ChestType!$A$5:$B$195, 2, 0), "Others"))</f>
        <v>L10 Rare Crypt</v>
      </c>
    </row>
    <row r="1090" spans="1:6" x14ac:dyDescent="0.25">
      <c r="A1090" s="14">
        <v>46144.803472222222</v>
      </c>
      <c r="B1090" s="79" t="s">
        <v>149</v>
      </c>
      <c r="C1090" s="79" t="s">
        <v>158</v>
      </c>
      <c r="D1090" s="79" t="s">
        <v>155</v>
      </c>
      <c r="E1090" s="79" t="s">
        <v>50</v>
      </c>
      <c r="F1090" s="79" t="str">
        <f>IF(E1090="", "", IF(COUNTIF(ChestType!$A$5:$A$195, E1090)&gt;0, VLOOKUP(E1090, ChestType!$A$5:$B$195, 2, 0), "Others"))</f>
        <v>L10 Crypt</v>
      </c>
    </row>
    <row r="1091" spans="1:6" x14ac:dyDescent="0.25">
      <c r="A1091" s="14">
        <v>46144.803472222222</v>
      </c>
      <c r="B1091" s="79" t="s">
        <v>149</v>
      </c>
      <c r="C1091" s="79" t="s">
        <v>187</v>
      </c>
      <c r="D1091" s="79" t="s">
        <v>150</v>
      </c>
      <c r="E1091" s="79" t="s">
        <v>75</v>
      </c>
      <c r="F1091" s="79" t="str">
        <f>IF(E1091="", "", IF(COUNTIF(ChestType!$A$5:$A$195, E1091)&gt;0, VLOOKUP(E1091, ChestType!$A$5:$B$195, 2, 0), "Others"))</f>
        <v>L10 Rare Crypt</v>
      </c>
    </row>
    <row r="1092" spans="1:6" x14ac:dyDescent="0.25">
      <c r="A1092" s="14">
        <v>46144.803472222222</v>
      </c>
      <c r="B1092" s="79" t="s">
        <v>149</v>
      </c>
      <c r="C1092" s="79" t="s">
        <v>173</v>
      </c>
      <c r="D1092" s="79" t="s">
        <v>155</v>
      </c>
      <c r="E1092" s="79" t="s">
        <v>50</v>
      </c>
      <c r="F1092" s="79" t="str">
        <f>IF(E1092="", "", IF(COUNTIF(ChestType!$A$5:$A$195, E1092)&gt;0, VLOOKUP(E1092, ChestType!$A$5:$B$195, 2, 0), "Others"))</f>
        <v>L10 Crypt</v>
      </c>
    </row>
    <row r="1093" spans="1:6" x14ac:dyDescent="0.25">
      <c r="A1093" s="14">
        <v>46144.803472222222</v>
      </c>
      <c r="B1093" s="79" t="s">
        <v>149</v>
      </c>
      <c r="C1093" s="79" t="s">
        <v>177</v>
      </c>
      <c r="D1093" s="79" t="s">
        <v>204</v>
      </c>
      <c r="E1093" s="79" t="s">
        <v>49</v>
      </c>
      <c r="F1093" s="79" t="str">
        <f>IF(E1093="", "", IF(COUNTIF(ChestType!$A$5:$A$195, E1093)&gt;0, VLOOKUP(E1093, ChestType!$A$5:$B$195, 2, 0), "Others"))</f>
        <v>L15 Crypt</v>
      </c>
    </row>
    <row r="1094" spans="1:6" x14ac:dyDescent="0.25">
      <c r="A1094" s="14">
        <v>46144.803472222222</v>
      </c>
      <c r="B1094" s="79" t="s">
        <v>149</v>
      </c>
      <c r="C1094" s="79" t="s">
        <v>183</v>
      </c>
      <c r="D1094" s="79" t="s">
        <v>257</v>
      </c>
      <c r="E1094" s="79" t="s">
        <v>50</v>
      </c>
      <c r="F1094" s="79" t="str">
        <f>IF(E1094="", "", IF(COUNTIF(ChestType!$A$5:$A$195, E1094)&gt;0, VLOOKUP(E1094, ChestType!$A$5:$B$195, 2, 0), "Others"))</f>
        <v>L10 Crypt</v>
      </c>
    </row>
    <row r="1095" spans="1:6" x14ac:dyDescent="0.25">
      <c r="A1095" s="14">
        <v>46144.803472222222</v>
      </c>
      <c r="B1095" s="79" t="s">
        <v>149</v>
      </c>
      <c r="C1095" s="79" t="s">
        <v>182</v>
      </c>
      <c r="D1095" s="79" t="s">
        <v>155</v>
      </c>
      <c r="E1095" s="79" t="s">
        <v>50</v>
      </c>
      <c r="F1095" s="79" t="str">
        <f>IF(E1095="", "", IF(COUNTIF(ChestType!$A$5:$A$195, E1095)&gt;0, VLOOKUP(E1095, ChestType!$A$5:$B$195, 2, 0), "Others"))</f>
        <v>L10 Crypt</v>
      </c>
    </row>
    <row r="1096" spans="1:6" x14ac:dyDescent="0.25">
      <c r="A1096" s="14">
        <v>46144.803472222222</v>
      </c>
      <c r="B1096" s="79" t="s">
        <v>149</v>
      </c>
      <c r="C1096" s="79" t="s">
        <v>175</v>
      </c>
      <c r="D1096" s="79" t="s">
        <v>204</v>
      </c>
      <c r="E1096" s="79" t="s">
        <v>50</v>
      </c>
      <c r="F1096" s="79" t="str">
        <f>IF(E1096="", "", IF(COUNTIF(ChestType!$A$5:$A$195, E1096)&gt;0, VLOOKUP(E1096, ChestType!$A$5:$B$195, 2, 0), "Others"))</f>
        <v>L10 Crypt</v>
      </c>
    </row>
    <row r="1097" spans="1:6" x14ac:dyDescent="0.25">
      <c r="A1097" s="14">
        <v>46144.803472222222</v>
      </c>
      <c r="B1097" s="79" t="s">
        <v>149</v>
      </c>
      <c r="C1097" s="79" t="s">
        <v>171</v>
      </c>
      <c r="D1097" s="79" t="s">
        <v>204</v>
      </c>
      <c r="E1097" s="79" t="s">
        <v>49</v>
      </c>
      <c r="F1097" s="79" t="str">
        <f>IF(E1097="", "", IF(COUNTIF(ChestType!$A$5:$A$195, E1097)&gt;0, VLOOKUP(E1097, ChestType!$A$5:$B$195, 2, 0), "Others"))</f>
        <v>L15 Crypt</v>
      </c>
    </row>
    <row r="1098" spans="1:6" x14ac:dyDescent="0.25">
      <c r="A1098" s="14">
        <v>46144.803472222222</v>
      </c>
      <c r="B1098" s="79" t="s">
        <v>149</v>
      </c>
      <c r="C1098" s="79" t="s">
        <v>183</v>
      </c>
      <c r="D1098" s="79" t="s">
        <v>253</v>
      </c>
      <c r="E1098" s="79" t="s">
        <v>50</v>
      </c>
      <c r="F1098" s="79" t="str">
        <f>IF(E1098="", "", IF(COUNTIF(ChestType!$A$5:$A$195, E1098)&gt;0, VLOOKUP(E1098, ChestType!$A$5:$B$195, 2, 0), "Others"))</f>
        <v>L10 Crypt</v>
      </c>
    </row>
    <row r="1099" spans="1:6" x14ac:dyDescent="0.25">
      <c r="A1099" s="14">
        <v>46144.803472222222</v>
      </c>
      <c r="B1099" s="79" t="s">
        <v>149</v>
      </c>
      <c r="C1099" s="79" t="s">
        <v>192</v>
      </c>
      <c r="D1099" s="79" t="s">
        <v>204</v>
      </c>
      <c r="E1099" s="79" t="s">
        <v>60</v>
      </c>
      <c r="F1099" s="79" t="str">
        <f>IF(E1099="", "", IF(COUNTIF(ChestType!$A$5:$A$195, E1099)&gt;0, VLOOKUP(E1099, ChestType!$A$5:$B$195, 2, 0), "Others"))</f>
        <v>Others</v>
      </c>
    </row>
    <row r="1100" spans="1:6" x14ac:dyDescent="0.25">
      <c r="A1100" s="14">
        <v>46144.803472222222</v>
      </c>
      <c r="B1100" s="79" t="s">
        <v>149</v>
      </c>
      <c r="C1100" s="79" t="s">
        <v>182</v>
      </c>
      <c r="D1100" s="79" t="s">
        <v>224</v>
      </c>
      <c r="E1100" s="79" t="s">
        <v>52</v>
      </c>
      <c r="F1100" s="79" t="str">
        <f>IF(E1100="", "", IF(COUNTIF(ChestType!$A$5:$A$195, E1100)&gt;0, VLOOKUP(E1100, ChestType!$A$5:$B$195, 2, 0), "Others"))</f>
        <v>L5 Crypt</v>
      </c>
    </row>
    <row r="1101" spans="1:6" x14ac:dyDescent="0.25">
      <c r="A1101" s="14">
        <v>46144.803472222222</v>
      </c>
      <c r="B1101" s="79" t="s">
        <v>149</v>
      </c>
      <c r="C1101" s="79" t="s">
        <v>183</v>
      </c>
      <c r="D1101" s="79" t="s">
        <v>250</v>
      </c>
      <c r="E1101" s="79" t="s">
        <v>49</v>
      </c>
      <c r="F1101" s="79" t="str">
        <f>IF(E1101="", "", IF(COUNTIF(ChestType!$A$5:$A$195, E1101)&gt;0, VLOOKUP(E1101, ChestType!$A$5:$B$195, 2, 0), "Others"))</f>
        <v>L15 Crypt</v>
      </c>
    </row>
    <row r="1102" spans="1:6" x14ac:dyDescent="0.25">
      <c r="A1102" s="14">
        <v>46144.803472222222</v>
      </c>
      <c r="B1102" s="79" t="s">
        <v>149</v>
      </c>
      <c r="C1102" s="79" t="s">
        <v>151</v>
      </c>
      <c r="D1102" s="79" t="s">
        <v>257</v>
      </c>
      <c r="E1102" s="79" t="s">
        <v>50</v>
      </c>
      <c r="F1102" s="79" t="str">
        <f>IF(E1102="", "", IF(COUNTIF(ChestType!$A$5:$A$195, E1102)&gt;0, VLOOKUP(E1102, ChestType!$A$5:$B$195, 2, 0), "Others"))</f>
        <v>L10 Crypt</v>
      </c>
    </row>
    <row r="1103" spans="1:6" x14ac:dyDescent="0.25">
      <c r="A1103" s="14">
        <v>46144.803472222222</v>
      </c>
      <c r="B1103" s="79" t="s">
        <v>149</v>
      </c>
      <c r="C1103" s="79" t="s">
        <v>176</v>
      </c>
      <c r="D1103" s="79" t="s">
        <v>205</v>
      </c>
      <c r="E1103" s="79" t="s">
        <v>44</v>
      </c>
      <c r="F1103" s="79" t="str">
        <f>IF(E1103="", "", IF(COUNTIF(ChestType!$A$5:$A$195, E1103)&gt;0, VLOOKUP(E1103, ChestType!$A$5:$B$195, 2, 0), "Others"))</f>
        <v>L20 Citadel</v>
      </c>
    </row>
    <row r="1104" spans="1:6" x14ac:dyDescent="0.25">
      <c r="A1104" s="14">
        <v>46144.803472222222</v>
      </c>
      <c r="B1104" s="79" t="s">
        <v>149</v>
      </c>
      <c r="C1104" s="79" t="s">
        <v>183</v>
      </c>
      <c r="D1104" s="79" t="s">
        <v>150</v>
      </c>
      <c r="E1104" s="79" t="s">
        <v>50</v>
      </c>
      <c r="F1104" s="79" t="str">
        <f>IF(E1104="", "", IF(COUNTIF(ChestType!$A$5:$A$195, E1104)&gt;0, VLOOKUP(E1104, ChestType!$A$5:$B$195, 2, 0), "Others"))</f>
        <v>L10 Crypt</v>
      </c>
    </row>
    <row r="1105" spans="1:6" x14ac:dyDescent="0.25">
      <c r="A1105" s="14">
        <v>46144.803472222222</v>
      </c>
      <c r="B1105" s="79" t="s">
        <v>149</v>
      </c>
      <c r="C1105" s="79" t="s">
        <v>187</v>
      </c>
      <c r="D1105" s="79" t="s">
        <v>250</v>
      </c>
      <c r="E1105" s="79" t="s">
        <v>75</v>
      </c>
      <c r="F1105" s="79" t="str">
        <f>IF(E1105="", "", IF(COUNTIF(ChestType!$A$5:$A$195, E1105)&gt;0, VLOOKUP(E1105, ChestType!$A$5:$B$195, 2, 0), "Others"))</f>
        <v>L10 Rare Crypt</v>
      </c>
    </row>
    <row r="1106" spans="1:6" x14ac:dyDescent="0.25">
      <c r="A1106" s="14">
        <v>46144.803472222222</v>
      </c>
      <c r="B1106" s="79" t="s">
        <v>149</v>
      </c>
      <c r="C1106" s="79" t="s">
        <v>171</v>
      </c>
      <c r="D1106" s="79" t="s">
        <v>258</v>
      </c>
      <c r="E1106" s="79" t="s">
        <v>52</v>
      </c>
      <c r="F1106" s="79" t="str">
        <f>IF(E1106="", "", IF(COUNTIF(ChestType!$A$5:$A$195, E1106)&gt;0, VLOOKUP(E1106, ChestType!$A$5:$B$195, 2, 0), "Others"))</f>
        <v>L5 Crypt</v>
      </c>
    </row>
    <row r="1107" spans="1:6" x14ac:dyDescent="0.25">
      <c r="A1107" s="14">
        <v>46144.803472222222</v>
      </c>
      <c r="B1107" s="79" t="s">
        <v>149</v>
      </c>
      <c r="C1107" s="79" t="s">
        <v>185</v>
      </c>
      <c r="D1107" s="79" t="s">
        <v>257</v>
      </c>
      <c r="E1107" s="79" t="s">
        <v>52</v>
      </c>
      <c r="F1107" s="79" t="str">
        <f>IF(E1107="", "", IF(COUNTIF(ChestType!$A$5:$A$195, E1107)&gt;0, VLOOKUP(E1107, ChestType!$A$5:$B$195, 2, 0), "Others"))</f>
        <v>L5 Crypt</v>
      </c>
    </row>
    <row r="1108" spans="1:6" x14ac:dyDescent="0.25">
      <c r="A1108" s="14">
        <v>46144.803472222222</v>
      </c>
      <c r="B1108" s="79" t="s">
        <v>149</v>
      </c>
      <c r="C1108" s="79" t="s">
        <v>184</v>
      </c>
      <c r="D1108" s="79" t="s">
        <v>261</v>
      </c>
      <c r="E1108" s="79" t="s">
        <v>50</v>
      </c>
      <c r="F1108" s="79" t="str">
        <f>IF(E1108="", "", IF(COUNTIF(ChestType!$A$5:$A$195, E1108)&gt;0, VLOOKUP(E1108, ChestType!$A$5:$B$195, 2, 0), "Others"))</f>
        <v>L10 Crypt</v>
      </c>
    </row>
    <row r="1109" spans="1:6" x14ac:dyDescent="0.25">
      <c r="A1109" s="14">
        <v>46144.803472222222</v>
      </c>
      <c r="B1109" s="79" t="s">
        <v>149</v>
      </c>
      <c r="C1109" s="79" t="s">
        <v>192</v>
      </c>
      <c r="D1109" s="79" t="s">
        <v>261</v>
      </c>
      <c r="E1109" s="79" t="s">
        <v>60</v>
      </c>
      <c r="F1109" s="79" t="str">
        <f>IF(E1109="", "", IF(COUNTIF(ChestType!$A$5:$A$195, E1109)&gt;0, VLOOKUP(E1109, ChestType!$A$5:$B$195, 2, 0), "Others"))</f>
        <v>Others</v>
      </c>
    </row>
    <row r="1110" spans="1:6" x14ac:dyDescent="0.25">
      <c r="A1110" s="14">
        <v>46144.803472222222</v>
      </c>
      <c r="B1110" s="79" t="s">
        <v>149</v>
      </c>
      <c r="C1110" s="79" t="s">
        <v>151</v>
      </c>
      <c r="D1110" s="79" t="s">
        <v>261</v>
      </c>
      <c r="E1110" s="79" t="s">
        <v>52</v>
      </c>
      <c r="F1110" s="79" t="str">
        <f>IF(E1110="", "", IF(COUNTIF(ChestType!$A$5:$A$195, E1110)&gt;0, VLOOKUP(E1110, ChestType!$A$5:$B$195, 2, 0), "Others"))</f>
        <v>L5 Crypt</v>
      </c>
    </row>
    <row r="1111" spans="1:6" x14ac:dyDescent="0.25">
      <c r="A1111" s="14">
        <v>46144.803472222222</v>
      </c>
      <c r="B1111" s="79" t="s">
        <v>149</v>
      </c>
      <c r="C1111" s="79" t="s">
        <v>173</v>
      </c>
      <c r="D1111" s="79" t="s">
        <v>257</v>
      </c>
      <c r="E1111" s="79" t="s">
        <v>52</v>
      </c>
      <c r="F1111" s="79" t="str">
        <f>IF(E1111="", "", IF(COUNTIF(ChestType!$A$5:$A$195, E1111)&gt;0, VLOOKUP(E1111, ChestType!$A$5:$B$195, 2, 0), "Others"))</f>
        <v>L5 Crypt</v>
      </c>
    </row>
    <row r="1112" spans="1:6" x14ac:dyDescent="0.25">
      <c r="A1112" s="14">
        <v>46144.803472222222</v>
      </c>
      <c r="B1112" s="79" t="s">
        <v>149</v>
      </c>
      <c r="C1112" s="79" t="s">
        <v>151</v>
      </c>
      <c r="D1112" s="79" t="s">
        <v>167</v>
      </c>
      <c r="E1112" s="79" t="s">
        <v>50</v>
      </c>
      <c r="F1112" s="79" t="str">
        <f>IF(E1112="", "", IF(COUNTIF(ChestType!$A$5:$A$195, E1112)&gt;0, VLOOKUP(E1112, ChestType!$A$5:$B$195, 2, 0), "Others"))</f>
        <v>L10 Crypt</v>
      </c>
    </row>
    <row r="1113" spans="1:6" x14ac:dyDescent="0.25">
      <c r="A1113" s="14">
        <v>46144.803472222222</v>
      </c>
      <c r="B1113" s="79" t="s">
        <v>149</v>
      </c>
      <c r="C1113" s="79" t="s">
        <v>182</v>
      </c>
      <c r="D1113" s="79" t="s">
        <v>157</v>
      </c>
      <c r="E1113" s="79" t="s">
        <v>50</v>
      </c>
      <c r="F1113" s="79" t="str">
        <f>IF(E1113="", "", IF(COUNTIF(ChestType!$A$5:$A$195, E1113)&gt;0, VLOOKUP(E1113, ChestType!$A$5:$B$195, 2, 0), "Others"))</f>
        <v>L10 Crypt</v>
      </c>
    </row>
    <row r="1114" spans="1:6" x14ac:dyDescent="0.25">
      <c r="A1114" s="14">
        <v>46144.803472222222</v>
      </c>
      <c r="B1114" s="79" t="s">
        <v>149</v>
      </c>
      <c r="C1114" s="79" t="s">
        <v>185</v>
      </c>
      <c r="D1114" s="79" t="s">
        <v>191</v>
      </c>
      <c r="E1114" s="79" t="s">
        <v>49</v>
      </c>
      <c r="F1114" s="79" t="str">
        <f>IF(E1114="", "", IF(COUNTIF(ChestType!$A$5:$A$195, E1114)&gt;0, VLOOKUP(E1114, ChestType!$A$5:$B$195, 2, 0), "Others"))</f>
        <v>L15 Crypt</v>
      </c>
    </row>
    <row r="1115" spans="1:6" x14ac:dyDescent="0.25">
      <c r="A1115" s="14">
        <v>46144.803472222222</v>
      </c>
      <c r="B1115" s="79" t="s">
        <v>149</v>
      </c>
      <c r="C1115" s="79" t="s">
        <v>211</v>
      </c>
      <c r="D1115" s="79" t="s">
        <v>179</v>
      </c>
      <c r="E1115" s="79" t="s">
        <v>64</v>
      </c>
      <c r="F1115" s="79" t="str">
        <f>IF(E1115="", "", IF(COUNTIF(ChestType!$A$5:$A$195, E1115)&gt;0, VLOOKUP(E1115, ChestType!$A$5:$B$195, 2, 0), "Others"))</f>
        <v>L15 Epic Crypt</v>
      </c>
    </row>
    <row r="1116" spans="1:6" x14ac:dyDescent="0.25">
      <c r="A1116" s="14">
        <v>46144.803472222222</v>
      </c>
      <c r="B1116" s="79" t="s">
        <v>149</v>
      </c>
      <c r="C1116" s="79" t="s">
        <v>183</v>
      </c>
      <c r="D1116" s="79" t="s">
        <v>244</v>
      </c>
      <c r="E1116" s="79" t="s">
        <v>49</v>
      </c>
      <c r="F1116" s="79" t="str">
        <f>IF(E1116="", "", IF(COUNTIF(ChestType!$A$5:$A$195, E1116)&gt;0, VLOOKUP(E1116, ChestType!$A$5:$B$195, 2, 0), "Others"))</f>
        <v>L15 Crypt</v>
      </c>
    </row>
    <row r="1117" spans="1:6" x14ac:dyDescent="0.25">
      <c r="A1117" s="14">
        <v>46144.803472222222</v>
      </c>
      <c r="B1117" s="79" t="s">
        <v>149</v>
      </c>
      <c r="C1117" s="79" t="s">
        <v>151</v>
      </c>
      <c r="D1117" s="79" t="s">
        <v>167</v>
      </c>
      <c r="E1117" s="79" t="s">
        <v>50</v>
      </c>
      <c r="F1117" s="79" t="str">
        <f>IF(E1117="", "", IF(COUNTIF(ChestType!$A$5:$A$195, E1117)&gt;0, VLOOKUP(E1117, ChestType!$A$5:$B$195, 2, 0), "Others"))</f>
        <v>L10 Crypt</v>
      </c>
    </row>
    <row r="1118" spans="1:6" x14ac:dyDescent="0.25">
      <c r="A1118" s="14">
        <v>46144.803472222222</v>
      </c>
      <c r="B1118" s="79" t="s">
        <v>149</v>
      </c>
      <c r="C1118" s="79" t="s">
        <v>173</v>
      </c>
      <c r="D1118" s="79" t="s">
        <v>244</v>
      </c>
      <c r="E1118" s="79" t="s">
        <v>49</v>
      </c>
      <c r="F1118" s="79" t="str">
        <f>IF(E1118="", "", IF(COUNTIF(ChestType!$A$5:$A$195, E1118)&gt;0, VLOOKUP(E1118, ChestType!$A$5:$B$195, 2, 0), "Others"))</f>
        <v>L15 Crypt</v>
      </c>
    </row>
    <row r="1119" spans="1:6" x14ac:dyDescent="0.25">
      <c r="A1119" s="14">
        <v>46144.803472222222</v>
      </c>
      <c r="B1119" s="79" t="s">
        <v>149</v>
      </c>
      <c r="C1119" s="79" t="s">
        <v>151</v>
      </c>
      <c r="D1119" s="79" t="s">
        <v>179</v>
      </c>
      <c r="E1119" s="79" t="s">
        <v>50</v>
      </c>
      <c r="F1119" s="79" t="str">
        <f>IF(E1119="", "", IF(COUNTIF(ChestType!$A$5:$A$195, E1119)&gt;0, VLOOKUP(E1119, ChestType!$A$5:$B$195, 2, 0), "Others"))</f>
        <v>L10 Crypt</v>
      </c>
    </row>
    <row r="1120" spans="1:6" x14ac:dyDescent="0.25">
      <c r="A1120" s="14">
        <v>46144.803472222222</v>
      </c>
      <c r="B1120" s="79" t="s">
        <v>149</v>
      </c>
      <c r="C1120" s="79" t="s">
        <v>151</v>
      </c>
      <c r="D1120" s="79" t="s">
        <v>167</v>
      </c>
      <c r="E1120" s="79" t="s">
        <v>50</v>
      </c>
      <c r="F1120" s="79" t="str">
        <f>IF(E1120="", "", IF(COUNTIF(ChestType!$A$5:$A$195, E1120)&gt;0, VLOOKUP(E1120, ChestType!$A$5:$B$195, 2, 0), "Others"))</f>
        <v>L10 Crypt</v>
      </c>
    </row>
    <row r="1121" spans="1:6" x14ac:dyDescent="0.25">
      <c r="A1121" s="14">
        <v>46144.803472222222</v>
      </c>
      <c r="B1121" s="79" t="s">
        <v>149</v>
      </c>
      <c r="C1121" s="79" t="s">
        <v>192</v>
      </c>
      <c r="D1121" s="79" t="s">
        <v>261</v>
      </c>
      <c r="E1121" s="79" t="s">
        <v>60</v>
      </c>
      <c r="F1121" s="79" t="str">
        <f>IF(E1121="", "", IF(COUNTIF(ChestType!$A$5:$A$195, E1121)&gt;0, VLOOKUP(E1121, ChestType!$A$5:$B$195, 2, 0), "Others"))</f>
        <v>Others</v>
      </c>
    </row>
    <row r="1122" spans="1:6" x14ac:dyDescent="0.25">
      <c r="A1122" s="14">
        <v>46144.803472222222</v>
      </c>
      <c r="B1122" s="79" t="s">
        <v>149</v>
      </c>
      <c r="C1122" s="79" t="s">
        <v>181</v>
      </c>
      <c r="D1122" s="79" t="s">
        <v>157</v>
      </c>
      <c r="E1122" s="79" t="s">
        <v>50</v>
      </c>
      <c r="F1122" s="79" t="str">
        <f>IF(E1122="", "", IF(COUNTIF(ChestType!$A$5:$A$195, E1122)&gt;0, VLOOKUP(E1122, ChestType!$A$5:$B$195, 2, 0), "Others"))</f>
        <v>L10 Crypt</v>
      </c>
    </row>
    <row r="1123" spans="1:6" x14ac:dyDescent="0.25">
      <c r="A1123" s="14">
        <v>46144.803472222222</v>
      </c>
      <c r="B1123" s="79" t="s">
        <v>149</v>
      </c>
      <c r="C1123" s="79" t="s">
        <v>151</v>
      </c>
      <c r="D1123" s="79" t="s">
        <v>231</v>
      </c>
      <c r="E1123" s="79" t="s">
        <v>52</v>
      </c>
      <c r="F1123" s="79" t="str">
        <f>IF(E1123="", "", IF(COUNTIF(ChestType!$A$5:$A$195, E1123)&gt;0, VLOOKUP(E1123, ChestType!$A$5:$B$195, 2, 0), "Others"))</f>
        <v>L5 Crypt</v>
      </c>
    </row>
    <row r="1124" spans="1:6" x14ac:dyDescent="0.25">
      <c r="A1124" s="14">
        <v>46144.803472222222</v>
      </c>
      <c r="B1124" s="79" t="s">
        <v>149</v>
      </c>
      <c r="C1124" s="79" t="s">
        <v>173</v>
      </c>
      <c r="D1124" s="79" t="s">
        <v>167</v>
      </c>
      <c r="E1124" s="79" t="s">
        <v>50</v>
      </c>
      <c r="F1124" s="79" t="str">
        <f>IF(E1124="", "", IF(COUNTIF(ChestType!$A$5:$A$195, E1124)&gt;0, VLOOKUP(E1124, ChestType!$A$5:$B$195, 2, 0), "Others"))</f>
        <v>L10 Crypt</v>
      </c>
    </row>
    <row r="1125" spans="1:6" x14ac:dyDescent="0.25">
      <c r="A1125" s="14">
        <v>46144.803472222222</v>
      </c>
      <c r="B1125" s="79" t="s">
        <v>149</v>
      </c>
      <c r="C1125" s="79" t="s">
        <v>183</v>
      </c>
      <c r="D1125" s="79" t="s">
        <v>231</v>
      </c>
      <c r="E1125" s="79" t="s">
        <v>52</v>
      </c>
      <c r="F1125" s="79" t="str">
        <f>IF(E1125="", "", IF(COUNTIF(ChestType!$A$5:$A$195, E1125)&gt;0, VLOOKUP(E1125, ChestType!$A$5:$B$195, 2, 0), "Others"))</f>
        <v>L5 Crypt</v>
      </c>
    </row>
    <row r="1126" spans="1:6" x14ac:dyDescent="0.25">
      <c r="A1126" s="14">
        <v>46144.803472222222</v>
      </c>
      <c r="B1126" s="79" t="s">
        <v>149</v>
      </c>
      <c r="C1126" s="79" t="s">
        <v>151</v>
      </c>
      <c r="D1126" s="79" t="s">
        <v>167</v>
      </c>
      <c r="E1126" s="79" t="s">
        <v>50</v>
      </c>
      <c r="F1126" s="79" t="str">
        <f>IF(E1126="", "", IF(COUNTIF(ChestType!$A$5:$A$195, E1126)&gt;0, VLOOKUP(E1126, ChestType!$A$5:$B$195, 2, 0), "Others"))</f>
        <v>L10 Crypt</v>
      </c>
    </row>
    <row r="1127" spans="1:6" x14ac:dyDescent="0.25">
      <c r="A1127" s="14">
        <v>46144.803472222222</v>
      </c>
      <c r="B1127" s="79" t="s">
        <v>149</v>
      </c>
      <c r="C1127" s="79" t="s">
        <v>185</v>
      </c>
      <c r="D1127" s="79" t="s">
        <v>157</v>
      </c>
      <c r="E1127" s="79" t="s">
        <v>50</v>
      </c>
      <c r="F1127" s="79" t="str">
        <f>IF(E1127="", "", IF(COUNTIF(ChestType!$A$5:$A$195, E1127)&gt;0, VLOOKUP(E1127, ChestType!$A$5:$B$195, 2, 0), "Others"))</f>
        <v>L10 Crypt</v>
      </c>
    </row>
    <row r="1128" spans="1:6" x14ac:dyDescent="0.25">
      <c r="A1128" s="14">
        <v>46144.803472222222</v>
      </c>
      <c r="B1128" s="79" t="s">
        <v>149</v>
      </c>
      <c r="C1128" s="79" t="s">
        <v>171</v>
      </c>
      <c r="D1128" s="79" t="s">
        <v>224</v>
      </c>
      <c r="E1128" s="79" t="s">
        <v>50</v>
      </c>
      <c r="F1128" s="79" t="str">
        <f>IF(E1128="", "", IF(COUNTIF(ChestType!$A$5:$A$195, E1128)&gt;0, VLOOKUP(E1128, ChestType!$A$5:$B$195, 2, 0), "Others"))</f>
        <v>L10 Crypt</v>
      </c>
    </row>
    <row r="1129" spans="1:6" x14ac:dyDescent="0.25">
      <c r="A1129" s="14">
        <v>46144.803472222222</v>
      </c>
      <c r="B1129" s="79" t="s">
        <v>149</v>
      </c>
      <c r="C1129" s="79" t="s">
        <v>173</v>
      </c>
      <c r="D1129" s="79" t="s">
        <v>167</v>
      </c>
      <c r="E1129" s="79" t="s">
        <v>50</v>
      </c>
      <c r="F1129" s="79" t="str">
        <f>IF(E1129="", "", IF(COUNTIF(ChestType!$A$5:$A$195, E1129)&gt;0, VLOOKUP(E1129, ChestType!$A$5:$B$195, 2, 0), "Others"))</f>
        <v>L10 Crypt</v>
      </c>
    </row>
    <row r="1130" spans="1:6" x14ac:dyDescent="0.25">
      <c r="A1130" s="14">
        <v>46144.803472222222</v>
      </c>
      <c r="B1130" s="79" t="s">
        <v>149</v>
      </c>
      <c r="C1130" s="79" t="s">
        <v>190</v>
      </c>
      <c r="D1130" s="79" t="s">
        <v>157</v>
      </c>
      <c r="E1130" s="79" t="s">
        <v>50</v>
      </c>
      <c r="F1130" s="79" t="str">
        <f>IF(E1130="", "", IF(COUNTIF(ChestType!$A$5:$A$195, E1130)&gt;0, VLOOKUP(E1130, ChestType!$A$5:$B$195, 2, 0), "Others"))</f>
        <v>L10 Crypt</v>
      </c>
    </row>
    <row r="1131" spans="1:6" x14ac:dyDescent="0.25">
      <c r="A1131" s="14">
        <v>46144.803472222222</v>
      </c>
      <c r="B1131" s="79" t="s">
        <v>149</v>
      </c>
      <c r="C1131" s="79" t="s">
        <v>192</v>
      </c>
      <c r="D1131" s="79" t="s">
        <v>250</v>
      </c>
      <c r="E1131" s="79" t="s">
        <v>60</v>
      </c>
      <c r="F1131" s="79" t="str">
        <f>IF(E1131="", "", IF(COUNTIF(ChestType!$A$5:$A$195, E1131)&gt;0, VLOOKUP(E1131, ChestType!$A$5:$B$195, 2, 0), "Others"))</f>
        <v>Others</v>
      </c>
    </row>
    <row r="1132" spans="1:6" x14ac:dyDescent="0.25">
      <c r="A1132" s="14">
        <v>46144.803472222222</v>
      </c>
      <c r="B1132" s="79" t="s">
        <v>149</v>
      </c>
      <c r="C1132" s="79" t="s">
        <v>183</v>
      </c>
      <c r="D1132" s="79" t="s">
        <v>257</v>
      </c>
      <c r="E1132" s="79" t="s">
        <v>52</v>
      </c>
      <c r="F1132" s="79" t="str">
        <f>IF(E1132="", "", IF(COUNTIF(ChestType!$A$5:$A$195, E1132)&gt;0, VLOOKUP(E1132, ChestType!$A$5:$B$195, 2, 0), "Others"))</f>
        <v>L5 Crypt</v>
      </c>
    </row>
    <row r="1133" spans="1:6" x14ac:dyDescent="0.25">
      <c r="A1133" s="14">
        <v>46144.803472222222</v>
      </c>
      <c r="B1133" s="79" t="s">
        <v>149</v>
      </c>
      <c r="C1133" s="79" t="s">
        <v>174</v>
      </c>
      <c r="D1133" s="79" t="s">
        <v>167</v>
      </c>
      <c r="E1133" s="79" t="s">
        <v>64</v>
      </c>
      <c r="F1133" s="79" t="str">
        <f>IF(E1133="", "", IF(COUNTIF(ChestType!$A$5:$A$195, E1133)&gt;0, VLOOKUP(E1133, ChestType!$A$5:$B$195, 2, 0), "Others"))</f>
        <v>L15 Epic Crypt</v>
      </c>
    </row>
    <row r="1134" spans="1:6" x14ac:dyDescent="0.25">
      <c r="A1134" s="14">
        <v>46144.803472222222</v>
      </c>
      <c r="B1134" s="79" t="s">
        <v>149</v>
      </c>
      <c r="C1134" s="79" t="s">
        <v>185</v>
      </c>
      <c r="D1134" s="79" t="s">
        <v>257</v>
      </c>
      <c r="E1134" s="79" t="s">
        <v>52</v>
      </c>
      <c r="F1134" s="79" t="str">
        <f>IF(E1134="", "", IF(COUNTIF(ChestType!$A$5:$A$195, E1134)&gt;0, VLOOKUP(E1134, ChestType!$A$5:$B$195, 2, 0), "Others"))</f>
        <v>L5 Crypt</v>
      </c>
    </row>
    <row r="1135" spans="1:6" x14ac:dyDescent="0.25">
      <c r="A1135" s="14">
        <v>46144.803472222222</v>
      </c>
      <c r="B1135" s="79" t="s">
        <v>149</v>
      </c>
      <c r="C1135" s="79" t="s">
        <v>151</v>
      </c>
      <c r="D1135" s="79" t="s">
        <v>167</v>
      </c>
      <c r="E1135" s="79" t="s">
        <v>50</v>
      </c>
      <c r="F1135" s="79" t="str">
        <f>IF(E1135="", "", IF(COUNTIF(ChestType!$A$5:$A$195, E1135)&gt;0, VLOOKUP(E1135, ChestType!$A$5:$B$195, 2, 0), "Others"))</f>
        <v>L10 Crypt</v>
      </c>
    </row>
    <row r="1136" spans="1:6" x14ac:dyDescent="0.25">
      <c r="A1136" s="14">
        <v>46144.803472222222</v>
      </c>
      <c r="B1136" s="79" t="s">
        <v>149</v>
      </c>
      <c r="C1136" s="79" t="s">
        <v>158</v>
      </c>
      <c r="D1136" s="79" t="s">
        <v>257</v>
      </c>
      <c r="E1136" s="79" t="s">
        <v>52</v>
      </c>
      <c r="F1136" s="79" t="str">
        <f>IF(E1136="", "", IF(COUNTIF(ChestType!$A$5:$A$195, E1136)&gt;0, VLOOKUP(E1136, ChestType!$A$5:$B$195, 2, 0), "Others"))</f>
        <v>L5 Crypt</v>
      </c>
    </row>
    <row r="1137" spans="1:6" x14ac:dyDescent="0.25">
      <c r="A1137" s="14">
        <v>46144.803472222222</v>
      </c>
      <c r="B1137" s="79" t="s">
        <v>149</v>
      </c>
      <c r="C1137" s="79" t="s">
        <v>171</v>
      </c>
      <c r="D1137" s="79" t="s">
        <v>258</v>
      </c>
      <c r="E1137" s="79" t="s">
        <v>52</v>
      </c>
      <c r="F1137" s="79" t="str">
        <f>IF(E1137="", "", IF(COUNTIF(ChestType!$A$5:$A$195, E1137)&gt;0, VLOOKUP(E1137, ChestType!$A$5:$B$195, 2, 0), "Others"))</f>
        <v>L5 Crypt</v>
      </c>
    </row>
    <row r="1138" spans="1:6" x14ac:dyDescent="0.25">
      <c r="A1138" s="14">
        <v>46144.81527777778</v>
      </c>
      <c r="B1138" s="79" t="s">
        <v>149</v>
      </c>
      <c r="C1138" s="79" t="s">
        <v>182</v>
      </c>
      <c r="D1138" s="79" t="s">
        <v>191</v>
      </c>
      <c r="E1138" s="79" t="s">
        <v>49</v>
      </c>
      <c r="F1138" s="79" t="str">
        <f>IF(E1138="", "", IF(COUNTIF(ChestType!$A$5:$A$195, E1138)&gt;0, VLOOKUP(E1138, ChestType!$A$5:$B$195, 2, 0), "Others"))</f>
        <v>L15 Crypt</v>
      </c>
    </row>
    <row r="1139" spans="1:6" x14ac:dyDescent="0.25">
      <c r="A1139" s="14">
        <v>46144.81527777778</v>
      </c>
      <c r="B1139" s="79" t="s">
        <v>149</v>
      </c>
      <c r="C1139" s="79" t="s">
        <v>151</v>
      </c>
      <c r="D1139" s="79" t="s">
        <v>167</v>
      </c>
      <c r="E1139" s="79" t="s">
        <v>50</v>
      </c>
      <c r="F1139" s="79" t="str">
        <f>IF(E1139="", "", IF(COUNTIF(ChestType!$A$5:$A$195, E1139)&gt;0, VLOOKUP(E1139, ChestType!$A$5:$B$195, 2, 0), "Others"))</f>
        <v>L10 Crypt</v>
      </c>
    </row>
    <row r="1140" spans="1:6" x14ac:dyDescent="0.25">
      <c r="A1140" s="14">
        <v>46144.81527777778</v>
      </c>
      <c r="B1140" s="79" t="s">
        <v>149</v>
      </c>
      <c r="C1140" s="79" t="s">
        <v>177</v>
      </c>
      <c r="D1140" s="79" t="s">
        <v>262</v>
      </c>
      <c r="E1140" s="79" t="s">
        <v>52</v>
      </c>
      <c r="F1140" s="79" t="str">
        <f>IF(E1140="", "", IF(COUNTIF(ChestType!$A$5:$A$195, E1140)&gt;0, VLOOKUP(E1140, ChestType!$A$5:$B$195, 2, 0), "Others"))</f>
        <v>L5 Crypt</v>
      </c>
    </row>
    <row r="1141" spans="1:6" x14ac:dyDescent="0.25">
      <c r="A1141" s="14">
        <v>46144.81527777778</v>
      </c>
      <c r="B1141" s="79" t="s">
        <v>149</v>
      </c>
      <c r="C1141" s="79" t="s">
        <v>151</v>
      </c>
      <c r="D1141" s="79" t="s">
        <v>167</v>
      </c>
      <c r="E1141" s="79" t="s">
        <v>50</v>
      </c>
      <c r="F1141" s="79" t="str">
        <f>IF(E1141="", "", IF(COUNTIF(ChestType!$A$5:$A$195, E1141)&gt;0, VLOOKUP(E1141, ChestType!$A$5:$B$195, 2, 0), "Others"))</f>
        <v>L10 Crypt</v>
      </c>
    </row>
    <row r="1142" spans="1:6" x14ac:dyDescent="0.25">
      <c r="A1142" s="14">
        <v>46144.81527777778</v>
      </c>
      <c r="B1142" s="79" t="s">
        <v>149</v>
      </c>
      <c r="C1142" s="79" t="s">
        <v>185</v>
      </c>
      <c r="D1142" s="79" t="s">
        <v>262</v>
      </c>
      <c r="E1142" s="79" t="s">
        <v>52</v>
      </c>
      <c r="F1142" s="79" t="str">
        <f>IF(E1142="", "", IF(COUNTIF(ChestType!$A$5:$A$195, E1142)&gt;0, VLOOKUP(E1142, ChestType!$A$5:$B$195, 2, 0), "Others"))</f>
        <v>L5 Crypt</v>
      </c>
    </row>
    <row r="1143" spans="1:6" x14ac:dyDescent="0.25">
      <c r="A1143" s="14">
        <v>46144.898611111108</v>
      </c>
      <c r="B1143" s="79" t="s">
        <v>149</v>
      </c>
      <c r="C1143" s="79" t="s">
        <v>151</v>
      </c>
      <c r="D1143" s="79" t="s">
        <v>167</v>
      </c>
      <c r="E1143" s="79" t="s">
        <v>50</v>
      </c>
      <c r="F1143" s="79" t="str">
        <f>IF(E1143="", "", IF(COUNTIF(ChestType!$A$5:$A$195, E1143)&gt;0, VLOOKUP(E1143, ChestType!$A$5:$B$195, 2, 0), "Others"))</f>
        <v>L10 Crypt</v>
      </c>
    </row>
    <row r="1144" spans="1:6" x14ac:dyDescent="0.25">
      <c r="A1144" s="14">
        <v>46144.898611111108</v>
      </c>
      <c r="B1144" s="79" t="s">
        <v>149</v>
      </c>
      <c r="C1144" s="79" t="s">
        <v>185</v>
      </c>
      <c r="D1144" s="79" t="s">
        <v>262</v>
      </c>
      <c r="E1144" s="79" t="s">
        <v>52</v>
      </c>
      <c r="F1144" s="79" t="str">
        <f>IF(E1144="", "", IF(COUNTIF(ChestType!$A$5:$A$195, E1144)&gt;0, VLOOKUP(E1144, ChestType!$A$5:$B$195, 2, 0), "Others"))</f>
        <v>L5 Crypt</v>
      </c>
    </row>
    <row r="1145" spans="1:6" x14ac:dyDescent="0.25">
      <c r="A1145" s="14">
        <v>46144.898611111108</v>
      </c>
      <c r="B1145" s="79" t="s">
        <v>149</v>
      </c>
      <c r="C1145" s="79" t="s">
        <v>151</v>
      </c>
      <c r="D1145" s="79" t="s">
        <v>157</v>
      </c>
      <c r="E1145" s="79" t="s">
        <v>49</v>
      </c>
      <c r="F1145" s="79" t="str">
        <f>IF(E1145="", "", IF(COUNTIF(ChestType!$A$5:$A$195, E1145)&gt;0, VLOOKUP(E1145, ChestType!$A$5:$B$195, 2, 0), "Others"))</f>
        <v>L15 Crypt</v>
      </c>
    </row>
    <row r="1146" spans="1:6" x14ac:dyDescent="0.25">
      <c r="A1146" s="14">
        <v>46144.898611111108</v>
      </c>
      <c r="B1146" s="79" t="s">
        <v>149</v>
      </c>
      <c r="C1146" s="79" t="s">
        <v>177</v>
      </c>
      <c r="D1146" s="79" t="s">
        <v>157</v>
      </c>
      <c r="E1146" s="79" t="s">
        <v>49</v>
      </c>
      <c r="F1146" s="79" t="str">
        <f>IF(E1146="", "", IF(COUNTIF(ChestType!$A$5:$A$195, E1146)&gt;0, VLOOKUP(E1146, ChestType!$A$5:$B$195, 2, 0), "Others"))</f>
        <v>L15 Crypt</v>
      </c>
    </row>
    <row r="1147" spans="1:6" x14ac:dyDescent="0.25">
      <c r="A1147" s="14">
        <v>46144.898611111108</v>
      </c>
      <c r="B1147" s="79" t="s">
        <v>149</v>
      </c>
      <c r="C1147" s="79" t="s">
        <v>173</v>
      </c>
      <c r="D1147" s="79" t="s">
        <v>167</v>
      </c>
      <c r="E1147" s="79" t="s">
        <v>50</v>
      </c>
      <c r="F1147" s="79" t="str">
        <f>IF(E1147="", "", IF(COUNTIF(ChestType!$A$5:$A$195, E1147)&gt;0, VLOOKUP(E1147, ChestType!$A$5:$B$195, 2, 0), "Others"))</f>
        <v>L10 Crypt</v>
      </c>
    </row>
    <row r="1148" spans="1:6" x14ac:dyDescent="0.25">
      <c r="A1148" s="14">
        <v>46144.898611111108</v>
      </c>
      <c r="B1148" s="79" t="s">
        <v>149</v>
      </c>
      <c r="C1148" s="79" t="s">
        <v>184</v>
      </c>
      <c r="D1148" s="79" t="s">
        <v>157</v>
      </c>
      <c r="E1148" s="79" t="s">
        <v>49</v>
      </c>
      <c r="F1148" s="79" t="str">
        <f>IF(E1148="", "", IF(COUNTIF(ChestType!$A$5:$A$195, E1148)&gt;0, VLOOKUP(E1148, ChestType!$A$5:$B$195, 2, 0), "Others"))</f>
        <v>L15 Crypt</v>
      </c>
    </row>
    <row r="1149" spans="1:6" x14ac:dyDescent="0.25">
      <c r="A1149" s="14">
        <v>46144.898611111108</v>
      </c>
      <c r="B1149" s="79" t="s">
        <v>149</v>
      </c>
      <c r="C1149" s="79" t="s">
        <v>176</v>
      </c>
      <c r="D1149" s="79" t="s">
        <v>262</v>
      </c>
      <c r="E1149" s="79" t="s">
        <v>70</v>
      </c>
      <c r="F1149" s="79" t="str">
        <f>IF(E1149="", "", IF(COUNTIF(ChestType!$A$5:$A$195, E1149)&gt;0, VLOOKUP(E1149, ChestType!$A$5:$B$195, 2, 0), "Others"))</f>
        <v>L10 Citadel</v>
      </c>
    </row>
    <row r="1150" spans="1:6" x14ac:dyDescent="0.25">
      <c r="A1150" s="14">
        <v>46144.898611111108</v>
      </c>
      <c r="B1150" s="79" t="s">
        <v>149</v>
      </c>
      <c r="C1150" s="79" t="s">
        <v>173</v>
      </c>
      <c r="D1150" s="79" t="s">
        <v>167</v>
      </c>
      <c r="E1150" s="79" t="s">
        <v>50</v>
      </c>
      <c r="F1150" s="79" t="str">
        <f>IF(E1150="", "", IF(COUNTIF(ChestType!$A$5:$A$195, E1150)&gt;0, VLOOKUP(E1150, ChestType!$A$5:$B$195, 2, 0), "Others"))</f>
        <v>L10 Crypt</v>
      </c>
    </row>
    <row r="1151" spans="1:6" x14ac:dyDescent="0.25">
      <c r="A1151" s="14">
        <v>46144.898611111108</v>
      </c>
      <c r="B1151" s="79" t="s">
        <v>149</v>
      </c>
      <c r="C1151" s="79" t="s">
        <v>173</v>
      </c>
      <c r="D1151" s="79" t="s">
        <v>246</v>
      </c>
      <c r="E1151" s="79" t="s">
        <v>49</v>
      </c>
      <c r="F1151" s="79" t="str">
        <f>IF(E1151="", "", IF(COUNTIF(ChestType!$A$5:$A$195, E1151)&gt;0, VLOOKUP(E1151, ChestType!$A$5:$B$195, 2, 0), "Others"))</f>
        <v>L15 Crypt</v>
      </c>
    </row>
    <row r="1152" spans="1:6" x14ac:dyDescent="0.25">
      <c r="A1152" s="14">
        <v>46144.898611111108</v>
      </c>
      <c r="B1152" s="79" t="s">
        <v>149</v>
      </c>
      <c r="C1152" s="79" t="s">
        <v>173</v>
      </c>
      <c r="D1152" s="79" t="s">
        <v>167</v>
      </c>
      <c r="E1152" s="79" t="s">
        <v>50</v>
      </c>
      <c r="F1152" s="79" t="str">
        <f>IF(E1152="", "", IF(COUNTIF(ChestType!$A$5:$A$195, E1152)&gt;0, VLOOKUP(E1152, ChestType!$A$5:$B$195, 2, 0), "Others"))</f>
        <v>L10 Crypt</v>
      </c>
    </row>
    <row r="1153" spans="1:6" x14ac:dyDescent="0.25">
      <c r="A1153" s="14">
        <v>46144.898611111108</v>
      </c>
      <c r="B1153" s="79" t="s">
        <v>149</v>
      </c>
      <c r="C1153" s="79" t="s">
        <v>176</v>
      </c>
      <c r="D1153" s="79" t="s">
        <v>231</v>
      </c>
      <c r="E1153" s="79" t="s">
        <v>70</v>
      </c>
      <c r="F1153" s="79" t="str">
        <f>IF(E1153="", "", IF(COUNTIF(ChestType!$A$5:$A$195, E1153)&gt;0, VLOOKUP(E1153, ChestType!$A$5:$B$195, 2, 0), "Others"))</f>
        <v>L10 Citadel</v>
      </c>
    </row>
    <row r="1154" spans="1:6" x14ac:dyDescent="0.25">
      <c r="A1154" s="14">
        <v>46144.898611111108</v>
      </c>
      <c r="B1154" s="79" t="s">
        <v>149</v>
      </c>
      <c r="C1154" s="79" t="s">
        <v>187</v>
      </c>
      <c r="D1154" s="79" t="s">
        <v>157</v>
      </c>
      <c r="E1154" s="79" t="s">
        <v>75</v>
      </c>
      <c r="F1154" s="79" t="str">
        <f>IF(E1154="", "", IF(COUNTIF(ChestType!$A$5:$A$195, E1154)&gt;0, VLOOKUP(E1154, ChestType!$A$5:$B$195, 2, 0), "Others"))</f>
        <v>L10 Rare Crypt</v>
      </c>
    </row>
    <row r="1155" spans="1:6" x14ac:dyDescent="0.25">
      <c r="A1155" s="14">
        <v>46144.898611111108</v>
      </c>
      <c r="B1155" s="79" t="s">
        <v>149</v>
      </c>
      <c r="C1155" s="79" t="s">
        <v>176</v>
      </c>
      <c r="D1155" s="79" t="s">
        <v>167</v>
      </c>
      <c r="E1155" s="79" t="s">
        <v>70</v>
      </c>
      <c r="F1155" s="79" t="str">
        <f>IF(E1155="", "", IF(COUNTIF(ChestType!$A$5:$A$195, E1155)&gt;0, VLOOKUP(E1155, ChestType!$A$5:$B$195, 2, 0), "Others"))</f>
        <v>L10 Citadel</v>
      </c>
    </row>
    <row r="1156" spans="1:6" x14ac:dyDescent="0.25">
      <c r="A1156" s="14">
        <v>46144.898611111108</v>
      </c>
      <c r="B1156" s="79" t="s">
        <v>149</v>
      </c>
      <c r="C1156" s="79" t="s">
        <v>176</v>
      </c>
      <c r="D1156" s="79" t="s">
        <v>231</v>
      </c>
      <c r="E1156" s="79" t="s">
        <v>70</v>
      </c>
      <c r="F1156" s="79" t="str">
        <f>IF(E1156="", "", IF(COUNTIF(ChestType!$A$5:$A$195, E1156)&gt;0, VLOOKUP(E1156, ChestType!$A$5:$B$195, 2, 0), "Others"))</f>
        <v>L10 Citadel</v>
      </c>
    </row>
    <row r="1157" spans="1:6" x14ac:dyDescent="0.25">
      <c r="A1157" s="14">
        <v>46144.898611111108</v>
      </c>
      <c r="B1157" s="79" t="s">
        <v>149</v>
      </c>
      <c r="C1157" s="79" t="s">
        <v>158</v>
      </c>
      <c r="D1157" s="79" t="s">
        <v>222</v>
      </c>
      <c r="E1157" s="79" t="s">
        <v>48</v>
      </c>
      <c r="F1157" s="79" t="str">
        <f>IF(E1157="", "", IF(COUNTIF(ChestType!$A$5:$A$195, E1157)&gt;0, VLOOKUP(E1157, ChestType!$A$5:$B$195, 2, 0), "Others"))</f>
        <v>L20 Crypt</v>
      </c>
    </row>
    <row r="1158" spans="1:6" x14ac:dyDescent="0.25">
      <c r="A1158" s="14">
        <v>46144.898611111108</v>
      </c>
      <c r="B1158" s="79" t="s">
        <v>149</v>
      </c>
      <c r="C1158" s="79" t="s">
        <v>176</v>
      </c>
      <c r="D1158" s="79" t="s">
        <v>231</v>
      </c>
      <c r="E1158" s="79" t="s">
        <v>70</v>
      </c>
      <c r="F1158" s="79" t="str">
        <f>IF(E1158="", "", IF(COUNTIF(ChestType!$A$5:$A$195, E1158)&gt;0, VLOOKUP(E1158, ChestType!$A$5:$B$195, 2, 0), "Others"))</f>
        <v>L10 Citadel</v>
      </c>
    </row>
    <row r="1159" spans="1:6" x14ac:dyDescent="0.25">
      <c r="A1159" s="14">
        <v>46144.898611111108</v>
      </c>
      <c r="B1159" s="79" t="s">
        <v>149</v>
      </c>
      <c r="C1159" s="79" t="s">
        <v>183</v>
      </c>
      <c r="D1159" s="79" t="s">
        <v>199</v>
      </c>
      <c r="E1159" s="79" t="s">
        <v>52</v>
      </c>
      <c r="F1159" s="79" t="str">
        <f>IF(E1159="", "", IF(COUNTIF(ChestType!$A$5:$A$195, E1159)&gt;0, VLOOKUP(E1159, ChestType!$A$5:$B$195, 2, 0), "Others"))</f>
        <v>L5 Crypt</v>
      </c>
    </row>
    <row r="1160" spans="1:6" x14ac:dyDescent="0.25">
      <c r="A1160" s="14">
        <v>46144.898611111108</v>
      </c>
      <c r="B1160" s="79" t="s">
        <v>149</v>
      </c>
      <c r="C1160" s="79" t="s">
        <v>173</v>
      </c>
      <c r="D1160" s="79" t="s">
        <v>167</v>
      </c>
      <c r="E1160" s="79" t="s">
        <v>50</v>
      </c>
      <c r="F1160" s="79" t="str">
        <f>IF(E1160="", "", IF(COUNTIF(ChestType!$A$5:$A$195, E1160)&gt;0, VLOOKUP(E1160, ChestType!$A$5:$B$195, 2, 0), "Others"))</f>
        <v>L10 Crypt</v>
      </c>
    </row>
    <row r="1161" spans="1:6" x14ac:dyDescent="0.25">
      <c r="A1161" s="14">
        <v>46144.898611111108</v>
      </c>
      <c r="B1161" s="79" t="s">
        <v>149</v>
      </c>
      <c r="C1161" s="79" t="s">
        <v>184</v>
      </c>
      <c r="D1161" s="79" t="s">
        <v>263</v>
      </c>
      <c r="E1161" s="79" t="s">
        <v>50</v>
      </c>
      <c r="F1161" s="79" t="str">
        <f>IF(E1161="", "", IF(COUNTIF(ChestType!$A$5:$A$195, E1161)&gt;0, VLOOKUP(E1161, ChestType!$A$5:$B$195, 2, 0), "Others"))</f>
        <v>L10 Crypt</v>
      </c>
    </row>
    <row r="1162" spans="1:6" x14ac:dyDescent="0.25">
      <c r="A1162" s="14">
        <v>46144.898611111108</v>
      </c>
      <c r="B1162" s="79" t="s">
        <v>149</v>
      </c>
      <c r="C1162" s="79" t="s">
        <v>184</v>
      </c>
      <c r="D1162" s="79" t="s">
        <v>199</v>
      </c>
      <c r="E1162" s="79" t="s">
        <v>52</v>
      </c>
      <c r="F1162" s="79" t="str">
        <f>IF(E1162="", "", IF(COUNTIF(ChestType!$A$5:$A$195, E1162)&gt;0, VLOOKUP(E1162, ChestType!$A$5:$B$195, 2, 0), "Others"))</f>
        <v>L5 Crypt</v>
      </c>
    </row>
    <row r="1163" spans="1:6" x14ac:dyDescent="0.25">
      <c r="A1163" s="14">
        <v>46144.898611111108</v>
      </c>
      <c r="B1163" s="79" t="s">
        <v>149</v>
      </c>
      <c r="C1163" s="79" t="s">
        <v>181</v>
      </c>
      <c r="D1163" s="79" t="s">
        <v>167</v>
      </c>
      <c r="E1163" s="79" t="s">
        <v>50</v>
      </c>
      <c r="F1163" s="79" t="str">
        <f>IF(E1163="", "", IF(COUNTIF(ChestType!$A$5:$A$195, E1163)&gt;0, VLOOKUP(E1163, ChestType!$A$5:$B$195, 2, 0), "Others"))</f>
        <v>L10 Crypt</v>
      </c>
    </row>
    <row r="1164" spans="1:6" x14ac:dyDescent="0.25">
      <c r="A1164" s="14">
        <v>46144.898611111108</v>
      </c>
      <c r="B1164" s="79" t="s">
        <v>149</v>
      </c>
      <c r="C1164" s="79" t="s">
        <v>176</v>
      </c>
      <c r="D1164" s="79" t="s">
        <v>205</v>
      </c>
      <c r="E1164" s="79" t="s">
        <v>237</v>
      </c>
      <c r="F1164" s="79" t="str">
        <f>IF(E1164="", "", IF(COUNTIF(ChestType!$A$5:$A$195, E1164)&gt;0, VLOOKUP(E1164, ChestType!$A$5:$B$195, 2, 0), "Others"))</f>
        <v>Others</v>
      </c>
    </row>
    <row r="1165" spans="1:6" x14ac:dyDescent="0.25">
      <c r="A1165" s="14">
        <v>46144.898611111108</v>
      </c>
      <c r="B1165" s="79" t="s">
        <v>149</v>
      </c>
      <c r="C1165" s="79" t="s">
        <v>190</v>
      </c>
      <c r="D1165" s="79" t="s">
        <v>205</v>
      </c>
      <c r="E1165" s="79" t="s">
        <v>52</v>
      </c>
      <c r="F1165" s="79" t="str">
        <f>IF(E1165="", "", IF(COUNTIF(ChestType!$A$5:$A$195, E1165)&gt;0, VLOOKUP(E1165, ChestType!$A$5:$B$195, 2, 0), "Others"))</f>
        <v>L5 Crypt</v>
      </c>
    </row>
    <row r="1166" spans="1:6" x14ac:dyDescent="0.25">
      <c r="A1166" s="14">
        <v>46144.898611111108</v>
      </c>
      <c r="B1166" s="79" t="s">
        <v>149</v>
      </c>
      <c r="C1166" s="79" t="s">
        <v>187</v>
      </c>
      <c r="D1166" s="79" t="s">
        <v>231</v>
      </c>
      <c r="E1166" s="79" t="s">
        <v>71</v>
      </c>
      <c r="F1166" s="79" t="str">
        <f>IF(E1166="", "", IF(COUNTIF(ChestType!$A$5:$A$195, E1166)&gt;0, VLOOKUP(E1166, ChestType!$A$5:$B$195, 2, 0), "Others"))</f>
        <v>L15 Rare Crypt</v>
      </c>
    </row>
    <row r="1167" spans="1:6" x14ac:dyDescent="0.25">
      <c r="A1167" s="14">
        <v>46144.898611111108</v>
      </c>
      <c r="B1167" s="79" t="s">
        <v>149</v>
      </c>
      <c r="C1167" s="79" t="s">
        <v>184</v>
      </c>
      <c r="D1167" s="79" t="s">
        <v>261</v>
      </c>
      <c r="E1167" s="79" t="s">
        <v>50</v>
      </c>
      <c r="F1167" s="79" t="str">
        <f>IF(E1167="", "", IF(COUNTIF(ChestType!$A$5:$A$195, E1167)&gt;0, VLOOKUP(E1167, ChestType!$A$5:$B$195, 2, 0), "Others"))</f>
        <v>L10 Crypt</v>
      </c>
    </row>
    <row r="1168" spans="1:6" x14ac:dyDescent="0.25">
      <c r="A1168" s="14">
        <v>46144.898611111108</v>
      </c>
      <c r="B1168" s="79" t="s">
        <v>149</v>
      </c>
      <c r="C1168" s="79" t="s">
        <v>181</v>
      </c>
      <c r="D1168" s="79" t="s">
        <v>167</v>
      </c>
      <c r="E1168" s="79" t="s">
        <v>50</v>
      </c>
      <c r="F1168" s="79" t="str">
        <f>IF(E1168="", "", IF(COUNTIF(ChestType!$A$5:$A$195, E1168)&gt;0, VLOOKUP(E1168, ChestType!$A$5:$B$195, 2, 0), "Others"))</f>
        <v>L10 Crypt</v>
      </c>
    </row>
    <row r="1169" spans="1:6" x14ac:dyDescent="0.25">
      <c r="A1169" s="14">
        <v>46144.898611111108</v>
      </c>
      <c r="B1169" s="79" t="s">
        <v>149</v>
      </c>
      <c r="C1169" s="79" t="s">
        <v>182</v>
      </c>
      <c r="D1169" s="79" t="s">
        <v>167</v>
      </c>
      <c r="E1169" s="79" t="s">
        <v>50</v>
      </c>
      <c r="F1169" s="79" t="str">
        <f>IF(E1169="", "", IF(COUNTIF(ChestType!$A$5:$A$195, E1169)&gt;0, VLOOKUP(E1169, ChestType!$A$5:$B$195, 2, 0), "Others"))</f>
        <v>L10 Crypt</v>
      </c>
    </row>
    <row r="1170" spans="1:6" x14ac:dyDescent="0.25">
      <c r="A1170" s="14">
        <v>46144.898611111108</v>
      </c>
      <c r="B1170" s="79" t="s">
        <v>149</v>
      </c>
      <c r="C1170" s="79" t="s">
        <v>190</v>
      </c>
      <c r="D1170" s="79" t="s">
        <v>263</v>
      </c>
      <c r="E1170" s="79" t="s">
        <v>50</v>
      </c>
      <c r="F1170" s="79" t="str">
        <f>IF(E1170="", "", IF(COUNTIF(ChestType!$A$5:$A$195, E1170)&gt;0, VLOOKUP(E1170, ChestType!$A$5:$B$195, 2, 0), "Others"))</f>
        <v>L10 Crypt</v>
      </c>
    </row>
    <row r="1171" spans="1:6" x14ac:dyDescent="0.25">
      <c r="A1171" s="14">
        <v>46144.898611111108</v>
      </c>
      <c r="B1171" s="79" t="s">
        <v>149</v>
      </c>
      <c r="C1171" s="79" t="s">
        <v>173</v>
      </c>
      <c r="D1171" s="79" t="s">
        <v>261</v>
      </c>
      <c r="E1171" s="79" t="s">
        <v>50</v>
      </c>
      <c r="F1171" s="79" t="str">
        <f>IF(E1171="", "", IF(COUNTIF(ChestType!$A$5:$A$195, E1171)&gt;0, VLOOKUP(E1171, ChestType!$A$5:$B$195, 2, 0), "Others"))</f>
        <v>L10 Crypt</v>
      </c>
    </row>
    <row r="1172" spans="1:6" x14ac:dyDescent="0.25">
      <c r="A1172" s="14">
        <v>46144.898611111108</v>
      </c>
      <c r="B1172" s="79" t="s">
        <v>149</v>
      </c>
      <c r="C1172" s="79" t="s">
        <v>151</v>
      </c>
      <c r="D1172" s="79" t="s">
        <v>222</v>
      </c>
      <c r="E1172" s="79" t="s">
        <v>48</v>
      </c>
      <c r="F1172" s="79" t="str">
        <f>IF(E1172="", "", IF(COUNTIF(ChestType!$A$5:$A$195, E1172)&gt;0, VLOOKUP(E1172, ChestType!$A$5:$B$195, 2, 0), "Others"))</f>
        <v>L20 Crypt</v>
      </c>
    </row>
    <row r="1173" spans="1:6" x14ac:dyDescent="0.25">
      <c r="A1173" s="14">
        <v>46144.898611111108</v>
      </c>
      <c r="B1173" s="79" t="s">
        <v>149</v>
      </c>
      <c r="C1173" s="79" t="s">
        <v>173</v>
      </c>
      <c r="D1173" s="79" t="s">
        <v>167</v>
      </c>
      <c r="E1173" s="79" t="s">
        <v>50</v>
      </c>
      <c r="F1173" s="79" t="str">
        <f>IF(E1173="", "", IF(COUNTIF(ChestType!$A$5:$A$195, E1173)&gt;0, VLOOKUP(E1173, ChestType!$A$5:$B$195, 2, 0), "Others"))</f>
        <v>L10 Crypt</v>
      </c>
    </row>
    <row r="1174" spans="1:6" x14ac:dyDescent="0.25">
      <c r="A1174" s="14">
        <v>46144.898611111108</v>
      </c>
      <c r="B1174" s="79" t="s">
        <v>149</v>
      </c>
      <c r="C1174" s="79" t="s">
        <v>181</v>
      </c>
      <c r="D1174" s="79" t="s">
        <v>222</v>
      </c>
      <c r="E1174" s="79" t="s">
        <v>48</v>
      </c>
      <c r="F1174" s="79" t="str">
        <f>IF(E1174="", "", IF(COUNTIF(ChestType!$A$5:$A$195, E1174)&gt;0, VLOOKUP(E1174, ChestType!$A$5:$B$195, 2, 0), "Others"))</f>
        <v>L20 Crypt</v>
      </c>
    </row>
    <row r="1175" spans="1:6" x14ac:dyDescent="0.25">
      <c r="A1175" s="14">
        <v>46144.898611111108</v>
      </c>
      <c r="B1175" s="79" t="s">
        <v>149</v>
      </c>
      <c r="C1175" s="79" t="s">
        <v>176</v>
      </c>
      <c r="D1175" s="79" t="s">
        <v>157</v>
      </c>
      <c r="E1175" s="79" t="s">
        <v>63</v>
      </c>
      <c r="F1175" s="79" t="str">
        <f>IF(E1175="", "", IF(COUNTIF(ChestType!$A$5:$A$195, E1175)&gt;0, VLOOKUP(E1175, ChestType!$A$5:$B$195, 2, 0), "Others"))</f>
        <v>L15 Citadel</v>
      </c>
    </row>
    <row r="1176" spans="1:6" x14ac:dyDescent="0.25">
      <c r="A1176" s="14">
        <v>46144.898611111108</v>
      </c>
      <c r="B1176" s="79" t="s">
        <v>149</v>
      </c>
      <c r="C1176" s="79" t="s">
        <v>184</v>
      </c>
      <c r="D1176" s="79" t="s">
        <v>261</v>
      </c>
      <c r="E1176" s="79" t="s">
        <v>50</v>
      </c>
      <c r="F1176" s="79" t="str">
        <f>IF(E1176="", "", IF(COUNTIF(ChestType!$A$5:$A$195, E1176)&gt;0, VLOOKUP(E1176, ChestType!$A$5:$B$195, 2, 0), "Others"))</f>
        <v>L10 Crypt</v>
      </c>
    </row>
    <row r="1177" spans="1:6" x14ac:dyDescent="0.25">
      <c r="A1177" s="14">
        <v>46144.898611111108</v>
      </c>
      <c r="B1177" s="79" t="s">
        <v>149</v>
      </c>
      <c r="C1177" s="79" t="s">
        <v>184</v>
      </c>
      <c r="D1177" s="79" t="s">
        <v>194</v>
      </c>
      <c r="E1177" s="79" t="s">
        <v>52</v>
      </c>
      <c r="F1177" s="79" t="str">
        <f>IF(E1177="", "", IF(COUNTIF(ChestType!$A$5:$A$195, E1177)&gt;0, VLOOKUP(E1177, ChestType!$A$5:$B$195, 2, 0), "Others"))</f>
        <v>L5 Crypt</v>
      </c>
    </row>
    <row r="1178" spans="1:6" x14ac:dyDescent="0.25">
      <c r="A1178" s="14">
        <v>46144.898611111108</v>
      </c>
      <c r="B1178" s="79" t="s">
        <v>149</v>
      </c>
      <c r="C1178" s="79" t="s">
        <v>184</v>
      </c>
      <c r="D1178" s="79" t="s">
        <v>261</v>
      </c>
      <c r="E1178" s="79" t="s">
        <v>50</v>
      </c>
      <c r="F1178" s="79" t="str">
        <f>IF(E1178="", "", IF(COUNTIF(ChestType!$A$5:$A$195, E1178)&gt;0, VLOOKUP(E1178, ChestType!$A$5:$B$195, 2, 0), "Others"))</f>
        <v>L10 Crypt</v>
      </c>
    </row>
    <row r="1179" spans="1:6" x14ac:dyDescent="0.25">
      <c r="A1179" s="14">
        <v>46144.898611111108</v>
      </c>
      <c r="B1179" s="79" t="s">
        <v>149</v>
      </c>
      <c r="C1179" s="79" t="s">
        <v>173</v>
      </c>
      <c r="D1179" s="79" t="s">
        <v>167</v>
      </c>
      <c r="E1179" s="79" t="s">
        <v>50</v>
      </c>
      <c r="F1179" s="79" t="str">
        <f>IF(E1179="", "", IF(COUNTIF(ChestType!$A$5:$A$195, E1179)&gt;0, VLOOKUP(E1179, ChestType!$A$5:$B$195, 2, 0), "Others"))</f>
        <v>L10 Crypt</v>
      </c>
    </row>
    <row r="1180" spans="1:6" x14ac:dyDescent="0.25">
      <c r="A1180" s="14">
        <v>46144.898611111108</v>
      </c>
      <c r="B1180" s="79" t="s">
        <v>149</v>
      </c>
      <c r="C1180" s="79" t="s">
        <v>181</v>
      </c>
      <c r="D1180" s="79" t="s">
        <v>261</v>
      </c>
      <c r="E1180" s="79" t="s">
        <v>50</v>
      </c>
      <c r="F1180" s="79" t="str">
        <f>IF(E1180="", "", IF(COUNTIF(ChestType!$A$5:$A$195, E1180)&gt;0, VLOOKUP(E1180, ChestType!$A$5:$B$195, 2, 0), "Others"))</f>
        <v>L10 Crypt</v>
      </c>
    </row>
    <row r="1181" spans="1:6" x14ac:dyDescent="0.25">
      <c r="A1181" s="14">
        <v>46144.898611111108</v>
      </c>
      <c r="B1181" s="79" t="s">
        <v>149</v>
      </c>
      <c r="C1181" s="79" t="s">
        <v>151</v>
      </c>
      <c r="D1181" s="79" t="s">
        <v>194</v>
      </c>
      <c r="E1181" s="79" t="s">
        <v>52</v>
      </c>
      <c r="F1181" s="79" t="str">
        <f>IF(E1181="", "", IF(COUNTIF(ChestType!$A$5:$A$195, E1181)&gt;0, VLOOKUP(E1181, ChestType!$A$5:$B$195, 2, 0), "Others"))</f>
        <v>L5 Crypt</v>
      </c>
    </row>
    <row r="1182" spans="1:6" x14ac:dyDescent="0.25">
      <c r="A1182" s="14">
        <v>46144.956944444442</v>
      </c>
      <c r="B1182" s="79" t="s">
        <v>149</v>
      </c>
      <c r="C1182" s="79" t="s">
        <v>190</v>
      </c>
      <c r="D1182" s="79" t="s">
        <v>261</v>
      </c>
      <c r="E1182" s="79" t="s">
        <v>52</v>
      </c>
      <c r="F1182" s="79" t="str">
        <f>IF(E1182="", "", IF(COUNTIF(ChestType!$A$5:$A$195, E1182)&gt;0, VLOOKUP(E1182, ChestType!$A$5:$B$195, 2, 0), "Others"))</f>
        <v>L5 Crypt</v>
      </c>
    </row>
    <row r="1183" spans="1:6" x14ac:dyDescent="0.25">
      <c r="A1183" s="14">
        <v>46144.956944444442</v>
      </c>
      <c r="B1183" s="79" t="s">
        <v>149</v>
      </c>
      <c r="C1183" s="79" t="s">
        <v>190</v>
      </c>
      <c r="D1183" s="79" t="s">
        <v>261</v>
      </c>
      <c r="E1183" s="79" t="s">
        <v>52</v>
      </c>
      <c r="F1183" s="79" t="str">
        <f>IF(E1183="", "", IF(COUNTIF(ChestType!$A$5:$A$195, E1183)&gt;0, VLOOKUP(E1183, ChestType!$A$5:$B$195, 2, 0), "Others"))</f>
        <v>L5 Crypt</v>
      </c>
    </row>
    <row r="1184" spans="1:6" x14ac:dyDescent="0.25">
      <c r="A1184" s="14">
        <v>46144.956944444442</v>
      </c>
      <c r="B1184" s="79" t="s">
        <v>149</v>
      </c>
      <c r="C1184" s="79" t="s">
        <v>185</v>
      </c>
      <c r="D1184" s="79" t="s">
        <v>261</v>
      </c>
      <c r="E1184" s="79" t="s">
        <v>50</v>
      </c>
      <c r="F1184" s="79" t="str">
        <f>IF(E1184="", "", IF(COUNTIF(ChestType!$A$5:$A$195, E1184)&gt;0, VLOOKUP(E1184, ChestType!$A$5:$B$195, 2, 0), "Others"))</f>
        <v>L10 Crypt</v>
      </c>
    </row>
    <row r="1185" spans="1:6" x14ac:dyDescent="0.25">
      <c r="A1185" s="14">
        <v>46144.956944444442</v>
      </c>
      <c r="B1185" s="79" t="s">
        <v>149</v>
      </c>
      <c r="C1185" s="79" t="s">
        <v>177</v>
      </c>
      <c r="D1185" s="79" t="s">
        <v>261</v>
      </c>
      <c r="E1185" s="79" t="s">
        <v>52</v>
      </c>
      <c r="F1185" s="79" t="str">
        <f>IF(E1185="", "", IF(COUNTIF(ChestType!$A$5:$A$195, E1185)&gt;0, VLOOKUP(E1185, ChestType!$A$5:$B$195, 2, 0), "Others"))</f>
        <v>L5 Crypt</v>
      </c>
    </row>
    <row r="1186" spans="1:6" x14ac:dyDescent="0.25">
      <c r="A1186" s="14">
        <v>46144.956944444442</v>
      </c>
      <c r="B1186" s="79" t="s">
        <v>149</v>
      </c>
      <c r="C1186" s="79" t="s">
        <v>187</v>
      </c>
      <c r="D1186" s="79" t="s">
        <v>157</v>
      </c>
      <c r="E1186" s="79" t="s">
        <v>71</v>
      </c>
      <c r="F1186" s="79" t="str">
        <f>IF(E1186="", "", IF(COUNTIF(ChestType!$A$5:$A$195, E1186)&gt;0, VLOOKUP(E1186, ChestType!$A$5:$B$195, 2, 0), "Others"))</f>
        <v>L15 Rare Crypt</v>
      </c>
    </row>
    <row r="1187" spans="1:6" x14ac:dyDescent="0.25">
      <c r="A1187" s="14">
        <v>46144.956944444442</v>
      </c>
      <c r="B1187" s="79" t="s">
        <v>149</v>
      </c>
      <c r="C1187" s="79" t="s">
        <v>182</v>
      </c>
      <c r="D1187" s="79" t="s">
        <v>261</v>
      </c>
      <c r="E1187" s="79" t="s">
        <v>52</v>
      </c>
      <c r="F1187" s="79" t="str">
        <f>IF(E1187="", "", IF(COUNTIF(ChestType!$A$5:$A$195, E1187)&gt;0, VLOOKUP(E1187, ChestType!$A$5:$B$195, 2, 0), "Others"))</f>
        <v>L5 Crypt</v>
      </c>
    </row>
    <row r="1188" spans="1:6" x14ac:dyDescent="0.25">
      <c r="A1188" s="14">
        <v>46144.956944444442</v>
      </c>
      <c r="B1188" s="79" t="s">
        <v>149</v>
      </c>
      <c r="C1188" s="79" t="s">
        <v>151</v>
      </c>
      <c r="D1188" s="79" t="s">
        <v>165</v>
      </c>
      <c r="E1188" s="79" t="s">
        <v>52</v>
      </c>
      <c r="F1188" s="79" t="str">
        <f>IF(E1188="", "", IF(COUNTIF(ChestType!$A$5:$A$195, E1188)&gt;0, VLOOKUP(E1188, ChestType!$A$5:$B$195, 2, 0), "Others"))</f>
        <v>L5 Crypt</v>
      </c>
    </row>
    <row r="1189" spans="1:6" x14ac:dyDescent="0.25">
      <c r="A1189" s="14">
        <v>46144.956944444442</v>
      </c>
      <c r="B1189" s="79" t="s">
        <v>149</v>
      </c>
      <c r="C1189" s="79" t="s">
        <v>185</v>
      </c>
      <c r="D1189" s="79" t="s">
        <v>152</v>
      </c>
      <c r="E1189" s="79" t="s">
        <v>48</v>
      </c>
      <c r="F1189" s="79" t="str">
        <f>IF(E1189="", "", IF(COUNTIF(ChestType!$A$5:$A$195, E1189)&gt;0, VLOOKUP(E1189, ChestType!$A$5:$B$195, 2, 0), "Others"))</f>
        <v>L20 Crypt</v>
      </c>
    </row>
    <row r="1190" spans="1:6" x14ac:dyDescent="0.25">
      <c r="A1190" s="14">
        <v>46144.956944444442</v>
      </c>
      <c r="B1190" s="79" t="s">
        <v>149</v>
      </c>
      <c r="C1190" s="79" t="s">
        <v>183</v>
      </c>
      <c r="D1190" s="79" t="s">
        <v>245</v>
      </c>
      <c r="E1190" s="79" t="s">
        <v>49</v>
      </c>
      <c r="F1190" s="79" t="str">
        <f>IF(E1190="", "", IF(COUNTIF(ChestType!$A$5:$A$195, E1190)&gt;0, VLOOKUP(E1190, ChestType!$A$5:$B$195, 2, 0), "Others"))</f>
        <v>L15 Crypt</v>
      </c>
    </row>
    <row r="1191" spans="1:6" x14ac:dyDescent="0.25">
      <c r="A1191" s="14">
        <v>46144.956944444442</v>
      </c>
      <c r="B1191" s="79" t="s">
        <v>149</v>
      </c>
      <c r="C1191" s="79" t="s">
        <v>177</v>
      </c>
      <c r="D1191" s="79" t="s">
        <v>152</v>
      </c>
      <c r="E1191" s="79" t="s">
        <v>49</v>
      </c>
      <c r="F1191" s="79" t="str">
        <f>IF(E1191="", "", IF(COUNTIF(ChestType!$A$5:$A$195, E1191)&gt;0, VLOOKUP(E1191, ChestType!$A$5:$B$195, 2, 0), "Others"))</f>
        <v>L15 Crypt</v>
      </c>
    </row>
    <row r="1192" spans="1:6" x14ac:dyDescent="0.25">
      <c r="A1192" s="14">
        <v>46144.956944444442</v>
      </c>
      <c r="B1192" s="79" t="s">
        <v>149</v>
      </c>
      <c r="C1192" s="79" t="s">
        <v>215</v>
      </c>
      <c r="D1192" s="79" t="s">
        <v>152</v>
      </c>
      <c r="E1192" s="79" t="s">
        <v>64</v>
      </c>
      <c r="F1192" s="79" t="str">
        <f>IF(E1192="", "", IF(COUNTIF(ChestType!$A$5:$A$195, E1192)&gt;0, VLOOKUP(E1192, ChestType!$A$5:$B$195, 2, 0), "Others"))</f>
        <v>L15 Epic Crypt</v>
      </c>
    </row>
    <row r="1193" spans="1:6" x14ac:dyDescent="0.25">
      <c r="A1193" s="14">
        <v>46144.956944444442</v>
      </c>
      <c r="B1193" s="79" t="s">
        <v>149</v>
      </c>
      <c r="C1193" s="79" t="s">
        <v>226</v>
      </c>
      <c r="D1193" s="79" t="s">
        <v>152</v>
      </c>
      <c r="E1193" s="79" t="s">
        <v>64</v>
      </c>
      <c r="F1193" s="79" t="str">
        <f>IF(E1193="", "", IF(COUNTIF(ChestType!$A$5:$A$195, E1193)&gt;0, VLOOKUP(E1193, ChestType!$A$5:$B$195, 2, 0), "Others"))</f>
        <v>L15 Epic Crypt</v>
      </c>
    </row>
    <row r="1194" spans="1:6" x14ac:dyDescent="0.25">
      <c r="A1194" s="14">
        <v>46144.956944444442</v>
      </c>
      <c r="B1194" s="79" t="s">
        <v>149</v>
      </c>
      <c r="C1194" s="79" t="s">
        <v>174</v>
      </c>
      <c r="D1194" s="79" t="s">
        <v>152</v>
      </c>
      <c r="E1194" s="79" t="s">
        <v>64</v>
      </c>
      <c r="F1194" s="79" t="str">
        <f>IF(E1194="", "", IF(COUNTIF(ChestType!$A$5:$A$195, E1194)&gt;0, VLOOKUP(E1194, ChestType!$A$5:$B$195, 2, 0), "Others"))</f>
        <v>L15 Epic Crypt</v>
      </c>
    </row>
    <row r="1195" spans="1:6" x14ac:dyDescent="0.25">
      <c r="A1195" s="14">
        <v>46144.956944444442</v>
      </c>
      <c r="B1195" s="79" t="s">
        <v>149</v>
      </c>
      <c r="C1195" s="79" t="s">
        <v>230</v>
      </c>
      <c r="D1195" s="79" t="s">
        <v>152</v>
      </c>
      <c r="E1195" s="79" t="s">
        <v>64</v>
      </c>
      <c r="F1195" s="79" t="str">
        <f>IF(E1195="", "", IF(COUNTIF(ChestType!$A$5:$A$195, E1195)&gt;0, VLOOKUP(E1195, ChestType!$A$5:$B$195, 2, 0), "Others"))</f>
        <v>L15 Epic Crypt</v>
      </c>
    </row>
    <row r="1196" spans="1:6" x14ac:dyDescent="0.25">
      <c r="A1196" s="14">
        <v>46144.956944444442</v>
      </c>
      <c r="B1196" s="79" t="s">
        <v>149</v>
      </c>
      <c r="C1196" s="79" t="s">
        <v>227</v>
      </c>
      <c r="D1196" s="79" t="s">
        <v>152</v>
      </c>
      <c r="E1196" s="79" t="s">
        <v>64</v>
      </c>
      <c r="F1196" s="79" t="str">
        <f>IF(E1196="", "", IF(COUNTIF(ChestType!$A$5:$A$195, E1196)&gt;0, VLOOKUP(E1196, ChestType!$A$5:$B$195, 2, 0), "Others"))</f>
        <v>L15 Epic Crypt</v>
      </c>
    </row>
    <row r="1197" spans="1:6" x14ac:dyDescent="0.25">
      <c r="A1197" s="14">
        <v>46144.956944444442</v>
      </c>
      <c r="B1197" s="79" t="s">
        <v>149</v>
      </c>
      <c r="C1197" s="79" t="s">
        <v>182</v>
      </c>
      <c r="D1197" s="79" t="s">
        <v>233</v>
      </c>
      <c r="E1197" s="79" t="s">
        <v>52</v>
      </c>
      <c r="F1197" s="79" t="str">
        <f>IF(E1197="", "", IF(COUNTIF(ChestType!$A$5:$A$195, E1197)&gt;0, VLOOKUP(E1197, ChestType!$A$5:$B$195, 2, 0), "Others"))</f>
        <v>L5 Crypt</v>
      </c>
    </row>
    <row r="1198" spans="1:6" x14ac:dyDescent="0.25">
      <c r="A1198" s="14">
        <v>46145.37222222222</v>
      </c>
      <c r="B1198" s="79" t="s">
        <v>149</v>
      </c>
      <c r="C1198" s="79" t="s">
        <v>181</v>
      </c>
      <c r="D1198" s="79" t="s">
        <v>233</v>
      </c>
      <c r="E1198" s="79" t="s">
        <v>52</v>
      </c>
      <c r="F1198" s="79" t="str">
        <f>IF(E1198="", "", IF(COUNTIF(ChestType!$A$5:$A$195, E1198)&gt;0, VLOOKUP(E1198, ChestType!$A$5:$B$195, 2, 0), "Others"))</f>
        <v>L5 Crypt</v>
      </c>
    </row>
    <row r="1199" spans="1:6" x14ac:dyDescent="0.25">
      <c r="A1199" s="14">
        <v>46145.37222222222</v>
      </c>
      <c r="B1199" s="79" t="s">
        <v>149</v>
      </c>
      <c r="C1199" s="79" t="s">
        <v>190</v>
      </c>
      <c r="D1199" s="79" t="s">
        <v>152</v>
      </c>
      <c r="E1199" s="79" t="s">
        <v>48</v>
      </c>
      <c r="F1199" s="79" t="str">
        <f>IF(E1199="", "", IF(COUNTIF(ChestType!$A$5:$A$195, E1199)&gt;0, VLOOKUP(E1199, ChestType!$A$5:$B$195, 2, 0), "Others"))</f>
        <v>L20 Crypt</v>
      </c>
    </row>
    <row r="1200" spans="1:6" x14ac:dyDescent="0.25">
      <c r="A1200" s="14">
        <v>46145.37222222222</v>
      </c>
      <c r="B1200" s="79" t="s">
        <v>149</v>
      </c>
      <c r="C1200" s="79" t="s">
        <v>151</v>
      </c>
      <c r="D1200" s="79" t="s">
        <v>165</v>
      </c>
      <c r="E1200" s="79" t="s">
        <v>50</v>
      </c>
      <c r="F1200" s="79" t="str">
        <f>IF(E1200="", "", IF(COUNTIF(ChestType!$A$5:$A$195, E1200)&gt;0, VLOOKUP(E1200, ChestType!$A$5:$B$195, 2, 0), "Others"))</f>
        <v>L10 Crypt</v>
      </c>
    </row>
    <row r="1201" spans="1:6" x14ac:dyDescent="0.25">
      <c r="A1201" s="14">
        <v>46145.37222222222</v>
      </c>
      <c r="B1201" s="79" t="s">
        <v>149</v>
      </c>
      <c r="C1201" s="79" t="s">
        <v>188</v>
      </c>
      <c r="D1201" s="79" t="s">
        <v>152</v>
      </c>
      <c r="E1201" s="79" t="s">
        <v>45</v>
      </c>
      <c r="F1201" s="79" t="str">
        <f>IF(E1201="", "", IF(COUNTIF(ChestType!$A$5:$A$195, E1201)&gt;0, VLOOKUP(E1201, ChestType!$A$5:$B$195, 2, 0), "Others"))</f>
        <v>Others</v>
      </c>
    </row>
    <row r="1202" spans="1:6" x14ac:dyDescent="0.25">
      <c r="A1202" s="14">
        <v>46145.37222222222</v>
      </c>
      <c r="B1202" s="79" t="s">
        <v>149</v>
      </c>
      <c r="C1202" s="79" t="s">
        <v>189</v>
      </c>
      <c r="D1202" s="79" t="s">
        <v>152</v>
      </c>
      <c r="E1202" s="79" t="s">
        <v>45</v>
      </c>
      <c r="F1202" s="79" t="str">
        <f>IF(E1202="", "", IF(COUNTIF(ChestType!$A$5:$A$195, E1202)&gt;0, VLOOKUP(E1202, ChestType!$A$5:$B$195, 2, 0), "Others"))</f>
        <v>Others</v>
      </c>
    </row>
    <row r="1203" spans="1:6" x14ac:dyDescent="0.25">
      <c r="A1203" s="14">
        <v>46145.37222222222</v>
      </c>
      <c r="B1203" s="79" t="s">
        <v>149</v>
      </c>
      <c r="C1203" s="79" t="s">
        <v>239</v>
      </c>
      <c r="D1203" s="79" t="s">
        <v>152</v>
      </c>
      <c r="E1203" s="79" t="s">
        <v>45</v>
      </c>
      <c r="F1203" s="79" t="str">
        <f>IF(E1203="", "", IF(COUNTIF(ChestType!$A$5:$A$195, E1203)&gt;0, VLOOKUP(E1203, ChestType!$A$5:$B$195, 2, 0), "Others"))</f>
        <v>Others</v>
      </c>
    </row>
    <row r="1204" spans="1:6" x14ac:dyDescent="0.25">
      <c r="A1204" s="14">
        <v>46145.37222222222</v>
      </c>
      <c r="B1204" s="79" t="s">
        <v>149</v>
      </c>
      <c r="C1204" s="79" t="s">
        <v>190</v>
      </c>
      <c r="D1204" s="79" t="s">
        <v>152</v>
      </c>
      <c r="E1204" s="79" t="s">
        <v>48</v>
      </c>
      <c r="F1204" s="79" t="str">
        <f>IF(E1204="", "", IF(COUNTIF(ChestType!$A$5:$A$195, E1204)&gt;0, VLOOKUP(E1204, ChestType!$A$5:$B$195, 2, 0), "Others"))</f>
        <v>L20 Crypt</v>
      </c>
    </row>
    <row r="1205" spans="1:6" x14ac:dyDescent="0.25">
      <c r="A1205" s="14">
        <v>46145.37222222222</v>
      </c>
      <c r="B1205" s="79" t="s">
        <v>149</v>
      </c>
      <c r="C1205" s="79" t="s">
        <v>175</v>
      </c>
      <c r="D1205" s="79" t="s">
        <v>261</v>
      </c>
      <c r="E1205" s="79" t="s">
        <v>50</v>
      </c>
      <c r="F1205" s="79" t="str">
        <f>IF(E1205="", "", IF(COUNTIF(ChestType!$A$5:$A$195, E1205)&gt;0, VLOOKUP(E1205, ChestType!$A$5:$B$195, 2, 0), "Others"))</f>
        <v>L10 Crypt</v>
      </c>
    </row>
    <row r="1206" spans="1:6" x14ac:dyDescent="0.25">
      <c r="A1206" s="14">
        <v>46145.37222222222</v>
      </c>
      <c r="B1206" s="79" t="s">
        <v>149</v>
      </c>
      <c r="C1206" s="79" t="s">
        <v>192</v>
      </c>
      <c r="D1206" s="79" t="s">
        <v>165</v>
      </c>
      <c r="E1206" s="79" t="s">
        <v>60</v>
      </c>
      <c r="F1206" s="79" t="str">
        <f>IF(E1206="", "", IF(COUNTIF(ChestType!$A$5:$A$195, E1206)&gt;0, VLOOKUP(E1206, ChestType!$A$5:$B$195, 2, 0), "Others"))</f>
        <v>Others</v>
      </c>
    </row>
    <row r="1207" spans="1:6" x14ac:dyDescent="0.25">
      <c r="A1207" s="14">
        <v>46145.37222222222</v>
      </c>
      <c r="B1207" s="79" t="s">
        <v>149</v>
      </c>
      <c r="C1207" s="79" t="s">
        <v>184</v>
      </c>
      <c r="D1207" s="79" t="s">
        <v>245</v>
      </c>
      <c r="E1207" s="79" t="s">
        <v>50</v>
      </c>
      <c r="F1207" s="79" t="str">
        <f>IF(E1207="", "", IF(COUNTIF(ChestType!$A$5:$A$195, E1207)&gt;0, VLOOKUP(E1207, ChestType!$A$5:$B$195, 2, 0), "Others"))</f>
        <v>L10 Crypt</v>
      </c>
    </row>
    <row r="1208" spans="1:6" x14ac:dyDescent="0.25">
      <c r="A1208" s="14">
        <v>46145.37222222222</v>
      </c>
      <c r="B1208" s="79" t="s">
        <v>149</v>
      </c>
      <c r="C1208" s="79" t="s">
        <v>181</v>
      </c>
      <c r="D1208" s="79" t="s">
        <v>252</v>
      </c>
      <c r="E1208" s="79" t="s">
        <v>50</v>
      </c>
      <c r="F1208" s="79" t="str">
        <f>IF(E1208="", "", IF(COUNTIF(ChestType!$A$5:$A$195, E1208)&gt;0, VLOOKUP(E1208, ChestType!$A$5:$B$195, 2, 0), "Others"))</f>
        <v>L10 Crypt</v>
      </c>
    </row>
    <row r="1209" spans="1:6" x14ac:dyDescent="0.25">
      <c r="A1209" s="14">
        <v>46145.37222222222</v>
      </c>
      <c r="B1209" s="79" t="s">
        <v>149</v>
      </c>
      <c r="C1209" s="79" t="s">
        <v>181</v>
      </c>
      <c r="D1209" s="79" t="s">
        <v>261</v>
      </c>
      <c r="E1209" s="79" t="s">
        <v>50</v>
      </c>
      <c r="F1209" s="79" t="str">
        <f>IF(E1209="", "", IF(COUNTIF(ChestType!$A$5:$A$195, E1209)&gt;0, VLOOKUP(E1209, ChestType!$A$5:$B$195, 2, 0), "Others"))</f>
        <v>L10 Crypt</v>
      </c>
    </row>
    <row r="1210" spans="1:6" x14ac:dyDescent="0.25">
      <c r="A1210" s="14">
        <v>46145.37222222222</v>
      </c>
      <c r="B1210" s="79" t="s">
        <v>149</v>
      </c>
      <c r="C1210" s="79" t="s">
        <v>171</v>
      </c>
      <c r="D1210" s="79" t="s">
        <v>152</v>
      </c>
      <c r="E1210" s="79" t="s">
        <v>49</v>
      </c>
      <c r="F1210" s="79" t="str">
        <f>IF(E1210="", "", IF(COUNTIF(ChestType!$A$5:$A$195, E1210)&gt;0, VLOOKUP(E1210, ChestType!$A$5:$B$195, 2, 0), "Others"))</f>
        <v>L15 Crypt</v>
      </c>
    </row>
    <row r="1211" spans="1:6" x14ac:dyDescent="0.25">
      <c r="A1211" s="14">
        <v>46145.37222222222</v>
      </c>
      <c r="B1211" s="79" t="s">
        <v>149</v>
      </c>
      <c r="C1211" s="79" t="s">
        <v>184</v>
      </c>
      <c r="D1211" s="79" t="s">
        <v>245</v>
      </c>
      <c r="E1211" s="79" t="s">
        <v>49</v>
      </c>
      <c r="F1211" s="79" t="str">
        <f>IF(E1211="", "", IF(COUNTIF(ChestType!$A$5:$A$195, E1211)&gt;0, VLOOKUP(E1211, ChestType!$A$5:$B$195, 2, 0), "Others"))</f>
        <v>L15 Crypt</v>
      </c>
    </row>
    <row r="1212" spans="1:6" x14ac:dyDescent="0.25">
      <c r="A1212" s="14">
        <v>46145.37222222222</v>
      </c>
      <c r="B1212" s="79" t="s">
        <v>149</v>
      </c>
      <c r="C1212" s="79" t="s">
        <v>183</v>
      </c>
      <c r="D1212" s="79" t="s">
        <v>165</v>
      </c>
      <c r="E1212" s="79" t="s">
        <v>50</v>
      </c>
      <c r="F1212" s="79" t="str">
        <f>IF(E1212="", "", IF(COUNTIF(ChestType!$A$5:$A$195, E1212)&gt;0, VLOOKUP(E1212, ChestType!$A$5:$B$195, 2, 0), "Others"))</f>
        <v>L10 Crypt</v>
      </c>
    </row>
    <row r="1213" spans="1:6" x14ac:dyDescent="0.25">
      <c r="A1213" s="14">
        <v>46145.37222222222</v>
      </c>
      <c r="B1213" s="79" t="s">
        <v>149</v>
      </c>
      <c r="C1213" s="79" t="s">
        <v>175</v>
      </c>
      <c r="D1213" s="79" t="s">
        <v>245</v>
      </c>
      <c r="E1213" s="79" t="s">
        <v>49</v>
      </c>
      <c r="F1213" s="79" t="str">
        <f>IF(E1213="", "", IF(COUNTIF(ChestType!$A$5:$A$195, E1213)&gt;0, VLOOKUP(E1213, ChestType!$A$5:$B$195, 2, 0), "Others"))</f>
        <v>L15 Crypt</v>
      </c>
    </row>
    <row r="1214" spans="1:6" x14ac:dyDescent="0.25">
      <c r="A1214" s="14">
        <v>46145.37222222222</v>
      </c>
      <c r="B1214" s="79" t="s">
        <v>149</v>
      </c>
      <c r="C1214" s="79" t="s">
        <v>176</v>
      </c>
      <c r="D1214" s="79" t="s">
        <v>165</v>
      </c>
      <c r="E1214" s="79" t="s">
        <v>70</v>
      </c>
      <c r="F1214" s="79" t="str">
        <f>IF(E1214="", "", IF(COUNTIF(ChestType!$A$5:$A$195, E1214)&gt;0, VLOOKUP(E1214, ChestType!$A$5:$B$195, 2, 0), "Others"))</f>
        <v>L10 Citadel</v>
      </c>
    </row>
    <row r="1215" spans="1:6" x14ac:dyDescent="0.25">
      <c r="A1215" s="14">
        <v>46145.37222222222</v>
      </c>
      <c r="B1215" s="79" t="s">
        <v>149</v>
      </c>
      <c r="C1215" s="79" t="s">
        <v>151</v>
      </c>
      <c r="D1215" s="79" t="s">
        <v>245</v>
      </c>
      <c r="E1215" s="79" t="s">
        <v>49</v>
      </c>
      <c r="F1215" s="79" t="str">
        <f>IF(E1215="", "", IF(COUNTIF(ChestType!$A$5:$A$195, E1215)&gt;0, VLOOKUP(E1215, ChestType!$A$5:$B$195, 2, 0), "Others"))</f>
        <v>L15 Crypt</v>
      </c>
    </row>
    <row r="1216" spans="1:6" x14ac:dyDescent="0.25">
      <c r="A1216" s="14">
        <v>46145.37222222222</v>
      </c>
      <c r="B1216" s="79" t="s">
        <v>149</v>
      </c>
      <c r="C1216" s="79" t="s">
        <v>177</v>
      </c>
      <c r="D1216" s="79" t="s">
        <v>164</v>
      </c>
      <c r="E1216" s="79" t="s">
        <v>49</v>
      </c>
      <c r="F1216" s="79" t="str">
        <f>IF(E1216="", "", IF(COUNTIF(ChestType!$A$5:$A$195, E1216)&gt;0, VLOOKUP(E1216, ChestType!$A$5:$B$195, 2, 0), "Others"))</f>
        <v>L15 Crypt</v>
      </c>
    </row>
    <row r="1217" spans="1:6" x14ac:dyDescent="0.25">
      <c r="A1217" s="14">
        <v>46145.37222222222</v>
      </c>
      <c r="B1217" s="79" t="s">
        <v>149</v>
      </c>
      <c r="C1217" s="79" t="s">
        <v>184</v>
      </c>
      <c r="D1217" s="79" t="s">
        <v>164</v>
      </c>
      <c r="E1217" s="79" t="s">
        <v>49</v>
      </c>
      <c r="F1217" s="79" t="str">
        <f>IF(E1217="", "", IF(COUNTIF(ChestType!$A$5:$A$195, E1217)&gt;0, VLOOKUP(E1217, ChestType!$A$5:$B$195, 2, 0), "Others"))</f>
        <v>L15 Crypt</v>
      </c>
    </row>
    <row r="1218" spans="1:6" x14ac:dyDescent="0.25">
      <c r="A1218" s="14">
        <v>46145.37222222222</v>
      </c>
      <c r="B1218" s="79" t="s">
        <v>149</v>
      </c>
      <c r="C1218" s="79" t="s">
        <v>173</v>
      </c>
      <c r="D1218" s="79" t="s">
        <v>164</v>
      </c>
      <c r="E1218" s="79" t="s">
        <v>49</v>
      </c>
      <c r="F1218" s="79" t="str">
        <f>IF(E1218="", "", IF(COUNTIF(ChestType!$A$5:$A$195, E1218)&gt;0, VLOOKUP(E1218, ChestType!$A$5:$B$195, 2, 0), "Others"))</f>
        <v>L15 Crypt</v>
      </c>
    </row>
    <row r="1219" spans="1:6" x14ac:dyDescent="0.25">
      <c r="A1219" s="14">
        <v>46145.37222222222</v>
      </c>
      <c r="B1219" s="79" t="s">
        <v>149</v>
      </c>
      <c r="C1219" s="79" t="s">
        <v>181</v>
      </c>
      <c r="D1219" s="79" t="s">
        <v>245</v>
      </c>
      <c r="E1219" s="79" t="s">
        <v>49</v>
      </c>
      <c r="F1219" s="79" t="str">
        <f>IF(E1219="", "", IF(COUNTIF(ChestType!$A$5:$A$195, E1219)&gt;0, VLOOKUP(E1219, ChestType!$A$5:$B$195, 2, 0), "Others"))</f>
        <v>L15 Crypt</v>
      </c>
    </row>
    <row r="1220" spans="1:6" x14ac:dyDescent="0.25">
      <c r="A1220" s="14">
        <v>46145.37222222222</v>
      </c>
      <c r="B1220" s="79" t="s">
        <v>149</v>
      </c>
      <c r="C1220" s="79" t="s">
        <v>190</v>
      </c>
      <c r="D1220" s="79" t="s">
        <v>250</v>
      </c>
      <c r="E1220" s="79" t="s">
        <v>50</v>
      </c>
      <c r="F1220" s="79" t="str">
        <f>IF(E1220="", "", IF(COUNTIF(ChestType!$A$5:$A$195, E1220)&gt;0, VLOOKUP(E1220, ChestType!$A$5:$B$195, 2, 0), "Others"))</f>
        <v>L10 Crypt</v>
      </c>
    </row>
    <row r="1221" spans="1:6" x14ac:dyDescent="0.25">
      <c r="A1221" s="14">
        <v>46145.37222222222</v>
      </c>
      <c r="B1221" s="79" t="s">
        <v>149</v>
      </c>
      <c r="C1221" s="79" t="s">
        <v>182</v>
      </c>
      <c r="D1221" s="79" t="s">
        <v>238</v>
      </c>
      <c r="E1221" s="79" t="s">
        <v>52</v>
      </c>
      <c r="F1221" s="79" t="str">
        <f>IF(E1221="", "", IF(COUNTIF(ChestType!$A$5:$A$195, E1221)&gt;0, VLOOKUP(E1221, ChestType!$A$5:$B$195, 2, 0), "Others"))</f>
        <v>L5 Crypt</v>
      </c>
    </row>
    <row r="1222" spans="1:6" x14ac:dyDescent="0.25">
      <c r="A1222" s="14">
        <v>46145.37222222222</v>
      </c>
      <c r="B1222" s="79" t="s">
        <v>149</v>
      </c>
      <c r="C1222" s="79" t="s">
        <v>183</v>
      </c>
      <c r="D1222" s="79" t="s">
        <v>250</v>
      </c>
      <c r="E1222" s="79" t="s">
        <v>49</v>
      </c>
      <c r="F1222" s="79" t="str">
        <f>IF(E1222="", "", IF(COUNTIF(ChestType!$A$5:$A$195, E1222)&gt;0, VLOOKUP(E1222, ChestType!$A$5:$B$195, 2, 0), "Others"))</f>
        <v>L15 Crypt</v>
      </c>
    </row>
    <row r="1223" spans="1:6" x14ac:dyDescent="0.25">
      <c r="A1223" s="14">
        <v>46145.37222222222</v>
      </c>
      <c r="B1223" s="79" t="s">
        <v>149</v>
      </c>
      <c r="C1223" s="79" t="s">
        <v>176</v>
      </c>
      <c r="D1223" s="79" t="s">
        <v>231</v>
      </c>
      <c r="E1223" s="79" t="s">
        <v>70</v>
      </c>
      <c r="F1223" s="79" t="str">
        <f>IF(E1223="", "", IF(COUNTIF(ChestType!$A$5:$A$195, E1223)&gt;0, VLOOKUP(E1223, ChestType!$A$5:$B$195, 2, 0), "Others"))</f>
        <v>L10 Citadel</v>
      </c>
    </row>
    <row r="1224" spans="1:6" x14ac:dyDescent="0.25">
      <c r="A1224" s="14">
        <v>46145.37222222222</v>
      </c>
      <c r="B1224" s="79" t="s">
        <v>149</v>
      </c>
      <c r="C1224" s="79" t="s">
        <v>181</v>
      </c>
      <c r="D1224" s="79" t="s">
        <v>262</v>
      </c>
      <c r="E1224" s="79" t="s">
        <v>52</v>
      </c>
      <c r="F1224" s="79" t="str">
        <f>IF(E1224="", "", IF(COUNTIF(ChestType!$A$5:$A$195, E1224)&gt;0, VLOOKUP(E1224, ChestType!$A$5:$B$195, 2, 0), "Others"))</f>
        <v>L5 Crypt</v>
      </c>
    </row>
    <row r="1225" spans="1:6" x14ac:dyDescent="0.25">
      <c r="A1225" s="14">
        <v>46145.37222222222</v>
      </c>
      <c r="B1225" s="79" t="s">
        <v>149</v>
      </c>
      <c r="C1225" s="79" t="s">
        <v>192</v>
      </c>
      <c r="D1225" s="79" t="s">
        <v>262</v>
      </c>
      <c r="E1225" s="79" t="s">
        <v>60</v>
      </c>
      <c r="F1225" s="79" t="str">
        <f>IF(E1225="", "", IF(COUNTIF(ChestType!$A$5:$A$195, E1225)&gt;0, VLOOKUP(E1225, ChestType!$A$5:$B$195, 2, 0), "Others"))</f>
        <v>Others</v>
      </c>
    </row>
    <row r="1226" spans="1:6" x14ac:dyDescent="0.25">
      <c r="A1226" s="14">
        <v>46145.37222222222</v>
      </c>
      <c r="B1226" s="79" t="s">
        <v>149</v>
      </c>
      <c r="C1226" s="79" t="s">
        <v>171</v>
      </c>
      <c r="D1226" s="79" t="s">
        <v>225</v>
      </c>
      <c r="E1226" s="79" t="s">
        <v>50</v>
      </c>
      <c r="F1226" s="79" t="str">
        <f>IF(E1226="", "", IF(COUNTIF(ChestType!$A$5:$A$195, E1226)&gt;0, VLOOKUP(E1226, ChestType!$A$5:$B$195, 2, 0), "Others"))</f>
        <v>L10 Crypt</v>
      </c>
    </row>
    <row r="1227" spans="1:6" x14ac:dyDescent="0.25">
      <c r="A1227" s="14">
        <v>46145.37222222222</v>
      </c>
      <c r="B1227" s="79" t="s">
        <v>149</v>
      </c>
      <c r="C1227" s="79" t="s">
        <v>177</v>
      </c>
      <c r="D1227" s="79" t="s">
        <v>262</v>
      </c>
      <c r="E1227" s="79" t="s">
        <v>52</v>
      </c>
      <c r="F1227" s="79" t="str">
        <f>IF(E1227="", "", IF(COUNTIF(ChestType!$A$5:$A$195, E1227)&gt;0, VLOOKUP(E1227, ChestType!$A$5:$B$195, 2, 0), "Others"))</f>
        <v>L5 Crypt</v>
      </c>
    </row>
    <row r="1228" spans="1:6" x14ac:dyDescent="0.25">
      <c r="A1228" s="14">
        <v>46145.37222222222</v>
      </c>
      <c r="B1228" s="79" t="s">
        <v>149</v>
      </c>
      <c r="C1228" s="79" t="s">
        <v>175</v>
      </c>
      <c r="D1228" s="79" t="s">
        <v>225</v>
      </c>
      <c r="E1228" s="79" t="s">
        <v>50</v>
      </c>
      <c r="F1228" s="79" t="str">
        <f>IF(E1228="", "", IF(COUNTIF(ChestType!$A$5:$A$195, E1228)&gt;0, VLOOKUP(E1228, ChestType!$A$5:$B$195, 2, 0), "Others"))</f>
        <v>L10 Crypt</v>
      </c>
    </row>
    <row r="1229" spans="1:6" x14ac:dyDescent="0.25">
      <c r="A1229" s="14">
        <v>46145.37222222222</v>
      </c>
      <c r="B1229" s="79" t="s">
        <v>149</v>
      </c>
      <c r="C1229" s="79" t="s">
        <v>182</v>
      </c>
      <c r="D1229" s="79" t="s">
        <v>165</v>
      </c>
      <c r="E1229" s="79" t="s">
        <v>50</v>
      </c>
      <c r="F1229" s="79" t="str">
        <f>IF(E1229="", "", IF(COUNTIF(ChestType!$A$5:$A$195, E1229)&gt;0, VLOOKUP(E1229, ChestType!$A$5:$B$195, 2, 0), "Others"))</f>
        <v>L10 Crypt</v>
      </c>
    </row>
    <row r="1230" spans="1:6" x14ac:dyDescent="0.25">
      <c r="A1230" s="14">
        <v>46145.37222222222</v>
      </c>
      <c r="B1230" s="79" t="s">
        <v>149</v>
      </c>
      <c r="C1230" s="79" t="s">
        <v>175</v>
      </c>
      <c r="D1230" s="79" t="s">
        <v>262</v>
      </c>
      <c r="E1230" s="79" t="s">
        <v>52</v>
      </c>
      <c r="F1230" s="79" t="str">
        <f>IF(E1230="", "", IF(COUNTIF(ChestType!$A$5:$A$195, E1230)&gt;0, VLOOKUP(E1230, ChestType!$A$5:$B$195, 2, 0), "Others"))</f>
        <v>L5 Crypt</v>
      </c>
    </row>
    <row r="1231" spans="1:6" x14ac:dyDescent="0.25">
      <c r="A1231" s="14">
        <v>46145.37222222222</v>
      </c>
      <c r="B1231" s="79" t="s">
        <v>149</v>
      </c>
      <c r="C1231" s="79" t="s">
        <v>175</v>
      </c>
      <c r="D1231" s="79" t="s">
        <v>262</v>
      </c>
      <c r="E1231" s="79" t="s">
        <v>52</v>
      </c>
      <c r="F1231" s="79" t="str">
        <f>IF(E1231="", "", IF(COUNTIF(ChestType!$A$5:$A$195, E1231)&gt;0, VLOOKUP(E1231, ChestType!$A$5:$B$195, 2, 0), "Others"))</f>
        <v>L5 Crypt</v>
      </c>
    </row>
    <row r="1232" spans="1:6" x14ac:dyDescent="0.25">
      <c r="A1232" s="14">
        <v>46145.37222222222</v>
      </c>
      <c r="B1232" s="79" t="s">
        <v>149</v>
      </c>
      <c r="C1232" s="79" t="s">
        <v>190</v>
      </c>
      <c r="D1232" s="79" t="s">
        <v>262</v>
      </c>
      <c r="E1232" s="79" t="s">
        <v>50</v>
      </c>
      <c r="F1232" s="79" t="str">
        <f>IF(E1232="", "", IF(COUNTIF(ChestType!$A$5:$A$195, E1232)&gt;0, VLOOKUP(E1232, ChestType!$A$5:$B$195, 2, 0), "Others"))</f>
        <v>L10 Crypt</v>
      </c>
    </row>
    <row r="1233" spans="1:6" x14ac:dyDescent="0.25">
      <c r="A1233" s="14">
        <v>46145.37222222222</v>
      </c>
      <c r="B1233" s="79" t="s">
        <v>149</v>
      </c>
      <c r="C1233" s="79" t="s">
        <v>176</v>
      </c>
      <c r="D1233" s="79" t="s">
        <v>167</v>
      </c>
      <c r="E1233" s="79" t="s">
        <v>70</v>
      </c>
      <c r="F1233" s="79" t="str">
        <f>IF(E1233="", "", IF(COUNTIF(ChestType!$A$5:$A$195, E1233)&gt;0, VLOOKUP(E1233, ChestType!$A$5:$B$195, 2, 0), "Others"))</f>
        <v>L10 Citadel</v>
      </c>
    </row>
    <row r="1234" spans="1:6" x14ac:dyDescent="0.25">
      <c r="A1234" s="14">
        <v>46145.37222222222</v>
      </c>
      <c r="B1234" s="79" t="s">
        <v>149</v>
      </c>
      <c r="C1234" s="79" t="s">
        <v>183</v>
      </c>
      <c r="D1234" s="79" t="s">
        <v>165</v>
      </c>
      <c r="E1234" s="79" t="s">
        <v>50</v>
      </c>
      <c r="F1234" s="79" t="str">
        <f>IF(E1234="", "", IF(COUNTIF(ChestType!$A$5:$A$195, E1234)&gt;0, VLOOKUP(E1234, ChestType!$A$5:$B$195, 2, 0), "Others"))</f>
        <v>L10 Crypt</v>
      </c>
    </row>
    <row r="1235" spans="1:6" x14ac:dyDescent="0.25">
      <c r="A1235" s="14">
        <v>46145.37222222222</v>
      </c>
      <c r="B1235" s="79" t="s">
        <v>149</v>
      </c>
      <c r="C1235" s="79" t="s">
        <v>176</v>
      </c>
      <c r="D1235" s="79" t="s">
        <v>167</v>
      </c>
      <c r="E1235" s="79" t="s">
        <v>70</v>
      </c>
      <c r="F1235" s="79" t="str">
        <f>IF(E1235="", "", IF(COUNTIF(ChestType!$A$5:$A$195, E1235)&gt;0, VLOOKUP(E1235, ChestType!$A$5:$B$195, 2, 0), "Others"))</f>
        <v>L10 Citadel</v>
      </c>
    </row>
    <row r="1236" spans="1:6" x14ac:dyDescent="0.25">
      <c r="A1236" s="14">
        <v>46145.37222222222</v>
      </c>
      <c r="B1236" s="79" t="s">
        <v>149</v>
      </c>
      <c r="C1236" s="79" t="s">
        <v>176</v>
      </c>
      <c r="D1236" s="79" t="s">
        <v>167</v>
      </c>
      <c r="E1236" s="79" t="s">
        <v>70</v>
      </c>
      <c r="F1236" s="79" t="str">
        <f>IF(E1236="", "", IF(COUNTIF(ChestType!$A$5:$A$195, E1236)&gt;0, VLOOKUP(E1236, ChestType!$A$5:$B$195, 2, 0), "Others"))</f>
        <v>L10 Citadel</v>
      </c>
    </row>
    <row r="1237" spans="1:6" x14ac:dyDescent="0.25">
      <c r="A1237" s="14">
        <v>46145.37222222222</v>
      </c>
      <c r="B1237" s="79" t="s">
        <v>149</v>
      </c>
      <c r="C1237" s="79" t="s">
        <v>173</v>
      </c>
      <c r="D1237" s="79" t="s">
        <v>167</v>
      </c>
      <c r="E1237" s="79" t="s">
        <v>50</v>
      </c>
      <c r="F1237" s="79" t="str">
        <f>IF(E1237="", "", IF(COUNTIF(ChestType!$A$5:$A$195, E1237)&gt;0, VLOOKUP(E1237, ChestType!$A$5:$B$195, 2, 0), "Others"))</f>
        <v>L10 Crypt</v>
      </c>
    </row>
    <row r="1238" spans="1:6" x14ac:dyDescent="0.25">
      <c r="A1238" s="14">
        <v>46145.37222222222</v>
      </c>
      <c r="B1238" s="79" t="s">
        <v>149</v>
      </c>
      <c r="C1238" s="79" t="s">
        <v>173</v>
      </c>
      <c r="D1238" s="79" t="s">
        <v>167</v>
      </c>
      <c r="E1238" s="79" t="s">
        <v>50</v>
      </c>
      <c r="F1238" s="79" t="str">
        <f>IF(E1238="", "", IF(COUNTIF(ChestType!$A$5:$A$195, E1238)&gt;0, VLOOKUP(E1238, ChestType!$A$5:$B$195, 2, 0), "Others"))</f>
        <v>L10 Crypt</v>
      </c>
    </row>
    <row r="1239" spans="1:6" x14ac:dyDescent="0.25">
      <c r="A1239" s="14">
        <v>46145.37222222222</v>
      </c>
      <c r="B1239" s="79" t="s">
        <v>149</v>
      </c>
      <c r="C1239" s="79" t="s">
        <v>176</v>
      </c>
      <c r="D1239" s="79" t="s">
        <v>167</v>
      </c>
      <c r="E1239" s="79" t="s">
        <v>70</v>
      </c>
      <c r="F1239" s="79" t="str">
        <f>IF(E1239="", "", IF(COUNTIF(ChestType!$A$5:$A$195, E1239)&gt;0, VLOOKUP(E1239, ChestType!$A$5:$B$195, 2, 0), "Others"))</f>
        <v>L10 Citadel</v>
      </c>
    </row>
    <row r="1240" spans="1:6" x14ac:dyDescent="0.25">
      <c r="A1240" s="14">
        <v>46145.37222222222</v>
      </c>
      <c r="B1240" s="79" t="s">
        <v>149</v>
      </c>
      <c r="C1240" s="79" t="s">
        <v>176</v>
      </c>
      <c r="D1240" s="79" t="s">
        <v>167</v>
      </c>
      <c r="E1240" s="79" t="s">
        <v>70</v>
      </c>
      <c r="F1240" s="79" t="str">
        <f>IF(E1240="", "", IF(COUNTIF(ChestType!$A$5:$A$195, E1240)&gt;0, VLOOKUP(E1240, ChestType!$A$5:$B$195, 2, 0), "Others"))</f>
        <v>L10 Citadel</v>
      </c>
    </row>
    <row r="1241" spans="1:6" x14ac:dyDescent="0.25">
      <c r="A1241" s="14">
        <v>46145.37222222222</v>
      </c>
      <c r="B1241" s="79" t="s">
        <v>149</v>
      </c>
      <c r="C1241" s="79" t="s">
        <v>158</v>
      </c>
      <c r="D1241" s="79" t="s">
        <v>167</v>
      </c>
      <c r="E1241" s="79" t="s">
        <v>50</v>
      </c>
      <c r="F1241" s="79" t="str">
        <f>IF(E1241="", "", IF(COUNTIF(ChestType!$A$5:$A$195, E1241)&gt;0, VLOOKUP(E1241, ChestType!$A$5:$B$195, 2, 0), "Others"))</f>
        <v>L10 Crypt</v>
      </c>
    </row>
    <row r="1242" spans="1:6" x14ac:dyDescent="0.25">
      <c r="A1242" s="14">
        <v>46145.37222222222</v>
      </c>
      <c r="B1242" s="79" t="s">
        <v>149</v>
      </c>
      <c r="C1242" s="79" t="s">
        <v>173</v>
      </c>
      <c r="D1242" s="79" t="s">
        <v>167</v>
      </c>
      <c r="E1242" s="79" t="s">
        <v>50</v>
      </c>
      <c r="F1242" s="79" t="str">
        <f>IF(E1242="", "", IF(COUNTIF(ChestType!$A$5:$A$195, E1242)&gt;0, VLOOKUP(E1242, ChestType!$A$5:$B$195, 2, 0), "Others"))</f>
        <v>L10 Crypt</v>
      </c>
    </row>
    <row r="1243" spans="1:6" x14ac:dyDescent="0.25">
      <c r="A1243" s="14">
        <v>46145.37222222222</v>
      </c>
      <c r="B1243" s="79" t="s">
        <v>149</v>
      </c>
      <c r="C1243" s="79" t="s">
        <v>158</v>
      </c>
      <c r="D1243" s="79" t="s">
        <v>167</v>
      </c>
      <c r="E1243" s="79" t="s">
        <v>50</v>
      </c>
      <c r="F1243" s="79" t="str">
        <f>IF(E1243="", "", IF(COUNTIF(ChestType!$A$5:$A$195, E1243)&gt;0, VLOOKUP(E1243, ChestType!$A$5:$B$195, 2, 0), "Others"))</f>
        <v>L10 Crypt</v>
      </c>
    </row>
    <row r="1244" spans="1:6" x14ac:dyDescent="0.25">
      <c r="A1244" s="14">
        <v>46145.37222222222</v>
      </c>
      <c r="B1244" s="79" t="s">
        <v>149</v>
      </c>
      <c r="C1244" s="79" t="s">
        <v>158</v>
      </c>
      <c r="D1244" s="79" t="s">
        <v>167</v>
      </c>
      <c r="E1244" s="79" t="s">
        <v>50</v>
      </c>
      <c r="F1244" s="79" t="str">
        <f>IF(E1244="", "", IF(COUNTIF(ChestType!$A$5:$A$195, E1244)&gt;0, VLOOKUP(E1244, ChestType!$A$5:$B$195, 2, 0), "Others"))</f>
        <v>L10 Crypt</v>
      </c>
    </row>
    <row r="1245" spans="1:6" x14ac:dyDescent="0.25">
      <c r="A1245" s="14">
        <v>46145.37222222222</v>
      </c>
      <c r="B1245" s="79" t="s">
        <v>149</v>
      </c>
      <c r="C1245" s="79" t="s">
        <v>158</v>
      </c>
      <c r="D1245" s="79" t="s">
        <v>167</v>
      </c>
      <c r="E1245" s="79" t="s">
        <v>50</v>
      </c>
      <c r="F1245" s="79" t="str">
        <f>IF(E1245="", "", IF(COUNTIF(ChestType!$A$5:$A$195, E1245)&gt;0, VLOOKUP(E1245, ChestType!$A$5:$B$195, 2, 0), "Others"))</f>
        <v>L10 Crypt</v>
      </c>
    </row>
    <row r="1246" spans="1:6" x14ac:dyDescent="0.25">
      <c r="A1246" s="14">
        <v>46145.37222222222</v>
      </c>
      <c r="B1246" s="79" t="s">
        <v>149</v>
      </c>
      <c r="C1246" s="79" t="s">
        <v>176</v>
      </c>
      <c r="D1246" s="79" t="s">
        <v>167</v>
      </c>
      <c r="E1246" s="79" t="s">
        <v>70</v>
      </c>
      <c r="F1246" s="79" t="str">
        <f>IF(E1246="", "", IF(COUNTIF(ChestType!$A$5:$A$195, E1246)&gt;0, VLOOKUP(E1246, ChestType!$A$5:$B$195, 2, 0), "Others"))</f>
        <v>L10 Citadel</v>
      </c>
    </row>
    <row r="1247" spans="1:6" x14ac:dyDescent="0.25">
      <c r="A1247" s="14">
        <v>46145.37222222222</v>
      </c>
      <c r="B1247" s="79" t="s">
        <v>149</v>
      </c>
      <c r="C1247" s="79" t="s">
        <v>158</v>
      </c>
      <c r="D1247" s="79" t="s">
        <v>167</v>
      </c>
      <c r="E1247" s="79" t="s">
        <v>50</v>
      </c>
      <c r="F1247" s="79" t="str">
        <f>IF(E1247="", "", IF(COUNTIF(ChestType!$A$5:$A$195, E1247)&gt;0, VLOOKUP(E1247, ChestType!$A$5:$B$195, 2, 0), "Others"))</f>
        <v>L10 Crypt</v>
      </c>
    </row>
    <row r="1248" spans="1:6" x14ac:dyDescent="0.25">
      <c r="A1248" s="14">
        <v>46145.37222222222</v>
      </c>
      <c r="B1248" s="79" t="s">
        <v>149</v>
      </c>
      <c r="C1248" s="79" t="s">
        <v>158</v>
      </c>
      <c r="D1248" s="79" t="s">
        <v>167</v>
      </c>
      <c r="E1248" s="79" t="s">
        <v>50</v>
      </c>
      <c r="F1248" s="79" t="str">
        <f>IF(E1248="", "", IF(COUNTIF(ChestType!$A$5:$A$195, E1248)&gt;0, VLOOKUP(E1248, ChestType!$A$5:$B$195, 2, 0), "Others"))</f>
        <v>L10 Crypt</v>
      </c>
    </row>
    <row r="1249" spans="1:6" x14ac:dyDescent="0.25">
      <c r="A1249" s="14">
        <v>46145.37222222222</v>
      </c>
      <c r="B1249" s="79" t="s">
        <v>149</v>
      </c>
      <c r="C1249" s="79" t="s">
        <v>176</v>
      </c>
      <c r="D1249" s="79" t="s">
        <v>231</v>
      </c>
      <c r="E1249" s="79" t="s">
        <v>70</v>
      </c>
      <c r="F1249" s="79" t="str">
        <f>IF(E1249="", "", IF(COUNTIF(ChestType!$A$5:$A$195, E1249)&gt;0, VLOOKUP(E1249, ChestType!$A$5:$B$195, 2, 0), "Others"))</f>
        <v>L10 Citadel</v>
      </c>
    </row>
    <row r="1250" spans="1:6" x14ac:dyDescent="0.25">
      <c r="A1250" s="14">
        <v>46145.37222222222</v>
      </c>
      <c r="B1250" s="79" t="s">
        <v>149</v>
      </c>
      <c r="C1250" s="79" t="s">
        <v>184</v>
      </c>
      <c r="D1250" s="79" t="s">
        <v>193</v>
      </c>
      <c r="E1250" s="79" t="s">
        <v>50</v>
      </c>
      <c r="F1250" s="79" t="str">
        <f>IF(E1250="", "", IF(COUNTIF(ChestType!$A$5:$A$195, E1250)&gt;0, VLOOKUP(E1250, ChestType!$A$5:$B$195, 2, 0), "Others"))</f>
        <v>L10 Crypt</v>
      </c>
    </row>
    <row r="1251" spans="1:6" x14ac:dyDescent="0.25">
      <c r="A1251" s="14">
        <v>46145.37222222222</v>
      </c>
      <c r="B1251" s="79" t="s">
        <v>149</v>
      </c>
      <c r="C1251" s="79" t="s">
        <v>173</v>
      </c>
      <c r="D1251" s="79" t="s">
        <v>167</v>
      </c>
      <c r="E1251" s="79" t="s">
        <v>50</v>
      </c>
      <c r="F1251" s="79" t="str">
        <f>IF(E1251="", "", IF(COUNTIF(ChestType!$A$5:$A$195, E1251)&gt;0, VLOOKUP(E1251, ChestType!$A$5:$B$195, 2, 0), "Others"))</f>
        <v>L10 Crypt</v>
      </c>
    </row>
    <row r="1252" spans="1:6" x14ac:dyDescent="0.25">
      <c r="A1252" s="14">
        <v>46145.37222222222</v>
      </c>
      <c r="B1252" s="79" t="s">
        <v>149</v>
      </c>
      <c r="C1252" s="79" t="s">
        <v>158</v>
      </c>
      <c r="D1252" s="79" t="s">
        <v>167</v>
      </c>
      <c r="E1252" s="79" t="s">
        <v>50</v>
      </c>
      <c r="F1252" s="79" t="str">
        <f>IF(E1252="", "", IF(COUNTIF(ChestType!$A$5:$A$195, E1252)&gt;0, VLOOKUP(E1252, ChestType!$A$5:$B$195, 2, 0), "Others"))</f>
        <v>L10 Crypt</v>
      </c>
    </row>
    <row r="1253" spans="1:6" x14ac:dyDescent="0.25">
      <c r="A1253" s="14">
        <v>46145.37222222222</v>
      </c>
      <c r="B1253" s="79" t="s">
        <v>149</v>
      </c>
      <c r="C1253" s="79" t="s">
        <v>182</v>
      </c>
      <c r="D1253" s="79" t="s">
        <v>193</v>
      </c>
      <c r="E1253" s="79" t="s">
        <v>50</v>
      </c>
      <c r="F1253" s="79" t="str">
        <f>IF(E1253="", "", IF(COUNTIF(ChestType!$A$5:$A$195, E1253)&gt;0, VLOOKUP(E1253, ChestType!$A$5:$B$195, 2, 0), "Others"))</f>
        <v>L10 Crypt</v>
      </c>
    </row>
    <row r="1254" spans="1:6" x14ac:dyDescent="0.25">
      <c r="A1254" s="14">
        <v>46145.37222222222</v>
      </c>
      <c r="B1254" s="79" t="s">
        <v>149</v>
      </c>
      <c r="C1254" s="79" t="s">
        <v>185</v>
      </c>
      <c r="D1254" s="79" t="s">
        <v>193</v>
      </c>
      <c r="E1254" s="79" t="s">
        <v>50</v>
      </c>
      <c r="F1254" s="79" t="str">
        <f>IF(E1254="", "", IF(COUNTIF(ChestType!$A$5:$A$195, E1254)&gt;0, VLOOKUP(E1254, ChestType!$A$5:$B$195, 2, 0), "Others"))</f>
        <v>L10 Crypt</v>
      </c>
    </row>
    <row r="1255" spans="1:6" x14ac:dyDescent="0.25">
      <c r="A1255" s="14">
        <v>46145.37222222222</v>
      </c>
      <c r="B1255" s="79" t="s">
        <v>149</v>
      </c>
      <c r="C1255" s="79" t="s">
        <v>173</v>
      </c>
      <c r="D1255" s="79" t="s">
        <v>167</v>
      </c>
      <c r="E1255" s="79" t="s">
        <v>50</v>
      </c>
      <c r="F1255" s="79" t="str">
        <f>IF(E1255="", "", IF(COUNTIF(ChestType!$A$5:$A$195, E1255)&gt;0, VLOOKUP(E1255, ChestType!$A$5:$B$195, 2, 0), "Others"))</f>
        <v>L10 Crypt</v>
      </c>
    </row>
    <row r="1256" spans="1:6" x14ac:dyDescent="0.25">
      <c r="A1256" s="14">
        <v>46145.37222222222</v>
      </c>
      <c r="B1256" s="79" t="s">
        <v>149</v>
      </c>
      <c r="C1256" s="79" t="s">
        <v>187</v>
      </c>
      <c r="D1256" s="79" t="s">
        <v>150</v>
      </c>
      <c r="E1256" s="79" t="s">
        <v>75</v>
      </c>
      <c r="F1256" s="79" t="str">
        <f>IF(E1256="", "", IF(COUNTIF(ChestType!$A$5:$A$195, E1256)&gt;0, VLOOKUP(E1256, ChestType!$A$5:$B$195, 2, 0), "Others"))</f>
        <v>L10 Rare Crypt</v>
      </c>
    </row>
    <row r="1257" spans="1:6" x14ac:dyDescent="0.25">
      <c r="A1257" s="14">
        <v>46145.37222222222</v>
      </c>
      <c r="B1257" s="79" t="s">
        <v>149</v>
      </c>
      <c r="C1257" s="79" t="s">
        <v>190</v>
      </c>
      <c r="D1257" s="79" t="s">
        <v>150</v>
      </c>
      <c r="E1257" s="79" t="s">
        <v>50</v>
      </c>
      <c r="F1257" s="79" t="str">
        <f>IF(E1257="", "", IF(COUNTIF(ChestType!$A$5:$A$195, E1257)&gt;0, VLOOKUP(E1257, ChestType!$A$5:$B$195, 2, 0), "Others"))</f>
        <v>L10 Crypt</v>
      </c>
    </row>
    <row r="1258" spans="1:6" x14ac:dyDescent="0.25">
      <c r="A1258" s="14">
        <v>46145.37222222222</v>
      </c>
      <c r="B1258" s="79" t="s">
        <v>149</v>
      </c>
      <c r="C1258" s="79" t="s">
        <v>190</v>
      </c>
      <c r="D1258" s="79" t="s">
        <v>150</v>
      </c>
      <c r="E1258" s="79" t="s">
        <v>50</v>
      </c>
      <c r="F1258" s="79" t="str">
        <f>IF(E1258="", "", IF(COUNTIF(ChestType!$A$5:$A$195, E1258)&gt;0, VLOOKUP(E1258, ChestType!$A$5:$B$195, 2, 0), "Others"))</f>
        <v>L10 Crypt</v>
      </c>
    </row>
    <row r="1259" spans="1:6" x14ac:dyDescent="0.25">
      <c r="A1259" s="14">
        <v>46145.37222222222</v>
      </c>
      <c r="B1259" s="79" t="s">
        <v>149</v>
      </c>
      <c r="C1259" s="79" t="s">
        <v>173</v>
      </c>
      <c r="D1259" s="79" t="s">
        <v>167</v>
      </c>
      <c r="E1259" s="79" t="s">
        <v>50</v>
      </c>
      <c r="F1259" s="79" t="str">
        <f>IF(E1259="", "", IF(COUNTIF(ChestType!$A$5:$A$195, E1259)&gt;0, VLOOKUP(E1259, ChestType!$A$5:$B$195, 2, 0), "Others"))</f>
        <v>L10 Crypt</v>
      </c>
    </row>
    <row r="1260" spans="1:6" x14ac:dyDescent="0.25">
      <c r="A1260" s="14">
        <v>46145.37222222222</v>
      </c>
      <c r="B1260" s="79" t="s">
        <v>149</v>
      </c>
      <c r="C1260" s="79" t="s">
        <v>181</v>
      </c>
      <c r="D1260" s="79" t="s">
        <v>193</v>
      </c>
      <c r="E1260" s="79" t="s">
        <v>50</v>
      </c>
      <c r="F1260" s="79" t="str">
        <f>IF(E1260="", "", IF(COUNTIF(ChestType!$A$5:$A$195, E1260)&gt;0, VLOOKUP(E1260, ChestType!$A$5:$B$195, 2, 0), "Others"))</f>
        <v>L10 Crypt</v>
      </c>
    </row>
    <row r="1261" spans="1:6" x14ac:dyDescent="0.25">
      <c r="A1261" s="14">
        <v>46145.37222222222</v>
      </c>
      <c r="B1261" s="79" t="s">
        <v>149</v>
      </c>
      <c r="C1261" s="79" t="s">
        <v>181</v>
      </c>
      <c r="D1261" s="79" t="s">
        <v>150</v>
      </c>
      <c r="E1261" s="79" t="s">
        <v>50</v>
      </c>
      <c r="F1261" s="79" t="str">
        <f>IF(E1261="", "", IF(COUNTIF(ChestType!$A$5:$A$195, E1261)&gt;0, VLOOKUP(E1261, ChestType!$A$5:$B$195, 2, 0), "Others"))</f>
        <v>L10 Crypt</v>
      </c>
    </row>
    <row r="1262" spans="1:6" x14ac:dyDescent="0.25">
      <c r="A1262" s="14">
        <v>46145.37222222222</v>
      </c>
      <c r="B1262" s="79" t="s">
        <v>149</v>
      </c>
      <c r="C1262" s="79" t="s">
        <v>175</v>
      </c>
      <c r="D1262" s="79" t="s">
        <v>150</v>
      </c>
      <c r="E1262" s="79" t="s">
        <v>50</v>
      </c>
      <c r="F1262" s="79" t="str">
        <f>IF(E1262="", "", IF(COUNTIF(ChestType!$A$5:$A$195, E1262)&gt;0, VLOOKUP(E1262, ChestType!$A$5:$B$195, 2, 0), "Others"))</f>
        <v>L10 Crypt</v>
      </c>
    </row>
    <row r="1263" spans="1:6" x14ac:dyDescent="0.25">
      <c r="A1263" s="14">
        <v>46145.37222222222</v>
      </c>
      <c r="B1263" s="79" t="s">
        <v>149</v>
      </c>
      <c r="C1263" s="79" t="s">
        <v>182</v>
      </c>
      <c r="D1263" s="79" t="s">
        <v>150</v>
      </c>
      <c r="E1263" s="79" t="s">
        <v>49</v>
      </c>
      <c r="F1263" s="79" t="str">
        <f>IF(E1263="", "", IF(COUNTIF(ChestType!$A$5:$A$195, E1263)&gt;0, VLOOKUP(E1263, ChestType!$A$5:$B$195, 2, 0), "Others"))</f>
        <v>L15 Crypt</v>
      </c>
    </row>
    <row r="1264" spans="1:6" x14ac:dyDescent="0.25">
      <c r="A1264" s="14">
        <v>46145.37222222222</v>
      </c>
      <c r="B1264" s="79" t="s">
        <v>149</v>
      </c>
      <c r="C1264" s="79" t="s">
        <v>176</v>
      </c>
      <c r="D1264" s="79" t="s">
        <v>167</v>
      </c>
      <c r="E1264" s="79" t="s">
        <v>70</v>
      </c>
      <c r="F1264" s="79" t="str">
        <f>IF(E1264="", "", IF(COUNTIF(ChestType!$A$5:$A$195, E1264)&gt;0, VLOOKUP(E1264, ChestType!$A$5:$B$195, 2, 0), "Others"))</f>
        <v>L10 Citadel</v>
      </c>
    </row>
    <row r="1265" spans="1:6" x14ac:dyDescent="0.25">
      <c r="A1265" s="14">
        <v>46145.37222222222</v>
      </c>
      <c r="B1265" s="79" t="s">
        <v>149</v>
      </c>
      <c r="C1265" s="79" t="s">
        <v>175</v>
      </c>
      <c r="D1265" s="79" t="s">
        <v>179</v>
      </c>
      <c r="E1265" s="79" t="s">
        <v>50</v>
      </c>
      <c r="F1265" s="79" t="str">
        <f>IF(E1265="", "", IF(COUNTIF(ChestType!$A$5:$A$195, E1265)&gt;0, VLOOKUP(E1265, ChestType!$A$5:$B$195, 2, 0), "Others"))</f>
        <v>L10 Crypt</v>
      </c>
    </row>
    <row r="1266" spans="1:6" x14ac:dyDescent="0.25">
      <c r="A1266" s="14">
        <v>46145.37222222222</v>
      </c>
      <c r="B1266" s="79" t="s">
        <v>149</v>
      </c>
      <c r="C1266" s="79" t="s">
        <v>185</v>
      </c>
      <c r="D1266" s="79" t="s">
        <v>193</v>
      </c>
      <c r="E1266" s="79" t="s">
        <v>50</v>
      </c>
      <c r="F1266" s="79" t="str">
        <f>IF(E1266="", "", IF(COUNTIF(ChestType!$A$5:$A$195, E1266)&gt;0, VLOOKUP(E1266, ChestType!$A$5:$B$195, 2, 0), "Others"))</f>
        <v>L10 Crypt</v>
      </c>
    </row>
    <row r="1267" spans="1:6" x14ac:dyDescent="0.25">
      <c r="A1267" s="14">
        <v>46145.37222222222</v>
      </c>
      <c r="B1267" s="79" t="s">
        <v>149</v>
      </c>
      <c r="C1267" s="79" t="s">
        <v>183</v>
      </c>
      <c r="D1267" s="79" t="s">
        <v>167</v>
      </c>
      <c r="E1267" s="79" t="s">
        <v>50</v>
      </c>
      <c r="F1267" s="79" t="str">
        <f>IF(E1267="", "", IF(COUNTIF(ChestType!$A$5:$A$195, E1267)&gt;0, VLOOKUP(E1267, ChestType!$A$5:$B$195, 2, 0), "Others"))</f>
        <v>L10 Crypt</v>
      </c>
    </row>
    <row r="1268" spans="1:6" x14ac:dyDescent="0.25">
      <c r="A1268" s="14">
        <v>46145.37222222222</v>
      </c>
      <c r="B1268" s="79" t="s">
        <v>149</v>
      </c>
      <c r="C1268" s="79" t="s">
        <v>176</v>
      </c>
      <c r="D1268" s="79" t="s">
        <v>254</v>
      </c>
      <c r="E1268" s="79" t="s">
        <v>70</v>
      </c>
      <c r="F1268" s="79" t="str">
        <f>IF(E1268="", "", IF(COUNTIF(ChestType!$A$5:$A$195, E1268)&gt;0, VLOOKUP(E1268, ChestType!$A$5:$B$195, 2, 0), "Others"))</f>
        <v>L10 Citadel</v>
      </c>
    </row>
    <row r="1269" spans="1:6" x14ac:dyDescent="0.25">
      <c r="A1269" s="14">
        <v>46145.37222222222</v>
      </c>
      <c r="B1269" s="79" t="s">
        <v>149</v>
      </c>
      <c r="C1269" s="79" t="s">
        <v>173</v>
      </c>
      <c r="D1269" s="79" t="s">
        <v>263</v>
      </c>
      <c r="E1269" s="79" t="s">
        <v>52</v>
      </c>
      <c r="F1269" s="79" t="str">
        <f>IF(E1269="", "", IF(COUNTIF(ChestType!$A$5:$A$195, E1269)&gt;0, VLOOKUP(E1269, ChestType!$A$5:$B$195, 2, 0), "Others"))</f>
        <v>L5 Crypt</v>
      </c>
    </row>
    <row r="1270" spans="1:6" x14ac:dyDescent="0.25">
      <c r="A1270" s="14">
        <v>46145.37222222222</v>
      </c>
      <c r="B1270" s="79" t="s">
        <v>149</v>
      </c>
      <c r="C1270" s="79" t="s">
        <v>176</v>
      </c>
      <c r="D1270" s="79" t="s">
        <v>254</v>
      </c>
      <c r="E1270" s="79" t="s">
        <v>70</v>
      </c>
      <c r="F1270" s="79" t="str">
        <f>IF(E1270="", "", IF(COUNTIF(ChestType!$A$5:$A$195, E1270)&gt;0, VLOOKUP(E1270, ChestType!$A$5:$B$195, 2, 0), "Others"))</f>
        <v>L10 Citadel</v>
      </c>
    </row>
    <row r="1271" spans="1:6" x14ac:dyDescent="0.25">
      <c r="A1271" s="14">
        <v>46145.37222222222</v>
      </c>
      <c r="B1271" s="79" t="s">
        <v>149</v>
      </c>
      <c r="C1271" s="79" t="s">
        <v>176</v>
      </c>
      <c r="D1271" s="79" t="s">
        <v>254</v>
      </c>
      <c r="E1271" s="79" t="s">
        <v>70</v>
      </c>
      <c r="F1271" s="79" t="str">
        <f>IF(E1271="", "", IF(COUNTIF(ChestType!$A$5:$A$195, E1271)&gt;0, VLOOKUP(E1271, ChestType!$A$5:$B$195, 2, 0), "Others"))</f>
        <v>L10 Citadel</v>
      </c>
    </row>
    <row r="1272" spans="1:6" x14ac:dyDescent="0.25">
      <c r="A1272" s="14">
        <v>46145.37222222222</v>
      </c>
      <c r="B1272" s="79" t="s">
        <v>149</v>
      </c>
      <c r="C1272" s="79" t="s">
        <v>176</v>
      </c>
      <c r="D1272" s="79" t="s">
        <v>254</v>
      </c>
      <c r="E1272" s="79" t="s">
        <v>70</v>
      </c>
      <c r="F1272" s="79" t="str">
        <f>IF(E1272="", "", IF(COUNTIF(ChestType!$A$5:$A$195, E1272)&gt;0, VLOOKUP(E1272, ChestType!$A$5:$B$195, 2, 0), "Others"))</f>
        <v>L10 Citadel</v>
      </c>
    </row>
    <row r="1273" spans="1:6" x14ac:dyDescent="0.25">
      <c r="A1273" s="14">
        <v>46145.37222222222</v>
      </c>
      <c r="B1273" s="79" t="s">
        <v>149</v>
      </c>
      <c r="C1273" s="79" t="s">
        <v>190</v>
      </c>
      <c r="D1273" s="79" t="s">
        <v>166</v>
      </c>
      <c r="E1273" s="79" t="s">
        <v>50</v>
      </c>
      <c r="F1273" s="79" t="str">
        <f>IF(E1273="", "", IF(COUNTIF(ChestType!$A$5:$A$195, E1273)&gt;0, VLOOKUP(E1273, ChestType!$A$5:$B$195, 2, 0), "Others"))</f>
        <v>L10 Crypt</v>
      </c>
    </row>
    <row r="1274" spans="1:6" x14ac:dyDescent="0.25">
      <c r="A1274" s="14">
        <v>46145.37222222222</v>
      </c>
      <c r="B1274" s="79" t="s">
        <v>149</v>
      </c>
      <c r="C1274" s="79" t="s">
        <v>173</v>
      </c>
      <c r="D1274" s="79" t="s">
        <v>166</v>
      </c>
      <c r="E1274" s="79" t="s">
        <v>50</v>
      </c>
      <c r="F1274" s="79" t="str">
        <f>IF(E1274="", "", IF(COUNTIF(ChestType!$A$5:$A$195, E1274)&gt;0, VLOOKUP(E1274, ChestType!$A$5:$B$195, 2, 0), "Others"))</f>
        <v>L10 Crypt</v>
      </c>
    </row>
    <row r="1275" spans="1:6" x14ac:dyDescent="0.25">
      <c r="A1275" s="14">
        <v>46145.37222222222</v>
      </c>
      <c r="B1275" s="79" t="s">
        <v>149</v>
      </c>
      <c r="C1275" s="79" t="s">
        <v>182</v>
      </c>
      <c r="D1275" s="79" t="s">
        <v>251</v>
      </c>
      <c r="E1275" s="79" t="s">
        <v>49</v>
      </c>
      <c r="F1275" s="79" t="str">
        <f>IF(E1275="", "", IF(COUNTIF(ChestType!$A$5:$A$195, E1275)&gt;0, VLOOKUP(E1275, ChestType!$A$5:$B$195, 2, 0), "Others"))</f>
        <v>L15 Crypt</v>
      </c>
    </row>
    <row r="1276" spans="1:6" x14ac:dyDescent="0.25">
      <c r="A1276" s="14">
        <v>46145.37222222222</v>
      </c>
      <c r="B1276" s="79" t="s">
        <v>149</v>
      </c>
      <c r="C1276" s="79" t="s">
        <v>173</v>
      </c>
      <c r="D1276" s="79" t="s">
        <v>166</v>
      </c>
      <c r="E1276" s="79" t="s">
        <v>50</v>
      </c>
      <c r="F1276" s="79" t="str">
        <f>IF(E1276="", "", IF(COUNTIF(ChestType!$A$5:$A$195, E1276)&gt;0, VLOOKUP(E1276, ChestType!$A$5:$B$195, 2, 0), "Others"))</f>
        <v>L10 Crypt</v>
      </c>
    </row>
    <row r="1277" spans="1:6" x14ac:dyDescent="0.25">
      <c r="A1277" s="14">
        <v>46145.37222222222</v>
      </c>
      <c r="B1277" s="79" t="s">
        <v>149</v>
      </c>
      <c r="C1277" s="79" t="s">
        <v>171</v>
      </c>
      <c r="D1277" s="79" t="s">
        <v>246</v>
      </c>
      <c r="E1277" s="79" t="s">
        <v>52</v>
      </c>
      <c r="F1277" s="79" t="str">
        <f>IF(E1277="", "", IF(COUNTIF(ChestType!$A$5:$A$195, E1277)&gt;0, VLOOKUP(E1277, ChestType!$A$5:$B$195, 2, 0), "Others"))</f>
        <v>L5 Crypt</v>
      </c>
    </row>
    <row r="1278" spans="1:6" x14ac:dyDescent="0.25">
      <c r="A1278" s="14">
        <v>46145.37222222222</v>
      </c>
      <c r="B1278" s="79" t="s">
        <v>149</v>
      </c>
      <c r="C1278" s="79" t="s">
        <v>177</v>
      </c>
      <c r="D1278" s="79" t="s">
        <v>246</v>
      </c>
      <c r="E1278" s="79" t="s">
        <v>52</v>
      </c>
      <c r="F1278" s="79" t="str">
        <f>IF(E1278="", "", IF(COUNTIF(ChestType!$A$5:$A$195, E1278)&gt;0, VLOOKUP(E1278, ChestType!$A$5:$B$195, 2, 0), "Others"))</f>
        <v>L5 Crypt</v>
      </c>
    </row>
    <row r="1279" spans="1:6" x14ac:dyDescent="0.25">
      <c r="A1279" s="14">
        <v>46145.37222222222</v>
      </c>
      <c r="B1279" s="79" t="s">
        <v>149</v>
      </c>
      <c r="C1279" s="79" t="s">
        <v>158</v>
      </c>
      <c r="D1279" s="79" t="s">
        <v>251</v>
      </c>
      <c r="E1279" s="79" t="s">
        <v>49</v>
      </c>
      <c r="F1279" s="79" t="str">
        <f>IF(E1279="", "", IF(COUNTIF(ChestType!$A$5:$A$195, E1279)&gt;0, VLOOKUP(E1279, ChestType!$A$5:$B$195, 2, 0), "Others"))</f>
        <v>L15 Crypt</v>
      </c>
    </row>
    <row r="1280" spans="1:6" x14ac:dyDescent="0.25">
      <c r="A1280" s="14">
        <v>46145.37222222222</v>
      </c>
      <c r="B1280" s="79" t="s">
        <v>149</v>
      </c>
      <c r="C1280" s="79" t="s">
        <v>158</v>
      </c>
      <c r="D1280" s="79" t="s">
        <v>236</v>
      </c>
      <c r="E1280" s="79" t="s">
        <v>50</v>
      </c>
      <c r="F1280" s="79" t="str">
        <f>IF(E1280="", "", IF(COUNTIF(ChestType!$A$5:$A$195, E1280)&gt;0, VLOOKUP(E1280, ChestType!$A$5:$B$195, 2, 0), "Others"))</f>
        <v>L10 Crypt</v>
      </c>
    </row>
    <row r="1281" spans="1:6" x14ac:dyDescent="0.25">
      <c r="A1281" s="14">
        <v>46145.37222222222</v>
      </c>
      <c r="B1281" s="79" t="s">
        <v>149</v>
      </c>
      <c r="C1281" s="79" t="s">
        <v>171</v>
      </c>
      <c r="D1281" s="79" t="s">
        <v>163</v>
      </c>
      <c r="E1281" s="79" t="s">
        <v>52</v>
      </c>
      <c r="F1281" s="79" t="str">
        <f>IF(E1281="", "", IF(COUNTIF(ChestType!$A$5:$A$195, E1281)&gt;0, VLOOKUP(E1281, ChestType!$A$5:$B$195, 2, 0), "Others"))</f>
        <v>L5 Crypt</v>
      </c>
    </row>
    <row r="1282" spans="1:6" x14ac:dyDescent="0.25">
      <c r="A1282" s="14">
        <v>46145.37222222222</v>
      </c>
      <c r="B1282" s="79" t="s">
        <v>149</v>
      </c>
      <c r="C1282" s="79" t="s">
        <v>158</v>
      </c>
      <c r="D1282" s="79" t="s">
        <v>229</v>
      </c>
      <c r="E1282" s="79" t="s">
        <v>49</v>
      </c>
      <c r="F1282" s="79" t="str">
        <f>IF(E1282="", "", IF(COUNTIF(ChestType!$A$5:$A$195, E1282)&gt;0, VLOOKUP(E1282, ChestType!$A$5:$B$195, 2, 0), "Others"))</f>
        <v>L15 Crypt</v>
      </c>
    </row>
    <row r="1283" spans="1:6" x14ac:dyDescent="0.25">
      <c r="A1283" s="14">
        <v>46145.37222222222</v>
      </c>
      <c r="B1283" s="79" t="s">
        <v>149</v>
      </c>
      <c r="C1283" s="79" t="s">
        <v>151</v>
      </c>
      <c r="D1283" s="79" t="s">
        <v>229</v>
      </c>
      <c r="E1283" s="79" t="s">
        <v>52</v>
      </c>
      <c r="F1283" s="79" t="str">
        <f>IF(E1283="", "", IF(COUNTIF(ChestType!$A$5:$A$195, E1283)&gt;0, VLOOKUP(E1283, ChestType!$A$5:$B$195, 2, 0), "Others"))</f>
        <v>L5 Crypt</v>
      </c>
    </row>
    <row r="1284" spans="1:6" x14ac:dyDescent="0.25">
      <c r="A1284" s="14">
        <v>46145.37222222222</v>
      </c>
      <c r="B1284" s="79" t="s">
        <v>149</v>
      </c>
      <c r="C1284" s="79" t="s">
        <v>187</v>
      </c>
      <c r="D1284" s="79" t="s">
        <v>229</v>
      </c>
      <c r="E1284" s="79" t="s">
        <v>71</v>
      </c>
      <c r="F1284" s="79" t="str">
        <f>IF(E1284="", "", IF(COUNTIF(ChestType!$A$5:$A$195, E1284)&gt;0, VLOOKUP(E1284, ChestType!$A$5:$B$195, 2, 0), "Others"))</f>
        <v>L15 Rare Crypt</v>
      </c>
    </row>
    <row r="1285" spans="1:6" x14ac:dyDescent="0.25">
      <c r="A1285" s="14">
        <v>46145.37222222222</v>
      </c>
      <c r="B1285" s="79" t="s">
        <v>149</v>
      </c>
      <c r="C1285" s="79" t="s">
        <v>151</v>
      </c>
      <c r="D1285" s="79" t="s">
        <v>229</v>
      </c>
      <c r="E1285" s="79" t="s">
        <v>50</v>
      </c>
      <c r="F1285" s="79" t="str">
        <f>IF(E1285="", "", IF(COUNTIF(ChestType!$A$5:$A$195, E1285)&gt;0, VLOOKUP(E1285, ChestType!$A$5:$B$195, 2, 0), "Others"))</f>
        <v>L10 Crypt</v>
      </c>
    </row>
    <row r="1286" spans="1:6" x14ac:dyDescent="0.25">
      <c r="A1286" s="14">
        <v>46145.37222222222</v>
      </c>
      <c r="B1286" s="79" t="s">
        <v>149</v>
      </c>
      <c r="C1286" s="79" t="s">
        <v>171</v>
      </c>
      <c r="D1286" s="79" t="s">
        <v>229</v>
      </c>
      <c r="E1286" s="79" t="s">
        <v>50</v>
      </c>
      <c r="F1286" s="79" t="str">
        <f>IF(E1286="", "", IF(COUNTIF(ChestType!$A$5:$A$195, E1286)&gt;0, VLOOKUP(E1286, ChestType!$A$5:$B$195, 2, 0), "Others"))</f>
        <v>L10 Crypt</v>
      </c>
    </row>
    <row r="1287" spans="1:6" x14ac:dyDescent="0.25">
      <c r="A1287" s="14">
        <v>46145.37222222222</v>
      </c>
      <c r="B1287" s="79" t="s">
        <v>149</v>
      </c>
      <c r="C1287" s="79" t="s">
        <v>185</v>
      </c>
      <c r="D1287" s="79" t="s">
        <v>229</v>
      </c>
      <c r="E1287" s="79" t="s">
        <v>50</v>
      </c>
      <c r="F1287" s="79" t="str">
        <f>IF(E1287="", "", IF(COUNTIF(ChestType!$A$5:$A$195, E1287)&gt;0, VLOOKUP(E1287, ChestType!$A$5:$B$195, 2, 0), "Others"))</f>
        <v>L10 Crypt</v>
      </c>
    </row>
    <row r="1288" spans="1:6" x14ac:dyDescent="0.25">
      <c r="A1288" s="14">
        <v>46145.37222222222</v>
      </c>
      <c r="B1288" s="79" t="s">
        <v>149</v>
      </c>
      <c r="C1288" s="79" t="s">
        <v>190</v>
      </c>
      <c r="D1288" s="79" t="s">
        <v>251</v>
      </c>
      <c r="E1288" s="79" t="s">
        <v>49</v>
      </c>
      <c r="F1288" s="79" t="str">
        <f>IF(E1288="", "", IF(COUNTIF(ChestType!$A$5:$A$195, E1288)&gt;0, VLOOKUP(E1288, ChestType!$A$5:$B$195, 2, 0), "Others"))</f>
        <v>L15 Crypt</v>
      </c>
    </row>
    <row r="1289" spans="1:6" x14ac:dyDescent="0.25">
      <c r="A1289" s="14">
        <v>46145.37222222222</v>
      </c>
      <c r="B1289" s="79" t="s">
        <v>149</v>
      </c>
      <c r="C1289" s="79" t="s">
        <v>177</v>
      </c>
      <c r="D1289" s="79" t="s">
        <v>153</v>
      </c>
      <c r="E1289" s="79" t="s">
        <v>50</v>
      </c>
      <c r="F1289" s="79" t="str">
        <f>IF(E1289="", "", IF(COUNTIF(ChestType!$A$5:$A$195, E1289)&gt;0, VLOOKUP(E1289, ChestType!$A$5:$B$195, 2, 0), "Others"))</f>
        <v>L10 Crypt</v>
      </c>
    </row>
    <row r="1290" spans="1:6" x14ac:dyDescent="0.25">
      <c r="A1290" s="14">
        <v>46145.37222222222</v>
      </c>
      <c r="B1290" s="79" t="s">
        <v>149</v>
      </c>
      <c r="C1290" s="79" t="s">
        <v>171</v>
      </c>
      <c r="D1290" s="79" t="s">
        <v>153</v>
      </c>
      <c r="E1290" s="79" t="s">
        <v>50</v>
      </c>
      <c r="F1290" s="79" t="str">
        <f>IF(E1290="", "", IF(COUNTIF(ChestType!$A$5:$A$195, E1290)&gt;0, VLOOKUP(E1290, ChestType!$A$5:$B$195, 2, 0), "Others"))</f>
        <v>L10 Crypt</v>
      </c>
    </row>
    <row r="1291" spans="1:6" x14ac:dyDescent="0.25">
      <c r="A1291" s="14">
        <v>46145.37222222222</v>
      </c>
      <c r="B1291" s="79" t="s">
        <v>149</v>
      </c>
      <c r="C1291" s="79" t="s">
        <v>187</v>
      </c>
      <c r="D1291" s="79" t="s">
        <v>261</v>
      </c>
      <c r="E1291" s="79" t="s">
        <v>75</v>
      </c>
      <c r="F1291" s="79" t="str">
        <f>IF(E1291="", "", IF(COUNTIF(ChestType!$A$5:$A$195, E1291)&gt;0, VLOOKUP(E1291, ChestType!$A$5:$B$195, 2, 0), "Others"))</f>
        <v>L10 Rare Crypt</v>
      </c>
    </row>
    <row r="1292" spans="1:6" x14ac:dyDescent="0.25">
      <c r="A1292" s="14">
        <v>46145.37222222222</v>
      </c>
      <c r="B1292" s="79" t="s">
        <v>149</v>
      </c>
      <c r="C1292" s="79" t="s">
        <v>158</v>
      </c>
      <c r="D1292" s="79" t="s">
        <v>261</v>
      </c>
      <c r="E1292" s="79" t="s">
        <v>50</v>
      </c>
      <c r="F1292" s="79" t="str">
        <f>IF(E1292="", "", IF(COUNTIF(ChestType!$A$5:$A$195, E1292)&gt;0, VLOOKUP(E1292, ChestType!$A$5:$B$195, 2, 0), "Others"))</f>
        <v>L10 Crypt</v>
      </c>
    </row>
    <row r="1293" spans="1:6" x14ac:dyDescent="0.25">
      <c r="A1293" s="14">
        <v>46145.37222222222</v>
      </c>
      <c r="B1293" s="79" t="s">
        <v>149</v>
      </c>
      <c r="C1293" s="79" t="s">
        <v>184</v>
      </c>
      <c r="D1293" s="79" t="s">
        <v>261</v>
      </c>
      <c r="E1293" s="79" t="s">
        <v>52</v>
      </c>
      <c r="F1293" s="79" t="str">
        <f>IF(E1293="", "", IF(COUNTIF(ChestType!$A$5:$A$195, E1293)&gt;0, VLOOKUP(E1293, ChestType!$A$5:$B$195, 2, 0), "Others"))</f>
        <v>L5 Crypt</v>
      </c>
    </row>
    <row r="1294" spans="1:6" x14ac:dyDescent="0.25">
      <c r="A1294" s="14">
        <v>46145.37222222222</v>
      </c>
      <c r="B1294" s="79" t="s">
        <v>149</v>
      </c>
      <c r="C1294" s="79" t="s">
        <v>190</v>
      </c>
      <c r="D1294" s="79" t="s">
        <v>261</v>
      </c>
      <c r="E1294" s="79" t="s">
        <v>52</v>
      </c>
      <c r="F1294" s="79" t="str">
        <f>IF(E1294="", "", IF(COUNTIF(ChestType!$A$5:$A$195, E1294)&gt;0, VLOOKUP(E1294, ChestType!$A$5:$B$195, 2, 0), "Others"))</f>
        <v>L5 Crypt</v>
      </c>
    </row>
    <row r="1295" spans="1:6" x14ac:dyDescent="0.25">
      <c r="A1295" s="14">
        <v>46145.37222222222</v>
      </c>
      <c r="B1295" s="79" t="s">
        <v>149</v>
      </c>
      <c r="C1295" s="79" t="s">
        <v>151</v>
      </c>
      <c r="D1295" s="79" t="s">
        <v>261</v>
      </c>
      <c r="E1295" s="79" t="s">
        <v>52</v>
      </c>
      <c r="F1295" s="79" t="str">
        <f>IF(E1295="", "", IF(COUNTIF(ChestType!$A$5:$A$195, E1295)&gt;0, VLOOKUP(E1295, ChestType!$A$5:$B$195, 2, 0), "Others"))</f>
        <v>L5 Crypt</v>
      </c>
    </row>
    <row r="1296" spans="1:6" x14ac:dyDescent="0.25">
      <c r="A1296" s="14">
        <v>46145.37222222222</v>
      </c>
      <c r="B1296" s="79" t="s">
        <v>149</v>
      </c>
      <c r="C1296" s="79" t="s">
        <v>177</v>
      </c>
      <c r="D1296" s="79" t="s">
        <v>261</v>
      </c>
      <c r="E1296" s="79" t="s">
        <v>52</v>
      </c>
      <c r="F1296" s="79" t="str">
        <f>IF(E1296="", "", IF(COUNTIF(ChestType!$A$5:$A$195, E1296)&gt;0, VLOOKUP(E1296, ChestType!$A$5:$B$195, 2, 0), "Others"))</f>
        <v>L5 Crypt</v>
      </c>
    </row>
    <row r="1297" spans="1:6" x14ac:dyDescent="0.25">
      <c r="A1297" s="14">
        <v>46145.37222222222</v>
      </c>
      <c r="B1297" s="79" t="s">
        <v>149</v>
      </c>
      <c r="C1297" s="79" t="s">
        <v>173</v>
      </c>
      <c r="D1297" s="79" t="s">
        <v>261</v>
      </c>
      <c r="E1297" s="79" t="s">
        <v>52</v>
      </c>
      <c r="F1297" s="79" t="str">
        <f>IF(E1297="", "", IF(COUNTIF(ChestType!$A$5:$A$195, E1297)&gt;0, VLOOKUP(E1297, ChestType!$A$5:$B$195, 2, 0), "Others"))</f>
        <v>L5 Crypt</v>
      </c>
    </row>
    <row r="1298" spans="1:6" x14ac:dyDescent="0.25">
      <c r="A1298" s="14">
        <v>46145.37222222222</v>
      </c>
      <c r="B1298" s="79" t="s">
        <v>149</v>
      </c>
      <c r="C1298" s="79" t="s">
        <v>151</v>
      </c>
      <c r="D1298" s="79" t="s">
        <v>261</v>
      </c>
      <c r="E1298" s="79" t="s">
        <v>52</v>
      </c>
      <c r="F1298" s="79" t="str">
        <f>IF(E1298="", "", IF(COUNTIF(ChestType!$A$5:$A$195, E1298)&gt;0, VLOOKUP(E1298, ChestType!$A$5:$B$195, 2, 0), "Others"))</f>
        <v>L5 Crypt</v>
      </c>
    </row>
    <row r="1299" spans="1:6" x14ac:dyDescent="0.25">
      <c r="A1299" s="14">
        <v>46145.37222222222</v>
      </c>
      <c r="B1299" s="79" t="s">
        <v>149</v>
      </c>
      <c r="C1299" s="79" t="s">
        <v>192</v>
      </c>
      <c r="D1299" s="79" t="s">
        <v>258</v>
      </c>
      <c r="E1299" s="79" t="s">
        <v>60</v>
      </c>
      <c r="F1299" s="79" t="str">
        <f>IF(E1299="", "", IF(COUNTIF(ChestType!$A$5:$A$195, E1299)&gt;0, VLOOKUP(E1299, ChestType!$A$5:$B$195, 2, 0), "Others"))</f>
        <v>Others</v>
      </c>
    </row>
    <row r="1300" spans="1:6" x14ac:dyDescent="0.25">
      <c r="A1300" s="14">
        <v>46145.37222222222</v>
      </c>
      <c r="B1300" s="79" t="s">
        <v>149</v>
      </c>
      <c r="C1300" s="79" t="s">
        <v>177</v>
      </c>
      <c r="D1300" s="79" t="s">
        <v>261</v>
      </c>
      <c r="E1300" s="79" t="s">
        <v>52</v>
      </c>
      <c r="F1300" s="79" t="str">
        <f>IF(E1300="", "", IF(COUNTIF(ChestType!$A$5:$A$195, E1300)&gt;0, VLOOKUP(E1300, ChestType!$A$5:$B$195, 2, 0), "Others"))</f>
        <v>L5 Crypt</v>
      </c>
    </row>
    <row r="1301" spans="1:6" x14ac:dyDescent="0.25">
      <c r="A1301" s="14">
        <v>46145.37222222222</v>
      </c>
      <c r="B1301" s="79" t="s">
        <v>149</v>
      </c>
      <c r="C1301" s="79" t="s">
        <v>177</v>
      </c>
      <c r="D1301" s="79" t="s">
        <v>258</v>
      </c>
      <c r="E1301" s="79" t="s">
        <v>52</v>
      </c>
      <c r="F1301" s="79" t="str">
        <f>IF(E1301="", "", IF(COUNTIF(ChestType!$A$5:$A$195, E1301)&gt;0, VLOOKUP(E1301, ChestType!$A$5:$B$195, 2, 0), "Others"))</f>
        <v>L5 Crypt</v>
      </c>
    </row>
    <row r="1302" spans="1:6" x14ac:dyDescent="0.25">
      <c r="A1302" s="14">
        <v>46145.37222222222</v>
      </c>
      <c r="B1302" s="79" t="s">
        <v>149</v>
      </c>
      <c r="C1302" s="79" t="s">
        <v>187</v>
      </c>
      <c r="D1302" s="79" t="s">
        <v>261</v>
      </c>
      <c r="E1302" s="79" t="s">
        <v>75</v>
      </c>
      <c r="F1302" s="79" t="str">
        <f>IF(E1302="", "", IF(COUNTIF(ChestType!$A$5:$A$195, E1302)&gt;0, VLOOKUP(E1302, ChestType!$A$5:$B$195, 2, 0), "Others"))</f>
        <v>L10 Rare Crypt</v>
      </c>
    </row>
    <row r="1303" spans="1:6" x14ac:dyDescent="0.25">
      <c r="A1303" s="14">
        <v>46145.37222222222</v>
      </c>
      <c r="B1303" s="79" t="s">
        <v>149</v>
      </c>
      <c r="C1303" s="79" t="s">
        <v>173</v>
      </c>
      <c r="D1303" s="79" t="s">
        <v>261</v>
      </c>
      <c r="E1303" s="79" t="s">
        <v>52</v>
      </c>
      <c r="F1303" s="79" t="str">
        <f>IF(E1303="", "", IF(COUNTIF(ChestType!$A$5:$A$195, E1303)&gt;0, VLOOKUP(E1303, ChestType!$A$5:$B$195, 2, 0), "Others"))</f>
        <v>L5 Crypt</v>
      </c>
    </row>
    <row r="1304" spans="1:6" x14ac:dyDescent="0.25">
      <c r="A1304" s="14">
        <v>46145.37222222222</v>
      </c>
      <c r="B1304" s="79" t="s">
        <v>149</v>
      </c>
      <c r="C1304" s="79" t="s">
        <v>190</v>
      </c>
      <c r="D1304" s="79" t="s">
        <v>261</v>
      </c>
      <c r="E1304" s="79" t="s">
        <v>52</v>
      </c>
      <c r="F1304" s="79" t="str">
        <f>IF(E1304="", "", IF(COUNTIF(ChestType!$A$5:$A$195, E1304)&gt;0, VLOOKUP(E1304, ChestType!$A$5:$B$195, 2, 0), "Others"))</f>
        <v>L5 Crypt</v>
      </c>
    </row>
    <row r="1305" spans="1:6" x14ac:dyDescent="0.25">
      <c r="A1305" s="14">
        <v>46145.37222222222</v>
      </c>
      <c r="B1305" s="79" t="s">
        <v>149</v>
      </c>
      <c r="C1305" s="79" t="s">
        <v>188</v>
      </c>
      <c r="D1305" s="79" t="s">
        <v>179</v>
      </c>
      <c r="E1305" s="79" t="s">
        <v>45</v>
      </c>
      <c r="F1305" s="79" t="str">
        <f>IF(E1305="", "", IF(COUNTIF(ChestType!$A$5:$A$195, E1305)&gt;0, VLOOKUP(E1305, ChestType!$A$5:$B$195, 2, 0), "Others"))</f>
        <v>Others</v>
      </c>
    </row>
    <row r="1306" spans="1:6" x14ac:dyDescent="0.25">
      <c r="A1306" s="14">
        <v>46145.37222222222</v>
      </c>
      <c r="B1306" s="79" t="s">
        <v>149</v>
      </c>
      <c r="C1306" s="79" t="s">
        <v>189</v>
      </c>
      <c r="D1306" s="79" t="s">
        <v>179</v>
      </c>
      <c r="E1306" s="79" t="s">
        <v>45</v>
      </c>
      <c r="F1306" s="79" t="str">
        <f>IF(E1306="", "", IF(COUNTIF(ChestType!$A$5:$A$195, E1306)&gt;0, VLOOKUP(E1306, ChestType!$A$5:$B$195, 2, 0), "Others"))</f>
        <v>Others</v>
      </c>
    </row>
    <row r="1307" spans="1:6" x14ac:dyDescent="0.25">
      <c r="A1307" s="14">
        <v>46145.37222222222</v>
      </c>
      <c r="B1307" s="79" t="s">
        <v>149</v>
      </c>
      <c r="C1307" s="79" t="s">
        <v>239</v>
      </c>
      <c r="D1307" s="79" t="s">
        <v>179</v>
      </c>
      <c r="E1307" s="79" t="s">
        <v>45</v>
      </c>
      <c r="F1307" s="79" t="str">
        <f>IF(E1307="", "", IF(COUNTIF(ChestType!$A$5:$A$195, E1307)&gt;0, VLOOKUP(E1307, ChestType!$A$5:$B$195, 2, 0), "Others"))</f>
        <v>Others</v>
      </c>
    </row>
    <row r="1308" spans="1:6" x14ac:dyDescent="0.25">
      <c r="A1308" s="14">
        <v>46145.37222222222</v>
      </c>
      <c r="B1308" s="79" t="s">
        <v>149</v>
      </c>
      <c r="C1308" s="79" t="s">
        <v>158</v>
      </c>
      <c r="D1308" s="79" t="s">
        <v>179</v>
      </c>
      <c r="E1308" s="79" t="s">
        <v>50</v>
      </c>
      <c r="F1308" s="79" t="str">
        <f>IF(E1308="", "", IF(COUNTIF(ChestType!$A$5:$A$195, E1308)&gt;0, VLOOKUP(E1308, ChestType!$A$5:$B$195, 2, 0), "Others"))</f>
        <v>L10 Crypt</v>
      </c>
    </row>
    <row r="1309" spans="1:6" x14ac:dyDescent="0.25">
      <c r="A1309" s="14">
        <v>46145.37222222222</v>
      </c>
      <c r="B1309" s="79" t="s">
        <v>149</v>
      </c>
      <c r="C1309" s="79" t="s">
        <v>184</v>
      </c>
      <c r="D1309" s="79" t="s">
        <v>179</v>
      </c>
      <c r="E1309" s="79" t="s">
        <v>50</v>
      </c>
      <c r="F1309" s="79" t="str">
        <f>IF(E1309="", "", IF(COUNTIF(ChestType!$A$5:$A$195, E1309)&gt;0, VLOOKUP(E1309, ChestType!$A$5:$B$195, 2, 0), "Others"))</f>
        <v>L10 Crypt</v>
      </c>
    </row>
    <row r="1310" spans="1:6" x14ac:dyDescent="0.25">
      <c r="A1310" s="14">
        <v>46145.37222222222</v>
      </c>
      <c r="B1310" s="79" t="s">
        <v>149</v>
      </c>
      <c r="C1310" s="79" t="s">
        <v>235</v>
      </c>
      <c r="D1310" s="79" t="s">
        <v>194</v>
      </c>
      <c r="E1310" s="79" t="s">
        <v>73</v>
      </c>
      <c r="F1310" s="79" t="str">
        <f>IF(E1310="", "", IF(COUNTIF(ChestType!$A$5:$A$195, E1310)&gt;0, VLOOKUP(E1310, ChestType!$A$5:$B$195, 2, 0), "Others"))</f>
        <v>Others</v>
      </c>
    </row>
    <row r="1311" spans="1:6" x14ac:dyDescent="0.25">
      <c r="A1311" s="14">
        <v>46145.37222222222</v>
      </c>
      <c r="B1311" s="79" t="s">
        <v>149</v>
      </c>
      <c r="C1311" s="79" t="s">
        <v>184</v>
      </c>
      <c r="D1311" s="79" t="s">
        <v>250</v>
      </c>
      <c r="E1311" s="79" t="s">
        <v>52</v>
      </c>
      <c r="F1311" s="79" t="str">
        <f>IF(E1311="", "", IF(COUNTIF(ChestType!$A$5:$A$195, E1311)&gt;0, VLOOKUP(E1311, ChestType!$A$5:$B$195, 2, 0), "Others"))</f>
        <v>L5 Crypt</v>
      </c>
    </row>
    <row r="1312" spans="1:6" x14ac:dyDescent="0.25">
      <c r="A1312" s="14">
        <v>46145.37222222222</v>
      </c>
      <c r="B1312" s="79" t="s">
        <v>195</v>
      </c>
      <c r="C1312" s="79" t="s">
        <v>198</v>
      </c>
      <c r="D1312" s="79" t="s">
        <v>231</v>
      </c>
      <c r="E1312" s="79" t="s">
        <v>24</v>
      </c>
      <c r="F1312" s="79" t="str">
        <f>IF(E1312="", "", IF(COUNTIF(ChestType!$A$5:$A$195, E1312)&gt;0, VLOOKUP(E1312, ChestType!$A$5:$B$195, 2, 0), "Others"))</f>
        <v>Bank</v>
      </c>
    </row>
    <row r="1313" spans="1:6" x14ac:dyDescent="0.25">
      <c r="A1313" s="14">
        <v>46145.37222222222</v>
      </c>
      <c r="B1313" s="79" t="s">
        <v>195</v>
      </c>
      <c r="C1313" s="79" t="s">
        <v>198</v>
      </c>
      <c r="D1313" s="79" t="s">
        <v>231</v>
      </c>
      <c r="E1313" s="79" t="s">
        <v>24</v>
      </c>
      <c r="F1313" s="79" t="str">
        <f>IF(E1313="", "", IF(COUNTIF(ChestType!$A$5:$A$195, E1313)&gt;0, VLOOKUP(E1313, ChestType!$A$5:$B$195, 2, 0), "Others"))</f>
        <v>Bank</v>
      </c>
    </row>
    <row r="1314" spans="1:6" x14ac:dyDescent="0.25">
      <c r="A1314" s="14">
        <v>46145.37222222222</v>
      </c>
      <c r="B1314" s="79" t="s">
        <v>195</v>
      </c>
      <c r="C1314" s="79" t="s">
        <v>198</v>
      </c>
      <c r="D1314" s="79" t="s">
        <v>231</v>
      </c>
      <c r="E1314" s="79" t="s">
        <v>24</v>
      </c>
      <c r="F1314" s="79" t="str">
        <f>IF(E1314="", "", IF(COUNTIF(ChestType!$A$5:$A$195, E1314)&gt;0, VLOOKUP(E1314, ChestType!$A$5:$B$195, 2, 0), "Others"))</f>
        <v>Bank</v>
      </c>
    </row>
    <row r="1315" spans="1:6" x14ac:dyDescent="0.25">
      <c r="A1315" s="14">
        <v>46145.37222222222</v>
      </c>
      <c r="B1315" s="79" t="s">
        <v>195</v>
      </c>
      <c r="C1315" s="79" t="s">
        <v>197</v>
      </c>
      <c r="D1315" s="79" t="s">
        <v>163</v>
      </c>
      <c r="E1315" s="79" t="s">
        <v>24</v>
      </c>
      <c r="F1315" s="79" t="str">
        <f>IF(E1315="", "", IF(COUNTIF(ChestType!$A$5:$A$195, E1315)&gt;0, VLOOKUP(E1315, ChestType!$A$5:$B$195, 2, 0), "Others"))</f>
        <v>Bank</v>
      </c>
    </row>
    <row r="1316" spans="1:6" x14ac:dyDescent="0.25">
      <c r="A1316" s="14">
        <v>46145.37222222222</v>
      </c>
      <c r="B1316" s="79" t="s">
        <v>195</v>
      </c>
      <c r="C1316" s="79" t="s">
        <v>197</v>
      </c>
      <c r="D1316" s="79" t="s">
        <v>163</v>
      </c>
      <c r="E1316" s="79" t="s">
        <v>24</v>
      </c>
      <c r="F1316" s="79" t="str">
        <f>IF(E1316="", "", IF(COUNTIF(ChestType!$A$5:$A$195, E1316)&gt;0, VLOOKUP(E1316, ChestType!$A$5:$B$195, 2, 0), "Others"))</f>
        <v>Bank</v>
      </c>
    </row>
    <row r="1317" spans="1:6" x14ac:dyDescent="0.25">
      <c r="A1317" s="14">
        <v>46145.37222222222</v>
      </c>
      <c r="B1317" s="79" t="s">
        <v>195</v>
      </c>
      <c r="C1317" s="79" t="s">
        <v>197</v>
      </c>
      <c r="D1317" s="79" t="s">
        <v>163</v>
      </c>
      <c r="E1317" s="79" t="s">
        <v>24</v>
      </c>
      <c r="F1317" s="79" t="str">
        <f>IF(E1317="", "", IF(COUNTIF(ChestType!$A$5:$A$195, E1317)&gt;0, VLOOKUP(E1317, ChestType!$A$5:$B$195, 2, 0), "Others"))</f>
        <v>Bank</v>
      </c>
    </row>
    <row r="1318" spans="1:6" x14ac:dyDescent="0.25">
      <c r="A1318" s="14">
        <v>46145.384722222225</v>
      </c>
      <c r="B1318" s="79" t="s">
        <v>149</v>
      </c>
      <c r="C1318" s="79" t="s">
        <v>207</v>
      </c>
      <c r="D1318" s="79" t="s">
        <v>159</v>
      </c>
      <c r="E1318" s="79" t="s">
        <v>66</v>
      </c>
      <c r="F1318" s="79" t="str">
        <f>IF(E1318="", "", IF(COUNTIF(ChestType!$A$5:$A$195, E1318)&gt;0, VLOOKUP(E1318, ChestType!$A$5:$B$195, 2, 0), "Others"))</f>
        <v>Ancients Chests</v>
      </c>
    </row>
    <row r="1319" spans="1:6" x14ac:dyDescent="0.25">
      <c r="A1319" s="14">
        <v>46145.384722222225</v>
      </c>
      <c r="B1319" s="79" t="s">
        <v>149</v>
      </c>
      <c r="C1319" s="79" t="s">
        <v>207</v>
      </c>
      <c r="D1319" s="79" t="s">
        <v>159</v>
      </c>
      <c r="E1319" s="79" t="s">
        <v>66</v>
      </c>
      <c r="F1319" s="79" t="str">
        <f>IF(E1319="", "", IF(COUNTIF(ChestType!$A$5:$A$195, E1319)&gt;0, VLOOKUP(E1319, ChestType!$A$5:$B$195, 2, 0), "Others"))</f>
        <v>Ancients Chests</v>
      </c>
    </row>
    <row r="1320" spans="1:6" x14ac:dyDescent="0.25">
      <c r="A1320" s="14">
        <v>46145.384722222225</v>
      </c>
      <c r="B1320" s="79" t="s">
        <v>149</v>
      </c>
      <c r="C1320" s="79" t="s">
        <v>207</v>
      </c>
      <c r="D1320" s="79" t="s">
        <v>159</v>
      </c>
      <c r="E1320" s="79" t="s">
        <v>66</v>
      </c>
      <c r="F1320" s="79" t="str">
        <f>IF(E1320="", "", IF(COUNTIF(ChestType!$A$5:$A$195, E1320)&gt;0, VLOOKUP(E1320, ChestType!$A$5:$B$195, 2, 0), "Others"))</f>
        <v>Ancients Chests</v>
      </c>
    </row>
    <row r="1321" spans="1:6" x14ac:dyDescent="0.25">
      <c r="A1321" s="14">
        <v>46145.384722222225</v>
      </c>
      <c r="B1321" s="79" t="s">
        <v>149</v>
      </c>
      <c r="C1321" s="79" t="s">
        <v>207</v>
      </c>
      <c r="D1321" s="79" t="s">
        <v>159</v>
      </c>
      <c r="E1321" s="79" t="s">
        <v>66</v>
      </c>
      <c r="F1321" s="79" t="str">
        <f>IF(E1321="", "", IF(COUNTIF(ChestType!$A$5:$A$195, E1321)&gt;0, VLOOKUP(E1321, ChestType!$A$5:$B$195, 2, 0), "Others"))</f>
        <v>Ancients Chests</v>
      </c>
    </row>
    <row r="1322" spans="1:6" x14ac:dyDescent="0.25">
      <c r="A1322" s="14">
        <v>46145.384722222225</v>
      </c>
      <c r="B1322" s="79" t="s">
        <v>149</v>
      </c>
      <c r="C1322" s="79" t="s">
        <v>208</v>
      </c>
      <c r="D1322" s="79" t="s">
        <v>159</v>
      </c>
      <c r="E1322" s="79" t="s">
        <v>66</v>
      </c>
      <c r="F1322" s="79" t="str">
        <f>IF(E1322="", "", IF(COUNTIF(ChestType!$A$5:$A$195, E1322)&gt;0, VLOOKUP(E1322, ChestType!$A$5:$B$195, 2, 0), "Others"))</f>
        <v>Ancients Chests</v>
      </c>
    </row>
    <row r="1323" spans="1:6" x14ac:dyDescent="0.25">
      <c r="A1323" s="14">
        <v>46145.384722222225</v>
      </c>
      <c r="B1323" s="79" t="s">
        <v>149</v>
      </c>
      <c r="C1323" s="79" t="s">
        <v>207</v>
      </c>
      <c r="D1323" s="79" t="s">
        <v>150</v>
      </c>
      <c r="E1323" s="79" t="s">
        <v>66</v>
      </c>
      <c r="F1323" s="79" t="str">
        <f>IF(E1323="", "", IF(COUNTIF(ChestType!$A$5:$A$195, E1323)&gt;0, VLOOKUP(E1323, ChestType!$A$5:$B$195, 2, 0), "Others"))</f>
        <v>Ancients Chests</v>
      </c>
    </row>
    <row r="1324" spans="1:6" x14ac:dyDescent="0.25">
      <c r="A1324" s="14">
        <v>46145.384722222225</v>
      </c>
      <c r="B1324" s="79" t="s">
        <v>149</v>
      </c>
      <c r="C1324" s="79" t="s">
        <v>207</v>
      </c>
      <c r="D1324" s="79" t="s">
        <v>150</v>
      </c>
      <c r="E1324" s="79" t="s">
        <v>66</v>
      </c>
      <c r="F1324" s="79" t="str">
        <f>IF(E1324="", "", IF(COUNTIF(ChestType!$A$5:$A$195, E1324)&gt;0, VLOOKUP(E1324, ChestType!$A$5:$B$195, 2, 0), "Others"))</f>
        <v>Ancients Chests</v>
      </c>
    </row>
    <row r="1325" spans="1:6" x14ac:dyDescent="0.25">
      <c r="A1325" s="14">
        <v>46145.384722222225</v>
      </c>
      <c r="B1325" s="79" t="s">
        <v>149</v>
      </c>
      <c r="C1325" s="79" t="s">
        <v>207</v>
      </c>
      <c r="D1325" s="79" t="s">
        <v>150</v>
      </c>
      <c r="E1325" s="79" t="s">
        <v>66</v>
      </c>
      <c r="F1325" s="79" t="str">
        <f>IF(E1325="", "", IF(COUNTIF(ChestType!$A$5:$A$195, E1325)&gt;0, VLOOKUP(E1325, ChestType!$A$5:$B$195, 2, 0), "Others"))</f>
        <v>Ancients Chests</v>
      </c>
    </row>
    <row r="1326" spans="1:6" x14ac:dyDescent="0.25">
      <c r="A1326" s="14">
        <v>46145.384722222225</v>
      </c>
      <c r="B1326" s="79" t="s">
        <v>149</v>
      </c>
      <c r="C1326" s="79" t="s">
        <v>207</v>
      </c>
      <c r="D1326" s="79" t="s">
        <v>150</v>
      </c>
      <c r="E1326" s="79" t="s">
        <v>66</v>
      </c>
      <c r="F1326" s="79" t="str">
        <f>IF(E1326="", "", IF(COUNTIF(ChestType!$A$5:$A$195, E1326)&gt;0, VLOOKUP(E1326, ChestType!$A$5:$B$195, 2, 0), "Others"))</f>
        <v>Ancients Chests</v>
      </c>
    </row>
    <row r="1327" spans="1:6" x14ac:dyDescent="0.25">
      <c r="A1327" s="14">
        <v>46145.384722222225</v>
      </c>
      <c r="B1327" s="79" t="s">
        <v>149</v>
      </c>
      <c r="C1327" s="79" t="s">
        <v>207</v>
      </c>
      <c r="D1327" s="79" t="s">
        <v>150</v>
      </c>
      <c r="E1327" s="79" t="s">
        <v>66</v>
      </c>
      <c r="F1327" s="79" t="str">
        <f>IF(E1327="", "", IF(COUNTIF(ChestType!$A$5:$A$195, E1327)&gt;0, VLOOKUP(E1327, ChestType!$A$5:$B$195, 2, 0), "Others"))</f>
        <v>Ancients Chests</v>
      </c>
    </row>
    <row r="1328" spans="1:6" x14ac:dyDescent="0.25">
      <c r="A1328" s="14">
        <v>46145.384722222225</v>
      </c>
      <c r="B1328" s="79" t="s">
        <v>149</v>
      </c>
      <c r="C1328" s="79" t="s">
        <v>207</v>
      </c>
      <c r="D1328" s="79" t="s">
        <v>150</v>
      </c>
      <c r="E1328" s="79" t="s">
        <v>66</v>
      </c>
      <c r="F1328" s="79" t="str">
        <f>IF(E1328="", "", IF(COUNTIF(ChestType!$A$5:$A$195, E1328)&gt;0, VLOOKUP(E1328, ChestType!$A$5:$B$195, 2, 0), "Others"))</f>
        <v>Ancients Chests</v>
      </c>
    </row>
    <row r="1329" spans="1:6" x14ac:dyDescent="0.25">
      <c r="A1329" s="14">
        <v>46145.384722222225</v>
      </c>
      <c r="B1329" s="79" t="s">
        <v>149</v>
      </c>
      <c r="C1329" s="79" t="s">
        <v>207</v>
      </c>
      <c r="D1329" s="79" t="s">
        <v>150</v>
      </c>
      <c r="E1329" s="79" t="s">
        <v>66</v>
      </c>
      <c r="F1329" s="79" t="str">
        <f>IF(E1329="", "", IF(COUNTIF(ChestType!$A$5:$A$195, E1329)&gt;0, VLOOKUP(E1329, ChestType!$A$5:$B$195, 2, 0), "Others"))</f>
        <v>Ancients Chests</v>
      </c>
    </row>
    <row r="1330" spans="1:6" x14ac:dyDescent="0.25">
      <c r="A1330" s="14">
        <v>46145.384722222225</v>
      </c>
      <c r="B1330" s="79" t="s">
        <v>149</v>
      </c>
      <c r="C1330" s="79" t="s">
        <v>207</v>
      </c>
      <c r="D1330" s="79" t="s">
        <v>150</v>
      </c>
      <c r="E1330" s="79" t="s">
        <v>66</v>
      </c>
      <c r="F1330" s="79" t="str">
        <f>IF(E1330="", "", IF(COUNTIF(ChestType!$A$5:$A$195, E1330)&gt;0, VLOOKUP(E1330, ChestType!$A$5:$B$195, 2, 0), "Others"))</f>
        <v>Ancients Chests</v>
      </c>
    </row>
    <row r="1331" spans="1:6" x14ac:dyDescent="0.25">
      <c r="A1331" s="14">
        <v>46145.384722222225</v>
      </c>
      <c r="B1331" s="79" t="s">
        <v>149</v>
      </c>
      <c r="C1331" s="79" t="s">
        <v>207</v>
      </c>
      <c r="D1331" s="79" t="s">
        <v>194</v>
      </c>
      <c r="E1331" s="79" t="s">
        <v>66</v>
      </c>
      <c r="F1331" s="79" t="str">
        <f>IF(E1331="", "", IF(COUNTIF(ChestType!$A$5:$A$195, E1331)&gt;0, VLOOKUP(E1331, ChestType!$A$5:$B$195, 2, 0), "Others"))</f>
        <v>Ancients Chests</v>
      </c>
    </row>
    <row r="1332" spans="1:6" x14ac:dyDescent="0.25">
      <c r="A1332" s="14">
        <v>46145.384722222225</v>
      </c>
      <c r="B1332" s="79" t="s">
        <v>149</v>
      </c>
      <c r="C1332" s="79" t="s">
        <v>207</v>
      </c>
      <c r="D1332" s="79" t="s">
        <v>194</v>
      </c>
      <c r="E1332" s="79" t="s">
        <v>66</v>
      </c>
      <c r="F1332" s="79" t="str">
        <f>IF(E1332="", "", IF(COUNTIF(ChestType!$A$5:$A$195, E1332)&gt;0, VLOOKUP(E1332, ChestType!$A$5:$B$195, 2, 0), "Others"))</f>
        <v>Ancients Chests</v>
      </c>
    </row>
    <row r="1333" spans="1:6" x14ac:dyDescent="0.25">
      <c r="A1333" s="14">
        <v>46145.384722222225</v>
      </c>
      <c r="B1333" s="79" t="s">
        <v>149</v>
      </c>
      <c r="C1333" s="79" t="s">
        <v>207</v>
      </c>
      <c r="D1333" s="79" t="s">
        <v>194</v>
      </c>
      <c r="E1333" s="79" t="s">
        <v>66</v>
      </c>
      <c r="F1333" s="79" t="str">
        <f>IF(E1333="", "", IF(COUNTIF(ChestType!$A$5:$A$195, E1333)&gt;0, VLOOKUP(E1333, ChestType!$A$5:$B$195, 2, 0), "Others"))</f>
        <v>Ancients Chests</v>
      </c>
    </row>
    <row r="1334" spans="1:6" x14ac:dyDescent="0.25">
      <c r="A1334" s="14">
        <v>46145.384722222225</v>
      </c>
      <c r="B1334" s="79" t="s">
        <v>149</v>
      </c>
      <c r="C1334" s="79" t="s">
        <v>207</v>
      </c>
      <c r="D1334" s="79" t="s">
        <v>194</v>
      </c>
      <c r="E1334" s="79" t="s">
        <v>66</v>
      </c>
      <c r="F1334" s="79" t="str">
        <f>IF(E1334="", "", IF(COUNTIF(ChestType!$A$5:$A$195, E1334)&gt;0, VLOOKUP(E1334, ChestType!$A$5:$B$195, 2, 0), "Others"))</f>
        <v>Ancients Chests</v>
      </c>
    </row>
    <row r="1335" spans="1:6" x14ac:dyDescent="0.25">
      <c r="A1335" s="14">
        <v>46145.384722222225</v>
      </c>
      <c r="B1335" s="79" t="s">
        <v>149</v>
      </c>
      <c r="C1335" s="79" t="s">
        <v>207</v>
      </c>
      <c r="D1335" s="79" t="s">
        <v>194</v>
      </c>
      <c r="E1335" s="79" t="s">
        <v>66</v>
      </c>
      <c r="F1335" s="79" t="str">
        <f>IF(E1335="", "", IF(COUNTIF(ChestType!$A$5:$A$195, E1335)&gt;0, VLOOKUP(E1335, ChestType!$A$5:$B$195, 2, 0), "Others"))</f>
        <v>Ancients Chests</v>
      </c>
    </row>
    <row r="1336" spans="1:6" x14ac:dyDescent="0.25">
      <c r="A1336" s="14">
        <v>46145.384722222225</v>
      </c>
      <c r="B1336" s="79" t="s">
        <v>149</v>
      </c>
      <c r="C1336" s="79" t="s">
        <v>207</v>
      </c>
      <c r="D1336" s="79" t="s">
        <v>194</v>
      </c>
      <c r="E1336" s="79" t="s">
        <v>66</v>
      </c>
      <c r="F1336" s="79" t="str">
        <f>IF(E1336="", "", IF(COUNTIF(ChestType!$A$5:$A$195, E1336)&gt;0, VLOOKUP(E1336, ChestType!$A$5:$B$195, 2, 0), "Others"))</f>
        <v>Ancients Chests</v>
      </c>
    </row>
    <row r="1337" spans="1:6" x14ac:dyDescent="0.25">
      <c r="A1337" s="14">
        <v>46145.384722222225</v>
      </c>
      <c r="B1337" s="79" t="s">
        <v>149</v>
      </c>
      <c r="C1337" s="79" t="s">
        <v>207</v>
      </c>
      <c r="D1337" s="79" t="s">
        <v>194</v>
      </c>
      <c r="E1337" s="79" t="s">
        <v>66</v>
      </c>
      <c r="F1337" s="79" t="str">
        <f>IF(E1337="", "", IF(COUNTIF(ChestType!$A$5:$A$195, E1337)&gt;0, VLOOKUP(E1337, ChestType!$A$5:$B$195, 2, 0), "Others"))</f>
        <v>Ancients Chests</v>
      </c>
    </row>
    <row r="1338" spans="1:6" x14ac:dyDescent="0.25">
      <c r="A1338" s="14">
        <v>46145.384722222225</v>
      </c>
      <c r="B1338" s="79" t="s">
        <v>149</v>
      </c>
      <c r="C1338" s="79" t="s">
        <v>207</v>
      </c>
      <c r="D1338" s="79" t="s">
        <v>194</v>
      </c>
      <c r="E1338" s="79" t="s">
        <v>66</v>
      </c>
      <c r="F1338" s="79" t="str">
        <f>IF(E1338="", "", IF(COUNTIF(ChestType!$A$5:$A$195, E1338)&gt;0, VLOOKUP(E1338, ChestType!$A$5:$B$195, 2, 0), "Others"))</f>
        <v>Ancients Chests</v>
      </c>
    </row>
    <row r="1339" spans="1:6" x14ac:dyDescent="0.25">
      <c r="A1339" s="14">
        <v>46145.384722222225</v>
      </c>
      <c r="B1339" s="79" t="s">
        <v>149</v>
      </c>
      <c r="C1339" s="79" t="s">
        <v>177</v>
      </c>
      <c r="D1339" s="79" t="s">
        <v>179</v>
      </c>
      <c r="E1339" s="79" t="s">
        <v>50</v>
      </c>
      <c r="F1339" s="79" t="str">
        <f>IF(E1339="", "", IF(COUNTIF(ChestType!$A$5:$A$195, E1339)&gt;0, VLOOKUP(E1339, ChestType!$A$5:$B$195, 2, 0), "Others"))</f>
        <v>L10 Crypt</v>
      </c>
    </row>
    <row r="1340" spans="1:6" x14ac:dyDescent="0.25">
      <c r="A1340" s="14">
        <v>46145.384722222225</v>
      </c>
      <c r="B1340" s="79" t="s">
        <v>149</v>
      </c>
      <c r="C1340" s="79" t="s">
        <v>207</v>
      </c>
      <c r="D1340" s="79" t="s">
        <v>247</v>
      </c>
      <c r="E1340" s="79" t="s">
        <v>66</v>
      </c>
      <c r="F1340" s="79" t="str">
        <f>IF(E1340="", "", IF(COUNTIF(ChestType!$A$5:$A$195, E1340)&gt;0, VLOOKUP(E1340, ChestType!$A$5:$B$195, 2, 0), "Others"))</f>
        <v>Ancients Chests</v>
      </c>
    </row>
    <row r="1341" spans="1:6" x14ac:dyDescent="0.25">
      <c r="A1341" s="14">
        <v>46145.384722222225</v>
      </c>
      <c r="B1341" s="79" t="s">
        <v>149</v>
      </c>
      <c r="C1341" s="79" t="s">
        <v>207</v>
      </c>
      <c r="D1341" s="79" t="s">
        <v>247</v>
      </c>
      <c r="E1341" s="79" t="s">
        <v>66</v>
      </c>
      <c r="F1341" s="79" t="str">
        <f>IF(E1341="", "", IF(COUNTIF(ChestType!$A$5:$A$195, E1341)&gt;0, VLOOKUP(E1341, ChestType!$A$5:$B$195, 2, 0), "Others"))</f>
        <v>Ancients Chests</v>
      </c>
    </row>
    <row r="1342" spans="1:6" x14ac:dyDescent="0.25">
      <c r="A1342" s="14">
        <v>46145.384722222225</v>
      </c>
      <c r="B1342" s="79" t="s">
        <v>149</v>
      </c>
      <c r="C1342" s="79" t="s">
        <v>207</v>
      </c>
      <c r="D1342" s="79" t="s">
        <v>247</v>
      </c>
      <c r="E1342" s="79" t="s">
        <v>66</v>
      </c>
      <c r="F1342" s="79" t="str">
        <f>IF(E1342="", "", IF(COUNTIF(ChestType!$A$5:$A$195, E1342)&gt;0, VLOOKUP(E1342, ChestType!$A$5:$B$195, 2, 0), "Others"))</f>
        <v>Ancients Chests</v>
      </c>
    </row>
    <row r="1343" spans="1:6" x14ac:dyDescent="0.25">
      <c r="A1343" s="14">
        <v>46145.384722222225</v>
      </c>
      <c r="B1343" s="79" t="s">
        <v>149</v>
      </c>
      <c r="C1343" s="79" t="s">
        <v>207</v>
      </c>
      <c r="D1343" s="79" t="s">
        <v>247</v>
      </c>
      <c r="E1343" s="79" t="s">
        <v>66</v>
      </c>
      <c r="F1343" s="79" t="str">
        <f>IF(E1343="", "", IF(COUNTIF(ChestType!$A$5:$A$195, E1343)&gt;0, VLOOKUP(E1343, ChestType!$A$5:$B$195, 2, 0), "Others"))</f>
        <v>Ancients Chests</v>
      </c>
    </row>
    <row r="1344" spans="1:6" x14ac:dyDescent="0.25">
      <c r="A1344" s="14">
        <v>46145.384722222225</v>
      </c>
      <c r="B1344" s="79" t="s">
        <v>149</v>
      </c>
      <c r="C1344" s="79" t="s">
        <v>207</v>
      </c>
      <c r="D1344" s="79" t="s">
        <v>212</v>
      </c>
      <c r="E1344" s="79" t="s">
        <v>66</v>
      </c>
      <c r="F1344" s="79" t="str">
        <f>IF(E1344="", "", IF(COUNTIF(ChestType!$A$5:$A$195, E1344)&gt;0, VLOOKUP(E1344, ChestType!$A$5:$B$195, 2, 0), "Others"))</f>
        <v>Ancients Chests</v>
      </c>
    </row>
    <row r="1345" spans="1:6" x14ac:dyDescent="0.25">
      <c r="A1345" s="14">
        <v>46145.384722222225</v>
      </c>
      <c r="B1345" s="79" t="s">
        <v>149</v>
      </c>
      <c r="C1345" s="79" t="s">
        <v>207</v>
      </c>
      <c r="D1345" s="79" t="s">
        <v>212</v>
      </c>
      <c r="E1345" s="79" t="s">
        <v>66</v>
      </c>
      <c r="F1345" s="79" t="str">
        <f>IF(E1345="", "", IF(COUNTIF(ChestType!$A$5:$A$195, E1345)&gt;0, VLOOKUP(E1345, ChestType!$A$5:$B$195, 2, 0), "Others"))</f>
        <v>Ancients Chests</v>
      </c>
    </row>
    <row r="1346" spans="1:6" x14ac:dyDescent="0.25">
      <c r="A1346" s="14">
        <v>46145.384722222225</v>
      </c>
      <c r="B1346" s="79" t="s">
        <v>149</v>
      </c>
      <c r="C1346" s="79" t="s">
        <v>207</v>
      </c>
      <c r="D1346" s="79" t="s">
        <v>212</v>
      </c>
      <c r="E1346" s="79" t="s">
        <v>66</v>
      </c>
      <c r="F1346" s="79" t="str">
        <f>IF(E1346="", "", IF(COUNTIF(ChestType!$A$5:$A$195, E1346)&gt;0, VLOOKUP(E1346, ChestType!$A$5:$B$195, 2, 0), "Others"))</f>
        <v>Ancients Chests</v>
      </c>
    </row>
    <row r="1347" spans="1:6" x14ac:dyDescent="0.25">
      <c r="A1347" s="14">
        <v>46145.384722222225</v>
      </c>
      <c r="B1347" s="79" t="s">
        <v>149</v>
      </c>
      <c r="C1347" s="79" t="s">
        <v>207</v>
      </c>
      <c r="D1347" s="79" t="s">
        <v>212</v>
      </c>
      <c r="E1347" s="79" t="s">
        <v>66</v>
      </c>
      <c r="F1347" s="79" t="str">
        <f>IF(E1347="", "", IF(COUNTIF(ChestType!$A$5:$A$195, E1347)&gt;0, VLOOKUP(E1347, ChestType!$A$5:$B$195, 2, 0), "Others"))</f>
        <v>Ancients Chests</v>
      </c>
    </row>
    <row r="1348" spans="1:6" x14ac:dyDescent="0.25">
      <c r="A1348" s="14">
        <v>46145.384722222225</v>
      </c>
      <c r="B1348" s="79" t="s">
        <v>149</v>
      </c>
      <c r="C1348" s="79" t="s">
        <v>207</v>
      </c>
      <c r="D1348" s="79" t="s">
        <v>163</v>
      </c>
      <c r="E1348" s="79" t="s">
        <v>66</v>
      </c>
      <c r="F1348" s="79" t="str">
        <f>IF(E1348="", "", IF(COUNTIF(ChestType!$A$5:$A$195, E1348)&gt;0, VLOOKUP(E1348, ChestType!$A$5:$B$195, 2, 0), "Others"))</f>
        <v>Ancients Chests</v>
      </c>
    </row>
    <row r="1349" spans="1:6" x14ac:dyDescent="0.25">
      <c r="A1349" s="14">
        <v>46145.384722222225</v>
      </c>
      <c r="B1349" s="79" t="s">
        <v>149</v>
      </c>
      <c r="C1349" s="79" t="s">
        <v>207</v>
      </c>
      <c r="D1349" s="79" t="s">
        <v>163</v>
      </c>
      <c r="E1349" s="79" t="s">
        <v>66</v>
      </c>
      <c r="F1349" s="79" t="str">
        <f>IF(E1349="", "", IF(COUNTIF(ChestType!$A$5:$A$195, E1349)&gt;0, VLOOKUP(E1349, ChestType!$A$5:$B$195, 2, 0), "Others"))</f>
        <v>Ancients Chests</v>
      </c>
    </row>
    <row r="1350" spans="1:6" x14ac:dyDescent="0.25">
      <c r="A1350" s="14">
        <v>46145.384722222225</v>
      </c>
      <c r="B1350" s="79" t="s">
        <v>149</v>
      </c>
      <c r="C1350" s="79" t="s">
        <v>207</v>
      </c>
      <c r="D1350" s="79" t="s">
        <v>163</v>
      </c>
      <c r="E1350" s="79" t="s">
        <v>66</v>
      </c>
      <c r="F1350" s="79" t="str">
        <f>IF(E1350="", "", IF(COUNTIF(ChestType!$A$5:$A$195, E1350)&gt;0, VLOOKUP(E1350, ChestType!$A$5:$B$195, 2, 0), "Others"))</f>
        <v>Ancients Chests</v>
      </c>
    </row>
    <row r="1351" spans="1:6" x14ac:dyDescent="0.25">
      <c r="A1351" s="14">
        <v>46145.384722222225</v>
      </c>
      <c r="B1351" s="79" t="s">
        <v>149</v>
      </c>
      <c r="C1351" s="79" t="s">
        <v>207</v>
      </c>
      <c r="D1351" s="79" t="s">
        <v>163</v>
      </c>
      <c r="E1351" s="79" t="s">
        <v>66</v>
      </c>
      <c r="F1351" s="79" t="str">
        <f>IF(E1351="", "", IF(COUNTIF(ChestType!$A$5:$A$195, E1351)&gt;0, VLOOKUP(E1351, ChestType!$A$5:$B$195, 2, 0), "Others"))</f>
        <v>Ancients Chests</v>
      </c>
    </row>
    <row r="1352" spans="1:6" x14ac:dyDescent="0.25">
      <c r="A1352" s="14">
        <v>46145.384722222225</v>
      </c>
      <c r="B1352" s="79" t="s">
        <v>149</v>
      </c>
      <c r="C1352" s="79" t="s">
        <v>183</v>
      </c>
      <c r="D1352" s="79" t="s">
        <v>212</v>
      </c>
      <c r="E1352" s="79" t="s">
        <v>52</v>
      </c>
      <c r="F1352" s="79" t="str">
        <f>IF(E1352="", "", IF(COUNTIF(ChestType!$A$5:$A$195, E1352)&gt;0, VLOOKUP(E1352, ChestType!$A$5:$B$195, 2, 0), "Others"))</f>
        <v>L5 Crypt</v>
      </c>
    </row>
    <row r="1353" spans="1:6" x14ac:dyDescent="0.25">
      <c r="A1353" s="14">
        <v>46145.384722222225</v>
      </c>
      <c r="B1353" s="79" t="s">
        <v>149</v>
      </c>
      <c r="C1353" s="79" t="s">
        <v>207</v>
      </c>
      <c r="D1353" s="79" t="s">
        <v>250</v>
      </c>
      <c r="E1353" s="79" t="s">
        <v>66</v>
      </c>
      <c r="F1353" s="79" t="str">
        <f>IF(E1353="", "", IF(COUNTIF(ChestType!$A$5:$A$195, E1353)&gt;0, VLOOKUP(E1353, ChestType!$A$5:$B$195, 2, 0), "Others"))</f>
        <v>Ancients Chests</v>
      </c>
    </row>
    <row r="1354" spans="1:6" x14ac:dyDescent="0.25">
      <c r="A1354" s="14">
        <v>46145.384722222225</v>
      </c>
      <c r="B1354" s="79" t="s">
        <v>149</v>
      </c>
      <c r="C1354" s="79" t="s">
        <v>207</v>
      </c>
      <c r="D1354" s="79" t="s">
        <v>250</v>
      </c>
      <c r="E1354" s="79" t="s">
        <v>66</v>
      </c>
      <c r="F1354" s="79" t="str">
        <f>IF(E1354="", "", IF(COUNTIF(ChestType!$A$5:$A$195, E1354)&gt;0, VLOOKUP(E1354, ChestType!$A$5:$B$195, 2, 0), "Others"))</f>
        <v>Ancients Chests</v>
      </c>
    </row>
    <row r="1355" spans="1:6" x14ac:dyDescent="0.25">
      <c r="A1355" s="14">
        <v>46145.384722222225</v>
      </c>
      <c r="B1355" s="79" t="s">
        <v>149</v>
      </c>
      <c r="C1355" s="79" t="s">
        <v>207</v>
      </c>
      <c r="D1355" s="79" t="s">
        <v>250</v>
      </c>
      <c r="E1355" s="79" t="s">
        <v>66</v>
      </c>
      <c r="F1355" s="79" t="str">
        <f>IF(E1355="", "", IF(COUNTIF(ChestType!$A$5:$A$195, E1355)&gt;0, VLOOKUP(E1355, ChestType!$A$5:$B$195, 2, 0), "Others"))</f>
        <v>Ancients Chests</v>
      </c>
    </row>
    <row r="1356" spans="1:6" x14ac:dyDescent="0.25">
      <c r="A1356" s="14">
        <v>46145.384722222225</v>
      </c>
      <c r="B1356" s="79" t="s">
        <v>149</v>
      </c>
      <c r="C1356" s="79" t="s">
        <v>207</v>
      </c>
      <c r="D1356" s="79" t="s">
        <v>250</v>
      </c>
      <c r="E1356" s="79" t="s">
        <v>66</v>
      </c>
      <c r="F1356" s="79" t="str">
        <f>IF(E1356="", "", IF(COUNTIF(ChestType!$A$5:$A$195, E1356)&gt;0, VLOOKUP(E1356, ChestType!$A$5:$B$195, 2, 0), "Others"))</f>
        <v>Ancients Chests</v>
      </c>
    </row>
    <row r="1357" spans="1:6" x14ac:dyDescent="0.25">
      <c r="A1357" s="14">
        <v>46145.384722222225</v>
      </c>
      <c r="B1357" s="79" t="s">
        <v>149</v>
      </c>
      <c r="C1357" s="79" t="s">
        <v>208</v>
      </c>
      <c r="D1357" s="79" t="s">
        <v>250</v>
      </c>
      <c r="E1357" s="79" t="s">
        <v>66</v>
      </c>
      <c r="F1357" s="79" t="str">
        <f>IF(E1357="", "", IF(COUNTIF(ChestType!$A$5:$A$195, E1357)&gt;0, VLOOKUP(E1357, ChestType!$A$5:$B$195, 2, 0), "Others"))</f>
        <v>Ancients Chests</v>
      </c>
    </row>
    <row r="1358" spans="1:6" x14ac:dyDescent="0.25">
      <c r="A1358" s="14">
        <v>46145.384722222225</v>
      </c>
      <c r="B1358" s="79" t="s">
        <v>149</v>
      </c>
      <c r="C1358" s="79" t="s">
        <v>207</v>
      </c>
      <c r="D1358" s="79" t="s">
        <v>250</v>
      </c>
      <c r="E1358" s="79" t="s">
        <v>66</v>
      </c>
      <c r="F1358" s="79" t="str">
        <f>IF(E1358="", "", IF(COUNTIF(ChestType!$A$5:$A$195, E1358)&gt;0, VLOOKUP(E1358, ChestType!$A$5:$B$195, 2, 0), "Others"))</f>
        <v>Ancients Chests</v>
      </c>
    </row>
    <row r="1359" spans="1:6" x14ac:dyDescent="0.25">
      <c r="A1359" s="14">
        <v>46145.384722222225</v>
      </c>
      <c r="B1359" s="79" t="s">
        <v>149</v>
      </c>
      <c r="C1359" s="79" t="s">
        <v>207</v>
      </c>
      <c r="D1359" s="79" t="s">
        <v>250</v>
      </c>
      <c r="E1359" s="79" t="s">
        <v>66</v>
      </c>
      <c r="F1359" s="79" t="str">
        <f>IF(E1359="", "", IF(COUNTIF(ChestType!$A$5:$A$195, E1359)&gt;0, VLOOKUP(E1359, ChestType!$A$5:$B$195, 2, 0), "Others"))</f>
        <v>Ancients Chests</v>
      </c>
    </row>
    <row r="1360" spans="1:6" x14ac:dyDescent="0.25">
      <c r="A1360" s="14">
        <v>46145.384722222225</v>
      </c>
      <c r="B1360" s="79" t="s">
        <v>149</v>
      </c>
      <c r="C1360" s="79" t="s">
        <v>207</v>
      </c>
      <c r="D1360" s="79" t="s">
        <v>250</v>
      </c>
      <c r="E1360" s="79" t="s">
        <v>66</v>
      </c>
      <c r="F1360" s="79" t="str">
        <f>IF(E1360="", "", IF(COUNTIF(ChestType!$A$5:$A$195, E1360)&gt;0, VLOOKUP(E1360, ChestType!$A$5:$B$195, 2, 0), "Others"))</f>
        <v>Ancients Chests</v>
      </c>
    </row>
    <row r="1361" spans="1:6" x14ac:dyDescent="0.25">
      <c r="A1361" s="14">
        <v>46145.384722222225</v>
      </c>
      <c r="B1361" s="79" t="s">
        <v>149</v>
      </c>
      <c r="C1361" s="79" t="s">
        <v>207</v>
      </c>
      <c r="D1361" s="79" t="s">
        <v>250</v>
      </c>
      <c r="E1361" s="79" t="s">
        <v>66</v>
      </c>
      <c r="F1361" s="79" t="str">
        <f>IF(E1361="", "", IF(COUNTIF(ChestType!$A$5:$A$195, E1361)&gt;0, VLOOKUP(E1361, ChestType!$A$5:$B$195, 2, 0), "Others"))</f>
        <v>Ancients Chests</v>
      </c>
    </row>
    <row r="1362" spans="1:6" x14ac:dyDescent="0.25">
      <c r="A1362" s="14">
        <v>46145.384722222225</v>
      </c>
      <c r="B1362" s="79" t="s">
        <v>149</v>
      </c>
      <c r="C1362" s="79" t="s">
        <v>207</v>
      </c>
      <c r="D1362" s="79" t="s">
        <v>250</v>
      </c>
      <c r="E1362" s="79" t="s">
        <v>66</v>
      </c>
      <c r="F1362" s="79" t="str">
        <f>IF(E1362="", "", IF(COUNTIF(ChestType!$A$5:$A$195, E1362)&gt;0, VLOOKUP(E1362, ChestType!$A$5:$B$195, 2, 0), "Others"))</f>
        <v>Ancients Chests</v>
      </c>
    </row>
    <row r="1363" spans="1:6" x14ac:dyDescent="0.25">
      <c r="A1363" s="14">
        <v>46145.384722222225</v>
      </c>
      <c r="B1363" s="79" t="s">
        <v>149</v>
      </c>
      <c r="C1363" s="79" t="s">
        <v>207</v>
      </c>
      <c r="D1363" s="79" t="s">
        <v>250</v>
      </c>
      <c r="E1363" s="79" t="s">
        <v>66</v>
      </c>
      <c r="F1363" s="79" t="str">
        <f>IF(E1363="", "", IF(COUNTIF(ChestType!$A$5:$A$195, E1363)&gt;0, VLOOKUP(E1363, ChestType!$A$5:$B$195, 2, 0), "Others"))</f>
        <v>Ancients Chests</v>
      </c>
    </row>
    <row r="1364" spans="1:6" x14ac:dyDescent="0.25">
      <c r="A1364" s="14">
        <v>46145.384722222225</v>
      </c>
      <c r="B1364" s="79" t="s">
        <v>149</v>
      </c>
      <c r="C1364" s="79" t="s">
        <v>207</v>
      </c>
      <c r="D1364" s="79" t="s">
        <v>250</v>
      </c>
      <c r="E1364" s="79" t="s">
        <v>66</v>
      </c>
      <c r="F1364" s="79" t="str">
        <f>IF(E1364="", "", IF(COUNTIF(ChestType!$A$5:$A$195, E1364)&gt;0, VLOOKUP(E1364, ChestType!$A$5:$B$195, 2, 0), "Others"))</f>
        <v>Ancients Chests</v>
      </c>
    </row>
    <row r="1365" spans="1:6" x14ac:dyDescent="0.25">
      <c r="A1365" s="14">
        <v>46145.384722222225</v>
      </c>
      <c r="B1365" s="79" t="s">
        <v>149</v>
      </c>
      <c r="C1365" s="79" t="s">
        <v>207</v>
      </c>
      <c r="D1365" s="79" t="s">
        <v>250</v>
      </c>
      <c r="E1365" s="79" t="s">
        <v>66</v>
      </c>
      <c r="F1365" s="79" t="str">
        <f>IF(E1365="", "", IF(COUNTIF(ChestType!$A$5:$A$195, E1365)&gt;0, VLOOKUP(E1365, ChestType!$A$5:$B$195, 2, 0), "Others"))</f>
        <v>Ancients Chests</v>
      </c>
    </row>
    <row r="1366" spans="1:6" x14ac:dyDescent="0.25">
      <c r="A1366" s="14">
        <v>46145.384722222225</v>
      </c>
      <c r="B1366" s="79" t="s">
        <v>149</v>
      </c>
      <c r="C1366" s="79" t="s">
        <v>207</v>
      </c>
      <c r="D1366" s="79" t="s">
        <v>231</v>
      </c>
      <c r="E1366" s="79" t="s">
        <v>66</v>
      </c>
      <c r="F1366" s="79" t="str">
        <f>IF(E1366="", "", IF(COUNTIF(ChestType!$A$5:$A$195, E1366)&gt;0, VLOOKUP(E1366, ChestType!$A$5:$B$195, 2, 0), "Others"))</f>
        <v>Ancients Chests</v>
      </c>
    </row>
    <row r="1367" spans="1:6" x14ac:dyDescent="0.25">
      <c r="A1367" s="14">
        <v>46145.384722222225</v>
      </c>
      <c r="B1367" s="79" t="s">
        <v>149</v>
      </c>
      <c r="C1367" s="79" t="s">
        <v>207</v>
      </c>
      <c r="D1367" s="79" t="s">
        <v>231</v>
      </c>
      <c r="E1367" s="79" t="s">
        <v>66</v>
      </c>
      <c r="F1367" s="79" t="str">
        <f>IF(E1367="", "", IF(COUNTIF(ChestType!$A$5:$A$195, E1367)&gt;0, VLOOKUP(E1367, ChestType!$A$5:$B$195, 2, 0), "Others"))</f>
        <v>Ancients Chests</v>
      </c>
    </row>
    <row r="1368" spans="1:6" x14ac:dyDescent="0.25">
      <c r="A1368" s="14">
        <v>46145.384722222225</v>
      </c>
      <c r="B1368" s="79" t="s">
        <v>149</v>
      </c>
      <c r="C1368" s="79" t="s">
        <v>207</v>
      </c>
      <c r="D1368" s="79" t="s">
        <v>231</v>
      </c>
      <c r="E1368" s="79" t="s">
        <v>66</v>
      </c>
      <c r="F1368" s="79" t="str">
        <f>IF(E1368="", "", IF(COUNTIF(ChestType!$A$5:$A$195, E1368)&gt;0, VLOOKUP(E1368, ChestType!$A$5:$B$195, 2, 0), "Others"))</f>
        <v>Ancients Chests</v>
      </c>
    </row>
    <row r="1369" spans="1:6" x14ac:dyDescent="0.25">
      <c r="A1369" s="14">
        <v>46145.384722222225</v>
      </c>
      <c r="B1369" s="79" t="s">
        <v>149</v>
      </c>
      <c r="C1369" s="79" t="s">
        <v>207</v>
      </c>
      <c r="D1369" s="79" t="s">
        <v>231</v>
      </c>
      <c r="E1369" s="79" t="s">
        <v>66</v>
      </c>
      <c r="F1369" s="79" t="str">
        <f>IF(E1369="", "", IF(COUNTIF(ChestType!$A$5:$A$195, E1369)&gt;0, VLOOKUP(E1369, ChestType!$A$5:$B$195, 2, 0), "Others"))</f>
        <v>Ancients Chests</v>
      </c>
    </row>
    <row r="1370" spans="1:6" x14ac:dyDescent="0.25">
      <c r="A1370" s="14">
        <v>46145.384722222225</v>
      </c>
      <c r="B1370" s="79" t="s">
        <v>149</v>
      </c>
      <c r="C1370" s="79" t="s">
        <v>207</v>
      </c>
      <c r="D1370" s="79" t="s">
        <v>231</v>
      </c>
      <c r="E1370" s="79" t="s">
        <v>66</v>
      </c>
      <c r="F1370" s="79" t="str">
        <f>IF(E1370="", "", IF(COUNTIF(ChestType!$A$5:$A$195, E1370)&gt;0, VLOOKUP(E1370, ChestType!$A$5:$B$195, 2, 0), "Others"))</f>
        <v>Ancients Chests</v>
      </c>
    </row>
    <row r="1371" spans="1:6" x14ac:dyDescent="0.25">
      <c r="A1371" s="14">
        <v>46145.384722222225</v>
      </c>
      <c r="B1371" s="79" t="s">
        <v>149</v>
      </c>
      <c r="C1371" s="79" t="s">
        <v>207</v>
      </c>
      <c r="D1371" s="79" t="s">
        <v>231</v>
      </c>
      <c r="E1371" s="79" t="s">
        <v>66</v>
      </c>
      <c r="F1371" s="79" t="str">
        <f>IF(E1371="", "", IF(COUNTIF(ChestType!$A$5:$A$195, E1371)&gt;0, VLOOKUP(E1371, ChestType!$A$5:$B$195, 2, 0), "Others"))</f>
        <v>Ancients Chests</v>
      </c>
    </row>
    <row r="1372" spans="1:6" x14ac:dyDescent="0.25">
      <c r="A1372" s="14">
        <v>46145.384722222225</v>
      </c>
      <c r="B1372" s="79" t="s">
        <v>149</v>
      </c>
      <c r="C1372" s="79" t="s">
        <v>207</v>
      </c>
      <c r="D1372" s="79" t="s">
        <v>231</v>
      </c>
      <c r="E1372" s="79" t="s">
        <v>66</v>
      </c>
      <c r="F1372" s="79" t="str">
        <f>IF(E1372="", "", IF(COUNTIF(ChestType!$A$5:$A$195, E1372)&gt;0, VLOOKUP(E1372, ChestType!$A$5:$B$195, 2, 0), "Others"))</f>
        <v>Ancients Chests</v>
      </c>
    </row>
    <row r="1373" spans="1:6" x14ac:dyDescent="0.25">
      <c r="A1373" s="14">
        <v>46145.384722222225</v>
      </c>
      <c r="B1373" s="79" t="s">
        <v>149</v>
      </c>
      <c r="C1373" s="79" t="s">
        <v>207</v>
      </c>
      <c r="D1373" s="79" t="s">
        <v>231</v>
      </c>
      <c r="E1373" s="79" t="s">
        <v>66</v>
      </c>
      <c r="F1373" s="79" t="str">
        <f>IF(E1373="", "", IF(COUNTIF(ChestType!$A$5:$A$195, E1373)&gt;0, VLOOKUP(E1373, ChestType!$A$5:$B$195, 2, 0), "Others"))</f>
        <v>Ancients Chests</v>
      </c>
    </row>
    <row r="1374" spans="1:6" x14ac:dyDescent="0.25">
      <c r="A1374" s="14">
        <v>46145.384722222225</v>
      </c>
      <c r="B1374" s="79" t="s">
        <v>149</v>
      </c>
      <c r="C1374" s="79" t="s">
        <v>207</v>
      </c>
      <c r="D1374" s="79" t="s">
        <v>261</v>
      </c>
      <c r="E1374" s="79" t="s">
        <v>66</v>
      </c>
      <c r="F1374" s="79" t="str">
        <f>IF(E1374="", "", IF(COUNTIF(ChestType!$A$5:$A$195, E1374)&gt;0, VLOOKUP(E1374, ChestType!$A$5:$B$195, 2, 0), "Others"))</f>
        <v>Ancients Chests</v>
      </c>
    </row>
    <row r="1375" spans="1:6" x14ac:dyDescent="0.25">
      <c r="A1375" s="14">
        <v>46145.384722222225</v>
      </c>
      <c r="B1375" s="79" t="s">
        <v>149</v>
      </c>
      <c r="C1375" s="79" t="s">
        <v>207</v>
      </c>
      <c r="D1375" s="79" t="s">
        <v>261</v>
      </c>
      <c r="E1375" s="79" t="s">
        <v>66</v>
      </c>
      <c r="F1375" s="79" t="str">
        <f>IF(E1375="", "", IF(COUNTIF(ChestType!$A$5:$A$195, E1375)&gt;0, VLOOKUP(E1375, ChestType!$A$5:$B$195, 2, 0), "Others"))</f>
        <v>Ancients Chests</v>
      </c>
    </row>
    <row r="1376" spans="1:6" x14ac:dyDescent="0.25">
      <c r="A1376" s="14">
        <v>46145.384722222225</v>
      </c>
      <c r="B1376" s="79" t="s">
        <v>149</v>
      </c>
      <c r="C1376" s="79" t="s">
        <v>207</v>
      </c>
      <c r="D1376" s="79" t="s">
        <v>261</v>
      </c>
      <c r="E1376" s="79" t="s">
        <v>66</v>
      </c>
      <c r="F1376" s="79" t="str">
        <f>IF(E1376="", "", IF(COUNTIF(ChestType!$A$5:$A$195, E1376)&gt;0, VLOOKUP(E1376, ChestType!$A$5:$B$195, 2, 0), "Others"))</f>
        <v>Ancients Chests</v>
      </c>
    </row>
    <row r="1377" spans="1:6" x14ac:dyDescent="0.25">
      <c r="A1377" s="14">
        <v>46145.384722222225</v>
      </c>
      <c r="B1377" s="79" t="s">
        <v>149</v>
      </c>
      <c r="C1377" s="79" t="s">
        <v>207</v>
      </c>
      <c r="D1377" s="79" t="s">
        <v>261</v>
      </c>
      <c r="E1377" s="79" t="s">
        <v>66</v>
      </c>
      <c r="F1377" s="79" t="str">
        <f>IF(E1377="", "", IF(COUNTIF(ChestType!$A$5:$A$195, E1377)&gt;0, VLOOKUP(E1377, ChestType!$A$5:$B$195, 2, 0), "Others"))</f>
        <v>Ancients Chests</v>
      </c>
    </row>
    <row r="1378" spans="1:6" x14ac:dyDescent="0.25">
      <c r="A1378" s="14">
        <v>46145.384722222225</v>
      </c>
      <c r="B1378" s="79" t="s">
        <v>149</v>
      </c>
      <c r="C1378" s="79" t="s">
        <v>181</v>
      </c>
      <c r="D1378" s="79" t="s">
        <v>244</v>
      </c>
      <c r="E1378" s="79" t="s">
        <v>49</v>
      </c>
      <c r="F1378" s="79" t="str">
        <f>IF(E1378="", "", IF(COUNTIF(ChestType!$A$5:$A$195, E1378)&gt;0, VLOOKUP(E1378, ChestType!$A$5:$B$195, 2, 0), "Others"))</f>
        <v>L15 Crypt</v>
      </c>
    </row>
    <row r="1379" spans="1:6" x14ac:dyDescent="0.25">
      <c r="A1379" s="14">
        <v>46145.384722222225</v>
      </c>
      <c r="B1379" s="79" t="s">
        <v>149</v>
      </c>
      <c r="C1379" s="79" t="s">
        <v>181</v>
      </c>
      <c r="D1379" s="79" t="s">
        <v>240</v>
      </c>
      <c r="E1379" s="79" t="s">
        <v>52</v>
      </c>
      <c r="F1379" s="79" t="str">
        <f>IF(E1379="", "", IF(COUNTIF(ChestType!$A$5:$A$195, E1379)&gt;0, VLOOKUP(E1379, ChestType!$A$5:$B$195, 2, 0), "Others"))</f>
        <v>L5 Crypt</v>
      </c>
    </row>
    <row r="1380" spans="1:6" x14ac:dyDescent="0.25">
      <c r="A1380" s="14">
        <v>46146.179861111108</v>
      </c>
      <c r="B1380" s="79" t="s">
        <v>149</v>
      </c>
      <c r="C1380" s="79" t="s">
        <v>158</v>
      </c>
      <c r="D1380" s="79" t="s">
        <v>258</v>
      </c>
      <c r="E1380" s="79" t="s">
        <v>52</v>
      </c>
      <c r="F1380" s="79" t="str">
        <f>IF(E1380="", "", IF(COUNTIF(ChestType!$A$5:$A$195, E1380)&gt;0, VLOOKUP(E1380, ChestType!$A$5:$B$195, 2, 0), "Others"))</f>
        <v>L5 Crypt</v>
      </c>
    </row>
    <row r="1381" spans="1:6" x14ac:dyDescent="0.25">
      <c r="A1381" s="14">
        <v>46146.179861111108</v>
      </c>
      <c r="B1381" s="79" t="s">
        <v>149</v>
      </c>
      <c r="C1381" s="79" t="s">
        <v>181</v>
      </c>
      <c r="D1381" s="79" t="s">
        <v>156</v>
      </c>
      <c r="E1381" s="79" t="s">
        <v>49</v>
      </c>
      <c r="F1381" s="79" t="str">
        <f>IF(E1381="", "", IF(COUNTIF(ChestType!$A$5:$A$195, E1381)&gt;0, VLOOKUP(E1381, ChestType!$A$5:$B$195, 2, 0), "Others"))</f>
        <v>L15 Crypt</v>
      </c>
    </row>
    <row r="1382" spans="1:6" x14ac:dyDescent="0.25">
      <c r="A1382" s="14">
        <v>46146.179861111108</v>
      </c>
      <c r="B1382" s="79" t="s">
        <v>149</v>
      </c>
      <c r="C1382" s="79" t="s">
        <v>175</v>
      </c>
      <c r="D1382" s="79" t="s">
        <v>156</v>
      </c>
      <c r="E1382" s="79" t="s">
        <v>49</v>
      </c>
      <c r="F1382" s="79" t="str">
        <f>IF(E1382="", "", IF(COUNTIF(ChestType!$A$5:$A$195, E1382)&gt;0, VLOOKUP(E1382, ChestType!$A$5:$B$195, 2, 0), "Others"))</f>
        <v>L15 Crypt</v>
      </c>
    </row>
    <row r="1383" spans="1:6" x14ac:dyDescent="0.25">
      <c r="A1383" s="14">
        <v>46146.179861111108</v>
      </c>
      <c r="B1383" s="79" t="s">
        <v>149</v>
      </c>
      <c r="C1383" s="79" t="s">
        <v>187</v>
      </c>
      <c r="D1383" s="79" t="s">
        <v>156</v>
      </c>
      <c r="E1383" s="79" t="s">
        <v>75</v>
      </c>
      <c r="F1383" s="79" t="str">
        <f>IF(E1383="", "", IF(COUNTIF(ChestType!$A$5:$A$195, E1383)&gt;0, VLOOKUP(E1383, ChestType!$A$5:$B$195, 2, 0), "Others"))</f>
        <v>L10 Rare Crypt</v>
      </c>
    </row>
    <row r="1384" spans="1:6" x14ac:dyDescent="0.25">
      <c r="A1384" s="14">
        <v>46146.179861111108</v>
      </c>
      <c r="B1384" s="79" t="s">
        <v>149</v>
      </c>
      <c r="C1384" s="79" t="s">
        <v>185</v>
      </c>
      <c r="D1384" s="79" t="s">
        <v>156</v>
      </c>
      <c r="E1384" s="79" t="s">
        <v>50</v>
      </c>
      <c r="F1384" s="79" t="str">
        <f>IF(E1384="", "", IF(COUNTIF(ChestType!$A$5:$A$195, E1384)&gt;0, VLOOKUP(E1384, ChestType!$A$5:$B$195, 2, 0), "Others"))</f>
        <v>L10 Crypt</v>
      </c>
    </row>
    <row r="1385" spans="1:6" x14ac:dyDescent="0.25">
      <c r="A1385" s="14">
        <v>46146.179861111108</v>
      </c>
      <c r="B1385" s="79" t="s">
        <v>149</v>
      </c>
      <c r="C1385" s="79" t="s">
        <v>187</v>
      </c>
      <c r="D1385" s="79" t="s">
        <v>156</v>
      </c>
      <c r="E1385" s="79" t="s">
        <v>75</v>
      </c>
      <c r="F1385" s="79" t="str">
        <f>IF(E1385="", "", IF(COUNTIF(ChestType!$A$5:$A$195, E1385)&gt;0, VLOOKUP(E1385, ChestType!$A$5:$B$195, 2, 0), "Others"))</f>
        <v>L10 Rare Crypt</v>
      </c>
    </row>
    <row r="1386" spans="1:6" x14ac:dyDescent="0.25">
      <c r="A1386" s="14">
        <v>46146.179861111108</v>
      </c>
      <c r="B1386" s="79" t="s">
        <v>149</v>
      </c>
      <c r="C1386" s="79" t="s">
        <v>187</v>
      </c>
      <c r="D1386" s="79" t="s">
        <v>156</v>
      </c>
      <c r="E1386" s="79" t="s">
        <v>75</v>
      </c>
      <c r="F1386" s="79" t="str">
        <f>IF(E1386="", "", IF(COUNTIF(ChestType!$A$5:$A$195, E1386)&gt;0, VLOOKUP(E1386, ChestType!$A$5:$B$195, 2, 0), "Others"))</f>
        <v>L10 Rare Crypt</v>
      </c>
    </row>
    <row r="1387" spans="1:6" x14ac:dyDescent="0.25">
      <c r="A1387" s="14">
        <v>46146.179861111108</v>
      </c>
      <c r="B1387" s="79" t="s">
        <v>149</v>
      </c>
      <c r="C1387" s="79" t="s">
        <v>187</v>
      </c>
      <c r="D1387" s="79" t="s">
        <v>156</v>
      </c>
      <c r="E1387" s="79" t="s">
        <v>75</v>
      </c>
      <c r="F1387" s="79" t="str">
        <f>IF(E1387="", "", IF(COUNTIF(ChestType!$A$5:$A$195, E1387)&gt;0, VLOOKUP(E1387, ChestType!$A$5:$B$195, 2, 0), "Others"))</f>
        <v>L10 Rare Crypt</v>
      </c>
    </row>
    <row r="1388" spans="1:6" x14ac:dyDescent="0.25">
      <c r="A1388" s="14">
        <v>46146.179861111108</v>
      </c>
      <c r="B1388" s="79" t="s">
        <v>149</v>
      </c>
      <c r="C1388" s="79" t="s">
        <v>187</v>
      </c>
      <c r="D1388" s="79" t="s">
        <v>156</v>
      </c>
      <c r="E1388" s="79" t="s">
        <v>75</v>
      </c>
      <c r="F1388" s="79" t="str">
        <f>IF(E1388="", "", IF(COUNTIF(ChestType!$A$5:$A$195, E1388)&gt;0, VLOOKUP(E1388, ChestType!$A$5:$B$195, 2, 0), "Others"))</f>
        <v>L10 Rare Crypt</v>
      </c>
    </row>
    <row r="1389" spans="1:6" x14ac:dyDescent="0.25">
      <c r="A1389" s="14">
        <v>46146.179861111108</v>
      </c>
      <c r="B1389" s="79" t="s">
        <v>149</v>
      </c>
      <c r="C1389" s="79" t="s">
        <v>177</v>
      </c>
      <c r="D1389" s="79" t="s">
        <v>258</v>
      </c>
      <c r="E1389" s="79" t="s">
        <v>52</v>
      </c>
      <c r="F1389" s="79" t="str">
        <f>IF(E1389="", "", IF(COUNTIF(ChestType!$A$5:$A$195, E1389)&gt;0, VLOOKUP(E1389, ChestType!$A$5:$B$195, 2, 0), "Others"))</f>
        <v>L5 Crypt</v>
      </c>
    </row>
    <row r="1390" spans="1:6" x14ac:dyDescent="0.25">
      <c r="A1390" s="14">
        <v>46146.179861111108</v>
      </c>
      <c r="B1390" s="79" t="s">
        <v>149</v>
      </c>
      <c r="C1390" s="79" t="s">
        <v>190</v>
      </c>
      <c r="D1390" s="79" t="s">
        <v>258</v>
      </c>
      <c r="E1390" s="79" t="s">
        <v>52</v>
      </c>
      <c r="F1390" s="79" t="str">
        <f>IF(E1390="", "", IF(COUNTIF(ChestType!$A$5:$A$195, E1390)&gt;0, VLOOKUP(E1390, ChestType!$A$5:$B$195, 2, 0), "Others"))</f>
        <v>L5 Crypt</v>
      </c>
    </row>
    <row r="1391" spans="1:6" x14ac:dyDescent="0.25">
      <c r="A1391" s="14">
        <v>46146.179861111108</v>
      </c>
      <c r="B1391" s="79" t="s">
        <v>149</v>
      </c>
      <c r="C1391" s="79" t="s">
        <v>183</v>
      </c>
      <c r="D1391" s="79" t="s">
        <v>261</v>
      </c>
      <c r="E1391" s="79" t="s">
        <v>52</v>
      </c>
      <c r="F1391" s="79" t="str">
        <f>IF(E1391="", "", IF(COUNTIF(ChestType!$A$5:$A$195, E1391)&gt;0, VLOOKUP(E1391, ChestType!$A$5:$B$195, 2, 0), "Others"))</f>
        <v>L5 Crypt</v>
      </c>
    </row>
    <row r="1392" spans="1:6" x14ac:dyDescent="0.25">
      <c r="A1392" s="14">
        <v>46146.179861111108</v>
      </c>
      <c r="B1392" s="79" t="s">
        <v>149</v>
      </c>
      <c r="C1392" s="79" t="s">
        <v>177</v>
      </c>
      <c r="D1392" s="79" t="s">
        <v>164</v>
      </c>
      <c r="E1392" s="79" t="s">
        <v>49</v>
      </c>
      <c r="F1392" s="79" t="str">
        <f>IF(E1392="", "", IF(COUNTIF(ChestType!$A$5:$A$195, E1392)&gt;0, VLOOKUP(E1392, ChestType!$A$5:$B$195, 2, 0), "Others"))</f>
        <v>L15 Crypt</v>
      </c>
    </row>
    <row r="1393" spans="1:6" x14ac:dyDescent="0.25">
      <c r="A1393" s="14">
        <v>46146.179861111108</v>
      </c>
      <c r="B1393" s="79" t="s">
        <v>149</v>
      </c>
      <c r="C1393" s="79" t="s">
        <v>192</v>
      </c>
      <c r="D1393" s="79" t="s">
        <v>258</v>
      </c>
      <c r="E1393" s="79" t="s">
        <v>60</v>
      </c>
      <c r="F1393" s="79" t="str">
        <f>IF(E1393="", "", IF(COUNTIF(ChestType!$A$5:$A$195, E1393)&gt;0, VLOOKUP(E1393, ChestType!$A$5:$B$195, 2, 0), "Others"))</f>
        <v>Others</v>
      </c>
    </row>
    <row r="1394" spans="1:6" x14ac:dyDescent="0.25">
      <c r="A1394" s="14">
        <v>46146.179861111108</v>
      </c>
      <c r="B1394" s="79" t="s">
        <v>149</v>
      </c>
      <c r="C1394" s="79" t="s">
        <v>181</v>
      </c>
      <c r="D1394" s="79" t="s">
        <v>180</v>
      </c>
      <c r="E1394" s="79" t="s">
        <v>50</v>
      </c>
      <c r="F1394" s="79" t="str">
        <f>IF(E1394="", "", IF(COUNTIF(ChestType!$A$5:$A$195, E1394)&gt;0, VLOOKUP(E1394, ChestType!$A$5:$B$195, 2, 0), "Others"))</f>
        <v>L10 Crypt</v>
      </c>
    </row>
    <row r="1395" spans="1:6" x14ac:dyDescent="0.25">
      <c r="A1395" s="14">
        <v>46146.179861111108</v>
      </c>
      <c r="B1395" s="79" t="s">
        <v>149</v>
      </c>
      <c r="C1395" s="79" t="s">
        <v>187</v>
      </c>
      <c r="D1395" s="79" t="s">
        <v>156</v>
      </c>
      <c r="E1395" s="79" t="s">
        <v>75</v>
      </c>
      <c r="F1395" s="79" t="str">
        <f>IF(E1395="", "", IF(COUNTIF(ChestType!$A$5:$A$195, E1395)&gt;0, VLOOKUP(E1395, ChestType!$A$5:$B$195, 2, 0), "Others"))</f>
        <v>L10 Rare Crypt</v>
      </c>
    </row>
    <row r="1396" spans="1:6" x14ac:dyDescent="0.25">
      <c r="A1396" s="14">
        <v>46146.179861111108</v>
      </c>
      <c r="B1396" s="79" t="s">
        <v>149</v>
      </c>
      <c r="C1396" s="79" t="s">
        <v>213</v>
      </c>
      <c r="D1396" s="79" t="s">
        <v>180</v>
      </c>
      <c r="E1396" s="79" t="s">
        <v>64</v>
      </c>
      <c r="F1396" s="79" t="str">
        <f>IF(E1396="", "", IF(COUNTIF(ChestType!$A$5:$A$195, E1396)&gt;0, VLOOKUP(E1396, ChestType!$A$5:$B$195, 2, 0), "Others"))</f>
        <v>L15 Epic Crypt</v>
      </c>
    </row>
    <row r="1397" spans="1:6" x14ac:dyDescent="0.25">
      <c r="A1397" s="14">
        <v>46146.179861111108</v>
      </c>
      <c r="B1397" s="79" t="s">
        <v>149</v>
      </c>
      <c r="C1397" s="79" t="s">
        <v>175</v>
      </c>
      <c r="D1397" s="79" t="s">
        <v>261</v>
      </c>
      <c r="E1397" s="79" t="s">
        <v>52</v>
      </c>
      <c r="F1397" s="79" t="str">
        <f>IF(E1397="", "", IF(COUNTIF(ChestType!$A$5:$A$195, E1397)&gt;0, VLOOKUP(E1397, ChestType!$A$5:$B$195, 2, 0), "Others"))</f>
        <v>L5 Crypt</v>
      </c>
    </row>
    <row r="1398" spans="1:6" x14ac:dyDescent="0.25">
      <c r="A1398" s="14">
        <v>46146.179861111108</v>
      </c>
      <c r="B1398" s="79" t="s">
        <v>149</v>
      </c>
      <c r="C1398" s="79" t="s">
        <v>151</v>
      </c>
      <c r="D1398" s="79" t="s">
        <v>163</v>
      </c>
      <c r="E1398" s="79" t="s">
        <v>50</v>
      </c>
      <c r="F1398" s="79" t="str">
        <f>IF(E1398="", "", IF(COUNTIF(ChestType!$A$5:$A$195, E1398)&gt;0, VLOOKUP(E1398, ChestType!$A$5:$B$195, 2, 0), "Others"))</f>
        <v>L10 Crypt</v>
      </c>
    </row>
    <row r="1399" spans="1:6" x14ac:dyDescent="0.25">
      <c r="A1399" s="14">
        <v>46146.179861111108</v>
      </c>
      <c r="B1399" s="79" t="s">
        <v>149</v>
      </c>
      <c r="C1399" s="79" t="s">
        <v>183</v>
      </c>
      <c r="D1399" s="79" t="s">
        <v>164</v>
      </c>
      <c r="E1399" s="79" t="s">
        <v>50</v>
      </c>
      <c r="F1399" s="79" t="str">
        <f>IF(E1399="", "", IF(COUNTIF(ChestType!$A$5:$A$195, E1399)&gt;0, VLOOKUP(E1399, ChestType!$A$5:$B$195, 2, 0), "Others"))</f>
        <v>L10 Crypt</v>
      </c>
    </row>
    <row r="1400" spans="1:6" x14ac:dyDescent="0.25">
      <c r="A1400" s="14">
        <v>46146.179861111108</v>
      </c>
      <c r="B1400" s="79" t="s">
        <v>149</v>
      </c>
      <c r="C1400" s="79" t="s">
        <v>158</v>
      </c>
      <c r="D1400" s="79" t="s">
        <v>259</v>
      </c>
      <c r="E1400" s="79" t="s">
        <v>50</v>
      </c>
      <c r="F1400" s="79" t="str">
        <f>IF(E1400="", "", IF(COUNTIF(ChestType!$A$5:$A$195, E1400)&gt;0, VLOOKUP(E1400, ChestType!$A$5:$B$195, 2, 0), "Others"))</f>
        <v>L10 Crypt</v>
      </c>
    </row>
    <row r="1401" spans="1:6" x14ac:dyDescent="0.25">
      <c r="A1401" s="14">
        <v>46146.179861111108</v>
      </c>
      <c r="B1401" s="79" t="s">
        <v>149</v>
      </c>
      <c r="C1401" s="79" t="s">
        <v>190</v>
      </c>
      <c r="D1401" s="79" t="s">
        <v>261</v>
      </c>
      <c r="E1401" s="79" t="s">
        <v>52</v>
      </c>
      <c r="F1401" s="79" t="str">
        <f>IF(E1401="", "", IF(COUNTIF(ChestType!$A$5:$A$195, E1401)&gt;0, VLOOKUP(E1401, ChestType!$A$5:$B$195, 2, 0), "Others"))</f>
        <v>L5 Crypt</v>
      </c>
    </row>
    <row r="1402" spans="1:6" x14ac:dyDescent="0.25">
      <c r="A1402" s="14">
        <v>46146.179861111108</v>
      </c>
      <c r="B1402" s="79" t="s">
        <v>149</v>
      </c>
      <c r="C1402" s="79" t="s">
        <v>171</v>
      </c>
      <c r="D1402" s="79" t="s">
        <v>259</v>
      </c>
      <c r="E1402" s="79" t="s">
        <v>50</v>
      </c>
      <c r="F1402" s="79" t="str">
        <f>IF(E1402="", "", IF(COUNTIF(ChestType!$A$5:$A$195, E1402)&gt;0, VLOOKUP(E1402, ChestType!$A$5:$B$195, 2, 0), "Others"))</f>
        <v>L10 Crypt</v>
      </c>
    </row>
    <row r="1403" spans="1:6" x14ac:dyDescent="0.25">
      <c r="A1403" s="14">
        <v>46146.179861111108</v>
      </c>
      <c r="B1403" s="79" t="s">
        <v>149</v>
      </c>
      <c r="C1403" s="79" t="s">
        <v>185</v>
      </c>
      <c r="D1403" s="79" t="s">
        <v>261</v>
      </c>
      <c r="E1403" s="79" t="s">
        <v>52</v>
      </c>
      <c r="F1403" s="79" t="str">
        <f>IF(E1403="", "", IF(COUNTIF(ChestType!$A$5:$A$195, E1403)&gt;0, VLOOKUP(E1403, ChestType!$A$5:$B$195, 2, 0), "Others"))</f>
        <v>L5 Crypt</v>
      </c>
    </row>
    <row r="1404" spans="1:6" x14ac:dyDescent="0.25">
      <c r="A1404" s="14">
        <v>46146.179861111108</v>
      </c>
      <c r="B1404" s="79" t="s">
        <v>149</v>
      </c>
      <c r="C1404" s="79" t="s">
        <v>187</v>
      </c>
      <c r="D1404" s="79" t="s">
        <v>167</v>
      </c>
      <c r="E1404" s="79" t="s">
        <v>75</v>
      </c>
      <c r="F1404" s="79" t="str">
        <f>IF(E1404="", "", IF(COUNTIF(ChestType!$A$5:$A$195, E1404)&gt;0, VLOOKUP(E1404, ChestType!$A$5:$B$195, 2, 0), "Others"))</f>
        <v>L10 Rare Crypt</v>
      </c>
    </row>
    <row r="1405" spans="1:6" x14ac:dyDescent="0.25">
      <c r="A1405" s="14">
        <v>46146.179861111108</v>
      </c>
      <c r="B1405" s="79" t="s">
        <v>149</v>
      </c>
      <c r="C1405" s="79" t="s">
        <v>187</v>
      </c>
      <c r="D1405" s="79" t="s">
        <v>167</v>
      </c>
      <c r="E1405" s="79" t="s">
        <v>75</v>
      </c>
      <c r="F1405" s="79" t="str">
        <f>IF(E1405="", "", IF(COUNTIF(ChestType!$A$5:$A$195, E1405)&gt;0, VLOOKUP(E1405, ChestType!$A$5:$B$195, 2, 0), "Others"))</f>
        <v>L10 Rare Crypt</v>
      </c>
    </row>
    <row r="1406" spans="1:6" x14ac:dyDescent="0.25">
      <c r="A1406" s="14">
        <v>46146.179861111108</v>
      </c>
      <c r="B1406" s="79" t="s">
        <v>149</v>
      </c>
      <c r="C1406" s="79" t="s">
        <v>187</v>
      </c>
      <c r="D1406" s="79" t="s">
        <v>167</v>
      </c>
      <c r="E1406" s="79" t="s">
        <v>75</v>
      </c>
      <c r="F1406" s="79" t="str">
        <f>IF(E1406="", "", IF(COUNTIF(ChestType!$A$5:$A$195, E1406)&gt;0, VLOOKUP(E1406, ChestType!$A$5:$B$195, 2, 0), "Others"))</f>
        <v>L10 Rare Crypt</v>
      </c>
    </row>
    <row r="1407" spans="1:6" x14ac:dyDescent="0.25">
      <c r="A1407" s="14">
        <v>46146.179861111108</v>
      </c>
      <c r="B1407" s="79" t="s">
        <v>149</v>
      </c>
      <c r="C1407" s="79" t="s">
        <v>187</v>
      </c>
      <c r="D1407" s="79" t="s">
        <v>167</v>
      </c>
      <c r="E1407" s="79" t="s">
        <v>75</v>
      </c>
      <c r="F1407" s="79" t="str">
        <f>IF(E1407="", "", IF(COUNTIF(ChestType!$A$5:$A$195, E1407)&gt;0, VLOOKUP(E1407, ChestType!$A$5:$B$195, 2, 0), "Others"))</f>
        <v>L10 Rare Crypt</v>
      </c>
    </row>
    <row r="1408" spans="1:6" x14ac:dyDescent="0.25">
      <c r="A1408" s="14">
        <v>46146.179861111108</v>
      </c>
      <c r="B1408" s="79" t="s">
        <v>149</v>
      </c>
      <c r="C1408" s="79" t="s">
        <v>187</v>
      </c>
      <c r="D1408" s="79" t="s">
        <v>167</v>
      </c>
      <c r="E1408" s="79" t="s">
        <v>75</v>
      </c>
      <c r="F1408" s="79" t="str">
        <f>IF(E1408="", "", IF(COUNTIF(ChestType!$A$5:$A$195, E1408)&gt;0, VLOOKUP(E1408, ChestType!$A$5:$B$195, 2, 0), "Others"))</f>
        <v>L10 Rare Crypt</v>
      </c>
    </row>
    <row r="1409" spans="1:6" x14ac:dyDescent="0.25">
      <c r="A1409" s="14">
        <v>46146.179861111108</v>
      </c>
      <c r="B1409" s="79" t="s">
        <v>149</v>
      </c>
      <c r="C1409" s="79" t="s">
        <v>187</v>
      </c>
      <c r="D1409" s="79" t="s">
        <v>167</v>
      </c>
      <c r="E1409" s="79" t="s">
        <v>75</v>
      </c>
      <c r="F1409" s="79" t="str">
        <f>IF(E1409="", "", IF(COUNTIF(ChestType!$A$5:$A$195, E1409)&gt;0, VLOOKUP(E1409, ChestType!$A$5:$B$195, 2, 0), "Others"))</f>
        <v>L10 Rare Crypt</v>
      </c>
    </row>
    <row r="1410" spans="1:6" x14ac:dyDescent="0.25">
      <c r="A1410" s="14">
        <v>46146.179861111108</v>
      </c>
      <c r="B1410" s="79" t="s">
        <v>149</v>
      </c>
      <c r="C1410" s="79" t="s">
        <v>187</v>
      </c>
      <c r="D1410" s="79" t="s">
        <v>167</v>
      </c>
      <c r="E1410" s="79" t="s">
        <v>75</v>
      </c>
      <c r="F1410" s="79" t="str">
        <f>IF(E1410="", "", IF(COUNTIF(ChestType!$A$5:$A$195, E1410)&gt;0, VLOOKUP(E1410, ChestType!$A$5:$B$195, 2, 0), "Others"))</f>
        <v>L10 Rare Crypt</v>
      </c>
    </row>
    <row r="1411" spans="1:6" x14ac:dyDescent="0.25">
      <c r="A1411" s="14">
        <v>46146.179861111108</v>
      </c>
      <c r="B1411" s="79" t="s">
        <v>149</v>
      </c>
      <c r="C1411" s="79" t="s">
        <v>187</v>
      </c>
      <c r="D1411" s="79" t="s">
        <v>167</v>
      </c>
      <c r="E1411" s="79" t="s">
        <v>75</v>
      </c>
      <c r="F1411" s="79" t="str">
        <f>IF(E1411="", "", IF(COUNTIF(ChestType!$A$5:$A$195, E1411)&gt;0, VLOOKUP(E1411, ChestType!$A$5:$B$195, 2, 0), "Others"))</f>
        <v>L10 Rare Crypt</v>
      </c>
    </row>
    <row r="1412" spans="1:6" x14ac:dyDescent="0.25">
      <c r="A1412" s="14">
        <v>46146.179861111108</v>
      </c>
      <c r="B1412" s="79" t="s">
        <v>149</v>
      </c>
      <c r="C1412" s="79" t="s">
        <v>187</v>
      </c>
      <c r="D1412" s="79" t="s">
        <v>167</v>
      </c>
      <c r="E1412" s="79" t="s">
        <v>75</v>
      </c>
      <c r="F1412" s="79" t="str">
        <f>IF(E1412="", "", IF(COUNTIF(ChestType!$A$5:$A$195, E1412)&gt;0, VLOOKUP(E1412, ChestType!$A$5:$B$195, 2, 0), "Others"))</f>
        <v>L10 Rare Crypt</v>
      </c>
    </row>
    <row r="1413" spans="1:6" x14ac:dyDescent="0.25">
      <c r="A1413" s="14">
        <v>46146.179861111108</v>
      </c>
      <c r="B1413" s="79" t="s">
        <v>149</v>
      </c>
      <c r="C1413" s="79" t="s">
        <v>187</v>
      </c>
      <c r="D1413" s="79" t="s">
        <v>167</v>
      </c>
      <c r="E1413" s="79" t="s">
        <v>75</v>
      </c>
      <c r="F1413" s="79" t="str">
        <f>IF(E1413="", "", IF(COUNTIF(ChestType!$A$5:$A$195, E1413)&gt;0, VLOOKUP(E1413, ChestType!$A$5:$B$195, 2, 0), "Others"))</f>
        <v>L10 Rare Crypt</v>
      </c>
    </row>
    <row r="1414" spans="1:6" x14ac:dyDescent="0.25">
      <c r="A1414" s="14">
        <v>46146.179861111108</v>
      </c>
      <c r="B1414" s="79" t="s">
        <v>149</v>
      </c>
      <c r="C1414" s="79" t="s">
        <v>187</v>
      </c>
      <c r="D1414" s="79" t="s">
        <v>167</v>
      </c>
      <c r="E1414" s="79" t="s">
        <v>75</v>
      </c>
      <c r="F1414" s="79" t="str">
        <f>IF(E1414="", "", IF(COUNTIF(ChestType!$A$5:$A$195, E1414)&gt;0, VLOOKUP(E1414, ChestType!$A$5:$B$195, 2, 0), "Others"))</f>
        <v>L10 Rare Crypt</v>
      </c>
    </row>
    <row r="1415" spans="1:6" x14ac:dyDescent="0.25">
      <c r="A1415" s="14">
        <v>46146.179861111108</v>
      </c>
      <c r="B1415" s="79" t="s">
        <v>149</v>
      </c>
      <c r="C1415" s="79" t="s">
        <v>187</v>
      </c>
      <c r="D1415" s="79" t="s">
        <v>156</v>
      </c>
      <c r="E1415" s="79" t="s">
        <v>75</v>
      </c>
      <c r="F1415" s="79" t="str">
        <f>IF(E1415="", "", IF(COUNTIF(ChestType!$A$5:$A$195, E1415)&gt;0, VLOOKUP(E1415, ChestType!$A$5:$B$195, 2, 0), "Others"))</f>
        <v>L10 Rare Crypt</v>
      </c>
    </row>
    <row r="1416" spans="1:6" x14ac:dyDescent="0.25">
      <c r="A1416" s="14">
        <v>46146.179861111108</v>
      </c>
      <c r="B1416" s="79" t="s">
        <v>149</v>
      </c>
      <c r="C1416" s="79" t="s">
        <v>181</v>
      </c>
      <c r="D1416" s="79" t="s">
        <v>156</v>
      </c>
      <c r="E1416" s="79" t="s">
        <v>49</v>
      </c>
      <c r="F1416" s="79" t="str">
        <f>IF(E1416="", "", IF(COUNTIF(ChestType!$A$5:$A$195, E1416)&gt;0, VLOOKUP(E1416, ChestType!$A$5:$B$195, 2, 0), "Others"))</f>
        <v>L15 Crypt</v>
      </c>
    </row>
    <row r="1417" spans="1:6" x14ac:dyDescent="0.25">
      <c r="A1417" s="14">
        <v>46146.179861111108</v>
      </c>
      <c r="B1417" s="79" t="s">
        <v>149</v>
      </c>
      <c r="C1417" s="79" t="s">
        <v>176</v>
      </c>
      <c r="D1417" s="79" t="s">
        <v>199</v>
      </c>
      <c r="E1417" s="79" t="s">
        <v>63</v>
      </c>
      <c r="F1417" s="79" t="str">
        <f>IF(E1417="", "", IF(COUNTIF(ChestType!$A$5:$A$195, E1417)&gt;0, VLOOKUP(E1417, ChestType!$A$5:$B$195, 2, 0), "Others"))</f>
        <v>L15 Citadel</v>
      </c>
    </row>
    <row r="1418" spans="1:6" x14ac:dyDescent="0.25">
      <c r="A1418" s="14">
        <v>46146.179861111108</v>
      </c>
      <c r="B1418" s="79" t="s">
        <v>149</v>
      </c>
      <c r="C1418" s="79" t="s">
        <v>187</v>
      </c>
      <c r="D1418" s="79" t="s">
        <v>156</v>
      </c>
      <c r="E1418" s="79" t="s">
        <v>75</v>
      </c>
      <c r="F1418" s="79" t="str">
        <f>IF(E1418="", "", IF(COUNTIF(ChestType!$A$5:$A$195, E1418)&gt;0, VLOOKUP(E1418, ChestType!$A$5:$B$195, 2, 0), "Others"))</f>
        <v>L10 Rare Crypt</v>
      </c>
    </row>
    <row r="1419" spans="1:6" x14ac:dyDescent="0.25">
      <c r="A1419" s="14">
        <v>46146.179861111108</v>
      </c>
      <c r="B1419" s="79" t="s">
        <v>149</v>
      </c>
      <c r="C1419" s="79" t="s">
        <v>182</v>
      </c>
      <c r="D1419" s="79" t="s">
        <v>167</v>
      </c>
      <c r="E1419" s="79" t="s">
        <v>50</v>
      </c>
      <c r="F1419" s="79" t="str">
        <f>IF(E1419="", "", IF(COUNTIF(ChestType!$A$5:$A$195, E1419)&gt;0, VLOOKUP(E1419, ChestType!$A$5:$B$195, 2, 0), "Others"))</f>
        <v>L10 Crypt</v>
      </c>
    </row>
    <row r="1420" spans="1:6" x14ac:dyDescent="0.25">
      <c r="A1420" s="14">
        <v>46146.179861111108</v>
      </c>
      <c r="B1420" s="79" t="s">
        <v>149</v>
      </c>
      <c r="C1420" s="79" t="s">
        <v>187</v>
      </c>
      <c r="D1420" s="79" t="s">
        <v>156</v>
      </c>
      <c r="E1420" s="79" t="s">
        <v>75</v>
      </c>
      <c r="F1420" s="79" t="str">
        <f>IF(E1420="", "", IF(COUNTIF(ChestType!$A$5:$A$195, E1420)&gt;0, VLOOKUP(E1420, ChestType!$A$5:$B$195, 2, 0), "Others"))</f>
        <v>L10 Rare Crypt</v>
      </c>
    </row>
    <row r="1421" spans="1:6" x14ac:dyDescent="0.25">
      <c r="A1421" s="14">
        <v>46146.179861111108</v>
      </c>
      <c r="B1421" s="79" t="s">
        <v>149</v>
      </c>
      <c r="C1421" s="79" t="s">
        <v>187</v>
      </c>
      <c r="D1421" s="79" t="s">
        <v>156</v>
      </c>
      <c r="E1421" s="79" t="s">
        <v>75</v>
      </c>
      <c r="F1421" s="79" t="str">
        <f>IF(E1421="", "", IF(COUNTIF(ChestType!$A$5:$A$195, E1421)&gt;0, VLOOKUP(E1421, ChestType!$A$5:$B$195, 2, 0), "Others"))</f>
        <v>L10 Rare Crypt</v>
      </c>
    </row>
    <row r="1422" spans="1:6" x14ac:dyDescent="0.25">
      <c r="A1422" s="14">
        <v>46146.179861111108</v>
      </c>
      <c r="B1422" s="79" t="s">
        <v>149</v>
      </c>
      <c r="C1422" s="79" t="s">
        <v>187</v>
      </c>
      <c r="D1422" s="79" t="s">
        <v>156</v>
      </c>
      <c r="E1422" s="79" t="s">
        <v>75</v>
      </c>
      <c r="F1422" s="79" t="str">
        <f>IF(E1422="", "", IF(COUNTIF(ChestType!$A$5:$A$195, E1422)&gt;0, VLOOKUP(E1422, ChestType!$A$5:$B$195, 2, 0), "Others"))</f>
        <v>L10 Rare Crypt</v>
      </c>
    </row>
    <row r="1423" spans="1:6" x14ac:dyDescent="0.25">
      <c r="A1423" s="14">
        <v>46146.179861111108</v>
      </c>
      <c r="B1423" s="79" t="s">
        <v>149</v>
      </c>
      <c r="C1423" s="79" t="s">
        <v>187</v>
      </c>
      <c r="D1423" s="79" t="s">
        <v>156</v>
      </c>
      <c r="E1423" s="79" t="s">
        <v>75</v>
      </c>
      <c r="F1423" s="79" t="str">
        <f>IF(E1423="", "", IF(COUNTIF(ChestType!$A$5:$A$195, E1423)&gt;0, VLOOKUP(E1423, ChestType!$A$5:$B$195, 2, 0), "Others"))</f>
        <v>L10 Rare Crypt</v>
      </c>
    </row>
    <row r="1424" spans="1:6" x14ac:dyDescent="0.25">
      <c r="A1424" s="14">
        <v>46146.179861111108</v>
      </c>
      <c r="B1424" s="79" t="s">
        <v>149</v>
      </c>
      <c r="C1424" s="79" t="s">
        <v>171</v>
      </c>
      <c r="D1424" s="79" t="s">
        <v>162</v>
      </c>
      <c r="E1424" s="79" t="s">
        <v>49</v>
      </c>
      <c r="F1424" s="79" t="str">
        <f>IF(E1424="", "", IF(COUNTIF(ChestType!$A$5:$A$195, E1424)&gt;0, VLOOKUP(E1424, ChestType!$A$5:$B$195, 2, 0), "Others"))</f>
        <v>L15 Crypt</v>
      </c>
    </row>
    <row r="1425" spans="1:6" x14ac:dyDescent="0.25">
      <c r="A1425" s="14">
        <v>46146.179861111108</v>
      </c>
      <c r="B1425" s="79" t="s">
        <v>149</v>
      </c>
      <c r="C1425" s="79" t="s">
        <v>177</v>
      </c>
      <c r="D1425" s="79" t="s">
        <v>162</v>
      </c>
      <c r="E1425" s="79" t="s">
        <v>50</v>
      </c>
      <c r="F1425" s="79" t="str">
        <f>IF(E1425="", "", IF(COUNTIF(ChestType!$A$5:$A$195, E1425)&gt;0, VLOOKUP(E1425, ChestType!$A$5:$B$195, 2, 0), "Others"))</f>
        <v>L10 Crypt</v>
      </c>
    </row>
    <row r="1426" spans="1:6" x14ac:dyDescent="0.25">
      <c r="A1426" s="14">
        <v>46146.179861111108</v>
      </c>
      <c r="B1426" s="79" t="s">
        <v>149</v>
      </c>
      <c r="C1426" s="79" t="s">
        <v>183</v>
      </c>
      <c r="D1426" s="79" t="s">
        <v>162</v>
      </c>
      <c r="E1426" s="79" t="s">
        <v>50</v>
      </c>
      <c r="F1426" s="79" t="str">
        <f>IF(E1426="", "", IF(COUNTIF(ChestType!$A$5:$A$195, E1426)&gt;0, VLOOKUP(E1426, ChestType!$A$5:$B$195, 2, 0), "Others"))</f>
        <v>L10 Crypt</v>
      </c>
    </row>
    <row r="1427" spans="1:6" x14ac:dyDescent="0.25">
      <c r="A1427" s="14">
        <v>46146.179861111108</v>
      </c>
      <c r="B1427" s="79" t="s">
        <v>149</v>
      </c>
      <c r="C1427" s="79" t="s">
        <v>175</v>
      </c>
      <c r="D1427" s="79" t="s">
        <v>162</v>
      </c>
      <c r="E1427" s="79" t="s">
        <v>49</v>
      </c>
      <c r="F1427" s="79" t="str">
        <f>IF(E1427="", "", IF(COUNTIF(ChestType!$A$5:$A$195, E1427)&gt;0, VLOOKUP(E1427, ChestType!$A$5:$B$195, 2, 0), "Others"))</f>
        <v>L15 Crypt</v>
      </c>
    </row>
    <row r="1428" spans="1:6" x14ac:dyDescent="0.25">
      <c r="A1428" s="14">
        <v>46146.179861111108</v>
      </c>
      <c r="B1428" s="79" t="s">
        <v>149</v>
      </c>
      <c r="C1428" s="79" t="s">
        <v>151</v>
      </c>
      <c r="D1428" s="79" t="s">
        <v>162</v>
      </c>
      <c r="E1428" s="79" t="s">
        <v>50</v>
      </c>
      <c r="F1428" s="79" t="str">
        <f>IF(E1428="", "", IF(COUNTIF(ChestType!$A$5:$A$195, E1428)&gt;0, VLOOKUP(E1428, ChestType!$A$5:$B$195, 2, 0), "Others"))</f>
        <v>L10 Crypt</v>
      </c>
    </row>
    <row r="1429" spans="1:6" x14ac:dyDescent="0.25">
      <c r="A1429" s="14">
        <v>46146.179861111108</v>
      </c>
      <c r="B1429" s="79" t="s">
        <v>149</v>
      </c>
      <c r="C1429" s="79" t="s">
        <v>184</v>
      </c>
      <c r="D1429" s="79" t="s">
        <v>162</v>
      </c>
      <c r="E1429" s="79" t="s">
        <v>50</v>
      </c>
      <c r="F1429" s="79" t="str">
        <f>IF(E1429="", "", IF(COUNTIF(ChestType!$A$5:$A$195, E1429)&gt;0, VLOOKUP(E1429, ChestType!$A$5:$B$195, 2, 0), "Others"))</f>
        <v>L10 Crypt</v>
      </c>
    </row>
    <row r="1430" spans="1:6" x14ac:dyDescent="0.25">
      <c r="A1430" s="14">
        <v>46146.179861111108</v>
      </c>
      <c r="B1430" s="79" t="s">
        <v>149</v>
      </c>
      <c r="C1430" s="79" t="s">
        <v>171</v>
      </c>
      <c r="D1430" s="79" t="s">
        <v>162</v>
      </c>
      <c r="E1430" s="79" t="s">
        <v>49</v>
      </c>
      <c r="F1430" s="79" t="str">
        <f>IF(E1430="", "", IF(COUNTIF(ChestType!$A$5:$A$195, E1430)&gt;0, VLOOKUP(E1430, ChestType!$A$5:$B$195, 2, 0), "Others"))</f>
        <v>L15 Crypt</v>
      </c>
    </row>
    <row r="1431" spans="1:6" x14ac:dyDescent="0.25">
      <c r="A1431" s="14">
        <v>46146.179861111108</v>
      </c>
      <c r="B1431" s="79" t="s">
        <v>149</v>
      </c>
      <c r="C1431" s="79" t="s">
        <v>184</v>
      </c>
      <c r="D1431" s="79" t="s">
        <v>162</v>
      </c>
      <c r="E1431" s="79" t="s">
        <v>50</v>
      </c>
      <c r="F1431" s="79" t="str">
        <f>IF(E1431="", "", IF(COUNTIF(ChestType!$A$5:$A$195, E1431)&gt;0, VLOOKUP(E1431, ChestType!$A$5:$B$195, 2, 0), "Others"))</f>
        <v>L10 Crypt</v>
      </c>
    </row>
    <row r="1432" spans="1:6" x14ac:dyDescent="0.25">
      <c r="A1432" s="14">
        <v>46146.179861111108</v>
      </c>
      <c r="B1432" s="79" t="s">
        <v>149</v>
      </c>
      <c r="C1432" s="79" t="s">
        <v>171</v>
      </c>
      <c r="D1432" s="79" t="s">
        <v>162</v>
      </c>
      <c r="E1432" s="79" t="s">
        <v>50</v>
      </c>
      <c r="F1432" s="79" t="str">
        <f>IF(E1432="", "", IF(COUNTIF(ChestType!$A$5:$A$195, E1432)&gt;0, VLOOKUP(E1432, ChestType!$A$5:$B$195, 2, 0), "Others"))</f>
        <v>L10 Crypt</v>
      </c>
    </row>
    <row r="1433" spans="1:6" x14ac:dyDescent="0.25">
      <c r="A1433" s="14">
        <v>46146.179861111108</v>
      </c>
      <c r="B1433" s="79" t="s">
        <v>149</v>
      </c>
      <c r="C1433" s="79" t="s">
        <v>182</v>
      </c>
      <c r="D1433" s="79" t="s">
        <v>162</v>
      </c>
      <c r="E1433" s="79" t="s">
        <v>49</v>
      </c>
      <c r="F1433" s="79" t="str">
        <f>IF(E1433="", "", IF(COUNTIF(ChestType!$A$5:$A$195, E1433)&gt;0, VLOOKUP(E1433, ChestType!$A$5:$B$195, 2, 0), "Others"))</f>
        <v>L15 Crypt</v>
      </c>
    </row>
    <row r="1434" spans="1:6" x14ac:dyDescent="0.25">
      <c r="A1434" s="14">
        <v>46146.179861111108</v>
      </c>
      <c r="B1434" s="79" t="s">
        <v>149</v>
      </c>
      <c r="C1434" s="79" t="s">
        <v>171</v>
      </c>
      <c r="D1434" s="79" t="s">
        <v>162</v>
      </c>
      <c r="E1434" s="79" t="s">
        <v>50</v>
      </c>
      <c r="F1434" s="79" t="str">
        <f>IF(E1434="", "", IF(COUNTIF(ChestType!$A$5:$A$195, E1434)&gt;0, VLOOKUP(E1434, ChestType!$A$5:$B$195, 2, 0), "Others"))</f>
        <v>L10 Crypt</v>
      </c>
    </row>
    <row r="1435" spans="1:6" x14ac:dyDescent="0.25">
      <c r="A1435" s="14">
        <v>46146.179861111108</v>
      </c>
      <c r="B1435" s="79" t="s">
        <v>149</v>
      </c>
      <c r="C1435" s="79" t="s">
        <v>181</v>
      </c>
      <c r="D1435" s="79" t="s">
        <v>162</v>
      </c>
      <c r="E1435" s="79" t="s">
        <v>49</v>
      </c>
      <c r="F1435" s="79" t="str">
        <f>IF(E1435="", "", IF(COUNTIF(ChestType!$A$5:$A$195, E1435)&gt;0, VLOOKUP(E1435, ChestType!$A$5:$B$195, 2, 0), "Others"))</f>
        <v>L15 Crypt</v>
      </c>
    </row>
    <row r="1436" spans="1:6" x14ac:dyDescent="0.25">
      <c r="A1436" s="14">
        <v>46146.179861111108</v>
      </c>
      <c r="B1436" s="79" t="s">
        <v>149</v>
      </c>
      <c r="C1436" s="79" t="s">
        <v>171</v>
      </c>
      <c r="D1436" s="79" t="s">
        <v>162</v>
      </c>
      <c r="E1436" s="79" t="s">
        <v>50</v>
      </c>
      <c r="F1436" s="79" t="str">
        <f>IF(E1436="", "", IF(COUNTIF(ChestType!$A$5:$A$195, E1436)&gt;0, VLOOKUP(E1436, ChestType!$A$5:$B$195, 2, 0), "Others"))</f>
        <v>L10 Crypt</v>
      </c>
    </row>
    <row r="1437" spans="1:6" x14ac:dyDescent="0.25">
      <c r="A1437" s="14">
        <v>46146.179861111108</v>
      </c>
      <c r="B1437" s="79" t="s">
        <v>149</v>
      </c>
      <c r="C1437" s="79" t="s">
        <v>171</v>
      </c>
      <c r="D1437" s="79" t="s">
        <v>162</v>
      </c>
      <c r="E1437" s="79" t="s">
        <v>50</v>
      </c>
      <c r="F1437" s="79" t="str">
        <f>IF(E1437="", "", IF(COUNTIF(ChestType!$A$5:$A$195, E1437)&gt;0, VLOOKUP(E1437, ChestType!$A$5:$B$195, 2, 0), "Others"))</f>
        <v>L10 Crypt</v>
      </c>
    </row>
    <row r="1438" spans="1:6" x14ac:dyDescent="0.25">
      <c r="A1438" s="14">
        <v>46146.179861111108</v>
      </c>
      <c r="B1438" s="79" t="s">
        <v>149</v>
      </c>
      <c r="C1438" s="79" t="s">
        <v>187</v>
      </c>
      <c r="D1438" s="79" t="s">
        <v>156</v>
      </c>
      <c r="E1438" s="79" t="s">
        <v>75</v>
      </c>
      <c r="F1438" s="79" t="str">
        <f>IF(E1438="", "", IF(COUNTIF(ChestType!$A$5:$A$195, E1438)&gt;0, VLOOKUP(E1438, ChestType!$A$5:$B$195, 2, 0), "Others"))</f>
        <v>L10 Rare Crypt</v>
      </c>
    </row>
    <row r="1439" spans="1:6" x14ac:dyDescent="0.25">
      <c r="A1439" s="14">
        <v>46146.179861111108</v>
      </c>
      <c r="B1439" s="79" t="s">
        <v>149</v>
      </c>
      <c r="C1439" s="79" t="s">
        <v>171</v>
      </c>
      <c r="D1439" s="79" t="s">
        <v>162</v>
      </c>
      <c r="E1439" s="79" t="s">
        <v>49</v>
      </c>
      <c r="F1439" s="79" t="str">
        <f>IF(E1439="", "", IF(COUNTIF(ChestType!$A$5:$A$195, E1439)&gt;0, VLOOKUP(E1439, ChestType!$A$5:$B$195, 2, 0), "Others"))</f>
        <v>L15 Crypt</v>
      </c>
    </row>
    <row r="1440" spans="1:6" x14ac:dyDescent="0.25">
      <c r="A1440" s="14">
        <v>46146.179861111108</v>
      </c>
      <c r="B1440" s="79" t="s">
        <v>149</v>
      </c>
      <c r="C1440" s="79" t="s">
        <v>177</v>
      </c>
      <c r="D1440" s="79" t="s">
        <v>162</v>
      </c>
      <c r="E1440" s="79" t="s">
        <v>50</v>
      </c>
      <c r="F1440" s="79" t="str">
        <f>IF(E1440="", "", IF(COUNTIF(ChestType!$A$5:$A$195, E1440)&gt;0, VLOOKUP(E1440, ChestType!$A$5:$B$195, 2, 0), "Others"))</f>
        <v>L10 Crypt</v>
      </c>
    </row>
    <row r="1441" spans="1:6" x14ac:dyDescent="0.25">
      <c r="A1441" s="14">
        <v>46146.179861111108</v>
      </c>
      <c r="B1441" s="79" t="s">
        <v>149</v>
      </c>
      <c r="C1441" s="79" t="s">
        <v>187</v>
      </c>
      <c r="D1441" s="79" t="s">
        <v>156</v>
      </c>
      <c r="E1441" s="79" t="s">
        <v>75</v>
      </c>
      <c r="F1441" s="79" t="str">
        <f>IF(E1441="", "", IF(COUNTIF(ChestType!$A$5:$A$195, E1441)&gt;0, VLOOKUP(E1441, ChestType!$A$5:$B$195, 2, 0), "Others"))</f>
        <v>L10 Rare Crypt</v>
      </c>
    </row>
    <row r="1442" spans="1:6" x14ac:dyDescent="0.25">
      <c r="A1442" s="14">
        <v>46146.179861111108</v>
      </c>
      <c r="B1442" s="79" t="s">
        <v>149</v>
      </c>
      <c r="C1442" s="79" t="s">
        <v>175</v>
      </c>
      <c r="D1442" s="79" t="s">
        <v>162</v>
      </c>
      <c r="E1442" s="79" t="s">
        <v>50</v>
      </c>
      <c r="F1442" s="79" t="str">
        <f>IF(E1442="", "", IF(COUNTIF(ChestType!$A$5:$A$195, E1442)&gt;0, VLOOKUP(E1442, ChestType!$A$5:$B$195, 2, 0), "Others"))</f>
        <v>L10 Crypt</v>
      </c>
    </row>
    <row r="1443" spans="1:6" x14ac:dyDescent="0.25">
      <c r="A1443" s="14">
        <v>46146.179861111108</v>
      </c>
      <c r="B1443" s="79" t="s">
        <v>149</v>
      </c>
      <c r="C1443" s="79" t="s">
        <v>184</v>
      </c>
      <c r="D1443" s="79" t="s">
        <v>162</v>
      </c>
      <c r="E1443" s="79" t="s">
        <v>49</v>
      </c>
      <c r="F1443" s="79" t="str">
        <f>IF(E1443="", "", IF(COUNTIF(ChestType!$A$5:$A$195, E1443)&gt;0, VLOOKUP(E1443, ChestType!$A$5:$B$195, 2, 0), "Others"))</f>
        <v>L15 Crypt</v>
      </c>
    </row>
    <row r="1444" spans="1:6" x14ac:dyDescent="0.25">
      <c r="A1444" s="14">
        <v>46146.179861111108</v>
      </c>
      <c r="B1444" s="79" t="s">
        <v>149</v>
      </c>
      <c r="C1444" s="79" t="s">
        <v>183</v>
      </c>
      <c r="D1444" s="79" t="s">
        <v>162</v>
      </c>
      <c r="E1444" s="79" t="s">
        <v>50</v>
      </c>
      <c r="F1444" s="79" t="str">
        <f>IF(E1444="", "", IF(COUNTIF(ChestType!$A$5:$A$195, E1444)&gt;0, VLOOKUP(E1444, ChestType!$A$5:$B$195, 2, 0), "Others"))</f>
        <v>L10 Crypt</v>
      </c>
    </row>
    <row r="1445" spans="1:6" x14ac:dyDescent="0.25">
      <c r="A1445" s="14">
        <v>46146.179861111108</v>
      </c>
      <c r="B1445" s="79" t="s">
        <v>149</v>
      </c>
      <c r="C1445" s="79" t="s">
        <v>187</v>
      </c>
      <c r="D1445" s="79" t="s">
        <v>156</v>
      </c>
      <c r="E1445" s="79" t="s">
        <v>75</v>
      </c>
      <c r="F1445" s="79" t="str">
        <f>IF(E1445="", "", IF(COUNTIF(ChestType!$A$5:$A$195, E1445)&gt;0, VLOOKUP(E1445, ChestType!$A$5:$B$195, 2, 0), "Others"))</f>
        <v>L10 Rare Crypt</v>
      </c>
    </row>
    <row r="1446" spans="1:6" x14ac:dyDescent="0.25">
      <c r="A1446" s="14">
        <v>46146.179861111108</v>
      </c>
      <c r="B1446" s="79" t="s">
        <v>149</v>
      </c>
      <c r="C1446" s="79" t="s">
        <v>187</v>
      </c>
      <c r="D1446" s="79" t="s">
        <v>156</v>
      </c>
      <c r="E1446" s="79" t="s">
        <v>75</v>
      </c>
      <c r="F1446" s="79" t="str">
        <f>IF(E1446="", "", IF(COUNTIF(ChestType!$A$5:$A$195, E1446)&gt;0, VLOOKUP(E1446, ChestType!$A$5:$B$195, 2, 0), "Others"))</f>
        <v>L10 Rare Crypt</v>
      </c>
    </row>
    <row r="1447" spans="1:6" x14ac:dyDescent="0.25">
      <c r="A1447" s="14">
        <v>46146.179861111108</v>
      </c>
      <c r="B1447" s="79" t="s">
        <v>149</v>
      </c>
      <c r="C1447" s="79" t="s">
        <v>187</v>
      </c>
      <c r="D1447" s="79" t="s">
        <v>156</v>
      </c>
      <c r="E1447" s="79" t="s">
        <v>75</v>
      </c>
      <c r="F1447" s="79" t="str">
        <f>IF(E1447="", "", IF(COUNTIF(ChestType!$A$5:$A$195, E1447)&gt;0, VLOOKUP(E1447, ChestType!$A$5:$B$195, 2, 0), "Others"))</f>
        <v>L10 Rare Crypt</v>
      </c>
    </row>
    <row r="1448" spans="1:6" x14ac:dyDescent="0.25">
      <c r="A1448" s="14">
        <v>46146.179861111108</v>
      </c>
      <c r="B1448" s="79" t="s">
        <v>149</v>
      </c>
      <c r="C1448" s="79" t="s">
        <v>185</v>
      </c>
      <c r="D1448" s="79" t="s">
        <v>162</v>
      </c>
      <c r="E1448" s="79" t="s">
        <v>49</v>
      </c>
      <c r="F1448" s="79" t="str">
        <f>IF(E1448="", "", IF(COUNTIF(ChestType!$A$5:$A$195, E1448)&gt;0, VLOOKUP(E1448, ChestType!$A$5:$B$195, 2, 0), "Others"))</f>
        <v>L15 Crypt</v>
      </c>
    </row>
    <row r="1449" spans="1:6" x14ac:dyDescent="0.25">
      <c r="A1449" s="14">
        <v>46146.179861111108</v>
      </c>
      <c r="B1449" s="79" t="s">
        <v>149</v>
      </c>
      <c r="C1449" s="79" t="s">
        <v>184</v>
      </c>
      <c r="D1449" s="79" t="s">
        <v>162</v>
      </c>
      <c r="E1449" s="79" t="s">
        <v>50</v>
      </c>
      <c r="F1449" s="79" t="str">
        <f>IF(E1449="", "", IF(COUNTIF(ChestType!$A$5:$A$195, E1449)&gt;0, VLOOKUP(E1449, ChestType!$A$5:$B$195, 2, 0), "Others"))</f>
        <v>L10 Crypt</v>
      </c>
    </row>
    <row r="1450" spans="1:6" x14ac:dyDescent="0.25">
      <c r="A1450" s="14">
        <v>46146.179861111108</v>
      </c>
      <c r="B1450" s="79" t="s">
        <v>149</v>
      </c>
      <c r="C1450" s="79" t="s">
        <v>187</v>
      </c>
      <c r="D1450" s="79" t="s">
        <v>156</v>
      </c>
      <c r="E1450" s="79" t="s">
        <v>75</v>
      </c>
      <c r="F1450" s="79" t="str">
        <f>IF(E1450="", "", IF(COUNTIF(ChestType!$A$5:$A$195, E1450)&gt;0, VLOOKUP(E1450, ChestType!$A$5:$B$195, 2, 0), "Others"))</f>
        <v>L10 Rare Crypt</v>
      </c>
    </row>
    <row r="1451" spans="1:6" x14ac:dyDescent="0.25">
      <c r="A1451" s="14">
        <v>46146.179861111108</v>
      </c>
      <c r="B1451" s="79" t="s">
        <v>149</v>
      </c>
      <c r="C1451" s="79" t="s">
        <v>187</v>
      </c>
      <c r="D1451" s="79" t="s">
        <v>156</v>
      </c>
      <c r="E1451" s="79" t="s">
        <v>75</v>
      </c>
      <c r="F1451" s="79" t="str">
        <f>IF(E1451="", "", IF(COUNTIF(ChestType!$A$5:$A$195, E1451)&gt;0, VLOOKUP(E1451, ChestType!$A$5:$B$195, 2, 0), "Others"))</f>
        <v>L10 Rare Crypt</v>
      </c>
    </row>
    <row r="1452" spans="1:6" x14ac:dyDescent="0.25">
      <c r="A1452" s="14">
        <v>46146.179861111108</v>
      </c>
      <c r="B1452" s="79" t="s">
        <v>149</v>
      </c>
      <c r="C1452" s="79" t="s">
        <v>187</v>
      </c>
      <c r="D1452" s="79" t="s">
        <v>156</v>
      </c>
      <c r="E1452" s="79" t="s">
        <v>75</v>
      </c>
      <c r="F1452" s="79" t="str">
        <f>IF(E1452="", "", IF(COUNTIF(ChestType!$A$5:$A$195, E1452)&gt;0, VLOOKUP(E1452, ChestType!$A$5:$B$195, 2, 0), "Others"))</f>
        <v>L10 Rare Crypt</v>
      </c>
    </row>
    <row r="1453" spans="1:6" x14ac:dyDescent="0.25">
      <c r="A1453" s="14">
        <v>46146.179861111108</v>
      </c>
      <c r="B1453" s="79" t="s">
        <v>149</v>
      </c>
      <c r="C1453" s="79" t="s">
        <v>187</v>
      </c>
      <c r="D1453" s="79" t="s">
        <v>156</v>
      </c>
      <c r="E1453" s="79" t="s">
        <v>75</v>
      </c>
      <c r="F1453" s="79" t="str">
        <f>IF(E1453="", "", IF(COUNTIF(ChestType!$A$5:$A$195, E1453)&gt;0, VLOOKUP(E1453, ChestType!$A$5:$B$195, 2, 0), "Others"))</f>
        <v>L10 Rare Crypt</v>
      </c>
    </row>
    <row r="1454" spans="1:6" x14ac:dyDescent="0.25">
      <c r="A1454" s="14">
        <v>46146.179861111108</v>
      </c>
      <c r="B1454" s="79" t="s">
        <v>149</v>
      </c>
      <c r="C1454" s="79" t="s">
        <v>187</v>
      </c>
      <c r="D1454" s="79" t="s">
        <v>156</v>
      </c>
      <c r="E1454" s="79" t="s">
        <v>75</v>
      </c>
      <c r="F1454" s="79" t="str">
        <f>IF(E1454="", "", IF(COUNTIF(ChestType!$A$5:$A$195, E1454)&gt;0, VLOOKUP(E1454, ChestType!$A$5:$B$195, 2, 0), "Others"))</f>
        <v>L10 Rare Crypt</v>
      </c>
    </row>
    <row r="1455" spans="1:6" x14ac:dyDescent="0.25">
      <c r="A1455" s="14">
        <v>46146.179861111108</v>
      </c>
      <c r="B1455" s="79" t="s">
        <v>149</v>
      </c>
      <c r="C1455" s="79" t="s">
        <v>187</v>
      </c>
      <c r="D1455" s="79" t="s">
        <v>156</v>
      </c>
      <c r="E1455" s="79" t="s">
        <v>75</v>
      </c>
      <c r="F1455" s="79" t="str">
        <f>IF(E1455="", "", IF(COUNTIF(ChestType!$A$5:$A$195, E1455)&gt;0, VLOOKUP(E1455, ChestType!$A$5:$B$195, 2, 0), "Others"))</f>
        <v>L10 Rare Crypt</v>
      </c>
    </row>
    <row r="1456" spans="1:6" x14ac:dyDescent="0.25">
      <c r="A1456" s="14">
        <v>46146.179861111108</v>
      </c>
      <c r="B1456" s="79" t="s">
        <v>149</v>
      </c>
      <c r="C1456" s="79" t="s">
        <v>187</v>
      </c>
      <c r="D1456" s="79" t="s">
        <v>156</v>
      </c>
      <c r="E1456" s="79" t="s">
        <v>75</v>
      </c>
      <c r="F1456" s="79" t="str">
        <f>IF(E1456="", "", IF(COUNTIF(ChestType!$A$5:$A$195, E1456)&gt;0, VLOOKUP(E1456, ChestType!$A$5:$B$195, 2, 0), "Others"))</f>
        <v>L10 Rare Crypt</v>
      </c>
    </row>
    <row r="1457" spans="1:6" x14ac:dyDescent="0.25">
      <c r="A1457" s="14">
        <v>46146.179861111108</v>
      </c>
      <c r="B1457" s="79" t="s">
        <v>149</v>
      </c>
      <c r="C1457" s="79" t="s">
        <v>187</v>
      </c>
      <c r="D1457" s="79" t="s">
        <v>156</v>
      </c>
      <c r="E1457" s="79" t="s">
        <v>75</v>
      </c>
      <c r="F1457" s="79" t="str">
        <f>IF(E1457="", "", IF(COUNTIF(ChestType!$A$5:$A$195, E1457)&gt;0, VLOOKUP(E1457, ChestType!$A$5:$B$195, 2, 0), "Others"))</f>
        <v>L10 Rare Crypt</v>
      </c>
    </row>
    <row r="1458" spans="1:6" x14ac:dyDescent="0.25">
      <c r="A1458" s="14">
        <v>46146.179861111108</v>
      </c>
      <c r="B1458" s="79" t="s">
        <v>149</v>
      </c>
      <c r="C1458" s="79" t="s">
        <v>187</v>
      </c>
      <c r="D1458" s="79" t="s">
        <v>156</v>
      </c>
      <c r="E1458" s="79" t="s">
        <v>75</v>
      </c>
      <c r="F1458" s="79" t="str">
        <f>IF(E1458="", "", IF(COUNTIF(ChestType!$A$5:$A$195, E1458)&gt;0, VLOOKUP(E1458, ChestType!$A$5:$B$195, 2, 0), "Others"))</f>
        <v>L10 Rare Crypt</v>
      </c>
    </row>
    <row r="1459" spans="1:6" x14ac:dyDescent="0.25">
      <c r="A1459" s="14">
        <v>46146.179861111108</v>
      </c>
      <c r="B1459" s="79" t="s">
        <v>149</v>
      </c>
      <c r="C1459" s="79" t="s">
        <v>187</v>
      </c>
      <c r="D1459" s="79" t="s">
        <v>156</v>
      </c>
      <c r="E1459" s="79" t="s">
        <v>75</v>
      </c>
      <c r="F1459" s="79" t="str">
        <f>IF(E1459="", "", IF(COUNTIF(ChestType!$A$5:$A$195, E1459)&gt;0, VLOOKUP(E1459, ChestType!$A$5:$B$195, 2, 0), "Others"))</f>
        <v>L10 Rare Crypt</v>
      </c>
    </row>
    <row r="1460" spans="1:6" x14ac:dyDescent="0.25">
      <c r="A1460" s="14">
        <v>46146.179861111108</v>
      </c>
      <c r="B1460" s="79" t="s">
        <v>149</v>
      </c>
      <c r="C1460" s="79" t="s">
        <v>171</v>
      </c>
      <c r="D1460" s="79" t="s">
        <v>163</v>
      </c>
      <c r="E1460" s="79" t="s">
        <v>50</v>
      </c>
      <c r="F1460" s="79" t="str">
        <f>IF(E1460="", "", IF(COUNTIF(ChestType!$A$5:$A$195, E1460)&gt;0, VLOOKUP(E1460, ChestType!$A$5:$B$195, 2, 0), "Others"))</f>
        <v>L10 Crypt</v>
      </c>
    </row>
    <row r="1461" spans="1:6" x14ac:dyDescent="0.25">
      <c r="A1461" s="14">
        <v>46146.179861111108</v>
      </c>
      <c r="B1461" s="79" t="s">
        <v>149</v>
      </c>
      <c r="C1461" s="79" t="s">
        <v>184</v>
      </c>
      <c r="D1461" s="79" t="s">
        <v>163</v>
      </c>
      <c r="E1461" s="79" t="s">
        <v>50</v>
      </c>
      <c r="F1461" s="79" t="str">
        <f>IF(E1461="", "", IF(COUNTIF(ChestType!$A$5:$A$195, E1461)&gt;0, VLOOKUP(E1461, ChestType!$A$5:$B$195, 2, 0), "Others"))</f>
        <v>L10 Crypt</v>
      </c>
    </row>
    <row r="1462" spans="1:6" x14ac:dyDescent="0.25">
      <c r="A1462" s="14">
        <v>46146.179861111108</v>
      </c>
      <c r="B1462" s="79" t="s">
        <v>149</v>
      </c>
      <c r="C1462" s="79" t="s">
        <v>190</v>
      </c>
      <c r="D1462" s="79" t="s">
        <v>156</v>
      </c>
      <c r="E1462" s="79" t="s">
        <v>49</v>
      </c>
      <c r="F1462" s="79" t="str">
        <f>IF(E1462="", "", IF(COUNTIF(ChestType!$A$5:$A$195, E1462)&gt;0, VLOOKUP(E1462, ChestType!$A$5:$B$195, 2, 0), "Others"))</f>
        <v>L15 Crypt</v>
      </c>
    </row>
    <row r="1463" spans="1:6" x14ac:dyDescent="0.25">
      <c r="A1463" s="14">
        <v>46146.179861111108</v>
      </c>
      <c r="B1463" s="79" t="s">
        <v>149</v>
      </c>
      <c r="C1463" s="79" t="s">
        <v>190</v>
      </c>
      <c r="D1463" s="79" t="s">
        <v>156</v>
      </c>
      <c r="E1463" s="79" t="s">
        <v>49</v>
      </c>
      <c r="F1463" s="79" t="str">
        <f>IF(E1463="", "", IF(COUNTIF(ChestType!$A$5:$A$195, E1463)&gt;0, VLOOKUP(E1463, ChestType!$A$5:$B$195, 2, 0), "Others"))</f>
        <v>L15 Crypt</v>
      </c>
    </row>
    <row r="1464" spans="1:6" x14ac:dyDescent="0.25">
      <c r="A1464" s="14">
        <v>46146.179861111108</v>
      </c>
      <c r="B1464" s="79" t="s">
        <v>149</v>
      </c>
      <c r="C1464" s="79" t="s">
        <v>190</v>
      </c>
      <c r="D1464" s="79" t="s">
        <v>156</v>
      </c>
      <c r="E1464" s="79" t="s">
        <v>49</v>
      </c>
      <c r="F1464" s="79" t="str">
        <f>IF(E1464="", "", IF(COUNTIF(ChestType!$A$5:$A$195, E1464)&gt;0, VLOOKUP(E1464, ChestType!$A$5:$B$195, 2, 0), "Others"))</f>
        <v>L15 Crypt</v>
      </c>
    </row>
    <row r="1465" spans="1:6" x14ac:dyDescent="0.25">
      <c r="A1465" s="14">
        <v>46146.179861111108</v>
      </c>
      <c r="B1465" s="79" t="s">
        <v>149</v>
      </c>
      <c r="C1465" s="79" t="s">
        <v>190</v>
      </c>
      <c r="D1465" s="79" t="s">
        <v>156</v>
      </c>
      <c r="E1465" s="79" t="s">
        <v>49</v>
      </c>
      <c r="F1465" s="79" t="str">
        <f>IF(E1465="", "", IF(COUNTIF(ChestType!$A$5:$A$195, E1465)&gt;0, VLOOKUP(E1465, ChestType!$A$5:$B$195, 2, 0), "Others"))</f>
        <v>L15 Crypt</v>
      </c>
    </row>
    <row r="1466" spans="1:6" x14ac:dyDescent="0.25">
      <c r="A1466" s="14">
        <v>46146.179861111108</v>
      </c>
      <c r="B1466" s="79" t="s">
        <v>149</v>
      </c>
      <c r="C1466" s="79" t="s">
        <v>182</v>
      </c>
      <c r="D1466" s="79" t="s">
        <v>240</v>
      </c>
      <c r="E1466" s="79" t="s">
        <v>52</v>
      </c>
      <c r="F1466" s="79" t="str">
        <f>IF(E1466="", "", IF(COUNTIF(ChestType!$A$5:$A$195, E1466)&gt;0, VLOOKUP(E1466, ChestType!$A$5:$B$195, 2, 0), "Others"))</f>
        <v>L5 Crypt</v>
      </c>
    </row>
    <row r="1467" spans="1:6" x14ac:dyDescent="0.25">
      <c r="A1467" s="14">
        <v>46146.179861111108</v>
      </c>
      <c r="B1467" s="79" t="s">
        <v>149</v>
      </c>
      <c r="C1467" s="79" t="s">
        <v>176</v>
      </c>
      <c r="D1467" s="79" t="s">
        <v>254</v>
      </c>
      <c r="E1467" s="79" t="s">
        <v>70</v>
      </c>
      <c r="F1467" s="79" t="str">
        <f>IF(E1467="", "", IF(COUNTIF(ChestType!$A$5:$A$195, E1467)&gt;0, VLOOKUP(E1467, ChestType!$A$5:$B$195, 2, 0), "Others"))</f>
        <v>L10 Citadel</v>
      </c>
    </row>
    <row r="1468" spans="1:6" x14ac:dyDescent="0.25">
      <c r="A1468" s="14">
        <v>46146.179861111108</v>
      </c>
      <c r="B1468" s="79" t="s">
        <v>149</v>
      </c>
      <c r="C1468" s="79" t="s">
        <v>182</v>
      </c>
      <c r="D1468" s="79" t="s">
        <v>162</v>
      </c>
      <c r="E1468" s="79" t="s">
        <v>50</v>
      </c>
      <c r="F1468" s="79" t="str">
        <f>IF(E1468="", "", IF(COUNTIF(ChestType!$A$5:$A$195, E1468)&gt;0, VLOOKUP(E1468, ChestType!$A$5:$B$195, 2, 0), "Others"))</f>
        <v>L10 Crypt</v>
      </c>
    </row>
    <row r="1469" spans="1:6" x14ac:dyDescent="0.25">
      <c r="A1469" s="14">
        <v>46146.179861111108</v>
      </c>
      <c r="B1469" s="79" t="s">
        <v>149</v>
      </c>
      <c r="C1469" s="79" t="s">
        <v>175</v>
      </c>
      <c r="D1469" s="79" t="s">
        <v>162</v>
      </c>
      <c r="E1469" s="79" t="s">
        <v>49</v>
      </c>
      <c r="F1469" s="79" t="str">
        <f>IF(E1469="", "", IF(COUNTIF(ChestType!$A$5:$A$195, E1469)&gt;0, VLOOKUP(E1469, ChestType!$A$5:$B$195, 2, 0), "Others"))</f>
        <v>L15 Crypt</v>
      </c>
    </row>
    <row r="1470" spans="1:6" x14ac:dyDescent="0.25">
      <c r="A1470" s="14">
        <v>46146.179861111108</v>
      </c>
      <c r="B1470" s="79" t="s">
        <v>149</v>
      </c>
      <c r="C1470" s="79" t="s">
        <v>151</v>
      </c>
      <c r="D1470" s="79" t="s">
        <v>162</v>
      </c>
      <c r="E1470" s="79" t="s">
        <v>50</v>
      </c>
      <c r="F1470" s="79" t="str">
        <f>IF(E1470="", "", IF(COUNTIF(ChestType!$A$5:$A$195, E1470)&gt;0, VLOOKUP(E1470, ChestType!$A$5:$B$195, 2, 0), "Others"))</f>
        <v>L10 Crypt</v>
      </c>
    </row>
    <row r="1471" spans="1:6" x14ac:dyDescent="0.25">
      <c r="A1471" s="14">
        <v>46146.179861111108</v>
      </c>
      <c r="B1471" s="79" t="s">
        <v>149</v>
      </c>
      <c r="C1471" s="79" t="s">
        <v>175</v>
      </c>
      <c r="D1471" s="79" t="s">
        <v>162</v>
      </c>
      <c r="E1471" s="79" t="s">
        <v>49</v>
      </c>
      <c r="F1471" s="79" t="str">
        <f>IF(E1471="", "", IF(COUNTIF(ChestType!$A$5:$A$195, E1471)&gt;0, VLOOKUP(E1471, ChestType!$A$5:$B$195, 2, 0), "Others"))</f>
        <v>L15 Crypt</v>
      </c>
    </row>
    <row r="1472" spans="1:6" x14ac:dyDescent="0.25">
      <c r="A1472" s="14">
        <v>46146.179861111108</v>
      </c>
      <c r="B1472" s="79" t="s">
        <v>149</v>
      </c>
      <c r="C1472" s="79" t="s">
        <v>175</v>
      </c>
      <c r="D1472" s="79" t="s">
        <v>162</v>
      </c>
      <c r="E1472" s="79" t="s">
        <v>50</v>
      </c>
      <c r="F1472" s="79" t="str">
        <f>IF(E1472="", "", IF(COUNTIF(ChestType!$A$5:$A$195, E1472)&gt;0, VLOOKUP(E1472, ChestType!$A$5:$B$195, 2, 0), "Others"))</f>
        <v>L10 Crypt</v>
      </c>
    </row>
    <row r="1473" spans="1:6" x14ac:dyDescent="0.25">
      <c r="A1473" s="14">
        <v>46146.179861111108</v>
      </c>
      <c r="B1473" s="79" t="s">
        <v>149</v>
      </c>
      <c r="C1473" s="79" t="s">
        <v>151</v>
      </c>
      <c r="D1473" s="79" t="s">
        <v>162</v>
      </c>
      <c r="E1473" s="79" t="s">
        <v>50</v>
      </c>
      <c r="F1473" s="79" t="str">
        <f>IF(E1473="", "", IF(COUNTIF(ChestType!$A$5:$A$195, E1473)&gt;0, VLOOKUP(E1473, ChestType!$A$5:$B$195, 2, 0), "Others"))</f>
        <v>L10 Crypt</v>
      </c>
    </row>
    <row r="1474" spans="1:6" x14ac:dyDescent="0.25">
      <c r="A1474" s="14">
        <v>46146.179861111108</v>
      </c>
      <c r="B1474" s="79" t="s">
        <v>149</v>
      </c>
      <c r="C1474" s="79" t="s">
        <v>183</v>
      </c>
      <c r="D1474" s="79" t="s">
        <v>162</v>
      </c>
      <c r="E1474" s="79" t="s">
        <v>49</v>
      </c>
      <c r="F1474" s="79" t="str">
        <f>IF(E1474="", "", IF(COUNTIF(ChestType!$A$5:$A$195, E1474)&gt;0, VLOOKUP(E1474, ChestType!$A$5:$B$195, 2, 0), "Others"))</f>
        <v>L15 Crypt</v>
      </c>
    </row>
    <row r="1475" spans="1:6" x14ac:dyDescent="0.25">
      <c r="A1475" s="14">
        <v>46146.179861111108</v>
      </c>
      <c r="B1475" s="79" t="s">
        <v>149</v>
      </c>
      <c r="C1475" s="79" t="s">
        <v>184</v>
      </c>
      <c r="D1475" s="79" t="s">
        <v>162</v>
      </c>
      <c r="E1475" s="79" t="s">
        <v>50</v>
      </c>
      <c r="F1475" s="79" t="str">
        <f>IF(E1475="", "", IF(COUNTIF(ChestType!$A$5:$A$195, E1475)&gt;0, VLOOKUP(E1475, ChestType!$A$5:$B$195, 2, 0), "Others"))</f>
        <v>L10 Crypt</v>
      </c>
    </row>
    <row r="1476" spans="1:6" x14ac:dyDescent="0.25">
      <c r="A1476" s="14">
        <v>46146.179861111108</v>
      </c>
      <c r="B1476" s="79" t="s">
        <v>149</v>
      </c>
      <c r="C1476" s="79" t="s">
        <v>184</v>
      </c>
      <c r="D1476" s="79" t="s">
        <v>162</v>
      </c>
      <c r="E1476" s="79" t="s">
        <v>50</v>
      </c>
      <c r="F1476" s="79" t="str">
        <f>IF(E1476="", "", IF(COUNTIF(ChestType!$A$5:$A$195, E1476)&gt;0, VLOOKUP(E1476, ChestType!$A$5:$B$195, 2, 0), "Others"))</f>
        <v>L10 Crypt</v>
      </c>
    </row>
    <row r="1477" spans="1:6" x14ac:dyDescent="0.25">
      <c r="A1477" s="14">
        <v>46146.179861111108</v>
      </c>
      <c r="B1477" s="79" t="s">
        <v>149</v>
      </c>
      <c r="C1477" s="79" t="s">
        <v>181</v>
      </c>
      <c r="D1477" s="79" t="s">
        <v>162</v>
      </c>
      <c r="E1477" s="79" t="s">
        <v>49</v>
      </c>
      <c r="F1477" s="79" t="str">
        <f>IF(E1477="", "", IF(COUNTIF(ChestType!$A$5:$A$195, E1477)&gt;0, VLOOKUP(E1477, ChestType!$A$5:$B$195, 2, 0), "Others"))</f>
        <v>L15 Crypt</v>
      </c>
    </row>
    <row r="1478" spans="1:6" x14ac:dyDescent="0.25">
      <c r="A1478" s="14">
        <v>46146.179861111108</v>
      </c>
      <c r="B1478" s="79" t="s">
        <v>149</v>
      </c>
      <c r="C1478" s="79" t="s">
        <v>181</v>
      </c>
      <c r="D1478" s="79" t="s">
        <v>162</v>
      </c>
      <c r="E1478" s="79" t="s">
        <v>50</v>
      </c>
      <c r="F1478" s="79" t="str">
        <f>IF(E1478="", "", IF(COUNTIF(ChestType!$A$5:$A$195, E1478)&gt;0, VLOOKUP(E1478, ChestType!$A$5:$B$195, 2, 0), "Others"))</f>
        <v>L10 Crypt</v>
      </c>
    </row>
    <row r="1479" spans="1:6" x14ac:dyDescent="0.25">
      <c r="A1479" s="14">
        <v>46146.179861111108</v>
      </c>
      <c r="B1479" s="79" t="s">
        <v>149</v>
      </c>
      <c r="C1479" s="79" t="s">
        <v>183</v>
      </c>
      <c r="D1479" s="79" t="s">
        <v>162</v>
      </c>
      <c r="E1479" s="79" t="s">
        <v>49</v>
      </c>
      <c r="F1479" s="79" t="str">
        <f>IF(E1479="", "", IF(COUNTIF(ChestType!$A$5:$A$195, E1479)&gt;0, VLOOKUP(E1479, ChestType!$A$5:$B$195, 2, 0), "Others"))</f>
        <v>L15 Crypt</v>
      </c>
    </row>
    <row r="1480" spans="1:6" x14ac:dyDescent="0.25">
      <c r="A1480" s="14">
        <v>46146.179861111108</v>
      </c>
      <c r="B1480" s="79" t="s">
        <v>149</v>
      </c>
      <c r="C1480" s="79" t="s">
        <v>184</v>
      </c>
      <c r="D1480" s="79" t="s">
        <v>162</v>
      </c>
      <c r="E1480" s="79" t="s">
        <v>49</v>
      </c>
      <c r="F1480" s="79" t="str">
        <f>IF(E1480="", "", IF(COUNTIF(ChestType!$A$5:$A$195, E1480)&gt;0, VLOOKUP(E1480, ChestType!$A$5:$B$195, 2, 0), "Others"))</f>
        <v>L15 Crypt</v>
      </c>
    </row>
    <row r="1481" spans="1:6" x14ac:dyDescent="0.25">
      <c r="A1481" s="14">
        <v>46146.179861111108</v>
      </c>
      <c r="B1481" s="79" t="s">
        <v>149</v>
      </c>
      <c r="C1481" s="79" t="s">
        <v>176</v>
      </c>
      <c r="D1481" s="79" t="s">
        <v>231</v>
      </c>
      <c r="E1481" s="79" t="s">
        <v>63</v>
      </c>
      <c r="F1481" s="79" t="str">
        <f>IF(E1481="", "", IF(COUNTIF(ChestType!$A$5:$A$195, E1481)&gt;0, VLOOKUP(E1481, ChestType!$A$5:$B$195, 2, 0), "Others"))</f>
        <v>L15 Citadel</v>
      </c>
    </row>
    <row r="1482" spans="1:6" x14ac:dyDescent="0.25">
      <c r="A1482" s="14">
        <v>46146.179861111108</v>
      </c>
      <c r="B1482" s="79" t="s">
        <v>149</v>
      </c>
      <c r="C1482" s="79" t="s">
        <v>187</v>
      </c>
      <c r="D1482" s="79" t="s">
        <v>231</v>
      </c>
      <c r="E1482" s="79" t="s">
        <v>71</v>
      </c>
      <c r="F1482" s="79" t="str">
        <f>IF(E1482="", "", IF(COUNTIF(ChestType!$A$5:$A$195, E1482)&gt;0, VLOOKUP(E1482, ChestType!$A$5:$B$195, 2, 0), "Others"))</f>
        <v>L15 Rare Crypt</v>
      </c>
    </row>
    <row r="1483" spans="1:6" x14ac:dyDescent="0.25">
      <c r="A1483" s="14">
        <v>46146.179861111108</v>
      </c>
      <c r="B1483" s="79" t="s">
        <v>149</v>
      </c>
      <c r="C1483" s="79" t="s">
        <v>184</v>
      </c>
      <c r="D1483" s="79" t="s">
        <v>156</v>
      </c>
      <c r="E1483" s="79" t="s">
        <v>49</v>
      </c>
      <c r="F1483" s="79" t="str">
        <f>IF(E1483="", "", IF(COUNTIF(ChestType!$A$5:$A$195, E1483)&gt;0, VLOOKUP(E1483, ChestType!$A$5:$B$195, 2, 0), "Others"))</f>
        <v>L15 Crypt</v>
      </c>
    </row>
    <row r="1484" spans="1:6" x14ac:dyDescent="0.25">
      <c r="A1484" s="14">
        <v>46146.179861111108</v>
      </c>
      <c r="B1484" s="79" t="s">
        <v>149</v>
      </c>
      <c r="C1484" s="79" t="s">
        <v>184</v>
      </c>
      <c r="D1484" s="79" t="s">
        <v>156</v>
      </c>
      <c r="E1484" s="79" t="s">
        <v>49</v>
      </c>
      <c r="F1484" s="79" t="str">
        <f>IF(E1484="", "", IF(COUNTIF(ChestType!$A$5:$A$195, E1484)&gt;0, VLOOKUP(E1484, ChestType!$A$5:$B$195, 2, 0), "Others"))</f>
        <v>L15 Crypt</v>
      </c>
    </row>
    <row r="1485" spans="1:6" x14ac:dyDescent="0.25">
      <c r="A1485" s="14">
        <v>46146.179861111108</v>
      </c>
      <c r="B1485" s="79" t="s">
        <v>149</v>
      </c>
      <c r="C1485" s="79" t="s">
        <v>184</v>
      </c>
      <c r="D1485" s="79" t="s">
        <v>156</v>
      </c>
      <c r="E1485" s="79" t="s">
        <v>49</v>
      </c>
      <c r="F1485" s="79" t="str">
        <f>IF(E1485="", "", IF(COUNTIF(ChestType!$A$5:$A$195, E1485)&gt;0, VLOOKUP(E1485, ChestType!$A$5:$B$195, 2, 0), "Others"))</f>
        <v>L15 Crypt</v>
      </c>
    </row>
    <row r="1486" spans="1:6" x14ac:dyDescent="0.25">
      <c r="A1486" s="14">
        <v>46146.179861111108</v>
      </c>
      <c r="B1486" s="79" t="s">
        <v>149</v>
      </c>
      <c r="C1486" s="79" t="s">
        <v>176</v>
      </c>
      <c r="D1486" s="79" t="s">
        <v>254</v>
      </c>
      <c r="E1486" s="79" t="s">
        <v>70</v>
      </c>
      <c r="F1486" s="79" t="str">
        <f>IF(E1486="", "", IF(COUNTIF(ChestType!$A$5:$A$195, E1486)&gt;0, VLOOKUP(E1486, ChestType!$A$5:$B$195, 2, 0), "Others"))</f>
        <v>L10 Citadel</v>
      </c>
    </row>
    <row r="1487" spans="1:6" x14ac:dyDescent="0.25">
      <c r="A1487" s="14">
        <v>46146.179861111108</v>
      </c>
      <c r="B1487" s="79" t="s">
        <v>149</v>
      </c>
      <c r="C1487" s="79" t="s">
        <v>226</v>
      </c>
      <c r="D1487" s="79" t="s">
        <v>251</v>
      </c>
      <c r="E1487" s="79" t="s">
        <v>64</v>
      </c>
      <c r="F1487" s="79" t="str">
        <f>IF(E1487="", "", IF(COUNTIF(ChestType!$A$5:$A$195, E1487)&gt;0, VLOOKUP(E1487, ChestType!$A$5:$B$195, 2, 0), "Others"))</f>
        <v>L15 Epic Crypt</v>
      </c>
    </row>
    <row r="1488" spans="1:6" x14ac:dyDescent="0.25">
      <c r="A1488" s="14">
        <v>46146.179861111108</v>
      </c>
      <c r="B1488" s="79" t="s">
        <v>149</v>
      </c>
      <c r="C1488" s="79" t="s">
        <v>190</v>
      </c>
      <c r="D1488" s="79" t="s">
        <v>163</v>
      </c>
      <c r="E1488" s="79" t="s">
        <v>50</v>
      </c>
      <c r="F1488" s="79" t="str">
        <f>IF(E1488="", "", IF(COUNTIF(ChestType!$A$5:$A$195, E1488)&gt;0, VLOOKUP(E1488, ChestType!$A$5:$B$195, 2, 0), "Others"))</f>
        <v>L10 Crypt</v>
      </c>
    </row>
    <row r="1489" spans="1:6" x14ac:dyDescent="0.25">
      <c r="A1489" s="14">
        <v>46146.179861111108</v>
      </c>
      <c r="B1489" s="79" t="s">
        <v>149</v>
      </c>
      <c r="C1489" s="79" t="s">
        <v>171</v>
      </c>
      <c r="D1489" s="79" t="s">
        <v>163</v>
      </c>
      <c r="E1489" s="79" t="s">
        <v>50</v>
      </c>
      <c r="F1489" s="79" t="str">
        <f>IF(E1489="", "", IF(COUNTIF(ChestType!$A$5:$A$195, E1489)&gt;0, VLOOKUP(E1489, ChestType!$A$5:$B$195, 2, 0), "Others"))</f>
        <v>L10 Crypt</v>
      </c>
    </row>
    <row r="1490" spans="1:6" x14ac:dyDescent="0.25">
      <c r="A1490" s="14">
        <v>46146.179861111108</v>
      </c>
      <c r="B1490" s="79" t="s">
        <v>149</v>
      </c>
      <c r="C1490" s="79" t="s">
        <v>190</v>
      </c>
      <c r="D1490" s="79" t="s">
        <v>263</v>
      </c>
      <c r="E1490" s="79" t="s">
        <v>52</v>
      </c>
      <c r="F1490" s="79" t="str">
        <f>IF(E1490="", "", IF(COUNTIF(ChestType!$A$5:$A$195, E1490)&gt;0, VLOOKUP(E1490, ChestType!$A$5:$B$195, 2, 0), "Others"))</f>
        <v>L5 Crypt</v>
      </c>
    </row>
    <row r="1491" spans="1:6" x14ac:dyDescent="0.25">
      <c r="A1491" s="14">
        <v>46146.179861111108</v>
      </c>
      <c r="B1491" s="79" t="s">
        <v>149</v>
      </c>
      <c r="C1491" s="79" t="s">
        <v>177</v>
      </c>
      <c r="D1491" s="79" t="s">
        <v>251</v>
      </c>
      <c r="E1491" s="79" t="s">
        <v>49</v>
      </c>
      <c r="F1491" s="79" t="str">
        <f>IF(E1491="", "", IF(COUNTIF(ChestType!$A$5:$A$195, E1491)&gt;0, VLOOKUP(E1491, ChestType!$A$5:$B$195, 2, 0), "Others"))</f>
        <v>L15 Crypt</v>
      </c>
    </row>
    <row r="1492" spans="1:6" x14ac:dyDescent="0.25">
      <c r="A1492" s="14">
        <v>46146.179861111108</v>
      </c>
      <c r="B1492" s="79" t="s">
        <v>149</v>
      </c>
      <c r="C1492" s="79" t="s">
        <v>181</v>
      </c>
      <c r="D1492" s="79" t="s">
        <v>246</v>
      </c>
      <c r="E1492" s="79" t="s">
        <v>50</v>
      </c>
      <c r="F1492" s="79" t="str">
        <f>IF(E1492="", "", IF(COUNTIF(ChestType!$A$5:$A$195, E1492)&gt;0, VLOOKUP(E1492, ChestType!$A$5:$B$195, 2, 0), "Others"))</f>
        <v>L10 Crypt</v>
      </c>
    </row>
    <row r="1493" spans="1:6" x14ac:dyDescent="0.25">
      <c r="A1493" s="14">
        <v>46146.179861111108</v>
      </c>
      <c r="B1493" s="79" t="s">
        <v>149</v>
      </c>
      <c r="C1493" s="79" t="s">
        <v>177</v>
      </c>
      <c r="D1493" s="79" t="s">
        <v>262</v>
      </c>
      <c r="E1493" s="79" t="s">
        <v>50</v>
      </c>
      <c r="F1493" s="79" t="str">
        <f>IF(E1493="", "", IF(COUNTIF(ChestType!$A$5:$A$195, E1493)&gt;0, VLOOKUP(E1493, ChestType!$A$5:$B$195, 2, 0), "Others"))</f>
        <v>L10 Crypt</v>
      </c>
    </row>
    <row r="1494" spans="1:6" x14ac:dyDescent="0.25">
      <c r="A1494" s="14">
        <v>46146.179861111108</v>
      </c>
      <c r="B1494" s="79" t="s">
        <v>149</v>
      </c>
      <c r="C1494" s="79" t="s">
        <v>173</v>
      </c>
      <c r="D1494" s="79" t="s">
        <v>264</v>
      </c>
      <c r="E1494" s="79" t="s">
        <v>52</v>
      </c>
      <c r="F1494" s="79" t="str">
        <f>IF(E1494="", "", IF(COUNTIF(ChestType!$A$5:$A$195, E1494)&gt;0, VLOOKUP(E1494, ChestType!$A$5:$B$195, 2, 0), "Others"))</f>
        <v>L5 Crypt</v>
      </c>
    </row>
    <row r="1495" spans="1:6" x14ac:dyDescent="0.25">
      <c r="A1495" s="14">
        <v>46146.179861111108</v>
      </c>
      <c r="B1495" s="79" t="s">
        <v>149</v>
      </c>
      <c r="C1495" s="79" t="s">
        <v>175</v>
      </c>
      <c r="D1495" s="79" t="s">
        <v>262</v>
      </c>
      <c r="E1495" s="79" t="s">
        <v>52</v>
      </c>
      <c r="F1495" s="79" t="str">
        <f>IF(E1495="", "", IF(COUNTIF(ChestType!$A$5:$A$195, E1495)&gt;0, VLOOKUP(E1495, ChestType!$A$5:$B$195, 2, 0), "Others"))</f>
        <v>L5 Crypt</v>
      </c>
    </row>
    <row r="1496" spans="1:6" x14ac:dyDescent="0.25">
      <c r="A1496" s="14">
        <v>46146.179861111108</v>
      </c>
      <c r="B1496" s="79" t="s">
        <v>149</v>
      </c>
      <c r="C1496" s="79" t="s">
        <v>185</v>
      </c>
      <c r="D1496" s="79" t="s">
        <v>155</v>
      </c>
      <c r="E1496" s="79" t="s">
        <v>50</v>
      </c>
      <c r="F1496" s="79" t="str">
        <f>IF(E1496="", "", IF(COUNTIF(ChestType!$A$5:$A$195, E1496)&gt;0, VLOOKUP(E1496, ChestType!$A$5:$B$195, 2, 0), "Others"))</f>
        <v>L10 Crypt</v>
      </c>
    </row>
    <row r="1497" spans="1:6" x14ac:dyDescent="0.25">
      <c r="A1497" s="14">
        <v>46146.179861111108</v>
      </c>
      <c r="B1497" s="79" t="s">
        <v>149</v>
      </c>
      <c r="C1497" s="79" t="s">
        <v>175</v>
      </c>
      <c r="D1497" s="79" t="s">
        <v>155</v>
      </c>
      <c r="E1497" s="79" t="s">
        <v>50</v>
      </c>
      <c r="F1497" s="79" t="str">
        <f>IF(E1497="", "", IF(COUNTIF(ChestType!$A$5:$A$195, E1497)&gt;0, VLOOKUP(E1497, ChestType!$A$5:$B$195, 2, 0), "Others"))</f>
        <v>L10 Crypt</v>
      </c>
    </row>
    <row r="1498" spans="1:6" x14ac:dyDescent="0.25">
      <c r="A1498" s="14">
        <v>46146.179861111108</v>
      </c>
      <c r="B1498" s="79" t="s">
        <v>149</v>
      </c>
      <c r="C1498" s="79" t="s">
        <v>190</v>
      </c>
      <c r="D1498" s="79" t="s">
        <v>262</v>
      </c>
      <c r="E1498" s="79" t="s">
        <v>49</v>
      </c>
      <c r="F1498" s="79" t="str">
        <f>IF(E1498="", "", IF(COUNTIF(ChestType!$A$5:$A$195, E1498)&gt;0, VLOOKUP(E1498, ChestType!$A$5:$B$195, 2, 0), "Others"))</f>
        <v>L15 Crypt</v>
      </c>
    </row>
    <row r="1499" spans="1:6" x14ac:dyDescent="0.25">
      <c r="A1499" s="14">
        <v>46146.179861111108</v>
      </c>
      <c r="B1499" s="79" t="s">
        <v>149</v>
      </c>
      <c r="C1499" s="79" t="s">
        <v>175</v>
      </c>
      <c r="D1499" s="79" t="s">
        <v>201</v>
      </c>
      <c r="E1499" s="79" t="s">
        <v>49</v>
      </c>
      <c r="F1499" s="79" t="str">
        <f>IF(E1499="", "", IF(COUNTIF(ChestType!$A$5:$A$195, E1499)&gt;0, VLOOKUP(E1499, ChestType!$A$5:$B$195, 2, 0), "Others"))</f>
        <v>L15 Crypt</v>
      </c>
    </row>
    <row r="1500" spans="1:6" x14ac:dyDescent="0.25">
      <c r="A1500" s="14">
        <v>46146.179861111108</v>
      </c>
      <c r="B1500" s="79" t="s">
        <v>149</v>
      </c>
      <c r="C1500" s="79" t="s">
        <v>192</v>
      </c>
      <c r="D1500" s="79" t="s">
        <v>155</v>
      </c>
      <c r="E1500" s="79" t="s">
        <v>60</v>
      </c>
      <c r="F1500" s="79" t="str">
        <f>IF(E1500="", "", IF(COUNTIF(ChestType!$A$5:$A$195, E1500)&gt;0, VLOOKUP(E1500, ChestType!$A$5:$B$195, 2, 0), "Others"))</f>
        <v>Others</v>
      </c>
    </row>
    <row r="1501" spans="1:6" x14ac:dyDescent="0.25">
      <c r="A1501" s="14">
        <v>46146.179861111108</v>
      </c>
      <c r="B1501" s="79" t="s">
        <v>149</v>
      </c>
      <c r="C1501" s="79" t="s">
        <v>173</v>
      </c>
      <c r="D1501" s="79" t="s">
        <v>251</v>
      </c>
      <c r="E1501" s="79" t="s">
        <v>49</v>
      </c>
      <c r="F1501" s="79" t="str">
        <f>IF(E1501="", "", IF(COUNTIF(ChestType!$A$5:$A$195, E1501)&gt;0, VLOOKUP(E1501, ChestType!$A$5:$B$195, 2, 0), "Others"))</f>
        <v>L15 Crypt</v>
      </c>
    </row>
    <row r="1502" spans="1:6" x14ac:dyDescent="0.25">
      <c r="A1502" s="14">
        <v>46146.179861111108</v>
      </c>
      <c r="B1502" s="79" t="s">
        <v>149</v>
      </c>
      <c r="C1502" s="79" t="s">
        <v>158</v>
      </c>
      <c r="D1502" s="79" t="s">
        <v>243</v>
      </c>
      <c r="E1502" s="79" t="s">
        <v>49</v>
      </c>
      <c r="F1502" s="79" t="str">
        <f>IF(E1502="", "", IF(COUNTIF(ChestType!$A$5:$A$195, E1502)&gt;0, VLOOKUP(E1502, ChestType!$A$5:$B$195, 2, 0), "Others"))</f>
        <v>L15 Crypt</v>
      </c>
    </row>
    <row r="1503" spans="1:6" x14ac:dyDescent="0.25">
      <c r="A1503" s="14">
        <v>46146.179861111108</v>
      </c>
      <c r="B1503" s="79" t="s">
        <v>149</v>
      </c>
      <c r="C1503" s="79" t="s">
        <v>151</v>
      </c>
      <c r="D1503" s="79" t="s">
        <v>246</v>
      </c>
      <c r="E1503" s="79" t="s">
        <v>52</v>
      </c>
      <c r="F1503" s="79" t="str">
        <f>IF(E1503="", "", IF(COUNTIF(ChestType!$A$5:$A$195, E1503)&gt;0, VLOOKUP(E1503, ChestType!$A$5:$B$195, 2, 0), "Others"))</f>
        <v>L5 Crypt</v>
      </c>
    </row>
    <row r="1504" spans="1:6" x14ac:dyDescent="0.25">
      <c r="A1504" s="14">
        <v>46146.179861111108</v>
      </c>
      <c r="B1504" s="79" t="s">
        <v>149</v>
      </c>
      <c r="C1504" s="79" t="s">
        <v>182</v>
      </c>
      <c r="D1504" s="79" t="s">
        <v>234</v>
      </c>
      <c r="E1504" s="79" t="s">
        <v>50</v>
      </c>
      <c r="F1504" s="79" t="str">
        <f>IF(E1504="", "", IF(COUNTIF(ChestType!$A$5:$A$195, E1504)&gt;0, VLOOKUP(E1504, ChestType!$A$5:$B$195, 2, 0), "Others"))</f>
        <v>L10 Crypt</v>
      </c>
    </row>
    <row r="1505" spans="1:6" x14ac:dyDescent="0.25">
      <c r="A1505" s="14">
        <v>46146.179861111108</v>
      </c>
      <c r="B1505" s="79" t="s">
        <v>149</v>
      </c>
      <c r="C1505" s="79" t="s">
        <v>192</v>
      </c>
      <c r="D1505" s="79" t="s">
        <v>250</v>
      </c>
      <c r="E1505" s="79" t="s">
        <v>60</v>
      </c>
      <c r="F1505" s="79" t="str">
        <f>IF(E1505="", "", IF(COUNTIF(ChestType!$A$5:$A$195, E1505)&gt;0, VLOOKUP(E1505, ChestType!$A$5:$B$195, 2, 0), "Others"))</f>
        <v>Others</v>
      </c>
    </row>
    <row r="1506" spans="1:6" x14ac:dyDescent="0.25">
      <c r="A1506" s="14">
        <v>46146.179861111108</v>
      </c>
      <c r="B1506" s="79" t="s">
        <v>149</v>
      </c>
      <c r="C1506" s="79" t="s">
        <v>187</v>
      </c>
      <c r="D1506" s="79" t="s">
        <v>250</v>
      </c>
      <c r="E1506" s="79" t="s">
        <v>71</v>
      </c>
      <c r="F1506" s="79" t="str">
        <f>IF(E1506="", "", IF(COUNTIF(ChestType!$A$5:$A$195, E1506)&gt;0, VLOOKUP(E1506, ChestType!$A$5:$B$195, 2, 0), "Others"))</f>
        <v>L15 Rare Crypt</v>
      </c>
    </row>
    <row r="1507" spans="1:6" x14ac:dyDescent="0.25">
      <c r="A1507" s="14">
        <v>46146.179861111108</v>
      </c>
      <c r="B1507" s="79" t="s">
        <v>149</v>
      </c>
      <c r="C1507" s="79" t="s">
        <v>185</v>
      </c>
      <c r="D1507" s="79" t="s">
        <v>234</v>
      </c>
      <c r="E1507" s="79" t="s">
        <v>50</v>
      </c>
      <c r="F1507" s="79" t="str">
        <f>IF(E1507="", "", IF(COUNTIF(ChestType!$A$5:$A$195, E1507)&gt;0, VLOOKUP(E1507, ChestType!$A$5:$B$195, 2, 0), "Others"))</f>
        <v>L10 Crypt</v>
      </c>
    </row>
    <row r="1508" spans="1:6" x14ac:dyDescent="0.25">
      <c r="A1508" s="14">
        <v>46146.179861111108</v>
      </c>
      <c r="B1508" s="79" t="s">
        <v>149</v>
      </c>
      <c r="C1508" s="79" t="s">
        <v>192</v>
      </c>
      <c r="D1508" s="79" t="s">
        <v>243</v>
      </c>
      <c r="E1508" s="79" t="s">
        <v>60</v>
      </c>
      <c r="F1508" s="79" t="str">
        <f>IF(E1508="", "", IF(COUNTIF(ChestType!$A$5:$A$195, E1508)&gt;0, VLOOKUP(E1508, ChestType!$A$5:$B$195, 2, 0), "Others"))</f>
        <v>Others</v>
      </c>
    </row>
    <row r="1509" spans="1:6" x14ac:dyDescent="0.25">
      <c r="A1509" s="14">
        <v>46146.179861111108</v>
      </c>
      <c r="B1509" s="79" t="s">
        <v>149</v>
      </c>
      <c r="C1509" s="79" t="s">
        <v>151</v>
      </c>
      <c r="D1509" s="79" t="s">
        <v>231</v>
      </c>
      <c r="E1509" s="79" t="s">
        <v>50</v>
      </c>
      <c r="F1509" s="79" t="str">
        <f>IF(E1509="", "", IF(COUNTIF(ChestType!$A$5:$A$195, E1509)&gt;0, VLOOKUP(E1509, ChestType!$A$5:$B$195, 2, 0), "Others"))</f>
        <v>L10 Crypt</v>
      </c>
    </row>
    <row r="1510" spans="1:6" x14ac:dyDescent="0.25">
      <c r="A1510" s="14">
        <v>46146.179861111108</v>
      </c>
      <c r="B1510" s="79" t="s">
        <v>149</v>
      </c>
      <c r="C1510" s="79" t="s">
        <v>177</v>
      </c>
      <c r="D1510" s="79" t="s">
        <v>246</v>
      </c>
      <c r="E1510" s="79" t="s">
        <v>49</v>
      </c>
      <c r="F1510" s="79" t="str">
        <f>IF(E1510="", "", IF(COUNTIF(ChestType!$A$5:$A$195, E1510)&gt;0, VLOOKUP(E1510, ChestType!$A$5:$B$195, 2, 0), "Others"))</f>
        <v>L15 Crypt</v>
      </c>
    </row>
    <row r="1511" spans="1:6" x14ac:dyDescent="0.25">
      <c r="A1511" s="14">
        <v>46146.179861111108</v>
      </c>
      <c r="B1511" s="79" t="s">
        <v>149</v>
      </c>
      <c r="C1511" s="79" t="s">
        <v>190</v>
      </c>
      <c r="D1511" s="79" t="s">
        <v>156</v>
      </c>
      <c r="E1511" s="79" t="s">
        <v>50</v>
      </c>
      <c r="F1511" s="79" t="str">
        <f>IF(E1511="", "", IF(COUNTIF(ChestType!$A$5:$A$195, E1511)&gt;0, VLOOKUP(E1511, ChestType!$A$5:$B$195, 2, 0), "Others"))</f>
        <v>L10 Crypt</v>
      </c>
    </row>
    <row r="1512" spans="1:6" x14ac:dyDescent="0.25">
      <c r="A1512" s="14">
        <v>46146.179861111108</v>
      </c>
      <c r="B1512" s="79" t="s">
        <v>149</v>
      </c>
      <c r="C1512" s="79" t="s">
        <v>184</v>
      </c>
      <c r="D1512" s="79" t="s">
        <v>156</v>
      </c>
      <c r="E1512" s="79" t="s">
        <v>50</v>
      </c>
      <c r="F1512" s="79" t="str">
        <f>IF(E1512="", "", IF(COUNTIF(ChestType!$A$5:$A$195, E1512)&gt;0, VLOOKUP(E1512, ChestType!$A$5:$B$195, 2, 0), "Others"))</f>
        <v>L10 Crypt</v>
      </c>
    </row>
    <row r="1513" spans="1:6" x14ac:dyDescent="0.25">
      <c r="A1513" s="14">
        <v>46146.179861111108</v>
      </c>
      <c r="B1513" s="79" t="s">
        <v>149</v>
      </c>
      <c r="C1513" s="79" t="s">
        <v>190</v>
      </c>
      <c r="D1513" s="79" t="s">
        <v>156</v>
      </c>
      <c r="E1513" s="79" t="s">
        <v>50</v>
      </c>
      <c r="F1513" s="79" t="str">
        <f>IF(E1513="", "", IF(COUNTIF(ChestType!$A$5:$A$195, E1513)&gt;0, VLOOKUP(E1513, ChestType!$A$5:$B$195, 2, 0), "Others"))</f>
        <v>L10 Crypt</v>
      </c>
    </row>
    <row r="1514" spans="1:6" x14ac:dyDescent="0.25">
      <c r="A1514" s="14">
        <v>46146.179861111108</v>
      </c>
      <c r="B1514" s="79" t="s">
        <v>149</v>
      </c>
      <c r="C1514" s="79" t="s">
        <v>184</v>
      </c>
      <c r="D1514" s="79" t="s">
        <v>156</v>
      </c>
      <c r="E1514" s="79" t="s">
        <v>50</v>
      </c>
      <c r="F1514" s="79" t="str">
        <f>IF(E1514="", "", IF(COUNTIF(ChestType!$A$5:$A$195, E1514)&gt;0, VLOOKUP(E1514, ChestType!$A$5:$B$195, 2, 0), "Others"))</f>
        <v>L10 Crypt</v>
      </c>
    </row>
    <row r="1515" spans="1:6" x14ac:dyDescent="0.25">
      <c r="A1515" s="14">
        <v>46146.179861111108</v>
      </c>
      <c r="B1515" s="79" t="s">
        <v>149</v>
      </c>
      <c r="C1515" s="79" t="s">
        <v>173</v>
      </c>
      <c r="D1515" s="79" t="s">
        <v>240</v>
      </c>
      <c r="E1515" s="79" t="s">
        <v>52</v>
      </c>
      <c r="F1515" s="79" t="str">
        <f>IF(E1515="", "", IF(COUNTIF(ChestType!$A$5:$A$195, E1515)&gt;0, VLOOKUP(E1515, ChestType!$A$5:$B$195, 2, 0), "Others"))</f>
        <v>L5 Crypt</v>
      </c>
    </row>
    <row r="1516" spans="1:6" x14ac:dyDescent="0.25">
      <c r="A1516" s="14">
        <v>46146.179861111108</v>
      </c>
      <c r="B1516" s="79" t="s">
        <v>149</v>
      </c>
      <c r="C1516" s="79" t="s">
        <v>190</v>
      </c>
      <c r="D1516" s="79" t="s">
        <v>156</v>
      </c>
      <c r="E1516" s="79" t="s">
        <v>50</v>
      </c>
      <c r="F1516" s="79" t="str">
        <f>IF(E1516="", "", IF(COUNTIF(ChestType!$A$5:$A$195, E1516)&gt;0, VLOOKUP(E1516, ChestType!$A$5:$B$195, 2, 0), "Others"))</f>
        <v>L10 Crypt</v>
      </c>
    </row>
    <row r="1517" spans="1:6" x14ac:dyDescent="0.25">
      <c r="A1517" s="14">
        <v>46146.179861111108</v>
      </c>
      <c r="B1517" s="79" t="s">
        <v>149</v>
      </c>
      <c r="C1517" s="79" t="s">
        <v>190</v>
      </c>
      <c r="D1517" s="79" t="s">
        <v>156</v>
      </c>
      <c r="E1517" s="79" t="s">
        <v>50</v>
      </c>
      <c r="F1517" s="79" t="str">
        <f>IF(E1517="", "", IF(COUNTIF(ChestType!$A$5:$A$195, E1517)&gt;0, VLOOKUP(E1517, ChestType!$A$5:$B$195, 2, 0), "Others"))</f>
        <v>L10 Crypt</v>
      </c>
    </row>
    <row r="1518" spans="1:6" x14ac:dyDescent="0.25">
      <c r="A1518" s="14">
        <v>46146.179861111108</v>
      </c>
      <c r="B1518" s="79" t="s">
        <v>149</v>
      </c>
      <c r="C1518" s="79" t="s">
        <v>184</v>
      </c>
      <c r="D1518" s="79" t="s">
        <v>156</v>
      </c>
      <c r="E1518" s="79" t="s">
        <v>50</v>
      </c>
      <c r="F1518" s="79" t="str">
        <f>IF(E1518="", "", IF(COUNTIF(ChestType!$A$5:$A$195, E1518)&gt;0, VLOOKUP(E1518, ChestType!$A$5:$B$195, 2, 0), "Others"))</f>
        <v>L10 Crypt</v>
      </c>
    </row>
    <row r="1519" spans="1:6" x14ac:dyDescent="0.25">
      <c r="A1519" s="14">
        <v>46146.179861111108</v>
      </c>
      <c r="B1519" s="79" t="s">
        <v>149</v>
      </c>
      <c r="C1519" s="79" t="s">
        <v>185</v>
      </c>
      <c r="D1519" s="79" t="s">
        <v>156</v>
      </c>
      <c r="E1519" s="79" t="s">
        <v>50</v>
      </c>
      <c r="F1519" s="79" t="str">
        <f>IF(E1519="", "", IF(COUNTIF(ChestType!$A$5:$A$195, E1519)&gt;0, VLOOKUP(E1519, ChestType!$A$5:$B$195, 2, 0), "Others"))</f>
        <v>L10 Crypt</v>
      </c>
    </row>
    <row r="1520" spans="1:6" x14ac:dyDescent="0.25">
      <c r="A1520" s="14">
        <v>46146.179861111108</v>
      </c>
      <c r="B1520" s="79" t="s">
        <v>149</v>
      </c>
      <c r="C1520" s="79" t="s">
        <v>190</v>
      </c>
      <c r="D1520" s="79" t="s">
        <v>156</v>
      </c>
      <c r="E1520" s="79" t="s">
        <v>50</v>
      </c>
      <c r="F1520" s="79" t="str">
        <f>IF(E1520="", "", IF(COUNTIF(ChestType!$A$5:$A$195, E1520)&gt;0, VLOOKUP(E1520, ChestType!$A$5:$B$195, 2, 0), "Others"))</f>
        <v>L10 Crypt</v>
      </c>
    </row>
    <row r="1521" spans="1:6" x14ac:dyDescent="0.25">
      <c r="A1521" s="14">
        <v>46146.179861111108</v>
      </c>
      <c r="B1521" s="79" t="s">
        <v>149</v>
      </c>
      <c r="C1521" s="79" t="s">
        <v>175</v>
      </c>
      <c r="D1521" s="79" t="s">
        <v>202</v>
      </c>
      <c r="E1521" s="79" t="s">
        <v>49</v>
      </c>
      <c r="F1521" s="79" t="str">
        <f>IF(E1521="", "", IF(COUNTIF(ChestType!$A$5:$A$195, E1521)&gt;0, VLOOKUP(E1521, ChestType!$A$5:$B$195, 2, 0), "Others"))</f>
        <v>L15 Crypt</v>
      </c>
    </row>
    <row r="1522" spans="1:6" x14ac:dyDescent="0.25">
      <c r="A1522" s="14">
        <v>46146.179861111108</v>
      </c>
      <c r="B1522" s="79" t="s">
        <v>149</v>
      </c>
      <c r="C1522" s="79" t="s">
        <v>173</v>
      </c>
      <c r="D1522" s="79" t="s">
        <v>156</v>
      </c>
      <c r="E1522" s="79" t="s">
        <v>49</v>
      </c>
      <c r="F1522" s="79" t="str">
        <f>IF(E1522="", "", IF(COUNTIF(ChestType!$A$5:$A$195, E1522)&gt;0, VLOOKUP(E1522, ChestType!$A$5:$B$195, 2, 0), "Others"))</f>
        <v>L15 Crypt</v>
      </c>
    </row>
    <row r="1523" spans="1:6" x14ac:dyDescent="0.25">
      <c r="A1523" s="14">
        <v>46146.179861111108</v>
      </c>
      <c r="B1523" s="79" t="s">
        <v>149</v>
      </c>
      <c r="C1523" s="79" t="s">
        <v>190</v>
      </c>
      <c r="D1523" s="79" t="s">
        <v>156</v>
      </c>
      <c r="E1523" s="79" t="s">
        <v>49</v>
      </c>
      <c r="F1523" s="79" t="str">
        <f>IF(E1523="", "", IF(COUNTIF(ChestType!$A$5:$A$195, E1523)&gt;0, VLOOKUP(E1523, ChestType!$A$5:$B$195, 2, 0), "Others"))</f>
        <v>L15 Crypt</v>
      </c>
    </row>
    <row r="1524" spans="1:6" x14ac:dyDescent="0.25">
      <c r="A1524" s="14">
        <v>46146.179861111108</v>
      </c>
      <c r="B1524" s="79" t="s">
        <v>149</v>
      </c>
      <c r="C1524" s="79" t="s">
        <v>190</v>
      </c>
      <c r="D1524" s="79" t="s">
        <v>156</v>
      </c>
      <c r="E1524" s="79" t="s">
        <v>49</v>
      </c>
      <c r="F1524" s="79" t="str">
        <f>IF(E1524="", "", IF(COUNTIF(ChestType!$A$5:$A$195, E1524)&gt;0, VLOOKUP(E1524, ChestType!$A$5:$B$195, 2, 0), "Others"))</f>
        <v>L15 Crypt</v>
      </c>
    </row>
    <row r="1525" spans="1:6" x14ac:dyDescent="0.25">
      <c r="A1525" s="14">
        <v>46146.179861111108</v>
      </c>
      <c r="B1525" s="79" t="s">
        <v>149</v>
      </c>
      <c r="C1525" s="79" t="s">
        <v>190</v>
      </c>
      <c r="D1525" s="79" t="s">
        <v>156</v>
      </c>
      <c r="E1525" s="79" t="s">
        <v>49</v>
      </c>
      <c r="F1525" s="79" t="str">
        <f>IF(E1525="", "", IF(COUNTIF(ChestType!$A$5:$A$195, E1525)&gt;0, VLOOKUP(E1525, ChestType!$A$5:$B$195, 2, 0), "Others"))</f>
        <v>L15 Crypt</v>
      </c>
    </row>
    <row r="1526" spans="1:6" x14ac:dyDescent="0.25">
      <c r="A1526" s="14">
        <v>46146.179861111108</v>
      </c>
      <c r="B1526" s="79" t="s">
        <v>149</v>
      </c>
      <c r="C1526" s="79" t="s">
        <v>192</v>
      </c>
      <c r="D1526" s="79" t="s">
        <v>251</v>
      </c>
      <c r="E1526" s="79" t="s">
        <v>60</v>
      </c>
      <c r="F1526" s="79" t="str">
        <f>IF(E1526="", "", IF(COUNTIF(ChestType!$A$5:$A$195, E1526)&gt;0, VLOOKUP(E1526, ChestType!$A$5:$B$195, 2, 0), "Others"))</f>
        <v>Others</v>
      </c>
    </row>
    <row r="1527" spans="1:6" x14ac:dyDescent="0.25">
      <c r="A1527" s="14">
        <v>46146.179861111108</v>
      </c>
      <c r="B1527" s="79" t="s">
        <v>149</v>
      </c>
      <c r="C1527" s="79" t="s">
        <v>190</v>
      </c>
      <c r="D1527" s="79" t="s">
        <v>156</v>
      </c>
      <c r="E1527" s="79" t="s">
        <v>49</v>
      </c>
      <c r="F1527" s="79" t="str">
        <f>IF(E1527="", "", IF(COUNTIF(ChestType!$A$5:$A$195, E1527)&gt;0, VLOOKUP(E1527, ChestType!$A$5:$B$195, 2, 0), "Others"))</f>
        <v>L15 Crypt</v>
      </c>
    </row>
    <row r="1528" spans="1:6" x14ac:dyDescent="0.25">
      <c r="A1528" s="14">
        <v>46146.179861111108</v>
      </c>
      <c r="B1528" s="79" t="s">
        <v>149</v>
      </c>
      <c r="C1528" s="79" t="s">
        <v>171</v>
      </c>
      <c r="D1528" s="79" t="s">
        <v>156</v>
      </c>
      <c r="E1528" s="79" t="s">
        <v>49</v>
      </c>
      <c r="F1528" s="79" t="str">
        <f>IF(E1528="", "", IF(COUNTIF(ChestType!$A$5:$A$195, E1528)&gt;0, VLOOKUP(E1528, ChestType!$A$5:$B$195, 2, 0), "Others"))</f>
        <v>L15 Crypt</v>
      </c>
    </row>
    <row r="1529" spans="1:6" x14ac:dyDescent="0.25">
      <c r="A1529" s="14">
        <v>46146.179861111108</v>
      </c>
      <c r="B1529" s="79" t="s">
        <v>149</v>
      </c>
      <c r="C1529" s="79" t="s">
        <v>188</v>
      </c>
      <c r="D1529" s="79" t="s">
        <v>179</v>
      </c>
      <c r="E1529" s="79" t="s">
        <v>45</v>
      </c>
      <c r="F1529" s="79" t="str">
        <f>IF(E1529="", "", IF(COUNTIF(ChestType!$A$5:$A$195, E1529)&gt;0, VLOOKUP(E1529, ChestType!$A$5:$B$195, 2, 0), "Others"))</f>
        <v>Others</v>
      </c>
    </row>
    <row r="1530" spans="1:6" x14ac:dyDescent="0.25">
      <c r="A1530" s="14">
        <v>46146.179861111108</v>
      </c>
      <c r="B1530" s="79" t="s">
        <v>149</v>
      </c>
      <c r="C1530" s="79" t="s">
        <v>189</v>
      </c>
      <c r="D1530" s="79" t="s">
        <v>179</v>
      </c>
      <c r="E1530" s="79" t="s">
        <v>45</v>
      </c>
      <c r="F1530" s="79" t="str">
        <f>IF(E1530="", "", IF(COUNTIF(ChestType!$A$5:$A$195, E1530)&gt;0, VLOOKUP(E1530, ChestType!$A$5:$B$195, 2, 0), "Others"))</f>
        <v>Others</v>
      </c>
    </row>
    <row r="1531" spans="1:6" x14ac:dyDescent="0.25">
      <c r="A1531" s="14">
        <v>46146.179861111108</v>
      </c>
      <c r="B1531" s="79" t="s">
        <v>149</v>
      </c>
      <c r="C1531" s="79" t="s">
        <v>239</v>
      </c>
      <c r="D1531" s="79" t="s">
        <v>179</v>
      </c>
      <c r="E1531" s="79" t="s">
        <v>45</v>
      </c>
      <c r="F1531" s="79" t="str">
        <f>IF(E1531="", "", IF(COUNTIF(ChestType!$A$5:$A$195, E1531)&gt;0, VLOOKUP(E1531, ChestType!$A$5:$B$195, 2, 0), "Others"))</f>
        <v>Others</v>
      </c>
    </row>
    <row r="1532" spans="1:6" x14ac:dyDescent="0.25">
      <c r="A1532" s="14">
        <v>46146.179861111108</v>
      </c>
      <c r="B1532" s="79" t="s">
        <v>149</v>
      </c>
      <c r="C1532" s="79" t="s">
        <v>190</v>
      </c>
      <c r="D1532" s="79" t="s">
        <v>156</v>
      </c>
      <c r="E1532" s="79" t="s">
        <v>49</v>
      </c>
      <c r="F1532" s="79" t="str">
        <f>IF(E1532="", "", IF(COUNTIF(ChestType!$A$5:$A$195, E1532)&gt;0, VLOOKUP(E1532, ChestType!$A$5:$B$195, 2, 0), "Others"))</f>
        <v>L15 Crypt</v>
      </c>
    </row>
    <row r="1533" spans="1:6" x14ac:dyDescent="0.25">
      <c r="A1533" s="14">
        <v>46146.179861111108</v>
      </c>
      <c r="B1533" s="79" t="s">
        <v>149</v>
      </c>
      <c r="C1533" s="79" t="s">
        <v>175</v>
      </c>
      <c r="D1533" s="79" t="s">
        <v>156</v>
      </c>
      <c r="E1533" s="79" t="s">
        <v>49</v>
      </c>
      <c r="F1533" s="79" t="str">
        <f>IF(E1533="", "", IF(COUNTIF(ChestType!$A$5:$A$195, E1533)&gt;0, VLOOKUP(E1533, ChestType!$A$5:$B$195, 2, 0), "Others"))</f>
        <v>L15 Crypt</v>
      </c>
    </row>
    <row r="1534" spans="1:6" x14ac:dyDescent="0.25">
      <c r="A1534" s="14">
        <v>46146.179861111108</v>
      </c>
      <c r="B1534" s="79" t="s">
        <v>149</v>
      </c>
      <c r="C1534" s="79" t="s">
        <v>176</v>
      </c>
      <c r="D1534" s="79" t="s">
        <v>202</v>
      </c>
      <c r="E1534" s="79" t="s">
        <v>70</v>
      </c>
      <c r="F1534" s="79" t="str">
        <f>IF(E1534="", "", IF(COUNTIF(ChestType!$A$5:$A$195, E1534)&gt;0, VLOOKUP(E1534, ChestType!$A$5:$B$195, 2, 0), "Others"))</f>
        <v>L10 Citadel</v>
      </c>
    </row>
    <row r="1535" spans="1:6" x14ac:dyDescent="0.25">
      <c r="A1535" s="14">
        <v>46146.179861111108</v>
      </c>
      <c r="B1535" s="79" t="s">
        <v>149</v>
      </c>
      <c r="C1535" s="79" t="s">
        <v>181</v>
      </c>
      <c r="D1535" s="79" t="s">
        <v>156</v>
      </c>
      <c r="E1535" s="79" t="s">
        <v>49</v>
      </c>
      <c r="F1535" s="79" t="str">
        <f>IF(E1535="", "", IF(COUNTIF(ChestType!$A$5:$A$195, E1535)&gt;0, VLOOKUP(E1535, ChestType!$A$5:$B$195, 2, 0), "Others"))</f>
        <v>L15 Crypt</v>
      </c>
    </row>
    <row r="1536" spans="1:6" x14ac:dyDescent="0.25">
      <c r="A1536" s="14">
        <v>46146.179861111108</v>
      </c>
      <c r="B1536" s="79" t="s">
        <v>149</v>
      </c>
      <c r="C1536" s="79" t="s">
        <v>183</v>
      </c>
      <c r="D1536" s="79" t="s">
        <v>164</v>
      </c>
      <c r="E1536" s="79" t="s">
        <v>50</v>
      </c>
      <c r="F1536" s="79" t="str">
        <f>IF(E1536="", "", IF(COUNTIF(ChestType!$A$5:$A$195, E1536)&gt;0, VLOOKUP(E1536, ChestType!$A$5:$B$195, 2, 0), "Others"))</f>
        <v>L10 Crypt</v>
      </c>
    </row>
    <row r="1537" spans="1:6" x14ac:dyDescent="0.25">
      <c r="A1537" s="14">
        <v>46146.179861111108</v>
      </c>
      <c r="B1537" s="79" t="s">
        <v>149</v>
      </c>
      <c r="C1537" s="79" t="s">
        <v>181</v>
      </c>
      <c r="D1537" s="79" t="s">
        <v>164</v>
      </c>
      <c r="E1537" s="79" t="s">
        <v>50</v>
      </c>
      <c r="F1537" s="79" t="str">
        <f>IF(E1537="", "", IF(COUNTIF(ChestType!$A$5:$A$195, E1537)&gt;0, VLOOKUP(E1537, ChestType!$A$5:$B$195, 2, 0), "Others"))</f>
        <v>L10 Crypt</v>
      </c>
    </row>
    <row r="1538" spans="1:6" x14ac:dyDescent="0.25">
      <c r="A1538" s="14">
        <v>46146.179861111108</v>
      </c>
      <c r="B1538" s="79" t="s">
        <v>149</v>
      </c>
      <c r="C1538" s="79" t="s">
        <v>184</v>
      </c>
      <c r="D1538" s="79" t="s">
        <v>191</v>
      </c>
      <c r="E1538" s="79" t="s">
        <v>50</v>
      </c>
      <c r="F1538" s="79" t="str">
        <f>IF(E1538="", "", IF(COUNTIF(ChestType!$A$5:$A$195, E1538)&gt;0, VLOOKUP(E1538, ChestType!$A$5:$B$195, 2, 0), "Others"))</f>
        <v>L10 Crypt</v>
      </c>
    </row>
    <row r="1539" spans="1:6" x14ac:dyDescent="0.25">
      <c r="A1539" s="14">
        <v>46146.179861111108</v>
      </c>
      <c r="B1539" s="79" t="s">
        <v>149</v>
      </c>
      <c r="C1539" s="79" t="s">
        <v>175</v>
      </c>
      <c r="D1539" s="79" t="s">
        <v>157</v>
      </c>
      <c r="E1539" s="79" t="s">
        <v>52</v>
      </c>
      <c r="F1539" s="79" t="str">
        <f>IF(E1539="", "", IF(COUNTIF(ChestType!$A$5:$A$195, E1539)&gt;0, VLOOKUP(E1539, ChestType!$A$5:$B$195, 2, 0), "Others"))</f>
        <v>L5 Crypt</v>
      </c>
    </row>
    <row r="1540" spans="1:6" x14ac:dyDescent="0.25">
      <c r="A1540" s="14">
        <v>46146.179861111108</v>
      </c>
      <c r="B1540" s="79" t="s">
        <v>149</v>
      </c>
      <c r="C1540" s="79" t="s">
        <v>171</v>
      </c>
      <c r="D1540" s="79" t="s">
        <v>157</v>
      </c>
      <c r="E1540" s="79" t="s">
        <v>52</v>
      </c>
      <c r="F1540" s="79" t="str">
        <f>IF(E1540="", "", IF(COUNTIF(ChestType!$A$5:$A$195, E1540)&gt;0, VLOOKUP(E1540, ChestType!$A$5:$B$195, 2, 0), "Others"))</f>
        <v>L5 Crypt</v>
      </c>
    </row>
    <row r="1541" spans="1:6" x14ac:dyDescent="0.25">
      <c r="A1541" s="14">
        <v>46146.179861111108</v>
      </c>
      <c r="B1541" s="79" t="s">
        <v>149</v>
      </c>
      <c r="C1541" s="79" t="s">
        <v>173</v>
      </c>
      <c r="D1541" s="79" t="s">
        <v>191</v>
      </c>
      <c r="E1541" s="79" t="s">
        <v>50</v>
      </c>
      <c r="F1541" s="79" t="str">
        <f>IF(E1541="", "", IF(COUNTIF(ChestType!$A$5:$A$195, E1541)&gt;0, VLOOKUP(E1541, ChestType!$A$5:$B$195, 2, 0), "Others"))</f>
        <v>L10 Crypt</v>
      </c>
    </row>
    <row r="1542" spans="1:6" x14ac:dyDescent="0.25">
      <c r="A1542" s="14">
        <v>46146.179861111108</v>
      </c>
      <c r="B1542" s="79" t="s">
        <v>149</v>
      </c>
      <c r="C1542" s="79" t="s">
        <v>151</v>
      </c>
      <c r="D1542" s="79" t="s">
        <v>157</v>
      </c>
      <c r="E1542" s="79" t="s">
        <v>52</v>
      </c>
      <c r="F1542" s="79" t="str">
        <f>IF(E1542="", "", IF(COUNTIF(ChestType!$A$5:$A$195, E1542)&gt;0, VLOOKUP(E1542, ChestType!$A$5:$B$195, 2, 0), "Others"))</f>
        <v>L5 Crypt</v>
      </c>
    </row>
    <row r="1543" spans="1:6" x14ac:dyDescent="0.25">
      <c r="A1543" s="14">
        <v>46146.179861111108</v>
      </c>
      <c r="B1543" s="79" t="s">
        <v>149</v>
      </c>
      <c r="C1543" s="79" t="s">
        <v>192</v>
      </c>
      <c r="D1543" s="79" t="s">
        <v>164</v>
      </c>
      <c r="E1543" s="79" t="s">
        <v>60</v>
      </c>
      <c r="F1543" s="79" t="str">
        <f>IF(E1543="", "", IF(COUNTIF(ChestType!$A$5:$A$195, E1543)&gt;0, VLOOKUP(E1543, ChestType!$A$5:$B$195, 2, 0), "Others"))</f>
        <v>Others</v>
      </c>
    </row>
    <row r="1544" spans="1:6" x14ac:dyDescent="0.25">
      <c r="A1544" s="14">
        <v>46146.179861111108</v>
      </c>
      <c r="B1544" s="79" t="s">
        <v>149</v>
      </c>
      <c r="C1544" s="79" t="s">
        <v>177</v>
      </c>
      <c r="D1544" s="79" t="s">
        <v>156</v>
      </c>
      <c r="E1544" s="79" t="s">
        <v>49</v>
      </c>
      <c r="F1544" s="79" t="str">
        <f>IF(E1544="", "", IF(COUNTIF(ChestType!$A$5:$A$195, E1544)&gt;0, VLOOKUP(E1544, ChestType!$A$5:$B$195, 2, 0), "Others"))</f>
        <v>L15 Crypt</v>
      </c>
    </row>
    <row r="1545" spans="1:6" x14ac:dyDescent="0.25">
      <c r="A1545" s="14">
        <v>46146.179861111108</v>
      </c>
      <c r="B1545" s="79" t="s">
        <v>149</v>
      </c>
      <c r="C1545" s="79" t="s">
        <v>171</v>
      </c>
      <c r="D1545" s="79" t="s">
        <v>221</v>
      </c>
      <c r="E1545" s="79" t="s">
        <v>50</v>
      </c>
      <c r="F1545" s="79" t="str">
        <f>IF(E1545="", "", IF(COUNTIF(ChestType!$A$5:$A$195, E1545)&gt;0, VLOOKUP(E1545, ChestType!$A$5:$B$195, 2, 0), "Others"))</f>
        <v>L10 Crypt</v>
      </c>
    </row>
    <row r="1546" spans="1:6" x14ac:dyDescent="0.25">
      <c r="A1546" s="14">
        <v>46146.179861111108</v>
      </c>
      <c r="B1546" s="79" t="s">
        <v>149</v>
      </c>
      <c r="C1546" s="79" t="s">
        <v>175</v>
      </c>
      <c r="D1546" s="79" t="s">
        <v>199</v>
      </c>
      <c r="E1546" s="79" t="s">
        <v>50</v>
      </c>
      <c r="F1546" s="79" t="str">
        <f>IF(E1546="", "", IF(COUNTIF(ChestType!$A$5:$A$195, E1546)&gt;0, VLOOKUP(E1546, ChestType!$A$5:$B$195, 2, 0), "Others"))</f>
        <v>L10 Crypt</v>
      </c>
    </row>
    <row r="1547" spans="1:6" x14ac:dyDescent="0.25">
      <c r="A1547" s="14">
        <v>46146.179861111108</v>
      </c>
      <c r="B1547" s="79" t="s">
        <v>149</v>
      </c>
      <c r="C1547" s="79" t="s">
        <v>173</v>
      </c>
      <c r="D1547" s="79" t="s">
        <v>265</v>
      </c>
      <c r="E1547" s="79" t="s">
        <v>49</v>
      </c>
      <c r="F1547" s="79" t="str">
        <f>IF(E1547="", "", IF(COUNTIF(ChestType!$A$5:$A$195, E1547)&gt;0, VLOOKUP(E1547, ChestType!$A$5:$B$195, 2, 0), "Others"))</f>
        <v>L15 Crypt</v>
      </c>
    </row>
    <row r="1548" spans="1:6" x14ac:dyDescent="0.25">
      <c r="A1548" s="14">
        <v>46146.179861111108</v>
      </c>
      <c r="B1548" s="79" t="s">
        <v>149</v>
      </c>
      <c r="C1548" s="79" t="s">
        <v>173</v>
      </c>
      <c r="D1548" s="79" t="s">
        <v>265</v>
      </c>
      <c r="E1548" s="79" t="s">
        <v>49</v>
      </c>
      <c r="F1548" s="79" t="str">
        <f>IF(E1548="", "", IF(COUNTIF(ChestType!$A$5:$A$195, E1548)&gt;0, VLOOKUP(E1548, ChestType!$A$5:$B$195, 2, 0), "Others"))</f>
        <v>L15 Crypt</v>
      </c>
    </row>
    <row r="1549" spans="1:6" x14ac:dyDescent="0.25">
      <c r="A1549" s="14">
        <v>46146.179861111108</v>
      </c>
      <c r="B1549" s="79" t="s">
        <v>149</v>
      </c>
      <c r="C1549" s="79" t="s">
        <v>173</v>
      </c>
      <c r="D1549" s="79" t="s">
        <v>265</v>
      </c>
      <c r="E1549" s="79" t="s">
        <v>49</v>
      </c>
      <c r="F1549" s="79" t="str">
        <f>IF(E1549="", "", IF(COUNTIF(ChestType!$A$5:$A$195, E1549)&gt;0, VLOOKUP(E1549, ChestType!$A$5:$B$195, 2, 0), "Others"))</f>
        <v>L15 Crypt</v>
      </c>
    </row>
    <row r="1550" spans="1:6" x14ac:dyDescent="0.25">
      <c r="A1550" s="14">
        <v>46146.179861111108</v>
      </c>
      <c r="B1550" s="79" t="s">
        <v>149</v>
      </c>
      <c r="C1550" s="79" t="s">
        <v>173</v>
      </c>
      <c r="D1550" s="79" t="s">
        <v>265</v>
      </c>
      <c r="E1550" s="79" t="s">
        <v>49</v>
      </c>
      <c r="F1550" s="79" t="str">
        <f>IF(E1550="", "", IF(COUNTIF(ChestType!$A$5:$A$195, E1550)&gt;0, VLOOKUP(E1550, ChestType!$A$5:$B$195, 2, 0), "Others"))</f>
        <v>L15 Crypt</v>
      </c>
    </row>
    <row r="1551" spans="1:6" x14ac:dyDescent="0.25">
      <c r="A1551" s="14">
        <v>46146.179861111108</v>
      </c>
      <c r="B1551" s="79" t="s">
        <v>149</v>
      </c>
      <c r="C1551" s="79" t="s">
        <v>173</v>
      </c>
      <c r="D1551" s="79" t="s">
        <v>265</v>
      </c>
      <c r="E1551" s="79" t="s">
        <v>49</v>
      </c>
      <c r="F1551" s="79" t="str">
        <f>IF(E1551="", "", IF(COUNTIF(ChestType!$A$5:$A$195, E1551)&gt;0, VLOOKUP(E1551, ChestType!$A$5:$B$195, 2, 0), "Others"))</f>
        <v>L15 Crypt</v>
      </c>
    </row>
    <row r="1552" spans="1:6" x14ac:dyDescent="0.25">
      <c r="A1552" s="14">
        <v>46146.179861111108</v>
      </c>
      <c r="B1552" s="79" t="s">
        <v>149</v>
      </c>
      <c r="C1552" s="79" t="s">
        <v>173</v>
      </c>
      <c r="D1552" s="79" t="s">
        <v>265</v>
      </c>
      <c r="E1552" s="79" t="s">
        <v>49</v>
      </c>
      <c r="F1552" s="79" t="str">
        <f>IF(E1552="", "", IF(COUNTIF(ChestType!$A$5:$A$195, E1552)&gt;0, VLOOKUP(E1552, ChestType!$A$5:$B$195, 2, 0), "Others"))</f>
        <v>L15 Crypt</v>
      </c>
    </row>
    <row r="1553" spans="1:6" x14ac:dyDescent="0.25">
      <c r="A1553" s="14">
        <v>46146.179861111108</v>
      </c>
      <c r="B1553" s="79" t="s">
        <v>149</v>
      </c>
      <c r="C1553" s="79" t="s">
        <v>173</v>
      </c>
      <c r="D1553" s="79" t="s">
        <v>265</v>
      </c>
      <c r="E1553" s="79" t="s">
        <v>49</v>
      </c>
      <c r="F1553" s="79" t="str">
        <f>IF(E1553="", "", IF(COUNTIF(ChestType!$A$5:$A$195, E1553)&gt;0, VLOOKUP(E1553, ChestType!$A$5:$B$195, 2, 0), "Others"))</f>
        <v>L15 Crypt</v>
      </c>
    </row>
    <row r="1554" spans="1:6" x14ac:dyDescent="0.25">
      <c r="A1554" s="14">
        <v>46146.179861111108</v>
      </c>
      <c r="B1554" s="79" t="s">
        <v>149</v>
      </c>
      <c r="C1554" s="79" t="s">
        <v>173</v>
      </c>
      <c r="D1554" s="79" t="s">
        <v>265</v>
      </c>
      <c r="E1554" s="79" t="s">
        <v>49</v>
      </c>
      <c r="F1554" s="79" t="str">
        <f>IF(E1554="", "", IF(COUNTIF(ChestType!$A$5:$A$195, E1554)&gt;0, VLOOKUP(E1554, ChestType!$A$5:$B$195, 2, 0), "Others"))</f>
        <v>L15 Crypt</v>
      </c>
    </row>
    <row r="1555" spans="1:6" x14ac:dyDescent="0.25">
      <c r="A1555" s="14">
        <v>46146.179861111108</v>
      </c>
      <c r="B1555" s="79" t="s">
        <v>149</v>
      </c>
      <c r="C1555" s="79" t="s">
        <v>173</v>
      </c>
      <c r="D1555" s="79" t="s">
        <v>265</v>
      </c>
      <c r="E1555" s="79" t="s">
        <v>49</v>
      </c>
      <c r="F1555" s="79" t="str">
        <f>IF(E1555="", "", IF(COUNTIF(ChestType!$A$5:$A$195, E1555)&gt;0, VLOOKUP(E1555, ChestType!$A$5:$B$195, 2, 0), "Others"))</f>
        <v>L15 Crypt</v>
      </c>
    </row>
    <row r="1556" spans="1:6" x14ac:dyDescent="0.25">
      <c r="A1556" s="14">
        <v>46146.179861111108</v>
      </c>
      <c r="B1556" s="79" t="s">
        <v>149</v>
      </c>
      <c r="C1556" s="79" t="s">
        <v>151</v>
      </c>
      <c r="D1556" s="79" t="s">
        <v>265</v>
      </c>
      <c r="E1556" s="79" t="s">
        <v>49</v>
      </c>
      <c r="F1556" s="79" t="str">
        <f>IF(E1556="", "", IF(COUNTIF(ChestType!$A$5:$A$195, E1556)&gt;0, VLOOKUP(E1556, ChestType!$A$5:$B$195, 2, 0), "Others"))</f>
        <v>L15 Crypt</v>
      </c>
    </row>
    <row r="1557" spans="1:6" x14ac:dyDescent="0.25">
      <c r="A1557" s="14">
        <v>46146.179861111108</v>
      </c>
      <c r="B1557" s="79" t="s">
        <v>149</v>
      </c>
      <c r="C1557" s="79" t="s">
        <v>151</v>
      </c>
      <c r="D1557" s="79" t="s">
        <v>265</v>
      </c>
      <c r="E1557" s="79" t="s">
        <v>49</v>
      </c>
      <c r="F1557" s="79" t="str">
        <f>IF(E1557="", "", IF(COUNTIF(ChestType!$A$5:$A$195, E1557)&gt;0, VLOOKUP(E1557, ChestType!$A$5:$B$195, 2, 0), "Others"))</f>
        <v>L15 Crypt</v>
      </c>
    </row>
    <row r="1558" spans="1:6" x14ac:dyDescent="0.25">
      <c r="A1558" s="14">
        <v>46146.179861111108</v>
      </c>
      <c r="B1558" s="79" t="s">
        <v>149</v>
      </c>
      <c r="C1558" s="79" t="s">
        <v>151</v>
      </c>
      <c r="D1558" s="79" t="s">
        <v>265</v>
      </c>
      <c r="E1558" s="79" t="s">
        <v>49</v>
      </c>
      <c r="F1558" s="79" t="str">
        <f>IF(E1558="", "", IF(COUNTIF(ChestType!$A$5:$A$195, E1558)&gt;0, VLOOKUP(E1558, ChestType!$A$5:$B$195, 2, 0), "Others"))</f>
        <v>L15 Crypt</v>
      </c>
    </row>
    <row r="1559" spans="1:6" x14ac:dyDescent="0.25">
      <c r="A1559" s="14">
        <v>46146.179861111108</v>
      </c>
      <c r="B1559" s="79" t="s">
        <v>149</v>
      </c>
      <c r="C1559" s="79" t="s">
        <v>151</v>
      </c>
      <c r="D1559" s="79" t="s">
        <v>265</v>
      </c>
      <c r="E1559" s="79" t="s">
        <v>49</v>
      </c>
      <c r="F1559" s="79" t="str">
        <f>IF(E1559="", "", IF(COUNTIF(ChestType!$A$5:$A$195, E1559)&gt;0, VLOOKUP(E1559, ChestType!$A$5:$B$195, 2, 0), "Others"))</f>
        <v>L15 Crypt</v>
      </c>
    </row>
    <row r="1560" spans="1:6" x14ac:dyDescent="0.25">
      <c r="A1560" s="14">
        <v>46146.179861111108</v>
      </c>
      <c r="B1560" s="79" t="s">
        <v>149</v>
      </c>
      <c r="C1560" s="79" t="s">
        <v>151</v>
      </c>
      <c r="D1560" s="79" t="s">
        <v>265</v>
      </c>
      <c r="E1560" s="79" t="s">
        <v>49</v>
      </c>
      <c r="F1560" s="79" t="str">
        <f>IF(E1560="", "", IF(COUNTIF(ChestType!$A$5:$A$195, E1560)&gt;0, VLOOKUP(E1560, ChestType!$A$5:$B$195, 2, 0), "Others"))</f>
        <v>L15 Crypt</v>
      </c>
    </row>
    <row r="1561" spans="1:6" x14ac:dyDescent="0.25">
      <c r="A1561" s="14">
        <v>46146.179861111108</v>
      </c>
      <c r="B1561" s="79" t="s">
        <v>149</v>
      </c>
      <c r="C1561" s="79" t="s">
        <v>151</v>
      </c>
      <c r="D1561" s="79" t="s">
        <v>265</v>
      </c>
      <c r="E1561" s="79" t="s">
        <v>49</v>
      </c>
      <c r="F1561" s="79" t="str">
        <f>IF(E1561="", "", IF(COUNTIF(ChestType!$A$5:$A$195, E1561)&gt;0, VLOOKUP(E1561, ChestType!$A$5:$B$195, 2, 0), "Others"))</f>
        <v>L15 Crypt</v>
      </c>
    </row>
    <row r="1562" spans="1:6" x14ac:dyDescent="0.25">
      <c r="A1562" s="14">
        <v>46146.179861111108</v>
      </c>
      <c r="B1562" s="79" t="s">
        <v>149</v>
      </c>
      <c r="C1562" s="79" t="s">
        <v>151</v>
      </c>
      <c r="D1562" s="79" t="s">
        <v>265</v>
      </c>
      <c r="E1562" s="79" t="s">
        <v>49</v>
      </c>
      <c r="F1562" s="79" t="str">
        <f>IF(E1562="", "", IF(COUNTIF(ChestType!$A$5:$A$195, E1562)&gt;0, VLOOKUP(E1562, ChestType!$A$5:$B$195, 2, 0), "Others"))</f>
        <v>L15 Crypt</v>
      </c>
    </row>
    <row r="1563" spans="1:6" x14ac:dyDescent="0.25">
      <c r="A1563" s="14">
        <v>46146.179861111108</v>
      </c>
      <c r="B1563" s="79" t="s">
        <v>149</v>
      </c>
      <c r="C1563" s="79" t="s">
        <v>151</v>
      </c>
      <c r="D1563" s="79" t="s">
        <v>265</v>
      </c>
      <c r="E1563" s="79" t="s">
        <v>49</v>
      </c>
      <c r="F1563" s="79" t="str">
        <f>IF(E1563="", "", IF(COUNTIF(ChestType!$A$5:$A$195, E1563)&gt;0, VLOOKUP(E1563, ChestType!$A$5:$B$195, 2, 0), "Others"))</f>
        <v>L15 Crypt</v>
      </c>
    </row>
    <row r="1564" spans="1:6" x14ac:dyDescent="0.25">
      <c r="A1564" s="14">
        <v>46146.179861111108</v>
      </c>
      <c r="B1564" s="79" t="s">
        <v>149</v>
      </c>
      <c r="C1564" s="79" t="s">
        <v>151</v>
      </c>
      <c r="D1564" s="79" t="s">
        <v>265</v>
      </c>
      <c r="E1564" s="79" t="s">
        <v>49</v>
      </c>
      <c r="F1564" s="79" t="str">
        <f>IF(E1564="", "", IF(COUNTIF(ChestType!$A$5:$A$195, E1564)&gt;0, VLOOKUP(E1564, ChestType!$A$5:$B$195, 2, 0), "Others"))</f>
        <v>L15 Crypt</v>
      </c>
    </row>
    <row r="1565" spans="1:6" x14ac:dyDescent="0.25">
      <c r="A1565" s="14">
        <v>46146.179861111108</v>
      </c>
      <c r="B1565" s="79" t="s">
        <v>149</v>
      </c>
      <c r="C1565" s="79" t="s">
        <v>187</v>
      </c>
      <c r="D1565" s="79" t="s">
        <v>265</v>
      </c>
      <c r="E1565" s="79" t="s">
        <v>75</v>
      </c>
      <c r="F1565" s="79" t="str">
        <f>IF(E1565="", "", IF(COUNTIF(ChestType!$A$5:$A$195, E1565)&gt;0, VLOOKUP(E1565, ChestType!$A$5:$B$195, 2, 0), "Others"))</f>
        <v>L10 Rare Crypt</v>
      </c>
    </row>
    <row r="1566" spans="1:6" x14ac:dyDescent="0.25">
      <c r="A1566" s="14">
        <v>46146.179861111108</v>
      </c>
      <c r="B1566" s="79" t="s">
        <v>149</v>
      </c>
      <c r="C1566" s="79" t="s">
        <v>187</v>
      </c>
      <c r="D1566" s="79" t="s">
        <v>265</v>
      </c>
      <c r="E1566" s="79" t="s">
        <v>75</v>
      </c>
      <c r="F1566" s="79" t="str">
        <f>IF(E1566="", "", IF(COUNTIF(ChestType!$A$5:$A$195, E1566)&gt;0, VLOOKUP(E1566, ChestType!$A$5:$B$195, 2, 0), "Others"))</f>
        <v>L10 Rare Crypt</v>
      </c>
    </row>
    <row r="1567" spans="1:6" x14ac:dyDescent="0.25">
      <c r="A1567" s="14">
        <v>46146.179861111108</v>
      </c>
      <c r="B1567" s="79" t="s">
        <v>149</v>
      </c>
      <c r="C1567" s="79" t="s">
        <v>187</v>
      </c>
      <c r="D1567" s="79" t="s">
        <v>265</v>
      </c>
      <c r="E1567" s="79" t="s">
        <v>75</v>
      </c>
      <c r="F1567" s="79" t="str">
        <f>IF(E1567="", "", IF(COUNTIF(ChestType!$A$5:$A$195, E1567)&gt;0, VLOOKUP(E1567, ChestType!$A$5:$B$195, 2, 0), "Others"))</f>
        <v>L10 Rare Crypt</v>
      </c>
    </row>
    <row r="1568" spans="1:6" x14ac:dyDescent="0.25">
      <c r="A1568" s="14">
        <v>46146.179861111108</v>
      </c>
      <c r="B1568" s="79" t="s">
        <v>149</v>
      </c>
      <c r="C1568" s="79" t="s">
        <v>187</v>
      </c>
      <c r="D1568" s="79" t="s">
        <v>265</v>
      </c>
      <c r="E1568" s="79" t="s">
        <v>75</v>
      </c>
      <c r="F1568" s="79" t="str">
        <f>IF(E1568="", "", IF(COUNTIF(ChestType!$A$5:$A$195, E1568)&gt;0, VLOOKUP(E1568, ChestType!$A$5:$B$195, 2, 0), "Others"))</f>
        <v>L10 Rare Crypt</v>
      </c>
    </row>
    <row r="1569" spans="1:6" x14ac:dyDescent="0.25">
      <c r="A1569" s="14">
        <v>46146.179861111108</v>
      </c>
      <c r="B1569" s="79" t="s">
        <v>149</v>
      </c>
      <c r="C1569" s="79" t="s">
        <v>187</v>
      </c>
      <c r="D1569" s="79" t="s">
        <v>265</v>
      </c>
      <c r="E1569" s="79" t="s">
        <v>75</v>
      </c>
      <c r="F1569" s="79" t="str">
        <f>IF(E1569="", "", IF(COUNTIF(ChestType!$A$5:$A$195, E1569)&gt;0, VLOOKUP(E1569, ChestType!$A$5:$B$195, 2, 0), "Others"))</f>
        <v>L10 Rare Crypt</v>
      </c>
    </row>
    <row r="1570" spans="1:6" x14ac:dyDescent="0.25">
      <c r="A1570" s="14">
        <v>46146.179861111108</v>
      </c>
      <c r="B1570" s="79" t="s">
        <v>149</v>
      </c>
      <c r="C1570" s="79" t="s">
        <v>171</v>
      </c>
      <c r="D1570" s="79" t="s">
        <v>265</v>
      </c>
      <c r="E1570" s="79" t="s">
        <v>50</v>
      </c>
      <c r="F1570" s="79" t="str">
        <f>IF(E1570="", "", IF(COUNTIF(ChestType!$A$5:$A$195, E1570)&gt;0, VLOOKUP(E1570, ChestType!$A$5:$B$195, 2, 0), "Others"))</f>
        <v>L10 Crypt</v>
      </c>
    </row>
    <row r="1571" spans="1:6" x14ac:dyDescent="0.25">
      <c r="A1571" s="14">
        <v>46146.179861111108</v>
      </c>
      <c r="B1571" s="79" t="s">
        <v>149</v>
      </c>
      <c r="C1571" s="79" t="s">
        <v>171</v>
      </c>
      <c r="D1571" s="79" t="s">
        <v>265</v>
      </c>
      <c r="E1571" s="79" t="s">
        <v>50</v>
      </c>
      <c r="F1571" s="79" t="str">
        <f>IF(E1571="", "", IF(COUNTIF(ChestType!$A$5:$A$195, E1571)&gt;0, VLOOKUP(E1571, ChestType!$A$5:$B$195, 2, 0), "Others"))</f>
        <v>L10 Crypt</v>
      </c>
    </row>
    <row r="1572" spans="1:6" x14ac:dyDescent="0.25">
      <c r="A1572" s="14">
        <v>46146.179861111108</v>
      </c>
      <c r="B1572" s="79" t="s">
        <v>149</v>
      </c>
      <c r="C1572" s="79" t="s">
        <v>171</v>
      </c>
      <c r="D1572" s="79" t="s">
        <v>265</v>
      </c>
      <c r="E1572" s="79" t="s">
        <v>50</v>
      </c>
      <c r="F1572" s="79" t="str">
        <f>IF(E1572="", "", IF(COUNTIF(ChestType!$A$5:$A$195, E1572)&gt;0, VLOOKUP(E1572, ChestType!$A$5:$B$195, 2, 0), "Others"))</f>
        <v>L10 Crypt</v>
      </c>
    </row>
    <row r="1573" spans="1:6" x14ac:dyDescent="0.25">
      <c r="A1573" s="14">
        <v>46146.179861111108</v>
      </c>
      <c r="B1573" s="79" t="s">
        <v>149</v>
      </c>
      <c r="C1573" s="79" t="s">
        <v>171</v>
      </c>
      <c r="D1573" s="79" t="s">
        <v>265</v>
      </c>
      <c r="E1573" s="79" t="s">
        <v>50</v>
      </c>
      <c r="F1573" s="79" t="str">
        <f>IF(E1573="", "", IF(COUNTIF(ChestType!$A$5:$A$195, E1573)&gt;0, VLOOKUP(E1573, ChestType!$A$5:$B$195, 2, 0), "Others"))</f>
        <v>L10 Crypt</v>
      </c>
    </row>
    <row r="1574" spans="1:6" x14ac:dyDescent="0.25">
      <c r="A1574" s="14">
        <v>46146.179861111108</v>
      </c>
      <c r="B1574" s="79" t="s">
        <v>149</v>
      </c>
      <c r="C1574" s="79" t="s">
        <v>171</v>
      </c>
      <c r="D1574" s="79" t="s">
        <v>265</v>
      </c>
      <c r="E1574" s="79" t="s">
        <v>50</v>
      </c>
      <c r="F1574" s="79" t="str">
        <f>IF(E1574="", "", IF(COUNTIF(ChestType!$A$5:$A$195, E1574)&gt;0, VLOOKUP(E1574, ChestType!$A$5:$B$195, 2, 0), "Others"))</f>
        <v>L10 Crypt</v>
      </c>
    </row>
    <row r="1575" spans="1:6" x14ac:dyDescent="0.25">
      <c r="A1575" s="14">
        <v>46146.179861111108</v>
      </c>
      <c r="B1575" s="79" t="s">
        <v>149</v>
      </c>
      <c r="C1575" s="79" t="s">
        <v>171</v>
      </c>
      <c r="D1575" s="79" t="s">
        <v>265</v>
      </c>
      <c r="E1575" s="79" t="s">
        <v>50</v>
      </c>
      <c r="F1575" s="79" t="str">
        <f>IF(E1575="", "", IF(COUNTIF(ChestType!$A$5:$A$195, E1575)&gt;0, VLOOKUP(E1575, ChestType!$A$5:$B$195, 2, 0), "Others"))</f>
        <v>L10 Crypt</v>
      </c>
    </row>
    <row r="1576" spans="1:6" x14ac:dyDescent="0.25">
      <c r="A1576" s="14">
        <v>46146.179861111108</v>
      </c>
      <c r="B1576" s="79" t="s">
        <v>149</v>
      </c>
      <c r="C1576" s="79" t="s">
        <v>171</v>
      </c>
      <c r="D1576" s="79" t="s">
        <v>265</v>
      </c>
      <c r="E1576" s="79" t="s">
        <v>50</v>
      </c>
      <c r="F1576" s="79" t="str">
        <f>IF(E1576="", "", IF(COUNTIF(ChestType!$A$5:$A$195, E1576)&gt;0, VLOOKUP(E1576, ChestType!$A$5:$B$195, 2, 0), "Others"))</f>
        <v>L10 Crypt</v>
      </c>
    </row>
    <row r="1577" spans="1:6" x14ac:dyDescent="0.25">
      <c r="A1577" s="14">
        <v>46146.179861111108</v>
      </c>
      <c r="B1577" s="79" t="s">
        <v>149</v>
      </c>
      <c r="C1577" s="79" t="s">
        <v>171</v>
      </c>
      <c r="D1577" s="79" t="s">
        <v>265</v>
      </c>
      <c r="E1577" s="79" t="s">
        <v>50</v>
      </c>
      <c r="F1577" s="79" t="str">
        <f>IF(E1577="", "", IF(COUNTIF(ChestType!$A$5:$A$195, E1577)&gt;0, VLOOKUP(E1577, ChestType!$A$5:$B$195, 2, 0), "Others"))</f>
        <v>L10 Crypt</v>
      </c>
    </row>
    <row r="1578" spans="1:6" x14ac:dyDescent="0.25">
      <c r="A1578" s="14">
        <v>46146.179861111108</v>
      </c>
      <c r="B1578" s="79" t="s">
        <v>149</v>
      </c>
      <c r="C1578" s="79" t="s">
        <v>171</v>
      </c>
      <c r="D1578" s="79" t="s">
        <v>265</v>
      </c>
      <c r="E1578" s="79" t="s">
        <v>50</v>
      </c>
      <c r="F1578" s="79" t="str">
        <f>IF(E1578="", "", IF(COUNTIF(ChestType!$A$5:$A$195, E1578)&gt;0, VLOOKUP(E1578, ChestType!$A$5:$B$195, 2, 0), "Others"))</f>
        <v>L10 Crypt</v>
      </c>
    </row>
    <row r="1579" spans="1:6" x14ac:dyDescent="0.25">
      <c r="A1579" s="14">
        <v>46146.179861111108</v>
      </c>
      <c r="B1579" s="79" t="s">
        <v>149</v>
      </c>
      <c r="C1579" s="79" t="s">
        <v>171</v>
      </c>
      <c r="D1579" s="79" t="s">
        <v>265</v>
      </c>
      <c r="E1579" s="79" t="s">
        <v>50</v>
      </c>
      <c r="F1579" s="79" t="str">
        <f>IF(E1579="", "", IF(COUNTIF(ChestType!$A$5:$A$195, E1579)&gt;0, VLOOKUP(E1579, ChestType!$A$5:$B$195, 2, 0), "Others"))</f>
        <v>L10 Crypt</v>
      </c>
    </row>
    <row r="1580" spans="1:6" x14ac:dyDescent="0.25">
      <c r="A1580" s="14">
        <v>46146.179861111108</v>
      </c>
      <c r="B1580" s="79" t="s">
        <v>149</v>
      </c>
      <c r="C1580" s="79" t="s">
        <v>171</v>
      </c>
      <c r="D1580" s="79" t="s">
        <v>265</v>
      </c>
      <c r="E1580" s="79" t="s">
        <v>50</v>
      </c>
      <c r="F1580" s="79" t="str">
        <f>IF(E1580="", "", IF(COUNTIF(ChestType!$A$5:$A$195, E1580)&gt;0, VLOOKUP(E1580, ChestType!$A$5:$B$195, 2, 0), "Others"))</f>
        <v>L10 Crypt</v>
      </c>
    </row>
    <row r="1581" spans="1:6" x14ac:dyDescent="0.25">
      <c r="A1581" s="14">
        <v>46146.179861111108</v>
      </c>
      <c r="B1581" s="79" t="s">
        <v>149</v>
      </c>
      <c r="C1581" s="79" t="s">
        <v>171</v>
      </c>
      <c r="D1581" s="79" t="s">
        <v>265</v>
      </c>
      <c r="E1581" s="79" t="s">
        <v>50</v>
      </c>
      <c r="F1581" s="79" t="str">
        <f>IF(E1581="", "", IF(COUNTIF(ChestType!$A$5:$A$195, E1581)&gt;0, VLOOKUP(E1581, ChestType!$A$5:$B$195, 2, 0), "Others"))</f>
        <v>L10 Crypt</v>
      </c>
    </row>
    <row r="1582" spans="1:6" x14ac:dyDescent="0.25">
      <c r="A1582" s="14">
        <v>46146.179861111108</v>
      </c>
      <c r="B1582" s="79" t="s">
        <v>149</v>
      </c>
      <c r="C1582" s="79" t="s">
        <v>171</v>
      </c>
      <c r="D1582" s="79" t="s">
        <v>265</v>
      </c>
      <c r="E1582" s="79" t="s">
        <v>50</v>
      </c>
      <c r="F1582" s="79" t="str">
        <f>IF(E1582="", "", IF(COUNTIF(ChestType!$A$5:$A$195, E1582)&gt;0, VLOOKUP(E1582, ChestType!$A$5:$B$195, 2, 0), "Others"))</f>
        <v>L10 Crypt</v>
      </c>
    </row>
    <row r="1583" spans="1:6" x14ac:dyDescent="0.25">
      <c r="A1583" s="14">
        <v>46146.179861111108</v>
      </c>
      <c r="B1583" s="79" t="s">
        <v>149</v>
      </c>
      <c r="C1583" s="79" t="s">
        <v>171</v>
      </c>
      <c r="D1583" s="79" t="s">
        <v>265</v>
      </c>
      <c r="E1583" s="79" t="s">
        <v>50</v>
      </c>
      <c r="F1583" s="79" t="str">
        <f>IF(E1583="", "", IF(COUNTIF(ChestType!$A$5:$A$195, E1583)&gt;0, VLOOKUP(E1583, ChestType!$A$5:$B$195, 2, 0), "Others"))</f>
        <v>L10 Crypt</v>
      </c>
    </row>
    <row r="1584" spans="1:6" x14ac:dyDescent="0.25">
      <c r="A1584" s="14">
        <v>46146.179861111108</v>
      </c>
      <c r="B1584" s="79" t="s">
        <v>149</v>
      </c>
      <c r="C1584" s="79" t="s">
        <v>171</v>
      </c>
      <c r="D1584" s="79" t="s">
        <v>265</v>
      </c>
      <c r="E1584" s="79" t="s">
        <v>50</v>
      </c>
      <c r="F1584" s="79" t="str">
        <f>IF(E1584="", "", IF(COUNTIF(ChestType!$A$5:$A$195, E1584)&gt;0, VLOOKUP(E1584, ChestType!$A$5:$B$195, 2, 0), "Others"))</f>
        <v>L10 Crypt</v>
      </c>
    </row>
    <row r="1585" spans="1:6" x14ac:dyDescent="0.25">
      <c r="A1585" s="14">
        <v>46146.179861111108</v>
      </c>
      <c r="B1585" s="79" t="s">
        <v>149</v>
      </c>
      <c r="C1585" s="79" t="s">
        <v>171</v>
      </c>
      <c r="D1585" s="79" t="s">
        <v>265</v>
      </c>
      <c r="E1585" s="79" t="s">
        <v>50</v>
      </c>
      <c r="F1585" s="79" t="str">
        <f>IF(E1585="", "", IF(COUNTIF(ChestType!$A$5:$A$195, E1585)&gt;0, VLOOKUP(E1585, ChestType!$A$5:$B$195, 2, 0), "Others"))</f>
        <v>L10 Crypt</v>
      </c>
    </row>
    <row r="1586" spans="1:6" x14ac:dyDescent="0.25">
      <c r="A1586" s="14">
        <v>46146.179861111108</v>
      </c>
      <c r="B1586" s="79" t="s">
        <v>149</v>
      </c>
      <c r="C1586" s="79" t="s">
        <v>171</v>
      </c>
      <c r="D1586" s="79" t="s">
        <v>265</v>
      </c>
      <c r="E1586" s="79" t="s">
        <v>50</v>
      </c>
      <c r="F1586" s="79" t="str">
        <f>IF(E1586="", "", IF(COUNTIF(ChestType!$A$5:$A$195, E1586)&gt;0, VLOOKUP(E1586, ChestType!$A$5:$B$195, 2, 0), "Others"))</f>
        <v>L10 Crypt</v>
      </c>
    </row>
    <row r="1587" spans="1:6" x14ac:dyDescent="0.25">
      <c r="A1587" s="14">
        <v>46146.179861111108</v>
      </c>
      <c r="B1587" s="79" t="s">
        <v>149</v>
      </c>
      <c r="C1587" s="79" t="s">
        <v>171</v>
      </c>
      <c r="D1587" s="79" t="s">
        <v>265</v>
      </c>
      <c r="E1587" s="79" t="s">
        <v>50</v>
      </c>
      <c r="F1587" s="79" t="str">
        <f>IF(E1587="", "", IF(COUNTIF(ChestType!$A$5:$A$195, E1587)&gt;0, VLOOKUP(E1587, ChestType!$A$5:$B$195, 2, 0), "Others"))</f>
        <v>L10 Crypt</v>
      </c>
    </row>
    <row r="1588" spans="1:6" x14ac:dyDescent="0.25">
      <c r="A1588" s="14">
        <v>46146.179861111108</v>
      </c>
      <c r="B1588" s="79" t="s">
        <v>149</v>
      </c>
      <c r="C1588" s="79" t="s">
        <v>171</v>
      </c>
      <c r="D1588" s="79" t="s">
        <v>265</v>
      </c>
      <c r="E1588" s="79" t="s">
        <v>50</v>
      </c>
      <c r="F1588" s="79" t="str">
        <f>IF(E1588="", "", IF(COUNTIF(ChestType!$A$5:$A$195, E1588)&gt;0, VLOOKUP(E1588, ChestType!$A$5:$B$195, 2, 0), "Others"))</f>
        <v>L10 Crypt</v>
      </c>
    </row>
    <row r="1589" spans="1:6" x14ac:dyDescent="0.25">
      <c r="A1589" s="14">
        <v>46146.179861111108</v>
      </c>
      <c r="B1589" s="79" t="s">
        <v>149</v>
      </c>
      <c r="C1589" s="79" t="s">
        <v>171</v>
      </c>
      <c r="D1589" s="79" t="s">
        <v>169</v>
      </c>
      <c r="E1589" s="79" t="s">
        <v>50</v>
      </c>
      <c r="F1589" s="79" t="str">
        <f>IF(E1589="", "", IF(COUNTIF(ChestType!$A$5:$A$195, E1589)&gt;0, VLOOKUP(E1589, ChestType!$A$5:$B$195, 2, 0), "Others"))</f>
        <v>L10 Crypt</v>
      </c>
    </row>
    <row r="1590" spans="1:6" x14ac:dyDescent="0.25">
      <c r="A1590" s="14">
        <v>46146.179861111108</v>
      </c>
      <c r="B1590" s="79" t="s">
        <v>149</v>
      </c>
      <c r="C1590" s="79" t="s">
        <v>151</v>
      </c>
      <c r="D1590" s="79" t="s">
        <v>169</v>
      </c>
      <c r="E1590" s="79" t="s">
        <v>50</v>
      </c>
      <c r="F1590" s="79" t="str">
        <f>IF(E1590="", "", IF(COUNTIF(ChestType!$A$5:$A$195, E1590)&gt;0, VLOOKUP(E1590, ChestType!$A$5:$B$195, 2, 0), "Others"))</f>
        <v>L10 Crypt</v>
      </c>
    </row>
    <row r="1591" spans="1:6" x14ac:dyDescent="0.25">
      <c r="A1591" s="14">
        <v>46146.179861111108</v>
      </c>
      <c r="B1591" s="79" t="s">
        <v>149</v>
      </c>
      <c r="C1591" s="79" t="s">
        <v>184</v>
      </c>
      <c r="D1591" s="79" t="s">
        <v>169</v>
      </c>
      <c r="E1591" s="79" t="s">
        <v>52</v>
      </c>
      <c r="F1591" s="79" t="str">
        <f>IF(E1591="", "", IF(COUNTIF(ChestType!$A$5:$A$195, E1591)&gt;0, VLOOKUP(E1591, ChestType!$A$5:$B$195, 2, 0), "Others"))</f>
        <v>L5 Crypt</v>
      </c>
    </row>
    <row r="1592" spans="1:6" x14ac:dyDescent="0.25">
      <c r="A1592" s="14">
        <v>46146.179861111108</v>
      </c>
      <c r="B1592" s="79" t="s">
        <v>149</v>
      </c>
      <c r="C1592" s="79" t="s">
        <v>183</v>
      </c>
      <c r="D1592" s="79" t="s">
        <v>169</v>
      </c>
      <c r="E1592" s="79" t="s">
        <v>50</v>
      </c>
      <c r="F1592" s="79" t="str">
        <f>IF(E1592="", "", IF(COUNTIF(ChestType!$A$5:$A$195, E1592)&gt;0, VLOOKUP(E1592, ChestType!$A$5:$B$195, 2, 0), "Others"))</f>
        <v>L10 Crypt</v>
      </c>
    </row>
    <row r="1593" spans="1:6" x14ac:dyDescent="0.25">
      <c r="A1593" s="14">
        <v>46146.179861111108</v>
      </c>
      <c r="B1593" s="79" t="s">
        <v>149</v>
      </c>
      <c r="C1593" s="79" t="s">
        <v>176</v>
      </c>
      <c r="D1593" s="79" t="s">
        <v>204</v>
      </c>
      <c r="E1593" s="79" t="s">
        <v>70</v>
      </c>
      <c r="F1593" s="79" t="str">
        <f>IF(E1593="", "", IF(COUNTIF(ChestType!$A$5:$A$195, E1593)&gt;0, VLOOKUP(E1593, ChestType!$A$5:$B$195, 2, 0), "Others"))</f>
        <v>L10 Citadel</v>
      </c>
    </row>
    <row r="1594" spans="1:6" x14ac:dyDescent="0.25">
      <c r="A1594" s="14">
        <v>46146.179861111108</v>
      </c>
      <c r="B1594" s="79" t="s">
        <v>149</v>
      </c>
      <c r="C1594" s="79" t="s">
        <v>173</v>
      </c>
      <c r="D1594" s="79" t="s">
        <v>204</v>
      </c>
      <c r="E1594" s="79" t="s">
        <v>50</v>
      </c>
      <c r="F1594" s="79" t="str">
        <f>IF(E1594="", "", IF(COUNTIF(ChestType!$A$5:$A$195, E1594)&gt;0, VLOOKUP(E1594, ChestType!$A$5:$B$195, 2, 0), "Others"))</f>
        <v>L10 Crypt</v>
      </c>
    </row>
    <row r="1595" spans="1:6" x14ac:dyDescent="0.25">
      <c r="A1595" s="14">
        <v>46146.179861111108</v>
      </c>
      <c r="B1595" s="79" t="s">
        <v>149</v>
      </c>
      <c r="C1595" s="79" t="s">
        <v>171</v>
      </c>
      <c r="D1595" s="79" t="s">
        <v>204</v>
      </c>
      <c r="E1595" s="79" t="s">
        <v>50</v>
      </c>
      <c r="F1595" s="79" t="str">
        <f>IF(E1595="", "", IF(COUNTIF(ChestType!$A$5:$A$195, E1595)&gt;0, VLOOKUP(E1595, ChestType!$A$5:$B$195, 2, 0), "Others"))</f>
        <v>L10 Crypt</v>
      </c>
    </row>
    <row r="1596" spans="1:6" x14ac:dyDescent="0.25">
      <c r="A1596" s="14">
        <v>46146.179861111108</v>
      </c>
      <c r="B1596" s="79" t="s">
        <v>149</v>
      </c>
      <c r="C1596" s="79" t="s">
        <v>183</v>
      </c>
      <c r="D1596" s="79" t="s">
        <v>204</v>
      </c>
      <c r="E1596" s="79" t="s">
        <v>50</v>
      </c>
      <c r="F1596" s="79" t="str">
        <f>IF(E1596="", "", IF(COUNTIF(ChestType!$A$5:$A$195, E1596)&gt;0, VLOOKUP(E1596, ChestType!$A$5:$B$195, 2, 0), "Others"))</f>
        <v>L10 Crypt</v>
      </c>
    </row>
    <row r="1597" spans="1:6" x14ac:dyDescent="0.25">
      <c r="A1597" s="14">
        <v>46146.179861111108</v>
      </c>
      <c r="B1597" s="79" t="s">
        <v>149</v>
      </c>
      <c r="C1597" s="79" t="s">
        <v>192</v>
      </c>
      <c r="D1597" s="79" t="s">
        <v>266</v>
      </c>
      <c r="E1597" s="79" t="s">
        <v>60</v>
      </c>
      <c r="F1597" s="79" t="str">
        <f>IF(E1597="", "", IF(COUNTIF(ChestType!$A$5:$A$195, E1597)&gt;0, VLOOKUP(E1597, ChestType!$A$5:$B$195, 2, 0), "Others"))</f>
        <v>Others</v>
      </c>
    </row>
    <row r="1598" spans="1:6" x14ac:dyDescent="0.25">
      <c r="A1598" s="14">
        <v>46146.179861111108</v>
      </c>
      <c r="B1598" s="79" t="s">
        <v>149</v>
      </c>
      <c r="C1598" s="79" t="s">
        <v>184</v>
      </c>
      <c r="D1598" s="79" t="s">
        <v>153</v>
      </c>
      <c r="E1598" s="79" t="s">
        <v>50</v>
      </c>
      <c r="F1598" s="79" t="str">
        <f>IF(E1598="", "", IF(COUNTIF(ChestType!$A$5:$A$195, E1598)&gt;0, VLOOKUP(E1598, ChestType!$A$5:$B$195, 2, 0), "Others"))</f>
        <v>L10 Crypt</v>
      </c>
    </row>
    <row r="1599" spans="1:6" x14ac:dyDescent="0.25">
      <c r="A1599" s="14">
        <v>46146.179861111108</v>
      </c>
      <c r="B1599" s="79" t="s">
        <v>149</v>
      </c>
      <c r="C1599" s="79" t="s">
        <v>175</v>
      </c>
      <c r="D1599" s="79" t="s">
        <v>153</v>
      </c>
      <c r="E1599" s="79" t="s">
        <v>52</v>
      </c>
      <c r="F1599" s="79" t="str">
        <f>IF(E1599="", "", IF(COUNTIF(ChestType!$A$5:$A$195, E1599)&gt;0, VLOOKUP(E1599, ChestType!$A$5:$B$195, 2, 0), "Others"))</f>
        <v>L5 Crypt</v>
      </c>
    </row>
    <row r="1600" spans="1:6" x14ac:dyDescent="0.25">
      <c r="A1600" s="14">
        <v>46146.179861111108</v>
      </c>
      <c r="B1600" s="79" t="s">
        <v>149</v>
      </c>
      <c r="C1600" s="79" t="s">
        <v>174</v>
      </c>
      <c r="D1600" s="79" t="s">
        <v>199</v>
      </c>
      <c r="E1600" s="79" t="s">
        <v>64</v>
      </c>
      <c r="F1600" s="79" t="str">
        <f>IF(E1600="", "", IF(COUNTIF(ChestType!$A$5:$A$195, E1600)&gt;0, VLOOKUP(E1600, ChestType!$A$5:$B$195, 2, 0), "Others"))</f>
        <v>L15 Epic Crypt</v>
      </c>
    </row>
    <row r="1601" spans="1:6" x14ac:dyDescent="0.25">
      <c r="A1601" s="14">
        <v>46146.179861111108</v>
      </c>
      <c r="B1601" s="79" t="s">
        <v>149</v>
      </c>
      <c r="C1601" s="79" t="s">
        <v>184</v>
      </c>
      <c r="D1601" s="79" t="s">
        <v>153</v>
      </c>
      <c r="E1601" s="79" t="s">
        <v>52</v>
      </c>
      <c r="F1601" s="79" t="str">
        <f>IF(E1601="", "", IF(COUNTIF(ChestType!$A$5:$A$195, E1601)&gt;0, VLOOKUP(E1601, ChestType!$A$5:$B$195, 2, 0), "Others"))</f>
        <v>L5 Crypt</v>
      </c>
    </row>
    <row r="1602" spans="1:6" x14ac:dyDescent="0.25">
      <c r="A1602" s="14">
        <v>46146.179861111108</v>
      </c>
      <c r="B1602" s="79" t="s">
        <v>149</v>
      </c>
      <c r="C1602" s="79" t="s">
        <v>192</v>
      </c>
      <c r="D1602" s="79" t="s">
        <v>153</v>
      </c>
      <c r="E1602" s="79" t="s">
        <v>60</v>
      </c>
      <c r="F1602" s="79" t="str">
        <f>IF(E1602="", "", IF(COUNTIF(ChestType!$A$5:$A$195, E1602)&gt;0, VLOOKUP(E1602, ChestType!$A$5:$B$195, 2, 0), "Others"))</f>
        <v>Others</v>
      </c>
    </row>
    <row r="1603" spans="1:6" x14ac:dyDescent="0.25">
      <c r="A1603" s="14">
        <v>46146.179861111108</v>
      </c>
      <c r="B1603" s="79" t="s">
        <v>149</v>
      </c>
      <c r="C1603" s="79" t="s">
        <v>175</v>
      </c>
      <c r="D1603" s="79" t="s">
        <v>150</v>
      </c>
      <c r="E1603" s="79" t="s">
        <v>50</v>
      </c>
      <c r="F1603" s="79" t="str">
        <f>IF(E1603="", "", IF(COUNTIF(ChestType!$A$5:$A$195, E1603)&gt;0, VLOOKUP(E1603, ChestType!$A$5:$B$195, 2, 0), "Others"))</f>
        <v>L10 Crypt</v>
      </c>
    </row>
    <row r="1604" spans="1:6" x14ac:dyDescent="0.25">
      <c r="A1604" s="14">
        <v>46146.179861111108</v>
      </c>
      <c r="B1604" s="79" t="s">
        <v>149</v>
      </c>
      <c r="C1604" s="79" t="s">
        <v>213</v>
      </c>
      <c r="D1604" s="79" t="s">
        <v>153</v>
      </c>
      <c r="E1604" s="79" t="s">
        <v>64</v>
      </c>
      <c r="F1604" s="79" t="str">
        <f>IF(E1604="", "", IF(COUNTIF(ChestType!$A$5:$A$195, E1604)&gt;0, VLOOKUP(E1604, ChestType!$A$5:$B$195, 2, 0), "Others"))</f>
        <v>L15 Epic Crypt</v>
      </c>
    </row>
    <row r="1605" spans="1:6" x14ac:dyDescent="0.25">
      <c r="A1605" s="14">
        <v>46146.179861111108</v>
      </c>
      <c r="B1605" s="79" t="s">
        <v>149</v>
      </c>
      <c r="C1605" s="79" t="s">
        <v>151</v>
      </c>
      <c r="D1605" s="79" t="s">
        <v>169</v>
      </c>
      <c r="E1605" s="79" t="s">
        <v>52</v>
      </c>
      <c r="F1605" s="79" t="str">
        <f>IF(E1605="", "", IF(COUNTIF(ChestType!$A$5:$A$195, E1605)&gt;0, VLOOKUP(E1605, ChestType!$A$5:$B$195, 2, 0), "Others"))</f>
        <v>L5 Crypt</v>
      </c>
    </row>
    <row r="1606" spans="1:6" x14ac:dyDescent="0.25">
      <c r="A1606" s="14">
        <v>46146.179861111108</v>
      </c>
      <c r="B1606" s="79" t="s">
        <v>149</v>
      </c>
      <c r="C1606" s="79" t="s">
        <v>190</v>
      </c>
      <c r="D1606" s="79" t="s">
        <v>150</v>
      </c>
      <c r="E1606" s="79" t="s">
        <v>50</v>
      </c>
      <c r="F1606" s="79" t="str">
        <f>IF(E1606="", "", IF(COUNTIF(ChestType!$A$5:$A$195, E1606)&gt;0, VLOOKUP(E1606, ChestType!$A$5:$B$195, 2, 0), "Others"))</f>
        <v>L10 Crypt</v>
      </c>
    </row>
    <row r="1607" spans="1:6" x14ac:dyDescent="0.25">
      <c r="A1607" s="14">
        <v>46146.179861111108</v>
      </c>
      <c r="B1607" s="79" t="s">
        <v>149</v>
      </c>
      <c r="C1607" s="79" t="s">
        <v>175</v>
      </c>
      <c r="D1607" s="79" t="s">
        <v>169</v>
      </c>
      <c r="E1607" s="79" t="s">
        <v>52</v>
      </c>
      <c r="F1607" s="79" t="str">
        <f>IF(E1607="", "", IF(COUNTIF(ChestType!$A$5:$A$195, E1607)&gt;0, VLOOKUP(E1607, ChestType!$A$5:$B$195, 2, 0), "Others"))</f>
        <v>L5 Crypt</v>
      </c>
    </row>
    <row r="1608" spans="1:6" x14ac:dyDescent="0.25">
      <c r="A1608" s="14">
        <v>46146.179861111108</v>
      </c>
      <c r="B1608" s="79" t="s">
        <v>149</v>
      </c>
      <c r="C1608" s="79" t="s">
        <v>182</v>
      </c>
      <c r="D1608" s="79" t="s">
        <v>169</v>
      </c>
      <c r="E1608" s="79" t="s">
        <v>52</v>
      </c>
      <c r="F1608" s="79" t="str">
        <f>IF(E1608="", "", IF(COUNTIF(ChestType!$A$5:$A$195, E1608)&gt;0, VLOOKUP(E1608, ChestType!$A$5:$B$195, 2, 0), "Others"))</f>
        <v>L5 Crypt</v>
      </c>
    </row>
    <row r="1609" spans="1:6" x14ac:dyDescent="0.25">
      <c r="A1609" s="14">
        <v>46146.179861111108</v>
      </c>
      <c r="B1609" s="79" t="s">
        <v>149</v>
      </c>
      <c r="C1609" s="79" t="s">
        <v>173</v>
      </c>
      <c r="D1609" s="79" t="s">
        <v>169</v>
      </c>
      <c r="E1609" s="79" t="s">
        <v>52</v>
      </c>
      <c r="F1609" s="79" t="str">
        <f>IF(E1609="", "", IF(COUNTIF(ChestType!$A$5:$A$195, E1609)&gt;0, VLOOKUP(E1609, ChestType!$A$5:$B$195, 2, 0), "Others"))</f>
        <v>L5 Crypt</v>
      </c>
    </row>
    <row r="1610" spans="1:6" x14ac:dyDescent="0.25">
      <c r="A1610" s="14">
        <v>46146.179861111108</v>
      </c>
      <c r="B1610" s="79" t="s">
        <v>149</v>
      </c>
      <c r="C1610" s="79" t="s">
        <v>182</v>
      </c>
      <c r="D1610" s="79" t="s">
        <v>169</v>
      </c>
      <c r="E1610" s="79" t="s">
        <v>52</v>
      </c>
      <c r="F1610" s="79" t="str">
        <f>IF(E1610="", "", IF(COUNTIF(ChestType!$A$5:$A$195, E1610)&gt;0, VLOOKUP(E1610, ChestType!$A$5:$B$195, 2, 0), "Others"))</f>
        <v>L5 Crypt</v>
      </c>
    </row>
    <row r="1611" spans="1:6" x14ac:dyDescent="0.25">
      <c r="A1611" s="14">
        <v>46146.179861111108</v>
      </c>
      <c r="B1611" s="79" t="s">
        <v>149</v>
      </c>
      <c r="C1611" s="79" t="s">
        <v>183</v>
      </c>
      <c r="D1611" s="79" t="s">
        <v>150</v>
      </c>
      <c r="E1611" s="79" t="s">
        <v>50</v>
      </c>
      <c r="F1611" s="79" t="str">
        <f>IF(E1611="", "", IF(COUNTIF(ChestType!$A$5:$A$195, E1611)&gt;0, VLOOKUP(E1611, ChestType!$A$5:$B$195, 2, 0), "Others"))</f>
        <v>L10 Crypt</v>
      </c>
    </row>
    <row r="1612" spans="1:6" x14ac:dyDescent="0.25">
      <c r="A1612" s="14">
        <v>46146.179861111108</v>
      </c>
      <c r="B1612" s="79" t="s">
        <v>149</v>
      </c>
      <c r="C1612" s="79" t="s">
        <v>184</v>
      </c>
      <c r="D1612" s="79" t="s">
        <v>155</v>
      </c>
      <c r="E1612" s="79" t="s">
        <v>50</v>
      </c>
      <c r="F1612" s="79" t="str">
        <f>IF(E1612="", "", IF(COUNTIF(ChestType!$A$5:$A$195, E1612)&gt;0, VLOOKUP(E1612, ChestType!$A$5:$B$195, 2, 0), "Others"))</f>
        <v>L10 Crypt</v>
      </c>
    </row>
    <row r="1613" spans="1:6" x14ac:dyDescent="0.25">
      <c r="A1613" s="14">
        <v>46146.179861111108</v>
      </c>
      <c r="B1613" s="79" t="s">
        <v>149</v>
      </c>
      <c r="C1613" s="79" t="s">
        <v>190</v>
      </c>
      <c r="D1613" s="79" t="s">
        <v>169</v>
      </c>
      <c r="E1613" s="79" t="s">
        <v>50</v>
      </c>
      <c r="F1613" s="79" t="str">
        <f>IF(E1613="", "", IF(COUNTIF(ChestType!$A$5:$A$195, E1613)&gt;0, VLOOKUP(E1613, ChestType!$A$5:$B$195, 2, 0), "Others"))</f>
        <v>L10 Crypt</v>
      </c>
    </row>
    <row r="1614" spans="1:6" x14ac:dyDescent="0.25">
      <c r="A1614" s="14">
        <v>46146.179861111108</v>
      </c>
      <c r="B1614" s="79" t="s">
        <v>149</v>
      </c>
      <c r="C1614" s="79" t="s">
        <v>183</v>
      </c>
      <c r="D1614" s="79" t="s">
        <v>153</v>
      </c>
      <c r="E1614" s="79" t="s">
        <v>50</v>
      </c>
      <c r="F1614" s="79" t="str">
        <f>IF(E1614="", "", IF(COUNTIF(ChestType!$A$5:$A$195, E1614)&gt;0, VLOOKUP(E1614, ChestType!$A$5:$B$195, 2, 0), "Others"))</f>
        <v>L10 Crypt</v>
      </c>
    </row>
    <row r="1615" spans="1:6" x14ac:dyDescent="0.25">
      <c r="A1615" s="14">
        <v>46146.179861111108</v>
      </c>
      <c r="B1615" s="79" t="s">
        <v>149</v>
      </c>
      <c r="C1615" s="79" t="s">
        <v>171</v>
      </c>
      <c r="D1615" s="79" t="s">
        <v>155</v>
      </c>
      <c r="E1615" s="79" t="s">
        <v>50</v>
      </c>
      <c r="F1615" s="79" t="str">
        <f>IF(E1615="", "", IF(COUNTIF(ChestType!$A$5:$A$195, E1615)&gt;0, VLOOKUP(E1615, ChestType!$A$5:$B$195, 2, 0), "Others"))</f>
        <v>L10 Crypt</v>
      </c>
    </row>
    <row r="1616" spans="1:6" x14ac:dyDescent="0.25">
      <c r="A1616" s="14">
        <v>46146.179861111108</v>
      </c>
      <c r="B1616" s="79" t="s">
        <v>149</v>
      </c>
      <c r="C1616" s="79" t="s">
        <v>171</v>
      </c>
      <c r="D1616" s="79" t="s">
        <v>155</v>
      </c>
      <c r="E1616" s="79" t="s">
        <v>50</v>
      </c>
      <c r="F1616" s="79" t="str">
        <f>IF(E1616="", "", IF(COUNTIF(ChestType!$A$5:$A$195, E1616)&gt;0, VLOOKUP(E1616, ChestType!$A$5:$B$195, 2, 0), "Others"))</f>
        <v>L10 Crypt</v>
      </c>
    </row>
    <row r="1617" spans="1:6" x14ac:dyDescent="0.25">
      <c r="A1617" s="14">
        <v>46146.179861111108</v>
      </c>
      <c r="B1617" s="79" t="s">
        <v>149</v>
      </c>
      <c r="C1617" s="79" t="s">
        <v>182</v>
      </c>
      <c r="D1617" s="79" t="s">
        <v>155</v>
      </c>
      <c r="E1617" s="79" t="s">
        <v>50</v>
      </c>
      <c r="F1617" s="79" t="str">
        <f>IF(E1617="", "", IF(COUNTIF(ChestType!$A$5:$A$195, E1617)&gt;0, VLOOKUP(E1617, ChestType!$A$5:$B$195, 2, 0), "Others"))</f>
        <v>L10 Crypt</v>
      </c>
    </row>
    <row r="1618" spans="1:6" x14ac:dyDescent="0.25">
      <c r="A1618" s="14">
        <v>46146.179861111108</v>
      </c>
      <c r="B1618" s="79" t="s">
        <v>149</v>
      </c>
      <c r="C1618" s="79" t="s">
        <v>183</v>
      </c>
      <c r="D1618" s="79" t="s">
        <v>155</v>
      </c>
      <c r="E1618" s="79" t="s">
        <v>50</v>
      </c>
      <c r="F1618" s="79" t="str">
        <f>IF(E1618="", "", IF(COUNTIF(ChestType!$A$5:$A$195, E1618)&gt;0, VLOOKUP(E1618, ChestType!$A$5:$B$195, 2, 0), "Others"))</f>
        <v>L10 Crypt</v>
      </c>
    </row>
    <row r="1619" spans="1:6" x14ac:dyDescent="0.25">
      <c r="A1619" s="14">
        <v>46146.179861111108</v>
      </c>
      <c r="B1619" s="79" t="s">
        <v>149</v>
      </c>
      <c r="C1619" s="79" t="s">
        <v>184</v>
      </c>
      <c r="D1619" s="79" t="s">
        <v>155</v>
      </c>
      <c r="E1619" s="79" t="s">
        <v>50</v>
      </c>
      <c r="F1619" s="79" t="str">
        <f>IF(E1619="", "", IF(COUNTIF(ChestType!$A$5:$A$195, E1619)&gt;0, VLOOKUP(E1619, ChestType!$A$5:$B$195, 2, 0), "Others"))</f>
        <v>L10 Crypt</v>
      </c>
    </row>
    <row r="1620" spans="1:6" x14ac:dyDescent="0.25">
      <c r="A1620" s="14">
        <v>46146.179861111108</v>
      </c>
      <c r="B1620" s="79" t="s">
        <v>149</v>
      </c>
      <c r="C1620" s="79" t="s">
        <v>185</v>
      </c>
      <c r="D1620" s="79" t="s">
        <v>155</v>
      </c>
      <c r="E1620" s="79" t="s">
        <v>50</v>
      </c>
      <c r="F1620" s="79" t="str">
        <f>IF(E1620="", "", IF(COUNTIF(ChestType!$A$5:$A$195, E1620)&gt;0, VLOOKUP(E1620, ChestType!$A$5:$B$195, 2, 0), "Others"))</f>
        <v>L10 Crypt</v>
      </c>
    </row>
    <row r="1621" spans="1:6" x14ac:dyDescent="0.25">
      <c r="A1621" s="14">
        <v>46146.179861111108</v>
      </c>
      <c r="B1621" s="79" t="s">
        <v>149</v>
      </c>
      <c r="C1621" s="79" t="s">
        <v>151</v>
      </c>
      <c r="D1621" s="79" t="s">
        <v>155</v>
      </c>
      <c r="E1621" s="79" t="s">
        <v>50</v>
      </c>
      <c r="F1621" s="79" t="str">
        <f>IF(E1621="", "", IF(COUNTIF(ChestType!$A$5:$A$195, E1621)&gt;0, VLOOKUP(E1621, ChestType!$A$5:$B$195, 2, 0), "Others"))</f>
        <v>L10 Crypt</v>
      </c>
    </row>
    <row r="1622" spans="1:6" x14ac:dyDescent="0.25">
      <c r="A1622" s="14">
        <v>46146.179861111108</v>
      </c>
      <c r="B1622" s="79" t="s">
        <v>149</v>
      </c>
      <c r="C1622" s="79" t="s">
        <v>182</v>
      </c>
      <c r="D1622" s="79" t="s">
        <v>155</v>
      </c>
      <c r="E1622" s="79" t="s">
        <v>50</v>
      </c>
      <c r="F1622" s="79" t="str">
        <f>IF(E1622="", "", IF(COUNTIF(ChestType!$A$5:$A$195, E1622)&gt;0, VLOOKUP(E1622, ChestType!$A$5:$B$195, 2, 0), "Others"))</f>
        <v>L10 Crypt</v>
      </c>
    </row>
    <row r="1623" spans="1:6" x14ac:dyDescent="0.25">
      <c r="A1623" s="14">
        <v>46146.179861111108</v>
      </c>
      <c r="B1623" s="79" t="s">
        <v>149</v>
      </c>
      <c r="C1623" s="79" t="s">
        <v>158</v>
      </c>
      <c r="D1623" s="79" t="s">
        <v>169</v>
      </c>
      <c r="E1623" s="79" t="s">
        <v>52</v>
      </c>
      <c r="F1623" s="79" t="str">
        <f>IF(E1623="", "", IF(COUNTIF(ChestType!$A$5:$A$195, E1623)&gt;0, VLOOKUP(E1623, ChestType!$A$5:$B$195, 2, 0), "Others"))</f>
        <v>L5 Crypt</v>
      </c>
    </row>
    <row r="1624" spans="1:6" x14ac:dyDescent="0.25">
      <c r="A1624" s="14">
        <v>46146.179861111108</v>
      </c>
      <c r="B1624" s="79" t="s">
        <v>149</v>
      </c>
      <c r="C1624" s="79" t="s">
        <v>151</v>
      </c>
      <c r="D1624" s="79" t="s">
        <v>258</v>
      </c>
      <c r="E1624" s="79" t="s">
        <v>52</v>
      </c>
      <c r="F1624" s="79" t="str">
        <f>IF(E1624="", "", IF(COUNTIF(ChestType!$A$5:$A$195, E1624)&gt;0, VLOOKUP(E1624, ChestType!$A$5:$B$195, 2, 0), "Others"))</f>
        <v>L5 Crypt</v>
      </c>
    </row>
    <row r="1625" spans="1:6" x14ac:dyDescent="0.25">
      <c r="A1625" s="14">
        <v>46146.179861111108</v>
      </c>
      <c r="B1625" s="79" t="s">
        <v>149</v>
      </c>
      <c r="C1625" s="79" t="s">
        <v>158</v>
      </c>
      <c r="D1625" s="79" t="s">
        <v>258</v>
      </c>
      <c r="E1625" s="79" t="s">
        <v>52</v>
      </c>
      <c r="F1625" s="79" t="str">
        <f>IF(E1625="", "", IF(COUNTIF(ChestType!$A$5:$A$195, E1625)&gt;0, VLOOKUP(E1625, ChestType!$A$5:$B$195, 2, 0), "Others"))</f>
        <v>L5 Crypt</v>
      </c>
    </row>
    <row r="1626" spans="1:6" x14ac:dyDescent="0.25">
      <c r="A1626" s="14">
        <v>46146.179861111108</v>
      </c>
      <c r="B1626" s="79" t="s">
        <v>149</v>
      </c>
      <c r="C1626" s="79" t="s">
        <v>184</v>
      </c>
      <c r="D1626" s="79" t="s">
        <v>212</v>
      </c>
      <c r="E1626" s="79" t="s">
        <v>49</v>
      </c>
      <c r="F1626" s="79" t="str">
        <f>IF(E1626="", "", IF(COUNTIF(ChestType!$A$5:$A$195, E1626)&gt;0, VLOOKUP(E1626, ChestType!$A$5:$B$195, 2, 0), "Others"))</f>
        <v>L15 Crypt</v>
      </c>
    </row>
    <row r="1627" spans="1:6" x14ac:dyDescent="0.25">
      <c r="A1627" s="14">
        <v>46146.179861111108</v>
      </c>
      <c r="B1627" s="79" t="s">
        <v>149</v>
      </c>
      <c r="C1627" s="79" t="s">
        <v>213</v>
      </c>
      <c r="D1627" s="79" t="s">
        <v>153</v>
      </c>
      <c r="E1627" s="79" t="s">
        <v>64</v>
      </c>
      <c r="F1627" s="79" t="str">
        <f>IF(E1627="", "", IF(COUNTIF(ChestType!$A$5:$A$195, E1627)&gt;0, VLOOKUP(E1627, ChestType!$A$5:$B$195, 2, 0), "Others"))</f>
        <v>L15 Epic Crypt</v>
      </c>
    </row>
    <row r="1628" spans="1:6" x14ac:dyDescent="0.25">
      <c r="A1628" s="14">
        <v>46146.179861111108</v>
      </c>
      <c r="B1628" s="79" t="s">
        <v>149</v>
      </c>
      <c r="C1628" s="79" t="s">
        <v>187</v>
      </c>
      <c r="D1628" s="79" t="s">
        <v>153</v>
      </c>
      <c r="E1628" s="79" t="s">
        <v>75</v>
      </c>
      <c r="F1628" s="79" t="str">
        <f>IF(E1628="", "", IF(COUNTIF(ChestType!$A$5:$A$195, E1628)&gt;0, VLOOKUP(E1628, ChestType!$A$5:$B$195, 2, 0), "Others"))</f>
        <v>L10 Rare Crypt</v>
      </c>
    </row>
    <row r="1629" spans="1:6" x14ac:dyDescent="0.25">
      <c r="A1629" s="14">
        <v>46146.179861111108</v>
      </c>
      <c r="B1629" s="79" t="s">
        <v>149</v>
      </c>
      <c r="C1629" s="79" t="s">
        <v>192</v>
      </c>
      <c r="D1629" s="79" t="s">
        <v>212</v>
      </c>
      <c r="E1629" s="79" t="s">
        <v>60</v>
      </c>
      <c r="F1629" s="79" t="str">
        <f>IF(E1629="", "", IF(COUNTIF(ChestType!$A$5:$A$195, E1629)&gt;0, VLOOKUP(E1629, ChestType!$A$5:$B$195, 2, 0), "Others"))</f>
        <v>Others</v>
      </c>
    </row>
    <row r="1630" spans="1:6" x14ac:dyDescent="0.25">
      <c r="A1630" s="14">
        <v>46146.179861111108</v>
      </c>
      <c r="B1630" s="79" t="s">
        <v>149</v>
      </c>
      <c r="C1630" s="79" t="s">
        <v>187</v>
      </c>
      <c r="D1630" s="79" t="s">
        <v>231</v>
      </c>
      <c r="E1630" s="79" t="s">
        <v>75</v>
      </c>
      <c r="F1630" s="79" t="str">
        <f>IF(E1630="", "", IF(COUNTIF(ChestType!$A$5:$A$195, E1630)&gt;0, VLOOKUP(E1630, ChestType!$A$5:$B$195, 2, 0), "Others"))</f>
        <v>L10 Rare Crypt</v>
      </c>
    </row>
    <row r="1631" spans="1:6" x14ac:dyDescent="0.25">
      <c r="A1631" s="14">
        <v>46146.179861111108</v>
      </c>
      <c r="B1631" s="79" t="s">
        <v>149</v>
      </c>
      <c r="C1631" s="79" t="s">
        <v>185</v>
      </c>
      <c r="D1631" s="79" t="s">
        <v>212</v>
      </c>
      <c r="E1631" s="79" t="s">
        <v>49</v>
      </c>
      <c r="F1631" s="79" t="str">
        <f>IF(E1631="", "", IF(COUNTIF(ChestType!$A$5:$A$195, E1631)&gt;0, VLOOKUP(E1631, ChestType!$A$5:$B$195, 2, 0), "Others"))</f>
        <v>L15 Crypt</v>
      </c>
    </row>
    <row r="1632" spans="1:6" x14ac:dyDescent="0.25">
      <c r="A1632" s="14">
        <v>46146.179861111108</v>
      </c>
      <c r="B1632" s="79" t="s">
        <v>149</v>
      </c>
      <c r="C1632" s="79" t="s">
        <v>190</v>
      </c>
      <c r="D1632" s="79" t="s">
        <v>212</v>
      </c>
      <c r="E1632" s="79" t="s">
        <v>49</v>
      </c>
      <c r="F1632" s="79" t="str">
        <f>IF(E1632="", "", IF(COUNTIF(ChestType!$A$5:$A$195, E1632)&gt;0, VLOOKUP(E1632, ChestType!$A$5:$B$195, 2, 0), "Others"))</f>
        <v>L15 Crypt</v>
      </c>
    </row>
    <row r="1633" spans="1:6" x14ac:dyDescent="0.25">
      <c r="A1633" s="14">
        <v>46146.179861111108</v>
      </c>
      <c r="B1633" s="79" t="s">
        <v>149</v>
      </c>
      <c r="C1633" s="79" t="s">
        <v>177</v>
      </c>
      <c r="D1633" s="79" t="s">
        <v>212</v>
      </c>
      <c r="E1633" s="79" t="s">
        <v>49</v>
      </c>
      <c r="F1633" s="79" t="str">
        <f>IF(E1633="", "", IF(COUNTIF(ChestType!$A$5:$A$195, E1633)&gt;0, VLOOKUP(E1633, ChestType!$A$5:$B$195, 2, 0), "Others"))</f>
        <v>L15 Crypt</v>
      </c>
    </row>
    <row r="1634" spans="1:6" x14ac:dyDescent="0.25">
      <c r="A1634" s="14">
        <v>46146.179861111108</v>
      </c>
      <c r="B1634" s="79" t="s">
        <v>149</v>
      </c>
      <c r="C1634" s="79" t="s">
        <v>185</v>
      </c>
      <c r="D1634" s="79" t="s">
        <v>212</v>
      </c>
      <c r="E1634" s="79" t="s">
        <v>50</v>
      </c>
      <c r="F1634" s="79" t="str">
        <f>IF(E1634="", "", IF(COUNTIF(ChestType!$A$5:$A$195, E1634)&gt;0, VLOOKUP(E1634, ChestType!$A$5:$B$195, 2, 0), "Others"))</f>
        <v>L10 Crypt</v>
      </c>
    </row>
    <row r="1635" spans="1:6" x14ac:dyDescent="0.25">
      <c r="A1635" s="14">
        <v>46146.179861111108</v>
      </c>
      <c r="B1635" s="79" t="s">
        <v>149</v>
      </c>
      <c r="C1635" s="79" t="s">
        <v>187</v>
      </c>
      <c r="D1635" s="79" t="s">
        <v>231</v>
      </c>
      <c r="E1635" s="79" t="s">
        <v>75</v>
      </c>
      <c r="F1635" s="79" t="str">
        <f>IF(E1635="", "", IF(COUNTIF(ChestType!$A$5:$A$195, E1635)&gt;0, VLOOKUP(E1635, ChestType!$A$5:$B$195, 2, 0), "Others"))</f>
        <v>L10 Rare Crypt</v>
      </c>
    </row>
    <row r="1636" spans="1:6" x14ac:dyDescent="0.25">
      <c r="A1636" s="14">
        <v>46146.179861111108</v>
      </c>
      <c r="B1636" s="79" t="s">
        <v>149</v>
      </c>
      <c r="C1636" s="79" t="s">
        <v>187</v>
      </c>
      <c r="D1636" s="79" t="s">
        <v>153</v>
      </c>
      <c r="E1636" s="79" t="s">
        <v>75</v>
      </c>
      <c r="F1636" s="79" t="str">
        <f>IF(E1636="", "", IF(COUNTIF(ChestType!$A$5:$A$195, E1636)&gt;0, VLOOKUP(E1636, ChestType!$A$5:$B$195, 2, 0), "Others"))</f>
        <v>L10 Rare Crypt</v>
      </c>
    </row>
    <row r="1637" spans="1:6" x14ac:dyDescent="0.25">
      <c r="A1637" s="14">
        <v>46146.179861111108</v>
      </c>
      <c r="B1637" s="79" t="s">
        <v>149</v>
      </c>
      <c r="C1637" s="79" t="s">
        <v>175</v>
      </c>
      <c r="D1637" s="79" t="s">
        <v>212</v>
      </c>
      <c r="E1637" s="79" t="s">
        <v>49</v>
      </c>
      <c r="F1637" s="79" t="str">
        <f>IF(E1637="", "", IF(COUNTIF(ChestType!$A$5:$A$195, E1637)&gt;0, VLOOKUP(E1637, ChestType!$A$5:$B$195, 2, 0), "Others"))</f>
        <v>L15 Crypt</v>
      </c>
    </row>
    <row r="1638" spans="1:6" x14ac:dyDescent="0.25">
      <c r="A1638" s="14">
        <v>46146.179861111108</v>
      </c>
      <c r="B1638" s="79" t="s">
        <v>149</v>
      </c>
      <c r="C1638" s="79" t="s">
        <v>187</v>
      </c>
      <c r="D1638" s="79" t="s">
        <v>231</v>
      </c>
      <c r="E1638" s="79" t="s">
        <v>75</v>
      </c>
      <c r="F1638" s="79" t="str">
        <f>IF(E1638="", "", IF(COUNTIF(ChestType!$A$5:$A$195, E1638)&gt;0, VLOOKUP(E1638, ChestType!$A$5:$B$195, 2, 0), "Others"))</f>
        <v>L10 Rare Crypt</v>
      </c>
    </row>
    <row r="1639" spans="1:6" x14ac:dyDescent="0.25">
      <c r="A1639" s="14">
        <v>46146.179861111108</v>
      </c>
      <c r="B1639" s="79" t="s">
        <v>149</v>
      </c>
      <c r="C1639" s="79" t="s">
        <v>171</v>
      </c>
      <c r="D1639" s="79" t="s">
        <v>212</v>
      </c>
      <c r="E1639" s="79" t="s">
        <v>49</v>
      </c>
      <c r="F1639" s="79" t="str">
        <f>IF(E1639="", "", IF(COUNTIF(ChestType!$A$5:$A$195, E1639)&gt;0, VLOOKUP(E1639, ChestType!$A$5:$B$195, 2, 0), "Others"))</f>
        <v>L15 Crypt</v>
      </c>
    </row>
    <row r="1640" spans="1:6" x14ac:dyDescent="0.25">
      <c r="A1640" s="14">
        <v>46146.179861111108</v>
      </c>
      <c r="B1640" s="79" t="s">
        <v>149</v>
      </c>
      <c r="C1640" s="79" t="s">
        <v>172</v>
      </c>
      <c r="D1640" s="79" t="s">
        <v>212</v>
      </c>
      <c r="E1640" s="79" t="s">
        <v>64</v>
      </c>
      <c r="F1640" s="79" t="str">
        <f>IF(E1640="", "", IF(COUNTIF(ChestType!$A$5:$A$195, E1640)&gt;0, VLOOKUP(E1640, ChestType!$A$5:$B$195, 2, 0), "Others"))</f>
        <v>L15 Epic Crypt</v>
      </c>
    </row>
    <row r="1641" spans="1:6" x14ac:dyDescent="0.25">
      <c r="A1641" s="14">
        <v>46146.179861111108</v>
      </c>
      <c r="B1641" s="79" t="s">
        <v>149</v>
      </c>
      <c r="C1641" s="79" t="s">
        <v>183</v>
      </c>
      <c r="D1641" s="79" t="s">
        <v>212</v>
      </c>
      <c r="E1641" s="79" t="s">
        <v>49</v>
      </c>
      <c r="F1641" s="79" t="str">
        <f>IF(E1641="", "", IF(COUNTIF(ChestType!$A$5:$A$195, E1641)&gt;0, VLOOKUP(E1641, ChestType!$A$5:$B$195, 2, 0), "Others"))</f>
        <v>L15 Crypt</v>
      </c>
    </row>
    <row r="1642" spans="1:6" x14ac:dyDescent="0.25">
      <c r="A1642" s="14">
        <v>46146.179861111108</v>
      </c>
      <c r="B1642" s="79" t="s">
        <v>149</v>
      </c>
      <c r="C1642" s="79" t="s">
        <v>185</v>
      </c>
      <c r="D1642" s="79" t="s">
        <v>212</v>
      </c>
      <c r="E1642" s="79" t="s">
        <v>49</v>
      </c>
      <c r="F1642" s="79" t="str">
        <f>IF(E1642="", "", IF(COUNTIF(ChestType!$A$5:$A$195, E1642)&gt;0, VLOOKUP(E1642, ChestType!$A$5:$B$195, 2, 0), "Others"))</f>
        <v>L15 Crypt</v>
      </c>
    </row>
    <row r="1643" spans="1:6" x14ac:dyDescent="0.25">
      <c r="A1643" s="14">
        <v>46146.179861111108</v>
      </c>
      <c r="B1643" s="79" t="s">
        <v>149</v>
      </c>
      <c r="C1643" s="79" t="s">
        <v>176</v>
      </c>
      <c r="D1643" s="79" t="s">
        <v>231</v>
      </c>
      <c r="E1643" s="79" t="s">
        <v>63</v>
      </c>
      <c r="F1643" s="79" t="str">
        <f>IF(E1643="", "", IF(COUNTIF(ChestType!$A$5:$A$195, E1643)&gt;0, VLOOKUP(E1643, ChestType!$A$5:$B$195, 2, 0), "Others"))</f>
        <v>L15 Citadel</v>
      </c>
    </row>
    <row r="1644" spans="1:6" x14ac:dyDescent="0.25">
      <c r="A1644" s="14">
        <v>46146.179861111108</v>
      </c>
      <c r="B1644" s="79" t="s">
        <v>149</v>
      </c>
      <c r="C1644" s="79" t="s">
        <v>173</v>
      </c>
      <c r="D1644" s="79" t="s">
        <v>212</v>
      </c>
      <c r="E1644" s="79" t="s">
        <v>49</v>
      </c>
      <c r="F1644" s="79" t="str">
        <f>IF(E1644="", "", IF(COUNTIF(ChestType!$A$5:$A$195, E1644)&gt;0, VLOOKUP(E1644, ChestType!$A$5:$B$195, 2, 0), "Others"))</f>
        <v>L15 Crypt</v>
      </c>
    </row>
    <row r="1645" spans="1:6" x14ac:dyDescent="0.25">
      <c r="A1645" s="14">
        <v>46146.179861111108</v>
      </c>
      <c r="B1645" s="79" t="s">
        <v>149</v>
      </c>
      <c r="C1645" s="79" t="s">
        <v>181</v>
      </c>
      <c r="D1645" s="79" t="s">
        <v>168</v>
      </c>
      <c r="E1645" s="79" t="s">
        <v>50</v>
      </c>
      <c r="F1645" s="79" t="str">
        <f>IF(E1645="", "", IF(COUNTIF(ChestType!$A$5:$A$195, E1645)&gt;0, VLOOKUP(E1645, ChestType!$A$5:$B$195, 2, 0), "Others"))</f>
        <v>L10 Crypt</v>
      </c>
    </row>
    <row r="1646" spans="1:6" x14ac:dyDescent="0.25">
      <c r="A1646" s="14">
        <v>46146.179861111108</v>
      </c>
      <c r="B1646" s="79" t="s">
        <v>149</v>
      </c>
      <c r="C1646" s="79" t="s">
        <v>182</v>
      </c>
      <c r="D1646" s="79" t="s">
        <v>167</v>
      </c>
      <c r="E1646" s="79" t="s">
        <v>50</v>
      </c>
      <c r="F1646" s="79" t="str">
        <f>IF(E1646="", "", IF(COUNTIF(ChestType!$A$5:$A$195, E1646)&gt;0, VLOOKUP(E1646, ChestType!$A$5:$B$195, 2, 0), "Others"))</f>
        <v>L10 Crypt</v>
      </c>
    </row>
    <row r="1647" spans="1:6" x14ac:dyDescent="0.25">
      <c r="A1647" s="14">
        <v>46146.179861111108</v>
      </c>
      <c r="B1647" s="79" t="s">
        <v>149</v>
      </c>
      <c r="C1647" s="79" t="s">
        <v>181</v>
      </c>
      <c r="D1647" s="79" t="s">
        <v>212</v>
      </c>
      <c r="E1647" s="79" t="s">
        <v>49</v>
      </c>
      <c r="F1647" s="79" t="str">
        <f>IF(E1647="", "", IF(COUNTIF(ChestType!$A$5:$A$195, E1647)&gt;0, VLOOKUP(E1647, ChestType!$A$5:$B$195, 2, 0), "Others"))</f>
        <v>L15 Crypt</v>
      </c>
    </row>
    <row r="1648" spans="1:6" x14ac:dyDescent="0.25">
      <c r="A1648" s="14">
        <v>46146.179861111108</v>
      </c>
      <c r="B1648" s="79" t="s">
        <v>149</v>
      </c>
      <c r="C1648" s="79" t="s">
        <v>182</v>
      </c>
      <c r="D1648" s="79" t="s">
        <v>212</v>
      </c>
      <c r="E1648" s="79" t="s">
        <v>52</v>
      </c>
      <c r="F1648" s="79" t="str">
        <f>IF(E1648="", "", IF(COUNTIF(ChestType!$A$5:$A$195, E1648)&gt;0, VLOOKUP(E1648, ChestType!$A$5:$B$195, 2, 0), "Others"))</f>
        <v>L5 Crypt</v>
      </c>
    </row>
    <row r="1649" spans="1:6" x14ac:dyDescent="0.25">
      <c r="A1649" s="14">
        <v>46146.179861111108</v>
      </c>
      <c r="B1649" s="79" t="s">
        <v>149</v>
      </c>
      <c r="C1649" s="79" t="s">
        <v>173</v>
      </c>
      <c r="D1649" s="79" t="s">
        <v>168</v>
      </c>
      <c r="E1649" s="79" t="s">
        <v>49</v>
      </c>
      <c r="F1649" s="79" t="str">
        <f>IF(E1649="", "", IF(COUNTIF(ChestType!$A$5:$A$195, E1649)&gt;0, VLOOKUP(E1649, ChestType!$A$5:$B$195, 2, 0), "Others"))</f>
        <v>L15 Crypt</v>
      </c>
    </row>
    <row r="1650" spans="1:6" x14ac:dyDescent="0.25">
      <c r="A1650" s="14">
        <v>46146.179861111108</v>
      </c>
      <c r="B1650" s="79" t="s">
        <v>149</v>
      </c>
      <c r="C1650" s="79" t="s">
        <v>177</v>
      </c>
      <c r="D1650" s="79" t="s">
        <v>212</v>
      </c>
      <c r="E1650" s="79" t="s">
        <v>50</v>
      </c>
      <c r="F1650" s="79" t="str">
        <f>IF(E1650="", "", IF(COUNTIF(ChestType!$A$5:$A$195, E1650)&gt;0, VLOOKUP(E1650, ChestType!$A$5:$B$195, 2, 0), "Others"))</f>
        <v>L10 Crypt</v>
      </c>
    </row>
    <row r="1651" spans="1:6" x14ac:dyDescent="0.25">
      <c r="A1651" s="14">
        <v>46146.179861111108</v>
      </c>
      <c r="B1651" s="79" t="s">
        <v>149</v>
      </c>
      <c r="C1651" s="79" t="s">
        <v>183</v>
      </c>
      <c r="D1651" s="79" t="s">
        <v>212</v>
      </c>
      <c r="E1651" s="79" t="s">
        <v>50</v>
      </c>
      <c r="F1651" s="79" t="str">
        <f>IF(E1651="", "", IF(COUNTIF(ChestType!$A$5:$A$195, E1651)&gt;0, VLOOKUP(E1651, ChestType!$A$5:$B$195, 2, 0), "Others"))</f>
        <v>L10 Crypt</v>
      </c>
    </row>
    <row r="1652" spans="1:6" x14ac:dyDescent="0.25">
      <c r="A1652" s="14">
        <v>46146.179861111108</v>
      </c>
      <c r="B1652" s="79" t="s">
        <v>149</v>
      </c>
      <c r="C1652" s="79" t="s">
        <v>190</v>
      </c>
      <c r="D1652" s="79" t="s">
        <v>212</v>
      </c>
      <c r="E1652" s="79" t="s">
        <v>50</v>
      </c>
      <c r="F1652" s="79" t="str">
        <f>IF(E1652="", "", IF(COUNTIF(ChestType!$A$5:$A$195, E1652)&gt;0, VLOOKUP(E1652, ChestType!$A$5:$B$195, 2, 0), "Others"))</f>
        <v>L10 Crypt</v>
      </c>
    </row>
    <row r="1653" spans="1:6" x14ac:dyDescent="0.25">
      <c r="A1653" s="14">
        <v>46146.179861111108</v>
      </c>
      <c r="B1653" s="79" t="s">
        <v>149</v>
      </c>
      <c r="C1653" s="79" t="s">
        <v>182</v>
      </c>
      <c r="D1653" s="79" t="s">
        <v>167</v>
      </c>
      <c r="E1653" s="79" t="s">
        <v>50</v>
      </c>
      <c r="F1653" s="79" t="str">
        <f>IF(E1653="", "", IF(COUNTIF(ChestType!$A$5:$A$195, E1653)&gt;0, VLOOKUP(E1653, ChestType!$A$5:$B$195, 2, 0), "Others"))</f>
        <v>L10 Crypt</v>
      </c>
    </row>
    <row r="1654" spans="1:6" x14ac:dyDescent="0.25">
      <c r="A1654" s="14">
        <v>46146.179861111108</v>
      </c>
      <c r="B1654" s="79" t="s">
        <v>149</v>
      </c>
      <c r="C1654" s="79" t="s">
        <v>176</v>
      </c>
      <c r="D1654" s="79" t="s">
        <v>231</v>
      </c>
      <c r="E1654" s="79" t="s">
        <v>63</v>
      </c>
      <c r="F1654" s="79" t="str">
        <f>IF(E1654="", "", IF(COUNTIF(ChestType!$A$5:$A$195, E1654)&gt;0, VLOOKUP(E1654, ChestType!$A$5:$B$195, 2, 0), "Others"))</f>
        <v>L15 Citadel</v>
      </c>
    </row>
    <row r="1655" spans="1:6" x14ac:dyDescent="0.25">
      <c r="A1655" s="14">
        <v>46146.179861111108</v>
      </c>
      <c r="B1655" s="79" t="s">
        <v>149</v>
      </c>
      <c r="C1655" s="79" t="s">
        <v>192</v>
      </c>
      <c r="D1655" s="79" t="s">
        <v>266</v>
      </c>
      <c r="E1655" s="79" t="s">
        <v>60</v>
      </c>
      <c r="F1655" s="79" t="str">
        <f>IF(E1655="", "", IF(COUNTIF(ChestType!$A$5:$A$195, E1655)&gt;0, VLOOKUP(E1655, ChestType!$A$5:$B$195, 2, 0), "Others"))</f>
        <v>Others</v>
      </c>
    </row>
    <row r="1656" spans="1:6" x14ac:dyDescent="0.25">
      <c r="A1656" s="14">
        <v>46146.179861111108</v>
      </c>
      <c r="B1656" s="79" t="s">
        <v>149</v>
      </c>
      <c r="C1656" s="79" t="s">
        <v>173</v>
      </c>
      <c r="D1656" s="79" t="s">
        <v>167</v>
      </c>
      <c r="E1656" s="79" t="s">
        <v>50</v>
      </c>
      <c r="F1656" s="79" t="str">
        <f>IF(E1656="", "", IF(COUNTIF(ChestType!$A$5:$A$195, E1656)&gt;0, VLOOKUP(E1656, ChestType!$A$5:$B$195, 2, 0), "Others"))</f>
        <v>L10 Crypt</v>
      </c>
    </row>
    <row r="1657" spans="1:6" x14ac:dyDescent="0.25">
      <c r="A1657" s="14">
        <v>46146.179861111108</v>
      </c>
      <c r="B1657" s="79" t="s">
        <v>149</v>
      </c>
      <c r="C1657" s="79" t="s">
        <v>182</v>
      </c>
      <c r="D1657" s="79" t="s">
        <v>168</v>
      </c>
      <c r="E1657" s="79" t="s">
        <v>50</v>
      </c>
      <c r="F1657" s="79" t="str">
        <f>IF(E1657="", "", IF(COUNTIF(ChestType!$A$5:$A$195, E1657)&gt;0, VLOOKUP(E1657, ChestType!$A$5:$B$195, 2, 0), "Others"))</f>
        <v>L10 Crypt</v>
      </c>
    </row>
    <row r="1658" spans="1:6" x14ac:dyDescent="0.25">
      <c r="A1658" s="14">
        <v>46146.179861111108</v>
      </c>
      <c r="B1658" s="79" t="s">
        <v>149</v>
      </c>
      <c r="C1658" s="79" t="s">
        <v>175</v>
      </c>
      <c r="D1658" s="79" t="s">
        <v>168</v>
      </c>
      <c r="E1658" s="79" t="s">
        <v>49</v>
      </c>
      <c r="F1658" s="79" t="str">
        <f>IF(E1658="", "", IF(COUNTIF(ChestType!$A$5:$A$195, E1658)&gt;0, VLOOKUP(E1658, ChestType!$A$5:$B$195, 2, 0), "Others"))</f>
        <v>L15 Crypt</v>
      </c>
    </row>
    <row r="1659" spans="1:6" x14ac:dyDescent="0.25">
      <c r="A1659" s="14">
        <v>46146.179861111108</v>
      </c>
      <c r="B1659" s="79" t="s">
        <v>149</v>
      </c>
      <c r="C1659" s="79" t="s">
        <v>182</v>
      </c>
      <c r="D1659" s="79" t="s">
        <v>168</v>
      </c>
      <c r="E1659" s="79" t="s">
        <v>49</v>
      </c>
      <c r="F1659" s="79" t="str">
        <f>IF(E1659="", "", IF(COUNTIF(ChestType!$A$5:$A$195, E1659)&gt;0, VLOOKUP(E1659, ChestType!$A$5:$B$195, 2, 0), "Others"))</f>
        <v>L15 Crypt</v>
      </c>
    </row>
    <row r="1660" spans="1:6" x14ac:dyDescent="0.25">
      <c r="A1660" s="14">
        <v>46146.179861111108</v>
      </c>
      <c r="B1660" s="79" t="s">
        <v>149</v>
      </c>
      <c r="C1660" s="79" t="s">
        <v>182</v>
      </c>
      <c r="D1660" s="79" t="s">
        <v>168</v>
      </c>
      <c r="E1660" s="79" t="s">
        <v>49</v>
      </c>
      <c r="F1660" s="79" t="str">
        <f>IF(E1660="", "", IF(COUNTIF(ChestType!$A$5:$A$195, E1660)&gt;0, VLOOKUP(E1660, ChestType!$A$5:$B$195, 2, 0), "Others"))</f>
        <v>L15 Crypt</v>
      </c>
    </row>
    <row r="1661" spans="1:6" x14ac:dyDescent="0.25">
      <c r="A1661" s="14">
        <v>46146.179861111108</v>
      </c>
      <c r="B1661" s="79" t="s">
        <v>149</v>
      </c>
      <c r="C1661" s="79" t="s">
        <v>177</v>
      </c>
      <c r="D1661" s="79" t="s">
        <v>168</v>
      </c>
      <c r="E1661" s="79" t="s">
        <v>49</v>
      </c>
      <c r="F1661" s="79" t="str">
        <f>IF(E1661="", "", IF(COUNTIF(ChestType!$A$5:$A$195, E1661)&gt;0, VLOOKUP(E1661, ChestType!$A$5:$B$195, 2, 0), "Others"))</f>
        <v>L15 Crypt</v>
      </c>
    </row>
    <row r="1662" spans="1:6" x14ac:dyDescent="0.25">
      <c r="A1662" s="14">
        <v>46146.179861111108</v>
      </c>
      <c r="B1662" s="79" t="s">
        <v>149</v>
      </c>
      <c r="C1662" s="79" t="s">
        <v>171</v>
      </c>
      <c r="D1662" s="79" t="s">
        <v>252</v>
      </c>
      <c r="E1662" s="79" t="s">
        <v>50</v>
      </c>
      <c r="F1662" s="79" t="str">
        <f>IF(E1662="", "", IF(COUNTIF(ChestType!$A$5:$A$195, E1662)&gt;0, VLOOKUP(E1662, ChestType!$A$5:$B$195, 2, 0), "Others"))</f>
        <v>L10 Crypt</v>
      </c>
    </row>
    <row r="1663" spans="1:6" x14ac:dyDescent="0.25">
      <c r="A1663" s="14">
        <v>46146.179861111108</v>
      </c>
      <c r="B1663" s="79" t="s">
        <v>149</v>
      </c>
      <c r="C1663" s="79" t="s">
        <v>171</v>
      </c>
      <c r="D1663" s="79" t="s">
        <v>168</v>
      </c>
      <c r="E1663" s="79" t="s">
        <v>50</v>
      </c>
      <c r="F1663" s="79" t="str">
        <f>IF(E1663="", "", IF(COUNTIF(ChestType!$A$5:$A$195, E1663)&gt;0, VLOOKUP(E1663, ChestType!$A$5:$B$195, 2, 0), "Others"))</f>
        <v>L10 Crypt</v>
      </c>
    </row>
    <row r="1664" spans="1:6" x14ac:dyDescent="0.25">
      <c r="A1664" s="14">
        <v>46146.179861111108</v>
      </c>
      <c r="B1664" s="79" t="s">
        <v>149</v>
      </c>
      <c r="C1664" s="79" t="s">
        <v>190</v>
      </c>
      <c r="D1664" s="79" t="s">
        <v>168</v>
      </c>
      <c r="E1664" s="79" t="s">
        <v>50</v>
      </c>
      <c r="F1664" s="79" t="str">
        <f>IF(E1664="", "", IF(COUNTIF(ChestType!$A$5:$A$195, E1664)&gt;0, VLOOKUP(E1664, ChestType!$A$5:$B$195, 2, 0), "Others"))</f>
        <v>L10 Crypt</v>
      </c>
    </row>
    <row r="1665" spans="1:6" x14ac:dyDescent="0.25">
      <c r="A1665" s="14">
        <v>46146.179861111108</v>
      </c>
      <c r="B1665" s="79" t="s">
        <v>149</v>
      </c>
      <c r="C1665" s="79" t="s">
        <v>171</v>
      </c>
      <c r="D1665" s="79" t="s">
        <v>252</v>
      </c>
      <c r="E1665" s="79" t="s">
        <v>52</v>
      </c>
      <c r="F1665" s="79" t="str">
        <f>IF(E1665="", "", IF(COUNTIF(ChestType!$A$5:$A$195, E1665)&gt;0, VLOOKUP(E1665, ChestType!$A$5:$B$195, 2, 0), "Others"))</f>
        <v>L5 Crypt</v>
      </c>
    </row>
    <row r="1666" spans="1:6" x14ac:dyDescent="0.25">
      <c r="A1666" s="14">
        <v>46146.179861111108</v>
      </c>
      <c r="B1666" s="79" t="s">
        <v>149</v>
      </c>
      <c r="C1666" s="79" t="s">
        <v>158</v>
      </c>
      <c r="D1666" s="79" t="s">
        <v>168</v>
      </c>
      <c r="E1666" s="79" t="s">
        <v>50</v>
      </c>
      <c r="F1666" s="79" t="str">
        <f>IF(E1666="", "", IF(COUNTIF(ChestType!$A$5:$A$195, E1666)&gt;0, VLOOKUP(E1666, ChestType!$A$5:$B$195, 2, 0), "Others"))</f>
        <v>L10 Crypt</v>
      </c>
    </row>
    <row r="1667" spans="1:6" x14ac:dyDescent="0.25">
      <c r="A1667" s="14">
        <v>46146.179861111108</v>
      </c>
      <c r="B1667" s="79" t="s">
        <v>149</v>
      </c>
      <c r="C1667" s="79" t="s">
        <v>182</v>
      </c>
      <c r="D1667" s="79" t="s">
        <v>261</v>
      </c>
      <c r="E1667" s="79" t="s">
        <v>50</v>
      </c>
      <c r="F1667" s="79" t="str">
        <f>IF(E1667="", "", IF(COUNTIF(ChestType!$A$5:$A$195, E1667)&gt;0, VLOOKUP(E1667, ChestType!$A$5:$B$195, 2, 0), "Others"))</f>
        <v>L10 Crypt</v>
      </c>
    </row>
    <row r="1668" spans="1:6" x14ac:dyDescent="0.25">
      <c r="A1668" s="14">
        <v>46146.179861111108</v>
      </c>
      <c r="B1668" s="79" t="s">
        <v>149</v>
      </c>
      <c r="C1668" s="79" t="s">
        <v>190</v>
      </c>
      <c r="D1668" s="79" t="s">
        <v>168</v>
      </c>
      <c r="E1668" s="79" t="s">
        <v>50</v>
      </c>
      <c r="F1668" s="79" t="str">
        <f>IF(E1668="", "", IF(COUNTIF(ChestType!$A$5:$A$195, E1668)&gt;0, VLOOKUP(E1668, ChestType!$A$5:$B$195, 2, 0), "Others"))</f>
        <v>L10 Crypt</v>
      </c>
    </row>
    <row r="1669" spans="1:6" x14ac:dyDescent="0.25">
      <c r="A1669" s="14">
        <v>46146.179861111108</v>
      </c>
      <c r="B1669" s="79" t="s">
        <v>149</v>
      </c>
      <c r="C1669" s="79" t="s">
        <v>171</v>
      </c>
      <c r="D1669" s="79" t="s">
        <v>261</v>
      </c>
      <c r="E1669" s="79" t="s">
        <v>50</v>
      </c>
      <c r="F1669" s="79" t="str">
        <f>IF(E1669="", "", IF(COUNTIF(ChestType!$A$5:$A$195, E1669)&gt;0, VLOOKUP(E1669, ChestType!$A$5:$B$195, 2, 0), "Others"))</f>
        <v>L10 Crypt</v>
      </c>
    </row>
    <row r="1670" spans="1:6" x14ac:dyDescent="0.25">
      <c r="A1670" s="14">
        <v>46146.179861111108</v>
      </c>
      <c r="B1670" s="79" t="s">
        <v>149</v>
      </c>
      <c r="C1670" s="79" t="s">
        <v>190</v>
      </c>
      <c r="D1670" s="79" t="s">
        <v>263</v>
      </c>
      <c r="E1670" s="79" t="s">
        <v>52</v>
      </c>
      <c r="F1670" s="79" t="str">
        <f>IF(E1670="", "", IF(COUNTIF(ChestType!$A$5:$A$195, E1670)&gt;0, VLOOKUP(E1670, ChestType!$A$5:$B$195, 2, 0), "Others"))</f>
        <v>L5 Crypt</v>
      </c>
    </row>
    <row r="1671" spans="1:6" x14ac:dyDescent="0.25">
      <c r="A1671" s="14">
        <v>46146.179861111108</v>
      </c>
      <c r="B1671" s="79" t="s">
        <v>149</v>
      </c>
      <c r="C1671" s="79" t="s">
        <v>171</v>
      </c>
      <c r="D1671" s="79" t="s">
        <v>261</v>
      </c>
      <c r="E1671" s="79" t="s">
        <v>52</v>
      </c>
      <c r="F1671" s="79" t="str">
        <f>IF(E1671="", "", IF(COUNTIF(ChestType!$A$5:$A$195, E1671)&gt;0, VLOOKUP(E1671, ChestType!$A$5:$B$195, 2, 0), "Others"))</f>
        <v>L5 Crypt</v>
      </c>
    </row>
    <row r="1672" spans="1:6" x14ac:dyDescent="0.25">
      <c r="A1672" s="14">
        <v>46146.179861111108</v>
      </c>
      <c r="B1672" s="79" t="s">
        <v>149</v>
      </c>
      <c r="C1672" s="79" t="s">
        <v>177</v>
      </c>
      <c r="D1672" s="79" t="s">
        <v>205</v>
      </c>
      <c r="E1672" s="79" t="s">
        <v>50</v>
      </c>
      <c r="F1672" s="79" t="str">
        <f>IF(E1672="", "", IF(COUNTIF(ChestType!$A$5:$A$195, E1672)&gt;0, VLOOKUP(E1672, ChestType!$A$5:$B$195, 2, 0), "Others"))</f>
        <v>L10 Crypt</v>
      </c>
    </row>
    <row r="1673" spans="1:6" x14ac:dyDescent="0.25">
      <c r="A1673" s="14">
        <v>46146.179861111108</v>
      </c>
      <c r="B1673" s="79" t="s">
        <v>149</v>
      </c>
      <c r="C1673" s="79" t="s">
        <v>181</v>
      </c>
      <c r="D1673" s="79" t="s">
        <v>261</v>
      </c>
      <c r="E1673" s="79" t="s">
        <v>52</v>
      </c>
      <c r="F1673" s="79" t="str">
        <f>IF(E1673="", "", IF(COUNTIF(ChestType!$A$5:$A$195, E1673)&gt;0, VLOOKUP(E1673, ChestType!$A$5:$B$195, 2, 0), "Others"))</f>
        <v>L5 Crypt</v>
      </c>
    </row>
    <row r="1674" spans="1:6" x14ac:dyDescent="0.25">
      <c r="A1674" s="14">
        <v>46146.179861111108</v>
      </c>
      <c r="B1674" s="79" t="s">
        <v>149</v>
      </c>
      <c r="C1674" s="79" t="s">
        <v>181</v>
      </c>
      <c r="D1674" s="79" t="s">
        <v>261</v>
      </c>
      <c r="E1674" s="79" t="s">
        <v>50</v>
      </c>
      <c r="F1674" s="79" t="str">
        <f>IF(E1674="", "", IF(COUNTIF(ChestType!$A$5:$A$195, E1674)&gt;0, VLOOKUP(E1674, ChestType!$A$5:$B$195, 2, 0), "Others"))</f>
        <v>L10 Crypt</v>
      </c>
    </row>
    <row r="1675" spans="1:6" x14ac:dyDescent="0.25">
      <c r="A1675" s="14">
        <v>46146.179861111108</v>
      </c>
      <c r="B1675" s="79" t="s">
        <v>149</v>
      </c>
      <c r="C1675" s="79" t="s">
        <v>192</v>
      </c>
      <c r="D1675" s="79" t="s">
        <v>261</v>
      </c>
      <c r="E1675" s="79" t="s">
        <v>60</v>
      </c>
      <c r="F1675" s="79" t="str">
        <f>IF(E1675="", "", IF(COUNTIF(ChestType!$A$5:$A$195, E1675)&gt;0, VLOOKUP(E1675, ChestType!$A$5:$B$195, 2, 0), "Others"))</f>
        <v>Others</v>
      </c>
    </row>
    <row r="1676" spans="1:6" x14ac:dyDescent="0.25">
      <c r="A1676" s="14">
        <v>46146.179861111108</v>
      </c>
      <c r="B1676" s="79" t="s">
        <v>149</v>
      </c>
      <c r="C1676" s="79" t="s">
        <v>177</v>
      </c>
      <c r="D1676" s="79" t="s">
        <v>261</v>
      </c>
      <c r="E1676" s="79" t="s">
        <v>52</v>
      </c>
      <c r="F1676" s="79" t="str">
        <f>IF(E1676="", "", IF(COUNTIF(ChestType!$A$5:$A$195, E1676)&gt;0, VLOOKUP(E1676, ChestType!$A$5:$B$195, 2, 0), "Others"))</f>
        <v>L5 Crypt</v>
      </c>
    </row>
    <row r="1677" spans="1:6" x14ac:dyDescent="0.25">
      <c r="A1677" s="14">
        <v>46146.179861111108</v>
      </c>
      <c r="B1677" s="79" t="s">
        <v>149</v>
      </c>
      <c r="C1677" s="79" t="s">
        <v>158</v>
      </c>
      <c r="D1677" s="79" t="s">
        <v>267</v>
      </c>
      <c r="E1677" s="79" t="s">
        <v>52</v>
      </c>
      <c r="F1677" s="79" t="str">
        <f>IF(E1677="", "", IF(COUNTIF(ChestType!$A$5:$A$195, E1677)&gt;0, VLOOKUP(E1677, ChestType!$A$5:$B$195, 2, 0), "Others"))</f>
        <v>L5 Crypt</v>
      </c>
    </row>
    <row r="1678" spans="1:6" x14ac:dyDescent="0.25">
      <c r="A1678" s="14">
        <v>46146.179861111108</v>
      </c>
      <c r="B1678" s="79" t="s">
        <v>149</v>
      </c>
      <c r="C1678" s="79" t="s">
        <v>175</v>
      </c>
      <c r="D1678" s="79" t="s">
        <v>258</v>
      </c>
      <c r="E1678" s="79" t="s">
        <v>52</v>
      </c>
      <c r="F1678" s="79" t="str">
        <f>IF(E1678="", "", IF(COUNTIF(ChestType!$A$5:$A$195, E1678)&gt;0, VLOOKUP(E1678, ChestType!$A$5:$B$195, 2, 0), "Others"))</f>
        <v>L5 Crypt</v>
      </c>
    </row>
    <row r="1679" spans="1:6" x14ac:dyDescent="0.25">
      <c r="A1679" s="14">
        <v>46146.179861111108</v>
      </c>
      <c r="B1679" s="79" t="s">
        <v>149</v>
      </c>
      <c r="C1679" s="79" t="s">
        <v>176</v>
      </c>
      <c r="D1679" s="79" t="s">
        <v>231</v>
      </c>
      <c r="E1679" s="79" t="s">
        <v>63</v>
      </c>
      <c r="F1679" s="79" t="str">
        <f>IF(E1679="", "", IF(COUNTIF(ChestType!$A$5:$A$195, E1679)&gt;0, VLOOKUP(E1679, ChestType!$A$5:$B$195, 2, 0), "Others"))</f>
        <v>L15 Citadel</v>
      </c>
    </row>
    <row r="1680" spans="1:6" x14ac:dyDescent="0.25">
      <c r="A1680" s="14">
        <v>46146.179861111108</v>
      </c>
      <c r="B1680" s="79" t="s">
        <v>149</v>
      </c>
      <c r="C1680" s="79" t="s">
        <v>175</v>
      </c>
      <c r="D1680" s="79" t="s">
        <v>168</v>
      </c>
      <c r="E1680" s="79" t="s">
        <v>50</v>
      </c>
      <c r="F1680" s="79" t="str">
        <f>IF(E1680="", "", IF(COUNTIF(ChestType!$A$5:$A$195, E1680)&gt;0, VLOOKUP(E1680, ChestType!$A$5:$B$195, 2, 0), "Others"))</f>
        <v>L10 Crypt</v>
      </c>
    </row>
    <row r="1681" spans="1:6" x14ac:dyDescent="0.25">
      <c r="A1681" s="14">
        <v>46146.179861111108</v>
      </c>
      <c r="B1681" s="79" t="s">
        <v>149</v>
      </c>
      <c r="C1681" s="79" t="s">
        <v>183</v>
      </c>
      <c r="D1681" s="79" t="s">
        <v>168</v>
      </c>
      <c r="E1681" s="79" t="s">
        <v>50</v>
      </c>
      <c r="F1681" s="79" t="str">
        <f>IF(E1681="", "", IF(COUNTIF(ChestType!$A$5:$A$195, E1681)&gt;0, VLOOKUP(E1681, ChestType!$A$5:$B$195, 2, 0), "Others"))</f>
        <v>L10 Crypt</v>
      </c>
    </row>
    <row r="1682" spans="1:6" x14ac:dyDescent="0.25">
      <c r="A1682" s="14">
        <v>46146.179861111108</v>
      </c>
      <c r="B1682" s="79" t="s">
        <v>149</v>
      </c>
      <c r="C1682" s="79" t="s">
        <v>190</v>
      </c>
      <c r="D1682" s="79" t="s">
        <v>168</v>
      </c>
      <c r="E1682" s="79" t="s">
        <v>50</v>
      </c>
      <c r="F1682" s="79" t="str">
        <f>IF(E1682="", "", IF(COUNTIF(ChestType!$A$5:$A$195, E1682)&gt;0, VLOOKUP(E1682, ChestType!$A$5:$B$195, 2, 0), "Others"))</f>
        <v>L10 Crypt</v>
      </c>
    </row>
    <row r="1683" spans="1:6" x14ac:dyDescent="0.25">
      <c r="A1683" s="14">
        <v>46146.179861111108</v>
      </c>
      <c r="B1683" s="79" t="s">
        <v>149</v>
      </c>
      <c r="C1683" s="79" t="s">
        <v>184</v>
      </c>
      <c r="D1683" s="79" t="s">
        <v>168</v>
      </c>
      <c r="E1683" s="79" t="s">
        <v>52</v>
      </c>
      <c r="F1683" s="79" t="str">
        <f>IF(E1683="", "", IF(COUNTIF(ChestType!$A$5:$A$195, E1683)&gt;0, VLOOKUP(E1683, ChestType!$A$5:$B$195, 2, 0), "Others"))</f>
        <v>L5 Crypt</v>
      </c>
    </row>
    <row r="1684" spans="1:6" x14ac:dyDescent="0.25">
      <c r="A1684" s="14">
        <v>46146.179861111108</v>
      </c>
      <c r="B1684" s="79" t="s">
        <v>149</v>
      </c>
      <c r="C1684" s="79" t="s">
        <v>181</v>
      </c>
      <c r="D1684" s="79" t="s">
        <v>168</v>
      </c>
      <c r="E1684" s="79" t="s">
        <v>52</v>
      </c>
      <c r="F1684" s="79" t="str">
        <f>IF(E1684="", "", IF(COUNTIF(ChestType!$A$5:$A$195, E1684)&gt;0, VLOOKUP(E1684, ChestType!$A$5:$B$195, 2, 0), "Others"))</f>
        <v>L5 Crypt</v>
      </c>
    </row>
    <row r="1685" spans="1:6" x14ac:dyDescent="0.25">
      <c r="A1685" s="14">
        <v>46146.179861111108</v>
      </c>
      <c r="B1685" s="79" t="s">
        <v>149</v>
      </c>
      <c r="C1685" s="79" t="s">
        <v>158</v>
      </c>
      <c r="D1685" s="79" t="s">
        <v>168</v>
      </c>
      <c r="E1685" s="79" t="s">
        <v>52</v>
      </c>
      <c r="F1685" s="79" t="str">
        <f>IF(E1685="", "", IF(COUNTIF(ChestType!$A$5:$A$195, E1685)&gt;0, VLOOKUP(E1685, ChestType!$A$5:$B$195, 2, 0), "Others"))</f>
        <v>L5 Crypt</v>
      </c>
    </row>
    <row r="1686" spans="1:6" x14ac:dyDescent="0.25">
      <c r="A1686" s="14">
        <v>46146.179861111108</v>
      </c>
      <c r="B1686" s="79" t="s">
        <v>149</v>
      </c>
      <c r="C1686" s="79" t="s">
        <v>190</v>
      </c>
      <c r="D1686" s="79" t="s">
        <v>168</v>
      </c>
      <c r="E1686" s="79" t="s">
        <v>52</v>
      </c>
      <c r="F1686" s="79" t="str">
        <f>IF(E1686="", "", IF(COUNTIF(ChestType!$A$5:$A$195, E1686)&gt;0, VLOOKUP(E1686, ChestType!$A$5:$B$195, 2, 0), "Others"))</f>
        <v>L5 Crypt</v>
      </c>
    </row>
    <row r="1687" spans="1:6" x14ac:dyDescent="0.25">
      <c r="A1687" s="14">
        <v>46146.179861111108</v>
      </c>
      <c r="B1687" s="79" t="s">
        <v>149</v>
      </c>
      <c r="C1687" s="79" t="s">
        <v>183</v>
      </c>
      <c r="D1687" s="79" t="s">
        <v>168</v>
      </c>
      <c r="E1687" s="79" t="s">
        <v>52</v>
      </c>
      <c r="F1687" s="79" t="str">
        <f>IF(E1687="", "", IF(COUNTIF(ChestType!$A$5:$A$195, E1687)&gt;0, VLOOKUP(E1687, ChestType!$A$5:$B$195, 2, 0), "Others"))</f>
        <v>L5 Crypt</v>
      </c>
    </row>
    <row r="1688" spans="1:6" x14ac:dyDescent="0.25">
      <c r="A1688" s="14">
        <v>46146.179861111108</v>
      </c>
      <c r="B1688" s="79" t="s">
        <v>149</v>
      </c>
      <c r="C1688" s="79" t="s">
        <v>158</v>
      </c>
      <c r="D1688" s="79" t="s">
        <v>168</v>
      </c>
      <c r="E1688" s="79" t="s">
        <v>52</v>
      </c>
      <c r="F1688" s="79" t="str">
        <f>IF(E1688="", "", IF(COUNTIF(ChestType!$A$5:$A$195, E1688)&gt;0, VLOOKUP(E1688, ChestType!$A$5:$B$195, 2, 0), "Others"))</f>
        <v>L5 Crypt</v>
      </c>
    </row>
    <row r="1689" spans="1:6" x14ac:dyDescent="0.25">
      <c r="A1689" s="14">
        <v>46146.179861111108</v>
      </c>
      <c r="B1689" s="79" t="s">
        <v>149</v>
      </c>
      <c r="C1689" s="79" t="s">
        <v>184</v>
      </c>
      <c r="D1689" s="79" t="s">
        <v>168</v>
      </c>
      <c r="E1689" s="79" t="s">
        <v>52</v>
      </c>
      <c r="F1689" s="79" t="str">
        <f>IF(E1689="", "", IF(COUNTIF(ChestType!$A$5:$A$195, E1689)&gt;0, VLOOKUP(E1689, ChestType!$A$5:$B$195, 2, 0), "Others"))</f>
        <v>L5 Crypt</v>
      </c>
    </row>
    <row r="1690" spans="1:6" x14ac:dyDescent="0.25">
      <c r="A1690" s="14">
        <v>46146.179861111108</v>
      </c>
      <c r="B1690" s="79" t="s">
        <v>149</v>
      </c>
      <c r="C1690" s="79" t="s">
        <v>181</v>
      </c>
      <c r="D1690" s="79" t="s">
        <v>168</v>
      </c>
      <c r="E1690" s="79" t="s">
        <v>52</v>
      </c>
      <c r="F1690" s="79" t="str">
        <f>IF(E1690="", "", IF(COUNTIF(ChestType!$A$5:$A$195, E1690)&gt;0, VLOOKUP(E1690, ChestType!$A$5:$B$195, 2, 0), "Others"))</f>
        <v>L5 Crypt</v>
      </c>
    </row>
    <row r="1691" spans="1:6" x14ac:dyDescent="0.25">
      <c r="A1691" s="14">
        <v>46146.179861111108</v>
      </c>
      <c r="B1691" s="79" t="s">
        <v>149</v>
      </c>
      <c r="C1691" s="79" t="s">
        <v>220</v>
      </c>
      <c r="D1691" s="79" t="s">
        <v>168</v>
      </c>
      <c r="E1691" s="79" t="s">
        <v>64</v>
      </c>
      <c r="F1691" s="79" t="str">
        <f>IF(E1691="", "", IF(COUNTIF(ChestType!$A$5:$A$195, E1691)&gt;0, VLOOKUP(E1691, ChestType!$A$5:$B$195, 2, 0), "Others"))</f>
        <v>L15 Epic Crypt</v>
      </c>
    </row>
    <row r="1692" spans="1:6" x14ac:dyDescent="0.25">
      <c r="A1692" s="14">
        <v>46146.179861111108</v>
      </c>
      <c r="B1692" s="79" t="s">
        <v>149</v>
      </c>
      <c r="C1692" s="79" t="s">
        <v>183</v>
      </c>
      <c r="D1692" s="79" t="s">
        <v>168</v>
      </c>
      <c r="E1692" s="79" t="s">
        <v>49</v>
      </c>
      <c r="F1692" s="79" t="str">
        <f>IF(E1692="", "", IF(COUNTIF(ChestType!$A$5:$A$195, E1692)&gt;0, VLOOKUP(E1692, ChestType!$A$5:$B$195, 2, 0), "Others"))</f>
        <v>L15 Crypt</v>
      </c>
    </row>
    <row r="1693" spans="1:6" x14ac:dyDescent="0.25">
      <c r="A1693" s="14">
        <v>46146.179861111108</v>
      </c>
      <c r="B1693" s="79" t="s">
        <v>149</v>
      </c>
      <c r="C1693" s="79" t="s">
        <v>175</v>
      </c>
      <c r="D1693" s="79" t="s">
        <v>168</v>
      </c>
      <c r="E1693" s="79" t="s">
        <v>52</v>
      </c>
      <c r="F1693" s="79" t="str">
        <f>IF(E1693="", "", IF(COUNTIF(ChestType!$A$5:$A$195, E1693)&gt;0, VLOOKUP(E1693, ChestType!$A$5:$B$195, 2, 0), "Others"))</f>
        <v>L5 Crypt</v>
      </c>
    </row>
    <row r="1694" spans="1:6" x14ac:dyDescent="0.25">
      <c r="A1694" s="14">
        <v>46146.179861111108</v>
      </c>
      <c r="B1694" s="79" t="s">
        <v>149</v>
      </c>
      <c r="C1694" s="79" t="s">
        <v>184</v>
      </c>
      <c r="D1694" s="79" t="s">
        <v>168</v>
      </c>
      <c r="E1694" s="79" t="s">
        <v>52</v>
      </c>
      <c r="F1694" s="79" t="str">
        <f>IF(E1694="", "", IF(COUNTIF(ChestType!$A$5:$A$195, E1694)&gt;0, VLOOKUP(E1694, ChestType!$A$5:$B$195, 2, 0), "Others"))</f>
        <v>L5 Crypt</v>
      </c>
    </row>
    <row r="1695" spans="1:6" x14ac:dyDescent="0.25">
      <c r="A1695" s="14">
        <v>46146.179861111108</v>
      </c>
      <c r="B1695" s="79" t="s">
        <v>149</v>
      </c>
      <c r="C1695" s="79" t="s">
        <v>158</v>
      </c>
      <c r="D1695" s="79" t="s">
        <v>168</v>
      </c>
      <c r="E1695" s="79" t="s">
        <v>50</v>
      </c>
      <c r="F1695" s="79" t="str">
        <f>IF(E1695="", "", IF(COUNTIF(ChestType!$A$5:$A$195, E1695)&gt;0, VLOOKUP(E1695, ChestType!$A$5:$B$195, 2, 0), "Others"))</f>
        <v>L10 Crypt</v>
      </c>
    </row>
    <row r="1696" spans="1:6" x14ac:dyDescent="0.25">
      <c r="A1696" s="14">
        <v>46146.179861111108</v>
      </c>
      <c r="B1696" s="79" t="s">
        <v>149</v>
      </c>
      <c r="C1696" s="79" t="s">
        <v>177</v>
      </c>
      <c r="D1696" s="79" t="s">
        <v>168</v>
      </c>
      <c r="E1696" s="79" t="s">
        <v>50</v>
      </c>
      <c r="F1696" s="79" t="str">
        <f>IF(E1696="", "", IF(COUNTIF(ChestType!$A$5:$A$195, E1696)&gt;0, VLOOKUP(E1696, ChestType!$A$5:$B$195, 2, 0), "Others"))</f>
        <v>L10 Crypt</v>
      </c>
    </row>
    <row r="1697" spans="1:6" x14ac:dyDescent="0.25">
      <c r="A1697" s="14">
        <v>46146.179861111108</v>
      </c>
      <c r="B1697" s="79" t="s">
        <v>149</v>
      </c>
      <c r="C1697" s="79" t="s">
        <v>173</v>
      </c>
      <c r="D1697" s="79" t="s">
        <v>238</v>
      </c>
      <c r="E1697" s="79" t="s">
        <v>52</v>
      </c>
      <c r="F1697" s="79" t="str">
        <f>IF(E1697="", "", IF(COUNTIF(ChestType!$A$5:$A$195, E1697)&gt;0, VLOOKUP(E1697, ChestType!$A$5:$B$195, 2, 0), "Others"))</f>
        <v>L5 Crypt</v>
      </c>
    </row>
    <row r="1698" spans="1:6" x14ac:dyDescent="0.25">
      <c r="A1698" s="14">
        <v>46146.179861111108</v>
      </c>
      <c r="B1698" s="79" t="s">
        <v>149</v>
      </c>
      <c r="C1698" s="79" t="s">
        <v>171</v>
      </c>
      <c r="D1698" s="79" t="s">
        <v>268</v>
      </c>
      <c r="E1698" s="79" t="s">
        <v>49</v>
      </c>
      <c r="F1698" s="79" t="str">
        <f>IF(E1698="", "", IF(COUNTIF(ChestType!$A$5:$A$195, E1698)&gt;0, VLOOKUP(E1698, ChestType!$A$5:$B$195, 2, 0), "Others"))</f>
        <v>L15 Crypt</v>
      </c>
    </row>
    <row r="1699" spans="1:6" x14ac:dyDescent="0.25">
      <c r="A1699" s="14">
        <v>46146.179861111108</v>
      </c>
      <c r="B1699" s="79" t="s">
        <v>149</v>
      </c>
      <c r="C1699" s="79" t="s">
        <v>175</v>
      </c>
      <c r="D1699" s="79" t="s">
        <v>168</v>
      </c>
      <c r="E1699" s="79" t="s">
        <v>50</v>
      </c>
      <c r="F1699" s="79" t="str">
        <f>IF(E1699="", "", IF(COUNTIF(ChestType!$A$5:$A$195, E1699)&gt;0, VLOOKUP(E1699, ChestType!$A$5:$B$195, 2, 0), "Others"))</f>
        <v>L10 Crypt</v>
      </c>
    </row>
    <row r="1700" spans="1:6" x14ac:dyDescent="0.25">
      <c r="A1700" s="14">
        <v>46146.179861111108</v>
      </c>
      <c r="B1700" s="79" t="s">
        <v>149</v>
      </c>
      <c r="C1700" s="79" t="s">
        <v>173</v>
      </c>
      <c r="D1700" s="79" t="s">
        <v>168</v>
      </c>
      <c r="E1700" s="79" t="s">
        <v>50</v>
      </c>
      <c r="F1700" s="79" t="str">
        <f>IF(E1700="", "", IF(COUNTIF(ChestType!$A$5:$A$195, E1700)&gt;0, VLOOKUP(E1700, ChestType!$A$5:$B$195, 2, 0), "Others"))</f>
        <v>L10 Crypt</v>
      </c>
    </row>
    <row r="1701" spans="1:6" x14ac:dyDescent="0.25">
      <c r="A1701" s="14">
        <v>46146.179861111108</v>
      </c>
      <c r="B1701" s="79" t="s">
        <v>149</v>
      </c>
      <c r="C1701" s="79" t="s">
        <v>177</v>
      </c>
      <c r="D1701" s="79" t="s">
        <v>238</v>
      </c>
      <c r="E1701" s="79" t="s">
        <v>50</v>
      </c>
      <c r="F1701" s="79" t="str">
        <f>IF(E1701="", "", IF(COUNTIF(ChestType!$A$5:$A$195, E1701)&gt;0, VLOOKUP(E1701, ChestType!$A$5:$B$195, 2, 0), "Others"))</f>
        <v>L10 Crypt</v>
      </c>
    </row>
    <row r="1702" spans="1:6" x14ac:dyDescent="0.25">
      <c r="A1702" s="14">
        <v>46146.179861111108</v>
      </c>
      <c r="B1702" s="79" t="s">
        <v>149</v>
      </c>
      <c r="C1702" s="79" t="s">
        <v>182</v>
      </c>
      <c r="D1702" s="79" t="s">
        <v>168</v>
      </c>
      <c r="E1702" s="79" t="s">
        <v>49</v>
      </c>
      <c r="F1702" s="79" t="str">
        <f>IF(E1702="", "", IF(COUNTIF(ChestType!$A$5:$A$195, E1702)&gt;0, VLOOKUP(E1702, ChestType!$A$5:$B$195, 2, 0), "Others"))</f>
        <v>L15 Crypt</v>
      </c>
    </row>
    <row r="1703" spans="1:6" x14ac:dyDescent="0.25">
      <c r="A1703" s="14">
        <v>46146.179861111108</v>
      </c>
      <c r="B1703" s="79" t="s">
        <v>149</v>
      </c>
      <c r="C1703" s="79" t="s">
        <v>176</v>
      </c>
      <c r="D1703" s="79" t="s">
        <v>167</v>
      </c>
      <c r="E1703" s="79" t="s">
        <v>70</v>
      </c>
      <c r="F1703" s="79" t="str">
        <f>IF(E1703="", "", IF(COUNTIF(ChestType!$A$5:$A$195, E1703)&gt;0, VLOOKUP(E1703, ChestType!$A$5:$B$195, 2, 0), "Others"))</f>
        <v>L10 Citadel</v>
      </c>
    </row>
    <row r="1704" spans="1:6" x14ac:dyDescent="0.25">
      <c r="A1704" s="14">
        <v>46146.179861111108</v>
      </c>
      <c r="B1704" s="79" t="s">
        <v>149</v>
      </c>
      <c r="C1704" s="79" t="s">
        <v>203</v>
      </c>
      <c r="D1704" s="79" t="s">
        <v>168</v>
      </c>
      <c r="E1704" s="79" t="s">
        <v>72</v>
      </c>
      <c r="F1704" s="79" t="str">
        <f>IF(E1704="", "", IF(COUNTIF(ChestType!$A$5:$A$195, E1704)&gt;0, VLOOKUP(E1704, ChestType!$A$5:$B$195, 2, 0), "Others"))</f>
        <v>Others</v>
      </c>
    </row>
    <row r="1705" spans="1:6" x14ac:dyDescent="0.25">
      <c r="A1705" s="14">
        <v>46146.179861111108</v>
      </c>
      <c r="B1705" s="79" t="s">
        <v>149</v>
      </c>
      <c r="C1705" s="79" t="s">
        <v>158</v>
      </c>
      <c r="D1705" s="79" t="s">
        <v>261</v>
      </c>
      <c r="E1705" s="79" t="s">
        <v>50</v>
      </c>
      <c r="F1705" s="79" t="str">
        <f>IF(E1705="", "", IF(COUNTIF(ChestType!$A$5:$A$195, E1705)&gt;0, VLOOKUP(E1705, ChestType!$A$5:$B$195, 2, 0), "Others"))</f>
        <v>L10 Crypt</v>
      </c>
    </row>
    <row r="1706" spans="1:6" x14ac:dyDescent="0.25">
      <c r="A1706" s="14">
        <v>46146.179861111108</v>
      </c>
      <c r="B1706" s="79" t="s">
        <v>149</v>
      </c>
      <c r="C1706" s="79" t="s">
        <v>183</v>
      </c>
      <c r="D1706" s="79" t="s">
        <v>261</v>
      </c>
      <c r="E1706" s="79" t="s">
        <v>50</v>
      </c>
      <c r="F1706" s="79" t="str">
        <f>IF(E1706="", "", IF(COUNTIF(ChestType!$A$5:$A$195, E1706)&gt;0, VLOOKUP(E1706, ChestType!$A$5:$B$195, 2, 0), "Others"))</f>
        <v>L10 Crypt</v>
      </c>
    </row>
    <row r="1707" spans="1:6" x14ac:dyDescent="0.25">
      <c r="A1707" s="14">
        <v>46146.179861111108</v>
      </c>
      <c r="B1707" s="79" t="s">
        <v>149</v>
      </c>
      <c r="C1707" s="79" t="s">
        <v>185</v>
      </c>
      <c r="D1707" s="79" t="s">
        <v>167</v>
      </c>
      <c r="E1707" s="79" t="s">
        <v>49</v>
      </c>
      <c r="F1707" s="79" t="str">
        <f>IF(E1707="", "", IF(COUNTIF(ChestType!$A$5:$A$195, E1707)&gt;0, VLOOKUP(E1707, ChestType!$A$5:$B$195, 2, 0), "Others"))</f>
        <v>L15 Crypt</v>
      </c>
    </row>
    <row r="1708" spans="1:6" x14ac:dyDescent="0.25">
      <c r="A1708" s="14">
        <v>46146.179861111108</v>
      </c>
      <c r="B1708" s="79" t="s">
        <v>149</v>
      </c>
      <c r="C1708" s="79" t="s">
        <v>187</v>
      </c>
      <c r="D1708" s="79" t="s">
        <v>165</v>
      </c>
      <c r="E1708" s="79" t="s">
        <v>75</v>
      </c>
      <c r="F1708" s="79" t="str">
        <f>IF(E1708="", "", IF(COUNTIF(ChestType!$A$5:$A$195, E1708)&gt;0, VLOOKUP(E1708, ChestType!$A$5:$B$195, 2, 0), "Others"))</f>
        <v>L10 Rare Crypt</v>
      </c>
    </row>
    <row r="1709" spans="1:6" x14ac:dyDescent="0.25">
      <c r="A1709" s="14">
        <v>46146.179861111108</v>
      </c>
      <c r="B1709" s="79" t="s">
        <v>149</v>
      </c>
      <c r="C1709" s="79" t="s">
        <v>192</v>
      </c>
      <c r="D1709" s="79" t="s">
        <v>165</v>
      </c>
      <c r="E1709" s="79" t="s">
        <v>60</v>
      </c>
      <c r="F1709" s="79" t="str">
        <f>IF(E1709="", "", IF(COUNTIF(ChestType!$A$5:$A$195, E1709)&gt;0, VLOOKUP(E1709, ChestType!$A$5:$B$195, 2, 0), "Others"))</f>
        <v>Others</v>
      </c>
    </row>
    <row r="1710" spans="1:6" x14ac:dyDescent="0.25">
      <c r="A1710" s="14">
        <v>46146.179861111108</v>
      </c>
      <c r="B1710" s="79" t="s">
        <v>149</v>
      </c>
      <c r="C1710" s="79" t="s">
        <v>185</v>
      </c>
      <c r="D1710" s="79" t="s">
        <v>167</v>
      </c>
      <c r="E1710" s="79" t="s">
        <v>49</v>
      </c>
      <c r="F1710" s="79" t="str">
        <f>IF(E1710="", "", IF(COUNTIF(ChestType!$A$5:$A$195, E1710)&gt;0, VLOOKUP(E1710, ChestType!$A$5:$B$195, 2, 0), "Others"))</f>
        <v>L15 Crypt</v>
      </c>
    </row>
    <row r="1711" spans="1:6" x14ac:dyDescent="0.25">
      <c r="A1711" s="14">
        <v>46146.179861111108</v>
      </c>
      <c r="B1711" s="79" t="s">
        <v>149</v>
      </c>
      <c r="C1711" s="79" t="s">
        <v>173</v>
      </c>
      <c r="D1711" s="79" t="s">
        <v>165</v>
      </c>
      <c r="E1711" s="79" t="s">
        <v>50</v>
      </c>
      <c r="F1711" s="79" t="str">
        <f>IF(E1711="", "", IF(COUNTIF(ChestType!$A$5:$A$195, E1711)&gt;0, VLOOKUP(E1711, ChestType!$A$5:$B$195, 2, 0), "Others"))</f>
        <v>L10 Crypt</v>
      </c>
    </row>
    <row r="1712" spans="1:6" x14ac:dyDescent="0.25">
      <c r="A1712" s="14">
        <v>46146.179861111108</v>
      </c>
      <c r="B1712" s="79" t="s">
        <v>149</v>
      </c>
      <c r="C1712" s="79" t="s">
        <v>185</v>
      </c>
      <c r="D1712" s="79" t="s">
        <v>167</v>
      </c>
      <c r="E1712" s="79" t="s">
        <v>49</v>
      </c>
      <c r="F1712" s="79" t="str">
        <f>IF(E1712="", "", IF(COUNTIF(ChestType!$A$5:$A$195, E1712)&gt;0, VLOOKUP(E1712, ChestType!$A$5:$B$195, 2, 0), "Others"))</f>
        <v>L15 Crypt</v>
      </c>
    </row>
    <row r="1713" spans="1:6" x14ac:dyDescent="0.25">
      <c r="A1713" s="14">
        <v>46146.179861111108</v>
      </c>
      <c r="B1713" s="79" t="s">
        <v>149</v>
      </c>
      <c r="C1713" s="79" t="s">
        <v>190</v>
      </c>
      <c r="D1713" s="79" t="s">
        <v>205</v>
      </c>
      <c r="E1713" s="79" t="s">
        <v>52</v>
      </c>
      <c r="F1713" s="79" t="str">
        <f>IF(E1713="", "", IF(COUNTIF(ChestType!$A$5:$A$195, E1713)&gt;0, VLOOKUP(E1713, ChestType!$A$5:$B$195, 2, 0), "Others"))</f>
        <v>L5 Crypt</v>
      </c>
    </row>
    <row r="1714" spans="1:6" x14ac:dyDescent="0.25">
      <c r="A1714" s="14">
        <v>46146.179861111108</v>
      </c>
      <c r="B1714" s="79" t="s">
        <v>149</v>
      </c>
      <c r="C1714" s="79" t="s">
        <v>171</v>
      </c>
      <c r="D1714" s="79" t="s">
        <v>259</v>
      </c>
      <c r="E1714" s="79" t="s">
        <v>50</v>
      </c>
      <c r="F1714" s="79" t="str">
        <f>IF(E1714="", "", IF(COUNTIF(ChestType!$A$5:$A$195, E1714)&gt;0, VLOOKUP(E1714, ChestType!$A$5:$B$195, 2, 0), "Others"))</f>
        <v>L10 Crypt</v>
      </c>
    </row>
    <row r="1715" spans="1:6" x14ac:dyDescent="0.25">
      <c r="A1715" s="14">
        <v>46146.179861111108</v>
      </c>
      <c r="B1715" s="79" t="s">
        <v>149</v>
      </c>
      <c r="C1715" s="79" t="s">
        <v>183</v>
      </c>
      <c r="D1715" s="79" t="s">
        <v>266</v>
      </c>
      <c r="E1715" s="79" t="s">
        <v>50</v>
      </c>
      <c r="F1715" s="79" t="str">
        <f>IF(E1715="", "", IF(COUNTIF(ChestType!$A$5:$A$195, E1715)&gt;0, VLOOKUP(E1715, ChestType!$A$5:$B$195, 2, 0), "Others"))</f>
        <v>L10 Crypt</v>
      </c>
    </row>
    <row r="1716" spans="1:6" x14ac:dyDescent="0.25">
      <c r="A1716" s="14">
        <v>46146.179861111108</v>
      </c>
      <c r="B1716" s="79" t="s">
        <v>149</v>
      </c>
      <c r="C1716" s="79" t="s">
        <v>185</v>
      </c>
      <c r="D1716" s="79" t="s">
        <v>246</v>
      </c>
      <c r="E1716" s="79" t="s">
        <v>50</v>
      </c>
      <c r="F1716" s="79" t="str">
        <f>IF(E1716="", "", IF(COUNTIF(ChestType!$A$5:$A$195, E1716)&gt;0, VLOOKUP(E1716, ChestType!$A$5:$B$195, 2, 0), "Others"))</f>
        <v>L10 Crypt</v>
      </c>
    </row>
    <row r="1717" spans="1:6" x14ac:dyDescent="0.25">
      <c r="A1717" s="14">
        <v>46146.179861111108</v>
      </c>
      <c r="B1717" s="79" t="s">
        <v>149</v>
      </c>
      <c r="C1717" s="79" t="s">
        <v>181</v>
      </c>
      <c r="D1717" s="79" t="s">
        <v>164</v>
      </c>
      <c r="E1717" s="79" t="s">
        <v>50</v>
      </c>
      <c r="F1717" s="79" t="str">
        <f>IF(E1717="", "", IF(COUNTIF(ChestType!$A$5:$A$195, E1717)&gt;0, VLOOKUP(E1717, ChestType!$A$5:$B$195, 2, 0), "Others"))</f>
        <v>L10 Crypt</v>
      </c>
    </row>
    <row r="1718" spans="1:6" x14ac:dyDescent="0.25">
      <c r="A1718" s="14">
        <v>46146.179861111108</v>
      </c>
      <c r="B1718" s="79" t="s">
        <v>149</v>
      </c>
      <c r="C1718" s="79" t="s">
        <v>187</v>
      </c>
      <c r="D1718" s="79" t="s">
        <v>199</v>
      </c>
      <c r="E1718" s="79" t="s">
        <v>71</v>
      </c>
      <c r="F1718" s="79" t="str">
        <f>IF(E1718="", "", IF(COUNTIF(ChestType!$A$5:$A$195, E1718)&gt;0, VLOOKUP(E1718, ChestType!$A$5:$B$195, 2, 0), "Others"))</f>
        <v>L15 Rare Crypt</v>
      </c>
    </row>
    <row r="1719" spans="1:6" x14ac:dyDescent="0.25">
      <c r="A1719" s="14">
        <v>46146.179861111108</v>
      </c>
      <c r="B1719" s="79" t="s">
        <v>149</v>
      </c>
      <c r="C1719" s="79" t="s">
        <v>151</v>
      </c>
      <c r="D1719" s="79" t="s">
        <v>199</v>
      </c>
      <c r="E1719" s="79" t="s">
        <v>52</v>
      </c>
      <c r="F1719" s="79" t="str">
        <f>IF(E1719="", "", IF(COUNTIF(ChestType!$A$5:$A$195, E1719)&gt;0, VLOOKUP(E1719, ChestType!$A$5:$B$195, 2, 0), "Others"))</f>
        <v>L5 Crypt</v>
      </c>
    </row>
    <row r="1720" spans="1:6" x14ac:dyDescent="0.25">
      <c r="A1720" s="14">
        <v>46146.179861111108</v>
      </c>
      <c r="B1720" s="79" t="s">
        <v>149</v>
      </c>
      <c r="C1720" s="79" t="s">
        <v>177</v>
      </c>
      <c r="D1720" s="79" t="s">
        <v>259</v>
      </c>
      <c r="E1720" s="79" t="s">
        <v>50</v>
      </c>
      <c r="F1720" s="79" t="str">
        <f>IF(E1720="", "", IF(COUNTIF(ChestType!$A$5:$A$195, E1720)&gt;0, VLOOKUP(E1720, ChestType!$A$5:$B$195, 2, 0), "Others"))</f>
        <v>L10 Crypt</v>
      </c>
    </row>
    <row r="1721" spans="1:6" x14ac:dyDescent="0.25">
      <c r="A1721" s="14">
        <v>46146.179861111108</v>
      </c>
      <c r="B1721" s="79" t="s">
        <v>149</v>
      </c>
      <c r="C1721" s="79" t="s">
        <v>171</v>
      </c>
      <c r="D1721" s="79" t="s">
        <v>164</v>
      </c>
      <c r="E1721" s="79" t="s">
        <v>50</v>
      </c>
      <c r="F1721" s="79" t="str">
        <f>IF(E1721="", "", IF(COUNTIF(ChestType!$A$5:$A$195, E1721)&gt;0, VLOOKUP(E1721, ChestType!$A$5:$B$195, 2, 0), "Others"))</f>
        <v>L10 Crypt</v>
      </c>
    </row>
    <row r="1722" spans="1:6" x14ac:dyDescent="0.25">
      <c r="A1722" s="14">
        <v>46146.179861111108</v>
      </c>
      <c r="B1722" s="79" t="s">
        <v>149</v>
      </c>
      <c r="C1722" s="79" t="s">
        <v>192</v>
      </c>
      <c r="D1722" s="79" t="s">
        <v>261</v>
      </c>
      <c r="E1722" s="79" t="s">
        <v>60</v>
      </c>
      <c r="F1722" s="79" t="str">
        <f>IF(E1722="", "", IF(COUNTIF(ChestType!$A$5:$A$195, E1722)&gt;0, VLOOKUP(E1722, ChestType!$A$5:$B$195, 2, 0), "Others"))</f>
        <v>Others</v>
      </c>
    </row>
    <row r="1723" spans="1:6" x14ac:dyDescent="0.25">
      <c r="A1723" s="14">
        <v>46146.179861111108</v>
      </c>
      <c r="B1723" s="79" t="s">
        <v>149</v>
      </c>
      <c r="C1723" s="79" t="s">
        <v>173</v>
      </c>
      <c r="D1723" s="79" t="s">
        <v>157</v>
      </c>
      <c r="E1723" s="79" t="s">
        <v>49</v>
      </c>
      <c r="F1723" s="79" t="str">
        <f>IF(E1723="", "", IF(COUNTIF(ChestType!$A$5:$A$195, E1723)&gt;0, VLOOKUP(E1723, ChestType!$A$5:$B$195, 2, 0), "Others"))</f>
        <v>L15 Crypt</v>
      </c>
    </row>
    <row r="1724" spans="1:6" x14ac:dyDescent="0.25">
      <c r="A1724" s="14">
        <v>46146.179861111108</v>
      </c>
      <c r="B1724" s="79" t="s">
        <v>149</v>
      </c>
      <c r="C1724" s="79" t="s">
        <v>190</v>
      </c>
      <c r="D1724" s="79" t="s">
        <v>265</v>
      </c>
      <c r="E1724" s="79" t="s">
        <v>49</v>
      </c>
      <c r="F1724" s="79" t="str">
        <f>IF(E1724="", "", IF(COUNTIF(ChestType!$A$5:$A$195, E1724)&gt;0, VLOOKUP(E1724, ChestType!$A$5:$B$195, 2, 0), "Others"))</f>
        <v>L15 Crypt</v>
      </c>
    </row>
    <row r="1725" spans="1:6" x14ac:dyDescent="0.25">
      <c r="A1725" s="14">
        <v>46146.179861111108</v>
      </c>
      <c r="B1725" s="79" t="s">
        <v>149</v>
      </c>
      <c r="C1725" s="79" t="s">
        <v>190</v>
      </c>
      <c r="D1725" s="79" t="s">
        <v>265</v>
      </c>
      <c r="E1725" s="79" t="s">
        <v>49</v>
      </c>
      <c r="F1725" s="79" t="str">
        <f>IF(E1725="", "", IF(COUNTIF(ChestType!$A$5:$A$195, E1725)&gt;0, VLOOKUP(E1725, ChestType!$A$5:$B$195, 2, 0), "Others"))</f>
        <v>L15 Crypt</v>
      </c>
    </row>
    <row r="1726" spans="1:6" x14ac:dyDescent="0.25">
      <c r="A1726" s="14">
        <v>46146.179861111108</v>
      </c>
      <c r="B1726" s="79" t="s">
        <v>149</v>
      </c>
      <c r="C1726" s="79" t="s">
        <v>190</v>
      </c>
      <c r="D1726" s="79" t="s">
        <v>265</v>
      </c>
      <c r="E1726" s="79" t="s">
        <v>49</v>
      </c>
      <c r="F1726" s="79" t="str">
        <f>IF(E1726="", "", IF(COUNTIF(ChestType!$A$5:$A$195, E1726)&gt;0, VLOOKUP(E1726, ChestType!$A$5:$B$195, 2, 0), "Others"))</f>
        <v>L15 Crypt</v>
      </c>
    </row>
    <row r="1727" spans="1:6" x14ac:dyDescent="0.25">
      <c r="A1727" s="14">
        <v>46146.179861111108</v>
      </c>
      <c r="B1727" s="79" t="s">
        <v>149</v>
      </c>
      <c r="C1727" s="79" t="s">
        <v>190</v>
      </c>
      <c r="D1727" s="79" t="s">
        <v>265</v>
      </c>
      <c r="E1727" s="79" t="s">
        <v>49</v>
      </c>
      <c r="F1727" s="79" t="str">
        <f>IF(E1727="", "", IF(COUNTIF(ChestType!$A$5:$A$195, E1727)&gt;0, VLOOKUP(E1727, ChestType!$A$5:$B$195, 2, 0), "Others"))</f>
        <v>L15 Crypt</v>
      </c>
    </row>
    <row r="1728" spans="1:6" x14ac:dyDescent="0.25">
      <c r="A1728" s="14">
        <v>46146.179861111108</v>
      </c>
      <c r="B1728" s="79" t="s">
        <v>149</v>
      </c>
      <c r="C1728" s="79" t="s">
        <v>190</v>
      </c>
      <c r="D1728" s="79" t="s">
        <v>265</v>
      </c>
      <c r="E1728" s="79" t="s">
        <v>49</v>
      </c>
      <c r="F1728" s="79" t="str">
        <f>IF(E1728="", "", IF(COUNTIF(ChestType!$A$5:$A$195, E1728)&gt;0, VLOOKUP(E1728, ChestType!$A$5:$B$195, 2, 0), "Others"))</f>
        <v>L15 Crypt</v>
      </c>
    </row>
    <row r="1729" spans="1:6" x14ac:dyDescent="0.25">
      <c r="A1729" s="14">
        <v>46146.179861111108</v>
      </c>
      <c r="B1729" s="79" t="s">
        <v>149</v>
      </c>
      <c r="C1729" s="79" t="s">
        <v>190</v>
      </c>
      <c r="D1729" s="79" t="s">
        <v>265</v>
      </c>
      <c r="E1729" s="79" t="s">
        <v>49</v>
      </c>
      <c r="F1729" s="79" t="str">
        <f>IF(E1729="", "", IF(COUNTIF(ChestType!$A$5:$A$195, E1729)&gt;0, VLOOKUP(E1729, ChestType!$A$5:$B$195, 2, 0), "Others"))</f>
        <v>L15 Crypt</v>
      </c>
    </row>
    <row r="1730" spans="1:6" x14ac:dyDescent="0.25">
      <c r="A1730" s="14">
        <v>46146.179861111108</v>
      </c>
      <c r="B1730" s="79" t="s">
        <v>149</v>
      </c>
      <c r="C1730" s="79" t="s">
        <v>190</v>
      </c>
      <c r="D1730" s="79" t="s">
        <v>265</v>
      </c>
      <c r="E1730" s="79" t="s">
        <v>49</v>
      </c>
      <c r="F1730" s="79" t="str">
        <f>IF(E1730="", "", IF(COUNTIF(ChestType!$A$5:$A$195, E1730)&gt;0, VLOOKUP(E1730, ChestType!$A$5:$B$195, 2, 0), "Others"))</f>
        <v>L15 Crypt</v>
      </c>
    </row>
    <row r="1731" spans="1:6" x14ac:dyDescent="0.25">
      <c r="A1731" s="14">
        <v>46146.179861111108</v>
      </c>
      <c r="B1731" s="79" t="s">
        <v>149</v>
      </c>
      <c r="C1731" s="79" t="s">
        <v>190</v>
      </c>
      <c r="D1731" s="79" t="s">
        <v>265</v>
      </c>
      <c r="E1731" s="79" t="s">
        <v>49</v>
      </c>
      <c r="F1731" s="79" t="str">
        <f>IF(E1731="", "", IF(COUNTIF(ChestType!$A$5:$A$195, E1731)&gt;0, VLOOKUP(E1731, ChestType!$A$5:$B$195, 2, 0), "Others"))</f>
        <v>L15 Crypt</v>
      </c>
    </row>
    <row r="1732" spans="1:6" x14ac:dyDescent="0.25">
      <c r="A1732" s="14">
        <v>46146.179861111108</v>
      </c>
      <c r="B1732" s="79" t="s">
        <v>149</v>
      </c>
      <c r="C1732" s="79" t="s">
        <v>190</v>
      </c>
      <c r="D1732" s="79" t="s">
        <v>265</v>
      </c>
      <c r="E1732" s="79" t="s">
        <v>49</v>
      </c>
      <c r="F1732" s="79" t="str">
        <f>IF(E1732="", "", IF(COUNTIF(ChestType!$A$5:$A$195, E1732)&gt;0, VLOOKUP(E1732, ChestType!$A$5:$B$195, 2, 0), "Others"))</f>
        <v>L15 Crypt</v>
      </c>
    </row>
    <row r="1733" spans="1:6" x14ac:dyDescent="0.25">
      <c r="A1733" s="14">
        <v>46146.179861111108</v>
      </c>
      <c r="B1733" s="79" t="s">
        <v>149</v>
      </c>
      <c r="C1733" s="79" t="s">
        <v>181</v>
      </c>
      <c r="D1733" s="79" t="s">
        <v>265</v>
      </c>
      <c r="E1733" s="79" t="s">
        <v>49</v>
      </c>
      <c r="F1733" s="79" t="str">
        <f>IF(E1733="", "", IF(COUNTIF(ChestType!$A$5:$A$195, E1733)&gt;0, VLOOKUP(E1733, ChestType!$A$5:$B$195, 2, 0), "Others"))</f>
        <v>L15 Crypt</v>
      </c>
    </row>
    <row r="1734" spans="1:6" x14ac:dyDescent="0.25">
      <c r="A1734" s="14">
        <v>46146.179861111108</v>
      </c>
      <c r="B1734" s="79" t="s">
        <v>149</v>
      </c>
      <c r="C1734" s="79" t="s">
        <v>181</v>
      </c>
      <c r="D1734" s="79" t="s">
        <v>265</v>
      </c>
      <c r="E1734" s="79" t="s">
        <v>49</v>
      </c>
      <c r="F1734" s="79" t="str">
        <f>IF(E1734="", "", IF(COUNTIF(ChestType!$A$5:$A$195, E1734)&gt;0, VLOOKUP(E1734, ChestType!$A$5:$B$195, 2, 0), "Others"))</f>
        <v>L15 Crypt</v>
      </c>
    </row>
    <row r="1735" spans="1:6" x14ac:dyDescent="0.25">
      <c r="A1735" s="14">
        <v>46146.179861111108</v>
      </c>
      <c r="B1735" s="79" t="s">
        <v>149</v>
      </c>
      <c r="C1735" s="79" t="s">
        <v>181</v>
      </c>
      <c r="D1735" s="79" t="s">
        <v>265</v>
      </c>
      <c r="E1735" s="79" t="s">
        <v>49</v>
      </c>
      <c r="F1735" s="79" t="str">
        <f>IF(E1735="", "", IF(COUNTIF(ChestType!$A$5:$A$195, E1735)&gt;0, VLOOKUP(E1735, ChestType!$A$5:$B$195, 2, 0), "Others"))</f>
        <v>L15 Crypt</v>
      </c>
    </row>
    <row r="1736" spans="1:6" x14ac:dyDescent="0.25">
      <c r="A1736" s="14">
        <v>46146.179861111108</v>
      </c>
      <c r="B1736" s="79" t="s">
        <v>149</v>
      </c>
      <c r="C1736" s="79" t="s">
        <v>181</v>
      </c>
      <c r="D1736" s="79" t="s">
        <v>265</v>
      </c>
      <c r="E1736" s="79" t="s">
        <v>49</v>
      </c>
      <c r="F1736" s="79" t="str">
        <f>IF(E1736="", "", IF(COUNTIF(ChestType!$A$5:$A$195, E1736)&gt;0, VLOOKUP(E1736, ChestType!$A$5:$B$195, 2, 0), "Others"))</f>
        <v>L15 Crypt</v>
      </c>
    </row>
    <row r="1737" spans="1:6" x14ac:dyDescent="0.25">
      <c r="A1737" s="14">
        <v>46146.179861111108</v>
      </c>
      <c r="B1737" s="79" t="s">
        <v>149</v>
      </c>
      <c r="C1737" s="79" t="s">
        <v>181</v>
      </c>
      <c r="D1737" s="79" t="s">
        <v>265</v>
      </c>
      <c r="E1737" s="79" t="s">
        <v>49</v>
      </c>
      <c r="F1737" s="79" t="str">
        <f>IF(E1737="", "", IF(COUNTIF(ChestType!$A$5:$A$195, E1737)&gt;0, VLOOKUP(E1737, ChestType!$A$5:$B$195, 2, 0), "Others"))</f>
        <v>L15 Crypt</v>
      </c>
    </row>
    <row r="1738" spans="1:6" x14ac:dyDescent="0.25">
      <c r="A1738" s="14">
        <v>46146.179861111108</v>
      </c>
      <c r="B1738" s="79" t="s">
        <v>149</v>
      </c>
      <c r="C1738" s="79" t="s">
        <v>181</v>
      </c>
      <c r="D1738" s="79" t="s">
        <v>265</v>
      </c>
      <c r="E1738" s="79" t="s">
        <v>49</v>
      </c>
      <c r="F1738" s="79" t="str">
        <f>IF(E1738="", "", IF(COUNTIF(ChestType!$A$5:$A$195, E1738)&gt;0, VLOOKUP(E1738, ChestType!$A$5:$B$195, 2, 0), "Others"))</f>
        <v>L15 Crypt</v>
      </c>
    </row>
    <row r="1739" spans="1:6" x14ac:dyDescent="0.25">
      <c r="A1739" s="14">
        <v>46146.179861111108</v>
      </c>
      <c r="B1739" s="79" t="s">
        <v>149</v>
      </c>
      <c r="C1739" s="79" t="s">
        <v>181</v>
      </c>
      <c r="D1739" s="79" t="s">
        <v>265</v>
      </c>
      <c r="E1739" s="79" t="s">
        <v>49</v>
      </c>
      <c r="F1739" s="79" t="str">
        <f>IF(E1739="", "", IF(COUNTIF(ChestType!$A$5:$A$195, E1739)&gt;0, VLOOKUP(E1739, ChestType!$A$5:$B$195, 2, 0), "Others"))</f>
        <v>L15 Crypt</v>
      </c>
    </row>
    <row r="1740" spans="1:6" x14ac:dyDescent="0.25">
      <c r="A1740" s="14">
        <v>46146.179861111108</v>
      </c>
      <c r="B1740" s="79" t="s">
        <v>149</v>
      </c>
      <c r="C1740" s="79" t="s">
        <v>181</v>
      </c>
      <c r="D1740" s="79" t="s">
        <v>265</v>
      </c>
      <c r="E1740" s="79" t="s">
        <v>49</v>
      </c>
      <c r="F1740" s="79" t="str">
        <f>IF(E1740="", "", IF(COUNTIF(ChestType!$A$5:$A$195, E1740)&gt;0, VLOOKUP(E1740, ChestType!$A$5:$B$195, 2, 0), "Others"))</f>
        <v>L15 Crypt</v>
      </c>
    </row>
    <row r="1741" spans="1:6" x14ac:dyDescent="0.25">
      <c r="A1741" s="14">
        <v>46146.179861111108</v>
      </c>
      <c r="B1741" s="79" t="s">
        <v>149</v>
      </c>
      <c r="C1741" s="79" t="s">
        <v>181</v>
      </c>
      <c r="D1741" s="79" t="s">
        <v>265</v>
      </c>
      <c r="E1741" s="79" t="s">
        <v>49</v>
      </c>
      <c r="F1741" s="79" t="str">
        <f>IF(E1741="", "", IF(COUNTIF(ChestType!$A$5:$A$195, E1741)&gt;0, VLOOKUP(E1741, ChestType!$A$5:$B$195, 2, 0), "Others"))</f>
        <v>L15 Crypt</v>
      </c>
    </row>
    <row r="1742" spans="1:6" x14ac:dyDescent="0.25">
      <c r="A1742" s="14">
        <v>46146.179861111108</v>
      </c>
      <c r="B1742" s="79" t="s">
        <v>149</v>
      </c>
      <c r="C1742" s="79" t="s">
        <v>173</v>
      </c>
      <c r="D1742" s="79" t="s">
        <v>265</v>
      </c>
      <c r="E1742" s="79" t="s">
        <v>49</v>
      </c>
      <c r="F1742" s="79" t="str">
        <f>IF(E1742="", "", IF(COUNTIF(ChestType!$A$5:$A$195, E1742)&gt;0, VLOOKUP(E1742, ChestType!$A$5:$B$195, 2, 0), "Others"))</f>
        <v>L15 Crypt</v>
      </c>
    </row>
    <row r="1743" spans="1:6" x14ac:dyDescent="0.25">
      <c r="A1743" s="14">
        <v>46146.179861111108</v>
      </c>
      <c r="B1743" s="79" t="s">
        <v>149</v>
      </c>
      <c r="C1743" s="79" t="s">
        <v>173</v>
      </c>
      <c r="D1743" s="79" t="s">
        <v>265</v>
      </c>
      <c r="E1743" s="79" t="s">
        <v>49</v>
      </c>
      <c r="F1743" s="79" t="str">
        <f>IF(E1743="", "", IF(COUNTIF(ChestType!$A$5:$A$195, E1743)&gt;0, VLOOKUP(E1743, ChestType!$A$5:$B$195, 2, 0), "Others"))</f>
        <v>L15 Crypt</v>
      </c>
    </row>
    <row r="1744" spans="1:6" x14ac:dyDescent="0.25">
      <c r="A1744" s="14">
        <v>46146.179861111108</v>
      </c>
      <c r="B1744" s="79" t="s">
        <v>149</v>
      </c>
      <c r="C1744" s="79" t="s">
        <v>173</v>
      </c>
      <c r="D1744" s="79" t="s">
        <v>265</v>
      </c>
      <c r="E1744" s="79" t="s">
        <v>49</v>
      </c>
      <c r="F1744" s="79" t="str">
        <f>IF(E1744="", "", IF(COUNTIF(ChestType!$A$5:$A$195, E1744)&gt;0, VLOOKUP(E1744, ChestType!$A$5:$B$195, 2, 0), "Others"))</f>
        <v>L15 Crypt</v>
      </c>
    </row>
    <row r="1745" spans="1:6" x14ac:dyDescent="0.25">
      <c r="A1745" s="14">
        <v>46146.179861111108</v>
      </c>
      <c r="B1745" s="79" t="s">
        <v>149</v>
      </c>
      <c r="C1745" s="79" t="s">
        <v>173</v>
      </c>
      <c r="D1745" s="79" t="s">
        <v>265</v>
      </c>
      <c r="E1745" s="79" t="s">
        <v>49</v>
      </c>
      <c r="F1745" s="79" t="str">
        <f>IF(E1745="", "", IF(COUNTIF(ChestType!$A$5:$A$195, E1745)&gt;0, VLOOKUP(E1745, ChestType!$A$5:$B$195, 2, 0), "Others"))</f>
        <v>L15 Crypt</v>
      </c>
    </row>
    <row r="1746" spans="1:6" x14ac:dyDescent="0.25">
      <c r="A1746" s="14">
        <v>46146.179861111108</v>
      </c>
      <c r="B1746" s="79" t="s">
        <v>149</v>
      </c>
      <c r="C1746" s="79" t="s">
        <v>173</v>
      </c>
      <c r="D1746" s="79" t="s">
        <v>265</v>
      </c>
      <c r="E1746" s="79" t="s">
        <v>49</v>
      </c>
      <c r="F1746" s="79" t="str">
        <f>IF(E1746="", "", IF(COUNTIF(ChestType!$A$5:$A$195, E1746)&gt;0, VLOOKUP(E1746, ChestType!$A$5:$B$195, 2, 0), "Others"))</f>
        <v>L15 Crypt</v>
      </c>
    </row>
    <row r="1747" spans="1:6" x14ac:dyDescent="0.25">
      <c r="A1747" s="14">
        <v>46146.179861111108</v>
      </c>
      <c r="B1747" s="79" t="s">
        <v>149</v>
      </c>
      <c r="C1747" s="79" t="s">
        <v>173</v>
      </c>
      <c r="D1747" s="79" t="s">
        <v>265</v>
      </c>
      <c r="E1747" s="79" t="s">
        <v>49</v>
      </c>
      <c r="F1747" s="79" t="str">
        <f>IF(E1747="", "", IF(COUNTIF(ChestType!$A$5:$A$195, E1747)&gt;0, VLOOKUP(E1747, ChestType!$A$5:$B$195, 2, 0), "Others"))</f>
        <v>L15 Crypt</v>
      </c>
    </row>
    <row r="1748" spans="1:6" x14ac:dyDescent="0.25">
      <c r="A1748" s="14">
        <v>46146.179861111108</v>
      </c>
      <c r="B1748" s="79" t="s">
        <v>149</v>
      </c>
      <c r="C1748" s="79" t="s">
        <v>173</v>
      </c>
      <c r="D1748" s="79" t="s">
        <v>265</v>
      </c>
      <c r="E1748" s="79" t="s">
        <v>49</v>
      </c>
      <c r="F1748" s="79" t="str">
        <f>IF(E1748="", "", IF(COUNTIF(ChestType!$A$5:$A$195, E1748)&gt;0, VLOOKUP(E1748, ChestType!$A$5:$B$195, 2, 0), "Others"))</f>
        <v>L15 Crypt</v>
      </c>
    </row>
    <row r="1749" spans="1:6" x14ac:dyDescent="0.25">
      <c r="A1749" s="14">
        <v>46146.179861111108</v>
      </c>
      <c r="B1749" s="79" t="s">
        <v>149</v>
      </c>
      <c r="C1749" s="79" t="s">
        <v>173</v>
      </c>
      <c r="D1749" s="79" t="s">
        <v>265</v>
      </c>
      <c r="E1749" s="79" t="s">
        <v>49</v>
      </c>
      <c r="F1749" s="79" t="str">
        <f>IF(E1749="", "", IF(COUNTIF(ChestType!$A$5:$A$195, E1749)&gt;0, VLOOKUP(E1749, ChestType!$A$5:$B$195, 2, 0), "Others"))</f>
        <v>L15 Crypt</v>
      </c>
    </row>
    <row r="1750" spans="1:6" x14ac:dyDescent="0.25">
      <c r="A1750" s="14">
        <v>46146.179861111108</v>
      </c>
      <c r="B1750" s="79" t="s">
        <v>149</v>
      </c>
      <c r="C1750" s="79" t="s">
        <v>173</v>
      </c>
      <c r="D1750" s="79" t="s">
        <v>265</v>
      </c>
      <c r="E1750" s="79" t="s">
        <v>49</v>
      </c>
      <c r="F1750" s="79" t="str">
        <f>IF(E1750="", "", IF(COUNTIF(ChestType!$A$5:$A$195, E1750)&gt;0, VLOOKUP(E1750, ChestType!$A$5:$B$195, 2, 0), "Others"))</f>
        <v>L15 Crypt</v>
      </c>
    </row>
    <row r="1751" spans="1:6" x14ac:dyDescent="0.25">
      <c r="A1751" s="14">
        <v>46146.179861111108</v>
      </c>
      <c r="B1751" s="79" t="s">
        <v>149</v>
      </c>
      <c r="C1751" s="79" t="s">
        <v>151</v>
      </c>
      <c r="D1751" s="79" t="s">
        <v>265</v>
      </c>
      <c r="E1751" s="79" t="s">
        <v>49</v>
      </c>
      <c r="F1751" s="79" t="str">
        <f>IF(E1751="", "", IF(COUNTIF(ChestType!$A$5:$A$195, E1751)&gt;0, VLOOKUP(E1751, ChestType!$A$5:$B$195, 2, 0), "Others"))</f>
        <v>L15 Crypt</v>
      </c>
    </row>
    <row r="1752" spans="1:6" x14ac:dyDescent="0.25">
      <c r="A1752" s="14">
        <v>46146.179861111108</v>
      </c>
      <c r="B1752" s="79" t="s">
        <v>149</v>
      </c>
      <c r="C1752" s="79" t="s">
        <v>151</v>
      </c>
      <c r="D1752" s="79" t="s">
        <v>265</v>
      </c>
      <c r="E1752" s="79" t="s">
        <v>49</v>
      </c>
      <c r="F1752" s="79" t="str">
        <f>IF(E1752="", "", IF(COUNTIF(ChestType!$A$5:$A$195, E1752)&gt;0, VLOOKUP(E1752, ChestType!$A$5:$B$195, 2, 0), "Others"))</f>
        <v>L15 Crypt</v>
      </c>
    </row>
    <row r="1753" spans="1:6" x14ac:dyDescent="0.25">
      <c r="A1753" s="14">
        <v>46146.179861111108</v>
      </c>
      <c r="B1753" s="79" t="s">
        <v>149</v>
      </c>
      <c r="C1753" s="79" t="s">
        <v>151</v>
      </c>
      <c r="D1753" s="79" t="s">
        <v>265</v>
      </c>
      <c r="E1753" s="79" t="s">
        <v>49</v>
      </c>
      <c r="F1753" s="79" t="str">
        <f>IF(E1753="", "", IF(COUNTIF(ChestType!$A$5:$A$195, E1753)&gt;0, VLOOKUP(E1753, ChestType!$A$5:$B$195, 2, 0), "Others"))</f>
        <v>L15 Crypt</v>
      </c>
    </row>
    <row r="1754" spans="1:6" x14ac:dyDescent="0.25">
      <c r="A1754" s="14">
        <v>46146.179861111108</v>
      </c>
      <c r="B1754" s="79" t="s">
        <v>149</v>
      </c>
      <c r="C1754" s="79" t="s">
        <v>151</v>
      </c>
      <c r="D1754" s="79" t="s">
        <v>265</v>
      </c>
      <c r="E1754" s="79" t="s">
        <v>49</v>
      </c>
      <c r="F1754" s="79" t="str">
        <f>IF(E1754="", "", IF(COUNTIF(ChestType!$A$5:$A$195, E1754)&gt;0, VLOOKUP(E1754, ChestType!$A$5:$B$195, 2, 0), "Others"))</f>
        <v>L15 Crypt</v>
      </c>
    </row>
    <row r="1755" spans="1:6" x14ac:dyDescent="0.25">
      <c r="A1755" s="14">
        <v>46146.179861111108</v>
      </c>
      <c r="B1755" s="79" t="s">
        <v>149</v>
      </c>
      <c r="C1755" s="79" t="s">
        <v>151</v>
      </c>
      <c r="D1755" s="79" t="s">
        <v>265</v>
      </c>
      <c r="E1755" s="79" t="s">
        <v>49</v>
      </c>
      <c r="F1755" s="79" t="str">
        <f>IF(E1755="", "", IF(COUNTIF(ChestType!$A$5:$A$195, E1755)&gt;0, VLOOKUP(E1755, ChestType!$A$5:$B$195, 2, 0), "Others"))</f>
        <v>L15 Crypt</v>
      </c>
    </row>
    <row r="1756" spans="1:6" x14ac:dyDescent="0.25">
      <c r="A1756" s="14">
        <v>46146.179861111108</v>
      </c>
      <c r="B1756" s="79" t="s">
        <v>149</v>
      </c>
      <c r="C1756" s="79" t="s">
        <v>151</v>
      </c>
      <c r="D1756" s="79" t="s">
        <v>265</v>
      </c>
      <c r="E1756" s="79" t="s">
        <v>49</v>
      </c>
      <c r="F1756" s="79" t="str">
        <f>IF(E1756="", "", IF(COUNTIF(ChestType!$A$5:$A$195, E1756)&gt;0, VLOOKUP(E1756, ChestType!$A$5:$B$195, 2, 0), "Others"))</f>
        <v>L15 Crypt</v>
      </c>
    </row>
    <row r="1757" spans="1:6" x14ac:dyDescent="0.25">
      <c r="A1757" s="14">
        <v>46146.179861111108</v>
      </c>
      <c r="B1757" s="79" t="s">
        <v>149</v>
      </c>
      <c r="C1757" s="79" t="s">
        <v>151</v>
      </c>
      <c r="D1757" s="79" t="s">
        <v>265</v>
      </c>
      <c r="E1757" s="79" t="s">
        <v>49</v>
      </c>
      <c r="F1757" s="79" t="str">
        <f>IF(E1757="", "", IF(COUNTIF(ChestType!$A$5:$A$195, E1757)&gt;0, VLOOKUP(E1757, ChestType!$A$5:$B$195, 2, 0), "Others"))</f>
        <v>L15 Crypt</v>
      </c>
    </row>
    <row r="1758" spans="1:6" x14ac:dyDescent="0.25">
      <c r="A1758" s="14">
        <v>46146.179861111108</v>
      </c>
      <c r="B1758" s="79" t="s">
        <v>149</v>
      </c>
      <c r="C1758" s="79" t="s">
        <v>151</v>
      </c>
      <c r="D1758" s="79" t="s">
        <v>265</v>
      </c>
      <c r="E1758" s="79" t="s">
        <v>49</v>
      </c>
      <c r="F1758" s="79" t="str">
        <f>IF(E1758="", "", IF(COUNTIF(ChestType!$A$5:$A$195, E1758)&gt;0, VLOOKUP(E1758, ChestType!$A$5:$B$195, 2, 0), "Others"))</f>
        <v>L15 Crypt</v>
      </c>
    </row>
    <row r="1759" spans="1:6" x14ac:dyDescent="0.25">
      <c r="A1759" s="14">
        <v>46146.179861111108</v>
      </c>
      <c r="B1759" s="79" t="s">
        <v>149</v>
      </c>
      <c r="C1759" s="79" t="s">
        <v>151</v>
      </c>
      <c r="D1759" s="79" t="s">
        <v>265</v>
      </c>
      <c r="E1759" s="79" t="s">
        <v>49</v>
      </c>
      <c r="F1759" s="79" t="str">
        <f>IF(E1759="", "", IF(COUNTIF(ChestType!$A$5:$A$195, E1759)&gt;0, VLOOKUP(E1759, ChestType!$A$5:$B$195, 2, 0), "Others"))</f>
        <v>L15 Crypt</v>
      </c>
    </row>
    <row r="1760" spans="1:6" x14ac:dyDescent="0.25">
      <c r="A1760" s="14">
        <v>46146.179861111108</v>
      </c>
      <c r="B1760" s="79" t="s">
        <v>149</v>
      </c>
      <c r="C1760" s="79" t="s">
        <v>187</v>
      </c>
      <c r="D1760" s="79" t="s">
        <v>265</v>
      </c>
      <c r="E1760" s="79" t="s">
        <v>75</v>
      </c>
      <c r="F1760" s="79" t="str">
        <f>IF(E1760="", "", IF(COUNTIF(ChestType!$A$5:$A$195, E1760)&gt;0, VLOOKUP(E1760, ChestType!$A$5:$B$195, 2, 0), "Others"))</f>
        <v>L10 Rare Crypt</v>
      </c>
    </row>
    <row r="1761" spans="1:6" x14ac:dyDescent="0.25">
      <c r="A1761" s="14">
        <v>46146.179861111108</v>
      </c>
      <c r="B1761" s="79" t="s">
        <v>149</v>
      </c>
      <c r="C1761" s="79" t="s">
        <v>187</v>
      </c>
      <c r="D1761" s="79" t="s">
        <v>265</v>
      </c>
      <c r="E1761" s="79" t="s">
        <v>75</v>
      </c>
      <c r="F1761" s="79" t="str">
        <f>IF(E1761="", "", IF(COUNTIF(ChestType!$A$5:$A$195, E1761)&gt;0, VLOOKUP(E1761, ChestType!$A$5:$B$195, 2, 0), "Others"))</f>
        <v>L10 Rare Crypt</v>
      </c>
    </row>
    <row r="1762" spans="1:6" x14ac:dyDescent="0.25">
      <c r="A1762" s="14">
        <v>46146.179861111108</v>
      </c>
      <c r="B1762" s="79" t="s">
        <v>149</v>
      </c>
      <c r="C1762" s="79" t="s">
        <v>187</v>
      </c>
      <c r="D1762" s="79" t="s">
        <v>265</v>
      </c>
      <c r="E1762" s="79" t="s">
        <v>75</v>
      </c>
      <c r="F1762" s="79" t="str">
        <f>IF(E1762="", "", IF(COUNTIF(ChestType!$A$5:$A$195, E1762)&gt;0, VLOOKUP(E1762, ChestType!$A$5:$B$195, 2, 0), "Others"))</f>
        <v>L10 Rare Crypt</v>
      </c>
    </row>
    <row r="1763" spans="1:6" x14ac:dyDescent="0.25">
      <c r="A1763" s="14">
        <v>46146.179861111108</v>
      </c>
      <c r="B1763" s="79" t="s">
        <v>149</v>
      </c>
      <c r="C1763" s="79" t="s">
        <v>187</v>
      </c>
      <c r="D1763" s="79" t="s">
        <v>265</v>
      </c>
      <c r="E1763" s="79" t="s">
        <v>75</v>
      </c>
      <c r="F1763" s="79" t="str">
        <f>IF(E1763="", "", IF(COUNTIF(ChestType!$A$5:$A$195, E1763)&gt;0, VLOOKUP(E1763, ChestType!$A$5:$B$195, 2, 0), "Others"))</f>
        <v>L10 Rare Crypt</v>
      </c>
    </row>
    <row r="1764" spans="1:6" x14ac:dyDescent="0.25">
      <c r="A1764" s="14">
        <v>46146.179861111108</v>
      </c>
      <c r="B1764" s="79" t="s">
        <v>149</v>
      </c>
      <c r="C1764" s="79" t="s">
        <v>187</v>
      </c>
      <c r="D1764" s="79" t="s">
        <v>265</v>
      </c>
      <c r="E1764" s="79" t="s">
        <v>75</v>
      </c>
      <c r="F1764" s="79" t="str">
        <f>IF(E1764="", "", IF(COUNTIF(ChestType!$A$5:$A$195, E1764)&gt;0, VLOOKUP(E1764, ChestType!$A$5:$B$195, 2, 0), "Others"))</f>
        <v>L10 Rare Crypt</v>
      </c>
    </row>
    <row r="1765" spans="1:6" x14ac:dyDescent="0.25">
      <c r="A1765" s="14">
        <v>46146.179861111108</v>
      </c>
      <c r="B1765" s="79" t="s">
        <v>149</v>
      </c>
      <c r="C1765" s="79" t="s">
        <v>187</v>
      </c>
      <c r="D1765" s="79" t="s">
        <v>265</v>
      </c>
      <c r="E1765" s="79" t="s">
        <v>75</v>
      </c>
      <c r="F1765" s="79" t="str">
        <f>IF(E1765="", "", IF(COUNTIF(ChestType!$A$5:$A$195, E1765)&gt;0, VLOOKUP(E1765, ChestType!$A$5:$B$195, 2, 0), "Others"))</f>
        <v>L10 Rare Crypt</v>
      </c>
    </row>
    <row r="1766" spans="1:6" x14ac:dyDescent="0.25">
      <c r="A1766" s="14">
        <v>46146.179861111108</v>
      </c>
      <c r="B1766" s="79" t="s">
        <v>149</v>
      </c>
      <c r="C1766" s="79" t="s">
        <v>187</v>
      </c>
      <c r="D1766" s="79" t="s">
        <v>265</v>
      </c>
      <c r="E1766" s="79" t="s">
        <v>75</v>
      </c>
      <c r="F1766" s="79" t="str">
        <f>IF(E1766="", "", IF(COUNTIF(ChestType!$A$5:$A$195, E1766)&gt;0, VLOOKUP(E1766, ChestType!$A$5:$B$195, 2, 0), "Others"))</f>
        <v>L10 Rare Crypt</v>
      </c>
    </row>
    <row r="1767" spans="1:6" x14ac:dyDescent="0.25">
      <c r="A1767" s="14">
        <v>46146.179861111108</v>
      </c>
      <c r="B1767" s="79" t="s">
        <v>149</v>
      </c>
      <c r="C1767" s="79" t="s">
        <v>187</v>
      </c>
      <c r="D1767" s="79" t="s">
        <v>265</v>
      </c>
      <c r="E1767" s="79" t="s">
        <v>75</v>
      </c>
      <c r="F1767" s="79" t="str">
        <f>IF(E1767="", "", IF(COUNTIF(ChestType!$A$5:$A$195, E1767)&gt;0, VLOOKUP(E1767, ChestType!$A$5:$B$195, 2, 0), "Others"))</f>
        <v>L10 Rare Crypt</v>
      </c>
    </row>
    <row r="1768" spans="1:6" x14ac:dyDescent="0.25">
      <c r="A1768" s="14">
        <v>46146.179861111108</v>
      </c>
      <c r="B1768" s="79" t="s">
        <v>149</v>
      </c>
      <c r="C1768" s="79" t="s">
        <v>187</v>
      </c>
      <c r="D1768" s="79" t="s">
        <v>265</v>
      </c>
      <c r="E1768" s="79" t="s">
        <v>75</v>
      </c>
      <c r="F1768" s="79" t="str">
        <f>IF(E1768="", "", IF(COUNTIF(ChestType!$A$5:$A$195, E1768)&gt;0, VLOOKUP(E1768, ChestType!$A$5:$B$195, 2, 0), "Others"))</f>
        <v>L10 Rare Crypt</v>
      </c>
    </row>
    <row r="1769" spans="1:6" x14ac:dyDescent="0.25">
      <c r="A1769" s="14">
        <v>46146.179861111108</v>
      </c>
      <c r="B1769" s="79" t="s">
        <v>149</v>
      </c>
      <c r="C1769" s="79" t="s">
        <v>187</v>
      </c>
      <c r="D1769" s="79" t="s">
        <v>265</v>
      </c>
      <c r="E1769" s="79" t="s">
        <v>75</v>
      </c>
      <c r="F1769" s="79" t="str">
        <f>IF(E1769="", "", IF(COUNTIF(ChestType!$A$5:$A$195, E1769)&gt;0, VLOOKUP(E1769, ChestType!$A$5:$B$195, 2, 0), "Others"))</f>
        <v>L10 Rare Crypt</v>
      </c>
    </row>
    <row r="1770" spans="1:6" x14ac:dyDescent="0.25">
      <c r="A1770" s="14">
        <v>46146.179861111108</v>
      </c>
      <c r="B1770" s="79" t="s">
        <v>149</v>
      </c>
      <c r="C1770" s="79" t="s">
        <v>187</v>
      </c>
      <c r="D1770" s="79" t="s">
        <v>265</v>
      </c>
      <c r="E1770" s="79" t="s">
        <v>75</v>
      </c>
      <c r="F1770" s="79" t="str">
        <f>IF(E1770="", "", IF(COUNTIF(ChestType!$A$5:$A$195, E1770)&gt;0, VLOOKUP(E1770, ChestType!$A$5:$B$195, 2, 0), "Others"))</f>
        <v>L10 Rare Crypt</v>
      </c>
    </row>
    <row r="1771" spans="1:6" x14ac:dyDescent="0.25">
      <c r="A1771" s="14">
        <v>46146.179861111108</v>
      </c>
      <c r="B1771" s="79" t="s">
        <v>149</v>
      </c>
      <c r="C1771" s="79" t="s">
        <v>187</v>
      </c>
      <c r="D1771" s="79" t="s">
        <v>265</v>
      </c>
      <c r="E1771" s="79" t="s">
        <v>75</v>
      </c>
      <c r="F1771" s="79" t="str">
        <f>IF(E1771="", "", IF(COUNTIF(ChestType!$A$5:$A$195, E1771)&gt;0, VLOOKUP(E1771, ChestType!$A$5:$B$195, 2, 0), "Others"))</f>
        <v>L10 Rare Crypt</v>
      </c>
    </row>
    <row r="1772" spans="1:6" x14ac:dyDescent="0.25">
      <c r="A1772" s="14">
        <v>46146.179861111108</v>
      </c>
      <c r="B1772" s="79" t="s">
        <v>149</v>
      </c>
      <c r="C1772" s="79" t="s">
        <v>187</v>
      </c>
      <c r="D1772" s="79" t="s">
        <v>265</v>
      </c>
      <c r="E1772" s="79" t="s">
        <v>75</v>
      </c>
      <c r="F1772" s="79" t="str">
        <f>IF(E1772="", "", IF(COUNTIF(ChestType!$A$5:$A$195, E1772)&gt;0, VLOOKUP(E1772, ChestType!$A$5:$B$195, 2, 0), "Others"))</f>
        <v>L10 Rare Crypt</v>
      </c>
    </row>
    <row r="1773" spans="1:6" x14ac:dyDescent="0.25">
      <c r="A1773" s="14">
        <v>46146.179861111108</v>
      </c>
      <c r="B1773" s="79" t="s">
        <v>149</v>
      </c>
      <c r="C1773" s="79" t="s">
        <v>187</v>
      </c>
      <c r="D1773" s="79" t="s">
        <v>265</v>
      </c>
      <c r="E1773" s="79" t="s">
        <v>75</v>
      </c>
      <c r="F1773" s="79" t="str">
        <f>IF(E1773="", "", IF(COUNTIF(ChestType!$A$5:$A$195, E1773)&gt;0, VLOOKUP(E1773, ChestType!$A$5:$B$195, 2, 0), "Others"))</f>
        <v>L10 Rare Crypt</v>
      </c>
    </row>
    <row r="1774" spans="1:6" x14ac:dyDescent="0.25">
      <c r="A1774" s="14">
        <v>46146.179861111108</v>
      </c>
      <c r="B1774" s="79" t="s">
        <v>149</v>
      </c>
      <c r="C1774" s="79" t="s">
        <v>187</v>
      </c>
      <c r="D1774" s="79" t="s">
        <v>265</v>
      </c>
      <c r="E1774" s="79" t="s">
        <v>75</v>
      </c>
      <c r="F1774" s="79" t="str">
        <f>IF(E1774="", "", IF(COUNTIF(ChestType!$A$5:$A$195, E1774)&gt;0, VLOOKUP(E1774, ChestType!$A$5:$B$195, 2, 0), "Others"))</f>
        <v>L10 Rare Crypt</v>
      </c>
    </row>
    <row r="1775" spans="1:6" x14ac:dyDescent="0.25">
      <c r="A1775" s="14">
        <v>46146.179861111108</v>
      </c>
      <c r="B1775" s="79" t="s">
        <v>149</v>
      </c>
      <c r="C1775" s="79" t="s">
        <v>187</v>
      </c>
      <c r="D1775" s="79" t="s">
        <v>265</v>
      </c>
      <c r="E1775" s="79" t="s">
        <v>75</v>
      </c>
      <c r="F1775" s="79" t="str">
        <f>IF(E1775="", "", IF(COUNTIF(ChestType!$A$5:$A$195, E1775)&gt;0, VLOOKUP(E1775, ChestType!$A$5:$B$195, 2, 0), "Others"))</f>
        <v>L10 Rare Crypt</v>
      </c>
    </row>
    <row r="1776" spans="1:6" x14ac:dyDescent="0.25">
      <c r="A1776" s="14">
        <v>46146.179861111108</v>
      </c>
      <c r="B1776" s="79" t="s">
        <v>149</v>
      </c>
      <c r="C1776" s="79" t="s">
        <v>187</v>
      </c>
      <c r="D1776" s="79" t="s">
        <v>265</v>
      </c>
      <c r="E1776" s="79" t="s">
        <v>75</v>
      </c>
      <c r="F1776" s="79" t="str">
        <f>IF(E1776="", "", IF(COUNTIF(ChestType!$A$5:$A$195, E1776)&gt;0, VLOOKUP(E1776, ChestType!$A$5:$B$195, 2, 0), "Others"))</f>
        <v>L10 Rare Crypt</v>
      </c>
    </row>
    <row r="1777" spans="1:6" x14ac:dyDescent="0.25">
      <c r="A1777" s="14">
        <v>46146.179861111108</v>
      </c>
      <c r="B1777" s="79" t="s">
        <v>149</v>
      </c>
      <c r="C1777" s="79" t="s">
        <v>187</v>
      </c>
      <c r="D1777" s="79" t="s">
        <v>265</v>
      </c>
      <c r="E1777" s="79" t="s">
        <v>75</v>
      </c>
      <c r="F1777" s="79" t="str">
        <f>IF(E1777="", "", IF(COUNTIF(ChestType!$A$5:$A$195, E1777)&gt;0, VLOOKUP(E1777, ChestType!$A$5:$B$195, 2, 0), "Others"))</f>
        <v>L10 Rare Crypt</v>
      </c>
    </row>
    <row r="1778" spans="1:6" x14ac:dyDescent="0.25">
      <c r="A1778" s="14">
        <v>46146.179861111108</v>
      </c>
      <c r="B1778" s="79" t="s">
        <v>149</v>
      </c>
      <c r="C1778" s="79" t="s">
        <v>187</v>
      </c>
      <c r="D1778" s="79" t="s">
        <v>265</v>
      </c>
      <c r="E1778" s="79" t="s">
        <v>75</v>
      </c>
      <c r="F1778" s="79" t="str">
        <f>IF(E1778="", "", IF(COUNTIF(ChestType!$A$5:$A$195, E1778)&gt;0, VLOOKUP(E1778, ChestType!$A$5:$B$195, 2, 0), "Others"))</f>
        <v>L10 Rare Crypt</v>
      </c>
    </row>
    <row r="1779" spans="1:6" x14ac:dyDescent="0.25">
      <c r="A1779" s="14">
        <v>46146.179861111108</v>
      </c>
      <c r="B1779" s="79" t="s">
        <v>149</v>
      </c>
      <c r="C1779" s="79" t="s">
        <v>187</v>
      </c>
      <c r="D1779" s="79" t="s">
        <v>265</v>
      </c>
      <c r="E1779" s="79" t="s">
        <v>75</v>
      </c>
      <c r="F1779" s="79" t="str">
        <f>IF(E1779="", "", IF(COUNTIF(ChestType!$A$5:$A$195, E1779)&gt;0, VLOOKUP(E1779, ChestType!$A$5:$B$195, 2, 0), "Others"))</f>
        <v>L10 Rare Crypt</v>
      </c>
    </row>
    <row r="1780" spans="1:6" x14ac:dyDescent="0.25">
      <c r="A1780" s="14">
        <v>46146.179861111108</v>
      </c>
      <c r="B1780" s="79" t="s">
        <v>149</v>
      </c>
      <c r="C1780" s="79" t="s">
        <v>158</v>
      </c>
      <c r="D1780" s="79" t="s">
        <v>246</v>
      </c>
      <c r="E1780" s="79" t="s">
        <v>52</v>
      </c>
      <c r="F1780" s="79" t="str">
        <f>IF(E1780="", "", IF(COUNTIF(ChestType!$A$5:$A$195, E1780)&gt;0, VLOOKUP(E1780, ChestType!$A$5:$B$195, 2, 0), "Others"))</f>
        <v>L5 Crypt</v>
      </c>
    </row>
    <row r="1781" spans="1:6" x14ac:dyDescent="0.25">
      <c r="A1781" s="14">
        <v>46146.179861111108</v>
      </c>
      <c r="B1781" s="79" t="s">
        <v>149</v>
      </c>
      <c r="C1781" s="79" t="s">
        <v>184</v>
      </c>
      <c r="D1781" s="79" t="s">
        <v>261</v>
      </c>
      <c r="E1781" s="79" t="s">
        <v>50</v>
      </c>
      <c r="F1781" s="79" t="str">
        <f>IF(E1781="", "", IF(COUNTIF(ChestType!$A$5:$A$195, E1781)&gt;0, VLOOKUP(E1781, ChestType!$A$5:$B$195, 2, 0), "Others"))</f>
        <v>L10 Crypt</v>
      </c>
    </row>
    <row r="1782" spans="1:6" x14ac:dyDescent="0.25">
      <c r="A1782" s="14">
        <v>46146.179861111108</v>
      </c>
      <c r="B1782" s="79" t="s">
        <v>149</v>
      </c>
      <c r="C1782" s="79" t="s">
        <v>176</v>
      </c>
      <c r="D1782" s="79" t="s">
        <v>157</v>
      </c>
      <c r="E1782" s="79" t="s">
        <v>70</v>
      </c>
      <c r="F1782" s="79" t="str">
        <f>IF(E1782="", "", IF(COUNTIF(ChestType!$A$5:$A$195, E1782)&gt;0, VLOOKUP(E1782, ChestType!$A$5:$B$195, 2, 0), "Others"))</f>
        <v>L10 Citadel</v>
      </c>
    </row>
    <row r="1783" spans="1:6" x14ac:dyDescent="0.25">
      <c r="A1783" s="14">
        <v>46146.179861111108</v>
      </c>
      <c r="B1783" s="79" t="s">
        <v>149</v>
      </c>
      <c r="C1783" s="79" t="s">
        <v>184</v>
      </c>
      <c r="D1783" s="79" t="s">
        <v>261</v>
      </c>
      <c r="E1783" s="79" t="s">
        <v>50</v>
      </c>
      <c r="F1783" s="79" t="str">
        <f>IF(E1783="", "", IF(COUNTIF(ChestType!$A$5:$A$195, E1783)&gt;0, VLOOKUP(E1783, ChestType!$A$5:$B$195, 2, 0), "Others"))</f>
        <v>L10 Crypt</v>
      </c>
    </row>
    <row r="1784" spans="1:6" x14ac:dyDescent="0.25">
      <c r="A1784" s="14">
        <v>46146.179861111108</v>
      </c>
      <c r="B1784" s="79" t="s">
        <v>149</v>
      </c>
      <c r="C1784" s="79" t="s">
        <v>175</v>
      </c>
      <c r="D1784" s="79" t="s">
        <v>261</v>
      </c>
      <c r="E1784" s="79" t="s">
        <v>52</v>
      </c>
      <c r="F1784" s="79" t="str">
        <f>IF(E1784="", "", IF(COUNTIF(ChestType!$A$5:$A$195, E1784)&gt;0, VLOOKUP(E1784, ChestType!$A$5:$B$195, 2, 0), "Others"))</f>
        <v>L5 Crypt</v>
      </c>
    </row>
    <row r="1785" spans="1:6" x14ac:dyDescent="0.25">
      <c r="A1785" s="14">
        <v>46146.179861111108</v>
      </c>
      <c r="B1785" s="79" t="s">
        <v>149</v>
      </c>
      <c r="C1785" s="79" t="s">
        <v>176</v>
      </c>
      <c r="D1785" s="79" t="s">
        <v>157</v>
      </c>
      <c r="E1785" s="79" t="s">
        <v>70</v>
      </c>
      <c r="F1785" s="79" t="str">
        <f>IF(E1785="", "", IF(COUNTIF(ChestType!$A$5:$A$195, E1785)&gt;0, VLOOKUP(E1785, ChestType!$A$5:$B$195, 2, 0), "Others"))</f>
        <v>L10 Citadel</v>
      </c>
    </row>
    <row r="1786" spans="1:6" x14ac:dyDescent="0.25">
      <c r="A1786" s="14">
        <v>46146.179861111108</v>
      </c>
      <c r="B1786" s="79" t="s">
        <v>149</v>
      </c>
      <c r="C1786" s="79" t="s">
        <v>182</v>
      </c>
      <c r="D1786" s="79" t="s">
        <v>261</v>
      </c>
      <c r="E1786" s="79" t="s">
        <v>50</v>
      </c>
      <c r="F1786" s="79" t="str">
        <f>IF(E1786="", "", IF(COUNTIF(ChestType!$A$5:$A$195, E1786)&gt;0, VLOOKUP(E1786, ChestType!$A$5:$B$195, 2, 0), "Others"))</f>
        <v>L10 Crypt</v>
      </c>
    </row>
    <row r="1787" spans="1:6" x14ac:dyDescent="0.25">
      <c r="A1787" s="14">
        <v>46146.179861111108</v>
      </c>
      <c r="B1787" s="79" t="s">
        <v>149</v>
      </c>
      <c r="C1787" s="79" t="s">
        <v>184</v>
      </c>
      <c r="D1787" s="79" t="s">
        <v>261</v>
      </c>
      <c r="E1787" s="79" t="s">
        <v>52</v>
      </c>
      <c r="F1787" s="79" t="str">
        <f>IF(E1787="", "", IF(COUNTIF(ChestType!$A$5:$A$195, E1787)&gt;0, VLOOKUP(E1787, ChestType!$A$5:$B$195, 2, 0), "Others"))</f>
        <v>L5 Crypt</v>
      </c>
    </row>
    <row r="1788" spans="1:6" x14ac:dyDescent="0.25">
      <c r="A1788" s="14">
        <v>46146.179861111108</v>
      </c>
      <c r="B1788" s="79" t="s">
        <v>149</v>
      </c>
      <c r="C1788" s="79" t="s">
        <v>182</v>
      </c>
      <c r="D1788" s="79" t="s">
        <v>261</v>
      </c>
      <c r="E1788" s="79" t="s">
        <v>50</v>
      </c>
      <c r="F1788" s="79" t="str">
        <f>IF(E1788="", "", IF(COUNTIF(ChestType!$A$5:$A$195, E1788)&gt;0, VLOOKUP(E1788, ChestType!$A$5:$B$195, 2, 0), "Others"))</f>
        <v>L10 Crypt</v>
      </c>
    </row>
    <row r="1789" spans="1:6" x14ac:dyDescent="0.25">
      <c r="A1789" s="14">
        <v>46146.179861111108</v>
      </c>
      <c r="B1789" s="79" t="s">
        <v>149</v>
      </c>
      <c r="C1789" s="79" t="s">
        <v>181</v>
      </c>
      <c r="D1789" s="79" t="s">
        <v>261</v>
      </c>
      <c r="E1789" s="79" t="s">
        <v>50</v>
      </c>
      <c r="F1789" s="79" t="str">
        <f>IF(E1789="", "", IF(COUNTIF(ChestType!$A$5:$A$195, E1789)&gt;0, VLOOKUP(E1789, ChestType!$A$5:$B$195, 2, 0), "Others"))</f>
        <v>L10 Crypt</v>
      </c>
    </row>
    <row r="1790" spans="1:6" x14ac:dyDescent="0.25">
      <c r="A1790" s="14">
        <v>46146.179861111108</v>
      </c>
      <c r="B1790" s="79" t="s">
        <v>149</v>
      </c>
      <c r="C1790" s="79" t="s">
        <v>183</v>
      </c>
      <c r="D1790" s="79" t="s">
        <v>261</v>
      </c>
      <c r="E1790" s="79" t="s">
        <v>50</v>
      </c>
      <c r="F1790" s="79" t="str">
        <f>IF(E1790="", "", IF(COUNTIF(ChestType!$A$5:$A$195, E1790)&gt;0, VLOOKUP(E1790, ChestType!$A$5:$B$195, 2, 0), "Others"))</f>
        <v>L10 Crypt</v>
      </c>
    </row>
    <row r="1791" spans="1:6" x14ac:dyDescent="0.25">
      <c r="A1791" s="14">
        <v>46146.179861111108</v>
      </c>
      <c r="B1791" s="79" t="s">
        <v>149</v>
      </c>
      <c r="C1791" s="79" t="s">
        <v>187</v>
      </c>
      <c r="D1791" s="79" t="s">
        <v>157</v>
      </c>
      <c r="E1791" s="79" t="s">
        <v>75</v>
      </c>
      <c r="F1791" s="79" t="str">
        <f>IF(E1791="", "", IF(COUNTIF(ChestType!$A$5:$A$195, E1791)&gt;0, VLOOKUP(E1791, ChestType!$A$5:$B$195, 2, 0), "Others"))</f>
        <v>L10 Rare Crypt</v>
      </c>
    </row>
    <row r="1792" spans="1:6" x14ac:dyDescent="0.25">
      <c r="A1792" s="14">
        <v>46146.179861111108</v>
      </c>
      <c r="B1792" s="79" t="s">
        <v>149</v>
      </c>
      <c r="C1792" s="79" t="s">
        <v>187</v>
      </c>
      <c r="D1792" s="79" t="s">
        <v>157</v>
      </c>
      <c r="E1792" s="79" t="s">
        <v>75</v>
      </c>
      <c r="F1792" s="79" t="str">
        <f>IF(E1792="", "", IF(COUNTIF(ChestType!$A$5:$A$195, E1792)&gt;0, VLOOKUP(E1792, ChestType!$A$5:$B$195, 2, 0), "Others"))</f>
        <v>L10 Rare Crypt</v>
      </c>
    </row>
    <row r="1793" spans="1:6" x14ac:dyDescent="0.25">
      <c r="A1793" s="14">
        <v>46146.179861111108</v>
      </c>
      <c r="B1793" s="79" t="s">
        <v>149</v>
      </c>
      <c r="C1793" s="79" t="s">
        <v>187</v>
      </c>
      <c r="D1793" s="79" t="s">
        <v>157</v>
      </c>
      <c r="E1793" s="79" t="s">
        <v>75</v>
      </c>
      <c r="F1793" s="79" t="str">
        <f>IF(E1793="", "", IF(COUNTIF(ChestType!$A$5:$A$195, E1793)&gt;0, VLOOKUP(E1793, ChestType!$A$5:$B$195, 2, 0), "Others"))</f>
        <v>L10 Rare Crypt</v>
      </c>
    </row>
    <row r="1794" spans="1:6" x14ac:dyDescent="0.25">
      <c r="A1794" s="14">
        <v>46146.179861111108</v>
      </c>
      <c r="B1794" s="79" t="s">
        <v>149</v>
      </c>
      <c r="C1794" s="79" t="s">
        <v>185</v>
      </c>
      <c r="D1794" s="79" t="s">
        <v>269</v>
      </c>
      <c r="E1794" s="79" t="s">
        <v>50</v>
      </c>
      <c r="F1794" s="79" t="str">
        <f>IF(E1794="", "", IF(COUNTIF(ChestType!$A$5:$A$195, E1794)&gt;0, VLOOKUP(E1794, ChestType!$A$5:$B$195, 2, 0), "Others"))</f>
        <v>L10 Crypt</v>
      </c>
    </row>
    <row r="1795" spans="1:6" x14ac:dyDescent="0.25">
      <c r="A1795" s="14">
        <v>46146.179861111108</v>
      </c>
      <c r="B1795" s="79" t="s">
        <v>149</v>
      </c>
      <c r="C1795" s="79" t="s">
        <v>182</v>
      </c>
      <c r="D1795" s="79" t="s">
        <v>250</v>
      </c>
      <c r="E1795" s="79" t="s">
        <v>52</v>
      </c>
      <c r="F1795" s="79" t="str">
        <f>IF(E1795="", "", IF(COUNTIF(ChestType!$A$5:$A$195, E1795)&gt;0, VLOOKUP(E1795, ChestType!$A$5:$B$195, 2, 0), "Others"))</f>
        <v>L5 Crypt</v>
      </c>
    </row>
    <row r="1796" spans="1:6" x14ac:dyDescent="0.25">
      <c r="A1796" s="14">
        <v>46146.179861111108</v>
      </c>
      <c r="B1796" s="79" t="s">
        <v>149</v>
      </c>
      <c r="C1796" s="79" t="s">
        <v>182</v>
      </c>
      <c r="D1796" s="79" t="s">
        <v>253</v>
      </c>
      <c r="E1796" s="79" t="s">
        <v>50</v>
      </c>
      <c r="F1796" s="79" t="str">
        <f>IF(E1796="", "", IF(COUNTIF(ChestType!$A$5:$A$195, E1796)&gt;0, VLOOKUP(E1796, ChestType!$A$5:$B$195, 2, 0), "Others"))</f>
        <v>L10 Crypt</v>
      </c>
    </row>
    <row r="1797" spans="1:6" x14ac:dyDescent="0.25">
      <c r="A1797" s="14">
        <v>46146.179861111108</v>
      </c>
      <c r="B1797" s="79" t="s">
        <v>149</v>
      </c>
      <c r="C1797" s="79" t="s">
        <v>173</v>
      </c>
      <c r="D1797" s="79" t="s">
        <v>166</v>
      </c>
      <c r="E1797" s="79" t="s">
        <v>50</v>
      </c>
      <c r="F1797" s="79" t="str">
        <f>IF(E1797="", "", IF(COUNTIF(ChestType!$A$5:$A$195, E1797)&gt;0, VLOOKUP(E1797, ChestType!$A$5:$B$195, 2, 0), "Others"))</f>
        <v>L10 Crypt</v>
      </c>
    </row>
    <row r="1798" spans="1:6" x14ac:dyDescent="0.25">
      <c r="A1798" s="14">
        <v>46146.179861111108</v>
      </c>
      <c r="B1798" s="79" t="s">
        <v>149</v>
      </c>
      <c r="C1798" s="79" t="s">
        <v>190</v>
      </c>
      <c r="D1798" s="79" t="s">
        <v>166</v>
      </c>
      <c r="E1798" s="79" t="s">
        <v>50</v>
      </c>
      <c r="F1798" s="79" t="str">
        <f>IF(E1798="", "", IF(COUNTIF(ChestType!$A$5:$A$195, E1798)&gt;0, VLOOKUP(E1798, ChestType!$A$5:$B$195, 2, 0), "Others"))</f>
        <v>L10 Crypt</v>
      </c>
    </row>
    <row r="1799" spans="1:6" x14ac:dyDescent="0.25">
      <c r="A1799" s="14">
        <v>46146.179861111108</v>
      </c>
      <c r="B1799" s="79" t="s">
        <v>149</v>
      </c>
      <c r="C1799" s="79" t="s">
        <v>175</v>
      </c>
      <c r="D1799" s="79" t="s">
        <v>157</v>
      </c>
      <c r="E1799" s="79" t="s">
        <v>48</v>
      </c>
      <c r="F1799" s="79" t="str">
        <f>IF(E1799="", "", IF(COUNTIF(ChestType!$A$5:$A$195, E1799)&gt;0, VLOOKUP(E1799, ChestType!$A$5:$B$195, 2, 0), "Others"))</f>
        <v>L20 Crypt</v>
      </c>
    </row>
    <row r="1800" spans="1:6" x14ac:dyDescent="0.25">
      <c r="A1800" s="14">
        <v>46146.179861111108</v>
      </c>
      <c r="B1800" s="79" t="s">
        <v>149</v>
      </c>
      <c r="C1800" s="79" t="s">
        <v>158</v>
      </c>
      <c r="D1800" s="79" t="s">
        <v>165</v>
      </c>
      <c r="E1800" s="79" t="s">
        <v>50</v>
      </c>
      <c r="F1800" s="79" t="str">
        <f>IF(E1800="", "", IF(COUNTIF(ChestType!$A$5:$A$195, E1800)&gt;0, VLOOKUP(E1800, ChestType!$A$5:$B$195, 2, 0), "Others"))</f>
        <v>L10 Crypt</v>
      </c>
    </row>
    <row r="1801" spans="1:6" x14ac:dyDescent="0.25">
      <c r="A1801" s="14">
        <v>46146.179861111108</v>
      </c>
      <c r="B1801" s="79" t="s">
        <v>149</v>
      </c>
      <c r="C1801" s="79" t="s">
        <v>158</v>
      </c>
      <c r="D1801" s="79" t="s">
        <v>261</v>
      </c>
      <c r="E1801" s="79" t="s">
        <v>52</v>
      </c>
      <c r="F1801" s="79" t="str">
        <f>IF(E1801="", "", IF(COUNTIF(ChestType!$A$5:$A$195, E1801)&gt;0, VLOOKUP(E1801, ChestType!$A$5:$B$195, 2, 0), "Others"))</f>
        <v>L5 Crypt</v>
      </c>
    </row>
    <row r="1802" spans="1:6" x14ac:dyDescent="0.25">
      <c r="A1802" s="14">
        <v>46146.179861111108</v>
      </c>
      <c r="B1802" s="79" t="s">
        <v>149</v>
      </c>
      <c r="C1802" s="79" t="s">
        <v>188</v>
      </c>
      <c r="D1802" s="79" t="s">
        <v>156</v>
      </c>
      <c r="E1802" s="79" t="s">
        <v>45</v>
      </c>
      <c r="F1802" s="79" t="str">
        <f>IF(E1802="", "", IF(COUNTIF(ChestType!$A$5:$A$195, E1802)&gt;0, VLOOKUP(E1802, ChestType!$A$5:$B$195, 2, 0), "Others"))</f>
        <v>Others</v>
      </c>
    </row>
    <row r="1803" spans="1:6" x14ac:dyDescent="0.25">
      <c r="A1803" s="14">
        <v>46146.179861111108</v>
      </c>
      <c r="B1803" s="79" t="s">
        <v>149</v>
      </c>
      <c r="C1803" s="79" t="s">
        <v>189</v>
      </c>
      <c r="D1803" s="79" t="s">
        <v>156</v>
      </c>
      <c r="E1803" s="79" t="s">
        <v>45</v>
      </c>
      <c r="F1803" s="79" t="str">
        <f>IF(E1803="", "", IF(COUNTIF(ChestType!$A$5:$A$195, E1803)&gt;0, VLOOKUP(E1803, ChestType!$A$5:$B$195, 2, 0), "Others"))</f>
        <v>Others</v>
      </c>
    </row>
    <row r="1804" spans="1:6" x14ac:dyDescent="0.25">
      <c r="A1804" s="14">
        <v>46146.179861111108</v>
      </c>
      <c r="B1804" s="79" t="s">
        <v>149</v>
      </c>
      <c r="C1804" s="79" t="s">
        <v>239</v>
      </c>
      <c r="D1804" s="79" t="s">
        <v>156</v>
      </c>
      <c r="E1804" s="79" t="s">
        <v>45</v>
      </c>
      <c r="F1804" s="79" t="str">
        <f>IF(E1804="", "", IF(COUNTIF(ChestType!$A$5:$A$195, E1804)&gt;0, VLOOKUP(E1804, ChestType!$A$5:$B$195, 2, 0), "Others"))</f>
        <v>Others</v>
      </c>
    </row>
    <row r="1805" spans="1:6" x14ac:dyDescent="0.25">
      <c r="A1805" s="14">
        <v>46146.179861111108</v>
      </c>
      <c r="B1805" s="79" t="s">
        <v>149</v>
      </c>
      <c r="C1805" s="79" t="s">
        <v>183</v>
      </c>
      <c r="D1805" s="79" t="s">
        <v>250</v>
      </c>
      <c r="E1805" s="79" t="s">
        <v>52</v>
      </c>
      <c r="F1805" s="79" t="str">
        <f>IF(E1805="", "", IF(COUNTIF(ChestType!$A$5:$A$195, E1805)&gt;0, VLOOKUP(E1805, ChestType!$A$5:$B$195, 2, 0), "Others"))</f>
        <v>L5 Crypt</v>
      </c>
    </row>
    <row r="1806" spans="1:6" x14ac:dyDescent="0.25">
      <c r="A1806" s="14">
        <v>46146.179861111108</v>
      </c>
      <c r="B1806" s="79" t="s">
        <v>149</v>
      </c>
      <c r="C1806" s="79" t="s">
        <v>215</v>
      </c>
      <c r="D1806" s="79" t="s">
        <v>250</v>
      </c>
      <c r="E1806" s="79" t="s">
        <v>64</v>
      </c>
      <c r="F1806" s="79" t="str">
        <f>IF(E1806="", "", IF(COUNTIF(ChestType!$A$5:$A$195, E1806)&gt;0, VLOOKUP(E1806, ChestType!$A$5:$B$195, 2, 0), "Others"))</f>
        <v>L15 Epic Crypt</v>
      </c>
    </row>
    <row r="1807" spans="1:6" x14ac:dyDescent="0.25">
      <c r="A1807" s="14">
        <v>46146.179861111108</v>
      </c>
      <c r="B1807" s="79" t="s">
        <v>149</v>
      </c>
      <c r="C1807" s="79" t="s">
        <v>175</v>
      </c>
      <c r="D1807" s="79" t="s">
        <v>163</v>
      </c>
      <c r="E1807" s="79" t="s">
        <v>50</v>
      </c>
      <c r="F1807" s="79" t="str">
        <f>IF(E1807="", "", IF(COUNTIF(ChestType!$A$5:$A$195, E1807)&gt;0, VLOOKUP(E1807, ChestType!$A$5:$B$195, 2, 0), "Others"))</f>
        <v>L10 Crypt</v>
      </c>
    </row>
    <row r="1808" spans="1:6" x14ac:dyDescent="0.25">
      <c r="A1808" s="14">
        <v>46146.179861111108</v>
      </c>
      <c r="B1808" s="79" t="s">
        <v>149</v>
      </c>
      <c r="C1808" s="79" t="s">
        <v>182</v>
      </c>
      <c r="D1808" s="79" t="s">
        <v>261</v>
      </c>
      <c r="E1808" s="79" t="s">
        <v>52</v>
      </c>
      <c r="F1808" s="79" t="str">
        <f>IF(E1808="", "", IF(COUNTIF(ChestType!$A$5:$A$195, E1808)&gt;0, VLOOKUP(E1808, ChestType!$A$5:$B$195, 2, 0), "Others"))</f>
        <v>L5 Crypt</v>
      </c>
    </row>
    <row r="1809" spans="1:6" x14ac:dyDescent="0.25">
      <c r="A1809" s="14">
        <v>46146.179861111108</v>
      </c>
      <c r="B1809" s="79" t="s">
        <v>149</v>
      </c>
      <c r="C1809" s="79" t="s">
        <v>177</v>
      </c>
      <c r="D1809" s="79" t="s">
        <v>261</v>
      </c>
      <c r="E1809" s="79" t="s">
        <v>52</v>
      </c>
      <c r="F1809" s="79" t="str">
        <f>IF(E1809="", "", IF(COUNTIF(ChestType!$A$5:$A$195, E1809)&gt;0, VLOOKUP(E1809, ChestType!$A$5:$B$195, 2, 0), "Others"))</f>
        <v>L5 Crypt</v>
      </c>
    </row>
    <row r="1810" spans="1:6" x14ac:dyDescent="0.25">
      <c r="A1810" s="14">
        <v>46146.179861111108</v>
      </c>
      <c r="B1810" s="79" t="s">
        <v>149</v>
      </c>
      <c r="C1810" s="79" t="s">
        <v>151</v>
      </c>
      <c r="D1810" s="79" t="s">
        <v>262</v>
      </c>
      <c r="E1810" s="79" t="s">
        <v>52</v>
      </c>
      <c r="F1810" s="79" t="str">
        <f>IF(E1810="", "", IF(COUNTIF(ChestType!$A$5:$A$195, E1810)&gt;0, VLOOKUP(E1810, ChestType!$A$5:$B$195, 2, 0), "Others"))</f>
        <v>L5 Crypt</v>
      </c>
    </row>
    <row r="1811" spans="1:6" x14ac:dyDescent="0.25">
      <c r="A1811" s="14">
        <v>46146.179861111108</v>
      </c>
      <c r="B1811" s="79" t="s">
        <v>149</v>
      </c>
      <c r="C1811" s="79" t="s">
        <v>171</v>
      </c>
      <c r="D1811" s="79" t="s">
        <v>261</v>
      </c>
      <c r="E1811" s="79" t="s">
        <v>52</v>
      </c>
      <c r="F1811" s="79" t="str">
        <f>IF(E1811="", "", IF(COUNTIF(ChestType!$A$5:$A$195, E1811)&gt;0, VLOOKUP(E1811, ChestType!$A$5:$B$195, 2, 0), "Others"))</f>
        <v>L5 Crypt</v>
      </c>
    </row>
    <row r="1812" spans="1:6" x14ac:dyDescent="0.25">
      <c r="A1812" s="14">
        <v>46146.179861111108</v>
      </c>
      <c r="B1812" s="79" t="s">
        <v>149</v>
      </c>
      <c r="C1812" s="79" t="s">
        <v>182</v>
      </c>
      <c r="D1812" s="79" t="s">
        <v>240</v>
      </c>
      <c r="E1812" s="79" t="s">
        <v>52</v>
      </c>
      <c r="F1812" s="79" t="str">
        <f>IF(E1812="", "", IF(COUNTIF(ChestType!$A$5:$A$195, E1812)&gt;0, VLOOKUP(E1812, ChestType!$A$5:$B$195, 2, 0), "Others"))</f>
        <v>L5 Crypt</v>
      </c>
    </row>
    <row r="1813" spans="1:6" x14ac:dyDescent="0.25">
      <c r="A1813" s="14">
        <v>46146.179861111108</v>
      </c>
      <c r="B1813" s="79" t="s">
        <v>149</v>
      </c>
      <c r="C1813" s="79" t="s">
        <v>184</v>
      </c>
      <c r="D1813" s="79" t="s">
        <v>262</v>
      </c>
      <c r="E1813" s="79" t="s">
        <v>52</v>
      </c>
      <c r="F1813" s="79" t="str">
        <f>IF(E1813="", "", IF(COUNTIF(ChestType!$A$5:$A$195, E1813)&gt;0, VLOOKUP(E1813, ChestType!$A$5:$B$195, 2, 0), "Others"))</f>
        <v>L5 Crypt</v>
      </c>
    </row>
    <row r="1814" spans="1:6" x14ac:dyDescent="0.25">
      <c r="A1814" s="14">
        <v>46146.179861111108</v>
      </c>
      <c r="B1814" s="79" t="s">
        <v>149</v>
      </c>
      <c r="C1814" s="79" t="s">
        <v>173</v>
      </c>
      <c r="D1814" s="79" t="s">
        <v>262</v>
      </c>
      <c r="E1814" s="79" t="s">
        <v>52</v>
      </c>
      <c r="F1814" s="79" t="str">
        <f>IF(E1814="", "", IF(COUNTIF(ChestType!$A$5:$A$195, E1814)&gt;0, VLOOKUP(E1814, ChestType!$A$5:$B$195, 2, 0), "Others"))</f>
        <v>L5 Crypt</v>
      </c>
    </row>
    <row r="1815" spans="1:6" x14ac:dyDescent="0.25">
      <c r="A1815" s="14">
        <v>46146.179861111108</v>
      </c>
      <c r="B1815" s="79" t="s">
        <v>149</v>
      </c>
      <c r="C1815" s="79" t="s">
        <v>177</v>
      </c>
      <c r="D1815" s="79" t="s">
        <v>262</v>
      </c>
      <c r="E1815" s="79" t="s">
        <v>52</v>
      </c>
      <c r="F1815" s="79" t="str">
        <f>IF(E1815="", "", IF(COUNTIF(ChestType!$A$5:$A$195, E1815)&gt;0, VLOOKUP(E1815, ChestType!$A$5:$B$195, 2, 0), "Others"))</f>
        <v>L5 Crypt</v>
      </c>
    </row>
    <row r="1816" spans="1:6" x14ac:dyDescent="0.25">
      <c r="A1816" s="14">
        <v>46146.179861111108</v>
      </c>
      <c r="B1816" s="79" t="s">
        <v>149</v>
      </c>
      <c r="C1816" s="79" t="s">
        <v>190</v>
      </c>
      <c r="D1816" s="79" t="s">
        <v>222</v>
      </c>
      <c r="E1816" s="79" t="s">
        <v>50</v>
      </c>
      <c r="F1816" s="79" t="str">
        <f>IF(E1816="", "", IF(COUNTIF(ChestType!$A$5:$A$195, E1816)&gt;0, VLOOKUP(E1816, ChestType!$A$5:$B$195, 2, 0), "Others"))</f>
        <v>L10 Crypt</v>
      </c>
    </row>
    <row r="1817" spans="1:6" x14ac:dyDescent="0.25">
      <c r="A1817" s="14">
        <v>46146.179861111108</v>
      </c>
      <c r="B1817" s="79" t="s">
        <v>149</v>
      </c>
      <c r="C1817" s="79" t="s">
        <v>175</v>
      </c>
      <c r="D1817" s="79" t="s">
        <v>244</v>
      </c>
      <c r="E1817" s="79" t="s">
        <v>50</v>
      </c>
      <c r="F1817" s="79" t="str">
        <f>IF(E1817="", "", IF(COUNTIF(ChestType!$A$5:$A$195, E1817)&gt;0, VLOOKUP(E1817, ChestType!$A$5:$B$195, 2, 0), "Others"))</f>
        <v>L10 Crypt</v>
      </c>
    </row>
    <row r="1818" spans="1:6" x14ac:dyDescent="0.25">
      <c r="A1818" s="14">
        <v>46146.179861111108</v>
      </c>
      <c r="B1818" s="79" t="s">
        <v>149</v>
      </c>
      <c r="C1818" s="79" t="s">
        <v>171</v>
      </c>
      <c r="D1818" s="79" t="s">
        <v>236</v>
      </c>
      <c r="E1818" s="79" t="s">
        <v>50</v>
      </c>
      <c r="F1818" s="79" t="str">
        <f>IF(E1818="", "", IF(COUNTIF(ChestType!$A$5:$A$195, E1818)&gt;0, VLOOKUP(E1818, ChestType!$A$5:$B$195, 2, 0), "Others"))</f>
        <v>L10 Crypt</v>
      </c>
    </row>
    <row r="1819" spans="1:6" x14ac:dyDescent="0.25">
      <c r="A1819" s="14">
        <v>46146.179861111108</v>
      </c>
      <c r="B1819" s="79" t="s">
        <v>149</v>
      </c>
      <c r="C1819" s="79" t="s">
        <v>185</v>
      </c>
      <c r="D1819" s="79" t="s">
        <v>257</v>
      </c>
      <c r="E1819" s="79" t="s">
        <v>52</v>
      </c>
      <c r="F1819" s="79" t="str">
        <f>IF(E1819="", "", IF(COUNTIF(ChestType!$A$5:$A$195, E1819)&gt;0, VLOOKUP(E1819, ChestType!$A$5:$B$195, 2, 0), "Others"))</f>
        <v>L5 Crypt</v>
      </c>
    </row>
    <row r="1820" spans="1:6" x14ac:dyDescent="0.25">
      <c r="A1820" s="14">
        <v>46146.179861111108</v>
      </c>
      <c r="B1820" s="79" t="s">
        <v>149</v>
      </c>
      <c r="C1820" s="79" t="s">
        <v>158</v>
      </c>
      <c r="D1820" s="79" t="s">
        <v>221</v>
      </c>
      <c r="E1820" s="79" t="s">
        <v>50</v>
      </c>
      <c r="F1820" s="79" t="str">
        <f>IF(E1820="", "", IF(COUNTIF(ChestType!$A$5:$A$195, E1820)&gt;0, VLOOKUP(E1820, ChestType!$A$5:$B$195, 2, 0), "Others"))</f>
        <v>L10 Crypt</v>
      </c>
    </row>
    <row r="1821" spans="1:6" x14ac:dyDescent="0.25">
      <c r="A1821" s="14">
        <v>46146.179861111108</v>
      </c>
      <c r="B1821" s="79" t="s">
        <v>149</v>
      </c>
      <c r="C1821" s="79" t="s">
        <v>181</v>
      </c>
      <c r="D1821" s="79" t="s">
        <v>257</v>
      </c>
      <c r="E1821" s="79" t="s">
        <v>52</v>
      </c>
      <c r="F1821" s="79" t="str">
        <f>IF(E1821="", "", IF(COUNTIF(ChestType!$A$5:$A$195, E1821)&gt;0, VLOOKUP(E1821, ChestType!$A$5:$B$195, 2, 0), "Others"))</f>
        <v>L5 Crypt</v>
      </c>
    </row>
    <row r="1822" spans="1:6" x14ac:dyDescent="0.25">
      <c r="A1822" s="14">
        <v>46146.179861111108</v>
      </c>
      <c r="B1822" s="79" t="s">
        <v>149</v>
      </c>
      <c r="C1822" s="79" t="s">
        <v>175</v>
      </c>
      <c r="D1822" s="79" t="s">
        <v>262</v>
      </c>
      <c r="E1822" s="79" t="s">
        <v>52</v>
      </c>
      <c r="F1822" s="79" t="str">
        <f>IF(E1822="", "", IF(COUNTIF(ChestType!$A$5:$A$195, E1822)&gt;0, VLOOKUP(E1822, ChestType!$A$5:$B$195, 2, 0), "Others"))</f>
        <v>L5 Crypt</v>
      </c>
    </row>
    <row r="1823" spans="1:6" x14ac:dyDescent="0.25">
      <c r="A1823" s="14">
        <v>46146.179861111108</v>
      </c>
      <c r="B1823" s="79" t="s">
        <v>149</v>
      </c>
      <c r="C1823" s="79" t="s">
        <v>190</v>
      </c>
      <c r="D1823" s="79" t="s">
        <v>179</v>
      </c>
      <c r="E1823" s="79" t="s">
        <v>50</v>
      </c>
      <c r="F1823" s="79" t="str">
        <f>IF(E1823="", "", IF(COUNTIF(ChestType!$A$5:$A$195, E1823)&gt;0, VLOOKUP(E1823, ChestType!$A$5:$B$195, 2, 0), "Others"))</f>
        <v>L10 Crypt</v>
      </c>
    </row>
    <row r="1824" spans="1:6" x14ac:dyDescent="0.25">
      <c r="A1824" s="14">
        <v>46146.179861111108</v>
      </c>
      <c r="B1824" s="79" t="s">
        <v>149</v>
      </c>
      <c r="C1824" s="79" t="s">
        <v>158</v>
      </c>
      <c r="D1824" s="79" t="s">
        <v>262</v>
      </c>
      <c r="E1824" s="79" t="s">
        <v>52</v>
      </c>
      <c r="F1824" s="79" t="str">
        <f>IF(E1824="", "", IF(COUNTIF(ChestType!$A$5:$A$195, E1824)&gt;0, VLOOKUP(E1824, ChestType!$A$5:$B$195, 2, 0), "Others"))</f>
        <v>L5 Crypt</v>
      </c>
    </row>
    <row r="1825" spans="1:6" x14ac:dyDescent="0.25">
      <c r="A1825" s="14">
        <v>46146.179861111108</v>
      </c>
      <c r="B1825" s="79" t="s">
        <v>149</v>
      </c>
      <c r="C1825" s="79" t="s">
        <v>181</v>
      </c>
      <c r="D1825" s="79" t="s">
        <v>179</v>
      </c>
      <c r="E1825" s="79" t="s">
        <v>50</v>
      </c>
      <c r="F1825" s="79" t="str">
        <f>IF(E1825="", "", IF(COUNTIF(ChestType!$A$5:$A$195, E1825)&gt;0, VLOOKUP(E1825, ChestType!$A$5:$B$195, 2, 0), "Others"))</f>
        <v>L10 Crypt</v>
      </c>
    </row>
    <row r="1826" spans="1:6" x14ac:dyDescent="0.25">
      <c r="A1826" s="14">
        <v>46146.179861111108</v>
      </c>
      <c r="B1826" s="79" t="s">
        <v>149</v>
      </c>
      <c r="C1826" s="79" t="s">
        <v>177</v>
      </c>
      <c r="D1826" s="79" t="s">
        <v>161</v>
      </c>
      <c r="E1826" s="79" t="s">
        <v>50</v>
      </c>
      <c r="F1826" s="79" t="str">
        <f>IF(E1826="", "", IF(COUNTIF(ChestType!$A$5:$A$195, E1826)&gt;0, VLOOKUP(E1826, ChestType!$A$5:$B$195, 2, 0), "Others"))</f>
        <v>L10 Crypt</v>
      </c>
    </row>
    <row r="1827" spans="1:6" x14ac:dyDescent="0.25">
      <c r="A1827" s="14">
        <v>46146.179861111108</v>
      </c>
      <c r="B1827" s="79" t="s">
        <v>149</v>
      </c>
      <c r="C1827" s="79" t="s">
        <v>181</v>
      </c>
      <c r="D1827" s="79" t="s">
        <v>161</v>
      </c>
      <c r="E1827" s="79" t="s">
        <v>50</v>
      </c>
      <c r="F1827" s="79" t="str">
        <f>IF(E1827="", "", IF(COUNTIF(ChestType!$A$5:$A$195, E1827)&gt;0, VLOOKUP(E1827, ChestType!$A$5:$B$195, 2, 0), "Others"))</f>
        <v>L10 Crypt</v>
      </c>
    </row>
    <row r="1828" spans="1:6" x14ac:dyDescent="0.25">
      <c r="A1828" s="14">
        <v>46146.179861111108</v>
      </c>
      <c r="B1828" s="79" t="s">
        <v>149</v>
      </c>
      <c r="C1828" s="79" t="s">
        <v>158</v>
      </c>
      <c r="D1828" s="79" t="s">
        <v>222</v>
      </c>
      <c r="E1828" s="79" t="s">
        <v>48</v>
      </c>
      <c r="F1828" s="79" t="str">
        <f>IF(E1828="", "", IF(COUNTIF(ChestType!$A$5:$A$195, E1828)&gt;0, VLOOKUP(E1828, ChestType!$A$5:$B$195, 2, 0), "Others"))</f>
        <v>L20 Crypt</v>
      </c>
    </row>
    <row r="1829" spans="1:6" x14ac:dyDescent="0.25">
      <c r="A1829" s="14">
        <v>46146.179861111108</v>
      </c>
      <c r="B1829" s="79" t="s">
        <v>195</v>
      </c>
      <c r="C1829" s="79" t="s">
        <v>197</v>
      </c>
      <c r="D1829" s="79" t="s">
        <v>199</v>
      </c>
      <c r="E1829" s="79" t="s">
        <v>24</v>
      </c>
      <c r="F1829" s="79" t="str">
        <f>IF(E1829="", "", IF(COUNTIF(ChestType!$A$5:$A$195, E1829)&gt;0, VLOOKUP(E1829, ChestType!$A$5:$B$195, 2, 0), "Others"))</f>
        <v>Bank</v>
      </c>
    </row>
    <row r="1830" spans="1:6" x14ac:dyDescent="0.25">
      <c r="A1830" s="14">
        <v>46146.179861111108</v>
      </c>
      <c r="B1830" s="79" t="s">
        <v>195</v>
      </c>
      <c r="C1830" s="79" t="s">
        <v>197</v>
      </c>
      <c r="D1830" s="79" t="s">
        <v>199</v>
      </c>
      <c r="E1830" s="79" t="s">
        <v>24</v>
      </c>
      <c r="F1830" s="79" t="str">
        <f>IF(E1830="", "", IF(COUNTIF(ChestType!$A$5:$A$195, E1830)&gt;0, VLOOKUP(E1830, ChestType!$A$5:$B$195, 2, 0), "Others"))</f>
        <v>Bank</v>
      </c>
    </row>
    <row r="1831" spans="1:6" x14ac:dyDescent="0.25">
      <c r="A1831" s="14">
        <v>46146.179861111108</v>
      </c>
      <c r="B1831" s="79" t="s">
        <v>195</v>
      </c>
      <c r="C1831" s="79" t="s">
        <v>197</v>
      </c>
      <c r="D1831" s="79" t="s">
        <v>199</v>
      </c>
      <c r="E1831" s="79" t="s">
        <v>24</v>
      </c>
      <c r="F1831" s="79" t="str">
        <f>IF(E1831="", "", IF(COUNTIF(ChestType!$A$5:$A$195, E1831)&gt;0, VLOOKUP(E1831, ChestType!$A$5:$B$195, 2, 0), "Others"))</f>
        <v>Bank</v>
      </c>
    </row>
    <row r="1832" spans="1:6" x14ac:dyDescent="0.25">
      <c r="A1832" s="14">
        <v>46146.179861111108</v>
      </c>
      <c r="B1832" s="79" t="s">
        <v>195</v>
      </c>
      <c r="C1832" s="79" t="s">
        <v>197</v>
      </c>
      <c r="D1832" s="79" t="s">
        <v>199</v>
      </c>
      <c r="E1832" s="79" t="s">
        <v>24</v>
      </c>
      <c r="F1832" s="79" t="str">
        <f>IF(E1832="", "", IF(COUNTIF(ChestType!$A$5:$A$195, E1832)&gt;0, VLOOKUP(E1832, ChestType!$A$5:$B$195, 2, 0), "Others"))</f>
        <v>Bank</v>
      </c>
    </row>
    <row r="1833" spans="1:6" x14ac:dyDescent="0.25">
      <c r="A1833" s="14">
        <v>46146.179861111108</v>
      </c>
      <c r="B1833" s="79" t="s">
        <v>195</v>
      </c>
      <c r="C1833" s="79" t="s">
        <v>197</v>
      </c>
      <c r="D1833" s="79" t="s">
        <v>199</v>
      </c>
      <c r="E1833" s="79" t="s">
        <v>24</v>
      </c>
      <c r="F1833" s="79" t="str">
        <f>IF(E1833="", "", IF(COUNTIF(ChestType!$A$5:$A$195, E1833)&gt;0, VLOOKUP(E1833, ChestType!$A$5:$B$195, 2, 0), "Others"))</f>
        <v>Bank</v>
      </c>
    </row>
    <row r="1834" spans="1:6" x14ac:dyDescent="0.25">
      <c r="A1834" s="14">
        <v>46146.179861111108</v>
      </c>
      <c r="B1834" s="79" t="s">
        <v>195</v>
      </c>
      <c r="C1834" s="79" t="s">
        <v>197</v>
      </c>
      <c r="D1834" s="79" t="s">
        <v>199</v>
      </c>
      <c r="E1834" s="79" t="s">
        <v>24</v>
      </c>
      <c r="F1834" s="79" t="str">
        <f>IF(E1834="", "", IF(COUNTIF(ChestType!$A$5:$A$195, E1834)&gt;0, VLOOKUP(E1834, ChestType!$A$5:$B$195, 2, 0), "Others"))</f>
        <v>Bank</v>
      </c>
    </row>
    <row r="1835" spans="1:6" x14ac:dyDescent="0.25">
      <c r="A1835" s="14">
        <v>46146.179861111108</v>
      </c>
      <c r="B1835" s="79" t="s">
        <v>195</v>
      </c>
      <c r="C1835" s="79" t="s">
        <v>197</v>
      </c>
      <c r="D1835" s="79" t="s">
        <v>199</v>
      </c>
      <c r="E1835" s="79" t="s">
        <v>24</v>
      </c>
      <c r="F1835" s="79" t="str">
        <f>IF(E1835="", "", IF(COUNTIF(ChestType!$A$5:$A$195, E1835)&gt;0, VLOOKUP(E1835, ChestType!$A$5:$B$195, 2, 0), "Others"))</f>
        <v>Bank</v>
      </c>
    </row>
    <row r="1836" spans="1:6" x14ac:dyDescent="0.25">
      <c r="A1836" s="14">
        <v>46146.179861111108</v>
      </c>
      <c r="B1836" s="79" t="s">
        <v>195</v>
      </c>
      <c r="C1836" s="79" t="s">
        <v>197</v>
      </c>
      <c r="D1836" s="79" t="s">
        <v>199</v>
      </c>
      <c r="E1836" s="79" t="s">
        <v>24</v>
      </c>
      <c r="F1836" s="79" t="str">
        <f>IF(E1836="", "", IF(COUNTIF(ChestType!$A$5:$A$195, E1836)&gt;0, VLOOKUP(E1836, ChestType!$A$5:$B$195, 2, 0), "Others"))</f>
        <v>Bank</v>
      </c>
    </row>
    <row r="1837" spans="1:6" x14ac:dyDescent="0.25">
      <c r="A1837" s="14">
        <v>46146.179861111108</v>
      </c>
      <c r="B1837" s="79" t="s">
        <v>195</v>
      </c>
      <c r="C1837" s="79" t="s">
        <v>197</v>
      </c>
      <c r="D1837" s="79" t="s">
        <v>199</v>
      </c>
      <c r="E1837" s="79" t="s">
        <v>24</v>
      </c>
      <c r="F1837" s="79" t="str">
        <f>IF(E1837="", "", IF(COUNTIF(ChestType!$A$5:$A$195, E1837)&gt;0, VLOOKUP(E1837, ChestType!$A$5:$B$195, 2, 0), "Others"))</f>
        <v>Bank</v>
      </c>
    </row>
    <row r="1838" spans="1:6" x14ac:dyDescent="0.25">
      <c r="A1838" s="14">
        <v>46146.179861111108</v>
      </c>
      <c r="B1838" s="79" t="s">
        <v>195</v>
      </c>
      <c r="C1838" s="79" t="s">
        <v>197</v>
      </c>
      <c r="D1838" s="79" t="s">
        <v>199</v>
      </c>
      <c r="E1838" s="79" t="s">
        <v>24</v>
      </c>
      <c r="F1838" s="79" t="str">
        <f>IF(E1838="", "", IF(COUNTIF(ChestType!$A$5:$A$195, E1838)&gt;0, VLOOKUP(E1838, ChestType!$A$5:$B$195, 2, 0), "Others"))</f>
        <v>Bank</v>
      </c>
    </row>
    <row r="1839" spans="1:6" x14ac:dyDescent="0.25">
      <c r="A1839" s="14">
        <v>46146.179861111108</v>
      </c>
      <c r="B1839" s="79" t="s">
        <v>195</v>
      </c>
      <c r="C1839" s="79" t="s">
        <v>197</v>
      </c>
      <c r="D1839" s="79" t="s">
        <v>199</v>
      </c>
      <c r="E1839" s="79" t="s">
        <v>24</v>
      </c>
      <c r="F1839" s="79" t="str">
        <f>IF(E1839="", "", IF(COUNTIF(ChestType!$A$5:$A$195, E1839)&gt;0, VLOOKUP(E1839, ChestType!$A$5:$B$195, 2, 0), "Others"))</f>
        <v>Bank</v>
      </c>
    </row>
    <row r="1840" spans="1:6" x14ac:dyDescent="0.25">
      <c r="A1840" s="14">
        <v>46146.179861111108</v>
      </c>
      <c r="B1840" s="79" t="s">
        <v>195</v>
      </c>
      <c r="C1840" s="79" t="s">
        <v>197</v>
      </c>
      <c r="D1840" s="79" t="s">
        <v>199</v>
      </c>
      <c r="E1840" s="79" t="s">
        <v>24</v>
      </c>
      <c r="F1840" s="79" t="str">
        <f>IF(E1840="", "", IF(COUNTIF(ChestType!$A$5:$A$195, E1840)&gt;0, VLOOKUP(E1840, ChestType!$A$5:$B$195, 2, 0), "Others"))</f>
        <v>Bank</v>
      </c>
    </row>
    <row r="1841" spans="1:6" x14ac:dyDescent="0.25">
      <c r="A1841" s="14">
        <v>46146.179861111108</v>
      </c>
      <c r="B1841" s="79" t="s">
        <v>195</v>
      </c>
      <c r="C1841" s="79" t="s">
        <v>196</v>
      </c>
      <c r="D1841" s="79" t="s">
        <v>265</v>
      </c>
      <c r="E1841" s="79" t="s">
        <v>24</v>
      </c>
      <c r="F1841" s="79" t="str">
        <f>IF(E1841="", "", IF(COUNTIF(ChestType!$A$5:$A$195, E1841)&gt;0, VLOOKUP(E1841, ChestType!$A$5:$B$195, 2, 0), "Others"))</f>
        <v>Bank</v>
      </c>
    </row>
    <row r="1842" spans="1:6" x14ac:dyDescent="0.25">
      <c r="A1842" s="14">
        <v>46146.179861111108</v>
      </c>
      <c r="B1842" s="79" t="s">
        <v>195</v>
      </c>
      <c r="C1842" s="79" t="s">
        <v>196</v>
      </c>
      <c r="D1842" s="79" t="s">
        <v>265</v>
      </c>
      <c r="E1842" s="79" t="s">
        <v>24</v>
      </c>
      <c r="F1842" s="79" t="str">
        <f>IF(E1842="", "", IF(COUNTIF(ChestType!$A$5:$A$195, E1842)&gt;0, VLOOKUP(E1842, ChestType!$A$5:$B$195, 2, 0), "Others"))</f>
        <v>Bank</v>
      </c>
    </row>
    <row r="1843" spans="1:6" x14ac:dyDescent="0.25">
      <c r="A1843" s="14">
        <v>46146.179861111108</v>
      </c>
      <c r="B1843" s="79" t="s">
        <v>195</v>
      </c>
      <c r="C1843" s="79" t="s">
        <v>196</v>
      </c>
      <c r="D1843" s="79" t="s">
        <v>265</v>
      </c>
      <c r="E1843" s="79" t="s">
        <v>24</v>
      </c>
      <c r="F1843" s="79" t="str">
        <f>IF(E1843="", "", IF(COUNTIF(ChestType!$A$5:$A$195, E1843)&gt;0, VLOOKUP(E1843, ChestType!$A$5:$B$195, 2, 0), "Others"))</f>
        <v>Bank</v>
      </c>
    </row>
    <row r="1844" spans="1:6" x14ac:dyDescent="0.25">
      <c r="A1844" s="14">
        <v>46146.179861111108</v>
      </c>
      <c r="B1844" s="79" t="s">
        <v>195</v>
      </c>
      <c r="C1844" s="79" t="s">
        <v>198</v>
      </c>
      <c r="D1844" s="79" t="s">
        <v>263</v>
      </c>
      <c r="E1844" s="79" t="s">
        <v>24</v>
      </c>
      <c r="F1844" s="79" t="str">
        <f>IF(E1844="", "", IF(COUNTIF(ChestType!$A$5:$A$195, E1844)&gt;0, VLOOKUP(E1844, ChestType!$A$5:$B$195, 2, 0), "Others"))</f>
        <v>Bank</v>
      </c>
    </row>
    <row r="1845" spans="1:6" x14ac:dyDescent="0.25">
      <c r="A1845" s="14">
        <v>46146.179861111108</v>
      </c>
      <c r="B1845" s="79" t="s">
        <v>195</v>
      </c>
      <c r="C1845" s="79" t="s">
        <v>198</v>
      </c>
      <c r="D1845" s="79" t="s">
        <v>263</v>
      </c>
      <c r="E1845" s="79" t="s">
        <v>24</v>
      </c>
      <c r="F1845" s="79" t="str">
        <f>IF(E1845="", "", IF(COUNTIF(ChestType!$A$5:$A$195, E1845)&gt;0, VLOOKUP(E1845, ChestType!$A$5:$B$195, 2, 0), "Others"))</f>
        <v>Bank</v>
      </c>
    </row>
    <row r="1846" spans="1:6" x14ac:dyDescent="0.25">
      <c r="A1846" s="14">
        <v>46146.179861111108</v>
      </c>
      <c r="B1846" s="79" t="s">
        <v>195</v>
      </c>
      <c r="C1846" s="79" t="s">
        <v>198</v>
      </c>
      <c r="D1846" s="79" t="s">
        <v>263</v>
      </c>
      <c r="E1846" s="79" t="s">
        <v>24</v>
      </c>
      <c r="F1846" s="79" t="str">
        <f>IF(E1846="", "", IF(COUNTIF(ChestType!$A$5:$A$195, E1846)&gt;0, VLOOKUP(E1846, ChestType!$A$5:$B$195, 2, 0), "Others"))</f>
        <v>Bank</v>
      </c>
    </row>
    <row r="1847" spans="1:6" x14ac:dyDescent="0.25">
      <c r="A1847" s="14">
        <v>46146.179861111108</v>
      </c>
      <c r="B1847" s="79" t="s">
        <v>195</v>
      </c>
      <c r="C1847" s="79" t="s">
        <v>197</v>
      </c>
      <c r="D1847" s="79" t="s">
        <v>265</v>
      </c>
      <c r="E1847" s="79" t="s">
        <v>24</v>
      </c>
      <c r="F1847" s="79" t="str">
        <f>IF(E1847="", "", IF(COUNTIF(ChestType!$A$5:$A$195, E1847)&gt;0, VLOOKUP(E1847, ChestType!$A$5:$B$195, 2, 0), "Others"))</f>
        <v>Bank</v>
      </c>
    </row>
    <row r="1848" spans="1:6" x14ac:dyDescent="0.25">
      <c r="A1848" s="14">
        <v>46146.179861111108</v>
      </c>
      <c r="B1848" s="79" t="s">
        <v>195</v>
      </c>
      <c r="C1848" s="79" t="s">
        <v>197</v>
      </c>
      <c r="D1848" s="79" t="s">
        <v>265</v>
      </c>
      <c r="E1848" s="79" t="s">
        <v>24</v>
      </c>
      <c r="F1848" s="79" t="str">
        <f>IF(E1848="", "", IF(COUNTIF(ChestType!$A$5:$A$195, E1848)&gt;0, VLOOKUP(E1848, ChestType!$A$5:$B$195, 2, 0), "Others"))</f>
        <v>Bank</v>
      </c>
    </row>
    <row r="1849" spans="1:6" x14ac:dyDescent="0.25">
      <c r="A1849" s="14">
        <v>46146.179861111108</v>
      </c>
      <c r="B1849" s="79" t="s">
        <v>195</v>
      </c>
      <c r="C1849" s="79" t="s">
        <v>197</v>
      </c>
      <c r="D1849" s="79" t="s">
        <v>265</v>
      </c>
      <c r="E1849" s="79" t="s">
        <v>24</v>
      </c>
      <c r="F1849" s="79" t="str">
        <f>IF(E1849="", "", IF(COUNTIF(ChestType!$A$5:$A$195, E1849)&gt;0, VLOOKUP(E1849, ChestType!$A$5:$B$195, 2, 0), "Others"))</f>
        <v>Bank</v>
      </c>
    </row>
    <row r="1850" spans="1:6" x14ac:dyDescent="0.25">
      <c r="A1850" s="14">
        <v>46146.179861111108</v>
      </c>
      <c r="B1850" s="79" t="s">
        <v>195</v>
      </c>
      <c r="C1850" s="79" t="s">
        <v>209</v>
      </c>
      <c r="D1850" s="79" t="s">
        <v>242</v>
      </c>
      <c r="E1850" s="79" t="s">
        <v>24</v>
      </c>
      <c r="F1850" s="79" t="str">
        <f>IF(E1850="", "", IF(COUNTIF(ChestType!$A$5:$A$195, E1850)&gt;0, VLOOKUP(E1850, ChestType!$A$5:$B$195, 2, 0), "Others"))</f>
        <v>Bank</v>
      </c>
    </row>
    <row r="1851" spans="1:6" x14ac:dyDescent="0.25">
      <c r="A1851" s="14">
        <v>46146.179861111108</v>
      </c>
      <c r="B1851" s="79" t="s">
        <v>195</v>
      </c>
      <c r="C1851" s="79" t="s">
        <v>209</v>
      </c>
      <c r="D1851" s="79" t="s">
        <v>242</v>
      </c>
      <c r="E1851" s="79" t="s">
        <v>24</v>
      </c>
      <c r="F1851" s="79" t="str">
        <f>IF(E1851="", "", IF(COUNTIF(ChestType!$A$5:$A$195, E1851)&gt;0, VLOOKUP(E1851, ChestType!$A$5:$B$195, 2, 0), "Others"))</f>
        <v>Bank</v>
      </c>
    </row>
    <row r="1852" spans="1:6" x14ac:dyDescent="0.25">
      <c r="A1852" s="14">
        <v>46146.179861111108</v>
      </c>
      <c r="B1852" s="79" t="s">
        <v>195</v>
      </c>
      <c r="C1852" s="79" t="s">
        <v>209</v>
      </c>
      <c r="D1852" s="79" t="s">
        <v>242</v>
      </c>
      <c r="E1852" s="79" t="s">
        <v>24</v>
      </c>
      <c r="F1852" s="79" t="str">
        <f>IF(E1852="", "", IF(COUNTIF(ChestType!$A$5:$A$195, E1852)&gt;0, VLOOKUP(E1852, ChestType!$A$5:$B$195, 2, 0), "Others"))</f>
        <v>Bank</v>
      </c>
    </row>
    <row r="1853" spans="1:6" x14ac:dyDescent="0.25">
      <c r="A1853" s="14">
        <v>46146.179861111108</v>
      </c>
      <c r="B1853" s="79" t="s">
        <v>195</v>
      </c>
      <c r="C1853" s="79" t="s">
        <v>198</v>
      </c>
      <c r="D1853" s="79" t="s">
        <v>166</v>
      </c>
      <c r="E1853" s="79" t="s">
        <v>24</v>
      </c>
      <c r="F1853" s="79" t="str">
        <f>IF(E1853="", "", IF(COUNTIF(ChestType!$A$5:$A$195, E1853)&gt;0, VLOOKUP(E1853, ChestType!$A$5:$B$195, 2, 0), "Others"))</f>
        <v>Bank</v>
      </c>
    </row>
    <row r="1854" spans="1:6" x14ac:dyDescent="0.25">
      <c r="A1854" s="14">
        <v>46146.179861111108</v>
      </c>
      <c r="B1854" s="79" t="s">
        <v>195</v>
      </c>
      <c r="C1854" s="79" t="s">
        <v>198</v>
      </c>
      <c r="D1854" s="79" t="s">
        <v>166</v>
      </c>
      <c r="E1854" s="79" t="s">
        <v>24</v>
      </c>
      <c r="F1854" s="79" t="str">
        <f>IF(E1854="", "", IF(COUNTIF(ChestType!$A$5:$A$195, E1854)&gt;0, VLOOKUP(E1854, ChestType!$A$5:$B$195, 2, 0), "Others"))</f>
        <v>Bank</v>
      </c>
    </row>
    <row r="1855" spans="1:6" x14ac:dyDescent="0.25">
      <c r="A1855" s="14">
        <v>46146.179861111108</v>
      </c>
      <c r="B1855" s="79" t="s">
        <v>195</v>
      </c>
      <c r="C1855" s="79" t="s">
        <v>198</v>
      </c>
      <c r="D1855" s="79" t="s">
        <v>166</v>
      </c>
      <c r="E1855" s="79" t="s">
        <v>24</v>
      </c>
      <c r="F1855" s="79" t="str">
        <f>IF(E1855="", "", IF(COUNTIF(ChestType!$A$5:$A$195, E1855)&gt;0, VLOOKUP(E1855, ChestType!$A$5:$B$195, 2, 0), "Others"))</f>
        <v>Bank</v>
      </c>
    </row>
    <row r="1856" spans="1:6" x14ac:dyDescent="0.25">
      <c r="A1856" s="14">
        <v>46146.179861111108</v>
      </c>
      <c r="B1856" s="79" t="s">
        <v>195</v>
      </c>
      <c r="C1856" s="79" t="s">
        <v>198</v>
      </c>
      <c r="D1856" s="79" t="s">
        <v>150</v>
      </c>
      <c r="E1856" s="79" t="s">
        <v>24</v>
      </c>
      <c r="F1856" s="79" t="str">
        <f>IF(E1856="", "", IF(COUNTIF(ChestType!$A$5:$A$195, E1856)&gt;0, VLOOKUP(E1856, ChestType!$A$5:$B$195, 2, 0), "Others"))</f>
        <v>Bank</v>
      </c>
    </row>
    <row r="1857" spans="1:6" x14ac:dyDescent="0.25">
      <c r="A1857" s="14">
        <v>46146.179861111108</v>
      </c>
      <c r="B1857" s="79" t="s">
        <v>195</v>
      </c>
      <c r="C1857" s="79" t="s">
        <v>198</v>
      </c>
      <c r="D1857" s="79" t="s">
        <v>150</v>
      </c>
      <c r="E1857" s="79" t="s">
        <v>24</v>
      </c>
      <c r="F1857" s="79" t="str">
        <f>IF(E1857="", "", IF(COUNTIF(ChestType!$A$5:$A$195, E1857)&gt;0, VLOOKUP(E1857, ChestType!$A$5:$B$195, 2, 0), "Others"))</f>
        <v>Bank</v>
      </c>
    </row>
    <row r="1858" spans="1:6" x14ac:dyDescent="0.25">
      <c r="A1858" s="14">
        <v>46146.179861111108</v>
      </c>
      <c r="B1858" s="79" t="s">
        <v>195</v>
      </c>
      <c r="C1858" s="79" t="s">
        <v>198</v>
      </c>
      <c r="D1858" s="79" t="s">
        <v>150</v>
      </c>
      <c r="E1858" s="79" t="s">
        <v>24</v>
      </c>
      <c r="F1858" s="79" t="str">
        <f>IF(E1858="", "", IF(COUNTIF(ChestType!$A$5:$A$195, E1858)&gt;0, VLOOKUP(E1858, ChestType!$A$5:$B$195, 2, 0), "Others"))</f>
        <v>Bank</v>
      </c>
    </row>
    <row r="1859" spans="1:6" x14ac:dyDescent="0.25">
      <c r="A1859" s="14">
        <v>46146.217361111114</v>
      </c>
      <c r="B1859" s="79" t="s">
        <v>149</v>
      </c>
      <c r="C1859" s="79" t="s">
        <v>158</v>
      </c>
      <c r="D1859" s="79" t="s">
        <v>267</v>
      </c>
      <c r="E1859" s="79" t="s">
        <v>52</v>
      </c>
      <c r="F1859" s="79" t="str">
        <f>IF(E1859="", "", IF(COUNTIF(ChestType!$A$5:$A$195, E1859)&gt;0, VLOOKUP(E1859, ChestType!$A$5:$B$195, 2, 0), "Others"))</f>
        <v>L5 Crypt</v>
      </c>
    </row>
    <row r="1860" spans="1:6" x14ac:dyDescent="0.25">
      <c r="A1860" s="14">
        <v>46146.217361111114</v>
      </c>
      <c r="B1860" s="79" t="s">
        <v>149</v>
      </c>
      <c r="C1860" s="79" t="s">
        <v>190</v>
      </c>
      <c r="D1860" s="79" t="s">
        <v>262</v>
      </c>
      <c r="E1860" s="79" t="s">
        <v>52</v>
      </c>
      <c r="F1860" s="79" t="str">
        <f>IF(E1860="", "", IF(COUNTIF(ChestType!$A$5:$A$195, E1860)&gt;0, VLOOKUP(E1860, ChestType!$A$5:$B$195, 2, 0), "Others"))</f>
        <v>L5 Crypt</v>
      </c>
    </row>
    <row r="1861" spans="1:6" x14ac:dyDescent="0.25">
      <c r="A1861" s="14">
        <v>46146.217361111114</v>
      </c>
      <c r="B1861" s="79" t="s">
        <v>149</v>
      </c>
      <c r="C1861" s="79" t="s">
        <v>182</v>
      </c>
      <c r="D1861" s="79" t="s">
        <v>261</v>
      </c>
      <c r="E1861" s="79" t="s">
        <v>52</v>
      </c>
      <c r="F1861" s="79" t="str">
        <f>IF(E1861="", "", IF(COUNTIF(ChestType!$A$5:$A$195, E1861)&gt;0, VLOOKUP(E1861, ChestType!$A$5:$B$195, 2, 0), "Others"))</f>
        <v>L5 Crypt</v>
      </c>
    </row>
    <row r="1862" spans="1:6" x14ac:dyDescent="0.25">
      <c r="A1862" s="14">
        <v>46146.217361111114</v>
      </c>
      <c r="B1862" s="79" t="s">
        <v>149</v>
      </c>
      <c r="C1862" s="79" t="s">
        <v>192</v>
      </c>
      <c r="D1862" s="79" t="s">
        <v>267</v>
      </c>
      <c r="E1862" s="79" t="s">
        <v>60</v>
      </c>
      <c r="F1862" s="79" t="str">
        <f>IF(E1862="", "", IF(COUNTIF(ChestType!$A$5:$A$195, E1862)&gt;0, VLOOKUP(E1862, ChestType!$A$5:$B$195, 2, 0), "Others"))</f>
        <v>Others</v>
      </c>
    </row>
    <row r="1863" spans="1:6" x14ac:dyDescent="0.25">
      <c r="A1863" s="14">
        <v>46146.217361111114</v>
      </c>
      <c r="B1863" s="79" t="s">
        <v>149</v>
      </c>
      <c r="C1863" s="79" t="s">
        <v>173</v>
      </c>
      <c r="D1863" s="79" t="s">
        <v>261</v>
      </c>
      <c r="E1863" s="79" t="s">
        <v>52</v>
      </c>
      <c r="F1863" s="79" t="str">
        <f>IF(E1863="", "", IF(COUNTIF(ChestType!$A$5:$A$195, E1863)&gt;0, VLOOKUP(E1863, ChestType!$A$5:$B$195, 2, 0), "Others"))</f>
        <v>L5 Crypt</v>
      </c>
    </row>
    <row r="1864" spans="1:6" x14ac:dyDescent="0.25">
      <c r="A1864" s="14">
        <v>46146.217361111114</v>
      </c>
      <c r="B1864" s="79" t="s">
        <v>149</v>
      </c>
      <c r="C1864" s="79" t="s">
        <v>171</v>
      </c>
      <c r="D1864" s="79" t="s">
        <v>261</v>
      </c>
      <c r="E1864" s="79" t="s">
        <v>52</v>
      </c>
      <c r="F1864" s="79" t="str">
        <f>IF(E1864="", "", IF(COUNTIF(ChestType!$A$5:$A$195, E1864)&gt;0, VLOOKUP(E1864, ChestType!$A$5:$B$195, 2, 0), "Others"))</f>
        <v>L5 Crypt</v>
      </c>
    </row>
    <row r="1865" spans="1:6" x14ac:dyDescent="0.25">
      <c r="A1865" s="14">
        <v>46146.217361111114</v>
      </c>
      <c r="B1865" s="79" t="s">
        <v>149</v>
      </c>
      <c r="C1865" s="79" t="s">
        <v>173</v>
      </c>
      <c r="D1865" s="79" t="s">
        <v>257</v>
      </c>
      <c r="E1865" s="79" t="s">
        <v>50</v>
      </c>
      <c r="F1865" s="79" t="str">
        <f>IF(E1865="", "", IF(COUNTIF(ChestType!$A$5:$A$195, E1865)&gt;0, VLOOKUP(E1865, ChestType!$A$5:$B$195, 2, 0), "Others"))</f>
        <v>L10 Crypt</v>
      </c>
    </row>
    <row r="1866" spans="1:6" x14ac:dyDescent="0.25">
      <c r="A1866" s="14">
        <v>46146.217361111114</v>
      </c>
      <c r="B1866" s="79" t="s">
        <v>149</v>
      </c>
      <c r="C1866" s="79" t="s">
        <v>192</v>
      </c>
      <c r="D1866" s="79" t="s">
        <v>261</v>
      </c>
      <c r="E1866" s="79" t="s">
        <v>60</v>
      </c>
      <c r="F1866" s="79" t="str">
        <f>IF(E1866="", "", IF(COUNTIF(ChestType!$A$5:$A$195, E1866)&gt;0, VLOOKUP(E1866, ChestType!$A$5:$B$195, 2, 0), "Others"))</f>
        <v>Others</v>
      </c>
    </row>
    <row r="1867" spans="1:6" x14ac:dyDescent="0.25">
      <c r="A1867" s="14">
        <v>46146.217361111114</v>
      </c>
      <c r="B1867" s="79" t="s">
        <v>149</v>
      </c>
      <c r="C1867" s="79" t="s">
        <v>151</v>
      </c>
      <c r="D1867" s="79" t="s">
        <v>263</v>
      </c>
      <c r="E1867" s="79" t="s">
        <v>50</v>
      </c>
      <c r="F1867" s="79" t="str">
        <f>IF(E1867="", "", IF(COUNTIF(ChestType!$A$5:$A$195, E1867)&gt;0, VLOOKUP(E1867, ChestType!$A$5:$B$195, 2, 0), "Others"))</f>
        <v>L10 Crypt</v>
      </c>
    </row>
    <row r="1868" spans="1:6" x14ac:dyDescent="0.25">
      <c r="A1868" s="14">
        <v>46146.259722222225</v>
      </c>
      <c r="B1868" s="79" t="s">
        <v>149</v>
      </c>
      <c r="C1868" s="79" t="s">
        <v>185</v>
      </c>
      <c r="D1868" s="79" t="s">
        <v>166</v>
      </c>
      <c r="E1868" s="79" t="s">
        <v>50</v>
      </c>
      <c r="F1868" s="79" t="str">
        <f>IF(E1868="", "", IF(COUNTIF(ChestType!$A$5:$A$195, E1868)&gt;0, VLOOKUP(E1868, ChestType!$A$5:$B$195, 2, 0), "Others"))</f>
        <v>L10 Crypt</v>
      </c>
    </row>
    <row r="1869" spans="1:6" x14ac:dyDescent="0.25">
      <c r="A1869" s="14">
        <v>46146.259722222225</v>
      </c>
      <c r="B1869" s="79" t="s">
        <v>149</v>
      </c>
      <c r="C1869" s="79" t="s">
        <v>151</v>
      </c>
      <c r="D1869" s="79" t="s">
        <v>163</v>
      </c>
      <c r="E1869" s="79" t="s">
        <v>52</v>
      </c>
      <c r="F1869" s="79" t="str">
        <f>IF(E1869="", "", IF(COUNTIF(ChestType!$A$5:$A$195, E1869)&gt;0, VLOOKUP(E1869, ChestType!$A$5:$B$195, 2, 0), "Others"))</f>
        <v>L5 Crypt</v>
      </c>
    </row>
    <row r="1870" spans="1:6" x14ac:dyDescent="0.25">
      <c r="A1870" s="14">
        <v>46146.259722222225</v>
      </c>
      <c r="B1870" s="79" t="s">
        <v>149</v>
      </c>
      <c r="C1870" s="79" t="s">
        <v>177</v>
      </c>
      <c r="D1870" s="79" t="s">
        <v>261</v>
      </c>
      <c r="E1870" s="79" t="s">
        <v>52</v>
      </c>
      <c r="F1870" s="79" t="str">
        <f>IF(E1870="", "", IF(COUNTIF(ChestType!$A$5:$A$195, E1870)&gt;0, VLOOKUP(E1870, ChestType!$A$5:$B$195, 2, 0), "Others"))</f>
        <v>L5 Crypt</v>
      </c>
    </row>
    <row r="1871" spans="1:6" x14ac:dyDescent="0.25">
      <c r="A1871" s="14">
        <v>46146.259722222225</v>
      </c>
      <c r="B1871" s="79" t="s">
        <v>149</v>
      </c>
      <c r="C1871" s="79" t="s">
        <v>173</v>
      </c>
      <c r="D1871" s="79" t="s">
        <v>261</v>
      </c>
      <c r="E1871" s="79" t="s">
        <v>52</v>
      </c>
      <c r="F1871" s="79" t="str">
        <f>IF(E1871="", "", IF(COUNTIF(ChestType!$A$5:$A$195, E1871)&gt;0, VLOOKUP(E1871, ChestType!$A$5:$B$195, 2, 0), "Others"))</f>
        <v>L5 Crypt</v>
      </c>
    </row>
    <row r="1872" spans="1:6" x14ac:dyDescent="0.25">
      <c r="A1872" s="14">
        <v>46146.259722222225</v>
      </c>
      <c r="B1872" s="79" t="s">
        <v>149</v>
      </c>
      <c r="C1872" s="79" t="s">
        <v>187</v>
      </c>
      <c r="D1872" s="79" t="s">
        <v>229</v>
      </c>
      <c r="E1872" s="79" t="s">
        <v>54</v>
      </c>
      <c r="F1872" s="79" t="str">
        <f>IF(E1872="", "", IF(COUNTIF(ChestType!$A$5:$A$195, E1872)&gt;0, VLOOKUP(E1872, ChestType!$A$5:$B$195, 2, 0), "Others"))</f>
        <v>L20 Rare Crypt</v>
      </c>
    </row>
    <row r="1873" spans="1:6" x14ac:dyDescent="0.25">
      <c r="A1873" s="14">
        <v>46146.259722222225</v>
      </c>
      <c r="B1873" s="79" t="s">
        <v>149</v>
      </c>
      <c r="C1873" s="79" t="s">
        <v>182</v>
      </c>
      <c r="D1873" s="79" t="s">
        <v>229</v>
      </c>
      <c r="E1873" s="79" t="s">
        <v>49</v>
      </c>
      <c r="F1873" s="79" t="str">
        <f>IF(E1873="", "", IF(COUNTIF(ChestType!$A$5:$A$195, E1873)&gt;0, VLOOKUP(E1873, ChestType!$A$5:$B$195, 2, 0), "Others"))</f>
        <v>L15 Crypt</v>
      </c>
    </row>
    <row r="1874" spans="1:6" x14ac:dyDescent="0.25">
      <c r="A1874" s="14">
        <v>46146.259722222225</v>
      </c>
      <c r="B1874" s="79" t="s">
        <v>149</v>
      </c>
      <c r="C1874" s="79" t="s">
        <v>175</v>
      </c>
      <c r="D1874" s="79" t="s">
        <v>229</v>
      </c>
      <c r="E1874" s="79" t="s">
        <v>50</v>
      </c>
      <c r="F1874" s="79" t="str">
        <f>IF(E1874="", "", IF(COUNTIF(ChestType!$A$5:$A$195, E1874)&gt;0, VLOOKUP(E1874, ChestType!$A$5:$B$195, 2, 0), "Others"))</f>
        <v>L10 Crypt</v>
      </c>
    </row>
    <row r="1875" spans="1:6" x14ac:dyDescent="0.25">
      <c r="A1875" s="14">
        <v>46146.259722222225</v>
      </c>
      <c r="B1875" s="79" t="s">
        <v>149</v>
      </c>
      <c r="C1875" s="79" t="s">
        <v>190</v>
      </c>
      <c r="D1875" s="79" t="s">
        <v>229</v>
      </c>
      <c r="E1875" s="79" t="s">
        <v>50</v>
      </c>
      <c r="F1875" s="79" t="str">
        <f>IF(E1875="", "", IF(COUNTIF(ChestType!$A$5:$A$195, E1875)&gt;0, VLOOKUP(E1875, ChestType!$A$5:$B$195, 2, 0), "Others"))</f>
        <v>L10 Crypt</v>
      </c>
    </row>
    <row r="1876" spans="1:6" x14ac:dyDescent="0.25">
      <c r="A1876" s="14">
        <v>46146.281944444447</v>
      </c>
      <c r="B1876" s="79" t="s">
        <v>149</v>
      </c>
      <c r="C1876" s="79" t="s">
        <v>173</v>
      </c>
      <c r="D1876" s="79" t="s">
        <v>229</v>
      </c>
      <c r="E1876" s="79" t="s">
        <v>52</v>
      </c>
      <c r="F1876" s="79" t="str">
        <f>IF(E1876="", "", IF(COUNTIF(ChestType!$A$5:$A$195, E1876)&gt;0, VLOOKUP(E1876, ChestType!$A$5:$B$195, 2, 0), "Others"))</f>
        <v>L5 Crypt</v>
      </c>
    </row>
    <row r="1877" spans="1:6" x14ac:dyDescent="0.25">
      <c r="A1877" s="14">
        <v>46146.281944444447</v>
      </c>
      <c r="B1877" s="79" t="s">
        <v>149</v>
      </c>
      <c r="C1877" s="79" t="s">
        <v>182</v>
      </c>
      <c r="D1877" s="79" t="s">
        <v>166</v>
      </c>
      <c r="E1877" s="79" t="s">
        <v>50</v>
      </c>
      <c r="F1877" s="79" t="str">
        <f>IF(E1877="", "", IF(COUNTIF(ChestType!$A$5:$A$195, E1877)&gt;0, VLOOKUP(E1877, ChestType!$A$5:$B$195, 2, 0), "Others"))</f>
        <v>L10 Crypt</v>
      </c>
    </row>
    <row r="1878" spans="1:6" x14ac:dyDescent="0.25">
      <c r="A1878" s="14">
        <v>46146.281944444447</v>
      </c>
      <c r="B1878" s="79" t="s">
        <v>149</v>
      </c>
      <c r="C1878" s="79" t="s">
        <v>223</v>
      </c>
      <c r="D1878" s="79" t="s">
        <v>229</v>
      </c>
      <c r="E1878" s="79" t="s">
        <v>64</v>
      </c>
      <c r="F1878" s="79" t="str">
        <f>IF(E1878="", "", IF(COUNTIF(ChestType!$A$5:$A$195, E1878)&gt;0, VLOOKUP(E1878, ChestType!$A$5:$B$195, 2, 0), "Others"))</f>
        <v>L15 Epic Crypt</v>
      </c>
    </row>
    <row r="1879" spans="1:6" x14ac:dyDescent="0.25">
      <c r="A1879" s="14">
        <v>46146.281944444447</v>
      </c>
      <c r="B1879" s="79" t="s">
        <v>149</v>
      </c>
      <c r="C1879" s="79" t="s">
        <v>181</v>
      </c>
      <c r="D1879" s="79" t="s">
        <v>261</v>
      </c>
      <c r="E1879" s="79" t="s">
        <v>52</v>
      </c>
      <c r="F1879" s="79" t="str">
        <f>IF(E1879="", "", IF(COUNTIF(ChestType!$A$5:$A$195, E1879)&gt;0, VLOOKUP(E1879, ChestType!$A$5:$B$195, 2, 0), "Others"))</f>
        <v>L5 Crypt</v>
      </c>
    </row>
    <row r="1880" spans="1:6" x14ac:dyDescent="0.25">
      <c r="A1880" s="14">
        <v>46146.281944444447</v>
      </c>
      <c r="B1880" s="79" t="s">
        <v>149</v>
      </c>
      <c r="C1880" s="79" t="s">
        <v>214</v>
      </c>
      <c r="D1880" s="79" t="s">
        <v>229</v>
      </c>
      <c r="E1880" s="79" t="s">
        <v>65</v>
      </c>
      <c r="F1880" s="79" t="str">
        <f>IF(E1880="", "", IF(COUNTIF(ChestType!$A$5:$A$195, E1880)&gt;0, VLOOKUP(E1880, ChestType!$A$5:$B$195, 2, 0), "Others"))</f>
        <v>L20 Epic Crypt</v>
      </c>
    </row>
    <row r="1881" spans="1:6" x14ac:dyDescent="0.25">
      <c r="A1881" s="14">
        <v>46146.281944444447</v>
      </c>
      <c r="B1881" s="79" t="s">
        <v>149</v>
      </c>
      <c r="C1881" s="79" t="s">
        <v>177</v>
      </c>
      <c r="D1881" s="79" t="s">
        <v>229</v>
      </c>
      <c r="E1881" s="79" t="s">
        <v>50</v>
      </c>
      <c r="F1881" s="79" t="str">
        <f>IF(E1881="", "", IF(COUNTIF(ChestType!$A$5:$A$195, E1881)&gt;0, VLOOKUP(E1881, ChestType!$A$5:$B$195, 2, 0), "Others"))</f>
        <v>L10 Crypt</v>
      </c>
    </row>
    <row r="1882" spans="1:6" x14ac:dyDescent="0.25">
      <c r="A1882" s="14">
        <v>46146.281944444447</v>
      </c>
      <c r="B1882" s="79" t="s">
        <v>149</v>
      </c>
      <c r="C1882" s="79" t="s">
        <v>183</v>
      </c>
      <c r="D1882" s="79" t="s">
        <v>229</v>
      </c>
      <c r="E1882" s="79" t="s">
        <v>49</v>
      </c>
      <c r="F1882" s="79" t="str">
        <f>IF(E1882="", "", IF(COUNTIF(ChestType!$A$5:$A$195, E1882)&gt;0, VLOOKUP(E1882, ChestType!$A$5:$B$195, 2, 0), "Others"))</f>
        <v>L15 Crypt</v>
      </c>
    </row>
    <row r="1883" spans="1:6" x14ac:dyDescent="0.25">
      <c r="A1883" s="14">
        <v>46146.281944444447</v>
      </c>
      <c r="B1883" s="79" t="s">
        <v>149</v>
      </c>
      <c r="C1883" s="79" t="s">
        <v>151</v>
      </c>
      <c r="D1883" s="79" t="s">
        <v>166</v>
      </c>
      <c r="E1883" s="79" t="s">
        <v>50</v>
      </c>
      <c r="F1883" s="79" t="str">
        <f>IF(E1883="", "", IF(COUNTIF(ChestType!$A$5:$A$195, E1883)&gt;0, VLOOKUP(E1883, ChestType!$A$5:$B$195, 2, 0), "Others"))</f>
        <v>L10 Crypt</v>
      </c>
    </row>
    <row r="1884" spans="1:6" x14ac:dyDescent="0.25">
      <c r="A1884" s="14">
        <v>46146.281944444447</v>
      </c>
      <c r="B1884" s="79" t="s">
        <v>149</v>
      </c>
      <c r="C1884" s="79" t="s">
        <v>181</v>
      </c>
      <c r="D1884" s="79" t="s">
        <v>229</v>
      </c>
      <c r="E1884" s="79" t="s">
        <v>48</v>
      </c>
      <c r="F1884" s="79" t="str">
        <f>IF(E1884="", "", IF(COUNTIF(ChestType!$A$5:$A$195, E1884)&gt;0, VLOOKUP(E1884, ChestType!$A$5:$B$195, 2, 0), "Others"))</f>
        <v>L20 Crypt</v>
      </c>
    </row>
    <row r="1885" spans="1:6" x14ac:dyDescent="0.25">
      <c r="A1885" s="14">
        <v>46146.281944444447</v>
      </c>
      <c r="B1885" s="79" t="s">
        <v>149</v>
      </c>
      <c r="C1885" s="79" t="s">
        <v>185</v>
      </c>
      <c r="D1885" s="79" t="s">
        <v>229</v>
      </c>
      <c r="E1885" s="79" t="s">
        <v>50</v>
      </c>
      <c r="F1885" s="79" t="str">
        <f>IF(E1885="", "", IF(COUNTIF(ChestType!$A$5:$A$195, E1885)&gt;0, VLOOKUP(E1885, ChestType!$A$5:$B$195, 2, 0), "Others"))</f>
        <v>L10 Crypt</v>
      </c>
    </row>
    <row r="1886" spans="1:6" x14ac:dyDescent="0.25">
      <c r="A1886" s="14">
        <v>46146.281944444447</v>
      </c>
      <c r="B1886" s="79" t="s">
        <v>149</v>
      </c>
      <c r="C1886" s="79" t="s">
        <v>183</v>
      </c>
      <c r="D1886" s="79" t="s">
        <v>229</v>
      </c>
      <c r="E1886" s="79" t="s">
        <v>50</v>
      </c>
      <c r="F1886" s="79" t="str">
        <f>IF(E1886="", "", IF(COUNTIF(ChestType!$A$5:$A$195, E1886)&gt;0, VLOOKUP(E1886, ChestType!$A$5:$B$195, 2, 0), "Others"))</f>
        <v>L10 Crypt</v>
      </c>
    </row>
    <row r="1887" spans="1:6" x14ac:dyDescent="0.25">
      <c r="A1887" s="14">
        <v>46146.281944444447</v>
      </c>
      <c r="B1887" s="79" t="s">
        <v>149</v>
      </c>
      <c r="C1887" s="79" t="s">
        <v>184</v>
      </c>
      <c r="D1887" s="79" t="s">
        <v>229</v>
      </c>
      <c r="E1887" s="79" t="s">
        <v>50</v>
      </c>
      <c r="F1887" s="79" t="str">
        <f>IF(E1887="", "", IF(COUNTIF(ChestType!$A$5:$A$195, E1887)&gt;0, VLOOKUP(E1887, ChestType!$A$5:$B$195, 2, 0), "Others"))</f>
        <v>L10 Crypt</v>
      </c>
    </row>
    <row r="1888" spans="1:6" x14ac:dyDescent="0.25">
      <c r="A1888" s="14">
        <v>46146.281944444447</v>
      </c>
      <c r="B1888" s="79" t="s">
        <v>149</v>
      </c>
      <c r="C1888" s="79" t="s">
        <v>182</v>
      </c>
      <c r="D1888" s="79" t="s">
        <v>229</v>
      </c>
      <c r="E1888" s="79" t="s">
        <v>52</v>
      </c>
      <c r="F1888" s="79" t="str">
        <f>IF(E1888="", "", IF(COUNTIF(ChestType!$A$5:$A$195, E1888)&gt;0, VLOOKUP(E1888, ChestType!$A$5:$B$195, 2, 0), "Others"))</f>
        <v>L5 Crypt</v>
      </c>
    </row>
    <row r="1889" spans="1:6" x14ac:dyDescent="0.25">
      <c r="A1889" s="14">
        <v>46146.281944444447</v>
      </c>
      <c r="B1889" s="79" t="s">
        <v>149</v>
      </c>
      <c r="C1889" s="79" t="s">
        <v>173</v>
      </c>
      <c r="D1889" s="79" t="s">
        <v>166</v>
      </c>
      <c r="E1889" s="79" t="s">
        <v>52</v>
      </c>
      <c r="F1889" s="79" t="str">
        <f>IF(E1889="", "", IF(COUNTIF(ChestType!$A$5:$A$195, E1889)&gt;0, VLOOKUP(E1889, ChestType!$A$5:$B$195, 2, 0), "Others"))</f>
        <v>L5 Crypt</v>
      </c>
    </row>
    <row r="1890" spans="1:6" x14ac:dyDescent="0.25">
      <c r="A1890" s="14">
        <v>46146.281944444447</v>
      </c>
      <c r="B1890" s="79" t="s">
        <v>149</v>
      </c>
      <c r="C1890" s="79" t="s">
        <v>184</v>
      </c>
      <c r="D1890" s="79" t="s">
        <v>166</v>
      </c>
      <c r="E1890" s="79" t="s">
        <v>50</v>
      </c>
      <c r="F1890" s="79" t="str">
        <f>IF(E1890="", "", IF(COUNTIF(ChestType!$A$5:$A$195, E1890)&gt;0, VLOOKUP(E1890, ChestType!$A$5:$B$195, 2, 0), "Others"))</f>
        <v>L10 Crypt</v>
      </c>
    </row>
    <row r="1891" spans="1:6" x14ac:dyDescent="0.25">
      <c r="A1891" s="14">
        <v>46146.281944444447</v>
      </c>
      <c r="B1891" s="79" t="s">
        <v>149</v>
      </c>
      <c r="C1891" s="79" t="s">
        <v>181</v>
      </c>
      <c r="D1891" s="79" t="s">
        <v>229</v>
      </c>
      <c r="E1891" s="79" t="s">
        <v>50</v>
      </c>
      <c r="F1891" s="79" t="str">
        <f>IF(E1891="", "", IF(COUNTIF(ChestType!$A$5:$A$195, E1891)&gt;0, VLOOKUP(E1891, ChestType!$A$5:$B$195, 2, 0), "Others"))</f>
        <v>L10 Crypt</v>
      </c>
    </row>
    <row r="1892" spans="1:6" x14ac:dyDescent="0.25">
      <c r="A1892" s="14">
        <v>46146.281944444447</v>
      </c>
      <c r="B1892" s="79" t="s">
        <v>149</v>
      </c>
      <c r="C1892" s="79" t="s">
        <v>185</v>
      </c>
      <c r="D1892" s="79" t="s">
        <v>229</v>
      </c>
      <c r="E1892" s="79" t="s">
        <v>52</v>
      </c>
      <c r="F1892" s="79" t="str">
        <f>IF(E1892="", "", IF(COUNTIF(ChestType!$A$5:$A$195, E1892)&gt;0, VLOOKUP(E1892, ChestType!$A$5:$B$195, 2, 0), "Others"))</f>
        <v>L5 Crypt</v>
      </c>
    </row>
    <row r="1893" spans="1:6" x14ac:dyDescent="0.25">
      <c r="A1893" s="14">
        <v>46146.281944444447</v>
      </c>
      <c r="B1893" s="79" t="s">
        <v>149</v>
      </c>
      <c r="C1893" s="79" t="s">
        <v>185</v>
      </c>
      <c r="D1893" s="79" t="s">
        <v>166</v>
      </c>
      <c r="E1893" s="79" t="s">
        <v>50</v>
      </c>
      <c r="F1893" s="79" t="str">
        <f>IF(E1893="", "", IF(COUNTIF(ChestType!$A$5:$A$195, E1893)&gt;0, VLOOKUP(E1893, ChestType!$A$5:$B$195, 2, 0), "Others"))</f>
        <v>L10 Crypt</v>
      </c>
    </row>
    <row r="1894" spans="1:6" x14ac:dyDescent="0.25">
      <c r="A1894" s="14">
        <v>46146.522916666669</v>
      </c>
      <c r="B1894" s="79" t="s">
        <v>149</v>
      </c>
      <c r="C1894" s="79" t="s">
        <v>181</v>
      </c>
      <c r="D1894" s="79" t="s">
        <v>246</v>
      </c>
      <c r="E1894" s="79" t="s">
        <v>52</v>
      </c>
      <c r="F1894" s="79" t="str">
        <f>IF(E1894="", "", IF(COUNTIF(ChestType!$A$5:$A$195, E1894)&gt;0, VLOOKUP(E1894, ChestType!$A$5:$B$195, 2, 0), "Others"))</f>
        <v>L5 Crypt</v>
      </c>
    </row>
    <row r="1895" spans="1:6" x14ac:dyDescent="0.25">
      <c r="A1895" s="14">
        <v>46146.522916666669</v>
      </c>
      <c r="B1895" s="79" t="s">
        <v>149</v>
      </c>
      <c r="C1895" s="79" t="s">
        <v>173</v>
      </c>
      <c r="D1895" s="79" t="s">
        <v>166</v>
      </c>
      <c r="E1895" s="79" t="s">
        <v>50</v>
      </c>
      <c r="F1895" s="79" t="str">
        <f>IF(E1895="", "", IF(COUNTIF(ChestType!$A$5:$A$195, E1895)&gt;0, VLOOKUP(E1895, ChestType!$A$5:$B$195, 2, 0), "Others"))</f>
        <v>L10 Crypt</v>
      </c>
    </row>
    <row r="1896" spans="1:6" x14ac:dyDescent="0.25">
      <c r="A1896" s="14">
        <v>46146.522916666669</v>
      </c>
      <c r="B1896" s="79" t="s">
        <v>149</v>
      </c>
      <c r="C1896" s="79" t="s">
        <v>185</v>
      </c>
      <c r="D1896" s="79" t="s">
        <v>261</v>
      </c>
      <c r="E1896" s="79" t="s">
        <v>52</v>
      </c>
      <c r="F1896" s="79" t="str">
        <f>IF(E1896="", "", IF(COUNTIF(ChestType!$A$5:$A$195, E1896)&gt;0, VLOOKUP(E1896, ChestType!$A$5:$B$195, 2, 0), "Others"))</f>
        <v>L5 Crypt</v>
      </c>
    </row>
    <row r="1897" spans="1:6" x14ac:dyDescent="0.25">
      <c r="A1897" s="14">
        <v>46146.522916666669</v>
      </c>
      <c r="B1897" s="79" t="s">
        <v>149</v>
      </c>
      <c r="C1897" s="79" t="s">
        <v>175</v>
      </c>
      <c r="D1897" s="79" t="s">
        <v>261</v>
      </c>
      <c r="E1897" s="79" t="s">
        <v>52</v>
      </c>
      <c r="F1897" s="79" t="str">
        <f>IF(E1897="", "", IF(COUNTIF(ChestType!$A$5:$A$195, E1897)&gt;0, VLOOKUP(E1897, ChestType!$A$5:$B$195, 2, 0), "Others"))</f>
        <v>L5 Crypt</v>
      </c>
    </row>
    <row r="1898" spans="1:6" x14ac:dyDescent="0.25">
      <c r="A1898" s="14">
        <v>46146.522916666669</v>
      </c>
      <c r="B1898" s="79" t="s">
        <v>149</v>
      </c>
      <c r="C1898" s="79" t="s">
        <v>151</v>
      </c>
      <c r="D1898" s="79" t="s">
        <v>166</v>
      </c>
      <c r="E1898" s="79" t="s">
        <v>50</v>
      </c>
      <c r="F1898" s="79" t="str">
        <f>IF(E1898="", "", IF(COUNTIF(ChestType!$A$5:$A$195, E1898)&gt;0, VLOOKUP(E1898, ChestType!$A$5:$B$195, 2, 0), "Others"))</f>
        <v>L10 Crypt</v>
      </c>
    </row>
    <row r="1899" spans="1:6" x14ac:dyDescent="0.25">
      <c r="A1899" s="14">
        <v>46146.522916666669</v>
      </c>
      <c r="B1899" s="79" t="s">
        <v>149</v>
      </c>
      <c r="C1899" s="79" t="s">
        <v>171</v>
      </c>
      <c r="D1899" s="79" t="s">
        <v>166</v>
      </c>
      <c r="E1899" s="79" t="s">
        <v>50</v>
      </c>
      <c r="F1899" s="79" t="str">
        <f>IF(E1899="", "", IF(COUNTIF(ChestType!$A$5:$A$195, E1899)&gt;0, VLOOKUP(E1899, ChestType!$A$5:$B$195, 2, 0), "Others"))</f>
        <v>L10 Crypt</v>
      </c>
    </row>
    <row r="1900" spans="1:6" x14ac:dyDescent="0.25">
      <c r="A1900" s="14">
        <v>46146.522916666669</v>
      </c>
      <c r="B1900" s="79" t="s">
        <v>149</v>
      </c>
      <c r="C1900" s="79" t="s">
        <v>151</v>
      </c>
      <c r="D1900" s="79" t="s">
        <v>166</v>
      </c>
      <c r="E1900" s="79" t="s">
        <v>50</v>
      </c>
      <c r="F1900" s="79" t="str">
        <f>IF(E1900="", "", IF(COUNTIF(ChestType!$A$5:$A$195, E1900)&gt;0, VLOOKUP(E1900, ChestType!$A$5:$B$195, 2, 0), "Others"))</f>
        <v>L10 Crypt</v>
      </c>
    </row>
    <row r="1901" spans="1:6" x14ac:dyDescent="0.25">
      <c r="A1901" s="14">
        <v>46146.522916666669</v>
      </c>
      <c r="B1901" s="79" t="s">
        <v>149</v>
      </c>
      <c r="C1901" s="79" t="s">
        <v>184</v>
      </c>
      <c r="D1901" s="79" t="s">
        <v>166</v>
      </c>
      <c r="E1901" s="79" t="s">
        <v>50</v>
      </c>
      <c r="F1901" s="79" t="str">
        <f>IF(E1901="", "", IF(COUNTIF(ChestType!$A$5:$A$195, E1901)&gt;0, VLOOKUP(E1901, ChestType!$A$5:$B$195, 2, 0), "Others"))</f>
        <v>L10 Crypt</v>
      </c>
    </row>
    <row r="1902" spans="1:6" x14ac:dyDescent="0.25">
      <c r="A1902" s="14">
        <v>46146.522916666669</v>
      </c>
      <c r="B1902" s="79" t="s">
        <v>149</v>
      </c>
      <c r="C1902" s="79" t="s">
        <v>176</v>
      </c>
      <c r="D1902" s="79" t="s">
        <v>167</v>
      </c>
      <c r="E1902" s="79" t="s">
        <v>70</v>
      </c>
      <c r="F1902" s="79" t="str">
        <f>IF(E1902="", "", IF(COUNTIF(ChestType!$A$5:$A$195, E1902)&gt;0, VLOOKUP(E1902, ChestType!$A$5:$B$195, 2, 0), "Others"))</f>
        <v>L10 Citadel</v>
      </c>
    </row>
    <row r="1903" spans="1:6" x14ac:dyDescent="0.25">
      <c r="A1903" s="14">
        <v>46146.522916666669</v>
      </c>
      <c r="B1903" s="79" t="s">
        <v>149</v>
      </c>
      <c r="C1903" s="79" t="s">
        <v>188</v>
      </c>
      <c r="D1903" s="79" t="s">
        <v>157</v>
      </c>
      <c r="E1903" s="79" t="s">
        <v>45</v>
      </c>
      <c r="F1903" s="79" t="str">
        <f>IF(E1903="", "", IF(COUNTIF(ChestType!$A$5:$A$195, E1903)&gt;0, VLOOKUP(E1903, ChestType!$A$5:$B$195, 2, 0), "Others"))</f>
        <v>Others</v>
      </c>
    </row>
    <row r="1904" spans="1:6" x14ac:dyDescent="0.25">
      <c r="A1904" s="14">
        <v>46146.522916666669</v>
      </c>
      <c r="B1904" s="79" t="s">
        <v>149</v>
      </c>
      <c r="C1904" s="79" t="s">
        <v>189</v>
      </c>
      <c r="D1904" s="79" t="s">
        <v>157</v>
      </c>
      <c r="E1904" s="79" t="s">
        <v>45</v>
      </c>
      <c r="F1904" s="79" t="str">
        <f>IF(E1904="", "", IF(COUNTIF(ChestType!$A$5:$A$195, E1904)&gt;0, VLOOKUP(E1904, ChestType!$A$5:$B$195, 2, 0), "Others"))</f>
        <v>Others</v>
      </c>
    </row>
    <row r="1905" spans="1:6" x14ac:dyDescent="0.25">
      <c r="A1905" s="14">
        <v>46146.522916666669</v>
      </c>
      <c r="B1905" s="79" t="s">
        <v>149</v>
      </c>
      <c r="C1905" s="79" t="s">
        <v>239</v>
      </c>
      <c r="D1905" s="79" t="s">
        <v>157</v>
      </c>
      <c r="E1905" s="79" t="s">
        <v>45</v>
      </c>
      <c r="F1905" s="79" t="str">
        <f>IF(E1905="", "", IF(COUNTIF(ChestType!$A$5:$A$195, E1905)&gt;0, VLOOKUP(E1905, ChestType!$A$5:$B$195, 2, 0), "Others"))</f>
        <v>Others</v>
      </c>
    </row>
    <row r="1906" spans="1:6" x14ac:dyDescent="0.25">
      <c r="A1906" s="14">
        <v>46146.522916666669</v>
      </c>
      <c r="B1906" s="79" t="s">
        <v>149</v>
      </c>
      <c r="C1906" s="79" t="s">
        <v>185</v>
      </c>
      <c r="D1906" s="79" t="s">
        <v>153</v>
      </c>
      <c r="E1906" s="79" t="s">
        <v>50</v>
      </c>
      <c r="F1906" s="79" t="str">
        <f>IF(E1906="", "", IF(COUNTIF(ChestType!$A$5:$A$195, E1906)&gt;0, VLOOKUP(E1906, ChestType!$A$5:$B$195, 2, 0), "Others"))</f>
        <v>L10 Crypt</v>
      </c>
    </row>
    <row r="1907" spans="1:6" x14ac:dyDescent="0.25">
      <c r="A1907" s="14">
        <v>46146.522916666669</v>
      </c>
      <c r="B1907" s="79" t="s">
        <v>149</v>
      </c>
      <c r="C1907" s="79" t="s">
        <v>176</v>
      </c>
      <c r="D1907" s="79" t="s">
        <v>167</v>
      </c>
      <c r="E1907" s="79" t="s">
        <v>70</v>
      </c>
      <c r="F1907" s="79" t="str">
        <f>IF(E1907="", "", IF(COUNTIF(ChestType!$A$5:$A$195, E1907)&gt;0, VLOOKUP(E1907, ChestType!$A$5:$B$195, 2, 0), "Others"))</f>
        <v>L10 Citadel</v>
      </c>
    </row>
    <row r="1908" spans="1:6" x14ac:dyDescent="0.25">
      <c r="A1908" s="14">
        <v>46146.522916666669</v>
      </c>
      <c r="B1908" s="79" t="s">
        <v>149</v>
      </c>
      <c r="C1908" s="79" t="s">
        <v>203</v>
      </c>
      <c r="D1908" s="79" t="s">
        <v>193</v>
      </c>
      <c r="E1908" s="79" t="s">
        <v>72</v>
      </c>
      <c r="F1908" s="79" t="str">
        <f>IF(E1908="", "", IF(COUNTIF(ChestType!$A$5:$A$195, E1908)&gt;0, VLOOKUP(E1908, ChestType!$A$5:$B$195, 2, 0), "Others"))</f>
        <v>Others</v>
      </c>
    </row>
    <row r="1909" spans="1:6" x14ac:dyDescent="0.25">
      <c r="A1909" s="14">
        <v>46146.522916666669</v>
      </c>
      <c r="B1909" s="79" t="s">
        <v>149</v>
      </c>
      <c r="C1909" s="79" t="s">
        <v>203</v>
      </c>
      <c r="D1909" s="79" t="s">
        <v>193</v>
      </c>
      <c r="E1909" s="79" t="s">
        <v>72</v>
      </c>
      <c r="F1909" s="79" t="str">
        <f>IF(E1909="", "", IF(COUNTIF(ChestType!$A$5:$A$195, E1909)&gt;0, VLOOKUP(E1909, ChestType!$A$5:$B$195, 2, 0), "Others"))</f>
        <v>Others</v>
      </c>
    </row>
    <row r="1910" spans="1:6" x14ac:dyDescent="0.25">
      <c r="A1910" s="14">
        <v>46146.522916666669</v>
      </c>
      <c r="B1910" s="79" t="s">
        <v>149</v>
      </c>
      <c r="C1910" s="79" t="s">
        <v>203</v>
      </c>
      <c r="D1910" s="79" t="s">
        <v>193</v>
      </c>
      <c r="E1910" s="79" t="s">
        <v>72</v>
      </c>
      <c r="F1910" s="79" t="str">
        <f>IF(E1910="", "", IF(COUNTIF(ChestType!$A$5:$A$195, E1910)&gt;0, VLOOKUP(E1910, ChestType!$A$5:$B$195, 2, 0), "Others"))</f>
        <v>Others</v>
      </c>
    </row>
    <row r="1911" spans="1:6" x14ac:dyDescent="0.25">
      <c r="A1911" s="14">
        <v>46146.522916666669</v>
      </c>
      <c r="B1911" s="79" t="s">
        <v>149</v>
      </c>
      <c r="C1911" s="79" t="s">
        <v>203</v>
      </c>
      <c r="D1911" s="79" t="s">
        <v>193</v>
      </c>
      <c r="E1911" s="79" t="s">
        <v>72</v>
      </c>
      <c r="F1911" s="79" t="str">
        <f>IF(E1911="", "", IF(COUNTIF(ChestType!$A$5:$A$195, E1911)&gt;0, VLOOKUP(E1911, ChestType!$A$5:$B$195, 2, 0), "Others"))</f>
        <v>Others</v>
      </c>
    </row>
    <row r="1912" spans="1:6" x14ac:dyDescent="0.25">
      <c r="A1912" s="14">
        <v>46146.522916666669</v>
      </c>
      <c r="B1912" s="79" t="s">
        <v>149</v>
      </c>
      <c r="C1912" s="79" t="s">
        <v>203</v>
      </c>
      <c r="D1912" s="79" t="s">
        <v>193</v>
      </c>
      <c r="E1912" s="79" t="s">
        <v>72</v>
      </c>
      <c r="F1912" s="79" t="str">
        <f>IF(E1912="", "", IF(COUNTIF(ChestType!$A$5:$A$195, E1912)&gt;0, VLOOKUP(E1912, ChestType!$A$5:$B$195, 2, 0), "Others"))</f>
        <v>Others</v>
      </c>
    </row>
    <row r="1913" spans="1:6" x14ac:dyDescent="0.25">
      <c r="A1913" s="14">
        <v>46146.522916666669</v>
      </c>
      <c r="B1913" s="79" t="s">
        <v>149</v>
      </c>
      <c r="C1913" s="79" t="s">
        <v>203</v>
      </c>
      <c r="D1913" s="79" t="s">
        <v>193</v>
      </c>
      <c r="E1913" s="79" t="s">
        <v>72</v>
      </c>
      <c r="F1913" s="79" t="str">
        <f>IF(E1913="", "", IF(COUNTIF(ChestType!$A$5:$A$195, E1913)&gt;0, VLOOKUP(E1913, ChestType!$A$5:$B$195, 2, 0), "Others"))</f>
        <v>Others</v>
      </c>
    </row>
    <row r="1914" spans="1:6" x14ac:dyDescent="0.25">
      <c r="A1914" s="14">
        <v>46146.522916666669</v>
      </c>
      <c r="B1914" s="79" t="s">
        <v>149</v>
      </c>
      <c r="C1914" s="79" t="s">
        <v>184</v>
      </c>
      <c r="D1914" s="79" t="s">
        <v>153</v>
      </c>
      <c r="E1914" s="79" t="s">
        <v>50</v>
      </c>
      <c r="F1914" s="79" t="str">
        <f>IF(E1914="", "", IF(COUNTIF(ChestType!$A$5:$A$195, E1914)&gt;0, VLOOKUP(E1914, ChestType!$A$5:$B$195, 2, 0), "Others"))</f>
        <v>L10 Crypt</v>
      </c>
    </row>
    <row r="1915" spans="1:6" x14ac:dyDescent="0.25">
      <c r="A1915" s="14">
        <v>46146.522916666669</v>
      </c>
      <c r="B1915" s="79" t="s">
        <v>149</v>
      </c>
      <c r="C1915" s="79" t="s">
        <v>182</v>
      </c>
      <c r="D1915" s="79" t="s">
        <v>167</v>
      </c>
      <c r="E1915" s="79" t="s">
        <v>49</v>
      </c>
      <c r="F1915" s="79" t="str">
        <f>IF(E1915="", "", IF(COUNTIF(ChestType!$A$5:$A$195, E1915)&gt;0, VLOOKUP(E1915, ChestType!$A$5:$B$195, 2, 0), "Others"))</f>
        <v>L15 Crypt</v>
      </c>
    </row>
    <row r="1916" spans="1:6" x14ac:dyDescent="0.25">
      <c r="A1916" s="14">
        <v>46146.522916666669</v>
      </c>
      <c r="B1916" s="79" t="s">
        <v>149</v>
      </c>
      <c r="C1916" s="79" t="s">
        <v>185</v>
      </c>
      <c r="D1916" s="79" t="s">
        <v>261</v>
      </c>
      <c r="E1916" s="79" t="s">
        <v>52</v>
      </c>
      <c r="F1916" s="79" t="str">
        <f>IF(E1916="", "", IF(COUNTIF(ChestType!$A$5:$A$195, E1916)&gt;0, VLOOKUP(E1916, ChestType!$A$5:$B$195, 2, 0), "Others"))</f>
        <v>L5 Crypt</v>
      </c>
    </row>
    <row r="1917" spans="1:6" x14ac:dyDescent="0.25">
      <c r="A1917" s="14">
        <v>46146.522916666669</v>
      </c>
      <c r="B1917" s="79" t="s">
        <v>149</v>
      </c>
      <c r="C1917" s="79" t="s">
        <v>151</v>
      </c>
      <c r="D1917" s="79" t="s">
        <v>262</v>
      </c>
      <c r="E1917" s="79" t="s">
        <v>52</v>
      </c>
      <c r="F1917" s="79" t="str">
        <f>IF(E1917="", "", IF(COUNTIF(ChestType!$A$5:$A$195, E1917)&gt;0, VLOOKUP(E1917, ChestType!$A$5:$B$195, 2, 0), "Others"))</f>
        <v>L5 Crypt</v>
      </c>
    </row>
    <row r="1918" spans="1:6" x14ac:dyDescent="0.25">
      <c r="A1918" s="14">
        <v>46146.522916666669</v>
      </c>
      <c r="B1918" s="79" t="s">
        <v>149</v>
      </c>
      <c r="C1918" s="79" t="s">
        <v>171</v>
      </c>
      <c r="D1918" s="79" t="s">
        <v>193</v>
      </c>
      <c r="E1918" s="79" t="s">
        <v>50</v>
      </c>
      <c r="F1918" s="79" t="str">
        <f>IF(E1918="", "", IF(COUNTIF(ChestType!$A$5:$A$195, E1918)&gt;0, VLOOKUP(E1918, ChestType!$A$5:$B$195, 2, 0), "Others"))</f>
        <v>L10 Crypt</v>
      </c>
    </row>
    <row r="1919" spans="1:6" x14ac:dyDescent="0.25">
      <c r="A1919" s="14">
        <v>46146.522916666669</v>
      </c>
      <c r="B1919" s="79" t="s">
        <v>149</v>
      </c>
      <c r="C1919" s="79" t="s">
        <v>183</v>
      </c>
      <c r="D1919" s="79" t="s">
        <v>167</v>
      </c>
      <c r="E1919" s="79" t="s">
        <v>49</v>
      </c>
      <c r="F1919" s="79" t="str">
        <f>IF(E1919="", "", IF(COUNTIF(ChestType!$A$5:$A$195, E1919)&gt;0, VLOOKUP(E1919, ChestType!$A$5:$B$195, 2, 0), "Others"))</f>
        <v>L15 Crypt</v>
      </c>
    </row>
    <row r="1920" spans="1:6" x14ac:dyDescent="0.25">
      <c r="A1920" s="14">
        <v>46146.522916666669</v>
      </c>
      <c r="B1920" s="79" t="s">
        <v>149</v>
      </c>
      <c r="C1920" s="79" t="s">
        <v>158</v>
      </c>
      <c r="D1920" s="79" t="s">
        <v>167</v>
      </c>
      <c r="E1920" s="79" t="s">
        <v>49</v>
      </c>
      <c r="F1920" s="79" t="str">
        <f>IF(E1920="", "", IF(COUNTIF(ChestType!$A$5:$A$195, E1920)&gt;0, VLOOKUP(E1920, ChestType!$A$5:$B$195, 2, 0), "Others"))</f>
        <v>L15 Crypt</v>
      </c>
    </row>
    <row r="1921" spans="1:6" x14ac:dyDescent="0.25">
      <c r="A1921" s="14">
        <v>46146.522916666669</v>
      </c>
      <c r="B1921" s="79" t="s">
        <v>149</v>
      </c>
      <c r="C1921" s="79" t="s">
        <v>185</v>
      </c>
      <c r="D1921" s="79" t="s">
        <v>166</v>
      </c>
      <c r="E1921" s="79" t="s">
        <v>52</v>
      </c>
      <c r="F1921" s="79" t="str">
        <f>IF(E1921="", "", IF(COUNTIF(ChestType!$A$5:$A$195, E1921)&gt;0, VLOOKUP(E1921, ChestType!$A$5:$B$195, 2, 0), "Others"))</f>
        <v>L5 Crypt</v>
      </c>
    </row>
    <row r="1922" spans="1:6" x14ac:dyDescent="0.25">
      <c r="A1922" s="14">
        <v>46146.522916666669</v>
      </c>
      <c r="B1922" s="79" t="s">
        <v>149</v>
      </c>
      <c r="C1922" s="79" t="s">
        <v>182</v>
      </c>
      <c r="D1922" s="79" t="s">
        <v>261</v>
      </c>
      <c r="E1922" s="79" t="s">
        <v>52</v>
      </c>
      <c r="F1922" s="79" t="str">
        <f>IF(E1922="", "", IF(COUNTIF(ChestType!$A$5:$A$195, E1922)&gt;0, VLOOKUP(E1922, ChestType!$A$5:$B$195, 2, 0), "Others"))</f>
        <v>L5 Crypt</v>
      </c>
    </row>
    <row r="1923" spans="1:6" x14ac:dyDescent="0.25">
      <c r="A1923" s="14">
        <v>46146.522916666669</v>
      </c>
      <c r="B1923" s="79" t="s">
        <v>149</v>
      </c>
      <c r="C1923" s="79" t="s">
        <v>185</v>
      </c>
      <c r="D1923" s="79" t="s">
        <v>262</v>
      </c>
      <c r="E1923" s="79" t="s">
        <v>52</v>
      </c>
      <c r="F1923" s="79" t="str">
        <f>IF(E1923="", "", IF(COUNTIF(ChestType!$A$5:$A$195, E1923)&gt;0, VLOOKUP(E1923, ChestType!$A$5:$B$195, 2, 0), "Others"))</f>
        <v>L5 Crypt</v>
      </c>
    </row>
    <row r="1924" spans="1:6" x14ac:dyDescent="0.25">
      <c r="A1924" s="14">
        <v>46146.522916666669</v>
      </c>
      <c r="B1924" s="79" t="s">
        <v>149</v>
      </c>
      <c r="C1924" s="79" t="s">
        <v>182</v>
      </c>
      <c r="D1924" s="79" t="s">
        <v>167</v>
      </c>
      <c r="E1924" s="79" t="s">
        <v>50</v>
      </c>
      <c r="F1924" s="79" t="str">
        <f>IF(E1924="", "", IF(COUNTIF(ChestType!$A$5:$A$195, E1924)&gt;0, VLOOKUP(E1924, ChestType!$A$5:$B$195, 2, 0), "Others"))</f>
        <v>L10 Crypt</v>
      </c>
    </row>
    <row r="1925" spans="1:6" x14ac:dyDescent="0.25">
      <c r="A1925" s="14">
        <v>46146.522916666669</v>
      </c>
      <c r="B1925" s="79" t="s">
        <v>149</v>
      </c>
      <c r="C1925" s="79" t="s">
        <v>175</v>
      </c>
      <c r="D1925" s="79" t="s">
        <v>268</v>
      </c>
      <c r="E1925" s="79" t="s">
        <v>50</v>
      </c>
      <c r="F1925" s="79" t="str">
        <f>IF(E1925="", "", IF(COUNTIF(ChestType!$A$5:$A$195, E1925)&gt;0, VLOOKUP(E1925, ChestType!$A$5:$B$195, 2, 0), "Others"))</f>
        <v>L10 Crypt</v>
      </c>
    </row>
    <row r="1926" spans="1:6" x14ac:dyDescent="0.25">
      <c r="A1926" s="14">
        <v>46146.522916666669</v>
      </c>
      <c r="B1926" s="79" t="s">
        <v>149</v>
      </c>
      <c r="C1926" s="79" t="s">
        <v>182</v>
      </c>
      <c r="D1926" s="79" t="s">
        <v>167</v>
      </c>
      <c r="E1926" s="79" t="s">
        <v>49</v>
      </c>
      <c r="F1926" s="79" t="str">
        <f>IF(E1926="", "", IF(COUNTIF(ChestType!$A$5:$A$195, E1926)&gt;0, VLOOKUP(E1926, ChestType!$A$5:$B$195, 2, 0), "Others"))</f>
        <v>L15 Crypt</v>
      </c>
    </row>
    <row r="1927" spans="1:6" x14ac:dyDescent="0.25">
      <c r="A1927" s="14">
        <v>46146.522916666669</v>
      </c>
      <c r="B1927" s="79" t="s">
        <v>149</v>
      </c>
      <c r="C1927" s="79" t="s">
        <v>151</v>
      </c>
      <c r="D1927" s="79" t="s">
        <v>261</v>
      </c>
      <c r="E1927" s="79" t="s">
        <v>52</v>
      </c>
      <c r="F1927" s="79" t="str">
        <f>IF(E1927="", "", IF(COUNTIF(ChestType!$A$5:$A$195, E1927)&gt;0, VLOOKUP(E1927, ChestType!$A$5:$B$195, 2, 0), "Others"))</f>
        <v>L5 Crypt</v>
      </c>
    </row>
    <row r="1928" spans="1:6" x14ac:dyDescent="0.25">
      <c r="A1928" s="14">
        <v>46146.522916666669</v>
      </c>
      <c r="B1928" s="79" t="s">
        <v>149</v>
      </c>
      <c r="C1928" s="79" t="s">
        <v>187</v>
      </c>
      <c r="D1928" s="79" t="s">
        <v>167</v>
      </c>
      <c r="E1928" s="79" t="s">
        <v>75</v>
      </c>
      <c r="F1928" s="79" t="str">
        <f>IF(E1928="", "", IF(COUNTIF(ChestType!$A$5:$A$195, E1928)&gt;0, VLOOKUP(E1928, ChestType!$A$5:$B$195, 2, 0), "Others"))</f>
        <v>L10 Rare Crypt</v>
      </c>
    </row>
    <row r="1929" spans="1:6" x14ac:dyDescent="0.25">
      <c r="A1929" s="14">
        <v>46146.522916666669</v>
      </c>
      <c r="B1929" s="79" t="s">
        <v>149</v>
      </c>
      <c r="C1929" s="79" t="s">
        <v>187</v>
      </c>
      <c r="D1929" s="79" t="s">
        <v>167</v>
      </c>
      <c r="E1929" s="79" t="s">
        <v>75</v>
      </c>
      <c r="F1929" s="79" t="str">
        <f>IF(E1929="", "", IF(COUNTIF(ChestType!$A$5:$A$195, E1929)&gt;0, VLOOKUP(E1929, ChestType!$A$5:$B$195, 2, 0), "Others"))</f>
        <v>L10 Rare Crypt</v>
      </c>
    </row>
    <row r="1930" spans="1:6" x14ac:dyDescent="0.25">
      <c r="A1930" s="14">
        <v>46146.522916666669</v>
      </c>
      <c r="B1930" s="79" t="s">
        <v>149</v>
      </c>
      <c r="C1930" s="79" t="s">
        <v>187</v>
      </c>
      <c r="D1930" s="79" t="s">
        <v>167</v>
      </c>
      <c r="E1930" s="79" t="s">
        <v>75</v>
      </c>
      <c r="F1930" s="79" t="str">
        <f>IF(E1930="", "", IF(COUNTIF(ChestType!$A$5:$A$195, E1930)&gt;0, VLOOKUP(E1930, ChestType!$A$5:$B$195, 2, 0), "Others"))</f>
        <v>L10 Rare Crypt</v>
      </c>
    </row>
    <row r="1931" spans="1:6" x14ac:dyDescent="0.25">
      <c r="A1931" s="14">
        <v>46146.522916666669</v>
      </c>
      <c r="B1931" s="79" t="s">
        <v>149</v>
      </c>
      <c r="C1931" s="79" t="s">
        <v>182</v>
      </c>
      <c r="D1931" s="79" t="s">
        <v>259</v>
      </c>
      <c r="E1931" s="79" t="s">
        <v>52</v>
      </c>
      <c r="F1931" s="79" t="str">
        <f>IF(E1931="", "", IF(COUNTIF(ChestType!$A$5:$A$195, E1931)&gt;0, VLOOKUP(E1931, ChestType!$A$5:$B$195, 2, 0), "Others"))</f>
        <v>L5 Crypt</v>
      </c>
    </row>
    <row r="1932" spans="1:6" x14ac:dyDescent="0.25">
      <c r="A1932" s="14">
        <v>46146.522916666669</v>
      </c>
      <c r="B1932" s="79" t="s">
        <v>149</v>
      </c>
      <c r="C1932" s="79" t="s">
        <v>185</v>
      </c>
      <c r="D1932" s="79" t="s">
        <v>246</v>
      </c>
      <c r="E1932" s="79" t="s">
        <v>52</v>
      </c>
      <c r="F1932" s="79" t="str">
        <f>IF(E1932="", "", IF(COUNTIF(ChestType!$A$5:$A$195, E1932)&gt;0, VLOOKUP(E1932, ChestType!$A$5:$B$195, 2, 0), "Others"))</f>
        <v>L5 Crypt</v>
      </c>
    </row>
    <row r="1933" spans="1:6" x14ac:dyDescent="0.25">
      <c r="A1933" s="14">
        <v>46146.522916666669</v>
      </c>
      <c r="B1933" s="79" t="s">
        <v>149</v>
      </c>
      <c r="C1933" s="79" t="s">
        <v>177</v>
      </c>
      <c r="D1933" s="79" t="s">
        <v>193</v>
      </c>
      <c r="E1933" s="79" t="s">
        <v>50</v>
      </c>
      <c r="F1933" s="79" t="str">
        <f>IF(E1933="", "", IF(COUNTIF(ChestType!$A$5:$A$195, E1933)&gt;0, VLOOKUP(E1933, ChestType!$A$5:$B$195, 2, 0), "Others"))</f>
        <v>L10 Crypt</v>
      </c>
    </row>
    <row r="1934" spans="1:6" x14ac:dyDescent="0.25">
      <c r="A1934" s="14">
        <v>46146.522916666669</v>
      </c>
      <c r="B1934" s="79" t="s">
        <v>149</v>
      </c>
      <c r="C1934" s="79" t="s">
        <v>158</v>
      </c>
      <c r="D1934" s="79" t="s">
        <v>268</v>
      </c>
      <c r="E1934" s="79" t="s">
        <v>50</v>
      </c>
      <c r="F1934" s="79" t="str">
        <f>IF(E1934="", "", IF(COUNTIF(ChestType!$A$5:$A$195, E1934)&gt;0, VLOOKUP(E1934, ChestType!$A$5:$B$195, 2, 0), "Others"))</f>
        <v>L10 Crypt</v>
      </c>
    </row>
    <row r="1935" spans="1:6" x14ac:dyDescent="0.25">
      <c r="A1935" s="14">
        <v>46146.522916666669</v>
      </c>
      <c r="B1935" s="79" t="s">
        <v>149</v>
      </c>
      <c r="C1935" s="79" t="s">
        <v>177</v>
      </c>
      <c r="D1935" s="79" t="s">
        <v>193</v>
      </c>
      <c r="E1935" s="79" t="s">
        <v>50</v>
      </c>
      <c r="F1935" s="79" t="str">
        <f>IF(E1935="", "", IF(COUNTIF(ChestType!$A$5:$A$195, E1935)&gt;0, VLOOKUP(E1935, ChestType!$A$5:$B$195, 2, 0), "Others"))</f>
        <v>L10 Crypt</v>
      </c>
    </row>
    <row r="1936" spans="1:6" x14ac:dyDescent="0.25">
      <c r="A1936" s="14">
        <v>46146.522916666669</v>
      </c>
      <c r="B1936" s="79" t="s">
        <v>149</v>
      </c>
      <c r="C1936" s="79" t="s">
        <v>182</v>
      </c>
      <c r="D1936" s="79" t="s">
        <v>193</v>
      </c>
      <c r="E1936" s="79" t="s">
        <v>50</v>
      </c>
      <c r="F1936" s="79" t="str">
        <f>IF(E1936="", "", IF(COUNTIF(ChestType!$A$5:$A$195, E1936)&gt;0, VLOOKUP(E1936, ChestType!$A$5:$B$195, 2, 0), "Others"))</f>
        <v>L10 Crypt</v>
      </c>
    </row>
    <row r="1937" spans="1:6" x14ac:dyDescent="0.25">
      <c r="A1937" s="14">
        <v>46146.522916666669</v>
      </c>
      <c r="B1937" s="79" t="s">
        <v>149</v>
      </c>
      <c r="C1937" s="79" t="s">
        <v>181</v>
      </c>
      <c r="D1937" s="79" t="s">
        <v>261</v>
      </c>
      <c r="E1937" s="79" t="s">
        <v>52</v>
      </c>
      <c r="F1937" s="79" t="str">
        <f>IF(E1937="", "", IF(COUNTIF(ChestType!$A$5:$A$195, E1937)&gt;0, VLOOKUP(E1937, ChestType!$A$5:$B$195, 2, 0), "Others"))</f>
        <v>L5 Crypt</v>
      </c>
    </row>
    <row r="1938" spans="1:6" x14ac:dyDescent="0.25">
      <c r="A1938" s="14">
        <v>46146.522916666669</v>
      </c>
      <c r="B1938" s="79" t="s">
        <v>149</v>
      </c>
      <c r="C1938" s="79" t="s">
        <v>190</v>
      </c>
      <c r="D1938" s="79" t="s">
        <v>261</v>
      </c>
      <c r="E1938" s="79" t="s">
        <v>50</v>
      </c>
      <c r="F1938" s="79" t="str">
        <f>IF(E1938="", "", IF(COUNTIF(ChestType!$A$5:$A$195, E1938)&gt;0, VLOOKUP(E1938, ChestType!$A$5:$B$195, 2, 0), "Others"))</f>
        <v>L10 Crypt</v>
      </c>
    </row>
    <row r="1939" spans="1:6" x14ac:dyDescent="0.25">
      <c r="A1939" s="14">
        <v>46146.522916666669</v>
      </c>
      <c r="B1939" s="79" t="s">
        <v>149</v>
      </c>
      <c r="C1939" s="79" t="s">
        <v>185</v>
      </c>
      <c r="D1939" s="79" t="s">
        <v>193</v>
      </c>
      <c r="E1939" s="79" t="s">
        <v>50</v>
      </c>
      <c r="F1939" s="79" t="str">
        <f>IF(E1939="", "", IF(COUNTIF(ChestType!$A$5:$A$195, E1939)&gt;0, VLOOKUP(E1939, ChestType!$A$5:$B$195, 2, 0), "Others"))</f>
        <v>L10 Crypt</v>
      </c>
    </row>
    <row r="1940" spans="1:6" x14ac:dyDescent="0.25">
      <c r="A1940" s="14">
        <v>46146.522916666669</v>
      </c>
      <c r="B1940" s="79" t="s">
        <v>149</v>
      </c>
      <c r="C1940" s="79" t="s">
        <v>183</v>
      </c>
      <c r="D1940" s="79" t="s">
        <v>193</v>
      </c>
      <c r="E1940" s="79" t="s">
        <v>50</v>
      </c>
      <c r="F1940" s="79" t="str">
        <f>IF(E1940="", "", IF(COUNTIF(ChestType!$A$5:$A$195, E1940)&gt;0, VLOOKUP(E1940, ChestType!$A$5:$B$195, 2, 0), "Others"))</f>
        <v>L10 Crypt</v>
      </c>
    </row>
    <row r="1941" spans="1:6" x14ac:dyDescent="0.25">
      <c r="A1941" s="14">
        <v>46146.522916666669</v>
      </c>
      <c r="B1941" s="79" t="s">
        <v>149</v>
      </c>
      <c r="C1941" s="79" t="s">
        <v>171</v>
      </c>
      <c r="D1941" s="79" t="s">
        <v>261</v>
      </c>
      <c r="E1941" s="79" t="s">
        <v>52</v>
      </c>
      <c r="F1941" s="79" t="str">
        <f>IF(E1941="", "", IF(COUNTIF(ChestType!$A$5:$A$195, E1941)&gt;0, VLOOKUP(E1941, ChestType!$A$5:$B$195, 2, 0), "Others"))</f>
        <v>L5 Crypt</v>
      </c>
    </row>
    <row r="1942" spans="1:6" x14ac:dyDescent="0.25">
      <c r="A1942" s="14">
        <v>46146.522916666669</v>
      </c>
      <c r="B1942" s="79" t="s">
        <v>149</v>
      </c>
      <c r="C1942" s="79" t="s">
        <v>192</v>
      </c>
      <c r="D1942" s="79" t="s">
        <v>261</v>
      </c>
      <c r="E1942" s="79" t="s">
        <v>60</v>
      </c>
      <c r="F1942" s="79" t="str">
        <f>IF(E1942="", "", IF(COUNTIF(ChestType!$A$5:$A$195, E1942)&gt;0, VLOOKUP(E1942, ChestType!$A$5:$B$195, 2, 0), "Others"))</f>
        <v>Others</v>
      </c>
    </row>
    <row r="1943" spans="1:6" x14ac:dyDescent="0.25">
      <c r="A1943" s="14">
        <v>46146.522916666669</v>
      </c>
      <c r="B1943" s="79" t="s">
        <v>149</v>
      </c>
      <c r="C1943" s="79" t="s">
        <v>181</v>
      </c>
      <c r="D1943" s="79" t="s">
        <v>193</v>
      </c>
      <c r="E1943" s="79" t="s">
        <v>50</v>
      </c>
      <c r="F1943" s="79" t="str">
        <f>IF(E1943="", "", IF(COUNTIF(ChestType!$A$5:$A$195, E1943)&gt;0, VLOOKUP(E1943, ChestType!$A$5:$B$195, 2, 0), "Others"))</f>
        <v>L10 Crypt</v>
      </c>
    </row>
    <row r="1944" spans="1:6" x14ac:dyDescent="0.25">
      <c r="A1944" s="14">
        <v>46146.522916666669</v>
      </c>
      <c r="B1944" s="79" t="s">
        <v>149</v>
      </c>
      <c r="C1944" s="79" t="s">
        <v>185</v>
      </c>
      <c r="D1944" s="79" t="s">
        <v>261</v>
      </c>
      <c r="E1944" s="79" t="s">
        <v>52</v>
      </c>
      <c r="F1944" s="79" t="str">
        <f>IF(E1944="", "", IF(COUNTIF(ChestType!$A$5:$A$195, E1944)&gt;0, VLOOKUP(E1944, ChestType!$A$5:$B$195, 2, 0), "Others"))</f>
        <v>L5 Crypt</v>
      </c>
    </row>
    <row r="1945" spans="1:6" x14ac:dyDescent="0.25">
      <c r="A1945" s="14">
        <v>46146.522916666669</v>
      </c>
      <c r="B1945" s="79" t="s">
        <v>149</v>
      </c>
      <c r="C1945" s="79" t="s">
        <v>183</v>
      </c>
      <c r="D1945" s="79" t="s">
        <v>266</v>
      </c>
      <c r="E1945" s="79" t="s">
        <v>52</v>
      </c>
      <c r="F1945" s="79" t="str">
        <f>IF(E1945="", "", IF(COUNTIF(ChestType!$A$5:$A$195, E1945)&gt;0, VLOOKUP(E1945, ChestType!$A$5:$B$195, 2, 0), "Others"))</f>
        <v>L5 Crypt</v>
      </c>
    </row>
    <row r="1946" spans="1:6" x14ac:dyDescent="0.25">
      <c r="A1946" s="14">
        <v>46146.522916666669</v>
      </c>
      <c r="B1946" s="79" t="s">
        <v>149</v>
      </c>
      <c r="C1946" s="79" t="s">
        <v>173</v>
      </c>
      <c r="D1946" s="79" t="s">
        <v>193</v>
      </c>
      <c r="E1946" s="79" t="s">
        <v>50</v>
      </c>
      <c r="F1946" s="79" t="str">
        <f>IF(E1946="", "", IF(COUNTIF(ChestType!$A$5:$A$195, E1946)&gt;0, VLOOKUP(E1946, ChestType!$A$5:$B$195, 2, 0), "Others"))</f>
        <v>L10 Crypt</v>
      </c>
    </row>
    <row r="1947" spans="1:6" x14ac:dyDescent="0.25">
      <c r="A1947" s="14">
        <v>46146.522916666669</v>
      </c>
      <c r="B1947" s="79" t="s">
        <v>149</v>
      </c>
      <c r="C1947" s="79" t="s">
        <v>183</v>
      </c>
      <c r="D1947" s="79" t="s">
        <v>261</v>
      </c>
      <c r="E1947" s="79" t="s">
        <v>52</v>
      </c>
      <c r="F1947" s="79" t="str">
        <f>IF(E1947="", "", IF(COUNTIF(ChestType!$A$5:$A$195, E1947)&gt;0, VLOOKUP(E1947, ChestType!$A$5:$B$195, 2, 0), "Others"))</f>
        <v>L5 Crypt</v>
      </c>
    </row>
    <row r="1948" spans="1:6" x14ac:dyDescent="0.25">
      <c r="A1948" s="14">
        <v>46146.522916666669</v>
      </c>
      <c r="B1948" s="79" t="s">
        <v>149</v>
      </c>
      <c r="C1948" s="79" t="s">
        <v>184</v>
      </c>
      <c r="D1948" s="79" t="s">
        <v>261</v>
      </c>
      <c r="E1948" s="79" t="s">
        <v>52</v>
      </c>
      <c r="F1948" s="79" t="str">
        <f>IF(E1948="", "", IF(COUNTIF(ChestType!$A$5:$A$195, E1948)&gt;0, VLOOKUP(E1948, ChestType!$A$5:$B$195, 2, 0), "Others"))</f>
        <v>L5 Crypt</v>
      </c>
    </row>
    <row r="1949" spans="1:6" x14ac:dyDescent="0.25">
      <c r="A1949" s="14">
        <v>46146.522916666669</v>
      </c>
      <c r="B1949" s="79" t="s">
        <v>149</v>
      </c>
      <c r="C1949" s="79" t="s">
        <v>185</v>
      </c>
      <c r="D1949" s="79" t="s">
        <v>193</v>
      </c>
      <c r="E1949" s="79" t="s">
        <v>50</v>
      </c>
      <c r="F1949" s="79" t="str">
        <f>IF(E1949="", "", IF(COUNTIF(ChestType!$A$5:$A$195, E1949)&gt;0, VLOOKUP(E1949, ChestType!$A$5:$B$195, 2, 0), "Others"))</f>
        <v>L10 Crypt</v>
      </c>
    </row>
    <row r="1950" spans="1:6" x14ac:dyDescent="0.25">
      <c r="A1950" s="14">
        <v>46146.522916666669</v>
      </c>
      <c r="B1950" s="79" t="s">
        <v>149</v>
      </c>
      <c r="C1950" s="79" t="s">
        <v>175</v>
      </c>
      <c r="D1950" s="79" t="s">
        <v>165</v>
      </c>
      <c r="E1950" s="79" t="s">
        <v>50</v>
      </c>
      <c r="F1950" s="79" t="str">
        <f>IF(E1950="", "", IF(COUNTIF(ChestType!$A$5:$A$195, E1950)&gt;0, VLOOKUP(E1950, ChestType!$A$5:$B$195, 2, 0), "Others"))</f>
        <v>L10 Crypt</v>
      </c>
    </row>
    <row r="1951" spans="1:6" x14ac:dyDescent="0.25">
      <c r="A1951" s="14">
        <v>46146.522916666669</v>
      </c>
      <c r="B1951" s="79" t="s">
        <v>149</v>
      </c>
      <c r="C1951" s="79" t="s">
        <v>175</v>
      </c>
      <c r="D1951" s="79" t="s">
        <v>193</v>
      </c>
      <c r="E1951" s="79" t="s">
        <v>50</v>
      </c>
      <c r="F1951" s="79" t="str">
        <f>IF(E1951="", "", IF(COUNTIF(ChestType!$A$5:$A$195, E1951)&gt;0, VLOOKUP(E1951, ChestType!$A$5:$B$195, 2, 0), "Others"))</f>
        <v>L10 Crypt</v>
      </c>
    </row>
    <row r="1952" spans="1:6" x14ac:dyDescent="0.25">
      <c r="A1952" s="14">
        <v>46146.522916666669</v>
      </c>
      <c r="B1952" s="79" t="s">
        <v>149</v>
      </c>
      <c r="C1952" s="79" t="s">
        <v>187</v>
      </c>
      <c r="D1952" s="79" t="s">
        <v>222</v>
      </c>
      <c r="E1952" s="79" t="s">
        <v>54</v>
      </c>
      <c r="F1952" s="79" t="str">
        <f>IF(E1952="", "", IF(COUNTIF(ChestType!$A$5:$A$195, E1952)&gt;0, VLOOKUP(E1952, ChestType!$A$5:$B$195, 2, 0), "Others"))</f>
        <v>L20 Rare Crypt</v>
      </c>
    </row>
    <row r="1953" spans="1:6" x14ac:dyDescent="0.25">
      <c r="A1953" s="14">
        <v>46146.522916666669</v>
      </c>
      <c r="B1953" s="79" t="s">
        <v>149</v>
      </c>
      <c r="C1953" s="79" t="s">
        <v>185</v>
      </c>
      <c r="D1953" s="79" t="s">
        <v>193</v>
      </c>
      <c r="E1953" s="79" t="s">
        <v>50</v>
      </c>
      <c r="F1953" s="79" t="str">
        <f>IF(E1953="", "", IF(COUNTIF(ChestType!$A$5:$A$195, E1953)&gt;0, VLOOKUP(E1953, ChestType!$A$5:$B$195, 2, 0), "Others"))</f>
        <v>L10 Crypt</v>
      </c>
    </row>
    <row r="1954" spans="1:6" x14ac:dyDescent="0.25">
      <c r="A1954" s="14">
        <v>46146.522916666669</v>
      </c>
      <c r="B1954" s="79" t="s">
        <v>149</v>
      </c>
      <c r="C1954" s="79" t="s">
        <v>176</v>
      </c>
      <c r="D1954" s="79" t="s">
        <v>166</v>
      </c>
      <c r="E1954" s="79" t="s">
        <v>70</v>
      </c>
      <c r="F1954" s="79" t="str">
        <f>IF(E1954="", "", IF(COUNTIF(ChestType!$A$5:$A$195, E1954)&gt;0, VLOOKUP(E1954, ChestType!$A$5:$B$195, 2, 0), "Others"))</f>
        <v>L10 Citadel</v>
      </c>
    </row>
    <row r="1955" spans="1:6" x14ac:dyDescent="0.25">
      <c r="A1955" s="14">
        <v>46146.522916666669</v>
      </c>
      <c r="B1955" s="79" t="s">
        <v>149</v>
      </c>
      <c r="C1955" s="79" t="s">
        <v>192</v>
      </c>
      <c r="D1955" s="79" t="s">
        <v>266</v>
      </c>
      <c r="E1955" s="79" t="s">
        <v>60</v>
      </c>
      <c r="F1955" s="79" t="str">
        <f>IF(E1955="", "", IF(COUNTIF(ChestType!$A$5:$A$195, E1955)&gt;0, VLOOKUP(E1955, ChestType!$A$5:$B$195, 2, 0), "Others"))</f>
        <v>Others</v>
      </c>
    </row>
    <row r="1956" spans="1:6" x14ac:dyDescent="0.25">
      <c r="A1956" s="14">
        <v>46146.522916666669</v>
      </c>
      <c r="B1956" s="79" t="s">
        <v>149</v>
      </c>
      <c r="C1956" s="79" t="s">
        <v>151</v>
      </c>
      <c r="D1956" s="79" t="s">
        <v>193</v>
      </c>
      <c r="E1956" s="79" t="s">
        <v>52</v>
      </c>
      <c r="F1956" s="79" t="str">
        <f>IF(E1956="", "", IF(COUNTIF(ChestType!$A$5:$A$195, E1956)&gt;0, VLOOKUP(E1956, ChestType!$A$5:$B$195, 2, 0), "Others"))</f>
        <v>L5 Crypt</v>
      </c>
    </row>
    <row r="1957" spans="1:6" x14ac:dyDescent="0.25">
      <c r="A1957" s="14">
        <v>46146.522916666669</v>
      </c>
      <c r="B1957" s="79" t="s">
        <v>149</v>
      </c>
      <c r="C1957" s="79" t="s">
        <v>187</v>
      </c>
      <c r="D1957" s="79" t="s">
        <v>222</v>
      </c>
      <c r="E1957" s="79" t="s">
        <v>54</v>
      </c>
      <c r="F1957" s="79" t="str">
        <f>IF(E1957="", "", IF(COUNTIF(ChestType!$A$5:$A$195, E1957)&gt;0, VLOOKUP(E1957, ChestType!$A$5:$B$195, 2, 0), "Others"))</f>
        <v>L20 Rare Crypt</v>
      </c>
    </row>
    <row r="1958" spans="1:6" x14ac:dyDescent="0.25">
      <c r="A1958" s="14">
        <v>46146.522916666669</v>
      </c>
      <c r="B1958" s="79" t="s">
        <v>149</v>
      </c>
      <c r="C1958" s="79" t="s">
        <v>175</v>
      </c>
      <c r="D1958" s="79" t="s">
        <v>165</v>
      </c>
      <c r="E1958" s="79" t="s">
        <v>50</v>
      </c>
      <c r="F1958" s="79" t="str">
        <f>IF(E1958="", "", IF(COUNTIF(ChestType!$A$5:$A$195, E1958)&gt;0, VLOOKUP(E1958, ChestType!$A$5:$B$195, 2, 0), "Others"))</f>
        <v>L10 Crypt</v>
      </c>
    </row>
    <row r="1959" spans="1:6" x14ac:dyDescent="0.25">
      <c r="A1959" s="14">
        <v>46146.522916666669</v>
      </c>
      <c r="B1959" s="79" t="s">
        <v>149</v>
      </c>
      <c r="C1959" s="79" t="s">
        <v>171</v>
      </c>
      <c r="D1959" s="79" t="s">
        <v>165</v>
      </c>
      <c r="E1959" s="79" t="s">
        <v>52</v>
      </c>
      <c r="F1959" s="79" t="str">
        <f>IF(E1959="", "", IF(COUNTIF(ChestType!$A$5:$A$195, E1959)&gt;0, VLOOKUP(E1959, ChestType!$A$5:$B$195, 2, 0), "Others"))</f>
        <v>L5 Crypt</v>
      </c>
    </row>
    <row r="1960" spans="1:6" x14ac:dyDescent="0.25">
      <c r="A1960" s="14">
        <v>46146.522916666669</v>
      </c>
      <c r="B1960" s="79" t="s">
        <v>149</v>
      </c>
      <c r="C1960" s="79" t="s">
        <v>203</v>
      </c>
      <c r="D1960" s="79" t="s">
        <v>193</v>
      </c>
      <c r="E1960" s="79" t="s">
        <v>72</v>
      </c>
      <c r="F1960" s="79" t="str">
        <f>IF(E1960="", "", IF(COUNTIF(ChestType!$A$5:$A$195, E1960)&gt;0, VLOOKUP(E1960, ChestType!$A$5:$B$195, 2, 0), "Others"))</f>
        <v>Others</v>
      </c>
    </row>
    <row r="1961" spans="1:6" x14ac:dyDescent="0.25">
      <c r="A1961" s="14">
        <v>46146.522916666669</v>
      </c>
      <c r="B1961" s="79" t="s">
        <v>149</v>
      </c>
      <c r="C1961" s="79" t="s">
        <v>203</v>
      </c>
      <c r="D1961" s="79" t="s">
        <v>193</v>
      </c>
      <c r="E1961" s="79" t="s">
        <v>72</v>
      </c>
      <c r="F1961" s="79" t="str">
        <f>IF(E1961="", "", IF(COUNTIF(ChestType!$A$5:$A$195, E1961)&gt;0, VLOOKUP(E1961, ChestType!$A$5:$B$195, 2, 0), "Others"))</f>
        <v>Others</v>
      </c>
    </row>
    <row r="1962" spans="1:6" x14ac:dyDescent="0.25">
      <c r="A1962" s="14">
        <v>46146.522916666669</v>
      </c>
      <c r="B1962" s="79" t="s">
        <v>149</v>
      </c>
      <c r="C1962" s="79" t="s">
        <v>203</v>
      </c>
      <c r="D1962" s="79" t="s">
        <v>193</v>
      </c>
      <c r="E1962" s="79" t="s">
        <v>72</v>
      </c>
      <c r="F1962" s="79" t="str">
        <f>IF(E1962="", "", IF(COUNTIF(ChestType!$A$5:$A$195, E1962)&gt;0, VLOOKUP(E1962, ChestType!$A$5:$B$195, 2, 0), "Others"))</f>
        <v>Others</v>
      </c>
    </row>
    <row r="1963" spans="1:6" x14ac:dyDescent="0.25">
      <c r="A1963" s="14">
        <v>46146.522916666669</v>
      </c>
      <c r="B1963" s="79" t="s">
        <v>149</v>
      </c>
      <c r="C1963" s="79" t="s">
        <v>175</v>
      </c>
      <c r="D1963" s="79" t="s">
        <v>231</v>
      </c>
      <c r="E1963" s="79" t="s">
        <v>50</v>
      </c>
      <c r="F1963" s="79" t="str">
        <f>IF(E1963="", "", IF(COUNTIF(ChestType!$A$5:$A$195, E1963)&gt;0, VLOOKUP(E1963, ChestType!$A$5:$B$195, 2, 0), "Others"))</f>
        <v>L10 Crypt</v>
      </c>
    </row>
    <row r="1964" spans="1:6" x14ac:dyDescent="0.25">
      <c r="A1964" s="14">
        <v>46146.522916666669</v>
      </c>
      <c r="B1964" s="79" t="s">
        <v>149</v>
      </c>
      <c r="C1964" s="79" t="s">
        <v>183</v>
      </c>
      <c r="D1964" s="79" t="s">
        <v>165</v>
      </c>
      <c r="E1964" s="79" t="s">
        <v>50</v>
      </c>
      <c r="F1964" s="79" t="str">
        <f>IF(E1964="", "", IF(COUNTIF(ChestType!$A$5:$A$195, E1964)&gt;0, VLOOKUP(E1964, ChestType!$A$5:$B$195, 2, 0), "Others"))</f>
        <v>L10 Crypt</v>
      </c>
    </row>
    <row r="1965" spans="1:6" x14ac:dyDescent="0.25">
      <c r="A1965" s="14">
        <v>46146.522916666669</v>
      </c>
      <c r="B1965" s="79" t="s">
        <v>149</v>
      </c>
      <c r="C1965" s="79" t="s">
        <v>185</v>
      </c>
      <c r="D1965" s="79" t="s">
        <v>165</v>
      </c>
      <c r="E1965" s="79" t="s">
        <v>50</v>
      </c>
      <c r="F1965" s="79" t="str">
        <f>IF(E1965="", "", IF(COUNTIF(ChestType!$A$5:$A$195, E1965)&gt;0, VLOOKUP(E1965, ChestType!$A$5:$B$195, 2, 0), "Others"))</f>
        <v>L10 Crypt</v>
      </c>
    </row>
    <row r="1966" spans="1:6" x14ac:dyDescent="0.25">
      <c r="A1966" s="14">
        <v>46146.522916666669</v>
      </c>
      <c r="B1966" s="79" t="s">
        <v>149</v>
      </c>
      <c r="C1966" s="79" t="s">
        <v>182</v>
      </c>
      <c r="D1966" s="79" t="s">
        <v>165</v>
      </c>
      <c r="E1966" s="79" t="s">
        <v>50</v>
      </c>
      <c r="F1966" s="79" t="str">
        <f>IF(E1966="", "", IF(COUNTIF(ChestType!$A$5:$A$195, E1966)&gt;0, VLOOKUP(E1966, ChestType!$A$5:$B$195, 2, 0), "Others"))</f>
        <v>L10 Crypt</v>
      </c>
    </row>
    <row r="1967" spans="1:6" x14ac:dyDescent="0.25">
      <c r="A1967" s="14">
        <v>46146.522916666669</v>
      </c>
      <c r="B1967" s="79" t="s">
        <v>149</v>
      </c>
      <c r="C1967" s="79" t="s">
        <v>184</v>
      </c>
      <c r="D1967" s="79" t="s">
        <v>193</v>
      </c>
      <c r="E1967" s="79" t="s">
        <v>52</v>
      </c>
      <c r="F1967" s="79" t="str">
        <f>IF(E1967="", "", IF(COUNTIF(ChestType!$A$5:$A$195, E1967)&gt;0, VLOOKUP(E1967, ChestType!$A$5:$B$195, 2, 0), "Others"))</f>
        <v>L5 Crypt</v>
      </c>
    </row>
    <row r="1968" spans="1:6" x14ac:dyDescent="0.25">
      <c r="A1968" s="14">
        <v>46146.522916666669</v>
      </c>
      <c r="B1968" s="79" t="s">
        <v>149</v>
      </c>
      <c r="C1968" s="79" t="s">
        <v>151</v>
      </c>
      <c r="D1968" s="79" t="s">
        <v>165</v>
      </c>
      <c r="E1968" s="79" t="s">
        <v>50</v>
      </c>
      <c r="F1968" s="79" t="str">
        <f>IF(E1968="", "", IF(COUNTIF(ChestType!$A$5:$A$195, E1968)&gt;0, VLOOKUP(E1968, ChestType!$A$5:$B$195, 2, 0), "Others"))</f>
        <v>L10 Crypt</v>
      </c>
    </row>
    <row r="1969" spans="1:6" x14ac:dyDescent="0.25">
      <c r="A1969" s="14">
        <v>46146.522916666669</v>
      </c>
      <c r="B1969" s="79" t="s">
        <v>149</v>
      </c>
      <c r="C1969" s="79" t="s">
        <v>175</v>
      </c>
      <c r="D1969" s="79" t="s">
        <v>165</v>
      </c>
      <c r="E1969" s="79" t="s">
        <v>52</v>
      </c>
      <c r="F1969" s="79" t="str">
        <f>IF(E1969="", "", IF(COUNTIF(ChestType!$A$5:$A$195, E1969)&gt;0, VLOOKUP(E1969, ChestType!$A$5:$B$195, 2, 0), "Others"))</f>
        <v>L5 Crypt</v>
      </c>
    </row>
    <row r="1970" spans="1:6" x14ac:dyDescent="0.25">
      <c r="A1970" s="14">
        <v>46146.522916666669</v>
      </c>
      <c r="B1970" s="79" t="s">
        <v>149</v>
      </c>
      <c r="C1970" s="79" t="s">
        <v>151</v>
      </c>
      <c r="D1970" s="79" t="s">
        <v>193</v>
      </c>
      <c r="E1970" s="79" t="s">
        <v>50</v>
      </c>
      <c r="F1970" s="79" t="str">
        <f>IF(E1970="", "", IF(COUNTIF(ChestType!$A$5:$A$195, E1970)&gt;0, VLOOKUP(E1970, ChestType!$A$5:$B$195, 2, 0), "Others"))</f>
        <v>L10 Crypt</v>
      </c>
    </row>
    <row r="1971" spans="1:6" x14ac:dyDescent="0.25">
      <c r="A1971" s="14">
        <v>46146.522916666669</v>
      </c>
      <c r="B1971" s="79" t="s">
        <v>149</v>
      </c>
      <c r="C1971" s="79" t="s">
        <v>182</v>
      </c>
      <c r="D1971" s="79" t="s">
        <v>193</v>
      </c>
      <c r="E1971" s="79" t="s">
        <v>52</v>
      </c>
      <c r="F1971" s="79" t="str">
        <f>IF(E1971="", "", IF(COUNTIF(ChestType!$A$5:$A$195, E1971)&gt;0, VLOOKUP(E1971, ChestType!$A$5:$B$195, 2, 0), "Others"))</f>
        <v>L5 Crypt</v>
      </c>
    </row>
    <row r="1972" spans="1:6" x14ac:dyDescent="0.25">
      <c r="A1972" s="14">
        <v>46146.522916666669</v>
      </c>
      <c r="B1972" s="79" t="s">
        <v>149</v>
      </c>
      <c r="C1972" s="79" t="s">
        <v>187</v>
      </c>
      <c r="D1972" s="79" t="s">
        <v>165</v>
      </c>
      <c r="E1972" s="79" t="s">
        <v>75</v>
      </c>
      <c r="F1972" s="79" t="str">
        <f>IF(E1972="", "", IF(COUNTIF(ChestType!$A$5:$A$195, E1972)&gt;0, VLOOKUP(E1972, ChestType!$A$5:$B$195, 2, 0), "Others"))</f>
        <v>L10 Rare Crypt</v>
      </c>
    </row>
    <row r="1973" spans="1:6" x14ac:dyDescent="0.25">
      <c r="A1973" s="14">
        <v>46146.522916666669</v>
      </c>
      <c r="B1973" s="79" t="s">
        <v>149</v>
      </c>
      <c r="C1973" s="79" t="s">
        <v>184</v>
      </c>
      <c r="D1973" s="79" t="s">
        <v>165</v>
      </c>
      <c r="E1973" s="79" t="s">
        <v>50</v>
      </c>
      <c r="F1973" s="79" t="str">
        <f>IF(E1973="", "", IF(COUNTIF(ChestType!$A$5:$A$195, E1973)&gt;0, VLOOKUP(E1973, ChestType!$A$5:$B$195, 2, 0), "Others"))</f>
        <v>L10 Crypt</v>
      </c>
    </row>
    <row r="1974" spans="1:6" x14ac:dyDescent="0.25">
      <c r="A1974" s="14">
        <v>46146.522916666669</v>
      </c>
      <c r="B1974" s="79" t="s">
        <v>149</v>
      </c>
      <c r="C1974" s="79" t="s">
        <v>173</v>
      </c>
      <c r="D1974" s="79" t="s">
        <v>165</v>
      </c>
      <c r="E1974" s="79" t="s">
        <v>50</v>
      </c>
      <c r="F1974" s="79" t="str">
        <f>IF(E1974="", "", IF(COUNTIF(ChestType!$A$5:$A$195, E1974)&gt;0, VLOOKUP(E1974, ChestType!$A$5:$B$195, 2, 0), "Others"))</f>
        <v>L10 Crypt</v>
      </c>
    </row>
    <row r="1975" spans="1:6" x14ac:dyDescent="0.25">
      <c r="A1975" s="14">
        <v>46146.522916666669</v>
      </c>
      <c r="B1975" s="79" t="s">
        <v>149</v>
      </c>
      <c r="C1975" s="79" t="s">
        <v>183</v>
      </c>
      <c r="D1975" s="79" t="s">
        <v>193</v>
      </c>
      <c r="E1975" s="79" t="s">
        <v>50</v>
      </c>
      <c r="F1975" s="79" t="str">
        <f>IF(E1975="", "", IF(COUNTIF(ChestType!$A$5:$A$195, E1975)&gt;0, VLOOKUP(E1975, ChestType!$A$5:$B$195, 2, 0), "Others"))</f>
        <v>L10 Crypt</v>
      </c>
    </row>
    <row r="1976" spans="1:6" x14ac:dyDescent="0.25">
      <c r="A1976" s="14">
        <v>46146.522916666669</v>
      </c>
      <c r="B1976" s="79" t="s">
        <v>149</v>
      </c>
      <c r="C1976" s="79" t="s">
        <v>190</v>
      </c>
      <c r="D1976" s="79" t="s">
        <v>193</v>
      </c>
      <c r="E1976" s="79" t="s">
        <v>50</v>
      </c>
      <c r="F1976" s="79" t="str">
        <f>IF(E1976="", "", IF(COUNTIF(ChestType!$A$5:$A$195, E1976)&gt;0, VLOOKUP(E1976, ChestType!$A$5:$B$195, 2, 0), "Others"))</f>
        <v>L10 Crypt</v>
      </c>
    </row>
    <row r="1977" spans="1:6" x14ac:dyDescent="0.25">
      <c r="A1977" s="14">
        <v>46146.522916666669</v>
      </c>
      <c r="B1977" s="79" t="s">
        <v>149</v>
      </c>
      <c r="C1977" s="79" t="s">
        <v>181</v>
      </c>
      <c r="D1977" s="79" t="s">
        <v>202</v>
      </c>
      <c r="E1977" s="79" t="s">
        <v>49</v>
      </c>
      <c r="F1977" s="79" t="str">
        <f>IF(E1977="", "", IF(COUNTIF(ChestType!$A$5:$A$195, E1977)&gt;0, VLOOKUP(E1977, ChestType!$A$5:$B$195, 2, 0), "Others"))</f>
        <v>L15 Crypt</v>
      </c>
    </row>
    <row r="1978" spans="1:6" x14ac:dyDescent="0.25">
      <c r="A1978" s="14">
        <v>46146.522916666669</v>
      </c>
      <c r="B1978" s="79" t="s">
        <v>149</v>
      </c>
      <c r="C1978" s="79" t="s">
        <v>171</v>
      </c>
      <c r="D1978" s="79" t="s">
        <v>165</v>
      </c>
      <c r="E1978" s="79" t="s">
        <v>52</v>
      </c>
      <c r="F1978" s="79" t="str">
        <f>IF(E1978="", "", IF(COUNTIF(ChestType!$A$5:$A$195, E1978)&gt;0, VLOOKUP(E1978, ChestType!$A$5:$B$195, 2, 0), "Others"))</f>
        <v>L5 Crypt</v>
      </c>
    </row>
    <row r="1979" spans="1:6" x14ac:dyDescent="0.25">
      <c r="A1979" s="14">
        <v>46146.522916666669</v>
      </c>
      <c r="B1979" s="79" t="s">
        <v>149</v>
      </c>
      <c r="C1979" s="79" t="s">
        <v>175</v>
      </c>
      <c r="D1979" s="79" t="s">
        <v>222</v>
      </c>
      <c r="E1979" s="79" t="s">
        <v>48</v>
      </c>
      <c r="F1979" s="79" t="str">
        <f>IF(E1979="", "", IF(COUNTIF(ChestType!$A$5:$A$195, E1979)&gt;0, VLOOKUP(E1979, ChestType!$A$5:$B$195, 2, 0), "Others"))</f>
        <v>L20 Crypt</v>
      </c>
    </row>
    <row r="1980" spans="1:6" x14ac:dyDescent="0.25">
      <c r="A1980" s="14">
        <v>46146.522916666669</v>
      </c>
      <c r="B1980" s="79" t="s">
        <v>149</v>
      </c>
      <c r="C1980" s="79" t="s">
        <v>151</v>
      </c>
      <c r="D1980" s="79" t="s">
        <v>261</v>
      </c>
      <c r="E1980" s="79" t="s">
        <v>50</v>
      </c>
      <c r="F1980" s="79" t="str">
        <f>IF(E1980="", "", IF(COUNTIF(ChestType!$A$5:$A$195, E1980)&gt;0, VLOOKUP(E1980, ChestType!$A$5:$B$195, 2, 0), "Others"))</f>
        <v>L10 Crypt</v>
      </c>
    </row>
    <row r="1981" spans="1:6" x14ac:dyDescent="0.25">
      <c r="A1981" s="14">
        <v>46146.522916666669</v>
      </c>
      <c r="B1981" s="79" t="s">
        <v>149</v>
      </c>
      <c r="C1981" s="79" t="s">
        <v>175</v>
      </c>
      <c r="D1981" s="79" t="s">
        <v>165</v>
      </c>
      <c r="E1981" s="79" t="s">
        <v>50</v>
      </c>
      <c r="F1981" s="79" t="str">
        <f>IF(E1981="", "", IF(COUNTIF(ChestType!$A$5:$A$195, E1981)&gt;0, VLOOKUP(E1981, ChestType!$A$5:$B$195, 2, 0), "Others"))</f>
        <v>L10 Crypt</v>
      </c>
    </row>
    <row r="1982" spans="1:6" x14ac:dyDescent="0.25">
      <c r="A1982" s="14">
        <v>46146.522916666669</v>
      </c>
      <c r="B1982" s="79" t="s">
        <v>149</v>
      </c>
      <c r="C1982" s="79" t="s">
        <v>173</v>
      </c>
      <c r="D1982" s="79" t="s">
        <v>165</v>
      </c>
      <c r="E1982" s="79" t="s">
        <v>50</v>
      </c>
      <c r="F1982" s="79" t="str">
        <f>IF(E1982="", "", IF(COUNTIF(ChestType!$A$5:$A$195, E1982)&gt;0, VLOOKUP(E1982, ChestType!$A$5:$B$195, 2, 0), "Others"))</f>
        <v>L10 Crypt</v>
      </c>
    </row>
    <row r="1983" spans="1:6" x14ac:dyDescent="0.25">
      <c r="A1983" s="14">
        <v>46146.522916666669</v>
      </c>
      <c r="B1983" s="79" t="s">
        <v>149</v>
      </c>
      <c r="C1983" s="79" t="s">
        <v>184</v>
      </c>
      <c r="D1983" s="79" t="s">
        <v>261</v>
      </c>
      <c r="E1983" s="79" t="s">
        <v>52</v>
      </c>
      <c r="F1983" s="79" t="str">
        <f>IF(E1983="", "", IF(COUNTIF(ChestType!$A$5:$A$195, E1983)&gt;0, VLOOKUP(E1983, ChestType!$A$5:$B$195, 2, 0), "Others"))</f>
        <v>L5 Crypt</v>
      </c>
    </row>
    <row r="1984" spans="1:6" x14ac:dyDescent="0.25">
      <c r="A1984" s="14">
        <v>46146.522916666669</v>
      </c>
      <c r="B1984" s="79" t="s">
        <v>149</v>
      </c>
      <c r="C1984" s="79" t="s">
        <v>177</v>
      </c>
      <c r="D1984" s="79" t="s">
        <v>165</v>
      </c>
      <c r="E1984" s="79" t="s">
        <v>50</v>
      </c>
      <c r="F1984" s="79" t="str">
        <f>IF(E1984="", "", IF(COUNTIF(ChestType!$A$5:$A$195, E1984)&gt;0, VLOOKUP(E1984, ChestType!$A$5:$B$195, 2, 0), "Others"))</f>
        <v>L10 Crypt</v>
      </c>
    </row>
    <row r="1985" spans="1:6" x14ac:dyDescent="0.25">
      <c r="A1985" s="14">
        <v>46146.522916666669</v>
      </c>
      <c r="B1985" s="79" t="s">
        <v>149</v>
      </c>
      <c r="C1985" s="79" t="s">
        <v>217</v>
      </c>
      <c r="D1985" s="79" t="s">
        <v>162</v>
      </c>
      <c r="E1985" s="79" t="s">
        <v>65</v>
      </c>
      <c r="F1985" s="79" t="str">
        <f>IF(E1985="", "", IF(COUNTIF(ChestType!$A$5:$A$195, E1985)&gt;0, VLOOKUP(E1985, ChestType!$A$5:$B$195, 2, 0), "Others"))</f>
        <v>L20 Epic Crypt</v>
      </c>
    </row>
    <row r="1986" spans="1:6" x14ac:dyDescent="0.25">
      <c r="A1986" s="14">
        <v>46146.522916666669</v>
      </c>
      <c r="B1986" s="79" t="s">
        <v>149</v>
      </c>
      <c r="C1986" s="79" t="s">
        <v>187</v>
      </c>
      <c r="D1986" s="79" t="s">
        <v>165</v>
      </c>
      <c r="E1986" s="79" t="s">
        <v>75</v>
      </c>
      <c r="F1986" s="79" t="str">
        <f>IF(E1986="", "", IF(COUNTIF(ChestType!$A$5:$A$195, E1986)&gt;0, VLOOKUP(E1986, ChestType!$A$5:$B$195, 2, 0), "Others"))</f>
        <v>L10 Rare Crypt</v>
      </c>
    </row>
    <row r="1987" spans="1:6" x14ac:dyDescent="0.25">
      <c r="A1987" s="14">
        <v>46146.522916666669</v>
      </c>
      <c r="B1987" s="79" t="s">
        <v>149</v>
      </c>
      <c r="C1987" s="79" t="s">
        <v>217</v>
      </c>
      <c r="D1987" s="79" t="s">
        <v>162</v>
      </c>
      <c r="E1987" s="79" t="s">
        <v>64</v>
      </c>
      <c r="F1987" s="79" t="str">
        <f>IF(E1987="", "", IF(COUNTIF(ChestType!$A$5:$A$195, E1987)&gt;0, VLOOKUP(E1987, ChestType!$A$5:$B$195, 2, 0), "Others"))</f>
        <v>L15 Epic Crypt</v>
      </c>
    </row>
    <row r="1988" spans="1:6" x14ac:dyDescent="0.25">
      <c r="A1988" s="14">
        <v>46146.522916666669</v>
      </c>
      <c r="B1988" s="79" t="s">
        <v>149</v>
      </c>
      <c r="C1988" s="79" t="s">
        <v>176</v>
      </c>
      <c r="D1988" s="79" t="s">
        <v>167</v>
      </c>
      <c r="E1988" s="79" t="s">
        <v>70</v>
      </c>
      <c r="F1988" s="79" t="str">
        <f>IF(E1988="", "", IF(COUNTIF(ChestType!$A$5:$A$195, E1988)&gt;0, VLOOKUP(E1988, ChestType!$A$5:$B$195, 2, 0), "Others"))</f>
        <v>L10 Citadel</v>
      </c>
    </row>
    <row r="1989" spans="1:6" x14ac:dyDescent="0.25">
      <c r="A1989" s="14">
        <v>46146.522916666669</v>
      </c>
      <c r="B1989" s="79" t="s">
        <v>149</v>
      </c>
      <c r="C1989" s="79" t="s">
        <v>187</v>
      </c>
      <c r="D1989" s="79" t="s">
        <v>165</v>
      </c>
      <c r="E1989" s="79" t="s">
        <v>75</v>
      </c>
      <c r="F1989" s="79" t="str">
        <f>IF(E1989="", "", IF(COUNTIF(ChestType!$A$5:$A$195, E1989)&gt;0, VLOOKUP(E1989, ChestType!$A$5:$B$195, 2, 0), "Others"))</f>
        <v>L10 Rare Crypt</v>
      </c>
    </row>
    <row r="1990" spans="1:6" x14ac:dyDescent="0.25">
      <c r="A1990" s="14">
        <v>46146.522916666669</v>
      </c>
      <c r="B1990" s="79" t="s">
        <v>149</v>
      </c>
      <c r="C1990" s="79" t="s">
        <v>183</v>
      </c>
      <c r="D1990" s="79" t="s">
        <v>261</v>
      </c>
      <c r="E1990" s="79" t="s">
        <v>52</v>
      </c>
      <c r="F1990" s="79" t="str">
        <f>IF(E1990="", "", IF(COUNTIF(ChestType!$A$5:$A$195, E1990)&gt;0, VLOOKUP(E1990, ChestType!$A$5:$B$195, 2, 0), "Others"))</f>
        <v>L5 Crypt</v>
      </c>
    </row>
    <row r="1991" spans="1:6" x14ac:dyDescent="0.25">
      <c r="A1991" s="14">
        <v>46146.522916666669</v>
      </c>
      <c r="B1991" s="79" t="s">
        <v>149</v>
      </c>
      <c r="C1991" s="79" t="s">
        <v>190</v>
      </c>
      <c r="D1991" s="79" t="s">
        <v>165</v>
      </c>
      <c r="E1991" s="79" t="s">
        <v>50</v>
      </c>
      <c r="F1991" s="79" t="str">
        <f>IF(E1991="", "", IF(COUNTIF(ChestType!$A$5:$A$195, E1991)&gt;0, VLOOKUP(E1991, ChestType!$A$5:$B$195, 2, 0), "Others"))</f>
        <v>L10 Crypt</v>
      </c>
    </row>
    <row r="1992" spans="1:6" x14ac:dyDescent="0.25">
      <c r="A1992" s="14">
        <v>46146.522916666669</v>
      </c>
      <c r="B1992" s="79" t="s">
        <v>149</v>
      </c>
      <c r="C1992" s="79" t="s">
        <v>176</v>
      </c>
      <c r="D1992" s="79" t="s">
        <v>167</v>
      </c>
      <c r="E1992" s="79" t="s">
        <v>70</v>
      </c>
      <c r="F1992" s="79" t="str">
        <f>IF(E1992="", "", IF(COUNTIF(ChestType!$A$5:$A$195, E1992)&gt;0, VLOOKUP(E1992, ChestType!$A$5:$B$195, 2, 0), "Others"))</f>
        <v>L10 Citadel</v>
      </c>
    </row>
    <row r="1993" spans="1:6" x14ac:dyDescent="0.25">
      <c r="A1993" s="14">
        <v>46146.522916666669</v>
      </c>
      <c r="B1993" s="79" t="s">
        <v>149</v>
      </c>
      <c r="C1993" s="79" t="s">
        <v>187</v>
      </c>
      <c r="D1993" s="79" t="s">
        <v>167</v>
      </c>
      <c r="E1993" s="79" t="s">
        <v>75</v>
      </c>
      <c r="F1993" s="79" t="str">
        <f>IF(E1993="", "", IF(COUNTIF(ChestType!$A$5:$A$195, E1993)&gt;0, VLOOKUP(E1993, ChestType!$A$5:$B$195, 2, 0), "Others"))</f>
        <v>L10 Rare Crypt</v>
      </c>
    </row>
    <row r="1994" spans="1:6" x14ac:dyDescent="0.25">
      <c r="A1994" s="14">
        <v>46146.522916666669</v>
      </c>
      <c r="B1994" s="79" t="s">
        <v>149</v>
      </c>
      <c r="C1994" s="79" t="s">
        <v>171</v>
      </c>
      <c r="D1994" s="79" t="s">
        <v>164</v>
      </c>
      <c r="E1994" s="79" t="s">
        <v>49</v>
      </c>
      <c r="F1994" s="79" t="str">
        <f>IF(E1994="", "", IF(COUNTIF(ChestType!$A$5:$A$195, E1994)&gt;0, VLOOKUP(E1994, ChestType!$A$5:$B$195, 2, 0), "Others"))</f>
        <v>L15 Crypt</v>
      </c>
    </row>
    <row r="1995" spans="1:6" x14ac:dyDescent="0.25">
      <c r="A1995" s="14">
        <v>46146.522916666669</v>
      </c>
      <c r="B1995" s="79" t="s">
        <v>149</v>
      </c>
      <c r="C1995" s="79" t="s">
        <v>187</v>
      </c>
      <c r="D1995" s="79" t="s">
        <v>167</v>
      </c>
      <c r="E1995" s="79" t="s">
        <v>75</v>
      </c>
      <c r="F1995" s="79" t="str">
        <f>IF(E1995="", "", IF(COUNTIF(ChestType!$A$5:$A$195, E1995)&gt;0, VLOOKUP(E1995, ChestType!$A$5:$B$195, 2, 0), "Others"))</f>
        <v>L10 Rare Crypt</v>
      </c>
    </row>
    <row r="1996" spans="1:6" x14ac:dyDescent="0.25">
      <c r="A1996" s="14">
        <v>46146.522916666669</v>
      </c>
      <c r="B1996" s="79" t="s">
        <v>149</v>
      </c>
      <c r="C1996" s="79" t="s">
        <v>181</v>
      </c>
      <c r="D1996" s="79" t="s">
        <v>164</v>
      </c>
      <c r="E1996" s="79" t="s">
        <v>52</v>
      </c>
      <c r="F1996" s="79" t="str">
        <f>IF(E1996="", "", IF(COUNTIF(ChestType!$A$5:$A$195, E1996)&gt;0, VLOOKUP(E1996, ChestType!$A$5:$B$195, 2, 0), "Others"))</f>
        <v>L5 Crypt</v>
      </c>
    </row>
    <row r="1997" spans="1:6" x14ac:dyDescent="0.25">
      <c r="A1997" s="14">
        <v>46146.522916666669</v>
      </c>
      <c r="B1997" s="79" t="s">
        <v>149</v>
      </c>
      <c r="C1997" s="79" t="s">
        <v>176</v>
      </c>
      <c r="D1997" s="79" t="s">
        <v>167</v>
      </c>
      <c r="E1997" s="79" t="s">
        <v>70</v>
      </c>
      <c r="F1997" s="79" t="str">
        <f>IF(E1997="", "", IF(COUNTIF(ChestType!$A$5:$A$195, E1997)&gt;0, VLOOKUP(E1997, ChestType!$A$5:$B$195, 2, 0), "Others"))</f>
        <v>L10 Citadel</v>
      </c>
    </row>
    <row r="1998" spans="1:6" x14ac:dyDescent="0.25">
      <c r="A1998" s="14">
        <v>46146.522916666669</v>
      </c>
      <c r="B1998" s="79" t="s">
        <v>149</v>
      </c>
      <c r="C1998" s="79" t="s">
        <v>171</v>
      </c>
      <c r="D1998" s="79" t="s">
        <v>164</v>
      </c>
      <c r="E1998" s="79" t="s">
        <v>50</v>
      </c>
      <c r="F1998" s="79" t="str">
        <f>IF(E1998="", "", IF(COUNTIF(ChestType!$A$5:$A$195, E1998)&gt;0, VLOOKUP(E1998, ChestType!$A$5:$B$195, 2, 0), "Others"))</f>
        <v>L10 Crypt</v>
      </c>
    </row>
    <row r="1999" spans="1:6" x14ac:dyDescent="0.25">
      <c r="A1999" s="14">
        <v>46146.522916666669</v>
      </c>
      <c r="B1999" s="79" t="s">
        <v>149</v>
      </c>
      <c r="C1999" s="79" t="s">
        <v>187</v>
      </c>
      <c r="D1999" s="79" t="s">
        <v>167</v>
      </c>
      <c r="E1999" s="79" t="s">
        <v>75</v>
      </c>
      <c r="F1999" s="79" t="str">
        <f>IF(E1999="", "", IF(COUNTIF(ChestType!$A$5:$A$195, E1999)&gt;0, VLOOKUP(E1999, ChestType!$A$5:$B$195, 2, 0), "Others"))</f>
        <v>L10 Rare Crypt</v>
      </c>
    </row>
    <row r="2000" spans="1:6" x14ac:dyDescent="0.25">
      <c r="A2000" s="14">
        <v>46146.522916666669</v>
      </c>
      <c r="B2000" s="79" t="s">
        <v>149</v>
      </c>
      <c r="C2000" s="79" t="s">
        <v>177</v>
      </c>
      <c r="D2000" s="79" t="s">
        <v>261</v>
      </c>
      <c r="E2000" s="79" t="s">
        <v>52</v>
      </c>
      <c r="F2000" s="79" t="str">
        <f>IF(E2000="", "", IF(COUNTIF(ChestType!$A$5:$A$195, E2000)&gt;0, VLOOKUP(E2000, ChestType!$A$5:$B$195, 2, 0), "Others"))</f>
        <v>L5 Crypt</v>
      </c>
    </row>
    <row r="2001" spans="1:6" x14ac:dyDescent="0.25">
      <c r="A2001" s="14">
        <v>46146.522916666669</v>
      </c>
      <c r="B2001" s="79" t="s">
        <v>149</v>
      </c>
      <c r="C2001" s="79" t="s">
        <v>158</v>
      </c>
      <c r="D2001" s="79" t="s">
        <v>167</v>
      </c>
      <c r="E2001" s="79" t="s">
        <v>50</v>
      </c>
      <c r="F2001" s="79" t="str">
        <f>IF(E2001="", "", IF(COUNTIF(ChestType!$A$5:$A$195, E2001)&gt;0, VLOOKUP(E2001, ChestType!$A$5:$B$195, 2, 0), "Others"))</f>
        <v>L10 Crypt</v>
      </c>
    </row>
    <row r="2002" spans="1:6" x14ac:dyDescent="0.25">
      <c r="A2002" s="14">
        <v>46146.522916666669</v>
      </c>
      <c r="B2002" s="79" t="s">
        <v>149</v>
      </c>
      <c r="C2002" s="79" t="s">
        <v>181</v>
      </c>
      <c r="D2002" s="79" t="s">
        <v>164</v>
      </c>
      <c r="E2002" s="79" t="s">
        <v>50</v>
      </c>
      <c r="F2002" s="79" t="str">
        <f>IF(E2002="", "", IF(COUNTIF(ChestType!$A$5:$A$195, E2002)&gt;0, VLOOKUP(E2002, ChestType!$A$5:$B$195, 2, 0), "Others"))</f>
        <v>L10 Crypt</v>
      </c>
    </row>
    <row r="2003" spans="1:6" x14ac:dyDescent="0.25">
      <c r="A2003" s="14">
        <v>46146.522916666669</v>
      </c>
      <c r="B2003" s="79" t="s">
        <v>149</v>
      </c>
      <c r="C2003" s="79" t="s">
        <v>176</v>
      </c>
      <c r="D2003" s="79" t="s">
        <v>167</v>
      </c>
      <c r="E2003" s="79" t="s">
        <v>70</v>
      </c>
      <c r="F2003" s="79" t="str">
        <f>IF(E2003="", "", IF(COUNTIF(ChestType!$A$5:$A$195, E2003)&gt;0, VLOOKUP(E2003, ChestType!$A$5:$B$195, 2, 0), "Others"))</f>
        <v>L10 Citadel</v>
      </c>
    </row>
    <row r="2004" spans="1:6" x14ac:dyDescent="0.25">
      <c r="A2004" s="14">
        <v>46146.522916666669</v>
      </c>
      <c r="B2004" s="79" t="s">
        <v>149</v>
      </c>
      <c r="C2004" s="79" t="s">
        <v>176</v>
      </c>
      <c r="D2004" s="79" t="s">
        <v>261</v>
      </c>
      <c r="E2004" s="79" t="s">
        <v>70</v>
      </c>
      <c r="F2004" s="79" t="str">
        <f>IF(E2004="", "", IF(COUNTIF(ChestType!$A$5:$A$195, E2004)&gt;0, VLOOKUP(E2004, ChestType!$A$5:$B$195, 2, 0), "Others"))</f>
        <v>L10 Citadel</v>
      </c>
    </row>
    <row r="2005" spans="1:6" x14ac:dyDescent="0.25">
      <c r="A2005" s="14">
        <v>46146.522916666669</v>
      </c>
      <c r="B2005" s="79" t="s">
        <v>149</v>
      </c>
      <c r="C2005" s="79" t="s">
        <v>173</v>
      </c>
      <c r="D2005" s="79" t="s">
        <v>156</v>
      </c>
      <c r="E2005" s="79" t="s">
        <v>49</v>
      </c>
      <c r="F2005" s="79" t="str">
        <f>IF(E2005="", "", IF(COUNTIF(ChestType!$A$5:$A$195, E2005)&gt;0, VLOOKUP(E2005, ChestType!$A$5:$B$195, 2, 0), "Others"))</f>
        <v>L15 Crypt</v>
      </c>
    </row>
    <row r="2006" spans="1:6" x14ac:dyDescent="0.25">
      <c r="A2006" s="14">
        <v>46146.522916666669</v>
      </c>
      <c r="B2006" s="79" t="s">
        <v>149</v>
      </c>
      <c r="C2006" s="79" t="s">
        <v>185</v>
      </c>
      <c r="D2006" s="79" t="s">
        <v>164</v>
      </c>
      <c r="E2006" s="79" t="s">
        <v>49</v>
      </c>
      <c r="F2006" s="79" t="str">
        <f>IF(E2006="", "", IF(COUNTIF(ChestType!$A$5:$A$195, E2006)&gt;0, VLOOKUP(E2006, ChestType!$A$5:$B$195, 2, 0), "Others"))</f>
        <v>L15 Crypt</v>
      </c>
    </row>
    <row r="2007" spans="1:6" x14ac:dyDescent="0.25">
      <c r="A2007" s="14">
        <v>46146.522916666669</v>
      </c>
      <c r="B2007" s="79" t="s">
        <v>149</v>
      </c>
      <c r="C2007" s="79" t="s">
        <v>218</v>
      </c>
      <c r="D2007" s="79" t="s">
        <v>156</v>
      </c>
      <c r="E2007" s="79" t="s">
        <v>64</v>
      </c>
      <c r="F2007" s="79" t="str">
        <f>IF(E2007="", "", IF(COUNTIF(ChestType!$A$5:$A$195, E2007)&gt;0, VLOOKUP(E2007, ChestType!$A$5:$B$195, 2, 0), "Others"))</f>
        <v>L15 Epic Crypt</v>
      </c>
    </row>
    <row r="2008" spans="1:6" x14ac:dyDescent="0.25">
      <c r="A2008" s="14">
        <v>46146.522916666669</v>
      </c>
      <c r="B2008" s="79" t="s">
        <v>149</v>
      </c>
      <c r="C2008" s="79" t="s">
        <v>187</v>
      </c>
      <c r="D2008" s="79" t="s">
        <v>167</v>
      </c>
      <c r="E2008" s="79" t="s">
        <v>75</v>
      </c>
      <c r="F2008" s="79" t="str">
        <f>IF(E2008="", "", IF(COUNTIF(ChestType!$A$5:$A$195, E2008)&gt;0, VLOOKUP(E2008, ChestType!$A$5:$B$195, 2, 0), "Others"))</f>
        <v>L10 Rare Crypt</v>
      </c>
    </row>
    <row r="2009" spans="1:6" x14ac:dyDescent="0.25">
      <c r="A2009" s="14">
        <v>46146.522916666669</v>
      </c>
      <c r="B2009" s="79" t="s">
        <v>149</v>
      </c>
      <c r="C2009" s="79" t="s">
        <v>185</v>
      </c>
      <c r="D2009" s="79" t="s">
        <v>261</v>
      </c>
      <c r="E2009" s="79" t="s">
        <v>50</v>
      </c>
      <c r="F2009" s="79" t="str">
        <f>IF(E2009="", "", IF(COUNTIF(ChestType!$A$5:$A$195, E2009)&gt;0, VLOOKUP(E2009, ChestType!$A$5:$B$195, 2, 0), "Others"))</f>
        <v>L10 Crypt</v>
      </c>
    </row>
    <row r="2010" spans="1:6" x14ac:dyDescent="0.25">
      <c r="A2010" s="14">
        <v>46146.522916666669</v>
      </c>
      <c r="B2010" s="79" t="s">
        <v>149</v>
      </c>
      <c r="C2010" s="79" t="s">
        <v>218</v>
      </c>
      <c r="D2010" s="79" t="s">
        <v>156</v>
      </c>
      <c r="E2010" s="79" t="s">
        <v>64</v>
      </c>
      <c r="F2010" s="79" t="str">
        <f>IF(E2010="", "", IF(COUNTIF(ChestType!$A$5:$A$195, E2010)&gt;0, VLOOKUP(E2010, ChestType!$A$5:$B$195, 2, 0), "Others"))</f>
        <v>L15 Epic Crypt</v>
      </c>
    </row>
    <row r="2011" spans="1:6" x14ac:dyDescent="0.25">
      <c r="A2011" s="14">
        <v>46146.522916666669</v>
      </c>
      <c r="B2011" s="79" t="s">
        <v>149</v>
      </c>
      <c r="C2011" s="79" t="s">
        <v>177</v>
      </c>
      <c r="D2011" s="79" t="s">
        <v>164</v>
      </c>
      <c r="E2011" s="79" t="s">
        <v>52</v>
      </c>
      <c r="F2011" s="79" t="str">
        <f>IF(E2011="", "", IF(COUNTIF(ChestType!$A$5:$A$195, E2011)&gt;0, VLOOKUP(E2011, ChestType!$A$5:$B$195, 2, 0), "Others"))</f>
        <v>L5 Crypt</v>
      </c>
    </row>
    <row r="2012" spans="1:6" x14ac:dyDescent="0.25">
      <c r="A2012" s="14">
        <v>46146.522916666669</v>
      </c>
      <c r="B2012" s="79" t="s">
        <v>149</v>
      </c>
      <c r="C2012" s="79" t="s">
        <v>181</v>
      </c>
      <c r="D2012" s="79" t="s">
        <v>261</v>
      </c>
      <c r="E2012" s="79" t="s">
        <v>50</v>
      </c>
      <c r="F2012" s="79" t="str">
        <f>IF(E2012="", "", IF(COUNTIF(ChestType!$A$5:$A$195, E2012)&gt;0, VLOOKUP(E2012, ChestType!$A$5:$B$195, 2, 0), "Others"))</f>
        <v>L10 Crypt</v>
      </c>
    </row>
    <row r="2013" spans="1:6" x14ac:dyDescent="0.25">
      <c r="A2013" s="14">
        <v>46146.522916666669</v>
      </c>
      <c r="B2013" s="79" t="s">
        <v>149</v>
      </c>
      <c r="C2013" s="79" t="s">
        <v>218</v>
      </c>
      <c r="D2013" s="79" t="s">
        <v>156</v>
      </c>
      <c r="E2013" s="79" t="s">
        <v>64</v>
      </c>
      <c r="F2013" s="79" t="str">
        <f>IF(E2013="", "", IF(COUNTIF(ChestType!$A$5:$A$195, E2013)&gt;0, VLOOKUP(E2013, ChestType!$A$5:$B$195, 2, 0), "Others"))</f>
        <v>L15 Epic Crypt</v>
      </c>
    </row>
    <row r="2014" spans="1:6" x14ac:dyDescent="0.25">
      <c r="A2014" s="14">
        <v>46146.522916666669</v>
      </c>
      <c r="B2014" s="79" t="s">
        <v>149</v>
      </c>
      <c r="C2014" s="79" t="s">
        <v>187</v>
      </c>
      <c r="D2014" s="79" t="s">
        <v>261</v>
      </c>
      <c r="E2014" s="79" t="s">
        <v>75</v>
      </c>
      <c r="F2014" s="79" t="str">
        <f>IF(E2014="", "", IF(COUNTIF(ChestType!$A$5:$A$195, E2014)&gt;0, VLOOKUP(E2014, ChestType!$A$5:$B$195, 2, 0), "Others"))</f>
        <v>L10 Rare Crypt</v>
      </c>
    </row>
    <row r="2015" spans="1:6" x14ac:dyDescent="0.25">
      <c r="A2015" s="14">
        <v>46146.522916666669</v>
      </c>
      <c r="B2015" s="79" t="s">
        <v>149</v>
      </c>
      <c r="C2015" s="79" t="s">
        <v>187</v>
      </c>
      <c r="D2015" s="79" t="s">
        <v>164</v>
      </c>
      <c r="E2015" s="79" t="s">
        <v>75</v>
      </c>
      <c r="F2015" s="79" t="str">
        <f>IF(E2015="", "", IF(COUNTIF(ChestType!$A$5:$A$195, E2015)&gt;0, VLOOKUP(E2015, ChestType!$A$5:$B$195, 2, 0), "Others"))</f>
        <v>L10 Rare Crypt</v>
      </c>
    </row>
    <row r="2016" spans="1:6" x14ac:dyDescent="0.25">
      <c r="A2016" s="14">
        <v>46146.522916666669</v>
      </c>
      <c r="B2016" s="79" t="s">
        <v>149</v>
      </c>
      <c r="C2016" s="79" t="s">
        <v>187</v>
      </c>
      <c r="D2016" s="79" t="s">
        <v>164</v>
      </c>
      <c r="E2016" s="79" t="s">
        <v>75</v>
      </c>
      <c r="F2016" s="79" t="str">
        <f>IF(E2016="", "", IF(COUNTIF(ChestType!$A$5:$A$195, E2016)&gt;0, VLOOKUP(E2016, ChestType!$A$5:$B$195, 2, 0), "Others"))</f>
        <v>L10 Rare Crypt</v>
      </c>
    </row>
    <row r="2017" spans="1:6" x14ac:dyDescent="0.25">
      <c r="A2017" s="14">
        <v>46146.522916666669</v>
      </c>
      <c r="B2017" s="79" t="s">
        <v>149</v>
      </c>
      <c r="C2017" s="79" t="s">
        <v>218</v>
      </c>
      <c r="D2017" s="79" t="s">
        <v>156</v>
      </c>
      <c r="E2017" s="79" t="s">
        <v>64</v>
      </c>
      <c r="F2017" s="79" t="str">
        <f>IF(E2017="", "", IF(COUNTIF(ChestType!$A$5:$A$195, E2017)&gt;0, VLOOKUP(E2017, ChestType!$A$5:$B$195, 2, 0), "Others"))</f>
        <v>L15 Epic Crypt</v>
      </c>
    </row>
    <row r="2018" spans="1:6" x14ac:dyDescent="0.25">
      <c r="A2018" s="14">
        <v>46146.522916666669</v>
      </c>
      <c r="B2018" s="79" t="s">
        <v>149</v>
      </c>
      <c r="C2018" s="79" t="s">
        <v>184</v>
      </c>
      <c r="D2018" s="79" t="s">
        <v>164</v>
      </c>
      <c r="E2018" s="79" t="s">
        <v>64</v>
      </c>
      <c r="F2018" s="79" t="str">
        <f>IF(E2018="", "", IF(COUNTIF(ChestType!$A$5:$A$195, E2018)&gt;0, VLOOKUP(E2018, ChestType!$A$5:$B$195, 2, 0), "Others"))</f>
        <v>L15 Epic Crypt</v>
      </c>
    </row>
    <row r="2019" spans="1:6" x14ac:dyDescent="0.25">
      <c r="A2019" s="14">
        <v>46146.522916666669</v>
      </c>
      <c r="B2019" s="79" t="s">
        <v>149</v>
      </c>
      <c r="C2019" s="79" t="s">
        <v>840</v>
      </c>
      <c r="D2019" s="79" t="s">
        <v>156</v>
      </c>
      <c r="E2019" s="79" t="s">
        <v>64</v>
      </c>
      <c r="F2019" s="79" t="str">
        <f>IF(E2019="", "", IF(COUNTIF(ChestType!$A$5:$A$195, E2019)&gt;0, VLOOKUP(E2019, ChestType!$A$5:$B$195, 2, 0), "Others"))</f>
        <v>L15 Epic Crypt</v>
      </c>
    </row>
    <row r="2020" spans="1:6" x14ac:dyDescent="0.25">
      <c r="A2020" s="14">
        <v>46146.522916666669</v>
      </c>
      <c r="B2020" s="79" t="s">
        <v>195</v>
      </c>
      <c r="C2020" s="79" t="s">
        <v>198</v>
      </c>
      <c r="D2020" s="79" t="s">
        <v>166</v>
      </c>
      <c r="E2020" s="79" t="s">
        <v>24</v>
      </c>
      <c r="F2020" s="79" t="str">
        <f>IF(E2020="", "", IF(COUNTIF(ChestType!$A$5:$A$195, E2020)&gt;0, VLOOKUP(E2020, ChestType!$A$5:$B$195, 2, 0), "Others"))</f>
        <v>Bank</v>
      </c>
    </row>
    <row r="2021" spans="1:6" x14ac:dyDescent="0.25">
      <c r="A2021" s="14">
        <v>46146.522916666669</v>
      </c>
      <c r="B2021" s="79" t="s">
        <v>195</v>
      </c>
      <c r="C2021" s="79" t="s">
        <v>198</v>
      </c>
      <c r="D2021" s="79" t="s">
        <v>166</v>
      </c>
      <c r="E2021" s="79" t="s">
        <v>24</v>
      </c>
      <c r="F2021" s="79" t="str">
        <f>IF(E2021="", "", IF(COUNTIF(ChestType!$A$5:$A$195, E2021)&gt;0, VLOOKUP(E2021, ChestType!$A$5:$B$195, 2, 0), "Others"))</f>
        <v>Bank</v>
      </c>
    </row>
    <row r="2022" spans="1:6" x14ac:dyDescent="0.25">
      <c r="A2022" s="14">
        <v>46146.522916666669</v>
      </c>
      <c r="B2022" s="79" t="s">
        <v>195</v>
      </c>
      <c r="C2022" s="79" t="s">
        <v>198</v>
      </c>
      <c r="D2022" s="79" t="s">
        <v>166</v>
      </c>
      <c r="E2022" s="79" t="s">
        <v>24</v>
      </c>
      <c r="F2022" s="79" t="str">
        <f>IF(E2022="", "", IF(COUNTIF(ChestType!$A$5:$A$195, E2022)&gt;0, VLOOKUP(E2022, ChestType!$A$5:$B$195, 2, 0), "Others"))</f>
        <v>Bank</v>
      </c>
    </row>
    <row r="2023" spans="1:6" x14ac:dyDescent="0.25">
      <c r="A2023" s="14">
        <v>46146.522916666669</v>
      </c>
      <c r="B2023" s="79" t="s">
        <v>195</v>
      </c>
      <c r="C2023" s="79" t="s">
        <v>209</v>
      </c>
      <c r="D2023" s="79" t="s">
        <v>222</v>
      </c>
      <c r="E2023" s="79" t="s">
        <v>24</v>
      </c>
      <c r="F2023" s="79" t="str">
        <f>IF(E2023="", "", IF(COUNTIF(ChestType!$A$5:$A$195, E2023)&gt;0, VLOOKUP(E2023, ChestType!$A$5:$B$195, 2, 0), "Others"))</f>
        <v>Bank</v>
      </c>
    </row>
    <row r="2024" spans="1:6" x14ac:dyDescent="0.25">
      <c r="A2024" s="14">
        <v>46146.522916666669</v>
      </c>
      <c r="B2024" s="79" t="s">
        <v>195</v>
      </c>
      <c r="C2024" s="79" t="s">
        <v>209</v>
      </c>
      <c r="D2024" s="79" t="s">
        <v>222</v>
      </c>
      <c r="E2024" s="79" t="s">
        <v>24</v>
      </c>
      <c r="F2024" s="79" t="str">
        <f>IF(E2024="", "", IF(COUNTIF(ChestType!$A$5:$A$195, E2024)&gt;0, VLOOKUP(E2024, ChestType!$A$5:$B$195, 2, 0), "Others"))</f>
        <v>Bank</v>
      </c>
    </row>
    <row r="2025" spans="1:6" x14ac:dyDescent="0.25">
      <c r="A2025" s="14">
        <v>46146.522916666669</v>
      </c>
      <c r="B2025" s="79" t="s">
        <v>195</v>
      </c>
      <c r="C2025" s="79" t="s">
        <v>209</v>
      </c>
      <c r="D2025" s="79" t="s">
        <v>222</v>
      </c>
      <c r="E2025" s="79" t="s">
        <v>24</v>
      </c>
      <c r="F2025" s="79" t="str">
        <f>IF(E2025="", "", IF(COUNTIF(ChestType!$A$5:$A$195, E2025)&gt;0, VLOOKUP(E2025, ChestType!$A$5:$B$195, 2, 0), "Others"))</f>
        <v>Bank</v>
      </c>
    </row>
    <row r="2026" spans="1:6" x14ac:dyDescent="0.25">
      <c r="A2026" s="14">
        <v>46146.522916666669</v>
      </c>
      <c r="B2026" s="79" t="s">
        <v>195</v>
      </c>
      <c r="C2026" s="79" t="s">
        <v>197</v>
      </c>
      <c r="D2026" s="79" t="s">
        <v>238</v>
      </c>
      <c r="E2026" s="79" t="s">
        <v>24</v>
      </c>
      <c r="F2026" s="79" t="str">
        <f>IF(E2026="", "", IF(COUNTIF(ChestType!$A$5:$A$195, E2026)&gt;0, VLOOKUP(E2026, ChestType!$A$5:$B$195, 2, 0), "Others"))</f>
        <v>Bank</v>
      </c>
    </row>
    <row r="2027" spans="1:6" x14ac:dyDescent="0.25">
      <c r="A2027" s="14">
        <v>46146.522916666669</v>
      </c>
      <c r="B2027" s="79" t="s">
        <v>195</v>
      </c>
      <c r="C2027" s="79" t="s">
        <v>197</v>
      </c>
      <c r="D2027" s="79" t="s">
        <v>238</v>
      </c>
      <c r="E2027" s="79" t="s">
        <v>24</v>
      </c>
      <c r="F2027" s="79" t="str">
        <f>IF(E2027="", "", IF(COUNTIF(ChestType!$A$5:$A$195, E2027)&gt;0, VLOOKUP(E2027, ChestType!$A$5:$B$195, 2, 0), "Others"))</f>
        <v>Bank</v>
      </c>
    </row>
    <row r="2028" spans="1:6" x14ac:dyDescent="0.25">
      <c r="A2028" s="14">
        <v>46146.522916666669</v>
      </c>
      <c r="B2028" s="79" t="s">
        <v>195</v>
      </c>
      <c r="C2028" s="79" t="s">
        <v>197</v>
      </c>
      <c r="D2028" s="79" t="s">
        <v>238</v>
      </c>
      <c r="E2028" s="79" t="s">
        <v>24</v>
      </c>
      <c r="F2028" s="79" t="str">
        <f>IF(E2028="", "", IF(COUNTIF(ChestType!$A$5:$A$195, E2028)&gt;0, VLOOKUP(E2028, ChestType!$A$5:$B$195, 2, 0), "Others"))</f>
        <v>Bank</v>
      </c>
    </row>
    <row r="2029" spans="1:6" x14ac:dyDescent="0.25">
      <c r="A2029" s="14">
        <v>46146.522916666669</v>
      </c>
      <c r="B2029" s="79" t="s">
        <v>195</v>
      </c>
      <c r="C2029" s="79" t="s">
        <v>197</v>
      </c>
      <c r="D2029" s="79" t="s">
        <v>162</v>
      </c>
      <c r="E2029" s="79" t="s">
        <v>24</v>
      </c>
      <c r="F2029" s="79" t="str">
        <f>IF(E2029="", "", IF(COUNTIF(ChestType!$A$5:$A$195, E2029)&gt;0, VLOOKUP(E2029, ChestType!$A$5:$B$195, 2, 0), "Others"))</f>
        <v>Bank</v>
      </c>
    </row>
    <row r="2030" spans="1:6" x14ac:dyDescent="0.25">
      <c r="A2030" s="14">
        <v>46146.522916666669</v>
      </c>
      <c r="B2030" s="79" t="s">
        <v>195</v>
      </c>
      <c r="C2030" s="79" t="s">
        <v>197</v>
      </c>
      <c r="D2030" s="79" t="s">
        <v>162</v>
      </c>
      <c r="E2030" s="79" t="s">
        <v>24</v>
      </c>
      <c r="F2030" s="79" t="str">
        <f>IF(E2030="", "", IF(COUNTIF(ChestType!$A$5:$A$195, E2030)&gt;0, VLOOKUP(E2030, ChestType!$A$5:$B$195, 2, 0), "Others"))</f>
        <v>Bank</v>
      </c>
    </row>
    <row r="2031" spans="1:6" x14ac:dyDescent="0.25">
      <c r="A2031" s="14">
        <v>46146.522916666669</v>
      </c>
      <c r="B2031" s="79" t="s">
        <v>195</v>
      </c>
      <c r="C2031" s="79" t="s">
        <v>197</v>
      </c>
      <c r="D2031" s="79" t="s">
        <v>162</v>
      </c>
      <c r="E2031" s="79" t="s">
        <v>24</v>
      </c>
      <c r="F2031" s="79" t="str">
        <f>IF(E2031="", "", IF(COUNTIF(ChestType!$A$5:$A$195, E2031)&gt;0, VLOOKUP(E2031, ChestType!$A$5:$B$195, 2, 0), "Others"))</f>
        <v>Bank</v>
      </c>
    </row>
    <row r="2032" spans="1:6" x14ac:dyDescent="0.25">
      <c r="A2032" s="14">
        <v>46146.759722222225</v>
      </c>
      <c r="B2032" s="79" t="s">
        <v>149</v>
      </c>
      <c r="C2032" s="79" t="s">
        <v>192</v>
      </c>
      <c r="D2032" s="79" t="s">
        <v>266</v>
      </c>
      <c r="E2032" s="79" t="s">
        <v>60</v>
      </c>
      <c r="F2032" s="79" t="str">
        <f>IF(E2032="", "", IF(COUNTIF(ChestType!$A$5:$A$195, E2032)&gt;0, VLOOKUP(E2032, ChestType!$A$5:$B$195, 2, 0), "Others"))</f>
        <v>Others</v>
      </c>
    </row>
    <row r="2033" spans="1:6" x14ac:dyDescent="0.25">
      <c r="A2033" s="14">
        <v>46146.759722222225</v>
      </c>
      <c r="B2033" s="79" t="s">
        <v>149</v>
      </c>
      <c r="C2033" s="79" t="s">
        <v>175</v>
      </c>
      <c r="D2033" s="79" t="s">
        <v>266</v>
      </c>
      <c r="E2033" s="79" t="s">
        <v>52</v>
      </c>
      <c r="F2033" s="79" t="str">
        <f>IF(E2033="", "", IF(COUNTIF(ChestType!$A$5:$A$195, E2033)&gt;0, VLOOKUP(E2033, ChestType!$A$5:$B$195, 2, 0), "Others"))</f>
        <v>L5 Crypt</v>
      </c>
    </row>
    <row r="2034" spans="1:6" x14ac:dyDescent="0.25">
      <c r="A2034" s="14">
        <v>46146.759722222225</v>
      </c>
      <c r="B2034" s="79" t="s">
        <v>149</v>
      </c>
      <c r="C2034" s="79" t="s">
        <v>176</v>
      </c>
      <c r="D2034" s="79" t="s">
        <v>167</v>
      </c>
      <c r="E2034" s="79" t="s">
        <v>70</v>
      </c>
      <c r="F2034" s="79" t="str">
        <f>IF(E2034="", "", IF(COUNTIF(ChestType!$A$5:$A$195, E2034)&gt;0, VLOOKUP(E2034, ChestType!$A$5:$B$195, 2, 0), "Others"))</f>
        <v>L10 Citadel</v>
      </c>
    </row>
    <row r="2035" spans="1:6" x14ac:dyDescent="0.25">
      <c r="A2035" s="14">
        <v>46146.759722222225</v>
      </c>
      <c r="B2035" s="79" t="s">
        <v>149</v>
      </c>
      <c r="C2035" s="79" t="s">
        <v>177</v>
      </c>
      <c r="D2035" s="79" t="s">
        <v>258</v>
      </c>
      <c r="E2035" s="79" t="s">
        <v>52</v>
      </c>
      <c r="F2035" s="79" t="str">
        <f>IF(E2035="", "", IF(COUNTIF(ChestType!$A$5:$A$195, E2035)&gt;0, VLOOKUP(E2035, ChestType!$A$5:$B$195, 2, 0), "Others"))</f>
        <v>L5 Crypt</v>
      </c>
    </row>
    <row r="2036" spans="1:6" x14ac:dyDescent="0.25">
      <c r="A2036" s="14">
        <v>46146.759722222225</v>
      </c>
      <c r="B2036" s="79" t="s">
        <v>149</v>
      </c>
      <c r="C2036" s="79" t="s">
        <v>176</v>
      </c>
      <c r="D2036" s="79" t="s">
        <v>167</v>
      </c>
      <c r="E2036" s="79" t="s">
        <v>70</v>
      </c>
      <c r="F2036" s="79" t="str">
        <f>IF(E2036="", "", IF(COUNTIF(ChestType!$A$5:$A$195, E2036)&gt;0, VLOOKUP(E2036, ChestType!$A$5:$B$195, 2, 0), "Others"))</f>
        <v>L10 Citadel</v>
      </c>
    </row>
    <row r="2037" spans="1:6" x14ac:dyDescent="0.25">
      <c r="A2037" s="14">
        <v>46146.759722222225</v>
      </c>
      <c r="B2037" s="79" t="s">
        <v>149</v>
      </c>
      <c r="C2037" s="79" t="s">
        <v>176</v>
      </c>
      <c r="D2037" s="79" t="s">
        <v>167</v>
      </c>
      <c r="E2037" s="79" t="s">
        <v>70</v>
      </c>
      <c r="F2037" s="79" t="str">
        <f>IF(E2037="", "", IF(COUNTIF(ChestType!$A$5:$A$195, E2037)&gt;0, VLOOKUP(E2037, ChestType!$A$5:$B$195, 2, 0), "Others"))</f>
        <v>L10 Citadel</v>
      </c>
    </row>
    <row r="2038" spans="1:6" x14ac:dyDescent="0.25">
      <c r="A2038" s="14">
        <v>46146.759722222225</v>
      </c>
      <c r="B2038" s="79" t="s">
        <v>149</v>
      </c>
      <c r="C2038" s="79" t="s">
        <v>187</v>
      </c>
      <c r="D2038" s="79" t="s">
        <v>166</v>
      </c>
      <c r="E2038" s="79" t="s">
        <v>75</v>
      </c>
      <c r="F2038" s="79" t="str">
        <f>IF(E2038="", "", IF(COUNTIF(ChestType!$A$5:$A$195, E2038)&gt;0, VLOOKUP(E2038, ChestType!$A$5:$B$195, 2, 0), "Others"))</f>
        <v>L10 Rare Crypt</v>
      </c>
    </row>
    <row r="2039" spans="1:6" x14ac:dyDescent="0.25">
      <c r="A2039" s="14">
        <v>46146.759722222225</v>
      </c>
      <c r="B2039" s="79" t="s">
        <v>149</v>
      </c>
      <c r="C2039" s="79" t="s">
        <v>177</v>
      </c>
      <c r="D2039" s="79" t="s">
        <v>179</v>
      </c>
      <c r="E2039" s="79" t="s">
        <v>50</v>
      </c>
      <c r="F2039" s="79" t="str">
        <f>IF(E2039="", "", IF(COUNTIF(ChestType!$A$5:$A$195, E2039)&gt;0, VLOOKUP(E2039, ChestType!$A$5:$B$195, 2, 0), "Others"))</f>
        <v>L10 Crypt</v>
      </c>
    </row>
    <row r="2040" spans="1:6" x14ac:dyDescent="0.25">
      <c r="A2040" s="14">
        <v>46146.759722222225</v>
      </c>
      <c r="B2040" s="79" t="s">
        <v>149</v>
      </c>
      <c r="C2040" s="79" t="s">
        <v>158</v>
      </c>
      <c r="D2040" s="79" t="s">
        <v>180</v>
      </c>
      <c r="E2040" s="79" t="s">
        <v>50</v>
      </c>
      <c r="F2040" s="79" t="str">
        <f>IF(E2040="", "", IF(COUNTIF(ChestType!$A$5:$A$195, E2040)&gt;0, VLOOKUP(E2040, ChestType!$A$5:$B$195, 2, 0), "Others"))</f>
        <v>L10 Crypt</v>
      </c>
    </row>
    <row r="2041" spans="1:6" x14ac:dyDescent="0.25">
      <c r="A2041" s="14">
        <v>46146.759722222225</v>
      </c>
      <c r="B2041" s="79" t="s">
        <v>149</v>
      </c>
      <c r="C2041" s="79" t="s">
        <v>184</v>
      </c>
      <c r="D2041" s="79" t="s">
        <v>193</v>
      </c>
      <c r="E2041" s="79" t="s">
        <v>50</v>
      </c>
      <c r="F2041" s="79" t="str">
        <f>IF(E2041="", "", IF(COUNTIF(ChestType!$A$5:$A$195, E2041)&gt;0, VLOOKUP(E2041, ChestType!$A$5:$B$195, 2, 0), "Others"))</f>
        <v>L10 Crypt</v>
      </c>
    </row>
    <row r="2042" spans="1:6" x14ac:dyDescent="0.25">
      <c r="A2042" s="14">
        <v>46146.759722222225</v>
      </c>
      <c r="B2042" s="79" t="s">
        <v>149</v>
      </c>
      <c r="C2042" s="79" t="s">
        <v>181</v>
      </c>
      <c r="D2042" s="79" t="s">
        <v>169</v>
      </c>
      <c r="E2042" s="79" t="s">
        <v>52</v>
      </c>
      <c r="F2042" s="79" t="str">
        <f>IF(E2042="", "", IF(COUNTIF(ChestType!$A$5:$A$195, E2042)&gt;0, VLOOKUP(E2042, ChestType!$A$5:$B$195, 2, 0), "Others"))</f>
        <v>L5 Crypt</v>
      </c>
    </row>
    <row r="2043" spans="1:6" x14ac:dyDescent="0.25">
      <c r="A2043" s="14">
        <v>46146.759722222225</v>
      </c>
      <c r="B2043" s="79" t="s">
        <v>149</v>
      </c>
      <c r="C2043" s="79" t="s">
        <v>190</v>
      </c>
      <c r="D2043" s="79" t="s">
        <v>179</v>
      </c>
      <c r="E2043" s="79" t="s">
        <v>50</v>
      </c>
      <c r="F2043" s="79" t="str">
        <f>IF(E2043="", "", IF(COUNTIF(ChestType!$A$5:$A$195, E2043)&gt;0, VLOOKUP(E2043, ChestType!$A$5:$B$195, 2, 0), "Others"))</f>
        <v>L10 Crypt</v>
      </c>
    </row>
    <row r="2044" spans="1:6" x14ac:dyDescent="0.25">
      <c r="A2044" s="14">
        <v>46146.759722222225</v>
      </c>
      <c r="B2044" s="79" t="s">
        <v>149</v>
      </c>
      <c r="C2044" s="79" t="s">
        <v>182</v>
      </c>
      <c r="D2044" s="79" t="s">
        <v>163</v>
      </c>
      <c r="E2044" s="79" t="s">
        <v>50</v>
      </c>
      <c r="F2044" s="79" t="str">
        <f>IF(E2044="", "", IF(COUNTIF(ChestType!$A$5:$A$195, E2044)&gt;0, VLOOKUP(E2044, ChestType!$A$5:$B$195, 2, 0), "Others"))</f>
        <v>L10 Crypt</v>
      </c>
    </row>
    <row r="2045" spans="1:6" x14ac:dyDescent="0.25">
      <c r="A2045" s="14">
        <v>46146.759722222225</v>
      </c>
      <c r="B2045" s="79" t="s">
        <v>149</v>
      </c>
      <c r="C2045" s="79" t="s">
        <v>192</v>
      </c>
      <c r="D2045" s="79" t="s">
        <v>191</v>
      </c>
      <c r="E2045" s="79" t="s">
        <v>60</v>
      </c>
      <c r="F2045" s="79" t="str">
        <f>IF(E2045="", "", IF(COUNTIF(ChestType!$A$5:$A$195, E2045)&gt;0, VLOOKUP(E2045, ChestType!$A$5:$B$195, 2, 0), "Others"))</f>
        <v>Others</v>
      </c>
    </row>
    <row r="2046" spans="1:6" x14ac:dyDescent="0.25">
      <c r="A2046" s="14">
        <v>46146.759722222225</v>
      </c>
      <c r="B2046" s="79" t="s">
        <v>149</v>
      </c>
      <c r="C2046" s="79" t="s">
        <v>176</v>
      </c>
      <c r="D2046" s="79" t="s">
        <v>254</v>
      </c>
      <c r="E2046" s="79" t="s">
        <v>70</v>
      </c>
      <c r="F2046" s="79" t="str">
        <f>IF(E2046="", "", IF(COUNTIF(ChestType!$A$5:$A$195, E2046)&gt;0, VLOOKUP(E2046, ChestType!$A$5:$B$195, 2, 0), "Others"))</f>
        <v>L10 Citadel</v>
      </c>
    </row>
    <row r="2047" spans="1:6" x14ac:dyDescent="0.25">
      <c r="A2047" s="14">
        <v>46146.759722222225</v>
      </c>
      <c r="B2047" s="79" t="s">
        <v>149</v>
      </c>
      <c r="C2047" s="79" t="s">
        <v>158</v>
      </c>
      <c r="D2047" s="79" t="s">
        <v>191</v>
      </c>
      <c r="E2047" s="79" t="s">
        <v>49</v>
      </c>
      <c r="F2047" s="79" t="str">
        <f>IF(E2047="", "", IF(COUNTIF(ChestType!$A$5:$A$195, E2047)&gt;0, VLOOKUP(E2047, ChestType!$A$5:$B$195, 2, 0), "Others"))</f>
        <v>L15 Crypt</v>
      </c>
    </row>
    <row r="2048" spans="1:6" x14ac:dyDescent="0.25">
      <c r="A2048" s="14">
        <v>46146.759722222225</v>
      </c>
      <c r="B2048" s="79" t="s">
        <v>149</v>
      </c>
      <c r="C2048" s="79" t="s">
        <v>158</v>
      </c>
      <c r="D2048" s="79" t="s">
        <v>164</v>
      </c>
      <c r="E2048" s="79" t="s">
        <v>50</v>
      </c>
      <c r="F2048" s="79" t="str">
        <f>IF(E2048="", "", IF(COUNTIF(ChestType!$A$5:$A$195, E2048)&gt;0, VLOOKUP(E2048, ChestType!$A$5:$B$195, 2, 0), "Others"))</f>
        <v>L10 Crypt</v>
      </c>
    </row>
    <row r="2049" spans="1:6" x14ac:dyDescent="0.25">
      <c r="A2049" s="14">
        <v>46146.759722222225</v>
      </c>
      <c r="B2049" s="79" t="s">
        <v>149</v>
      </c>
      <c r="C2049" s="79" t="s">
        <v>181</v>
      </c>
      <c r="D2049" s="79" t="s">
        <v>164</v>
      </c>
      <c r="E2049" s="79" t="s">
        <v>50</v>
      </c>
      <c r="F2049" s="79" t="str">
        <f>IF(E2049="", "", IF(COUNTIF(ChestType!$A$5:$A$195, E2049)&gt;0, VLOOKUP(E2049, ChestType!$A$5:$B$195, 2, 0), "Others"))</f>
        <v>L10 Crypt</v>
      </c>
    </row>
    <row r="2050" spans="1:6" x14ac:dyDescent="0.25">
      <c r="A2050" s="14">
        <v>46146.759722222225</v>
      </c>
      <c r="B2050" s="79" t="s">
        <v>149</v>
      </c>
      <c r="C2050" s="79" t="s">
        <v>185</v>
      </c>
      <c r="D2050" s="79" t="s">
        <v>268</v>
      </c>
      <c r="E2050" s="79" t="s">
        <v>52</v>
      </c>
      <c r="F2050" s="79" t="str">
        <f>IF(E2050="", "", IF(COUNTIF(ChestType!$A$5:$A$195, E2050)&gt;0, VLOOKUP(E2050, ChestType!$A$5:$B$195, 2, 0), "Others"))</f>
        <v>L5 Crypt</v>
      </c>
    </row>
    <row r="2051" spans="1:6" x14ac:dyDescent="0.25">
      <c r="A2051" s="14">
        <v>46146.759722222225</v>
      </c>
      <c r="B2051" s="79" t="s">
        <v>149</v>
      </c>
      <c r="C2051" s="79" t="s">
        <v>182</v>
      </c>
      <c r="D2051" s="79" t="s">
        <v>268</v>
      </c>
      <c r="E2051" s="79" t="s">
        <v>52</v>
      </c>
      <c r="F2051" s="79" t="str">
        <f>IF(E2051="", "", IF(COUNTIF(ChestType!$A$5:$A$195, E2051)&gt;0, VLOOKUP(E2051, ChestType!$A$5:$B$195, 2, 0), "Others"))</f>
        <v>L5 Crypt</v>
      </c>
    </row>
    <row r="2052" spans="1:6" x14ac:dyDescent="0.25">
      <c r="A2052" s="14">
        <v>46146.759722222225</v>
      </c>
      <c r="B2052" s="79" t="s">
        <v>149</v>
      </c>
      <c r="C2052" s="79" t="s">
        <v>182</v>
      </c>
      <c r="D2052" s="79" t="s">
        <v>259</v>
      </c>
      <c r="E2052" s="79" t="s">
        <v>50</v>
      </c>
      <c r="F2052" s="79" t="str">
        <f>IF(E2052="", "", IF(COUNTIF(ChestType!$A$5:$A$195, E2052)&gt;0, VLOOKUP(E2052, ChestType!$A$5:$B$195, 2, 0), "Others"))</f>
        <v>L10 Crypt</v>
      </c>
    </row>
    <row r="2053" spans="1:6" x14ac:dyDescent="0.25">
      <c r="A2053" s="14">
        <v>46146.759722222225</v>
      </c>
      <c r="B2053" s="79" t="s">
        <v>149</v>
      </c>
      <c r="C2053" s="79" t="s">
        <v>175</v>
      </c>
      <c r="D2053" s="79" t="s">
        <v>268</v>
      </c>
      <c r="E2053" s="79" t="s">
        <v>49</v>
      </c>
      <c r="F2053" s="79" t="str">
        <f>IF(E2053="", "", IF(COUNTIF(ChestType!$A$5:$A$195, E2053)&gt;0, VLOOKUP(E2053, ChestType!$A$5:$B$195, 2, 0), "Others"))</f>
        <v>L15 Crypt</v>
      </c>
    </row>
    <row r="2054" spans="1:6" x14ac:dyDescent="0.25">
      <c r="A2054" s="14">
        <v>46146.759722222225</v>
      </c>
      <c r="B2054" s="79" t="s">
        <v>149</v>
      </c>
      <c r="C2054" s="79" t="s">
        <v>158</v>
      </c>
      <c r="D2054" s="79" t="s">
        <v>268</v>
      </c>
      <c r="E2054" s="79" t="s">
        <v>50</v>
      </c>
      <c r="F2054" s="79" t="str">
        <f>IF(E2054="", "", IF(COUNTIF(ChestType!$A$5:$A$195, E2054)&gt;0, VLOOKUP(E2054, ChestType!$A$5:$B$195, 2, 0), "Others"))</f>
        <v>L10 Crypt</v>
      </c>
    </row>
    <row r="2055" spans="1:6" x14ac:dyDescent="0.25">
      <c r="A2055" s="14">
        <v>46146.759722222225</v>
      </c>
      <c r="B2055" s="79" t="s">
        <v>149</v>
      </c>
      <c r="C2055" s="79" t="s">
        <v>181</v>
      </c>
      <c r="D2055" s="79" t="s">
        <v>250</v>
      </c>
      <c r="E2055" s="79" t="s">
        <v>49</v>
      </c>
      <c r="F2055" s="79" t="str">
        <f>IF(E2055="", "", IF(COUNTIF(ChestType!$A$5:$A$195, E2055)&gt;0, VLOOKUP(E2055, ChestType!$A$5:$B$195, 2, 0), "Others"))</f>
        <v>L15 Crypt</v>
      </c>
    </row>
    <row r="2056" spans="1:6" x14ac:dyDescent="0.25">
      <c r="A2056" s="14">
        <v>46146.759722222225</v>
      </c>
      <c r="B2056" s="79" t="s">
        <v>149</v>
      </c>
      <c r="C2056" s="79" t="s">
        <v>151</v>
      </c>
      <c r="D2056" s="79" t="s">
        <v>264</v>
      </c>
      <c r="E2056" s="79" t="s">
        <v>52</v>
      </c>
      <c r="F2056" s="79" t="str">
        <f>IF(E2056="", "", IF(COUNTIF(ChestType!$A$5:$A$195, E2056)&gt;0, VLOOKUP(E2056, ChestType!$A$5:$B$195, 2, 0), "Others"))</f>
        <v>L5 Crypt</v>
      </c>
    </row>
    <row r="2057" spans="1:6" x14ac:dyDescent="0.25">
      <c r="A2057" s="14">
        <v>46146.759722222225</v>
      </c>
      <c r="B2057" s="79" t="s">
        <v>149</v>
      </c>
      <c r="C2057" s="79" t="s">
        <v>158</v>
      </c>
      <c r="D2057" s="79" t="s">
        <v>201</v>
      </c>
      <c r="E2057" s="79" t="s">
        <v>48</v>
      </c>
      <c r="F2057" s="79" t="str">
        <f>IF(E2057="", "", IF(COUNTIF(ChestType!$A$5:$A$195, E2057)&gt;0, VLOOKUP(E2057, ChestType!$A$5:$B$195, 2, 0), "Others"))</f>
        <v>L20 Crypt</v>
      </c>
    </row>
    <row r="2058" spans="1:6" x14ac:dyDescent="0.25">
      <c r="A2058" s="14">
        <v>46146.759722222225</v>
      </c>
      <c r="B2058" s="79" t="s">
        <v>149</v>
      </c>
      <c r="C2058" s="79" t="s">
        <v>171</v>
      </c>
      <c r="D2058" s="79" t="s">
        <v>252</v>
      </c>
      <c r="E2058" s="79" t="s">
        <v>50</v>
      </c>
      <c r="F2058" s="79" t="str">
        <f>IF(E2058="", "", IF(COUNTIF(ChestType!$A$5:$A$195, E2058)&gt;0, VLOOKUP(E2058, ChestType!$A$5:$B$195, 2, 0), "Others"))</f>
        <v>L10 Crypt</v>
      </c>
    </row>
    <row r="2059" spans="1:6" x14ac:dyDescent="0.25">
      <c r="A2059" s="14">
        <v>46146.759722222225</v>
      </c>
      <c r="B2059" s="79" t="s">
        <v>149</v>
      </c>
      <c r="C2059" s="79" t="s">
        <v>177</v>
      </c>
      <c r="D2059" s="79" t="s">
        <v>252</v>
      </c>
      <c r="E2059" s="79" t="s">
        <v>50</v>
      </c>
      <c r="F2059" s="79" t="str">
        <f>IF(E2059="", "", IF(COUNTIF(ChestType!$A$5:$A$195, E2059)&gt;0, VLOOKUP(E2059, ChestType!$A$5:$B$195, 2, 0), "Others"))</f>
        <v>L10 Crypt</v>
      </c>
    </row>
    <row r="2060" spans="1:6" x14ac:dyDescent="0.25">
      <c r="A2060" s="14">
        <v>46146.759722222225</v>
      </c>
      <c r="B2060" s="79" t="s">
        <v>149</v>
      </c>
      <c r="C2060" s="79" t="s">
        <v>181</v>
      </c>
      <c r="D2060" s="79" t="s">
        <v>265</v>
      </c>
      <c r="E2060" s="79" t="s">
        <v>52</v>
      </c>
      <c r="F2060" s="79" t="str">
        <f>IF(E2060="", "", IF(COUNTIF(ChestType!$A$5:$A$195, E2060)&gt;0, VLOOKUP(E2060, ChestType!$A$5:$B$195, 2, 0), "Others"))</f>
        <v>L5 Crypt</v>
      </c>
    </row>
    <row r="2061" spans="1:6" x14ac:dyDescent="0.25">
      <c r="A2061" s="14">
        <v>46146.759722222225</v>
      </c>
      <c r="B2061" s="79" t="s">
        <v>149</v>
      </c>
      <c r="C2061" s="79" t="s">
        <v>220</v>
      </c>
      <c r="D2061" s="79" t="s">
        <v>265</v>
      </c>
      <c r="E2061" s="79" t="s">
        <v>64</v>
      </c>
      <c r="F2061" s="79" t="str">
        <f>IF(E2061="", "", IF(COUNTIF(ChestType!$A$5:$A$195, E2061)&gt;0, VLOOKUP(E2061, ChestType!$A$5:$B$195, 2, 0), "Others"))</f>
        <v>L15 Epic Crypt</v>
      </c>
    </row>
    <row r="2062" spans="1:6" x14ac:dyDescent="0.25">
      <c r="A2062" s="14">
        <v>46146.759722222225</v>
      </c>
      <c r="B2062" s="79" t="s">
        <v>149</v>
      </c>
      <c r="C2062" s="79" t="s">
        <v>188</v>
      </c>
      <c r="D2062" s="79" t="s">
        <v>156</v>
      </c>
      <c r="E2062" s="79" t="s">
        <v>45</v>
      </c>
      <c r="F2062" s="79" t="str">
        <f>IF(E2062="", "", IF(COUNTIF(ChestType!$A$5:$A$195, E2062)&gt;0, VLOOKUP(E2062, ChestType!$A$5:$B$195, 2, 0), "Others"))</f>
        <v>Others</v>
      </c>
    </row>
    <row r="2063" spans="1:6" x14ac:dyDescent="0.25">
      <c r="A2063" s="14">
        <v>46146.759722222225</v>
      </c>
      <c r="B2063" s="79" t="s">
        <v>149</v>
      </c>
      <c r="C2063" s="79" t="s">
        <v>189</v>
      </c>
      <c r="D2063" s="79" t="s">
        <v>156</v>
      </c>
      <c r="E2063" s="79" t="s">
        <v>45</v>
      </c>
      <c r="F2063" s="79" t="str">
        <f>IF(E2063="", "", IF(COUNTIF(ChestType!$A$5:$A$195, E2063)&gt;0, VLOOKUP(E2063, ChestType!$A$5:$B$195, 2, 0), "Others"))</f>
        <v>Others</v>
      </c>
    </row>
    <row r="2064" spans="1:6" x14ac:dyDescent="0.25">
      <c r="A2064" s="14">
        <v>46146.759722222225</v>
      </c>
      <c r="B2064" s="79" t="s">
        <v>149</v>
      </c>
      <c r="C2064" s="79" t="s">
        <v>239</v>
      </c>
      <c r="D2064" s="79" t="s">
        <v>156</v>
      </c>
      <c r="E2064" s="79" t="s">
        <v>45</v>
      </c>
      <c r="F2064" s="79" t="str">
        <f>IF(E2064="", "", IF(COUNTIF(ChestType!$A$5:$A$195, E2064)&gt;0, VLOOKUP(E2064, ChestType!$A$5:$B$195, 2, 0), "Others"))</f>
        <v>Others</v>
      </c>
    </row>
    <row r="2065" spans="1:6" x14ac:dyDescent="0.25">
      <c r="A2065" s="14">
        <v>46146.759722222225</v>
      </c>
      <c r="B2065" s="79" t="s">
        <v>149</v>
      </c>
      <c r="C2065" s="79" t="s">
        <v>177</v>
      </c>
      <c r="D2065" s="79" t="s">
        <v>221</v>
      </c>
      <c r="E2065" s="79" t="s">
        <v>52</v>
      </c>
      <c r="F2065" s="79" t="str">
        <f>IF(E2065="", "", IF(COUNTIF(ChestType!$A$5:$A$195, E2065)&gt;0, VLOOKUP(E2065, ChestType!$A$5:$B$195, 2, 0), "Others"))</f>
        <v>L5 Crypt</v>
      </c>
    </row>
    <row r="2066" spans="1:6" x14ac:dyDescent="0.25">
      <c r="A2066" s="14">
        <v>46146.759722222225</v>
      </c>
      <c r="B2066" s="79" t="s">
        <v>149</v>
      </c>
      <c r="C2066" s="79" t="s">
        <v>190</v>
      </c>
      <c r="D2066" s="79" t="s">
        <v>165</v>
      </c>
      <c r="E2066" s="79" t="s">
        <v>52</v>
      </c>
      <c r="F2066" s="79" t="str">
        <f>IF(E2066="", "", IF(COUNTIF(ChestType!$A$5:$A$195, E2066)&gt;0, VLOOKUP(E2066, ChestType!$A$5:$B$195, 2, 0), "Others"))</f>
        <v>L5 Crypt</v>
      </c>
    </row>
    <row r="2067" spans="1:6" x14ac:dyDescent="0.25">
      <c r="A2067" s="14">
        <v>46146.759722222225</v>
      </c>
      <c r="B2067" s="79" t="s">
        <v>149</v>
      </c>
      <c r="C2067" s="79" t="s">
        <v>187</v>
      </c>
      <c r="D2067" s="79" t="s">
        <v>165</v>
      </c>
      <c r="E2067" s="79" t="s">
        <v>75</v>
      </c>
      <c r="F2067" s="79" t="str">
        <f>IF(E2067="", "", IF(COUNTIF(ChestType!$A$5:$A$195, E2067)&gt;0, VLOOKUP(E2067, ChestType!$A$5:$B$195, 2, 0), "Others"))</f>
        <v>L10 Rare Crypt</v>
      </c>
    </row>
    <row r="2068" spans="1:6" x14ac:dyDescent="0.25">
      <c r="A2068" s="14">
        <v>46146.759722222225</v>
      </c>
      <c r="B2068" s="79" t="s">
        <v>149</v>
      </c>
      <c r="C2068" s="79" t="s">
        <v>177</v>
      </c>
      <c r="D2068" s="79" t="s">
        <v>165</v>
      </c>
      <c r="E2068" s="79" t="s">
        <v>50</v>
      </c>
      <c r="F2068" s="79" t="str">
        <f>IF(E2068="", "", IF(COUNTIF(ChestType!$A$5:$A$195, E2068)&gt;0, VLOOKUP(E2068, ChestType!$A$5:$B$195, 2, 0), "Others"))</f>
        <v>L10 Crypt</v>
      </c>
    </row>
    <row r="2069" spans="1:6" x14ac:dyDescent="0.25">
      <c r="A2069" s="14">
        <v>46146.759722222225</v>
      </c>
      <c r="B2069" s="79" t="s">
        <v>149</v>
      </c>
      <c r="C2069" s="79" t="s">
        <v>190</v>
      </c>
      <c r="D2069" s="79" t="s">
        <v>155</v>
      </c>
      <c r="E2069" s="79" t="s">
        <v>50</v>
      </c>
      <c r="F2069" s="79" t="str">
        <f>IF(E2069="", "", IF(COUNTIF(ChestType!$A$5:$A$195, E2069)&gt;0, VLOOKUP(E2069, ChestType!$A$5:$B$195, 2, 0), "Others"))</f>
        <v>L10 Crypt</v>
      </c>
    </row>
    <row r="2070" spans="1:6" x14ac:dyDescent="0.25">
      <c r="A2070" s="14">
        <v>46146.759722222225</v>
      </c>
      <c r="B2070" s="79" t="s">
        <v>149</v>
      </c>
      <c r="C2070" s="79" t="s">
        <v>175</v>
      </c>
      <c r="D2070" s="79" t="s">
        <v>155</v>
      </c>
      <c r="E2070" s="79" t="s">
        <v>50</v>
      </c>
      <c r="F2070" s="79" t="str">
        <f>IF(E2070="", "", IF(COUNTIF(ChestType!$A$5:$A$195, E2070)&gt;0, VLOOKUP(E2070, ChestType!$A$5:$B$195, 2, 0), "Others"))</f>
        <v>L10 Crypt</v>
      </c>
    </row>
    <row r="2071" spans="1:6" x14ac:dyDescent="0.25">
      <c r="A2071" s="14">
        <v>46146.759722222225</v>
      </c>
      <c r="B2071" s="79" t="s">
        <v>149</v>
      </c>
      <c r="C2071" s="79" t="s">
        <v>175</v>
      </c>
      <c r="D2071" s="79" t="s">
        <v>238</v>
      </c>
      <c r="E2071" s="79" t="s">
        <v>50</v>
      </c>
      <c r="F2071" s="79" t="str">
        <f>IF(E2071="", "", IF(COUNTIF(ChestType!$A$5:$A$195, E2071)&gt;0, VLOOKUP(E2071, ChestType!$A$5:$B$195, 2, 0), "Others"))</f>
        <v>L10 Crypt</v>
      </c>
    </row>
    <row r="2072" spans="1:6" x14ac:dyDescent="0.25">
      <c r="A2072" s="14">
        <v>46146.759722222225</v>
      </c>
      <c r="B2072" s="79" t="s">
        <v>149</v>
      </c>
      <c r="C2072" s="79" t="s">
        <v>175</v>
      </c>
      <c r="D2072" s="79" t="s">
        <v>254</v>
      </c>
      <c r="E2072" s="79" t="s">
        <v>50</v>
      </c>
      <c r="F2072" s="79" t="str">
        <f>IF(E2072="", "", IF(COUNTIF(ChestType!$A$5:$A$195, E2072)&gt;0, VLOOKUP(E2072, ChestType!$A$5:$B$195, 2, 0), "Others"))</f>
        <v>L10 Crypt</v>
      </c>
    </row>
    <row r="2073" spans="1:6" x14ac:dyDescent="0.25">
      <c r="A2073" s="14">
        <v>46146.759722222225</v>
      </c>
      <c r="B2073" s="79" t="s">
        <v>149</v>
      </c>
      <c r="C2073" s="79" t="s">
        <v>158</v>
      </c>
      <c r="D2073" s="79" t="s">
        <v>266</v>
      </c>
      <c r="E2073" s="79" t="s">
        <v>50</v>
      </c>
      <c r="F2073" s="79" t="str">
        <f>IF(E2073="", "", IF(COUNTIF(ChestType!$A$5:$A$195, E2073)&gt;0, VLOOKUP(E2073, ChestType!$A$5:$B$195, 2, 0), "Others"))</f>
        <v>L10 Crypt</v>
      </c>
    </row>
    <row r="2074" spans="1:6" x14ac:dyDescent="0.25">
      <c r="A2074" s="14">
        <v>46146.759722222225</v>
      </c>
      <c r="B2074" s="79" t="s">
        <v>149</v>
      </c>
      <c r="C2074" s="79" t="s">
        <v>171</v>
      </c>
      <c r="D2074" s="79" t="s">
        <v>267</v>
      </c>
      <c r="E2074" s="79" t="s">
        <v>50</v>
      </c>
      <c r="F2074" s="79" t="str">
        <f>IF(E2074="", "", IF(COUNTIF(ChestType!$A$5:$A$195, E2074)&gt;0, VLOOKUP(E2074, ChestType!$A$5:$B$195, 2, 0), "Others"))</f>
        <v>L10 Crypt</v>
      </c>
    </row>
    <row r="2075" spans="1:6" x14ac:dyDescent="0.25">
      <c r="A2075" s="14">
        <v>46146.759722222225</v>
      </c>
      <c r="B2075" s="79" t="s">
        <v>149</v>
      </c>
      <c r="C2075" s="79" t="s">
        <v>175</v>
      </c>
      <c r="D2075" s="79" t="s">
        <v>180</v>
      </c>
      <c r="E2075" s="79" t="s">
        <v>49</v>
      </c>
      <c r="F2075" s="79" t="str">
        <f>IF(E2075="", "", IF(COUNTIF(ChestType!$A$5:$A$195, E2075)&gt;0, VLOOKUP(E2075, ChestType!$A$5:$B$195, 2, 0), "Others"))</f>
        <v>L15 Crypt</v>
      </c>
    </row>
    <row r="2076" spans="1:6" x14ac:dyDescent="0.25">
      <c r="A2076" s="14">
        <v>46146.759722222225</v>
      </c>
      <c r="B2076" s="79" t="s">
        <v>149</v>
      </c>
      <c r="C2076" s="79" t="s">
        <v>177</v>
      </c>
      <c r="D2076" s="79" t="s">
        <v>180</v>
      </c>
      <c r="E2076" s="79" t="s">
        <v>52</v>
      </c>
      <c r="F2076" s="79" t="str">
        <f>IF(E2076="", "", IF(COUNTIF(ChestType!$A$5:$A$195, E2076)&gt;0, VLOOKUP(E2076, ChestType!$A$5:$B$195, 2, 0), "Others"))</f>
        <v>L5 Crypt</v>
      </c>
    </row>
    <row r="2077" spans="1:6" x14ac:dyDescent="0.25">
      <c r="A2077" s="14">
        <v>46146.759722222225</v>
      </c>
      <c r="B2077" s="79" t="s">
        <v>149</v>
      </c>
      <c r="C2077" s="79" t="s">
        <v>158</v>
      </c>
      <c r="D2077" s="79" t="s">
        <v>180</v>
      </c>
      <c r="E2077" s="79" t="s">
        <v>50</v>
      </c>
      <c r="F2077" s="79" t="str">
        <f>IF(E2077="", "", IF(COUNTIF(ChestType!$A$5:$A$195, E2077)&gt;0, VLOOKUP(E2077, ChestType!$A$5:$B$195, 2, 0), "Others"))</f>
        <v>L10 Crypt</v>
      </c>
    </row>
    <row r="2078" spans="1:6" x14ac:dyDescent="0.25">
      <c r="A2078" s="14">
        <v>46146.759722222225</v>
      </c>
      <c r="B2078" s="79" t="s">
        <v>149</v>
      </c>
      <c r="C2078" s="79" t="s">
        <v>185</v>
      </c>
      <c r="D2078" s="79" t="s">
        <v>221</v>
      </c>
      <c r="E2078" s="79" t="s">
        <v>50</v>
      </c>
      <c r="F2078" s="79" t="str">
        <f>IF(E2078="", "", IF(COUNTIF(ChestType!$A$5:$A$195, E2078)&gt;0, VLOOKUP(E2078, ChestType!$A$5:$B$195, 2, 0), "Others"))</f>
        <v>L10 Crypt</v>
      </c>
    </row>
    <row r="2079" spans="1:6" x14ac:dyDescent="0.25">
      <c r="A2079" s="14">
        <v>46146.759722222225</v>
      </c>
      <c r="B2079" s="79" t="s">
        <v>149</v>
      </c>
      <c r="C2079" s="79" t="s">
        <v>177</v>
      </c>
      <c r="D2079" s="79" t="s">
        <v>221</v>
      </c>
      <c r="E2079" s="79" t="s">
        <v>50</v>
      </c>
      <c r="F2079" s="79" t="str">
        <f>IF(E2079="", "", IF(COUNTIF(ChestType!$A$5:$A$195, E2079)&gt;0, VLOOKUP(E2079, ChestType!$A$5:$B$195, 2, 0), "Others"))</f>
        <v>L10 Crypt</v>
      </c>
    </row>
    <row r="2080" spans="1:6" x14ac:dyDescent="0.25">
      <c r="A2080" s="14">
        <v>46146.759722222225</v>
      </c>
      <c r="B2080" s="79" t="s">
        <v>149</v>
      </c>
      <c r="C2080" s="79" t="s">
        <v>151</v>
      </c>
      <c r="D2080" s="79" t="s">
        <v>179</v>
      </c>
      <c r="E2080" s="79" t="s">
        <v>50</v>
      </c>
      <c r="F2080" s="79" t="str">
        <f>IF(E2080="", "", IF(COUNTIF(ChestType!$A$5:$A$195, E2080)&gt;0, VLOOKUP(E2080, ChestType!$A$5:$B$195, 2, 0), "Others"))</f>
        <v>L10 Crypt</v>
      </c>
    </row>
    <row r="2081" spans="1:6" x14ac:dyDescent="0.25">
      <c r="A2081" s="14">
        <v>46146.759722222225</v>
      </c>
      <c r="B2081" s="79" t="s">
        <v>149</v>
      </c>
      <c r="C2081" s="79" t="s">
        <v>185</v>
      </c>
      <c r="D2081" s="79" t="s">
        <v>231</v>
      </c>
      <c r="E2081" s="79" t="s">
        <v>50</v>
      </c>
      <c r="F2081" s="79" t="str">
        <f>IF(E2081="", "", IF(COUNTIF(ChestType!$A$5:$A$195, E2081)&gt;0, VLOOKUP(E2081, ChestType!$A$5:$B$195, 2, 0), "Others"))</f>
        <v>L10 Crypt</v>
      </c>
    </row>
    <row r="2082" spans="1:6" x14ac:dyDescent="0.25">
      <c r="A2082" s="14">
        <v>46146.759722222225</v>
      </c>
      <c r="B2082" s="79" t="s">
        <v>149</v>
      </c>
      <c r="C2082" s="79" t="s">
        <v>192</v>
      </c>
      <c r="D2082" s="79" t="s">
        <v>161</v>
      </c>
      <c r="E2082" s="79" t="s">
        <v>60</v>
      </c>
      <c r="F2082" s="79" t="str">
        <f>IF(E2082="", "", IF(COUNTIF(ChestType!$A$5:$A$195, E2082)&gt;0, VLOOKUP(E2082, ChestType!$A$5:$B$195, 2, 0), "Others"))</f>
        <v>Others</v>
      </c>
    </row>
    <row r="2083" spans="1:6" x14ac:dyDescent="0.25">
      <c r="A2083" s="14">
        <v>46146.759722222225</v>
      </c>
      <c r="B2083" s="79" t="s">
        <v>149</v>
      </c>
      <c r="C2083" s="79" t="s">
        <v>187</v>
      </c>
      <c r="D2083" s="79" t="s">
        <v>231</v>
      </c>
      <c r="E2083" s="79" t="s">
        <v>75</v>
      </c>
      <c r="F2083" s="79" t="str">
        <f>IF(E2083="", "", IF(COUNTIF(ChestType!$A$5:$A$195, E2083)&gt;0, VLOOKUP(E2083, ChestType!$A$5:$B$195, 2, 0), "Others"))</f>
        <v>L10 Rare Crypt</v>
      </c>
    </row>
    <row r="2084" spans="1:6" x14ac:dyDescent="0.25">
      <c r="A2084" s="14">
        <v>46146.759722222225</v>
      </c>
      <c r="B2084" s="79" t="s">
        <v>149</v>
      </c>
      <c r="C2084" s="79" t="s">
        <v>184</v>
      </c>
      <c r="D2084" s="79" t="s">
        <v>231</v>
      </c>
      <c r="E2084" s="79" t="s">
        <v>50</v>
      </c>
      <c r="F2084" s="79" t="str">
        <f>IF(E2084="", "", IF(COUNTIF(ChestType!$A$5:$A$195, E2084)&gt;0, VLOOKUP(E2084, ChestType!$A$5:$B$195, 2, 0), "Others"))</f>
        <v>L10 Crypt</v>
      </c>
    </row>
    <row r="2085" spans="1:6" x14ac:dyDescent="0.25">
      <c r="A2085" s="14">
        <v>46146.759722222225</v>
      </c>
      <c r="B2085" s="79" t="s">
        <v>149</v>
      </c>
      <c r="C2085" s="79" t="s">
        <v>185</v>
      </c>
      <c r="D2085" s="79" t="s">
        <v>231</v>
      </c>
      <c r="E2085" s="79" t="s">
        <v>50</v>
      </c>
      <c r="F2085" s="79" t="str">
        <f>IF(E2085="", "", IF(COUNTIF(ChestType!$A$5:$A$195, E2085)&gt;0, VLOOKUP(E2085, ChestType!$A$5:$B$195, 2, 0), "Others"))</f>
        <v>L10 Crypt</v>
      </c>
    </row>
    <row r="2086" spans="1:6" x14ac:dyDescent="0.25">
      <c r="A2086" s="14">
        <v>46146.759722222225</v>
      </c>
      <c r="B2086" s="79" t="s">
        <v>149</v>
      </c>
      <c r="C2086" s="79" t="s">
        <v>151</v>
      </c>
      <c r="D2086" s="79" t="s">
        <v>194</v>
      </c>
      <c r="E2086" s="79" t="s">
        <v>52</v>
      </c>
      <c r="F2086" s="79" t="str">
        <f>IF(E2086="", "", IF(COUNTIF(ChestType!$A$5:$A$195, E2086)&gt;0, VLOOKUP(E2086, ChestType!$A$5:$B$195, 2, 0), "Others"))</f>
        <v>L5 Crypt</v>
      </c>
    </row>
    <row r="2087" spans="1:6" x14ac:dyDescent="0.25">
      <c r="A2087" s="14">
        <v>46146.759722222225</v>
      </c>
      <c r="B2087" s="79" t="s">
        <v>149</v>
      </c>
      <c r="C2087" s="79" t="s">
        <v>187</v>
      </c>
      <c r="D2087" s="79" t="s">
        <v>231</v>
      </c>
      <c r="E2087" s="79" t="s">
        <v>75</v>
      </c>
      <c r="F2087" s="79" t="str">
        <f>IF(E2087="", "", IF(COUNTIF(ChestType!$A$5:$A$195, E2087)&gt;0, VLOOKUP(E2087, ChestType!$A$5:$B$195, 2, 0), "Others"))</f>
        <v>L10 Rare Crypt</v>
      </c>
    </row>
    <row r="2088" spans="1:6" x14ac:dyDescent="0.25">
      <c r="A2088" s="14">
        <v>46146.759722222225</v>
      </c>
      <c r="B2088" s="79" t="s">
        <v>149</v>
      </c>
      <c r="C2088" s="79" t="s">
        <v>192</v>
      </c>
      <c r="D2088" s="79" t="s">
        <v>194</v>
      </c>
      <c r="E2088" s="79" t="s">
        <v>60</v>
      </c>
      <c r="F2088" s="79" t="str">
        <f>IF(E2088="", "", IF(COUNTIF(ChestType!$A$5:$A$195, E2088)&gt;0, VLOOKUP(E2088, ChestType!$A$5:$B$195, 2, 0), "Others"))</f>
        <v>Others</v>
      </c>
    </row>
    <row r="2089" spans="1:6" x14ac:dyDescent="0.25">
      <c r="A2089" s="14">
        <v>46146.759722222225</v>
      </c>
      <c r="B2089" s="79" t="s">
        <v>149</v>
      </c>
      <c r="C2089" s="79" t="s">
        <v>175</v>
      </c>
      <c r="D2089" s="79" t="s">
        <v>161</v>
      </c>
      <c r="E2089" s="79" t="s">
        <v>50</v>
      </c>
      <c r="F2089" s="79" t="str">
        <f>IF(E2089="", "", IF(COUNTIF(ChestType!$A$5:$A$195, E2089)&gt;0, VLOOKUP(E2089, ChestType!$A$5:$B$195, 2, 0), "Others"))</f>
        <v>L10 Crypt</v>
      </c>
    </row>
    <row r="2090" spans="1:6" x14ac:dyDescent="0.25">
      <c r="A2090" s="14">
        <v>46146.759722222225</v>
      </c>
      <c r="B2090" s="79" t="s">
        <v>149</v>
      </c>
      <c r="C2090" s="79" t="s">
        <v>175</v>
      </c>
      <c r="D2090" s="79" t="s">
        <v>199</v>
      </c>
      <c r="E2090" s="79" t="s">
        <v>50</v>
      </c>
      <c r="F2090" s="79" t="str">
        <f>IF(E2090="", "", IF(COUNTIF(ChestType!$A$5:$A$195, E2090)&gt;0, VLOOKUP(E2090, ChestType!$A$5:$B$195, 2, 0), "Others"))</f>
        <v>L10 Crypt</v>
      </c>
    </row>
    <row r="2091" spans="1:6" x14ac:dyDescent="0.25">
      <c r="A2091" s="14">
        <v>46146.759722222225</v>
      </c>
      <c r="B2091" s="79" t="s">
        <v>149</v>
      </c>
      <c r="C2091" s="79" t="s">
        <v>187</v>
      </c>
      <c r="D2091" s="79" t="s">
        <v>167</v>
      </c>
      <c r="E2091" s="79" t="s">
        <v>75</v>
      </c>
      <c r="F2091" s="79" t="str">
        <f>IF(E2091="", "", IF(COUNTIF(ChestType!$A$5:$A$195, E2091)&gt;0, VLOOKUP(E2091, ChestType!$A$5:$B$195, 2, 0), "Others"))</f>
        <v>L10 Rare Crypt</v>
      </c>
    </row>
    <row r="2092" spans="1:6" x14ac:dyDescent="0.25">
      <c r="A2092" s="14">
        <v>46146.759722222225</v>
      </c>
      <c r="B2092" s="79" t="s">
        <v>149</v>
      </c>
      <c r="C2092" s="79" t="s">
        <v>158</v>
      </c>
      <c r="D2092" s="79" t="s">
        <v>179</v>
      </c>
      <c r="E2092" s="79" t="s">
        <v>49</v>
      </c>
      <c r="F2092" s="79" t="str">
        <f>IF(E2092="", "", IF(COUNTIF(ChestType!$A$5:$A$195, E2092)&gt;0, VLOOKUP(E2092, ChestType!$A$5:$B$195, 2, 0), "Others"))</f>
        <v>L15 Crypt</v>
      </c>
    </row>
    <row r="2093" spans="1:6" x14ac:dyDescent="0.25">
      <c r="A2093" s="14">
        <v>46146.759722222225</v>
      </c>
      <c r="B2093" s="79" t="s">
        <v>149</v>
      </c>
      <c r="C2093" s="79" t="s">
        <v>187</v>
      </c>
      <c r="D2093" s="79" t="s">
        <v>167</v>
      </c>
      <c r="E2093" s="79" t="s">
        <v>75</v>
      </c>
      <c r="F2093" s="79" t="str">
        <f>IF(E2093="", "", IF(COUNTIF(ChestType!$A$5:$A$195, E2093)&gt;0, VLOOKUP(E2093, ChestType!$A$5:$B$195, 2, 0), "Others"))</f>
        <v>L10 Rare Crypt</v>
      </c>
    </row>
    <row r="2094" spans="1:6" x14ac:dyDescent="0.25">
      <c r="A2094" s="14">
        <v>46146.759722222225</v>
      </c>
      <c r="B2094" s="79" t="s">
        <v>149</v>
      </c>
      <c r="C2094" s="79" t="s">
        <v>185</v>
      </c>
      <c r="D2094" s="79" t="s">
        <v>179</v>
      </c>
      <c r="E2094" s="79" t="s">
        <v>50</v>
      </c>
      <c r="F2094" s="79" t="str">
        <f>IF(E2094="", "", IF(COUNTIF(ChestType!$A$5:$A$195, E2094)&gt;0, VLOOKUP(E2094, ChestType!$A$5:$B$195, 2, 0), "Others"))</f>
        <v>L10 Crypt</v>
      </c>
    </row>
    <row r="2095" spans="1:6" x14ac:dyDescent="0.25">
      <c r="A2095" s="14">
        <v>46146.759722222225</v>
      </c>
      <c r="B2095" s="79" t="s">
        <v>149</v>
      </c>
      <c r="C2095" s="79" t="s">
        <v>175</v>
      </c>
      <c r="D2095" s="79" t="s">
        <v>179</v>
      </c>
      <c r="E2095" s="79" t="s">
        <v>50</v>
      </c>
      <c r="F2095" s="79" t="str">
        <f>IF(E2095="", "", IF(COUNTIF(ChestType!$A$5:$A$195, E2095)&gt;0, VLOOKUP(E2095, ChestType!$A$5:$B$195, 2, 0), "Others"))</f>
        <v>L10 Crypt</v>
      </c>
    </row>
    <row r="2096" spans="1:6" x14ac:dyDescent="0.25">
      <c r="A2096" s="14">
        <v>46146.759722222225</v>
      </c>
      <c r="B2096" s="79" t="s">
        <v>149</v>
      </c>
      <c r="C2096" s="79" t="s">
        <v>151</v>
      </c>
      <c r="D2096" s="79" t="s">
        <v>179</v>
      </c>
      <c r="E2096" s="79" t="s">
        <v>50</v>
      </c>
      <c r="F2096" s="79" t="str">
        <f>IF(E2096="", "", IF(COUNTIF(ChestType!$A$5:$A$195, E2096)&gt;0, VLOOKUP(E2096, ChestType!$A$5:$B$195, 2, 0), "Others"))</f>
        <v>L10 Crypt</v>
      </c>
    </row>
    <row r="2097" spans="1:6" x14ac:dyDescent="0.25">
      <c r="A2097" s="14">
        <v>46146.759722222225</v>
      </c>
      <c r="B2097" s="79" t="s">
        <v>149</v>
      </c>
      <c r="C2097" s="79" t="s">
        <v>151</v>
      </c>
      <c r="D2097" s="79" t="s">
        <v>161</v>
      </c>
      <c r="E2097" s="79" t="s">
        <v>50</v>
      </c>
      <c r="F2097" s="79" t="str">
        <f>IF(E2097="", "", IF(COUNTIF(ChestType!$A$5:$A$195, E2097)&gt;0, VLOOKUP(E2097, ChestType!$A$5:$B$195, 2, 0), "Others"))</f>
        <v>L10 Crypt</v>
      </c>
    </row>
    <row r="2098" spans="1:6" x14ac:dyDescent="0.25">
      <c r="A2098" s="14">
        <v>46146.759722222225</v>
      </c>
      <c r="B2098" s="79" t="s">
        <v>149</v>
      </c>
      <c r="C2098" s="79" t="s">
        <v>177</v>
      </c>
      <c r="D2098" s="79" t="s">
        <v>161</v>
      </c>
      <c r="E2098" s="79" t="s">
        <v>52</v>
      </c>
      <c r="F2098" s="79" t="str">
        <f>IF(E2098="", "", IF(COUNTIF(ChestType!$A$5:$A$195, E2098)&gt;0, VLOOKUP(E2098, ChestType!$A$5:$B$195, 2, 0), "Others"))</f>
        <v>L5 Crypt</v>
      </c>
    </row>
    <row r="2099" spans="1:6" x14ac:dyDescent="0.25">
      <c r="A2099" s="14">
        <v>46146.759722222225</v>
      </c>
      <c r="B2099" s="79" t="s">
        <v>149</v>
      </c>
      <c r="C2099" s="79" t="s">
        <v>177</v>
      </c>
      <c r="D2099" s="79" t="s">
        <v>262</v>
      </c>
      <c r="E2099" s="79" t="s">
        <v>50</v>
      </c>
      <c r="F2099" s="79" t="str">
        <f>IF(E2099="", "", IF(COUNTIF(ChestType!$A$5:$A$195, E2099)&gt;0, VLOOKUP(E2099, ChestType!$A$5:$B$195, 2, 0), "Others"))</f>
        <v>L10 Crypt</v>
      </c>
    </row>
    <row r="2100" spans="1:6" x14ac:dyDescent="0.25">
      <c r="A2100" s="14">
        <v>46146.759722222225</v>
      </c>
      <c r="B2100" s="79" t="s">
        <v>149</v>
      </c>
      <c r="C2100" s="79" t="s">
        <v>151</v>
      </c>
      <c r="D2100" s="79" t="s">
        <v>262</v>
      </c>
      <c r="E2100" s="79" t="s">
        <v>52</v>
      </c>
      <c r="F2100" s="79" t="str">
        <f>IF(E2100="", "", IF(COUNTIF(ChestType!$A$5:$A$195, E2100)&gt;0, VLOOKUP(E2100, ChestType!$A$5:$B$195, 2, 0), "Others"))</f>
        <v>L5 Crypt</v>
      </c>
    </row>
    <row r="2101" spans="1:6" x14ac:dyDescent="0.25">
      <c r="A2101" s="14">
        <v>46146.759722222225</v>
      </c>
      <c r="B2101" s="79" t="s">
        <v>149</v>
      </c>
      <c r="C2101" s="79" t="s">
        <v>173</v>
      </c>
      <c r="D2101" s="79" t="s">
        <v>267</v>
      </c>
      <c r="E2101" s="79" t="s">
        <v>52</v>
      </c>
      <c r="F2101" s="79" t="str">
        <f>IF(E2101="", "", IF(COUNTIF(ChestType!$A$5:$A$195, E2101)&gt;0, VLOOKUP(E2101, ChestType!$A$5:$B$195, 2, 0), "Others"))</f>
        <v>L5 Crypt</v>
      </c>
    </row>
    <row r="2102" spans="1:6" x14ac:dyDescent="0.25">
      <c r="A2102" s="14">
        <v>46146.759722222225</v>
      </c>
      <c r="B2102" s="79" t="s">
        <v>149</v>
      </c>
      <c r="C2102" s="79" t="s">
        <v>175</v>
      </c>
      <c r="D2102" s="79" t="s">
        <v>269</v>
      </c>
      <c r="E2102" s="79" t="s">
        <v>52</v>
      </c>
      <c r="F2102" s="79" t="str">
        <f>IF(E2102="", "", IF(COUNTIF(ChestType!$A$5:$A$195, E2102)&gt;0, VLOOKUP(E2102, ChestType!$A$5:$B$195, 2, 0), "Others"))</f>
        <v>L5 Crypt</v>
      </c>
    </row>
    <row r="2103" spans="1:6" x14ac:dyDescent="0.25">
      <c r="A2103" s="14">
        <v>46146.759722222225</v>
      </c>
      <c r="B2103" s="79" t="s">
        <v>149</v>
      </c>
      <c r="C2103" s="79" t="s">
        <v>173</v>
      </c>
      <c r="D2103" s="79" t="s">
        <v>199</v>
      </c>
      <c r="E2103" s="79" t="s">
        <v>50</v>
      </c>
      <c r="F2103" s="79" t="str">
        <f>IF(E2103="", "", IF(COUNTIF(ChestType!$A$5:$A$195, E2103)&gt;0, VLOOKUP(E2103, ChestType!$A$5:$B$195, 2, 0), "Others"))</f>
        <v>L10 Crypt</v>
      </c>
    </row>
    <row r="2104" spans="1:6" x14ac:dyDescent="0.25">
      <c r="A2104" s="14">
        <v>46146.759722222225</v>
      </c>
      <c r="B2104" s="79" t="s">
        <v>149</v>
      </c>
      <c r="C2104" s="79" t="s">
        <v>192</v>
      </c>
      <c r="D2104" s="79" t="s">
        <v>199</v>
      </c>
      <c r="E2104" s="79" t="s">
        <v>60</v>
      </c>
      <c r="F2104" s="79" t="str">
        <f>IF(E2104="", "", IF(COUNTIF(ChestType!$A$5:$A$195, E2104)&gt;0, VLOOKUP(E2104, ChestType!$A$5:$B$195, 2, 0), "Others"))</f>
        <v>Others</v>
      </c>
    </row>
    <row r="2105" spans="1:6" x14ac:dyDescent="0.25">
      <c r="A2105" s="14">
        <v>46146.759722222225</v>
      </c>
      <c r="B2105" s="79" t="s">
        <v>149</v>
      </c>
      <c r="C2105" s="79" t="s">
        <v>177</v>
      </c>
      <c r="D2105" s="79" t="s">
        <v>165</v>
      </c>
      <c r="E2105" s="79" t="s">
        <v>50</v>
      </c>
      <c r="F2105" s="79" t="str">
        <f>IF(E2105="", "", IF(COUNTIF(ChestType!$A$5:$A$195, E2105)&gt;0, VLOOKUP(E2105, ChestType!$A$5:$B$195, 2, 0), "Others"))</f>
        <v>L10 Crypt</v>
      </c>
    </row>
    <row r="2106" spans="1:6" x14ac:dyDescent="0.25">
      <c r="A2106" s="14">
        <v>46146.759722222225</v>
      </c>
      <c r="B2106" s="79" t="s">
        <v>149</v>
      </c>
      <c r="C2106" s="79" t="s">
        <v>158</v>
      </c>
      <c r="D2106" s="79" t="s">
        <v>169</v>
      </c>
      <c r="E2106" s="79" t="s">
        <v>49</v>
      </c>
      <c r="F2106" s="79" t="str">
        <f>IF(E2106="", "", IF(COUNTIF(ChestType!$A$5:$A$195, E2106)&gt;0, VLOOKUP(E2106, ChestType!$A$5:$B$195, 2, 0), "Others"))</f>
        <v>L15 Crypt</v>
      </c>
    </row>
    <row r="2107" spans="1:6" x14ac:dyDescent="0.25">
      <c r="A2107" s="14">
        <v>46146.759722222225</v>
      </c>
      <c r="B2107" s="79" t="s">
        <v>149</v>
      </c>
      <c r="C2107" s="79" t="s">
        <v>151</v>
      </c>
      <c r="D2107" s="79" t="s">
        <v>179</v>
      </c>
      <c r="E2107" s="79" t="s">
        <v>50</v>
      </c>
      <c r="F2107" s="79" t="str">
        <f>IF(E2107="", "", IF(COUNTIF(ChestType!$A$5:$A$195, E2107)&gt;0, VLOOKUP(E2107, ChestType!$A$5:$B$195, 2, 0), "Others"))</f>
        <v>L10 Crypt</v>
      </c>
    </row>
    <row r="2108" spans="1:6" x14ac:dyDescent="0.25">
      <c r="A2108" s="14">
        <v>46146.759722222225</v>
      </c>
      <c r="B2108" s="79" t="s">
        <v>149</v>
      </c>
      <c r="C2108" s="79" t="s">
        <v>171</v>
      </c>
      <c r="D2108" s="79" t="s">
        <v>169</v>
      </c>
      <c r="E2108" s="79" t="s">
        <v>52</v>
      </c>
      <c r="F2108" s="79" t="str">
        <f>IF(E2108="", "", IF(COUNTIF(ChestType!$A$5:$A$195, E2108)&gt;0, VLOOKUP(E2108, ChestType!$A$5:$B$195, 2, 0), "Others"))</f>
        <v>L5 Crypt</v>
      </c>
    </row>
    <row r="2109" spans="1:6" x14ac:dyDescent="0.25">
      <c r="A2109" s="14">
        <v>46146.759722222225</v>
      </c>
      <c r="B2109" s="79" t="s">
        <v>149</v>
      </c>
      <c r="C2109" s="79" t="s">
        <v>183</v>
      </c>
      <c r="D2109" s="79" t="s">
        <v>268</v>
      </c>
      <c r="E2109" s="79" t="s">
        <v>52</v>
      </c>
      <c r="F2109" s="79" t="str">
        <f>IF(E2109="", "", IF(COUNTIF(ChestType!$A$5:$A$195, E2109)&gt;0, VLOOKUP(E2109, ChestType!$A$5:$B$195, 2, 0), "Others"))</f>
        <v>L5 Crypt</v>
      </c>
    </row>
    <row r="2110" spans="1:6" x14ac:dyDescent="0.25">
      <c r="A2110" s="14">
        <v>46146.759722222225</v>
      </c>
      <c r="B2110" s="79" t="s">
        <v>149</v>
      </c>
      <c r="C2110" s="79" t="s">
        <v>177</v>
      </c>
      <c r="D2110" s="79" t="s">
        <v>179</v>
      </c>
      <c r="E2110" s="79" t="s">
        <v>50</v>
      </c>
      <c r="F2110" s="79" t="str">
        <f>IF(E2110="", "", IF(COUNTIF(ChestType!$A$5:$A$195, E2110)&gt;0, VLOOKUP(E2110, ChestType!$A$5:$B$195, 2, 0), "Others"))</f>
        <v>L10 Crypt</v>
      </c>
    </row>
    <row r="2111" spans="1:6" x14ac:dyDescent="0.25">
      <c r="A2111" s="14">
        <v>46146.759722222225</v>
      </c>
      <c r="B2111" s="79" t="s">
        <v>149</v>
      </c>
      <c r="C2111" s="79" t="s">
        <v>175</v>
      </c>
      <c r="D2111" s="79" t="s">
        <v>179</v>
      </c>
      <c r="E2111" s="79" t="s">
        <v>50</v>
      </c>
      <c r="F2111" s="79" t="str">
        <f>IF(E2111="", "", IF(COUNTIF(ChestType!$A$5:$A$195, E2111)&gt;0, VLOOKUP(E2111, ChestType!$A$5:$B$195, 2, 0), "Others"))</f>
        <v>L10 Crypt</v>
      </c>
    </row>
    <row r="2112" spans="1:6" x14ac:dyDescent="0.25">
      <c r="A2112" s="14">
        <v>46146.759722222225</v>
      </c>
      <c r="B2112" s="79" t="s">
        <v>149</v>
      </c>
      <c r="C2112" s="79" t="s">
        <v>185</v>
      </c>
      <c r="D2112" s="79" t="s">
        <v>153</v>
      </c>
      <c r="E2112" s="79" t="s">
        <v>49</v>
      </c>
      <c r="F2112" s="79" t="str">
        <f>IF(E2112="", "", IF(COUNTIF(ChestType!$A$5:$A$195, E2112)&gt;0, VLOOKUP(E2112, ChestType!$A$5:$B$195, 2, 0), "Others"))</f>
        <v>L15 Crypt</v>
      </c>
    </row>
    <row r="2113" spans="1:6" x14ac:dyDescent="0.25">
      <c r="A2113" s="14">
        <v>46146.759722222225</v>
      </c>
      <c r="B2113" s="79" t="s">
        <v>149</v>
      </c>
      <c r="C2113" s="79" t="s">
        <v>182</v>
      </c>
      <c r="D2113" s="79" t="s">
        <v>164</v>
      </c>
      <c r="E2113" s="79" t="s">
        <v>50</v>
      </c>
      <c r="F2113" s="79" t="str">
        <f>IF(E2113="", "", IF(COUNTIF(ChestType!$A$5:$A$195, E2113)&gt;0, VLOOKUP(E2113, ChestType!$A$5:$B$195, 2, 0), "Others"))</f>
        <v>L10 Crypt</v>
      </c>
    </row>
    <row r="2114" spans="1:6" x14ac:dyDescent="0.25">
      <c r="A2114" s="14">
        <v>46146.759722222225</v>
      </c>
      <c r="B2114" s="79" t="s">
        <v>149</v>
      </c>
      <c r="C2114" s="79" t="s">
        <v>151</v>
      </c>
      <c r="D2114" s="79" t="s">
        <v>246</v>
      </c>
      <c r="E2114" s="79" t="s">
        <v>52</v>
      </c>
      <c r="F2114" s="79" t="str">
        <f>IF(E2114="", "", IF(COUNTIF(ChestType!$A$5:$A$195, E2114)&gt;0, VLOOKUP(E2114, ChestType!$A$5:$B$195, 2, 0), "Others"))</f>
        <v>L5 Crypt</v>
      </c>
    </row>
    <row r="2115" spans="1:6" x14ac:dyDescent="0.25">
      <c r="A2115" s="14">
        <v>46146.759722222225</v>
      </c>
      <c r="B2115" s="79" t="s">
        <v>149</v>
      </c>
      <c r="C2115" s="79" t="s">
        <v>158</v>
      </c>
      <c r="D2115" s="79" t="s">
        <v>153</v>
      </c>
      <c r="E2115" s="79" t="s">
        <v>50</v>
      </c>
      <c r="F2115" s="79" t="str">
        <f>IF(E2115="", "", IF(COUNTIF(ChestType!$A$5:$A$195, E2115)&gt;0, VLOOKUP(E2115, ChestType!$A$5:$B$195, 2, 0), "Others"))</f>
        <v>L10 Crypt</v>
      </c>
    </row>
    <row r="2116" spans="1:6" x14ac:dyDescent="0.25">
      <c r="A2116" s="14">
        <v>46146.759722222225</v>
      </c>
      <c r="B2116" s="79" t="s">
        <v>149</v>
      </c>
      <c r="C2116" s="79" t="s">
        <v>187</v>
      </c>
      <c r="D2116" s="79" t="s">
        <v>167</v>
      </c>
      <c r="E2116" s="79" t="s">
        <v>75</v>
      </c>
      <c r="F2116" s="79" t="str">
        <f>IF(E2116="", "", IF(COUNTIF(ChestType!$A$5:$A$195, E2116)&gt;0, VLOOKUP(E2116, ChestType!$A$5:$B$195, 2, 0), "Others"))</f>
        <v>L10 Rare Crypt</v>
      </c>
    </row>
    <row r="2117" spans="1:6" x14ac:dyDescent="0.25">
      <c r="A2117" s="14">
        <v>46146.759722222225</v>
      </c>
      <c r="B2117" s="79" t="s">
        <v>149</v>
      </c>
      <c r="C2117" s="79" t="s">
        <v>177</v>
      </c>
      <c r="D2117" s="79" t="s">
        <v>164</v>
      </c>
      <c r="E2117" s="79" t="s">
        <v>49</v>
      </c>
      <c r="F2117" s="79" t="str">
        <f>IF(E2117="", "", IF(COUNTIF(ChestType!$A$5:$A$195, E2117)&gt;0, VLOOKUP(E2117, ChestType!$A$5:$B$195, 2, 0), "Others"))</f>
        <v>L15 Crypt</v>
      </c>
    </row>
    <row r="2118" spans="1:6" x14ac:dyDescent="0.25">
      <c r="A2118" s="14">
        <v>46146.759722222225</v>
      </c>
      <c r="B2118" s="79" t="s">
        <v>149</v>
      </c>
      <c r="C2118" s="79" t="s">
        <v>182</v>
      </c>
      <c r="D2118" s="79" t="s">
        <v>199</v>
      </c>
      <c r="E2118" s="79" t="s">
        <v>49</v>
      </c>
      <c r="F2118" s="79" t="str">
        <f>IF(E2118="", "", IF(COUNTIF(ChestType!$A$5:$A$195, E2118)&gt;0, VLOOKUP(E2118, ChestType!$A$5:$B$195, 2, 0), "Others"))</f>
        <v>L15 Crypt</v>
      </c>
    </row>
    <row r="2119" spans="1:6" x14ac:dyDescent="0.25">
      <c r="A2119" s="14">
        <v>46146.759722222225</v>
      </c>
      <c r="B2119" s="79" t="s">
        <v>149</v>
      </c>
      <c r="C2119" s="79" t="s">
        <v>177</v>
      </c>
      <c r="D2119" s="79" t="s">
        <v>179</v>
      </c>
      <c r="E2119" s="79" t="s">
        <v>50</v>
      </c>
      <c r="F2119" s="79" t="str">
        <f>IF(E2119="", "", IF(COUNTIF(ChestType!$A$5:$A$195, E2119)&gt;0, VLOOKUP(E2119, ChestType!$A$5:$B$195, 2, 0), "Others"))</f>
        <v>L10 Crypt</v>
      </c>
    </row>
    <row r="2120" spans="1:6" x14ac:dyDescent="0.25">
      <c r="A2120" s="14">
        <v>46146.759722222225</v>
      </c>
      <c r="B2120" s="79" t="s">
        <v>149</v>
      </c>
      <c r="C2120" s="79" t="s">
        <v>173</v>
      </c>
      <c r="D2120" s="79" t="s">
        <v>246</v>
      </c>
      <c r="E2120" s="79" t="s">
        <v>50</v>
      </c>
      <c r="F2120" s="79" t="str">
        <f>IF(E2120="", "", IF(COUNTIF(ChestType!$A$5:$A$195, E2120)&gt;0, VLOOKUP(E2120, ChestType!$A$5:$B$195, 2, 0), "Others"))</f>
        <v>L10 Crypt</v>
      </c>
    </row>
    <row r="2121" spans="1:6" x14ac:dyDescent="0.25">
      <c r="A2121" s="14">
        <v>46146.759722222225</v>
      </c>
      <c r="B2121" s="79" t="s">
        <v>149</v>
      </c>
      <c r="C2121" s="79" t="s">
        <v>173</v>
      </c>
      <c r="D2121" s="79" t="s">
        <v>164</v>
      </c>
      <c r="E2121" s="79" t="s">
        <v>50</v>
      </c>
      <c r="F2121" s="79" t="str">
        <f>IF(E2121="", "", IF(COUNTIF(ChestType!$A$5:$A$195, E2121)&gt;0, VLOOKUP(E2121, ChestType!$A$5:$B$195, 2, 0), "Others"))</f>
        <v>L10 Crypt</v>
      </c>
    </row>
    <row r="2122" spans="1:6" x14ac:dyDescent="0.25">
      <c r="A2122" s="14">
        <v>46146.759722222225</v>
      </c>
      <c r="B2122" s="79" t="s">
        <v>149</v>
      </c>
      <c r="C2122" s="79" t="s">
        <v>173</v>
      </c>
      <c r="D2122" s="79" t="s">
        <v>168</v>
      </c>
      <c r="E2122" s="79" t="s">
        <v>50</v>
      </c>
      <c r="F2122" s="79" t="str">
        <f>IF(E2122="", "", IF(COUNTIF(ChestType!$A$5:$A$195, E2122)&gt;0, VLOOKUP(E2122, ChestType!$A$5:$B$195, 2, 0), "Others"))</f>
        <v>L10 Crypt</v>
      </c>
    </row>
    <row r="2123" spans="1:6" x14ac:dyDescent="0.25">
      <c r="A2123" s="14">
        <v>46146.759722222225</v>
      </c>
      <c r="B2123" s="79" t="s">
        <v>149</v>
      </c>
      <c r="C2123" s="79" t="s">
        <v>176</v>
      </c>
      <c r="D2123" s="79" t="s">
        <v>167</v>
      </c>
      <c r="E2123" s="79" t="s">
        <v>70</v>
      </c>
      <c r="F2123" s="79" t="str">
        <f>IF(E2123="", "", IF(COUNTIF(ChestType!$A$5:$A$195, E2123)&gt;0, VLOOKUP(E2123, ChestType!$A$5:$B$195, 2, 0), "Others"))</f>
        <v>L10 Citadel</v>
      </c>
    </row>
    <row r="2124" spans="1:6" x14ac:dyDescent="0.25">
      <c r="A2124" s="14">
        <v>46146.759722222225</v>
      </c>
      <c r="B2124" s="79" t="s">
        <v>149</v>
      </c>
      <c r="C2124" s="79" t="s">
        <v>176</v>
      </c>
      <c r="D2124" s="79" t="s">
        <v>231</v>
      </c>
      <c r="E2124" s="79" t="s">
        <v>70</v>
      </c>
      <c r="F2124" s="79" t="str">
        <f>IF(E2124="", "", IF(COUNTIF(ChestType!$A$5:$A$195, E2124)&gt;0, VLOOKUP(E2124, ChestType!$A$5:$B$195, 2, 0), "Others"))</f>
        <v>L10 Citadel</v>
      </c>
    </row>
    <row r="2125" spans="1:6" x14ac:dyDescent="0.25">
      <c r="A2125" s="14">
        <v>46146.759722222225</v>
      </c>
      <c r="B2125" s="79" t="s">
        <v>149</v>
      </c>
      <c r="C2125" s="79" t="s">
        <v>182</v>
      </c>
      <c r="D2125" s="79" t="s">
        <v>179</v>
      </c>
      <c r="E2125" s="79" t="s">
        <v>50</v>
      </c>
      <c r="F2125" s="79" t="str">
        <f>IF(E2125="", "", IF(COUNTIF(ChestType!$A$5:$A$195, E2125)&gt;0, VLOOKUP(E2125, ChestType!$A$5:$B$195, 2, 0), "Others"))</f>
        <v>L10 Crypt</v>
      </c>
    </row>
    <row r="2126" spans="1:6" x14ac:dyDescent="0.25">
      <c r="A2126" s="14">
        <v>46146.759722222225</v>
      </c>
      <c r="B2126" s="79" t="s">
        <v>149</v>
      </c>
      <c r="C2126" s="79" t="s">
        <v>187</v>
      </c>
      <c r="D2126" s="79" t="s">
        <v>231</v>
      </c>
      <c r="E2126" s="79" t="s">
        <v>75</v>
      </c>
      <c r="F2126" s="79" t="str">
        <f>IF(E2126="", "", IF(COUNTIF(ChestType!$A$5:$A$195, E2126)&gt;0, VLOOKUP(E2126, ChestType!$A$5:$B$195, 2, 0), "Others"))</f>
        <v>L10 Rare Crypt</v>
      </c>
    </row>
    <row r="2127" spans="1:6" x14ac:dyDescent="0.25">
      <c r="A2127" s="14">
        <v>46146.759722222225</v>
      </c>
      <c r="B2127" s="79" t="s">
        <v>149</v>
      </c>
      <c r="C2127" s="79" t="s">
        <v>182</v>
      </c>
      <c r="D2127" s="79" t="s">
        <v>168</v>
      </c>
      <c r="E2127" s="79" t="s">
        <v>50</v>
      </c>
      <c r="F2127" s="79" t="str">
        <f>IF(E2127="", "", IF(COUNTIF(ChestType!$A$5:$A$195, E2127)&gt;0, VLOOKUP(E2127, ChestType!$A$5:$B$195, 2, 0), "Others"))</f>
        <v>L10 Crypt</v>
      </c>
    </row>
    <row r="2128" spans="1:6" x14ac:dyDescent="0.25">
      <c r="A2128" s="14">
        <v>46146.759722222225</v>
      </c>
      <c r="B2128" s="79" t="s">
        <v>149</v>
      </c>
      <c r="C2128" s="79" t="s">
        <v>181</v>
      </c>
      <c r="D2128" s="79" t="s">
        <v>251</v>
      </c>
      <c r="E2128" s="79" t="s">
        <v>49</v>
      </c>
      <c r="F2128" s="79" t="str">
        <f>IF(E2128="", "", IF(COUNTIF(ChestType!$A$5:$A$195, E2128)&gt;0, VLOOKUP(E2128, ChestType!$A$5:$B$195, 2, 0), "Others"))</f>
        <v>L15 Crypt</v>
      </c>
    </row>
    <row r="2129" spans="1:6" x14ac:dyDescent="0.25">
      <c r="A2129" s="14">
        <v>46146.759722222225</v>
      </c>
      <c r="B2129" s="79" t="s">
        <v>149</v>
      </c>
      <c r="C2129" s="79" t="s">
        <v>184</v>
      </c>
      <c r="D2129" s="79" t="s">
        <v>168</v>
      </c>
      <c r="E2129" s="79" t="s">
        <v>50</v>
      </c>
      <c r="F2129" s="79" t="str">
        <f>IF(E2129="", "", IF(COUNTIF(ChestType!$A$5:$A$195, E2129)&gt;0, VLOOKUP(E2129, ChestType!$A$5:$B$195, 2, 0), "Others"))</f>
        <v>L10 Crypt</v>
      </c>
    </row>
    <row r="2130" spans="1:6" x14ac:dyDescent="0.25">
      <c r="A2130" s="14">
        <v>46146.759722222225</v>
      </c>
      <c r="B2130" s="79" t="s">
        <v>149</v>
      </c>
      <c r="C2130" s="79" t="s">
        <v>182</v>
      </c>
      <c r="D2130" s="79" t="s">
        <v>231</v>
      </c>
      <c r="E2130" s="79" t="s">
        <v>50</v>
      </c>
      <c r="F2130" s="79" t="str">
        <f>IF(E2130="", "", IF(COUNTIF(ChestType!$A$5:$A$195, E2130)&gt;0, VLOOKUP(E2130, ChestType!$A$5:$B$195, 2, 0), "Others"))</f>
        <v>L10 Crypt</v>
      </c>
    </row>
    <row r="2131" spans="1:6" x14ac:dyDescent="0.25">
      <c r="A2131" s="14">
        <v>46146.759722222225</v>
      </c>
      <c r="B2131" s="79" t="s">
        <v>149</v>
      </c>
      <c r="C2131" s="79" t="s">
        <v>184</v>
      </c>
      <c r="D2131" s="79" t="s">
        <v>164</v>
      </c>
      <c r="E2131" s="79" t="s">
        <v>50</v>
      </c>
      <c r="F2131" s="79" t="str">
        <f>IF(E2131="", "", IF(COUNTIF(ChestType!$A$5:$A$195, E2131)&gt;0, VLOOKUP(E2131, ChestType!$A$5:$B$195, 2, 0), "Others"))</f>
        <v>L10 Crypt</v>
      </c>
    </row>
    <row r="2132" spans="1:6" x14ac:dyDescent="0.25">
      <c r="A2132" s="14">
        <v>46146.759722222225</v>
      </c>
      <c r="B2132" s="79" t="s">
        <v>149</v>
      </c>
      <c r="C2132" s="79" t="s">
        <v>181</v>
      </c>
      <c r="D2132" s="79" t="s">
        <v>231</v>
      </c>
      <c r="E2132" s="79" t="s">
        <v>52</v>
      </c>
      <c r="F2132" s="79" t="str">
        <f>IF(E2132="", "", IF(COUNTIF(ChestType!$A$5:$A$195, E2132)&gt;0, VLOOKUP(E2132, ChestType!$A$5:$B$195, 2, 0), "Others"))</f>
        <v>L5 Crypt</v>
      </c>
    </row>
    <row r="2133" spans="1:6" x14ac:dyDescent="0.25">
      <c r="A2133" s="14">
        <v>46146.759722222225</v>
      </c>
      <c r="B2133" s="79" t="s">
        <v>149</v>
      </c>
      <c r="C2133" s="79" t="s">
        <v>187</v>
      </c>
      <c r="D2133" s="79" t="s">
        <v>167</v>
      </c>
      <c r="E2133" s="79" t="s">
        <v>75</v>
      </c>
      <c r="F2133" s="79" t="str">
        <f>IF(E2133="", "", IF(COUNTIF(ChestType!$A$5:$A$195, E2133)&gt;0, VLOOKUP(E2133, ChestType!$A$5:$B$195, 2, 0), "Others"))</f>
        <v>L10 Rare Crypt</v>
      </c>
    </row>
    <row r="2134" spans="1:6" x14ac:dyDescent="0.25">
      <c r="A2134" s="14">
        <v>46146.759722222225</v>
      </c>
      <c r="B2134" s="79" t="s">
        <v>149</v>
      </c>
      <c r="C2134" s="79" t="s">
        <v>175</v>
      </c>
      <c r="D2134" s="79" t="s">
        <v>231</v>
      </c>
      <c r="E2134" s="79" t="s">
        <v>50</v>
      </c>
      <c r="F2134" s="79" t="str">
        <f>IF(E2134="", "", IF(COUNTIF(ChestType!$A$5:$A$195, E2134)&gt;0, VLOOKUP(E2134, ChestType!$A$5:$B$195, 2, 0), "Others"))</f>
        <v>L10 Crypt</v>
      </c>
    </row>
    <row r="2135" spans="1:6" x14ac:dyDescent="0.25">
      <c r="A2135" s="14">
        <v>46146.759722222225</v>
      </c>
      <c r="B2135" s="79" t="s">
        <v>149</v>
      </c>
      <c r="C2135" s="79" t="s">
        <v>182</v>
      </c>
      <c r="D2135" s="79" t="s">
        <v>229</v>
      </c>
      <c r="E2135" s="79" t="s">
        <v>48</v>
      </c>
      <c r="F2135" s="79" t="str">
        <f>IF(E2135="", "", IF(COUNTIF(ChestType!$A$5:$A$195, E2135)&gt;0, VLOOKUP(E2135, ChestType!$A$5:$B$195, 2, 0), "Others"))</f>
        <v>L20 Crypt</v>
      </c>
    </row>
    <row r="2136" spans="1:6" x14ac:dyDescent="0.25">
      <c r="A2136" s="14">
        <v>46146.759722222225</v>
      </c>
      <c r="B2136" s="79" t="s">
        <v>149</v>
      </c>
      <c r="C2136" s="79" t="s">
        <v>176</v>
      </c>
      <c r="D2136" s="79" t="s">
        <v>167</v>
      </c>
      <c r="E2136" s="79" t="s">
        <v>70</v>
      </c>
      <c r="F2136" s="79" t="str">
        <f>IF(E2136="", "", IF(COUNTIF(ChestType!$A$5:$A$195, E2136)&gt;0, VLOOKUP(E2136, ChestType!$A$5:$B$195, 2, 0), "Others"))</f>
        <v>L10 Citadel</v>
      </c>
    </row>
    <row r="2137" spans="1:6" x14ac:dyDescent="0.25">
      <c r="A2137" s="14">
        <v>46146.759722222225</v>
      </c>
      <c r="B2137" s="79" t="s">
        <v>149</v>
      </c>
      <c r="C2137" s="79" t="s">
        <v>203</v>
      </c>
      <c r="D2137" s="79" t="s">
        <v>201</v>
      </c>
      <c r="E2137" s="79" t="s">
        <v>72</v>
      </c>
      <c r="F2137" s="79" t="str">
        <f>IF(E2137="", "", IF(COUNTIF(ChestType!$A$5:$A$195, E2137)&gt;0, VLOOKUP(E2137, ChestType!$A$5:$B$195, 2, 0), "Others"))</f>
        <v>Others</v>
      </c>
    </row>
    <row r="2138" spans="1:6" x14ac:dyDescent="0.25">
      <c r="A2138" s="14">
        <v>46146.759722222225</v>
      </c>
      <c r="B2138" s="79" t="s">
        <v>149</v>
      </c>
      <c r="C2138" s="79" t="s">
        <v>203</v>
      </c>
      <c r="D2138" s="79" t="s">
        <v>201</v>
      </c>
      <c r="E2138" s="79" t="s">
        <v>72</v>
      </c>
      <c r="F2138" s="79" t="str">
        <f>IF(E2138="", "", IF(COUNTIF(ChestType!$A$5:$A$195, E2138)&gt;0, VLOOKUP(E2138, ChestType!$A$5:$B$195, 2, 0), "Others"))</f>
        <v>Others</v>
      </c>
    </row>
    <row r="2139" spans="1:6" x14ac:dyDescent="0.25">
      <c r="A2139" s="14">
        <v>46146.759722222225</v>
      </c>
      <c r="B2139" s="79" t="s">
        <v>149</v>
      </c>
      <c r="C2139" s="79" t="s">
        <v>203</v>
      </c>
      <c r="D2139" s="79" t="s">
        <v>201</v>
      </c>
      <c r="E2139" s="79" t="s">
        <v>72</v>
      </c>
      <c r="F2139" s="79" t="str">
        <f>IF(E2139="", "", IF(COUNTIF(ChestType!$A$5:$A$195, E2139)&gt;0, VLOOKUP(E2139, ChestType!$A$5:$B$195, 2, 0), "Others"))</f>
        <v>Others</v>
      </c>
    </row>
    <row r="2140" spans="1:6" x14ac:dyDescent="0.25">
      <c r="A2140" s="14">
        <v>46146.759722222225</v>
      </c>
      <c r="B2140" s="79" t="s">
        <v>149</v>
      </c>
      <c r="C2140" s="79" t="s">
        <v>203</v>
      </c>
      <c r="D2140" s="79" t="s">
        <v>201</v>
      </c>
      <c r="E2140" s="79" t="s">
        <v>72</v>
      </c>
      <c r="F2140" s="79" t="str">
        <f>IF(E2140="", "", IF(COUNTIF(ChestType!$A$5:$A$195, E2140)&gt;0, VLOOKUP(E2140, ChestType!$A$5:$B$195, 2, 0), "Others"))</f>
        <v>Others</v>
      </c>
    </row>
    <row r="2141" spans="1:6" x14ac:dyDescent="0.25">
      <c r="A2141" s="14">
        <v>46146.759722222225</v>
      </c>
      <c r="B2141" s="79" t="s">
        <v>149</v>
      </c>
      <c r="C2141" s="79" t="s">
        <v>203</v>
      </c>
      <c r="D2141" s="79" t="s">
        <v>201</v>
      </c>
      <c r="E2141" s="79" t="s">
        <v>72</v>
      </c>
      <c r="F2141" s="79" t="str">
        <f>IF(E2141="", "", IF(COUNTIF(ChestType!$A$5:$A$195, E2141)&gt;0, VLOOKUP(E2141, ChestType!$A$5:$B$195, 2, 0), "Others"))</f>
        <v>Others</v>
      </c>
    </row>
    <row r="2142" spans="1:6" x14ac:dyDescent="0.25">
      <c r="A2142" s="14">
        <v>46146.759722222225</v>
      </c>
      <c r="B2142" s="79" t="s">
        <v>149</v>
      </c>
      <c r="C2142" s="79" t="s">
        <v>182</v>
      </c>
      <c r="D2142" s="79" t="s">
        <v>251</v>
      </c>
      <c r="E2142" s="79" t="s">
        <v>49</v>
      </c>
      <c r="F2142" s="79" t="str">
        <f>IF(E2142="", "", IF(COUNTIF(ChestType!$A$5:$A$195, E2142)&gt;0, VLOOKUP(E2142, ChestType!$A$5:$B$195, 2, 0), "Others"))</f>
        <v>L15 Crypt</v>
      </c>
    </row>
    <row r="2143" spans="1:6" x14ac:dyDescent="0.25">
      <c r="A2143" s="14">
        <v>46146.759722222225</v>
      </c>
      <c r="B2143" s="79" t="s">
        <v>149</v>
      </c>
      <c r="C2143" s="79" t="s">
        <v>183</v>
      </c>
      <c r="D2143" s="79" t="s">
        <v>168</v>
      </c>
      <c r="E2143" s="79" t="s">
        <v>50</v>
      </c>
      <c r="F2143" s="79" t="str">
        <f>IF(E2143="", "", IF(COUNTIF(ChestType!$A$5:$A$195, E2143)&gt;0, VLOOKUP(E2143, ChestType!$A$5:$B$195, 2, 0), "Others"))</f>
        <v>L10 Crypt</v>
      </c>
    </row>
    <row r="2144" spans="1:6" x14ac:dyDescent="0.25">
      <c r="A2144" s="14">
        <v>46146.759722222225</v>
      </c>
      <c r="B2144" s="79" t="s">
        <v>149</v>
      </c>
      <c r="C2144" s="79" t="s">
        <v>151</v>
      </c>
      <c r="D2144" s="79" t="s">
        <v>168</v>
      </c>
      <c r="E2144" s="79" t="s">
        <v>50</v>
      </c>
      <c r="F2144" s="79" t="str">
        <f>IF(E2144="", "", IF(COUNTIF(ChestType!$A$5:$A$195, E2144)&gt;0, VLOOKUP(E2144, ChestType!$A$5:$B$195, 2, 0), "Others"))</f>
        <v>L10 Crypt</v>
      </c>
    </row>
    <row r="2145" spans="1:6" x14ac:dyDescent="0.25">
      <c r="A2145" s="14">
        <v>46146.759722222225</v>
      </c>
      <c r="B2145" s="79" t="s">
        <v>149</v>
      </c>
      <c r="C2145" s="79" t="s">
        <v>183</v>
      </c>
      <c r="D2145" s="79" t="s">
        <v>168</v>
      </c>
      <c r="E2145" s="79" t="s">
        <v>50</v>
      </c>
      <c r="F2145" s="79" t="str">
        <f>IF(E2145="", "", IF(COUNTIF(ChestType!$A$5:$A$195, E2145)&gt;0, VLOOKUP(E2145, ChestType!$A$5:$B$195, 2, 0), "Others"))</f>
        <v>L10 Crypt</v>
      </c>
    </row>
    <row r="2146" spans="1:6" x14ac:dyDescent="0.25">
      <c r="A2146" s="14">
        <v>46146.759722222225</v>
      </c>
      <c r="B2146" s="79" t="s">
        <v>149</v>
      </c>
      <c r="C2146" s="79" t="s">
        <v>185</v>
      </c>
      <c r="D2146" s="79" t="s">
        <v>168</v>
      </c>
      <c r="E2146" s="79" t="s">
        <v>50</v>
      </c>
      <c r="F2146" s="79" t="str">
        <f>IF(E2146="", "", IF(COUNTIF(ChestType!$A$5:$A$195, E2146)&gt;0, VLOOKUP(E2146, ChestType!$A$5:$B$195, 2, 0), "Others"))</f>
        <v>L10 Crypt</v>
      </c>
    </row>
    <row r="2147" spans="1:6" x14ac:dyDescent="0.25">
      <c r="A2147" s="14">
        <v>46146.759722222225</v>
      </c>
      <c r="B2147" s="79" t="s">
        <v>149</v>
      </c>
      <c r="C2147" s="79" t="s">
        <v>176</v>
      </c>
      <c r="D2147" s="79" t="s">
        <v>167</v>
      </c>
      <c r="E2147" s="79" t="s">
        <v>70</v>
      </c>
      <c r="F2147" s="79" t="str">
        <f>IF(E2147="", "", IF(COUNTIF(ChestType!$A$5:$A$195, E2147)&gt;0, VLOOKUP(E2147, ChestType!$A$5:$B$195, 2, 0), "Others"))</f>
        <v>L10 Citadel</v>
      </c>
    </row>
    <row r="2148" spans="1:6" x14ac:dyDescent="0.25">
      <c r="A2148" s="14">
        <v>46146.759722222225</v>
      </c>
      <c r="B2148" s="79" t="s">
        <v>149</v>
      </c>
      <c r="C2148" s="79" t="s">
        <v>184</v>
      </c>
      <c r="D2148" s="79" t="s">
        <v>168</v>
      </c>
      <c r="E2148" s="79" t="s">
        <v>50</v>
      </c>
      <c r="F2148" s="79" t="str">
        <f>IF(E2148="", "", IF(COUNTIF(ChestType!$A$5:$A$195, E2148)&gt;0, VLOOKUP(E2148, ChestType!$A$5:$B$195, 2, 0), "Others"))</f>
        <v>L10 Crypt</v>
      </c>
    </row>
    <row r="2149" spans="1:6" x14ac:dyDescent="0.25">
      <c r="A2149" s="14">
        <v>46146.759722222225</v>
      </c>
      <c r="B2149" s="79" t="s">
        <v>149</v>
      </c>
      <c r="C2149" s="79" t="s">
        <v>177</v>
      </c>
      <c r="D2149" s="79" t="s">
        <v>162</v>
      </c>
      <c r="E2149" s="79" t="s">
        <v>49</v>
      </c>
      <c r="F2149" s="79" t="str">
        <f>IF(E2149="", "", IF(COUNTIF(ChestType!$A$5:$A$195, E2149)&gt;0, VLOOKUP(E2149, ChestType!$A$5:$B$195, 2, 0), "Others"))</f>
        <v>L15 Crypt</v>
      </c>
    </row>
    <row r="2150" spans="1:6" x14ac:dyDescent="0.25">
      <c r="A2150" s="14">
        <v>46146.759722222225</v>
      </c>
      <c r="B2150" s="79" t="s">
        <v>149</v>
      </c>
      <c r="C2150" s="79" t="s">
        <v>177</v>
      </c>
      <c r="D2150" s="79" t="s">
        <v>162</v>
      </c>
      <c r="E2150" s="79" t="s">
        <v>49</v>
      </c>
      <c r="F2150" s="79" t="str">
        <f>IF(E2150="", "", IF(COUNTIF(ChestType!$A$5:$A$195, E2150)&gt;0, VLOOKUP(E2150, ChestType!$A$5:$B$195, 2, 0), "Others"))</f>
        <v>L15 Crypt</v>
      </c>
    </row>
    <row r="2151" spans="1:6" x14ac:dyDescent="0.25">
      <c r="A2151" s="14">
        <v>46146.759722222225</v>
      </c>
      <c r="B2151" s="79" t="s">
        <v>149</v>
      </c>
      <c r="C2151" s="79" t="s">
        <v>177</v>
      </c>
      <c r="D2151" s="79" t="s">
        <v>162</v>
      </c>
      <c r="E2151" s="79" t="s">
        <v>49</v>
      </c>
      <c r="F2151" s="79" t="str">
        <f>IF(E2151="", "", IF(COUNTIF(ChestType!$A$5:$A$195, E2151)&gt;0, VLOOKUP(E2151, ChestType!$A$5:$B$195, 2, 0), "Others"))</f>
        <v>L15 Crypt</v>
      </c>
    </row>
    <row r="2152" spans="1:6" x14ac:dyDescent="0.25">
      <c r="A2152" s="14">
        <v>46146.759722222225</v>
      </c>
      <c r="B2152" s="79" t="s">
        <v>149</v>
      </c>
      <c r="C2152" s="79" t="s">
        <v>177</v>
      </c>
      <c r="D2152" s="79" t="s">
        <v>162</v>
      </c>
      <c r="E2152" s="79" t="s">
        <v>49</v>
      </c>
      <c r="F2152" s="79" t="str">
        <f>IF(E2152="", "", IF(COUNTIF(ChestType!$A$5:$A$195, E2152)&gt;0, VLOOKUP(E2152, ChestType!$A$5:$B$195, 2, 0), "Others"))</f>
        <v>L15 Crypt</v>
      </c>
    </row>
    <row r="2153" spans="1:6" x14ac:dyDescent="0.25">
      <c r="A2153" s="14">
        <v>46146.759722222225</v>
      </c>
      <c r="B2153" s="79" t="s">
        <v>149</v>
      </c>
      <c r="C2153" s="79" t="s">
        <v>177</v>
      </c>
      <c r="D2153" s="79" t="s">
        <v>162</v>
      </c>
      <c r="E2153" s="79" t="s">
        <v>49</v>
      </c>
      <c r="F2153" s="79" t="str">
        <f>IF(E2153="", "", IF(COUNTIF(ChestType!$A$5:$A$195, E2153)&gt;0, VLOOKUP(E2153, ChestType!$A$5:$B$195, 2, 0), "Others"))</f>
        <v>L15 Crypt</v>
      </c>
    </row>
    <row r="2154" spans="1:6" x14ac:dyDescent="0.25">
      <c r="A2154" s="14">
        <v>46146.759722222225</v>
      </c>
      <c r="B2154" s="79" t="s">
        <v>149</v>
      </c>
      <c r="C2154" s="79" t="s">
        <v>177</v>
      </c>
      <c r="D2154" s="79" t="s">
        <v>162</v>
      </c>
      <c r="E2154" s="79" t="s">
        <v>49</v>
      </c>
      <c r="F2154" s="79" t="str">
        <f>IF(E2154="", "", IF(COUNTIF(ChestType!$A$5:$A$195, E2154)&gt;0, VLOOKUP(E2154, ChestType!$A$5:$B$195, 2, 0), "Others"))</f>
        <v>L15 Crypt</v>
      </c>
    </row>
    <row r="2155" spans="1:6" x14ac:dyDescent="0.25">
      <c r="A2155" s="14">
        <v>46146.759722222225</v>
      </c>
      <c r="B2155" s="79" t="s">
        <v>149</v>
      </c>
      <c r="C2155" s="79" t="s">
        <v>177</v>
      </c>
      <c r="D2155" s="79" t="s">
        <v>162</v>
      </c>
      <c r="E2155" s="79" t="s">
        <v>49</v>
      </c>
      <c r="F2155" s="79" t="str">
        <f>IF(E2155="", "", IF(COUNTIF(ChestType!$A$5:$A$195, E2155)&gt;0, VLOOKUP(E2155, ChestType!$A$5:$B$195, 2, 0), "Others"))</f>
        <v>L15 Crypt</v>
      </c>
    </row>
    <row r="2156" spans="1:6" x14ac:dyDescent="0.25">
      <c r="A2156" s="14">
        <v>46146.759722222225</v>
      </c>
      <c r="B2156" s="79" t="s">
        <v>149</v>
      </c>
      <c r="C2156" s="79" t="s">
        <v>177</v>
      </c>
      <c r="D2156" s="79" t="s">
        <v>162</v>
      </c>
      <c r="E2156" s="79" t="s">
        <v>49</v>
      </c>
      <c r="F2156" s="79" t="str">
        <f>IF(E2156="", "", IF(COUNTIF(ChestType!$A$5:$A$195, E2156)&gt;0, VLOOKUP(E2156, ChestType!$A$5:$B$195, 2, 0), "Others"))</f>
        <v>L15 Crypt</v>
      </c>
    </row>
    <row r="2157" spans="1:6" x14ac:dyDescent="0.25">
      <c r="A2157" s="14">
        <v>46146.759722222225</v>
      </c>
      <c r="B2157" s="79" t="s">
        <v>149</v>
      </c>
      <c r="C2157" s="79" t="s">
        <v>177</v>
      </c>
      <c r="D2157" s="79" t="s">
        <v>162</v>
      </c>
      <c r="E2157" s="79" t="s">
        <v>49</v>
      </c>
      <c r="F2157" s="79" t="str">
        <f>IF(E2157="", "", IF(COUNTIF(ChestType!$A$5:$A$195, E2157)&gt;0, VLOOKUP(E2157, ChestType!$A$5:$B$195, 2, 0), "Others"))</f>
        <v>L15 Crypt</v>
      </c>
    </row>
    <row r="2158" spans="1:6" x14ac:dyDescent="0.25">
      <c r="A2158" s="14">
        <v>46146.759722222225</v>
      </c>
      <c r="B2158" s="79" t="s">
        <v>149</v>
      </c>
      <c r="C2158" s="79" t="s">
        <v>177</v>
      </c>
      <c r="D2158" s="79" t="s">
        <v>162</v>
      </c>
      <c r="E2158" s="79" t="s">
        <v>49</v>
      </c>
      <c r="F2158" s="79" t="str">
        <f>IF(E2158="", "", IF(COUNTIF(ChestType!$A$5:$A$195, E2158)&gt;0, VLOOKUP(E2158, ChestType!$A$5:$B$195, 2, 0), "Others"))</f>
        <v>L15 Crypt</v>
      </c>
    </row>
    <row r="2159" spans="1:6" x14ac:dyDescent="0.25">
      <c r="A2159" s="14">
        <v>46146.759722222225</v>
      </c>
      <c r="B2159" s="79" t="s">
        <v>149</v>
      </c>
      <c r="C2159" s="79" t="s">
        <v>177</v>
      </c>
      <c r="D2159" s="79" t="s">
        <v>162</v>
      </c>
      <c r="E2159" s="79" t="s">
        <v>49</v>
      </c>
      <c r="F2159" s="79" t="str">
        <f>IF(E2159="", "", IF(COUNTIF(ChestType!$A$5:$A$195, E2159)&gt;0, VLOOKUP(E2159, ChestType!$A$5:$B$195, 2, 0), "Others"))</f>
        <v>L15 Crypt</v>
      </c>
    </row>
    <row r="2160" spans="1:6" x14ac:dyDescent="0.25">
      <c r="A2160" s="14">
        <v>46146.759722222225</v>
      </c>
      <c r="B2160" s="79" t="s">
        <v>149</v>
      </c>
      <c r="C2160" s="79" t="s">
        <v>177</v>
      </c>
      <c r="D2160" s="79" t="s">
        <v>162</v>
      </c>
      <c r="E2160" s="79" t="s">
        <v>49</v>
      </c>
      <c r="F2160" s="79" t="str">
        <f>IF(E2160="", "", IF(COUNTIF(ChestType!$A$5:$A$195, E2160)&gt;0, VLOOKUP(E2160, ChestType!$A$5:$B$195, 2, 0), "Others"))</f>
        <v>L15 Crypt</v>
      </c>
    </row>
    <row r="2161" spans="1:6" x14ac:dyDescent="0.25">
      <c r="A2161" s="14">
        <v>46146.759722222225</v>
      </c>
      <c r="B2161" s="79" t="s">
        <v>149</v>
      </c>
      <c r="C2161" s="79" t="s">
        <v>177</v>
      </c>
      <c r="D2161" s="79" t="s">
        <v>162</v>
      </c>
      <c r="E2161" s="79" t="s">
        <v>49</v>
      </c>
      <c r="F2161" s="79" t="str">
        <f>IF(E2161="", "", IF(COUNTIF(ChestType!$A$5:$A$195, E2161)&gt;0, VLOOKUP(E2161, ChestType!$A$5:$B$195, 2, 0), "Others"))</f>
        <v>L15 Crypt</v>
      </c>
    </row>
    <row r="2162" spans="1:6" x14ac:dyDescent="0.25">
      <c r="A2162" s="14">
        <v>46146.759722222225</v>
      </c>
      <c r="B2162" s="79" t="s">
        <v>149</v>
      </c>
      <c r="C2162" s="79" t="s">
        <v>177</v>
      </c>
      <c r="D2162" s="79" t="s">
        <v>162</v>
      </c>
      <c r="E2162" s="79" t="s">
        <v>49</v>
      </c>
      <c r="F2162" s="79" t="str">
        <f>IF(E2162="", "", IF(COUNTIF(ChestType!$A$5:$A$195, E2162)&gt;0, VLOOKUP(E2162, ChestType!$A$5:$B$195, 2, 0), "Others"))</f>
        <v>L15 Crypt</v>
      </c>
    </row>
    <row r="2163" spans="1:6" x14ac:dyDescent="0.25">
      <c r="A2163" s="14">
        <v>46146.759722222225</v>
      </c>
      <c r="B2163" s="79" t="s">
        <v>149</v>
      </c>
      <c r="C2163" s="79" t="s">
        <v>177</v>
      </c>
      <c r="D2163" s="79" t="s">
        <v>162</v>
      </c>
      <c r="E2163" s="79" t="s">
        <v>49</v>
      </c>
      <c r="F2163" s="79" t="str">
        <f>IF(E2163="", "", IF(COUNTIF(ChestType!$A$5:$A$195, E2163)&gt;0, VLOOKUP(E2163, ChestType!$A$5:$B$195, 2, 0), "Others"))</f>
        <v>L15 Crypt</v>
      </c>
    </row>
    <row r="2164" spans="1:6" x14ac:dyDescent="0.25">
      <c r="A2164" s="14">
        <v>46146.759722222225</v>
      </c>
      <c r="B2164" s="79" t="s">
        <v>149</v>
      </c>
      <c r="C2164" s="79" t="s">
        <v>177</v>
      </c>
      <c r="D2164" s="79" t="s">
        <v>162</v>
      </c>
      <c r="E2164" s="79" t="s">
        <v>49</v>
      </c>
      <c r="F2164" s="79" t="str">
        <f>IF(E2164="", "", IF(COUNTIF(ChestType!$A$5:$A$195, E2164)&gt;0, VLOOKUP(E2164, ChestType!$A$5:$B$195, 2, 0), "Others"))</f>
        <v>L15 Crypt</v>
      </c>
    </row>
    <row r="2165" spans="1:6" x14ac:dyDescent="0.25">
      <c r="A2165" s="14">
        <v>46146.759722222225</v>
      </c>
      <c r="B2165" s="79" t="s">
        <v>149</v>
      </c>
      <c r="C2165" s="79" t="s">
        <v>177</v>
      </c>
      <c r="D2165" s="79" t="s">
        <v>162</v>
      </c>
      <c r="E2165" s="79" t="s">
        <v>48</v>
      </c>
      <c r="F2165" s="79" t="str">
        <f>IF(E2165="", "", IF(COUNTIF(ChestType!$A$5:$A$195, E2165)&gt;0, VLOOKUP(E2165, ChestType!$A$5:$B$195, 2, 0), "Others"))</f>
        <v>L20 Crypt</v>
      </c>
    </row>
    <row r="2166" spans="1:6" x14ac:dyDescent="0.25">
      <c r="A2166" s="14">
        <v>46146.759722222225</v>
      </c>
      <c r="B2166" s="79" t="s">
        <v>149</v>
      </c>
      <c r="C2166" s="79" t="s">
        <v>177</v>
      </c>
      <c r="D2166" s="79" t="s">
        <v>162</v>
      </c>
      <c r="E2166" s="79" t="s">
        <v>48</v>
      </c>
      <c r="F2166" s="79" t="str">
        <f>IF(E2166="", "", IF(COUNTIF(ChestType!$A$5:$A$195, E2166)&gt;0, VLOOKUP(E2166, ChestType!$A$5:$B$195, 2, 0), "Others"))</f>
        <v>L20 Crypt</v>
      </c>
    </row>
    <row r="2167" spans="1:6" x14ac:dyDescent="0.25">
      <c r="A2167" s="14">
        <v>46146.759722222225</v>
      </c>
      <c r="B2167" s="79" t="s">
        <v>149</v>
      </c>
      <c r="C2167" s="79" t="s">
        <v>177</v>
      </c>
      <c r="D2167" s="79" t="s">
        <v>162</v>
      </c>
      <c r="E2167" s="79" t="s">
        <v>48</v>
      </c>
      <c r="F2167" s="79" t="str">
        <f>IF(E2167="", "", IF(COUNTIF(ChestType!$A$5:$A$195, E2167)&gt;0, VLOOKUP(E2167, ChestType!$A$5:$B$195, 2, 0), "Others"))</f>
        <v>L20 Crypt</v>
      </c>
    </row>
    <row r="2168" spans="1:6" x14ac:dyDescent="0.25">
      <c r="A2168" s="14">
        <v>46146.759722222225</v>
      </c>
      <c r="B2168" s="79" t="s">
        <v>149</v>
      </c>
      <c r="C2168" s="79" t="s">
        <v>177</v>
      </c>
      <c r="D2168" s="79" t="s">
        <v>162</v>
      </c>
      <c r="E2168" s="79" t="s">
        <v>48</v>
      </c>
      <c r="F2168" s="79" t="str">
        <f>IF(E2168="", "", IF(COUNTIF(ChestType!$A$5:$A$195, E2168)&gt;0, VLOOKUP(E2168, ChestType!$A$5:$B$195, 2, 0), "Others"))</f>
        <v>L20 Crypt</v>
      </c>
    </row>
    <row r="2169" spans="1:6" x14ac:dyDescent="0.25">
      <c r="A2169" s="14">
        <v>46146.759722222225</v>
      </c>
      <c r="B2169" s="79" t="s">
        <v>149</v>
      </c>
      <c r="C2169" s="79" t="s">
        <v>177</v>
      </c>
      <c r="D2169" s="79" t="s">
        <v>162</v>
      </c>
      <c r="E2169" s="79" t="s">
        <v>48</v>
      </c>
      <c r="F2169" s="79" t="str">
        <f>IF(E2169="", "", IF(COUNTIF(ChestType!$A$5:$A$195, E2169)&gt;0, VLOOKUP(E2169, ChestType!$A$5:$B$195, 2, 0), "Others"))</f>
        <v>L20 Crypt</v>
      </c>
    </row>
    <row r="2170" spans="1:6" x14ac:dyDescent="0.25">
      <c r="A2170" s="14">
        <v>46146.759722222225</v>
      </c>
      <c r="B2170" s="79" t="s">
        <v>149</v>
      </c>
      <c r="C2170" s="79" t="s">
        <v>177</v>
      </c>
      <c r="D2170" s="79" t="s">
        <v>162</v>
      </c>
      <c r="E2170" s="79" t="s">
        <v>48</v>
      </c>
      <c r="F2170" s="79" t="str">
        <f>IF(E2170="", "", IF(COUNTIF(ChestType!$A$5:$A$195, E2170)&gt;0, VLOOKUP(E2170, ChestType!$A$5:$B$195, 2, 0), "Others"))</f>
        <v>L20 Crypt</v>
      </c>
    </row>
    <row r="2171" spans="1:6" x14ac:dyDescent="0.25">
      <c r="A2171" s="14">
        <v>46146.759722222225</v>
      </c>
      <c r="B2171" s="79" t="s">
        <v>149</v>
      </c>
      <c r="C2171" s="79" t="s">
        <v>177</v>
      </c>
      <c r="D2171" s="79" t="s">
        <v>162</v>
      </c>
      <c r="E2171" s="79" t="s">
        <v>48</v>
      </c>
      <c r="F2171" s="79" t="str">
        <f>IF(E2171="", "", IF(COUNTIF(ChestType!$A$5:$A$195, E2171)&gt;0, VLOOKUP(E2171, ChestType!$A$5:$B$195, 2, 0), "Others"))</f>
        <v>L20 Crypt</v>
      </c>
    </row>
    <row r="2172" spans="1:6" x14ac:dyDescent="0.25">
      <c r="A2172" s="14">
        <v>46146.759722222225</v>
      </c>
      <c r="B2172" s="79" t="s">
        <v>149</v>
      </c>
      <c r="C2172" s="79" t="s">
        <v>181</v>
      </c>
      <c r="D2172" s="79" t="s">
        <v>162</v>
      </c>
      <c r="E2172" s="79" t="s">
        <v>48</v>
      </c>
      <c r="F2172" s="79" t="str">
        <f>IF(E2172="", "", IF(COUNTIF(ChestType!$A$5:$A$195, E2172)&gt;0, VLOOKUP(E2172, ChestType!$A$5:$B$195, 2, 0), "Others"))</f>
        <v>L20 Crypt</v>
      </c>
    </row>
    <row r="2173" spans="1:6" x14ac:dyDescent="0.25">
      <c r="A2173" s="14">
        <v>46146.759722222225</v>
      </c>
      <c r="B2173" s="79" t="s">
        <v>149</v>
      </c>
      <c r="C2173" s="79" t="s">
        <v>181</v>
      </c>
      <c r="D2173" s="79" t="s">
        <v>162</v>
      </c>
      <c r="E2173" s="79" t="s">
        <v>48</v>
      </c>
      <c r="F2173" s="79" t="str">
        <f>IF(E2173="", "", IF(COUNTIF(ChestType!$A$5:$A$195, E2173)&gt;0, VLOOKUP(E2173, ChestType!$A$5:$B$195, 2, 0), "Others"))</f>
        <v>L20 Crypt</v>
      </c>
    </row>
    <row r="2174" spans="1:6" x14ac:dyDescent="0.25">
      <c r="A2174" s="14">
        <v>46146.759722222225</v>
      </c>
      <c r="B2174" s="79" t="s">
        <v>149</v>
      </c>
      <c r="C2174" s="79" t="s">
        <v>181</v>
      </c>
      <c r="D2174" s="79" t="s">
        <v>162</v>
      </c>
      <c r="E2174" s="79" t="s">
        <v>48</v>
      </c>
      <c r="F2174" s="79" t="str">
        <f>IF(E2174="", "", IF(COUNTIF(ChestType!$A$5:$A$195, E2174)&gt;0, VLOOKUP(E2174, ChestType!$A$5:$B$195, 2, 0), "Others"))</f>
        <v>L20 Crypt</v>
      </c>
    </row>
    <row r="2175" spans="1:6" x14ac:dyDescent="0.25">
      <c r="A2175" s="14">
        <v>46146.759722222225</v>
      </c>
      <c r="B2175" s="79" t="s">
        <v>149</v>
      </c>
      <c r="C2175" s="79" t="s">
        <v>181</v>
      </c>
      <c r="D2175" s="79" t="s">
        <v>162</v>
      </c>
      <c r="E2175" s="79" t="s">
        <v>48</v>
      </c>
      <c r="F2175" s="79" t="str">
        <f>IF(E2175="", "", IF(COUNTIF(ChestType!$A$5:$A$195, E2175)&gt;0, VLOOKUP(E2175, ChestType!$A$5:$B$195, 2, 0), "Others"))</f>
        <v>L20 Crypt</v>
      </c>
    </row>
    <row r="2176" spans="1:6" x14ac:dyDescent="0.25">
      <c r="A2176" s="14">
        <v>46146.759722222225</v>
      </c>
      <c r="B2176" s="79" t="s">
        <v>149</v>
      </c>
      <c r="C2176" s="79" t="s">
        <v>181</v>
      </c>
      <c r="D2176" s="79" t="s">
        <v>162</v>
      </c>
      <c r="E2176" s="79" t="s">
        <v>48</v>
      </c>
      <c r="F2176" s="79" t="str">
        <f>IF(E2176="", "", IF(COUNTIF(ChestType!$A$5:$A$195, E2176)&gt;0, VLOOKUP(E2176, ChestType!$A$5:$B$195, 2, 0), "Others"))</f>
        <v>L20 Crypt</v>
      </c>
    </row>
    <row r="2177" spans="1:6" x14ac:dyDescent="0.25">
      <c r="A2177" s="14">
        <v>46146.759722222225</v>
      </c>
      <c r="B2177" s="79" t="s">
        <v>149</v>
      </c>
      <c r="C2177" s="79" t="s">
        <v>181</v>
      </c>
      <c r="D2177" s="79" t="s">
        <v>162</v>
      </c>
      <c r="E2177" s="79" t="s">
        <v>48</v>
      </c>
      <c r="F2177" s="79" t="str">
        <f>IF(E2177="", "", IF(COUNTIF(ChestType!$A$5:$A$195, E2177)&gt;0, VLOOKUP(E2177, ChestType!$A$5:$B$195, 2, 0), "Others"))</f>
        <v>L20 Crypt</v>
      </c>
    </row>
    <row r="2178" spans="1:6" x14ac:dyDescent="0.25">
      <c r="A2178" s="14">
        <v>46146.759722222225</v>
      </c>
      <c r="B2178" s="79" t="s">
        <v>149</v>
      </c>
      <c r="C2178" s="79" t="s">
        <v>181</v>
      </c>
      <c r="D2178" s="79" t="s">
        <v>162</v>
      </c>
      <c r="E2178" s="79" t="s">
        <v>48</v>
      </c>
      <c r="F2178" s="79" t="str">
        <f>IF(E2178="", "", IF(COUNTIF(ChestType!$A$5:$A$195, E2178)&gt;0, VLOOKUP(E2178, ChestType!$A$5:$B$195, 2, 0), "Others"))</f>
        <v>L20 Crypt</v>
      </c>
    </row>
    <row r="2179" spans="1:6" x14ac:dyDescent="0.25">
      <c r="A2179" s="14">
        <v>46146.759722222225</v>
      </c>
      <c r="B2179" s="79" t="s">
        <v>149</v>
      </c>
      <c r="C2179" s="79" t="s">
        <v>183</v>
      </c>
      <c r="D2179" s="79" t="s">
        <v>168</v>
      </c>
      <c r="E2179" s="79" t="s">
        <v>50</v>
      </c>
      <c r="F2179" s="79" t="str">
        <f>IF(E2179="", "", IF(COUNTIF(ChestType!$A$5:$A$195, E2179)&gt;0, VLOOKUP(E2179, ChestType!$A$5:$B$195, 2, 0), "Others"))</f>
        <v>L10 Crypt</v>
      </c>
    </row>
    <row r="2180" spans="1:6" x14ac:dyDescent="0.25">
      <c r="A2180" s="14">
        <v>46146.759722222225</v>
      </c>
      <c r="B2180" s="79" t="s">
        <v>149</v>
      </c>
      <c r="C2180" s="79" t="s">
        <v>190</v>
      </c>
      <c r="D2180" s="79" t="s">
        <v>168</v>
      </c>
      <c r="E2180" s="79" t="s">
        <v>50</v>
      </c>
      <c r="F2180" s="79" t="str">
        <f>IF(E2180="", "", IF(COUNTIF(ChestType!$A$5:$A$195, E2180)&gt;0, VLOOKUP(E2180, ChestType!$A$5:$B$195, 2, 0), "Others"))</f>
        <v>L10 Crypt</v>
      </c>
    </row>
    <row r="2181" spans="1:6" x14ac:dyDescent="0.25">
      <c r="A2181" s="14">
        <v>46146.759722222225</v>
      </c>
      <c r="B2181" s="79" t="s">
        <v>149</v>
      </c>
      <c r="C2181" s="79" t="s">
        <v>192</v>
      </c>
      <c r="D2181" s="79" t="s">
        <v>263</v>
      </c>
      <c r="E2181" s="79" t="s">
        <v>60</v>
      </c>
      <c r="F2181" s="79" t="str">
        <f>IF(E2181="", "", IF(COUNTIF(ChestType!$A$5:$A$195, E2181)&gt;0, VLOOKUP(E2181, ChestType!$A$5:$B$195, 2, 0), "Others"))</f>
        <v>Others</v>
      </c>
    </row>
    <row r="2182" spans="1:6" x14ac:dyDescent="0.25">
      <c r="A2182" s="14">
        <v>46146.759722222225</v>
      </c>
      <c r="B2182" s="79" t="s">
        <v>149</v>
      </c>
      <c r="C2182" s="79" t="s">
        <v>190</v>
      </c>
      <c r="D2182" s="79" t="s">
        <v>267</v>
      </c>
      <c r="E2182" s="79" t="s">
        <v>50</v>
      </c>
      <c r="F2182" s="79" t="str">
        <f>IF(E2182="", "", IF(COUNTIF(ChestType!$A$5:$A$195, E2182)&gt;0, VLOOKUP(E2182, ChestType!$A$5:$B$195, 2, 0), "Others"))</f>
        <v>L10 Crypt</v>
      </c>
    </row>
    <row r="2183" spans="1:6" x14ac:dyDescent="0.25">
      <c r="A2183" s="14">
        <v>46146.759722222225</v>
      </c>
      <c r="B2183" s="79" t="s">
        <v>149</v>
      </c>
      <c r="C2183" s="79" t="s">
        <v>185</v>
      </c>
      <c r="D2183" s="79" t="s">
        <v>251</v>
      </c>
      <c r="E2183" s="79" t="s">
        <v>49</v>
      </c>
      <c r="F2183" s="79" t="str">
        <f>IF(E2183="", "", IF(COUNTIF(ChestType!$A$5:$A$195, E2183)&gt;0, VLOOKUP(E2183, ChestType!$A$5:$B$195, 2, 0), "Others"))</f>
        <v>L15 Crypt</v>
      </c>
    </row>
    <row r="2184" spans="1:6" x14ac:dyDescent="0.25">
      <c r="A2184" s="14">
        <v>46146.759722222225</v>
      </c>
      <c r="B2184" s="79" t="s">
        <v>149</v>
      </c>
      <c r="C2184" s="79" t="s">
        <v>190</v>
      </c>
      <c r="D2184" s="79" t="s">
        <v>168</v>
      </c>
      <c r="E2184" s="79" t="s">
        <v>50</v>
      </c>
      <c r="F2184" s="79" t="str">
        <f>IF(E2184="", "", IF(COUNTIF(ChestType!$A$5:$A$195, E2184)&gt;0, VLOOKUP(E2184, ChestType!$A$5:$B$195, 2, 0), "Others"))</f>
        <v>L10 Crypt</v>
      </c>
    </row>
    <row r="2185" spans="1:6" x14ac:dyDescent="0.25">
      <c r="A2185" s="14">
        <v>46146.759722222225</v>
      </c>
      <c r="B2185" s="79" t="s">
        <v>149</v>
      </c>
      <c r="C2185" s="79" t="s">
        <v>176</v>
      </c>
      <c r="D2185" s="79" t="s">
        <v>167</v>
      </c>
      <c r="E2185" s="79" t="s">
        <v>70</v>
      </c>
      <c r="F2185" s="79" t="str">
        <f>IF(E2185="", "", IF(COUNTIF(ChestType!$A$5:$A$195, E2185)&gt;0, VLOOKUP(E2185, ChestType!$A$5:$B$195, 2, 0), "Others"))</f>
        <v>L10 Citadel</v>
      </c>
    </row>
    <row r="2186" spans="1:6" x14ac:dyDescent="0.25">
      <c r="A2186" s="14">
        <v>46146.759722222225</v>
      </c>
      <c r="B2186" s="79" t="s">
        <v>149</v>
      </c>
      <c r="C2186" s="79" t="s">
        <v>182</v>
      </c>
      <c r="D2186" s="79" t="s">
        <v>168</v>
      </c>
      <c r="E2186" s="79" t="s">
        <v>49</v>
      </c>
      <c r="F2186" s="79" t="str">
        <f>IF(E2186="", "", IF(COUNTIF(ChestType!$A$5:$A$195, E2186)&gt;0, VLOOKUP(E2186, ChestType!$A$5:$B$195, 2, 0), "Others"))</f>
        <v>L15 Crypt</v>
      </c>
    </row>
    <row r="2187" spans="1:6" x14ac:dyDescent="0.25">
      <c r="A2187" s="14">
        <v>46146.759722222225</v>
      </c>
      <c r="B2187" s="79" t="s">
        <v>149</v>
      </c>
      <c r="C2187" s="79" t="s">
        <v>151</v>
      </c>
      <c r="D2187" s="79" t="s">
        <v>251</v>
      </c>
      <c r="E2187" s="79" t="s">
        <v>50</v>
      </c>
      <c r="F2187" s="79" t="str">
        <f>IF(E2187="", "", IF(COUNTIF(ChestType!$A$5:$A$195, E2187)&gt;0, VLOOKUP(E2187, ChestType!$A$5:$B$195, 2, 0), "Others"))</f>
        <v>L10 Crypt</v>
      </c>
    </row>
    <row r="2188" spans="1:6" x14ac:dyDescent="0.25">
      <c r="A2188" s="14">
        <v>46146.759722222225</v>
      </c>
      <c r="B2188" s="79" t="s">
        <v>149</v>
      </c>
      <c r="C2188" s="79" t="s">
        <v>158</v>
      </c>
      <c r="D2188" s="79" t="s">
        <v>168</v>
      </c>
      <c r="E2188" s="79" t="s">
        <v>49</v>
      </c>
      <c r="F2188" s="79" t="str">
        <f>IF(E2188="", "", IF(COUNTIF(ChestType!$A$5:$A$195, E2188)&gt;0, VLOOKUP(E2188, ChestType!$A$5:$B$195, 2, 0), "Others"))</f>
        <v>L15 Crypt</v>
      </c>
    </row>
    <row r="2189" spans="1:6" x14ac:dyDescent="0.25">
      <c r="A2189" s="14">
        <v>46146.759722222225</v>
      </c>
      <c r="B2189" s="79" t="s">
        <v>149</v>
      </c>
      <c r="C2189" s="79" t="s">
        <v>181</v>
      </c>
      <c r="D2189" s="79" t="s">
        <v>168</v>
      </c>
      <c r="E2189" s="79" t="s">
        <v>50</v>
      </c>
      <c r="F2189" s="79" t="str">
        <f>IF(E2189="", "", IF(COUNTIF(ChestType!$A$5:$A$195, E2189)&gt;0, VLOOKUP(E2189, ChestType!$A$5:$B$195, 2, 0), "Others"))</f>
        <v>L10 Crypt</v>
      </c>
    </row>
    <row r="2190" spans="1:6" x14ac:dyDescent="0.25">
      <c r="A2190" s="14">
        <v>46146.759722222225</v>
      </c>
      <c r="B2190" s="79" t="s">
        <v>149</v>
      </c>
      <c r="C2190" s="79" t="s">
        <v>173</v>
      </c>
      <c r="D2190" s="79" t="s">
        <v>168</v>
      </c>
      <c r="E2190" s="79" t="s">
        <v>50</v>
      </c>
      <c r="F2190" s="79" t="str">
        <f>IF(E2190="", "", IF(COUNTIF(ChestType!$A$5:$A$195, E2190)&gt;0, VLOOKUP(E2190, ChestType!$A$5:$B$195, 2, 0), "Others"))</f>
        <v>L10 Crypt</v>
      </c>
    </row>
    <row r="2191" spans="1:6" x14ac:dyDescent="0.25">
      <c r="A2191" s="14">
        <v>46146.759722222225</v>
      </c>
      <c r="B2191" s="79" t="s">
        <v>149</v>
      </c>
      <c r="C2191" s="79" t="s">
        <v>176</v>
      </c>
      <c r="D2191" s="79" t="s">
        <v>167</v>
      </c>
      <c r="E2191" s="79" t="s">
        <v>70</v>
      </c>
      <c r="F2191" s="79" t="str">
        <f>IF(E2191="", "", IF(COUNTIF(ChestType!$A$5:$A$195, E2191)&gt;0, VLOOKUP(E2191, ChestType!$A$5:$B$195, 2, 0), "Others"))</f>
        <v>L10 Citadel</v>
      </c>
    </row>
    <row r="2192" spans="1:6" x14ac:dyDescent="0.25">
      <c r="A2192" s="14">
        <v>46146.759722222225</v>
      </c>
      <c r="B2192" s="79" t="s">
        <v>149</v>
      </c>
      <c r="C2192" s="79" t="s">
        <v>176</v>
      </c>
      <c r="D2192" s="79" t="s">
        <v>251</v>
      </c>
      <c r="E2192" s="79" t="s">
        <v>70</v>
      </c>
      <c r="F2192" s="79" t="str">
        <f>IF(E2192="", "", IF(COUNTIF(ChestType!$A$5:$A$195, E2192)&gt;0, VLOOKUP(E2192, ChestType!$A$5:$B$195, 2, 0), "Others"))</f>
        <v>L10 Citadel</v>
      </c>
    </row>
    <row r="2193" spans="1:6" x14ac:dyDescent="0.25">
      <c r="A2193" s="14">
        <v>46146.759722222225</v>
      </c>
      <c r="B2193" s="79" t="s">
        <v>149</v>
      </c>
      <c r="C2193" s="79" t="s">
        <v>171</v>
      </c>
      <c r="D2193" s="79" t="s">
        <v>250</v>
      </c>
      <c r="E2193" s="79" t="s">
        <v>49</v>
      </c>
      <c r="F2193" s="79" t="str">
        <f>IF(E2193="", "", IF(COUNTIF(ChestType!$A$5:$A$195, E2193)&gt;0, VLOOKUP(E2193, ChestType!$A$5:$B$195, 2, 0), "Others"))</f>
        <v>L15 Crypt</v>
      </c>
    </row>
    <row r="2194" spans="1:6" x14ac:dyDescent="0.25">
      <c r="A2194" s="14">
        <v>46146.759722222225</v>
      </c>
      <c r="B2194" s="79" t="s">
        <v>149</v>
      </c>
      <c r="C2194" s="79" t="s">
        <v>181</v>
      </c>
      <c r="D2194" s="79" t="s">
        <v>250</v>
      </c>
      <c r="E2194" s="79" t="s">
        <v>49</v>
      </c>
      <c r="F2194" s="79" t="str">
        <f>IF(E2194="", "", IF(COUNTIF(ChestType!$A$5:$A$195, E2194)&gt;0, VLOOKUP(E2194, ChestType!$A$5:$B$195, 2, 0), "Others"))</f>
        <v>L15 Crypt</v>
      </c>
    </row>
    <row r="2195" spans="1:6" x14ac:dyDescent="0.25">
      <c r="A2195" s="14">
        <v>46146.759722222225</v>
      </c>
      <c r="B2195" s="79" t="s">
        <v>149</v>
      </c>
      <c r="C2195" s="79" t="s">
        <v>181</v>
      </c>
      <c r="D2195" s="79" t="s">
        <v>168</v>
      </c>
      <c r="E2195" s="79" t="s">
        <v>49</v>
      </c>
      <c r="F2195" s="79" t="str">
        <f>IF(E2195="", "", IF(COUNTIF(ChestType!$A$5:$A$195, E2195)&gt;0, VLOOKUP(E2195, ChestType!$A$5:$B$195, 2, 0), "Others"))</f>
        <v>L15 Crypt</v>
      </c>
    </row>
    <row r="2196" spans="1:6" x14ac:dyDescent="0.25">
      <c r="A2196" s="14">
        <v>46146.759722222225</v>
      </c>
      <c r="B2196" s="79" t="s">
        <v>195</v>
      </c>
      <c r="C2196" s="79" t="s">
        <v>197</v>
      </c>
      <c r="D2196" s="79" t="s">
        <v>163</v>
      </c>
      <c r="E2196" s="79" t="s">
        <v>24</v>
      </c>
      <c r="F2196" s="79" t="str">
        <f>IF(E2196="", "", IF(COUNTIF(ChestType!$A$5:$A$195, E2196)&gt;0, VLOOKUP(E2196, ChestType!$A$5:$B$195, 2, 0), "Others"))</f>
        <v>Bank</v>
      </c>
    </row>
    <row r="2197" spans="1:6" x14ac:dyDescent="0.25">
      <c r="A2197" s="14">
        <v>46146.759722222225</v>
      </c>
      <c r="B2197" s="79" t="s">
        <v>195</v>
      </c>
      <c r="C2197" s="79" t="s">
        <v>197</v>
      </c>
      <c r="D2197" s="79" t="s">
        <v>163</v>
      </c>
      <c r="E2197" s="79" t="s">
        <v>24</v>
      </c>
      <c r="F2197" s="79" t="str">
        <f>IF(E2197="", "", IF(COUNTIF(ChestType!$A$5:$A$195, E2197)&gt;0, VLOOKUP(E2197, ChestType!$A$5:$B$195, 2, 0), "Others"))</f>
        <v>Bank</v>
      </c>
    </row>
    <row r="2198" spans="1:6" x14ac:dyDescent="0.25">
      <c r="A2198" s="14">
        <v>46146.759722222225</v>
      </c>
      <c r="B2198" s="79" t="s">
        <v>195</v>
      </c>
      <c r="C2198" s="79" t="s">
        <v>197</v>
      </c>
      <c r="D2198" s="79" t="s">
        <v>163</v>
      </c>
      <c r="E2198" s="79" t="s">
        <v>24</v>
      </c>
      <c r="F2198" s="79" t="str">
        <f>IF(E2198="", "", IF(COUNTIF(ChestType!$A$5:$A$195, E2198)&gt;0, VLOOKUP(E2198, ChestType!$A$5:$B$195, 2, 0), "Others"))</f>
        <v>Bank</v>
      </c>
    </row>
    <row r="2199" spans="1:6" x14ac:dyDescent="0.25">
      <c r="A2199" s="14">
        <v>46146.759722222225</v>
      </c>
      <c r="B2199" s="79" t="s">
        <v>195</v>
      </c>
      <c r="C2199" s="79" t="s">
        <v>198</v>
      </c>
      <c r="D2199" s="79" t="s">
        <v>254</v>
      </c>
      <c r="E2199" s="79" t="s">
        <v>24</v>
      </c>
      <c r="F2199" s="79" t="str">
        <f>IF(E2199="", "", IF(COUNTIF(ChestType!$A$5:$A$195, E2199)&gt;0, VLOOKUP(E2199, ChestType!$A$5:$B$195, 2, 0), "Others"))</f>
        <v>Bank</v>
      </c>
    </row>
    <row r="2200" spans="1:6" x14ac:dyDescent="0.25">
      <c r="A2200" s="14">
        <v>46146.759722222225</v>
      </c>
      <c r="B2200" s="79" t="s">
        <v>195</v>
      </c>
      <c r="C2200" s="79" t="s">
        <v>198</v>
      </c>
      <c r="D2200" s="79" t="s">
        <v>254</v>
      </c>
      <c r="E2200" s="79" t="s">
        <v>24</v>
      </c>
      <c r="F2200" s="79" t="str">
        <f>IF(E2200="", "", IF(COUNTIF(ChestType!$A$5:$A$195, E2200)&gt;0, VLOOKUP(E2200, ChestType!$A$5:$B$195, 2, 0), "Others"))</f>
        <v>Bank</v>
      </c>
    </row>
    <row r="2201" spans="1:6" x14ac:dyDescent="0.25">
      <c r="A2201" s="14">
        <v>46146.759722222225</v>
      </c>
      <c r="B2201" s="79" t="s">
        <v>195</v>
      </c>
      <c r="C2201" s="79" t="s">
        <v>198</v>
      </c>
      <c r="D2201" s="79" t="s">
        <v>254</v>
      </c>
      <c r="E2201" s="79" t="s">
        <v>24</v>
      </c>
      <c r="F2201" s="79" t="str">
        <f>IF(E2201="", "", IF(COUNTIF(ChestType!$A$5:$A$195, E2201)&gt;0, VLOOKUP(E2201, ChestType!$A$5:$B$195, 2, 0), "Others"))</f>
        <v>Bank</v>
      </c>
    </row>
    <row r="2202" spans="1:6" x14ac:dyDescent="0.25">
      <c r="A2202" s="14">
        <v>46146.759722222225</v>
      </c>
      <c r="B2202" s="79" t="s">
        <v>195</v>
      </c>
      <c r="C2202" s="79" t="s">
        <v>198</v>
      </c>
      <c r="D2202" s="79" t="s">
        <v>269</v>
      </c>
      <c r="E2202" s="79" t="s">
        <v>24</v>
      </c>
      <c r="F2202" s="79" t="str">
        <f>IF(E2202="", "", IF(COUNTIF(ChestType!$A$5:$A$195, E2202)&gt;0, VLOOKUP(E2202, ChestType!$A$5:$B$195, 2, 0), "Others"))</f>
        <v>Bank</v>
      </c>
    </row>
    <row r="2203" spans="1:6" x14ac:dyDescent="0.25">
      <c r="A2203" s="14">
        <v>46146.759722222225</v>
      </c>
      <c r="B2203" s="79" t="s">
        <v>195</v>
      </c>
      <c r="C2203" s="79" t="s">
        <v>198</v>
      </c>
      <c r="D2203" s="79" t="s">
        <v>269</v>
      </c>
      <c r="E2203" s="79" t="s">
        <v>24</v>
      </c>
      <c r="F2203" s="79" t="str">
        <f>IF(E2203="", "", IF(COUNTIF(ChestType!$A$5:$A$195, E2203)&gt;0, VLOOKUP(E2203, ChestType!$A$5:$B$195, 2, 0), "Others"))</f>
        <v>Bank</v>
      </c>
    </row>
    <row r="2204" spans="1:6" x14ac:dyDescent="0.25">
      <c r="A2204" s="14">
        <v>46146.759722222225</v>
      </c>
      <c r="B2204" s="79" t="s">
        <v>195</v>
      </c>
      <c r="C2204" s="79" t="s">
        <v>198</v>
      </c>
      <c r="D2204" s="79" t="s">
        <v>269</v>
      </c>
      <c r="E2204" s="79" t="s">
        <v>24</v>
      </c>
      <c r="F2204" s="79" t="str">
        <f>IF(E2204="", "", IF(COUNTIF(ChestType!$A$5:$A$195, E2204)&gt;0, VLOOKUP(E2204, ChestType!$A$5:$B$195, 2, 0), "Others"))</f>
        <v>Bank</v>
      </c>
    </row>
    <row r="2205" spans="1:6" x14ac:dyDescent="0.25">
      <c r="A2205" s="14">
        <v>46146.759722222225</v>
      </c>
      <c r="B2205" s="79" t="s">
        <v>195</v>
      </c>
      <c r="C2205" s="79" t="s">
        <v>198</v>
      </c>
      <c r="D2205" s="79" t="s">
        <v>251</v>
      </c>
      <c r="E2205" s="79" t="s">
        <v>24</v>
      </c>
      <c r="F2205" s="79" t="str">
        <f>IF(E2205="", "", IF(COUNTIF(ChestType!$A$5:$A$195, E2205)&gt;0, VLOOKUP(E2205, ChestType!$A$5:$B$195, 2, 0), "Others"))</f>
        <v>Bank</v>
      </c>
    </row>
    <row r="2206" spans="1:6" x14ac:dyDescent="0.25">
      <c r="A2206" s="14">
        <v>46146.759722222225</v>
      </c>
      <c r="B2206" s="79" t="s">
        <v>195</v>
      </c>
      <c r="C2206" s="79" t="s">
        <v>198</v>
      </c>
      <c r="D2206" s="79" t="s">
        <v>251</v>
      </c>
      <c r="E2206" s="79" t="s">
        <v>24</v>
      </c>
      <c r="F2206" s="79" t="str">
        <f>IF(E2206="", "", IF(COUNTIF(ChestType!$A$5:$A$195, E2206)&gt;0, VLOOKUP(E2206, ChestType!$A$5:$B$195, 2, 0), "Others"))</f>
        <v>Bank</v>
      </c>
    </row>
    <row r="2207" spans="1:6" x14ac:dyDescent="0.25">
      <c r="A2207" s="14">
        <v>46146.759722222225</v>
      </c>
      <c r="B2207" s="79" t="s">
        <v>195</v>
      </c>
      <c r="C2207" s="79" t="s">
        <v>198</v>
      </c>
      <c r="D2207" s="79" t="s">
        <v>251</v>
      </c>
      <c r="E2207" s="79" t="s">
        <v>24</v>
      </c>
      <c r="F2207" s="79" t="str">
        <f>IF(E2207="", "", IF(COUNTIF(ChestType!$A$5:$A$195, E2207)&gt;0, VLOOKUP(E2207, ChestType!$A$5:$B$195, 2, 0), "Others"))</f>
        <v>Bank</v>
      </c>
    </row>
    <row r="2208" spans="1:6" x14ac:dyDescent="0.25">
      <c r="A2208" s="14">
        <v>46146.759722222225</v>
      </c>
      <c r="B2208" s="79" t="s">
        <v>195</v>
      </c>
      <c r="C2208" s="79" t="s">
        <v>196</v>
      </c>
      <c r="D2208" s="79" t="s">
        <v>251</v>
      </c>
      <c r="E2208" s="79" t="s">
        <v>24</v>
      </c>
      <c r="F2208" s="79" t="str">
        <f>IF(E2208="", "", IF(COUNTIF(ChestType!$A$5:$A$195, E2208)&gt;0, VLOOKUP(E2208, ChestType!$A$5:$B$195, 2, 0), "Others"))</f>
        <v>Bank</v>
      </c>
    </row>
    <row r="2209" spans="1:6" x14ac:dyDescent="0.25">
      <c r="A2209" s="14">
        <v>46146.759722222225</v>
      </c>
      <c r="B2209" s="79" t="s">
        <v>195</v>
      </c>
      <c r="C2209" s="79" t="s">
        <v>196</v>
      </c>
      <c r="D2209" s="79" t="s">
        <v>251</v>
      </c>
      <c r="E2209" s="79" t="s">
        <v>24</v>
      </c>
      <c r="F2209" s="79" t="str">
        <f>IF(E2209="", "", IF(COUNTIF(ChestType!$A$5:$A$195, E2209)&gt;0, VLOOKUP(E2209, ChestType!$A$5:$B$195, 2, 0), "Others"))</f>
        <v>Bank</v>
      </c>
    </row>
    <row r="2210" spans="1:6" x14ac:dyDescent="0.25">
      <c r="A2210" s="14">
        <v>46146.759722222225</v>
      </c>
      <c r="B2210" s="79" t="s">
        <v>195</v>
      </c>
      <c r="C2210" s="79" t="s">
        <v>196</v>
      </c>
      <c r="D2210" s="79" t="s">
        <v>251</v>
      </c>
      <c r="E2210" s="79" t="s">
        <v>24</v>
      </c>
      <c r="F2210" s="79" t="str">
        <f>IF(E2210="", "", IF(COUNTIF(ChestType!$A$5:$A$195, E2210)&gt;0, VLOOKUP(E2210, ChestType!$A$5:$B$195, 2, 0), "Others"))</f>
        <v>Bank</v>
      </c>
    </row>
    <row r="2211" spans="1:6" x14ac:dyDescent="0.25">
      <c r="A2211" s="14">
        <v>46146.759722222225</v>
      </c>
      <c r="B2211" s="79" t="s">
        <v>195</v>
      </c>
      <c r="C2211" s="79" t="s">
        <v>197</v>
      </c>
      <c r="D2211" s="79" t="s">
        <v>251</v>
      </c>
      <c r="E2211" s="79" t="s">
        <v>24</v>
      </c>
      <c r="F2211" s="79" t="str">
        <f>IF(E2211="", "", IF(COUNTIF(ChestType!$A$5:$A$195, E2211)&gt;0, VLOOKUP(E2211, ChestType!$A$5:$B$195, 2, 0), "Others"))</f>
        <v>Bank</v>
      </c>
    </row>
    <row r="2212" spans="1:6" x14ac:dyDescent="0.25">
      <c r="A2212" s="14">
        <v>46146.759722222225</v>
      </c>
      <c r="B2212" s="79" t="s">
        <v>195</v>
      </c>
      <c r="C2212" s="79" t="s">
        <v>197</v>
      </c>
      <c r="D2212" s="79" t="s">
        <v>251</v>
      </c>
      <c r="E2212" s="79" t="s">
        <v>24</v>
      </c>
      <c r="F2212" s="79" t="str">
        <f>IF(E2212="", "", IF(COUNTIF(ChestType!$A$5:$A$195, E2212)&gt;0, VLOOKUP(E2212, ChestType!$A$5:$B$195, 2, 0), "Others"))</f>
        <v>Bank</v>
      </c>
    </row>
    <row r="2213" spans="1:6" x14ac:dyDescent="0.25">
      <c r="A2213" s="14">
        <v>46146.759722222225</v>
      </c>
      <c r="B2213" s="79" t="s">
        <v>195</v>
      </c>
      <c r="C2213" s="79" t="s">
        <v>197</v>
      </c>
      <c r="D2213" s="79" t="s">
        <v>251</v>
      </c>
      <c r="E2213" s="79" t="s">
        <v>24</v>
      </c>
      <c r="F2213" s="79" t="str">
        <f>IF(E2213="", "", IF(COUNTIF(ChestType!$A$5:$A$195, E2213)&gt;0, VLOOKUP(E2213, ChestType!$A$5:$B$195, 2, 0), "Others"))</f>
        <v>Bank</v>
      </c>
    </row>
    <row r="2214" spans="1:6" x14ac:dyDescent="0.25">
      <c r="A2214" s="14">
        <v>46146.759722222225</v>
      </c>
      <c r="B2214" s="79" t="s">
        <v>195</v>
      </c>
      <c r="C2214" s="79" t="s">
        <v>198</v>
      </c>
      <c r="D2214" s="79" t="s">
        <v>162</v>
      </c>
      <c r="E2214" s="79" t="s">
        <v>24</v>
      </c>
      <c r="F2214" s="79" t="str">
        <f>IF(E2214="", "", IF(COUNTIF(ChestType!$A$5:$A$195, E2214)&gt;0, VLOOKUP(E2214, ChestType!$A$5:$B$195, 2, 0), "Others"))</f>
        <v>Bank</v>
      </c>
    </row>
    <row r="2215" spans="1:6" x14ac:dyDescent="0.25">
      <c r="A2215" s="14">
        <v>46146.759722222225</v>
      </c>
      <c r="B2215" s="79" t="s">
        <v>195</v>
      </c>
      <c r="C2215" s="79" t="s">
        <v>198</v>
      </c>
      <c r="D2215" s="79" t="s">
        <v>162</v>
      </c>
      <c r="E2215" s="79" t="s">
        <v>24</v>
      </c>
      <c r="F2215" s="79" t="str">
        <f>IF(E2215="", "", IF(COUNTIF(ChestType!$A$5:$A$195, E2215)&gt;0, VLOOKUP(E2215, ChestType!$A$5:$B$195, 2, 0), "Others"))</f>
        <v>Bank</v>
      </c>
    </row>
    <row r="2216" spans="1:6" x14ac:dyDescent="0.25">
      <c r="A2216" s="14">
        <v>46146.759722222225</v>
      </c>
      <c r="B2216" s="79" t="s">
        <v>195</v>
      </c>
      <c r="C2216" s="79" t="s">
        <v>198</v>
      </c>
      <c r="D2216" s="79" t="s">
        <v>162</v>
      </c>
      <c r="E2216" s="79" t="s">
        <v>24</v>
      </c>
      <c r="F2216" s="79" t="str">
        <f>IF(E2216="", "", IF(COUNTIF(ChestType!$A$5:$A$195, E2216)&gt;0, VLOOKUP(E2216, ChestType!$A$5:$B$195, 2, 0), "Others"))</f>
        <v>Bank</v>
      </c>
    </row>
    <row r="2217" spans="1:6" x14ac:dyDescent="0.25">
      <c r="A2217" s="14">
        <v>46146.759722222225</v>
      </c>
      <c r="B2217" s="79" t="s">
        <v>195</v>
      </c>
      <c r="C2217" s="79" t="s">
        <v>196</v>
      </c>
      <c r="D2217" s="79" t="s">
        <v>162</v>
      </c>
      <c r="E2217" s="79" t="s">
        <v>24</v>
      </c>
      <c r="F2217" s="79" t="str">
        <f>IF(E2217="", "", IF(COUNTIF(ChestType!$A$5:$A$195, E2217)&gt;0, VLOOKUP(E2217, ChestType!$A$5:$B$195, 2, 0), "Others"))</f>
        <v>Bank</v>
      </c>
    </row>
    <row r="2218" spans="1:6" x14ac:dyDescent="0.25">
      <c r="A2218" s="14">
        <v>46146.759722222225</v>
      </c>
      <c r="B2218" s="79" t="s">
        <v>195</v>
      </c>
      <c r="C2218" s="79" t="s">
        <v>196</v>
      </c>
      <c r="D2218" s="79" t="s">
        <v>162</v>
      </c>
      <c r="E2218" s="79" t="s">
        <v>24</v>
      </c>
      <c r="F2218" s="79" t="str">
        <f>IF(E2218="", "", IF(COUNTIF(ChestType!$A$5:$A$195, E2218)&gt;0, VLOOKUP(E2218, ChestType!$A$5:$B$195, 2, 0), "Others"))</f>
        <v>Bank</v>
      </c>
    </row>
    <row r="2219" spans="1:6" x14ac:dyDescent="0.25">
      <c r="A2219" s="14">
        <v>46146.759722222225</v>
      </c>
      <c r="B2219" s="79" t="s">
        <v>195</v>
      </c>
      <c r="C2219" s="79" t="s">
        <v>196</v>
      </c>
      <c r="D2219" s="79" t="s">
        <v>162</v>
      </c>
      <c r="E2219" s="79" t="s">
        <v>24</v>
      </c>
      <c r="F2219" s="79" t="str">
        <f>IF(E2219="", "", IF(COUNTIF(ChestType!$A$5:$A$195, E2219)&gt;0, VLOOKUP(E2219, ChestType!$A$5:$B$195, 2, 0), "Others"))</f>
        <v>Bank</v>
      </c>
    </row>
    <row r="2220" spans="1:6" x14ac:dyDescent="0.25">
      <c r="A2220" s="14">
        <v>46146.759722222225</v>
      </c>
      <c r="B2220" s="79" t="s">
        <v>195</v>
      </c>
      <c r="C2220" s="79" t="s">
        <v>198</v>
      </c>
      <c r="D2220" s="79" t="s">
        <v>265</v>
      </c>
      <c r="E2220" s="79" t="s">
        <v>24</v>
      </c>
      <c r="F2220" s="79" t="str">
        <f>IF(E2220="", "", IF(COUNTIF(ChestType!$A$5:$A$195, E2220)&gt;0, VLOOKUP(E2220, ChestType!$A$5:$B$195, 2, 0), "Others"))</f>
        <v>Bank</v>
      </c>
    </row>
    <row r="2221" spans="1:6" x14ac:dyDescent="0.25">
      <c r="A2221" s="14">
        <v>46146.759722222225</v>
      </c>
      <c r="B2221" s="79" t="s">
        <v>195</v>
      </c>
      <c r="C2221" s="79" t="s">
        <v>198</v>
      </c>
      <c r="D2221" s="79" t="s">
        <v>265</v>
      </c>
      <c r="E2221" s="79" t="s">
        <v>24</v>
      </c>
      <c r="F2221" s="79" t="str">
        <f>IF(E2221="", "", IF(COUNTIF(ChestType!$A$5:$A$195, E2221)&gt;0, VLOOKUP(E2221, ChestType!$A$5:$B$195, 2, 0), "Others"))</f>
        <v>Bank</v>
      </c>
    </row>
    <row r="2222" spans="1:6" x14ac:dyDescent="0.25">
      <c r="A2222" s="14">
        <v>46146.759722222225</v>
      </c>
      <c r="B2222" s="79" t="s">
        <v>195</v>
      </c>
      <c r="C2222" s="79" t="s">
        <v>198</v>
      </c>
      <c r="D2222" s="79" t="s">
        <v>265</v>
      </c>
      <c r="E2222" s="79" t="s">
        <v>24</v>
      </c>
      <c r="F2222" s="79" t="str">
        <f>IF(E2222="", "", IF(COUNTIF(ChestType!$A$5:$A$195, E2222)&gt;0, VLOOKUP(E2222, ChestType!$A$5:$B$195, 2, 0), "Others"))</f>
        <v>Bank</v>
      </c>
    </row>
    <row r="2223" spans="1:6" x14ac:dyDescent="0.25">
      <c r="A2223" s="14">
        <v>46146.759722222225</v>
      </c>
      <c r="B2223" s="79" t="s">
        <v>195</v>
      </c>
      <c r="C2223" s="79" t="s">
        <v>198</v>
      </c>
      <c r="D2223" s="79" t="s">
        <v>229</v>
      </c>
      <c r="E2223" s="79" t="s">
        <v>24</v>
      </c>
      <c r="F2223" s="79" t="str">
        <f>IF(E2223="", "", IF(COUNTIF(ChestType!$A$5:$A$195, E2223)&gt;0, VLOOKUP(E2223, ChestType!$A$5:$B$195, 2, 0), "Others"))</f>
        <v>Bank</v>
      </c>
    </row>
    <row r="2224" spans="1:6" x14ac:dyDescent="0.25">
      <c r="A2224" s="14">
        <v>46146.759722222225</v>
      </c>
      <c r="B2224" s="79" t="s">
        <v>195</v>
      </c>
      <c r="C2224" s="79" t="s">
        <v>198</v>
      </c>
      <c r="D2224" s="79" t="s">
        <v>229</v>
      </c>
      <c r="E2224" s="79" t="s">
        <v>24</v>
      </c>
      <c r="F2224" s="79" t="str">
        <f>IF(E2224="", "", IF(COUNTIF(ChestType!$A$5:$A$195, E2224)&gt;0, VLOOKUP(E2224, ChestType!$A$5:$B$195, 2, 0), "Others"))</f>
        <v>Bank</v>
      </c>
    </row>
    <row r="2225" spans="1:6" x14ac:dyDescent="0.25">
      <c r="A2225" s="14">
        <v>46146.759722222225</v>
      </c>
      <c r="B2225" s="79" t="s">
        <v>195</v>
      </c>
      <c r="C2225" s="79" t="s">
        <v>198</v>
      </c>
      <c r="D2225" s="79" t="s">
        <v>229</v>
      </c>
      <c r="E2225" s="79" t="s">
        <v>24</v>
      </c>
      <c r="F2225" s="79" t="str">
        <f>IF(E2225="", "", IF(COUNTIF(ChestType!$A$5:$A$195, E2225)&gt;0, VLOOKUP(E2225, ChestType!$A$5:$B$195, 2, 0), "Others"))</f>
        <v>Bank</v>
      </c>
    </row>
    <row r="2226" spans="1:6" x14ac:dyDescent="0.25">
      <c r="A2226" s="14">
        <v>46146.759722222225</v>
      </c>
      <c r="B2226" s="79" t="s">
        <v>195</v>
      </c>
      <c r="C2226" s="79" t="s">
        <v>209</v>
      </c>
      <c r="D2226" s="79" t="s">
        <v>251</v>
      </c>
      <c r="E2226" s="79" t="s">
        <v>24</v>
      </c>
      <c r="F2226" s="79" t="str">
        <f>IF(E2226="", "", IF(COUNTIF(ChestType!$A$5:$A$195, E2226)&gt;0, VLOOKUP(E2226, ChestType!$A$5:$B$195, 2, 0), "Others"))</f>
        <v>Bank</v>
      </c>
    </row>
    <row r="2227" spans="1:6" x14ac:dyDescent="0.25">
      <c r="A2227" s="14">
        <v>46146.759722222225</v>
      </c>
      <c r="B2227" s="79" t="s">
        <v>195</v>
      </c>
      <c r="C2227" s="79" t="s">
        <v>209</v>
      </c>
      <c r="D2227" s="79" t="s">
        <v>251</v>
      </c>
      <c r="E2227" s="79" t="s">
        <v>24</v>
      </c>
      <c r="F2227" s="79" t="str">
        <f>IF(E2227="", "", IF(COUNTIF(ChestType!$A$5:$A$195, E2227)&gt;0, VLOOKUP(E2227, ChestType!$A$5:$B$195, 2, 0), "Others"))</f>
        <v>Bank</v>
      </c>
    </row>
    <row r="2228" spans="1:6" x14ac:dyDescent="0.25">
      <c r="A2228" s="14">
        <v>46146.759722222225</v>
      </c>
      <c r="B2228" s="79" t="s">
        <v>195</v>
      </c>
      <c r="C2228" s="79" t="s">
        <v>209</v>
      </c>
      <c r="D2228" s="79" t="s">
        <v>251</v>
      </c>
      <c r="E2228" s="79" t="s">
        <v>24</v>
      </c>
      <c r="F2228" s="79" t="str">
        <f>IF(E2228="", "", IF(COUNTIF(ChestType!$A$5:$A$195, E2228)&gt;0, VLOOKUP(E2228, ChestType!$A$5:$B$195, 2, 0), "Others"))</f>
        <v>Bank</v>
      </c>
    </row>
    <row r="2229" spans="1:6" x14ac:dyDescent="0.25">
      <c r="A2229" s="14">
        <v>46146.759722222225</v>
      </c>
      <c r="B2229" s="79" t="s">
        <v>195</v>
      </c>
      <c r="C2229" s="79" t="s">
        <v>198</v>
      </c>
      <c r="D2229" s="79" t="s">
        <v>162</v>
      </c>
      <c r="E2229" s="79" t="s">
        <v>24</v>
      </c>
      <c r="F2229" s="79" t="str">
        <f>IF(E2229="", "", IF(COUNTIF(ChestType!$A$5:$A$195, E2229)&gt;0, VLOOKUP(E2229, ChestType!$A$5:$B$195, 2, 0), "Others"))</f>
        <v>Bank</v>
      </c>
    </row>
    <row r="2230" spans="1:6" x14ac:dyDescent="0.25">
      <c r="A2230" s="14">
        <v>46146.759722222225</v>
      </c>
      <c r="B2230" s="79" t="s">
        <v>195</v>
      </c>
      <c r="C2230" s="79" t="s">
        <v>198</v>
      </c>
      <c r="D2230" s="79" t="s">
        <v>162</v>
      </c>
      <c r="E2230" s="79" t="s">
        <v>24</v>
      </c>
      <c r="F2230" s="79" t="str">
        <f>IF(E2230="", "", IF(COUNTIF(ChestType!$A$5:$A$195, E2230)&gt;0, VLOOKUP(E2230, ChestType!$A$5:$B$195, 2, 0), "Others"))</f>
        <v>Bank</v>
      </c>
    </row>
    <row r="2231" spans="1:6" x14ac:dyDescent="0.25">
      <c r="A2231" s="14">
        <v>46146.759722222225</v>
      </c>
      <c r="B2231" s="79" t="s">
        <v>195</v>
      </c>
      <c r="C2231" s="79" t="s">
        <v>198</v>
      </c>
      <c r="D2231" s="79" t="s">
        <v>162</v>
      </c>
      <c r="E2231" s="79" t="s">
        <v>24</v>
      </c>
      <c r="F2231" s="79" t="str">
        <f>IF(E2231="", "", IF(COUNTIF(ChestType!$A$5:$A$195, E2231)&gt;0, VLOOKUP(E2231, ChestType!$A$5:$B$195, 2, 0), "Others"))</f>
        <v>Bank</v>
      </c>
    </row>
    <row r="2232" spans="1:6" x14ac:dyDescent="0.25">
      <c r="A2232" s="14">
        <v>46146.915972222225</v>
      </c>
      <c r="B2232" s="79" t="s">
        <v>149</v>
      </c>
      <c r="C2232" s="79" t="s">
        <v>173</v>
      </c>
      <c r="D2232" s="79" t="s">
        <v>266</v>
      </c>
      <c r="E2232" s="79" t="s">
        <v>52</v>
      </c>
      <c r="F2232" s="79" t="str">
        <f>IF(E2232="", "", IF(COUNTIF(ChestType!$A$5:$A$195, E2232)&gt;0, VLOOKUP(E2232, ChestType!$A$5:$B$195, 2, 0), "Others"))</f>
        <v>L5 Crypt</v>
      </c>
    </row>
    <row r="2233" spans="1:6" x14ac:dyDescent="0.25">
      <c r="A2233" s="14">
        <v>46146.915972222225</v>
      </c>
      <c r="B2233" s="79" t="s">
        <v>149</v>
      </c>
      <c r="C2233" s="79" t="s">
        <v>174</v>
      </c>
      <c r="D2233" s="79" t="s">
        <v>205</v>
      </c>
      <c r="E2233" s="79" t="s">
        <v>64</v>
      </c>
      <c r="F2233" s="79" t="str">
        <f>IF(E2233="", "", IF(COUNTIF(ChestType!$A$5:$A$195, E2233)&gt;0, VLOOKUP(E2233, ChestType!$A$5:$B$195, 2, 0), "Others"))</f>
        <v>L15 Epic Crypt</v>
      </c>
    </row>
    <row r="2234" spans="1:6" x14ac:dyDescent="0.25">
      <c r="A2234" s="14">
        <v>46146.915972222225</v>
      </c>
      <c r="B2234" s="79" t="s">
        <v>149</v>
      </c>
      <c r="C2234" s="79" t="s">
        <v>177</v>
      </c>
      <c r="D2234" s="79" t="s">
        <v>257</v>
      </c>
      <c r="E2234" s="79" t="s">
        <v>52</v>
      </c>
      <c r="F2234" s="79" t="str">
        <f>IF(E2234="", "", IF(COUNTIF(ChestType!$A$5:$A$195, E2234)&gt;0, VLOOKUP(E2234, ChestType!$A$5:$B$195, 2, 0), "Others"))</f>
        <v>L5 Crypt</v>
      </c>
    </row>
    <row r="2235" spans="1:6" x14ac:dyDescent="0.25">
      <c r="A2235" s="14">
        <v>46146.915972222225</v>
      </c>
      <c r="B2235" s="79" t="s">
        <v>149</v>
      </c>
      <c r="C2235" s="79" t="s">
        <v>177</v>
      </c>
      <c r="D2235" s="79" t="s">
        <v>205</v>
      </c>
      <c r="E2235" s="79" t="s">
        <v>49</v>
      </c>
      <c r="F2235" s="79" t="str">
        <f>IF(E2235="", "", IF(COUNTIF(ChestType!$A$5:$A$195, E2235)&gt;0, VLOOKUP(E2235, ChestType!$A$5:$B$195, 2, 0), "Others"))</f>
        <v>L15 Crypt</v>
      </c>
    </row>
    <row r="2236" spans="1:6" x14ac:dyDescent="0.25">
      <c r="A2236" s="14">
        <v>46146.915972222225</v>
      </c>
      <c r="B2236" s="79" t="s">
        <v>149</v>
      </c>
      <c r="C2236" s="79" t="s">
        <v>181</v>
      </c>
      <c r="D2236" s="79" t="s">
        <v>257</v>
      </c>
      <c r="E2236" s="79" t="s">
        <v>52</v>
      </c>
      <c r="F2236" s="79" t="str">
        <f>IF(E2236="", "", IF(COUNTIF(ChestType!$A$5:$A$195, E2236)&gt;0, VLOOKUP(E2236, ChestType!$A$5:$B$195, 2, 0), "Others"))</f>
        <v>L5 Crypt</v>
      </c>
    </row>
    <row r="2237" spans="1:6" x14ac:dyDescent="0.25">
      <c r="A2237" s="14">
        <v>46146.915972222225</v>
      </c>
      <c r="B2237" s="79" t="s">
        <v>149</v>
      </c>
      <c r="C2237" s="79" t="s">
        <v>182</v>
      </c>
      <c r="D2237" s="79" t="s">
        <v>152</v>
      </c>
      <c r="E2237" s="79" t="s">
        <v>49</v>
      </c>
      <c r="F2237" s="79" t="str">
        <f>IF(E2237="", "", IF(COUNTIF(ChestType!$A$5:$A$195, E2237)&gt;0, VLOOKUP(E2237, ChestType!$A$5:$B$195, 2, 0), "Others"))</f>
        <v>L15 Crypt</v>
      </c>
    </row>
    <row r="2238" spans="1:6" x14ac:dyDescent="0.25">
      <c r="A2238" s="14">
        <v>46146.915972222225</v>
      </c>
      <c r="B2238" s="79" t="s">
        <v>149</v>
      </c>
      <c r="C2238" s="79" t="s">
        <v>185</v>
      </c>
      <c r="D2238" s="79" t="s">
        <v>157</v>
      </c>
      <c r="E2238" s="79" t="s">
        <v>50</v>
      </c>
      <c r="F2238" s="79" t="str">
        <f>IF(E2238="", "", IF(COUNTIF(ChestType!$A$5:$A$195, E2238)&gt;0, VLOOKUP(E2238, ChestType!$A$5:$B$195, 2, 0), "Others"))</f>
        <v>L10 Crypt</v>
      </c>
    </row>
    <row r="2239" spans="1:6" x14ac:dyDescent="0.25">
      <c r="A2239" s="14">
        <v>46146.915972222225</v>
      </c>
      <c r="B2239" s="79" t="s">
        <v>149</v>
      </c>
      <c r="C2239" s="79" t="s">
        <v>173</v>
      </c>
      <c r="D2239" s="79" t="s">
        <v>152</v>
      </c>
      <c r="E2239" s="79" t="s">
        <v>49</v>
      </c>
      <c r="F2239" s="79" t="str">
        <f>IF(E2239="", "", IF(COUNTIF(ChestType!$A$5:$A$195, E2239)&gt;0, VLOOKUP(E2239, ChestType!$A$5:$B$195, 2, 0), "Others"))</f>
        <v>L15 Crypt</v>
      </c>
    </row>
    <row r="2240" spans="1:6" x14ac:dyDescent="0.25">
      <c r="A2240" s="14">
        <v>46146.915972222225</v>
      </c>
      <c r="B2240" s="79" t="s">
        <v>149</v>
      </c>
      <c r="C2240" s="79" t="s">
        <v>176</v>
      </c>
      <c r="D2240" s="79" t="s">
        <v>205</v>
      </c>
      <c r="E2240" s="79" t="s">
        <v>70</v>
      </c>
      <c r="F2240" s="79" t="str">
        <f>IF(E2240="", "", IF(COUNTIF(ChestType!$A$5:$A$195, E2240)&gt;0, VLOOKUP(E2240, ChestType!$A$5:$B$195, 2, 0), "Others"))</f>
        <v>L10 Citadel</v>
      </c>
    </row>
    <row r="2241" spans="1:6" x14ac:dyDescent="0.25">
      <c r="A2241" s="14">
        <v>46146.915972222225</v>
      </c>
      <c r="B2241" s="79" t="s">
        <v>149</v>
      </c>
      <c r="C2241" s="79" t="s">
        <v>175</v>
      </c>
      <c r="D2241" s="79" t="s">
        <v>152</v>
      </c>
      <c r="E2241" s="79" t="s">
        <v>49</v>
      </c>
      <c r="F2241" s="79" t="str">
        <f>IF(E2241="", "", IF(COUNTIF(ChestType!$A$5:$A$195, E2241)&gt;0, VLOOKUP(E2241, ChestType!$A$5:$B$195, 2, 0), "Others"))</f>
        <v>L15 Crypt</v>
      </c>
    </row>
    <row r="2242" spans="1:6" x14ac:dyDescent="0.25">
      <c r="A2242" s="14">
        <v>46146.915972222225</v>
      </c>
      <c r="B2242" s="79" t="s">
        <v>149</v>
      </c>
      <c r="C2242" s="79" t="s">
        <v>181</v>
      </c>
      <c r="D2242" s="79" t="s">
        <v>152</v>
      </c>
      <c r="E2242" s="79" t="s">
        <v>49</v>
      </c>
      <c r="F2242" s="79" t="str">
        <f>IF(E2242="", "", IF(COUNTIF(ChestType!$A$5:$A$195, E2242)&gt;0, VLOOKUP(E2242, ChestType!$A$5:$B$195, 2, 0), "Others"))</f>
        <v>L15 Crypt</v>
      </c>
    </row>
    <row r="2243" spans="1:6" x14ac:dyDescent="0.25">
      <c r="A2243" s="14">
        <v>46146.915972222225</v>
      </c>
      <c r="B2243" s="79" t="s">
        <v>149</v>
      </c>
      <c r="C2243" s="79" t="s">
        <v>184</v>
      </c>
      <c r="D2243" s="79" t="s">
        <v>152</v>
      </c>
      <c r="E2243" s="79" t="s">
        <v>49</v>
      </c>
      <c r="F2243" s="79" t="str">
        <f>IF(E2243="", "", IF(COUNTIF(ChestType!$A$5:$A$195, E2243)&gt;0, VLOOKUP(E2243, ChestType!$A$5:$B$195, 2, 0), "Others"))</f>
        <v>L15 Crypt</v>
      </c>
    </row>
    <row r="2244" spans="1:6" x14ac:dyDescent="0.25">
      <c r="A2244" s="14">
        <v>46146.915972222225</v>
      </c>
      <c r="B2244" s="79" t="s">
        <v>149</v>
      </c>
      <c r="C2244" s="79" t="s">
        <v>185</v>
      </c>
      <c r="D2244" s="79" t="s">
        <v>259</v>
      </c>
      <c r="E2244" s="79" t="s">
        <v>52</v>
      </c>
      <c r="F2244" s="79" t="str">
        <f>IF(E2244="", "", IF(COUNTIF(ChestType!$A$5:$A$195, E2244)&gt;0, VLOOKUP(E2244, ChestType!$A$5:$B$195, 2, 0), "Others"))</f>
        <v>L5 Crypt</v>
      </c>
    </row>
    <row r="2245" spans="1:6" x14ac:dyDescent="0.25">
      <c r="A2245" s="14">
        <v>46146.915972222225</v>
      </c>
      <c r="B2245" s="79" t="s">
        <v>149</v>
      </c>
      <c r="C2245" s="79" t="s">
        <v>183</v>
      </c>
      <c r="D2245" s="79" t="s">
        <v>152</v>
      </c>
      <c r="E2245" s="79" t="s">
        <v>49</v>
      </c>
      <c r="F2245" s="79" t="str">
        <f>IF(E2245="", "", IF(COUNTIF(ChestType!$A$5:$A$195, E2245)&gt;0, VLOOKUP(E2245, ChestType!$A$5:$B$195, 2, 0), "Others"))</f>
        <v>L15 Crypt</v>
      </c>
    </row>
    <row r="2246" spans="1:6" x14ac:dyDescent="0.25">
      <c r="A2246" s="14">
        <v>46146.915972222225</v>
      </c>
      <c r="B2246" s="79" t="s">
        <v>149</v>
      </c>
      <c r="C2246" s="79" t="s">
        <v>185</v>
      </c>
      <c r="D2246" s="79" t="s">
        <v>152</v>
      </c>
      <c r="E2246" s="79" t="s">
        <v>49</v>
      </c>
      <c r="F2246" s="79" t="str">
        <f>IF(E2246="", "", IF(COUNTIF(ChestType!$A$5:$A$195, E2246)&gt;0, VLOOKUP(E2246, ChestType!$A$5:$B$195, 2, 0), "Others"))</f>
        <v>L15 Crypt</v>
      </c>
    </row>
    <row r="2247" spans="1:6" x14ac:dyDescent="0.25">
      <c r="A2247" s="14">
        <v>46146.915972222225</v>
      </c>
      <c r="B2247" s="79" t="s">
        <v>149</v>
      </c>
      <c r="C2247" s="79" t="s">
        <v>185</v>
      </c>
      <c r="D2247" s="79" t="s">
        <v>259</v>
      </c>
      <c r="E2247" s="79" t="s">
        <v>50</v>
      </c>
      <c r="F2247" s="79" t="str">
        <f>IF(E2247="", "", IF(COUNTIF(ChestType!$A$5:$A$195, E2247)&gt;0, VLOOKUP(E2247, ChestType!$A$5:$B$195, 2, 0), "Others"))</f>
        <v>L10 Crypt</v>
      </c>
    </row>
    <row r="2248" spans="1:6" x14ac:dyDescent="0.25">
      <c r="A2248" s="14">
        <v>46146.915972222225</v>
      </c>
      <c r="B2248" s="79" t="s">
        <v>149</v>
      </c>
      <c r="C2248" s="79" t="s">
        <v>176</v>
      </c>
      <c r="D2248" s="79" t="s">
        <v>205</v>
      </c>
      <c r="E2248" s="79" t="s">
        <v>70</v>
      </c>
      <c r="F2248" s="79" t="str">
        <f>IF(E2248="", "", IF(COUNTIF(ChestType!$A$5:$A$195, E2248)&gt;0, VLOOKUP(E2248, ChestType!$A$5:$B$195, 2, 0), "Others"))</f>
        <v>L10 Citadel</v>
      </c>
    </row>
    <row r="2249" spans="1:6" x14ac:dyDescent="0.25">
      <c r="A2249" s="14">
        <v>46146.915972222225</v>
      </c>
      <c r="B2249" s="79" t="s">
        <v>149</v>
      </c>
      <c r="C2249" s="79" t="s">
        <v>177</v>
      </c>
      <c r="D2249" s="79" t="s">
        <v>157</v>
      </c>
      <c r="E2249" s="79" t="s">
        <v>50</v>
      </c>
      <c r="F2249" s="79" t="str">
        <f>IF(E2249="", "", IF(COUNTIF(ChestType!$A$5:$A$195, E2249)&gt;0, VLOOKUP(E2249, ChestType!$A$5:$B$195, 2, 0), "Others"))</f>
        <v>L10 Crypt</v>
      </c>
    </row>
    <row r="2250" spans="1:6" x14ac:dyDescent="0.25">
      <c r="A2250" s="14">
        <v>46146.915972222225</v>
      </c>
      <c r="B2250" s="79" t="s">
        <v>149</v>
      </c>
      <c r="C2250" s="79" t="s">
        <v>184</v>
      </c>
      <c r="D2250" s="79" t="s">
        <v>165</v>
      </c>
      <c r="E2250" s="79" t="s">
        <v>52</v>
      </c>
      <c r="F2250" s="79" t="str">
        <f>IF(E2250="", "", IF(COUNTIF(ChestType!$A$5:$A$195, E2250)&gt;0, VLOOKUP(E2250, ChestType!$A$5:$B$195, 2, 0), "Others"))</f>
        <v>L5 Crypt</v>
      </c>
    </row>
    <row r="2251" spans="1:6" x14ac:dyDescent="0.25">
      <c r="A2251" s="14">
        <v>46146.915972222225</v>
      </c>
      <c r="B2251" s="79" t="s">
        <v>149</v>
      </c>
      <c r="C2251" s="79" t="s">
        <v>185</v>
      </c>
      <c r="D2251" s="79" t="s">
        <v>167</v>
      </c>
      <c r="E2251" s="79" t="s">
        <v>49</v>
      </c>
      <c r="F2251" s="79" t="str">
        <f>IF(E2251="", "", IF(COUNTIF(ChestType!$A$5:$A$195, E2251)&gt;0, VLOOKUP(E2251, ChestType!$A$5:$B$195, 2, 0), "Others"))</f>
        <v>L15 Crypt</v>
      </c>
    </row>
    <row r="2252" spans="1:6" x14ac:dyDescent="0.25">
      <c r="A2252" s="14">
        <v>46146.915972222225</v>
      </c>
      <c r="B2252" s="79" t="s">
        <v>149</v>
      </c>
      <c r="C2252" s="79" t="s">
        <v>173</v>
      </c>
      <c r="D2252" s="79" t="s">
        <v>165</v>
      </c>
      <c r="E2252" s="79" t="s">
        <v>50</v>
      </c>
      <c r="F2252" s="79" t="str">
        <f>IF(E2252="", "", IF(COUNTIF(ChestType!$A$5:$A$195, E2252)&gt;0, VLOOKUP(E2252, ChestType!$A$5:$B$195, 2, 0), "Others"))</f>
        <v>L10 Crypt</v>
      </c>
    </row>
    <row r="2253" spans="1:6" x14ac:dyDescent="0.25">
      <c r="A2253" s="14">
        <v>46146.915972222225</v>
      </c>
      <c r="B2253" s="79" t="s">
        <v>149</v>
      </c>
      <c r="C2253" s="79" t="s">
        <v>183</v>
      </c>
      <c r="D2253" s="79" t="s">
        <v>165</v>
      </c>
      <c r="E2253" s="79" t="s">
        <v>50</v>
      </c>
      <c r="F2253" s="79" t="str">
        <f>IF(E2253="", "", IF(COUNTIF(ChestType!$A$5:$A$195, E2253)&gt;0, VLOOKUP(E2253, ChestType!$A$5:$B$195, 2, 0), "Others"))</f>
        <v>L10 Crypt</v>
      </c>
    </row>
    <row r="2254" spans="1:6" x14ac:dyDescent="0.25">
      <c r="A2254" s="14">
        <v>46146.915972222225</v>
      </c>
      <c r="B2254" s="79" t="s">
        <v>149</v>
      </c>
      <c r="C2254" s="79" t="s">
        <v>192</v>
      </c>
      <c r="D2254" s="79" t="s">
        <v>165</v>
      </c>
      <c r="E2254" s="79" t="s">
        <v>60</v>
      </c>
      <c r="F2254" s="79" t="str">
        <f>IF(E2254="", "", IF(COUNTIF(ChestType!$A$5:$A$195, E2254)&gt;0, VLOOKUP(E2254, ChestType!$A$5:$B$195, 2, 0), "Others"))</f>
        <v>Others</v>
      </c>
    </row>
    <row r="2255" spans="1:6" x14ac:dyDescent="0.25">
      <c r="A2255" s="14">
        <v>46146.915972222225</v>
      </c>
      <c r="B2255" s="79" t="s">
        <v>149</v>
      </c>
      <c r="C2255" s="79" t="s">
        <v>173</v>
      </c>
      <c r="D2255" s="79" t="s">
        <v>165</v>
      </c>
      <c r="E2255" s="79" t="s">
        <v>52</v>
      </c>
      <c r="F2255" s="79" t="str">
        <f>IF(E2255="", "", IF(COUNTIF(ChestType!$A$5:$A$195, E2255)&gt;0, VLOOKUP(E2255, ChestType!$A$5:$B$195, 2, 0), "Others"))</f>
        <v>L5 Crypt</v>
      </c>
    </row>
    <row r="2256" spans="1:6" x14ac:dyDescent="0.25">
      <c r="A2256" s="14">
        <v>46146.915972222225</v>
      </c>
      <c r="B2256" s="79" t="s">
        <v>149</v>
      </c>
      <c r="C2256" s="79" t="s">
        <v>158</v>
      </c>
      <c r="D2256" s="79" t="s">
        <v>157</v>
      </c>
      <c r="E2256" s="79" t="s">
        <v>50</v>
      </c>
      <c r="F2256" s="79" t="str">
        <f>IF(E2256="", "", IF(COUNTIF(ChestType!$A$5:$A$195, E2256)&gt;0, VLOOKUP(E2256, ChestType!$A$5:$B$195, 2, 0), "Others"))</f>
        <v>L10 Crypt</v>
      </c>
    </row>
    <row r="2257" spans="1:6" x14ac:dyDescent="0.25">
      <c r="A2257" s="14">
        <v>46146.915972222225</v>
      </c>
      <c r="B2257" s="79" t="s">
        <v>149</v>
      </c>
      <c r="C2257" s="79" t="s">
        <v>187</v>
      </c>
      <c r="D2257" s="79" t="s">
        <v>165</v>
      </c>
      <c r="E2257" s="79" t="s">
        <v>75</v>
      </c>
      <c r="F2257" s="79" t="str">
        <f>IF(E2257="", "", IF(COUNTIF(ChestType!$A$5:$A$195, E2257)&gt;0, VLOOKUP(E2257, ChestType!$A$5:$B$195, 2, 0), "Others"))</f>
        <v>L10 Rare Crypt</v>
      </c>
    </row>
    <row r="2258" spans="1:6" x14ac:dyDescent="0.25">
      <c r="A2258" s="14">
        <v>46146.915972222225</v>
      </c>
      <c r="B2258" s="79" t="s">
        <v>149</v>
      </c>
      <c r="C2258" s="79" t="s">
        <v>175</v>
      </c>
      <c r="D2258" s="79" t="s">
        <v>152</v>
      </c>
      <c r="E2258" s="79" t="s">
        <v>49</v>
      </c>
      <c r="F2258" s="79" t="str">
        <f>IF(E2258="", "", IF(COUNTIF(ChestType!$A$5:$A$195, E2258)&gt;0, VLOOKUP(E2258, ChestType!$A$5:$B$195, 2, 0), "Others"))</f>
        <v>L15 Crypt</v>
      </c>
    </row>
    <row r="2259" spans="1:6" x14ac:dyDescent="0.25">
      <c r="A2259" s="14">
        <v>46146.915972222225</v>
      </c>
      <c r="B2259" s="79" t="s">
        <v>149</v>
      </c>
      <c r="C2259" s="79" t="s">
        <v>171</v>
      </c>
      <c r="D2259" s="79" t="s">
        <v>157</v>
      </c>
      <c r="E2259" s="79" t="s">
        <v>50</v>
      </c>
      <c r="F2259" s="79" t="str">
        <f>IF(E2259="", "", IF(COUNTIF(ChestType!$A$5:$A$195, E2259)&gt;0, VLOOKUP(E2259, ChestType!$A$5:$B$195, 2, 0), "Others"))</f>
        <v>L10 Crypt</v>
      </c>
    </row>
    <row r="2260" spans="1:6" x14ac:dyDescent="0.25">
      <c r="A2260" s="14">
        <v>46146.915972222225</v>
      </c>
      <c r="B2260" s="79" t="s">
        <v>149</v>
      </c>
      <c r="C2260" s="79" t="s">
        <v>185</v>
      </c>
      <c r="D2260" s="79" t="s">
        <v>167</v>
      </c>
      <c r="E2260" s="79" t="s">
        <v>49</v>
      </c>
      <c r="F2260" s="79" t="str">
        <f>IF(E2260="", "", IF(COUNTIF(ChestType!$A$5:$A$195, E2260)&gt;0, VLOOKUP(E2260, ChestType!$A$5:$B$195, 2, 0), "Others"))</f>
        <v>L15 Crypt</v>
      </c>
    </row>
    <row r="2261" spans="1:6" x14ac:dyDescent="0.25">
      <c r="A2261" s="14">
        <v>46146.915972222225</v>
      </c>
      <c r="B2261" s="79" t="s">
        <v>149</v>
      </c>
      <c r="C2261" s="79" t="s">
        <v>190</v>
      </c>
      <c r="D2261" s="79" t="s">
        <v>165</v>
      </c>
      <c r="E2261" s="79" t="s">
        <v>50</v>
      </c>
      <c r="F2261" s="79" t="str">
        <f>IF(E2261="", "", IF(COUNTIF(ChestType!$A$5:$A$195, E2261)&gt;0, VLOOKUP(E2261, ChestType!$A$5:$B$195, 2, 0), "Others"))</f>
        <v>L10 Crypt</v>
      </c>
    </row>
    <row r="2262" spans="1:6" x14ac:dyDescent="0.25">
      <c r="A2262" s="14">
        <v>46146.915972222225</v>
      </c>
      <c r="B2262" s="79" t="s">
        <v>149</v>
      </c>
      <c r="C2262" s="79" t="s">
        <v>211</v>
      </c>
      <c r="D2262" s="79" t="s">
        <v>205</v>
      </c>
      <c r="E2262" s="79" t="s">
        <v>64</v>
      </c>
      <c r="F2262" s="79" t="str">
        <f>IF(E2262="", "", IF(COUNTIF(ChestType!$A$5:$A$195, E2262)&gt;0, VLOOKUP(E2262, ChestType!$A$5:$B$195, 2, 0), "Others"))</f>
        <v>L15 Epic Crypt</v>
      </c>
    </row>
    <row r="2263" spans="1:6" x14ac:dyDescent="0.25">
      <c r="A2263" s="14">
        <v>46146.915972222225</v>
      </c>
      <c r="B2263" s="79" t="s">
        <v>149</v>
      </c>
      <c r="C2263" s="79" t="s">
        <v>223</v>
      </c>
      <c r="D2263" s="79" t="s">
        <v>205</v>
      </c>
      <c r="E2263" s="79" t="s">
        <v>64</v>
      </c>
      <c r="F2263" s="79" t="str">
        <f>IF(E2263="", "", IF(COUNTIF(ChestType!$A$5:$A$195, E2263)&gt;0, VLOOKUP(E2263, ChestType!$A$5:$B$195, 2, 0), "Others"))</f>
        <v>L15 Epic Crypt</v>
      </c>
    </row>
    <row r="2264" spans="1:6" x14ac:dyDescent="0.25">
      <c r="A2264" s="14">
        <v>46146.915972222225</v>
      </c>
      <c r="B2264" s="79" t="s">
        <v>149</v>
      </c>
      <c r="C2264" s="79" t="s">
        <v>187</v>
      </c>
      <c r="D2264" s="79" t="s">
        <v>167</v>
      </c>
      <c r="E2264" s="79" t="s">
        <v>75</v>
      </c>
      <c r="F2264" s="79" t="str">
        <f>IF(E2264="", "", IF(COUNTIF(ChestType!$A$5:$A$195, E2264)&gt;0, VLOOKUP(E2264, ChestType!$A$5:$B$195, 2, 0), "Others"))</f>
        <v>L10 Rare Crypt</v>
      </c>
    </row>
    <row r="2265" spans="1:6" x14ac:dyDescent="0.25">
      <c r="A2265" s="14">
        <v>46146.915972222225</v>
      </c>
      <c r="B2265" s="79" t="s">
        <v>149</v>
      </c>
      <c r="C2265" s="79" t="s">
        <v>175</v>
      </c>
      <c r="D2265" s="79" t="s">
        <v>205</v>
      </c>
      <c r="E2265" s="79" t="s">
        <v>50</v>
      </c>
      <c r="F2265" s="79" t="str">
        <f>IF(E2265="", "", IF(COUNTIF(ChestType!$A$5:$A$195, E2265)&gt;0, VLOOKUP(E2265, ChestType!$A$5:$B$195, 2, 0), "Others"))</f>
        <v>L10 Crypt</v>
      </c>
    </row>
    <row r="2266" spans="1:6" x14ac:dyDescent="0.25">
      <c r="A2266" s="14">
        <v>46146.915972222225</v>
      </c>
      <c r="B2266" s="79" t="s">
        <v>149</v>
      </c>
      <c r="C2266" s="79" t="s">
        <v>187</v>
      </c>
      <c r="D2266" s="79" t="s">
        <v>167</v>
      </c>
      <c r="E2266" s="79" t="s">
        <v>75</v>
      </c>
      <c r="F2266" s="79" t="str">
        <f>IF(E2266="", "", IF(COUNTIF(ChestType!$A$5:$A$195, E2266)&gt;0, VLOOKUP(E2266, ChestType!$A$5:$B$195, 2, 0), "Others"))</f>
        <v>L10 Rare Crypt</v>
      </c>
    </row>
    <row r="2267" spans="1:6" x14ac:dyDescent="0.25">
      <c r="A2267" s="14">
        <v>46146.915972222225</v>
      </c>
      <c r="B2267" s="79" t="s">
        <v>149</v>
      </c>
      <c r="C2267" s="79" t="s">
        <v>185</v>
      </c>
      <c r="D2267" s="79" t="s">
        <v>164</v>
      </c>
      <c r="E2267" s="79" t="s">
        <v>50</v>
      </c>
      <c r="F2267" s="79" t="str">
        <f>IF(E2267="", "", IF(COUNTIF(ChestType!$A$5:$A$195, E2267)&gt;0, VLOOKUP(E2267, ChestType!$A$5:$B$195, 2, 0), "Others"))</f>
        <v>L10 Crypt</v>
      </c>
    </row>
    <row r="2268" spans="1:6" x14ac:dyDescent="0.25">
      <c r="A2268" s="14">
        <v>46146.915972222225</v>
      </c>
      <c r="B2268" s="79" t="s">
        <v>149</v>
      </c>
      <c r="C2268" s="79" t="s">
        <v>184</v>
      </c>
      <c r="D2268" s="79" t="s">
        <v>157</v>
      </c>
      <c r="E2268" s="79" t="s">
        <v>50</v>
      </c>
      <c r="F2268" s="79" t="str">
        <f>IF(E2268="", "", IF(COUNTIF(ChestType!$A$5:$A$195, E2268)&gt;0, VLOOKUP(E2268, ChestType!$A$5:$B$195, 2, 0), "Others"))</f>
        <v>L10 Crypt</v>
      </c>
    </row>
    <row r="2269" spans="1:6" x14ac:dyDescent="0.25">
      <c r="A2269" s="14">
        <v>46146.915972222225</v>
      </c>
      <c r="B2269" s="79" t="s">
        <v>149</v>
      </c>
      <c r="C2269" s="79" t="s">
        <v>211</v>
      </c>
      <c r="D2269" s="79" t="s">
        <v>164</v>
      </c>
      <c r="E2269" s="79" t="s">
        <v>64</v>
      </c>
      <c r="F2269" s="79" t="str">
        <f>IF(E2269="", "", IF(COUNTIF(ChestType!$A$5:$A$195, E2269)&gt;0, VLOOKUP(E2269, ChestType!$A$5:$B$195, 2, 0), "Others"))</f>
        <v>L15 Epic Crypt</v>
      </c>
    </row>
    <row r="2270" spans="1:6" x14ac:dyDescent="0.25">
      <c r="A2270" s="14">
        <v>46146.915972222225</v>
      </c>
      <c r="B2270" s="79" t="s">
        <v>149</v>
      </c>
      <c r="C2270" s="79" t="s">
        <v>190</v>
      </c>
      <c r="D2270" s="79" t="s">
        <v>157</v>
      </c>
      <c r="E2270" s="79" t="s">
        <v>50</v>
      </c>
      <c r="F2270" s="79" t="str">
        <f>IF(E2270="", "", IF(COUNTIF(ChestType!$A$5:$A$195, E2270)&gt;0, VLOOKUP(E2270, ChestType!$A$5:$B$195, 2, 0), "Others"))</f>
        <v>L10 Crypt</v>
      </c>
    </row>
    <row r="2271" spans="1:6" x14ac:dyDescent="0.25">
      <c r="A2271" s="14">
        <v>46146.915972222225</v>
      </c>
      <c r="B2271" s="79" t="s">
        <v>149</v>
      </c>
      <c r="C2271" s="79" t="s">
        <v>223</v>
      </c>
      <c r="D2271" s="79" t="s">
        <v>157</v>
      </c>
      <c r="E2271" s="79" t="s">
        <v>64</v>
      </c>
      <c r="F2271" s="79" t="str">
        <f>IF(E2271="", "", IF(COUNTIF(ChestType!$A$5:$A$195, E2271)&gt;0, VLOOKUP(E2271, ChestType!$A$5:$B$195, 2, 0), "Others"))</f>
        <v>L15 Epic Crypt</v>
      </c>
    </row>
    <row r="2272" spans="1:6" x14ac:dyDescent="0.25">
      <c r="A2272" s="14">
        <v>46146.915972222225</v>
      </c>
      <c r="B2272" s="79" t="s">
        <v>149</v>
      </c>
      <c r="C2272" s="79" t="s">
        <v>184</v>
      </c>
      <c r="D2272" s="79" t="s">
        <v>157</v>
      </c>
      <c r="E2272" s="79" t="s">
        <v>50</v>
      </c>
      <c r="F2272" s="79" t="str">
        <f>IF(E2272="", "", IF(COUNTIF(ChestType!$A$5:$A$195, E2272)&gt;0, VLOOKUP(E2272, ChestType!$A$5:$B$195, 2, 0), "Others"))</f>
        <v>L10 Crypt</v>
      </c>
    </row>
    <row r="2273" spans="1:6" x14ac:dyDescent="0.25">
      <c r="A2273" s="14">
        <v>46146.915972222225</v>
      </c>
      <c r="B2273" s="79" t="s">
        <v>149</v>
      </c>
      <c r="C2273" s="79" t="s">
        <v>226</v>
      </c>
      <c r="D2273" s="79" t="s">
        <v>157</v>
      </c>
      <c r="E2273" s="79" t="s">
        <v>64</v>
      </c>
      <c r="F2273" s="79" t="str">
        <f>IF(E2273="", "", IF(COUNTIF(ChestType!$A$5:$A$195, E2273)&gt;0, VLOOKUP(E2273, ChestType!$A$5:$B$195, 2, 0), "Others"))</f>
        <v>L15 Epic Crypt</v>
      </c>
    </row>
    <row r="2274" spans="1:6" x14ac:dyDescent="0.25">
      <c r="A2274" s="14">
        <v>46146.915972222225</v>
      </c>
      <c r="B2274" s="79" t="s">
        <v>149</v>
      </c>
      <c r="C2274" s="79" t="s">
        <v>187</v>
      </c>
      <c r="D2274" s="79" t="s">
        <v>164</v>
      </c>
      <c r="E2274" s="79" t="s">
        <v>75</v>
      </c>
      <c r="F2274" s="79" t="str">
        <f>IF(E2274="", "", IF(COUNTIF(ChestType!$A$5:$A$195, E2274)&gt;0, VLOOKUP(E2274, ChestType!$A$5:$B$195, 2, 0), "Others"))</f>
        <v>L10 Rare Crypt</v>
      </c>
    </row>
    <row r="2275" spans="1:6" x14ac:dyDescent="0.25">
      <c r="A2275" s="14">
        <v>46146.915972222225</v>
      </c>
      <c r="B2275" s="79" t="s">
        <v>149</v>
      </c>
      <c r="C2275" s="79" t="s">
        <v>190</v>
      </c>
      <c r="D2275" s="79" t="s">
        <v>157</v>
      </c>
      <c r="E2275" s="79" t="s">
        <v>52</v>
      </c>
      <c r="F2275" s="79" t="str">
        <f>IF(E2275="", "", IF(COUNTIF(ChestType!$A$5:$A$195, E2275)&gt;0, VLOOKUP(E2275, ChestType!$A$5:$B$195, 2, 0), "Others"))</f>
        <v>L5 Crypt</v>
      </c>
    </row>
    <row r="2276" spans="1:6" x14ac:dyDescent="0.25">
      <c r="A2276" s="14">
        <v>46146.915972222225</v>
      </c>
      <c r="B2276" s="79" t="s">
        <v>149</v>
      </c>
      <c r="C2276" s="79" t="s">
        <v>151</v>
      </c>
      <c r="D2276" s="79" t="s">
        <v>164</v>
      </c>
      <c r="E2276" s="79" t="s">
        <v>49</v>
      </c>
      <c r="F2276" s="79" t="str">
        <f>IF(E2276="", "", IF(COUNTIF(ChestType!$A$5:$A$195, E2276)&gt;0, VLOOKUP(E2276, ChestType!$A$5:$B$195, 2, 0), "Others"))</f>
        <v>L15 Crypt</v>
      </c>
    </row>
    <row r="2277" spans="1:6" x14ac:dyDescent="0.25">
      <c r="A2277" s="14">
        <v>46146.915972222225</v>
      </c>
      <c r="B2277" s="79" t="s">
        <v>149</v>
      </c>
      <c r="C2277" s="79" t="s">
        <v>175</v>
      </c>
      <c r="D2277" s="79" t="s">
        <v>231</v>
      </c>
      <c r="E2277" s="79" t="s">
        <v>52</v>
      </c>
      <c r="F2277" s="79" t="str">
        <f>IF(E2277="", "", IF(COUNTIF(ChestType!$A$5:$A$195, E2277)&gt;0, VLOOKUP(E2277, ChestType!$A$5:$B$195, 2, 0), "Others"))</f>
        <v>L5 Crypt</v>
      </c>
    </row>
    <row r="2278" spans="1:6" x14ac:dyDescent="0.25">
      <c r="A2278" s="14">
        <v>46146.915972222225</v>
      </c>
      <c r="B2278" s="79" t="s">
        <v>149</v>
      </c>
      <c r="C2278" s="79" t="s">
        <v>177</v>
      </c>
      <c r="D2278" s="79" t="s">
        <v>231</v>
      </c>
      <c r="E2278" s="79" t="s">
        <v>50</v>
      </c>
      <c r="F2278" s="79" t="str">
        <f>IF(E2278="", "", IF(COUNTIF(ChestType!$A$5:$A$195, E2278)&gt;0, VLOOKUP(E2278, ChestType!$A$5:$B$195, 2, 0), "Others"))</f>
        <v>L10 Crypt</v>
      </c>
    </row>
    <row r="2279" spans="1:6" x14ac:dyDescent="0.25">
      <c r="A2279" s="14">
        <v>46146.915972222225</v>
      </c>
      <c r="B2279" s="79" t="s">
        <v>149</v>
      </c>
      <c r="C2279" s="79" t="s">
        <v>158</v>
      </c>
      <c r="D2279" s="79" t="s">
        <v>231</v>
      </c>
      <c r="E2279" s="79" t="s">
        <v>50</v>
      </c>
      <c r="F2279" s="79" t="str">
        <f>IF(E2279="", "", IF(COUNTIF(ChestType!$A$5:$A$195, E2279)&gt;0, VLOOKUP(E2279, ChestType!$A$5:$B$195, 2, 0), "Others"))</f>
        <v>L10 Crypt</v>
      </c>
    </row>
    <row r="2280" spans="1:6" x14ac:dyDescent="0.25">
      <c r="A2280" s="14">
        <v>46146.915972222225</v>
      </c>
      <c r="B2280" s="79" t="s">
        <v>149</v>
      </c>
      <c r="C2280" s="79" t="s">
        <v>192</v>
      </c>
      <c r="D2280" s="79" t="s">
        <v>231</v>
      </c>
      <c r="E2280" s="79" t="s">
        <v>60</v>
      </c>
      <c r="F2280" s="79" t="str">
        <f>IF(E2280="", "", IF(COUNTIF(ChestType!$A$5:$A$195, E2280)&gt;0, VLOOKUP(E2280, ChestType!$A$5:$B$195, 2, 0), "Others"))</f>
        <v>Others</v>
      </c>
    </row>
    <row r="2281" spans="1:6" x14ac:dyDescent="0.25">
      <c r="A2281" s="14">
        <v>46146.915972222225</v>
      </c>
      <c r="B2281" s="79" t="s">
        <v>149</v>
      </c>
      <c r="C2281" s="79" t="s">
        <v>151</v>
      </c>
      <c r="D2281" s="79" t="s">
        <v>231</v>
      </c>
      <c r="E2281" s="79" t="s">
        <v>50</v>
      </c>
      <c r="F2281" s="79" t="str">
        <f>IF(E2281="", "", IF(COUNTIF(ChestType!$A$5:$A$195, E2281)&gt;0, VLOOKUP(E2281, ChestType!$A$5:$B$195, 2, 0), "Others"))</f>
        <v>L10 Crypt</v>
      </c>
    </row>
    <row r="2282" spans="1:6" x14ac:dyDescent="0.25">
      <c r="A2282" s="14">
        <v>46146.915972222225</v>
      </c>
      <c r="B2282" s="79" t="s">
        <v>149</v>
      </c>
      <c r="C2282" s="79" t="s">
        <v>185</v>
      </c>
      <c r="D2282" s="79" t="s">
        <v>231</v>
      </c>
      <c r="E2282" s="79" t="s">
        <v>50</v>
      </c>
      <c r="F2282" s="79" t="str">
        <f>IF(E2282="", "", IF(COUNTIF(ChestType!$A$5:$A$195, E2282)&gt;0, VLOOKUP(E2282, ChestType!$A$5:$B$195, 2, 0), "Others"))</f>
        <v>L10 Crypt</v>
      </c>
    </row>
    <row r="2283" spans="1:6" x14ac:dyDescent="0.25">
      <c r="A2283" s="14">
        <v>46146.915972222225</v>
      </c>
      <c r="B2283" s="79" t="s">
        <v>149</v>
      </c>
      <c r="C2283" s="79" t="s">
        <v>173</v>
      </c>
      <c r="D2283" s="79" t="s">
        <v>231</v>
      </c>
      <c r="E2283" s="79" t="s">
        <v>50</v>
      </c>
      <c r="F2283" s="79" t="str">
        <f>IF(E2283="", "", IF(COUNTIF(ChestType!$A$5:$A$195, E2283)&gt;0, VLOOKUP(E2283, ChestType!$A$5:$B$195, 2, 0), "Others"))</f>
        <v>L10 Crypt</v>
      </c>
    </row>
    <row r="2284" spans="1:6" x14ac:dyDescent="0.25">
      <c r="A2284" s="14">
        <v>46146.915972222225</v>
      </c>
      <c r="B2284" s="79" t="s">
        <v>149</v>
      </c>
      <c r="C2284" s="79" t="s">
        <v>185</v>
      </c>
      <c r="D2284" s="79" t="s">
        <v>165</v>
      </c>
      <c r="E2284" s="79" t="s">
        <v>52</v>
      </c>
      <c r="F2284" s="79" t="str">
        <f>IF(E2284="", "", IF(COUNTIF(ChestType!$A$5:$A$195, E2284)&gt;0, VLOOKUP(E2284, ChestType!$A$5:$B$195, 2, 0), "Others"))</f>
        <v>L5 Crypt</v>
      </c>
    </row>
    <row r="2285" spans="1:6" x14ac:dyDescent="0.25">
      <c r="A2285" s="14">
        <v>46146.915972222225</v>
      </c>
      <c r="B2285" s="79" t="s">
        <v>149</v>
      </c>
      <c r="C2285" s="79" t="s">
        <v>181</v>
      </c>
      <c r="D2285" s="79" t="s">
        <v>231</v>
      </c>
      <c r="E2285" s="79" t="s">
        <v>50</v>
      </c>
      <c r="F2285" s="79" t="str">
        <f>IF(E2285="", "", IF(COUNTIF(ChestType!$A$5:$A$195, E2285)&gt;0, VLOOKUP(E2285, ChestType!$A$5:$B$195, 2, 0), "Others"))</f>
        <v>L10 Crypt</v>
      </c>
    </row>
    <row r="2286" spans="1:6" x14ac:dyDescent="0.25">
      <c r="A2286" s="14">
        <v>46146.915972222225</v>
      </c>
      <c r="B2286" s="79" t="s">
        <v>149</v>
      </c>
      <c r="C2286" s="79" t="s">
        <v>182</v>
      </c>
      <c r="D2286" s="79" t="s">
        <v>231</v>
      </c>
      <c r="E2286" s="79" t="s">
        <v>50</v>
      </c>
      <c r="F2286" s="79" t="str">
        <f>IF(E2286="", "", IF(COUNTIF(ChestType!$A$5:$A$195, E2286)&gt;0, VLOOKUP(E2286, ChestType!$A$5:$B$195, 2, 0), "Others"))</f>
        <v>L10 Crypt</v>
      </c>
    </row>
    <row r="2287" spans="1:6" x14ac:dyDescent="0.25">
      <c r="A2287" s="14">
        <v>46146.915972222225</v>
      </c>
      <c r="B2287" s="79" t="s">
        <v>149</v>
      </c>
      <c r="C2287" s="79" t="s">
        <v>190</v>
      </c>
      <c r="D2287" s="79" t="s">
        <v>231</v>
      </c>
      <c r="E2287" s="79" t="s">
        <v>50</v>
      </c>
      <c r="F2287" s="79" t="str">
        <f>IF(E2287="", "", IF(COUNTIF(ChestType!$A$5:$A$195, E2287)&gt;0, VLOOKUP(E2287, ChestType!$A$5:$B$195, 2, 0), "Others"))</f>
        <v>L10 Crypt</v>
      </c>
    </row>
    <row r="2288" spans="1:6" x14ac:dyDescent="0.25">
      <c r="A2288" s="14">
        <v>46146.915972222225</v>
      </c>
      <c r="B2288" s="79" t="s">
        <v>149</v>
      </c>
      <c r="C2288" s="79" t="s">
        <v>183</v>
      </c>
      <c r="D2288" s="79" t="s">
        <v>164</v>
      </c>
      <c r="E2288" s="79" t="s">
        <v>49</v>
      </c>
      <c r="F2288" s="79" t="str">
        <f>IF(E2288="", "", IF(COUNTIF(ChestType!$A$5:$A$195, E2288)&gt;0, VLOOKUP(E2288, ChestType!$A$5:$B$195, 2, 0), "Others"))</f>
        <v>L15 Crypt</v>
      </c>
    </row>
    <row r="2289" spans="1:6" x14ac:dyDescent="0.25">
      <c r="A2289" s="14">
        <v>46146.915972222225</v>
      </c>
      <c r="B2289" s="79" t="s">
        <v>149</v>
      </c>
      <c r="C2289" s="79" t="s">
        <v>177</v>
      </c>
      <c r="D2289" s="79" t="s">
        <v>231</v>
      </c>
      <c r="E2289" s="79" t="s">
        <v>50</v>
      </c>
      <c r="F2289" s="79" t="str">
        <f>IF(E2289="", "", IF(COUNTIF(ChestType!$A$5:$A$195, E2289)&gt;0, VLOOKUP(E2289, ChestType!$A$5:$B$195, 2, 0), "Others"))</f>
        <v>L10 Crypt</v>
      </c>
    </row>
    <row r="2290" spans="1:6" x14ac:dyDescent="0.25">
      <c r="A2290" s="14">
        <v>46146.915972222225</v>
      </c>
      <c r="B2290" s="79" t="s">
        <v>149</v>
      </c>
      <c r="C2290" s="79" t="s">
        <v>187</v>
      </c>
      <c r="D2290" s="79" t="s">
        <v>231</v>
      </c>
      <c r="E2290" s="79" t="s">
        <v>71</v>
      </c>
      <c r="F2290" s="79" t="str">
        <f>IF(E2290="", "", IF(COUNTIF(ChestType!$A$5:$A$195, E2290)&gt;0, VLOOKUP(E2290, ChestType!$A$5:$B$195, 2, 0), "Others"))</f>
        <v>L15 Rare Crypt</v>
      </c>
    </row>
    <row r="2291" spans="1:6" x14ac:dyDescent="0.25">
      <c r="A2291" s="14">
        <v>46146.915972222225</v>
      </c>
      <c r="B2291" s="79" t="s">
        <v>149</v>
      </c>
      <c r="C2291" s="79" t="s">
        <v>192</v>
      </c>
      <c r="D2291" s="79" t="s">
        <v>164</v>
      </c>
      <c r="E2291" s="79" t="s">
        <v>60</v>
      </c>
      <c r="F2291" s="79" t="str">
        <f>IF(E2291="", "", IF(COUNTIF(ChestType!$A$5:$A$195, E2291)&gt;0, VLOOKUP(E2291, ChestType!$A$5:$B$195, 2, 0), "Others"))</f>
        <v>Others</v>
      </c>
    </row>
    <row r="2292" spans="1:6" x14ac:dyDescent="0.25">
      <c r="A2292" s="14">
        <v>46146.915972222225</v>
      </c>
      <c r="B2292" s="79" t="s">
        <v>149</v>
      </c>
      <c r="C2292" s="79" t="s">
        <v>181</v>
      </c>
      <c r="D2292" s="79" t="s">
        <v>233</v>
      </c>
      <c r="E2292" s="79" t="s">
        <v>52</v>
      </c>
      <c r="F2292" s="79" t="str">
        <f>IF(E2292="", "", IF(COUNTIF(ChestType!$A$5:$A$195, E2292)&gt;0, VLOOKUP(E2292, ChestType!$A$5:$B$195, 2, 0), "Others"))</f>
        <v>L5 Crypt</v>
      </c>
    </row>
    <row r="2293" spans="1:6" x14ac:dyDescent="0.25">
      <c r="A2293" s="14">
        <v>46146.915972222225</v>
      </c>
      <c r="B2293" s="79" t="s">
        <v>149</v>
      </c>
      <c r="C2293" s="79" t="s">
        <v>187</v>
      </c>
      <c r="D2293" s="79" t="s">
        <v>231</v>
      </c>
      <c r="E2293" s="79" t="s">
        <v>71</v>
      </c>
      <c r="F2293" s="79" t="str">
        <f>IF(E2293="", "", IF(COUNTIF(ChestType!$A$5:$A$195, E2293)&gt;0, VLOOKUP(E2293, ChestType!$A$5:$B$195, 2, 0), "Others"))</f>
        <v>L15 Rare Crypt</v>
      </c>
    </row>
    <row r="2294" spans="1:6" x14ac:dyDescent="0.25">
      <c r="A2294" s="14">
        <v>46146.915972222225</v>
      </c>
      <c r="B2294" s="79" t="s">
        <v>149</v>
      </c>
      <c r="C2294" s="79" t="s">
        <v>175</v>
      </c>
      <c r="D2294" s="79" t="s">
        <v>152</v>
      </c>
      <c r="E2294" s="79" t="s">
        <v>50</v>
      </c>
      <c r="F2294" s="79" t="str">
        <f>IF(E2294="", "", IF(COUNTIF(ChestType!$A$5:$A$195, E2294)&gt;0, VLOOKUP(E2294, ChestType!$A$5:$B$195, 2, 0), "Others"))</f>
        <v>L10 Crypt</v>
      </c>
    </row>
    <row r="2295" spans="1:6" x14ac:dyDescent="0.25">
      <c r="A2295" s="14">
        <v>46146.915972222225</v>
      </c>
      <c r="B2295" s="79" t="s">
        <v>149</v>
      </c>
      <c r="C2295" s="79" t="s">
        <v>158</v>
      </c>
      <c r="D2295" s="79" t="s">
        <v>231</v>
      </c>
      <c r="E2295" s="79" t="s">
        <v>52</v>
      </c>
      <c r="F2295" s="79" t="str">
        <f>IF(E2295="", "", IF(COUNTIF(ChestType!$A$5:$A$195, E2295)&gt;0, VLOOKUP(E2295, ChestType!$A$5:$B$195, 2, 0), "Others"))</f>
        <v>L5 Crypt</v>
      </c>
    </row>
    <row r="2296" spans="1:6" x14ac:dyDescent="0.25">
      <c r="A2296" s="14">
        <v>46146.915972222225</v>
      </c>
      <c r="B2296" s="79" t="s">
        <v>149</v>
      </c>
      <c r="C2296" s="79" t="s">
        <v>151</v>
      </c>
      <c r="D2296" s="79" t="s">
        <v>231</v>
      </c>
      <c r="E2296" s="79" t="s">
        <v>52</v>
      </c>
      <c r="F2296" s="79" t="str">
        <f>IF(E2296="", "", IF(COUNTIF(ChestType!$A$5:$A$195, E2296)&gt;0, VLOOKUP(E2296, ChestType!$A$5:$B$195, 2, 0), "Others"))</f>
        <v>L5 Crypt</v>
      </c>
    </row>
    <row r="2297" spans="1:6" x14ac:dyDescent="0.25">
      <c r="A2297" s="14">
        <v>46146.915972222225</v>
      </c>
      <c r="B2297" s="79" t="s">
        <v>149</v>
      </c>
      <c r="C2297" s="79" t="s">
        <v>171</v>
      </c>
      <c r="D2297" s="79" t="s">
        <v>231</v>
      </c>
      <c r="E2297" s="79" t="s">
        <v>50</v>
      </c>
      <c r="F2297" s="79" t="str">
        <f>IF(E2297="", "", IF(COUNTIF(ChestType!$A$5:$A$195, E2297)&gt;0, VLOOKUP(E2297, ChestType!$A$5:$B$195, 2, 0), "Others"))</f>
        <v>L10 Crypt</v>
      </c>
    </row>
    <row r="2298" spans="1:6" x14ac:dyDescent="0.25">
      <c r="A2298" s="14">
        <v>46146.915972222225</v>
      </c>
      <c r="B2298" s="79" t="s">
        <v>149</v>
      </c>
      <c r="C2298" s="79" t="s">
        <v>187</v>
      </c>
      <c r="D2298" s="79" t="s">
        <v>164</v>
      </c>
      <c r="E2298" s="79" t="s">
        <v>75</v>
      </c>
      <c r="F2298" s="79" t="str">
        <f>IF(E2298="", "", IF(COUNTIF(ChestType!$A$5:$A$195, E2298)&gt;0, VLOOKUP(E2298, ChestType!$A$5:$B$195, 2, 0), "Others"))</f>
        <v>L10 Rare Crypt</v>
      </c>
    </row>
    <row r="2299" spans="1:6" x14ac:dyDescent="0.25">
      <c r="A2299" s="14">
        <v>46146.915972222225</v>
      </c>
      <c r="B2299" s="79" t="s">
        <v>195</v>
      </c>
      <c r="C2299" s="79" t="s">
        <v>198</v>
      </c>
      <c r="D2299" s="79" t="s">
        <v>250</v>
      </c>
      <c r="E2299" s="79" t="s">
        <v>24</v>
      </c>
      <c r="F2299" s="79" t="str">
        <f>IF(E2299="", "", IF(COUNTIF(ChestType!$A$5:$A$195, E2299)&gt;0, VLOOKUP(E2299, ChestType!$A$5:$B$195, 2, 0), "Others"))</f>
        <v>Bank</v>
      </c>
    </row>
    <row r="2300" spans="1:6" x14ac:dyDescent="0.25">
      <c r="A2300" s="14">
        <v>46146.915972222225</v>
      </c>
      <c r="B2300" s="79" t="s">
        <v>195</v>
      </c>
      <c r="C2300" s="79" t="s">
        <v>198</v>
      </c>
      <c r="D2300" s="79" t="s">
        <v>250</v>
      </c>
      <c r="E2300" s="79" t="s">
        <v>24</v>
      </c>
      <c r="F2300" s="79" t="str">
        <f>IF(E2300="", "", IF(COUNTIF(ChestType!$A$5:$A$195, E2300)&gt;0, VLOOKUP(E2300, ChestType!$A$5:$B$195, 2, 0), "Others"))</f>
        <v>Bank</v>
      </c>
    </row>
    <row r="2301" spans="1:6" x14ac:dyDescent="0.25">
      <c r="A2301" s="14">
        <v>46146.915972222225</v>
      </c>
      <c r="B2301" s="79" t="s">
        <v>195</v>
      </c>
      <c r="C2301" s="79" t="s">
        <v>198</v>
      </c>
      <c r="D2301" s="79" t="s">
        <v>250</v>
      </c>
      <c r="E2301" s="79" t="s">
        <v>24</v>
      </c>
      <c r="F2301" s="79" t="str">
        <f>IF(E2301="", "", IF(COUNTIF(ChestType!$A$5:$A$195, E2301)&gt;0, VLOOKUP(E2301, ChestType!$A$5:$B$195, 2, 0), "Others"))</f>
        <v>Bank</v>
      </c>
    </row>
    <row r="2302" spans="1:6" x14ac:dyDescent="0.25">
      <c r="A2302" s="14">
        <v>46146.915972222225</v>
      </c>
      <c r="B2302" s="79" t="s">
        <v>195</v>
      </c>
      <c r="C2302" s="79" t="s">
        <v>198</v>
      </c>
      <c r="D2302" s="79" t="s">
        <v>205</v>
      </c>
      <c r="E2302" s="79" t="s">
        <v>24</v>
      </c>
      <c r="F2302" s="79" t="str">
        <f>IF(E2302="", "", IF(COUNTIF(ChestType!$A$5:$A$195, E2302)&gt;0, VLOOKUP(E2302, ChestType!$A$5:$B$195, 2, 0), "Others"))</f>
        <v>Bank</v>
      </c>
    </row>
    <row r="2303" spans="1:6" x14ac:dyDescent="0.25">
      <c r="A2303" s="14">
        <v>46146.915972222225</v>
      </c>
      <c r="B2303" s="79" t="s">
        <v>195</v>
      </c>
      <c r="C2303" s="79" t="s">
        <v>198</v>
      </c>
      <c r="D2303" s="79" t="s">
        <v>205</v>
      </c>
      <c r="E2303" s="79" t="s">
        <v>24</v>
      </c>
      <c r="F2303" s="79" t="str">
        <f>IF(E2303="", "", IF(COUNTIF(ChestType!$A$5:$A$195, E2303)&gt;0, VLOOKUP(E2303, ChestType!$A$5:$B$195, 2, 0), "Others"))</f>
        <v>Bank</v>
      </c>
    </row>
    <row r="2304" spans="1:6" x14ac:dyDescent="0.25">
      <c r="A2304" s="14">
        <v>46146.915972222225</v>
      </c>
      <c r="B2304" s="79" t="s">
        <v>195</v>
      </c>
      <c r="C2304" s="79" t="s">
        <v>198</v>
      </c>
      <c r="D2304" s="79" t="s">
        <v>205</v>
      </c>
      <c r="E2304" s="79" t="s">
        <v>24</v>
      </c>
      <c r="F2304" s="79" t="str">
        <f>IF(E2304="", "", IF(COUNTIF(ChestType!$A$5:$A$195, E2304)&gt;0, VLOOKUP(E2304, ChestType!$A$5:$B$195, 2, 0), "Others"))</f>
        <v>Bank</v>
      </c>
    </row>
    <row r="2305" spans="1:6" x14ac:dyDescent="0.25">
      <c r="A2305" s="14">
        <v>46146.915972222225</v>
      </c>
      <c r="B2305" s="79" t="s">
        <v>195</v>
      </c>
      <c r="C2305" s="79" t="s">
        <v>196</v>
      </c>
      <c r="D2305" s="79" t="s">
        <v>205</v>
      </c>
      <c r="E2305" s="79" t="s">
        <v>24</v>
      </c>
      <c r="F2305" s="79" t="str">
        <f>IF(E2305="", "", IF(COUNTIF(ChestType!$A$5:$A$195, E2305)&gt;0, VLOOKUP(E2305, ChestType!$A$5:$B$195, 2, 0), "Others"))</f>
        <v>Bank</v>
      </c>
    </row>
    <row r="2306" spans="1:6" x14ac:dyDescent="0.25">
      <c r="A2306" s="14">
        <v>46146.915972222225</v>
      </c>
      <c r="B2306" s="79" t="s">
        <v>195</v>
      </c>
      <c r="C2306" s="79" t="s">
        <v>196</v>
      </c>
      <c r="D2306" s="79" t="s">
        <v>205</v>
      </c>
      <c r="E2306" s="79" t="s">
        <v>24</v>
      </c>
      <c r="F2306" s="79" t="str">
        <f>IF(E2306="", "", IF(COUNTIF(ChestType!$A$5:$A$195, E2306)&gt;0, VLOOKUP(E2306, ChestType!$A$5:$B$195, 2, 0), "Others"))</f>
        <v>Bank</v>
      </c>
    </row>
    <row r="2307" spans="1:6" x14ac:dyDescent="0.25">
      <c r="A2307" s="14">
        <v>46146.915972222225</v>
      </c>
      <c r="B2307" s="79" t="s">
        <v>195</v>
      </c>
      <c r="C2307" s="79" t="s">
        <v>196</v>
      </c>
      <c r="D2307" s="79" t="s">
        <v>205</v>
      </c>
      <c r="E2307" s="79" t="s">
        <v>24</v>
      </c>
      <c r="F2307" s="79" t="str">
        <f>IF(E2307="", "", IF(COUNTIF(ChestType!$A$5:$A$195, E2307)&gt;0, VLOOKUP(E2307, ChestType!$A$5:$B$195, 2, 0), "Others"))</f>
        <v>Bank</v>
      </c>
    </row>
    <row r="2308" spans="1:6" x14ac:dyDescent="0.25">
      <c r="A2308" s="14">
        <v>46146.977777777778</v>
      </c>
      <c r="B2308" s="79" t="s">
        <v>149</v>
      </c>
      <c r="C2308" s="79" t="s">
        <v>176</v>
      </c>
      <c r="D2308" s="79" t="s">
        <v>157</v>
      </c>
      <c r="E2308" s="79" t="s">
        <v>70</v>
      </c>
      <c r="F2308" s="79" t="str">
        <f>IF(E2308="", "", IF(COUNTIF(ChestType!$A$5:$A$195, E2308)&gt;0, VLOOKUP(E2308, ChestType!$A$5:$B$195, 2, 0), "Others"))</f>
        <v>L10 Citadel</v>
      </c>
    </row>
    <row r="2309" spans="1:6" x14ac:dyDescent="0.25">
      <c r="A2309" s="14">
        <v>46146.977777777778</v>
      </c>
      <c r="B2309" s="79" t="s">
        <v>149</v>
      </c>
      <c r="C2309" s="79" t="s">
        <v>158</v>
      </c>
      <c r="D2309" s="79" t="s">
        <v>152</v>
      </c>
      <c r="E2309" s="79" t="s">
        <v>50</v>
      </c>
      <c r="F2309" s="79" t="str">
        <f>IF(E2309="", "", IF(COUNTIF(ChestType!$A$5:$A$195, E2309)&gt;0, VLOOKUP(E2309, ChestType!$A$5:$B$195, 2, 0), "Others"))</f>
        <v>L10 Crypt</v>
      </c>
    </row>
    <row r="2310" spans="1:6" x14ac:dyDescent="0.25">
      <c r="A2310" s="14">
        <v>46146.977777777778</v>
      </c>
      <c r="B2310" s="79" t="s">
        <v>149</v>
      </c>
      <c r="C2310" s="79" t="s">
        <v>187</v>
      </c>
      <c r="D2310" s="79" t="s">
        <v>157</v>
      </c>
      <c r="E2310" s="79" t="s">
        <v>75</v>
      </c>
      <c r="F2310" s="79" t="str">
        <f>IF(E2310="", "", IF(COUNTIF(ChestType!$A$5:$A$195, E2310)&gt;0, VLOOKUP(E2310, ChestType!$A$5:$B$195, 2, 0), "Others"))</f>
        <v>L10 Rare Crypt</v>
      </c>
    </row>
    <row r="2311" spans="1:6" x14ac:dyDescent="0.25">
      <c r="A2311" s="14">
        <v>46146.977777777778</v>
      </c>
      <c r="B2311" s="79" t="s">
        <v>149</v>
      </c>
      <c r="C2311" s="79" t="s">
        <v>181</v>
      </c>
      <c r="D2311" s="79" t="s">
        <v>152</v>
      </c>
      <c r="E2311" s="79" t="s">
        <v>50</v>
      </c>
      <c r="F2311" s="79" t="str">
        <f>IF(E2311="", "", IF(COUNTIF(ChestType!$A$5:$A$195, E2311)&gt;0, VLOOKUP(E2311, ChestType!$A$5:$B$195, 2, 0), "Others"))</f>
        <v>L10 Crypt</v>
      </c>
    </row>
    <row r="2312" spans="1:6" x14ac:dyDescent="0.25">
      <c r="A2312" s="14">
        <v>46146.977777777778</v>
      </c>
      <c r="B2312" s="79" t="s">
        <v>149</v>
      </c>
      <c r="C2312" s="79" t="s">
        <v>177</v>
      </c>
      <c r="D2312" s="79" t="s">
        <v>152</v>
      </c>
      <c r="E2312" s="79" t="s">
        <v>50</v>
      </c>
      <c r="F2312" s="79" t="str">
        <f>IF(E2312="", "", IF(COUNTIF(ChestType!$A$5:$A$195, E2312)&gt;0, VLOOKUP(E2312, ChestType!$A$5:$B$195, 2, 0), "Others"))</f>
        <v>L10 Crypt</v>
      </c>
    </row>
    <row r="2313" spans="1:6" x14ac:dyDescent="0.25">
      <c r="A2313" s="14">
        <v>46146.977777777778</v>
      </c>
      <c r="B2313" s="79" t="s">
        <v>149</v>
      </c>
      <c r="C2313" s="79" t="s">
        <v>183</v>
      </c>
      <c r="D2313" s="79" t="s">
        <v>152</v>
      </c>
      <c r="E2313" s="79" t="s">
        <v>50</v>
      </c>
      <c r="F2313" s="79" t="str">
        <f>IF(E2313="", "", IF(COUNTIF(ChestType!$A$5:$A$195, E2313)&gt;0, VLOOKUP(E2313, ChestType!$A$5:$B$195, 2, 0), "Others"))</f>
        <v>L10 Crypt</v>
      </c>
    </row>
    <row r="2314" spans="1:6" x14ac:dyDescent="0.25">
      <c r="A2314" s="14">
        <v>46146.977777777778</v>
      </c>
      <c r="B2314" s="79" t="s">
        <v>149</v>
      </c>
      <c r="C2314" s="79" t="s">
        <v>181</v>
      </c>
      <c r="D2314" s="79" t="s">
        <v>152</v>
      </c>
      <c r="E2314" s="79" t="s">
        <v>50</v>
      </c>
      <c r="F2314" s="79" t="str">
        <f>IF(E2314="", "", IF(COUNTIF(ChestType!$A$5:$A$195, E2314)&gt;0, VLOOKUP(E2314, ChestType!$A$5:$B$195, 2, 0), "Others"))</f>
        <v>L10 Crypt</v>
      </c>
    </row>
    <row r="2315" spans="1:6" x14ac:dyDescent="0.25">
      <c r="A2315" s="14">
        <v>46146.977777777778</v>
      </c>
      <c r="B2315" s="79" t="s">
        <v>149</v>
      </c>
      <c r="C2315" s="79" t="s">
        <v>181</v>
      </c>
      <c r="D2315" s="79" t="s">
        <v>152</v>
      </c>
      <c r="E2315" s="79" t="s">
        <v>50</v>
      </c>
      <c r="F2315" s="79" t="str">
        <f>IF(E2315="", "", IF(COUNTIF(ChestType!$A$5:$A$195, E2315)&gt;0, VLOOKUP(E2315, ChestType!$A$5:$B$195, 2, 0), "Others"))</f>
        <v>L10 Crypt</v>
      </c>
    </row>
    <row r="2316" spans="1:6" x14ac:dyDescent="0.25">
      <c r="A2316" s="14">
        <v>46146.977777777778</v>
      </c>
      <c r="B2316" s="79" t="s">
        <v>149</v>
      </c>
      <c r="C2316" s="79" t="s">
        <v>171</v>
      </c>
      <c r="D2316" s="79" t="s">
        <v>157</v>
      </c>
      <c r="E2316" s="79" t="s">
        <v>50</v>
      </c>
      <c r="F2316" s="79" t="str">
        <f>IF(E2316="", "", IF(COUNTIF(ChestType!$A$5:$A$195, E2316)&gt;0, VLOOKUP(E2316, ChestType!$A$5:$B$195, 2, 0), "Others"))</f>
        <v>L10 Crypt</v>
      </c>
    </row>
    <row r="2317" spans="1:6" x14ac:dyDescent="0.25">
      <c r="A2317" s="14">
        <v>46146.977777777778</v>
      </c>
      <c r="B2317" s="79" t="s">
        <v>149</v>
      </c>
      <c r="C2317" s="79" t="s">
        <v>218</v>
      </c>
      <c r="D2317" s="79" t="s">
        <v>156</v>
      </c>
      <c r="E2317" s="79" t="s">
        <v>64</v>
      </c>
      <c r="F2317" s="79" t="str">
        <f>IF(E2317="", "", IF(COUNTIF(ChestType!$A$5:$A$195, E2317)&gt;0, VLOOKUP(E2317, ChestType!$A$5:$B$195, 2, 0), "Others"))</f>
        <v>L15 Epic Crypt</v>
      </c>
    </row>
    <row r="2318" spans="1:6" x14ac:dyDescent="0.25">
      <c r="A2318" s="14">
        <v>46146.977777777778</v>
      </c>
      <c r="B2318" s="79" t="s">
        <v>149</v>
      </c>
      <c r="C2318" s="79" t="s">
        <v>218</v>
      </c>
      <c r="D2318" s="79" t="s">
        <v>156</v>
      </c>
      <c r="E2318" s="79" t="s">
        <v>64</v>
      </c>
      <c r="F2318" s="79" t="str">
        <f>IF(E2318="", "", IF(COUNTIF(ChestType!$A$5:$A$195, E2318)&gt;0, VLOOKUP(E2318, ChestType!$A$5:$B$195, 2, 0), "Others"))</f>
        <v>L15 Epic Crypt</v>
      </c>
    </row>
    <row r="2319" spans="1:6" x14ac:dyDescent="0.25">
      <c r="A2319" s="14">
        <v>46146.977777777778</v>
      </c>
      <c r="B2319" s="79" t="s">
        <v>149</v>
      </c>
      <c r="C2319" s="79" t="s">
        <v>218</v>
      </c>
      <c r="D2319" s="79" t="s">
        <v>156</v>
      </c>
      <c r="E2319" s="79" t="s">
        <v>64</v>
      </c>
      <c r="F2319" s="79" t="str">
        <f>IF(E2319="", "", IF(COUNTIF(ChestType!$A$5:$A$195, E2319)&gt;0, VLOOKUP(E2319, ChestType!$A$5:$B$195, 2, 0), "Others"))</f>
        <v>L15 Epic Crypt</v>
      </c>
    </row>
    <row r="2320" spans="1:6" x14ac:dyDescent="0.25">
      <c r="A2320" s="14">
        <v>46146.977777777778</v>
      </c>
      <c r="B2320" s="79" t="s">
        <v>149</v>
      </c>
      <c r="C2320" s="79" t="s">
        <v>175</v>
      </c>
      <c r="D2320" s="79" t="s">
        <v>265</v>
      </c>
      <c r="E2320" s="79" t="s">
        <v>49</v>
      </c>
      <c r="F2320" s="79" t="str">
        <f>IF(E2320="", "", IF(COUNTIF(ChestType!$A$5:$A$195, E2320)&gt;0, VLOOKUP(E2320, ChestType!$A$5:$B$195, 2, 0), "Others"))</f>
        <v>L15 Crypt</v>
      </c>
    </row>
    <row r="2321" spans="1:6" x14ac:dyDescent="0.25">
      <c r="A2321" s="14">
        <v>46146.977777777778</v>
      </c>
      <c r="B2321" s="79" t="s">
        <v>149</v>
      </c>
      <c r="C2321" s="79" t="s">
        <v>182</v>
      </c>
      <c r="D2321" s="79" t="s">
        <v>152</v>
      </c>
      <c r="E2321" s="79" t="s">
        <v>50</v>
      </c>
      <c r="F2321" s="79" t="str">
        <f>IF(E2321="", "", IF(COUNTIF(ChestType!$A$5:$A$195, E2321)&gt;0, VLOOKUP(E2321, ChestType!$A$5:$B$195, 2, 0), "Others"))</f>
        <v>L10 Crypt</v>
      </c>
    </row>
    <row r="2322" spans="1:6" x14ac:dyDescent="0.25">
      <c r="A2322" s="14">
        <v>46146.977777777778</v>
      </c>
      <c r="B2322" s="79" t="s">
        <v>149</v>
      </c>
      <c r="C2322" s="79" t="s">
        <v>175</v>
      </c>
      <c r="D2322" s="79" t="s">
        <v>157</v>
      </c>
      <c r="E2322" s="79" t="s">
        <v>50</v>
      </c>
      <c r="F2322" s="79" t="str">
        <f>IF(E2322="", "", IF(COUNTIF(ChestType!$A$5:$A$195, E2322)&gt;0, VLOOKUP(E2322, ChestType!$A$5:$B$195, 2, 0), "Others"))</f>
        <v>L10 Crypt</v>
      </c>
    </row>
    <row r="2323" spans="1:6" x14ac:dyDescent="0.25">
      <c r="A2323" s="14">
        <v>46146.977777777778</v>
      </c>
      <c r="B2323" s="79" t="s">
        <v>149</v>
      </c>
      <c r="C2323" s="79" t="s">
        <v>181</v>
      </c>
      <c r="D2323" s="79" t="s">
        <v>152</v>
      </c>
      <c r="E2323" s="79" t="s">
        <v>50</v>
      </c>
      <c r="F2323" s="79" t="str">
        <f>IF(E2323="", "", IF(COUNTIF(ChestType!$A$5:$A$195, E2323)&gt;0, VLOOKUP(E2323, ChestType!$A$5:$B$195, 2, 0), "Others"))</f>
        <v>L10 Crypt</v>
      </c>
    </row>
    <row r="2324" spans="1:6" x14ac:dyDescent="0.25">
      <c r="A2324" s="14">
        <v>46146.977777777778</v>
      </c>
      <c r="B2324" s="79" t="s">
        <v>149</v>
      </c>
      <c r="C2324" s="79" t="s">
        <v>190</v>
      </c>
      <c r="D2324" s="79" t="s">
        <v>152</v>
      </c>
      <c r="E2324" s="79" t="s">
        <v>50</v>
      </c>
      <c r="F2324" s="79" t="str">
        <f>IF(E2324="", "", IF(COUNTIF(ChestType!$A$5:$A$195, E2324)&gt;0, VLOOKUP(E2324, ChestType!$A$5:$B$195, 2, 0), "Others"))</f>
        <v>L10 Crypt</v>
      </c>
    </row>
    <row r="2325" spans="1:6" x14ac:dyDescent="0.25">
      <c r="A2325" s="14">
        <v>46146.977777777778</v>
      </c>
      <c r="B2325" s="79" t="s">
        <v>149</v>
      </c>
      <c r="C2325" s="79" t="s">
        <v>188</v>
      </c>
      <c r="D2325" s="79" t="s">
        <v>156</v>
      </c>
      <c r="E2325" s="79" t="s">
        <v>45</v>
      </c>
      <c r="F2325" s="79" t="str">
        <f>IF(E2325="", "", IF(COUNTIF(ChestType!$A$5:$A$195, E2325)&gt;0, VLOOKUP(E2325, ChestType!$A$5:$B$195, 2, 0), "Others"))</f>
        <v>Others</v>
      </c>
    </row>
    <row r="2326" spans="1:6" x14ac:dyDescent="0.25">
      <c r="A2326" s="14">
        <v>46146.977777777778</v>
      </c>
      <c r="B2326" s="79" t="s">
        <v>149</v>
      </c>
      <c r="C2326" s="79" t="s">
        <v>189</v>
      </c>
      <c r="D2326" s="79" t="s">
        <v>156</v>
      </c>
      <c r="E2326" s="79" t="s">
        <v>45</v>
      </c>
      <c r="F2326" s="79" t="str">
        <f>IF(E2326="", "", IF(COUNTIF(ChestType!$A$5:$A$195, E2326)&gt;0, VLOOKUP(E2326, ChestType!$A$5:$B$195, 2, 0), "Others"))</f>
        <v>Others</v>
      </c>
    </row>
    <row r="2327" spans="1:6" x14ac:dyDescent="0.25">
      <c r="A2327" s="14">
        <v>46146.977777777778</v>
      </c>
      <c r="B2327" s="79" t="s">
        <v>149</v>
      </c>
      <c r="C2327" s="79" t="s">
        <v>239</v>
      </c>
      <c r="D2327" s="79" t="s">
        <v>156</v>
      </c>
      <c r="E2327" s="79" t="s">
        <v>45</v>
      </c>
      <c r="F2327" s="79" t="str">
        <f>IF(E2327="", "", IF(COUNTIF(ChestType!$A$5:$A$195, E2327)&gt;0, VLOOKUP(E2327, ChestType!$A$5:$B$195, 2, 0), "Others"))</f>
        <v>Others</v>
      </c>
    </row>
    <row r="2328" spans="1:6" x14ac:dyDescent="0.25">
      <c r="A2328" s="14">
        <v>46146.977777777778</v>
      </c>
      <c r="B2328" s="79" t="s">
        <v>149</v>
      </c>
      <c r="C2328" s="79" t="s">
        <v>151</v>
      </c>
      <c r="D2328" s="79" t="s">
        <v>152</v>
      </c>
      <c r="E2328" s="79" t="s">
        <v>50</v>
      </c>
      <c r="F2328" s="79" t="str">
        <f>IF(E2328="", "", IF(COUNTIF(ChestType!$A$5:$A$195, E2328)&gt;0, VLOOKUP(E2328, ChestType!$A$5:$B$195, 2, 0), "Others"))</f>
        <v>L10 Crypt</v>
      </c>
    </row>
    <row r="2329" spans="1:6" x14ac:dyDescent="0.25">
      <c r="A2329" s="14">
        <v>46146.977777777778</v>
      </c>
      <c r="B2329" s="79" t="s">
        <v>149</v>
      </c>
      <c r="C2329" s="79" t="s">
        <v>183</v>
      </c>
      <c r="D2329" s="79" t="s">
        <v>152</v>
      </c>
      <c r="E2329" s="79" t="s">
        <v>50</v>
      </c>
      <c r="F2329" s="79" t="str">
        <f>IF(E2329="", "", IF(COUNTIF(ChestType!$A$5:$A$195, E2329)&gt;0, VLOOKUP(E2329, ChestType!$A$5:$B$195, 2, 0), "Others"))</f>
        <v>L10 Crypt</v>
      </c>
    </row>
    <row r="2330" spans="1:6" x14ac:dyDescent="0.25">
      <c r="A2330" s="14">
        <v>46146.977777777778</v>
      </c>
      <c r="B2330" s="79" t="s">
        <v>149</v>
      </c>
      <c r="C2330" s="79" t="s">
        <v>171</v>
      </c>
      <c r="D2330" s="79" t="s">
        <v>157</v>
      </c>
      <c r="E2330" s="79" t="s">
        <v>50</v>
      </c>
      <c r="F2330" s="79" t="str">
        <f>IF(E2330="", "", IF(COUNTIF(ChestType!$A$5:$A$195, E2330)&gt;0, VLOOKUP(E2330, ChestType!$A$5:$B$195, 2, 0), "Others"))</f>
        <v>L10 Crypt</v>
      </c>
    </row>
    <row r="2331" spans="1:6" x14ac:dyDescent="0.25">
      <c r="A2331" s="14">
        <v>46146.977777777778</v>
      </c>
      <c r="B2331" s="79" t="s">
        <v>149</v>
      </c>
      <c r="C2331" s="79" t="s">
        <v>182</v>
      </c>
      <c r="D2331" s="79" t="s">
        <v>152</v>
      </c>
      <c r="E2331" s="79" t="s">
        <v>50</v>
      </c>
      <c r="F2331" s="79" t="str">
        <f>IF(E2331="", "", IF(COUNTIF(ChestType!$A$5:$A$195, E2331)&gt;0, VLOOKUP(E2331, ChestType!$A$5:$B$195, 2, 0), "Others"))</f>
        <v>L10 Crypt</v>
      </c>
    </row>
    <row r="2332" spans="1:6" x14ac:dyDescent="0.25">
      <c r="A2332" s="14">
        <v>46146.977777777778</v>
      </c>
      <c r="B2332" s="79" t="s">
        <v>149</v>
      </c>
      <c r="C2332" s="79" t="s">
        <v>151</v>
      </c>
      <c r="D2332" s="79" t="s">
        <v>152</v>
      </c>
      <c r="E2332" s="79" t="s">
        <v>50</v>
      </c>
      <c r="F2332" s="79" t="str">
        <f>IF(E2332="", "", IF(COUNTIF(ChestType!$A$5:$A$195, E2332)&gt;0, VLOOKUP(E2332, ChestType!$A$5:$B$195, 2, 0), "Others"))</f>
        <v>L10 Crypt</v>
      </c>
    </row>
    <row r="2333" spans="1:6" x14ac:dyDescent="0.25">
      <c r="A2333" s="14">
        <v>46146.977777777778</v>
      </c>
      <c r="B2333" s="79" t="s">
        <v>149</v>
      </c>
      <c r="C2333" s="79" t="s">
        <v>182</v>
      </c>
      <c r="D2333" s="79" t="s">
        <v>152</v>
      </c>
      <c r="E2333" s="79" t="s">
        <v>50</v>
      </c>
      <c r="F2333" s="79" t="str">
        <f>IF(E2333="", "", IF(COUNTIF(ChestType!$A$5:$A$195, E2333)&gt;0, VLOOKUP(E2333, ChestType!$A$5:$B$195, 2, 0), "Others"))</f>
        <v>L10 Crypt</v>
      </c>
    </row>
    <row r="2334" spans="1:6" x14ac:dyDescent="0.25">
      <c r="A2334" s="14">
        <v>46146.977777777778</v>
      </c>
      <c r="B2334" s="79" t="s">
        <v>149</v>
      </c>
      <c r="C2334" s="79" t="s">
        <v>173</v>
      </c>
      <c r="D2334" s="79" t="s">
        <v>152</v>
      </c>
      <c r="E2334" s="79" t="s">
        <v>50</v>
      </c>
      <c r="F2334" s="79" t="str">
        <f>IF(E2334="", "", IF(COUNTIF(ChestType!$A$5:$A$195, E2334)&gt;0, VLOOKUP(E2334, ChestType!$A$5:$B$195, 2, 0), "Others"))</f>
        <v>L10 Crypt</v>
      </c>
    </row>
    <row r="2335" spans="1:6" x14ac:dyDescent="0.25">
      <c r="A2335" s="14">
        <v>46146.977777777778</v>
      </c>
      <c r="B2335" s="79" t="s">
        <v>149</v>
      </c>
      <c r="C2335" s="79" t="s">
        <v>182</v>
      </c>
      <c r="D2335" s="79" t="s">
        <v>152</v>
      </c>
      <c r="E2335" s="79" t="s">
        <v>50</v>
      </c>
      <c r="F2335" s="79" t="str">
        <f>IF(E2335="", "", IF(COUNTIF(ChestType!$A$5:$A$195, E2335)&gt;0, VLOOKUP(E2335, ChestType!$A$5:$B$195, 2, 0), "Others"))</f>
        <v>L10 Crypt</v>
      </c>
    </row>
    <row r="2336" spans="1:6" x14ac:dyDescent="0.25">
      <c r="A2336" s="14">
        <v>46146.977777777778</v>
      </c>
      <c r="B2336" s="79" t="s">
        <v>149</v>
      </c>
      <c r="C2336" s="79" t="s">
        <v>177</v>
      </c>
      <c r="D2336" s="79" t="s">
        <v>152</v>
      </c>
      <c r="E2336" s="79" t="s">
        <v>50</v>
      </c>
      <c r="F2336" s="79" t="str">
        <f>IF(E2336="", "", IF(COUNTIF(ChestType!$A$5:$A$195, E2336)&gt;0, VLOOKUP(E2336, ChestType!$A$5:$B$195, 2, 0), "Others"))</f>
        <v>L10 Crypt</v>
      </c>
    </row>
    <row r="2337" spans="1:6" x14ac:dyDescent="0.25">
      <c r="A2337" s="14">
        <v>46146.977777777778</v>
      </c>
      <c r="B2337" s="79" t="s">
        <v>149</v>
      </c>
      <c r="C2337" s="79" t="s">
        <v>173</v>
      </c>
      <c r="D2337" s="79" t="s">
        <v>152</v>
      </c>
      <c r="E2337" s="79" t="s">
        <v>50</v>
      </c>
      <c r="F2337" s="79" t="str">
        <f>IF(E2337="", "", IF(COUNTIF(ChestType!$A$5:$A$195, E2337)&gt;0, VLOOKUP(E2337, ChestType!$A$5:$B$195, 2, 0), "Others"))</f>
        <v>L10 Crypt</v>
      </c>
    </row>
    <row r="2338" spans="1:6" x14ac:dyDescent="0.25">
      <c r="A2338" s="14">
        <v>46146.977777777778</v>
      </c>
      <c r="B2338" s="79" t="s">
        <v>149</v>
      </c>
      <c r="C2338" s="79" t="s">
        <v>158</v>
      </c>
      <c r="D2338" s="79" t="s">
        <v>152</v>
      </c>
      <c r="E2338" s="79" t="s">
        <v>50</v>
      </c>
      <c r="F2338" s="79" t="str">
        <f>IF(E2338="", "", IF(COUNTIF(ChestType!$A$5:$A$195, E2338)&gt;0, VLOOKUP(E2338, ChestType!$A$5:$B$195, 2, 0), "Others"))</f>
        <v>L10 Crypt</v>
      </c>
    </row>
    <row r="2339" spans="1:6" x14ac:dyDescent="0.25">
      <c r="A2339" s="14">
        <v>46146.977777777778</v>
      </c>
      <c r="B2339" s="79" t="s">
        <v>149</v>
      </c>
      <c r="C2339" s="79" t="s">
        <v>158</v>
      </c>
      <c r="D2339" s="79" t="s">
        <v>152</v>
      </c>
      <c r="E2339" s="79" t="s">
        <v>50</v>
      </c>
      <c r="F2339" s="79" t="str">
        <f>IF(E2339="", "", IF(COUNTIF(ChestType!$A$5:$A$195, E2339)&gt;0, VLOOKUP(E2339, ChestType!$A$5:$B$195, 2, 0), "Others"))</f>
        <v>L10 Crypt</v>
      </c>
    </row>
    <row r="2340" spans="1:6" x14ac:dyDescent="0.25">
      <c r="A2340" s="14">
        <v>46146.977777777778</v>
      </c>
      <c r="B2340" s="79" t="s">
        <v>149</v>
      </c>
      <c r="C2340" s="79" t="s">
        <v>182</v>
      </c>
      <c r="D2340" s="79" t="s">
        <v>152</v>
      </c>
      <c r="E2340" s="79" t="s">
        <v>50</v>
      </c>
      <c r="F2340" s="79" t="str">
        <f>IF(E2340="", "", IF(COUNTIF(ChestType!$A$5:$A$195, E2340)&gt;0, VLOOKUP(E2340, ChestType!$A$5:$B$195, 2, 0), "Others"))</f>
        <v>L10 Crypt</v>
      </c>
    </row>
    <row r="2341" spans="1:6" x14ac:dyDescent="0.25">
      <c r="A2341" s="14">
        <v>46146.977777777778</v>
      </c>
      <c r="B2341" s="79" t="s">
        <v>149</v>
      </c>
      <c r="C2341" s="79" t="s">
        <v>190</v>
      </c>
      <c r="D2341" s="79" t="s">
        <v>152</v>
      </c>
      <c r="E2341" s="79" t="s">
        <v>50</v>
      </c>
      <c r="F2341" s="79" t="str">
        <f>IF(E2341="", "", IF(COUNTIF(ChestType!$A$5:$A$195, E2341)&gt;0, VLOOKUP(E2341, ChestType!$A$5:$B$195, 2, 0), "Others"))</f>
        <v>L10 Crypt</v>
      </c>
    </row>
    <row r="2342" spans="1:6" x14ac:dyDescent="0.25">
      <c r="A2342" s="14">
        <v>46146.977777777778</v>
      </c>
      <c r="B2342" s="79" t="s">
        <v>149</v>
      </c>
      <c r="C2342" s="79" t="s">
        <v>184</v>
      </c>
      <c r="D2342" s="79" t="s">
        <v>152</v>
      </c>
      <c r="E2342" s="79" t="s">
        <v>50</v>
      </c>
      <c r="F2342" s="79" t="str">
        <f>IF(E2342="", "", IF(COUNTIF(ChestType!$A$5:$A$195, E2342)&gt;0, VLOOKUP(E2342, ChestType!$A$5:$B$195, 2, 0), "Others"))</f>
        <v>L10 Crypt</v>
      </c>
    </row>
    <row r="2343" spans="1:6" x14ac:dyDescent="0.25">
      <c r="A2343" s="14">
        <v>46146.977777777778</v>
      </c>
      <c r="B2343" s="79" t="s">
        <v>149</v>
      </c>
      <c r="C2343" s="79" t="s">
        <v>182</v>
      </c>
      <c r="D2343" s="79" t="s">
        <v>152</v>
      </c>
      <c r="E2343" s="79" t="s">
        <v>50</v>
      </c>
      <c r="F2343" s="79" t="str">
        <f>IF(E2343="", "", IF(COUNTIF(ChestType!$A$5:$A$195, E2343)&gt;0, VLOOKUP(E2343, ChestType!$A$5:$B$195, 2, 0), "Others"))</f>
        <v>L10 Crypt</v>
      </c>
    </row>
    <row r="2344" spans="1:6" x14ac:dyDescent="0.25">
      <c r="A2344" s="14">
        <v>46146.977777777778</v>
      </c>
      <c r="B2344" s="79" t="s">
        <v>149</v>
      </c>
      <c r="C2344" s="79" t="s">
        <v>192</v>
      </c>
      <c r="D2344" s="79" t="s">
        <v>266</v>
      </c>
      <c r="E2344" s="79" t="s">
        <v>60</v>
      </c>
      <c r="F2344" s="79" t="str">
        <f>IF(E2344="", "", IF(COUNTIF(ChestType!$A$5:$A$195, E2344)&gt;0, VLOOKUP(E2344, ChestType!$A$5:$B$195, 2, 0), "Others"))</f>
        <v>Others</v>
      </c>
    </row>
    <row r="2345" spans="1:6" x14ac:dyDescent="0.25">
      <c r="A2345" s="14">
        <v>46146.977777777778</v>
      </c>
      <c r="B2345" s="79" t="s">
        <v>149</v>
      </c>
      <c r="C2345" s="79" t="s">
        <v>190</v>
      </c>
      <c r="D2345" s="79" t="s">
        <v>152</v>
      </c>
      <c r="E2345" s="79" t="s">
        <v>50</v>
      </c>
      <c r="F2345" s="79" t="str">
        <f>IF(E2345="", "", IF(COUNTIF(ChestType!$A$5:$A$195, E2345)&gt;0, VLOOKUP(E2345, ChestType!$A$5:$B$195, 2, 0), "Others"))</f>
        <v>L10 Crypt</v>
      </c>
    </row>
    <row r="2346" spans="1:6" x14ac:dyDescent="0.25">
      <c r="A2346" s="14">
        <v>46146.977777777778</v>
      </c>
      <c r="B2346" s="79" t="s">
        <v>149</v>
      </c>
      <c r="C2346" s="79" t="s">
        <v>175</v>
      </c>
      <c r="D2346" s="79" t="s">
        <v>152</v>
      </c>
      <c r="E2346" s="79" t="s">
        <v>50</v>
      </c>
      <c r="F2346" s="79" t="str">
        <f>IF(E2346="", "", IF(COUNTIF(ChestType!$A$5:$A$195, E2346)&gt;0, VLOOKUP(E2346, ChestType!$A$5:$B$195, 2, 0), "Others"))</f>
        <v>L10 Crypt</v>
      </c>
    </row>
    <row r="2347" spans="1:6" x14ac:dyDescent="0.25">
      <c r="A2347" s="14">
        <v>46146.977777777778</v>
      </c>
      <c r="B2347" s="79" t="s">
        <v>149</v>
      </c>
      <c r="C2347" s="79" t="s">
        <v>183</v>
      </c>
      <c r="D2347" s="79" t="s">
        <v>152</v>
      </c>
      <c r="E2347" s="79" t="s">
        <v>50</v>
      </c>
      <c r="F2347" s="79" t="str">
        <f>IF(E2347="", "", IF(COUNTIF(ChestType!$A$5:$A$195, E2347)&gt;0, VLOOKUP(E2347, ChestType!$A$5:$B$195, 2, 0), "Others"))</f>
        <v>L10 Crypt</v>
      </c>
    </row>
    <row r="2348" spans="1:6" x14ac:dyDescent="0.25">
      <c r="A2348" s="14">
        <v>46146.977777777778</v>
      </c>
      <c r="B2348" s="79" t="s">
        <v>149</v>
      </c>
      <c r="C2348" s="79" t="s">
        <v>177</v>
      </c>
      <c r="D2348" s="79" t="s">
        <v>156</v>
      </c>
      <c r="E2348" s="79" t="s">
        <v>49</v>
      </c>
      <c r="F2348" s="79" t="str">
        <f>IF(E2348="", "", IF(COUNTIF(ChestType!$A$5:$A$195, E2348)&gt;0, VLOOKUP(E2348, ChestType!$A$5:$B$195, 2, 0), "Others"))</f>
        <v>L15 Crypt</v>
      </c>
    </row>
    <row r="2349" spans="1:6" x14ac:dyDescent="0.25">
      <c r="A2349" s="14">
        <v>46146.977777777778</v>
      </c>
      <c r="B2349" s="79" t="s">
        <v>149</v>
      </c>
      <c r="C2349" s="79" t="s">
        <v>175</v>
      </c>
      <c r="D2349" s="79" t="s">
        <v>152</v>
      </c>
      <c r="E2349" s="79" t="s">
        <v>50</v>
      </c>
      <c r="F2349" s="79" t="str">
        <f>IF(E2349="", "", IF(COUNTIF(ChestType!$A$5:$A$195, E2349)&gt;0, VLOOKUP(E2349, ChestType!$A$5:$B$195, 2, 0), "Others"))</f>
        <v>L10 Crypt</v>
      </c>
    </row>
    <row r="2350" spans="1:6" x14ac:dyDescent="0.25">
      <c r="A2350" s="14">
        <v>46146.977777777778</v>
      </c>
      <c r="B2350" s="79" t="s">
        <v>149</v>
      </c>
      <c r="C2350" s="79" t="s">
        <v>173</v>
      </c>
      <c r="D2350" s="79" t="s">
        <v>152</v>
      </c>
      <c r="E2350" s="79" t="s">
        <v>50</v>
      </c>
      <c r="F2350" s="79" t="str">
        <f>IF(E2350="", "", IF(COUNTIF(ChestType!$A$5:$A$195, E2350)&gt;0, VLOOKUP(E2350, ChestType!$A$5:$B$195, 2, 0), "Others"))</f>
        <v>L10 Crypt</v>
      </c>
    </row>
    <row r="2351" spans="1:6" x14ac:dyDescent="0.25">
      <c r="A2351" s="14">
        <v>46146.977777777778</v>
      </c>
      <c r="B2351" s="79" t="s">
        <v>149</v>
      </c>
      <c r="C2351" s="79" t="s">
        <v>175</v>
      </c>
      <c r="D2351" s="79" t="s">
        <v>152</v>
      </c>
      <c r="E2351" s="79" t="s">
        <v>50</v>
      </c>
      <c r="F2351" s="79" t="str">
        <f>IF(E2351="", "", IF(COUNTIF(ChestType!$A$5:$A$195, E2351)&gt;0, VLOOKUP(E2351, ChestType!$A$5:$B$195, 2, 0), "Others"))</f>
        <v>L10 Crypt</v>
      </c>
    </row>
    <row r="2352" spans="1:6" x14ac:dyDescent="0.25">
      <c r="A2352" s="14">
        <v>46146.977777777778</v>
      </c>
      <c r="B2352" s="79" t="s">
        <v>149</v>
      </c>
      <c r="C2352" s="79" t="s">
        <v>190</v>
      </c>
      <c r="D2352" s="79" t="s">
        <v>152</v>
      </c>
      <c r="E2352" s="79" t="s">
        <v>50</v>
      </c>
      <c r="F2352" s="79" t="str">
        <f>IF(E2352="", "", IF(COUNTIF(ChestType!$A$5:$A$195, E2352)&gt;0, VLOOKUP(E2352, ChestType!$A$5:$B$195, 2, 0), "Others"))</f>
        <v>L10 Crypt</v>
      </c>
    </row>
    <row r="2353" spans="1:6" x14ac:dyDescent="0.25">
      <c r="A2353" s="14">
        <v>46146.977777777778</v>
      </c>
      <c r="B2353" s="79" t="s">
        <v>149</v>
      </c>
      <c r="C2353" s="79" t="s">
        <v>158</v>
      </c>
      <c r="D2353" s="79" t="s">
        <v>152</v>
      </c>
      <c r="E2353" s="79" t="s">
        <v>50</v>
      </c>
      <c r="F2353" s="79" t="str">
        <f>IF(E2353="", "", IF(COUNTIF(ChestType!$A$5:$A$195, E2353)&gt;0, VLOOKUP(E2353, ChestType!$A$5:$B$195, 2, 0), "Others"))</f>
        <v>L10 Crypt</v>
      </c>
    </row>
    <row r="2354" spans="1:6" x14ac:dyDescent="0.25">
      <c r="A2354" s="14">
        <v>46146.977777777778</v>
      </c>
      <c r="B2354" s="79" t="s">
        <v>149</v>
      </c>
      <c r="C2354" s="79" t="s">
        <v>183</v>
      </c>
      <c r="D2354" s="79" t="s">
        <v>152</v>
      </c>
      <c r="E2354" s="79" t="s">
        <v>50</v>
      </c>
      <c r="F2354" s="79" t="str">
        <f>IF(E2354="", "", IF(COUNTIF(ChestType!$A$5:$A$195, E2354)&gt;0, VLOOKUP(E2354, ChestType!$A$5:$B$195, 2, 0), "Others"))</f>
        <v>L10 Crypt</v>
      </c>
    </row>
    <row r="2355" spans="1:6" x14ac:dyDescent="0.25">
      <c r="A2355" s="14">
        <v>46146.977777777778</v>
      </c>
      <c r="B2355" s="79" t="s">
        <v>149</v>
      </c>
      <c r="C2355" s="79" t="s">
        <v>183</v>
      </c>
      <c r="D2355" s="79" t="s">
        <v>233</v>
      </c>
      <c r="E2355" s="79" t="s">
        <v>52</v>
      </c>
      <c r="F2355" s="79" t="str">
        <f>IF(E2355="", "", IF(COUNTIF(ChestType!$A$5:$A$195, E2355)&gt;0, VLOOKUP(E2355, ChestType!$A$5:$B$195, 2, 0), "Others"))</f>
        <v>L5 Crypt</v>
      </c>
    </row>
    <row r="2356" spans="1:6" x14ac:dyDescent="0.25">
      <c r="A2356" s="14">
        <v>46146.977777777778</v>
      </c>
      <c r="B2356" s="79" t="s">
        <v>149</v>
      </c>
      <c r="C2356" s="79" t="s">
        <v>185</v>
      </c>
      <c r="D2356" s="79" t="s">
        <v>233</v>
      </c>
      <c r="E2356" s="79" t="s">
        <v>52</v>
      </c>
      <c r="F2356" s="79" t="str">
        <f>IF(E2356="", "", IF(COUNTIF(ChestType!$A$5:$A$195, E2356)&gt;0, VLOOKUP(E2356, ChestType!$A$5:$B$195, 2, 0), "Others"))</f>
        <v>L5 Crypt</v>
      </c>
    </row>
    <row r="2357" spans="1:6" x14ac:dyDescent="0.25">
      <c r="A2357" s="14">
        <v>46146.977777777778</v>
      </c>
      <c r="B2357" s="79" t="s">
        <v>195</v>
      </c>
      <c r="C2357" s="79" t="s">
        <v>196</v>
      </c>
      <c r="D2357" s="79" t="s">
        <v>265</v>
      </c>
      <c r="E2357" s="79" t="s">
        <v>24</v>
      </c>
      <c r="F2357" s="79" t="str">
        <f>IF(E2357="", "", IF(COUNTIF(ChestType!$A$5:$A$195, E2357)&gt;0, VLOOKUP(E2357, ChestType!$A$5:$B$195, 2, 0), "Others"))</f>
        <v>Bank</v>
      </c>
    </row>
    <row r="2358" spans="1:6" x14ac:dyDescent="0.25">
      <c r="A2358" s="14">
        <v>46146.977777777778</v>
      </c>
      <c r="B2358" s="79" t="s">
        <v>195</v>
      </c>
      <c r="C2358" s="79" t="s">
        <v>196</v>
      </c>
      <c r="D2358" s="79" t="s">
        <v>265</v>
      </c>
      <c r="E2358" s="79" t="s">
        <v>24</v>
      </c>
      <c r="F2358" s="79" t="str">
        <f>IF(E2358="", "", IF(COUNTIF(ChestType!$A$5:$A$195, E2358)&gt;0, VLOOKUP(E2358, ChestType!$A$5:$B$195, 2, 0), "Others"))</f>
        <v>Bank</v>
      </c>
    </row>
    <row r="2359" spans="1:6" x14ac:dyDescent="0.25">
      <c r="A2359" s="14">
        <v>46146.977777777778</v>
      </c>
      <c r="B2359" s="79" t="s">
        <v>195</v>
      </c>
      <c r="C2359" s="79" t="s">
        <v>196</v>
      </c>
      <c r="D2359" s="79" t="s">
        <v>265</v>
      </c>
      <c r="E2359" s="79" t="s">
        <v>24</v>
      </c>
      <c r="F2359" s="79" t="str">
        <f>IF(E2359="", "", IF(COUNTIF(ChestType!$A$5:$A$195, E2359)&gt;0, VLOOKUP(E2359, ChestType!$A$5:$B$195, 2, 0), "Others"))</f>
        <v>Bank</v>
      </c>
    </row>
    <row r="2360" spans="1:6" x14ac:dyDescent="0.25">
      <c r="A2360" s="14">
        <v>46146.977777777778</v>
      </c>
      <c r="B2360" s="79" t="s">
        <v>195</v>
      </c>
      <c r="C2360" s="79" t="s">
        <v>197</v>
      </c>
      <c r="D2360" s="79" t="s">
        <v>265</v>
      </c>
      <c r="E2360" s="79" t="s">
        <v>24</v>
      </c>
      <c r="F2360" s="79" t="str">
        <f>IF(E2360="", "", IF(COUNTIF(ChestType!$A$5:$A$195, E2360)&gt;0, VLOOKUP(E2360, ChestType!$A$5:$B$195, 2, 0), "Others"))</f>
        <v>Bank</v>
      </c>
    </row>
    <row r="2361" spans="1:6" x14ac:dyDescent="0.25">
      <c r="A2361" s="14">
        <v>46146.977777777778</v>
      </c>
      <c r="B2361" s="79" t="s">
        <v>195</v>
      </c>
      <c r="C2361" s="79" t="s">
        <v>197</v>
      </c>
      <c r="D2361" s="79" t="s">
        <v>265</v>
      </c>
      <c r="E2361" s="79" t="s">
        <v>24</v>
      </c>
      <c r="F2361" s="79" t="str">
        <f>IF(E2361="", "", IF(COUNTIF(ChestType!$A$5:$A$195, E2361)&gt;0, VLOOKUP(E2361, ChestType!$A$5:$B$195, 2, 0), "Others"))</f>
        <v>Bank</v>
      </c>
    </row>
    <row r="2362" spans="1:6" x14ac:dyDescent="0.25">
      <c r="A2362" s="14">
        <v>46146.977777777778</v>
      </c>
      <c r="B2362" s="79" t="s">
        <v>195</v>
      </c>
      <c r="C2362" s="79" t="s">
        <v>197</v>
      </c>
      <c r="D2362" s="79" t="s">
        <v>265</v>
      </c>
      <c r="E2362" s="79" t="s">
        <v>24</v>
      </c>
      <c r="F2362" s="79" t="str">
        <f>IF(E2362="", "", IF(COUNTIF(ChestType!$A$5:$A$195, E2362)&gt;0, VLOOKUP(E2362, ChestType!$A$5:$B$195, 2, 0), "Others"))</f>
        <v>Bank</v>
      </c>
    </row>
    <row r="2363" spans="1:6" x14ac:dyDescent="0.25">
      <c r="A2363" s="14">
        <v>46146.977777777778</v>
      </c>
      <c r="B2363" s="79" t="s">
        <v>195</v>
      </c>
      <c r="C2363" s="79" t="s">
        <v>198</v>
      </c>
      <c r="D2363" s="79" t="s">
        <v>163</v>
      </c>
      <c r="E2363" s="79" t="s">
        <v>24</v>
      </c>
      <c r="F2363" s="79" t="str">
        <f>IF(E2363="", "", IF(COUNTIF(ChestType!$A$5:$A$195, E2363)&gt;0, VLOOKUP(E2363, ChestType!$A$5:$B$195, 2, 0), "Others"))</f>
        <v>Bank</v>
      </c>
    </row>
    <row r="2364" spans="1:6" x14ac:dyDescent="0.25">
      <c r="A2364" s="14">
        <v>46146.977777777778</v>
      </c>
      <c r="B2364" s="79" t="s">
        <v>195</v>
      </c>
      <c r="C2364" s="79" t="s">
        <v>198</v>
      </c>
      <c r="D2364" s="79" t="s">
        <v>163</v>
      </c>
      <c r="E2364" s="79" t="s">
        <v>24</v>
      </c>
      <c r="F2364" s="79" t="str">
        <f>IF(E2364="", "", IF(COUNTIF(ChestType!$A$5:$A$195, E2364)&gt;0, VLOOKUP(E2364, ChestType!$A$5:$B$195, 2, 0), "Others"))</f>
        <v>Bank</v>
      </c>
    </row>
    <row r="2365" spans="1:6" x14ac:dyDescent="0.25">
      <c r="A2365" s="14">
        <v>46146.977777777778</v>
      </c>
      <c r="B2365" s="79" t="s">
        <v>195</v>
      </c>
      <c r="C2365" s="79" t="s">
        <v>198</v>
      </c>
      <c r="D2365" s="79" t="s">
        <v>163</v>
      </c>
      <c r="E2365" s="79" t="s">
        <v>24</v>
      </c>
      <c r="F2365" s="79" t="str">
        <f>IF(E2365="", "", IF(COUNTIF(ChestType!$A$5:$A$195, E2365)&gt;0, VLOOKUP(E2365, ChestType!$A$5:$B$195, 2, 0), "Others"))</f>
        <v>Bank</v>
      </c>
    </row>
    <row r="2366" spans="1:6" x14ac:dyDescent="0.25">
      <c r="A2366" s="14">
        <v>46147.019444444442</v>
      </c>
      <c r="B2366" s="79" t="s">
        <v>149</v>
      </c>
      <c r="C2366" s="79" t="s">
        <v>181</v>
      </c>
      <c r="D2366" s="79" t="s">
        <v>152</v>
      </c>
      <c r="E2366" s="79" t="s">
        <v>50</v>
      </c>
      <c r="F2366" s="79" t="str">
        <f>IF(E2366="", "", IF(COUNTIF(ChestType!$A$5:$A$195, E2366)&gt;0, VLOOKUP(E2366, ChestType!$A$5:$B$195, 2, 0), "Others"))</f>
        <v>L10 Crypt</v>
      </c>
    </row>
    <row r="2367" spans="1:6" x14ac:dyDescent="0.25">
      <c r="A2367" s="14">
        <v>46147.019444444442</v>
      </c>
      <c r="B2367" s="79" t="s">
        <v>149</v>
      </c>
      <c r="C2367" s="79" t="s">
        <v>177</v>
      </c>
      <c r="D2367" s="79" t="s">
        <v>157</v>
      </c>
      <c r="E2367" s="79" t="s">
        <v>50</v>
      </c>
      <c r="F2367" s="79" t="str">
        <f>IF(E2367="", "", IF(COUNTIF(ChestType!$A$5:$A$195, E2367)&gt;0, VLOOKUP(E2367, ChestType!$A$5:$B$195, 2, 0), "Others"))</f>
        <v>L10 Crypt</v>
      </c>
    </row>
    <row r="2368" spans="1:6" x14ac:dyDescent="0.25">
      <c r="A2368" s="14">
        <v>46147.019444444442</v>
      </c>
      <c r="B2368" s="79" t="s">
        <v>149</v>
      </c>
      <c r="C2368" s="79" t="s">
        <v>181</v>
      </c>
      <c r="D2368" s="79" t="s">
        <v>221</v>
      </c>
      <c r="E2368" s="79" t="s">
        <v>50</v>
      </c>
      <c r="F2368" s="79" t="str">
        <f>IF(E2368="", "", IF(COUNTIF(ChestType!$A$5:$A$195, E2368)&gt;0, VLOOKUP(E2368, ChestType!$A$5:$B$195, 2, 0), "Others"))</f>
        <v>L10 Crypt</v>
      </c>
    </row>
    <row r="2369" spans="1:6" x14ac:dyDescent="0.25">
      <c r="A2369" s="14">
        <v>46147.019444444442</v>
      </c>
      <c r="B2369" s="79" t="s">
        <v>149</v>
      </c>
      <c r="C2369" s="79" t="s">
        <v>182</v>
      </c>
      <c r="D2369" s="79" t="s">
        <v>253</v>
      </c>
      <c r="E2369" s="79" t="s">
        <v>50</v>
      </c>
      <c r="F2369" s="79" t="str">
        <f>IF(E2369="", "", IF(COUNTIF(ChestType!$A$5:$A$195, E2369)&gt;0, VLOOKUP(E2369, ChestType!$A$5:$B$195, 2, 0), "Others"))</f>
        <v>L10 Crypt</v>
      </c>
    </row>
    <row r="2370" spans="1:6" x14ac:dyDescent="0.25">
      <c r="A2370" s="14">
        <v>46147.019444444442</v>
      </c>
      <c r="B2370" s="79" t="s">
        <v>149</v>
      </c>
      <c r="C2370" s="79" t="s">
        <v>177</v>
      </c>
      <c r="D2370" s="79" t="s">
        <v>253</v>
      </c>
      <c r="E2370" s="79" t="s">
        <v>50</v>
      </c>
      <c r="F2370" s="79" t="str">
        <f>IF(E2370="", "", IF(COUNTIF(ChestType!$A$5:$A$195, E2370)&gt;0, VLOOKUP(E2370, ChestType!$A$5:$B$195, 2, 0), "Others"))</f>
        <v>L10 Crypt</v>
      </c>
    </row>
    <row r="2371" spans="1:6" x14ac:dyDescent="0.25">
      <c r="A2371" s="14">
        <v>46147.019444444442</v>
      </c>
      <c r="B2371" s="79" t="s">
        <v>149</v>
      </c>
      <c r="C2371" s="79" t="s">
        <v>190</v>
      </c>
      <c r="D2371" s="79" t="s">
        <v>266</v>
      </c>
      <c r="E2371" s="79" t="s">
        <v>52</v>
      </c>
      <c r="F2371" s="79" t="str">
        <f>IF(E2371="", "", IF(COUNTIF(ChestType!$A$5:$A$195, E2371)&gt;0, VLOOKUP(E2371, ChestType!$A$5:$B$195, 2, 0), "Others"))</f>
        <v>L5 Crypt</v>
      </c>
    </row>
    <row r="2372" spans="1:6" x14ac:dyDescent="0.25">
      <c r="A2372" s="14">
        <v>46147.019444444442</v>
      </c>
      <c r="B2372" s="79" t="s">
        <v>149</v>
      </c>
      <c r="C2372" s="79" t="s">
        <v>175</v>
      </c>
      <c r="D2372" s="79" t="s">
        <v>156</v>
      </c>
      <c r="E2372" s="79" t="s">
        <v>49</v>
      </c>
      <c r="F2372" s="79" t="str">
        <f>IF(E2372="", "", IF(COUNTIF(ChestType!$A$5:$A$195, E2372)&gt;0, VLOOKUP(E2372, ChestType!$A$5:$B$195, 2, 0), "Others"))</f>
        <v>L15 Crypt</v>
      </c>
    </row>
    <row r="2373" spans="1:6" x14ac:dyDescent="0.25">
      <c r="A2373" s="14">
        <v>46147.019444444442</v>
      </c>
      <c r="B2373" s="79" t="s">
        <v>149</v>
      </c>
      <c r="C2373" s="79" t="s">
        <v>175</v>
      </c>
      <c r="D2373" s="79" t="s">
        <v>157</v>
      </c>
      <c r="E2373" s="79" t="s">
        <v>50</v>
      </c>
      <c r="F2373" s="79" t="str">
        <f>IF(E2373="", "", IF(COUNTIF(ChestType!$A$5:$A$195, E2373)&gt;0, VLOOKUP(E2373, ChestType!$A$5:$B$195, 2, 0), "Others"))</f>
        <v>L10 Crypt</v>
      </c>
    </row>
    <row r="2374" spans="1:6" x14ac:dyDescent="0.25">
      <c r="A2374" s="14">
        <v>46147.019444444442</v>
      </c>
      <c r="B2374" s="79" t="s">
        <v>149</v>
      </c>
      <c r="C2374" s="79" t="s">
        <v>151</v>
      </c>
      <c r="D2374" s="79" t="s">
        <v>253</v>
      </c>
      <c r="E2374" s="79" t="s">
        <v>50</v>
      </c>
      <c r="F2374" s="79" t="str">
        <f>IF(E2374="", "", IF(COUNTIF(ChestType!$A$5:$A$195, E2374)&gt;0, VLOOKUP(E2374, ChestType!$A$5:$B$195, 2, 0), "Others"))</f>
        <v>L10 Crypt</v>
      </c>
    </row>
    <row r="2375" spans="1:6" x14ac:dyDescent="0.25">
      <c r="A2375" s="14">
        <v>46147.019444444442</v>
      </c>
      <c r="B2375" s="79" t="s">
        <v>149</v>
      </c>
      <c r="C2375" s="79" t="s">
        <v>177</v>
      </c>
      <c r="D2375" s="79" t="s">
        <v>841</v>
      </c>
      <c r="E2375" s="79" t="s">
        <v>52</v>
      </c>
      <c r="F2375" s="79" t="str">
        <f>IF(E2375="", "", IF(COUNTIF(ChestType!$A$5:$A$195, E2375)&gt;0, VLOOKUP(E2375, ChestType!$A$5:$B$195, 2, 0), "Others"))</f>
        <v>L5 Crypt</v>
      </c>
    </row>
    <row r="2376" spans="1:6" x14ac:dyDescent="0.25">
      <c r="A2376" s="14">
        <v>46147.019444444442</v>
      </c>
      <c r="B2376" s="79" t="s">
        <v>149</v>
      </c>
      <c r="C2376" s="79" t="s">
        <v>177</v>
      </c>
      <c r="D2376" s="79" t="s">
        <v>253</v>
      </c>
      <c r="E2376" s="79" t="s">
        <v>52</v>
      </c>
      <c r="F2376" s="79" t="str">
        <f>IF(E2376="", "", IF(COUNTIF(ChestType!$A$5:$A$195, E2376)&gt;0, VLOOKUP(E2376, ChestType!$A$5:$B$195, 2, 0), "Others"))</f>
        <v>L5 Crypt</v>
      </c>
    </row>
    <row r="2377" spans="1:6" x14ac:dyDescent="0.25">
      <c r="A2377" s="14">
        <v>46147.019444444442</v>
      </c>
      <c r="B2377" s="79" t="s">
        <v>149</v>
      </c>
      <c r="C2377" s="79" t="s">
        <v>176</v>
      </c>
      <c r="D2377" s="79" t="s">
        <v>222</v>
      </c>
      <c r="E2377" s="79" t="s">
        <v>44</v>
      </c>
      <c r="F2377" s="79" t="str">
        <f>IF(E2377="", "", IF(COUNTIF(ChestType!$A$5:$A$195, E2377)&gt;0, VLOOKUP(E2377, ChestType!$A$5:$B$195, 2, 0), "Others"))</f>
        <v>L20 Citadel</v>
      </c>
    </row>
    <row r="2378" spans="1:6" x14ac:dyDescent="0.25">
      <c r="A2378" s="14">
        <v>46147.019444444442</v>
      </c>
      <c r="B2378" s="79" t="s">
        <v>149</v>
      </c>
      <c r="C2378" s="79" t="s">
        <v>158</v>
      </c>
      <c r="D2378" s="79" t="s">
        <v>253</v>
      </c>
      <c r="E2378" s="79" t="s">
        <v>52</v>
      </c>
      <c r="F2378" s="79" t="str">
        <f>IF(E2378="", "", IF(COUNTIF(ChestType!$A$5:$A$195, E2378)&gt;0, VLOOKUP(E2378, ChestType!$A$5:$B$195, 2, 0), "Others"))</f>
        <v>L5 Crypt</v>
      </c>
    </row>
    <row r="2379" spans="1:6" x14ac:dyDescent="0.25">
      <c r="A2379" s="14">
        <v>46147.019444444442</v>
      </c>
      <c r="B2379" s="79" t="s">
        <v>149</v>
      </c>
      <c r="C2379" s="79" t="s">
        <v>177</v>
      </c>
      <c r="D2379" s="79" t="s">
        <v>157</v>
      </c>
      <c r="E2379" s="79" t="s">
        <v>48</v>
      </c>
      <c r="F2379" s="79" t="str">
        <f>IF(E2379="", "", IF(COUNTIF(ChestType!$A$5:$A$195, E2379)&gt;0, VLOOKUP(E2379, ChestType!$A$5:$B$195, 2, 0), "Others"))</f>
        <v>L20 Crypt</v>
      </c>
    </row>
    <row r="2380" spans="1:6" x14ac:dyDescent="0.25">
      <c r="A2380" s="14">
        <v>46147.019444444442</v>
      </c>
      <c r="B2380" s="79" t="s">
        <v>149</v>
      </c>
      <c r="C2380" s="79" t="s">
        <v>190</v>
      </c>
      <c r="D2380" s="79" t="s">
        <v>156</v>
      </c>
      <c r="E2380" s="79" t="s">
        <v>49</v>
      </c>
      <c r="F2380" s="79" t="str">
        <f>IF(E2380="", "", IF(COUNTIF(ChestType!$A$5:$A$195, E2380)&gt;0, VLOOKUP(E2380, ChestType!$A$5:$B$195, 2, 0), "Others"))</f>
        <v>L15 Crypt</v>
      </c>
    </row>
    <row r="2381" spans="1:6" x14ac:dyDescent="0.25">
      <c r="A2381" s="14">
        <v>46147.019444444442</v>
      </c>
      <c r="B2381" s="79" t="s">
        <v>149</v>
      </c>
      <c r="C2381" s="79" t="s">
        <v>175</v>
      </c>
      <c r="D2381" s="79" t="s">
        <v>156</v>
      </c>
      <c r="E2381" s="79" t="s">
        <v>49</v>
      </c>
      <c r="F2381" s="79" t="str">
        <f>IF(E2381="", "", IF(COUNTIF(ChestType!$A$5:$A$195, E2381)&gt;0, VLOOKUP(E2381, ChestType!$A$5:$B$195, 2, 0), "Others"))</f>
        <v>L15 Crypt</v>
      </c>
    </row>
    <row r="2382" spans="1:6" x14ac:dyDescent="0.25">
      <c r="A2382" s="14">
        <v>46147.019444444442</v>
      </c>
      <c r="B2382" s="79" t="s">
        <v>149</v>
      </c>
      <c r="C2382" s="79" t="s">
        <v>175</v>
      </c>
      <c r="D2382" s="79" t="s">
        <v>202</v>
      </c>
      <c r="E2382" s="79" t="s">
        <v>49</v>
      </c>
      <c r="F2382" s="79" t="str">
        <f>IF(E2382="", "", IF(COUNTIF(ChestType!$A$5:$A$195, E2382)&gt;0, VLOOKUP(E2382, ChestType!$A$5:$B$195, 2, 0), "Others"))</f>
        <v>L15 Crypt</v>
      </c>
    </row>
    <row r="2383" spans="1:6" x14ac:dyDescent="0.25">
      <c r="A2383" s="14">
        <v>46147.019444444442</v>
      </c>
      <c r="B2383" s="79" t="s">
        <v>149</v>
      </c>
      <c r="C2383" s="79" t="s">
        <v>171</v>
      </c>
      <c r="D2383" s="79" t="s">
        <v>163</v>
      </c>
      <c r="E2383" s="79" t="s">
        <v>52</v>
      </c>
      <c r="F2383" s="79" t="str">
        <f>IF(E2383="", "", IF(COUNTIF(ChestType!$A$5:$A$195, E2383)&gt;0, VLOOKUP(E2383, ChestType!$A$5:$B$195, 2, 0), "Others"))</f>
        <v>L5 Crypt</v>
      </c>
    </row>
    <row r="2384" spans="1:6" x14ac:dyDescent="0.25">
      <c r="A2384" s="14">
        <v>46147.019444444442</v>
      </c>
      <c r="B2384" s="79" t="s">
        <v>149</v>
      </c>
      <c r="C2384" s="79" t="s">
        <v>182</v>
      </c>
      <c r="D2384" s="79" t="s">
        <v>156</v>
      </c>
      <c r="E2384" s="79" t="s">
        <v>49</v>
      </c>
      <c r="F2384" s="79" t="str">
        <f>IF(E2384="", "", IF(COUNTIF(ChestType!$A$5:$A$195, E2384)&gt;0, VLOOKUP(E2384, ChestType!$A$5:$B$195, 2, 0), "Others"))</f>
        <v>L15 Crypt</v>
      </c>
    </row>
    <row r="2385" spans="1:6" x14ac:dyDescent="0.25">
      <c r="A2385" s="14">
        <v>46147.019444444442</v>
      </c>
      <c r="B2385" s="79" t="s">
        <v>149</v>
      </c>
      <c r="C2385" s="79" t="s">
        <v>190</v>
      </c>
      <c r="D2385" s="79" t="s">
        <v>264</v>
      </c>
      <c r="E2385" s="79" t="s">
        <v>52</v>
      </c>
      <c r="F2385" s="79" t="str">
        <f>IF(E2385="", "", IF(COUNTIF(ChestType!$A$5:$A$195, E2385)&gt;0, VLOOKUP(E2385, ChestType!$A$5:$B$195, 2, 0), "Others"))</f>
        <v>L5 Crypt</v>
      </c>
    </row>
    <row r="2386" spans="1:6" x14ac:dyDescent="0.25">
      <c r="A2386" s="14">
        <v>46147.019444444442</v>
      </c>
      <c r="B2386" s="79" t="s">
        <v>149</v>
      </c>
      <c r="C2386" s="79" t="s">
        <v>171</v>
      </c>
      <c r="D2386" s="79" t="s">
        <v>156</v>
      </c>
      <c r="E2386" s="79" t="s">
        <v>49</v>
      </c>
      <c r="F2386" s="79" t="str">
        <f>IF(E2386="", "", IF(COUNTIF(ChestType!$A$5:$A$195, E2386)&gt;0, VLOOKUP(E2386, ChestType!$A$5:$B$195, 2, 0), "Others"))</f>
        <v>L15 Crypt</v>
      </c>
    </row>
    <row r="2387" spans="1:6" x14ac:dyDescent="0.25">
      <c r="A2387" s="14">
        <v>46147.019444444442</v>
      </c>
      <c r="B2387" s="79" t="s">
        <v>149</v>
      </c>
      <c r="C2387" s="79" t="s">
        <v>232</v>
      </c>
      <c r="D2387" s="79" t="s">
        <v>222</v>
      </c>
      <c r="E2387" s="79" t="s">
        <v>44</v>
      </c>
      <c r="F2387" s="79" t="str">
        <f>IF(E2387="", "", IF(COUNTIF(ChestType!$A$5:$A$195, E2387)&gt;0, VLOOKUP(E2387, ChestType!$A$5:$B$195, 2, 0), "Others"))</f>
        <v>L20 Citadel</v>
      </c>
    </row>
    <row r="2388" spans="1:6" x14ac:dyDescent="0.25">
      <c r="A2388" s="14">
        <v>46147.019444444442</v>
      </c>
      <c r="B2388" s="79" t="s">
        <v>149</v>
      </c>
      <c r="C2388" s="79" t="s">
        <v>181</v>
      </c>
      <c r="D2388" s="79" t="s">
        <v>156</v>
      </c>
      <c r="E2388" s="79" t="s">
        <v>49</v>
      </c>
      <c r="F2388" s="79" t="str">
        <f>IF(E2388="", "", IF(COUNTIF(ChestType!$A$5:$A$195, E2388)&gt;0, VLOOKUP(E2388, ChestType!$A$5:$B$195, 2, 0), "Others"))</f>
        <v>L15 Crypt</v>
      </c>
    </row>
    <row r="2389" spans="1:6" x14ac:dyDescent="0.25">
      <c r="A2389" s="14">
        <v>46147.019444444442</v>
      </c>
      <c r="B2389" s="79" t="s">
        <v>149</v>
      </c>
      <c r="C2389" s="79" t="s">
        <v>185</v>
      </c>
      <c r="D2389" s="79" t="s">
        <v>163</v>
      </c>
      <c r="E2389" s="79" t="s">
        <v>50</v>
      </c>
      <c r="F2389" s="79" t="str">
        <f>IF(E2389="", "", IF(COUNTIF(ChestType!$A$5:$A$195, E2389)&gt;0, VLOOKUP(E2389, ChestType!$A$5:$B$195, 2, 0), "Others"))</f>
        <v>L10 Crypt</v>
      </c>
    </row>
    <row r="2390" spans="1:6" x14ac:dyDescent="0.25">
      <c r="A2390" s="14">
        <v>46147.019444444442</v>
      </c>
      <c r="B2390" s="79" t="s">
        <v>149</v>
      </c>
      <c r="C2390" s="79" t="s">
        <v>185</v>
      </c>
      <c r="D2390" s="79" t="s">
        <v>156</v>
      </c>
      <c r="E2390" s="79" t="s">
        <v>49</v>
      </c>
      <c r="F2390" s="79" t="str">
        <f>IF(E2390="", "", IF(COUNTIF(ChestType!$A$5:$A$195, E2390)&gt;0, VLOOKUP(E2390, ChestType!$A$5:$B$195, 2, 0), "Others"))</f>
        <v>L15 Crypt</v>
      </c>
    </row>
    <row r="2391" spans="1:6" x14ac:dyDescent="0.25">
      <c r="A2391" s="14">
        <v>46147.019444444442</v>
      </c>
      <c r="B2391" s="79" t="s">
        <v>149</v>
      </c>
      <c r="C2391" s="79" t="s">
        <v>158</v>
      </c>
      <c r="D2391" s="79" t="s">
        <v>156</v>
      </c>
      <c r="E2391" s="79" t="s">
        <v>49</v>
      </c>
      <c r="F2391" s="79" t="str">
        <f>IF(E2391="", "", IF(COUNTIF(ChestType!$A$5:$A$195, E2391)&gt;0, VLOOKUP(E2391, ChestType!$A$5:$B$195, 2, 0), "Others"))</f>
        <v>L15 Crypt</v>
      </c>
    </row>
    <row r="2392" spans="1:6" x14ac:dyDescent="0.25">
      <c r="A2392" s="14">
        <v>46147.019444444442</v>
      </c>
      <c r="B2392" s="79" t="s">
        <v>149</v>
      </c>
      <c r="C2392" s="79" t="s">
        <v>175</v>
      </c>
      <c r="D2392" s="79" t="s">
        <v>152</v>
      </c>
      <c r="E2392" s="79" t="s">
        <v>50</v>
      </c>
      <c r="F2392" s="79" t="str">
        <f>IF(E2392="", "", IF(COUNTIF(ChestType!$A$5:$A$195, E2392)&gt;0, VLOOKUP(E2392, ChestType!$A$5:$B$195, 2, 0), "Others"))</f>
        <v>L10 Crypt</v>
      </c>
    </row>
    <row r="2393" spans="1:6" x14ac:dyDescent="0.25">
      <c r="A2393" s="14">
        <v>46147.019444444442</v>
      </c>
      <c r="B2393" s="79" t="s">
        <v>149</v>
      </c>
      <c r="C2393" s="79" t="s">
        <v>171</v>
      </c>
      <c r="D2393" s="79" t="s">
        <v>156</v>
      </c>
      <c r="E2393" s="79" t="s">
        <v>49</v>
      </c>
      <c r="F2393" s="79" t="str">
        <f>IF(E2393="", "", IF(COUNTIF(ChestType!$A$5:$A$195, E2393)&gt;0, VLOOKUP(E2393, ChestType!$A$5:$B$195, 2, 0), "Others"))</f>
        <v>L15 Crypt</v>
      </c>
    </row>
    <row r="2394" spans="1:6" x14ac:dyDescent="0.25">
      <c r="A2394" s="14">
        <v>46147.019444444442</v>
      </c>
      <c r="B2394" s="79" t="s">
        <v>149</v>
      </c>
      <c r="C2394" s="79" t="s">
        <v>185</v>
      </c>
      <c r="D2394" s="79" t="s">
        <v>156</v>
      </c>
      <c r="E2394" s="79" t="s">
        <v>49</v>
      </c>
      <c r="F2394" s="79" t="str">
        <f>IF(E2394="", "", IF(COUNTIF(ChestType!$A$5:$A$195, E2394)&gt;0, VLOOKUP(E2394, ChestType!$A$5:$B$195, 2, 0), "Others"))</f>
        <v>L15 Crypt</v>
      </c>
    </row>
    <row r="2395" spans="1:6" x14ac:dyDescent="0.25">
      <c r="A2395" s="14">
        <v>46147.019444444442</v>
      </c>
      <c r="B2395" s="79" t="s">
        <v>149</v>
      </c>
      <c r="C2395" s="79" t="s">
        <v>185</v>
      </c>
      <c r="D2395" s="79" t="s">
        <v>156</v>
      </c>
      <c r="E2395" s="79" t="s">
        <v>49</v>
      </c>
      <c r="F2395" s="79" t="str">
        <f>IF(E2395="", "", IF(COUNTIF(ChestType!$A$5:$A$195, E2395)&gt;0, VLOOKUP(E2395, ChestType!$A$5:$B$195, 2, 0), "Others"))</f>
        <v>L15 Crypt</v>
      </c>
    </row>
    <row r="2396" spans="1:6" x14ac:dyDescent="0.25">
      <c r="A2396" s="14">
        <v>46147.019444444442</v>
      </c>
      <c r="B2396" s="79" t="s">
        <v>149</v>
      </c>
      <c r="C2396" s="79" t="s">
        <v>158</v>
      </c>
      <c r="D2396" s="79" t="s">
        <v>156</v>
      </c>
      <c r="E2396" s="79" t="s">
        <v>49</v>
      </c>
      <c r="F2396" s="79" t="str">
        <f>IF(E2396="", "", IF(COUNTIF(ChestType!$A$5:$A$195, E2396)&gt;0, VLOOKUP(E2396, ChestType!$A$5:$B$195, 2, 0), "Others"))</f>
        <v>L15 Crypt</v>
      </c>
    </row>
    <row r="2397" spans="1:6" x14ac:dyDescent="0.25">
      <c r="A2397" s="14">
        <v>46147.019444444442</v>
      </c>
      <c r="B2397" s="79" t="s">
        <v>149</v>
      </c>
      <c r="C2397" s="79" t="s">
        <v>190</v>
      </c>
      <c r="D2397" s="79" t="s">
        <v>156</v>
      </c>
      <c r="E2397" s="79" t="s">
        <v>49</v>
      </c>
      <c r="F2397" s="79" t="str">
        <f>IF(E2397="", "", IF(COUNTIF(ChestType!$A$5:$A$195, E2397)&gt;0, VLOOKUP(E2397, ChestType!$A$5:$B$195, 2, 0), "Others"))</f>
        <v>L15 Crypt</v>
      </c>
    </row>
    <row r="2398" spans="1:6" x14ac:dyDescent="0.25">
      <c r="A2398" s="14">
        <v>46147.019444444442</v>
      </c>
      <c r="B2398" s="79" t="s">
        <v>149</v>
      </c>
      <c r="C2398" s="79" t="s">
        <v>181</v>
      </c>
      <c r="D2398" s="79" t="s">
        <v>157</v>
      </c>
      <c r="E2398" s="79" t="s">
        <v>50</v>
      </c>
      <c r="F2398" s="79" t="str">
        <f>IF(E2398="", "", IF(COUNTIF(ChestType!$A$5:$A$195, E2398)&gt;0, VLOOKUP(E2398, ChestType!$A$5:$B$195, 2, 0), "Others"))</f>
        <v>L10 Crypt</v>
      </c>
    </row>
    <row r="2399" spans="1:6" x14ac:dyDescent="0.25">
      <c r="A2399" s="14">
        <v>46147.019444444442</v>
      </c>
      <c r="B2399" s="79" t="s">
        <v>149</v>
      </c>
      <c r="C2399" s="79" t="s">
        <v>171</v>
      </c>
      <c r="D2399" s="79" t="s">
        <v>156</v>
      </c>
      <c r="E2399" s="79" t="s">
        <v>49</v>
      </c>
      <c r="F2399" s="79" t="str">
        <f>IF(E2399="", "", IF(COUNTIF(ChestType!$A$5:$A$195, E2399)&gt;0, VLOOKUP(E2399, ChestType!$A$5:$B$195, 2, 0), "Others"))</f>
        <v>L15 Crypt</v>
      </c>
    </row>
    <row r="2400" spans="1:6" x14ac:dyDescent="0.25">
      <c r="A2400" s="14">
        <v>46147.019444444442</v>
      </c>
      <c r="B2400" s="79" t="s">
        <v>149</v>
      </c>
      <c r="C2400" s="79" t="s">
        <v>173</v>
      </c>
      <c r="D2400" s="79" t="s">
        <v>156</v>
      </c>
      <c r="E2400" s="79" t="s">
        <v>49</v>
      </c>
      <c r="F2400" s="79" t="str">
        <f>IF(E2400="", "", IF(COUNTIF(ChestType!$A$5:$A$195, E2400)&gt;0, VLOOKUP(E2400, ChestType!$A$5:$B$195, 2, 0), "Others"))</f>
        <v>L15 Crypt</v>
      </c>
    </row>
    <row r="2401" spans="1:6" x14ac:dyDescent="0.25">
      <c r="A2401" s="14">
        <v>46147.019444444442</v>
      </c>
      <c r="B2401" s="79" t="s">
        <v>195</v>
      </c>
      <c r="C2401" s="79" t="s">
        <v>198</v>
      </c>
      <c r="D2401" s="79" t="s">
        <v>222</v>
      </c>
      <c r="E2401" s="79" t="s">
        <v>24</v>
      </c>
      <c r="F2401" s="79" t="str">
        <f>IF(E2401="", "", IF(COUNTIF(ChestType!$A$5:$A$195, E2401)&gt;0, VLOOKUP(E2401, ChestType!$A$5:$B$195, 2, 0), "Others"))</f>
        <v>Bank</v>
      </c>
    </row>
    <row r="2402" spans="1:6" x14ac:dyDescent="0.25">
      <c r="A2402" s="14">
        <v>46147.019444444442</v>
      </c>
      <c r="B2402" s="79" t="s">
        <v>195</v>
      </c>
      <c r="C2402" s="79" t="s">
        <v>198</v>
      </c>
      <c r="D2402" s="79" t="s">
        <v>222</v>
      </c>
      <c r="E2402" s="79" t="s">
        <v>24</v>
      </c>
      <c r="F2402" s="79" t="str">
        <f>IF(E2402="", "", IF(COUNTIF(ChestType!$A$5:$A$195, E2402)&gt;0, VLOOKUP(E2402, ChestType!$A$5:$B$195, 2, 0), "Others"))</f>
        <v>Bank</v>
      </c>
    </row>
    <row r="2403" spans="1:6" x14ac:dyDescent="0.25">
      <c r="A2403" s="14">
        <v>46147.019444444442</v>
      </c>
      <c r="B2403" s="79" t="s">
        <v>195</v>
      </c>
      <c r="C2403" s="79" t="s">
        <v>198</v>
      </c>
      <c r="D2403" s="79" t="s">
        <v>222</v>
      </c>
      <c r="E2403" s="79" t="s">
        <v>24</v>
      </c>
      <c r="F2403" s="79" t="str">
        <f>IF(E2403="", "", IF(COUNTIF(ChestType!$A$5:$A$195, E2403)&gt;0, VLOOKUP(E2403, ChestType!$A$5:$B$195, 2, 0), "Others"))</f>
        <v>Bank</v>
      </c>
    </row>
    <row r="2404" spans="1:6" x14ac:dyDescent="0.25">
      <c r="A2404" s="14">
        <v>46147.019444444442</v>
      </c>
      <c r="B2404" s="79" t="s">
        <v>195</v>
      </c>
      <c r="C2404" s="79" t="s">
        <v>210</v>
      </c>
      <c r="D2404" s="79" t="s">
        <v>222</v>
      </c>
      <c r="E2404" s="79" t="s">
        <v>24</v>
      </c>
      <c r="F2404" s="79" t="str">
        <f>IF(E2404="", "", IF(COUNTIF(ChestType!$A$5:$A$195, E2404)&gt;0, VLOOKUP(E2404, ChestType!$A$5:$B$195, 2, 0), "Others"))</f>
        <v>Bank</v>
      </c>
    </row>
    <row r="2405" spans="1:6" x14ac:dyDescent="0.25">
      <c r="A2405" s="14">
        <v>46147.019444444442</v>
      </c>
      <c r="B2405" s="79" t="s">
        <v>195</v>
      </c>
      <c r="C2405" s="79" t="s">
        <v>210</v>
      </c>
      <c r="D2405" s="79" t="s">
        <v>222</v>
      </c>
      <c r="E2405" s="79" t="s">
        <v>24</v>
      </c>
      <c r="F2405" s="79" t="str">
        <f>IF(E2405="", "", IF(COUNTIF(ChestType!$A$5:$A$195, E2405)&gt;0, VLOOKUP(E2405, ChestType!$A$5:$B$195, 2, 0), "Others"))</f>
        <v>Bank</v>
      </c>
    </row>
    <row r="2406" spans="1:6" x14ac:dyDescent="0.25">
      <c r="A2406" s="14">
        <v>46147.019444444442</v>
      </c>
      <c r="B2406" s="79" t="s">
        <v>195</v>
      </c>
      <c r="C2406" s="79" t="s">
        <v>210</v>
      </c>
      <c r="D2406" s="79" t="s">
        <v>222</v>
      </c>
      <c r="E2406" s="79" t="s">
        <v>24</v>
      </c>
      <c r="F2406" s="79" t="str">
        <f>IF(E2406="", "", IF(COUNTIF(ChestType!$A$5:$A$195, E2406)&gt;0, VLOOKUP(E2406, ChestType!$A$5:$B$195, 2, 0), "Others"))</f>
        <v>Bank</v>
      </c>
    </row>
    <row r="2407" spans="1:6" x14ac:dyDescent="0.25">
      <c r="A2407" s="14">
        <v>46147.040972222225</v>
      </c>
      <c r="B2407" s="79" t="s">
        <v>149</v>
      </c>
      <c r="C2407" s="79" t="s">
        <v>171</v>
      </c>
      <c r="D2407" s="79" t="s">
        <v>157</v>
      </c>
      <c r="E2407" s="79" t="s">
        <v>50</v>
      </c>
      <c r="F2407" s="79" t="str">
        <f>IF(E2407="", "", IF(COUNTIF(ChestType!$A$5:$A$195, E2407)&gt;0, VLOOKUP(E2407, ChestType!$A$5:$B$195, 2, 0), "Others"))</f>
        <v>L10 Crypt</v>
      </c>
    </row>
    <row r="2408" spans="1:6" x14ac:dyDescent="0.25">
      <c r="A2408" s="14">
        <v>46147.040972222225</v>
      </c>
      <c r="B2408" s="79" t="s">
        <v>149</v>
      </c>
      <c r="C2408" s="79" t="s">
        <v>183</v>
      </c>
      <c r="D2408" s="79" t="s">
        <v>152</v>
      </c>
      <c r="E2408" s="79" t="s">
        <v>50</v>
      </c>
      <c r="F2408" s="79" t="str">
        <f>IF(E2408="", "", IF(COUNTIF(ChestType!$A$5:$A$195, E2408)&gt;0, VLOOKUP(E2408, ChestType!$A$5:$B$195, 2, 0), "Others"))</f>
        <v>L10 Crypt</v>
      </c>
    </row>
    <row r="2409" spans="1:6" x14ac:dyDescent="0.25">
      <c r="A2409" s="14">
        <v>46147.040972222225</v>
      </c>
      <c r="B2409" s="79" t="s">
        <v>149</v>
      </c>
      <c r="C2409" s="79" t="s">
        <v>184</v>
      </c>
      <c r="D2409" s="79" t="s">
        <v>152</v>
      </c>
      <c r="E2409" s="79" t="s">
        <v>50</v>
      </c>
      <c r="F2409" s="79" t="str">
        <f>IF(E2409="", "", IF(COUNTIF(ChestType!$A$5:$A$195, E2409)&gt;0, VLOOKUP(E2409, ChestType!$A$5:$B$195, 2, 0), "Others"))</f>
        <v>L10 Crypt</v>
      </c>
    </row>
    <row r="2410" spans="1:6" x14ac:dyDescent="0.25">
      <c r="A2410" s="14">
        <v>46147.040972222225</v>
      </c>
      <c r="B2410" s="79" t="s">
        <v>149</v>
      </c>
      <c r="C2410" s="79" t="s">
        <v>181</v>
      </c>
      <c r="D2410" s="79" t="s">
        <v>152</v>
      </c>
      <c r="E2410" s="79" t="s">
        <v>50</v>
      </c>
      <c r="F2410" s="79" t="str">
        <f>IF(E2410="", "", IF(COUNTIF(ChestType!$A$5:$A$195, E2410)&gt;0, VLOOKUP(E2410, ChestType!$A$5:$B$195, 2, 0), "Others"))</f>
        <v>L10 Crypt</v>
      </c>
    </row>
    <row r="2411" spans="1:6" x14ac:dyDescent="0.25">
      <c r="A2411" s="14">
        <v>46147.040972222225</v>
      </c>
      <c r="B2411" s="79" t="s">
        <v>149</v>
      </c>
      <c r="C2411" s="79" t="s">
        <v>158</v>
      </c>
      <c r="D2411" s="79" t="s">
        <v>152</v>
      </c>
      <c r="E2411" s="79" t="s">
        <v>50</v>
      </c>
      <c r="F2411" s="79" t="str">
        <f>IF(E2411="", "", IF(COUNTIF(ChestType!$A$5:$A$195, E2411)&gt;0, VLOOKUP(E2411, ChestType!$A$5:$B$195, 2, 0), "Others"))</f>
        <v>L10 Crypt</v>
      </c>
    </row>
    <row r="2412" spans="1:6" x14ac:dyDescent="0.25">
      <c r="A2412" s="14">
        <v>46147.040972222225</v>
      </c>
      <c r="B2412" s="79" t="s">
        <v>149</v>
      </c>
      <c r="C2412" s="79" t="s">
        <v>176</v>
      </c>
      <c r="D2412" s="79" t="s">
        <v>159</v>
      </c>
      <c r="E2412" s="79" t="s">
        <v>70</v>
      </c>
      <c r="F2412" s="79" t="str">
        <f>IF(E2412="", "", IF(COUNTIF(ChestType!$A$5:$A$195, E2412)&gt;0, VLOOKUP(E2412, ChestType!$A$5:$B$195, 2, 0), "Others"))</f>
        <v>L10 Citadel</v>
      </c>
    </row>
    <row r="2413" spans="1:6" x14ac:dyDescent="0.25">
      <c r="A2413" s="14">
        <v>46147.040972222225</v>
      </c>
      <c r="B2413" s="79" t="s">
        <v>149</v>
      </c>
      <c r="C2413" s="79" t="s">
        <v>158</v>
      </c>
      <c r="D2413" s="79" t="s">
        <v>156</v>
      </c>
      <c r="E2413" s="79" t="s">
        <v>49</v>
      </c>
      <c r="F2413" s="79" t="str">
        <f>IF(E2413="", "", IF(COUNTIF(ChestType!$A$5:$A$195, E2413)&gt;0, VLOOKUP(E2413, ChestType!$A$5:$B$195, 2, 0), "Others"))</f>
        <v>L15 Crypt</v>
      </c>
    </row>
    <row r="2414" spans="1:6" x14ac:dyDescent="0.25">
      <c r="A2414" s="14">
        <v>46147.040972222225</v>
      </c>
      <c r="B2414" s="79" t="s">
        <v>149</v>
      </c>
      <c r="C2414" s="79" t="s">
        <v>184</v>
      </c>
      <c r="D2414" s="79" t="s">
        <v>156</v>
      </c>
      <c r="E2414" s="79" t="s">
        <v>49</v>
      </c>
      <c r="F2414" s="79" t="str">
        <f>IF(E2414="", "", IF(COUNTIF(ChestType!$A$5:$A$195, E2414)&gt;0, VLOOKUP(E2414, ChestType!$A$5:$B$195, 2, 0), "Others"))</f>
        <v>L15 Crypt</v>
      </c>
    </row>
    <row r="2415" spans="1:6" x14ac:dyDescent="0.25">
      <c r="A2415" s="14">
        <v>46147.040972222225</v>
      </c>
      <c r="B2415" s="79" t="s">
        <v>149</v>
      </c>
      <c r="C2415" s="79" t="s">
        <v>158</v>
      </c>
      <c r="D2415" s="79" t="s">
        <v>152</v>
      </c>
      <c r="E2415" s="79" t="s">
        <v>50</v>
      </c>
      <c r="F2415" s="79" t="str">
        <f>IF(E2415="", "", IF(COUNTIF(ChestType!$A$5:$A$195, E2415)&gt;0, VLOOKUP(E2415, ChestType!$A$5:$B$195, 2, 0), "Others"))</f>
        <v>L10 Crypt</v>
      </c>
    </row>
    <row r="2416" spans="1:6" x14ac:dyDescent="0.25">
      <c r="A2416" s="14">
        <v>46147.06527777778</v>
      </c>
      <c r="B2416" s="79" t="s">
        <v>149</v>
      </c>
      <c r="C2416" s="79" t="s">
        <v>181</v>
      </c>
      <c r="D2416" s="79" t="s">
        <v>152</v>
      </c>
      <c r="E2416" s="79" t="s">
        <v>49</v>
      </c>
      <c r="F2416" s="79" t="str">
        <f>IF(E2416="", "", IF(COUNTIF(ChestType!$A$5:$A$195, E2416)&gt;0, VLOOKUP(E2416, ChestType!$A$5:$B$195, 2, 0), "Others"))</f>
        <v>L15 Crypt</v>
      </c>
    </row>
    <row r="2417" spans="1:6" x14ac:dyDescent="0.25">
      <c r="A2417" s="14">
        <v>46147.06527777778</v>
      </c>
      <c r="B2417" s="79" t="s">
        <v>149</v>
      </c>
      <c r="C2417" s="79" t="s">
        <v>184</v>
      </c>
      <c r="D2417" s="79" t="s">
        <v>152</v>
      </c>
      <c r="E2417" s="79" t="s">
        <v>49</v>
      </c>
      <c r="F2417" s="79" t="str">
        <f>IF(E2417="", "", IF(COUNTIF(ChestType!$A$5:$A$195, E2417)&gt;0, VLOOKUP(E2417, ChestType!$A$5:$B$195, 2, 0), "Others"))</f>
        <v>L15 Crypt</v>
      </c>
    </row>
    <row r="2418" spans="1:6" x14ac:dyDescent="0.25">
      <c r="A2418" s="14">
        <v>46147.06527777778</v>
      </c>
      <c r="B2418" s="79" t="s">
        <v>149</v>
      </c>
      <c r="C2418" s="79" t="s">
        <v>173</v>
      </c>
      <c r="D2418" s="79" t="s">
        <v>152</v>
      </c>
      <c r="E2418" s="79" t="s">
        <v>49</v>
      </c>
      <c r="F2418" s="79" t="str">
        <f>IF(E2418="", "", IF(COUNTIF(ChestType!$A$5:$A$195, E2418)&gt;0, VLOOKUP(E2418, ChestType!$A$5:$B$195, 2, 0), "Others"))</f>
        <v>L15 Crypt</v>
      </c>
    </row>
    <row r="2419" spans="1:6" x14ac:dyDescent="0.25">
      <c r="A2419" s="14">
        <v>46147.06527777778</v>
      </c>
      <c r="B2419" s="79" t="s">
        <v>149</v>
      </c>
      <c r="C2419" s="79" t="s">
        <v>177</v>
      </c>
      <c r="D2419" s="79" t="s">
        <v>152</v>
      </c>
      <c r="E2419" s="79" t="s">
        <v>49</v>
      </c>
      <c r="F2419" s="79" t="str">
        <f>IF(E2419="", "", IF(COUNTIF(ChestType!$A$5:$A$195, E2419)&gt;0, VLOOKUP(E2419, ChestType!$A$5:$B$195, 2, 0), "Others"))</f>
        <v>L15 Crypt</v>
      </c>
    </row>
    <row r="2420" spans="1:6" x14ac:dyDescent="0.25">
      <c r="A2420" s="14">
        <v>46147.06527777778</v>
      </c>
      <c r="B2420" s="79" t="s">
        <v>149</v>
      </c>
      <c r="C2420" s="79" t="s">
        <v>175</v>
      </c>
      <c r="D2420" s="79" t="s">
        <v>152</v>
      </c>
      <c r="E2420" s="79" t="s">
        <v>49</v>
      </c>
      <c r="F2420" s="79" t="str">
        <f>IF(E2420="", "", IF(COUNTIF(ChestType!$A$5:$A$195, E2420)&gt;0, VLOOKUP(E2420, ChestType!$A$5:$B$195, 2, 0), "Others"))</f>
        <v>L15 Crypt</v>
      </c>
    </row>
    <row r="2421" spans="1:6" x14ac:dyDescent="0.25">
      <c r="A2421" s="14">
        <v>46147.06527777778</v>
      </c>
      <c r="B2421" s="79" t="s">
        <v>149</v>
      </c>
      <c r="C2421" s="79" t="s">
        <v>173</v>
      </c>
      <c r="D2421" s="79" t="s">
        <v>152</v>
      </c>
      <c r="E2421" s="79" t="s">
        <v>49</v>
      </c>
      <c r="F2421" s="79" t="str">
        <f>IF(E2421="", "", IF(COUNTIF(ChestType!$A$5:$A$195, E2421)&gt;0, VLOOKUP(E2421, ChestType!$A$5:$B$195, 2, 0), "Others"))</f>
        <v>L15 Crypt</v>
      </c>
    </row>
    <row r="2422" spans="1:6" x14ac:dyDescent="0.25">
      <c r="A2422" s="14">
        <v>46147.06527777778</v>
      </c>
      <c r="B2422" s="79" t="s">
        <v>149</v>
      </c>
      <c r="C2422" s="79" t="s">
        <v>173</v>
      </c>
      <c r="D2422" s="79" t="s">
        <v>152</v>
      </c>
      <c r="E2422" s="79" t="s">
        <v>49</v>
      </c>
      <c r="F2422" s="79" t="str">
        <f>IF(E2422="", "", IF(COUNTIF(ChestType!$A$5:$A$195, E2422)&gt;0, VLOOKUP(E2422, ChestType!$A$5:$B$195, 2, 0), "Others"))</f>
        <v>L15 Crypt</v>
      </c>
    </row>
    <row r="2423" spans="1:6" x14ac:dyDescent="0.25">
      <c r="A2423" s="14">
        <v>46147.06527777778</v>
      </c>
      <c r="B2423" s="79" t="s">
        <v>149</v>
      </c>
      <c r="C2423" s="79" t="s">
        <v>184</v>
      </c>
      <c r="D2423" s="79" t="s">
        <v>152</v>
      </c>
      <c r="E2423" s="79" t="s">
        <v>49</v>
      </c>
      <c r="F2423" s="79" t="str">
        <f>IF(E2423="", "", IF(COUNTIF(ChestType!$A$5:$A$195, E2423)&gt;0, VLOOKUP(E2423, ChestType!$A$5:$B$195, 2, 0), "Others"))</f>
        <v>L15 Crypt</v>
      </c>
    </row>
    <row r="2424" spans="1:6" x14ac:dyDescent="0.25">
      <c r="A2424" s="14">
        <v>46147.06527777778</v>
      </c>
      <c r="B2424" s="79" t="s">
        <v>149</v>
      </c>
      <c r="C2424" s="79" t="s">
        <v>175</v>
      </c>
      <c r="D2424" s="79" t="s">
        <v>152</v>
      </c>
      <c r="E2424" s="79" t="s">
        <v>49</v>
      </c>
      <c r="F2424" s="79" t="str">
        <f>IF(E2424="", "", IF(COUNTIF(ChestType!$A$5:$A$195, E2424)&gt;0, VLOOKUP(E2424, ChestType!$A$5:$B$195, 2, 0), "Others"))</f>
        <v>L15 Crypt</v>
      </c>
    </row>
    <row r="2425" spans="1:6" x14ac:dyDescent="0.25">
      <c r="A2425" s="14">
        <v>46147.06527777778</v>
      </c>
      <c r="B2425" s="79" t="s">
        <v>149</v>
      </c>
      <c r="C2425" s="79" t="s">
        <v>181</v>
      </c>
      <c r="D2425" s="79" t="s">
        <v>152</v>
      </c>
      <c r="E2425" s="79" t="s">
        <v>49</v>
      </c>
      <c r="F2425" s="79" t="str">
        <f>IF(E2425="", "", IF(COUNTIF(ChestType!$A$5:$A$195, E2425)&gt;0, VLOOKUP(E2425, ChestType!$A$5:$B$195, 2, 0), "Others"))</f>
        <v>L15 Crypt</v>
      </c>
    </row>
    <row r="2426" spans="1:6" x14ac:dyDescent="0.25">
      <c r="A2426" s="14">
        <v>46147.06527777778</v>
      </c>
      <c r="B2426" s="79" t="s">
        <v>149</v>
      </c>
      <c r="C2426" s="79" t="s">
        <v>175</v>
      </c>
      <c r="D2426" s="79" t="s">
        <v>152</v>
      </c>
      <c r="E2426" s="79" t="s">
        <v>49</v>
      </c>
      <c r="F2426" s="79" t="str">
        <f>IF(E2426="", "", IF(COUNTIF(ChestType!$A$5:$A$195, E2426)&gt;0, VLOOKUP(E2426, ChestType!$A$5:$B$195, 2, 0), "Others"))</f>
        <v>L15 Crypt</v>
      </c>
    </row>
    <row r="2427" spans="1:6" x14ac:dyDescent="0.25">
      <c r="A2427" s="14">
        <v>46147.06527777778</v>
      </c>
      <c r="B2427" s="79" t="s">
        <v>149</v>
      </c>
      <c r="C2427" s="79" t="s">
        <v>177</v>
      </c>
      <c r="D2427" s="79" t="s">
        <v>152</v>
      </c>
      <c r="E2427" s="79" t="s">
        <v>49</v>
      </c>
      <c r="F2427" s="79" t="str">
        <f>IF(E2427="", "", IF(COUNTIF(ChestType!$A$5:$A$195, E2427)&gt;0, VLOOKUP(E2427, ChestType!$A$5:$B$195, 2, 0), "Others"))</f>
        <v>L15 Crypt</v>
      </c>
    </row>
    <row r="2428" spans="1:6" x14ac:dyDescent="0.25">
      <c r="A2428" s="14">
        <v>46147.06527777778</v>
      </c>
      <c r="B2428" s="79" t="s">
        <v>149</v>
      </c>
      <c r="C2428" s="79" t="s">
        <v>184</v>
      </c>
      <c r="D2428" s="79" t="s">
        <v>152</v>
      </c>
      <c r="E2428" s="79" t="s">
        <v>49</v>
      </c>
      <c r="F2428" s="79" t="str">
        <f>IF(E2428="", "", IF(COUNTIF(ChestType!$A$5:$A$195, E2428)&gt;0, VLOOKUP(E2428, ChestType!$A$5:$B$195, 2, 0), "Others"))</f>
        <v>L15 Crypt</v>
      </c>
    </row>
    <row r="2429" spans="1:6" x14ac:dyDescent="0.25">
      <c r="A2429" s="14">
        <v>46147.06527777778</v>
      </c>
      <c r="B2429" s="79" t="s">
        <v>149</v>
      </c>
      <c r="C2429" s="79" t="s">
        <v>175</v>
      </c>
      <c r="D2429" s="79" t="s">
        <v>261</v>
      </c>
      <c r="E2429" s="79" t="s">
        <v>50</v>
      </c>
      <c r="F2429" s="79" t="str">
        <f>IF(E2429="", "", IF(COUNTIF(ChestType!$A$5:$A$195, E2429)&gt;0, VLOOKUP(E2429, ChestType!$A$5:$B$195, 2, 0), "Others"))</f>
        <v>L10 Crypt</v>
      </c>
    </row>
    <row r="2430" spans="1:6" x14ac:dyDescent="0.25">
      <c r="A2430" s="14">
        <v>46147.06527777778</v>
      </c>
      <c r="B2430" s="79" t="s">
        <v>149</v>
      </c>
      <c r="C2430" s="79" t="s">
        <v>158</v>
      </c>
      <c r="D2430" s="79" t="s">
        <v>152</v>
      </c>
      <c r="E2430" s="79" t="s">
        <v>49</v>
      </c>
      <c r="F2430" s="79" t="str">
        <f>IF(E2430="", "", IF(COUNTIF(ChestType!$A$5:$A$195, E2430)&gt;0, VLOOKUP(E2430, ChestType!$A$5:$B$195, 2, 0), "Others"))</f>
        <v>L15 Crypt</v>
      </c>
    </row>
    <row r="2431" spans="1:6" x14ac:dyDescent="0.25">
      <c r="A2431" s="14">
        <v>46147.06527777778</v>
      </c>
      <c r="B2431" s="79" t="s">
        <v>149</v>
      </c>
      <c r="C2431" s="79" t="s">
        <v>175</v>
      </c>
      <c r="D2431" s="79" t="s">
        <v>152</v>
      </c>
      <c r="E2431" s="79" t="s">
        <v>49</v>
      </c>
      <c r="F2431" s="79" t="str">
        <f>IF(E2431="", "", IF(COUNTIF(ChestType!$A$5:$A$195, E2431)&gt;0, VLOOKUP(E2431, ChestType!$A$5:$B$195, 2, 0), "Others"))</f>
        <v>L15 Crypt</v>
      </c>
    </row>
    <row r="2432" spans="1:6" x14ac:dyDescent="0.25">
      <c r="A2432" s="14">
        <v>46147.06527777778</v>
      </c>
      <c r="B2432" s="79" t="s">
        <v>149</v>
      </c>
      <c r="C2432" s="79" t="s">
        <v>184</v>
      </c>
      <c r="D2432" s="79" t="s">
        <v>152</v>
      </c>
      <c r="E2432" s="79" t="s">
        <v>49</v>
      </c>
      <c r="F2432" s="79" t="str">
        <f>IF(E2432="", "", IF(COUNTIF(ChestType!$A$5:$A$195, E2432)&gt;0, VLOOKUP(E2432, ChestType!$A$5:$B$195, 2, 0), "Others"))</f>
        <v>L15 Crypt</v>
      </c>
    </row>
    <row r="2433" spans="1:6" x14ac:dyDescent="0.25">
      <c r="A2433" s="14">
        <v>46147.06527777778</v>
      </c>
      <c r="B2433" s="79" t="s">
        <v>149</v>
      </c>
      <c r="C2433" s="79" t="s">
        <v>175</v>
      </c>
      <c r="D2433" s="79" t="s">
        <v>152</v>
      </c>
      <c r="E2433" s="79" t="s">
        <v>49</v>
      </c>
      <c r="F2433" s="79" t="str">
        <f>IF(E2433="", "", IF(COUNTIF(ChestType!$A$5:$A$195, E2433)&gt;0, VLOOKUP(E2433, ChestType!$A$5:$B$195, 2, 0), "Others"))</f>
        <v>L15 Crypt</v>
      </c>
    </row>
    <row r="2434" spans="1:6" x14ac:dyDescent="0.25">
      <c r="A2434" s="14">
        <v>46147.06527777778</v>
      </c>
      <c r="B2434" s="79" t="s">
        <v>149</v>
      </c>
      <c r="C2434" s="79" t="s">
        <v>185</v>
      </c>
      <c r="D2434" s="79" t="s">
        <v>152</v>
      </c>
      <c r="E2434" s="79" t="s">
        <v>49</v>
      </c>
      <c r="F2434" s="79" t="str">
        <f>IF(E2434="", "", IF(COUNTIF(ChestType!$A$5:$A$195, E2434)&gt;0, VLOOKUP(E2434, ChestType!$A$5:$B$195, 2, 0), "Others"))</f>
        <v>L15 Crypt</v>
      </c>
    </row>
    <row r="2435" spans="1:6" x14ac:dyDescent="0.25">
      <c r="A2435" s="14">
        <v>46147.06527777778</v>
      </c>
      <c r="B2435" s="79" t="s">
        <v>149</v>
      </c>
      <c r="C2435" s="79" t="s">
        <v>177</v>
      </c>
      <c r="D2435" s="79" t="s">
        <v>152</v>
      </c>
      <c r="E2435" s="79" t="s">
        <v>49</v>
      </c>
      <c r="F2435" s="79" t="str">
        <f>IF(E2435="", "", IF(COUNTIF(ChestType!$A$5:$A$195, E2435)&gt;0, VLOOKUP(E2435, ChestType!$A$5:$B$195, 2, 0), "Others"))</f>
        <v>L15 Crypt</v>
      </c>
    </row>
    <row r="2436" spans="1:6" x14ac:dyDescent="0.25">
      <c r="A2436" s="14">
        <v>46147.06527777778</v>
      </c>
      <c r="B2436" s="79" t="s">
        <v>149</v>
      </c>
      <c r="C2436" s="79" t="s">
        <v>158</v>
      </c>
      <c r="D2436" s="79" t="s">
        <v>152</v>
      </c>
      <c r="E2436" s="79" t="s">
        <v>49</v>
      </c>
      <c r="F2436" s="79" t="str">
        <f>IF(E2436="", "", IF(COUNTIF(ChestType!$A$5:$A$195, E2436)&gt;0, VLOOKUP(E2436, ChestType!$A$5:$B$195, 2, 0), "Others"))</f>
        <v>L15 Crypt</v>
      </c>
    </row>
    <row r="2437" spans="1:6" x14ac:dyDescent="0.25">
      <c r="A2437" s="14">
        <v>46147.06527777778</v>
      </c>
      <c r="B2437" s="79" t="s">
        <v>149</v>
      </c>
      <c r="C2437" s="79" t="s">
        <v>176</v>
      </c>
      <c r="D2437" s="79" t="s">
        <v>222</v>
      </c>
      <c r="E2437" s="79" t="s">
        <v>44</v>
      </c>
      <c r="F2437" s="79" t="str">
        <f>IF(E2437="", "", IF(COUNTIF(ChestType!$A$5:$A$195, E2437)&gt;0, VLOOKUP(E2437, ChestType!$A$5:$B$195, 2, 0), "Others"))</f>
        <v>L20 Citadel</v>
      </c>
    </row>
    <row r="2438" spans="1:6" x14ac:dyDescent="0.25">
      <c r="A2438" s="14">
        <v>46147.06527777778</v>
      </c>
      <c r="B2438" s="79" t="s">
        <v>149</v>
      </c>
      <c r="C2438" s="79" t="s">
        <v>181</v>
      </c>
      <c r="D2438" s="79" t="s">
        <v>152</v>
      </c>
      <c r="E2438" s="79" t="s">
        <v>49</v>
      </c>
      <c r="F2438" s="79" t="str">
        <f>IF(E2438="", "", IF(COUNTIF(ChestType!$A$5:$A$195, E2438)&gt;0, VLOOKUP(E2438, ChestType!$A$5:$B$195, 2, 0), "Others"))</f>
        <v>L15 Crypt</v>
      </c>
    </row>
    <row r="2439" spans="1:6" x14ac:dyDescent="0.25">
      <c r="A2439" s="14">
        <v>46147.06527777778</v>
      </c>
      <c r="B2439" s="79" t="s">
        <v>149</v>
      </c>
      <c r="C2439" s="79" t="s">
        <v>184</v>
      </c>
      <c r="D2439" s="79" t="s">
        <v>152</v>
      </c>
      <c r="E2439" s="79" t="s">
        <v>49</v>
      </c>
      <c r="F2439" s="79" t="str">
        <f>IF(E2439="", "", IF(COUNTIF(ChestType!$A$5:$A$195, E2439)&gt;0, VLOOKUP(E2439, ChestType!$A$5:$B$195, 2, 0), "Others"))</f>
        <v>L15 Crypt</v>
      </c>
    </row>
    <row r="2440" spans="1:6" x14ac:dyDescent="0.25">
      <c r="A2440" s="14">
        <v>46147.06527777778</v>
      </c>
      <c r="B2440" s="79" t="s">
        <v>149</v>
      </c>
      <c r="C2440" s="79" t="s">
        <v>176</v>
      </c>
      <c r="D2440" s="79" t="s">
        <v>222</v>
      </c>
      <c r="E2440" s="79" t="s">
        <v>70</v>
      </c>
      <c r="F2440" s="79" t="str">
        <f>IF(E2440="", "", IF(COUNTIF(ChestType!$A$5:$A$195, E2440)&gt;0, VLOOKUP(E2440, ChestType!$A$5:$B$195, 2, 0), "Others"))</f>
        <v>L10 Citadel</v>
      </c>
    </row>
    <row r="2441" spans="1:6" x14ac:dyDescent="0.25">
      <c r="A2441" s="14">
        <v>46147.570833333331</v>
      </c>
      <c r="B2441" s="79" t="s">
        <v>149</v>
      </c>
      <c r="C2441" s="79" t="s">
        <v>185</v>
      </c>
      <c r="D2441" s="79" t="s">
        <v>842</v>
      </c>
      <c r="E2441" s="79" t="s">
        <v>52</v>
      </c>
      <c r="F2441" s="79" t="str">
        <f>IF(E2441="", "", IF(COUNTIF(ChestType!$A$5:$A$195, E2441)&gt;0, VLOOKUP(E2441, ChestType!$A$5:$B$195, 2, 0), "Others"))</f>
        <v>L5 Crypt</v>
      </c>
    </row>
    <row r="2442" spans="1:6" x14ac:dyDescent="0.25">
      <c r="A2442" s="14">
        <v>46147.570833333331</v>
      </c>
      <c r="B2442" s="79" t="s">
        <v>149</v>
      </c>
      <c r="C2442" s="79" t="s">
        <v>173</v>
      </c>
      <c r="D2442" s="79" t="s">
        <v>283</v>
      </c>
      <c r="E2442" s="79" t="s">
        <v>52</v>
      </c>
      <c r="F2442" s="79" t="str">
        <f>IF(E2442="", "", IF(COUNTIF(ChestType!$A$5:$A$195, E2442)&gt;0, VLOOKUP(E2442, ChestType!$A$5:$B$195, 2, 0), "Others"))</f>
        <v>L5 Crypt</v>
      </c>
    </row>
    <row r="2443" spans="1:6" x14ac:dyDescent="0.25">
      <c r="A2443" s="14">
        <v>46147.570833333331</v>
      </c>
      <c r="B2443" s="79" t="s">
        <v>149</v>
      </c>
      <c r="C2443" s="79" t="s">
        <v>151</v>
      </c>
      <c r="D2443" s="79" t="s">
        <v>842</v>
      </c>
      <c r="E2443" s="79" t="s">
        <v>52</v>
      </c>
      <c r="F2443" s="79" t="str">
        <f>IF(E2443="", "", IF(COUNTIF(ChestType!$A$5:$A$195, E2443)&gt;0, VLOOKUP(E2443, ChestType!$A$5:$B$195, 2, 0), "Others"))</f>
        <v>L5 Crypt</v>
      </c>
    </row>
    <row r="2444" spans="1:6" x14ac:dyDescent="0.25">
      <c r="A2444" s="14">
        <v>46147.570833333331</v>
      </c>
      <c r="B2444" s="79" t="s">
        <v>149</v>
      </c>
      <c r="C2444" s="79" t="s">
        <v>177</v>
      </c>
      <c r="D2444" s="79" t="s">
        <v>842</v>
      </c>
      <c r="E2444" s="79" t="s">
        <v>52</v>
      </c>
      <c r="F2444" s="79" t="str">
        <f>IF(E2444="", "", IF(COUNTIF(ChestType!$A$5:$A$195, E2444)&gt;0, VLOOKUP(E2444, ChestType!$A$5:$B$195, 2, 0), "Others"))</f>
        <v>L5 Crypt</v>
      </c>
    </row>
    <row r="2445" spans="1:6" x14ac:dyDescent="0.25">
      <c r="A2445" s="14">
        <v>46147.570833333331</v>
      </c>
      <c r="B2445" s="79" t="s">
        <v>149</v>
      </c>
      <c r="C2445" s="79" t="s">
        <v>181</v>
      </c>
      <c r="D2445" s="79" t="s">
        <v>222</v>
      </c>
      <c r="E2445" s="79" t="s">
        <v>49</v>
      </c>
      <c r="F2445" s="79" t="str">
        <f>IF(E2445="", "", IF(COUNTIF(ChestType!$A$5:$A$195, E2445)&gt;0, VLOOKUP(E2445, ChestType!$A$5:$B$195, 2, 0), "Others"))</f>
        <v>L15 Crypt</v>
      </c>
    </row>
    <row r="2446" spans="1:6" x14ac:dyDescent="0.25">
      <c r="A2446" s="14">
        <v>46147.570833333331</v>
      </c>
      <c r="B2446" s="79" t="s">
        <v>149</v>
      </c>
      <c r="C2446" s="79" t="s">
        <v>177</v>
      </c>
      <c r="D2446" s="79" t="s">
        <v>152</v>
      </c>
      <c r="E2446" s="79" t="s">
        <v>49</v>
      </c>
      <c r="F2446" s="79" t="str">
        <f>IF(E2446="", "", IF(COUNTIF(ChestType!$A$5:$A$195, E2446)&gt;0, VLOOKUP(E2446, ChestType!$A$5:$B$195, 2, 0), "Others"))</f>
        <v>L15 Crypt</v>
      </c>
    </row>
    <row r="2447" spans="1:6" x14ac:dyDescent="0.25">
      <c r="A2447" s="14">
        <v>46147.570833333331</v>
      </c>
      <c r="B2447" s="79" t="s">
        <v>149</v>
      </c>
      <c r="C2447" s="79" t="s">
        <v>151</v>
      </c>
      <c r="D2447" s="79" t="s">
        <v>152</v>
      </c>
      <c r="E2447" s="79" t="s">
        <v>49</v>
      </c>
      <c r="F2447" s="79" t="str">
        <f>IF(E2447="", "", IF(COUNTIF(ChestType!$A$5:$A$195, E2447)&gt;0, VLOOKUP(E2447, ChestType!$A$5:$B$195, 2, 0), "Others"))</f>
        <v>L15 Crypt</v>
      </c>
    </row>
    <row r="2448" spans="1:6" x14ac:dyDescent="0.25">
      <c r="A2448" s="14">
        <v>46147.570833333331</v>
      </c>
      <c r="B2448" s="79" t="s">
        <v>149</v>
      </c>
      <c r="C2448" s="79" t="s">
        <v>158</v>
      </c>
      <c r="D2448" s="79" t="s">
        <v>842</v>
      </c>
      <c r="E2448" s="79" t="s">
        <v>52</v>
      </c>
      <c r="F2448" s="79" t="str">
        <f>IF(E2448="", "", IF(COUNTIF(ChestType!$A$5:$A$195, E2448)&gt;0, VLOOKUP(E2448, ChestType!$A$5:$B$195, 2, 0), "Others"))</f>
        <v>L5 Crypt</v>
      </c>
    </row>
    <row r="2449" spans="1:6" x14ac:dyDescent="0.25">
      <c r="A2449" s="14">
        <v>46147.570833333331</v>
      </c>
      <c r="B2449" s="79" t="s">
        <v>149</v>
      </c>
      <c r="C2449" s="79" t="s">
        <v>151</v>
      </c>
      <c r="D2449" s="79" t="s">
        <v>152</v>
      </c>
      <c r="E2449" s="79" t="s">
        <v>49</v>
      </c>
      <c r="F2449" s="79" t="str">
        <f>IF(E2449="", "", IF(COUNTIF(ChestType!$A$5:$A$195, E2449)&gt;0, VLOOKUP(E2449, ChestType!$A$5:$B$195, 2, 0), "Others"))</f>
        <v>L15 Crypt</v>
      </c>
    </row>
    <row r="2450" spans="1:6" x14ac:dyDescent="0.25">
      <c r="A2450" s="14">
        <v>46147.570833333331</v>
      </c>
      <c r="B2450" s="79" t="s">
        <v>149</v>
      </c>
      <c r="C2450" s="79" t="s">
        <v>181</v>
      </c>
      <c r="D2450" s="79" t="s">
        <v>152</v>
      </c>
      <c r="E2450" s="79" t="s">
        <v>49</v>
      </c>
      <c r="F2450" s="79" t="str">
        <f>IF(E2450="", "", IF(COUNTIF(ChestType!$A$5:$A$195, E2450)&gt;0, VLOOKUP(E2450, ChestType!$A$5:$B$195, 2, 0), "Others"))</f>
        <v>L15 Crypt</v>
      </c>
    </row>
    <row r="2451" spans="1:6" x14ac:dyDescent="0.25">
      <c r="A2451" s="14">
        <v>46147.570833333331</v>
      </c>
      <c r="B2451" s="79" t="s">
        <v>149</v>
      </c>
      <c r="C2451" s="79" t="s">
        <v>173</v>
      </c>
      <c r="D2451" s="79" t="s">
        <v>240</v>
      </c>
      <c r="E2451" s="79" t="s">
        <v>52</v>
      </c>
      <c r="F2451" s="79" t="str">
        <f>IF(E2451="", "", IF(COUNTIF(ChestType!$A$5:$A$195, E2451)&gt;0, VLOOKUP(E2451, ChestType!$A$5:$B$195, 2, 0), "Others"))</f>
        <v>L5 Crypt</v>
      </c>
    </row>
    <row r="2452" spans="1:6" x14ac:dyDescent="0.25">
      <c r="A2452" s="14">
        <v>46147.570833333331</v>
      </c>
      <c r="B2452" s="79" t="s">
        <v>149</v>
      </c>
      <c r="C2452" s="79" t="s">
        <v>181</v>
      </c>
      <c r="D2452" s="79" t="s">
        <v>842</v>
      </c>
      <c r="E2452" s="79" t="s">
        <v>52</v>
      </c>
      <c r="F2452" s="79" t="str">
        <f>IF(E2452="", "", IF(COUNTIF(ChestType!$A$5:$A$195, E2452)&gt;0, VLOOKUP(E2452, ChestType!$A$5:$B$195, 2, 0), "Others"))</f>
        <v>L5 Crypt</v>
      </c>
    </row>
    <row r="2453" spans="1:6" x14ac:dyDescent="0.25">
      <c r="A2453" s="14">
        <v>46147.570833333331</v>
      </c>
      <c r="B2453" s="79" t="s">
        <v>149</v>
      </c>
      <c r="C2453" s="79" t="s">
        <v>177</v>
      </c>
      <c r="D2453" s="79" t="s">
        <v>842</v>
      </c>
      <c r="E2453" s="79" t="s">
        <v>52</v>
      </c>
      <c r="F2453" s="79" t="str">
        <f>IF(E2453="", "", IF(COUNTIF(ChestType!$A$5:$A$195, E2453)&gt;0, VLOOKUP(E2453, ChestType!$A$5:$B$195, 2, 0), "Others"))</f>
        <v>L5 Crypt</v>
      </c>
    </row>
    <row r="2454" spans="1:6" x14ac:dyDescent="0.25">
      <c r="A2454" s="14">
        <v>46147.570833333331</v>
      </c>
      <c r="B2454" s="79" t="s">
        <v>149</v>
      </c>
      <c r="C2454" s="79" t="s">
        <v>181</v>
      </c>
      <c r="D2454" s="79" t="s">
        <v>842</v>
      </c>
      <c r="E2454" s="79" t="s">
        <v>52</v>
      </c>
      <c r="F2454" s="79" t="str">
        <f>IF(E2454="", "", IF(COUNTIF(ChestType!$A$5:$A$195, E2454)&gt;0, VLOOKUP(E2454, ChestType!$A$5:$B$195, 2, 0), "Others"))</f>
        <v>L5 Crypt</v>
      </c>
    </row>
    <row r="2455" spans="1:6" x14ac:dyDescent="0.25">
      <c r="A2455" s="14">
        <v>46147.570833333331</v>
      </c>
      <c r="B2455" s="79" t="s">
        <v>149</v>
      </c>
      <c r="C2455" s="79" t="s">
        <v>183</v>
      </c>
      <c r="D2455" s="79" t="s">
        <v>842</v>
      </c>
      <c r="E2455" s="79" t="s">
        <v>52</v>
      </c>
      <c r="F2455" s="79" t="str">
        <f>IF(E2455="", "", IF(COUNTIF(ChestType!$A$5:$A$195, E2455)&gt;0, VLOOKUP(E2455, ChestType!$A$5:$B$195, 2, 0), "Others"))</f>
        <v>L5 Crypt</v>
      </c>
    </row>
    <row r="2456" spans="1:6" x14ac:dyDescent="0.25">
      <c r="A2456" s="14">
        <v>46147.570833333331</v>
      </c>
      <c r="B2456" s="79" t="s">
        <v>149</v>
      </c>
      <c r="C2456" s="79" t="s">
        <v>190</v>
      </c>
      <c r="D2456" s="79" t="s">
        <v>842</v>
      </c>
      <c r="E2456" s="79" t="s">
        <v>52</v>
      </c>
      <c r="F2456" s="79" t="str">
        <f>IF(E2456="", "", IF(COUNTIF(ChestType!$A$5:$A$195, E2456)&gt;0, VLOOKUP(E2456, ChestType!$A$5:$B$195, 2, 0), "Others"))</f>
        <v>L5 Crypt</v>
      </c>
    </row>
    <row r="2457" spans="1:6" x14ac:dyDescent="0.25">
      <c r="A2457" s="14">
        <v>46147.570833333331</v>
      </c>
      <c r="B2457" s="79" t="s">
        <v>149</v>
      </c>
      <c r="C2457" s="79" t="s">
        <v>181</v>
      </c>
      <c r="D2457" s="79" t="s">
        <v>842</v>
      </c>
      <c r="E2457" s="79" t="s">
        <v>52</v>
      </c>
      <c r="F2457" s="79" t="str">
        <f>IF(E2457="", "", IF(COUNTIF(ChestType!$A$5:$A$195, E2457)&gt;0, VLOOKUP(E2457, ChestType!$A$5:$B$195, 2, 0), "Others"))</f>
        <v>L5 Crypt</v>
      </c>
    </row>
    <row r="2458" spans="1:6" x14ac:dyDescent="0.25">
      <c r="A2458" s="14">
        <v>46147.570833333331</v>
      </c>
      <c r="B2458" s="79" t="s">
        <v>149</v>
      </c>
      <c r="C2458" s="79" t="s">
        <v>151</v>
      </c>
      <c r="D2458" s="79" t="s">
        <v>842</v>
      </c>
      <c r="E2458" s="79" t="s">
        <v>52</v>
      </c>
      <c r="F2458" s="79" t="str">
        <f>IF(E2458="", "", IF(COUNTIF(ChestType!$A$5:$A$195, E2458)&gt;0, VLOOKUP(E2458, ChestType!$A$5:$B$195, 2, 0), "Others"))</f>
        <v>L5 Crypt</v>
      </c>
    </row>
    <row r="2459" spans="1:6" x14ac:dyDescent="0.25">
      <c r="A2459" s="14">
        <v>46147.570833333331</v>
      </c>
      <c r="B2459" s="79" t="s">
        <v>149</v>
      </c>
      <c r="C2459" s="79" t="s">
        <v>181</v>
      </c>
      <c r="D2459" s="79" t="s">
        <v>842</v>
      </c>
      <c r="E2459" s="79" t="s">
        <v>52</v>
      </c>
      <c r="F2459" s="79" t="str">
        <f>IF(E2459="", "", IF(COUNTIF(ChestType!$A$5:$A$195, E2459)&gt;0, VLOOKUP(E2459, ChestType!$A$5:$B$195, 2, 0), "Others"))</f>
        <v>L5 Crypt</v>
      </c>
    </row>
    <row r="2460" spans="1:6" x14ac:dyDescent="0.25">
      <c r="A2460" s="14">
        <v>46147.570833333331</v>
      </c>
      <c r="B2460" s="79" t="s">
        <v>149</v>
      </c>
      <c r="C2460" s="79" t="s">
        <v>171</v>
      </c>
      <c r="D2460" s="79" t="s">
        <v>842</v>
      </c>
      <c r="E2460" s="79" t="s">
        <v>52</v>
      </c>
      <c r="F2460" s="79" t="str">
        <f>IF(E2460="", "", IF(COUNTIF(ChestType!$A$5:$A$195, E2460)&gt;0, VLOOKUP(E2460, ChestType!$A$5:$B$195, 2, 0), "Others"))</f>
        <v>L5 Crypt</v>
      </c>
    </row>
    <row r="2461" spans="1:6" x14ac:dyDescent="0.25">
      <c r="A2461" s="14">
        <v>46147.570833333331</v>
      </c>
      <c r="B2461" s="79" t="s">
        <v>149</v>
      </c>
      <c r="C2461" s="79" t="s">
        <v>175</v>
      </c>
      <c r="D2461" s="79" t="s">
        <v>261</v>
      </c>
      <c r="E2461" s="79" t="s">
        <v>52</v>
      </c>
      <c r="F2461" s="79" t="str">
        <f>IF(E2461="", "", IF(COUNTIF(ChestType!$A$5:$A$195, E2461)&gt;0, VLOOKUP(E2461, ChestType!$A$5:$B$195, 2, 0), "Others"))</f>
        <v>L5 Crypt</v>
      </c>
    </row>
    <row r="2462" spans="1:6" x14ac:dyDescent="0.25">
      <c r="A2462" s="14">
        <v>46147.570833333331</v>
      </c>
      <c r="B2462" s="79" t="s">
        <v>149</v>
      </c>
      <c r="C2462" s="79" t="s">
        <v>171</v>
      </c>
      <c r="D2462" s="79" t="s">
        <v>261</v>
      </c>
      <c r="E2462" s="79" t="s">
        <v>50</v>
      </c>
      <c r="F2462" s="79" t="str">
        <f>IF(E2462="", "", IF(COUNTIF(ChestType!$A$5:$A$195, E2462)&gt;0, VLOOKUP(E2462, ChestType!$A$5:$B$195, 2, 0), "Others"))</f>
        <v>L10 Crypt</v>
      </c>
    </row>
    <row r="2463" spans="1:6" x14ac:dyDescent="0.25">
      <c r="A2463" s="14">
        <v>46147.570833333331</v>
      </c>
      <c r="B2463" s="79" t="s">
        <v>149</v>
      </c>
      <c r="C2463" s="79" t="s">
        <v>185</v>
      </c>
      <c r="D2463" s="79" t="s">
        <v>261</v>
      </c>
      <c r="E2463" s="79" t="s">
        <v>52</v>
      </c>
      <c r="F2463" s="79" t="str">
        <f>IF(E2463="", "", IF(COUNTIF(ChestType!$A$5:$A$195, E2463)&gt;0, VLOOKUP(E2463, ChestType!$A$5:$B$195, 2, 0), "Others"))</f>
        <v>L5 Crypt</v>
      </c>
    </row>
    <row r="2464" spans="1:6" x14ac:dyDescent="0.25">
      <c r="A2464" s="14">
        <v>46147.570833333331</v>
      </c>
      <c r="B2464" s="79" t="s">
        <v>149</v>
      </c>
      <c r="C2464" s="79" t="s">
        <v>192</v>
      </c>
      <c r="D2464" s="79" t="s">
        <v>166</v>
      </c>
      <c r="E2464" s="79" t="s">
        <v>60</v>
      </c>
      <c r="F2464" s="79" t="str">
        <f>IF(E2464="", "", IF(COUNTIF(ChestType!$A$5:$A$195, E2464)&gt;0, VLOOKUP(E2464, ChestType!$A$5:$B$195, 2, 0), "Others"))</f>
        <v>Others</v>
      </c>
    </row>
    <row r="2465" spans="1:6" x14ac:dyDescent="0.25">
      <c r="A2465" s="14">
        <v>46147.570833333331</v>
      </c>
      <c r="B2465" s="79" t="s">
        <v>149</v>
      </c>
      <c r="C2465" s="79" t="s">
        <v>184</v>
      </c>
      <c r="D2465" s="79" t="s">
        <v>179</v>
      </c>
      <c r="E2465" s="79" t="s">
        <v>52</v>
      </c>
      <c r="F2465" s="79" t="str">
        <f>IF(E2465="", "", IF(COUNTIF(ChestType!$A$5:$A$195, E2465)&gt;0, VLOOKUP(E2465, ChestType!$A$5:$B$195, 2, 0), "Others"))</f>
        <v>L5 Crypt</v>
      </c>
    </row>
    <row r="2466" spans="1:6" x14ac:dyDescent="0.25">
      <c r="A2466" s="14">
        <v>46147.570833333331</v>
      </c>
      <c r="B2466" s="79" t="s">
        <v>149</v>
      </c>
      <c r="C2466" s="79" t="s">
        <v>171</v>
      </c>
      <c r="D2466" s="79" t="s">
        <v>166</v>
      </c>
      <c r="E2466" s="79" t="s">
        <v>50</v>
      </c>
      <c r="F2466" s="79" t="str">
        <f>IF(E2466="", "", IF(COUNTIF(ChestType!$A$5:$A$195, E2466)&gt;0, VLOOKUP(E2466, ChestType!$A$5:$B$195, 2, 0), "Others"))</f>
        <v>L10 Crypt</v>
      </c>
    </row>
    <row r="2467" spans="1:6" x14ac:dyDescent="0.25">
      <c r="A2467" s="14">
        <v>46147.570833333331</v>
      </c>
      <c r="B2467" s="79" t="s">
        <v>149</v>
      </c>
      <c r="C2467" s="79" t="s">
        <v>190</v>
      </c>
      <c r="D2467" s="79" t="s">
        <v>261</v>
      </c>
      <c r="E2467" s="79" t="s">
        <v>50</v>
      </c>
      <c r="F2467" s="79" t="str">
        <f>IF(E2467="", "", IF(COUNTIF(ChestType!$A$5:$A$195, E2467)&gt;0, VLOOKUP(E2467, ChestType!$A$5:$B$195, 2, 0), "Others"))</f>
        <v>L10 Crypt</v>
      </c>
    </row>
    <row r="2468" spans="1:6" x14ac:dyDescent="0.25">
      <c r="A2468" s="14">
        <v>46147.570833333331</v>
      </c>
      <c r="B2468" s="79" t="s">
        <v>149</v>
      </c>
      <c r="C2468" s="79" t="s">
        <v>185</v>
      </c>
      <c r="D2468" s="79" t="s">
        <v>261</v>
      </c>
      <c r="E2468" s="79" t="s">
        <v>52</v>
      </c>
      <c r="F2468" s="79" t="str">
        <f>IF(E2468="", "", IF(COUNTIF(ChestType!$A$5:$A$195, E2468)&gt;0, VLOOKUP(E2468, ChestType!$A$5:$B$195, 2, 0), "Others"))</f>
        <v>L5 Crypt</v>
      </c>
    </row>
    <row r="2469" spans="1:6" x14ac:dyDescent="0.25">
      <c r="A2469" s="14">
        <v>46147.570833333331</v>
      </c>
      <c r="B2469" s="79" t="s">
        <v>149</v>
      </c>
      <c r="C2469" s="79" t="s">
        <v>171</v>
      </c>
      <c r="D2469" s="79" t="s">
        <v>261</v>
      </c>
      <c r="E2469" s="79" t="s">
        <v>52</v>
      </c>
      <c r="F2469" s="79" t="str">
        <f>IF(E2469="", "", IF(COUNTIF(ChestType!$A$5:$A$195, E2469)&gt;0, VLOOKUP(E2469, ChestType!$A$5:$B$195, 2, 0), "Others"))</f>
        <v>L5 Crypt</v>
      </c>
    </row>
    <row r="2470" spans="1:6" x14ac:dyDescent="0.25">
      <c r="A2470" s="14">
        <v>46147.570833333331</v>
      </c>
      <c r="B2470" s="79" t="s">
        <v>149</v>
      </c>
      <c r="C2470" s="79" t="s">
        <v>151</v>
      </c>
      <c r="D2470" s="79" t="s">
        <v>261</v>
      </c>
      <c r="E2470" s="79" t="s">
        <v>52</v>
      </c>
      <c r="F2470" s="79" t="str">
        <f>IF(E2470="", "", IF(COUNTIF(ChestType!$A$5:$A$195, E2470)&gt;0, VLOOKUP(E2470, ChestType!$A$5:$B$195, 2, 0), "Others"))</f>
        <v>L5 Crypt</v>
      </c>
    </row>
    <row r="2471" spans="1:6" x14ac:dyDescent="0.25">
      <c r="A2471" s="14">
        <v>46147.570833333331</v>
      </c>
      <c r="B2471" s="79" t="s">
        <v>149</v>
      </c>
      <c r="C2471" s="79" t="s">
        <v>151</v>
      </c>
      <c r="D2471" s="79" t="s">
        <v>166</v>
      </c>
      <c r="E2471" s="79" t="s">
        <v>50</v>
      </c>
      <c r="F2471" s="79" t="str">
        <f>IF(E2471="", "", IF(COUNTIF(ChestType!$A$5:$A$195, E2471)&gt;0, VLOOKUP(E2471, ChestType!$A$5:$B$195, 2, 0), "Others"))</f>
        <v>L10 Crypt</v>
      </c>
    </row>
    <row r="2472" spans="1:6" x14ac:dyDescent="0.25">
      <c r="A2472" s="14">
        <v>46147.570833333331</v>
      </c>
      <c r="B2472" s="79" t="s">
        <v>149</v>
      </c>
      <c r="C2472" s="79" t="s">
        <v>192</v>
      </c>
      <c r="D2472" s="79" t="s">
        <v>261</v>
      </c>
      <c r="E2472" s="79" t="s">
        <v>60</v>
      </c>
      <c r="F2472" s="79" t="str">
        <f>IF(E2472="", "", IF(COUNTIF(ChestType!$A$5:$A$195, E2472)&gt;0, VLOOKUP(E2472, ChestType!$A$5:$B$195, 2, 0), "Others"))</f>
        <v>Others</v>
      </c>
    </row>
    <row r="2473" spans="1:6" x14ac:dyDescent="0.25">
      <c r="A2473" s="14">
        <v>46147.570833333331</v>
      </c>
      <c r="B2473" s="79" t="s">
        <v>149</v>
      </c>
      <c r="C2473" s="79" t="s">
        <v>171</v>
      </c>
      <c r="D2473" s="79" t="s">
        <v>166</v>
      </c>
      <c r="E2473" s="79" t="s">
        <v>50</v>
      </c>
      <c r="F2473" s="79" t="str">
        <f>IF(E2473="", "", IF(COUNTIF(ChestType!$A$5:$A$195, E2473)&gt;0, VLOOKUP(E2473, ChestType!$A$5:$B$195, 2, 0), "Others"))</f>
        <v>L10 Crypt</v>
      </c>
    </row>
    <row r="2474" spans="1:6" x14ac:dyDescent="0.25">
      <c r="A2474" s="14">
        <v>46147.570833333331</v>
      </c>
      <c r="B2474" s="79" t="s">
        <v>149</v>
      </c>
      <c r="C2474" s="79" t="s">
        <v>151</v>
      </c>
      <c r="D2474" s="79" t="s">
        <v>166</v>
      </c>
      <c r="E2474" s="79" t="s">
        <v>50</v>
      </c>
      <c r="F2474" s="79" t="str">
        <f>IF(E2474="", "", IF(COUNTIF(ChestType!$A$5:$A$195, E2474)&gt;0, VLOOKUP(E2474, ChestType!$A$5:$B$195, 2, 0), "Others"))</f>
        <v>L10 Crypt</v>
      </c>
    </row>
    <row r="2475" spans="1:6" x14ac:dyDescent="0.25">
      <c r="A2475" s="14">
        <v>46147.570833333331</v>
      </c>
      <c r="B2475" s="79" t="s">
        <v>149</v>
      </c>
      <c r="C2475" s="79" t="s">
        <v>184</v>
      </c>
      <c r="D2475" s="79" t="s">
        <v>166</v>
      </c>
      <c r="E2475" s="79" t="s">
        <v>50</v>
      </c>
      <c r="F2475" s="79" t="str">
        <f>IF(E2475="", "", IF(COUNTIF(ChestType!$A$5:$A$195, E2475)&gt;0, VLOOKUP(E2475, ChestType!$A$5:$B$195, 2, 0), "Others"))</f>
        <v>L10 Crypt</v>
      </c>
    </row>
    <row r="2476" spans="1:6" x14ac:dyDescent="0.25">
      <c r="A2476" s="14">
        <v>46147.570833333331</v>
      </c>
      <c r="B2476" s="79" t="s">
        <v>149</v>
      </c>
      <c r="C2476" s="79" t="s">
        <v>151</v>
      </c>
      <c r="D2476" s="79" t="s">
        <v>842</v>
      </c>
      <c r="E2476" s="79" t="s">
        <v>52</v>
      </c>
      <c r="F2476" s="79" t="str">
        <f>IF(E2476="", "", IF(COUNTIF(ChestType!$A$5:$A$195, E2476)&gt;0, VLOOKUP(E2476, ChestType!$A$5:$B$195, 2, 0), "Others"))</f>
        <v>L5 Crypt</v>
      </c>
    </row>
    <row r="2477" spans="1:6" x14ac:dyDescent="0.25">
      <c r="A2477" s="14">
        <v>46147.570833333331</v>
      </c>
      <c r="B2477" s="79" t="s">
        <v>149</v>
      </c>
      <c r="C2477" s="79" t="s">
        <v>190</v>
      </c>
      <c r="D2477" s="79" t="s">
        <v>166</v>
      </c>
      <c r="E2477" s="79" t="s">
        <v>50</v>
      </c>
      <c r="F2477" s="79" t="str">
        <f>IF(E2477="", "", IF(COUNTIF(ChestType!$A$5:$A$195, E2477)&gt;0, VLOOKUP(E2477, ChestType!$A$5:$B$195, 2, 0), "Others"))</f>
        <v>L10 Crypt</v>
      </c>
    </row>
    <row r="2478" spans="1:6" x14ac:dyDescent="0.25">
      <c r="A2478" s="14">
        <v>46147.570833333331</v>
      </c>
      <c r="B2478" s="79" t="s">
        <v>149</v>
      </c>
      <c r="C2478" s="79" t="s">
        <v>185</v>
      </c>
      <c r="D2478" s="79" t="s">
        <v>842</v>
      </c>
      <c r="E2478" s="79" t="s">
        <v>52</v>
      </c>
      <c r="F2478" s="79" t="str">
        <f>IF(E2478="", "", IF(COUNTIF(ChestType!$A$5:$A$195, E2478)&gt;0, VLOOKUP(E2478, ChestType!$A$5:$B$195, 2, 0), "Others"))</f>
        <v>L5 Crypt</v>
      </c>
    </row>
    <row r="2479" spans="1:6" x14ac:dyDescent="0.25">
      <c r="A2479" s="14">
        <v>46147.570833333331</v>
      </c>
      <c r="B2479" s="79" t="s">
        <v>149</v>
      </c>
      <c r="C2479" s="79" t="s">
        <v>185</v>
      </c>
      <c r="D2479" s="79" t="s">
        <v>166</v>
      </c>
      <c r="E2479" s="79" t="s">
        <v>50</v>
      </c>
      <c r="F2479" s="79" t="str">
        <f>IF(E2479="", "", IF(COUNTIF(ChestType!$A$5:$A$195, E2479)&gt;0, VLOOKUP(E2479, ChestType!$A$5:$B$195, 2, 0), "Others"))</f>
        <v>L10 Crypt</v>
      </c>
    </row>
    <row r="2480" spans="1:6" x14ac:dyDescent="0.25">
      <c r="A2480" s="14">
        <v>46147.570833333331</v>
      </c>
      <c r="B2480" s="79" t="s">
        <v>149</v>
      </c>
      <c r="C2480" s="79" t="s">
        <v>175</v>
      </c>
      <c r="D2480" s="79" t="s">
        <v>842</v>
      </c>
      <c r="E2480" s="79" t="s">
        <v>52</v>
      </c>
      <c r="F2480" s="79" t="str">
        <f>IF(E2480="", "", IF(COUNTIF(ChestType!$A$5:$A$195, E2480)&gt;0, VLOOKUP(E2480, ChestType!$A$5:$B$195, 2, 0), "Others"))</f>
        <v>L5 Crypt</v>
      </c>
    </row>
    <row r="2481" spans="1:6" x14ac:dyDescent="0.25">
      <c r="A2481" s="14">
        <v>46147.570833333331</v>
      </c>
      <c r="B2481" s="79" t="s">
        <v>149</v>
      </c>
      <c r="C2481" s="79" t="s">
        <v>173</v>
      </c>
      <c r="D2481" s="79" t="s">
        <v>842</v>
      </c>
      <c r="E2481" s="79" t="s">
        <v>52</v>
      </c>
      <c r="F2481" s="79" t="str">
        <f>IF(E2481="", "", IF(COUNTIF(ChestType!$A$5:$A$195, E2481)&gt;0, VLOOKUP(E2481, ChestType!$A$5:$B$195, 2, 0), "Others"))</f>
        <v>L5 Crypt</v>
      </c>
    </row>
    <row r="2482" spans="1:6" x14ac:dyDescent="0.25">
      <c r="A2482" s="14">
        <v>46147.570833333331</v>
      </c>
      <c r="B2482" s="79" t="s">
        <v>149</v>
      </c>
      <c r="C2482" s="79" t="s">
        <v>175</v>
      </c>
      <c r="D2482" s="79" t="s">
        <v>842</v>
      </c>
      <c r="E2482" s="79" t="s">
        <v>52</v>
      </c>
      <c r="F2482" s="79" t="str">
        <f>IF(E2482="", "", IF(COUNTIF(ChestType!$A$5:$A$195, E2482)&gt;0, VLOOKUP(E2482, ChestType!$A$5:$B$195, 2, 0), "Others"))</f>
        <v>L5 Crypt</v>
      </c>
    </row>
    <row r="2483" spans="1:6" x14ac:dyDescent="0.25">
      <c r="A2483" s="14">
        <v>46147.570833333331</v>
      </c>
      <c r="B2483" s="79" t="s">
        <v>149</v>
      </c>
      <c r="C2483" s="79" t="s">
        <v>173</v>
      </c>
      <c r="D2483" s="79" t="s">
        <v>166</v>
      </c>
      <c r="E2483" s="79" t="s">
        <v>50</v>
      </c>
      <c r="F2483" s="79" t="str">
        <f>IF(E2483="", "", IF(COUNTIF(ChestType!$A$5:$A$195, E2483)&gt;0, VLOOKUP(E2483, ChestType!$A$5:$B$195, 2, 0), "Others"))</f>
        <v>L10 Crypt</v>
      </c>
    </row>
    <row r="2484" spans="1:6" x14ac:dyDescent="0.25">
      <c r="A2484" s="14">
        <v>46147.570833333331</v>
      </c>
      <c r="B2484" s="79" t="s">
        <v>149</v>
      </c>
      <c r="C2484" s="79" t="s">
        <v>177</v>
      </c>
      <c r="D2484" s="79" t="s">
        <v>166</v>
      </c>
      <c r="E2484" s="79" t="s">
        <v>50</v>
      </c>
      <c r="F2484" s="79" t="str">
        <f>IF(E2484="", "", IF(COUNTIF(ChestType!$A$5:$A$195, E2484)&gt;0, VLOOKUP(E2484, ChestType!$A$5:$B$195, 2, 0), "Others"))</f>
        <v>L10 Crypt</v>
      </c>
    </row>
    <row r="2485" spans="1:6" x14ac:dyDescent="0.25">
      <c r="A2485" s="14">
        <v>46147.570833333331</v>
      </c>
      <c r="B2485" s="79" t="s">
        <v>149</v>
      </c>
      <c r="C2485" s="79" t="s">
        <v>181</v>
      </c>
      <c r="D2485" s="79" t="s">
        <v>166</v>
      </c>
      <c r="E2485" s="79" t="s">
        <v>50</v>
      </c>
      <c r="F2485" s="79" t="str">
        <f>IF(E2485="", "", IF(COUNTIF(ChestType!$A$5:$A$195, E2485)&gt;0, VLOOKUP(E2485, ChestType!$A$5:$B$195, 2, 0), "Others"))</f>
        <v>L10 Crypt</v>
      </c>
    </row>
    <row r="2486" spans="1:6" x14ac:dyDescent="0.25">
      <c r="A2486" s="14">
        <v>46147.570833333331</v>
      </c>
      <c r="B2486" s="79" t="s">
        <v>149</v>
      </c>
      <c r="C2486" s="79" t="s">
        <v>176</v>
      </c>
      <c r="D2486" s="79" t="s">
        <v>166</v>
      </c>
      <c r="E2486" s="79" t="s">
        <v>70</v>
      </c>
      <c r="F2486" s="79" t="str">
        <f>IF(E2486="", "", IF(COUNTIF(ChestType!$A$5:$A$195, E2486)&gt;0, VLOOKUP(E2486, ChestType!$A$5:$B$195, 2, 0), "Others"))</f>
        <v>L10 Citadel</v>
      </c>
    </row>
    <row r="2487" spans="1:6" x14ac:dyDescent="0.25">
      <c r="A2487" s="14">
        <v>46147.570833333331</v>
      </c>
      <c r="B2487" s="79" t="s">
        <v>149</v>
      </c>
      <c r="C2487" s="79" t="s">
        <v>151</v>
      </c>
      <c r="D2487" s="79" t="s">
        <v>166</v>
      </c>
      <c r="E2487" s="79" t="s">
        <v>50</v>
      </c>
      <c r="F2487" s="79" t="str">
        <f>IF(E2487="", "", IF(COUNTIF(ChestType!$A$5:$A$195, E2487)&gt;0, VLOOKUP(E2487, ChestType!$A$5:$B$195, 2, 0), "Others"))</f>
        <v>L10 Crypt</v>
      </c>
    </row>
    <row r="2488" spans="1:6" x14ac:dyDescent="0.25">
      <c r="A2488" s="14">
        <v>46147.570833333331</v>
      </c>
      <c r="B2488" s="79" t="s">
        <v>149</v>
      </c>
      <c r="C2488" s="79" t="s">
        <v>187</v>
      </c>
      <c r="D2488" s="79" t="s">
        <v>166</v>
      </c>
      <c r="E2488" s="79" t="s">
        <v>75</v>
      </c>
      <c r="F2488" s="79" t="str">
        <f>IF(E2488="", "", IF(COUNTIF(ChestType!$A$5:$A$195, E2488)&gt;0, VLOOKUP(E2488, ChestType!$A$5:$B$195, 2, 0), "Others"))</f>
        <v>L10 Rare Crypt</v>
      </c>
    </row>
    <row r="2489" spans="1:6" x14ac:dyDescent="0.25">
      <c r="A2489" s="14">
        <v>46147.570833333331</v>
      </c>
      <c r="B2489" s="79" t="s">
        <v>149</v>
      </c>
      <c r="C2489" s="79" t="s">
        <v>151</v>
      </c>
      <c r="D2489" s="79" t="s">
        <v>166</v>
      </c>
      <c r="E2489" s="79" t="s">
        <v>50</v>
      </c>
      <c r="F2489" s="79" t="str">
        <f>IF(E2489="", "", IF(COUNTIF(ChestType!$A$5:$A$195, E2489)&gt;0, VLOOKUP(E2489, ChestType!$A$5:$B$195, 2, 0), "Others"))</f>
        <v>L10 Crypt</v>
      </c>
    </row>
    <row r="2490" spans="1:6" x14ac:dyDescent="0.25">
      <c r="A2490" s="14">
        <v>46147.570833333331</v>
      </c>
      <c r="B2490" s="79" t="s">
        <v>149</v>
      </c>
      <c r="C2490" s="79" t="s">
        <v>183</v>
      </c>
      <c r="D2490" s="79" t="s">
        <v>261</v>
      </c>
      <c r="E2490" s="79" t="s">
        <v>52</v>
      </c>
      <c r="F2490" s="79" t="str">
        <f>IF(E2490="", "", IF(COUNTIF(ChestType!$A$5:$A$195, E2490)&gt;0, VLOOKUP(E2490, ChestType!$A$5:$B$195, 2, 0), "Others"))</f>
        <v>L5 Crypt</v>
      </c>
    </row>
    <row r="2491" spans="1:6" x14ac:dyDescent="0.25">
      <c r="A2491" s="14">
        <v>46147.570833333331</v>
      </c>
      <c r="B2491" s="79" t="s">
        <v>149</v>
      </c>
      <c r="C2491" s="79" t="s">
        <v>190</v>
      </c>
      <c r="D2491" s="79" t="s">
        <v>257</v>
      </c>
      <c r="E2491" s="79" t="s">
        <v>52</v>
      </c>
      <c r="F2491" s="79" t="str">
        <f>IF(E2491="", "", IF(COUNTIF(ChestType!$A$5:$A$195, E2491)&gt;0, VLOOKUP(E2491, ChestType!$A$5:$B$195, 2, 0), "Others"))</f>
        <v>L5 Crypt</v>
      </c>
    </row>
    <row r="2492" spans="1:6" x14ac:dyDescent="0.25">
      <c r="A2492" s="14">
        <v>46147.570833333331</v>
      </c>
      <c r="B2492" s="79" t="s">
        <v>149</v>
      </c>
      <c r="C2492" s="79" t="s">
        <v>158</v>
      </c>
      <c r="D2492" s="79" t="s">
        <v>204</v>
      </c>
      <c r="E2492" s="79" t="s">
        <v>50</v>
      </c>
      <c r="F2492" s="79" t="str">
        <f>IF(E2492="", "", IF(COUNTIF(ChestType!$A$5:$A$195, E2492)&gt;0, VLOOKUP(E2492, ChestType!$A$5:$B$195, 2, 0), "Others"))</f>
        <v>L10 Crypt</v>
      </c>
    </row>
    <row r="2493" spans="1:6" x14ac:dyDescent="0.25">
      <c r="A2493" s="14">
        <v>46147.570833333331</v>
      </c>
      <c r="B2493" s="79" t="s">
        <v>149</v>
      </c>
      <c r="C2493" s="79" t="s">
        <v>177</v>
      </c>
      <c r="D2493" s="79" t="s">
        <v>204</v>
      </c>
      <c r="E2493" s="79" t="s">
        <v>50</v>
      </c>
      <c r="F2493" s="79" t="str">
        <f>IF(E2493="", "", IF(COUNTIF(ChestType!$A$5:$A$195, E2493)&gt;0, VLOOKUP(E2493, ChestType!$A$5:$B$195, 2, 0), "Others"))</f>
        <v>L10 Crypt</v>
      </c>
    </row>
    <row r="2494" spans="1:6" x14ac:dyDescent="0.25">
      <c r="A2494" s="14">
        <v>46147.570833333331</v>
      </c>
      <c r="B2494" s="79" t="s">
        <v>149</v>
      </c>
      <c r="C2494" s="79" t="s">
        <v>182</v>
      </c>
      <c r="D2494" s="79" t="s">
        <v>204</v>
      </c>
      <c r="E2494" s="79" t="s">
        <v>49</v>
      </c>
      <c r="F2494" s="79" t="str">
        <f>IF(E2494="", "", IF(COUNTIF(ChestType!$A$5:$A$195, E2494)&gt;0, VLOOKUP(E2494, ChestType!$A$5:$B$195, 2, 0), "Others"))</f>
        <v>L15 Crypt</v>
      </c>
    </row>
    <row r="2495" spans="1:6" x14ac:dyDescent="0.25">
      <c r="A2495" s="14">
        <v>46147.570833333331</v>
      </c>
      <c r="B2495" s="79" t="s">
        <v>149</v>
      </c>
      <c r="C2495" s="79" t="s">
        <v>181</v>
      </c>
      <c r="D2495" s="79" t="s">
        <v>261</v>
      </c>
      <c r="E2495" s="79" t="s">
        <v>52</v>
      </c>
      <c r="F2495" s="79" t="str">
        <f>IF(E2495="", "", IF(COUNTIF(ChestType!$A$5:$A$195, E2495)&gt;0, VLOOKUP(E2495, ChestType!$A$5:$B$195, 2, 0), "Others"))</f>
        <v>L5 Crypt</v>
      </c>
    </row>
    <row r="2496" spans="1:6" x14ac:dyDescent="0.25">
      <c r="A2496" s="14">
        <v>46147.570833333331</v>
      </c>
      <c r="B2496" s="79" t="s">
        <v>149</v>
      </c>
      <c r="C2496" s="79" t="s">
        <v>176</v>
      </c>
      <c r="D2496" s="79" t="s">
        <v>283</v>
      </c>
      <c r="E2496" s="79" t="s">
        <v>70</v>
      </c>
      <c r="F2496" s="79" t="str">
        <f>IF(E2496="", "", IF(COUNTIF(ChestType!$A$5:$A$195, E2496)&gt;0, VLOOKUP(E2496, ChestType!$A$5:$B$195, 2, 0), "Others"))</f>
        <v>L10 Citadel</v>
      </c>
    </row>
    <row r="2497" spans="1:6" x14ac:dyDescent="0.25">
      <c r="A2497" s="14">
        <v>46147.570833333331</v>
      </c>
      <c r="B2497" s="79" t="s">
        <v>149</v>
      </c>
      <c r="C2497" s="79" t="s">
        <v>176</v>
      </c>
      <c r="D2497" s="79" t="s">
        <v>166</v>
      </c>
      <c r="E2497" s="79" t="s">
        <v>70</v>
      </c>
      <c r="F2497" s="79" t="str">
        <f>IF(E2497="", "", IF(COUNTIF(ChestType!$A$5:$A$195, E2497)&gt;0, VLOOKUP(E2497, ChestType!$A$5:$B$195, 2, 0), "Others"))</f>
        <v>L10 Citadel</v>
      </c>
    </row>
    <row r="2498" spans="1:6" x14ac:dyDescent="0.25">
      <c r="A2498" s="14">
        <v>46147.570833333331</v>
      </c>
      <c r="B2498" s="79" t="s">
        <v>149</v>
      </c>
      <c r="C2498" s="79" t="s">
        <v>173</v>
      </c>
      <c r="D2498" s="79" t="s">
        <v>231</v>
      </c>
      <c r="E2498" s="79" t="s">
        <v>50</v>
      </c>
      <c r="F2498" s="79" t="str">
        <f>IF(E2498="", "", IF(COUNTIF(ChestType!$A$5:$A$195, E2498)&gt;0, VLOOKUP(E2498, ChestType!$A$5:$B$195, 2, 0), "Others"))</f>
        <v>L10 Crypt</v>
      </c>
    </row>
    <row r="2499" spans="1:6" x14ac:dyDescent="0.25">
      <c r="A2499" s="14">
        <v>46147.570833333331</v>
      </c>
      <c r="B2499" s="79" t="s">
        <v>149</v>
      </c>
      <c r="C2499" s="79" t="s">
        <v>158</v>
      </c>
      <c r="D2499" s="79" t="s">
        <v>231</v>
      </c>
      <c r="E2499" s="79" t="s">
        <v>50</v>
      </c>
      <c r="F2499" s="79" t="str">
        <f>IF(E2499="", "", IF(COUNTIF(ChestType!$A$5:$A$195, E2499)&gt;0, VLOOKUP(E2499, ChestType!$A$5:$B$195, 2, 0), "Others"))</f>
        <v>L10 Crypt</v>
      </c>
    </row>
    <row r="2500" spans="1:6" x14ac:dyDescent="0.25">
      <c r="A2500" s="14">
        <v>46147.570833333331</v>
      </c>
      <c r="B2500" s="79" t="s">
        <v>149</v>
      </c>
      <c r="C2500" s="79" t="s">
        <v>158</v>
      </c>
      <c r="D2500" s="79" t="s">
        <v>231</v>
      </c>
      <c r="E2500" s="79" t="s">
        <v>50</v>
      </c>
      <c r="F2500" s="79" t="str">
        <f>IF(E2500="", "", IF(COUNTIF(ChestType!$A$5:$A$195, E2500)&gt;0, VLOOKUP(E2500, ChestType!$A$5:$B$195, 2, 0), "Others"))</f>
        <v>L10 Crypt</v>
      </c>
    </row>
    <row r="2501" spans="1:6" x14ac:dyDescent="0.25">
      <c r="A2501" s="14">
        <v>46147.570833333331</v>
      </c>
      <c r="B2501" s="79" t="s">
        <v>149</v>
      </c>
      <c r="C2501" s="79" t="s">
        <v>171</v>
      </c>
      <c r="D2501" s="79" t="s">
        <v>231</v>
      </c>
      <c r="E2501" s="79" t="s">
        <v>50</v>
      </c>
      <c r="F2501" s="79" t="str">
        <f>IF(E2501="", "", IF(COUNTIF(ChestType!$A$5:$A$195, E2501)&gt;0, VLOOKUP(E2501, ChestType!$A$5:$B$195, 2, 0), "Others"))</f>
        <v>L10 Crypt</v>
      </c>
    </row>
    <row r="2502" spans="1:6" x14ac:dyDescent="0.25">
      <c r="A2502" s="14">
        <v>46147.570833333331</v>
      </c>
      <c r="B2502" s="79" t="s">
        <v>149</v>
      </c>
      <c r="C2502" s="79" t="s">
        <v>185</v>
      </c>
      <c r="D2502" s="79" t="s">
        <v>179</v>
      </c>
      <c r="E2502" s="79" t="s">
        <v>50</v>
      </c>
      <c r="F2502" s="79" t="str">
        <f>IF(E2502="", "", IF(COUNTIF(ChestType!$A$5:$A$195, E2502)&gt;0, VLOOKUP(E2502, ChestType!$A$5:$B$195, 2, 0), "Others"))</f>
        <v>L10 Crypt</v>
      </c>
    </row>
    <row r="2503" spans="1:6" x14ac:dyDescent="0.25">
      <c r="A2503" s="14">
        <v>46147.570833333331</v>
      </c>
      <c r="B2503" s="79" t="s">
        <v>149</v>
      </c>
      <c r="C2503" s="79" t="s">
        <v>183</v>
      </c>
      <c r="D2503" s="79" t="s">
        <v>180</v>
      </c>
      <c r="E2503" s="79" t="s">
        <v>50</v>
      </c>
      <c r="F2503" s="79" t="str">
        <f>IF(E2503="", "", IF(COUNTIF(ChestType!$A$5:$A$195, E2503)&gt;0, VLOOKUP(E2503, ChestType!$A$5:$B$195, 2, 0), "Others"))</f>
        <v>L10 Crypt</v>
      </c>
    </row>
    <row r="2504" spans="1:6" x14ac:dyDescent="0.25">
      <c r="A2504" s="14">
        <v>46147.570833333331</v>
      </c>
      <c r="B2504" s="79" t="s">
        <v>149</v>
      </c>
      <c r="C2504" s="79" t="s">
        <v>173</v>
      </c>
      <c r="D2504" s="79" t="s">
        <v>166</v>
      </c>
      <c r="E2504" s="79" t="s">
        <v>50</v>
      </c>
      <c r="F2504" s="79" t="str">
        <f>IF(E2504="", "", IF(COUNTIF(ChestType!$A$5:$A$195, E2504)&gt;0, VLOOKUP(E2504, ChestType!$A$5:$B$195, 2, 0), "Others"))</f>
        <v>L10 Crypt</v>
      </c>
    </row>
    <row r="2505" spans="1:6" x14ac:dyDescent="0.25">
      <c r="A2505" s="14">
        <v>46147.570833333331</v>
      </c>
      <c r="B2505" s="79" t="s">
        <v>149</v>
      </c>
      <c r="C2505" s="79" t="s">
        <v>175</v>
      </c>
      <c r="D2505" s="79" t="s">
        <v>163</v>
      </c>
      <c r="E2505" s="79" t="s">
        <v>50</v>
      </c>
      <c r="F2505" s="79" t="str">
        <f>IF(E2505="", "", IF(COUNTIF(ChestType!$A$5:$A$195, E2505)&gt;0, VLOOKUP(E2505, ChestType!$A$5:$B$195, 2, 0), "Others"))</f>
        <v>L10 Crypt</v>
      </c>
    </row>
    <row r="2506" spans="1:6" x14ac:dyDescent="0.25">
      <c r="A2506" s="14">
        <v>46147.570833333331</v>
      </c>
      <c r="B2506" s="79" t="s">
        <v>149</v>
      </c>
      <c r="C2506" s="79" t="s">
        <v>173</v>
      </c>
      <c r="D2506" s="79" t="s">
        <v>166</v>
      </c>
      <c r="E2506" s="79" t="s">
        <v>49</v>
      </c>
      <c r="F2506" s="79" t="str">
        <f>IF(E2506="", "", IF(COUNTIF(ChestType!$A$5:$A$195, E2506)&gt;0, VLOOKUP(E2506, ChestType!$A$5:$B$195, 2, 0), "Others"))</f>
        <v>L15 Crypt</v>
      </c>
    </row>
    <row r="2507" spans="1:6" x14ac:dyDescent="0.25">
      <c r="A2507" s="14">
        <v>46147.570833333331</v>
      </c>
      <c r="B2507" s="79" t="s">
        <v>149</v>
      </c>
      <c r="C2507" s="79" t="s">
        <v>187</v>
      </c>
      <c r="D2507" s="79" t="s">
        <v>166</v>
      </c>
      <c r="E2507" s="79" t="s">
        <v>75</v>
      </c>
      <c r="F2507" s="79" t="str">
        <f>IF(E2507="", "", IF(COUNTIF(ChestType!$A$5:$A$195, E2507)&gt;0, VLOOKUP(E2507, ChestType!$A$5:$B$195, 2, 0), "Others"))</f>
        <v>L10 Rare Crypt</v>
      </c>
    </row>
    <row r="2508" spans="1:6" x14ac:dyDescent="0.25">
      <c r="A2508" s="14">
        <v>46147.570833333331</v>
      </c>
      <c r="B2508" s="79" t="s">
        <v>149</v>
      </c>
      <c r="C2508" s="79" t="s">
        <v>175</v>
      </c>
      <c r="D2508" s="79" t="s">
        <v>261</v>
      </c>
      <c r="E2508" s="79" t="s">
        <v>52</v>
      </c>
      <c r="F2508" s="79" t="str">
        <f>IF(E2508="", "", IF(COUNTIF(ChestType!$A$5:$A$195, E2508)&gt;0, VLOOKUP(E2508, ChestType!$A$5:$B$195, 2, 0), "Others"))</f>
        <v>L5 Crypt</v>
      </c>
    </row>
    <row r="2509" spans="1:6" x14ac:dyDescent="0.25">
      <c r="A2509" s="14">
        <v>46147.570833333331</v>
      </c>
      <c r="B2509" s="79" t="s">
        <v>149</v>
      </c>
      <c r="C2509" s="79" t="s">
        <v>173</v>
      </c>
      <c r="D2509" s="79" t="s">
        <v>179</v>
      </c>
      <c r="E2509" s="79" t="s">
        <v>50</v>
      </c>
      <c r="F2509" s="79" t="str">
        <f>IF(E2509="", "", IF(COUNTIF(ChestType!$A$5:$A$195, E2509)&gt;0, VLOOKUP(E2509, ChestType!$A$5:$B$195, 2, 0), "Others"))</f>
        <v>L10 Crypt</v>
      </c>
    </row>
    <row r="2510" spans="1:6" x14ac:dyDescent="0.25">
      <c r="A2510" s="14">
        <v>46147.570833333331</v>
      </c>
      <c r="B2510" s="79" t="s">
        <v>149</v>
      </c>
      <c r="C2510" s="79" t="s">
        <v>190</v>
      </c>
      <c r="D2510" s="79" t="s">
        <v>179</v>
      </c>
      <c r="E2510" s="79" t="s">
        <v>50</v>
      </c>
      <c r="F2510" s="79" t="str">
        <f>IF(E2510="", "", IF(COUNTIF(ChestType!$A$5:$A$195, E2510)&gt;0, VLOOKUP(E2510, ChestType!$A$5:$B$195, 2, 0), "Others"))</f>
        <v>L10 Crypt</v>
      </c>
    </row>
    <row r="2511" spans="1:6" x14ac:dyDescent="0.25">
      <c r="A2511" s="14">
        <v>46147.570833333331</v>
      </c>
      <c r="B2511" s="79" t="s">
        <v>149</v>
      </c>
      <c r="C2511" s="79" t="s">
        <v>185</v>
      </c>
      <c r="D2511" s="79" t="s">
        <v>179</v>
      </c>
      <c r="E2511" s="79" t="s">
        <v>50</v>
      </c>
      <c r="F2511" s="79" t="str">
        <f>IF(E2511="", "", IF(COUNTIF(ChestType!$A$5:$A$195, E2511)&gt;0, VLOOKUP(E2511, ChestType!$A$5:$B$195, 2, 0), "Others"))</f>
        <v>L10 Crypt</v>
      </c>
    </row>
    <row r="2512" spans="1:6" x14ac:dyDescent="0.25">
      <c r="A2512" s="14">
        <v>46147.570833333331</v>
      </c>
      <c r="B2512" s="79" t="s">
        <v>149</v>
      </c>
      <c r="C2512" s="79" t="s">
        <v>151</v>
      </c>
      <c r="D2512" s="79" t="s">
        <v>842</v>
      </c>
      <c r="E2512" s="79" t="s">
        <v>52</v>
      </c>
      <c r="F2512" s="79" t="str">
        <f>IF(E2512="", "", IF(COUNTIF(ChestType!$A$5:$A$195, E2512)&gt;0, VLOOKUP(E2512, ChestType!$A$5:$B$195, 2, 0), "Others"))</f>
        <v>L5 Crypt</v>
      </c>
    </row>
    <row r="2513" spans="1:6" x14ac:dyDescent="0.25">
      <c r="A2513" s="14">
        <v>46147.570833333331</v>
      </c>
      <c r="B2513" s="79" t="s">
        <v>149</v>
      </c>
      <c r="C2513" s="79" t="s">
        <v>184</v>
      </c>
      <c r="D2513" s="79" t="s">
        <v>842</v>
      </c>
      <c r="E2513" s="79" t="s">
        <v>52</v>
      </c>
      <c r="F2513" s="79" t="str">
        <f>IF(E2513="", "", IF(COUNTIF(ChestType!$A$5:$A$195, E2513)&gt;0, VLOOKUP(E2513, ChestType!$A$5:$B$195, 2, 0), "Others"))</f>
        <v>L5 Crypt</v>
      </c>
    </row>
    <row r="2514" spans="1:6" x14ac:dyDescent="0.25">
      <c r="A2514" s="14">
        <v>46147.570833333331</v>
      </c>
      <c r="B2514" s="79" t="s">
        <v>149</v>
      </c>
      <c r="C2514" s="79" t="s">
        <v>185</v>
      </c>
      <c r="D2514" s="79" t="s">
        <v>842</v>
      </c>
      <c r="E2514" s="79" t="s">
        <v>52</v>
      </c>
      <c r="F2514" s="79" t="str">
        <f>IF(E2514="", "", IF(COUNTIF(ChestType!$A$5:$A$195, E2514)&gt;0, VLOOKUP(E2514, ChestType!$A$5:$B$195, 2, 0), "Others"))</f>
        <v>L5 Crypt</v>
      </c>
    </row>
    <row r="2515" spans="1:6" x14ac:dyDescent="0.25">
      <c r="A2515" s="14">
        <v>46147.570833333331</v>
      </c>
      <c r="B2515" s="79" t="s">
        <v>149</v>
      </c>
      <c r="C2515" s="79" t="s">
        <v>184</v>
      </c>
      <c r="D2515" s="79" t="s">
        <v>842</v>
      </c>
      <c r="E2515" s="79" t="s">
        <v>50</v>
      </c>
      <c r="F2515" s="79" t="str">
        <f>IF(E2515="", "", IF(COUNTIF(ChestType!$A$5:$A$195, E2515)&gt;0, VLOOKUP(E2515, ChestType!$A$5:$B$195, 2, 0), "Others"))</f>
        <v>L10 Crypt</v>
      </c>
    </row>
    <row r="2516" spans="1:6" x14ac:dyDescent="0.25">
      <c r="A2516" s="14">
        <v>46147.570833333331</v>
      </c>
      <c r="B2516" s="79" t="s">
        <v>149</v>
      </c>
      <c r="C2516" s="79" t="s">
        <v>185</v>
      </c>
      <c r="D2516" s="79" t="s">
        <v>842</v>
      </c>
      <c r="E2516" s="79" t="s">
        <v>52</v>
      </c>
      <c r="F2516" s="79" t="str">
        <f>IF(E2516="", "", IF(COUNTIF(ChestType!$A$5:$A$195, E2516)&gt;0, VLOOKUP(E2516, ChestType!$A$5:$B$195, 2, 0), "Others"))</f>
        <v>L5 Crypt</v>
      </c>
    </row>
    <row r="2517" spans="1:6" x14ac:dyDescent="0.25">
      <c r="A2517" s="14">
        <v>46147.570833333331</v>
      </c>
      <c r="B2517" s="79" t="s">
        <v>149</v>
      </c>
      <c r="C2517" s="79" t="s">
        <v>175</v>
      </c>
      <c r="D2517" s="79" t="s">
        <v>258</v>
      </c>
      <c r="E2517" s="79" t="s">
        <v>52</v>
      </c>
      <c r="F2517" s="79" t="str">
        <f>IF(E2517="", "", IF(COUNTIF(ChestType!$A$5:$A$195, E2517)&gt;0, VLOOKUP(E2517, ChestType!$A$5:$B$195, 2, 0), "Others"))</f>
        <v>L5 Crypt</v>
      </c>
    </row>
    <row r="2518" spans="1:6" x14ac:dyDescent="0.25">
      <c r="A2518" s="14">
        <v>46147.570833333331</v>
      </c>
      <c r="B2518" s="79" t="s">
        <v>149</v>
      </c>
      <c r="C2518" s="79" t="s">
        <v>182</v>
      </c>
      <c r="D2518" s="79" t="s">
        <v>179</v>
      </c>
      <c r="E2518" s="79" t="s">
        <v>50</v>
      </c>
      <c r="F2518" s="79" t="str">
        <f>IF(E2518="", "", IF(COUNTIF(ChestType!$A$5:$A$195, E2518)&gt;0, VLOOKUP(E2518, ChestType!$A$5:$B$195, 2, 0), "Others"))</f>
        <v>L10 Crypt</v>
      </c>
    </row>
    <row r="2519" spans="1:6" x14ac:dyDescent="0.25">
      <c r="A2519" s="14">
        <v>46147.570833333331</v>
      </c>
      <c r="B2519" s="79" t="s">
        <v>149</v>
      </c>
      <c r="C2519" s="79" t="s">
        <v>185</v>
      </c>
      <c r="D2519" s="79" t="s">
        <v>179</v>
      </c>
      <c r="E2519" s="79" t="s">
        <v>50</v>
      </c>
      <c r="F2519" s="79" t="str">
        <f>IF(E2519="", "", IF(COUNTIF(ChestType!$A$5:$A$195, E2519)&gt;0, VLOOKUP(E2519, ChestType!$A$5:$B$195, 2, 0), "Others"))</f>
        <v>L10 Crypt</v>
      </c>
    </row>
    <row r="2520" spans="1:6" x14ac:dyDescent="0.25">
      <c r="A2520" s="14">
        <v>46147.570833333331</v>
      </c>
      <c r="B2520" s="79" t="s">
        <v>149</v>
      </c>
      <c r="C2520" s="79" t="s">
        <v>175</v>
      </c>
      <c r="D2520" s="79" t="s">
        <v>193</v>
      </c>
      <c r="E2520" s="79" t="s">
        <v>50</v>
      </c>
      <c r="F2520" s="79" t="str">
        <f>IF(E2520="", "", IF(COUNTIF(ChestType!$A$5:$A$195, E2520)&gt;0, VLOOKUP(E2520, ChestType!$A$5:$B$195, 2, 0), "Others"))</f>
        <v>L10 Crypt</v>
      </c>
    </row>
    <row r="2521" spans="1:6" x14ac:dyDescent="0.25">
      <c r="A2521" s="14">
        <v>46147.570833333331</v>
      </c>
      <c r="B2521" s="79" t="s">
        <v>149</v>
      </c>
      <c r="C2521" s="79" t="s">
        <v>184</v>
      </c>
      <c r="D2521" s="79" t="s">
        <v>842</v>
      </c>
      <c r="E2521" s="79" t="s">
        <v>52</v>
      </c>
      <c r="F2521" s="79" t="str">
        <f>IF(E2521="", "", IF(COUNTIF(ChestType!$A$5:$A$195, E2521)&gt;0, VLOOKUP(E2521, ChestType!$A$5:$B$195, 2, 0), "Others"))</f>
        <v>L5 Crypt</v>
      </c>
    </row>
    <row r="2522" spans="1:6" x14ac:dyDescent="0.25">
      <c r="A2522" s="14">
        <v>46147.570833333331</v>
      </c>
      <c r="B2522" s="79" t="s">
        <v>149</v>
      </c>
      <c r="C2522" s="79" t="s">
        <v>192</v>
      </c>
      <c r="D2522" s="79" t="s">
        <v>261</v>
      </c>
      <c r="E2522" s="79" t="s">
        <v>60</v>
      </c>
      <c r="F2522" s="79" t="str">
        <f>IF(E2522="", "", IF(COUNTIF(ChestType!$A$5:$A$195, E2522)&gt;0, VLOOKUP(E2522, ChestType!$A$5:$B$195, 2, 0), "Others"))</f>
        <v>Others</v>
      </c>
    </row>
    <row r="2523" spans="1:6" x14ac:dyDescent="0.25">
      <c r="A2523" s="14">
        <v>46147.570833333331</v>
      </c>
      <c r="B2523" s="79" t="s">
        <v>149</v>
      </c>
      <c r="C2523" s="79" t="s">
        <v>187</v>
      </c>
      <c r="D2523" s="79" t="s">
        <v>167</v>
      </c>
      <c r="E2523" s="79" t="s">
        <v>75</v>
      </c>
      <c r="F2523" s="79" t="str">
        <f>IF(E2523="", "", IF(COUNTIF(ChestType!$A$5:$A$195, E2523)&gt;0, VLOOKUP(E2523, ChestType!$A$5:$B$195, 2, 0), "Others"))</f>
        <v>L10 Rare Crypt</v>
      </c>
    </row>
    <row r="2524" spans="1:6" x14ac:dyDescent="0.25">
      <c r="A2524" s="14">
        <v>46147.570833333331</v>
      </c>
      <c r="B2524" s="79" t="s">
        <v>149</v>
      </c>
      <c r="C2524" s="79" t="s">
        <v>182</v>
      </c>
      <c r="D2524" s="79" t="s">
        <v>167</v>
      </c>
      <c r="E2524" s="79" t="s">
        <v>50</v>
      </c>
      <c r="F2524" s="79" t="str">
        <f>IF(E2524="", "", IF(COUNTIF(ChestType!$A$5:$A$195, E2524)&gt;0, VLOOKUP(E2524, ChestType!$A$5:$B$195, 2, 0), "Others"))</f>
        <v>L10 Crypt</v>
      </c>
    </row>
    <row r="2525" spans="1:6" x14ac:dyDescent="0.25">
      <c r="A2525" s="14">
        <v>46147.570833333331</v>
      </c>
      <c r="B2525" s="79" t="s">
        <v>149</v>
      </c>
      <c r="C2525" s="79" t="s">
        <v>176</v>
      </c>
      <c r="D2525" s="79" t="s">
        <v>166</v>
      </c>
      <c r="E2525" s="79" t="s">
        <v>70</v>
      </c>
      <c r="F2525" s="79" t="str">
        <f>IF(E2525="", "", IF(COUNTIF(ChestType!$A$5:$A$195, E2525)&gt;0, VLOOKUP(E2525, ChestType!$A$5:$B$195, 2, 0), "Others"))</f>
        <v>L10 Citadel</v>
      </c>
    </row>
    <row r="2526" spans="1:6" x14ac:dyDescent="0.25">
      <c r="A2526" s="14">
        <v>46147.570833333331</v>
      </c>
      <c r="B2526" s="79" t="s">
        <v>149</v>
      </c>
      <c r="C2526" s="79" t="s">
        <v>187</v>
      </c>
      <c r="D2526" s="79" t="s">
        <v>167</v>
      </c>
      <c r="E2526" s="79" t="s">
        <v>75</v>
      </c>
      <c r="F2526" s="79" t="str">
        <f>IF(E2526="", "", IF(COUNTIF(ChestType!$A$5:$A$195, E2526)&gt;0, VLOOKUP(E2526, ChestType!$A$5:$B$195, 2, 0), "Others"))</f>
        <v>L10 Rare Crypt</v>
      </c>
    </row>
    <row r="2527" spans="1:6" x14ac:dyDescent="0.25">
      <c r="A2527" s="14">
        <v>46147.570833333331</v>
      </c>
      <c r="B2527" s="79" t="s">
        <v>149</v>
      </c>
      <c r="C2527" s="79" t="s">
        <v>176</v>
      </c>
      <c r="D2527" s="79" t="s">
        <v>231</v>
      </c>
      <c r="E2527" s="79" t="s">
        <v>70</v>
      </c>
      <c r="F2527" s="79" t="str">
        <f>IF(E2527="", "", IF(COUNTIF(ChestType!$A$5:$A$195, E2527)&gt;0, VLOOKUP(E2527, ChestType!$A$5:$B$195, 2, 0), "Others"))</f>
        <v>L10 Citadel</v>
      </c>
    </row>
    <row r="2528" spans="1:6" x14ac:dyDescent="0.25">
      <c r="A2528" s="14">
        <v>46147.570833333331</v>
      </c>
      <c r="B2528" s="79" t="s">
        <v>149</v>
      </c>
      <c r="C2528" s="79" t="s">
        <v>185</v>
      </c>
      <c r="D2528" s="79" t="s">
        <v>193</v>
      </c>
      <c r="E2528" s="79" t="s">
        <v>50</v>
      </c>
      <c r="F2528" s="79" t="str">
        <f>IF(E2528="", "", IF(COUNTIF(ChestType!$A$5:$A$195, E2528)&gt;0, VLOOKUP(E2528, ChestType!$A$5:$B$195, 2, 0), "Others"))</f>
        <v>L10 Crypt</v>
      </c>
    </row>
    <row r="2529" spans="1:6" x14ac:dyDescent="0.25">
      <c r="A2529" s="14">
        <v>46147.570833333331</v>
      </c>
      <c r="B2529" s="79" t="s">
        <v>149</v>
      </c>
      <c r="C2529" s="79" t="s">
        <v>183</v>
      </c>
      <c r="D2529" s="79" t="s">
        <v>193</v>
      </c>
      <c r="E2529" s="79" t="s">
        <v>50</v>
      </c>
      <c r="F2529" s="79" t="str">
        <f>IF(E2529="", "", IF(COUNTIF(ChestType!$A$5:$A$195, E2529)&gt;0, VLOOKUP(E2529, ChestType!$A$5:$B$195, 2, 0), "Others"))</f>
        <v>L10 Crypt</v>
      </c>
    </row>
    <row r="2530" spans="1:6" x14ac:dyDescent="0.25">
      <c r="A2530" s="14">
        <v>46147.570833333331</v>
      </c>
      <c r="B2530" s="79" t="s">
        <v>149</v>
      </c>
      <c r="C2530" s="79" t="s">
        <v>176</v>
      </c>
      <c r="D2530" s="79" t="s">
        <v>231</v>
      </c>
      <c r="E2530" s="79" t="s">
        <v>63</v>
      </c>
      <c r="F2530" s="79" t="str">
        <f>IF(E2530="", "", IF(COUNTIF(ChestType!$A$5:$A$195, E2530)&gt;0, VLOOKUP(E2530, ChestType!$A$5:$B$195, 2, 0), "Others"))</f>
        <v>L15 Citadel</v>
      </c>
    </row>
    <row r="2531" spans="1:6" x14ac:dyDescent="0.25">
      <c r="A2531" s="14">
        <v>46147.570833333331</v>
      </c>
      <c r="B2531" s="79" t="s">
        <v>149</v>
      </c>
      <c r="C2531" s="79" t="s">
        <v>184</v>
      </c>
      <c r="D2531" s="79" t="s">
        <v>193</v>
      </c>
      <c r="E2531" s="79" t="s">
        <v>50</v>
      </c>
      <c r="F2531" s="79" t="str">
        <f>IF(E2531="", "", IF(COUNTIF(ChestType!$A$5:$A$195, E2531)&gt;0, VLOOKUP(E2531, ChestType!$A$5:$B$195, 2, 0), "Others"))</f>
        <v>L10 Crypt</v>
      </c>
    </row>
    <row r="2532" spans="1:6" x14ac:dyDescent="0.25">
      <c r="A2532" s="14">
        <v>46147.570833333331</v>
      </c>
      <c r="B2532" s="79" t="s">
        <v>149</v>
      </c>
      <c r="C2532" s="79" t="s">
        <v>176</v>
      </c>
      <c r="D2532" s="79" t="s">
        <v>231</v>
      </c>
      <c r="E2532" s="79" t="s">
        <v>63</v>
      </c>
      <c r="F2532" s="79" t="str">
        <f>IF(E2532="", "", IF(COUNTIF(ChestType!$A$5:$A$195, E2532)&gt;0, VLOOKUP(E2532, ChestType!$A$5:$B$195, 2, 0), "Others"))</f>
        <v>L15 Citadel</v>
      </c>
    </row>
    <row r="2533" spans="1:6" x14ac:dyDescent="0.25">
      <c r="A2533" s="14">
        <v>46147.570833333331</v>
      </c>
      <c r="B2533" s="79" t="s">
        <v>149</v>
      </c>
      <c r="C2533" s="79" t="s">
        <v>214</v>
      </c>
      <c r="D2533" s="79" t="s">
        <v>167</v>
      </c>
      <c r="E2533" s="79" t="s">
        <v>64</v>
      </c>
      <c r="F2533" s="79" t="str">
        <f>IF(E2533="", "", IF(COUNTIF(ChestType!$A$5:$A$195, E2533)&gt;0, VLOOKUP(E2533, ChestType!$A$5:$B$195, 2, 0), "Others"))</f>
        <v>L15 Epic Crypt</v>
      </c>
    </row>
    <row r="2534" spans="1:6" x14ac:dyDescent="0.25">
      <c r="A2534" s="14">
        <v>46147.570833333331</v>
      </c>
      <c r="B2534" s="79" t="s">
        <v>149</v>
      </c>
      <c r="C2534" s="79" t="s">
        <v>226</v>
      </c>
      <c r="D2534" s="79" t="s">
        <v>167</v>
      </c>
      <c r="E2534" s="79" t="s">
        <v>64</v>
      </c>
      <c r="F2534" s="79" t="str">
        <f>IF(E2534="", "", IF(COUNTIF(ChestType!$A$5:$A$195, E2534)&gt;0, VLOOKUP(E2534, ChestType!$A$5:$B$195, 2, 0), "Others"))</f>
        <v>L15 Epic Crypt</v>
      </c>
    </row>
    <row r="2535" spans="1:6" x14ac:dyDescent="0.25">
      <c r="A2535" s="14">
        <v>46147.570833333331</v>
      </c>
      <c r="B2535" s="79" t="s">
        <v>149</v>
      </c>
      <c r="C2535" s="79" t="s">
        <v>176</v>
      </c>
      <c r="D2535" s="79" t="s">
        <v>231</v>
      </c>
      <c r="E2535" s="79" t="s">
        <v>63</v>
      </c>
      <c r="F2535" s="79" t="str">
        <f>IF(E2535="", "", IF(COUNTIF(ChestType!$A$5:$A$195, E2535)&gt;0, VLOOKUP(E2535, ChestType!$A$5:$B$195, 2, 0), "Others"))</f>
        <v>L15 Citadel</v>
      </c>
    </row>
    <row r="2536" spans="1:6" x14ac:dyDescent="0.25">
      <c r="A2536" s="14">
        <v>46147.570833333331</v>
      </c>
      <c r="B2536" s="79" t="s">
        <v>149</v>
      </c>
      <c r="C2536" s="79" t="s">
        <v>173</v>
      </c>
      <c r="D2536" s="79" t="s">
        <v>258</v>
      </c>
      <c r="E2536" s="79" t="s">
        <v>52</v>
      </c>
      <c r="F2536" s="79" t="str">
        <f>IF(E2536="", "", IF(COUNTIF(ChestType!$A$5:$A$195, E2536)&gt;0, VLOOKUP(E2536, ChestType!$A$5:$B$195, 2, 0), "Others"))</f>
        <v>L5 Crypt</v>
      </c>
    </row>
    <row r="2537" spans="1:6" x14ac:dyDescent="0.25">
      <c r="A2537" s="14">
        <v>46147.570833333331</v>
      </c>
      <c r="B2537" s="79" t="s">
        <v>149</v>
      </c>
      <c r="C2537" s="79" t="s">
        <v>181</v>
      </c>
      <c r="D2537" s="79" t="s">
        <v>258</v>
      </c>
      <c r="E2537" s="79" t="s">
        <v>52</v>
      </c>
      <c r="F2537" s="79" t="str">
        <f>IF(E2537="", "", IF(COUNTIF(ChestType!$A$5:$A$195, E2537)&gt;0, VLOOKUP(E2537, ChestType!$A$5:$B$195, 2, 0), "Others"))</f>
        <v>L5 Crypt</v>
      </c>
    </row>
    <row r="2538" spans="1:6" x14ac:dyDescent="0.25">
      <c r="A2538" s="14">
        <v>46147.570833333331</v>
      </c>
      <c r="B2538" s="79" t="s">
        <v>149</v>
      </c>
      <c r="C2538" s="79" t="s">
        <v>176</v>
      </c>
      <c r="D2538" s="79" t="s">
        <v>231</v>
      </c>
      <c r="E2538" s="79" t="s">
        <v>70</v>
      </c>
      <c r="F2538" s="79" t="str">
        <f>IF(E2538="", "", IF(COUNTIF(ChestType!$A$5:$A$195, E2538)&gt;0, VLOOKUP(E2538, ChestType!$A$5:$B$195, 2, 0), "Others"))</f>
        <v>L10 Citadel</v>
      </c>
    </row>
    <row r="2539" spans="1:6" x14ac:dyDescent="0.25">
      <c r="A2539" s="14">
        <v>46147.570833333331</v>
      </c>
      <c r="B2539" s="79" t="s">
        <v>149</v>
      </c>
      <c r="C2539" s="79" t="s">
        <v>181</v>
      </c>
      <c r="D2539" s="79" t="s">
        <v>238</v>
      </c>
      <c r="E2539" s="79" t="s">
        <v>50</v>
      </c>
      <c r="F2539" s="79" t="str">
        <f>IF(E2539="", "", IF(COUNTIF(ChestType!$A$5:$A$195, E2539)&gt;0, VLOOKUP(E2539, ChestType!$A$5:$B$195, 2, 0), "Others"))</f>
        <v>L10 Crypt</v>
      </c>
    </row>
    <row r="2540" spans="1:6" x14ac:dyDescent="0.25">
      <c r="A2540" s="14">
        <v>46147.570833333331</v>
      </c>
      <c r="B2540" s="79" t="s">
        <v>149</v>
      </c>
      <c r="C2540" s="79" t="s">
        <v>175</v>
      </c>
      <c r="D2540" s="79" t="s">
        <v>842</v>
      </c>
      <c r="E2540" s="79" t="s">
        <v>50</v>
      </c>
      <c r="F2540" s="79" t="str">
        <f>IF(E2540="", "", IF(COUNTIF(ChestType!$A$5:$A$195, E2540)&gt;0, VLOOKUP(E2540, ChestType!$A$5:$B$195, 2, 0), "Others"))</f>
        <v>L10 Crypt</v>
      </c>
    </row>
    <row r="2541" spans="1:6" x14ac:dyDescent="0.25">
      <c r="A2541" s="14">
        <v>46147.570833333331</v>
      </c>
      <c r="B2541" s="79" t="s">
        <v>149</v>
      </c>
      <c r="C2541" s="79" t="s">
        <v>176</v>
      </c>
      <c r="D2541" s="79" t="s">
        <v>231</v>
      </c>
      <c r="E2541" s="79" t="s">
        <v>63</v>
      </c>
      <c r="F2541" s="79" t="str">
        <f>IF(E2541="", "", IF(COUNTIF(ChestType!$A$5:$A$195, E2541)&gt;0, VLOOKUP(E2541, ChestType!$A$5:$B$195, 2, 0), "Others"))</f>
        <v>L15 Citadel</v>
      </c>
    </row>
    <row r="2542" spans="1:6" x14ac:dyDescent="0.25">
      <c r="A2542" s="14">
        <v>46147.570833333331</v>
      </c>
      <c r="B2542" s="79" t="s">
        <v>149</v>
      </c>
      <c r="C2542" s="79" t="s">
        <v>173</v>
      </c>
      <c r="D2542" s="79" t="s">
        <v>842</v>
      </c>
      <c r="E2542" s="79" t="s">
        <v>52</v>
      </c>
      <c r="F2542" s="79" t="str">
        <f>IF(E2542="", "", IF(COUNTIF(ChestType!$A$5:$A$195, E2542)&gt;0, VLOOKUP(E2542, ChestType!$A$5:$B$195, 2, 0), "Others"))</f>
        <v>L5 Crypt</v>
      </c>
    </row>
    <row r="2543" spans="1:6" x14ac:dyDescent="0.25">
      <c r="A2543" s="14">
        <v>46147.570833333331</v>
      </c>
      <c r="B2543" s="79" t="s">
        <v>149</v>
      </c>
      <c r="C2543" s="79" t="s">
        <v>190</v>
      </c>
      <c r="D2543" s="79" t="s">
        <v>842</v>
      </c>
      <c r="E2543" s="79" t="s">
        <v>52</v>
      </c>
      <c r="F2543" s="79" t="str">
        <f>IF(E2543="", "", IF(COUNTIF(ChestType!$A$5:$A$195, E2543)&gt;0, VLOOKUP(E2543, ChestType!$A$5:$B$195, 2, 0), "Others"))</f>
        <v>L5 Crypt</v>
      </c>
    </row>
    <row r="2544" spans="1:6" x14ac:dyDescent="0.25">
      <c r="A2544" s="14">
        <v>46147.570833333331</v>
      </c>
      <c r="B2544" s="79" t="s">
        <v>149</v>
      </c>
      <c r="C2544" s="79" t="s">
        <v>181</v>
      </c>
      <c r="D2544" s="79" t="s">
        <v>842</v>
      </c>
      <c r="E2544" s="79" t="s">
        <v>52</v>
      </c>
      <c r="F2544" s="79" t="str">
        <f>IF(E2544="", "", IF(COUNTIF(ChestType!$A$5:$A$195, E2544)&gt;0, VLOOKUP(E2544, ChestType!$A$5:$B$195, 2, 0), "Others"))</f>
        <v>L5 Crypt</v>
      </c>
    </row>
    <row r="2545" spans="1:6" x14ac:dyDescent="0.25">
      <c r="A2545" s="14">
        <v>46147.570833333331</v>
      </c>
      <c r="B2545" s="79" t="s">
        <v>149</v>
      </c>
      <c r="C2545" s="79" t="s">
        <v>187</v>
      </c>
      <c r="D2545" s="79" t="s">
        <v>231</v>
      </c>
      <c r="E2545" s="79" t="s">
        <v>71</v>
      </c>
      <c r="F2545" s="79" t="str">
        <f>IF(E2545="", "", IF(COUNTIF(ChestType!$A$5:$A$195, E2545)&gt;0, VLOOKUP(E2545, ChestType!$A$5:$B$195, 2, 0), "Others"))</f>
        <v>L15 Rare Crypt</v>
      </c>
    </row>
    <row r="2546" spans="1:6" x14ac:dyDescent="0.25">
      <c r="A2546" s="14">
        <v>46147.570833333331</v>
      </c>
      <c r="B2546" s="79" t="s">
        <v>149</v>
      </c>
      <c r="C2546" s="79" t="s">
        <v>187</v>
      </c>
      <c r="D2546" s="79" t="s">
        <v>231</v>
      </c>
      <c r="E2546" s="79" t="s">
        <v>75</v>
      </c>
      <c r="F2546" s="79" t="str">
        <f>IF(E2546="", "", IF(COUNTIF(ChestType!$A$5:$A$195, E2546)&gt;0, VLOOKUP(E2546, ChestType!$A$5:$B$195, 2, 0), "Others"))</f>
        <v>L10 Rare Crypt</v>
      </c>
    </row>
    <row r="2547" spans="1:6" x14ac:dyDescent="0.25">
      <c r="A2547" s="14">
        <v>46147.570833333331</v>
      </c>
      <c r="B2547" s="79" t="s">
        <v>149</v>
      </c>
      <c r="C2547" s="79" t="s">
        <v>187</v>
      </c>
      <c r="D2547" s="79" t="s">
        <v>231</v>
      </c>
      <c r="E2547" s="79" t="s">
        <v>71</v>
      </c>
      <c r="F2547" s="79" t="str">
        <f>IF(E2547="", "", IF(COUNTIF(ChestType!$A$5:$A$195, E2547)&gt;0, VLOOKUP(E2547, ChestType!$A$5:$B$195, 2, 0), "Others"))</f>
        <v>L15 Rare Crypt</v>
      </c>
    </row>
    <row r="2548" spans="1:6" x14ac:dyDescent="0.25">
      <c r="A2548" s="14">
        <v>46147.570833333331</v>
      </c>
      <c r="B2548" s="79" t="s">
        <v>149</v>
      </c>
      <c r="C2548" s="79" t="s">
        <v>171</v>
      </c>
      <c r="D2548" s="79" t="s">
        <v>842</v>
      </c>
      <c r="E2548" s="79" t="s">
        <v>52</v>
      </c>
      <c r="F2548" s="79" t="str">
        <f>IF(E2548="", "", IF(COUNTIF(ChestType!$A$5:$A$195, E2548)&gt;0, VLOOKUP(E2548, ChestType!$A$5:$B$195, 2, 0), "Others"))</f>
        <v>L5 Crypt</v>
      </c>
    </row>
    <row r="2549" spans="1:6" x14ac:dyDescent="0.25">
      <c r="A2549" s="14">
        <v>46147.570833333331</v>
      </c>
      <c r="B2549" s="79" t="s">
        <v>149</v>
      </c>
      <c r="C2549" s="79" t="s">
        <v>187</v>
      </c>
      <c r="D2549" s="79" t="s">
        <v>231</v>
      </c>
      <c r="E2549" s="79" t="s">
        <v>71</v>
      </c>
      <c r="F2549" s="79" t="str">
        <f>IF(E2549="", "", IF(COUNTIF(ChestType!$A$5:$A$195, E2549)&gt;0, VLOOKUP(E2549, ChestType!$A$5:$B$195, 2, 0), "Others"))</f>
        <v>L15 Rare Crypt</v>
      </c>
    </row>
    <row r="2550" spans="1:6" x14ac:dyDescent="0.25">
      <c r="A2550" s="14">
        <v>46147.570833333331</v>
      </c>
      <c r="B2550" s="79" t="s">
        <v>149</v>
      </c>
      <c r="C2550" s="79" t="s">
        <v>158</v>
      </c>
      <c r="D2550" s="79" t="s">
        <v>842</v>
      </c>
      <c r="E2550" s="79" t="s">
        <v>52</v>
      </c>
      <c r="F2550" s="79" t="str">
        <f>IF(E2550="", "", IF(COUNTIF(ChestType!$A$5:$A$195, E2550)&gt;0, VLOOKUP(E2550, ChestType!$A$5:$B$195, 2, 0), "Others"))</f>
        <v>L5 Crypt</v>
      </c>
    </row>
    <row r="2551" spans="1:6" x14ac:dyDescent="0.25">
      <c r="A2551" s="14">
        <v>46147.570833333331</v>
      </c>
      <c r="B2551" s="79" t="s">
        <v>149</v>
      </c>
      <c r="C2551" s="79" t="s">
        <v>175</v>
      </c>
      <c r="D2551" s="79" t="s">
        <v>842</v>
      </c>
      <c r="E2551" s="79" t="s">
        <v>52</v>
      </c>
      <c r="F2551" s="79" t="str">
        <f>IF(E2551="", "", IF(COUNTIF(ChestType!$A$5:$A$195, E2551)&gt;0, VLOOKUP(E2551, ChestType!$A$5:$B$195, 2, 0), "Others"))</f>
        <v>L5 Crypt</v>
      </c>
    </row>
    <row r="2552" spans="1:6" x14ac:dyDescent="0.25">
      <c r="A2552" s="14">
        <v>46147.570833333331</v>
      </c>
      <c r="B2552" s="79" t="s">
        <v>149</v>
      </c>
      <c r="C2552" s="79" t="s">
        <v>177</v>
      </c>
      <c r="D2552" s="79" t="s">
        <v>842</v>
      </c>
      <c r="E2552" s="79" t="s">
        <v>52</v>
      </c>
      <c r="F2552" s="79" t="str">
        <f>IF(E2552="", "", IF(COUNTIF(ChestType!$A$5:$A$195, E2552)&gt;0, VLOOKUP(E2552, ChestType!$A$5:$B$195, 2, 0), "Others"))</f>
        <v>L5 Crypt</v>
      </c>
    </row>
    <row r="2553" spans="1:6" x14ac:dyDescent="0.25">
      <c r="A2553" s="14">
        <v>46147.570833333331</v>
      </c>
      <c r="B2553" s="79" t="s">
        <v>149</v>
      </c>
      <c r="C2553" s="79" t="s">
        <v>151</v>
      </c>
      <c r="D2553" s="79" t="s">
        <v>157</v>
      </c>
      <c r="E2553" s="79" t="s">
        <v>50</v>
      </c>
      <c r="F2553" s="79" t="str">
        <f>IF(E2553="", "", IF(COUNTIF(ChestType!$A$5:$A$195, E2553)&gt;0, VLOOKUP(E2553, ChestType!$A$5:$B$195, 2, 0), "Others"))</f>
        <v>L10 Crypt</v>
      </c>
    </row>
    <row r="2554" spans="1:6" x14ac:dyDescent="0.25">
      <c r="A2554" s="14">
        <v>46147.570833333331</v>
      </c>
      <c r="B2554" s="79" t="s">
        <v>149</v>
      </c>
      <c r="C2554" s="79" t="s">
        <v>171</v>
      </c>
      <c r="D2554" s="79" t="s">
        <v>157</v>
      </c>
      <c r="E2554" s="79" t="s">
        <v>50</v>
      </c>
      <c r="F2554" s="79" t="str">
        <f>IF(E2554="", "", IF(COUNTIF(ChestType!$A$5:$A$195, E2554)&gt;0, VLOOKUP(E2554, ChestType!$A$5:$B$195, 2, 0), "Others"))</f>
        <v>L10 Crypt</v>
      </c>
    </row>
    <row r="2555" spans="1:6" x14ac:dyDescent="0.25">
      <c r="A2555" s="14">
        <v>46147.570833333331</v>
      </c>
      <c r="B2555" s="79" t="s">
        <v>149</v>
      </c>
      <c r="C2555" s="79" t="s">
        <v>185</v>
      </c>
      <c r="D2555" s="79" t="s">
        <v>157</v>
      </c>
      <c r="E2555" s="79" t="s">
        <v>50</v>
      </c>
      <c r="F2555" s="79" t="str">
        <f>IF(E2555="", "", IF(COUNTIF(ChestType!$A$5:$A$195, E2555)&gt;0, VLOOKUP(E2555, ChestType!$A$5:$B$195, 2, 0), "Others"))</f>
        <v>L10 Crypt</v>
      </c>
    </row>
    <row r="2556" spans="1:6" x14ac:dyDescent="0.25">
      <c r="A2556" s="14">
        <v>46147.570833333331</v>
      </c>
      <c r="B2556" s="79" t="s">
        <v>149</v>
      </c>
      <c r="C2556" s="79" t="s">
        <v>181</v>
      </c>
      <c r="D2556" s="79" t="s">
        <v>236</v>
      </c>
      <c r="E2556" s="79" t="s">
        <v>49</v>
      </c>
      <c r="F2556" s="79" t="str">
        <f>IF(E2556="", "", IF(COUNTIF(ChestType!$A$5:$A$195, E2556)&gt;0, VLOOKUP(E2556, ChestType!$A$5:$B$195, 2, 0), "Others"))</f>
        <v>L15 Crypt</v>
      </c>
    </row>
    <row r="2557" spans="1:6" x14ac:dyDescent="0.25">
      <c r="A2557" s="14">
        <v>46147.570833333331</v>
      </c>
      <c r="B2557" s="79" t="s">
        <v>149</v>
      </c>
      <c r="C2557" s="79" t="s">
        <v>175</v>
      </c>
      <c r="D2557" s="79" t="s">
        <v>157</v>
      </c>
      <c r="E2557" s="79" t="s">
        <v>50</v>
      </c>
      <c r="F2557" s="79" t="str">
        <f>IF(E2557="", "", IF(COUNTIF(ChestType!$A$5:$A$195, E2557)&gt;0, VLOOKUP(E2557, ChestType!$A$5:$B$195, 2, 0), "Others"))</f>
        <v>L10 Crypt</v>
      </c>
    </row>
    <row r="2558" spans="1:6" x14ac:dyDescent="0.25">
      <c r="A2558" s="14">
        <v>46147.570833333331</v>
      </c>
      <c r="B2558" s="79" t="s">
        <v>149</v>
      </c>
      <c r="C2558" s="79" t="s">
        <v>188</v>
      </c>
      <c r="D2558" s="79" t="s">
        <v>179</v>
      </c>
      <c r="E2558" s="79" t="s">
        <v>45</v>
      </c>
      <c r="F2558" s="79" t="str">
        <f>IF(E2558="", "", IF(COUNTIF(ChestType!$A$5:$A$195, E2558)&gt;0, VLOOKUP(E2558, ChestType!$A$5:$B$195, 2, 0), "Others"))</f>
        <v>Others</v>
      </c>
    </row>
    <row r="2559" spans="1:6" x14ac:dyDescent="0.25">
      <c r="A2559" s="14">
        <v>46147.570833333331</v>
      </c>
      <c r="B2559" s="79" t="s">
        <v>149</v>
      </c>
      <c r="C2559" s="79" t="s">
        <v>189</v>
      </c>
      <c r="D2559" s="79" t="s">
        <v>179</v>
      </c>
      <c r="E2559" s="79" t="s">
        <v>45</v>
      </c>
      <c r="F2559" s="79" t="str">
        <f>IF(E2559="", "", IF(COUNTIF(ChestType!$A$5:$A$195, E2559)&gt;0, VLOOKUP(E2559, ChestType!$A$5:$B$195, 2, 0), "Others"))</f>
        <v>Others</v>
      </c>
    </row>
    <row r="2560" spans="1:6" x14ac:dyDescent="0.25">
      <c r="A2560" s="14">
        <v>46147.570833333331</v>
      </c>
      <c r="B2560" s="79" t="s">
        <v>149</v>
      </c>
      <c r="C2560" s="79" t="s">
        <v>239</v>
      </c>
      <c r="D2560" s="79" t="s">
        <v>179</v>
      </c>
      <c r="E2560" s="79" t="s">
        <v>45</v>
      </c>
      <c r="F2560" s="79" t="str">
        <f>IF(E2560="", "", IF(COUNTIF(ChestType!$A$5:$A$195, E2560)&gt;0, VLOOKUP(E2560, ChestType!$A$5:$B$195, 2, 0), "Others"))</f>
        <v>Others</v>
      </c>
    </row>
    <row r="2561" spans="1:6" x14ac:dyDescent="0.25">
      <c r="A2561" s="14">
        <v>46147.570833333331</v>
      </c>
      <c r="B2561" s="79" t="s">
        <v>149</v>
      </c>
      <c r="C2561" s="79" t="s">
        <v>171</v>
      </c>
      <c r="D2561" s="79" t="s">
        <v>261</v>
      </c>
      <c r="E2561" s="79" t="s">
        <v>52</v>
      </c>
      <c r="F2561" s="79" t="str">
        <f>IF(E2561="", "", IF(COUNTIF(ChestType!$A$5:$A$195, E2561)&gt;0, VLOOKUP(E2561, ChestType!$A$5:$B$195, 2, 0), "Others"))</f>
        <v>L5 Crypt</v>
      </c>
    </row>
    <row r="2562" spans="1:6" x14ac:dyDescent="0.25">
      <c r="A2562" s="14">
        <v>46147.570833333331</v>
      </c>
      <c r="B2562" s="79" t="s">
        <v>149</v>
      </c>
      <c r="C2562" s="79" t="s">
        <v>151</v>
      </c>
      <c r="D2562" s="79" t="s">
        <v>179</v>
      </c>
      <c r="E2562" s="79" t="s">
        <v>50</v>
      </c>
      <c r="F2562" s="79" t="str">
        <f>IF(E2562="", "", IF(COUNTIF(ChestType!$A$5:$A$195, E2562)&gt;0, VLOOKUP(E2562, ChestType!$A$5:$B$195, 2, 0), "Others"))</f>
        <v>L10 Crypt</v>
      </c>
    </row>
    <row r="2563" spans="1:6" x14ac:dyDescent="0.25">
      <c r="A2563" s="14">
        <v>46147.570833333331</v>
      </c>
      <c r="B2563" s="79" t="s">
        <v>149</v>
      </c>
      <c r="C2563" s="79" t="s">
        <v>171</v>
      </c>
      <c r="D2563" s="79" t="s">
        <v>842</v>
      </c>
      <c r="E2563" s="79" t="s">
        <v>52</v>
      </c>
      <c r="F2563" s="79" t="str">
        <f>IF(E2563="", "", IF(COUNTIF(ChestType!$A$5:$A$195, E2563)&gt;0, VLOOKUP(E2563, ChestType!$A$5:$B$195, 2, 0), "Others"))</f>
        <v>L5 Crypt</v>
      </c>
    </row>
    <row r="2564" spans="1:6" x14ac:dyDescent="0.25">
      <c r="A2564" s="14">
        <v>46147.570833333331</v>
      </c>
      <c r="B2564" s="79" t="s">
        <v>149</v>
      </c>
      <c r="C2564" s="79" t="s">
        <v>175</v>
      </c>
      <c r="D2564" s="79" t="s">
        <v>842</v>
      </c>
      <c r="E2564" s="79" t="s">
        <v>52</v>
      </c>
      <c r="F2564" s="79" t="str">
        <f>IF(E2564="", "", IF(COUNTIF(ChestType!$A$5:$A$195, E2564)&gt;0, VLOOKUP(E2564, ChestType!$A$5:$B$195, 2, 0), "Others"))</f>
        <v>L5 Crypt</v>
      </c>
    </row>
    <row r="2565" spans="1:6" x14ac:dyDescent="0.25">
      <c r="A2565" s="14">
        <v>46147.570833333331</v>
      </c>
      <c r="B2565" s="79" t="s">
        <v>149</v>
      </c>
      <c r="C2565" s="79" t="s">
        <v>182</v>
      </c>
      <c r="D2565" s="79" t="s">
        <v>842</v>
      </c>
      <c r="E2565" s="79" t="s">
        <v>50</v>
      </c>
      <c r="F2565" s="79" t="str">
        <f>IF(E2565="", "", IF(COUNTIF(ChestType!$A$5:$A$195, E2565)&gt;0, VLOOKUP(E2565, ChestType!$A$5:$B$195, 2, 0), "Others"))</f>
        <v>L10 Crypt</v>
      </c>
    </row>
    <row r="2566" spans="1:6" x14ac:dyDescent="0.25">
      <c r="A2566" s="14">
        <v>46147.570833333331</v>
      </c>
      <c r="B2566" s="79" t="s">
        <v>149</v>
      </c>
      <c r="C2566" s="79" t="s">
        <v>175</v>
      </c>
      <c r="D2566" s="79" t="s">
        <v>266</v>
      </c>
      <c r="E2566" s="79" t="s">
        <v>52</v>
      </c>
      <c r="F2566" s="79" t="str">
        <f>IF(E2566="", "", IF(COUNTIF(ChestType!$A$5:$A$195, E2566)&gt;0, VLOOKUP(E2566, ChestType!$A$5:$B$195, 2, 0), "Others"))</f>
        <v>L5 Crypt</v>
      </c>
    </row>
    <row r="2567" spans="1:6" x14ac:dyDescent="0.25">
      <c r="A2567" s="14">
        <v>46147.570833333331</v>
      </c>
      <c r="B2567" s="79" t="s">
        <v>149</v>
      </c>
      <c r="C2567" s="79" t="s">
        <v>185</v>
      </c>
      <c r="D2567" s="79" t="s">
        <v>193</v>
      </c>
      <c r="E2567" s="79" t="s">
        <v>50</v>
      </c>
      <c r="F2567" s="79" t="str">
        <f>IF(E2567="", "", IF(COUNTIF(ChestType!$A$5:$A$195, E2567)&gt;0, VLOOKUP(E2567, ChestType!$A$5:$B$195, 2, 0), "Others"))</f>
        <v>L10 Crypt</v>
      </c>
    </row>
    <row r="2568" spans="1:6" x14ac:dyDescent="0.25">
      <c r="A2568" s="14">
        <v>46147.570833333331</v>
      </c>
      <c r="B2568" s="79" t="s">
        <v>149</v>
      </c>
      <c r="C2568" s="79" t="s">
        <v>184</v>
      </c>
      <c r="D2568" s="79" t="s">
        <v>193</v>
      </c>
      <c r="E2568" s="79" t="s">
        <v>50</v>
      </c>
      <c r="F2568" s="79" t="str">
        <f>IF(E2568="", "", IF(COUNTIF(ChestType!$A$5:$A$195, E2568)&gt;0, VLOOKUP(E2568, ChestType!$A$5:$B$195, 2, 0), "Others"))</f>
        <v>L10 Crypt</v>
      </c>
    </row>
    <row r="2569" spans="1:6" x14ac:dyDescent="0.25">
      <c r="A2569" s="14">
        <v>46147.570833333331</v>
      </c>
      <c r="B2569" s="79" t="s">
        <v>149</v>
      </c>
      <c r="C2569" s="79" t="s">
        <v>175</v>
      </c>
      <c r="D2569" s="79" t="s">
        <v>193</v>
      </c>
      <c r="E2569" s="79" t="s">
        <v>50</v>
      </c>
      <c r="F2569" s="79" t="str">
        <f>IF(E2569="", "", IF(COUNTIF(ChestType!$A$5:$A$195, E2569)&gt;0, VLOOKUP(E2569, ChestType!$A$5:$B$195, 2, 0), "Others"))</f>
        <v>L10 Crypt</v>
      </c>
    </row>
    <row r="2570" spans="1:6" x14ac:dyDescent="0.25">
      <c r="A2570" s="14">
        <v>46147.570833333331</v>
      </c>
      <c r="B2570" s="79" t="s">
        <v>149</v>
      </c>
      <c r="C2570" s="79" t="s">
        <v>183</v>
      </c>
      <c r="D2570" s="79" t="s">
        <v>193</v>
      </c>
      <c r="E2570" s="79" t="s">
        <v>50</v>
      </c>
      <c r="F2570" s="79" t="str">
        <f>IF(E2570="", "", IF(COUNTIF(ChestType!$A$5:$A$195, E2570)&gt;0, VLOOKUP(E2570, ChestType!$A$5:$B$195, 2, 0), "Others"))</f>
        <v>L10 Crypt</v>
      </c>
    </row>
    <row r="2571" spans="1:6" x14ac:dyDescent="0.25">
      <c r="A2571" s="14">
        <v>46147.570833333331</v>
      </c>
      <c r="B2571" s="79" t="s">
        <v>149</v>
      </c>
      <c r="C2571" s="79" t="s">
        <v>158</v>
      </c>
      <c r="D2571" s="79" t="s">
        <v>555</v>
      </c>
      <c r="E2571" s="79" t="s">
        <v>52</v>
      </c>
      <c r="F2571" s="79" t="str">
        <f>IF(E2571="", "", IF(COUNTIF(ChestType!$A$5:$A$195, E2571)&gt;0, VLOOKUP(E2571, ChestType!$A$5:$B$195, 2, 0), "Others"))</f>
        <v>L5 Crypt</v>
      </c>
    </row>
    <row r="2572" spans="1:6" x14ac:dyDescent="0.25">
      <c r="A2572" s="14">
        <v>46147.570833333331</v>
      </c>
      <c r="B2572" s="79" t="s">
        <v>149</v>
      </c>
      <c r="C2572" s="79" t="s">
        <v>190</v>
      </c>
      <c r="D2572" s="79" t="s">
        <v>555</v>
      </c>
      <c r="E2572" s="79" t="s">
        <v>50</v>
      </c>
      <c r="F2572" s="79" t="str">
        <f>IF(E2572="", "", IF(COUNTIF(ChestType!$A$5:$A$195, E2572)&gt;0, VLOOKUP(E2572, ChestType!$A$5:$B$195, 2, 0), "Others"))</f>
        <v>L10 Crypt</v>
      </c>
    </row>
    <row r="2573" spans="1:6" x14ac:dyDescent="0.25">
      <c r="A2573" s="14">
        <v>46147.570833333331</v>
      </c>
      <c r="B2573" s="79" t="s">
        <v>149</v>
      </c>
      <c r="C2573" s="79" t="s">
        <v>175</v>
      </c>
      <c r="D2573" s="79" t="s">
        <v>555</v>
      </c>
      <c r="E2573" s="79" t="s">
        <v>52</v>
      </c>
      <c r="F2573" s="79" t="str">
        <f>IF(E2573="", "", IF(COUNTIF(ChestType!$A$5:$A$195, E2573)&gt;0, VLOOKUP(E2573, ChestType!$A$5:$B$195, 2, 0), "Others"))</f>
        <v>L5 Crypt</v>
      </c>
    </row>
    <row r="2574" spans="1:6" x14ac:dyDescent="0.25">
      <c r="A2574" s="14">
        <v>46147.570833333331</v>
      </c>
      <c r="B2574" s="79" t="s">
        <v>149</v>
      </c>
      <c r="C2574" s="79" t="s">
        <v>185</v>
      </c>
      <c r="D2574" s="79" t="s">
        <v>259</v>
      </c>
      <c r="E2574" s="79" t="s">
        <v>50</v>
      </c>
      <c r="F2574" s="79" t="str">
        <f>IF(E2574="", "", IF(COUNTIF(ChestType!$A$5:$A$195, E2574)&gt;0, VLOOKUP(E2574, ChestType!$A$5:$B$195, 2, 0), "Others"))</f>
        <v>L10 Crypt</v>
      </c>
    </row>
    <row r="2575" spans="1:6" x14ac:dyDescent="0.25">
      <c r="A2575" s="14">
        <v>46147.570833333331</v>
      </c>
      <c r="B2575" s="79" t="s">
        <v>149</v>
      </c>
      <c r="C2575" s="79" t="s">
        <v>184</v>
      </c>
      <c r="D2575" s="79" t="s">
        <v>259</v>
      </c>
      <c r="E2575" s="79" t="s">
        <v>50</v>
      </c>
      <c r="F2575" s="79" t="str">
        <f>IF(E2575="", "", IF(COUNTIF(ChestType!$A$5:$A$195, E2575)&gt;0, VLOOKUP(E2575, ChestType!$A$5:$B$195, 2, 0), "Others"))</f>
        <v>L10 Crypt</v>
      </c>
    </row>
    <row r="2576" spans="1:6" x14ac:dyDescent="0.25">
      <c r="A2576" s="14">
        <v>46147.570833333331</v>
      </c>
      <c r="B2576" s="79" t="s">
        <v>149</v>
      </c>
      <c r="C2576" s="79" t="s">
        <v>181</v>
      </c>
      <c r="D2576" s="79" t="s">
        <v>221</v>
      </c>
      <c r="E2576" s="79" t="s">
        <v>52</v>
      </c>
      <c r="F2576" s="79" t="str">
        <f>IF(E2576="", "", IF(COUNTIF(ChestType!$A$5:$A$195, E2576)&gt;0, VLOOKUP(E2576, ChestType!$A$5:$B$195, 2, 0), "Others"))</f>
        <v>L5 Crypt</v>
      </c>
    </row>
    <row r="2577" spans="1:6" x14ac:dyDescent="0.25">
      <c r="A2577" s="14">
        <v>46147.570833333331</v>
      </c>
      <c r="B2577" s="79" t="s">
        <v>149</v>
      </c>
      <c r="C2577" s="79" t="s">
        <v>176</v>
      </c>
      <c r="D2577" s="79" t="s">
        <v>156</v>
      </c>
      <c r="E2577" s="79" t="s">
        <v>70</v>
      </c>
      <c r="F2577" s="79" t="str">
        <f>IF(E2577="", "", IF(COUNTIF(ChestType!$A$5:$A$195, E2577)&gt;0, VLOOKUP(E2577, ChestType!$A$5:$B$195, 2, 0), "Others"))</f>
        <v>L10 Citadel</v>
      </c>
    </row>
    <row r="2578" spans="1:6" x14ac:dyDescent="0.25">
      <c r="A2578" s="14">
        <v>46147.570833333331</v>
      </c>
      <c r="B2578" s="79" t="s">
        <v>149</v>
      </c>
      <c r="C2578" s="79" t="s">
        <v>175</v>
      </c>
      <c r="D2578" s="79" t="s">
        <v>258</v>
      </c>
      <c r="E2578" s="79" t="s">
        <v>52</v>
      </c>
      <c r="F2578" s="79" t="str">
        <f>IF(E2578="", "", IF(COUNTIF(ChestType!$A$5:$A$195, E2578)&gt;0, VLOOKUP(E2578, ChestType!$A$5:$B$195, 2, 0), "Others"))</f>
        <v>L5 Crypt</v>
      </c>
    </row>
    <row r="2579" spans="1:6" x14ac:dyDescent="0.25">
      <c r="A2579" s="14">
        <v>46147.570833333331</v>
      </c>
      <c r="B2579" s="79" t="s">
        <v>195</v>
      </c>
      <c r="C2579" s="79" t="s">
        <v>198</v>
      </c>
      <c r="D2579" s="79" t="s">
        <v>261</v>
      </c>
      <c r="E2579" s="79" t="s">
        <v>24</v>
      </c>
      <c r="F2579" s="79" t="str">
        <f>IF(E2579="", "", IF(COUNTIF(ChestType!$A$5:$A$195, E2579)&gt;0, VLOOKUP(E2579, ChestType!$A$5:$B$195, 2, 0), "Others"))</f>
        <v>Bank</v>
      </c>
    </row>
    <row r="2580" spans="1:6" x14ac:dyDescent="0.25">
      <c r="A2580" s="14">
        <v>46147.570833333331</v>
      </c>
      <c r="B2580" s="79" t="s">
        <v>195</v>
      </c>
      <c r="C2580" s="79" t="s">
        <v>198</v>
      </c>
      <c r="D2580" s="79" t="s">
        <v>261</v>
      </c>
      <c r="E2580" s="79" t="s">
        <v>24</v>
      </c>
      <c r="F2580" s="79" t="str">
        <f>IF(E2580="", "", IF(COUNTIF(ChestType!$A$5:$A$195, E2580)&gt;0, VLOOKUP(E2580, ChestType!$A$5:$B$195, 2, 0), "Others"))</f>
        <v>Bank</v>
      </c>
    </row>
    <row r="2581" spans="1:6" x14ac:dyDescent="0.25">
      <c r="A2581" s="14">
        <v>46147.570833333331</v>
      </c>
      <c r="B2581" s="79" t="s">
        <v>195</v>
      </c>
      <c r="C2581" s="79" t="s">
        <v>198</v>
      </c>
      <c r="D2581" s="79" t="s">
        <v>261</v>
      </c>
      <c r="E2581" s="79" t="s">
        <v>24</v>
      </c>
      <c r="F2581" s="79" t="str">
        <f>IF(E2581="", "", IF(COUNTIF(ChestType!$A$5:$A$195, E2581)&gt;0, VLOOKUP(E2581, ChestType!$A$5:$B$195, 2, 0), "Others"))</f>
        <v>Bank</v>
      </c>
    </row>
    <row r="2582" spans="1:6" x14ac:dyDescent="0.25">
      <c r="A2582" s="14">
        <v>46147.570833333331</v>
      </c>
      <c r="B2582" s="79" t="s">
        <v>195</v>
      </c>
      <c r="C2582" s="79" t="s">
        <v>198</v>
      </c>
      <c r="D2582" s="79" t="s">
        <v>231</v>
      </c>
      <c r="E2582" s="79" t="s">
        <v>24</v>
      </c>
      <c r="F2582" s="79" t="str">
        <f>IF(E2582="", "", IF(COUNTIF(ChestType!$A$5:$A$195, E2582)&gt;0, VLOOKUP(E2582, ChestType!$A$5:$B$195, 2, 0), "Others"))</f>
        <v>Bank</v>
      </c>
    </row>
    <row r="2583" spans="1:6" x14ac:dyDescent="0.25">
      <c r="A2583" s="14">
        <v>46147.570833333331</v>
      </c>
      <c r="B2583" s="79" t="s">
        <v>195</v>
      </c>
      <c r="C2583" s="79" t="s">
        <v>198</v>
      </c>
      <c r="D2583" s="79" t="s">
        <v>231</v>
      </c>
      <c r="E2583" s="79" t="s">
        <v>24</v>
      </c>
      <c r="F2583" s="79" t="str">
        <f>IF(E2583="", "", IF(COUNTIF(ChestType!$A$5:$A$195, E2583)&gt;0, VLOOKUP(E2583, ChestType!$A$5:$B$195, 2, 0), "Others"))</f>
        <v>Bank</v>
      </c>
    </row>
    <row r="2584" spans="1:6" x14ac:dyDescent="0.25">
      <c r="A2584" s="14">
        <v>46147.570833333331</v>
      </c>
      <c r="B2584" s="79" t="s">
        <v>195</v>
      </c>
      <c r="C2584" s="79" t="s">
        <v>198</v>
      </c>
      <c r="D2584" s="79" t="s">
        <v>231</v>
      </c>
      <c r="E2584" s="79" t="s">
        <v>24</v>
      </c>
      <c r="F2584" s="79" t="str">
        <f>IF(E2584="", "", IF(COUNTIF(ChestType!$A$5:$A$195, E2584)&gt;0, VLOOKUP(E2584, ChestType!$A$5:$B$195, 2, 0), "Others"))</f>
        <v>Bank</v>
      </c>
    </row>
    <row r="2585" spans="1:6" x14ac:dyDescent="0.25">
      <c r="A2585" s="14">
        <v>46147.570833333331</v>
      </c>
      <c r="B2585" s="79" t="s">
        <v>195</v>
      </c>
      <c r="C2585" s="79" t="s">
        <v>196</v>
      </c>
      <c r="D2585" s="79" t="s">
        <v>162</v>
      </c>
      <c r="E2585" s="79" t="s">
        <v>24</v>
      </c>
      <c r="F2585" s="79" t="str">
        <f>IF(E2585="", "", IF(COUNTIF(ChestType!$A$5:$A$195, E2585)&gt;0, VLOOKUP(E2585, ChestType!$A$5:$B$195, 2, 0), "Others"))</f>
        <v>Bank</v>
      </c>
    </row>
    <row r="2586" spans="1:6" x14ac:dyDescent="0.25">
      <c r="A2586" s="14">
        <v>46147.570833333331</v>
      </c>
      <c r="B2586" s="79" t="s">
        <v>195</v>
      </c>
      <c r="C2586" s="79" t="s">
        <v>196</v>
      </c>
      <c r="D2586" s="79" t="s">
        <v>162</v>
      </c>
      <c r="E2586" s="79" t="s">
        <v>24</v>
      </c>
      <c r="F2586" s="79" t="str">
        <f>IF(E2586="", "", IF(COUNTIF(ChestType!$A$5:$A$195, E2586)&gt;0, VLOOKUP(E2586, ChestType!$A$5:$B$195, 2, 0), "Others"))</f>
        <v>Bank</v>
      </c>
    </row>
    <row r="2587" spans="1:6" x14ac:dyDescent="0.25">
      <c r="A2587" s="14">
        <v>46147.570833333331</v>
      </c>
      <c r="B2587" s="79" t="s">
        <v>195</v>
      </c>
      <c r="C2587" s="79" t="s">
        <v>196</v>
      </c>
      <c r="D2587" s="79" t="s">
        <v>162</v>
      </c>
      <c r="E2587" s="79" t="s">
        <v>24</v>
      </c>
      <c r="F2587" s="79" t="str">
        <f>IF(E2587="", "", IF(COUNTIF(ChestType!$A$5:$A$195, E2587)&gt;0, VLOOKUP(E2587, ChestType!$A$5:$B$195, 2, 0), "Others"))</f>
        <v>Bank</v>
      </c>
    </row>
    <row r="2588" spans="1:6" x14ac:dyDescent="0.25">
      <c r="A2588" s="14">
        <v>46147.570833333331</v>
      </c>
      <c r="B2588" s="79" t="s">
        <v>195</v>
      </c>
      <c r="C2588" s="79" t="s">
        <v>196</v>
      </c>
      <c r="D2588" s="79" t="s">
        <v>231</v>
      </c>
      <c r="E2588" s="79" t="s">
        <v>24</v>
      </c>
      <c r="F2588" s="79" t="str">
        <f>IF(E2588="", "", IF(COUNTIF(ChestType!$A$5:$A$195, E2588)&gt;0, VLOOKUP(E2588, ChestType!$A$5:$B$195, 2, 0), "Others"))</f>
        <v>Bank</v>
      </c>
    </row>
    <row r="2589" spans="1:6" x14ac:dyDescent="0.25">
      <c r="A2589" s="14">
        <v>46147.570833333331</v>
      </c>
      <c r="B2589" s="79" t="s">
        <v>195</v>
      </c>
      <c r="C2589" s="79" t="s">
        <v>196</v>
      </c>
      <c r="D2589" s="79" t="s">
        <v>231</v>
      </c>
      <c r="E2589" s="79" t="s">
        <v>24</v>
      </c>
      <c r="F2589" s="79" t="str">
        <f>IF(E2589="", "", IF(COUNTIF(ChestType!$A$5:$A$195, E2589)&gt;0, VLOOKUP(E2589, ChestType!$A$5:$B$195, 2, 0), "Others"))</f>
        <v>Bank</v>
      </c>
    </row>
    <row r="2590" spans="1:6" x14ac:dyDescent="0.25">
      <c r="A2590" s="14">
        <v>46147.570833333331</v>
      </c>
      <c r="B2590" s="79" t="s">
        <v>195</v>
      </c>
      <c r="C2590" s="79" t="s">
        <v>196</v>
      </c>
      <c r="D2590" s="79" t="s">
        <v>231</v>
      </c>
      <c r="E2590" s="79" t="s">
        <v>24</v>
      </c>
      <c r="F2590" s="79" t="str">
        <f>IF(E2590="", "", IF(COUNTIF(ChestType!$A$5:$A$195, E2590)&gt;0, VLOOKUP(E2590, ChestType!$A$5:$B$195, 2, 0), "Others"))</f>
        <v>Bank</v>
      </c>
    </row>
    <row r="2591" spans="1:6" x14ac:dyDescent="0.25">
      <c r="A2591" s="14">
        <v>46147.570833333331</v>
      </c>
      <c r="B2591" s="79" t="s">
        <v>195</v>
      </c>
      <c r="C2591" s="79" t="s">
        <v>198</v>
      </c>
      <c r="D2591" s="79" t="s">
        <v>162</v>
      </c>
      <c r="E2591" s="79" t="s">
        <v>24</v>
      </c>
      <c r="F2591" s="79" t="str">
        <f>IF(E2591="", "", IF(COUNTIF(ChestType!$A$5:$A$195, E2591)&gt;0, VLOOKUP(E2591, ChestType!$A$5:$B$195, 2, 0), "Others"))</f>
        <v>Bank</v>
      </c>
    </row>
    <row r="2592" spans="1:6" x14ac:dyDescent="0.25">
      <c r="A2592" s="14">
        <v>46147.570833333331</v>
      </c>
      <c r="B2592" s="79" t="s">
        <v>195</v>
      </c>
      <c r="C2592" s="79" t="s">
        <v>198</v>
      </c>
      <c r="D2592" s="79" t="s">
        <v>162</v>
      </c>
      <c r="E2592" s="79" t="s">
        <v>24</v>
      </c>
      <c r="F2592" s="79" t="str">
        <f>IF(E2592="", "", IF(COUNTIF(ChestType!$A$5:$A$195, E2592)&gt;0, VLOOKUP(E2592, ChestType!$A$5:$B$195, 2, 0), "Others"))</f>
        <v>Bank</v>
      </c>
    </row>
    <row r="2593" spans="1:6" x14ac:dyDescent="0.25">
      <c r="A2593" s="14">
        <v>46147.570833333331</v>
      </c>
      <c r="B2593" s="79" t="s">
        <v>195</v>
      </c>
      <c r="C2593" s="79" t="s">
        <v>198</v>
      </c>
      <c r="D2593" s="79" t="s">
        <v>162</v>
      </c>
      <c r="E2593" s="79" t="s">
        <v>24</v>
      </c>
      <c r="F2593" s="79" t="str">
        <f>IF(E2593="", "", IF(COUNTIF(ChestType!$A$5:$A$195, E2593)&gt;0, VLOOKUP(E2593, ChestType!$A$5:$B$195, 2, 0), "Others"))</f>
        <v>Bank</v>
      </c>
    </row>
    <row r="2594" spans="1:6" x14ac:dyDescent="0.25">
      <c r="A2594" s="14">
        <v>46147.570833333331</v>
      </c>
      <c r="B2594" s="79" t="s">
        <v>195</v>
      </c>
      <c r="C2594" s="79" t="s">
        <v>197</v>
      </c>
      <c r="D2594" s="79" t="s">
        <v>162</v>
      </c>
      <c r="E2594" s="79" t="s">
        <v>24</v>
      </c>
      <c r="F2594" s="79" t="str">
        <f>IF(E2594="", "", IF(COUNTIF(ChestType!$A$5:$A$195, E2594)&gt;0, VLOOKUP(E2594, ChestType!$A$5:$B$195, 2, 0), "Others"))</f>
        <v>Bank</v>
      </c>
    </row>
    <row r="2595" spans="1:6" x14ac:dyDescent="0.25">
      <c r="A2595" s="14">
        <v>46147.570833333331</v>
      </c>
      <c r="B2595" s="79" t="s">
        <v>195</v>
      </c>
      <c r="C2595" s="79" t="s">
        <v>197</v>
      </c>
      <c r="D2595" s="79" t="s">
        <v>162</v>
      </c>
      <c r="E2595" s="79" t="s">
        <v>24</v>
      </c>
      <c r="F2595" s="79" t="str">
        <f>IF(E2595="", "", IF(COUNTIF(ChestType!$A$5:$A$195, E2595)&gt;0, VLOOKUP(E2595, ChestType!$A$5:$B$195, 2, 0), "Others"))</f>
        <v>Bank</v>
      </c>
    </row>
    <row r="2596" spans="1:6" x14ac:dyDescent="0.25">
      <c r="A2596" s="14">
        <v>46147.570833333331</v>
      </c>
      <c r="B2596" s="79" t="s">
        <v>195</v>
      </c>
      <c r="C2596" s="79" t="s">
        <v>197</v>
      </c>
      <c r="D2596" s="79" t="s">
        <v>162</v>
      </c>
      <c r="E2596" s="79" t="s">
        <v>24</v>
      </c>
      <c r="F2596" s="79" t="str">
        <f>IF(E2596="", "", IF(COUNTIF(ChestType!$A$5:$A$195, E2596)&gt;0, VLOOKUP(E2596, ChestType!$A$5:$B$195, 2, 0), "Others"))</f>
        <v>Bank</v>
      </c>
    </row>
    <row r="2597" spans="1:6" x14ac:dyDescent="0.25">
      <c r="A2597" s="14">
        <v>46147.570833333331</v>
      </c>
      <c r="B2597" s="79" t="s">
        <v>195</v>
      </c>
      <c r="C2597" s="79" t="s">
        <v>198</v>
      </c>
      <c r="D2597" s="79" t="s">
        <v>162</v>
      </c>
      <c r="E2597" s="79" t="s">
        <v>24</v>
      </c>
      <c r="F2597" s="79" t="str">
        <f>IF(E2597="", "", IF(COUNTIF(ChestType!$A$5:$A$195, E2597)&gt;0, VLOOKUP(E2597, ChestType!$A$5:$B$195, 2, 0), "Others"))</f>
        <v>Bank</v>
      </c>
    </row>
    <row r="2598" spans="1:6" x14ac:dyDescent="0.25">
      <c r="A2598" s="14">
        <v>46147.570833333331</v>
      </c>
      <c r="B2598" s="79" t="s">
        <v>195</v>
      </c>
      <c r="C2598" s="79" t="s">
        <v>198</v>
      </c>
      <c r="D2598" s="79" t="s">
        <v>162</v>
      </c>
      <c r="E2598" s="79" t="s">
        <v>24</v>
      </c>
      <c r="F2598" s="79" t="str">
        <f>IF(E2598="", "", IF(COUNTIF(ChestType!$A$5:$A$195, E2598)&gt;0, VLOOKUP(E2598, ChestType!$A$5:$B$195, 2, 0), "Others"))</f>
        <v>Bank</v>
      </c>
    </row>
    <row r="2599" spans="1:6" x14ac:dyDescent="0.25">
      <c r="A2599" s="14">
        <v>46147.570833333331</v>
      </c>
      <c r="B2599" s="79" t="s">
        <v>195</v>
      </c>
      <c r="C2599" s="79" t="s">
        <v>198</v>
      </c>
      <c r="D2599" s="79" t="s">
        <v>162</v>
      </c>
      <c r="E2599" s="79" t="s">
        <v>24</v>
      </c>
      <c r="F2599" s="79" t="str">
        <f>IF(E2599="", "", IF(COUNTIF(ChestType!$A$5:$A$195, E2599)&gt;0, VLOOKUP(E2599, ChestType!$A$5:$B$195, 2, 0), "Others"))</f>
        <v>Bank</v>
      </c>
    </row>
    <row r="2600" spans="1:6" x14ac:dyDescent="0.25">
      <c r="A2600" s="14">
        <v>46147.570833333331</v>
      </c>
      <c r="B2600" s="79" t="s">
        <v>195</v>
      </c>
      <c r="C2600" s="79" t="s">
        <v>197</v>
      </c>
      <c r="D2600" s="79" t="s">
        <v>162</v>
      </c>
      <c r="E2600" s="79" t="s">
        <v>24</v>
      </c>
      <c r="F2600" s="79" t="str">
        <f>IF(E2600="", "", IF(COUNTIF(ChestType!$A$5:$A$195, E2600)&gt;0, VLOOKUP(E2600, ChestType!$A$5:$B$195, 2, 0), "Others"))</f>
        <v>Bank</v>
      </c>
    </row>
    <row r="2601" spans="1:6" x14ac:dyDescent="0.25">
      <c r="A2601" s="14">
        <v>46147.570833333331</v>
      </c>
      <c r="B2601" s="79" t="s">
        <v>195</v>
      </c>
      <c r="C2601" s="79" t="s">
        <v>197</v>
      </c>
      <c r="D2601" s="79" t="s">
        <v>162</v>
      </c>
      <c r="E2601" s="79" t="s">
        <v>24</v>
      </c>
      <c r="F2601" s="79" t="str">
        <f>IF(E2601="", "", IF(COUNTIF(ChestType!$A$5:$A$195, E2601)&gt;0, VLOOKUP(E2601, ChestType!$A$5:$B$195, 2, 0), "Others"))</f>
        <v>Bank</v>
      </c>
    </row>
    <row r="2602" spans="1:6" x14ac:dyDescent="0.25">
      <c r="A2602" s="14">
        <v>46147.570833333331</v>
      </c>
      <c r="B2602" s="79" t="s">
        <v>195</v>
      </c>
      <c r="C2602" s="79" t="s">
        <v>197</v>
      </c>
      <c r="D2602" s="79" t="s">
        <v>162</v>
      </c>
      <c r="E2602" s="79" t="s">
        <v>24</v>
      </c>
      <c r="F2602" s="79" t="str">
        <f>IF(E2602="", "", IF(COUNTIF(ChestType!$A$5:$A$195, E2602)&gt;0, VLOOKUP(E2602, ChestType!$A$5:$B$195, 2, 0), "Others"))</f>
        <v>Bank</v>
      </c>
    </row>
    <row r="2603" spans="1:6" x14ac:dyDescent="0.25">
      <c r="A2603" s="14">
        <v>46147.570833333331</v>
      </c>
      <c r="B2603" s="79" t="s">
        <v>195</v>
      </c>
      <c r="C2603" s="79" t="s">
        <v>209</v>
      </c>
      <c r="D2603" s="79" t="s">
        <v>162</v>
      </c>
      <c r="E2603" s="79" t="s">
        <v>24</v>
      </c>
      <c r="F2603" s="79" t="str">
        <f>IF(E2603="", "", IF(COUNTIF(ChestType!$A$5:$A$195, E2603)&gt;0, VLOOKUP(E2603, ChestType!$A$5:$B$195, 2, 0), "Others"))</f>
        <v>Bank</v>
      </c>
    </row>
    <row r="2604" spans="1:6" x14ac:dyDescent="0.25">
      <c r="A2604" s="14">
        <v>46147.570833333331</v>
      </c>
      <c r="B2604" s="79" t="s">
        <v>195</v>
      </c>
      <c r="C2604" s="79" t="s">
        <v>209</v>
      </c>
      <c r="D2604" s="79" t="s">
        <v>162</v>
      </c>
      <c r="E2604" s="79" t="s">
        <v>24</v>
      </c>
      <c r="F2604" s="79" t="str">
        <f>IF(E2604="", "", IF(COUNTIF(ChestType!$A$5:$A$195, E2604)&gt;0, VLOOKUP(E2604, ChestType!$A$5:$B$195, 2, 0), "Others"))</f>
        <v>Bank</v>
      </c>
    </row>
    <row r="2605" spans="1:6" x14ac:dyDescent="0.25">
      <c r="A2605" s="14">
        <v>46147.570833333331</v>
      </c>
      <c r="B2605" s="79" t="s">
        <v>195</v>
      </c>
      <c r="C2605" s="79" t="s">
        <v>209</v>
      </c>
      <c r="D2605" s="79" t="s">
        <v>162</v>
      </c>
      <c r="E2605" s="79" t="s">
        <v>24</v>
      </c>
      <c r="F2605" s="79" t="str">
        <f>IF(E2605="", "", IF(COUNTIF(ChestType!$A$5:$A$195, E2605)&gt;0, VLOOKUP(E2605, ChestType!$A$5:$B$195, 2, 0), "Others"))</f>
        <v>Bank</v>
      </c>
    </row>
    <row r="2606" spans="1:6" x14ac:dyDescent="0.25">
      <c r="A2606" s="14">
        <v>46147.570833333331</v>
      </c>
      <c r="B2606" s="79" t="s">
        <v>195</v>
      </c>
      <c r="C2606" s="79" t="s">
        <v>198</v>
      </c>
      <c r="D2606" s="79" t="s">
        <v>193</v>
      </c>
      <c r="E2606" s="79" t="s">
        <v>24</v>
      </c>
      <c r="F2606" s="79" t="str">
        <f>IF(E2606="", "", IF(COUNTIF(ChestType!$A$5:$A$195, E2606)&gt;0, VLOOKUP(E2606, ChestType!$A$5:$B$195, 2, 0), "Others"))</f>
        <v>Bank</v>
      </c>
    </row>
    <row r="2607" spans="1:6" x14ac:dyDescent="0.25">
      <c r="A2607" s="14">
        <v>46147.570833333331</v>
      </c>
      <c r="B2607" s="79" t="s">
        <v>195</v>
      </c>
      <c r="C2607" s="79" t="s">
        <v>198</v>
      </c>
      <c r="D2607" s="79" t="s">
        <v>193</v>
      </c>
      <c r="E2607" s="79" t="s">
        <v>24</v>
      </c>
      <c r="F2607" s="79" t="str">
        <f>IF(E2607="", "", IF(COUNTIF(ChestType!$A$5:$A$195, E2607)&gt;0, VLOOKUP(E2607, ChestType!$A$5:$B$195, 2, 0), "Others"))</f>
        <v>Bank</v>
      </c>
    </row>
    <row r="2608" spans="1:6" x14ac:dyDescent="0.25">
      <c r="A2608" s="14">
        <v>46147.570833333331</v>
      </c>
      <c r="B2608" s="79" t="s">
        <v>195</v>
      </c>
      <c r="C2608" s="79" t="s">
        <v>198</v>
      </c>
      <c r="D2608" s="79" t="s">
        <v>193</v>
      </c>
      <c r="E2608" s="79" t="s">
        <v>24</v>
      </c>
      <c r="F2608" s="79" t="str">
        <f>IF(E2608="", "", IF(COUNTIF(ChestType!$A$5:$A$195, E2608)&gt;0, VLOOKUP(E2608, ChestType!$A$5:$B$195, 2, 0), "Others"))</f>
        <v>Bank</v>
      </c>
    </row>
    <row r="2609" spans="1:6" x14ac:dyDescent="0.25">
      <c r="A2609" s="14">
        <v>46147.570833333331</v>
      </c>
      <c r="B2609" s="79" t="s">
        <v>195</v>
      </c>
      <c r="C2609" s="79" t="s">
        <v>196</v>
      </c>
      <c r="D2609" s="79" t="s">
        <v>229</v>
      </c>
      <c r="E2609" s="79" t="s">
        <v>24</v>
      </c>
      <c r="F2609" s="79" t="str">
        <f>IF(E2609="", "", IF(COUNTIF(ChestType!$A$5:$A$195, E2609)&gt;0, VLOOKUP(E2609, ChestType!$A$5:$B$195, 2, 0), "Others"))</f>
        <v>Bank</v>
      </c>
    </row>
    <row r="2610" spans="1:6" x14ac:dyDescent="0.25">
      <c r="A2610" s="14">
        <v>46147.570833333331</v>
      </c>
      <c r="B2610" s="79" t="s">
        <v>195</v>
      </c>
      <c r="C2610" s="79" t="s">
        <v>196</v>
      </c>
      <c r="D2610" s="79" t="s">
        <v>229</v>
      </c>
      <c r="E2610" s="79" t="s">
        <v>24</v>
      </c>
      <c r="F2610" s="79" t="str">
        <f>IF(E2610="", "", IF(COUNTIF(ChestType!$A$5:$A$195, E2610)&gt;0, VLOOKUP(E2610, ChestType!$A$5:$B$195, 2, 0), "Others"))</f>
        <v>Bank</v>
      </c>
    </row>
    <row r="2611" spans="1:6" x14ac:dyDescent="0.25">
      <c r="A2611" s="14">
        <v>46147.570833333331</v>
      </c>
      <c r="B2611" s="79" t="s">
        <v>195</v>
      </c>
      <c r="C2611" s="79" t="s">
        <v>196</v>
      </c>
      <c r="D2611" s="79" t="s">
        <v>229</v>
      </c>
      <c r="E2611" s="79" t="s">
        <v>24</v>
      </c>
      <c r="F2611" s="79" t="str">
        <f>IF(E2611="", "", IF(COUNTIF(ChestType!$A$5:$A$195, E2611)&gt;0, VLOOKUP(E2611, ChestType!$A$5:$B$195, 2, 0), "Others"))</f>
        <v>Bank</v>
      </c>
    </row>
    <row r="2612" spans="1:6" x14ac:dyDescent="0.25">
      <c r="A2612" s="14">
        <v>46147.781944444447</v>
      </c>
      <c r="B2612" s="79" t="s">
        <v>149</v>
      </c>
      <c r="C2612" s="79" t="s">
        <v>184</v>
      </c>
      <c r="D2612" s="79" t="s">
        <v>231</v>
      </c>
      <c r="E2612" s="79" t="s">
        <v>52</v>
      </c>
      <c r="F2612" s="79" t="str">
        <f>IF(E2612="", "", IF(COUNTIF(ChestType!$A$5:$A$195, E2612)&gt;0, VLOOKUP(E2612, ChestType!$A$5:$B$195, 2, 0), "Others"))</f>
        <v>L5 Crypt</v>
      </c>
    </row>
    <row r="2613" spans="1:6" x14ac:dyDescent="0.25">
      <c r="A2613" s="14">
        <v>46147.781944444447</v>
      </c>
      <c r="B2613" s="79" t="s">
        <v>149</v>
      </c>
      <c r="C2613" s="79" t="s">
        <v>183</v>
      </c>
      <c r="D2613" s="79" t="s">
        <v>842</v>
      </c>
      <c r="E2613" s="79" t="s">
        <v>52</v>
      </c>
      <c r="F2613" s="79" t="str">
        <f>IF(E2613="", "", IF(COUNTIF(ChestType!$A$5:$A$195, E2613)&gt;0, VLOOKUP(E2613, ChestType!$A$5:$B$195, 2, 0), "Others"))</f>
        <v>L5 Crypt</v>
      </c>
    </row>
    <row r="2614" spans="1:6" x14ac:dyDescent="0.25">
      <c r="A2614" s="14">
        <v>46147.781944444447</v>
      </c>
      <c r="B2614" s="79" t="s">
        <v>149</v>
      </c>
      <c r="C2614" s="79" t="s">
        <v>171</v>
      </c>
      <c r="D2614" s="79" t="s">
        <v>252</v>
      </c>
      <c r="E2614" s="79" t="s">
        <v>50</v>
      </c>
      <c r="F2614" s="79" t="str">
        <f>IF(E2614="", "", IF(COUNTIF(ChestType!$A$5:$A$195, E2614)&gt;0, VLOOKUP(E2614, ChestType!$A$5:$B$195, 2, 0), "Others"))</f>
        <v>L10 Crypt</v>
      </c>
    </row>
    <row r="2615" spans="1:6" x14ac:dyDescent="0.25">
      <c r="A2615" s="14">
        <v>46147.781944444447</v>
      </c>
      <c r="B2615" s="79" t="s">
        <v>149</v>
      </c>
      <c r="C2615" s="79" t="s">
        <v>182</v>
      </c>
      <c r="D2615" s="79" t="s">
        <v>842</v>
      </c>
      <c r="E2615" s="79" t="s">
        <v>50</v>
      </c>
      <c r="F2615" s="79" t="str">
        <f>IF(E2615="", "", IF(COUNTIF(ChestType!$A$5:$A$195, E2615)&gt;0, VLOOKUP(E2615, ChestType!$A$5:$B$195, 2, 0), "Others"))</f>
        <v>L10 Crypt</v>
      </c>
    </row>
    <row r="2616" spans="1:6" x14ac:dyDescent="0.25">
      <c r="A2616" s="14">
        <v>46147.781944444447</v>
      </c>
      <c r="B2616" s="79" t="s">
        <v>149</v>
      </c>
      <c r="C2616" s="79" t="s">
        <v>184</v>
      </c>
      <c r="D2616" s="79" t="s">
        <v>231</v>
      </c>
      <c r="E2616" s="79" t="s">
        <v>50</v>
      </c>
      <c r="F2616" s="79" t="str">
        <f>IF(E2616="", "", IF(COUNTIF(ChestType!$A$5:$A$195, E2616)&gt;0, VLOOKUP(E2616, ChestType!$A$5:$B$195, 2, 0), "Others"))</f>
        <v>L10 Crypt</v>
      </c>
    </row>
    <row r="2617" spans="1:6" x14ac:dyDescent="0.25">
      <c r="A2617" s="14">
        <v>46147.781944444447</v>
      </c>
      <c r="B2617" s="79" t="s">
        <v>149</v>
      </c>
      <c r="C2617" s="79" t="s">
        <v>184</v>
      </c>
      <c r="D2617" s="79" t="s">
        <v>283</v>
      </c>
      <c r="E2617" s="79" t="s">
        <v>50</v>
      </c>
      <c r="F2617" s="79" t="str">
        <f>IF(E2617="", "", IF(COUNTIF(ChestType!$A$5:$A$195, E2617)&gt;0, VLOOKUP(E2617, ChestType!$A$5:$B$195, 2, 0), "Others"))</f>
        <v>L10 Crypt</v>
      </c>
    </row>
    <row r="2618" spans="1:6" x14ac:dyDescent="0.25">
      <c r="A2618" s="14">
        <v>46147.781944444447</v>
      </c>
      <c r="B2618" s="79" t="s">
        <v>149</v>
      </c>
      <c r="C2618" s="79" t="s">
        <v>158</v>
      </c>
      <c r="D2618" s="79" t="s">
        <v>231</v>
      </c>
      <c r="E2618" s="79" t="s">
        <v>50</v>
      </c>
      <c r="F2618" s="79" t="str">
        <f>IF(E2618="", "", IF(COUNTIF(ChestType!$A$5:$A$195, E2618)&gt;0, VLOOKUP(E2618, ChestType!$A$5:$B$195, 2, 0), "Others"))</f>
        <v>L10 Crypt</v>
      </c>
    </row>
    <row r="2619" spans="1:6" x14ac:dyDescent="0.25">
      <c r="A2619" s="14">
        <v>46147.781944444447</v>
      </c>
      <c r="B2619" s="79" t="s">
        <v>149</v>
      </c>
      <c r="C2619" s="79" t="s">
        <v>843</v>
      </c>
      <c r="D2619" s="79" t="s">
        <v>162</v>
      </c>
      <c r="E2619" s="79" t="s">
        <v>844</v>
      </c>
      <c r="F2619" s="79" t="str">
        <f>IF(E2619="", "", IF(COUNTIF(ChestType!$A$5:$A$195, E2619)&gt;0, VLOOKUP(E2619, ChestType!$A$5:$B$195, 2, 0), "Others"))</f>
        <v>Others</v>
      </c>
    </row>
    <row r="2620" spans="1:6" x14ac:dyDescent="0.25">
      <c r="A2620" s="14">
        <v>46147.781944444447</v>
      </c>
      <c r="B2620" s="79" t="s">
        <v>149</v>
      </c>
      <c r="C2620" s="79" t="s">
        <v>220</v>
      </c>
      <c r="D2620" s="79" t="s">
        <v>201</v>
      </c>
      <c r="E2620" s="79" t="s">
        <v>64</v>
      </c>
      <c r="F2620" s="79" t="str">
        <f>IF(E2620="", "", IF(COUNTIF(ChestType!$A$5:$A$195, E2620)&gt;0, VLOOKUP(E2620, ChestType!$A$5:$B$195, 2, 0), "Others"))</f>
        <v>L15 Epic Crypt</v>
      </c>
    </row>
    <row r="2621" spans="1:6" x14ac:dyDescent="0.25">
      <c r="A2621" s="14">
        <v>46147.781944444447</v>
      </c>
      <c r="B2621" s="79" t="s">
        <v>149</v>
      </c>
      <c r="C2621" s="79" t="s">
        <v>184</v>
      </c>
      <c r="D2621" s="79" t="s">
        <v>268</v>
      </c>
      <c r="E2621" s="79" t="s">
        <v>50</v>
      </c>
      <c r="F2621" s="79" t="str">
        <f>IF(E2621="", "", IF(COUNTIF(ChestType!$A$5:$A$195, E2621)&gt;0, VLOOKUP(E2621, ChestType!$A$5:$B$195, 2, 0), "Others"))</f>
        <v>L10 Crypt</v>
      </c>
    </row>
    <row r="2622" spans="1:6" x14ac:dyDescent="0.25">
      <c r="A2622" s="14">
        <v>46147.781944444447</v>
      </c>
      <c r="B2622" s="79" t="s">
        <v>149</v>
      </c>
      <c r="C2622" s="79" t="s">
        <v>158</v>
      </c>
      <c r="D2622" s="79" t="s">
        <v>258</v>
      </c>
      <c r="E2622" s="79" t="s">
        <v>52</v>
      </c>
      <c r="F2622" s="79" t="str">
        <f>IF(E2622="", "", IF(COUNTIF(ChestType!$A$5:$A$195, E2622)&gt;0, VLOOKUP(E2622, ChestType!$A$5:$B$195, 2, 0), "Others"))</f>
        <v>L5 Crypt</v>
      </c>
    </row>
    <row r="2623" spans="1:6" x14ac:dyDescent="0.25">
      <c r="A2623" s="14">
        <v>46147.781944444447</v>
      </c>
      <c r="B2623" s="79" t="s">
        <v>149</v>
      </c>
      <c r="C2623" s="79" t="s">
        <v>173</v>
      </c>
      <c r="D2623" s="79" t="s">
        <v>161</v>
      </c>
      <c r="E2623" s="79" t="s">
        <v>50</v>
      </c>
      <c r="F2623" s="79" t="str">
        <f>IF(E2623="", "", IF(COUNTIF(ChestType!$A$5:$A$195, E2623)&gt;0, VLOOKUP(E2623, ChestType!$A$5:$B$195, 2, 0), "Others"))</f>
        <v>L10 Crypt</v>
      </c>
    </row>
    <row r="2624" spans="1:6" x14ac:dyDescent="0.25">
      <c r="A2624" s="14">
        <v>46147.781944444447</v>
      </c>
      <c r="B2624" s="79" t="s">
        <v>149</v>
      </c>
      <c r="C2624" s="79" t="s">
        <v>190</v>
      </c>
      <c r="D2624" s="79" t="s">
        <v>268</v>
      </c>
      <c r="E2624" s="79" t="s">
        <v>50</v>
      </c>
      <c r="F2624" s="79" t="str">
        <f>IF(E2624="", "", IF(COUNTIF(ChestType!$A$5:$A$195, E2624)&gt;0, VLOOKUP(E2624, ChestType!$A$5:$B$195, 2, 0), "Others"))</f>
        <v>L10 Crypt</v>
      </c>
    </row>
    <row r="2625" spans="1:6" x14ac:dyDescent="0.25">
      <c r="A2625" s="14">
        <v>46147.781944444447</v>
      </c>
      <c r="B2625" s="79" t="s">
        <v>149</v>
      </c>
      <c r="C2625" s="79" t="s">
        <v>176</v>
      </c>
      <c r="D2625" s="79" t="s">
        <v>269</v>
      </c>
      <c r="E2625" s="79" t="s">
        <v>70</v>
      </c>
      <c r="F2625" s="79" t="str">
        <f>IF(E2625="", "", IF(COUNTIF(ChestType!$A$5:$A$195, E2625)&gt;0, VLOOKUP(E2625, ChestType!$A$5:$B$195, 2, 0), "Others"))</f>
        <v>L10 Citadel</v>
      </c>
    </row>
    <row r="2626" spans="1:6" x14ac:dyDescent="0.25">
      <c r="A2626" s="14">
        <v>46147.781944444447</v>
      </c>
      <c r="B2626" s="79" t="s">
        <v>149</v>
      </c>
      <c r="C2626" s="79" t="s">
        <v>177</v>
      </c>
      <c r="D2626" s="79" t="s">
        <v>240</v>
      </c>
      <c r="E2626" s="79" t="s">
        <v>52</v>
      </c>
      <c r="F2626" s="79" t="str">
        <f>IF(E2626="", "", IF(COUNTIF(ChestType!$A$5:$A$195, E2626)&gt;0, VLOOKUP(E2626, ChestType!$A$5:$B$195, 2, 0), "Others"))</f>
        <v>L5 Crypt</v>
      </c>
    </row>
    <row r="2627" spans="1:6" x14ac:dyDescent="0.25">
      <c r="A2627" s="14">
        <v>46147.781944444447</v>
      </c>
      <c r="B2627" s="79" t="s">
        <v>149</v>
      </c>
      <c r="C2627" s="79" t="s">
        <v>190</v>
      </c>
      <c r="D2627" s="79" t="s">
        <v>205</v>
      </c>
      <c r="E2627" s="79" t="s">
        <v>50</v>
      </c>
      <c r="F2627" s="79" t="str">
        <f>IF(E2627="", "", IF(COUNTIF(ChestType!$A$5:$A$195, E2627)&gt;0, VLOOKUP(E2627, ChestType!$A$5:$B$195, 2, 0), "Others"))</f>
        <v>L10 Crypt</v>
      </c>
    </row>
    <row r="2628" spans="1:6" x14ac:dyDescent="0.25">
      <c r="A2628" s="14">
        <v>46147.781944444447</v>
      </c>
      <c r="B2628" s="79" t="s">
        <v>149</v>
      </c>
      <c r="C2628" s="79" t="s">
        <v>181</v>
      </c>
      <c r="D2628" s="79" t="s">
        <v>259</v>
      </c>
      <c r="E2628" s="79" t="s">
        <v>52</v>
      </c>
      <c r="F2628" s="79" t="str">
        <f>IF(E2628="", "", IF(COUNTIF(ChestType!$A$5:$A$195, E2628)&gt;0, VLOOKUP(E2628, ChestType!$A$5:$B$195, 2, 0), "Others"))</f>
        <v>L5 Crypt</v>
      </c>
    </row>
    <row r="2629" spans="1:6" x14ac:dyDescent="0.25">
      <c r="A2629" s="14">
        <v>46147.781944444447</v>
      </c>
      <c r="B2629" s="79" t="s">
        <v>149</v>
      </c>
      <c r="C2629" s="79" t="s">
        <v>192</v>
      </c>
      <c r="D2629" s="79" t="s">
        <v>266</v>
      </c>
      <c r="E2629" s="79" t="s">
        <v>60</v>
      </c>
      <c r="F2629" s="79" t="str">
        <f>IF(E2629="", "", IF(COUNTIF(ChestType!$A$5:$A$195, E2629)&gt;0, VLOOKUP(E2629, ChestType!$A$5:$B$195, 2, 0), "Others"))</f>
        <v>Others</v>
      </c>
    </row>
    <row r="2630" spans="1:6" x14ac:dyDescent="0.25">
      <c r="A2630" s="14">
        <v>46147.781944444447</v>
      </c>
      <c r="B2630" s="79" t="s">
        <v>149</v>
      </c>
      <c r="C2630" s="79" t="s">
        <v>173</v>
      </c>
      <c r="D2630" s="79" t="s">
        <v>180</v>
      </c>
      <c r="E2630" s="79" t="s">
        <v>49</v>
      </c>
      <c r="F2630" s="79" t="str">
        <f>IF(E2630="", "", IF(COUNTIF(ChestType!$A$5:$A$195, E2630)&gt;0, VLOOKUP(E2630, ChestType!$A$5:$B$195, 2, 0), "Others"))</f>
        <v>L15 Crypt</v>
      </c>
    </row>
    <row r="2631" spans="1:6" x14ac:dyDescent="0.25">
      <c r="A2631" s="14">
        <v>46147.781944444447</v>
      </c>
      <c r="B2631" s="79" t="s">
        <v>149</v>
      </c>
      <c r="C2631" s="79" t="s">
        <v>845</v>
      </c>
      <c r="D2631" s="79" t="s">
        <v>162</v>
      </c>
      <c r="E2631" s="79" t="s">
        <v>846</v>
      </c>
      <c r="F2631" s="79" t="str">
        <f>IF(E2631="", "", IF(COUNTIF(ChestType!$A$5:$A$195, E2631)&gt;0, VLOOKUP(E2631, ChestType!$A$5:$B$195, 2, 0), "Others"))</f>
        <v>Others</v>
      </c>
    </row>
    <row r="2632" spans="1:6" x14ac:dyDescent="0.25">
      <c r="A2632" s="14">
        <v>46147.781944444447</v>
      </c>
      <c r="B2632" s="79" t="s">
        <v>149</v>
      </c>
      <c r="C2632" s="79" t="s">
        <v>845</v>
      </c>
      <c r="D2632" s="79" t="s">
        <v>157</v>
      </c>
      <c r="E2632" s="79" t="s">
        <v>846</v>
      </c>
      <c r="F2632" s="79" t="str">
        <f>IF(E2632="", "", IF(COUNTIF(ChestType!$A$5:$A$195, E2632)&gt;0, VLOOKUP(E2632, ChestType!$A$5:$B$195, 2, 0), "Others"))</f>
        <v>Others</v>
      </c>
    </row>
    <row r="2633" spans="1:6" x14ac:dyDescent="0.25">
      <c r="A2633" s="14">
        <v>46147.781944444447</v>
      </c>
      <c r="B2633" s="79" t="s">
        <v>149</v>
      </c>
      <c r="C2633" s="79" t="s">
        <v>184</v>
      </c>
      <c r="D2633" s="79" t="s">
        <v>267</v>
      </c>
      <c r="E2633" s="79" t="s">
        <v>52</v>
      </c>
      <c r="F2633" s="79" t="str">
        <f>IF(E2633="", "", IF(COUNTIF(ChestType!$A$5:$A$195, E2633)&gt;0, VLOOKUP(E2633, ChestType!$A$5:$B$195, 2, 0), "Others"))</f>
        <v>L5 Crypt</v>
      </c>
    </row>
    <row r="2634" spans="1:6" x14ac:dyDescent="0.25">
      <c r="A2634" s="14">
        <v>46147.781944444447</v>
      </c>
      <c r="B2634" s="79" t="s">
        <v>149</v>
      </c>
      <c r="C2634" s="79" t="s">
        <v>158</v>
      </c>
      <c r="D2634" s="79" t="s">
        <v>267</v>
      </c>
      <c r="E2634" s="79" t="s">
        <v>52</v>
      </c>
      <c r="F2634" s="79" t="str">
        <f>IF(E2634="", "", IF(COUNTIF(ChestType!$A$5:$A$195, E2634)&gt;0, VLOOKUP(E2634, ChestType!$A$5:$B$195, 2, 0), "Others"))</f>
        <v>L5 Crypt</v>
      </c>
    </row>
    <row r="2635" spans="1:6" x14ac:dyDescent="0.25">
      <c r="A2635" s="14">
        <v>46147.781944444447</v>
      </c>
      <c r="B2635" s="79" t="s">
        <v>149</v>
      </c>
      <c r="C2635" s="79" t="s">
        <v>843</v>
      </c>
      <c r="D2635" s="79" t="s">
        <v>162</v>
      </c>
      <c r="E2635" s="79" t="s">
        <v>847</v>
      </c>
      <c r="F2635" s="79" t="str">
        <f>IF(E2635="", "", IF(COUNTIF(ChestType!$A$5:$A$195, E2635)&gt;0, VLOOKUP(E2635, ChestType!$A$5:$B$195, 2, 0), "Others"))</f>
        <v>Others</v>
      </c>
    </row>
    <row r="2636" spans="1:6" x14ac:dyDescent="0.25">
      <c r="A2636" s="14">
        <v>46147.781944444447</v>
      </c>
      <c r="B2636" s="79" t="s">
        <v>149</v>
      </c>
      <c r="C2636" s="79" t="s">
        <v>171</v>
      </c>
      <c r="D2636" s="79" t="s">
        <v>267</v>
      </c>
      <c r="E2636" s="79" t="s">
        <v>52</v>
      </c>
      <c r="F2636" s="79" t="str">
        <f>IF(E2636="", "", IF(COUNTIF(ChestType!$A$5:$A$195, E2636)&gt;0, VLOOKUP(E2636, ChestType!$A$5:$B$195, 2, 0), "Others"))</f>
        <v>L5 Crypt</v>
      </c>
    </row>
    <row r="2637" spans="1:6" x14ac:dyDescent="0.25">
      <c r="A2637" s="14">
        <v>46147.781944444447</v>
      </c>
      <c r="B2637" s="79" t="s">
        <v>149</v>
      </c>
      <c r="C2637" s="79" t="s">
        <v>175</v>
      </c>
      <c r="D2637" s="79" t="s">
        <v>168</v>
      </c>
      <c r="E2637" s="79" t="s">
        <v>50</v>
      </c>
      <c r="F2637" s="79" t="str">
        <f>IF(E2637="", "", IF(COUNTIF(ChestType!$A$5:$A$195, E2637)&gt;0, VLOOKUP(E2637, ChestType!$A$5:$B$195, 2, 0), "Others"))</f>
        <v>L10 Crypt</v>
      </c>
    </row>
    <row r="2638" spans="1:6" x14ac:dyDescent="0.25">
      <c r="A2638" s="14">
        <v>46147.781944444447</v>
      </c>
      <c r="B2638" s="79" t="s">
        <v>149</v>
      </c>
      <c r="C2638" s="79" t="s">
        <v>171</v>
      </c>
      <c r="D2638" s="79" t="s">
        <v>168</v>
      </c>
      <c r="E2638" s="79" t="s">
        <v>50</v>
      </c>
      <c r="F2638" s="79" t="str">
        <f>IF(E2638="", "", IF(COUNTIF(ChestType!$A$5:$A$195, E2638)&gt;0, VLOOKUP(E2638, ChestType!$A$5:$B$195, 2, 0), "Others"))</f>
        <v>L10 Crypt</v>
      </c>
    </row>
    <row r="2639" spans="1:6" x14ac:dyDescent="0.25">
      <c r="A2639" s="14">
        <v>46147.781944444447</v>
      </c>
      <c r="B2639" s="79" t="s">
        <v>149</v>
      </c>
      <c r="C2639" s="79" t="s">
        <v>175</v>
      </c>
      <c r="D2639" s="79" t="s">
        <v>168</v>
      </c>
      <c r="E2639" s="79" t="s">
        <v>52</v>
      </c>
      <c r="F2639" s="79" t="str">
        <f>IF(E2639="", "", IF(COUNTIF(ChestType!$A$5:$A$195, E2639)&gt;0, VLOOKUP(E2639, ChestType!$A$5:$B$195, 2, 0), "Others"))</f>
        <v>L5 Crypt</v>
      </c>
    </row>
    <row r="2640" spans="1:6" x14ac:dyDescent="0.25">
      <c r="A2640" s="14">
        <v>46147.781944444447</v>
      </c>
      <c r="B2640" s="79" t="s">
        <v>149</v>
      </c>
      <c r="C2640" s="79" t="s">
        <v>184</v>
      </c>
      <c r="D2640" s="79" t="s">
        <v>259</v>
      </c>
      <c r="E2640" s="79" t="s">
        <v>52</v>
      </c>
      <c r="F2640" s="79" t="str">
        <f>IF(E2640="", "", IF(COUNTIF(ChestType!$A$5:$A$195, E2640)&gt;0, VLOOKUP(E2640, ChestType!$A$5:$B$195, 2, 0), "Others"))</f>
        <v>L5 Crypt</v>
      </c>
    </row>
    <row r="2641" spans="1:6" x14ac:dyDescent="0.25">
      <c r="A2641" s="14">
        <v>46147.781944444447</v>
      </c>
      <c r="B2641" s="79" t="s">
        <v>149</v>
      </c>
      <c r="C2641" s="79" t="s">
        <v>843</v>
      </c>
      <c r="D2641" s="79" t="s">
        <v>157</v>
      </c>
      <c r="E2641" s="79" t="s">
        <v>844</v>
      </c>
      <c r="F2641" s="79" t="str">
        <f>IF(E2641="", "", IF(COUNTIF(ChestType!$A$5:$A$195, E2641)&gt;0, VLOOKUP(E2641, ChestType!$A$5:$B$195, 2, 0), "Others"))</f>
        <v>Others</v>
      </c>
    </row>
    <row r="2642" spans="1:6" x14ac:dyDescent="0.25">
      <c r="A2642" s="14">
        <v>46147.781944444447</v>
      </c>
      <c r="B2642" s="79" t="s">
        <v>149</v>
      </c>
      <c r="C2642" s="79" t="s">
        <v>182</v>
      </c>
      <c r="D2642" s="79" t="s">
        <v>204</v>
      </c>
      <c r="E2642" s="79" t="s">
        <v>49</v>
      </c>
      <c r="F2642" s="79" t="str">
        <f>IF(E2642="", "", IF(COUNTIF(ChestType!$A$5:$A$195, E2642)&gt;0, VLOOKUP(E2642, ChestType!$A$5:$B$195, 2, 0), "Others"))</f>
        <v>L15 Crypt</v>
      </c>
    </row>
    <row r="2643" spans="1:6" x14ac:dyDescent="0.25">
      <c r="A2643" s="14">
        <v>46147.781944444447</v>
      </c>
      <c r="B2643" s="79" t="s">
        <v>149</v>
      </c>
      <c r="C2643" s="79" t="s">
        <v>182</v>
      </c>
      <c r="D2643" s="79" t="s">
        <v>167</v>
      </c>
      <c r="E2643" s="79" t="s">
        <v>52</v>
      </c>
      <c r="F2643" s="79" t="str">
        <f>IF(E2643="", "", IF(COUNTIF(ChestType!$A$5:$A$195, E2643)&gt;0, VLOOKUP(E2643, ChestType!$A$5:$B$195, 2, 0), "Others"))</f>
        <v>L5 Crypt</v>
      </c>
    </row>
    <row r="2644" spans="1:6" x14ac:dyDescent="0.25">
      <c r="A2644" s="14">
        <v>46147.781944444447</v>
      </c>
      <c r="B2644" s="79" t="s">
        <v>149</v>
      </c>
      <c r="C2644" s="79" t="s">
        <v>184</v>
      </c>
      <c r="D2644" s="79" t="s">
        <v>204</v>
      </c>
      <c r="E2644" s="79" t="s">
        <v>49</v>
      </c>
      <c r="F2644" s="79" t="str">
        <f>IF(E2644="", "", IF(COUNTIF(ChestType!$A$5:$A$195, E2644)&gt;0, VLOOKUP(E2644, ChestType!$A$5:$B$195, 2, 0), "Others"))</f>
        <v>L15 Crypt</v>
      </c>
    </row>
    <row r="2645" spans="1:6" x14ac:dyDescent="0.25">
      <c r="A2645" s="14">
        <v>46147.781944444447</v>
      </c>
      <c r="B2645" s="79" t="s">
        <v>149</v>
      </c>
      <c r="C2645" s="79" t="s">
        <v>192</v>
      </c>
      <c r="D2645" s="79" t="s">
        <v>254</v>
      </c>
      <c r="E2645" s="79" t="s">
        <v>60</v>
      </c>
      <c r="F2645" s="79" t="str">
        <f>IF(E2645="", "", IF(COUNTIF(ChestType!$A$5:$A$195, E2645)&gt;0, VLOOKUP(E2645, ChestType!$A$5:$B$195, 2, 0), "Others"))</f>
        <v>Others</v>
      </c>
    </row>
    <row r="2646" spans="1:6" x14ac:dyDescent="0.25">
      <c r="A2646" s="14">
        <v>46147.781944444447</v>
      </c>
      <c r="B2646" s="79" t="s">
        <v>149</v>
      </c>
      <c r="C2646" s="79" t="s">
        <v>843</v>
      </c>
      <c r="D2646" s="79" t="s">
        <v>162</v>
      </c>
      <c r="E2646" s="79" t="s">
        <v>844</v>
      </c>
      <c r="F2646" s="79" t="str">
        <f>IF(E2646="", "", IF(COUNTIF(ChestType!$A$5:$A$195, E2646)&gt;0, VLOOKUP(E2646, ChestType!$A$5:$B$195, 2, 0), "Others"))</f>
        <v>Others</v>
      </c>
    </row>
    <row r="2647" spans="1:6" x14ac:dyDescent="0.25">
      <c r="A2647" s="14">
        <v>46147.781944444447</v>
      </c>
      <c r="B2647" s="79" t="s">
        <v>149</v>
      </c>
      <c r="C2647" s="79" t="s">
        <v>175</v>
      </c>
      <c r="D2647" s="79" t="s">
        <v>204</v>
      </c>
      <c r="E2647" s="79" t="s">
        <v>49</v>
      </c>
      <c r="F2647" s="79" t="str">
        <f>IF(E2647="", "", IF(COUNTIF(ChestType!$A$5:$A$195, E2647)&gt;0, VLOOKUP(E2647, ChestType!$A$5:$B$195, 2, 0), "Others"))</f>
        <v>L15 Crypt</v>
      </c>
    </row>
    <row r="2648" spans="1:6" x14ac:dyDescent="0.25">
      <c r="A2648" s="14">
        <v>46147.781944444447</v>
      </c>
      <c r="B2648" s="79" t="s">
        <v>149</v>
      </c>
      <c r="C2648" s="79" t="s">
        <v>192</v>
      </c>
      <c r="D2648" s="79" t="s">
        <v>240</v>
      </c>
      <c r="E2648" s="79" t="s">
        <v>60</v>
      </c>
      <c r="F2648" s="79" t="str">
        <f>IF(E2648="", "", IF(COUNTIF(ChestType!$A$5:$A$195, E2648)&gt;0, VLOOKUP(E2648, ChestType!$A$5:$B$195, 2, 0), "Others"))</f>
        <v>Others</v>
      </c>
    </row>
    <row r="2649" spans="1:6" x14ac:dyDescent="0.25">
      <c r="A2649" s="14">
        <v>46147.781944444447</v>
      </c>
      <c r="B2649" s="79" t="s">
        <v>149</v>
      </c>
      <c r="C2649" s="79" t="s">
        <v>845</v>
      </c>
      <c r="D2649" s="79" t="s">
        <v>157</v>
      </c>
      <c r="E2649" s="79" t="s">
        <v>846</v>
      </c>
      <c r="F2649" s="79" t="str">
        <f>IF(E2649="", "", IF(COUNTIF(ChestType!$A$5:$A$195, E2649)&gt;0, VLOOKUP(E2649, ChestType!$A$5:$B$195, 2, 0), "Others"))</f>
        <v>Others</v>
      </c>
    </row>
    <row r="2650" spans="1:6" x14ac:dyDescent="0.25">
      <c r="A2650" s="14">
        <v>46147.781944444447</v>
      </c>
      <c r="B2650" s="79" t="s">
        <v>149</v>
      </c>
      <c r="C2650" s="79" t="s">
        <v>845</v>
      </c>
      <c r="D2650" s="79" t="s">
        <v>162</v>
      </c>
      <c r="E2650" s="79" t="s">
        <v>846</v>
      </c>
      <c r="F2650" s="79" t="str">
        <f>IF(E2650="", "", IF(COUNTIF(ChestType!$A$5:$A$195, E2650)&gt;0, VLOOKUP(E2650, ChestType!$A$5:$B$195, 2, 0), "Others"))</f>
        <v>Others</v>
      </c>
    </row>
    <row r="2651" spans="1:6" x14ac:dyDescent="0.25">
      <c r="A2651" s="14">
        <v>46147.781944444447</v>
      </c>
      <c r="B2651" s="79" t="s">
        <v>149</v>
      </c>
      <c r="C2651" s="79" t="s">
        <v>176</v>
      </c>
      <c r="D2651" s="79" t="s">
        <v>254</v>
      </c>
      <c r="E2651" s="79" t="s">
        <v>70</v>
      </c>
      <c r="F2651" s="79" t="str">
        <f>IF(E2651="", "", IF(COUNTIF(ChestType!$A$5:$A$195, E2651)&gt;0, VLOOKUP(E2651, ChestType!$A$5:$B$195, 2, 0), "Others"))</f>
        <v>L10 Citadel</v>
      </c>
    </row>
    <row r="2652" spans="1:6" x14ac:dyDescent="0.25">
      <c r="A2652" s="14">
        <v>46147.781944444447</v>
      </c>
      <c r="B2652" s="79" t="s">
        <v>149</v>
      </c>
      <c r="C2652" s="79" t="s">
        <v>843</v>
      </c>
      <c r="D2652" s="79" t="s">
        <v>162</v>
      </c>
      <c r="E2652" s="79" t="s">
        <v>847</v>
      </c>
      <c r="F2652" s="79" t="str">
        <f>IF(E2652="", "", IF(COUNTIF(ChestType!$A$5:$A$195, E2652)&gt;0, VLOOKUP(E2652, ChestType!$A$5:$B$195, 2, 0), "Others"))</f>
        <v>Others</v>
      </c>
    </row>
    <row r="2653" spans="1:6" x14ac:dyDescent="0.25">
      <c r="A2653" s="14">
        <v>46147.781944444447</v>
      </c>
      <c r="B2653" s="79" t="s">
        <v>149</v>
      </c>
      <c r="C2653" s="79" t="s">
        <v>176</v>
      </c>
      <c r="D2653" s="79" t="s">
        <v>254</v>
      </c>
      <c r="E2653" s="79" t="s">
        <v>70</v>
      </c>
      <c r="F2653" s="79" t="str">
        <f>IF(E2653="", "", IF(COUNTIF(ChestType!$A$5:$A$195, E2653)&gt;0, VLOOKUP(E2653, ChestType!$A$5:$B$195, 2, 0), "Others"))</f>
        <v>L10 Citadel</v>
      </c>
    </row>
    <row r="2654" spans="1:6" x14ac:dyDescent="0.25">
      <c r="A2654" s="14">
        <v>46147.781944444447</v>
      </c>
      <c r="B2654" s="79" t="s">
        <v>149</v>
      </c>
      <c r="C2654" s="79" t="s">
        <v>182</v>
      </c>
      <c r="D2654" s="79" t="s">
        <v>167</v>
      </c>
      <c r="E2654" s="79" t="s">
        <v>50</v>
      </c>
      <c r="F2654" s="79" t="str">
        <f>IF(E2654="", "", IF(COUNTIF(ChestType!$A$5:$A$195, E2654)&gt;0, VLOOKUP(E2654, ChestType!$A$5:$B$195, 2, 0), "Others"))</f>
        <v>L10 Crypt</v>
      </c>
    </row>
    <row r="2655" spans="1:6" x14ac:dyDescent="0.25">
      <c r="A2655" s="14">
        <v>46147.781944444447</v>
      </c>
      <c r="B2655" s="79" t="s">
        <v>149</v>
      </c>
      <c r="C2655" s="79" t="s">
        <v>176</v>
      </c>
      <c r="D2655" s="79" t="s">
        <v>254</v>
      </c>
      <c r="E2655" s="79" t="s">
        <v>70</v>
      </c>
      <c r="F2655" s="79" t="str">
        <f>IF(E2655="", "", IF(COUNTIF(ChestType!$A$5:$A$195, E2655)&gt;0, VLOOKUP(E2655, ChestType!$A$5:$B$195, 2, 0), "Others"))</f>
        <v>L10 Citadel</v>
      </c>
    </row>
    <row r="2656" spans="1:6" x14ac:dyDescent="0.25">
      <c r="A2656" s="14">
        <v>46147.781944444447</v>
      </c>
      <c r="B2656" s="79" t="s">
        <v>149</v>
      </c>
      <c r="C2656" s="79" t="s">
        <v>158</v>
      </c>
      <c r="D2656" s="79" t="s">
        <v>246</v>
      </c>
      <c r="E2656" s="79" t="s">
        <v>52</v>
      </c>
      <c r="F2656" s="79" t="str">
        <f>IF(E2656="", "", IF(COUNTIF(ChestType!$A$5:$A$195, E2656)&gt;0, VLOOKUP(E2656, ChestType!$A$5:$B$195, 2, 0), "Others"))</f>
        <v>L5 Crypt</v>
      </c>
    </row>
    <row r="2657" spans="1:6" x14ac:dyDescent="0.25">
      <c r="A2657" s="14">
        <v>46147.781944444447</v>
      </c>
      <c r="B2657" s="79" t="s">
        <v>149</v>
      </c>
      <c r="C2657" s="79" t="s">
        <v>845</v>
      </c>
      <c r="D2657" s="79" t="s">
        <v>157</v>
      </c>
      <c r="E2657" s="79" t="s">
        <v>846</v>
      </c>
      <c r="F2657" s="79" t="str">
        <f>IF(E2657="", "", IF(COUNTIF(ChestType!$A$5:$A$195, E2657)&gt;0, VLOOKUP(E2657, ChestType!$A$5:$B$195, 2, 0), "Others"))</f>
        <v>Others</v>
      </c>
    </row>
    <row r="2658" spans="1:6" x14ac:dyDescent="0.25">
      <c r="A2658" s="14">
        <v>46147.781944444447</v>
      </c>
      <c r="B2658" s="79" t="s">
        <v>149</v>
      </c>
      <c r="C2658" s="79" t="s">
        <v>177</v>
      </c>
      <c r="D2658" s="79" t="s">
        <v>157</v>
      </c>
      <c r="E2658" s="79" t="s">
        <v>50</v>
      </c>
      <c r="F2658" s="79" t="str">
        <f>IF(E2658="", "", IF(COUNTIF(ChestType!$A$5:$A$195, E2658)&gt;0, VLOOKUP(E2658, ChestType!$A$5:$B$195, 2, 0), "Others"))</f>
        <v>L10 Crypt</v>
      </c>
    </row>
    <row r="2659" spans="1:6" x14ac:dyDescent="0.25">
      <c r="A2659" s="14">
        <v>46147.781944444447</v>
      </c>
      <c r="B2659" s="79" t="s">
        <v>149</v>
      </c>
      <c r="C2659" s="79" t="s">
        <v>184</v>
      </c>
      <c r="D2659" s="79" t="s">
        <v>157</v>
      </c>
      <c r="E2659" s="79" t="s">
        <v>50</v>
      </c>
      <c r="F2659" s="79" t="str">
        <f>IF(E2659="", "", IF(COUNTIF(ChestType!$A$5:$A$195, E2659)&gt;0, VLOOKUP(E2659, ChestType!$A$5:$B$195, 2, 0), "Others"))</f>
        <v>L10 Crypt</v>
      </c>
    </row>
    <row r="2660" spans="1:6" x14ac:dyDescent="0.25">
      <c r="A2660" s="14">
        <v>46147.781944444447</v>
      </c>
      <c r="B2660" s="79" t="s">
        <v>149</v>
      </c>
      <c r="C2660" s="79" t="s">
        <v>181</v>
      </c>
      <c r="D2660" s="79" t="s">
        <v>169</v>
      </c>
      <c r="E2660" s="79" t="s">
        <v>50</v>
      </c>
      <c r="F2660" s="79" t="str">
        <f>IF(E2660="", "", IF(COUNTIF(ChestType!$A$5:$A$195, E2660)&gt;0, VLOOKUP(E2660, ChestType!$A$5:$B$195, 2, 0), "Others"))</f>
        <v>L10 Crypt</v>
      </c>
    </row>
    <row r="2661" spans="1:6" x14ac:dyDescent="0.25">
      <c r="A2661" s="14">
        <v>46147.781944444447</v>
      </c>
      <c r="B2661" s="79" t="s">
        <v>149</v>
      </c>
      <c r="C2661" s="79" t="s">
        <v>177</v>
      </c>
      <c r="D2661" s="79" t="s">
        <v>169</v>
      </c>
      <c r="E2661" s="79" t="s">
        <v>50</v>
      </c>
      <c r="F2661" s="79" t="str">
        <f>IF(E2661="", "", IF(COUNTIF(ChestType!$A$5:$A$195, E2661)&gt;0, VLOOKUP(E2661, ChestType!$A$5:$B$195, 2, 0), "Others"))</f>
        <v>L10 Crypt</v>
      </c>
    </row>
    <row r="2662" spans="1:6" x14ac:dyDescent="0.25">
      <c r="A2662" s="14">
        <v>46147.781944444447</v>
      </c>
      <c r="B2662" s="79" t="s">
        <v>149</v>
      </c>
      <c r="C2662" s="79" t="s">
        <v>223</v>
      </c>
      <c r="D2662" s="79" t="s">
        <v>231</v>
      </c>
      <c r="E2662" s="79" t="s">
        <v>64</v>
      </c>
      <c r="F2662" s="79" t="str">
        <f>IF(E2662="", "", IF(COUNTIF(ChestType!$A$5:$A$195, E2662)&gt;0, VLOOKUP(E2662, ChestType!$A$5:$B$195, 2, 0), "Others"))</f>
        <v>L15 Epic Crypt</v>
      </c>
    </row>
    <row r="2663" spans="1:6" x14ac:dyDescent="0.25">
      <c r="A2663" s="14">
        <v>46147.781944444447</v>
      </c>
      <c r="B2663" s="79" t="s">
        <v>149</v>
      </c>
      <c r="C2663" s="79" t="s">
        <v>181</v>
      </c>
      <c r="D2663" s="79" t="s">
        <v>231</v>
      </c>
      <c r="E2663" s="79" t="s">
        <v>49</v>
      </c>
      <c r="F2663" s="79" t="str">
        <f>IF(E2663="", "", IF(COUNTIF(ChestType!$A$5:$A$195, E2663)&gt;0, VLOOKUP(E2663, ChestType!$A$5:$B$195, 2, 0), "Others"))</f>
        <v>L15 Crypt</v>
      </c>
    </row>
    <row r="2664" spans="1:6" x14ac:dyDescent="0.25">
      <c r="A2664" s="14">
        <v>46147.781944444447</v>
      </c>
      <c r="B2664" s="79" t="s">
        <v>149</v>
      </c>
      <c r="C2664" s="79" t="s">
        <v>151</v>
      </c>
      <c r="D2664" s="79" t="s">
        <v>156</v>
      </c>
      <c r="E2664" s="79" t="s">
        <v>49</v>
      </c>
      <c r="F2664" s="79" t="str">
        <f>IF(E2664="", "", IF(COUNTIF(ChestType!$A$5:$A$195, E2664)&gt;0, VLOOKUP(E2664, ChestType!$A$5:$B$195, 2, 0), "Others"))</f>
        <v>L15 Crypt</v>
      </c>
    </row>
    <row r="2665" spans="1:6" x14ac:dyDescent="0.25">
      <c r="A2665" s="14">
        <v>46147.781944444447</v>
      </c>
      <c r="B2665" s="79" t="s">
        <v>149</v>
      </c>
      <c r="C2665" s="79" t="s">
        <v>187</v>
      </c>
      <c r="D2665" s="79" t="s">
        <v>231</v>
      </c>
      <c r="E2665" s="79" t="s">
        <v>71</v>
      </c>
      <c r="F2665" s="79" t="str">
        <f>IF(E2665="", "", IF(COUNTIF(ChestType!$A$5:$A$195, E2665)&gt;0, VLOOKUP(E2665, ChestType!$A$5:$B$195, 2, 0), "Others"))</f>
        <v>L15 Rare Crypt</v>
      </c>
    </row>
    <row r="2666" spans="1:6" x14ac:dyDescent="0.25">
      <c r="A2666" s="14">
        <v>46147.781944444447</v>
      </c>
      <c r="B2666" s="79" t="s">
        <v>149</v>
      </c>
      <c r="C2666" s="79" t="s">
        <v>151</v>
      </c>
      <c r="D2666" s="79" t="s">
        <v>156</v>
      </c>
      <c r="E2666" s="79" t="s">
        <v>49</v>
      </c>
      <c r="F2666" s="79" t="str">
        <f>IF(E2666="", "", IF(COUNTIF(ChestType!$A$5:$A$195, E2666)&gt;0, VLOOKUP(E2666, ChestType!$A$5:$B$195, 2, 0), "Others"))</f>
        <v>L15 Crypt</v>
      </c>
    </row>
    <row r="2667" spans="1:6" x14ac:dyDescent="0.25">
      <c r="A2667" s="14">
        <v>46147.781944444447</v>
      </c>
      <c r="B2667" s="79" t="s">
        <v>149</v>
      </c>
      <c r="C2667" s="79" t="s">
        <v>187</v>
      </c>
      <c r="D2667" s="79" t="s">
        <v>231</v>
      </c>
      <c r="E2667" s="79" t="s">
        <v>75</v>
      </c>
      <c r="F2667" s="79" t="str">
        <f>IF(E2667="", "", IF(COUNTIF(ChestType!$A$5:$A$195, E2667)&gt;0, VLOOKUP(E2667, ChestType!$A$5:$B$195, 2, 0), "Others"))</f>
        <v>L10 Rare Crypt</v>
      </c>
    </row>
    <row r="2668" spans="1:6" x14ac:dyDescent="0.25">
      <c r="A2668" s="14">
        <v>46147.781944444447</v>
      </c>
      <c r="B2668" s="79" t="s">
        <v>149</v>
      </c>
      <c r="C2668" s="79" t="s">
        <v>187</v>
      </c>
      <c r="D2668" s="79" t="s">
        <v>231</v>
      </c>
      <c r="E2668" s="79" t="s">
        <v>71</v>
      </c>
      <c r="F2668" s="79" t="str">
        <f>IF(E2668="", "", IF(COUNTIF(ChestType!$A$5:$A$195, E2668)&gt;0, VLOOKUP(E2668, ChestType!$A$5:$B$195, 2, 0), "Others"))</f>
        <v>L15 Rare Crypt</v>
      </c>
    </row>
    <row r="2669" spans="1:6" x14ac:dyDescent="0.25">
      <c r="A2669" s="14">
        <v>46147.781944444447</v>
      </c>
      <c r="B2669" s="79" t="s">
        <v>149</v>
      </c>
      <c r="C2669" s="79" t="s">
        <v>190</v>
      </c>
      <c r="D2669" s="79" t="s">
        <v>259</v>
      </c>
      <c r="E2669" s="79" t="s">
        <v>50</v>
      </c>
      <c r="F2669" s="79" t="str">
        <f>IF(E2669="", "", IF(COUNTIF(ChestType!$A$5:$A$195, E2669)&gt;0, VLOOKUP(E2669, ChestType!$A$5:$B$195, 2, 0), "Others"))</f>
        <v>L10 Crypt</v>
      </c>
    </row>
    <row r="2670" spans="1:6" x14ac:dyDescent="0.25">
      <c r="A2670" s="14">
        <v>46147.781944444447</v>
      </c>
      <c r="B2670" s="79" t="s">
        <v>149</v>
      </c>
      <c r="C2670" s="79" t="s">
        <v>183</v>
      </c>
      <c r="D2670" s="79" t="s">
        <v>168</v>
      </c>
      <c r="E2670" s="79" t="s">
        <v>50</v>
      </c>
      <c r="F2670" s="79" t="str">
        <f>IF(E2670="", "", IF(COUNTIF(ChestType!$A$5:$A$195, E2670)&gt;0, VLOOKUP(E2670, ChestType!$A$5:$B$195, 2, 0), "Others"))</f>
        <v>L10 Crypt</v>
      </c>
    </row>
    <row r="2671" spans="1:6" x14ac:dyDescent="0.25">
      <c r="A2671" s="14">
        <v>46147.781944444447</v>
      </c>
      <c r="B2671" s="79" t="s">
        <v>149</v>
      </c>
      <c r="C2671" s="79" t="s">
        <v>158</v>
      </c>
      <c r="D2671" s="79" t="s">
        <v>168</v>
      </c>
      <c r="E2671" s="79" t="s">
        <v>49</v>
      </c>
      <c r="F2671" s="79" t="str">
        <f>IF(E2671="", "", IF(COUNTIF(ChestType!$A$5:$A$195, E2671)&gt;0, VLOOKUP(E2671, ChestType!$A$5:$B$195, 2, 0), "Others"))</f>
        <v>L15 Crypt</v>
      </c>
    </row>
    <row r="2672" spans="1:6" x14ac:dyDescent="0.25">
      <c r="A2672" s="14">
        <v>46147.781944444447</v>
      </c>
      <c r="B2672" s="79" t="s">
        <v>149</v>
      </c>
      <c r="C2672" s="79" t="s">
        <v>183</v>
      </c>
      <c r="D2672" s="79" t="s">
        <v>168</v>
      </c>
      <c r="E2672" s="79" t="s">
        <v>49</v>
      </c>
      <c r="F2672" s="79" t="str">
        <f>IF(E2672="", "", IF(COUNTIF(ChestType!$A$5:$A$195, E2672)&gt;0, VLOOKUP(E2672, ChestType!$A$5:$B$195, 2, 0), "Others"))</f>
        <v>L15 Crypt</v>
      </c>
    </row>
    <row r="2673" spans="1:6" x14ac:dyDescent="0.25">
      <c r="A2673" s="14">
        <v>46147.781944444447</v>
      </c>
      <c r="B2673" s="79" t="s">
        <v>149</v>
      </c>
      <c r="C2673" s="79" t="s">
        <v>184</v>
      </c>
      <c r="D2673" s="79" t="s">
        <v>168</v>
      </c>
      <c r="E2673" s="79" t="s">
        <v>49</v>
      </c>
      <c r="F2673" s="79" t="str">
        <f>IF(E2673="", "", IF(COUNTIF(ChestType!$A$5:$A$195, E2673)&gt;0, VLOOKUP(E2673, ChestType!$A$5:$B$195, 2, 0), "Others"))</f>
        <v>L15 Crypt</v>
      </c>
    </row>
    <row r="2674" spans="1:6" x14ac:dyDescent="0.25">
      <c r="A2674" s="14">
        <v>46147.781944444447</v>
      </c>
      <c r="B2674" s="79" t="s">
        <v>149</v>
      </c>
      <c r="C2674" s="79" t="s">
        <v>185</v>
      </c>
      <c r="D2674" s="79" t="s">
        <v>168</v>
      </c>
      <c r="E2674" s="79" t="s">
        <v>49</v>
      </c>
      <c r="F2674" s="79" t="str">
        <f>IF(E2674="", "", IF(COUNTIF(ChestType!$A$5:$A$195, E2674)&gt;0, VLOOKUP(E2674, ChestType!$A$5:$B$195, 2, 0), "Others"))</f>
        <v>L15 Crypt</v>
      </c>
    </row>
    <row r="2675" spans="1:6" x14ac:dyDescent="0.25">
      <c r="A2675" s="14">
        <v>46147.781944444447</v>
      </c>
      <c r="B2675" s="79" t="s">
        <v>149</v>
      </c>
      <c r="C2675" s="79" t="s">
        <v>184</v>
      </c>
      <c r="D2675" s="79" t="s">
        <v>168</v>
      </c>
      <c r="E2675" s="79" t="s">
        <v>50</v>
      </c>
      <c r="F2675" s="79" t="str">
        <f>IF(E2675="", "", IF(COUNTIF(ChestType!$A$5:$A$195, E2675)&gt;0, VLOOKUP(E2675, ChestType!$A$5:$B$195, 2, 0), "Others"))</f>
        <v>L10 Crypt</v>
      </c>
    </row>
    <row r="2676" spans="1:6" x14ac:dyDescent="0.25">
      <c r="A2676" s="14">
        <v>46147.781944444447</v>
      </c>
      <c r="B2676" s="79" t="s">
        <v>149</v>
      </c>
      <c r="C2676" s="79" t="s">
        <v>185</v>
      </c>
      <c r="D2676" s="79" t="s">
        <v>168</v>
      </c>
      <c r="E2676" s="79" t="s">
        <v>50</v>
      </c>
      <c r="F2676" s="79" t="str">
        <f>IF(E2676="", "", IF(COUNTIF(ChestType!$A$5:$A$195, E2676)&gt;0, VLOOKUP(E2676, ChestType!$A$5:$B$195, 2, 0), "Others"))</f>
        <v>L10 Crypt</v>
      </c>
    </row>
    <row r="2677" spans="1:6" x14ac:dyDescent="0.25">
      <c r="A2677" s="14">
        <v>46147.781944444447</v>
      </c>
      <c r="B2677" s="79" t="s">
        <v>149</v>
      </c>
      <c r="C2677" s="79" t="s">
        <v>177</v>
      </c>
      <c r="D2677" s="79" t="s">
        <v>168</v>
      </c>
      <c r="E2677" s="79" t="s">
        <v>50</v>
      </c>
      <c r="F2677" s="79" t="str">
        <f>IF(E2677="", "", IF(COUNTIF(ChestType!$A$5:$A$195, E2677)&gt;0, VLOOKUP(E2677, ChestType!$A$5:$B$195, 2, 0), "Others"))</f>
        <v>L10 Crypt</v>
      </c>
    </row>
    <row r="2678" spans="1:6" x14ac:dyDescent="0.25">
      <c r="A2678" s="14">
        <v>46147.781944444447</v>
      </c>
      <c r="B2678" s="79" t="s">
        <v>149</v>
      </c>
      <c r="C2678" s="79" t="s">
        <v>151</v>
      </c>
      <c r="D2678" s="79" t="s">
        <v>156</v>
      </c>
      <c r="E2678" s="79" t="s">
        <v>49</v>
      </c>
      <c r="F2678" s="79" t="str">
        <f>IF(E2678="", "", IF(COUNTIF(ChestType!$A$5:$A$195, E2678)&gt;0, VLOOKUP(E2678, ChestType!$A$5:$B$195, 2, 0), "Others"))</f>
        <v>L15 Crypt</v>
      </c>
    </row>
    <row r="2679" spans="1:6" x14ac:dyDescent="0.25">
      <c r="A2679" s="14">
        <v>46147.781944444447</v>
      </c>
      <c r="B2679" s="79" t="s">
        <v>149</v>
      </c>
      <c r="C2679" s="79" t="s">
        <v>190</v>
      </c>
      <c r="D2679" s="79" t="s">
        <v>168</v>
      </c>
      <c r="E2679" s="79" t="s">
        <v>49</v>
      </c>
      <c r="F2679" s="79" t="str">
        <f>IF(E2679="", "", IF(COUNTIF(ChestType!$A$5:$A$195, E2679)&gt;0, VLOOKUP(E2679, ChestType!$A$5:$B$195, 2, 0), "Others"))</f>
        <v>L15 Crypt</v>
      </c>
    </row>
    <row r="2680" spans="1:6" x14ac:dyDescent="0.25">
      <c r="A2680" s="14">
        <v>46147.781944444447</v>
      </c>
      <c r="B2680" s="79" t="s">
        <v>149</v>
      </c>
      <c r="C2680" s="79" t="s">
        <v>175</v>
      </c>
      <c r="D2680" s="79" t="s">
        <v>168</v>
      </c>
      <c r="E2680" s="79" t="s">
        <v>50</v>
      </c>
      <c r="F2680" s="79" t="str">
        <f>IF(E2680="", "", IF(COUNTIF(ChestType!$A$5:$A$195, E2680)&gt;0, VLOOKUP(E2680, ChestType!$A$5:$B$195, 2, 0), "Others"))</f>
        <v>L10 Crypt</v>
      </c>
    </row>
    <row r="2681" spans="1:6" x14ac:dyDescent="0.25">
      <c r="A2681" s="14">
        <v>46147.781944444447</v>
      </c>
      <c r="B2681" s="79" t="s">
        <v>149</v>
      </c>
      <c r="C2681" s="79" t="s">
        <v>185</v>
      </c>
      <c r="D2681" s="79" t="s">
        <v>168</v>
      </c>
      <c r="E2681" s="79" t="s">
        <v>50</v>
      </c>
      <c r="F2681" s="79" t="str">
        <f>IF(E2681="", "", IF(COUNTIF(ChestType!$A$5:$A$195, E2681)&gt;0, VLOOKUP(E2681, ChestType!$A$5:$B$195, 2, 0), "Others"))</f>
        <v>L10 Crypt</v>
      </c>
    </row>
    <row r="2682" spans="1:6" x14ac:dyDescent="0.25">
      <c r="A2682" s="14">
        <v>46147.781944444447</v>
      </c>
      <c r="B2682" s="79" t="s">
        <v>149</v>
      </c>
      <c r="C2682" s="79" t="s">
        <v>183</v>
      </c>
      <c r="D2682" s="79" t="s">
        <v>168</v>
      </c>
      <c r="E2682" s="79" t="s">
        <v>50</v>
      </c>
      <c r="F2682" s="79" t="str">
        <f>IF(E2682="", "", IF(COUNTIF(ChestType!$A$5:$A$195, E2682)&gt;0, VLOOKUP(E2682, ChestType!$A$5:$B$195, 2, 0), "Others"))</f>
        <v>L10 Crypt</v>
      </c>
    </row>
    <row r="2683" spans="1:6" x14ac:dyDescent="0.25">
      <c r="A2683" s="14">
        <v>46147.781944444447</v>
      </c>
      <c r="B2683" s="79" t="s">
        <v>149</v>
      </c>
      <c r="C2683" s="79" t="s">
        <v>151</v>
      </c>
      <c r="D2683" s="79" t="s">
        <v>168</v>
      </c>
      <c r="E2683" s="79" t="s">
        <v>50</v>
      </c>
      <c r="F2683" s="79" t="str">
        <f>IF(E2683="", "", IF(COUNTIF(ChestType!$A$5:$A$195, E2683)&gt;0, VLOOKUP(E2683, ChestType!$A$5:$B$195, 2, 0), "Others"))</f>
        <v>L10 Crypt</v>
      </c>
    </row>
    <row r="2684" spans="1:6" x14ac:dyDescent="0.25">
      <c r="A2684" s="14">
        <v>46147.781944444447</v>
      </c>
      <c r="B2684" s="79" t="s">
        <v>149</v>
      </c>
      <c r="C2684" s="79" t="s">
        <v>173</v>
      </c>
      <c r="D2684" s="79" t="s">
        <v>168</v>
      </c>
      <c r="E2684" s="79" t="s">
        <v>50</v>
      </c>
      <c r="F2684" s="79" t="str">
        <f>IF(E2684="", "", IF(COUNTIF(ChestType!$A$5:$A$195, E2684)&gt;0, VLOOKUP(E2684, ChestType!$A$5:$B$195, 2, 0), "Others"))</f>
        <v>L10 Crypt</v>
      </c>
    </row>
    <row r="2685" spans="1:6" x14ac:dyDescent="0.25">
      <c r="A2685" s="14">
        <v>46147.781944444447</v>
      </c>
      <c r="B2685" s="79" t="s">
        <v>149</v>
      </c>
      <c r="C2685" s="79" t="s">
        <v>183</v>
      </c>
      <c r="D2685" s="79" t="s">
        <v>202</v>
      </c>
      <c r="E2685" s="79" t="s">
        <v>49</v>
      </c>
      <c r="F2685" s="79" t="str">
        <f>IF(E2685="", "", IF(COUNTIF(ChestType!$A$5:$A$195, E2685)&gt;0, VLOOKUP(E2685, ChestType!$A$5:$B$195, 2, 0), "Others"))</f>
        <v>L15 Crypt</v>
      </c>
    </row>
    <row r="2686" spans="1:6" x14ac:dyDescent="0.25">
      <c r="A2686" s="14">
        <v>46147.781944444447</v>
      </c>
      <c r="B2686" s="79" t="s">
        <v>149</v>
      </c>
      <c r="C2686" s="79" t="s">
        <v>175</v>
      </c>
      <c r="D2686" s="79" t="s">
        <v>168</v>
      </c>
      <c r="E2686" s="79" t="s">
        <v>52</v>
      </c>
      <c r="F2686" s="79" t="str">
        <f>IF(E2686="", "", IF(COUNTIF(ChestType!$A$5:$A$195, E2686)&gt;0, VLOOKUP(E2686, ChestType!$A$5:$B$195, 2, 0), "Others"))</f>
        <v>L5 Crypt</v>
      </c>
    </row>
    <row r="2687" spans="1:6" x14ac:dyDescent="0.25">
      <c r="A2687" s="14">
        <v>46147.781944444447</v>
      </c>
      <c r="B2687" s="79" t="s">
        <v>149</v>
      </c>
      <c r="C2687" s="79" t="s">
        <v>158</v>
      </c>
      <c r="D2687" s="79" t="s">
        <v>168</v>
      </c>
      <c r="E2687" s="79" t="s">
        <v>52</v>
      </c>
      <c r="F2687" s="79" t="str">
        <f>IF(E2687="", "", IF(COUNTIF(ChestType!$A$5:$A$195, E2687)&gt;0, VLOOKUP(E2687, ChestType!$A$5:$B$195, 2, 0), "Others"))</f>
        <v>L5 Crypt</v>
      </c>
    </row>
    <row r="2688" spans="1:6" x14ac:dyDescent="0.25">
      <c r="A2688" s="14">
        <v>46147.781944444447</v>
      </c>
      <c r="B2688" s="79" t="s">
        <v>149</v>
      </c>
      <c r="C2688" s="79" t="s">
        <v>190</v>
      </c>
      <c r="D2688" s="79" t="s">
        <v>263</v>
      </c>
      <c r="E2688" s="79" t="s">
        <v>50</v>
      </c>
      <c r="F2688" s="79" t="str">
        <f>IF(E2688="", "", IF(COUNTIF(ChestType!$A$5:$A$195, E2688)&gt;0, VLOOKUP(E2688, ChestType!$A$5:$B$195, 2, 0), "Others"))</f>
        <v>L10 Crypt</v>
      </c>
    </row>
    <row r="2689" spans="1:6" x14ac:dyDescent="0.25">
      <c r="A2689" s="14">
        <v>46147.781944444447</v>
      </c>
      <c r="B2689" s="79" t="s">
        <v>149</v>
      </c>
      <c r="C2689" s="79" t="s">
        <v>184</v>
      </c>
      <c r="D2689" s="79" t="s">
        <v>168</v>
      </c>
      <c r="E2689" s="79" t="s">
        <v>50</v>
      </c>
      <c r="F2689" s="79" t="str">
        <f>IF(E2689="", "", IF(COUNTIF(ChestType!$A$5:$A$195, E2689)&gt;0, VLOOKUP(E2689, ChestType!$A$5:$B$195, 2, 0), "Others"))</f>
        <v>L10 Crypt</v>
      </c>
    </row>
    <row r="2690" spans="1:6" x14ac:dyDescent="0.25">
      <c r="A2690" s="14">
        <v>46147.781944444447</v>
      </c>
      <c r="B2690" s="79" t="s">
        <v>149</v>
      </c>
      <c r="C2690" s="79" t="s">
        <v>185</v>
      </c>
      <c r="D2690" s="79" t="s">
        <v>168</v>
      </c>
      <c r="E2690" s="79" t="s">
        <v>52</v>
      </c>
      <c r="F2690" s="79" t="str">
        <f>IF(E2690="", "", IF(COUNTIF(ChestType!$A$5:$A$195, E2690)&gt;0, VLOOKUP(E2690, ChestType!$A$5:$B$195, 2, 0), "Others"))</f>
        <v>L5 Crypt</v>
      </c>
    </row>
    <row r="2691" spans="1:6" x14ac:dyDescent="0.25">
      <c r="A2691" s="14">
        <v>46147.781944444447</v>
      </c>
      <c r="B2691" s="79" t="s">
        <v>149</v>
      </c>
      <c r="C2691" s="79" t="s">
        <v>185</v>
      </c>
      <c r="D2691" s="79" t="s">
        <v>168</v>
      </c>
      <c r="E2691" s="79" t="s">
        <v>52</v>
      </c>
      <c r="F2691" s="79" t="str">
        <f>IF(E2691="", "", IF(COUNTIF(ChestType!$A$5:$A$195, E2691)&gt;0, VLOOKUP(E2691, ChestType!$A$5:$B$195, 2, 0), "Others"))</f>
        <v>L5 Crypt</v>
      </c>
    </row>
    <row r="2692" spans="1:6" x14ac:dyDescent="0.25">
      <c r="A2692" s="14">
        <v>46147.781944444447</v>
      </c>
      <c r="B2692" s="79" t="s">
        <v>149</v>
      </c>
      <c r="C2692" s="79" t="s">
        <v>182</v>
      </c>
      <c r="D2692" s="79" t="s">
        <v>168</v>
      </c>
      <c r="E2692" s="79" t="s">
        <v>50</v>
      </c>
      <c r="F2692" s="79" t="str">
        <f>IF(E2692="", "", IF(COUNTIF(ChestType!$A$5:$A$195, E2692)&gt;0, VLOOKUP(E2692, ChestType!$A$5:$B$195, 2, 0), "Others"))</f>
        <v>L10 Crypt</v>
      </c>
    </row>
    <row r="2693" spans="1:6" x14ac:dyDescent="0.25">
      <c r="A2693" s="14">
        <v>46147.781944444447</v>
      </c>
      <c r="B2693" s="79" t="s">
        <v>149</v>
      </c>
      <c r="C2693" s="79" t="s">
        <v>151</v>
      </c>
      <c r="D2693" s="79" t="s">
        <v>156</v>
      </c>
      <c r="E2693" s="79" t="s">
        <v>49</v>
      </c>
      <c r="F2693" s="79" t="str">
        <f>IF(E2693="", "", IF(COUNTIF(ChestType!$A$5:$A$195, E2693)&gt;0, VLOOKUP(E2693, ChestType!$A$5:$B$195, 2, 0), "Others"))</f>
        <v>L15 Crypt</v>
      </c>
    </row>
    <row r="2694" spans="1:6" x14ac:dyDescent="0.25">
      <c r="A2694" s="14">
        <v>46147.781944444447</v>
      </c>
      <c r="B2694" s="79" t="s">
        <v>149</v>
      </c>
      <c r="C2694" s="79" t="s">
        <v>184</v>
      </c>
      <c r="D2694" s="79" t="s">
        <v>168</v>
      </c>
      <c r="E2694" s="79" t="s">
        <v>52</v>
      </c>
      <c r="F2694" s="79" t="str">
        <f>IF(E2694="", "", IF(COUNTIF(ChestType!$A$5:$A$195, E2694)&gt;0, VLOOKUP(E2694, ChestType!$A$5:$B$195, 2, 0), "Others"))</f>
        <v>L5 Crypt</v>
      </c>
    </row>
    <row r="2695" spans="1:6" x14ac:dyDescent="0.25">
      <c r="A2695" s="14">
        <v>46147.781944444447</v>
      </c>
      <c r="B2695" s="79" t="s">
        <v>149</v>
      </c>
      <c r="C2695" s="79" t="s">
        <v>181</v>
      </c>
      <c r="D2695" s="79" t="s">
        <v>156</v>
      </c>
      <c r="E2695" s="79" t="s">
        <v>50</v>
      </c>
      <c r="F2695" s="79" t="str">
        <f>IF(E2695="", "", IF(COUNTIF(ChestType!$A$5:$A$195, E2695)&gt;0, VLOOKUP(E2695, ChestType!$A$5:$B$195, 2, 0), "Others"))</f>
        <v>L10 Crypt</v>
      </c>
    </row>
    <row r="2696" spans="1:6" x14ac:dyDescent="0.25">
      <c r="A2696" s="14">
        <v>46147.781944444447</v>
      </c>
      <c r="B2696" s="79" t="s">
        <v>149</v>
      </c>
      <c r="C2696" s="79" t="s">
        <v>845</v>
      </c>
      <c r="D2696" s="79" t="s">
        <v>202</v>
      </c>
      <c r="E2696" s="79" t="s">
        <v>846</v>
      </c>
      <c r="F2696" s="79" t="str">
        <f>IF(E2696="", "", IF(COUNTIF(ChestType!$A$5:$A$195, E2696)&gt;0, VLOOKUP(E2696, ChestType!$A$5:$B$195, 2, 0), "Others"))</f>
        <v>Others</v>
      </c>
    </row>
    <row r="2697" spans="1:6" x14ac:dyDescent="0.25">
      <c r="A2697" s="14">
        <v>46147.781944444447</v>
      </c>
      <c r="B2697" s="79" t="s">
        <v>149</v>
      </c>
      <c r="C2697" s="79" t="s">
        <v>182</v>
      </c>
      <c r="D2697" s="79" t="s">
        <v>168</v>
      </c>
      <c r="E2697" s="79" t="s">
        <v>52</v>
      </c>
      <c r="F2697" s="79" t="str">
        <f>IF(E2697="", "", IF(COUNTIF(ChestType!$A$5:$A$195, E2697)&gt;0, VLOOKUP(E2697, ChestType!$A$5:$B$195, 2, 0), "Others"))</f>
        <v>L5 Crypt</v>
      </c>
    </row>
    <row r="2698" spans="1:6" x14ac:dyDescent="0.25">
      <c r="A2698" s="14">
        <v>46147.781944444447</v>
      </c>
      <c r="B2698" s="79" t="s">
        <v>149</v>
      </c>
      <c r="C2698" s="79" t="s">
        <v>181</v>
      </c>
      <c r="D2698" s="79" t="s">
        <v>156</v>
      </c>
      <c r="E2698" s="79" t="s">
        <v>50</v>
      </c>
      <c r="F2698" s="79" t="str">
        <f>IF(E2698="", "", IF(COUNTIF(ChestType!$A$5:$A$195, E2698)&gt;0, VLOOKUP(E2698, ChestType!$A$5:$B$195, 2, 0), "Others"))</f>
        <v>L10 Crypt</v>
      </c>
    </row>
    <row r="2699" spans="1:6" x14ac:dyDescent="0.25">
      <c r="A2699" s="14">
        <v>46147.781944444447</v>
      </c>
      <c r="B2699" s="79" t="s">
        <v>149</v>
      </c>
      <c r="C2699" s="79" t="s">
        <v>188</v>
      </c>
      <c r="D2699" s="79" t="s">
        <v>179</v>
      </c>
      <c r="E2699" s="79" t="s">
        <v>45</v>
      </c>
      <c r="F2699" s="79" t="str">
        <f>IF(E2699="", "", IF(COUNTIF(ChestType!$A$5:$A$195, E2699)&gt;0, VLOOKUP(E2699, ChestType!$A$5:$B$195, 2, 0), "Others"))</f>
        <v>Others</v>
      </c>
    </row>
    <row r="2700" spans="1:6" x14ac:dyDescent="0.25">
      <c r="A2700" s="14">
        <v>46147.781944444447</v>
      </c>
      <c r="B2700" s="79" t="s">
        <v>149</v>
      </c>
      <c r="C2700" s="79" t="s">
        <v>189</v>
      </c>
      <c r="D2700" s="79" t="s">
        <v>179</v>
      </c>
      <c r="E2700" s="79" t="s">
        <v>45</v>
      </c>
      <c r="F2700" s="79" t="str">
        <f>IF(E2700="", "", IF(COUNTIF(ChestType!$A$5:$A$195, E2700)&gt;0, VLOOKUP(E2700, ChestType!$A$5:$B$195, 2, 0), "Others"))</f>
        <v>Others</v>
      </c>
    </row>
    <row r="2701" spans="1:6" x14ac:dyDescent="0.25">
      <c r="A2701" s="14">
        <v>46147.781944444447</v>
      </c>
      <c r="B2701" s="79" t="s">
        <v>149</v>
      </c>
      <c r="C2701" s="79" t="s">
        <v>239</v>
      </c>
      <c r="D2701" s="79" t="s">
        <v>179</v>
      </c>
      <c r="E2701" s="79" t="s">
        <v>45</v>
      </c>
      <c r="F2701" s="79" t="str">
        <f>IF(E2701="", "", IF(COUNTIF(ChestType!$A$5:$A$195, E2701)&gt;0, VLOOKUP(E2701, ChestType!$A$5:$B$195, 2, 0), "Others"))</f>
        <v>Others</v>
      </c>
    </row>
    <row r="2702" spans="1:6" x14ac:dyDescent="0.25">
      <c r="A2702" s="14">
        <v>46147.781944444447</v>
      </c>
      <c r="B2702" s="79" t="s">
        <v>149</v>
      </c>
      <c r="C2702" s="79" t="s">
        <v>185</v>
      </c>
      <c r="D2702" s="79" t="s">
        <v>168</v>
      </c>
      <c r="E2702" s="79" t="s">
        <v>52</v>
      </c>
      <c r="F2702" s="79" t="str">
        <f>IF(E2702="", "", IF(COUNTIF(ChestType!$A$5:$A$195, E2702)&gt;0, VLOOKUP(E2702, ChestType!$A$5:$B$195, 2, 0), "Others"))</f>
        <v>L5 Crypt</v>
      </c>
    </row>
    <row r="2703" spans="1:6" x14ac:dyDescent="0.25">
      <c r="A2703" s="14">
        <v>46147.781944444447</v>
      </c>
      <c r="B2703" s="79" t="s">
        <v>149</v>
      </c>
      <c r="C2703" s="79" t="s">
        <v>175</v>
      </c>
      <c r="D2703" s="79" t="s">
        <v>168</v>
      </c>
      <c r="E2703" s="79" t="s">
        <v>52</v>
      </c>
      <c r="F2703" s="79" t="str">
        <f>IF(E2703="", "", IF(COUNTIF(ChestType!$A$5:$A$195, E2703)&gt;0, VLOOKUP(E2703, ChestType!$A$5:$B$195, 2, 0), "Others"))</f>
        <v>L5 Crypt</v>
      </c>
    </row>
    <row r="2704" spans="1:6" x14ac:dyDescent="0.25">
      <c r="A2704" s="14">
        <v>46147.781944444447</v>
      </c>
      <c r="B2704" s="79" t="s">
        <v>149</v>
      </c>
      <c r="C2704" s="79" t="s">
        <v>183</v>
      </c>
      <c r="D2704" s="79" t="s">
        <v>168</v>
      </c>
      <c r="E2704" s="79" t="s">
        <v>50</v>
      </c>
      <c r="F2704" s="79" t="str">
        <f>IF(E2704="", "", IF(COUNTIF(ChestType!$A$5:$A$195, E2704)&gt;0, VLOOKUP(E2704, ChestType!$A$5:$B$195, 2, 0), "Others"))</f>
        <v>L10 Crypt</v>
      </c>
    </row>
    <row r="2705" spans="1:6" x14ac:dyDescent="0.25">
      <c r="A2705" s="14">
        <v>46147.781944444447</v>
      </c>
      <c r="B2705" s="79" t="s">
        <v>149</v>
      </c>
      <c r="C2705" s="79" t="s">
        <v>183</v>
      </c>
      <c r="D2705" s="79" t="s">
        <v>168</v>
      </c>
      <c r="E2705" s="79" t="s">
        <v>52</v>
      </c>
      <c r="F2705" s="79" t="str">
        <f>IF(E2705="", "", IF(COUNTIF(ChestType!$A$5:$A$195, E2705)&gt;0, VLOOKUP(E2705, ChestType!$A$5:$B$195, 2, 0), "Others"))</f>
        <v>L5 Crypt</v>
      </c>
    </row>
    <row r="2706" spans="1:6" x14ac:dyDescent="0.25">
      <c r="A2706" s="14">
        <v>46147.781944444447</v>
      </c>
      <c r="B2706" s="79" t="s">
        <v>149</v>
      </c>
      <c r="C2706" s="79" t="s">
        <v>187</v>
      </c>
      <c r="D2706" s="79" t="s">
        <v>156</v>
      </c>
      <c r="E2706" s="79" t="s">
        <v>75</v>
      </c>
      <c r="F2706" s="79" t="str">
        <f>IF(E2706="", "", IF(COUNTIF(ChestType!$A$5:$A$195, E2706)&gt;0, VLOOKUP(E2706, ChestType!$A$5:$B$195, 2, 0), "Others"))</f>
        <v>L10 Rare Crypt</v>
      </c>
    </row>
    <row r="2707" spans="1:6" x14ac:dyDescent="0.25">
      <c r="A2707" s="14">
        <v>46147.781944444447</v>
      </c>
      <c r="B2707" s="79" t="s">
        <v>149</v>
      </c>
      <c r="C2707" s="79" t="s">
        <v>190</v>
      </c>
      <c r="D2707" s="79" t="s">
        <v>168</v>
      </c>
      <c r="E2707" s="79" t="s">
        <v>52</v>
      </c>
      <c r="F2707" s="79" t="str">
        <f>IF(E2707="", "", IF(COUNTIF(ChestType!$A$5:$A$195, E2707)&gt;0, VLOOKUP(E2707, ChestType!$A$5:$B$195, 2, 0), "Others"))</f>
        <v>L5 Crypt</v>
      </c>
    </row>
    <row r="2708" spans="1:6" x14ac:dyDescent="0.25">
      <c r="A2708" s="14">
        <v>46147.781944444447</v>
      </c>
      <c r="B2708" s="79" t="s">
        <v>149</v>
      </c>
      <c r="C2708" s="79" t="s">
        <v>177</v>
      </c>
      <c r="D2708" s="79" t="s">
        <v>168</v>
      </c>
      <c r="E2708" s="79" t="s">
        <v>52</v>
      </c>
      <c r="F2708" s="79" t="str">
        <f>IF(E2708="", "", IF(COUNTIF(ChestType!$A$5:$A$195, E2708)&gt;0, VLOOKUP(E2708, ChestType!$A$5:$B$195, 2, 0), "Others"))</f>
        <v>L5 Crypt</v>
      </c>
    </row>
    <row r="2709" spans="1:6" x14ac:dyDescent="0.25">
      <c r="A2709" s="14">
        <v>46147.781944444447</v>
      </c>
      <c r="B2709" s="79" t="s">
        <v>149</v>
      </c>
      <c r="C2709" s="79" t="s">
        <v>175</v>
      </c>
      <c r="D2709" s="79" t="s">
        <v>179</v>
      </c>
      <c r="E2709" s="79" t="s">
        <v>50</v>
      </c>
      <c r="F2709" s="79" t="str">
        <f>IF(E2709="", "", IF(COUNTIF(ChestType!$A$5:$A$195, E2709)&gt;0, VLOOKUP(E2709, ChestType!$A$5:$B$195, 2, 0), "Others"))</f>
        <v>L10 Crypt</v>
      </c>
    </row>
    <row r="2710" spans="1:6" x14ac:dyDescent="0.25">
      <c r="A2710" s="14">
        <v>46147.781944444447</v>
      </c>
      <c r="B2710" s="79" t="s">
        <v>149</v>
      </c>
      <c r="C2710" s="79" t="s">
        <v>187</v>
      </c>
      <c r="D2710" s="79" t="s">
        <v>168</v>
      </c>
      <c r="E2710" s="79" t="s">
        <v>75</v>
      </c>
      <c r="F2710" s="79" t="str">
        <f>IF(E2710="", "", IF(COUNTIF(ChestType!$A$5:$A$195, E2710)&gt;0, VLOOKUP(E2710, ChestType!$A$5:$B$195, 2, 0), "Others"))</f>
        <v>L10 Rare Crypt</v>
      </c>
    </row>
    <row r="2711" spans="1:6" x14ac:dyDescent="0.25">
      <c r="A2711" s="14">
        <v>46147.781944444447</v>
      </c>
      <c r="B2711" s="79" t="s">
        <v>149</v>
      </c>
      <c r="C2711" s="79" t="s">
        <v>182</v>
      </c>
      <c r="D2711" s="79" t="s">
        <v>168</v>
      </c>
      <c r="E2711" s="79" t="s">
        <v>52</v>
      </c>
      <c r="F2711" s="79" t="str">
        <f>IF(E2711="", "", IF(COUNTIF(ChestType!$A$5:$A$195, E2711)&gt;0, VLOOKUP(E2711, ChestType!$A$5:$B$195, 2, 0), "Others"))</f>
        <v>L5 Crypt</v>
      </c>
    </row>
    <row r="2712" spans="1:6" x14ac:dyDescent="0.25">
      <c r="A2712" s="14">
        <v>46147.781944444447</v>
      </c>
      <c r="B2712" s="79" t="s">
        <v>149</v>
      </c>
      <c r="C2712" s="79" t="s">
        <v>181</v>
      </c>
      <c r="D2712" s="79" t="s">
        <v>168</v>
      </c>
      <c r="E2712" s="79" t="s">
        <v>50</v>
      </c>
      <c r="F2712" s="79" t="str">
        <f>IF(E2712="", "", IF(COUNTIF(ChestType!$A$5:$A$195, E2712)&gt;0, VLOOKUP(E2712, ChestType!$A$5:$B$195, 2, 0), "Others"))</f>
        <v>L10 Crypt</v>
      </c>
    </row>
    <row r="2713" spans="1:6" x14ac:dyDescent="0.25">
      <c r="A2713" s="14">
        <v>46147.781944444447</v>
      </c>
      <c r="B2713" s="79" t="s">
        <v>149</v>
      </c>
      <c r="C2713" s="79" t="s">
        <v>183</v>
      </c>
      <c r="D2713" s="79" t="s">
        <v>250</v>
      </c>
      <c r="E2713" s="79" t="s">
        <v>52</v>
      </c>
      <c r="F2713" s="79" t="str">
        <f>IF(E2713="", "", IF(COUNTIF(ChestType!$A$5:$A$195, E2713)&gt;0, VLOOKUP(E2713, ChestType!$A$5:$B$195, 2, 0), "Others"))</f>
        <v>L5 Crypt</v>
      </c>
    </row>
    <row r="2714" spans="1:6" x14ac:dyDescent="0.25">
      <c r="A2714" s="14">
        <v>46147.781944444447</v>
      </c>
      <c r="B2714" s="79" t="s">
        <v>149</v>
      </c>
      <c r="C2714" s="79" t="s">
        <v>183</v>
      </c>
      <c r="D2714" s="79" t="s">
        <v>168</v>
      </c>
      <c r="E2714" s="79" t="s">
        <v>50</v>
      </c>
      <c r="F2714" s="79" t="str">
        <f>IF(E2714="", "", IF(COUNTIF(ChestType!$A$5:$A$195, E2714)&gt;0, VLOOKUP(E2714, ChestType!$A$5:$B$195, 2, 0), "Others"))</f>
        <v>L10 Crypt</v>
      </c>
    </row>
    <row r="2715" spans="1:6" x14ac:dyDescent="0.25">
      <c r="A2715" s="14">
        <v>46147.781944444447</v>
      </c>
      <c r="B2715" s="79" t="s">
        <v>149</v>
      </c>
      <c r="C2715" s="79" t="s">
        <v>184</v>
      </c>
      <c r="D2715" s="79" t="s">
        <v>168</v>
      </c>
      <c r="E2715" s="79" t="s">
        <v>50</v>
      </c>
      <c r="F2715" s="79" t="str">
        <f>IF(E2715="", "", IF(COUNTIF(ChestType!$A$5:$A$195, E2715)&gt;0, VLOOKUP(E2715, ChestType!$A$5:$B$195, 2, 0), "Others"))</f>
        <v>L10 Crypt</v>
      </c>
    </row>
    <row r="2716" spans="1:6" x14ac:dyDescent="0.25">
      <c r="A2716" s="14">
        <v>46147.781944444447</v>
      </c>
      <c r="B2716" s="79" t="s">
        <v>149</v>
      </c>
      <c r="C2716" s="79" t="s">
        <v>185</v>
      </c>
      <c r="D2716" s="79" t="s">
        <v>168</v>
      </c>
      <c r="E2716" s="79" t="s">
        <v>50</v>
      </c>
      <c r="F2716" s="79" t="str">
        <f>IF(E2716="", "", IF(COUNTIF(ChestType!$A$5:$A$195, E2716)&gt;0, VLOOKUP(E2716, ChestType!$A$5:$B$195, 2, 0), "Others"))</f>
        <v>L10 Crypt</v>
      </c>
    </row>
    <row r="2717" spans="1:6" x14ac:dyDescent="0.25">
      <c r="A2717" s="14">
        <v>46147.781944444447</v>
      </c>
      <c r="B2717" s="79" t="s">
        <v>149</v>
      </c>
      <c r="C2717" s="79" t="s">
        <v>176</v>
      </c>
      <c r="D2717" s="79" t="s">
        <v>156</v>
      </c>
      <c r="E2717" s="79" t="s">
        <v>70</v>
      </c>
      <c r="F2717" s="79" t="str">
        <f>IF(E2717="", "", IF(COUNTIF(ChestType!$A$5:$A$195, E2717)&gt;0, VLOOKUP(E2717, ChestType!$A$5:$B$195, 2, 0), "Others"))</f>
        <v>L10 Citadel</v>
      </c>
    </row>
    <row r="2718" spans="1:6" x14ac:dyDescent="0.25">
      <c r="A2718" s="14">
        <v>46147.781944444447</v>
      </c>
      <c r="B2718" s="79" t="s">
        <v>149</v>
      </c>
      <c r="C2718" s="79" t="s">
        <v>185</v>
      </c>
      <c r="D2718" s="79" t="s">
        <v>168</v>
      </c>
      <c r="E2718" s="79" t="s">
        <v>50</v>
      </c>
      <c r="F2718" s="79" t="str">
        <f>IF(E2718="", "", IF(COUNTIF(ChestType!$A$5:$A$195, E2718)&gt;0, VLOOKUP(E2718, ChestType!$A$5:$B$195, 2, 0), "Others"))</f>
        <v>L10 Crypt</v>
      </c>
    </row>
    <row r="2719" spans="1:6" x14ac:dyDescent="0.25">
      <c r="A2719" s="14">
        <v>46147.781944444447</v>
      </c>
      <c r="B2719" s="79" t="s">
        <v>149</v>
      </c>
      <c r="C2719" s="79" t="s">
        <v>158</v>
      </c>
      <c r="D2719" s="79" t="s">
        <v>168</v>
      </c>
      <c r="E2719" s="79" t="s">
        <v>50</v>
      </c>
      <c r="F2719" s="79" t="str">
        <f>IF(E2719="", "", IF(COUNTIF(ChestType!$A$5:$A$195, E2719)&gt;0, VLOOKUP(E2719, ChestType!$A$5:$B$195, 2, 0), "Others"))</f>
        <v>L10 Crypt</v>
      </c>
    </row>
    <row r="2720" spans="1:6" x14ac:dyDescent="0.25">
      <c r="A2720" s="14">
        <v>46147.781944444447</v>
      </c>
      <c r="B2720" s="79" t="s">
        <v>149</v>
      </c>
      <c r="C2720" s="79" t="s">
        <v>171</v>
      </c>
      <c r="D2720" s="79" t="s">
        <v>168</v>
      </c>
      <c r="E2720" s="79" t="s">
        <v>50</v>
      </c>
      <c r="F2720" s="79" t="str">
        <f>IF(E2720="", "", IF(COUNTIF(ChestType!$A$5:$A$195, E2720)&gt;0, VLOOKUP(E2720, ChestType!$A$5:$B$195, 2, 0), "Others"))</f>
        <v>L10 Crypt</v>
      </c>
    </row>
    <row r="2721" spans="1:6" x14ac:dyDescent="0.25">
      <c r="A2721" s="14">
        <v>46147.781944444447</v>
      </c>
      <c r="B2721" s="79" t="s">
        <v>149</v>
      </c>
      <c r="C2721" s="79" t="s">
        <v>182</v>
      </c>
      <c r="D2721" s="79" t="s">
        <v>168</v>
      </c>
      <c r="E2721" s="79" t="s">
        <v>52</v>
      </c>
      <c r="F2721" s="79" t="str">
        <f>IF(E2721="", "", IF(COUNTIF(ChestType!$A$5:$A$195, E2721)&gt;0, VLOOKUP(E2721, ChestType!$A$5:$B$195, 2, 0), "Others"))</f>
        <v>L5 Crypt</v>
      </c>
    </row>
    <row r="2722" spans="1:6" x14ac:dyDescent="0.25">
      <c r="A2722" s="14">
        <v>46147.781944444447</v>
      </c>
      <c r="B2722" s="79" t="s">
        <v>149</v>
      </c>
      <c r="C2722" s="79" t="s">
        <v>183</v>
      </c>
      <c r="D2722" s="79" t="s">
        <v>168</v>
      </c>
      <c r="E2722" s="79" t="s">
        <v>52</v>
      </c>
      <c r="F2722" s="79" t="str">
        <f>IF(E2722="", "", IF(COUNTIF(ChestType!$A$5:$A$195, E2722)&gt;0, VLOOKUP(E2722, ChestType!$A$5:$B$195, 2, 0), "Others"))</f>
        <v>L5 Crypt</v>
      </c>
    </row>
    <row r="2723" spans="1:6" x14ac:dyDescent="0.25">
      <c r="A2723" s="14">
        <v>46147.781944444447</v>
      </c>
      <c r="B2723" s="79" t="s">
        <v>149</v>
      </c>
      <c r="C2723" s="79" t="s">
        <v>183</v>
      </c>
      <c r="D2723" s="79" t="s">
        <v>168</v>
      </c>
      <c r="E2723" s="79" t="s">
        <v>52</v>
      </c>
      <c r="F2723" s="79" t="str">
        <f>IF(E2723="", "", IF(COUNTIF(ChestType!$A$5:$A$195, E2723)&gt;0, VLOOKUP(E2723, ChestType!$A$5:$B$195, 2, 0), "Others"))</f>
        <v>L5 Crypt</v>
      </c>
    </row>
    <row r="2724" spans="1:6" x14ac:dyDescent="0.25">
      <c r="A2724" s="14">
        <v>46147.781944444447</v>
      </c>
      <c r="B2724" s="79" t="s">
        <v>149</v>
      </c>
      <c r="C2724" s="79" t="s">
        <v>171</v>
      </c>
      <c r="D2724" s="79" t="s">
        <v>168</v>
      </c>
      <c r="E2724" s="79" t="s">
        <v>50</v>
      </c>
      <c r="F2724" s="79" t="str">
        <f>IF(E2724="", "", IF(COUNTIF(ChestType!$A$5:$A$195, E2724)&gt;0, VLOOKUP(E2724, ChestType!$A$5:$B$195, 2, 0), "Others"))</f>
        <v>L10 Crypt</v>
      </c>
    </row>
    <row r="2725" spans="1:6" x14ac:dyDescent="0.25">
      <c r="A2725" s="14">
        <v>46147.781944444447</v>
      </c>
      <c r="B2725" s="79" t="s">
        <v>149</v>
      </c>
      <c r="C2725" s="79" t="s">
        <v>175</v>
      </c>
      <c r="D2725" s="79" t="s">
        <v>250</v>
      </c>
      <c r="E2725" s="79" t="s">
        <v>50</v>
      </c>
      <c r="F2725" s="79" t="str">
        <f>IF(E2725="", "", IF(COUNTIF(ChestType!$A$5:$A$195, E2725)&gt;0, VLOOKUP(E2725, ChestType!$A$5:$B$195, 2, 0), "Others"))</f>
        <v>L10 Crypt</v>
      </c>
    </row>
    <row r="2726" spans="1:6" x14ac:dyDescent="0.25">
      <c r="A2726" s="14">
        <v>46147.781944444447</v>
      </c>
      <c r="B2726" s="79" t="s">
        <v>149</v>
      </c>
      <c r="C2726" s="79" t="s">
        <v>173</v>
      </c>
      <c r="D2726" s="79" t="s">
        <v>168</v>
      </c>
      <c r="E2726" s="79" t="s">
        <v>50</v>
      </c>
      <c r="F2726" s="79" t="str">
        <f>IF(E2726="", "", IF(COUNTIF(ChestType!$A$5:$A$195, E2726)&gt;0, VLOOKUP(E2726, ChestType!$A$5:$B$195, 2, 0), "Others"))</f>
        <v>L10 Crypt</v>
      </c>
    </row>
    <row r="2727" spans="1:6" x14ac:dyDescent="0.25">
      <c r="A2727" s="14">
        <v>46147.781944444447</v>
      </c>
      <c r="B2727" s="79" t="s">
        <v>149</v>
      </c>
      <c r="C2727" s="79" t="s">
        <v>177</v>
      </c>
      <c r="D2727" s="79" t="s">
        <v>168</v>
      </c>
      <c r="E2727" s="79" t="s">
        <v>52</v>
      </c>
      <c r="F2727" s="79" t="str">
        <f>IF(E2727="", "", IF(COUNTIF(ChestType!$A$5:$A$195, E2727)&gt;0, VLOOKUP(E2727, ChestType!$A$5:$B$195, 2, 0), "Others"))</f>
        <v>L5 Crypt</v>
      </c>
    </row>
    <row r="2728" spans="1:6" x14ac:dyDescent="0.25">
      <c r="A2728" s="14">
        <v>46147.781944444447</v>
      </c>
      <c r="B2728" s="79" t="s">
        <v>149</v>
      </c>
      <c r="C2728" s="79" t="s">
        <v>183</v>
      </c>
      <c r="D2728" s="79" t="s">
        <v>168</v>
      </c>
      <c r="E2728" s="79" t="s">
        <v>52</v>
      </c>
      <c r="F2728" s="79" t="str">
        <f>IF(E2728="", "", IF(COUNTIF(ChestType!$A$5:$A$195, E2728)&gt;0, VLOOKUP(E2728, ChestType!$A$5:$B$195, 2, 0), "Others"))</f>
        <v>L5 Crypt</v>
      </c>
    </row>
    <row r="2729" spans="1:6" x14ac:dyDescent="0.25">
      <c r="A2729" s="14">
        <v>46147.781944444447</v>
      </c>
      <c r="B2729" s="79" t="s">
        <v>149</v>
      </c>
      <c r="C2729" s="79" t="s">
        <v>183</v>
      </c>
      <c r="D2729" s="79" t="s">
        <v>267</v>
      </c>
      <c r="E2729" s="79" t="s">
        <v>52</v>
      </c>
      <c r="F2729" s="79" t="str">
        <f>IF(E2729="", "", IF(COUNTIF(ChestType!$A$5:$A$195, E2729)&gt;0, VLOOKUP(E2729, ChestType!$A$5:$B$195, 2, 0), "Others"))</f>
        <v>L5 Crypt</v>
      </c>
    </row>
    <row r="2730" spans="1:6" x14ac:dyDescent="0.25">
      <c r="A2730" s="14">
        <v>46147.781944444447</v>
      </c>
      <c r="B2730" s="79" t="s">
        <v>149</v>
      </c>
      <c r="C2730" s="79" t="s">
        <v>173</v>
      </c>
      <c r="D2730" s="79" t="s">
        <v>267</v>
      </c>
      <c r="E2730" s="79" t="s">
        <v>52</v>
      </c>
      <c r="F2730" s="79" t="str">
        <f>IF(E2730="", "", IF(COUNTIF(ChestType!$A$5:$A$195, E2730)&gt;0, VLOOKUP(E2730, ChestType!$A$5:$B$195, 2, 0), "Others"))</f>
        <v>L5 Crypt</v>
      </c>
    </row>
    <row r="2731" spans="1:6" x14ac:dyDescent="0.25">
      <c r="A2731" s="14">
        <v>46147.781944444447</v>
      </c>
      <c r="B2731" s="79" t="s">
        <v>149</v>
      </c>
      <c r="C2731" s="79" t="s">
        <v>175</v>
      </c>
      <c r="D2731" s="79" t="s">
        <v>168</v>
      </c>
      <c r="E2731" s="79" t="s">
        <v>50</v>
      </c>
      <c r="F2731" s="79" t="str">
        <f>IF(E2731="", "", IF(COUNTIF(ChestType!$A$5:$A$195, E2731)&gt;0, VLOOKUP(E2731, ChestType!$A$5:$B$195, 2, 0), "Others"))</f>
        <v>L10 Crypt</v>
      </c>
    </row>
    <row r="2732" spans="1:6" x14ac:dyDescent="0.25">
      <c r="A2732" s="14">
        <v>46147.781944444447</v>
      </c>
      <c r="B2732" s="79" t="s">
        <v>149</v>
      </c>
      <c r="C2732" s="79" t="s">
        <v>190</v>
      </c>
      <c r="D2732" s="79" t="s">
        <v>168</v>
      </c>
      <c r="E2732" s="79" t="s">
        <v>52</v>
      </c>
      <c r="F2732" s="79" t="str">
        <f>IF(E2732="", "", IF(COUNTIF(ChestType!$A$5:$A$195, E2732)&gt;0, VLOOKUP(E2732, ChestType!$A$5:$B$195, 2, 0), "Others"))</f>
        <v>L5 Crypt</v>
      </c>
    </row>
    <row r="2733" spans="1:6" x14ac:dyDescent="0.25">
      <c r="A2733" s="14">
        <v>46147.781944444447</v>
      </c>
      <c r="B2733" s="79" t="s">
        <v>149</v>
      </c>
      <c r="C2733" s="79" t="s">
        <v>151</v>
      </c>
      <c r="D2733" s="79" t="s">
        <v>168</v>
      </c>
      <c r="E2733" s="79" t="s">
        <v>52</v>
      </c>
      <c r="F2733" s="79" t="str">
        <f>IF(E2733="", "", IF(COUNTIF(ChestType!$A$5:$A$195, E2733)&gt;0, VLOOKUP(E2733, ChestType!$A$5:$B$195, 2, 0), "Others"))</f>
        <v>L5 Crypt</v>
      </c>
    </row>
    <row r="2734" spans="1:6" x14ac:dyDescent="0.25">
      <c r="A2734" s="14">
        <v>46147.781944444447</v>
      </c>
      <c r="B2734" s="79" t="s">
        <v>149</v>
      </c>
      <c r="C2734" s="79" t="s">
        <v>184</v>
      </c>
      <c r="D2734" s="79" t="s">
        <v>168</v>
      </c>
      <c r="E2734" s="79" t="s">
        <v>50</v>
      </c>
      <c r="F2734" s="79" t="str">
        <f>IF(E2734="", "", IF(COUNTIF(ChestType!$A$5:$A$195, E2734)&gt;0, VLOOKUP(E2734, ChestType!$A$5:$B$195, 2, 0), "Others"))</f>
        <v>L10 Crypt</v>
      </c>
    </row>
    <row r="2735" spans="1:6" x14ac:dyDescent="0.25">
      <c r="A2735" s="14">
        <v>46147.781944444447</v>
      </c>
      <c r="B2735" s="79" t="s">
        <v>149</v>
      </c>
      <c r="C2735" s="79" t="s">
        <v>845</v>
      </c>
      <c r="D2735" s="79" t="s">
        <v>199</v>
      </c>
      <c r="E2735" s="79" t="s">
        <v>846</v>
      </c>
      <c r="F2735" s="79" t="str">
        <f>IF(E2735="", "", IF(COUNTIF(ChestType!$A$5:$A$195, E2735)&gt;0, VLOOKUP(E2735, ChestType!$A$5:$B$195, 2, 0), "Others"))</f>
        <v>Others</v>
      </c>
    </row>
    <row r="2736" spans="1:6" x14ac:dyDescent="0.25">
      <c r="A2736" s="14">
        <v>46147.781944444447</v>
      </c>
      <c r="B2736" s="79" t="s">
        <v>149</v>
      </c>
      <c r="C2736" s="79" t="s">
        <v>158</v>
      </c>
      <c r="D2736" s="79" t="s">
        <v>168</v>
      </c>
      <c r="E2736" s="79" t="s">
        <v>52</v>
      </c>
      <c r="F2736" s="79" t="str">
        <f>IF(E2736="", "", IF(COUNTIF(ChestType!$A$5:$A$195, E2736)&gt;0, VLOOKUP(E2736, ChestType!$A$5:$B$195, 2, 0), "Others"))</f>
        <v>L5 Crypt</v>
      </c>
    </row>
    <row r="2737" spans="1:6" x14ac:dyDescent="0.25">
      <c r="A2737" s="14">
        <v>46147.781944444447</v>
      </c>
      <c r="B2737" s="79" t="s">
        <v>149</v>
      </c>
      <c r="C2737" s="79" t="s">
        <v>177</v>
      </c>
      <c r="D2737" s="79" t="s">
        <v>168</v>
      </c>
      <c r="E2737" s="79" t="s">
        <v>50</v>
      </c>
      <c r="F2737" s="79" t="str">
        <f>IF(E2737="", "", IF(COUNTIF(ChestType!$A$5:$A$195, E2737)&gt;0, VLOOKUP(E2737, ChestType!$A$5:$B$195, 2, 0), "Others"))</f>
        <v>L10 Crypt</v>
      </c>
    </row>
    <row r="2738" spans="1:6" x14ac:dyDescent="0.25">
      <c r="A2738" s="14">
        <v>46147.781944444447</v>
      </c>
      <c r="B2738" s="79" t="s">
        <v>149</v>
      </c>
      <c r="C2738" s="79" t="s">
        <v>175</v>
      </c>
      <c r="D2738" s="79" t="s">
        <v>168</v>
      </c>
      <c r="E2738" s="79" t="s">
        <v>50</v>
      </c>
      <c r="F2738" s="79" t="str">
        <f>IF(E2738="", "", IF(COUNTIF(ChestType!$A$5:$A$195, E2738)&gt;0, VLOOKUP(E2738, ChestType!$A$5:$B$195, 2, 0), "Others"))</f>
        <v>L10 Crypt</v>
      </c>
    </row>
    <row r="2739" spans="1:6" x14ac:dyDescent="0.25">
      <c r="A2739" s="14">
        <v>46147.781944444447</v>
      </c>
      <c r="B2739" s="79" t="s">
        <v>149</v>
      </c>
      <c r="C2739" s="79" t="s">
        <v>184</v>
      </c>
      <c r="D2739" s="79" t="s">
        <v>168</v>
      </c>
      <c r="E2739" s="79" t="s">
        <v>50</v>
      </c>
      <c r="F2739" s="79" t="str">
        <f>IF(E2739="", "", IF(COUNTIF(ChestType!$A$5:$A$195, E2739)&gt;0, VLOOKUP(E2739, ChestType!$A$5:$B$195, 2, 0), "Others"))</f>
        <v>L10 Crypt</v>
      </c>
    </row>
    <row r="2740" spans="1:6" x14ac:dyDescent="0.25">
      <c r="A2740" s="14">
        <v>46147.781944444447</v>
      </c>
      <c r="B2740" s="79" t="s">
        <v>149</v>
      </c>
      <c r="C2740" s="79" t="s">
        <v>158</v>
      </c>
      <c r="D2740" s="79" t="s">
        <v>168</v>
      </c>
      <c r="E2740" s="79" t="s">
        <v>50</v>
      </c>
      <c r="F2740" s="79" t="str">
        <f>IF(E2740="", "", IF(COUNTIF(ChestType!$A$5:$A$195, E2740)&gt;0, VLOOKUP(E2740, ChestType!$A$5:$B$195, 2, 0), "Others"))</f>
        <v>L10 Crypt</v>
      </c>
    </row>
    <row r="2741" spans="1:6" x14ac:dyDescent="0.25">
      <c r="A2741" s="14">
        <v>46147.781944444447</v>
      </c>
      <c r="B2741" s="79" t="s">
        <v>149</v>
      </c>
      <c r="C2741" s="79" t="s">
        <v>185</v>
      </c>
      <c r="D2741" s="79" t="s">
        <v>179</v>
      </c>
      <c r="E2741" s="79" t="s">
        <v>50</v>
      </c>
      <c r="F2741" s="79" t="str">
        <f>IF(E2741="", "", IF(COUNTIF(ChestType!$A$5:$A$195, E2741)&gt;0, VLOOKUP(E2741, ChestType!$A$5:$B$195, 2, 0), "Others"))</f>
        <v>L10 Crypt</v>
      </c>
    </row>
    <row r="2742" spans="1:6" x14ac:dyDescent="0.25">
      <c r="A2742" s="14">
        <v>46147.781944444447</v>
      </c>
      <c r="B2742" s="79" t="s">
        <v>149</v>
      </c>
      <c r="C2742" s="79" t="s">
        <v>151</v>
      </c>
      <c r="D2742" s="79" t="s">
        <v>168</v>
      </c>
      <c r="E2742" s="79" t="s">
        <v>50</v>
      </c>
      <c r="F2742" s="79" t="str">
        <f>IF(E2742="", "", IF(COUNTIF(ChestType!$A$5:$A$195, E2742)&gt;0, VLOOKUP(E2742, ChestType!$A$5:$B$195, 2, 0), "Others"))</f>
        <v>L10 Crypt</v>
      </c>
    </row>
    <row r="2743" spans="1:6" x14ac:dyDescent="0.25">
      <c r="A2743" s="14">
        <v>46147.781944444447</v>
      </c>
      <c r="B2743" s="79" t="s">
        <v>149</v>
      </c>
      <c r="C2743" s="79" t="s">
        <v>173</v>
      </c>
      <c r="D2743" s="79" t="s">
        <v>168</v>
      </c>
      <c r="E2743" s="79" t="s">
        <v>52</v>
      </c>
      <c r="F2743" s="79" t="str">
        <f>IF(E2743="", "", IF(COUNTIF(ChestType!$A$5:$A$195, E2743)&gt;0, VLOOKUP(E2743, ChestType!$A$5:$B$195, 2, 0), "Others"))</f>
        <v>L5 Crypt</v>
      </c>
    </row>
    <row r="2744" spans="1:6" x14ac:dyDescent="0.25">
      <c r="A2744" s="14">
        <v>46147.781944444447</v>
      </c>
      <c r="B2744" s="79" t="s">
        <v>149</v>
      </c>
      <c r="C2744" s="79" t="s">
        <v>171</v>
      </c>
      <c r="D2744" s="79" t="s">
        <v>168</v>
      </c>
      <c r="E2744" s="79" t="s">
        <v>50</v>
      </c>
      <c r="F2744" s="79" t="str">
        <f>IF(E2744="", "", IF(COUNTIF(ChestType!$A$5:$A$195, E2744)&gt;0, VLOOKUP(E2744, ChestType!$A$5:$B$195, 2, 0), "Others"))</f>
        <v>L10 Crypt</v>
      </c>
    </row>
    <row r="2745" spans="1:6" x14ac:dyDescent="0.25">
      <c r="A2745" s="14">
        <v>46147.781944444447</v>
      </c>
      <c r="B2745" s="79" t="s">
        <v>149</v>
      </c>
      <c r="C2745" s="79" t="s">
        <v>175</v>
      </c>
      <c r="D2745" s="79" t="s">
        <v>168</v>
      </c>
      <c r="E2745" s="79" t="s">
        <v>52</v>
      </c>
      <c r="F2745" s="79" t="str">
        <f>IF(E2745="", "", IF(COUNTIF(ChestType!$A$5:$A$195, E2745)&gt;0, VLOOKUP(E2745, ChestType!$A$5:$B$195, 2, 0), "Others"))</f>
        <v>L5 Crypt</v>
      </c>
    </row>
    <row r="2746" spans="1:6" x14ac:dyDescent="0.25">
      <c r="A2746" s="14">
        <v>46147.781944444447</v>
      </c>
      <c r="B2746" s="79" t="s">
        <v>149</v>
      </c>
      <c r="C2746" s="79" t="s">
        <v>176</v>
      </c>
      <c r="D2746" s="79" t="s">
        <v>156</v>
      </c>
      <c r="E2746" s="79" t="s">
        <v>70</v>
      </c>
      <c r="F2746" s="79" t="str">
        <f>IF(E2746="", "", IF(COUNTIF(ChestType!$A$5:$A$195, E2746)&gt;0, VLOOKUP(E2746, ChestType!$A$5:$B$195, 2, 0), "Others"))</f>
        <v>L10 Citadel</v>
      </c>
    </row>
    <row r="2747" spans="1:6" x14ac:dyDescent="0.25">
      <c r="A2747" s="14">
        <v>46147.781944444447</v>
      </c>
      <c r="B2747" s="79" t="s">
        <v>149</v>
      </c>
      <c r="C2747" s="79" t="s">
        <v>173</v>
      </c>
      <c r="D2747" s="79" t="s">
        <v>231</v>
      </c>
      <c r="E2747" s="79" t="s">
        <v>49</v>
      </c>
      <c r="F2747" s="79" t="str">
        <f>IF(E2747="", "", IF(COUNTIF(ChestType!$A$5:$A$195, E2747)&gt;0, VLOOKUP(E2747, ChestType!$A$5:$B$195, 2, 0), "Others"))</f>
        <v>L15 Crypt</v>
      </c>
    </row>
    <row r="2748" spans="1:6" x14ac:dyDescent="0.25">
      <c r="A2748" s="14">
        <v>46147.781944444447</v>
      </c>
      <c r="B2748" s="79" t="s">
        <v>149</v>
      </c>
      <c r="C2748" s="79" t="s">
        <v>151</v>
      </c>
      <c r="D2748" s="79" t="s">
        <v>250</v>
      </c>
      <c r="E2748" s="79" t="s">
        <v>50</v>
      </c>
      <c r="F2748" s="79" t="str">
        <f>IF(E2748="", "", IF(COUNTIF(ChestType!$A$5:$A$195, E2748)&gt;0, VLOOKUP(E2748, ChestType!$A$5:$B$195, 2, 0), "Others"))</f>
        <v>L10 Crypt</v>
      </c>
    </row>
    <row r="2749" spans="1:6" x14ac:dyDescent="0.25">
      <c r="A2749" s="14">
        <v>46147.781944444447</v>
      </c>
      <c r="B2749" s="79" t="s">
        <v>195</v>
      </c>
      <c r="C2749" s="79" t="s">
        <v>209</v>
      </c>
      <c r="D2749" s="79" t="s">
        <v>265</v>
      </c>
      <c r="E2749" s="79" t="s">
        <v>24</v>
      </c>
      <c r="F2749" s="79" t="str">
        <f>IF(E2749="", "", IF(COUNTIF(ChestType!$A$5:$A$195, E2749)&gt;0, VLOOKUP(E2749, ChestType!$A$5:$B$195, 2, 0), "Others"))</f>
        <v>Bank</v>
      </c>
    </row>
    <row r="2750" spans="1:6" x14ac:dyDescent="0.25">
      <c r="A2750" s="14">
        <v>46147.781944444447</v>
      </c>
      <c r="B2750" s="79" t="s">
        <v>195</v>
      </c>
      <c r="C2750" s="79" t="s">
        <v>209</v>
      </c>
      <c r="D2750" s="79" t="s">
        <v>265</v>
      </c>
      <c r="E2750" s="79" t="s">
        <v>24</v>
      </c>
      <c r="F2750" s="79" t="str">
        <f>IF(E2750="", "", IF(COUNTIF(ChestType!$A$5:$A$195, E2750)&gt;0, VLOOKUP(E2750, ChestType!$A$5:$B$195, 2, 0), "Others"))</f>
        <v>Bank</v>
      </c>
    </row>
    <row r="2751" spans="1:6" x14ac:dyDescent="0.25">
      <c r="A2751" s="14">
        <v>46147.781944444447</v>
      </c>
      <c r="B2751" s="79" t="s">
        <v>195</v>
      </c>
      <c r="C2751" s="79" t="s">
        <v>209</v>
      </c>
      <c r="D2751" s="79" t="s">
        <v>265</v>
      </c>
      <c r="E2751" s="79" t="s">
        <v>24</v>
      </c>
      <c r="F2751" s="79" t="str">
        <f>IF(E2751="", "", IF(COUNTIF(ChestType!$A$5:$A$195, E2751)&gt;0, VLOOKUP(E2751, ChestType!$A$5:$B$195, 2, 0), "Others"))</f>
        <v>Bank</v>
      </c>
    </row>
    <row r="2752" spans="1:6" x14ac:dyDescent="0.25">
      <c r="A2752" s="14">
        <v>46147.781944444447</v>
      </c>
      <c r="B2752" s="79" t="s">
        <v>195</v>
      </c>
      <c r="C2752" s="79" t="s">
        <v>196</v>
      </c>
      <c r="D2752" s="79" t="s">
        <v>254</v>
      </c>
      <c r="E2752" s="79" t="s">
        <v>24</v>
      </c>
      <c r="F2752" s="79" t="str">
        <f>IF(E2752="", "", IF(COUNTIF(ChestType!$A$5:$A$195, E2752)&gt;0, VLOOKUP(E2752, ChestType!$A$5:$B$195, 2, 0), "Others"))</f>
        <v>Bank</v>
      </c>
    </row>
    <row r="2753" spans="1:6" x14ac:dyDescent="0.25">
      <c r="A2753" s="14">
        <v>46147.781944444447</v>
      </c>
      <c r="B2753" s="79" t="s">
        <v>195</v>
      </c>
      <c r="C2753" s="79" t="s">
        <v>196</v>
      </c>
      <c r="D2753" s="79" t="s">
        <v>254</v>
      </c>
      <c r="E2753" s="79" t="s">
        <v>24</v>
      </c>
      <c r="F2753" s="79" t="str">
        <f>IF(E2753="", "", IF(COUNTIF(ChestType!$A$5:$A$195, E2753)&gt;0, VLOOKUP(E2753, ChestType!$A$5:$B$195, 2, 0), "Others"))</f>
        <v>Bank</v>
      </c>
    </row>
    <row r="2754" spans="1:6" x14ac:dyDescent="0.25">
      <c r="A2754" s="14">
        <v>46147.781944444447</v>
      </c>
      <c r="B2754" s="79" t="s">
        <v>195</v>
      </c>
      <c r="C2754" s="79" t="s">
        <v>196</v>
      </c>
      <c r="D2754" s="79" t="s">
        <v>254</v>
      </c>
      <c r="E2754" s="79" t="s">
        <v>24</v>
      </c>
      <c r="F2754" s="79" t="str">
        <f>IF(E2754="", "", IF(COUNTIF(ChestType!$A$5:$A$195, E2754)&gt;0, VLOOKUP(E2754, ChestType!$A$5:$B$195, 2, 0), "Others"))</f>
        <v>Bank</v>
      </c>
    </row>
    <row r="2755" spans="1:6" x14ac:dyDescent="0.25">
      <c r="A2755" s="14">
        <v>46147.781944444447</v>
      </c>
      <c r="B2755" s="79" t="s">
        <v>195</v>
      </c>
      <c r="C2755" s="79" t="s">
        <v>198</v>
      </c>
      <c r="D2755" s="79" t="s">
        <v>156</v>
      </c>
      <c r="E2755" s="79" t="s">
        <v>24</v>
      </c>
      <c r="F2755" s="79" t="str">
        <f>IF(E2755="", "", IF(COUNTIF(ChestType!$A$5:$A$195, E2755)&gt;0, VLOOKUP(E2755, ChestType!$A$5:$B$195, 2, 0), "Others"))</f>
        <v>Bank</v>
      </c>
    </row>
    <row r="2756" spans="1:6" x14ac:dyDescent="0.25">
      <c r="A2756" s="14">
        <v>46147.781944444447</v>
      </c>
      <c r="B2756" s="79" t="s">
        <v>195</v>
      </c>
      <c r="C2756" s="79" t="s">
        <v>198</v>
      </c>
      <c r="D2756" s="79" t="s">
        <v>156</v>
      </c>
      <c r="E2756" s="79" t="s">
        <v>24</v>
      </c>
      <c r="F2756" s="79" t="str">
        <f>IF(E2756="", "", IF(COUNTIF(ChestType!$A$5:$A$195, E2756)&gt;0, VLOOKUP(E2756, ChestType!$A$5:$B$195, 2, 0), "Others"))</f>
        <v>Bank</v>
      </c>
    </row>
    <row r="2757" spans="1:6" x14ac:dyDescent="0.25">
      <c r="A2757" s="14">
        <v>46147.781944444447</v>
      </c>
      <c r="B2757" s="79" t="s">
        <v>195</v>
      </c>
      <c r="C2757" s="79" t="s">
        <v>198</v>
      </c>
      <c r="D2757" s="79" t="s">
        <v>156</v>
      </c>
      <c r="E2757" s="79" t="s">
        <v>24</v>
      </c>
      <c r="F2757" s="79" t="str">
        <f>IF(E2757="", "", IF(COUNTIF(ChestType!$A$5:$A$195, E2757)&gt;0, VLOOKUP(E2757, ChestType!$A$5:$B$195, 2, 0), "Others"))</f>
        <v>Bank</v>
      </c>
    </row>
    <row r="2758" spans="1:6" x14ac:dyDescent="0.25">
      <c r="A2758" s="14">
        <v>46147.781944444447</v>
      </c>
      <c r="B2758" s="79" t="s">
        <v>195</v>
      </c>
      <c r="C2758" s="79" t="s">
        <v>196</v>
      </c>
      <c r="D2758" s="79" t="s">
        <v>250</v>
      </c>
      <c r="E2758" s="79" t="s">
        <v>24</v>
      </c>
      <c r="F2758" s="79" t="str">
        <f>IF(E2758="", "", IF(COUNTIF(ChestType!$A$5:$A$195, E2758)&gt;0, VLOOKUP(E2758, ChestType!$A$5:$B$195, 2, 0), "Others"))</f>
        <v>Bank</v>
      </c>
    </row>
    <row r="2759" spans="1:6" x14ac:dyDescent="0.25">
      <c r="A2759" s="14">
        <v>46147.781944444447</v>
      </c>
      <c r="B2759" s="79" t="s">
        <v>195</v>
      </c>
      <c r="C2759" s="79" t="s">
        <v>196</v>
      </c>
      <c r="D2759" s="79" t="s">
        <v>250</v>
      </c>
      <c r="E2759" s="79" t="s">
        <v>24</v>
      </c>
      <c r="F2759" s="79" t="str">
        <f>IF(E2759="", "", IF(COUNTIF(ChestType!$A$5:$A$195, E2759)&gt;0, VLOOKUP(E2759, ChestType!$A$5:$B$195, 2, 0), "Others"))</f>
        <v>Bank</v>
      </c>
    </row>
    <row r="2760" spans="1:6" x14ac:dyDescent="0.25">
      <c r="A2760" s="14">
        <v>46147.781944444447</v>
      </c>
      <c r="B2760" s="79" t="s">
        <v>195</v>
      </c>
      <c r="C2760" s="79" t="s">
        <v>196</v>
      </c>
      <c r="D2760" s="79" t="s">
        <v>250</v>
      </c>
      <c r="E2760" s="79" t="s">
        <v>24</v>
      </c>
      <c r="F2760" s="79" t="str">
        <f>IF(E2760="", "", IF(COUNTIF(ChestType!$A$5:$A$195, E2760)&gt;0, VLOOKUP(E2760, ChestType!$A$5:$B$195, 2, 0), "Others"))</f>
        <v>Bank</v>
      </c>
    </row>
    <row r="2761" spans="1:6" x14ac:dyDescent="0.25">
      <c r="A2761" s="14">
        <v>46147.900694444441</v>
      </c>
      <c r="B2761" s="79" t="s">
        <v>149</v>
      </c>
      <c r="C2761" s="79" t="s">
        <v>183</v>
      </c>
      <c r="D2761" s="79" t="s">
        <v>199</v>
      </c>
      <c r="E2761" s="79" t="s">
        <v>49</v>
      </c>
      <c r="F2761" s="79" t="str">
        <f>IF(E2761="", "", IF(COUNTIF(ChestType!$A$5:$A$195, E2761)&gt;0, VLOOKUP(E2761, ChestType!$A$5:$B$195, 2, 0), "Others"))</f>
        <v>L15 Crypt</v>
      </c>
    </row>
    <row r="2762" spans="1:6" x14ac:dyDescent="0.25">
      <c r="A2762" s="14">
        <v>46147.900694444441</v>
      </c>
      <c r="B2762" s="79" t="s">
        <v>149</v>
      </c>
      <c r="C2762" s="79" t="s">
        <v>181</v>
      </c>
      <c r="D2762" s="79" t="s">
        <v>251</v>
      </c>
      <c r="E2762" s="79" t="s">
        <v>49</v>
      </c>
      <c r="F2762" s="79" t="str">
        <f>IF(E2762="", "", IF(COUNTIF(ChestType!$A$5:$A$195, E2762)&gt;0, VLOOKUP(E2762, ChestType!$A$5:$B$195, 2, 0), "Others"))</f>
        <v>L15 Crypt</v>
      </c>
    </row>
    <row r="2763" spans="1:6" x14ac:dyDescent="0.25">
      <c r="A2763" s="14">
        <v>46147.900694444441</v>
      </c>
      <c r="B2763" s="79" t="s">
        <v>149</v>
      </c>
      <c r="C2763" s="79" t="s">
        <v>184</v>
      </c>
      <c r="D2763" s="79" t="s">
        <v>250</v>
      </c>
      <c r="E2763" s="79" t="s">
        <v>50</v>
      </c>
      <c r="F2763" s="79" t="str">
        <f>IF(E2763="", "", IF(COUNTIF(ChestType!$A$5:$A$195, E2763)&gt;0, VLOOKUP(E2763, ChestType!$A$5:$B$195, 2, 0), "Others"))</f>
        <v>L10 Crypt</v>
      </c>
    </row>
    <row r="2764" spans="1:6" x14ac:dyDescent="0.25">
      <c r="A2764" s="14">
        <v>46147.900694444441</v>
      </c>
      <c r="B2764" s="79" t="s">
        <v>149</v>
      </c>
      <c r="C2764" s="79" t="s">
        <v>177</v>
      </c>
      <c r="D2764" s="79" t="s">
        <v>250</v>
      </c>
      <c r="E2764" s="79" t="s">
        <v>50</v>
      </c>
      <c r="F2764" s="79" t="str">
        <f>IF(E2764="", "", IF(COUNTIF(ChestType!$A$5:$A$195, E2764)&gt;0, VLOOKUP(E2764, ChestType!$A$5:$B$195, 2, 0), "Others"))</f>
        <v>L10 Crypt</v>
      </c>
    </row>
    <row r="2765" spans="1:6" x14ac:dyDescent="0.25">
      <c r="A2765" s="14">
        <v>46147.900694444441</v>
      </c>
      <c r="B2765" s="79" t="s">
        <v>149</v>
      </c>
      <c r="C2765" s="79" t="s">
        <v>176</v>
      </c>
      <c r="D2765" s="79" t="s">
        <v>167</v>
      </c>
      <c r="E2765" s="79" t="s">
        <v>70</v>
      </c>
      <c r="F2765" s="79" t="str">
        <f>IF(E2765="", "", IF(COUNTIF(ChestType!$A$5:$A$195, E2765)&gt;0, VLOOKUP(E2765, ChestType!$A$5:$B$195, 2, 0), "Others"))</f>
        <v>L10 Citadel</v>
      </c>
    </row>
    <row r="2766" spans="1:6" x14ac:dyDescent="0.25">
      <c r="A2766" s="14">
        <v>46147.900694444441</v>
      </c>
      <c r="B2766" s="79" t="s">
        <v>149</v>
      </c>
      <c r="C2766" s="79" t="s">
        <v>182</v>
      </c>
      <c r="D2766" s="79" t="s">
        <v>250</v>
      </c>
      <c r="E2766" s="79" t="s">
        <v>50</v>
      </c>
      <c r="F2766" s="79" t="str">
        <f>IF(E2766="", "", IF(COUNTIF(ChestType!$A$5:$A$195, E2766)&gt;0, VLOOKUP(E2766, ChestType!$A$5:$B$195, 2, 0), "Others"))</f>
        <v>L10 Crypt</v>
      </c>
    </row>
    <row r="2767" spans="1:6" x14ac:dyDescent="0.25">
      <c r="A2767" s="14">
        <v>46147.900694444441</v>
      </c>
      <c r="B2767" s="79" t="s">
        <v>149</v>
      </c>
      <c r="C2767" s="79" t="s">
        <v>158</v>
      </c>
      <c r="D2767" s="79" t="s">
        <v>250</v>
      </c>
      <c r="E2767" s="79" t="s">
        <v>50</v>
      </c>
      <c r="F2767" s="79" t="str">
        <f>IF(E2767="", "", IF(COUNTIF(ChestType!$A$5:$A$195, E2767)&gt;0, VLOOKUP(E2767, ChestType!$A$5:$B$195, 2, 0), "Others"))</f>
        <v>L10 Crypt</v>
      </c>
    </row>
    <row r="2768" spans="1:6" x14ac:dyDescent="0.25">
      <c r="A2768" s="14">
        <v>46147.900694444441</v>
      </c>
      <c r="B2768" s="79" t="s">
        <v>149</v>
      </c>
      <c r="C2768" s="79" t="s">
        <v>158</v>
      </c>
      <c r="D2768" s="79" t="s">
        <v>250</v>
      </c>
      <c r="E2768" s="79" t="s">
        <v>50</v>
      </c>
      <c r="F2768" s="79" t="str">
        <f>IF(E2768="", "", IF(COUNTIF(ChestType!$A$5:$A$195, E2768)&gt;0, VLOOKUP(E2768, ChestType!$A$5:$B$195, 2, 0), "Others"))</f>
        <v>L10 Crypt</v>
      </c>
    </row>
    <row r="2769" spans="1:6" x14ac:dyDescent="0.25">
      <c r="A2769" s="14">
        <v>46147.900694444441</v>
      </c>
      <c r="B2769" s="79" t="s">
        <v>149</v>
      </c>
      <c r="C2769" s="79" t="s">
        <v>182</v>
      </c>
      <c r="D2769" s="79" t="s">
        <v>250</v>
      </c>
      <c r="E2769" s="79" t="s">
        <v>50</v>
      </c>
      <c r="F2769" s="79" t="str">
        <f>IF(E2769="", "", IF(COUNTIF(ChestType!$A$5:$A$195, E2769)&gt;0, VLOOKUP(E2769, ChestType!$A$5:$B$195, 2, 0), "Others"))</f>
        <v>L10 Crypt</v>
      </c>
    </row>
    <row r="2770" spans="1:6" x14ac:dyDescent="0.25">
      <c r="A2770" s="14">
        <v>46147.900694444441</v>
      </c>
      <c r="B2770" s="79" t="s">
        <v>149</v>
      </c>
      <c r="C2770" s="79" t="s">
        <v>171</v>
      </c>
      <c r="D2770" s="79" t="s">
        <v>250</v>
      </c>
      <c r="E2770" s="79" t="s">
        <v>50</v>
      </c>
      <c r="F2770" s="79" t="str">
        <f>IF(E2770="", "", IF(COUNTIF(ChestType!$A$5:$A$195, E2770)&gt;0, VLOOKUP(E2770, ChestType!$A$5:$B$195, 2, 0), "Others"))</f>
        <v>L10 Crypt</v>
      </c>
    </row>
    <row r="2771" spans="1:6" x14ac:dyDescent="0.25">
      <c r="A2771" s="14">
        <v>46147.900694444441</v>
      </c>
      <c r="B2771" s="79" t="s">
        <v>149</v>
      </c>
      <c r="C2771" s="79" t="s">
        <v>182</v>
      </c>
      <c r="D2771" s="79" t="s">
        <v>205</v>
      </c>
      <c r="E2771" s="79" t="s">
        <v>50</v>
      </c>
      <c r="F2771" s="79" t="str">
        <f>IF(E2771="", "", IF(COUNTIF(ChestType!$A$5:$A$195, E2771)&gt;0, VLOOKUP(E2771, ChestType!$A$5:$B$195, 2, 0), "Others"))</f>
        <v>L10 Crypt</v>
      </c>
    </row>
    <row r="2772" spans="1:6" x14ac:dyDescent="0.25">
      <c r="A2772" s="14">
        <v>46147.900694444441</v>
      </c>
      <c r="B2772" s="79" t="s">
        <v>149</v>
      </c>
      <c r="C2772" s="79" t="s">
        <v>187</v>
      </c>
      <c r="D2772" s="79" t="s">
        <v>205</v>
      </c>
      <c r="E2772" s="79" t="s">
        <v>75</v>
      </c>
      <c r="F2772" s="79" t="str">
        <f>IF(E2772="", "", IF(COUNTIF(ChestType!$A$5:$A$195, E2772)&gt;0, VLOOKUP(E2772, ChestType!$A$5:$B$195, 2, 0), "Others"))</f>
        <v>L10 Rare Crypt</v>
      </c>
    </row>
    <row r="2773" spans="1:6" x14ac:dyDescent="0.25">
      <c r="A2773" s="14">
        <v>46147.900694444441</v>
      </c>
      <c r="B2773" s="79" t="s">
        <v>149</v>
      </c>
      <c r="C2773" s="79" t="s">
        <v>176</v>
      </c>
      <c r="D2773" s="79" t="s">
        <v>202</v>
      </c>
      <c r="E2773" s="79" t="s">
        <v>70</v>
      </c>
      <c r="F2773" s="79" t="str">
        <f>IF(E2773="", "", IF(COUNTIF(ChestType!$A$5:$A$195, E2773)&gt;0, VLOOKUP(E2773, ChestType!$A$5:$B$195, 2, 0), "Others"))</f>
        <v>L10 Citadel</v>
      </c>
    </row>
    <row r="2774" spans="1:6" x14ac:dyDescent="0.25">
      <c r="A2774" s="14">
        <v>46147.900694444441</v>
      </c>
      <c r="B2774" s="79" t="s">
        <v>149</v>
      </c>
      <c r="C2774" s="79" t="s">
        <v>177</v>
      </c>
      <c r="D2774" s="79" t="s">
        <v>251</v>
      </c>
      <c r="E2774" s="79" t="s">
        <v>49</v>
      </c>
      <c r="F2774" s="79" t="str">
        <f>IF(E2774="", "", IF(COUNTIF(ChestType!$A$5:$A$195, E2774)&gt;0, VLOOKUP(E2774, ChestType!$A$5:$B$195, 2, 0), "Others"))</f>
        <v>L15 Crypt</v>
      </c>
    </row>
    <row r="2775" spans="1:6" x14ac:dyDescent="0.25">
      <c r="A2775" s="14">
        <v>46147.900694444441</v>
      </c>
      <c r="B2775" s="79" t="s">
        <v>149</v>
      </c>
      <c r="C2775" s="79" t="s">
        <v>176</v>
      </c>
      <c r="D2775" s="79" t="s">
        <v>167</v>
      </c>
      <c r="E2775" s="79" t="s">
        <v>70</v>
      </c>
      <c r="F2775" s="79" t="str">
        <f>IF(E2775="", "", IF(COUNTIF(ChestType!$A$5:$A$195, E2775)&gt;0, VLOOKUP(E2775, ChestType!$A$5:$B$195, 2, 0), "Others"))</f>
        <v>L10 Citadel</v>
      </c>
    </row>
    <row r="2776" spans="1:6" x14ac:dyDescent="0.25">
      <c r="A2776" s="14">
        <v>46147.900694444441</v>
      </c>
      <c r="B2776" s="79" t="s">
        <v>149</v>
      </c>
      <c r="C2776" s="79" t="s">
        <v>187</v>
      </c>
      <c r="D2776" s="79" t="s">
        <v>202</v>
      </c>
      <c r="E2776" s="79" t="s">
        <v>75</v>
      </c>
      <c r="F2776" s="79" t="str">
        <f>IF(E2776="", "", IF(COUNTIF(ChestType!$A$5:$A$195, E2776)&gt;0, VLOOKUP(E2776, ChestType!$A$5:$B$195, 2, 0), "Others"))</f>
        <v>L10 Rare Crypt</v>
      </c>
    </row>
    <row r="2777" spans="1:6" x14ac:dyDescent="0.25">
      <c r="A2777" s="14">
        <v>46147.900694444441</v>
      </c>
      <c r="B2777" s="79" t="s">
        <v>149</v>
      </c>
      <c r="C2777" s="79" t="s">
        <v>845</v>
      </c>
      <c r="D2777" s="79" t="s">
        <v>205</v>
      </c>
      <c r="E2777" s="79" t="s">
        <v>846</v>
      </c>
      <c r="F2777" s="79" t="str">
        <f>IF(E2777="", "", IF(COUNTIF(ChestType!$A$5:$A$195, E2777)&gt;0, VLOOKUP(E2777, ChestType!$A$5:$B$195, 2, 0), "Others"))</f>
        <v>Others</v>
      </c>
    </row>
    <row r="2778" spans="1:6" x14ac:dyDescent="0.25">
      <c r="A2778" s="14">
        <v>46147.900694444441</v>
      </c>
      <c r="B2778" s="79" t="s">
        <v>149</v>
      </c>
      <c r="C2778" s="79" t="s">
        <v>187</v>
      </c>
      <c r="D2778" s="79" t="s">
        <v>202</v>
      </c>
      <c r="E2778" s="79" t="s">
        <v>75</v>
      </c>
      <c r="F2778" s="79" t="str">
        <f>IF(E2778="", "", IF(COUNTIF(ChestType!$A$5:$A$195, E2778)&gt;0, VLOOKUP(E2778, ChestType!$A$5:$B$195, 2, 0), "Others"))</f>
        <v>L10 Rare Crypt</v>
      </c>
    </row>
    <row r="2779" spans="1:6" x14ac:dyDescent="0.25">
      <c r="A2779" s="14">
        <v>46147.900694444441</v>
      </c>
      <c r="B2779" s="79" t="s">
        <v>149</v>
      </c>
      <c r="C2779" s="79" t="s">
        <v>182</v>
      </c>
      <c r="D2779" s="79" t="s">
        <v>167</v>
      </c>
      <c r="E2779" s="79" t="s">
        <v>50</v>
      </c>
      <c r="F2779" s="79" t="str">
        <f>IF(E2779="", "", IF(COUNTIF(ChestType!$A$5:$A$195, E2779)&gt;0, VLOOKUP(E2779, ChestType!$A$5:$B$195, 2, 0), "Others"))</f>
        <v>L10 Crypt</v>
      </c>
    </row>
    <row r="2780" spans="1:6" x14ac:dyDescent="0.25">
      <c r="A2780" s="14">
        <v>46147.900694444441</v>
      </c>
      <c r="B2780" s="79" t="s">
        <v>149</v>
      </c>
      <c r="C2780" s="79" t="s">
        <v>187</v>
      </c>
      <c r="D2780" s="79" t="s">
        <v>167</v>
      </c>
      <c r="E2780" s="79" t="s">
        <v>75</v>
      </c>
      <c r="F2780" s="79" t="str">
        <f>IF(E2780="", "", IF(COUNTIF(ChestType!$A$5:$A$195, E2780)&gt;0, VLOOKUP(E2780, ChestType!$A$5:$B$195, 2, 0), "Others"))</f>
        <v>L10 Rare Crypt</v>
      </c>
    </row>
    <row r="2781" spans="1:6" x14ac:dyDescent="0.25">
      <c r="A2781" s="14">
        <v>46147.900694444441</v>
      </c>
      <c r="B2781" s="79" t="s">
        <v>149</v>
      </c>
      <c r="C2781" s="79" t="s">
        <v>192</v>
      </c>
      <c r="D2781" s="79" t="s">
        <v>191</v>
      </c>
      <c r="E2781" s="79" t="s">
        <v>60</v>
      </c>
      <c r="F2781" s="79" t="str">
        <f>IF(E2781="", "", IF(COUNTIF(ChestType!$A$5:$A$195, E2781)&gt;0, VLOOKUP(E2781, ChestType!$A$5:$B$195, 2, 0), "Others"))</f>
        <v>Others</v>
      </c>
    </row>
    <row r="2782" spans="1:6" x14ac:dyDescent="0.25">
      <c r="A2782" s="14">
        <v>46147.900694444441</v>
      </c>
      <c r="B2782" s="79" t="s">
        <v>149</v>
      </c>
      <c r="C2782" s="79" t="s">
        <v>187</v>
      </c>
      <c r="D2782" s="79" t="s">
        <v>167</v>
      </c>
      <c r="E2782" s="79" t="s">
        <v>75</v>
      </c>
      <c r="F2782" s="79" t="str">
        <f>IF(E2782="", "", IF(COUNTIF(ChestType!$A$5:$A$195, E2782)&gt;0, VLOOKUP(E2782, ChestType!$A$5:$B$195, 2, 0), "Others"))</f>
        <v>L10 Rare Crypt</v>
      </c>
    </row>
    <row r="2783" spans="1:6" x14ac:dyDescent="0.25">
      <c r="A2783" s="14">
        <v>46147.900694444441</v>
      </c>
      <c r="B2783" s="79" t="s">
        <v>149</v>
      </c>
      <c r="C2783" s="79" t="s">
        <v>190</v>
      </c>
      <c r="D2783" s="79" t="s">
        <v>267</v>
      </c>
      <c r="E2783" s="79" t="s">
        <v>52</v>
      </c>
      <c r="F2783" s="79" t="str">
        <f>IF(E2783="", "", IF(COUNTIF(ChestType!$A$5:$A$195, E2783)&gt;0, VLOOKUP(E2783, ChestType!$A$5:$B$195, 2, 0), "Others"))</f>
        <v>L5 Crypt</v>
      </c>
    </row>
    <row r="2784" spans="1:6" x14ac:dyDescent="0.25">
      <c r="A2784" s="14">
        <v>46147.900694444441</v>
      </c>
      <c r="B2784" s="79" t="s">
        <v>149</v>
      </c>
      <c r="C2784" s="79" t="s">
        <v>214</v>
      </c>
      <c r="D2784" s="79" t="s">
        <v>205</v>
      </c>
      <c r="E2784" s="79" t="s">
        <v>64</v>
      </c>
      <c r="F2784" s="79" t="str">
        <f>IF(E2784="", "", IF(COUNTIF(ChestType!$A$5:$A$195, E2784)&gt;0, VLOOKUP(E2784, ChestType!$A$5:$B$195, 2, 0), "Others"))</f>
        <v>L15 Epic Crypt</v>
      </c>
    </row>
    <row r="2785" spans="1:6" x14ac:dyDescent="0.25">
      <c r="A2785" s="14">
        <v>46147.900694444441</v>
      </c>
      <c r="B2785" s="79" t="s">
        <v>149</v>
      </c>
      <c r="C2785" s="79" t="s">
        <v>182</v>
      </c>
      <c r="D2785" s="79" t="s">
        <v>167</v>
      </c>
      <c r="E2785" s="79" t="s">
        <v>50</v>
      </c>
      <c r="F2785" s="79" t="str">
        <f>IF(E2785="", "", IF(COUNTIF(ChestType!$A$5:$A$195, E2785)&gt;0, VLOOKUP(E2785, ChestType!$A$5:$B$195, 2, 0), "Others"))</f>
        <v>L10 Crypt</v>
      </c>
    </row>
    <row r="2786" spans="1:6" x14ac:dyDescent="0.25">
      <c r="A2786" s="14">
        <v>46147.900694444441</v>
      </c>
      <c r="B2786" s="79" t="s">
        <v>149</v>
      </c>
      <c r="C2786" s="79" t="s">
        <v>845</v>
      </c>
      <c r="D2786" s="79" t="s">
        <v>205</v>
      </c>
      <c r="E2786" s="79" t="s">
        <v>846</v>
      </c>
      <c r="F2786" s="79" t="str">
        <f>IF(E2786="", "", IF(COUNTIF(ChestType!$A$5:$A$195, E2786)&gt;0, VLOOKUP(E2786, ChestType!$A$5:$B$195, 2, 0), "Others"))</f>
        <v>Others</v>
      </c>
    </row>
    <row r="2787" spans="1:6" x14ac:dyDescent="0.25">
      <c r="A2787" s="14">
        <v>46147.900694444441</v>
      </c>
      <c r="B2787" s="79" t="s">
        <v>149</v>
      </c>
      <c r="C2787" s="79" t="s">
        <v>187</v>
      </c>
      <c r="D2787" s="79" t="s">
        <v>166</v>
      </c>
      <c r="E2787" s="79" t="s">
        <v>75</v>
      </c>
      <c r="F2787" s="79" t="str">
        <f>IF(E2787="", "", IF(COUNTIF(ChestType!$A$5:$A$195, E2787)&gt;0, VLOOKUP(E2787, ChestType!$A$5:$B$195, 2, 0), "Others"))</f>
        <v>L10 Rare Crypt</v>
      </c>
    </row>
    <row r="2788" spans="1:6" x14ac:dyDescent="0.25">
      <c r="A2788" s="14">
        <v>46147.900694444441</v>
      </c>
      <c r="B2788" s="79" t="s">
        <v>149</v>
      </c>
      <c r="C2788" s="79" t="s">
        <v>185</v>
      </c>
      <c r="D2788" s="79" t="s">
        <v>165</v>
      </c>
      <c r="E2788" s="79" t="s">
        <v>50</v>
      </c>
      <c r="F2788" s="79" t="str">
        <f>IF(E2788="", "", IF(COUNTIF(ChestType!$A$5:$A$195, E2788)&gt;0, VLOOKUP(E2788, ChestType!$A$5:$B$195, 2, 0), "Others"))</f>
        <v>L10 Crypt</v>
      </c>
    </row>
    <row r="2789" spans="1:6" x14ac:dyDescent="0.25">
      <c r="A2789" s="14">
        <v>46147.900694444441</v>
      </c>
      <c r="B2789" s="79" t="s">
        <v>149</v>
      </c>
      <c r="C2789" s="79" t="s">
        <v>182</v>
      </c>
      <c r="D2789" s="79" t="s">
        <v>167</v>
      </c>
      <c r="E2789" s="79" t="s">
        <v>50</v>
      </c>
      <c r="F2789" s="79" t="str">
        <f>IF(E2789="", "", IF(COUNTIF(ChestType!$A$5:$A$195, E2789)&gt;0, VLOOKUP(E2789, ChestType!$A$5:$B$195, 2, 0), "Others"))</f>
        <v>L10 Crypt</v>
      </c>
    </row>
    <row r="2790" spans="1:6" x14ac:dyDescent="0.25">
      <c r="A2790" s="14">
        <v>46147.900694444441</v>
      </c>
      <c r="B2790" s="79" t="s">
        <v>149</v>
      </c>
      <c r="C2790" s="79" t="s">
        <v>181</v>
      </c>
      <c r="D2790" s="79" t="s">
        <v>165</v>
      </c>
      <c r="E2790" s="79" t="s">
        <v>50</v>
      </c>
      <c r="F2790" s="79" t="str">
        <f>IF(E2790="", "", IF(COUNTIF(ChestType!$A$5:$A$195, E2790)&gt;0, VLOOKUP(E2790, ChestType!$A$5:$B$195, 2, 0), "Others"))</f>
        <v>L10 Crypt</v>
      </c>
    </row>
    <row r="2791" spans="1:6" x14ac:dyDescent="0.25">
      <c r="A2791" s="14">
        <v>46147.900694444441</v>
      </c>
      <c r="B2791" s="79" t="s">
        <v>149</v>
      </c>
      <c r="C2791" s="79" t="s">
        <v>845</v>
      </c>
      <c r="D2791" s="79" t="s">
        <v>205</v>
      </c>
      <c r="E2791" s="79" t="s">
        <v>846</v>
      </c>
      <c r="F2791" s="79" t="str">
        <f>IF(E2791="", "", IF(COUNTIF(ChestType!$A$5:$A$195, E2791)&gt;0, VLOOKUP(E2791, ChestType!$A$5:$B$195, 2, 0), "Others"))</f>
        <v>Others</v>
      </c>
    </row>
    <row r="2792" spans="1:6" x14ac:dyDescent="0.25">
      <c r="A2792" s="14">
        <v>46147.900694444441</v>
      </c>
      <c r="B2792" s="79" t="s">
        <v>149</v>
      </c>
      <c r="C2792" s="79" t="s">
        <v>190</v>
      </c>
      <c r="D2792" s="79" t="s">
        <v>166</v>
      </c>
      <c r="E2792" s="79" t="s">
        <v>50</v>
      </c>
      <c r="F2792" s="79" t="str">
        <f>IF(E2792="", "", IF(COUNTIF(ChestType!$A$5:$A$195, E2792)&gt;0, VLOOKUP(E2792, ChestType!$A$5:$B$195, 2, 0), "Others"))</f>
        <v>L10 Crypt</v>
      </c>
    </row>
    <row r="2793" spans="1:6" x14ac:dyDescent="0.25">
      <c r="A2793" s="14">
        <v>46147.900694444441</v>
      </c>
      <c r="B2793" s="79" t="s">
        <v>149</v>
      </c>
      <c r="C2793" s="79" t="s">
        <v>845</v>
      </c>
      <c r="D2793" s="79" t="s">
        <v>250</v>
      </c>
      <c r="E2793" s="79" t="s">
        <v>846</v>
      </c>
      <c r="F2793" s="79" t="str">
        <f>IF(E2793="", "", IF(COUNTIF(ChestType!$A$5:$A$195, E2793)&gt;0, VLOOKUP(E2793, ChestType!$A$5:$B$195, 2, 0), "Others"))</f>
        <v>Others</v>
      </c>
    </row>
    <row r="2794" spans="1:6" x14ac:dyDescent="0.25">
      <c r="A2794" s="14">
        <v>46147.900694444441</v>
      </c>
      <c r="B2794" s="79" t="s">
        <v>149</v>
      </c>
      <c r="C2794" s="79" t="s">
        <v>177</v>
      </c>
      <c r="D2794" s="79" t="s">
        <v>191</v>
      </c>
      <c r="E2794" s="79" t="s">
        <v>52</v>
      </c>
      <c r="F2794" s="79" t="str">
        <f>IF(E2794="", "", IF(COUNTIF(ChestType!$A$5:$A$195, E2794)&gt;0, VLOOKUP(E2794, ChestType!$A$5:$B$195, 2, 0), "Others"))</f>
        <v>L5 Crypt</v>
      </c>
    </row>
    <row r="2795" spans="1:6" x14ac:dyDescent="0.25">
      <c r="A2795" s="14">
        <v>46147.900694444441</v>
      </c>
      <c r="B2795" s="79" t="s">
        <v>149</v>
      </c>
      <c r="C2795" s="79" t="s">
        <v>190</v>
      </c>
      <c r="D2795" s="79" t="s">
        <v>191</v>
      </c>
      <c r="E2795" s="79" t="s">
        <v>52</v>
      </c>
      <c r="F2795" s="79" t="str">
        <f>IF(E2795="", "", IF(COUNTIF(ChestType!$A$5:$A$195, E2795)&gt;0, VLOOKUP(E2795, ChestType!$A$5:$B$195, 2, 0), "Others"))</f>
        <v>L5 Crypt</v>
      </c>
    </row>
    <row r="2796" spans="1:6" x14ac:dyDescent="0.25">
      <c r="A2796" s="14">
        <v>46147.900694444441</v>
      </c>
      <c r="B2796" s="79" t="s">
        <v>149</v>
      </c>
      <c r="C2796" s="79" t="s">
        <v>190</v>
      </c>
      <c r="D2796" s="79" t="s">
        <v>191</v>
      </c>
      <c r="E2796" s="79" t="s">
        <v>50</v>
      </c>
      <c r="F2796" s="79" t="str">
        <f>IF(E2796="", "", IF(COUNTIF(ChestType!$A$5:$A$195, E2796)&gt;0, VLOOKUP(E2796, ChestType!$A$5:$B$195, 2, 0), "Others"))</f>
        <v>L10 Crypt</v>
      </c>
    </row>
    <row r="2797" spans="1:6" x14ac:dyDescent="0.25">
      <c r="A2797" s="14">
        <v>46147.900694444441</v>
      </c>
      <c r="B2797" s="79" t="s">
        <v>149</v>
      </c>
      <c r="C2797" s="79" t="s">
        <v>175</v>
      </c>
      <c r="D2797" s="79" t="s">
        <v>191</v>
      </c>
      <c r="E2797" s="79" t="s">
        <v>50</v>
      </c>
      <c r="F2797" s="79" t="str">
        <f>IF(E2797="", "", IF(COUNTIF(ChestType!$A$5:$A$195, E2797)&gt;0, VLOOKUP(E2797, ChestType!$A$5:$B$195, 2, 0), "Others"))</f>
        <v>L10 Crypt</v>
      </c>
    </row>
    <row r="2798" spans="1:6" x14ac:dyDescent="0.25">
      <c r="A2798" s="14">
        <v>46147.900694444441</v>
      </c>
      <c r="B2798" s="79" t="s">
        <v>149</v>
      </c>
      <c r="C2798" s="79" t="s">
        <v>190</v>
      </c>
      <c r="D2798" s="79" t="s">
        <v>191</v>
      </c>
      <c r="E2798" s="79" t="s">
        <v>50</v>
      </c>
      <c r="F2798" s="79" t="str">
        <f>IF(E2798="", "", IF(COUNTIF(ChestType!$A$5:$A$195, E2798)&gt;0, VLOOKUP(E2798, ChestType!$A$5:$B$195, 2, 0), "Others"))</f>
        <v>L10 Crypt</v>
      </c>
    </row>
    <row r="2799" spans="1:6" x14ac:dyDescent="0.25">
      <c r="A2799" s="14">
        <v>46147.900694444441</v>
      </c>
      <c r="B2799" s="79" t="s">
        <v>149</v>
      </c>
      <c r="C2799" s="79" t="s">
        <v>175</v>
      </c>
      <c r="D2799" s="79" t="s">
        <v>231</v>
      </c>
      <c r="E2799" s="79" t="s">
        <v>49</v>
      </c>
      <c r="F2799" s="79" t="str">
        <f>IF(E2799="", "", IF(COUNTIF(ChestType!$A$5:$A$195, E2799)&gt;0, VLOOKUP(E2799, ChestType!$A$5:$B$195, 2, 0), "Others"))</f>
        <v>L15 Crypt</v>
      </c>
    </row>
    <row r="2800" spans="1:6" x14ac:dyDescent="0.25">
      <c r="A2800" s="14">
        <v>46147.900694444441</v>
      </c>
      <c r="B2800" s="79" t="s">
        <v>149</v>
      </c>
      <c r="C2800" s="79" t="s">
        <v>173</v>
      </c>
      <c r="D2800" s="79" t="s">
        <v>231</v>
      </c>
      <c r="E2800" s="79" t="s">
        <v>52</v>
      </c>
      <c r="F2800" s="79" t="str">
        <f>IF(E2800="", "", IF(COUNTIF(ChestType!$A$5:$A$195, E2800)&gt;0, VLOOKUP(E2800, ChestType!$A$5:$B$195, 2, 0), "Others"))</f>
        <v>L5 Crypt</v>
      </c>
    </row>
    <row r="2801" spans="1:6" x14ac:dyDescent="0.25">
      <c r="A2801" s="14">
        <v>46147.900694444441</v>
      </c>
      <c r="B2801" s="79" t="s">
        <v>149</v>
      </c>
      <c r="C2801" s="79" t="s">
        <v>190</v>
      </c>
      <c r="D2801" s="79" t="s">
        <v>191</v>
      </c>
      <c r="E2801" s="79" t="s">
        <v>49</v>
      </c>
      <c r="F2801" s="79" t="str">
        <f>IF(E2801="", "", IF(COUNTIF(ChestType!$A$5:$A$195, E2801)&gt;0, VLOOKUP(E2801, ChestType!$A$5:$B$195, 2, 0), "Others"))</f>
        <v>L15 Crypt</v>
      </c>
    </row>
    <row r="2802" spans="1:6" x14ac:dyDescent="0.25">
      <c r="A2802" s="14">
        <v>46147.900694444441</v>
      </c>
      <c r="B2802" s="79" t="s">
        <v>149</v>
      </c>
      <c r="C2802" s="79" t="s">
        <v>217</v>
      </c>
      <c r="D2802" s="79" t="s">
        <v>231</v>
      </c>
      <c r="E2802" s="79" t="s">
        <v>64</v>
      </c>
      <c r="F2802" s="79" t="str">
        <f>IF(E2802="", "", IF(COUNTIF(ChestType!$A$5:$A$195, E2802)&gt;0, VLOOKUP(E2802, ChestType!$A$5:$B$195, 2, 0), "Others"))</f>
        <v>L15 Epic Crypt</v>
      </c>
    </row>
    <row r="2803" spans="1:6" x14ac:dyDescent="0.25">
      <c r="A2803" s="14">
        <v>46147.900694444441</v>
      </c>
      <c r="B2803" s="79" t="s">
        <v>149</v>
      </c>
      <c r="C2803" s="79" t="s">
        <v>174</v>
      </c>
      <c r="D2803" s="79" t="s">
        <v>231</v>
      </c>
      <c r="E2803" s="79" t="s">
        <v>64</v>
      </c>
      <c r="F2803" s="79" t="str">
        <f>IF(E2803="", "", IF(COUNTIF(ChestType!$A$5:$A$195, E2803)&gt;0, VLOOKUP(E2803, ChestType!$A$5:$B$195, 2, 0), "Others"))</f>
        <v>L15 Epic Crypt</v>
      </c>
    </row>
    <row r="2804" spans="1:6" x14ac:dyDescent="0.25">
      <c r="A2804" s="14">
        <v>46147.900694444441</v>
      </c>
      <c r="B2804" s="79" t="s">
        <v>149</v>
      </c>
      <c r="C2804" s="79" t="s">
        <v>190</v>
      </c>
      <c r="D2804" s="79" t="s">
        <v>191</v>
      </c>
      <c r="E2804" s="79" t="s">
        <v>50</v>
      </c>
      <c r="F2804" s="79" t="str">
        <f>IF(E2804="", "", IF(COUNTIF(ChestType!$A$5:$A$195, E2804)&gt;0, VLOOKUP(E2804, ChestType!$A$5:$B$195, 2, 0), "Others"))</f>
        <v>L10 Crypt</v>
      </c>
    </row>
    <row r="2805" spans="1:6" x14ac:dyDescent="0.25">
      <c r="A2805" s="14">
        <v>46147.900694444441</v>
      </c>
      <c r="B2805" s="79" t="s">
        <v>149</v>
      </c>
      <c r="C2805" s="79" t="s">
        <v>173</v>
      </c>
      <c r="D2805" s="79" t="s">
        <v>231</v>
      </c>
      <c r="E2805" s="79" t="s">
        <v>49</v>
      </c>
      <c r="F2805" s="79" t="str">
        <f>IF(E2805="", "", IF(COUNTIF(ChestType!$A$5:$A$195, E2805)&gt;0, VLOOKUP(E2805, ChestType!$A$5:$B$195, 2, 0), "Others"))</f>
        <v>L15 Crypt</v>
      </c>
    </row>
    <row r="2806" spans="1:6" x14ac:dyDescent="0.25">
      <c r="A2806" s="14">
        <v>46147.900694444441</v>
      </c>
      <c r="B2806" s="79" t="s">
        <v>149</v>
      </c>
      <c r="C2806" s="79" t="s">
        <v>184</v>
      </c>
      <c r="D2806" s="79" t="s">
        <v>231</v>
      </c>
      <c r="E2806" s="79" t="s">
        <v>50</v>
      </c>
      <c r="F2806" s="79" t="str">
        <f>IF(E2806="", "", IF(COUNTIF(ChestType!$A$5:$A$195, E2806)&gt;0, VLOOKUP(E2806, ChestType!$A$5:$B$195, 2, 0), "Others"))</f>
        <v>L10 Crypt</v>
      </c>
    </row>
    <row r="2807" spans="1:6" x14ac:dyDescent="0.25">
      <c r="A2807" s="14">
        <v>46147.900694444441</v>
      </c>
      <c r="B2807" s="79" t="s">
        <v>149</v>
      </c>
      <c r="C2807" s="79" t="s">
        <v>185</v>
      </c>
      <c r="D2807" s="79" t="s">
        <v>166</v>
      </c>
      <c r="E2807" s="79" t="s">
        <v>50</v>
      </c>
      <c r="F2807" s="79" t="str">
        <f>IF(E2807="", "", IF(COUNTIF(ChestType!$A$5:$A$195, E2807)&gt;0, VLOOKUP(E2807, ChestType!$A$5:$B$195, 2, 0), "Others"))</f>
        <v>L10 Crypt</v>
      </c>
    </row>
    <row r="2808" spans="1:6" x14ac:dyDescent="0.25">
      <c r="A2808" s="14">
        <v>46147.900694444441</v>
      </c>
      <c r="B2808" s="79" t="s">
        <v>149</v>
      </c>
      <c r="C2808" s="79" t="s">
        <v>211</v>
      </c>
      <c r="D2808" s="79" t="s">
        <v>231</v>
      </c>
      <c r="E2808" s="79" t="s">
        <v>64</v>
      </c>
      <c r="F2808" s="79" t="str">
        <f>IF(E2808="", "", IF(COUNTIF(ChestType!$A$5:$A$195, E2808)&gt;0, VLOOKUP(E2808, ChestType!$A$5:$B$195, 2, 0), "Others"))</f>
        <v>L15 Epic Crypt</v>
      </c>
    </row>
    <row r="2809" spans="1:6" x14ac:dyDescent="0.25">
      <c r="A2809" s="14">
        <v>46147.900694444441</v>
      </c>
      <c r="B2809" s="79" t="s">
        <v>149</v>
      </c>
      <c r="C2809" s="79" t="s">
        <v>176</v>
      </c>
      <c r="D2809" s="79" t="s">
        <v>167</v>
      </c>
      <c r="E2809" s="79" t="s">
        <v>70</v>
      </c>
      <c r="F2809" s="79" t="str">
        <f>IF(E2809="", "", IF(COUNTIF(ChestType!$A$5:$A$195, E2809)&gt;0, VLOOKUP(E2809, ChestType!$A$5:$B$195, 2, 0), "Others"))</f>
        <v>L10 Citadel</v>
      </c>
    </row>
    <row r="2810" spans="1:6" x14ac:dyDescent="0.25">
      <c r="A2810" s="14">
        <v>46147.900694444441</v>
      </c>
      <c r="B2810" s="79" t="s">
        <v>149</v>
      </c>
      <c r="C2810" s="79" t="s">
        <v>182</v>
      </c>
      <c r="D2810" s="79" t="s">
        <v>252</v>
      </c>
      <c r="E2810" s="79" t="s">
        <v>50</v>
      </c>
      <c r="F2810" s="79" t="str">
        <f>IF(E2810="", "", IF(COUNTIF(ChestType!$A$5:$A$195, E2810)&gt;0, VLOOKUP(E2810, ChestType!$A$5:$B$195, 2, 0), "Others"))</f>
        <v>L10 Crypt</v>
      </c>
    </row>
    <row r="2811" spans="1:6" x14ac:dyDescent="0.25">
      <c r="A2811" s="14">
        <v>46147.900694444441</v>
      </c>
      <c r="B2811" s="79" t="s">
        <v>149</v>
      </c>
      <c r="C2811" s="79" t="s">
        <v>175</v>
      </c>
      <c r="D2811" s="79" t="s">
        <v>157</v>
      </c>
      <c r="E2811" s="79" t="s">
        <v>50</v>
      </c>
      <c r="F2811" s="79" t="str">
        <f>IF(E2811="", "", IF(COUNTIF(ChestType!$A$5:$A$195, E2811)&gt;0, VLOOKUP(E2811, ChestType!$A$5:$B$195, 2, 0), "Others"))</f>
        <v>L10 Crypt</v>
      </c>
    </row>
    <row r="2812" spans="1:6" x14ac:dyDescent="0.25">
      <c r="A2812" s="14">
        <v>46147.900694444441</v>
      </c>
      <c r="B2812" s="79" t="s">
        <v>149</v>
      </c>
      <c r="C2812" s="79" t="s">
        <v>176</v>
      </c>
      <c r="D2812" s="79" t="s">
        <v>167</v>
      </c>
      <c r="E2812" s="79" t="s">
        <v>70</v>
      </c>
      <c r="F2812" s="79" t="str">
        <f>IF(E2812="", "", IF(COUNTIF(ChestType!$A$5:$A$195, E2812)&gt;0, VLOOKUP(E2812, ChestType!$A$5:$B$195, 2, 0), "Others"))</f>
        <v>L10 Citadel</v>
      </c>
    </row>
    <row r="2813" spans="1:6" x14ac:dyDescent="0.25">
      <c r="A2813" s="14">
        <v>46147.900694444441</v>
      </c>
      <c r="B2813" s="79" t="s">
        <v>149</v>
      </c>
      <c r="C2813" s="79" t="s">
        <v>176</v>
      </c>
      <c r="D2813" s="79" t="s">
        <v>166</v>
      </c>
      <c r="E2813" s="79" t="s">
        <v>70</v>
      </c>
      <c r="F2813" s="79" t="str">
        <f>IF(E2813="", "", IF(COUNTIF(ChestType!$A$5:$A$195, E2813)&gt;0, VLOOKUP(E2813, ChestType!$A$5:$B$195, 2, 0), "Others"))</f>
        <v>L10 Citadel</v>
      </c>
    </row>
    <row r="2814" spans="1:6" x14ac:dyDescent="0.25">
      <c r="A2814" s="14">
        <v>46147.900694444441</v>
      </c>
      <c r="B2814" s="79" t="s">
        <v>149</v>
      </c>
      <c r="C2814" s="79" t="s">
        <v>845</v>
      </c>
      <c r="D2814" s="79" t="s">
        <v>199</v>
      </c>
      <c r="E2814" s="79" t="s">
        <v>846</v>
      </c>
      <c r="F2814" s="79" t="str">
        <f>IF(E2814="", "", IF(COUNTIF(ChestType!$A$5:$A$195, E2814)&gt;0, VLOOKUP(E2814, ChestType!$A$5:$B$195, 2, 0), "Others"))</f>
        <v>Others</v>
      </c>
    </row>
    <row r="2815" spans="1:6" x14ac:dyDescent="0.25">
      <c r="A2815" s="14">
        <v>46147.900694444441</v>
      </c>
      <c r="B2815" s="79" t="s">
        <v>149</v>
      </c>
      <c r="C2815" s="79" t="s">
        <v>187</v>
      </c>
      <c r="D2815" s="79" t="s">
        <v>167</v>
      </c>
      <c r="E2815" s="79" t="s">
        <v>75</v>
      </c>
      <c r="F2815" s="79" t="str">
        <f>IF(E2815="", "", IF(COUNTIF(ChestType!$A$5:$A$195, E2815)&gt;0, VLOOKUP(E2815, ChestType!$A$5:$B$195, 2, 0), "Others"))</f>
        <v>L10 Rare Crypt</v>
      </c>
    </row>
    <row r="2816" spans="1:6" x14ac:dyDescent="0.25">
      <c r="A2816" s="14">
        <v>46147.900694444441</v>
      </c>
      <c r="B2816" s="79" t="s">
        <v>195</v>
      </c>
      <c r="C2816" s="79" t="s">
        <v>198</v>
      </c>
      <c r="D2816" s="79" t="s">
        <v>166</v>
      </c>
      <c r="E2816" s="79" t="s">
        <v>24</v>
      </c>
      <c r="F2816" s="79" t="str">
        <f>IF(E2816="", "", IF(COUNTIF(ChestType!$A$5:$A$195, E2816)&gt;0, VLOOKUP(E2816, ChestType!$A$5:$B$195, 2, 0), "Others"))</f>
        <v>Bank</v>
      </c>
    </row>
    <row r="2817" spans="1:6" x14ac:dyDescent="0.25">
      <c r="A2817" s="14">
        <v>46147.900694444441</v>
      </c>
      <c r="B2817" s="79" t="s">
        <v>195</v>
      </c>
      <c r="C2817" s="79" t="s">
        <v>198</v>
      </c>
      <c r="D2817" s="79" t="s">
        <v>166</v>
      </c>
      <c r="E2817" s="79" t="s">
        <v>24</v>
      </c>
      <c r="F2817" s="79" t="str">
        <f>IF(E2817="", "", IF(COUNTIF(ChestType!$A$5:$A$195, E2817)&gt;0, VLOOKUP(E2817, ChestType!$A$5:$B$195, 2, 0), "Others"))</f>
        <v>Bank</v>
      </c>
    </row>
    <row r="2818" spans="1:6" x14ac:dyDescent="0.25">
      <c r="A2818" s="14">
        <v>46147.900694444441</v>
      </c>
      <c r="B2818" s="79" t="s">
        <v>195</v>
      </c>
      <c r="C2818" s="79" t="s">
        <v>198</v>
      </c>
      <c r="D2818" s="79" t="s">
        <v>166</v>
      </c>
      <c r="E2818" s="79" t="s">
        <v>24</v>
      </c>
      <c r="F2818" s="79" t="str">
        <f>IF(E2818="", "", IF(COUNTIF(ChestType!$A$5:$A$195, E2818)&gt;0, VLOOKUP(E2818, ChestType!$A$5:$B$195, 2, 0), "Others"))</f>
        <v>Bank</v>
      </c>
    </row>
    <row r="2819" spans="1:6" x14ac:dyDescent="0.25">
      <c r="A2819" s="14">
        <v>46147.900694444441</v>
      </c>
      <c r="B2819" s="79" t="s">
        <v>195</v>
      </c>
      <c r="C2819" s="79" t="s">
        <v>196</v>
      </c>
      <c r="D2819" s="79" t="s">
        <v>166</v>
      </c>
      <c r="E2819" s="79" t="s">
        <v>24</v>
      </c>
      <c r="F2819" s="79" t="str">
        <f>IF(E2819="", "", IF(COUNTIF(ChestType!$A$5:$A$195, E2819)&gt;0, VLOOKUP(E2819, ChestType!$A$5:$B$195, 2, 0), "Others"))</f>
        <v>Bank</v>
      </c>
    </row>
    <row r="2820" spans="1:6" x14ac:dyDescent="0.25">
      <c r="A2820" s="14">
        <v>46147.900694444441</v>
      </c>
      <c r="B2820" s="79" t="s">
        <v>195</v>
      </c>
      <c r="C2820" s="79" t="s">
        <v>196</v>
      </c>
      <c r="D2820" s="79" t="s">
        <v>166</v>
      </c>
      <c r="E2820" s="79" t="s">
        <v>24</v>
      </c>
      <c r="F2820" s="79" t="str">
        <f>IF(E2820="", "", IF(COUNTIF(ChestType!$A$5:$A$195, E2820)&gt;0, VLOOKUP(E2820, ChestType!$A$5:$B$195, 2, 0), "Others"))</f>
        <v>Bank</v>
      </c>
    </row>
    <row r="2821" spans="1:6" x14ac:dyDescent="0.25">
      <c r="A2821" s="14">
        <v>46147.900694444441</v>
      </c>
      <c r="B2821" s="79" t="s">
        <v>195</v>
      </c>
      <c r="C2821" s="79" t="s">
        <v>196</v>
      </c>
      <c r="D2821" s="79" t="s">
        <v>166</v>
      </c>
      <c r="E2821" s="79" t="s">
        <v>24</v>
      </c>
      <c r="F2821" s="79" t="str">
        <f>IF(E2821="", "", IF(COUNTIF(ChestType!$A$5:$A$195, E2821)&gt;0, VLOOKUP(E2821, ChestType!$A$5:$B$195, 2, 0), "Others"))</f>
        <v>Bank</v>
      </c>
    </row>
    <row r="2822" spans="1:6" x14ac:dyDescent="0.25">
      <c r="A2822" s="14">
        <v>46147.936111111114</v>
      </c>
      <c r="B2822" s="79" t="s">
        <v>149</v>
      </c>
      <c r="C2822" s="79" t="s">
        <v>187</v>
      </c>
      <c r="D2822" s="79" t="s">
        <v>167</v>
      </c>
      <c r="E2822" s="79" t="s">
        <v>75</v>
      </c>
      <c r="F2822" s="79" t="str">
        <f>IF(E2822="", "", IF(COUNTIF(ChestType!$A$5:$A$195, E2822)&gt;0, VLOOKUP(E2822, ChestType!$A$5:$B$195, 2, 0), "Others"))</f>
        <v>L10 Rare Crypt</v>
      </c>
    </row>
    <row r="2823" spans="1:6" x14ac:dyDescent="0.25">
      <c r="A2823" s="14">
        <v>46147.936111111114</v>
      </c>
      <c r="B2823" s="79" t="s">
        <v>149</v>
      </c>
      <c r="C2823" s="79" t="s">
        <v>845</v>
      </c>
      <c r="D2823" s="79" t="s">
        <v>231</v>
      </c>
      <c r="E2823" s="79" t="s">
        <v>846</v>
      </c>
      <c r="F2823" s="79" t="str">
        <f>IF(E2823="", "", IF(COUNTIF(ChestType!$A$5:$A$195, E2823)&gt;0, VLOOKUP(E2823, ChestType!$A$5:$B$195, 2, 0), "Others"))</f>
        <v>Others</v>
      </c>
    </row>
    <row r="2824" spans="1:6" x14ac:dyDescent="0.25">
      <c r="A2824" s="14">
        <v>46147.936111111114</v>
      </c>
      <c r="B2824" s="79" t="s">
        <v>149</v>
      </c>
      <c r="C2824" s="79" t="s">
        <v>173</v>
      </c>
      <c r="D2824" s="79" t="s">
        <v>165</v>
      </c>
      <c r="E2824" s="79" t="s">
        <v>50</v>
      </c>
      <c r="F2824" s="79" t="str">
        <f>IF(E2824="", "", IF(COUNTIF(ChestType!$A$5:$A$195, E2824)&gt;0, VLOOKUP(E2824, ChestType!$A$5:$B$195, 2, 0), "Others"))</f>
        <v>L10 Crypt</v>
      </c>
    </row>
    <row r="2825" spans="1:6" x14ac:dyDescent="0.25">
      <c r="A2825" s="14">
        <v>46147.936111111114</v>
      </c>
      <c r="B2825" s="79" t="s">
        <v>195</v>
      </c>
      <c r="C2825" s="79" t="s">
        <v>198</v>
      </c>
      <c r="D2825" s="79" t="s">
        <v>152</v>
      </c>
      <c r="E2825" s="79" t="s">
        <v>24</v>
      </c>
      <c r="F2825" s="79" t="str">
        <f>IF(E2825="", "", IF(COUNTIF(ChestType!$A$5:$A$195, E2825)&gt;0, VLOOKUP(E2825, ChestType!$A$5:$B$195, 2, 0), "Others"))</f>
        <v>Bank</v>
      </c>
    </row>
    <row r="2826" spans="1:6" x14ac:dyDescent="0.25">
      <c r="A2826" s="14">
        <v>46147.936111111114</v>
      </c>
      <c r="B2826" s="79" t="s">
        <v>195</v>
      </c>
      <c r="C2826" s="79" t="s">
        <v>198</v>
      </c>
      <c r="D2826" s="79" t="s">
        <v>152</v>
      </c>
      <c r="E2826" s="79" t="s">
        <v>24</v>
      </c>
      <c r="F2826" s="79" t="str">
        <f>IF(E2826="", "", IF(COUNTIF(ChestType!$A$5:$A$195, E2826)&gt;0, VLOOKUP(E2826, ChestType!$A$5:$B$195, 2, 0), "Others"))</f>
        <v>Bank</v>
      </c>
    </row>
    <row r="2827" spans="1:6" x14ac:dyDescent="0.25">
      <c r="A2827" s="14">
        <v>46147.936111111114</v>
      </c>
      <c r="B2827" s="79" t="s">
        <v>195</v>
      </c>
      <c r="C2827" s="79" t="s">
        <v>198</v>
      </c>
      <c r="D2827" s="79" t="s">
        <v>152</v>
      </c>
      <c r="E2827" s="79" t="s">
        <v>24</v>
      </c>
      <c r="F2827" s="79" t="str">
        <f>IF(E2827="", "", IF(COUNTIF(ChestType!$A$5:$A$195, E2827)&gt;0, VLOOKUP(E2827, ChestType!$A$5:$B$195, 2, 0), "Others"))</f>
        <v>Bank</v>
      </c>
    </row>
    <row r="2828" spans="1:6" x14ac:dyDescent="0.25">
      <c r="A2828" s="14">
        <v>46148.45</v>
      </c>
      <c r="B2828" s="79" t="s">
        <v>149</v>
      </c>
      <c r="C2828" s="79" t="s">
        <v>182</v>
      </c>
      <c r="D2828" s="79" t="s">
        <v>165</v>
      </c>
      <c r="E2828" s="79" t="s">
        <v>50</v>
      </c>
      <c r="F2828" s="79" t="str">
        <f>IF(E2828="", "", IF(COUNTIF(ChestType!$A$5:$A$195, E2828)&gt;0, VLOOKUP(E2828, ChestType!$A$5:$B$195, 2, 0), "Others"))</f>
        <v>L10 Crypt</v>
      </c>
    </row>
    <row r="2829" spans="1:6" x14ac:dyDescent="0.25">
      <c r="A2829" s="14">
        <v>46148.45</v>
      </c>
      <c r="B2829" s="79" t="s">
        <v>149</v>
      </c>
      <c r="C2829" s="79" t="s">
        <v>177</v>
      </c>
      <c r="D2829" s="79" t="s">
        <v>264</v>
      </c>
      <c r="E2829" s="79" t="s">
        <v>50</v>
      </c>
      <c r="F2829" s="79" t="str">
        <f>IF(E2829="", "", IF(COUNTIF(ChestType!$A$5:$A$195, E2829)&gt;0, VLOOKUP(E2829, ChestType!$A$5:$B$195, 2, 0), "Others"))</f>
        <v>L10 Crypt</v>
      </c>
    </row>
    <row r="2830" spans="1:6" x14ac:dyDescent="0.25">
      <c r="A2830" s="14">
        <v>46148.45</v>
      </c>
      <c r="B2830" s="79" t="s">
        <v>149</v>
      </c>
      <c r="C2830" s="79" t="s">
        <v>187</v>
      </c>
      <c r="D2830" s="79" t="s">
        <v>165</v>
      </c>
      <c r="E2830" s="79" t="s">
        <v>75</v>
      </c>
      <c r="F2830" s="79" t="str">
        <f>IF(E2830="", "", IF(COUNTIF(ChestType!$A$5:$A$195, E2830)&gt;0, VLOOKUP(E2830, ChestType!$A$5:$B$195, 2, 0), "Others"))</f>
        <v>L10 Rare Crypt</v>
      </c>
    </row>
    <row r="2831" spans="1:6" x14ac:dyDescent="0.25">
      <c r="A2831" s="14">
        <v>46148.45</v>
      </c>
      <c r="B2831" s="79" t="s">
        <v>149</v>
      </c>
      <c r="C2831" s="79" t="s">
        <v>845</v>
      </c>
      <c r="D2831" s="79" t="s">
        <v>265</v>
      </c>
      <c r="E2831" s="79" t="s">
        <v>846</v>
      </c>
      <c r="F2831" s="79" t="str">
        <f>IF(E2831="", "", IF(COUNTIF(ChestType!$A$5:$A$195, E2831)&gt;0, VLOOKUP(E2831, ChestType!$A$5:$B$195, 2, 0), "Others"))</f>
        <v>Others</v>
      </c>
    </row>
    <row r="2832" spans="1:6" x14ac:dyDescent="0.25">
      <c r="A2832" s="14">
        <v>46148.45</v>
      </c>
      <c r="B2832" s="79" t="s">
        <v>149</v>
      </c>
      <c r="C2832" s="79" t="s">
        <v>184</v>
      </c>
      <c r="D2832" s="79" t="s">
        <v>242</v>
      </c>
      <c r="E2832" s="79" t="s">
        <v>50</v>
      </c>
      <c r="F2832" s="79" t="str">
        <f>IF(E2832="", "", IF(COUNTIF(ChestType!$A$5:$A$195, E2832)&gt;0, VLOOKUP(E2832, ChestType!$A$5:$B$195, 2, 0), "Others"))</f>
        <v>L10 Crypt</v>
      </c>
    </row>
    <row r="2833" spans="1:6" x14ac:dyDescent="0.25">
      <c r="A2833" s="14">
        <v>46148.45</v>
      </c>
      <c r="B2833" s="79" t="s">
        <v>149</v>
      </c>
      <c r="C2833" s="79" t="s">
        <v>184</v>
      </c>
      <c r="D2833" s="79" t="s">
        <v>242</v>
      </c>
      <c r="E2833" s="79" t="s">
        <v>50</v>
      </c>
      <c r="F2833" s="79" t="str">
        <f>IF(E2833="", "", IF(COUNTIF(ChestType!$A$5:$A$195, E2833)&gt;0, VLOOKUP(E2833, ChestType!$A$5:$B$195, 2, 0), "Others"))</f>
        <v>L10 Crypt</v>
      </c>
    </row>
    <row r="2834" spans="1:6" x14ac:dyDescent="0.25">
      <c r="A2834" s="14">
        <v>46148.45</v>
      </c>
      <c r="B2834" s="79" t="s">
        <v>149</v>
      </c>
      <c r="C2834" s="79" t="s">
        <v>184</v>
      </c>
      <c r="D2834" s="79" t="s">
        <v>242</v>
      </c>
      <c r="E2834" s="79" t="s">
        <v>50</v>
      </c>
      <c r="F2834" s="79" t="str">
        <f>IF(E2834="", "", IF(COUNTIF(ChestType!$A$5:$A$195, E2834)&gt;0, VLOOKUP(E2834, ChestType!$A$5:$B$195, 2, 0), "Others"))</f>
        <v>L10 Crypt</v>
      </c>
    </row>
    <row r="2835" spans="1:6" x14ac:dyDescent="0.25">
      <c r="A2835" s="14">
        <v>46148.45</v>
      </c>
      <c r="B2835" s="79" t="s">
        <v>149</v>
      </c>
      <c r="C2835" s="79" t="s">
        <v>184</v>
      </c>
      <c r="D2835" s="79" t="s">
        <v>242</v>
      </c>
      <c r="E2835" s="79" t="s">
        <v>50</v>
      </c>
      <c r="F2835" s="79" t="str">
        <f>IF(E2835="", "", IF(COUNTIF(ChestType!$A$5:$A$195, E2835)&gt;0, VLOOKUP(E2835, ChestType!$A$5:$B$195, 2, 0), "Others"))</f>
        <v>L10 Crypt</v>
      </c>
    </row>
    <row r="2836" spans="1:6" x14ac:dyDescent="0.25">
      <c r="A2836" s="14">
        <v>46148.45</v>
      </c>
      <c r="B2836" s="79" t="s">
        <v>149</v>
      </c>
      <c r="C2836" s="79" t="s">
        <v>184</v>
      </c>
      <c r="D2836" s="79" t="s">
        <v>242</v>
      </c>
      <c r="E2836" s="79" t="s">
        <v>50</v>
      </c>
      <c r="F2836" s="79" t="str">
        <f>IF(E2836="", "", IF(COUNTIF(ChestType!$A$5:$A$195, E2836)&gt;0, VLOOKUP(E2836, ChestType!$A$5:$B$195, 2, 0), "Others"))</f>
        <v>L10 Crypt</v>
      </c>
    </row>
    <row r="2837" spans="1:6" x14ac:dyDescent="0.25">
      <c r="A2837" s="14">
        <v>46148.45</v>
      </c>
      <c r="B2837" s="79" t="s">
        <v>149</v>
      </c>
      <c r="C2837" s="79" t="s">
        <v>184</v>
      </c>
      <c r="D2837" s="79" t="s">
        <v>242</v>
      </c>
      <c r="E2837" s="79" t="s">
        <v>50</v>
      </c>
      <c r="F2837" s="79" t="str">
        <f>IF(E2837="", "", IF(COUNTIF(ChestType!$A$5:$A$195, E2837)&gt;0, VLOOKUP(E2837, ChestType!$A$5:$B$195, 2, 0), "Others"))</f>
        <v>L10 Crypt</v>
      </c>
    </row>
    <row r="2838" spans="1:6" x14ac:dyDescent="0.25">
      <c r="A2838" s="14">
        <v>46148.45</v>
      </c>
      <c r="B2838" s="79" t="s">
        <v>149</v>
      </c>
      <c r="C2838" s="79" t="s">
        <v>184</v>
      </c>
      <c r="D2838" s="79" t="s">
        <v>242</v>
      </c>
      <c r="E2838" s="79" t="s">
        <v>50</v>
      </c>
      <c r="F2838" s="79" t="str">
        <f>IF(E2838="", "", IF(COUNTIF(ChestType!$A$5:$A$195, E2838)&gt;0, VLOOKUP(E2838, ChestType!$A$5:$B$195, 2, 0), "Others"))</f>
        <v>L10 Crypt</v>
      </c>
    </row>
    <row r="2839" spans="1:6" x14ac:dyDescent="0.25">
      <c r="A2839" s="14">
        <v>46148.45</v>
      </c>
      <c r="B2839" s="79" t="s">
        <v>149</v>
      </c>
      <c r="C2839" s="79" t="s">
        <v>184</v>
      </c>
      <c r="D2839" s="79" t="s">
        <v>242</v>
      </c>
      <c r="E2839" s="79" t="s">
        <v>50</v>
      </c>
      <c r="F2839" s="79" t="str">
        <f>IF(E2839="", "", IF(COUNTIF(ChestType!$A$5:$A$195, E2839)&gt;0, VLOOKUP(E2839, ChestType!$A$5:$B$195, 2, 0), "Others"))</f>
        <v>L10 Crypt</v>
      </c>
    </row>
    <row r="2840" spans="1:6" x14ac:dyDescent="0.25">
      <c r="A2840" s="14">
        <v>46148.45</v>
      </c>
      <c r="B2840" s="79" t="s">
        <v>149</v>
      </c>
      <c r="C2840" s="79" t="s">
        <v>184</v>
      </c>
      <c r="D2840" s="79" t="s">
        <v>242</v>
      </c>
      <c r="E2840" s="79" t="s">
        <v>50</v>
      </c>
      <c r="F2840" s="79" t="str">
        <f>IF(E2840="", "", IF(COUNTIF(ChestType!$A$5:$A$195, E2840)&gt;0, VLOOKUP(E2840, ChestType!$A$5:$B$195, 2, 0), "Others"))</f>
        <v>L10 Crypt</v>
      </c>
    </row>
    <row r="2841" spans="1:6" x14ac:dyDescent="0.25">
      <c r="A2841" s="14">
        <v>46148.45</v>
      </c>
      <c r="B2841" s="79" t="s">
        <v>149</v>
      </c>
      <c r="C2841" s="79" t="s">
        <v>184</v>
      </c>
      <c r="D2841" s="79" t="s">
        <v>242</v>
      </c>
      <c r="E2841" s="79" t="s">
        <v>50</v>
      </c>
      <c r="F2841" s="79" t="str">
        <f>IF(E2841="", "", IF(COUNTIF(ChestType!$A$5:$A$195, E2841)&gt;0, VLOOKUP(E2841, ChestType!$A$5:$B$195, 2, 0), "Others"))</f>
        <v>L10 Crypt</v>
      </c>
    </row>
    <row r="2842" spans="1:6" x14ac:dyDescent="0.25">
      <c r="A2842" s="14">
        <v>46148.45</v>
      </c>
      <c r="B2842" s="79" t="s">
        <v>149</v>
      </c>
      <c r="C2842" s="79" t="s">
        <v>184</v>
      </c>
      <c r="D2842" s="79" t="s">
        <v>242</v>
      </c>
      <c r="E2842" s="79" t="s">
        <v>50</v>
      </c>
      <c r="F2842" s="79" t="str">
        <f>IF(E2842="", "", IF(COUNTIF(ChestType!$A$5:$A$195, E2842)&gt;0, VLOOKUP(E2842, ChestType!$A$5:$B$195, 2, 0), "Others"))</f>
        <v>L10 Crypt</v>
      </c>
    </row>
    <row r="2843" spans="1:6" x14ac:dyDescent="0.25">
      <c r="A2843" s="14">
        <v>46148.45</v>
      </c>
      <c r="B2843" s="79" t="s">
        <v>149</v>
      </c>
      <c r="C2843" s="79" t="s">
        <v>184</v>
      </c>
      <c r="D2843" s="79" t="s">
        <v>242</v>
      </c>
      <c r="E2843" s="79" t="s">
        <v>50</v>
      </c>
      <c r="F2843" s="79" t="str">
        <f>IF(E2843="", "", IF(COUNTIF(ChestType!$A$5:$A$195, E2843)&gt;0, VLOOKUP(E2843, ChestType!$A$5:$B$195, 2, 0), "Others"))</f>
        <v>L10 Crypt</v>
      </c>
    </row>
    <row r="2844" spans="1:6" x14ac:dyDescent="0.25">
      <c r="A2844" s="14">
        <v>46148.45</v>
      </c>
      <c r="B2844" s="79" t="s">
        <v>149</v>
      </c>
      <c r="C2844" s="79" t="s">
        <v>184</v>
      </c>
      <c r="D2844" s="79" t="s">
        <v>242</v>
      </c>
      <c r="E2844" s="79" t="s">
        <v>50</v>
      </c>
      <c r="F2844" s="79" t="str">
        <f>IF(E2844="", "", IF(COUNTIF(ChestType!$A$5:$A$195, E2844)&gt;0, VLOOKUP(E2844, ChestType!$A$5:$B$195, 2, 0), "Others"))</f>
        <v>L10 Crypt</v>
      </c>
    </row>
    <row r="2845" spans="1:6" x14ac:dyDescent="0.25">
      <c r="A2845" s="14">
        <v>46148.45</v>
      </c>
      <c r="B2845" s="79" t="s">
        <v>149</v>
      </c>
      <c r="C2845" s="79" t="s">
        <v>184</v>
      </c>
      <c r="D2845" s="79" t="s">
        <v>242</v>
      </c>
      <c r="E2845" s="79" t="s">
        <v>50</v>
      </c>
      <c r="F2845" s="79" t="str">
        <f>IF(E2845="", "", IF(COUNTIF(ChestType!$A$5:$A$195, E2845)&gt;0, VLOOKUP(E2845, ChestType!$A$5:$B$195, 2, 0), "Others"))</f>
        <v>L10 Crypt</v>
      </c>
    </row>
    <row r="2846" spans="1:6" x14ac:dyDescent="0.25">
      <c r="A2846" s="14">
        <v>46148.45</v>
      </c>
      <c r="B2846" s="79" t="s">
        <v>149</v>
      </c>
      <c r="C2846" s="79" t="s">
        <v>184</v>
      </c>
      <c r="D2846" s="79" t="s">
        <v>242</v>
      </c>
      <c r="E2846" s="79" t="s">
        <v>50</v>
      </c>
      <c r="F2846" s="79" t="str">
        <f>IF(E2846="", "", IF(COUNTIF(ChestType!$A$5:$A$195, E2846)&gt;0, VLOOKUP(E2846, ChestType!$A$5:$B$195, 2, 0), "Others"))</f>
        <v>L10 Crypt</v>
      </c>
    </row>
    <row r="2847" spans="1:6" x14ac:dyDescent="0.25">
      <c r="A2847" s="14">
        <v>46148.45</v>
      </c>
      <c r="B2847" s="79" t="s">
        <v>149</v>
      </c>
      <c r="C2847" s="79" t="s">
        <v>184</v>
      </c>
      <c r="D2847" s="79" t="s">
        <v>242</v>
      </c>
      <c r="E2847" s="79" t="s">
        <v>50</v>
      </c>
      <c r="F2847" s="79" t="str">
        <f>IF(E2847="", "", IF(COUNTIF(ChestType!$A$5:$A$195, E2847)&gt;0, VLOOKUP(E2847, ChestType!$A$5:$B$195, 2, 0), "Others"))</f>
        <v>L10 Crypt</v>
      </c>
    </row>
    <row r="2848" spans="1:6" x14ac:dyDescent="0.25">
      <c r="A2848" s="14">
        <v>46148.45</v>
      </c>
      <c r="B2848" s="79" t="s">
        <v>149</v>
      </c>
      <c r="C2848" s="79" t="s">
        <v>184</v>
      </c>
      <c r="D2848" s="79" t="s">
        <v>242</v>
      </c>
      <c r="E2848" s="79" t="s">
        <v>50</v>
      </c>
      <c r="F2848" s="79" t="str">
        <f>IF(E2848="", "", IF(COUNTIF(ChestType!$A$5:$A$195, E2848)&gt;0, VLOOKUP(E2848, ChestType!$A$5:$B$195, 2, 0), "Others"))</f>
        <v>L10 Crypt</v>
      </c>
    </row>
    <row r="2849" spans="1:6" x14ac:dyDescent="0.25">
      <c r="A2849" s="14">
        <v>46148.45</v>
      </c>
      <c r="B2849" s="79" t="s">
        <v>149</v>
      </c>
      <c r="C2849" s="79" t="s">
        <v>184</v>
      </c>
      <c r="D2849" s="79" t="s">
        <v>242</v>
      </c>
      <c r="E2849" s="79" t="s">
        <v>50</v>
      </c>
      <c r="F2849" s="79" t="str">
        <f>IF(E2849="", "", IF(COUNTIF(ChestType!$A$5:$A$195, E2849)&gt;0, VLOOKUP(E2849, ChestType!$A$5:$B$195, 2, 0), "Others"))</f>
        <v>L10 Crypt</v>
      </c>
    </row>
    <row r="2850" spans="1:6" x14ac:dyDescent="0.25">
      <c r="A2850" s="14">
        <v>46148.45</v>
      </c>
      <c r="B2850" s="79" t="s">
        <v>149</v>
      </c>
      <c r="C2850" s="79" t="s">
        <v>184</v>
      </c>
      <c r="D2850" s="79" t="s">
        <v>242</v>
      </c>
      <c r="E2850" s="79" t="s">
        <v>50</v>
      </c>
      <c r="F2850" s="79" t="str">
        <f>IF(E2850="", "", IF(COUNTIF(ChestType!$A$5:$A$195, E2850)&gt;0, VLOOKUP(E2850, ChestType!$A$5:$B$195, 2, 0), "Others"))</f>
        <v>L10 Crypt</v>
      </c>
    </row>
    <row r="2851" spans="1:6" x14ac:dyDescent="0.25">
      <c r="A2851" s="14">
        <v>46148.45</v>
      </c>
      <c r="B2851" s="79" t="s">
        <v>149</v>
      </c>
      <c r="C2851" s="79" t="s">
        <v>184</v>
      </c>
      <c r="D2851" s="79" t="s">
        <v>242</v>
      </c>
      <c r="E2851" s="79" t="s">
        <v>50</v>
      </c>
      <c r="F2851" s="79" t="str">
        <f>IF(E2851="", "", IF(COUNTIF(ChestType!$A$5:$A$195, E2851)&gt;0, VLOOKUP(E2851, ChestType!$A$5:$B$195, 2, 0), "Others"))</f>
        <v>L10 Crypt</v>
      </c>
    </row>
    <row r="2852" spans="1:6" x14ac:dyDescent="0.25">
      <c r="A2852" s="14">
        <v>46148.45</v>
      </c>
      <c r="B2852" s="79" t="s">
        <v>149</v>
      </c>
      <c r="C2852" s="79" t="s">
        <v>184</v>
      </c>
      <c r="D2852" s="79" t="s">
        <v>242</v>
      </c>
      <c r="E2852" s="79" t="s">
        <v>50</v>
      </c>
      <c r="F2852" s="79" t="str">
        <f>IF(E2852="", "", IF(COUNTIF(ChestType!$A$5:$A$195, E2852)&gt;0, VLOOKUP(E2852, ChestType!$A$5:$B$195, 2, 0), "Others"))</f>
        <v>L10 Crypt</v>
      </c>
    </row>
    <row r="2853" spans="1:6" x14ac:dyDescent="0.25">
      <c r="A2853" s="14">
        <v>46148.45</v>
      </c>
      <c r="B2853" s="79" t="s">
        <v>149</v>
      </c>
      <c r="C2853" s="79" t="s">
        <v>184</v>
      </c>
      <c r="D2853" s="79" t="s">
        <v>242</v>
      </c>
      <c r="E2853" s="79" t="s">
        <v>50</v>
      </c>
      <c r="F2853" s="79" t="str">
        <f>IF(E2853="", "", IF(COUNTIF(ChestType!$A$5:$A$195, E2853)&gt;0, VLOOKUP(E2853, ChestType!$A$5:$B$195, 2, 0), "Others"))</f>
        <v>L10 Crypt</v>
      </c>
    </row>
    <row r="2854" spans="1:6" x14ac:dyDescent="0.25">
      <c r="A2854" s="14">
        <v>46148.45</v>
      </c>
      <c r="B2854" s="79" t="s">
        <v>149</v>
      </c>
      <c r="C2854" s="79" t="s">
        <v>184</v>
      </c>
      <c r="D2854" s="79" t="s">
        <v>242</v>
      </c>
      <c r="E2854" s="79" t="s">
        <v>50</v>
      </c>
      <c r="F2854" s="79" t="str">
        <f>IF(E2854="", "", IF(COUNTIF(ChestType!$A$5:$A$195, E2854)&gt;0, VLOOKUP(E2854, ChestType!$A$5:$B$195, 2, 0), "Others"))</f>
        <v>L10 Crypt</v>
      </c>
    </row>
    <row r="2855" spans="1:6" x14ac:dyDescent="0.25">
      <c r="A2855" s="14">
        <v>46148.45</v>
      </c>
      <c r="B2855" s="79" t="s">
        <v>149</v>
      </c>
      <c r="C2855" s="79" t="s">
        <v>184</v>
      </c>
      <c r="D2855" s="79" t="s">
        <v>242</v>
      </c>
      <c r="E2855" s="79" t="s">
        <v>50</v>
      </c>
      <c r="F2855" s="79" t="str">
        <f>IF(E2855="", "", IF(COUNTIF(ChestType!$A$5:$A$195, E2855)&gt;0, VLOOKUP(E2855, ChestType!$A$5:$B$195, 2, 0), "Others"))</f>
        <v>L10 Crypt</v>
      </c>
    </row>
    <row r="2856" spans="1:6" x14ac:dyDescent="0.25">
      <c r="A2856" s="14">
        <v>46148.45</v>
      </c>
      <c r="B2856" s="79" t="s">
        <v>149</v>
      </c>
      <c r="C2856" s="79" t="s">
        <v>184</v>
      </c>
      <c r="D2856" s="79" t="s">
        <v>242</v>
      </c>
      <c r="E2856" s="79" t="s">
        <v>50</v>
      </c>
      <c r="F2856" s="79" t="str">
        <f>IF(E2856="", "", IF(COUNTIF(ChestType!$A$5:$A$195, E2856)&gt;0, VLOOKUP(E2856, ChestType!$A$5:$B$195, 2, 0), "Others"))</f>
        <v>L10 Crypt</v>
      </c>
    </row>
    <row r="2857" spans="1:6" x14ac:dyDescent="0.25">
      <c r="A2857" s="14">
        <v>46148.45</v>
      </c>
      <c r="B2857" s="79" t="s">
        <v>149</v>
      </c>
      <c r="C2857" s="79" t="s">
        <v>184</v>
      </c>
      <c r="D2857" s="79" t="s">
        <v>242</v>
      </c>
      <c r="E2857" s="79" t="s">
        <v>50</v>
      </c>
      <c r="F2857" s="79" t="str">
        <f>IF(E2857="", "", IF(COUNTIF(ChestType!$A$5:$A$195, E2857)&gt;0, VLOOKUP(E2857, ChestType!$A$5:$B$195, 2, 0), "Others"))</f>
        <v>L10 Crypt</v>
      </c>
    </row>
    <row r="2858" spans="1:6" x14ac:dyDescent="0.25">
      <c r="A2858" s="14">
        <v>46148.45</v>
      </c>
      <c r="B2858" s="79" t="s">
        <v>149</v>
      </c>
      <c r="C2858" s="79" t="s">
        <v>184</v>
      </c>
      <c r="D2858" s="79" t="s">
        <v>242</v>
      </c>
      <c r="E2858" s="79" t="s">
        <v>50</v>
      </c>
      <c r="F2858" s="79" t="str">
        <f>IF(E2858="", "", IF(COUNTIF(ChestType!$A$5:$A$195, E2858)&gt;0, VLOOKUP(E2858, ChestType!$A$5:$B$195, 2, 0), "Others"))</f>
        <v>L10 Crypt</v>
      </c>
    </row>
    <row r="2859" spans="1:6" x14ac:dyDescent="0.25">
      <c r="A2859" s="14">
        <v>46148.45</v>
      </c>
      <c r="B2859" s="79" t="s">
        <v>149</v>
      </c>
      <c r="C2859" s="79" t="s">
        <v>184</v>
      </c>
      <c r="D2859" s="79" t="s">
        <v>242</v>
      </c>
      <c r="E2859" s="79" t="s">
        <v>50</v>
      </c>
      <c r="F2859" s="79" t="str">
        <f>IF(E2859="", "", IF(COUNTIF(ChestType!$A$5:$A$195, E2859)&gt;0, VLOOKUP(E2859, ChestType!$A$5:$B$195, 2, 0), "Others"))</f>
        <v>L10 Crypt</v>
      </c>
    </row>
    <row r="2860" spans="1:6" x14ac:dyDescent="0.25">
      <c r="A2860" s="14">
        <v>46148.45</v>
      </c>
      <c r="B2860" s="79" t="s">
        <v>149</v>
      </c>
      <c r="C2860" s="79" t="s">
        <v>184</v>
      </c>
      <c r="D2860" s="79" t="s">
        <v>242</v>
      </c>
      <c r="E2860" s="79" t="s">
        <v>50</v>
      </c>
      <c r="F2860" s="79" t="str">
        <f>IF(E2860="", "", IF(COUNTIF(ChestType!$A$5:$A$195, E2860)&gt;0, VLOOKUP(E2860, ChestType!$A$5:$B$195, 2, 0), "Others"))</f>
        <v>L10 Crypt</v>
      </c>
    </row>
    <row r="2861" spans="1:6" x14ac:dyDescent="0.25">
      <c r="A2861" s="14">
        <v>46148.45</v>
      </c>
      <c r="B2861" s="79" t="s">
        <v>149</v>
      </c>
      <c r="C2861" s="79" t="s">
        <v>184</v>
      </c>
      <c r="D2861" s="79" t="s">
        <v>242</v>
      </c>
      <c r="E2861" s="79" t="s">
        <v>50</v>
      </c>
      <c r="F2861" s="79" t="str">
        <f>IF(E2861="", "", IF(COUNTIF(ChestType!$A$5:$A$195, E2861)&gt;0, VLOOKUP(E2861, ChestType!$A$5:$B$195, 2, 0), "Others"))</f>
        <v>L10 Crypt</v>
      </c>
    </row>
    <row r="2862" spans="1:6" x14ac:dyDescent="0.25">
      <c r="A2862" s="14">
        <v>46148.45</v>
      </c>
      <c r="B2862" s="79" t="s">
        <v>149</v>
      </c>
      <c r="C2862" s="79" t="s">
        <v>184</v>
      </c>
      <c r="D2862" s="79" t="s">
        <v>242</v>
      </c>
      <c r="E2862" s="79" t="s">
        <v>50</v>
      </c>
      <c r="F2862" s="79" t="str">
        <f>IF(E2862="", "", IF(COUNTIF(ChestType!$A$5:$A$195, E2862)&gt;0, VLOOKUP(E2862, ChestType!$A$5:$B$195, 2, 0), "Others"))</f>
        <v>L10 Crypt</v>
      </c>
    </row>
    <row r="2863" spans="1:6" x14ac:dyDescent="0.25">
      <c r="A2863" s="14">
        <v>46148.45</v>
      </c>
      <c r="B2863" s="79" t="s">
        <v>149</v>
      </c>
      <c r="C2863" s="79" t="s">
        <v>184</v>
      </c>
      <c r="D2863" s="79" t="s">
        <v>242</v>
      </c>
      <c r="E2863" s="79" t="s">
        <v>50</v>
      </c>
      <c r="F2863" s="79" t="str">
        <f>IF(E2863="", "", IF(COUNTIF(ChestType!$A$5:$A$195, E2863)&gt;0, VLOOKUP(E2863, ChestType!$A$5:$B$195, 2, 0), "Others"))</f>
        <v>L10 Crypt</v>
      </c>
    </row>
    <row r="2864" spans="1:6" x14ac:dyDescent="0.25">
      <c r="A2864" s="14">
        <v>46148.45</v>
      </c>
      <c r="B2864" s="79" t="s">
        <v>149</v>
      </c>
      <c r="C2864" s="79" t="s">
        <v>184</v>
      </c>
      <c r="D2864" s="79" t="s">
        <v>242</v>
      </c>
      <c r="E2864" s="79" t="s">
        <v>50</v>
      </c>
      <c r="F2864" s="79" t="str">
        <f>IF(E2864="", "", IF(COUNTIF(ChestType!$A$5:$A$195, E2864)&gt;0, VLOOKUP(E2864, ChestType!$A$5:$B$195, 2, 0), "Others"))</f>
        <v>L10 Crypt</v>
      </c>
    </row>
    <row r="2865" spans="1:6" x14ac:dyDescent="0.25">
      <c r="A2865" s="14">
        <v>46148.45</v>
      </c>
      <c r="B2865" s="79" t="s">
        <v>149</v>
      </c>
      <c r="C2865" s="79" t="s">
        <v>184</v>
      </c>
      <c r="D2865" s="79" t="s">
        <v>242</v>
      </c>
      <c r="E2865" s="79" t="s">
        <v>50</v>
      </c>
      <c r="F2865" s="79" t="str">
        <f>IF(E2865="", "", IF(COUNTIF(ChestType!$A$5:$A$195, E2865)&gt;0, VLOOKUP(E2865, ChestType!$A$5:$B$195, 2, 0), "Others"))</f>
        <v>L10 Crypt</v>
      </c>
    </row>
    <row r="2866" spans="1:6" x14ac:dyDescent="0.25">
      <c r="A2866" s="14">
        <v>46148.45</v>
      </c>
      <c r="B2866" s="79" t="s">
        <v>149</v>
      </c>
      <c r="C2866" s="79" t="s">
        <v>184</v>
      </c>
      <c r="D2866" s="79" t="s">
        <v>242</v>
      </c>
      <c r="E2866" s="79" t="s">
        <v>50</v>
      </c>
      <c r="F2866" s="79" t="str">
        <f>IF(E2866="", "", IF(COUNTIF(ChestType!$A$5:$A$195, E2866)&gt;0, VLOOKUP(E2866, ChestType!$A$5:$B$195, 2, 0), "Others"))</f>
        <v>L10 Crypt</v>
      </c>
    </row>
    <row r="2867" spans="1:6" x14ac:dyDescent="0.25">
      <c r="A2867" s="14">
        <v>46148.45</v>
      </c>
      <c r="B2867" s="79" t="s">
        <v>149</v>
      </c>
      <c r="C2867" s="79" t="s">
        <v>184</v>
      </c>
      <c r="D2867" s="79" t="s">
        <v>242</v>
      </c>
      <c r="E2867" s="79" t="s">
        <v>50</v>
      </c>
      <c r="F2867" s="79" t="str">
        <f>IF(E2867="", "", IF(COUNTIF(ChestType!$A$5:$A$195, E2867)&gt;0, VLOOKUP(E2867, ChestType!$A$5:$B$195, 2, 0), "Others"))</f>
        <v>L10 Crypt</v>
      </c>
    </row>
    <row r="2868" spans="1:6" x14ac:dyDescent="0.25">
      <c r="A2868" s="14">
        <v>46148.45</v>
      </c>
      <c r="B2868" s="79" t="s">
        <v>149</v>
      </c>
      <c r="C2868" s="79" t="s">
        <v>184</v>
      </c>
      <c r="D2868" s="79" t="s">
        <v>242</v>
      </c>
      <c r="E2868" s="79" t="s">
        <v>50</v>
      </c>
      <c r="F2868" s="79" t="str">
        <f>IF(E2868="", "", IF(COUNTIF(ChestType!$A$5:$A$195, E2868)&gt;0, VLOOKUP(E2868, ChestType!$A$5:$B$195, 2, 0), "Others"))</f>
        <v>L10 Crypt</v>
      </c>
    </row>
    <row r="2869" spans="1:6" x14ac:dyDescent="0.25">
      <c r="A2869" s="14">
        <v>46148.45</v>
      </c>
      <c r="B2869" s="79" t="s">
        <v>149</v>
      </c>
      <c r="C2869" s="79" t="s">
        <v>184</v>
      </c>
      <c r="D2869" s="79" t="s">
        <v>242</v>
      </c>
      <c r="E2869" s="79" t="s">
        <v>50</v>
      </c>
      <c r="F2869" s="79" t="str">
        <f>IF(E2869="", "", IF(COUNTIF(ChestType!$A$5:$A$195, E2869)&gt;0, VLOOKUP(E2869, ChestType!$A$5:$B$195, 2, 0), "Others"))</f>
        <v>L10 Crypt</v>
      </c>
    </row>
    <row r="2870" spans="1:6" x14ac:dyDescent="0.25">
      <c r="A2870" s="14">
        <v>46148.45</v>
      </c>
      <c r="B2870" s="79" t="s">
        <v>149</v>
      </c>
      <c r="C2870" s="79" t="s">
        <v>158</v>
      </c>
      <c r="D2870" s="79" t="s">
        <v>242</v>
      </c>
      <c r="E2870" s="79" t="s">
        <v>49</v>
      </c>
      <c r="F2870" s="79" t="str">
        <f>IF(E2870="", "", IF(COUNTIF(ChestType!$A$5:$A$195, E2870)&gt;0, VLOOKUP(E2870, ChestType!$A$5:$B$195, 2, 0), "Others"))</f>
        <v>L15 Crypt</v>
      </c>
    </row>
    <row r="2871" spans="1:6" x14ac:dyDescent="0.25">
      <c r="A2871" s="14">
        <v>46148.45</v>
      </c>
      <c r="B2871" s="79" t="s">
        <v>149</v>
      </c>
      <c r="C2871" s="79" t="s">
        <v>176</v>
      </c>
      <c r="D2871" s="79" t="s">
        <v>156</v>
      </c>
      <c r="E2871" s="79" t="s">
        <v>70</v>
      </c>
      <c r="F2871" s="79" t="str">
        <f>IF(E2871="", "", IF(COUNTIF(ChestType!$A$5:$A$195, E2871)&gt;0, VLOOKUP(E2871, ChestType!$A$5:$B$195, 2, 0), "Others"))</f>
        <v>L10 Citadel</v>
      </c>
    </row>
    <row r="2872" spans="1:6" x14ac:dyDescent="0.25">
      <c r="A2872" s="14">
        <v>46148.45</v>
      </c>
      <c r="B2872" s="79" t="s">
        <v>149</v>
      </c>
      <c r="C2872" s="79" t="s">
        <v>158</v>
      </c>
      <c r="D2872" s="79" t="s">
        <v>156</v>
      </c>
      <c r="E2872" s="79" t="s">
        <v>49</v>
      </c>
      <c r="F2872" s="79" t="str">
        <f>IF(E2872="", "", IF(COUNTIF(ChestType!$A$5:$A$195, E2872)&gt;0, VLOOKUP(E2872, ChestType!$A$5:$B$195, 2, 0), "Others"))</f>
        <v>L15 Crypt</v>
      </c>
    </row>
    <row r="2873" spans="1:6" x14ac:dyDescent="0.25">
      <c r="A2873" s="14">
        <v>46148.45</v>
      </c>
      <c r="B2873" s="79" t="s">
        <v>149</v>
      </c>
      <c r="C2873" s="79" t="s">
        <v>187</v>
      </c>
      <c r="D2873" s="79" t="s">
        <v>156</v>
      </c>
      <c r="E2873" s="79" t="s">
        <v>75</v>
      </c>
      <c r="F2873" s="79" t="str">
        <f>IF(E2873="", "", IF(COUNTIF(ChestType!$A$5:$A$195, E2873)&gt;0, VLOOKUP(E2873, ChestType!$A$5:$B$195, 2, 0), "Others"))</f>
        <v>L10 Rare Crypt</v>
      </c>
    </row>
    <row r="2874" spans="1:6" x14ac:dyDescent="0.25">
      <c r="A2874" s="14">
        <v>46148.45</v>
      </c>
      <c r="B2874" s="79" t="s">
        <v>149</v>
      </c>
      <c r="C2874" s="79" t="s">
        <v>187</v>
      </c>
      <c r="D2874" s="79" t="s">
        <v>156</v>
      </c>
      <c r="E2874" s="79" t="s">
        <v>75</v>
      </c>
      <c r="F2874" s="79" t="str">
        <f>IF(E2874="", "", IF(COUNTIF(ChestType!$A$5:$A$195, E2874)&gt;0, VLOOKUP(E2874, ChestType!$A$5:$B$195, 2, 0), "Others"))</f>
        <v>L10 Rare Crypt</v>
      </c>
    </row>
    <row r="2875" spans="1:6" x14ac:dyDescent="0.25">
      <c r="A2875" s="14">
        <v>46148.45</v>
      </c>
      <c r="B2875" s="79" t="s">
        <v>149</v>
      </c>
      <c r="C2875" s="79" t="s">
        <v>187</v>
      </c>
      <c r="D2875" s="79" t="s">
        <v>156</v>
      </c>
      <c r="E2875" s="79" t="s">
        <v>75</v>
      </c>
      <c r="F2875" s="79" t="str">
        <f>IF(E2875="", "", IF(COUNTIF(ChestType!$A$5:$A$195, E2875)&gt;0, VLOOKUP(E2875, ChestType!$A$5:$B$195, 2, 0), "Others"))</f>
        <v>L10 Rare Crypt</v>
      </c>
    </row>
    <row r="2876" spans="1:6" x14ac:dyDescent="0.25">
      <c r="A2876" s="14">
        <v>46148.45</v>
      </c>
      <c r="B2876" s="79" t="s">
        <v>149</v>
      </c>
      <c r="C2876" s="79" t="s">
        <v>188</v>
      </c>
      <c r="D2876" s="79" t="s">
        <v>156</v>
      </c>
      <c r="E2876" s="79" t="s">
        <v>45</v>
      </c>
      <c r="F2876" s="79" t="str">
        <f>IF(E2876="", "", IF(COUNTIF(ChestType!$A$5:$A$195, E2876)&gt;0, VLOOKUP(E2876, ChestType!$A$5:$B$195, 2, 0), "Others"))</f>
        <v>Others</v>
      </c>
    </row>
    <row r="2877" spans="1:6" x14ac:dyDescent="0.25">
      <c r="A2877" s="14">
        <v>46148.45</v>
      </c>
      <c r="B2877" s="79" t="s">
        <v>149</v>
      </c>
      <c r="C2877" s="79" t="s">
        <v>189</v>
      </c>
      <c r="D2877" s="79" t="s">
        <v>156</v>
      </c>
      <c r="E2877" s="79" t="s">
        <v>45</v>
      </c>
      <c r="F2877" s="79" t="str">
        <f>IF(E2877="", "", IF(COUNTIF(ChestType!$A$5:$A$195, E2877)&gt;0, VLOOKUP(E2877, ChestType!$A$5:$B$195, 2, 0), "Others"))</f>
        <v>Others</v>
      </c>
    </row>
    <row r="2878" spans="1:6" x14ac:dyDescent="0.25">
      <c r="A2878" s="14">
        <v>46148.45</v>
      </c>
      <c r="B2878" s="79" t="s">
        <v>149</v>
      </c>
      <c r="C2878" s="79" t="s">
        <v>845</v>
      </c>
      <c r="D2878" s="79" t="s">
        <v>268</v>
      </c>
      <c r="E2878" s="79" t="s">
        <v>846</v>
      </c>
      <c r="F2878" s="79" t="str">
        <f>IF(E2878="", "", IF(COUNTIF(ChestType!$A$5:$A$195, E2878)&gt;0, VLOOKUP(E2878, ChestType!$A$5:$B$195, 2, 0), "Others"))</f>
        <v>Others</v>
      </c>
    </row>
    <row r="2879" spans="1:6" x14ac:dyDescent="0.25">
      <c r="A2879" s="14">
        <v>46148.45</v>
      </c>
      <c r="B2879" s="79" t="s">
        <v>149</v>
      </c>
      <c r="C2879" s="79" t="s">
        <v>845</v>
      </c>
      <c r="D2879" s="79" t="s">
        <v>268</v>
      </c>
      <c r="E2879" s="79" t="s">
        <v>846</v>
      </c>
      <c r="F2879" s="79" t="str">
        <f>IF(E2879="", "", IF(COUNTIF(ChestType!$A$5:$A$195, E2879)&gt;0, VLOOKUP(E2879, ChestType!$A$5:$B$195, 2, 0), "Others"))</f>
        <v>Others</v>
      </c>
    </row>
    <row r="2880" spans="1:6" x14ac:dyDescent="0.25">
      <c r="A2880" s="14">
        <v>46148.45</v>
      </c>
      <c r="B2880" s="79" t="s">
        <v>149</v>
      </c>
      <c r="C2880" s="79" t="s">
        <v>845</v>
      </c>
      <c r="D2880" s="79" t="s">
        <v>268</v>
      </c>
      <c r="E2880" s="79" t="s">
        <v>846</v>
      </c>
      <c r="F2880" s="79" t="str">
        <f>IF(E2880="", "", IF(COUNTIF(ChestType!$A$5:$A$195, E2880)&gt;0, VLOOKUP(E2880, ChestType!$A$5:$B$195, 2, 0), "Others"))</f>
        <v>Others</v>
      </c>
    </row>
    <row r="2881" spans="1:6" x14ac:dyDescent="0.25">
      <c r="A2881" s="14">
        <v>46148.45</v>
      </c>
      <c r="B2881" s="79" t="s">
        <v>149</v>
      </c>
      <c r="C2881" s="79" t="s">
        <v>182</v>
      </c>
      <c r="D2881" s="79" t="s">
        <v>240</v>
      </c>
      <c r="E2881" s="79" t="s">
        <v>52</v>
      </c>
      <c r="F2881" s="79" t="str">
        <f>IF(E2881="", "", IF(COUNTIF(ChestType!$A$5:$A$195, E2881)&gt;0, VLOOKUP(E2881, ChestType!$A$5:$B$195, 2, 0), "Others"))</f>
        <v>L5 Crypt</v>
      </c>
    </row>
    <row r="2882" spans="1:6" x14ac:dyDescent="0.25">
      <c r="A2882" s="14">
        <v>46148.45</v>
      </c>
      <c r="B2882" s="79" t="s">
        <v>149</v>
      </c>
      <c r="C2882" s="79" t="s">
        <v>845</v>
      </c>
      <c r="D2882" s="79" t="s">
        <v>268</v>
      </c>
      <c r="E2882" s="79" t="s">
        <v>846</v>
      </c>
      <c r="F2882" s="79" t="str">
        <f>IF(E2882="", "", IF(COUNTIF(ChestType!$A$5:$A$195, E2882)&gt;0, VLOOKUP(E2882, ChestType!$A$5:$B$195, 2, 0), "Others"))</f>
        <v>Others</v>
      </c>
    </row>
    <row r="2883" spans="1:6" x14ac:dyDescent="0.25">
      <c r="A2883" s="14">
        <v>46148.45</v>
      </c>
      <c r="B2883" s="79" t="s">
        <v>149</v>
      </c>
      <c r="C2883" s="79" t="s">
        <v>173</v>
      </c>
      <c r="D2883" s="79" t="s">
        <v>253</v>
      </c>
      <c r="E2883" s="79" t="s">
        <v>52</v>
      </c>
      <c r="F2883" s="79" t="str">
        <f>IF(E2883="", "", IF(COUNTIF(ChestType!$A$5:$A$195, E2883)&gt;0, VLOOKUP(E2883, ChestType!$A$5:$B$195, 2, 0), "Others"))</f>
        <v>L5 Crypt</v>
      </c>
    </row>
    <row r="2884" spans="1:6" x14ac:dyDescent="0.25">
      <c r="A2884" s="14">
        <v>46148.45</v>
      </c>
      <c r="B2884" s="79" t="s">
        <v>149</v>
      </c>
      <c r="C2884" s="79" t="s">
        <v>151</v>
      </c>
      <c r="D2884" s="79" t="s">
        <v>166</v>
      </c>
      <c r="E2884" s="79" t="s">
        <v>50</v>
      </c>
      <c r="F2884" s="79" t="str">
        <f>IF(E2884="", "", IF(COUNTIF(ChestType!$A$5:$A$195, E2884)&gt;0, VLOOKUP(E2884, ChestType!$A$5:$B$195, 2, 0), "Others"))</f>
        <v>L10 Crypt</v>
      </c>
    </row>
    <row r="2885" spans="1:6" x14ac:dyDescent="0.25">
      <c r="A2885" s="14">
        <v>46148.45</v>
      </c>
      <c r="B2885" s="79" t="s">
        <v>149</v>
      </c>
      <c r="C2885" s="79" t="s">
        <v>185</v>
      </c>
      <c r="D2885" s="79" t="s">
        <v>253</v>
      </c>
      <c r="E2885" s="79" t="s">
        <v>52</v>
      </c>
      <c r="F2885" s="79" t="str">
        <f>IF(E2885="", "", IF(COUNTIF(ChestType!$A$5:$A$195, E2885)&gt;0, VLOOKUP(E2885, ChestType!$A$5:$B$195, 2, 0), "Others"))</f>
        <v>L5 Crypt</v>
      </c>
    </row>
    <row r="2886" spans="1:6" x14ac:dyDescent="0.25">
      <c r="A2886" s="14">
        <v>46148.45</v>
      </c>
      <c r="B2886" s="79" t="s">
        <v>149</v>
      </c>
      <c r="C2886" s="79" t="s">
        <v>172</v>
      </c>
      <c r="D2886" s="79" t="s">
        <v>166</v>
      </c>
      <c r="E2886" s="79" t="s">
        <v>64</v>
      </c>
      <c r="F2886" s="79" t="str">
        <f>IF(E2886="", "", IF(COUNTIF(ChestType!$A$5:$A$195, E2886)&gt;0, VLOOKUP(E2886, ChestType!$A$5:$B$195, 2, 0), "Others"))</f>
        <v>L15 Epic Crypt</v>
      </c>
    </row>
    <row r="2887" spans="1:6" x14ac:dyDescent="0.25">
      <c r="A2887" s="14">
        <v>46148.45</v>
      </c>
      <c r="B2887" s="79" t="s">
        <v>149</v>
      </c>
      <c r="C2887" s="79" t="s">
        <v>848</v>
      </c>
      <c r="D2887" s="79" t="s">
        <v>166</v>
      </c>
      <c r="E2887" s="79" t="s">
        <v>64</v>
      </c>
      <c r="F2887" s="79" t="str">
        <f>IF(E2887="", "", IF(COUNTIF(ChestType!$A$5:$A$195, E2887)&gt;0, VLOOKUP(E2887, ChestType!$A$5:$B$195, 2, 0), "Others"))</f>
        <v>L15 Epic Crypt</v>
      </c>
    </row>
    <row r="2888" spans="1:6" x14ac:dyDescent="0.25">
      <c r="A2888" s="14">
        <v>46148.45</v>
      </c>
      <c r="B2888" s="79" t="s">
        <v>149</v>
      </c>
      <c r="C2888" s="79" t="s">
        <v>172</v>
      </c>
      <c r="D2888" s="79" t="s">
        <v>166</v>
      </c>
      <c r="E2888" s="79" t="s">
        <v>64</v>
      </c>
      <c r="F2888" s="79" t="str">
        <f>IF(E2888="", "", IF(COUNTIF(ChestType!$A$5:$A$195, E2888)&gt;0, VLOOKUP(E2888, ChestType!$A$5:$B$195, 2, 0), "Others"))</f>
        <v>L15 Epic Crypt</v>
      </c>
    </row>
    <row r="2889" spans="1:6" x14ac:dyDescent="0.25">
      <c r="A2889" s="14">
        <v>46148.45</v>
      </c>
      <c r="B2889" s="79" t="s">
        <v>149</v>
      </c>
      <c r="C2889" s="79" t="s">
        <v>187</v>
      </c>
      <c r="D2889" s="79" t="s">
        <v>166</v>
      </c>
      <c r="E2889" s="79" t="s">
        <v>75</v>
      </c>
      <c r="F2889" s="79" t="str">
        <f>IF(E2889="", "", IF(COUNTIF(ChestType!$A$5:$A$195, E2889)&gt;0, VLOOKUP(E2889, ChestType!$A$5:$B$195, 2, 0), "Others"))</f>
        <v>L10 Rare Crypt</v>
      </c>
    </row>
    <row r="2890" spans="1:6" x14ac:dyDescent="0.25">
      <c r="A2890" s="14">
        <v>46148.45</v>
      </c>
      <c r="B2890" s="79" t="s">
        <v>149</v>
      </c>
      <c r="C2890" s="79" t="s">
        <v>177</v>
      </c>
      <c r="D2890" s="79" t="s">
        <v>261</v>
      </c>
      <c r="E2890" s="79" t="s">
        <v>52</v>
      </c>
      <c r="F2890" s="79" t="str">
        <f>IF(E2890="", "", IF(COUNTIF(ChestType!$A$5:$A$195, E2890)&gt;0, VLOOKUP(E2890, ChestType!$A$5:$B$195, 2, 0), "Others"))</f>
        <v>L5 Crypt</v>
      </c>
    </row>
    <row r="2891" spans="1:6" x14ac:dyDescent="0.25">
      <c r="A2891" s="14">
        <v>46148.45</v>
      </c>
      <c r="B2891" s="79" t="s">
        <v>149</v>
      </c>
      <c r="C2891" s="79" t="s">
        <v>173</v>
      </c>
      <c r="D2891" s="79" t="s">
        <v>159</v>
      </c>
      <c r="E2891" s="79" t="s">
        <v>52</v>
      </c>
      <c r="F2891" s="79" t="str">
        <f>IF(E2891="", "", IF(COUNTIF(ChestType!$A$5:$A$195, E2891)&gt;0, VLOOKUP(E2891, ChestType!$A$5:$B$195, 2, 0), "Others"))</f>
        <v>L5 Crypt</v>
      </c>
    </row>
    <row r="2892" spans="1:6" x14ac:dyDescent="0.25">
      <c r="A2892" s="14">
        <v>46148.45</v>
      </c>
      <c r="B2892" s="79" t="s">
        <v>149</v>
      </c>
      <c r="C2892" s="79" t="s">
        <v>181</v>
      </c>
      <c r="D2892" s="79" t="s">
        <v>159</v>
      </c>
      <c r="E2892" s="79" t="s">
        <v>50</v>
      </c>
      <c r="F2892" s="79" t="str">
        <f>IF(E2892="", "", IF(COUNTIF(ChestType!$A$5:$A$195, E2892)&gt;0, VLOOKUP(E2892, ChestType!$A$5:$B$195, 2, 0), "Others"))</f>
        <v>L10 Crypt</v>
      </c>
    </row>
    <row r="2893" spans="1:6" x14ac:dyDescent="0.25">
      <c r="A2893" s="14">
        <v>46148.45</v>
      </c>
      <c r="B2893" s="79" t="s">
        <v>149</v>
      </c>
      <c r="C2893" s="79" t="s">
        <v>173</v>
      </c>
      <c r="D2893" s="79" t="s">
        <v>179</v>
      </c>
      <c r="E2893" s="79" t="s">
        <v>52</v>
      </c>
      <c r="F2893" s="79" t="str">
        <f>IF(E2893="", "", IF(COUNTIF(ChestType!$A$5:$A$195, E2893)&gt;0, VLOOKUP(E2893, ChestType!$A$5:$B$195, 2, 0), "Others"))</f>
        <v>L5 Crypt</v>
      </c>
    </row>
    <row r="2894" spans="1:6" x14ac:dyDescent="0.25">
      <c r="A2894" s="14">
        <v>46148.45</v>
      </c>
      <c r="B2894" s="79" t="s">
        <v>149</v>
      </c>
      <c r="C2894" s="79" t="s">
        <v>151</v>
      </c>
      <c r="D2894" s="79" t="s">
        <v>261</v>
      </c>
      <c r="E2894" s="79" t="s">
        <v>52</v>
      </c>
      <c r="F2894" s="79" t="str">
        <f>IF(E2894="", "", IF(COUNTIF(ChestType!$A$5:$A$195, E2894)&gt;0, VLOOKUP(E2894, ChestType!$A$5:$B$195, 2, 0), "Others"))</f>
        <v>L5 Crypt</v>
      </c>
    </row>
    <row r="2895" spans="1:6" x14ac:dyDescent="0.25">
      <c r="A2895" s="14">
        <v>46148.45</v>
      </c>
      <c r="B2895" s="79" t="s">
        <v>149</v>
      </c>
      <c r="C2895" s="79" t="s">
        <v>184</v>
      </c>
      <c r="D2895" s="79" t="s">
        <v>193</v>
      </c>
      <c r="E2895" s="79" t="s">
        <v>50</v>
      </c>
      <c r="F2895" s="79" t="str">
        <f>IF(E2895="", "", IF(COUNTIF(ChestType!$A$5:$A$195, E2895)&gt;0, VLOOKUP(E2895, ChestType!$A$5:$B$195, 2, 0), "Others"))</f>
        <v>L10 Crypt</v>
      </c>
    </row>
    <row r="2896" spans="1:6" x14ac:dyDescent="0.25">
      <c r="A2896" s="14">
        <v>46148.45</v>
      </c>
      <c r="B2896" s="79" t="s">
        <v>149</v>
      </c>
      <c r="C2896" s="79" t="s">
        <v>182</v>
      </c>
      <c r="D2896" s="79" t="s">
        <v>261</v>
      </c>
      <c r="E2896" s="79" t="s">
        <v>52</v>
      </c>
      <c r="F2896" s="79" t="str">
        <f>IF(E2896="", "", IF(COUNTIF(ChestType!$A$5:$A$195, E2896)&gt;0, VLOOKUP(E2896, ChestType!$A$5:$B$195, 2, 0), "Others"))</f>
        <v>L5 Crypt</v>
      </c>
    </row>
    <row r="2897" spans="1:6" x14ac:dyDescent="0.25">
      <c r="A2897" s="14">
        <v>46148.45</v>
      </c>
      <c r="B2897" s="79" t="s">
        <v>149</v>
      </c>
      <c r="C2897" s="79" t="s">
        <v>181</v>
      </c>
      <c r="D2897" s="79" t="s">
        <v>261</v>
      </c>
      <c r="E2897" s="79" t="s">
        <v>52</v>
      </c>
      <c r="F2897" s="79" t="str">
        <f>IF(E2897="", "", IF(COUNTIF(ChestType!$A$5:$A$195, E2897)&gt;0, VLOOKUP(E2897, ChestType!$A$5:$B$195, 2, 0), "Others"))</f>
        <v>L5 Crypt</v>
      </c>
    </row>
    <row r="2898" spans="1:6" x14ac:dyDescent="0.25">
      <c r="A2898" s="14">
        <v>46148.45</v>
      </c>
      <c r="B2898" s="79" t="s">
        <v>149</v>
      </c>
      <c r="C2898" s="79" t="s">
        <v>182</v>
      </c>
      <c r="D2898" s="79" t="s">
        <v>193</v>
      </c>
      <c r="E2898" s="79" t="s">
        <v>50</v>
      </c>
      <c r="F2898" s="79" t="str">
        <f>IF(E2898="", "", IF(COUNTIF(ChestType!$A$5:$A$195, E2898)&gt;0, VLOOKUP(E2898, ChestType!$A$5:$B$195, 2, 0), "Others"))</f>
        <v>L10 Crypt</v>
      </c>
    </row>
    <row r="2899" spans="1:6" x14ac:dyDescent="0.25">
      <c r="A2899" s="14">
        <v>46148.45</v>
      </c>
      <c r="B2899" s="79" t="s">
        <v>149</v>
      </c>
      <c r="C2899" s="79" t="s">
        <v>190</v>
      </c>
      <c r="D2899" s="79" t="s">
        <v>193</v>
      </c>
      <c r="E2899" s="79" t="s">
        <v>50</v>
      </c>
      <c r="F2899" s="79" t="str">
        <f>IF(E2899="", "", IF(COUNTIF(ChestType!$A$5:$A$195, E2899)&gt;0, VLOOKUP(E2899, ChestType!$A$5:$B$195, 2, 0), "Others"))</f>
        <v>L10 Crypt</v>
      </c>
    </row>
    <row r="2900" spans="1:6" x14ac:dyDescent="0.25">
      <c r="A2900" s="14">
        <v>46148.45</v>
      </c>
      <c r="B2900" s="79" t="s">
        <v>149</v>
      </c>
      <c r="C2900" s="79" t="s">
        <v>158</v>
      </c>
      <c r="D2900" s="79" t="s">
        <v>162</v>
      </c>
      <c r="E2900" s="79" t="s">
        <v>49</v>
      </c>
      <c r="F2900" s="79" t="str">
        <f>IF(E2900="", "", IF(COUNTIF(ChestType!$A$5:$A$195, E2900)&gt;0, VLOOKUP(E2900, ChestType!$A$5:$B$195, 2, 0), "Others"))</f>
        <v>L15 Crypt</v>
      </c>
    </row>
    <row r="2901" spans="1:6" x14ac:dyDescent="0.25">
      <c r="A2901" s="14">
        <v>46148.45</v>
      </c>
      <c r="B2901" s="79" t="s">
        <v>149</v>
      </c>
      <c r="C2901" s="79" t="s">
        <v>177</v>
      </c>
      <c r="D2901" s="79" t="s">
        <v>162</v>
      </c>
      <c r="E2901" s="79" t="s">
        <v>50</v>
      </c>
      <c r="F2901" s="79" t="str">
        <f>IF(E2901="", "", IF(COUNTIF(ChestType!$A$5:$A$195, E2901)&gt;0, VLOOKUP(E2901, ChestType!$A$5:$B$195, 2, 0), "Others"))</f>
        <v>L10 Crypt</v>
      </c>
    </row>
    <row r="2902" spans="1:6" x14ac:dyDescent="0.25">
      <c r="A2902" s="14">
        <v>46148.45</v>
      </c>
      <c r="B2902" s="79" t="s">
        <v>149</v>
      </c>
      <c r="C2902" s="79" t="s">
        <v>181</v>
      </c>
      <c r="D2902" s="79" t="s">
        <v>162</v>
      </c>
      <c r="E2902" s="79" t="s">
        <v>50</v>
      </c>
      <c r="F2902" s="79" t="str">
        <f>IF(E2902="", "", IF(COUNTIF(ChestType!$A$5:$A$195, E2902)&gt;0, VLOOKUP(E2902, ChestType!$A$5:$B$195, 2, 0), "Others"))</f>
        <v>L10 Crypt</v>
      </c>
    </row>
    <row r="2903" spans="1:6" x14ac:dyDescent="0.25">
      <c r="A2903" s="14">
        <v>46148.45</v>
      </c>
      <c r="B2903" s="79" t="s">
        <v>149</v>
      </c>
      <c r="C2903" s="79" t="s">
        <v>171</v>
      </c>
      <c r="D2903" s="79" t="s">
        <v>162</v>
      </c>
      <c r="E2903" s="79" t="s">
        <v>49</v>
      </c>
      <c r="F2903" s="79" t="str">
        <f>IF(E2903="", "", IF(COUNTIF(ChestType!$A$5:$A$195, E2903)&gt;0, VLOOKUP(E2903, ChestType!$A$5:$B$195, 2, 0), "Others"))</f>
        <v>L15 Crypt</v>
      </c>
    </row>
    <row r="2904" spans="1:6" x14ac:dyDescent="0.25">
      <c r="A2904" s="14">
        <v>46148.45</v>
      </c>
      <c r="B2904" s="79" t="s">
        <v>149</v>
      </c>
      <c r="C2904" s="79" t="s">
        <v>183</v>
      </c>
      <c r="D2904" s="79" t="s">
        <v>162</v>
      </c>
      <c r="E2904" s="79" t="s">
        <v>50</v>
      </c>
      <c r="F2904" s="79" t="str">
        <f>IF(E2904="", "", IF(COUNTIF(ChestType!$A$5:$A$195, E2904)&gt;0, VLOOKUP(E2904, ChestType!$A$5:$B$195, 2, 0), "Others"))</f>
        <v>L10 Crypt</v>
      </c>
    </row>
    <row r="2905" spans="1:6" x14ac:dyDescent="0.25">
      <c r="A2905" s="14">
        <v>46148.45</v>
      </c>
      <c r="B2905" s="79" t="s">
        <v>149</v>
      </c>
      <c r="C2905" s="79" t="s">
        <v>177</v>
      </c>
      <c r="D2905" s="79" t="s">
        <v>162</v>
      </c>
      <c r="E2905" s="79" t="s">
        <v>50</v>
      </c>
      <c r="F2905" s="79" t="str">
        <f>IF(E2905="", "", IF(COUNTIF(ChestType!$A$5:$A$195, E2905)&gt;0, VLOOKUP(E2905, ChestType!$A$5:$B$195, 2, 0), "Others"))</f>
        <v>L10 Crypt</v>
      </c>
    </row>
    <row r="2906" spans="1:6" x14ac:dyDescent="0.25">
      <c r="A2906" s="14">
        <v>46148.45</v>
      </c>
      <c r="B2906" s="79" t="s">
        <v>149</v>
      </c>
      <c r="C2906" s="79" t="s">
        <v>181</v>
      </c>
      <c r="D2906" s="79" t="s">
        <v>162</v>
      </c>
      <c r="E2906" s="79" t="s">
        <v>50</v>
      </c>
      <c r="F2906" s="79" t="str">
        <f>IF(E2906="", "", IF(COUNTIF(ChestType!$A$5:$A$195, E2906)&gt;0, VLOOKUP(E2906, ChestType!$A$5:$B$195, 2, 0), "Others"))</f>
        <v>L10 Crypt</v>
      </c>
    </row>
    <row r="2907" spans="1:6" x14ac:dyDescent="0.25">
      <c r="A2907" s="14">
        <v>46148.45</v>
      </c>
      <c r="B2907" s="79" t="s">
        <v>149</v>
      </c>
      <c r="C2907" s="79" t="s">
        <v>183</v>
      </c>
      <c r="D2907" s="79" t="s">
        <v>162</v>
      </c>
      <c r="E2907" s="79" t="s">
        <v>49</v>
      </c>
      <c r="F2907" s="79" t="str">
        <f>IF(E2907="", "", IF(COUNTIF(ChestType!$A$5:$A$195, E2907)&gt;0, VLOOKUP(E2907, ChestType!$A$5:$B$195, 2, 0), "Others"))</f>
        <v>L15 Crypt</v>
      </c>
    </row>
    <row r="2908" spans="1:6" x14ac:dyDescent="0.25">
      <c r="A2908" s="14">
        <v>46148.45</v>
      </c>
      <c r="B2908" s="79" t="s">
        <v>149</v>
      </c>
      <c r="C2908" s="79" t="s">
        <v>182</v>
      </c>
      <c r="D2908" s="79" t="s">
        <v>162</v>
      </c>
      <c r="E2908" s="79" t="s">
        <v>49</v>
      </c>
      <c r="F2908" s="79" t="str">
        <f>IF(E2908="", "", IF(COUNTIF(ChestType!$A$5:$A$195, E2908)&gt;0, VLOOKUP(E2908, ChestType!$A$5:$B$195, 2, 0), "Others"))</f>
        <v>L15 Crypt</v>
      </c>
    </row>
    <row r="2909" spans="1:6" x14ac:dyDescent="0.25">
      <c r="A2909" s="14">
        <v>46148.45</v>
      </c>
      <c r="B2909" s="79" t="s">
        <v>149</v>
      </c>
      <c r="C2909" s="79" t="s">
        <v>173</v>
      </c>
      <c r="D2909" s="79" t="s">
        <v>162</v>
      </c>
      <c r="E2909" s="79" t="s">
        <v>50</v>
      </c>
      <c r="F2909" s="79" t="str">
        <f>IF(E2909="", "", IF(COUNTIF(ChestType!$A$5:$A$195, E2909)&gt;0, VLOOKUP(E2909, ChestType!$A$5:$B$195, 2, 0), "Others"))</f>
        <v>L10 Crypt</v>
      </c>
    </row>
    <row r="2910" spans="1:6" x14ac:dyDescent="0.25">
      <c r="A2910" s="14">
        <v>46148.45</v>
      </c>
      <c r="B2910" s="79" t="s">
        <v>149</v>
      </c>
      <c r="C2910" s="79" t="s">
        <v>175</v>
      </c>
      <c r="D2910" s="79" t="s">
        <v>162</v>
      </c>
      <c r="E2910" s="79" t="s">
        <v>50</v>
      </c>
      <c r="F2910" s="79" t="str">
        <f>IF(E2910="", "", IF(COUNTIF(ChestType!$A$5:$A$195, E2910)&gt;0, VLOOKUP(E2910, ChestType!$A$5:$B$195, 2, 0), "Others"))</f>
        <v>L10 Crypt</v>
      </c>
    </row>
    <row r="2911" spans="1:6" x14ac:dyDescent="0.25">
      <c r="A2911" s="14">
        <v>46148.45</v>
      </c>
      <c r="B2911" s="79" t="s">
        <v>149</v>
      </c>
      <c r="C2911" s="79" t="s">
        <v>182</v>
      </c>
      <c r="D2911" s="79" t="s">
        <v>162</v>
      </c>
      <c r="E2911" s="79" t="s">
        <v>49</v>
      </c>
      <c r="F2911" s="79" t="str">
        <f>IF(E2911="", "", IF(COUNTIF(ChestType!$A$5:$A$195, E2911)&gt;0, VLOOKUP(E2911, ChestType!$A$5:$B$195, 2, 0), "Others"))</f>
        <v>L15 Crypt</v>
      </c>
    </row>
    <row r="2912" spans="1:6" x14ac:dyDescent="0.25">
      <c r="A2912" s="14">
        <v>46148.45</v>
      </c>
      <c r="B2912" s="79" t="s">
        <v>149</v>
      </c>
      <c r="C2912" s="79" t="s">
        <v>151</v>
      </c>
      <c r="D2912" s="79" t="s">
        <v>162</v>
      </c>
      <c r="E2912" s="79" t="s">
        <v>49</v>
      </c>
      <c r="F2912" s="79" t="str">
        <f>IF(E2912="", "", IF(COUNTIF(ChestType!$A$5:$A$195, E2912)&gt;0, VLOOKUP(E2912, ChestType!$A$5:$B$195, 2, 0), "Others"))</f>
        <v>L15 Crypt</v>
      </c>
    </row>
    <row r="2913" spans="1:6" x14ac:dyDescent="0.25">
      <c r="A2913" s="14">
        <v>46148.45</v>
      </c>
      <c r="B2913" s="79" t="s">
        <v>149</v>
      </c>
      <c r="C2913" s="79" t="s">
        <v>171</v>
      </c>
      <c r="D2913" s="79" t="s">
        <v>162</v>
      </c>
      <c r="E2913" s="79" t="s">
        <v>49</v>
      </c>
      <c r="F2913" s="79" t="str">
        <f>IF(E2913="", "", IF(COUNTIF(ChestType!$A$5:$A$195, E2913)&gt;0, VLOOKUP(E2913, ChestType!$A$5:$B$195, 2, 0), "Others"))</f>
        <v>L15 Crypt</v>
      </c>
    </row>
    <row r="2914" spans="1:6" x14ac:dyDescent="0.25">
      <c r="A2914" s="14">
        <v>46148.45</v>
      </c>
      <c r="B2914" s="79" t="s">
        <v>149</v>
      </c>
      <c r="C2914" s="79" t="s">
        <v>175</v>
      </c>
      <c r="D2914" s="79" t="s">
        <v>162</v>
      </c>
      <c r="E2914" s="79" t="s">
        <v>50</v>
      </c>
      <c r="F2914" s="79" t="str">
        <f>IF(E2914="", "", IF(COUNTIF(ChestType!$A$5:$A$195, E2914)&gt;0, VLOOKUP(E2914, ChestType!$A$5:$B$195, 2, 0), "Others"))</f>
        <v>L10 Crypt</v>
      </c>
    </row>
    <row r="2915" spans="1:6" x14ac:dyDescent="0.25">
      <c r="A2915" s="14">
        <v>46148.45</v>
      </c>
      <c r="B2915" s="79" t="s">
        <v>149</v>
      </c>
      <c r="C2915" s="79" t="s">
        <v>173</v>
      </c>
      <c r="D2915" s="79" t="s">
        <v>162</v>
      </c>
      <c r="E2915" s="79" t="s">
        <v>50</v>
      </c>
      <c r="F2915" s="79" t="str">
        <f>IF(E2915="", "", IF(COUNTIF(ChestType!$A$5:$A$195, E2915)&gt;0, VLOOKUP(E2915, ChestType!$A$5:$B$195, 2, 0), "Others"))</f>
        <v>L10 Crypt</v>
      </c>
    </row>
    <row r="2916" spans="1:6" x14ac:dyDescent="0.25">
      <c r="A2916" s="14">
        <v>46148.45</v>
      </c>
      <c r="B2916" s="79" t="s">
        <v>149</v>
      </c>
      <c r="C2916" s="79" t="s">
        <v>175</v>
      </c>
      <c r="D2916" s="79" t="s">
        <v>162</v>
      </c>
      <c r="E2916" s="79" t="s">
        <v>49</v>
      </c>
      <c r="F2916" s="79" t="str">
        <f>IF(E2916="", "", IF(COUNTIF(ChestType!$A$5:$A$195, E2916)&gt;0, VLOOKUP(E2916, ChestType!$A$5:$B$195, 2, 0), "Others"))</f>
        <v>L15 Crypt</v>
      </c>
    </row>
    <row r="2917" spans="1:6" x14ac:dyDescent="0.25">
      <c r="A2917" s="14">
        <v>46148.45</v>
      </c>
      <c r="B2917" s="79" t="s">
        <v>149</v>
      </c>
      <c r="C2917" s="79" t="s">
        <v>177</v>
      </c>
      <c r="D2917" s="79" t="s">
        <v>153</v>
      </c>
      <c r="E2917" s="79" t="s">
        <v>49</v>
      </c>
      <c r="F2917" s="79" t="str">
        <f>IF(E2917="", "", IF(COUNTIF(ChestType!$A$5:$A$195, E2917)&gt;0, VLOOKUP(E2917, ChestType!$A$5:$B$195, 2, 0), "Others"))</f>
        <v>L15 Crypt</v>
      </c>
    </row>
    <row r="2918" spans="1:6" x14ac:dyDescent="0.25">
      <c r="A2918" s="14">
        <v>46148.45</v>
      </c>
      <c r="B2918" s="79" t="s">
        <v>149</v>
      </c>
      <c r="C2918" s="79" t="s">
        <v>183</v>
      </c>
      <c r="D2918" s="79" t="s">
        <v>153</v>
      </c>
      <c r="E2918" s="79" t="s">
        <v>52</v>
      </c>
      <c r="F2918" s="79" t="str">
        <f>IF(E2918="", "", IF(COUNTIF(ChestType!$A$5:$A$195, E2918)&gt;0, VLOOKUP(E2918, ChestType!$A$5:$B$195, 2, 0), "Others"))</f>
        <v>L5 Crypt</v>
      </c>
    </row>
    <row r="2919" spans="1:6" x14ac:dyDescent="0.25">
      <c r="A2919" s="14">
        <v>46148.45</v>
      </c>
      <c r="B2919" s="79" t="s">
        <v>149</v>
      </c>
      <c r="C2919" s="79" t="s">
        <v>175</v>
      </c>
      <c r="D2919" s="79" t="s">
        <v>153</v>
      </c>
      <c r="E2919" s="79" t="s">
        <v>52</v>
      </c>
      <c r="F2919" s="79" t="str">
        <f>IF(E2919="", "", IF(COUNTIF(ChestType!$A$5:$A$195, E2919)&gt;0, VLOOKUP(E2919, ChestType!$A$5:$B$195, 2, 0), "Others"))</f>
        <v>L5 Crypt</v>
      </c>
    </row>
    <row r="2920" spans="1:6" x14ac:dyDescent="0.25">
      <c r="A2920" s="14">
        <v>46148.45</v>
      </c>
      <c r="B2920" s="79" t="s">
        <v>149</v>
      </c>
      <c r="C2920" s="79" t="s">
        <v>176</v>
      </c>
      <c r="D2920" s="79" t="s">
        <v>153</v>
      </c>
      <c r="E2920" s="79" t="s">
        <v>70</v>
      </c>
      <c r="F2920" s="79" t="str">
        <f>IF(E2920="", "", IF(COUNTIF(ChestType!$A$5:$A$195, E2920)&gt;0, VLOOKUP(E2920, ChestType!$A$5:$B$195, 2, 0), "Others"))</f>
        <v>L10 Citadel</v>
      </c>
    </row>
    <row r="2921" spans="1:6" x14ac:dyDescent="0.25">
      <c r="A2921" s="14">
        <v>46148.45</v>
      </c>
      <c r="B2921" s="79" t="s">
        <v>149</v>
      </c>
      <c r="C2921" s="79" t="s">
        <v>187</v>
      </c>
      <c r="D2921" s="79" t="s">
        <v>153</v>
      </c>
      <c r="E2921" s="79" t="s">
        <v>75</v>
      </c>
      <c r="F2921" s="79" t="str">
        <f>IF(E2921="", "", IF(COUNTIF(ChestType!$A$5:$A$195, E2921)&gt;0, VLOOKUP(E2921, ChestType!$A$5:$B$195, 2, 0), "Others"))</f>
        <v>L10 Rare Crypt</v>
      </c>
    </row>
    <row r="2922" spans="1:6" x14ac:dyDescent="0.25">
      <c r="A2922" s="14">
        <v>46148.45</v>
      </c>
      <c r="B2922" s="79" t="s">
        <v>149</v>
      </c>
      <c r="C2922" s="79" t="s">
        <v>181</v>
      </c>
      <c r="D2922" s="79" t="s">
        <v>236</v>
      </c>
      <c r="E2922" s="79" t="s">
        <v>50</v>
      </c>
      <c r="F2922" s="79" t="str">
        <f>IF(E2922="", "", IF(COUNTIF(ChestType!$A$5:$A$195, E2922)&gt;0, VLOOKUP(E2922, ChestType!$A$5:$B$195, 2, 0), "Others"))</f>
        <v>L10 Crypt</v>
      </c>
    </row>
    <row r="2923" spans="1:6" x14ac:dyDescent="0.25">
      <c r="A2923" s="14">
        <v>46148.45</v>
      </c>
      <c r="B2923" s="79" t="s">
        <v>149</v>
      </c>
      <c r="C2923" s="79" t="s">
        <v>151</v>
      </c>
      <c r="D2923" s="79" t="s">
        <v>153</v>
      </c>
      <c r="E2923" s="79" t="s">
        <v>50</v>
      </c>
      <c r="F2923" s="79" t="str">
        <f>IF(E2923="", "", IF(COUNTIF(ChestType!$A$5:$A$195, E2923)&gt;0, VLOOKUP(E2923, ChestType!$A$5:$B$195, 2, 0), "Others"))</f>
        <v>L10 Crypt</v>
      </c>
    </row>
    <row r="2924" spans="1:6" x14ac:dyDescent="0.25">
      <c r="A2924" s="14">
        <v>46148.45</v>
      </c>
      <c r="B2924" s="79" t="s">
        <v>149</v>
      </c>
      <c r="C2924" s="79" t="s">
        <v>177</v>
      </c>
      <c r="D2924" s="79" t="s">
        <v>153</v>
      </c>
      <c r="E2924" s="79" t="s">
        <v>50</v>
      </c>
      <c r="F2924" s="79" t="str">
        <f>IF(E2924="", "", IF(COUNTIF(ChestType!$A$5:$A$195, E2924)&gt;0, VLOOKUP(E2924, ChestType!$A$5:$B$195, 2, 0), "Others"))</f>
        <v>L10 Crypt</v>
      </c>
    </row>
    <row r="2925" spans="1:6" x14ac:dyDescent="0.25">
      <c r="A2925" s="14">
        <v>46148.45</v>
      </c>
      <c r="B2925" s="79" t="s">
        <v>149</v>
      </c>
      <c r="C2925" s="79" t="s">
        <v>171</v>
      </c>
      <c r="D2925" s="79" t="s">
        <v>261</v>
      </c>
      <c r="E2925" s="79" t="s">
        <v>50</v>
      </c>
      <c r="F2925" s="79" t="str">
        <f>IF(E2925="", "", IF(COUNTIF(ChestType!$A$5:$A$195, E2925)&gt;0, VLOOKUP(E2925, ChestType!$A$5:$B$195, 2, 0), "Others"))</f>
        <v>L10 Crypt</v>
      </c>
    </row>
    <row r="2926" spans="1:6" x14ac:dyDescent="0.25">
      <c r="A2926" s="14">
        <v>46148.45</v>
      </c>
      <c r="B2926" s="79" t="s">
        <v>149</v>
      </c>
      <c r="C2926" s="79" t="s">
        <v>171</v>
      </c>
      <c r="D2926" s="79" t="s">
        <v>261</v>
      </c>
      <c r="E2926" s="79" t="s">
        <v>52</v>
      </c>
      <c r="F2926" s="79" t="str">
        <f>IF(E2926="", "", IF(COUNTIF(ChestType!$A$5:$A$195, E2926)&gt;0, VLOOKUP(E2926, ChestType!$A$5:$B$195, 2, 0), "Others"))</f>
        <v>L5 Crypt</v>
      </c>
    </row>
    <row r="2927" spans="1:6" x14ac:dyDescent="0.25">
      <c r="A2927" s="14">
        <v>46148.45</v>
      </c>
      <c r="B2927" s="79" t="s">
        <v>149</v>
      </c>
      <c r="C2927" s="79" t="s">
        <v>173</v>
      </c>
      <c r="D2927" s="79" t="s">
        <v>261</v>
      </c>
      <c r="E2927" s="79" t="s">
        <v>52</v>
      </c>
      <c r="F2927" s="79" t="str">
        <f>IF(E2927="", "", IF(COUNTIF(ChestType!$A$5:$A$195, E2927)&gt;0, VLOOKUP(E2927, ChestType!$A$5:$B$195, 2, 0), "Others"))</f>
        <v>L5 Crypt</v>
      </c>
    </row>
    <row r="2928" spans="1:6" x14ac:dyDescent="0.25">
      <c r="A2928" s="14">
        <v>46148.45</v>
      </c>
      <c r="B2928" s="79" t="s">
        <v>149</v>
      </c>
      <c r="C2928" s="79" t="s">
        <v>175</v>
      </c>
      <c r="D2928" s="79" t="s">
        <v>261</v>
      </c>
      <c r="E2928" s="79" t="s">
        <v>50</v>
      </c>
      <c r="F2928" s="79" t="str">
        <f>IF(E2928="", "", IF(COUNTIF(ChestType!$A$5:$A$195, E2928)&gt;0, VLOOKUP(E2928, ChestType!$A$5:$B$195, 2, 0), "Others"))</f>
        <v>L10 Crypt</v>
      </c>
    </row>
    <row r="2929" spans="1:6" x14ac:dyDescent="0.25">
      <c r="A2929" s="14">
        <v>46148.45</v>
      </c>
      <c r="B2929" s="79" t="s">
        <v>149</v>
      </c>
      <c r="C2929" s="79" t="s">
        <v>151</v>
      </c>
      <c r="D2929" s="79" t="s">
        <v>261</v>
      </c>
      <c r="E2929" s="79" t="s">
        <v>50</v>
      </c>
      <c r="F2929" s="79" t="str">
        <f>IF(E2929="", "", IF(COUNTIF(ChestType!$A$5:$A$195, E2929)&gt;0, VLOOKUP(E2929, ChestType!$A$5:$B$195, 2, 0), "Others"))</f>
        <v>L10 Crypt</v>
      </c>
    </row>
    <row r="2930" spans="1:6" x14ac:dyDescent="0.25">
      <c r="A2930" s="14">
        <v>46148.45</v>
      </c>
      <c r="B2930" s="79" t="s">
        <v>149</v>
      </c>
      <c r="C2930" s="79" t="s">
        <v>158</v>
      </c>
      <c r="D2930" s="79" t="s">
        <v>261</v>
      </c>
      <c r="E2930" s="79" t="s">
        <v>50</v>
      </c>
      <c r="F2930" s="79" t="str">
        <f>IF(E2930="", "", IF(COUNTIF(ChestType!$A$5:$A$195, E2930)&gt;0, VLOOKUP(E2930, ChestType!$A$5:$B$195, 2, 0), "Others"))</f>
        <v>L10 Crypt</v>
      </c>
    </row>
    <row r="2931" spans="1:6" x14ac:dyDescent="0.25">
      <c r="A2931" s="14">
        <v>46148.45</v>
      </c>
      <c r="B2931" s="79" t="s">
        <v>149</v>
      </c>
      <c r="C2931" s="79" t="s">
        <v>190</v>
      </c>
      <c r="D2931" s="79" t="s">
        <v>261</v>
      </c>
      <c r="E2931" s="79" t="s">
        <v>50</v>
      </c>
      <c r="F2931" s="79" t="str">
        <f>IF(E2931="", "", IF(COUNTIF(ChestType!$A$5:$A$195, E2931)&gt;0, VLOOKUP(E2931, ChestType!$A$5:$B$195, 2, 0), "Others"))</f>
        <v>L10 Crypt</v>
      </c>
    </row>
    <row r="2932" spans="1:6" x14ac:dyDescent="0.25">
      <c r="A2932" s="14">
        <v>46148.45</v>
      </c>
      <c r="B2932" s="79" t="s">
        <v>149</v>
      </c>
      <c r="C2932" s="79" t="s">
        <v>183</v>
      </c>
      <c r="D2932" s="79" t="s">
        <v>261</v>
      </c>
      <c r="E2932" s="79" t="s">
        <v>50</v>
      </c>
      <c r="F2932" s="79" t="str">
        <f>IF(E2932="", "", IF(COUNTIF(ChestType!$A$5:$A$195, E2932)&gt;0, VLOOKUP(E2932, ChestType!$A$5:$B$195, 2, 0), "Others"))</f>
        <v>L10 Crypt</v>
      </c>
    </row>
    <row r="2933" spans="1:6" x14ac:dyDescent="0.25">
      <c r="A2933" s="14">
        <v>46148.45</v>
      </c>
      <c r="B2933" s="79" t="s">
        <v>149</v>
      </c>
      <c r="C2933" s="79" t="s">
        <v>185</v>
      </c>
      <c r="D2933" s="79" t="s">
        <v>261</v>
      </c>
      <c r="E2933" s="79" t="s">
        <v>52</v>
      </c>
      <c r="F2933" s="79" t="str">
        <f>IF(E2933="", "", IF(COUNTIF(ChestType!$A$5:$A$195, E2933)&gt;0, VLOOKUP(E2933, ChestType!$A$5:$B$195, 2, 0), "Others"))</f>
        <v>L5 Crypt</v>
      </c>
    </row>
    <row r="2934" spans="1:6" x14ac:dyDescent="0.25">
      <c r="A2934" s="14">
        <v>46148.45</v>
      </c>
      <c r="B2934" s="79" t="s">
        <v>149</v>
      </c>
      <c r="C2934" s="79" t="s">
        <v>183</v>
      </c>
      <c r="D2934" s="79" t="s">
        <v>261</v>
      </c>
      <c r="E2934" s="79" t="s">
        <v>50</v>
      </c>
      <c r="F2934" s="79" t="str">
        <f>IF(E2934="", "", IF(COUNTIF(ChestType!$A$5:$A$195, E2934)&gt;0, VLOOKUP(E2934, ChestType!$A$5:$B$195, 2, 0), "Others"))</f>
        <v>L10 Crypt</v>
      </c>
    </row>
    <row r="2935" spans="1:6" x14ac:dyDescent="0.25">
      <c r="A2935" s="14">
        <v>46148.45</v>
      </c>
      <c r="B2935" s="79" t="s">
        <v>149</v>
      </c>
      <c r="C2935" s="79" t="s">
        <v>190</v>
      </c>
      <c r="D2935" s="79" t="s">
        <v>231</v>
      </c>
      <c r="E2935" s="79" t="s">
        <v>50</v>
      </c>
      <c r="F2935" s="79" t="str">
        <f>IF(E2935="", "", IF(COUNTIF(ChestType!$A$5:$A$195, E2935)&gt;0, VLOOKUP(E2935, ChestType!$A$5:$B$195, 2, 0), "Others"))</f>
        <v>L10 Crypt</v>
      </c>
    </row>
    <row r="2936" spans="1:6" x14ac:dyDescent="0.25">
      <c r="A2936" s="14">
        <v>46148.45</v>
      </c>
      <c r="B2936" s="79" t="s">
        <v>149</v>
      </c>
      <c r="C2936" s="79" t="s">
        <v>173</v>
      </c>
      <c r="D2936" s="79" t="s">
        <v>231</v>
      </c>
      <c r="E2936" s="79" t="s">
        <v>50</v>
      </c>
      <c r="F2936" s="79" t="str">
        <f>IF(E2936="", "", IF(COUNTIF(ChestType!$A$5:$A$195, E2936)&gt;0, VLOOKUP(E2936, ChestType!$A$5:$B$195, 2, 0), "Others"))</f>
        <v>L10 Crypt</v>
      </c>
    </row>
    <row r="2937" spans="1:6" x14ac:dyDescent="0.25">
      <c r="A2937" s="14">
        <v>46148.45</v>
      </c>
      <c r="B2937" s="79" t="s">
        <v>149</v>
      </c>
      <c r="C2937" s="79" t="s">
        <v>173</v>
      </c>
      <c r="D2937" s="79" t="s">
        <v>231</v>
      </c>
      <c r="E2937" s="79" t="s">
        <v>49</v>
      </c>
      <c r="F2937" s="79" t="str">
        <f>IF(E2937="", "", IF(COUNTIF(ChestType!$A$5:$A$195, E2937)&gt;0, VLOOKUP(E2937, ChestType!$A$5:$B$195, 2, 0), "Others"))</f>
        <v>L15 Crypt</v>
      </c>
    </row>
    <row r="2938" spans="1:6" x14ac:dyDescent="0.25">
      <c r="A2938" s="14">
        <v>46148.45</v>
      </c>
      <c r="B2938" s="79" t="s">
        <v>149</v>
      </c>
      <c r="C2938" s="79" t="s">
        <v>151</v>
      </c>
      <c r="D2938" s="79" t="s">
        <v>261</v>
      </c>
      <c r="E2938" s="79" t="s">
        <v>52</v>
      </c>
      <c r="F2938" s="79" t="str">
        <f>IF(E2938="", "", IF(COUNTIF(ChestType!$A$5:$A$195, E2938)&gt;0, VLOOKUP(E2938, ChestType!$A$5:$B$195, 2, 0), "Others"))</f>
        <v>L5 Crypt</v>
      </c>
    </row>
    <row r="2939" spans="1:6" x14ac:dyDescent="0.25">
      <c r="A2939" s="14">
        <v>46148.45</v>
      </c>
      <c r="B2939" s="79" t="s">
        <v>149</v>
      </c>
      <c r="C2939" s="79" t="s">
        <v>158</v>
      </c>
      <c r="D2939" s="79" t="s">
        <v>231</v>
      </c>
      <c r="E2939" s="79" t="s">
        <v>50</v>
      </c>
      <c r="F2939" s="79" t="str">
        <f>IF(E2939="", "", IF(COUNTIF(ChestType!$A$5:$A$195, E2939)&gt;0, VLOOKUP(E2939, ChestType!$A$5:$B$195, 2, 0), "Others"))</f>
        <v>L10 Crypt</v>
      </c>
    </row>
    <row r="2940" spans="1:6" x14ac:dyDescent="0.25">
      <c r="A2940" s="14">
        <v>46148.45</v>
      </c>
      <c r="B2940" s="79" t="s">
        <v>149</v>
      </c>
      <c r="C2940" s="79" t="s">
        <v>190</v>
      </c>
      <c r="D2940" s="79" t="s">
        <v>261</v>
      </c>
      <c r="E2940" s="79" t="s">
        <v>50</v>
      </c>
      <c r="F2940" s="79" t="str">
        <f>IF(E2940="", "", IF(COUNTIF(ChestType!$A$5:$A$195, E2940)&gt;0, VLOOKUP(E2940, ChestType!$A$5:$B$195, 2, 0), "Others"))</f>
        <v>L10 Crypt</v>
      </c>
    </row>
    <row r="2941" spans="1:6" x14ac:dyDescent="0.25">
      <c r="A2941" s="14">
        <v>46148.45</v>
      </c>
      <c r="B2941" s="79" t="s">
        <v>149</v>
      </c>
      <c r="C2941" s="79" t="s">
        <v>177</v>
      </c>
      <c r="D2941" s="79" t="s">
        <v>162</v>
      </c>
      <c r="E2941" s="79" t="s">
        <v>49</v>
      </c>
      <c r="F2941" s="79" t="str">
        <f>IF(E2941="", "", IF(COUNTIF(ChestType!$A$5:$A$195, E2941)&gt;0, VLOOKUP(E2941, ChestType!$A$5:$B$195, 2, 0), "Others"))</f>
        <v>L15 Crypt</v>
      </c>
    </row>
    <row r="2942" spans="1:6" x14ac:dyDescent="0.25">
      <c r="A2942" s="14">
        <v>46148.45</v>
      </c>
      <c r="B2942" s="79" t="s">
        <v>149</v>
      </c>
      <c r="C2942" s="79" t="s">
        <v>151</v>
      </c>
      <c r="D2942" s="79" t="s">
        <v>162</v>
      </c>
      <c r="E2942" s="79" t="s">
        <v>50</v>
      </c>
      <c r="F2942" s="79" t="str">
        <f>IF(E2942="", "", IF(COUNTIF(ChestType!$A$5:$A$195, E2942)&gt;0, VLOOKUP(E2942, ChestType!$A$5:$B$195, 2, 0), "Others"))</f>
        <v>L10 Crypt</v>
      </c>
    </row>
    <row r="2943" spans="1:6" x14ac:dyDescent="0.25">
      <c r="A2943" s="14">
        <v>46148.45</v>
      </c>
      <c r="B2943" s="79" t="s">
        <v>149</v>
      </c>
      <c r="C2943" s="79" t="s">
        <v>183</v>
      </c>
      <c r="D2943" s="79" t="s">
        <v>162</v>
      </c>
      <c r="E2943" s="79" t="s">
        <v>50</v>
      </c>
      <c r="F2943" s="79" t="str">
        <f>IF(E2943="", "", IF(COUNTIF(ChestType!$A$5:$A$195, E2943)&gt;0, VLOOKUP(E2943, ChestType!$A$5:$B$195, 2, 0), "Others"))</f>
        <v>L10 Crypt</v>
      </c>
    </row>
    <row r="2944" spans="1:6" x14ac:dyDescent="0.25">
      <c r="A2944" s="14">
        <v>46148.45</v>
      </c>
      <c r="B2944" s="79" t="s">
        <v>149</v>
      </c>
      <c r="C2944" s="79" t="s">
        <v>173</v>
      </c>
      <c r="D2944" s="79" t="s">
        <v>162</v>
      </c>
      <c r="E2944" s="79" t="s">
        <v>50</v>
      </c>
      <c r="F2944" s="79" t="str">
        <f>IF(E2944="", "", IF(COUNTIF(ChestType!$A$5:$A$195, E2944)&gt;0, VLOOKUP(E2944, ChestType!$A$5:$B$195, 2, 0), "Others"))</f>
        <v>L10 Crypt</v>
      </c>
    </row>
    <row r="2945" spans="1:6" x14ac:dyDescent="0.25">
      <c r="A2945" s="14">
        <v>46148.45</v>
      </c>
      <c r="B2945" s="79" t="s">
        <v>149</v>
      </c>
      <c r="C2945" s="79" t="s">
        <v>151</v>
      </c>
      <c r="D2945" s="79" t="s">
        <v>162</v>
      </c>
      <c r="E2945" s="79" t="s">
        <v>49</v>
      </c>
      <c r="F2945" s="79" t="str">
        <f>IF(E2945="", "", IF(COUNTIF(ChestType!$A$5:$A$195, E2945)&gt;0, VLOOKUP(E2945, ChestType!$A$5:$B$195, 2, 0), "Others"))</f>
        <v>L15 Crypt</v>
      </c>
    </row>
    <row r="2946" spans="1:6" x14ac:dyDescent="0.25">
      <c r="A2946" s="14">
        <v>46148.45</v>
      </c>
      <c r="B2946" s="79" t="s">
        <v>149</v>
      </c>
      <c r="C2946" s="79" t="s">
        <v>181</v>
      </c>
      <c r="D2946" s="79" t="s">
        <v>162</v>
      </c>
      <c r="E2946" s="79" t="s">
        <v>50</v>
      </c>
      <c r="F2946" s="79" t="str">
        <f>IF(E2946="", "", IF(COUNTIF(ChestType!$A$5:$A$195, E2946)&gt;0, VLOOKUP(E2946, ChestType!$A$5:$B$195, 2, 0), "Others"))</f>
        <v>L10 Crypt</v>
      </c>
    </row>
    <row r="2947" spans="1:6" x14ac:dyDescent="0.25">
      <c r="A2947" s="14">
        <v>46148.45</v>
      </c>
      <c r="B2947" s="79" t="s">
        <v>149</v>
      </c>
      <c r="C2947" s="79" t="s">
        <v>184</v>
      </c>
      <c r="D2947" s="79" t="s">
        <v>162</v>
      </c>
      <c r="E2947" s="79" t="s">
        <v>50</v>
      </c>
      <c r="F2947" s="79" t="str">
        <f>IF(E2947="", "", IF(COUNTIF(ChestType!$A$5:$A$195, E2947)&gt;0, VLOOKUP(E2947, ChestType!$A$5:$B$195, 2, 0), "Others"))</f>
        <v>L10 Crypt</v>
      </c>
    </row>
    <row r="2948" spans="1:6" x14ac:dyDescent="0.25">
      <c r="A2948" s="14">
        <v>46148.45</v>
      </c>
      <c r="B2948" s="79" t="s">
        <v>149</v>
      </c>
      <c r="C2948" s="79" t="s">
        <v>182</v>
      </c>
      <c r="D2948" s="79" t="s">
        <v>162</v>
      </c>
      <c r="E2948" s="79" t="s">
        <v>49</v>
      </c>
      <c r="F2948" s="79" t="str">
        <f>IF(E2948="", "", IF(COUNTIF(ChestType!$A$5:$A$195, E2948)&gt;0, VLOOKUP(E2948, ChestType!$A$5:$B$195, 2, 0), "Others"))</f>
        <v>L15 Crypt</v>
      </c>
    </row>
    <row r="2949" spans="1:6" x14ac:dyDescent="0.25">
      <c r="A2949" s="14">
        <v>46148.45</v>
      </c>
      <c r="B2949" s="79" t="s">
        <v>149</v>
      </c>
      <c r="C2949" s="79" t="s">
        <v>190</v>
      </c>
      <c r="D2949" s="79" t="s">
        <v>162</v>
      </c>
      <c r="E2949" s="79" t="s">
        <v>50</v>
      </c>
      <c r="F2949" s="79" t="str">
        <f>IF(E2949="", "", IF(COUNTIF(ChestType!$A$5:$A$195, E2949)&gt;0, VLOOKUP(E2949, ChestType!$A$5:$B$195, 2, 0), "Others"))</f>
        <v>L10 Crypt</v>
      </c>
    </row>
    <row r="2950" spans="1:6" x14ac:dyDescent="0.25">
      <c r="A2950" s="14">
        <v>46148.45</v>
      </c>
      <c r="B2950" s="79" t="s">
        <v>149</v>
      </c>
      <c r="C2950" s="79" t="s">
        <v>182</v>
      </c>
      <c r="D2950" s="79" t="s">
        <v>261</v>
      </c>
      <c r="E2950" s="79" t="s">
        <v>52</v>
      </c>
      <c r="F2950" s="79" t="str">
        <f>IF(E2950="", "", IF(COUNTIF(ChestType!$A$5:$A$195, E2950)&gt;0, VLOOKUP(E2950, ChestType!$A$5:$B$195, 2, 0), "Others"))</f>
        <v>L5 Crypt</v>
      </c>
    </row>
    <row r="2951" spans="1:6" x14ac:dyDescent="0.25">
      <c r="A2951" s="14">
        <v>46148.45</v>
      </c>
      <c r="B2951" s="79" t="s">
        <v>149</v>
      </c>
      <c r="C2951" s="79" t="s">
        <v>151</v>
      </c>
      <c r="D2951" s="79" t="s">
        <v>162</v>
      </c>
      <c r="E2951" s="79" t="s">
        <v>48</v>
      </c>
      <c r="F2951" s="79" t="str">
        <f>IF(E2951="", "", IF(COUNTIF(ChestType!$A$5:$A$195, E2951)&gt;0, VLOOKUP(E2951, ChestType!$A$5:$B$195, 2, 0), "Others"))</f>
        <v>L20 Crypt</v>
      </c>
    </row>
    <row r="2952" spans="1:6" x14ac:dyDescent="0.25">
      <c r="A2952" s="14">
        <v>46148.45</v>
      </c>
      <c r="B2952" s="79" t="s">
        <v>149</v>
      </c>
      <c r="C2952" s="79" t="s">
        <v>184</v>
      </c>
      <c r="D2952" s="79" t="s">
        <v>162</v>
      </c>
      <c r="E2952" s="79" t="s">
        <v>50</v>
      </c>
      <c r="F2952" s="79" t="str">
        <f>IF(E2952="", "", IF(COUNTIF(ChestType!$A$5:$A$195, E2952)&gt;0, VLOOKUP(E2952, ChestType!$A$5:$B$195, 2, 0), "Others"))</f>
        <v>L10 Crypt</v>
      </c>
    </row>
    <row r="2953" spans="1:6" x14ac:dyDescent="0.25">
      <c r="A2953" s="14">
        <v>46148.45</v>
      </c>
      <c r="B2953" s="79" t="s">
        <v>149</v>
      </c>
      <c r="C2953" s="79" t="s">
        <v>175</v>
      </c>
      <c r="D2953" s="79" t="s">
        <v>162</v>
      </c>
      <c r="E2953" s="79" t="s">
        <v>50</v>
      </c>
      <c r="F2953" s="79" t="str">
        <f>IF(E2953="", "", IF(COUNTIF(ChestType!$A$5:$A$195, E2953)&gt;0, VLOOKUP(E2953, ChestType!$A$5:$B$195, 2, 0), "Others"))</f>
        <v>L10 Crypt</v>
      </c>
    </row>
    <row r="2954" spans="1:6" x14ac:dyDescent="0.25">
      <c r="A2954" s="14">
        <v>46148.45</v>
      </c>
      <c r="B2954" s="79" t="s">
        <v>149</v>
      </c>
      <c r="C2954" s="79" t="s">
        <v>171</v>
      </c>
      <c r="D2954" s="79" t="s">
        <v>162</v>
      </c>
      <c r="E2954" s="79" t="s">
        <v>50</v>
      </c>
      <c r="F2954" s="79" t="str">
        <f>IF(E2954="", "", IF(COUNTIF(ChestType!$A$5:$A$195, E2954)&gt;0, VLOOKUP(E2954, ChestType!$A$5:$B$195, 2, 0), "Others"))</f>
        <v>L10 Crypt</v>
      </c>
    </row>
    <row r="2955" spans="1:6" x14ac:dyDescent="0.25">
      <c r="A2955" s="14">
        <v>46148.45</v>
      </c>
      <c r="B2955" s="79" t="s">
        <v>149</v>
      </c>
      <c r="C2955" s="79" t="s">
        <v>185</v>
      </c>
      <c r="D2955" s="79" t="s">
        <v>261</v>
      </c>
      <c r="E2955" s="79" t="s">
        <v>52</v>
      </c>
      <c r="F2955" s="79" t="str">
        <f>IF(E2955="", "", IF(COUNTIF(ChestType!$A$5:$A$195, E2955)&gt;0, VLOOKUP(E2955, ChestType!$A$5:$B$195, 2, 0), "Others"))</f>
        <v>L5 Crypt</v>
      </c>
    </row>
    <row r="2956" spans="1:6" x14ac:dyDescent="0.25">
      <c r="A2956" s="14">
        <v>46148.45</v>
      </c>
      <c r="B2956" s="79" t="s">
        <v>149</v>
      </c>
      <c r="C2956" s="79" t="s">
        <v>190</v>
      </c>
      <c r="D2956" s="79" t="s">
        <v>162</v>
      </c>
      <c r="E2956" s="79" t="s">
        <v>49</v>
      </c>
      <c r="F2956" s="79" t="str">
        <f>IF(E2956="", "", IF(COUNTIF(ChestType!$A$5:$A$195, E2956)&gt;0, VLOOKUP(E2956, ChestType!$A$5:$B$195, 2, 0), "Others"))</f>
        <v>L15 Crypt</v>
      </c>
    </row>
    <row r="2957" spans="1:6" x14ac:dyDescent="0.25">
      <c r="A2957" s="14">
        <v>46148.45</v>
      </c>
      <c r="B2957" s="79" t="s">
        <v>149</v>
      </c>
      <c r="C2957" s="79" t="s">
        <v>184</v>
      </c>
      <c r="D2957" s="79" t="s">
        <v>162</v>
      </c>
      <c r="E2957" s="79" t="s">
        <v>50</v>
      </c>
      <c r="F2957" s="79" t="str">
        <f>IF(E2957="", "", IF(COUNTIF(ChestType!$A$5:$A$195, E2957)&gt;0, VLOOKUP(E2957, ChestType!$A$5:$B$195, 2, 0), "Others"))</f>
        <v>L10 Crypt</v>
      </c>
    </row>
    <row r="2958" spans="1:6" x14ac:dyDescent="0.25">
      <c r="A2958" s="14">
        <v>46148.45</v>
      </c>
      <c r="B2958" s="79" t="s">
        <v>149</v>
      </c>
      <c r="C2958" s="79" t="s">
        <v>184</v>
      </c>
      <c r="D2958" s="79" t="s">
        <v>162</v>
      </c>
      <c r="E2958" s="79" t="s">
        <v>49</v>
      </c>
      <c r="F2958" s="79" t="str">
        <f>IF(E2958="", "", IF(COUNTIF(ChestType!$A$5:$A$195, E2958)&gt;0, VLOOKUP(E2958, ChestType!$A$5:$B$195, 2, 0), "Others"))</f>
        <v>L15 Crypt</v>
      </c>
    </row>
    <row r="2959" spans="1:6" x14ac:dyDescent="0.25">
      <c r="A2959" s="14">
        <v>46148.45</v>
      </c>
      <c r="B2959" s="79" t="s">
        <v>149</v>
      </c>
      <c r="C2959" s="79" t="s">
        <v>181</v>
      </c>
      <c r="D2959" s="79" t="s">
        <v>162</v>
      </c>
      <c r="E2959" s="79" t="s">
        <v>49</v>
      </c>
      <c r="F2959" s="79" t="str">
        <f>IF(E2959="", "", IF(COUNTIF(ChestType!$A$5:$A$195, E2959)&gt;0, VLOOKUP(E2959, ChestType!$A$5:$B$195, 2, 0), "Others"))</f>
        <v>L15 Crypt</v>
      </c>
    </row>
    <row r="2960" spans="1:6" x14ac:dyDescent="0.25">
      <c r="A2960" s="14">
        <v>46148.45</v>
      </c>
      <c r="B2960" s="79" t="s">
        <v>149</v>
      </c>
      <c r="C2960" s="79" t="s">
        <v>184</v>
      </c>
      <c r="D2960" s="79" t="s">
        <v>162</v>
      </c>
      <c r="E2960" s="79" t="s">
        <v>49</v>
      </c>
      <c r="F2960" s="79" t="str">
        <f>IF(E2960="", "", IF(COUNTIF(ChestType!$A$5:$A$195, E2960)&gt;0, VLOOKUP(E2960, ChestType!$A$5:$B$195, 2, 0), "Others"))</f>
        <v>L15 Crypt</v>
      </c>
    </row>
    <row r="2961" spans="1:6" x14ac:dyDescent="0.25">
      <c r="A2961" s="14">
        <v>46148.45</v>
      </c>
      <c r="B2961" s="79" t="s">
        <v>149</v>
      </c>
      <c r="C2961" s="79" t="s">
        <v>183</v>
      </c>
      <c r="D2961" s="79" t="s">
        <v>162</v>
      </c>
      <c r="E2961" s="79" t="s">
        <v>49</v>
      </c>
      <c r="F2961" s="79" t="str">
        <f>IF(E2961="", "", IF(COUNTIF(ChestType!$A$5:$A$195, E2961)&gt;0, VLOOKUP(E2961, ChestType!$A$5:$B$195, 2, 0), "Others"))</f>
        <v>L15 Crypt</v>
      </c>
    </row>
    <row r="2962" spans="1:6" x14ac:dyDescent="0.25">
      <c r="A2962" s="14">
        <v>46148.45</v>
      </c>
      <c r="B2962" s="79" t="s">
        <v>149</v>
      </c>
      <c r="C2962" s="79" t="s">
        <v>185</v>
      </c>
      <c r="D2962" s="79" t="s">
        <v>162</v>
      </c>
      <c r="E2962" s="79" t="s">
        <v>49</v>
      </c>
      <c r="F2962" s="79" t="str">
        <f>IF(E2962="", "", IF(COUNTIF(ChestType!$A$5:$A$195, E2962)&gt;0, VLOOKUP(E2962, ChestType!$A$5:$B$195, 2, 0), "Others"))</f>
        <v>L15 Crypt</v>
      </c>
    </row>
    <row r="2963" spans="1:6" x14ac:dyDescent="0.25">
      <c r="A2963" s="14">
        <v>46148.45</v>
      </c>
      <c r="B2963" s="79" t="s">
        <v>149</v>
      </c>
      <c r="C2963" s="79" t="s">
        <v>181</v>
      </c>
      <c r="D2963" s="79" t="s">
        <v>162</v>
      </c>
      <c r="E2963" s="79" t="s">
        <v>49</v>
      </c>
      <c r="F2963" s="79" t="str">
        <f>IF(E2963="", "", IF(COUNTIF(ChestType!$A$5:$A$195, E2963)&gt;0, VLOOKUP(E2963, ChestType!$A$5:$B$195, 2, 0), "Others"))</f>
        <v>L15 Crypt</v>
      </c>
    </row>
    <row r="2964" spans="1:6" x14ac:dyDescent="0.25">
      <c r="A2964" s="14">
        <v>46148.45</v>
      </c>
      <c r="B2964" s="79" t="s">
        <v>149</v>
      </c>
      <c r="C2964" s="79" t="s">
        <v>171</v>
      </c>
      <c r="D2964" s="79" t="s">
        <v>162</v>
      </c>
      <c r="E2964" s="79" t="s">
        <v>49</v>
      </c>
      <c r="F2964" s="79" t="str">
        <f>IF(E2964="", "", IF(COUNTIF(ChestType!$A$5:$A$195, E2964)&gt;0, VLOOKUP(E2964, ChestType!$A$5:$B$195, 2, 0), "Others"))</f>
        <v>L15 Crypt</v>
      </c>
    </row>
    <row r="2965" spans="1:6" x14ac:dyDescent="0.25">
      <c r="A2965" s="14">
        <v>46148.45</v>
      </c>
      <c r="B2965" s="79" t="s">
        <v>149</v>
      </c>
      <c r="C2965" s="79" t="s">
        <v>183</v>
      </c>
      <c r="D2965" s="79" t="s">
        <v>162</v>
      </c>
      <c r="E2965" s="79" t="s">
        <v>48</v>
      </c>
      <c r="F2965" s="79" t="str">
        <f>IF(E2965="", "", IF(COUNTIF(ChestType!$A$5:$A$195, E2965)&gt;0, VLOOKUP(E2965, ChestType!$A$5:$B$195, 2, 0), "Others"))</f>
        <v>L20 Crypt</v>
      </c>
    </row>
    <row r="2966" spans="1:6" x14ac:dyDescent="0.25">
      <c r="A2966" s="14">
        <v>46148.45</v>
      </c>
      <c r="B2966" s="79" t="s">
        <v>149</v>
      </c>
      <c r="C2966" s="79" t="s">
        <v>173</v>
      </c>
      <c r="D2966" s="79" t="s">
        <v>257</v>
      </c>
      <c r="E2966" s="79" t="s">
        <v>50</v>
      </c>
      <c r="F2966" s="79" t="str">
        <f>IF(E2966="", "", IF(COUNTIF(ChestType!$A$5:$A$195, E2966)&gt;0, VLOOKUP(E2966, ChestType!$A$5:$B$195, 2, 0), "Others"))</f>
        <v>L10 Crypt</v>
      </c>
    </row>
    <row r="2967" spans="1:6" x14ac:dyDescent="0.25">
      <c r="A2967" s="14">
        <v>46148.45</v>
      </c>
      <c r="B2967" s="79" t="s">
        <v>149</v>
      </c>
      <c r="C2967" s="79" t="s">
        <v>173</v>
      </c>
      <c r="D2967" s="79" t="s">
        <v>257</v>
      </c>
      <c r="E2967" s="79" t="s">
        <v>52</v>
      </c>
      <c r="F2967" s="79" t="str">
        <f>IF(E2967="", "", IF(COUNTIF(ChestType!$A$5:$A$195, E2967)&gt;0, VLOOKUP(E2967, ChestType!$A$5:$B$195, 2, 0), "Others"))</f>
        <v>L5 Crypt</v>
      </c>
    </row>
    <row r="2968" spans="1:6" x14ac:dyDescent="0.25">
      <c r="A2968" s="14">
        <v>46148.45</v>
      </c>
      <c r="B2968" s="79" t="s">
        <v>149</v>
      </c>
      <c r="C2968" s="79" t="s">
        <v>151</v>
      </c>
      <c r="D2968" s="79" t="s">
        <v>266</v>
      </c>
      <c r="E2968" s="79" t="s">
        <v>52</v>
      </c>
      <c r="F2968" s="79" t="str">
        <f>IF(E2968="", "", IF(COUNTIF(ChestType!$A$5:$A$195, E2968)&gt;0, VLOOKUP(E2968, ChestType!$A$5:$B$195, 2, 0), "Others"))</f>
        <v>L5 Crypt</v>
      </c>
    </row>
    <row r="2969" spans="1:6" x14ac:dyDescent="0.25">
      <c r="A2969" s="14">
        <v>46148.45</v>
      </c>
      <c r="B2969" s="79" t="s">
        <v>149</v>
      </c>
      <c r="C2969" s="79" t="s">
        <v>845</v>
      </c>
      <c r="D2969" s="79" t="s">
        <v>231</v>
      </c>
      <c r="E2969" s="79" t="s">
        <v>846</v>
      </c>
      <c r="F2969" s="79" t="str">
        <f>IF(E2969="", "", IF(COUNTIF(ChestType!$A$5:$A$195, E2969)&gt;0, VLOOKUP(E2969, ChestType!$A$5:$B$195, 2, 0), "Others"))</f>
        <v>Others</v>
      </c>
    </row>
    <row r="2970" spans="1:6" x14ac:dyDescent="0.25">
      <c r="A2970" s="14">
        <v>46148.45</v>
      </c>
      <c r="B2970" s="79" t="s">
        <v>149</v>
      </c>
      <c r="C2970" s="79" t="s">
        <v>151</v>
      </c>
      <c r="D2970" s="79" t="s">
        <v>261</v>
      </c>
      <c r="E2970" s="79" t="s">
        <v>52</v>
      </c>
      <c r="F2970" s="79" t="str">
        <f>IF(E2970="", "", IF(COUNTIF(ChestType!$A$5:$A$195, E2970)&gt;0, VLOOKUP(E2970, ChestType!$A$5:$B$195, 2, 0), "Others"))</f>
        <v>L5 Crypt</v>
      </c>
    </row>
    <row r="2971" spans="1:6" x14ac:dyDescent="0.25">
      <c r="A2971" s="14">
        <v>46148.45</v>
      </c>
      <c r="B2971" s="79" t="s">
        <v>149</v>
      </c>
      <c r="C2971" s="79" t="s">
        <v>176</v>
      </c>
      <c r="D2971" s="79" t="s">
        <v>163</v>
      </c>
      <c r="E2971" s="79" t="s">
        <v>70</v>
      </c>
      <c r="F2971" s="79" t="str">
        <f>IF(E2971="", "", IF(COUNTIF(ChestType!$A$5:$A$195, E2971)&gt;0, VLOOKUP(E2971, ChestType!$A$5:$B$195, 2, 0), "Others"))</f>
        <v>L10 Citadel</v>
      </c>
    </row>
    <row r="2972" spans="1:6" x14ac:dyDescent="0.25">
      <c r="A2972" s="14">
        <v>46148.45</v>
      </c>
      <c r="B2972" s="79" t="s">
        <v>149</v>
      </c>
      <c r="C2972" s="79" t="s">
        <v>183</v>
      </c>
      <c r="D2972" s="79" t="s">
        <v>261</v>
      </c>
      <c r="E2972" s="79" t="s">
        <v>52</v>
      </c>
      <c r="F2972" s="79" t="str">
        <f>IF(E2972="", "", IF(COUNTIF(ChestType!$A$5:$A$195, E2972)&gt;0, VLOOKUP(E2972, ChestType!$A$5:$B$195, 2, 0), "Others"))</f>
        <v>L5 Crypt</v>
      </c>
    </row>
    <row r="2973" spans="1:6" x14ac:dyDescent="0.25">
      <c r="A2973" s="14">
        <v>46148.45</v>
      </c>
      <c r="B2973" s="79" t="s">
        <v>149</v>
      </c>
      <c r="C2973" s="79" t="s">
        <v>182</v>
      </c>
      <c r="D2973" s="79" t="s">
        <v>261</v>
      </c>
      <c r="E2973" s="79" t="s">
        <v>52</v>
      </c>
      <c r="F2973" s="79" t="str">
        <f>IF(E2973="", "", IF(COUNTIF(ChestType!$A$5:$A$195, E2973)&gt;0, VLOOKUP(E2973, ChestType!$A$5:$B$195, 2, 0), "Others"))</f>
        <v>L5 Crypt</v>
      </c>
    </row>
    <row r="2974" spans="1:6" x14ac:dyDescent="0.25">
      <c r="A2974" s="14">
        <v>46148.45</v>
      </c>
      <c r="B2974" s="79" t="s">
        <v>149</v>
      </c>
      <c r="C2974" s="79" t="s">
        <v>183</v>
      </c>
      <c r="D2974" s="79" t="s">
        <v>244</v>
      </c>
      <c r="E2974" s="79" t="s">
        <v>52</v>
      </c>
      <c r="F2974" s="79" t="str">
        <f>IF(E2974="", "", IF(COUNTIF(ChestType!$A$5:$A$195, E2974)&gt;0, VLOOKUP(E2974, ChestType!$A$5:$B$195, 2, 0), "Others"))</f>
        <v>L5 Crypt</v>
      </c>
    </row>
    <row r="2975" spans="1:6" x14ac:dyDescent="0.25">
      <c r="A2975" s="14">
        <v>46148.45</v>
      </c>
      <c r="B2975" s="79" t="s">
        <v>149</v>
      </c>
      <c r="C2975" s="79" t="s">
        <v>171</v>
      </c>
      <c r="D2975" s="79" t="s">
        <v>261</v>
      </c>
      <c r="E2975" s="79" t="s">
        <v>50</v>
      </c>
      <c r="F2975" s="79" t="str">
        <f>IF(E2975="", "", IF(COUNTIF(ChestType!$A$5:$A$195, E2975)&gt;0, VLOOKUP(E2975, ChestType!$A$5:$B$195, 2, 0), "Others"))</f>
        <v>L10 Crypt</v>
      </c>
    </row>
    <row r="2976" spans="1:6" x14ac:dyDescent="0.25">
      <c r="A2976" s="14">
        <v>46148.45</v>
      </c>
      <c r="B2976" s="79" t="s">
        <v>149</v>
      </c>
      <c r="C2976" s="79" t="s">
        <v>182</v>
      </c>
      <c r="D2976" s="79" t="s">
        <v>261</v>
      </c>
      <c r="E2976" s="79" t="s">
        <v>50</v>
      </c>
      <c r="F2976" s="79" t="str">
        <f>IF(E2976="", "", IF(COUNTIF(ChestType!$A$5:$A$195, E2976)&gt;0, VLOOKUP(E2976, ChestType!$A$5:$B$195, 2, 0), "Others"))</f>
        <v>L10 Crypt</v>
      </c>
    </row>
    <row r="2977" spans="1:6" x14ac:dyDescent="0.25">
      <c r="A2977" s="14">
        <v>46148.45</v>
      </c>
      <c r="B2977" s="79" t="s">
        <v>149</v>
      </c>
      <c r="C2977" s="79" t="s">
        <v>182</v>
      </c>
      <c r="D2977" s="79" t="s">
        <v>261</v>
      </c>
      <c r="E2977" s="79" t="s">
        <v>52</v>
      </c>
      <c r="F2977" s="79" t="str">
        <f>IF(E2977="", "", IF(COUNTIF(ChestType!$A$5:$A$195, E2977)&gt;0, VLOOKUP(E2977, ChestType!$A$5:$B$195, 2, 0), "Others"))</f>
        <v>L5 Crypt</v>
      </c>
    </row>
    <row r="2978" spans="1:6" x14ac:dyDescent="0.25">
      <c r="A2978" s="14">
        <v>46148.45</v>
      </c>
      <c r="B2978" s="79" t="s">
        <v>149</v>
      </c>
      <c r="C2978" s="79" t="s">
        <v>175</v>
      </c>
      <c r="D2978" s="79" t="s">
        <v>261</v>
      </c>
      <c r="E2978" s="79" t="s">
        <v>52</v>
      </c>
      <c r="F2978" s="79" t="str">
        <f>IF(E2978="", "", IF(COUNTIF(ChestType!$A$5:$A$195, E2978)&gt;0, VLOOKUP(E2978, ChestType!$A$5:$B$195, 2, 0), "Others"))</f>
        <v>L5 Crypt</v>
      </c>
    </row>
    <row r="2979" spans="1:6" x14ac:dyDescent="0.25">
      <c r="A2979" s="14">
        <v>46148.45</v>
      </c>
      <c r="B2979" s="79" t="s">
        <v>149</v>
      </c>
      <c r="C2979" s="79" t="s">
        <v>175</v>
      </c>
      <c r="D2979" s="79" t="s">
        <v>261</v>
      </c>
      <c r="E2979" s="79" t="s">
        <v>52</v>
      </c>
      <c r="F2979" s="79" t="str">
        <f>IF(E2979="", "", IF(COUNTIF(ChestType!$A$5:$A$195, E2979)&gt;0, VLOOKUP(E2979, ChestType!$A$5:$B$195, 2, 0), "Others"))</f>
        <v>L5 Crypt</v>
      </c>
    </row>
    <row r="2980" spans="1:6" x14ac:dyDescent="0.25">
      <c r="A2980" s="14">
        <v>46148.45</v>
      </c>
      <c r="B2980" s="79" t="s">
        <v>149</v>
      </c>
      <c r="C2980" s="79" t="s">
        <v>181</v>
      </c>
      <c r="D2980" s="79" t="s">
        <v>221</v>
      </c>
      <c r="E2980" s="79" t="s">
        <v>50</v>
      </c>
      <c r="F2980" s="79" t="str">
        <f>IF(E2980="", "", IF(COUNTIF(ChestType!$A$5:$A$195, E2980)&gt;0, VLOOKUP(E2980, ChestType!$A$5:$B$195, 2, 0), "Others"))</f>
        <v>L10 Crypt</v>
      </c>
    </row>
    <row r="2981" spans="1:6" x14ac:dyDescent="0.25">
      <c r="A2981" s="14">
        <v>46148.45</v>
      </c>
      <c r="B2981" s="79" t="s">
        <v>149</v>
      </c>
      <c r="C2981" s="79" t="s">
        <v>177</v>
      </c>
      <c r="D2981" s="79" t="s">
        <v>152</v>
      </c>
      <c r="E2981" s="79" t="s">
        <v>49</v>
      </c>
      <c r="F2981" s="79" t="str">
        <f>IF(E2981="", "", IF(COUNTIF(ChestType!$A$5:$A$195, E2981)&gt;0, VLOOKUP(E2981, ChestType!$A$5:$B$195, 2, 0), "Others"))</f>
        <v>L15 Crypt</v>
      </c>
    </row>
    <row r="2982" spans="1:6" x14ac:dyDescent="0.25">
      <c r="A2982" s="14">
        <v>46148.45</v>
      </c>
      <c r="B2982" s="79" t="s">
        <v>149</v>
      </c>
      <c r="C2982" s="79" t="s">
        <v>151</v>
      </c>
      <c r="D2982" s="79" t="s">
        <v>152</v>
      </c>
      <c r="E2982" s="79" t="s">
        <v>49</v>
      </c>
      <c r="F2982" s="79" t="str">
        <f>IF(E2982="", "", IF(COUNTIF(ChestType!$A$5:$A$195, E2982)&gt;0, VLOOKUP(E2982, ChestType!$A$5:$B$195, 2, 0), "Others"))</f>
        <v>L15 Crypt</v>
      </c>
    </row>
    <row r="2983" spans="1:6" x14ac:dyDescent="0.25">
      <c r="A2983" s="14">
        <v>46148.45</v>
      </c>
      <c r="B2983" s="79" t="s">
        <v>149</v>
      </c>
      <c r="C2983" s="79" t="s">
        <v>151</v>
      </c>
      <c r="D2983" s="79" t="s">
        <v>152</v>
      </c>
      <c r="E2983" s="79" t="s">
        <v>49</v>
      </c>
      <c r="F2983" s="79" t="str">
        <f>IF(E2983="", "", IF(COUNTIF(ChestType!$A$5:$A$195, E2983)&gt;0, VLOOKUP(E2983, ChestType!$A$5:$B$195, 2, 0), "Others"))</f>
        <v>L15 Crypt</v>
      </c>
    </row>
    <row r="2984" spans="1:6" x14ac:dyDescent="0.25">
      <c r="A2984" s="14">
        <v>46148.45</v>
      </c>
      <c r="B2984" s="79" t="s">
        <v>149</v>
      </c>
      <c r="C2984" s="79" t="s">
        <v>181</v>
      </c>
      <c r="D2984" s="79" t="s">
        <v>152</v>
      </c>
      <c r="E2984" s="79" t="s">
        <v>49</v>
      </c>
      <c r="F2984" s="79" t="str">
        <f>IF(E2984="", "", IF(COUNTIF(ChestType!$A$5:$A$195, E2984)&gt;0, VLOOKUP(E2984, ChestType!$A$5:$B$195, 2, 0), "Others"))</f>
        <v>L15 Crypt</v>
      </c>
    </row>
    <row r="2985" spans="1:6" x14ac:dyDescent="0.25">
      <c r="A2985" s="14">
        <v>46148.45</v>
      </c>
      <c r="B2985" s="79" t="s">
        <v>149</v>
      </c>
      <c r="C2985" s="79" t="s">
        <v>151</v>
      </c>
      <c r="D2985" s="79" t="s">
        <v>152</v>
      </c>
      <c r="E2985" s="79" t="s">
        <v>49</v>
      </c>
      <c r="F2985" s="79" t="str">
        <f>IF(E2985="", "", IF(COUNTIF(ChestType!$A$5:$A$195, E2985)&gt;0, VLOOKUP(E2985, ChestType!$A$5:$B$195, 2, 0), "Others"))</f>
        <v>L15 Crypt</v>
      </c>
    </row>
    <row r="2986" spans="1:6" x14ac:dyDescent="0.25">
      <c r="A2986" s="14">
        <v>46148.45</v>
      </c>
      <c r="B2986" s="79" t="s">
        <v>149</v>
      </c>
      <c r="C2986" s="79" t="s">
        <v>171</v>
      </c>
      <c r="D2986" s="79" t="s">
        <v>261</v>
      </c>
      <c r="E2986" s="79" t="s">
        <v>52</v>
      </c>
      <c r="F2986" s="79" t="str">
        <f>IF(E2986="", "", IF(COUNTIF(ChestType!$A$5:$A$195, E2986)&gt;0, VLOOKUP(E2986, ChestType!$A$5:$B$195, 2, 0), "Others"))</f>
        <v>L5 Crypt</v>
      </c>
    </row>
    <row r="2987" spans="1:6" x14ac:dyDescent="0.25">
      <c r="A2987" s="14">
        <v>46148.45</v>
      </c>
      <c r="B2987" s="79" t="s">
        <v>149</v>
      </c>
      <c r="C2987" s="79" t="s">
        <v>175</v>
      </c>
      <c r="D2987" s="79" t="s">
        <v>152</v>
      </c>
      <c r="E2987" s="79" t="s">
        <v>49</v>
      </c>
      <c r="F2987" s="79" t="str">
        <f>IF(E2987="", "", IF(COUNTIF(ChestType!$A$5:$A$195, E2987)&gt;0, VLOOKUP(E2987, ChestType!$A$5:$B$195, 2, 0), "Others"))</f>
        <v>L15 Crypt</v>
      </c>
    </row>
    <row r="2988" spans="1:6" x14ac:dyDescent="0.25">
      <c r="A2988" s="14">
        <v>46148.45</v>
      </c>
      <c r="B2988" s="79" t="s">
        <v>149</v>
      </c>
      <c r="C2988" s="79" t="s">
        <v>181</v>
      </c>
      <c r="D2988" s="79" t="s">
        <v>152</v>
      </c>
      <c r="E2988" s="79" t="s">
        <v>49</v>
      </c>
      <c r="F2988" s="79" t="str">
        <f>IF(E2988="", "", IF(COUNTIF(ChestType!$A$5:$A$195, E2988)&gt;0, VLOOKUP(E2988, ChestType!$A$5:$B$195, 2, 0), "Others"))</f>
        <v>L15 Crypt</v>
      </c>
    </row>
    <row r="2989" spans="1:6" x14ac:dyDescent="0.25">
      <c r="A2989" s="14">
        <v>46148.45</v>
      </c>
      <c r="B2989" s="79" t="s">
        <v>149</v>
      </c>
      <c r="C2989" s="79" t="s">
        <v>173</v>
      </c>
      <c r="D2989" s="79" t="s">
        <v>231</v>
      </c>
      <c r="E2989" s="79" t="s">
        <v>50</v>
      </c>
      <c r="F2989" s="79" t="str">
        <f>IF(E2989="", "", IF(COUNTIF(ChestType!$A$5:$A$195, E2989)&gt;0, VLOOKUP(E2989, ChestType!$A$5:$B$195, 2, 0), "Others"))</f>
        <v>L10 Crypt</v>
      </c>
    </row>
    <row r="2990" spans="1:6" x14ac:dyDescent="0.25">
      <c r="A2990" s="14">
        <v>46148.45</v>
      </c>
      <c r="B2990" s="79" t="s">
        <v>149</v>
      </c>
      <c r="C2990" s="79" t="s">
        <v>175</v>
      </c>
      <c r="D2990" s="79" t="s">
        <v>261</v>
      </c>
      <c r="E2990" s="79" t="s">
        <v>52</v>
      </c>
      <c r="F2990" s="79" t="str">
        <f>IF(E2990="", "", IF(COUNTIF(ChestType!$A$5:$A$195, E2990)&gt;0, VLOOKUP(E2990, ChestType!$A$5:$B$195, 2, 0), "Others"))</f>
        <v>L5 Crypt</v>
      </c>
    </row>
    <row r="2991" spans="1:6" x14ac:dyDescent="0.25">
      <c r="A2991" s="14">
        <v>46148.45</v>
      </c>
      <c r="B2991" s="79" t="s">
        <v>149</v>
      </c>
      <c r="C2991" s="79" t="s">
        <v>151</v>
      </c>
      <c r="D2991" s="79" t="s">
        <v>259</v>
      </c>
      <c r="E2991" s="79" t="s">
        <v>52</v>
      </c>
      <c r="F2991" s="79" t="str">
        <f>IF(E2991="", "", IF(COUNTIF(ChestType!$A$5:$A$195, E2991)&gt;0, VLOOKUP(E2991, ChestType!$A$5:$B$195, 2, 0), "Others"))</f>
        <v>L5 Crypt</v>
      </c>
    </row>
    <row r="2992" spans="1:6" x14ac:dyDescent="0.25">
      <c r="A2992" s="14">
        <v>46148.45</v>
      </c>
      <c r="B2992" s="79" t="s">
        <v>149</v>
      </c>
      <c r="C2992" s="79" t="s">
        <v>190</v>
      </c>
      <c r="D2992" s="79" t="s">
        <v>261</v>
      </c>
      <c r="E2992" s="79" t="s">
        <v>52</v>
      </c>
      <c r="F2992" s="79" t="str">
        <f>IF(E2992="", "", IF(COUNTIF(ChestType!$A$5:$A$195, E2992)&gt;0, VLOOKUP(E2992, ChestType!$A$5:$B$195, 2, 0), "Others"))</f>
        <v>L5 Crypt</v>
      </c>
    </row>
    <row r="2993" spans="1:6" x14ac:dyDescent="0.25">
      <c r="A2993" s="14">
        <v>46148.45</v>
      </c>
      <c r="B2993" s="79" t="s">
        <v>149</v>
      </c>
      <c r="C2993" s="79" t="s">
        <v>173</v>
      </c>
      <c r="D2993" s="79" t="s">
        <v>231</v>
      </c>
      <c r="E2993" s="79" t="s">
        <v>52</v>
      </c>
      <c r="F2993" s="79" t="str">
        <f>IF(E2993="", "", IF(COUNTIF(ChestType!$A$5:$A$195, E2993)&gt;0, VLOOKUP(E2993, ChestType!$A$5:$B$195, 2, 0), "Others"))</f>
        <v>L5 Crypt</v>
      </c>
    </row>
    <row r="2994" spans="1:6" x14ac:dyDescent="0.25">
      <c r="A2994" s="14">
        <v>46148.45</v>
      </c>
      <c r="B2994" s="79" t="s">
        <v>149</v>
      </c>
      <c r="C2994" s="79" t="s">
        <v>182</v>
      </c>
      <c r="D2994" s="79" t="s">
        <v>261</v>
      </c>
      <c r="E2994" s="79" t="s">
        <v>52</v>
      </c>
      <c r="F2994" s="79" t="str">
        <f>IF(E2994="", "", IF(COUNTIF(ChestType!$A$5:$A$195, E2994)&gt;0, VLOOKUP(E2994, ChestType!$A$5:$B$195, 2, 0), "Others"))</f>
        <v>L5 Crypt</v>
      </c>
    </row>
    <row r="2995" spans="1:6" x14ac:dyDescent="0.25">
      <c r="A2995" s="14">
        <v>46148.45</v>
      </c>
      <c r="B2995" s="79" t="s">
        <v>149</v>
      </c>
      <c r="C2995" s="79" t="s">
        <v>182</v>
      </c>
      <c r="D2995" s="79" t="s">
        <v>161</v>
      </c>
      <c r="E2995" s="79" t="s">
        <v>50</v>
      </c>
      <c r="F2995" s="79" t="str">
        <f>IF(E2995="", "", IF(COUNTIF(ChestType!$A$5:$A$195, E2995)&gt;0, VLOOKUP(E2995, ChestType!$A$5:$B$195, 2, 0), "Others"))</f>
        <v>L10 Crypt</v>
      </c>
    </row>
    <row r="2996" spans="1:6" x14ac:dyDescent="0.25">
      <c r="A2996" s="14">
        <v>46148.45</v>
      </c>
      <c r="B2996" s="79" t="s">
        <v>149</v>
      </c>
      <c r="C2996" s="79" t="s">
        <v>845</v>
      </c>
      <c r="D2996" s="79" t="s">
        <v>261</v>
      </c>
      <c r="E2996" s="79" t="s">
        <v>846</v>
      </c>
      <c r="F2996" s="79" t="str">
        <f>IF(E2996="", "", IF(COUNTIF(ChestType!$A$5:$A$195, E2996)&gt;0, VLOOKUP(E2996, ChestType!$A$5:$B$195, 2, 0), "Others"))</f>
        <v>Others</v>
      </c>
    </row>
    <row r="2997" spans="1:6" x14ac:dyDescent="0.25">
      <c r="A2997" s="14">
        <v>46148.45</v>
      </c>
      <c r="B2997" s="79" t="s">
        <v>149</v>
      </c>
      <c r="C2997" s="79" t="s">
        <v>158</v>
      </c>
      <c r="D2997" s="79" t="s">
        <v>161</v>
      </c>
      <c r="E2997" s="79" t="s">
        <v>52</v>
      </c>
      <c r="F2997" s="79" t="str">
        <f>IF(E2997="", "", IF(COUNTIF(ChestType!$A$5:$A$195, E2997)&gt;0, VLOOKUP(E2997, ChestType!$A$5:$B$195, 2, 0), "Others"))</f>
        <v>L5 Crypt</v>
      </c>
    </row>
    <row r="2998" spans="1:6" x14ac:dyDescent="0.25">
      <c r="A2998" s="14">
        <v>46148.45</v>
      </c>
      <c r="B2998" s="79" t="s">
        <v>149</v>
      </c>
      <c r="C2998" s="79" t="s">
        <v>173</v>
      </c>
      <c r="D2998" s="79" t="s">
        <v>261</v>
      </c>
      <c r="E2998" s="79" t="s">
        <v>52</v>
      </c>
      <c r="F2998" s="79" t="str">
        <f>IF(E2998="", "", IF(COUNTIF(ChestType!$A$5:$A$195, E2998)&gt;0, VLOOKUP(E2998, ChestType!$A$5:$B$195, 2, 0), "Others"))</f>
        <v>L5 Crypt</v>
      </c>
    </row>
    <row r="2999" spans="1:6" x14ac:dyDescent="0.25">
      <c r="A2999" s="14">
        <v>46148.45</v>
      </c>
      <c r="B2999" s="79" t="s">
        <v>149</v>
      </c>
      <c r="C2999" s="79" t="s">
        <v>182</v>
      </c>
      <c r="D2999" s="79" t="s">
        <v>161</v>
      </c>
      <c r="E2999" s="79" t="s">
        <v>52</v>
      </c>
      <c r="F2999" s="79" t="str">
        <f>IF(E2999="", "", IF(COUNTIF(ChestType!$A$5:$A$195, E2999)&gt;0, VLOOKUP(E2999, ChestType!$A$5:$B$195, 2, 0), "Others"))</f>
        <v>L5 Crypt</v>
      </c>
    </row>
    <row r="3000" spans="1:6" x14ac:dyDescent="0.25">
      <c r="A3000" s="14">
        <v>46148.45</v>
      </c>
      <c r="B3000" s="79" t="s">
        <v>149</v>
      </c>
      <c r="C3000" s="79" t="s">
        <v>177</v>
      </c>
      <c r="D3000" s="79" t="s">
        <v>261</v>
      </c>
      <c r="E3000" s="79" t="s">
        <v>52</v>
      </c>
      <c r="F3000" s="79" t="str">
        <f>IF(E3000="", "", IF(COUNTIF(ChestType!$A$5:$A$195, E3000)&gt;0, VLOOKUP(E3000, ChestType!$A$5:$B$195, 2, 0), "Others"))</f>
        <v>L5 Crypt</v>
      </c>
    </row>
    <row r="3001" spans="1:6" x14ac:dyDescent="0.25">
      <c r="A3001" s="14">
        <v>46148.45</v>
      </c>
      <c r="B3001" s="79" t="s">
        <v>149</v>
      </c>
      <c r="C3001" s="79" t="s">
        <v>185</v>
      </c>
      <c r="D3001" s="79" t="s">
        <v>261</v>
      </c>
      <c r="E3001" s="79" t="s">
        <v>52</v>
      </c>
      <c r="F3001" s="79" t="str">
        <f>IF(E3001="", "", IF(COUNTIF(ChestType!$A$5:$A$195, E3001)&gt;0, VLOOKUP(E3001, ChestType!$A$5:$B$195, 2, 0), "Others"))</f>
        <v>L5 Crypt</v>
      </c>
    </row>
    <row r="3002" spans="1:6" x14ac:dyDescent="0.25">
      <c r="A3002" s="14">
        <v>46148.45</v>
      </c>
      <c r="B3002" s="79" t="s">
        <v>149</v>
      </c>
      <c r="C3002" s="79" t="s">
        <v>173</v>
      </c>
      <c r="D3002" s="79" t="s">
        <v>231</v>
      </c>
      <c r="E3002" s="79" t="s">
        <v>50</v>
      </c>
      <c r="F3002" s="79" t="str">
        <f>IF(E3002="", "", IF(COUNTIF(ChestType!$A$5:$A$195, E3002)&gt;0, VLOOKUP(E3002, ChestType!$A$5:$B$195, 2, 0), "Others"))</f>
        <v>L10 Crypt</v>
      </c>
    </row>
    <row r="3003" spans="1:6" x14ac:dyDescent="0.25">
      <c r="A3003" s="14">
        <v>46148.45</v>
      </c>
      <c r="B3003" s="79" t="s">
        <v>149</v>
      </c>
      <c r="C3003" s="79" t="s">
        <v>173</v>
      </c>
      <c r="D3003" s="79" t="s">
        <v>261</v>
      </c>
      <c r="E3003" s="79" t="s">
        <v>52</v>
      </c>
      <c r="F3003" s="79" t="str">
        <f>IF(E3003="", "", IF(COUNTIF(ChestType!$A$5:$A$195, E3003)&gt;0, VLOOKUP(E3003, ChestType!$A$5:$B$195, 2, 0), "Others"))</f>
        <v>L5 Crypt</v>
      </c>
    </row>
    <row r="3004" spans="1:6" x14ac:dyDescent="0.25">
      <c r="A3004" s="14">
        <v>46148.45</v>
      </c>
      <c r="B3004" s="79" t="s">
        <v>149</v>
      </c>
      <c r="C3004" s="79" t="s">
        <v>184</v>
      </c>
      <c r="D3004" s="79" t="s">
        <v>231</v>
      </c>
      <c r="E3004" s="79" t="s">
        <v>52</v>
      </c>
      <c r="F3004" s="79" t="str">
        <f>IF(E3004="", "", IF(COUNTIF(ChestType!$A$5:$A$195, E3004)&gt;0, VLOOKUP(E3004, ChestType!$A$5:$B$195, 2, 0), "Others"))</f>
        <v>L5 Crypt</v>
      </c>
    </row>
    <row r="3005" spans="1:6" x14ac:dyDescent="0.25">
      <c r="A3005" s="14">
        <v>46148.45</v>
      </c>
      <c r="B3005" s="79" t="s">
        <v>149</v>
      </c>
      <c r="C3005" s="79" t="s">
        <v>177</v>
      </c>
      <c r="D3005" s="79" t="s">
        <v>261</v>
      </c>
      <c r="E3005" s="79" t="s">
        <v>52</v>
      </c>
      <c r="F3005" s="79" t="str">
        <f>IF(E3005="", "", IF(COUNTIF(ChestType!$A$5:$A$195, E3005)&gt;0, VLOOKUP(E3005, ChestType!$A$5:$B$195, 2, 0), "Others"))</f>
        <v>L5 Crypt</v>
      </c>
    </row>
    <row r="3006" spans="1:6" x14ac:dyDescent="0.25">
      <c r="A3006" s="14">
        <v>46148.45</v>
      </c>
      <c r="B3006" s="79" t="s">
        <v>149</v>
      </c>
      <c r="C3006" s="79" t="s">
        <v>151</v>
      </c>
      <c r="D3006" s="79" t="s">
        <v>231</v>
      </c>
      <c r="E3006" s="79" t="s">
        <v>49</v>
      </c>
      <c r="F3006" s="79" t="str">
        <f>IF(E3006="", "", IF(COUNTIF(ChestType!$A$5:$A$195, E3006)&gt;0, VLOOKUP(E3006, ChestType!$A$5:$B$195, 2, 0), "Others"))</f>
        <v>L15 Crypt</v>
      </c>
    </row>
    <row r="3007" spans="1:6" x14ac:dyDescent="0.25">
      <c r="A3007" s="14">
        <v>46148.45</v>
      </c>
      <c r="B3007" s="79" t="s">
        <v>149</v>
      </c>
      <c r="C3007" s="79" t="s">
        <v>171</v>
      </c>
      <c r="D3007" s="79" t="s">
        <v>163</v>
      </c>
      <c r="E3007" s="79" t="s">
        <v>50</v>
      </c>
      <c r="F3007" s="79" t="str">
        <f>IF(E3007="", "", IF(COUNTIF(ChestType!$A$5:$A$195, E3007)&gt;0, VLOOKUP(E3007, ChestType!$A$5:$B$195, 2, 0), "Others"))</f>
        <v>L10 Crypt</v>
      </c>
    </row>
    <row r="3008" spans="1:6" x14ac:dyDescent="0.25">
      <c r="A3008" s="14">
        <v>46148.45</v>
      </c>
      <c r="B3008" s="79" t="s">
        <v>149</v>
      </c>
      <c r="C3008" s="79" t="s">
        <v>158</v>
      </c>
      <c r="D3008" s="79" t="s">
        <v>842</v>
      </c>
      <c r="E3008" s="79" t="s">
        <v>52</v>
      </c>
      <c r="F3008" s="79" t="str">
        <f>IF(E3008="", "", IF(COUNTIF(ChestType!$A$5:$A$195, E3008)&gt;0, VLOOKUP(E3008, ChestType!$A$5:$B$195, 2, 0), "Others"))</f>
        <v>L5 Crypt</v>
      </c>
    </row>
    <row r="3009" spans="1:6" x14ac:dyDescent="0.25">
      <c r="A3009" s="14">
        <v>46148.45</v>
      </c>
      <c r="B3009" s="79" t="s">
        <v>149</v>
      </c>
      <c r="C3009" s="79" t="s">
        <v>182</v>
      </c>
      <c r="D3009" s="79" t="s">
        <v>842</v>
      </c>
      <c r="E3009" s="79" t="s">
        <v>52</v>
      </c>
      <c r="F3009" s="79" t="str">
        <f>IF(E3009="", "", IF(COUNTIF(ChestType!$A$5:$A$195, E3009)&gt;0, VLOOKUP(E3009, ChestType!$A$5:$B$195, 2, 0), "Others"))</f>
        <v>L5 Crypt</v>
      </c>
    </row>
    <row r="3010" spans="1:6" x14ac:dyDescent="0.25">
      <c r="A3010" s="14">
        <v>46148.45</v>
      </c>
      <c r="B3010" s="79" t="s">
        <v>149</v>
      </c>
      <c r="C3010" s="79" t="s">
        <v>171</v>
      </c>
      <c r="D3010" s="79" t="s">
        <v>164</v>
      </c>
      <c r="E3010" s="79" t="s">
        <v>50</v>
      </c>
      <c r="F3010" s="79" t="str">
        <f>IF(E3010="", "", IF(COUNTIF(ChestType!$A$5:$A$195, E3010)&gt;0, VLOOKUP(E3010, ChestType!$A$5:$B$195, 2, 0), "Others"))</f>
        <v>L10 Crypt</v>
      </c>
    </row>
    <row r="3011" spans="1:6" x14ac:dyDescent="0.25">
      <c r="A3011" s="14">
        <v>46148.45</v>
      </c>
      <c r="B3011" s="79" t="s">
        <v>149</v>
      </c>
      <c r="C3011" s="79" t="s">
        <v>175</v>
      </c>
      <c r="D3011" s="79" t="s">
        <v>842</v>
      </c>
      <c r="E3011" s="79" t="s">
        <v>52</v>
      </c>
      <c r="F3011" s="79" t="str">
        <f>IF(E3011="", "", IF(COUNTIF(ChestType!$A$5:$A$195, E3011)&gt;0, VLOOKUP(E3011, ChestType!$A$5:$B$195, 2, 0), "Others"))</f>
        <v>L5 Crypt</v>
      </c>
    </row>
    <row r="3012" spans="1:6" x14ac:dyDescent="0.25">
      <c r="A3012" s="14">
        <v>46148.45</v>
      </c>
      <c r="B3012" s="79" t="s">
        <v>149</v>
      </c>
      <c r="C3012" s="79" t="s">
        <v>158</v>
      </c>
      <c r="D3012" s="79" t="s">
        <v>238</v>
      </c>
      <c r="E3012" s="79" t="s">
        <v>49</v>
      </c>
      <c r="F3012" s="79" t="str">
        <f>IF(E3012="", "", IF(COUNTIF(ChestType!$A$5:$A$195, E3012)&gt;0, VLOOKUP(E3012, ChestType!$A$5:$B$195, 2, 0), "Others"))</f>
        <v>L15 Crypt</v>
      </c>
    </row>
    <row r="3013" spans="1:6" x14ac:dyDescent="0.25">
      <c r="A3013" s="14">
        <v>46148.45</v>
      </c>
      <c r="B3013" s="79" t="s">
        <v>149</v>
      </c>
      <c r="C3013" s="79" t="s">
        <v>190</v>
      </c>
      <c r="D3013" s="79" t="s">
        <v>238</v>
      </c>
      <c r="E3013" s="79" t="s">
        <v>49</v>
      </c>
      <c r="F3013" s="79" t="str">
        <f>IF(E3013="", "", IF(COUNTIF(ChestType!$A$5:$A$195, E3013)&gt;0, VLOOKUP(E3013, ChestType!$A$5:$B$195, 2, 0), "Others"))</f>
        <v>L15 Crypt</v>
      </c>
    </row>
    <row r="3014" spans="1:6" x14ac:dyDescent="0.25">
      <c r="A3014" s="14">
        <v>46148.45</v>
      </c>
      <c r="B3014" s="79" t="s">
        <v>149</v>
      </c>
      <c r="C3014" s="79" t="s">
        <v>158</v>
      </c>
      <c r="D3014" s="79" t="s">
        <v>238</v>
      </c>
      <c r="E3014" s="79" t="s">
        <v>49</v>
      </c>
      <c r="F3014" s="79" t="str">
        <f>IF(E3014="", "", IF(COUNTIF(ChestType!$A$5:$A$195, E3014)&gt;0, VLOOKUP(E3014, ChestType!$A$5:$B$195, 2, 0), "Others"))</f>
        <v>L15 Crypt</v>
      </c>
    </row>
    <row r="3015" spans="1:6" x14ac:dyDescent="0.25">
      <c r="A3015" s="14">
        <v>46148.45</v>
      </c>
      <c r="B3015" s="79" t="s">
        <v>149</v>
      </c>
      <c r="C3015" s="79" t="s">
        <v>178</v>
      </c>
      <c r="D3015" s="79" t="s">
        <v>238</v>
      </c>
      <c r="E3015" s="79" t="s">
        <v>137</v>
      </c>
      <c r="F3015" s="79" t="str">
        <f>IF(E3015="", "", IF(COUNTIF(ChestType!$A$5:$A$195, E3015)&gt;0, VLOOKUP(E3015, ChestType!$A$5:$B$195, 2, 0), "Others"))</f>
        <v>Others</v>
      </c>
    </row>
    <row r="3016" spans="1:6" x14ac:dyDescent="0.25">
      <c r="A3016" s="14">
        <v>46148.45</v>
      </c>
      <c r="B3016" s="79" t="s">
        <v>149</v>
      </c>
      <c r="C3016" s="79" t="s">
        <v>845</v>
      </c>
      <c r="D3016" s="79" t="s">
        <v>841</v>
      </c>
      <c r="E3016" s="79" t="s">
        <v>846</v>
      </c>
      <c r="F3016" s="79" t="str">
        <f>IF(E3016="", "", IF(COUNTIF(ChestType!$A$5:$A$195, E3016)&gt;0, VLOOKUP(E3016, ChestType!$A$5:$B$195, 2, 0), "Others"))</f>
        <v>Others</v>
      </c>
    </row>
    <row r="3017" spans="1:6" x14ac:dyDescent="0.25">
      <c r="A3017" s="14">
        <v>46148.45</v>
      </c>
      <c r="B3017" s="79" t="s">
        <v>149</v>
      </c>
      <c r="C3017" s="79" t="s">
        <v>171</v>
      </c>
      <c r="D3017" s="79" t="s">
        <v>162</v>
      </c>
      <c r="E3017" s="79" t="s">
        <v>48</v>
      </c>
      <c r="F3017" s="79" t="str">
        <f>IF(E3017="", "", IF(COUNTIF(ChestType!$A$5:$A$195, E3017)&gt;0, VLOOKUP(E3017, ChestType!$A$5:$B$195, 2, 0), "Others"))</f>
        <v>L20 Crypt</v>
      </c>
    </row>
    <row r="3018" spans="1:6" x14ac:dyDescent="0.25">
      <c r="A3018" s="14">
        <v>46148.45</v>
      </c>
      <c r="B3018" s="79" t="s">
        <v>149</v>
      </c>
      <c r="C3018" s="79" t="s">
        <v>171</v>
      </c>
      <c r="D3018" s="79" t="s">
        <v>162</v>
      </c>
      <c r="E3018" s="79" t="s">
        <v>48</v>
      </c>
      <c r="F3018" s="79" t="str">
        <f>IF(E3018="", "", IF(COUNTIF(ChestType!$A$5:$A$195, E3018)&gt;0, VLOOKUP(E3018, ChestType!$A$5:$B$195, 2, 0), "Others"))</f>
        <v>L20 Crypt</v>
      </c>
    </row>
    <row r="3019" spans="1:6" x14ac:dyDescent="0.25">
      <c r="A3019" s="14">
        <v>46148.45</v>
      </c>
      <c r="B3019" s="79" t="s">
        <v>149</v>
      </c>
      <c r="C3019" s="79" t="s">
        <v>171</v>
      </c>
      <c r="D3019" s="79" t="s">
        <v>162</v>
      </c>
      <c r="E3019" s="79" t="s">
        <v>48</v>
      </c>
      <c r="F3019" s="79" t="str">
        <f>IF(E3019="", "", IF(COUNTIF(ChestType!$A$5:$A$195, E3019)&gt;0, VLOOKUP(E3019, ChestType!$A$5:$B$195, 2, 0), "Others"))</f>
        <v>L20 Crypt</v>
      </c>
    </row>
    <row r="3020" spans="1:6" x14ac:dyDescent="0.25">
      <c r="A3020" s="14">
        <v>46148.45</v>
      </c>
      <c r="B3020" s="79" t="s">
        <v>149</v>
      </c>
      <c r="C3020" s="79" t="s">
        <v>171</v>
      </c>
      <c r="D3020" s="79" t="s">
        <v>162</v>
      </c>
      <c r="E3020" s="79" t="s">
        <v>48</v>
      </c>
      <c r="F3020" s="79" t="str">
        <f>IF(E3020="", "", IF(COUNTIF(ChestType!$A$5:$A$195, E3020)&gt;0, VLOOKUP(E3020, ChestType!$A$5:$B$195, 2, 0), "Others"))</f>
        <v>L20 Crypt</v>
      </c>
    </row>
    <row r="3021" spans="1:6" x14ac:dyDescent="0.25">
      <c r="A3021" s="14">
        <v>46148.45</v>
      </c>
      <c r="B3021" s="79" t="s">
        <v>149</v>
      </c>
      <c r="C3021" s="79" t="s">
        <v>171</v>
      </c>
      <c r="D3021" s="79" t="s">
        <v>162</v>
      </c>
      <c r="E3021" s="79" t="s">
        <v>48</v>
      </c>
      <c r="F3021" s="79" t="str">
        <f>IF(E3021="", "", IF(COUNTIF(ChestType!$A$5:$A$195, E3021)&gt;0, VLOOKUP(E3021, ChestType!$A$5:$B$195, 2, 0), "Others"))</f>
        <v>L20 Crypt</v>
      </c>
    </row>
    <row r="3022" spans="1:6" x14ac:dyDescent="0.25">
      <c r="A3022" s="14">
        <v>46148.45</v>
      </c>
      <c r="B3022" s="79" t="s">
        <v>149</v>
      </c>
      <c r="C3022" s="79" t="s">
        <v>171</v>
      </c>
      <c r="D3022" s="79" t="s">
        <v>162</v>
      </c>
      <c r="E3022" s="79" t="s">
        <v>48</v>
      </c>
      <c r="F3022" s="79" t="str">
        <f>IF(E3022="", "", IF(COUNTIF(ChestType!$A$5:$A$195, E3022)&gt;0, VLOOKUP(E3022, ChestType!$A$5:$B$195, 2, 0), "Others"))</f>
        <v>L20 Crypt</v>
      </c>
    </row>
    <row r="3023" spans="1:6" x14ac:dyDescent="0.25">
      <c r="A3023" s="14">
        <v>46148.45</v>
      </c>
      <c r="B3023" s="79" t="s">
        <v>149</v>
      </c>
      <c r="C3023" s="79" t="s">
        <v>171</v>
      </c>
      <c r="D3023" s="79" t="s">
        <v>162</v>
      </c>
      <c r="E3023" s="79" t="s">
        <v>48</v>
      </c>
      <c r="F3023" s="79" t="str">
        <f>IF(E3023="", "", IF(COUNTIF(ChestType!$A$5:$A$195, E3023)&gt;0, VLOOKUP(E3023, ChestType!$A$5:$B$195, 2, 0), "Others"))</f>
        <v>L20 Crypt</v>
      </c>
    </row>
    <row r="3024" spans="1:6" x14ac:dyDescent="0.25">
      <c r="A3024" s="14">
        <v>46148.45</v>
      </c>
      <c r="B3024" s="79" t="s">
        <v>149</v>
      </c>
      <c r="C3024" s="79" t="s">
        <v>151</v>
      </c>
      <c r="D3024" s="79" t="s">
        <v>162</v>
      </c>
      <c r="E3024" s="79" t="s">
        <v>49</v>
      </c>
      <c r="F3024" s="79" t="str">
        <f>IF(E3024="", "", IF(COUNTIF(ChestType!$A$5:$A$195, E3024)&gt;0, VLOOKUP(E3024, ChestType!$A$5:$B$195, 2, 0), "Others"))</f>
        <v>L15 Crypt</v>
      </c>
    </row>
    <row r="3025" spans="1:6" x14ac:dyDescent="0.25">
      <c r="A3025" s="14">
        <v>46148.45</v>
      </c>
      <c r="B3025" s="79" t="s">
        <v>149</v>
      </c>
      <c r="C3025" s="79" t="s">
        <v>151</v>
      </c>
      <c r="D3025" s="79" t="s">
        <v>162</v>
      </c>
      <c r="E3025" s="79" t="s">
        <v>49</v>
      </c>
      <c r="F3025" s="79" t="str">
        <f>IF(E3025="", "", IF(COUNTIF(ChestType!$A$5:$A$195, E3025)&gt;0, VLOOKUP(E3025, ChestType!$A$5:$B$195, 2, 0), "Others"))</f>
        <v>L15 Crypt</v>
      </c>
    </row>
    <row r="3026" spans="1:6" x14ac:dyDescent="0.25">
      <c r="A3026" s="14">
        <v>46148.45</v>
      </c>
      <c r="B3026" s="79" t="s">
        <v>149</v>
      </c>
      <c r="C3026" s="79" t="s">
        <v>151</v>
      </c>
      <c r="D3026" s="79" t="s">
        <v>162</v>
      </c>
      <c r="E3026" s="79" t="s">
        <v>49</v>
      </c>
      <c r="F3026" s="79" t="str">
        <f>IF(E3026="", "", IF(COUNTIF(ChestType!$A$5:$A$195, E3026)&gt;0, VLOOKUP(E3026, ChestType!$A$5:$B$195, 2, 0), "Others"))</f>
        <v>L15 Crypt</v>
      </c>
    </row>
    <row r="3027" spans="1:6" x14ac:dyDescent="0.25">
      <c r="A3027" s="14">
        <v>46148.45</v>
      </c>
      <c r="B3027" s="79" t="s">
        <v>149</v>
      </c>
      <c r="C3027" s="79" t="s">
        <v>151</v>
      </c>
      <c r="D3027" s="79" t="s">
        <v>162</v>
      </c>
      <c r="E3027" s="79" t="s">
        <v>49</v>
      </c>
      <c r="F3027" s="79" t="str">
        <f>IF(E3027="", "", IF(COUNTIF(ChestType!$A$5:$A$195, E3027)&gt;0, VLOOKUP(E3027, ChestType!$A$5:$B$195, 2, 0), "Others"))</f>
        <v>L15 Crypt</v>
      </c>
    </row>
    <row r="3028" spans="1:6" x14ac:dyDescent="0.25">
      <c r="A3028" s="14">
        <v>46148.45</v>
      </c>
      <c r="B3028" s="79" t="s">
        <v>149</v>
      </c>
      <c r="C3028" s="79" t="s">
        <v>151</v>
      </c>
      <c r="D3028" s="79" t="s">
        <v>162</v>
      </c>
      <c r="E3028" s="79" t="s">
        <v>49</v>
      </c>
      <c r="F3028" s="79" t="str">
        <f>IF(E3028="", "", IF(COUNTIF(ChestType!$A$5:$A$195, E3028)&gt;0, VLOOKUP(E3028, ChestType!$A$5:$B$195, 2, 0), "Others"))</f>
        <v>L15 Crypt</v>
      </c>
    </row>
    <row r="3029" spans="1:6" x14ac:dyDescent="0.25">
      <c r="A3029" s="14">
        <v>46148.45</v>
      </c>
      <c r="B3029" s="79" t="s">
        <v>149</v>
      </c>
      <c r="C3029" s="79" t="s">
        <v>151</v>
      </c>
      <c r="D3029" s="79" t="s">
        <v>162</v>
      </c>
      <c r="E3029" s="79" t="s">
        <v>49</v>
      </c>
      <c r="F3029" s="79" t="str">
        <f>IF(E3029="", "", IF(COUNTIF(ChestType!$A$5:$A$195, E3029)&gt;0, VLOOKUP(E3029, ChestType!$A$5:$B$195, 2, 0), "Others"))</f>
        <v>L15 Crypt</v>
      </c>
    </row>
    <row r="3030" spans="1:6" x14ac:dyDescent="0.25">
      <c r="A3030" s="14">
        <v>46148.45</v>
      </c>
      <c r="B3030" s="79" t="s">
        <v>149</v>
      </c>
      <c r="C3030" s="79" t="s">
        <v>151</v>
      </c>
      <c r="D3030" s="79" t="s">
        <v>162</v>
      </c>
      <c r="E3030" s="79" t="s">
        <v>49</v>
      </c>
      <c r="F3030" s="79" t="str">
        <f>IF(E3030="", "", IF(COUNTIF(ChestType!$A$5:$A$195, E3030)&gt;0, VLOOKUP(E3030, ChestType!$A$5:$B$195, 2, 0), "Others"))</f>
        <v>L15 Crypt</v>
      </c>
    </row>
    <row r="3031" spans="1:6" x14ac:dyDescent="0.25">
      <c r="A3031" s="14">
        <v>46148.45</v>
      </c>
      <c r="B3031" s="79" t="s">
        <v>149</v>
      </c>
      <c r="C3031" s="79" t="s">
        <v>151</v>
      </c>
      <c r="D3031" s="79" t="s">
        <v>162</v>
      </c>
      <c r="E3031" s="79" t="s">
        <v>49</v>
      </c>
      <c r="F3031" s="79" t="str">
        <f>IF(E3031="", "", IF(COUNTIF(ChestType!$A$5:$A$195, E3031)&gt;0, VLOOKUP(E3031, ChestType!$A$5:$B$195, 2, 0), "Others"))</f>
        <v>L15 Crypt</v>
      </c>
    </row>
    <row r="3032" spans="1:6" x14ac:dyDescent="0.25">
      <c r="A3032" s="14">
        <v>46148.45</v>
      </c>
      <c r="B3032" s="79" t="s">
        <v>149</v>
      </c>
      <c r="C3032" s="79" t="s">
        <v>151</v>
      </c>
      <c r="D3032" s="79" t="s">
        <v>162</v>
      </c>
      <c r="E3032" s="79" t="s">
        <v>49</v>
      </c>
      <c r="F3032" s="79" t="str">
        <f>IF(E3032="", "", IF(COUNTIF(ChestType!$A$5:$A$195, E3032)&gt;0, VLOOKUP(E3032, ChestType!$A$5:$B$195, 2, 0), "Others"))</f>
        <v>L15 Crypt</v>
      </c>
    </row>
    <row r="3033" spans="1:6" x14ac:dyDescent="0.25">
      <c r="A3033" s="14">
        <v>46148.45</v>
      </c>
      <c r="B3033" s="79" t="s">
        <v>149</v>
      </c>
      <c r="C3033" s="79" t="s">
        <v>151</v>
      </c>
      <c r="D3033" s="79" t="s">
        <v>162</v>
      </c>
      <c r="E3033" s="79" t="s">
        <v>49</v>
      </c>
      <c r="F3033" s="79" t="str">
        <f>IF(E3033="", "", IF(COUNTIF(ChestType!$A$5:$A$195, E3033)&gt;0, VLOOKUP(E3033, ChestType!$A$5:$B$195, 2, 0), "Others"))</f>
        <v>L15 Crypt</v>
      </c>
    </row>
    <row r="3034" spans="1:6" x14ac:dyDescent="0.25">
      <c r="A3034" s="14">
        <v>46148.45</v>
      </c>
      <c r="B3034" s="79" t="s">
        <v>149</v>
      </c>
      <c r="C3034" s="79" t="s">
        <v>151</v>
      </c>
      <c r="D3034" s="79" t="s">
        <v>162</v>
      </c>
      <c r="E3034" s="79" t="s">
        <v>49</v>
      </c>
      <c r="F3034" s="79" t="str">
        <f>IF(E3034="", "", IF(COUNTIF(ChestType!$A$5:$A$195, E3034)&gt;0, VLOOKUP(E3034, ChestType!$A$5:$B$195, 2, 0), "Others"))</f>
        <v>L15 Crypt</v>
      </c>
    </row>
    <row r="3035" spans="1:6" x14ac:dyDescent="0.25">
      <c r="A3035" s="14">
        <v>46148.45</v>
      </c>
      <c r="B3035" s="79" t="s">
        <v>149</v>
      </c>
      <c r="C3035" s="79" t="s">
        <v>151</v>
      </c>
      <c r="D3035" s="79" t="s">
        <v>162</v>
      </c>
      <c r="E3035" s="79" t="s">
        <v>49</v>
      </c>
      <c r="F3035" s="79" t="str">
        <f>IF(E3035="", "", IF(COUNTIF(ChestType!$A$5:$A$195, E3035)&gt;0, VLOOKUP(E3035, ChestType!$A$5:$B$195, 2, 0), "Others"))</f>
        <v>L15 Crypt</v>
      </c>
    </row>
    <row r="3036" spans="1:6" x14ac:dyDescent="0.25">
      <c r="A3036" s="14">
        <v>46148.45</v>
      </c>
      <c r="B3036" s="79" t="s">
        <v>149</v>
      </c>
      <c r="C3036" s="79" t="s">
        <v>151</v>
      </c>
      <c r="D3036" s="79" t="s">
        <v>162</v>
      </c>
      <c r="E3036" s="79" t="s">
        <v>49</v>
      </c>
      <c r="F3036" s="79" t="str">
        <f>IF(E3036="", "", IF(COUNTIF(ChestType!$A$5:$A$195, E3036)&gt;0, VLOOKUP(E3036, ChestType!$A$5:$B$195, 2, 0), "Others"))</f>
        <v>L15 Crypt</v>
      </c>
    </row>
    <row r="3037" spans="1:6" x14ac:dyDescent="0.25">
      <c r="A3037" s="14">
        <v>46148.45</v>
      </c>
      <c r="B3037" s="79" t="s">
        <v>149</v>
      </c>
      <c r="C3037" s="79" t="s">
        <v>151</v>
      </c>
      <c r="D3037" s="79" t="s">
        <v>162</v>
      </c>
      <c r="E3037" s="79" t="s">
        <v>49</v>
      </c>
      <c r="F3037" s="79" t="str">
        <f>IF(E3037="", "", IF(COUNTIF(ChestType!$A$5:$A$195, E3037)&gt;0, VLOOKUP(E3037, ChestType!$A$5:$B$195, 2, 0), "Others"))</f>
        <v>L15 Crypt</v>
      </c>
    </row>
    <row r="3038" spans="1:6" x14ac:dyDescent="0.25">
      <c r="A3038" s="14">
        <v>46148.45</v>
      </c>
      <c r="B3038" s="79" t="s">
        <v>149</v>
      </c>
      <c r="C3038" s="79" t="s">
        <v>151</v>
      </c>
      <c r="D3038" s="79" t="s">
        <v>162</v>
      </c>
      <c r="E3038" s="79" t="s">
        <v>49</v>
      </c>
      <c r="F3038" s="79" t="str">
        <f>IF(E3038="", "", IF(COUNTIF(ChestType!$A$5:$A$195, E3038)&gt;0, VLOOKUP(E3038, ChestType!$A$5:$B$195, 2, 0), "Others"))</f>
        <v>L15 Crypt</v>
      </c>
    </row>
    <row r="3039" spans="1:6" x14ac:dyDescent="0.25">
      <c r="A3039" s="14">
        <v>46148.45</v>
      </c>
      <c r="B3039" s="79" t="s">
        <v>149</v>
      </c>
      <c r="C3039" s="79" t="s">
        <v>151</v>
      </c>
      <c r="D3039" s="79" t="s">
        <v>162</v>
      </c>
      <c r="E3039" s="79" t="s">
        <v>49</v>
      </c>
      <c r="F3039" s="79" t="str">
        <f>IF(E3039="", "", IF(COUNTIF(ChestType!$A$5:$A$195, E3039)&gt;0, VLOOKUP(E3039, ChestType!$A$5:$B$195, 2, 0), "Others"))</f>
        <v>L15 Crypt</v>
      </c>
    </row>
    <row r="3040" spans="1:6" x14ac:dyDescent="0.25">
      <c r="A3040" s="14">
        <v>46148.45</v>
      </c>
      <c r="B3040" s="79" t="s">
        <v>149</v>
      </c>
      <c r="C3040" s="79" t="s">
        <v>223</v>
      </c>
      <c r="D3040" s="79" t="s">
        <v>162</v>
      </c>
      <c r="E3040" s="79" t="s">
        <v>64</v>
      </c>
      <c r="F3040" s="79" t="str">
        <f>IF(E3040="", "", IF(COUNTIF(ChestType!$A$5:$A$195, E3040)&gt;0, VLOOKUP(E3040, ChestType!$A$5:$B$195, 2, 0), "Others"))</f>
        <v>L15 Epic Crypt</v>
      </c>
    </row>
    <row r="3041" spans="1:6" x14ac:dyDescent="0.25">
      <c r="A3041" s="14">
        <v>46148.45</v>
      </c>
      <c r="B3041" s="79" t="s">
        <v>149</v>
      </c>
      <c r="C3041" s="79" t="s">
        <v>223</v>
      </c>
      <c r="D3041" s="79" t="s">
        <v>162</v>
      </c>
      <c r="E3041" s="79" t="s">
        <v>64</v>
      </c>
      <c r="F3041" s="79" t="str">
        <f>IF(E3041="", "", IF(COUNTIF(ChestType!$A$5:$A$195, E3041)&gt;0, VLOOKUP(E3041, ChestType!$A$5:$B$195, 2, 0), "Others"))</f>
        <v>L15 Epic Crypt</v>
      </c>
    </row>
    <row r="3042" spans="1:6" x14ac:dyDescent="0.25">
      <c r="A3042" s="14">
        <v>46148.45</v>
      </c>
      <c r="B3042" s="79" t="s">
        <v>149</v>
      </c>
      <c r="C3042" s="79" t="s">
        <v>226</v>
      </c>
      <c r="D3042" s="79" t="s">
        <v>166</v>
      </c>
      <c r="E3042" s="79" t="s">
        <v>64</v>
      </c>
      <c r="F3042" s="79" t="str">
        <f>IF(E3042="", "", IF(COUNTIF(ChestType!$A$5:$A$195, E3042)&gt;0, VLOOKUP(E3042, ChestType!$A$5:$B$195, 2, 0), "Others"))</f>
        <v>L15 Epic Crypt</v>
      </c>
    </row>
    <row r="3043" spans="1:6" x14ac:dyDescent="0.25">
      <c r="A3043" s="14">
        <v>46148.45</v>
      </c>
      <c r="B3043" s="79" t="s">
        <v>149</v>
      </c>
      <c r="C3043" s="79" t="s">
        <v>230</v>
      </c>
      <c r="D3043" s="79" t="s">
        <v>166</v>
      </c>
      <c r="E3043" s="79" t="s">
        <v>64</v>
      </c>
      <c r="F3043" s="79" t="str">
        <f>IF(E3043="", "", IF(COUNTIF(ChestType!$A$5:$A$195, E3043)&gt;0, VLOOKUP(E3043, ChestType!$A$5:$B$195, 2, 0), "Others"))</f>
        <v>L15 Epic Crypt</v>
      </c>
    </row>
    <row r="3044" spans="1:6" x14ac:dyDescent="0.25">
      <c r="A3044" s="14">
        <v>46148.45</v>
      </c>
      <c r="B3044" s="79" t="s">
        <v>149</v>
      </c>
      <c r="C3044" s="79" t="s">
        <v>174</v>
      </c>
      <c r="D3044" s="79" t="s">
        <v>166</v>
      </c>
      <c r="E3044" s="79" t="s">
        <v>64</v>
      </c>
      <c r="F3044" s="79" t="str">
        <f>IF(E3044="", "", IF(COUNTIF(ChestType!$A$5:$A$195, E3044)&gt;0, VLOOKUP(E3044, ChestType!$A$5:$B$195, 2, 0), "Others"))</f>
        <v>L15 Epic Crypt</v>
      </c>
    </row>
    <row r="3045" spans="1:6" x14ac:dyDescent="0.25">
      <c r="A3045" s="14">
        <v>46148.45</v>
      </c>
      <c r="B3045" s="79" t="s">
        <v>149</v>
      </c>
      <c r="C3045" s="79" t="s">
        <v>185</v>
      </c>
      <c r="D3045" s="79" t="s">
        <v>268</v>
      </c>
      <c r="E3045" s="79" t="s">
        <v>49</v>
      </c>
      <c r="F3045" s="79" t="str">
        <f>IF(E3045="", "", IF(COUNTIF(ChestType!$A$5:$A$195, E3045)&gt;0, VLOOKUP(E3045, ChestType!$A$5:$B$195, 2, 0), "Others"))</f>
        <v>L15 Crypt</v>
      </c>
    </row>
    <row r="3046" spans="1:6" x14ac:dyDescent="0.25">
      <c r="A3046" s="14">
        <v>46148.45</v>
      </c>
      <c r="B3046" s="79" t="s">
        <v>149</v>
      </c>
      <c r="C3046" s="79" t="s">
        <v>177</v>
      </c>
      <c r="D3046" s="79" t="s">
        <v>266</v>
      </c>
      <c r="E3046" s="79" t="s">
        <v>52</v>
      </c>
      <c r="F3046" s="79" t="str">
        <f>IF(E3046="", "", IF(COUNTIF(ChestType!$A$5:$A$195, E3046)&gt;0, VLOOKUP(E3046, ChestType!$A$5:$B$195, 2, 0), "Others"))</f>
        <v>L5 Crypt</v>
      </c>
    </row>
    <row r="3047" spans="1:6" x14ac:dyDescent="0.25">
      <c r="A3047" s="14">
        <v>46148.45</v>
      </c>
      <c r="B3047" s="79" t="s">
        <v>149</v>
      </c>
      <c r="C3047" s="79" t="s">
        <v>188</v>
      </c>
      <c r="D3047" s="79" t="s">
        <v>156</v>
      </c>
      <c r="E3047" s="79" t="s">
        <v>45</v>
      </c>
      <c r="F3047" s="79" t="str">
        <f>IF(E3047="", "", IF(COUNTIF(ChestType!$A$5:$A$195, E3047)&gt;0, VLOOKUP(E3047, ChestType!$A$5:$B$195, 2, 0), "Others"))</f>
        <v>Others</v>
      </c>
    </row>
    <row r="3048" spans="1:6" x14ac:dyDescent="0.25">
      <c r="A3048" s="14">
        <v>46148.45</v>
      </c>
      <c r="B3048" s="79" t="s">
        <v>149</v>
      </c>
      <c r="C3048" s="79" t="s">
        <v>189</v>
      </c>
      <c r="D3048" s="79" t="s">
        <v>156</v>
      </c>
      <c r="E3048" s="79" t="s">
        <v>45</v>
      </c>
      <c r="F3048" s="79" t="str">
        <f>IF(E3048="", "", IF(COUNTIF(ChestType!$A$5:$A$195, E3048)&gt;0, VLOOKUP(E3048, ChestType!$A$5:$B$195, 2, 0), "Others"))</f>
        <v>Others</v>
      </c>
    </row>
    <row r="3049" spans="1:6" x14ac:dyDescent="0.25">
      <c r="A3049" s="14">
        <v>46148.45</v>
      </c>
      <c r="B3049" s="79" t="s">
        <v>149</v>
      </c>
      <c r="C3049" s="79" t="s">
        <v>239</v>
      </c>
      <c r="D3049" s="79" t="s">
        <v>156</v>
      </c>
      <c r="E3049" s="79" t="s">
        <v>45</v>
      </c>
      <c r="F3049" s="79" t="str">
        <f>IF(E3049="", "", IF(COUNTIF(ChestType!$A$5:$A$195, E3049)&gt;0, VLOOKUP(E3049, ChestType!$A$5:$B$195, 2, 0), "Others"))</f>
        <v>Others</v>
      </c>
    </row>
    <row r="3050" spans="1:6" x14ac:dyDescent="0.25">
      <c r="A3050" s="14">
        <v>46148.45</v>
      </c>
      <c r="B3050" s="79" t="s">
        <v>149</v>
      </c>
      <c r="C3050" s="79" t="s">
        <v>176</v>
      </c>
      <c r="D3050" s="79" t="s">
        <v>166</v>
      </c>
      <c r="E3050" s="79" t="s">
        <v>70</v>
      </c>
      <c r="F3050" s="79" t="str">
        <f>IF(E3050="", "", IF(COUNTIF(ChestType!$A$5:$A$195, E3050)&gt;0, VLOOKUP(E3050, ChestType!$A$5:$B$195, 2, 0), "Others"))</f>
        <v>L10 Citadel</v>
      </c>
    </row>
    <row r="3051" spans="1:6" x14ac:dyDescent="0.25">
      <c r="A3051" s="14">
        <v>46148.45</v>
      </c>
      <c r="B3051" s="79" t="s">
        <v>149</v>
      </c>
      <c r="C3051" s="79" t="s">
        <v>175</v>
      </c>
      <c r="D3051" s="79" t="s">
        <v>268</v>
      </c>
      <c r="E3051" s="79" t="s">
        <v>49</v>
      </c>
      <c r="F3051" s="79" t="str">
        <f>IF(E3051="", "", IF(COUNTIF(ChestType!$A$5:$A$195, E3051)&gt;0, VLOOKUP(E3051, ChestType!$A$5:$B$195, 2, 0), "Others"))</f>
        <v>L15 Crypt</v>
      </c>
    </row>
    <row r="3052" spans="1:6" x14ac:dyDescent="0.25">
      <c r="A3052" s="14">
        <v>46148.45</v>
      </c>
      <c r="B3052" s="79" t="s">
        <v>149</v>
      </c>
      <c r="C3052" s="79" t="s">
        <v>187</v>
      </c>
      <c r="D3052" s="79" t="s">
        <v>165</v>
      </c>
      <c r="E3052" s="79" t="s">
        <v>75</v>
      </c>
      <c r="F3052" s="79" t="str">
        <f>IF(E3052="", "", IF(COUNTIF(ChestType!$A$5:$A$195, E3052)&gt;0, VLOOKUP(E3052, ChestType!$A$5:$B$195, 2, 0), "Others"))</f>
        <v>L10 Rare Crypt</v>
      </c>
    </row>
    <row r="3053" spans="1:6" x14ac:dyDescent="0.25">
      <c r="A3053" s="14">
        <v>46148.45</v>
      </c>
      <c r="B3053" s="79" t="s">
        <v>149</v>
      </c>
      <c r="C3053" s="79" t="s">
        <v>158</v>
      </c>
      <c r="D3053" s="79" t="s">
        <v>165</v>
      </c>
      <c r="E3053" s="79" t="s">
        <v>52</v>
      </c>
      <c r="F3053" s="79" t="str">
        <f>IF(E3053="", "", IF(COUNTIF(ChestType!$A$5:$A$195, E3053)&gt;0, VLOOKUP(E3053, ChestType!$A$5:$B$195, 2, 0), "Others"))</f>
        <v>L5 Crypt</v>
      </c>
    </row>
    <row r="3054" spans="1:6" x14ac:dyDescent="0.25">
      <c r="A3054" s="14">
        <v>46148.45</v>
      </c>
      <c r="B3054" s="79" t="s">
        <v>149</v>
      </c>
      <c r="C3054" s="79" t="s">
        <v>845</v>
      </c>
      <c r="D3054" s="79" t="s">
        <v>156</v>
      </c>
      <c r="E3054" s="79" t="s">
        <v>846</v>
      </c>
      <c r="F3054" s="79" t="str">
        <f>IF(E3054="", "", IF(COUNTIF(ChestType!$A$5:$A$195, E3054)&gt;0, VLOOKUP(E3054, ChestType!$A$5:$B$195, 2, 0), "Others"))</f>
        <v>Others</v>
      </c>
    </row>
    <row r="3055" spans="1:6" x14ac:dyDescent="0.25">
      <c r="A3055" s="14">
        <v>46148.45</v>
      </c>
      <c r="B3055" s="79" t="s">
        <v>149</v>
      </c>
      <c r="C3055" s="79" t="s">
        <v>158</v>
      </c>
      <c r="D3055" s="79" t="s">
        <v>165</v>
      </c>
      <c r="E3055" s="79" t="s">
        <v>50</v>
      </c>
      <c r="F3055" s="79" t="str">
        <f>IF(E3055="", "", IF(COUNTIF(ChestType!$A$5:$A$195, E3055)&gt;0, VLOOKUP(E3055, ChestType!$A$5:$B$195, 2, 0), "Others"))</f>
        <v>L10 Crypt</v>
      </c>
    </row>
    <row r="3056" spans="1:6" x14ac:dyDescent="0.25">
      <c r="A3056" s="14">
        <v>46148.45</v>
      </c>
      <c r="B3056" s="79" t="s">
        <v>149</v>
      </c>
      <c r="C3056" s="79" t="s">
        <v>177</v>
      </c>
      <c r="D3056" s="79" t="s">
        <v>268</v>
      </c>
      <c r="E3056" s="79" t="s">
        <v>50</v>
      </c>
      <c r="F3056" s="79" t="str">
        <f>IF(E3056="", "", IF(COUNTIF(ChestType!$A$5:$A$195, E3056)&gt;0, VLOOKUP(E3056, ChestType!$A$5:$B$195, 2, 0), "Others"))</f>
        <v>L10 Crypt</v>
      </c>
    </row>
    <row r="3057" spans="1:6" x14ac:dyDescent="0.25">
      <c r="A3057" s="14">
        <v>46148.45</v>
      </c>
      <c r="B3057" s="79" t="s">
        <v>149</v>
      </c>
      <c r="C3057" s="79" t="s">
        <v>187</v>
      </c>
      <c r="D3057" s="79" t="s">
        <v>165</v>
      </c>
      <c r="E3057" s="79" t="s">
        <v>75</v>
      </c>
      <c r="F3057" s="79" t="str">
        <f>IF(E3057="", "", IF(COUNTIF(ChestType!$A$5:$A$195, E3057)&gt;0, VLOOKUP(E3057, ChestType!$A$5:$B$195, 2, 0), "Others"))</f>
        <v>L10 Rare Crypt</v>
      </c>
    </row>
    <row r="3058" spans="1:6" x14ac:dyDescent="0.25">
      <c r="A3058" s="14">
        <v>46148.45</v>
      </c>
      <c r="B3058" s="79" t="s">
        <v>149</v>
      </c>
      <c r="C3058" s="79" t="s">
        <v>175</v>
      </c>
      <c r="D3058" s="79" t="s">
        <v>165</v>
      </c>
      <c r="E3058" s="79" t="s">
        <v>50</v>
      </c>
      <c r="F3058" s="79" t="str">
        <f>IF(E3058="", "", IF(COUNTIF(ChestType!$A$5:$A$195, E3058)&gt;0, VLOOKUP(E3058, ChestType!$A$5:$B$195, 2, 0), "Others"))</f>
        <v>L10 Crypt</v>
      </c>
    </row>
    <row r="3059" spans="1:6" x14ac:dyDescent="0.25">
      <c r="A3059" s="14">
        <v>46148.45</v>
      </c>
      <c r="B3059" s="79" t="s">
        <v>149</v>
      </c>
      <c r="C3059" s="79" t="s">
        <v>187</v>
      </c>
      <c r="D3059" s="79" t="s">
        <v>165</v>
      </c>
      <c r="E3059" s="79" t="s">
        <v>75</v>
      </c>
      <c r="F3059" s="79" t="str">
        <f>IF(E3059="", "", IF(COUNTIF(ChestType!$A$5:$A$195, E3059)&gt;0, VLOOKUP(E3059, ChestType!$A$5:$B$195, 2, 0), "Others"))</f>
        <v>L10 Rare Crypt</v>
      </c>
    </row>
    <row r="3060" spans="1:6" x14ac:dyDescent="0.25">
      <c r="A3060" s="14">
        <v>46148.45</v>
      </c>
      <c r="B3060" s="79" t="s">
        <v>149</v>
      </c>
      <c r="C3060" s="79" t="s">
        <v>158</v>
      </c>
      <c r="D3060" s="79" t="s">
        <v>165</v>
      </c>
      <c r="E3060" s="79" t="s">
        <v>50</v>
      </c>
      <c r="F3060" s="79" t="str">
        <f>IF(E3060="", "", IF(COUNTIF(ChestType!$A$5:$A$195, E3060)&gt;0, VLOOKUP(E3060, ChestType!$A$5:$B$195, 2, 0), "Others"))</f>
        <v>L10 Crypt</v>
      </c>
    </row>
    <row r="3061" spans="1:6" x14ac:dyDescent="0.25">
      <c r="A3061" s="14">
        <v>46148.45</v>
      </c>
      <c r="B3061" s="79" t="s">
        <v>149</v>
      </c>
      <c r="C3061" s="79" t="s">
        <v>192</v>
      </c>
      <c r="D3061" s="79" t="s">
        <v>224</v>
      </c>
      <c r="E3061" s="79" t="s">
        <v>60</v>
      </c>
      <c r="F3061" s="79" t="str">
        <f>IF(E3061="", "", IF(COUNTIF(ChestType!$A$5:$A$195, E3061)&gt;0, VLOOKUP(E3061, ChestType!$A$5:$B$195, 2, 0), "Others"))</f>
        <v>Others</v>
      </c>
    </row>
    <row r="3062" spans="1:6" x14ac:dyDescent="0.25">
      <c r="A3062" s="14">
        <v>46148.45</v>
      </c>
      <c r="B3062" s="79" t="s">
        <v>149</v>
      </c>
      <c r="C3062" s="79" t="s">
        <v>183</v>
      </c>
      <c r="D3062" s="79" t="s">
        <v>268</v>
      </c>
      <c r="E3062" s="79" t="s">
        <v>50</v>
      </c>
      <c r="F3062" s="79" t="str">
        <f>IF(E3062="", "", IF(COUNTIF(ChestType!$A$5:$A$195, E3062)&gt;0, VLOOKUP(E3062, ChestType!$A$5:$B$195, 2, 0), "Others"))</f>
        <v>L10 Crypt</v>
      </c>
    </row>
    <row r="3063" spans="1:6" x14ac:dyDescent="0.25">
      <c r="A3063" s="14">
        <v>46148.45</v>
      </c>
      <c r="B3063" s="79" t="s">
        <v>149</v>
      </c>
      <c r="C3063" s="79" t="s">
        <v>173</v>
      </c>
      <c r="D3063" s="79" t="s">
        <v>224</v>
      </c>
      <c r="E3063" s="79" t="s">
        <v>52</v>
      </c>
      <c r="F3063" s="79" t="str">
        <f>IF(E3063="", "", IF(COUNTIF(ChestType!$A$5:$A$195, E3063)&gt;0, VLOOKUP(E3063, ChestType!$A$5:$B$195, 2, 0), "Others"))</f>
        <v>L5 Crypt</v>
      </c>
    </row>
    <row r="3064" spans="1:6" x14ac:dyDescent="0.25">
      <c r="A3064" s="14">
        <v>46148.45</v>
      </c>
      <c r="B3064" s="79" t="s">
        <v>149</v>
      </c>
      <c r="C3064" s="79" t="s">
        <v>177</v>
      </c>
      <c r="D3064" s="79" t="s">
        <v>165</v>
      </c>
      <c r="E3064" s="79" t="s">
        <v>50</v>
      </c>
      <c r="F3064" s="79" t="str">
        <f>IF(E3064="", "", IF(COUNTIF(ChestType!$A$5:$A$195, E3064)&gt;0, VLOOKUP(E3064, ChestType!$A$5:$B$195, 2, 0), "Others"))</f>
        <v>L10 Crypt</v>
      </c>
    </row>
    <row r="3065" spans="1:6" x14ac:dyDescent="0.25">
      <c r="A3065" s="14">
        <v>46148.45</v>
      </c>
      <c r="B3065" s="79" t="s">
        <v>149</v>
      </c>
      <c r="C3065" s="79" t="s">
        <v>173</v>
      </c>
      <c r="D3065" s="79" t="s">
        <v>224</v>
      </c>
      <c r="E3065" s="79" t="s">
        <v>50</v>
      </c>
      <c r="F3065" s="79" t="str">
        <f>IF(E3065="", "", IF(COUNTIF(ChestType!$A$5:$A$195, E3065)&gt;0, VLOOKUP(E3065, ChestType!$A$5:$B$195, 2, 0), "Others"))</f>
        <v>L10 Crypt</v>
      </c>
    </row>
    <row r="3066" spans="1:6" x14ac:dyDescent="0.25">
      <c r="A3066" s="14">
        <v>46148.45</v>
      </c>
      <c r="B3066" s="79" t="s">
        <v>195</v>
      </c>
      <c r="C3066" s="79" t="s">
        <v>198</v>
      </c>
      <c r="D3066" s="79" t="s">
        <v>242</v>
      </c>
      <c r="E3066" s="79" t="s">
        <v>24</v>
      </c>
      <c r="F3066" s="79" t="str">
        <f>IF(E3066="", "", IF(COUNTIF(ChestType!$A$5:$A$195, E3066)&gt;0, VLOOKUP(E3066, ChestType!$A$5:$B$195, 2, 0), "Others"))</f>
        <v>Bank</v>
      </c>
    </row>
    <row r="3067" spans="1:6" x14ac:dyDescent="0.25">
      <c r="A3067" s="14">
        <v>46148.45</v>
      </c>
      <c r="B3067" s="79" t="s">
        <v>195</v>
      </c>
      <c r="C3067" s="79" t="s">
        <v>198</v>
      </c>
      <c r="D3067" s="79" t="s">
        <v>242</v>
      </c>
      <c r="E3067" s="79" t="s">
        <v>24</v>
      </c>
      <c r="F3067" s="79" t="str">
        <f>IF(E3067="", "", IF(COUNTIF(ChestType!$A$5:$A$195, E3067)&gt;0, VLOOKUP(E3067, ChestType!$A$5:$B$195, 2, 0), "Others"))</f>
        <v>Bank</v>
      </c>
    </row>
    <row r="3068" spans="1:6" x14ac:dyDescent="0.25">
      <c r="A3068" s="14">
        <v>46148.45</v>
      </c>
      <c r="B3068" s="79" t="s">
        <v>195</v>
      </c>
      <c r="C3068" s="79" t="s">
        <v>198</v>
      </c>
      <c r="D3068" s="79" t="s">
        <v>242</v>
      </c>
      <c r="E3068" s="79" t="s">
        <v>24</v>
      </c>
      <c r="F3068" s="79" t="str">
        <f>IF(E3068="", "", IF(COUNTIF(ChestType!$A$5:$A$195, E3068)&gt;0, VLOOKUP(E3068, ChestType!$A$5:$B$195, 2, 0), "Others"))</f>
        <v>Bank</v>
      </c>
    </row>
    <row r="3069" spans="1:6" x14ac:dyDescent="0.25">
      <c r="A3069" s="14">
        <v>46148.45</v>
      </c>
      <c r="B3069" s="79" t="s">
        <v>195</v>
      </c>
      <c r="C3069" s="79" t="s">
        <v>198</v>
      </c>
      <c r="D3069" s="79" t="s">
        <v>242</v>
      </c>
      <c r="E3069" s="79" t="s">
        <v>24</v>
      </c>
      <c r="F3069" s="79" t="str">
        <f>IF(E3069="", "", IF(COUNTIF(ChestType!$A$5:$A$195, E3069)&gt;0, VLOOKUP(E3069, ChestType!$A$5:$B$195, 2, 0), "Others"))</f>
        <v>Bank</v>
      </c>
    </row>
    <row r="3070" spans="1:6" x14ac:dyDescent="0.25">
      <c r="A3070" s="14">
        <v>46148.45</v>
      </c>
      <c r="B3070" s="79" t="s">
        <v>195</v>
      </c>
      <c r="C3070" s="79" t="s">
        <v>198</v>
      </c>
      <c r="D3070" s="79" t="s">
        <v>242</v>
      </c>
      <c r="E3070" s="79" t="s">
        <v>24</v>
      </c>
      <c r="F3070" s="79" t="str">
        <f>IF(E3070="", "", IF(COUNTIF(ChestType!$A$5:$A$195, E3070)&gt;0, VLOOKUP(E3070, ChestType!$A$5:$B$195, 2, 0), "Others"))</f>
        <v>Bank</v>
      </c>
    </row>
    <row r="3071" spans="1:6" x14ac:dyDescent="0.25">
      <c r="A3071" s="14">
        <v>46148.45</v>
      </c>
      <c r="B3071" s="79" t="s">
        <v>195</v>
      </c>
      <c r="C3071" s="79" t="s">
        <v>198</v>
      </c>
      <c r="D3071" s="79" t="s">
        <v>242</v>
      </c>
      <c r="E3071" s="79" t="s">
        <v>24</v>
      </c>
      <c r="F3071" s="79" t="str">
        <f>IF(E3071="", "", IF(COUNTIF(ChestType!$A$5:$A$195, E3071)&gt;0, VLOOKUP(E3071, ChestType!$A$5:$B$195, 2, 0), "Others"))</f>
        <v>Bank</v>
      </c>
    </row>
    <row r="3072" spans="1:6" x14ac:dyDescent="0.25">
      <c r="A3072" s="14">
        <v>46148.45</v>
      </c>
      <c r="B3072" s="79" t="s">
        <v>195</v>
      </c>
      <c r="C3072" s="79" t="s">
        <v>197</v>
      </c>
      <c r="D3072" s="79" t="s">
        <v>242</v>
      </c>
      <c r="E3072" s="79" t="s">
        <v>24</v>
      </c>
      <c r="F3072" s="79" t="str">
        <f>IF(E3072="", "", IF(COUNTIF(ChestType!$A$5:$A$195, E3072)&gt;0, VLOOKUP(E3072, ChestType!$A$5:$B$195, 2, 0), "Others"))</f>
        <v>Bank</v>
      </c>
    </row>
    <row r="3073" spans="1:6" x14ac:dyDescent="0.25">
      <c r="A3073" s="14">
        <v>46148.45</v>
      </c>
      <c r="B3073" s="79" t="s">
        <v>195</v>
      </c>
      <c r="C3073" s="79" t="s">
        <v>197</v>
      </c>
      <c r="D3073" s="79" t="s">
        <v>242</v>
      </c>
      <c r="E3073" s="79" t="s">
        <v>24</v>
      </c>
      <c r="F3073" s="79" t="str">
        <f>IF(E3073="", "", IF(COUNTIF(ChestType!$A$5:$A$195, E3073)&gt;0, VLOOKUP(E3073, ChestType!$A$5:$B$195, 2, 0), "Others"))</f>
        <v>Bank</v>
      </c>
    </row>
    <row r="3074" spans="1:6" x14ac:dyDescent="0.25">
      <c r="A3074" s="14">
        <v>46148.45</v>
      </c>
      <c r="B3074" s="79" t="s">
        <v>195</v>
      </c>
      <c r="C3074" s="79" t="s">
        <v>197</v>
      </c>
      <c r="D3074" s="79" t="s">
        <v>242</v>
      </c>
      <c r="E3074" s="79" t="s">
        <v>24</v>
      </c>
      <c r="F3074" s="79" t="str">
        <f>IF(E3074="", "", IF(COUNTIF(ChestType!$A$5:$A$195, E3074)&gt;0, VLOOKUP(E3074, ChestType!$A$5:$B$195, 2, 0), "Others"))</f>
        <v>Bank</v>
      </c>
    </row>
    <row r="3075" spans="1:6" x14ac:dyDescent="0.25">
      <c r="A3075" s="14">
        <v>46148.45</v>
      </c>
      <c r="B3075" s="79" t="s">
        <v>195</v>
      </c>
      <c r="C3075" s="79" t="s">
        <v>198</v>
      </c>
      <c r="D3075" s="79" t="s">
        <v>156</v>
      </c>
      <c r="E3075" s="79" t="s">
        <v>24</v>
      </c>
      <c r="F3075" s="79" t="str">
        <f>IF(E3075="", "", IF(COUNTIF(ChestType!$A$5:$A$195, E3075)&gt;0, VLOOKUP(E3075, ChestType!$A$5:$B$195, 2, 0), "Others"))</f>
        <v>Bank</v>
      </c>
    </row>
    <row r="3076" spans="1:6" x14ac:dyDescent="0.25">
      <c r="A3076" s="14">
        <v>46148.45</v>
      </c>
      <c r="B3076" s="79" t="s">
        <v>195</v>
      </c>
      <c r="C3076" s="79" t="s">
        <v>198</v>
      </c>
      <c r="D3076" s="79" t="s">
        <v>156</v>
      </c>
      <c r="E3076" s="79" t="s">
        <v>24</v>
      </c>
      <c r="F3076" s="79" t="str">
        <f>IF(E3076="", "", IF(COUNTIF(ChestType!$A$5:$A$195, E3076)&gt;0, VLOOKUP(E3076, ChestType!$A$5:$B$195, 2, 0), "Others"))</f>
        <v>Bank</v>
      </c>
    </row>
    <row r="3077" spans="1:6" x14ac:dyDescent="0.25">
      <c r="A3077" s="14">
        <v>46148.45</v>
      </c>
      <c r="B3077" s="79" t="s">
        <v>195</v>
      </c>
      <c r="C3077" s="79" t="s">
        <v>198</v>
      </c>
      <c r="D3077" s="79" t="s">
        <v>156</v>
      </c>
      <c r="E3077" s="79" t="s">
        <v>24</v>
      </c>
      <c r="F3077" s="79" t="str">
        <f>IF(E3077="", "", IF(COUNTIF(ChestType!$A$5:$A$195, E3077)&gt;0, VLOOKUP(E3077, ChestType!$A$5:$B$195, 2, 0), "Others"))</f>
        <v>Bank</v>
      </c>
    </row>
    <row r="3078" spans="1:6" x14ac:dyDescent="0.25">
      <c r="A3078" s="14">
        <v>46148.45</v>
      </c>
      <c r="B3078" s="79" t="s">
        <v>195</v>
      </c>
      <c r="C3078" s="79" t="s">
        <v>197</v>
      </c>
      <c r="D3078" s="79" t="s">
        <v>231</v>
      </c>
      <c r="E3078" s="79" t="s">
        <v>24</v>
      </c>
      <c r="F3078" s="79" t="str">
        <f>IF(E3078="", "", IF(COUNTIF(ChestType!$A$5:$A$195, E3078)&gt;0, VLOOKUP(E3078, ChestType!$A$5:$B$195, 2, 0), "Others"))</f>
        <v>Bank</v>
      </c>
    </row>
    <row r="3079" spans="1:6" x14ac:dyDescent="0.25">
      <c r="A3079" s="14">
        <v>46148.45</v>
      </c>
      <c r="B3079" s="79" t="s">
        <v>195</v>
      </c>
      <c r="C3079" s="79" t="s">
        <v>197</v>
      </c>
      <c r="D3079" s="79" t="s">
        <v>231</v>
      </c>
      <c r="E3079" s="79" t="s">
        <v>24</v>
      </c>
      <c r="F3079" s="79" t="str">
        <f>IF(E3079="", "", IF(COUNTIF(ChestType!$A$5:$A$195, E3079)&gt;0, VLOOKUP(E3079, ChestType!$A$5:$B$195, 2, 0), "Others"))</f>
        <v>Bank</v>
      </c>
    </row>
    <row r="3080" spans="1:6" x14ac:dyDescent="0.25">
      <c r="A3080" s="14">
        <v>46148.45</v>
      </c>
      <c r="B3080" s="79" t="s">
        <v>195</v>
      </c>
      <c r="C3080" s="79" t="s">
        <v>197</v>
      </c>
      <c r="D3080" s="79" t="s">
        <v>231</v>
      </c>
      <c r="E3080" s="79" t="s">
        <v>24</v>
      </c>
      <c r="F3080" s="79" t="str">
        <f>IF(E3080="", "", IF(COUNTIF(ChestType!$A$5:$A$195, E3080)&gt;0, VLOOKUP(E3080, ChestType!$A$5:$B$195, 2, 0), "Others"))</f>
        <v>Bank</v>
      </c>
    </row>
    <row r="3081" spans="1:6" x14ac:dyDescent="0.25">
      <c r="A3081" s="14">
        <v>46148.481249999997</v>
      </c>
      <c r="B3081" s="79" t="s">
        <v>149</v>
      </c>
      <c r="C3081" s="79" t="s">
        <v>175</v>
      </c>
      <c r="D3081" s="79" t="s">
        <v>165</v>
      </c>
      <c r="E3081" s="79" t="s">
        <v>50</v>
      </c>
      <c r="F3081" s="79" t="str">
        <f>IF(E3081="", "", IF(COUNTIF(ChestType!$A$5:$A$195, E3081)&gt;0, VLOOKUP(E3081, ChestType!$A$5:$B$195, 2, 0), "Others"))</f>
        <v>L10 Crypt</v>
      </c>
    </row>
    <row r="3082" spans="1:6" x14ac:dyDescent="0.25">
      <c r="A3082" s="14">
        <v>46148.481249999997</v>
      </c>
      <c r="B3082" s="79" t="s">
        <v>149</v>
      </c>
      <c r="C3082" s="79" t="s">
        <v>173</v>
      </c>
      <c r="D3082" s="79" t="s">
        <v>231</v>
      </c>
      <c r="E3082" s="79" t="s">
        <v>49</v>
      </c>
      <c r="F3082" s="79" t="str">
        <f>IF(E3082="", "", IF(COUNTIF(ChestType!$A$5:$A$195, E3082)&gt;0, VLOOKUP(E3082, ChestType!$A$5:$B$195, 2, 0), "Others"))</f>
        <v>L15 Crypt</v>
      </c>
    </row>
    <row r="3083" spans="1:6" x14ac:dyDescent="0.25">
      <c r="A3083" s="14">
        <v>46148.481249999997</v>
      </c>
      <c r="B3083" s="79" t="s">
        <v>149</v>
      </c>
      <c r="C3083" s="79" t="s">
        <v>175</v>
      </c>
      <c r="D3083" s="79" t="s">
        <v>231</v>
      </c>
      <c r="E3083" s="79" t="s">
        <v>52</v>
      </c>
      <c r="F3083" s="79" t="str">
        <f>IF(E3083="", "", IF(COUNTIF(ChestType!$A$5:$A$195, E3083)&gt;0, VLOOKUP(E3083, ChestType!$A$5:$B$195, 2, 0), "Others"))</f>
        <v>L5 Crypt</v>
      </c>
    </row>
    <row r="3084" spans="1:6" x14ac:dyDescent="0.25">
      <c r="A3084" s="14">
        <v>46148.481249999997</v>
      </c>
      <c r="B3084" s="79" t="s">
        <v>149</v>
      </c>
      <c r="C3084" s="79" t="s">
        <v>177</v>
      </c>
      <c r="D3084" s="79" t="s">
        <v>165</v>
      </c>
      <c r="E3084" s="79" t="s">
        <v>50</v>
      </c>
      <c r="F3084" s="79" t="str">
        <f>IF(E3084="", "", IF(COUNTIF(ChestType!$A$5:$A$195, E3084)&gt;0, VLOOKUP(E3084, ChestType!$A$5:$B$195, 2, 0), "Others"))</f>
        <v>L10 Crypt</v>
      </c>
    </row>
    <row r="3085" spans="1:6" x14ac:dyDescent="0.25">
      <c r="A3085" s="14">
        <v>46148.481249999997</v>
      </c>
      <c r="B3085" s="79" t="s">
        <v>149</v>
      </c>
      <c r="C3085" s="79" t="s">
        <v>192</v>
      </c>
      <c r="D3085" s="79" t="s">
        <v>165</v>
      </c>
      <c r="E3085" s="79" t="s">
        <v>60</v>
      </c>
      <c r="F3085" s="79" t="str">
        <f>IF(E3085="", "", IF(COUNTIF(ChestType!$A$5:$A$195, E3085)&gt;0, VLOOKUP(E3085, ChestType!$A$5:$B$195, 2, 0), "Others"))</f>
        <v>Others</v>
      </c>
    </row>
    <row r="3086" spans="1:6" x14ac:dyDescent="0.25">
      <c r="A3086" s="14">
        <v>46148.481249999997</v>
      </c>
      <c r="B3086" s="79" t="s">
        <v>149</v>
      </c>
      <c r="C3086" s="79" t="s">
        <v>151</v>
      </c>
      <c r="D3086" s="79" t="s">
        <v>165</v>
      </c>
      <c r="E3086" s="79" t="s">
        <v>50</v>
      </c>
      <c r="F3086" s="79" t="str">
        <f>IF(E3086="", "", IF(COUNTIF(ChestType!$A$5:$A$195, E3086)&gt;0, VLOOKUP(E3086, ChestType!$A$5:$B$195, 2, 0), "Others"))</f>
        <v>L10 Crypt</v>
      </c>
    </row>
    <row r="3087" spans="1:6" x14ac:dyDescent="0.25">
      <c r="A3087" s="14">
        <v>46148.481249999997</v>
      </c>
      <c r="B3087" s="79" t="s">
        <v>149</v>
      </c>
      <c r="C3087" s="79" t="s">
        <v>183</v>
      </c>
      <c r="D3087" s="79" t="s">
        <v>179</v>
      </c>
      <c r="E3087" s="79" t="s">
        <v>50</v>
      </c>
      <c r="F3087" s="79" t="str">
        <f>IF(E3087="", "", IF(COUNTIF(ChestType!$A$5:$A$195, E3087)&gt;0, VLOOKUP(E3087, ChestType!$A$5:$B$195, 2, 0), "Others"))</f>
        <v>L10 Crypt</v>
      </c>
    </row>
    <row r="3088" spans="1:6" x14ac:dyDescent="0.25">
      <c r="A3088" s="14">
        <v>46148.481249999997</v>
      </c>
      <c r="B3088" s="79" t="s">
        <v>149</v>
      </c>
      <c r="C3088" s="79" t="s">
        <v>173</v>
      </c>
      <c r="D3088" s="79" t="s">
        <v>165</v>
      </c>
      <c r="E3088" s="79" t="s">
        <v>50</v>
      </c>
      <c r="F3088" s="79" t="str">
        <f>IF(E3088="", "", IF(COUNTIF(ChestType!$A$5:$A$195, E3088)&gt;0, VLOOKUP(E3088, ChestType!$A$5:$B$195, 2, 0), "Others"))</f>
        <v>L10 Crypt</v>
      </c>
    </row>
    <row r="3089" spans="1:6" x14ac:dyDescent="0.25">
      <c r="A3089" s="14">
        <v>46148.544444444444</v>
      </c>
      <c r="B3089" s="79" t="s">
        <v>149</v>
      </c>
      <c r="C3089" s="79" t="s">
        <v>175</v>
      </c>
      <c r="D3089" s="79" t="s">
        <v>165</v>
      </c>
      <c r="E3089" s="79" t="s">
        <v>50</v>
      </c>
      <c r="F3089" s="79" t="str">
        <f>IF(E3089="", "", IF(COUNTIF(ChestType!$A$5:$A$195, E3089)&gt;0, VLOOKUP(E3089, ChestType!$A$5:$B$195, 2, 0), "Others"))</f>
        <v>L10 Crypt</v>
      </c>
    </row>
    <row r="3090" spans="1:6" x14ac:dyDescent="0.25">
      <c r="A3090" s="14">
        <v>46148.544444444444</v>
      </c>
      <c r="B3090" s="79" t="s">
        <v>149</v>
      </c>
      <c r="C3090" s="79" t="s">
        <v>187</v>
      </c>
      <c r="D3090" s="79" t="s">
        <v>165</v>
      </c>
      <c r="E3090" s="79" t="s">
        <v>75</v>
      </c>
      <c r="F3090" s="79" t="str">
        <f>IF(E3090="", "", IF(COUNTIF(ChestType!$A$5:$A$195, E3090)&gt;0, VLOOKUP(E3090, ChestType!$A$5:$B$195, 2, 0), "Others"))</f>
        <v>L10 Rare Crypt</v>
      </c>
    </row>
    <row r="3091" spans="1:6" x14ac:dyDescent="0.25">
      <c r="A3091" s="14">
        <v>46148.544444444444</v>
      </c>
      <c r="B3091" s="79" t="s">
        <v>149</v>
      </c>
      <c r="C3091" s="79" t="s">
        <v>176</v>
      </c>
      <c r="D3091" s="79" t="s">
        <v>165</v>
      </c>
      <c r="E3091" s="79" t="s">
        <v>70</v>
      </c>
      <c r="F3091" s="79" t="str">
        <f>IF(E3091="", "", IF(COUNTIF(ChestType!$A$5:$A$195, E3091)&gt;0, VLOOKUP(E3091, ChestType!$A$5:$B$195, 2, 0), "Others"))</f>
        <v>L10 Citadel</v>
      </c>
    </row>
    <row r="3092" spans="1:6" x14ac:dyDescent="0.25">
      <c r="A3092" s="14">
        <v>46148.544444444444</v>
      </c>
      <c r="B3092" s="79" t="s">
        <v>149</v>
      </c>
      <c r="C3092" s="79" t="s">
        <v>187</v>
      </c>
      <c r="D3092" s="79" t="s">
        <v>165</v>
      </c>
      <c r="E3092" s="79" t="s">
        <v>75</v>
      </c>
      <c r="F3092" s="79" t="str">
        <f>IF(E3092="", "", IF(COUNTIF(ChestType!$A$5:$A$195, E3092)&gt;0, VLOOKUP(E3092, ChestType!$A$5:$B$195, 2, 0), "Others"))</f>
        <v>L10 Rare Crypt</v>
      </c>
    </row>
    <row r="3093" spans="1:6" x14ac:dyDescent="0.25">
      <c r="A3093" s="14">
        <v>46148.544444444444</v>
      </c>
      <c r="B3093" s="79" t="s">
        <v>149</v>
      </c>
      <c r="C3093" s="79" t="s">
        <v>151</v>
      </c>
      <c r="D3093" s="79" t="s">
        <v>165</v>
      </c>
      <c r="E3093" s="79" t="s">
        <v>50</v>
      </c>
      <c r="F3093" s="79" t="str">
        <f>IF(E3093="", "", IF(COUNTIF(ChestType!$A$5:$A$195, E3093)&gt;0, VLOOKUP(E3093, ChestType!$A$5:$B$195, 2, 0), "Others"))</f>
        <v>L10 Crypt</v>
      </c>
    </row>
    <row r="3094" spans="1:6" x14ac:dyDescent="0.25">
      <c r="A3094" s="14">
        <v>46148.544444444444</v>
      </c>
      <c r="B3094" s="79" t="s">
        <v>149</v>
      </c>
      <c r="C3094" s="79" t="s">
        <v>158</v>
      </c>
      <c r="D3094" s="79" t="s">
        <v>165</v>
      </c>
      <c r="E3094" s="79" t="s">
        <v>50</v>
      </c>
      <c r="F3094" s="79" t="str">
        <f>IF(E3094="", "", IF(COUNTIF(ChestType!$A$5:$A$195, E3094)&gt;0, VLOOKUP(E3094, ChestType!$A$5:$B$195, 2, 0), "Others"))</f>
        <v>L10 Crypt</v>
      </c>
    </row>
    <row r="3095" spans="1:6" x14ac:dyDescent="0.25">
      <c r="A3095" s="14">
        <v>46148.544444444444</v>
      </c>
      <c r="B3095" s="79" t="s">
        <v>149</v>
      </c>
      <c r="C3095" s="79" t="s">
        <v>171</v>
      </c>
      <c r="D3095" s="79" t="s">
        <v>165</v>
      </c>
      <c r="E3095" s="79" t="s">
        <v>50</v>
      </c>
      <c r="F3095" s="79" t="str">
        <f>IF(E3095="", "", IF(COUNTIF(ChestType!$A$5:$A$195, E3095)&gt;0, VLOOKUP(E3095, ChestType!$A$5:$B$195, 2, 0), "Others"))</f>
        <v>L10 Crypt</v>
      </c>
    </row>
    <row r="3096" spans="1:6" x14ac:dyDescent="0.25">
      <c r="A3096" s="14">
        <v>46148.544444444444</v>
      </c>
      <c r="B3096" s="79" t="s">
        <v>149</v>
      </c>
      <c r="C3096" s="79" t="s">
        <v>173</v>
      </c>
      <c r="D3096" s="79" t="s">
        <v>231</v>
      </c>
      <c r="E3096" s="79" t="s">
        <v>49</v>
      </c>
      <c r="F3096" s="79" t="str">
        <f>IF(E3096="", "", IF(COUNTIF(ChestType!$A$5:$A$195, E3096)&gt;0, VLOOKUP(E3096, ChestType!$A$5:$B$195, 2, 0), "Others"))</f>
        <v>L15 Crypt</v>
      </c>
    </row>
    <row r="3097" spans="1:6" x14ac:dyDescent="0.25">
      <c r="A3097" s="14">
        <v>46148.544444444444</v>
      </c>
      <c r="B3097" s="79" t="s">
        <v>149</v>
      </c>
      <c r="C3097" s="79" t="s">
        <v>173</v>
      </c>
      <c r="D3097" s="79" t="s">
        <v>231</v>
      </c>
      <c r="E3097" s="79" t="s">
        <v>50</v>
      </c>
      <c r="F3097" s="79" t="str">
        <f>IF(E3097="", "", IF(COUNTIF(ChestType!$A$5:$A$195, E3097)&gt;0, VLOOKUP(E3097, ChestType!$A$5:$B$195, 2, 0), "Others"))</f>
        <v>L10 Crypt</v>
      </c>
    </row>
    <row r="3098" spans="1:6" x14ac:dyDescent="0.25">
      <c r="A3098" s="14">
        <v>46148.544444444444</v>
      </c>
      <c r="B3098" s="79" t="s">
        <v>149</v>
      </c>
      <c r="C3098" s="79" t="s">
        <v>176</v>
      </c>
      <c r="D3098" s="79" t="s">
        <v>254</v>
      </c>
      <c r="E3098" s="79" t="s">
        <v>70</v>
      </c>
      <c r="F3098" s="79" t="str">
        <f>IF(E3098="", "", IF(COUNTIF(ChestType!$A$5:$A$195, E3098)&gt;0, VLOOKUP(E3098, ChestType!$A$5:$B$195, 2, 0), "Others"))</f>
        <v>L10 Citadel</v>
      </c>
    </row>
    <row r="3099" spans="1:6" x14ac:dyDescent="0.25">
      <c r="A3099" s="14">
        <v>46148.544444444444</v>
      </c>
      <c r="B3099" s="79" t="s">
        <v>149</v>
      </c>
      <c r="C3099" s="79" t="s">
        <v>184</v>
      </c>
      <c r="D3099" s="79" t="s">
        <v>165</v>
      </c>
      <c r="E3099" s="79" t="s">
        <v>50</v>
      </c>
      <c r="F3099" s="79" t="str">
        <f>IF(E3099="", "", IF(COUNTIF(ChestType!$A$5:$A$195, E3099)&gt;0, VLOOKUP(E3099, ChestType!$A$5:$B$195, 2, 0), "Others"))</f>
        <v>L10 Crypt</v>
      </c>
    </row>
    <row r="3100" spans="1:6" x14ac:dyDescent="0.25">
      <c r="A3100" s="14">
        <v>46148.544444444444</v>
      </c>
      <c r="B3100" s="79" t="s">
        <v>149</v>
      </c>
      <c r="C3100" s="79" t="s">
        <v>176</v>
      </c>
      <c r="D3100" s="79" t="s">
        <v>254</v>
      </c>
      <c r="E3100" s="79" t="s">
        <v>70</v>
      </c>
      <c r="F3100" s="79" t="str">
        <f>IF(E3100="", "", IF(COUNTIF(ChestType!$A$5:$A$195, E3100)&gt;0, VLOOKUP(E3100, ChestType!$A$5:$B$195, 2, 0), "Others"))</f>
        <v>L10 Citadel</v>
      </c>
    </row>
    <row r="3101" spans="1:6" x14ac:dyDescent="0.25">
      <c r="A3101" s="14">
        <v>46148.544444444444</v>
      </c>
      <c r="B3101" s="79" t="s">
        <v>149</v>
      </c>
      <c r="C3101" s="79" t="s">
        <v>181</v>
      </c>
      <c r="D3101" s="79" t="s">
        <v>240</v>
      </c>
      <c r="E3101" s="79" t="s">
        <v>52</v>
      </c>
      <c r="F3101" s="79" t="str">
        <f>IF(E3101="", "", IF(COUNTIF(ChestType!$A$5:$A$195, E3101)&gt;0, VLOOKUP(E3101, ChestType!$A$5:$B$195, 2, 0), "Others"))</f>
        <v>L5 Crypt</v>
      </c>
    </row>
    <row r="3102" spans="1:6" x14ac:dyDescent="0.25">
      <c r="A3102" s="14">
        <v>46148.544444444444</v>
      </c>
      <c r="B3102" s="79" t="s">
        <v>149</v>
      </c>
      <c r="C3102" s="79" t="s">
        <v>184</v>
      </c>
      <c r="D3102" s="79" t="s">
        <v>246</v>
      </c>
      <c r="E3102" s="79" t="s">
        <v>50</v>
      </c>
      <c r="F3102" s="79" t="str">
        <f>IF(E3102="", "", IF(COUNTIF(ChestType!$A$5:$A$195, E3102)&gt;0, VLOOKUP(E3102, ChestType!$A$5:$B$195, 2, 0), "Others"))</f>
        <v>L10 Crypt</v>
      </c>
    </row>
    <row r="3103" spans="1:6" x14ac:dyDescent="0.25">
      <c r="A3103" s="14">
        <v>46148.544444444444</v>
      </c>
      <c r="B3103" s="79" t="s">
        <v>149</v>
      </c>
      <c r="C3103" s="79" t="s">
        <v>173</v>
      </c>
      <c r="D3103" s="79" t="s">
        <v>231</v>
      </c>
      <c r="E3103" s="79" t="s">
        <v>50</v>
      </c>
      <c r="F3103" s="79" t="str">
        <f>IF(E3103="", "", IF(COUNTIF(ChestType!$A$5:$A$195, E3103)&gt;0, VLOOKUP(E3103, ChestType!$A$5:$B$195, 2, 0), "Others"))</f>
        <v>L10 Crypt</v>
      </c>
    </row>
    <row r="3104" spans="1:6" x14ac:dyDescent="0.25">
      <c r="A3104" s="14">
        <v>46148.544444444444</v>
      </c>
      <c r="B3104" s="79" t="s">
        <v>149</v>
      </c>
      <c r="C3104" s="79" t="s">
        <v>213</v>
      </c>
      <c r="D3104" s="79" t="s">
        <v>254</v>
      </c>
      <c r="E3104" s="79" t="s">
        <v>64</v>
      </c>
      <c r="F3104" s="79" t="str">
        <f>IF(E3104="", "", IF(COUNTIF(ChestType!$A$5:$A$195, E3104)&gt;0, VLOOKUP(E3104, ChestType!$A$5:$B$195, 2, 0), "Others"))</f>
        <v>L15 Epic Crypt</v>
      </c>
    </row>
    <row r="3105" spans="1:6" x14ac:dyDescent="0.25">
      <c r="A3105" s="14">
        <v>46148.544444444444</v>
      </c>
      <c r="B3105" s="79" t="s">
        <v>149</v>
      </c>
      <c r="C3105" s="79" t="s">
        <v>176</v>
      </c>
      <c r="D3105" s="79" t="s">
        <v>165</v>
      </c>
      <c r="E3105" s="79" t="s">
        <v>70</v>
      </c>
      <c r="F3105" s="79" t="str">
        <f>IF(E3105="", "", IF(COUNTIF(ChestType!$A$5:$A$195, E3105)&gt;0, VLOOKUP(E3105, ChestType!$A$5:$B$195, 2, 0), "Others"))</f>
        <v>L10 Citadel</v>
      </c>
    </row>
    <row r="3106" spans="1:6" x14ac:dyDescent="0.25">
      <c r="A3106" s="14">
        <v>46148.544444444444</v>
      </c>
      <c r="B3106" s="79" t="s">
        <v>149</v>
      </c>
      <c r="C3106" s="79" t="s">
        <v>185</v>
      </c>
      <c r="D3106" s="79" t="s">
        <v>165</v>
      </c>
      <c r="E3106" s="79" t="s">
        <v>50</v>
      </c>
      <c r="F3106" s="79" t="str">
        <f>IF(E3106="", "", IF(COUNTIF(ChestType!$A$5:$A$195, E3106)&gt;0, VLOOKUP(E3106, ChestType!$A$5:$B$195, 2, 0), "Others"))</f>
        <v>L10 Crypt</v>
      </c>
    </row>
    <row r="3107" spans="1:6" x14ac:dyDescent="0.25">
      <c r="A3107" s="14">
        <v>46148.544444444444</v>
      </c>
      <c r="B3107" s="79" t="s">
        <v>195</v>
      </c>
      <c r="C3107" s="79" t="s">
        <v>209</v>
      </c>
      <c r="D3107" s="79" t="s">
        <v>162</v>
      </c>
      <c r="E3107" s="79" t="s">
        <v>24</v>
      </c>
      <c r="F3107" s="79" t="str">
        <f>IF(E3107="", "", IF(COUNTIF(ChestType!$A$5:$A$195, E3107)&gt;0, VLOOKUP(E3107, ChestType!$A$5:$B$195, 2, 0), "Others"))</f>
        <v>Bank</v>
      </c>
    </row>
    <row r="3108" spans="1:6" x14ac:dyDescent="0.25">
      <c r="A3108" s="14">
        <v>46148.544444444444</v>
      </c>
      <c r="B3108" s="79" t="s">
        <v>195</v>
      </c>
      <c r="C3108" s="79" t="s">
        <v>209</v>
      </c>
      <c r="D3108" s="79" t="s">
        <v>162</v>
      </c>
      <c r="E3108" s="79" t="s">
        <v>24</v>
      </c>
      <c r="F3108" s="79" t="str">
        <f>IF(E3108="", "", IF(COUNTIF(ChestType!$A$5:$A$195, E3108)&gt;0, VLOOKUP(E3108, ChestType!$A$5:$B$195, 2, 0), "Others"))</f>
        <v>Bank</v>
      </c>
    </row>
    <row r="3109" spans="1:6" x14ac:dyDescent="0.25">
      <c r="A3109" s="14">
        <v>46148.544444444444</v>
      </c>
      <c r="B3109" s="79" t="s">
        <v>195</v>
      </c>
      <c r="C3109" s="79" t="s">
        <v>209</v>
      </c>
      <c r="D3109" s="79" t="s">
        <v>162</v>
      </c>
      <c r="E3109" s="79" t="s">
        <v>24</v>
      </c>
      <c r="F3109" s="79" t="str">
        <f>IF(E3109="", "", IF(COUNTIF(ChestType!$A$5:$A$195, E3109)&gt;0, VLOOKUP(E3109, ChestType!$A$5:$B$195, 2, 0), "Others"))</f>
        <v>Bank</v>
      </c>
    </row>
    <row r="3110" spans="1:6" x14ac:dyDescent="0.25">
      <c r="A3110" s="14">
        <v>46148.586111111108</v>
      </c>
      <c r="B3110" s="79" t="s">
        <v>149</v>
      </c>
      <c r="C3110" s="79" t="s">
        <v>181</v>
      </c>
      <c r="D3110" s="79" t="s">
        <v>199</v>
      </c>
      <c r="E3110" s="79" t="s">
        <v>50</v>
      </c>
      <c r="F3110" s="79" t="str">
        <f>IF(E3110="", "", IF(COUNTIF(ChestType!$A$5:$A$195, E3110)&gt;0, VLOOKUP(E3110, ChestType!$A$5:$B$195, 2, 0), "Others"))</f>
        <v>L10 Crypt</v>
      </c>
    </row>
    <row r="3111" spans="1:6" x14ac:dyDescent="0.25">
      <c r="A3111" s="14">
        <v>46148.586111111108</v>
      </c>
      <c r="B3111" s="79" t="s">
        <v>149</v>
      </c>
      <c r="C3111" s="79" t="s">
        <v>185</v>
      </c>
      <c r="D3111" s="79" t="s">
        <v>199</v>
      </c>
      <c r="E3111" s="79" t="s">
        <v>52</v>
      </c>
      <c r="F3111" s="79" t="str">
        <f>IF(E3111="", "", IF(COUNTIF(ChestType!$A$5:$A$195, E3111)&gt;0, VLOOKUP(E3111, ChestType!$A$5:$B$195, 2, 0), "Others"))</f>
        <v>L5 Crypt</v>
      </c>
    </row>
    <row r="3112" spans="1:6" x14ac:dyDescent="0.25">
      <c r="A3112" s="14">
        <v>46148.586111111108</v>
      </c>
      <c r="B3112" s="79" t="s">
        <v>149</v>
      </c>
      <c r="C3112" s="79" t="s">
        <v>181</v>
      </c>
      <c r="D3112" s="79" t="s">
        <v>165</v>
      </c>
      <c r="E3112" s="79" t="s">
        <v>50</v>
      </c>
      <c r="F3112" s="79" t="str">
        <f>IF(E3112="", "", IF(COUNTIF(ChestType!$A$5:$A$195, E3112)&gt;0, VLOOKUP(E3112, ChestType!$A$5:$B$195, 2, 0), "Others"))</f>
        <v>L10 Crypt</v>
      </c>
    </row>
    <row r="3113" spans="1:6" x14ac:dyDescent="0.25">
      <c r="A3113" s="14">
        <v>46148.586111111108</v>
      </c>
      <c r="B3113" s="79" t="s">
        <v>149</v>
      </c>
      <c r="C3113" s="79" t="s">
        <v>185</v>
      </c>
      <c r="D3113" s="79" t="s">
        <v>165</v>
      </c>
      <c r="E3113" s="79" t="s">
        <v>50</v>
      </c>
      <c r="F3113" s="79" t="str">
        <f>IF(E3113="", "", IF(COUNTIF(ChestType!$A$5:$A$195, E3113)&gt;0, VLOOKUP(E3113, ChestType!$A$5:$B$195, 2, 0), "Others"))</f>
        <v>L10 Crypt</v>
      </c>
    </row>
    <row r="3114" spans="1:6" x14ac:dyDescent="0.25">
      <c r="A3114" s="14">
        <v>46148.586111111108</v>
      </c>
      <c r="B3114" s="79" t="s">
        <v>149</v>
      </c>
      <c r="C3114" s="79" t="s">
        <v>174</v>
      </c>
      <c r="D3114" s="79" t="s">
        <v>162</v>
      </c>
      <c r="E3114" s="79" t="s">
        <v>64</v>
      </c>
      <c r="F3114" s="79" t="str">
        <f>IF(E3114="", "", IF(COUNTIF(ChestType!$A$5:$A$195, E3114)&gt;0, VLOOKUP(E3114, ChestType!$A$5:$B$195, 2, 0), "Others"))</f>
        <v>L15 Epic Crypt</v>
      </c>
    </row>
    <row r="3115" spans="1:6" x14ac:dyDescent="0.25">
      <c r="A3115" s="14">
        <v>46148.586111111108</v>
      </c>
      <c r="B3115" s="79" t="s">
        <v>149</v>
      </c>
      <c r="C3115" s="79" t="s">
        <v>181</v>
      </c>
      <c r="D3115" s="79" t="s">
        <v>199</v>
      </c>
      <c r="E3115" s="79" t="s">
        <v>49</v>
      </c>
      <c r="F3115" s="79" t="str">
        <f>IF(E3115="", "", IF(COUNTIF(ChestType!$A$5:$A$195, E3115)&gt;0, VLOOKUP(E3115, ChestType!$A$5:$B$195, 2, 0), "Others"))</f>
        <v>L15 Crypt</v>
      </c>
    </row>
    <row r="3116" spans="1:6" x14ac:dyDescent="0.25">
      <c r="A3116" s="14">
        <v>46148.586111111108</v>
      </c>
      <c r="B3116" s="79" t="s">
        <v>149</v>
      </c>
      <c r="C3116" s="79" t="s">
        <v>174</v>
      </c>
      <c r="D3116" s="79" t="s">
        <v>162</v>
      </c>
      <c r="E3116" s="79" t="s">
        <v>64</v>
      </c>
      <c r="F3116" s="79" t="str">
        <f>IF(E3116="", "", IF(COUNTIF(ChestType!$A$5:$A$195, E3116)&gt;0, VLOOKUP(E3116, ChestType!$A$5:$B$195, 2, 0), "Others"))</f>
        <v>L15 Epic Crypt</v>
      </c>
    </row>
    <row r="3117" spans="1:6" x14ac:dyDescent="0.25">
      <c r="A3117" s="14">
        <v>46148.586111111108</v>
      </c>
      <c r="B3117" s="79" t="s">
        <v>149</v>
      </c>
      <c r="C3117" s="79" t="s">
        <v>192</v>
      </c>
      <c r="D3117" s="79" t="s">
        <v>199</v>
      </c>
      <c r="E3117" s="79" t="s">
        <v>60</v>
      </c>
      <c r="F3117" s="79" t="str">
        <f>IF(E3117="", "", IF(COUNTIF(ChestType!$A$5:$A$195, E3117)&gt;0, VLOOKUP(E3117, ChestType!$A$5:$B$195, 2, 0), "Others"))</f>
        <v>Others</v>
      </c>
    </row>
    <row r="3118" spans="1:6" x14ac:dyDescent="0.25">
      <c r="A3118" s="14">
        <v>46148.586111111108</v>
      </c>
      <c r="B3118" s="79" t="s">
        <v>149</v>
      </c>
      <c r="C3118" s="79" t="s">
        <v>171</v>
      </c>
      <c r="D3118" s="79" t="s">
        <v>199</v>
      </c>
      <c r="E3118" s="79" t="s">
        <v>49</v>
      </c>
      <c r="F3118" s="79" t="str">
        <f>IF(E3118="", "", IF(COUNTIF(ChestType!$A$5:$A$195, E3118)&gt;0, VLOOKUP(E3118, ChestType!$A$5:$B$195, 2, 0), "Others"))</f>
        <v>L15 Crypt</v>
      </c>
    </row>
    <row r="3119" spans="1:6" x14ac:dyDescent="0.25">
      <c r="A3119" s="14">
        <v>46148.586111111108</v>
      </c>
      <c r="B3119" s="79" t="s">
        <v>149</v>
      </c>
      <c r="C3119" s="79" t="s">
        <v>158</v>
      </c>
      <c r="D3119" s="79" t="s">
        <v>199</v>
      </c>
      <c r="E3119" s="79" t="s">
        <v>49</v>
      </c>
      <c r="F3119" s="79" t="str">
        <f>IF(E3119="", "", IF(COUNTIF(ChestType!$A$5:$A$195, E3119)&gt;0, VLOOKUP(E3119, ChestType!$A$5:$B$195, 2, 0), "Others"))</f>
        <v>L15 Crypt</v>
      </c>
    </row>
    <row r="3120" spans="1:6" x14ac:dyDescent="0.25">
      <c r="A3120" s="14">
        <v>46148.586111111108</v>
      </c>
      <c r="B3120" s="79" t="s">
        <v>149</v>
      </c>
      <c r="C3120" s="79" t="s">
        <v>185</v>
      </c>
      <c r="D3120" s="79" t="s">
        <v>199</v>
      </c>
      <c r="E3120" s="79" t="s">
        <v>50</v>
      </c>
      <c r="F3120" s="79" t="str">
        <f>IF(E3120="", "", IF(COUNTIF(ChestType!$A$5:$A$195, E3120)&gt;0, VLOOKUP(E3120, ChestType!$A$5:$B$195, 2, 0), "Others"))</f>
        <v>L10 Crypt</v>
      </c>
    </row>
    <row r="3121" spans="1:6" x14ac:dyDescent="0.25">
      <c r="A3121" s="14">
        <v>46148.586111111108</v>
      </c>
      <c r="B3121" s="79" t="s">
        <v>149</v>
      </c>
      <c r="C3121" s="79" t="s">
        <v>185</v>
      </c>
      <c r="D3121" s="79" t="s">
        <v>163</v>
      </c>
      <c r="E3121" s="79" t="s">
        <v>52</v>
      </c>
      <c r="F3121" s="79" t="str">
        <f>IF(E3121="", "", IF(COUNTIF(ChestType!$A$5:$A$195, E3121)&gt;0, VLOOKUP(E3121, ChestType!$A$5:$B$195, 2, 0), "Others"))</f>
        <v>L5 Crypt</v>
      </c>
    </row>
    <row r="3122" spans="1:6" x14ac:dyDescent="0.25">
      <c r="A3122" s="14">
        <v>46148.586111111108</v>
      </c>
      <c r="B3122" s="79" t="s">
        <v>149</v>
      </c>
      <c r="C3122" s="79" t="s">
        <v>151</v>
      </c>
      <c r="D3122" s="79" t="s">
        <v>841</v>
      </c>
      <c r="E3122" s="79" t="s">
        <v>49</v>
      </c>
      <c r="F3122" s="79" t="str">
        <f>IF(E3122="", "", IF(COUNTIF(ChestType!$A$5:$A$195, E3122)&gt;0, VLOOKUP(E3122, ChestType!$A$5:$B$195, 2, 0), "Others"))</f>
        <v>L15 Crypt</v>
      </c>
    </row>
    <row r="3123" spans="1:6" x14ac:dyDescent="0.25">
      <c r="A3123" s="14">
        <v>46148.586111111108</v>
      </c>
      <c r="B3123" s="79" t="s">
        <v>149</v>
      </c>
      <c r="C3123" s="79" t="s">
        <v>182</v>
      </c>
      <c r="D3123" s="79" t="s">
        <v>199</v>
      </c>
      <c r="E3123" s="79" t="s">
        <v>52</v>
      </c>
      <c r="F3123" s="79" t="str">
        <f>IF(E3123="", "", IF(COUNTIF(ChestType!$A$5:$A$195, E3123)&gt;0, VLOOKUP(E3123, ChestType!$A$5:$B$195, 2, 0), "Others"))</f>
        <v>L5 Crypt</v>
      </c>
    </row>
    <row r="3124" spans="1:6" x14ac:dyDescent="0.25">
      <c r="A3124" s="14">
        <v>46148.586111111108</v>
      </c>
      <c r="B3124" s="79" t="s">
        <v>149</v>
      </c>
      <c r="C3124" s="79" t="s">
        <v>843</v>
      </c>
      <c r="D3124" s="79" t="s">
        <v>205</v>
      </c>
      <c r="E3124" s="79" t="s">
        <v>844</v>
      </c>
      <c r="F3124" s="79" t="str">
        <f>IF(E3124="", "", IF(COUNTIF(ChestType!$A$5:$A$195, E3124)&gt;0, VLOOKUP(E3124, ChestType!$A$5:$B$195, 2, 0), "Others"))</f>
        <v>Others</v>
      </c>
    </row>
    <row r="3125" spans="1:6" x14ac:dyDescent="0.25">
      <c r="A3125" s="14">
        <v>46148.586111111108</v>
      </c>
      <c r="B3125" s="79" t="s">
        <v>149</v>
      </c>
      <c r="C3125" s="79" t="s">
        <v>190</v>
      </c>
      <c r="D3125" s="79" t="s">
        <v>199</v>
      </c>
      <c r="E3125" s="79" t="s">
        <v>50</v>
      </c>
      <c r="F3125" s="79" t="str">
        <f>IF(E3125="", "", IF(COUNTIF(ChestType!$A$5:$A$195, E3125)&gt;0, VLOOKUP(E3125, ChestType!$A$5:$B$195, 2, 0), "Others"))</f>
        <v>L10 Crypt</v>
      </c>
    </row>
    <row r="3126" spans="1:6" x14ac:dyDescent="0.25">
      <c r="A3126" s="14">
        <v>46148.586111111108</v>
      </c>
      <c r="B3126" s="79" t="s">
        <v>149</v>
      </c>
      <c r="C3126" s="79" t="s">
        <v>226</v>
      </c>
      <c r="D3126" s="79" t="s">
        <v>162</v>
      </c>
      <c r="E3126" s="79" t="s">
        <v>64</v>
      </c>
      <c r="F3126" s="79" t="str">
        <f>IF(E3126="", "", IF(COUNTIF(ChestType!$A$5:$A$195, E3126)&gt;0, VLOOKUP(E3126, ChestType!$A$5:$B$195, 2, 0), "Others"))</f>
        <v>L15 Epic Crypt</v>
      </c>
    </row>
    <row r="3127" spans="1:6" x14ac:dyDescent="0.25">
      <c r="A3127" s="14">
        <v>46148.586111111108</v>
      </c>
      <c r="B3127" s="79" t="s">
        <v>149</v>
      </c>
      <c r="C3127" s="79" t="s">
        <v>181</v>
      </c>
      <c r="D3127" s="79" t="s">
        <v>179</v>
      </c>
      <c r="E3127" s="79" t="s">
        <v>50</v>
      </c>
      <c r="F3127" s="79" t="str">
        <f>IF(E3127="", "", IF(COUNTIF(ChestType!$A$5:$A$195, E3127)&gt;0, VLOOKUP(E3127, ChestType!$A$5:$B$195, 2, 0), "Others"))</f>
        <v>L10 Crypt</v>
      </c>
    </row>
    <row r="3128" spans="1:6" x14ac:dyDescent="0.25">
      <c r="A3128" s="14">
        <v>46148.586111111108</v>
      </c>
      <c r="B3128" s="79" t="s">
        <v>149</v>
      </c>
      <c r="C3128" s="79" t="s">
        <v>226</v>
      </c>
      <c r="D3128" s="79" t="s">
        <v>162</v>
      </c>
      <c r="E3128" s="79" t="s">
        <v>65</v>
      </c>
      <c r="F3128" s="79" t="str">
        <f>IF(E3128="", "", IF(COUNTIF(ChestType!$A$5:$A$195, E3128)&gt;0, VLOOKUP(E3128, ChestType!$A$5:$B$195, 2, 0), "Others"))</f>
        <v>L20 Epic Crypt</v>
      </c>
    </row>
    <row r="3129" spans="1:6" x14ac:dyDescent="0.25">
      <c r="A3129" s="14">
        <v>46148.586111111108</v>
      </c>
      <c r="B3129" s="79" t="s">
        <v>149</v>
      </c>
      <c r="C3129" s="79" t="s">
        <v>173</v>
      </c>
      <c r="D3129" s="79" t="s">
        <v>179</v>
      </c>
      <c r="E3129" s="79" t="s">
        <v>50</v>
      </c>
      <c r="F3129" s="79" t="str">
        <f>IF(E3129="", "", IF(COUNTIF(ChestType!$A$5:$A$195, E3129)&gt;0, VLOOKUP(E3129, ChestType!$A$5:$B$195, 2, 0), "Others"))</f>
        <v>L10 Crypt</v>
      </c>
    </row>
    <row r="3130" spans="1:6" x14ac:dyDescent="0.25">
      <c r="A3130" s="14">
        <v>46148.586111111108</v>
      </c>
      <c r="B3130" s="79" t="s">
        <v>149</v>
      </c>
      <c r="C3130" s="79" t="s">
        <v>220</v>
      </c>
      <c r="D3130" s="79" t="s">
        <v>162</v>
      </c>
      <c r="E3130" s="79" t="s">
        <v>65</v>
      </c>
      <c r="F3130" s="79" t="str">
        <f>IF(E3130="", "", IF(COUNTIF(ChestType!$A$5:$A$195, E3130)&gt;0, VLOOKUP(E3130, ChestType!$A$5:$B$195, 2, 0), "Others"))</f>
        <v>L20 Epic Crypt</v>
      </c>
    </row>
    <row r="3131" spans="1:6" x14ac:dyDescent="0.25">
      <c r="A3131" s="14">
        <v>46148.586111111108</v>
      </c>
      <c r="B3131" s="79" t="s">
        <v>149</v>
      </c>
      <c r="C3131" s="79" t="s">
        <v>845</v>
      </c>
      <c r="D3131" s="79" t="s">
        <v>199</v>
      </c>
      <c r="E3131" s="79" t="s">
        <v>846</v>
      </c>
      <c r="F3131" s="79" t="str">
        <f>IF(E3131="", "", IF(COUNTIF(ChestType!$A$5:$A$195, E3131)&gt;0, VLOOKUP(E3131, ChestType!$A$5:$B$195, 2, 0), "Others"))</f>
        <v>Others</v>
      </c>
    </row>
    <row r="3132" spans="1:6" x14ac:dyDescent="0.25">
      <c r="A3132" s="14">
        <v>46148.586111111108</v>
      </c>
      <c r="B3132" s="79" t="s">
        <v>149</v>
      </c>
      <c r="C3132" s="79" t="s">
        <v>173</v>
      </c>
      <c r="D3132" s="79" t="s">
        <v>163</v>
      </c>
      <c r="E3132" s="79" t="s">
        <v>52</v>
      </c>
      <c r="F3132" s="79" t="str">
        <f>IF(E3132="", "", IF(COUNTIF(ChestType!$A$5:$A$195, E3132)&gt;0, VLOOKUP(E3132, ChestType!$A$5:$B$195, 2, 0), "Others"))</f>
        <v>L5 Crypt</v>
      </c>
    </row>
    <row r="3133" spans="1:6" x14ac:dyDescent="0.25">
      <c r="A3133" s="14">
        <v>46148.586111111108</v>
      </c>
      <c r="B3133" s="79" t="s">
        <v>149</v>
      </c>
      <c r="C3133" s="79" t="s">
        <v>173</v>
      </c>
      <c r="D3133" s="79" t="s">
        <v>231</v>
      </c>
      <c r="E3133" s="79" t="s">
        <v>52</v>
      </c>
      <c r="F3133" s="79" t="str">
        <f>IF(E3133="", "", IF(COUNTIF(ChestType!$A$5:$A$195, E3133)&gt;0, VLOOKUP(E3133, ChestType!$A$5:$B$195, 2, 0), "Others"))</f>
        <v>L5 Crypt</v>
      </c>
    </row>
    <row r="3134" spans="1:6" x14ac:dyDescent="0.25">
      <c r="A3134" s="14">
        <v>46148.586111111108</v>
      </c>
      <c r="B3134" s="79" t="s">
        <v>195</v>
      </c>
      <c r="C3134" s="79" t="s">
        <v>197</v>
      </c>
      <c r="D3134" s="79" t="s">
        <v>254</v>
      </c>
      <c r="E3134" s="79" t="s">
        <v>24</v>
      </c>
      <c r="F3134" s="79" t="str">
        <f>IF(E3134="", "", IF(COUNTIF(ChestType!$A$5:$A$195, E3134)&gt;0, VLOOKUP(E3134, ChestType!$A$5:$B$195, 2, 0), "Others"))</f>
        <v>Bank</v>
      </c>
    </row>
    <row r="3135" spans="1:6" x14ac:dyDescent="0.25">
      <c r="A3135" s="14">
        <v>46148.586111111108</v>
      </c>
      <c r="B3135" s="79" t="s">
        <v>195</v>
      </c>
      <c r="C3135" s="79" t="s">
        <v>197</v>
      </c>
      <c r="D3135" s="79" t="s">
        <v>254</v>
      </c>
      <c r="E3135" s="79" t="s">
        <v>24</v>
      </c>
      <c r="F3135" s="79" t="str">
        <f>IF(E3135="", "", IF(COUNTIF(ChestType!$A$5:$A$195, E3135)&gt;0, VLOOKUP(E3135, ChestType!$A$5:$B$195, 2, 0), "Others"))</f>
        <v>Bank</v>
      </c>
    </row>
    <row r="3136" spans="1:6" x14ac:dyDescent="0.25">
      <c r="A3136" s="14">
        <v>46148.586111111108</v>
      </c>
      <c r="B3136" s="79" t="s">
        <v>195</v>
      </c>
      <c r="C3136" s="79" t="s">
        <v>197</v>
      </c>
      <c r="D3136" s="79" t="s">
        <v>254</v>
      </c>
      <c r="E3136" s="79" t="s">
        <v>24</v>
      </c>
      <c r="F3136" s="79" t="str">
        <f>IF(E3136="", "", IF(COUNTIF(ChestType!$A$5:$A$195, E3136)&gt;0, VLOOKUP(E3136, ChestType!$A$5:$B$195, 2, 0), "Others"))</f>
        <v>Bank</v>
      </c>
    </row>
    <row r="3137" spans="1:6" x14ac:dyDescent="0.25">
      <c r="A3137" s="14">
        <v>46148.586111111108</v>
      </c>
      <c r="B3137" s="79" t="s">
        <v>195</v>
      </c>
      <c r="C3137" s="79" t="s">
        <v>197</v>
      </c>
      <c r="D3137" s="79" t="s">
        <v>163</v>
      </c>
      <c r="E3137" s="79" t="s">
        <v>24</v>
      </c>
      <c r="F3137" s="79" t="str">
        <f>IF(E3137="", "", IF(COUNTIF(ChestType!$A$5:$A$195, E3137)&gt;0, VLOOKUP(E3137, ChestType!$A$5:$B$195, 2, 0), "Others"))</f>
        <v>Bank</v>
      </c>
    </row>
    <row r="3138" spans="1:6" x14ac:dyDescent="0.25">
      <c r="A3138" s="14">
        <v>46148.586111111108</v>
      </c>
      <c r="B3138" s="79" t="s">
        <v>195</v>
      </c>
      <c r="C3138" s="79" t="s">
        <v>197</v>
      </c>
      <c r="D3138" s="79" t="s">
        <v>163</v>
      </c>
      <c r="E3138" s="79" t="s">
        <v>24</v>
      </c>
      <c r="F3138" s="79" t="str">
        <f>IF(E3138="", "", IF(COUNTIF(ChestType!$A$5:$A$195, E3138)&gt;0, VLOOKUP(E3138, ChestType!$A$5:$B$195, 2, 0), "Others"))</f>
        <v>Bank</v>
      </c>
    </row>
    <row r="3139" spans="1:6" x14ac:dyDescent="0.25">
      <c r="A3139" s="14">
        <v>46148.586111111108</v>
      </c>
      <c r="B3139" s="79" t="s">
        <v>195</v>
      </c>
      <c r="C3139" s="79" t="s">
        <v>197</v>
      </c>
      <c r="D3139" s="79" t="s">
        <v>163</v>
      </c>
      <c r="E3139" s="79" t="s">
        <v>24</v>
      </c>
      <c r="F3139" s="79" t="str">
        <f>IF(E3139="", "", IF(COUNTIF(ChestType!$A$5:$A$195, E3139)&gt;0, VLOOKUP(E3139, ChestType!$A$5:$B$195, 2, 0), "Others"))</f>
        <v>Bank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4"/>
  <sheetViews>
    <sheetView workbookViewId="0">
      <selection activeCell="A100" sqref="A100"/>
    </sheetView>
  </sheetViews>
  <sheetFormatPr defaultColWidth="14.42578125" defaultRowHeight="15" customHeight="1" x14ac:dyDescent="0.25"/>
  <cols>
    <col min="1" max="1" width="32" customWidth="1"/>
    <col min="2" max="2" width="19" customWidth="1"/>
    <col min="3" max="17" width="8.7109375" customWidth="1"/>
    <col min="18" max="18" width="23.85546875" customWidth="1"/>
    <col min="19" max="19" width="28.7109375" customWidth="1"/>
    <col min="20" max="20" width="23.42578125" customWidth="1"/>
    <col min="21" max="21" width="5" customWidth="1"/>
    <col min="22" max="26" width="8.7109375" customWidth="1"/>
  </cols>
  <sheetData>
    <row r="1" spans="1:20" x14ac:dyDescent="0.25">
      <c r="S1" s="7"/>
      <c r="T1" s="7"/>
    </row>
    <row r="2" spans="1:20" x14ac:dyDescent="0.25">
      <c r="T2" s="7"/>
    </row>
    <row r="3" spans="1:20" x14ac:dyDescent="0.25">
      <c r="T3" s="7"/>
    </row>
    <row r="4" spans="1:20" x14ac:dyDescent="0.25">
      <c r="T4" s="7"/>
    </row>
    <row r="5" spans="1:20" x14ac:dyDescent="0.25">
      <c r="A5" s="2" t="s">
        <v>52</v>
      </c>
      <c r="B5" s="1" t="s">
        <v>0</v>
      </c>
      <c r="R5" s="7"/>
      <c r="T5" s="7"/>
    </row>
    <row r="6" spans="1:20" x14ac:dyDescent="0.25">
      <c r="A6" s="2" t="s">
        <v>50</v>
      </c>
      <c r="B6" s="1" t="s">
        <v>1</v>
      </c>
      <c r="R6" s="7"/>
      <c r="T6" s="7"/>
    </row>
    <row r="7" spans="1:20" x14ac:dyDescent="0.25">
      <c r="A7" s="2" t="s">
        <v>49</v>
      </c>
      <c r="B7" s="1" t="s">
        <v>2</v>
      </c>
      <c r="R7" s="7"/>
      <c r="T7" s="7"/>
    </row>
    <row r="8" spans="1:20" x14ac:dyDescent="0.25">
      <c r="A8" s="2" t="s">
        <v>48</v>
      </c>
      <c r="B8" s="1" t="s">
        <v>3</v>
      </c>
      <c r="R8" s="7"/>
      <c r="T8" s="7"/>
    </row>
    <row r="9" spans="1:20" x14ac:dyDescent="0.25">
      <c r="A9" s="2" t="s">
        <v>42</v>
      </c>
      <c r="B9" s="1" t="s">
        <v>4</v>
      </c>
      <c r="R9" s="7"/>
      <c r="T9" s="7"/>
    </row>
    <row r="10" spans="1:20" x14ac:dyDescent="0.25">
      <c r="A10" s="1" t="s">
        <v>75</v>
      </c>
      <c r="B10" s="1" t="s">
        <v>93</v>
      </c>
      <c r="R10" s="7"/>
      <c r="T10" s="7"/>
    </row>
    <row r="11" spans="1:20" x14ac:dyDescent="0.25">
      <c r="A11" s="1" t="s">
        <v>71</v>
      </c>
      <c r="B11" s="1" t="s">
        <v>94</v>
      </c>
      <c r="T11" s="7"/>
    </row>
    <row r="12" spans="1:20" x14ac:dyDescent="0.25">
      <c r="A12" s="1" t="s">
        <v>54</v>
      </c>
      <c r="B12" s="1" t="s">
        <v>95</v>
      </c>
      <c r="T12" s="7"/>
    </row>
    <row r="13" spans="1:20" x14ac:dyDescent="0.25">
      <c r="A13" s="1" t="s">
        <v>51</v>
      </c>
      <c r="B13" s="1" t="s">
        <v>96</v>
      </c>
      <c r="T13" s="7"/>
    </row>
    <row r="14" spans="1:20" x14ac:dyDescent="0.25">
      <c r="A14" s="1" t="s">
        <v>53</v>
      </c>
      <c r="B14" s="1" t="s">
        <v>97</v>
      </c>
      <c r="T14" s="7"/>
    </row>
    <row r="15" spans="1:20" x14ac:dyDescent="0.25">
      <c r="A15" s="1" t="s">
        <v>64</v>
      </c>
      <c r="B15" s="1" t="s">
        <v>98</v>
      </c>
    </row>
    <row r="16" spans="1:20" x14ac:dyDescent="0.25">
      <c r="A16" s="1" t="s">
        <v>65</v>
      </c>
      <c r="B16" s="1" t="s">
        <v>99</v>
      </c>
      <c r="T16" s="7"/>
    </row>
    <row r="17" spans="1:20" x14ac:dyDescent="0.25">
      <c r="A17" s="1" t="s">
        <v>62</v>
      </c>
      <c r="B17" s="1" t="s">
        <v>100</v>
      </c>
      <c r="T17" s="7"/>
    </row>
    <row r="18" spans="1:20" x14ac:dyDescent="0.25">
      <c r="A18" s="1" t="s">
        <v>68</v>
      </c>
      <c r="B18" s="1" t="s">
        <v>101</v>
      </c>
      <c r="T18" s="7"/>
    </row>
    <row r="19" spans="1:20" x14ac:dyDescent="0.25">
      <c r="A19" s="1" t="s">
        <v>69</v>
      </c>
      <c r="B19" s="1" t="s">
        <v>102</v>
      </c>
      <c r="T19" s="7"/>
    </row>
    <row r="20" spans="1:20" x14ac:dyDescent="0.25">
      <c r="A20" s="1" t="s">
        <v>70</v>
      </c>
      <c r="B20" s="1" t="s">
        <v>15</v>
      </c>
      <c r="S20" s="7"/>
      <c r="T20" s="7"/>
    </row>
    <row r="21" spans="1:20" ht="15.75" customHeight="1" x14ac:dyDescent="0.25">
      <c r="A21" s="1" t="s">
        <v>63</v>
      </c>
      <c r="B21" s="1" t="s">
        <v>16</v>
      </c>
      <c r="T21" s="7"/>
    </row>
    <row r="22" spans="1:20" ht="15.75" customHeight="1" x14ac:dyDescent="0.25">
      <c r="A22" s="1" t="s">
        <v>44</v>
      </c>
      <c r="B22" s="1" t="s">
        <v>17</v>
      </c>
      <c r="S22" s="7"/>
    </row>
    <row r="23" spans="1:20" ht="15.75" customHeight="1" x14ac:dyDescent="0.25">
      <c r="A23" s="1" t="s">
        <v>41</v>
      </c>
      <c r="B23" s="1" t="s">
        <v>18</v>
      </c>
    </row>
    <row r="24" spans="1:20" ht="15.75" customHeight="1" x14ac:dyDescent="0.25">
      <c r="A24" s="1" t="s">
        <v>46</v>
      </c>
      <c r="B24" s="1" t="s">
        <v>19</v>
      </c>
    </row>
    <row r="25" spans="1:20" ht="15.75" customHeight="1" x14ac:dyDescent="0.25">
      <c r="A25" s="1" t="s">
        <v>103</v>
      </c>
      <c r="B25" s="1" t="s">
        <v>29</v>
      </c>
      <c r="T25" s="7"/>
    </row>
    <row r="26" spans="1:20" ht="15.75" customHeight="1" x14ac:dyDescent="0.25">
      <c r="A26" s="1" t="s">
        <v>104</v>
      </c>
      <c r="B26" s="1" t="s">
        <v>30</v>
      </c>
    </row>
    <row r="27" spans="1:20" ht="15.75" customHeight="1" x14ac:dyDescent="0.25">
      <c r="A27" s="1" t="s">
        <v>105</v>
      </c>
      <c r="B27" s="1" t="s">
        <v>31</v>
      </c>
    </row>
    <row r="28" spans="1:20" ht="15.75" customHeight="1" x14ac:dyDescent="0.25">
      <c r="A28" s="1" t="s">
        <v>106</v>
      </c>
      <c r="B28" s="1" t="s">
        <v>32</v>
      </c>
    </row>
    <row r="29" spans="1:20" ht="15.75" customHeight="1" x14ac:dyDescent="0.25">
      <c r="A29" s="1" t="s">
        <v>107</v>
      </c>
      <c r="B29" s="1" t="s">
        <v>33</v>
      </c>
      <c r="S29" s="7"/>
    </row>
    <row r="30" spans="1:20" ht="15.75" customHeight="1" x14ac:dyDescent="0.25">
      <c r="A30" s="1" t="s">
        <v>108</v>
      </c>
      <c r="B30" s="1" t="s">
        <v>34</v>
      </c>
    </row>
    <row r="31" spans="1:20" ht="15.75" customHeight="1" x14ac:dyDescent="0.25">
      <c r="A31" s="1" t="s">
        <v>109</v>
      </c>
      <c r="B31" s="1" t="s">
        <v>20</v>
      </c>
    </row>
    <row r="32" spans="1:20" ht="15.75" customHeight="1" x14ac:dyDescent="0.25">
      <c r="A32" s="1" t="s">
        <v>76</v>
      </c>
      <c r="B32" s="1" t="s">
        <v>20</v>
      </c>
    </row>
    <row r="33" spans="1:2" ht="15.75" customHeight="1" x14ac:dyDescent="0.25">
      <c r="A33" s="1" t="s">
        <v>55</v>
      </c>
      <c r="B33" s="1" t="s">
        <v>20</v>
      </c>
    </row>
    <row r="34" spans="1:2" ht="15.75" customHeight="1" x14ac:dyDescent="0.25">
      <c r="A34" s="1" t="s">
        <v>56</v>
      </c>
      <c r="B34" s="1" t="s">
        <v>20</v>
      </c>
    </row>
    <row r="35" spans="1:2" ht="15.75" customHeight="1" x14ac:dyDescent="0.25">
      <c r="A35" s="1" t="s">
        <v>57</v>
      </c>
      <c r="B35" s="1" t="s">
        <v>20</v>
      </c>
    </row>
    <row r="36" spans="1:2" ht="15.75" customHeight="1" x14ac:dyDescent="0.25">
      <c r="A36" s="1" t="s">
        <v>58</v>
      </c>
      <c r="B36" s="1" t="s">
        <v>20</v>
      </c>
    </row>
    <row r="37" spans="1:2" ht="15.75" customHeight="1" x14ac:dyDescent="0.25">
      <c r="A37" s="1" t="s">
        <v>59</v>
      </c>
      <c r="B37" s="1" t="s">
        <v>20</v>
      </c>
    </row>
    <row r="38" spans="1:2" ht="15.75" customHeight="1" x14ac:dyDescent="0.25">
      <c r="A38" s="1" t="s">
        <v>91</v>
      </c>
      <c r="B38" s="1" t="s">
        <v>20</v>
      </c>
    </row>
    <row r="39" spans="1:2" ht="15.75" customHeight="1" x14ac:dyDescent="0.25">
      <c r="A39" s="1" t="s">
        <v>92</v>
      </c>
      <c r="B39" s="1" t="s">
        <v>20</v>
      </c>
    </row>
    <row r="40" spans="1:2" ht="15.75" customHeight="1" x14ac:dyDescent="0.25">
      <c r="A40" s="1" t="s">
        <v>88</v>
      </c>
      <c r="B40" s="1" t="s">
        <v>21</v>
      </c>
    </row>
    <row r="41" spans="1:2" ht="15.75" customHeight="1" x14ac:dyDescent="0.25">
      <c r="A41" s="1" t="s">
        <v>90</v>
      </c>
      <c r="B41" s="1" t="s">
        <v>21</v>
      </c>
    </row>
    <row r="42" spans="1:2" ht="15.75" customHeight="1" x14ac:dyDescent="0.25">
      <c r="A42" s="1" t="s">
        <v>84</v>
      </c>
      <c r="B42" s="1" t="s">
        <v>21</v>
      </c>
    </row>
    <row r="43" spans="1:2" ht="15.75" customHeight="1" x14ac:dyDescent="0.25">
      <c r="A43" s="1" t="s">
        <v>85</v>
      </c>
      <c r="B43" s="1" t="s">
        <v>21</v>
      </c>
    </row>
    <row r="44" spans="1:2" ht="15.75" customHeight="1" x14ac:dyDescent="0.25">
      <c r="A44" s="1" t="s">
        <v>80</v>
      </c>
      <c r="B44" s="1" t="s">
        <v>21</v>
      </c>
    </row>
    <row r="45" spans="1:2" ht="15.75" customHeight="1" x14ac:dyDescent="0.25">
      <c r="A45" s="1" t="s">
        <v>110</v>
      </c>
      <c r="B45" s="1" t="s">
        <v>21</v>
      </c>
    </row>
    <row r="46" spans="1:2" ht="15.75" customHeight="1" x14ac:dyDescent="0.25">
      <c r="A46" s="1" t="s">
        <v>111</v>
      </c>
      <c r="B46" s="1" t="s">
        <v>22</v>
      </c>
    </row>
    <row r="47" spans="1:2" ht="15.75" customHeight="1" x14ac:dyDescent="0.25">
      <c r="A47" s="1" t="s">
        <v>112</v>
      </c>
      <c r="B47" s="1" t="s">
        <v>22</v>
      </c>
    </row>
    <row r="48" spans="1:2" ht="15.75" customHeight="1" x14ac:dyDescent="0.25">
      <c r="A48" s="1" t="s">
        <v>113</v>
      </c>
      <c r="B48" s="1" t="s">
        <v>22</v>
      </c>
    </row>
    <row r="49" spans="1:2" ht="15.75" customHeight="1" x14ac:dyDescent="0.25">
      <c r="A49" s="1" t="s">
        <v>114</v>
      </c>
      <c r="B49" s="1" t="s">
        <v>22</v>
      </c>
    </row>
    <row r="50" spans="1:2" ht="15.75" customHeight="1" x14ac:dyDescent="0.25">
      <c r="A50" s="1" t="s">
        <v>115</v>
      </c>
      <c r="B50" s="1" t="s">
        <v>22</v>
      </c>
    </row>
    <row r="51" spans="1:2" ht="15.75" customHeight="1" x14ac:dyDescent="0.25">
      <c r="A51" s="1" t="s">
        <v>116</v>
      </c>
      <c r="B51" s="1" t="s">
        <v>22</v>
      </c>
    </row>
    <row r="52" spans="1:2" ht="15.75" customHeight="1" x14ac:dyDescent="0.25">
      <c r="A52" s="1" t="s">
        <v>117</v>
      </c>
      <c r="B52" s="1" t="s">
        <v>22</v>
      </c>
    </row>
    <row r="53" spans="1:2" ht="15.75" customHeight="1" x14ac:dyDescent="0.25">
      <c r="A53" s="1" t="s">
        <v>118</v>
      </c>
      <c r="B53" s="1" t="s">
        <v>22</v>
      </c>
    </row>
    <row r="54" spans="1:2" ht="15.75" customHeight="1" x14ac:dyDescent="0.25">
      <c r="A54" s="1" t="s">
        <v>119</v>
      </c>
      <c r="B54" s="1" t="s">
        <v>22</v>
      </c>
    </row>
    <row r="55" spans="1:2" ht="15.75" customHeight="1" x14ac:dyDescent="0.25">
      <c r="A55" s="1" t="s">
        <v>78</v>
      </c>
      <c r="B55" s="1" t="s">
        <v>23</v>
      </c>
    </row>
    <row r="56" spans="1:2" ht="15.75" customHeight="1" x14ac:dyDescent="0.25">
      <c r="A56" s="1" t="s">
        <v>120</v>
      </c>
      <c r="B56" s="1" t="s">
        <v>23</v>
      </c>
    </row>
    <row r="57" spans="1:2" ht="15.75" customHeight="1" x14ac:dyDescent="0.25">
      <c r="A57" s="1" t="s">
        <v>121</v>
      </c>
      <c r="B57" s="1" t="s">
        <v>23</v>
      </c>
    </row>
    <row r="58" spans="1:2" ht="15.75" customHeight="1" x14ac:dyDescent="0.25">
      <c r="A58" s="1" t="s">
        <v>89</v>
      </c>
      <c r="B58" s="1" t="s">
        <v>23</v>
      </c>
    </row>
    <row r="59" spans="1:2" ht="15.75" customHeight="1" x14ac:dyDescent="0.25">
      <c r="A59" s="1" t="s">
        <v>83</v>
      </c>
      <c r="B59" s="1" t="s">
        <v>23</v>
      </c>
    </row>
    <row r="60" spans="1:2" ht="15.75" customHeight="1" x14ac:dyDescent="0.25">
      <c r="A60" s="1" t="s">
        <v>122</v>
      </c>
      <c r="B60" s="1" t="s">
        <v>23</v>
      </c>
    </row>
    <row r="61" spans="1:2" ht="15.75" customHeight="1" x14ac:dyDescent="0.25">
      <c r="A61" s="1" t="s">
        <v>123</v>
      </c>
      <c r="B61" s="1" t="s">
        <v>124</v>
      </c>
    </row>
    <row r="62" spans="1:2" ht="15.75" customHeight="1" x14ac:dyDescent="0.25">
      <c r="A62" s="1" t="s">
        <v>125</v>
      </c>
      <c r="B62" s="1" t="s">
        <v>124</v>
      </c>
    </row>
    <row r="63" spans="1:2" ht="15.75" customHeight="1" x14ac:dyDescent="0.25">
      <c r="A63" s="1" t="s">
        <v>126</v>
      </c>
      <c r="B63" s="1" t="s">
        <v>124</v>
      </c>
    </row>
    <row r="64" spans="1:2" ht="15.75" customHeight="1" x14ac:dyDescent="0.25">
      <c r="A64" s="1" t="s">
        <v>127</v>
      </c>
      <c r="B64" s="1" t="s">
        <v>124</v>
      </c>
    </row>
    <row r="65" spans="1:2" ht="15.75" customHeight="1" x14ac:dyDescent="0.25">
      <c r="A65" s="1" t="s">
        <v>87</v>
      </c>
      <c r="B65" s="1" t="s">
        <v>124</v>
      </c>
    </row>
    <row r="66" spans="1:2" ht="15.75" customHeight="1" x14ac:dyDescent="0.25">
      <c r="A66" s="1" t="s">
        <v>43</v>
      </c>
      <c r="B66" s="1" t="s">
        <v>124</v>
      </c>
    </row>
    <row r="67" spans="1:2" ht="15.75" customHeight="1" x14ac:dyDescent="0.25">
      <c r="A67" s="1" t="s">
        <v>47</v>
      </c>
      <c r="B67" s="1" t="s">
        <v>124</v>
      </c>
    </row>
    <row r="68" spans="1:2" ht="15.75" customHeight="1" x14ac:dyDescent="0.25">
      <c r="A68" s="1" t="s">
        <v>86</v>
      </c>
      <c r="B68" s="1" t="s">
        <v>124</v>
      </c>
    </row>
    <row r="69" spans="1:2" ht="15.75" customHeight="1" x14ac:dyDescent="0.25">
      <c r="A69" s="1" t="s">
        <v>82</v>
      </c>
      <c r="B69" s="1" t="s">
        <v>36</v>
      </c>
    </row>
    <row r="70" spans="1:2" ht="15.75" customHeight="1" x14ac:dyDescent="0.25">
      <c r="A70" s="1" t="s">
        <v>67</v>
      </c>
      <c r="B70" s="1" t="s">
        <v>35</v>
      </c>
    </row>
    <row r="71" spans="1:2" ht="15.75" customHeight="1" x14ac:dyDescent="0.25">
      <c r="A71" s="1" t="s">
        <v>128</v>
      </c>
      <c r="B71" s="1" t="s">
        <v>36</v>
      </c>
    </row>
    <row r="72" spans="1:2" ht="15.75" customHeight="1" x14ac:dyDescent="0.25">
      <c r="A72" s="1" t="s">
        <v>129</v>
      </c>
      <c r="B72" s="1" t="s">
        <v>36</v>
      </c>
    </row>
    <row r="73" spans="1:2" ht="15.75" customHeight="1" x14ac:dyDescent="0.25">
      <c r="A73" s="1" t="s">
        <v>130</v>
      </c>
      <c r="B73" s="1" t="s">
        <v>36</v>
      </c>
    </row>
    <row r="74" spans="1:2" ht="15.75" customHeight="1" x14ac:dyDescent="0.25">
      <c r="A74" s="1" t="s">
        <v>131</v>
      </c>
      <c r="B74" s="1" t="s">
        <v>36</v>
      </c>
    </row>
    <row r="75" spans="1:2" ht="15.75" customHeight="1" x14ac:dyDescent="0.25">
      <c r="A75" s="1" t="s">
        <v>79</v>
      </c>
      <c r="B75" s="1" t="s">
        <v>36</v>
      </c>
    </row>
    <row r="76" spans="1:2" ht="15.75" customHeight="1" x14ac:dyDescent="0.25">
      <c r="A76" s="1" t="s">
        <v>74</v>
      </c>
      <c r="B76" s="1" t="s">
        <v>36</v>
      </c>
    </row>
    <row r="77" spans="1:2" ht="15.75" customHeight="1" x14ac:dyDescent="0.25">
      <c r="A77" s="1" t="s">
        <v>66</v>
      </c>
      <c r="B77" s="1" t="s">
        <v>35</v>
      </c>
    </row>
    <row r="78" spans="1:2" ht="15.75" customHeight="1" x14ac:dyDescent="0.25">
      <c r="A78" s="1" t="s">
        <v>132</v>
      </c>
      <c r="B78" s="1" t="s">
        <v>25</v>
      </c>
    </row>
    <row r="79" spans="1:2" ht="15.75" customHeight="1" x14ac:dyDescent="0.25">
      <c r="A79" s="1" t="s">
        <v>133</v>
      </c>
      <c r="B79" s="1" t="s">
        <v>25</v>
      </c>
    </row>
    <row r="80" spans="1:2" ht="15.75" customHeight="1" x14ac:dyDescent="0.25">
      <c r="A80" s="1" t="s">
        <v>134</v>
      </c>
      <c r="B80" s="1" t="s">
        <v>26</v>
      </c>
    </row>
    <row r="81" spans="1:2" ht="15.75" customHeight="1" x14ac:dyDescent="0.25">
      <c r="A81" s="1" t="s">
        <v>135</v>
      </c>
      <c r="B81" s="1" t="s">
        <v>26</v>
      </c>
    </row>
    <row r="82" spans="1:2" ht="15.75" customHeight="1" x14ac:dyDescent="0.25">
      <c r="A82" s="1" t="s">
        <v>60</v>
      </c>
      <c r="B82" s="1" t="s">
        <v>28</v>
      </c>
    </row>
    <row r="83" spans="1:2" ht="15.75" customHeight="1" x14ac:dyDescent="0.25">
      <c r="A83" s="1" t="s">
        <v>45</v>
      </c>
      <c r="B83" s="1" t="s">
        <v>28</v>
      </c>
    </row>
    <row r="84" spans="1:2" ht="15.75" customHeight="1" x14ac:dyDescent="0.25">
      <c r="A84" s="1" t="s">
        <v>136</v>
      </c>
      <c r="B84" s="1" t="s">
        <v>28</v>
      </c>
    </row>
    <row r="85" spans="1:2" ht="15.75" customHeight="1" x14ac:dyDescent="0.25">
      <c r="A85" s="1" t="s">
        <v>77</v>
      </c>
      <c r="B85" s="1" t="s">
        <v>28</v>
      </c>
    </row>
    <row r="86" spans="1:2" ht="15.75" customHeight="1" x14ac:dyDescent="0.25">
      <c r="A86" s="1" t="s">
        <v>81</v>
      </c>
      <c r="B86" s="1" t="s">
        <v>28</v>
      </c>
    </row>
    <row r="87" spans="1:2" ht="15.75" customHeight="1" x14ac:dyDescent="0.25">
      <c r="A87" s="1" t="s">
        <v>61</v>
      </c>
      <c r="B87" s="1" t="s">
        <v>28</v>
      </c>
    </row>
    <row r="88" spans="1:2" ht="15.75" customHeight="1" x14ac:dyDescent="0.25">
      <c r="A88" s="1" t="s">
        <v>73</v>
      </c>
      <c r="B88" s="1" t="s">
        <v>28</v>
      </c>
    </row>
    <row r="89" spans="1:2" ht="15.75" customHeight="1" x14ac:dyDescent="0.25">
      <c r="A89" s="1" t="s">
        <v>137</v>
      </c>
      <c r="B89" s="1" t="s">
        <v>28</v>
      </c>
    </row>
    <row r="90" spans="1:2" ht="15.75" customHeight="1" x14ac:dyDescent="0.25">
      <c r="A90" s="1" t="s">
        <v>72</v>
      </c>
      <c r="B90" s="1" t="s">
        <v>28</v>
      </c>
    </row>
    <row r="91" spans="1:2" ht="15.75" customHeight="1" x14ac:dyDescent="0.25">
      <c r="A91" s="8" t="s">
        <v>138</v>
      </c>
      <c r="B91" s="8" t="s">
        <v>36</v>
      </c>
    </row>
    <row r="92" spans="1:2" ht="15.75" customHeight="1" x14ac:dyDescent="0.25">
      <c r="A92" s="1" t="s">
        <v>139</v>
      </c>
      <c r="B92" s="1" t="s">
        <v>36</v>
      </c>
    </row>
    <row r="93" spans="1:2" ht="15.75" customHeight="1" x14ac:dyDescent="0.25">
      <c r="A93" s="1" t="s">
        <v>24</v>
      </c>
      <c r="B93" s="1" t="s">
        <v>24</v>
      </c>
    </row>
    <row r="94" spans="1:2" ht="15.75" customHeight="1" x14ac:dyDescent="0.25">
      <c r="A94" s="1" t="s">
        <v>140</v>
      </c>
      <c r="B94" s="1" t="s">
        <v>36</v>
      </c>
    </row>
    <row r="95" spans="1:2" ht="15.75" customHeight="1" x14ac:dyDescent="0.25">
      <c r="A95" s="11" t="s">
        <v>141</v>
      </c>
      <c r="B95" s="11" t="s">
        <v>36</v>
      </c>
    </row>
    <row r="96" spans="1:2" ht="15.75" customHeight="1" x14ac:dyDescent="0.25">
      <c r="A96" s="11" t="s">
        <v>142</v>
      </c>
      <c r="B96" s="11" t="s">
        <v>36</v>
      </c>
    </row>
    <row r="97" spans="1:2" ht="15.75" customHeight="1" x14ac:dyDescent="0.25">
      <c r="A97" s="11" t="s">
        <v>143</v>
      </c>
      <c r="B97" s="12" t="s">
        <v>36</v>
      </c>
    </row>
    <row r="98" spans="1:2" ht="15.75" customHeight="1" x14ac:dyDescent="0.25">
      <c r="A98" t="s">
        <v>144</v>
      </c>
      <c r="B98" s="12" t="s">
        <v>36</v>
      </c>
    </row>
    <row r="99" spans="1:2" ht="15.75" customHeight="1" x14ac:dyDescent="0.25"/>
    <row r="100" spans="1:2" ht="15.75" customHeight="1" x14ac:dyDescent="0.25"/>
    <row r="101" spans="1:2" ht="15.75" customHeight="1" x14ac:dyDescent="0.25"/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EA0C4D-3D1A-43CC-9674-45D0D79F8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Chests_Dashboard</vt:lpstr>
      <vt:lpstr>contributions_2026-05</vt:lpstr>
      <vt:lpstr>chests_counter</vt:lpstr>
      <vt:lpstr>ChestType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Jensen</cp:lastModifiedBy>
  <dcterms:created xsi:type="dcterms:W3CDTF">2025-03-21T09:29:46Z</dcterms:created>
  <dcterms:modified xsi:type="dcterms:W3CDTF">2026-05-06T17:08:45Z</dcterms:modified>
</cp:coreProperties>
</file>