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FERJEN\01_PROJECTS\HOT01_HOT_Admin\apps\hot_website\private\data\"/>
    </mc:Choice>
  </mc:AlternateContent>
  <xr:revisionPtr revIDLastSave="0" documentId="8_{8FD30615-4A16-4766-BAF8-3145960DAA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hests_Dashboard" sheetId="8" r:id="rId1"/>
    <sheet name="contributions_2026-05" sheetId="10" r:id="rId2"/>
    <sheet name="chests_counter" sheetId="7" r:id="rId3"/>
    <sheet name="LastWeek" sheetId="11" r:id="rId4"/>
    <sheet name="ChestType" sheetId="3" state="hidden" r:id="rId5"/>
  </sheets>
  <definedNames>
    <definedName name="_xlnm._FilterDatabase" localSheetId="0" hidden="1">Chests_Dashboard!$A$4:$BO$4</definedName>
    <definedName name="ExternalData_2" localSheetId="2" hidden="1">chests_counter!$A$1:$E$302</definedName>
    <definedName name="ExternalData_3" localSheetId="1" hidden="1">'contributions_2026-05'!$A$1:$G$862</definedName>
  </definedNames>
  <calcPr calcId="191029"/>
  <pivotCaches>
    <pivotCache cacheId="41" r:id="rId6"/>
    <pivotCache cacheId="5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" i="8"/>
  <c r="AM140" i="8"/>
  <c r="AL140" i="8"/>
  <c r="AK140" i="8"/>
  <c r="AJ140" i="8"/>
  <c r="AI14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C5" i="8" l="1"/>
  <c r="AB136" i="8"/>
  <c r="AA136" i="8"/>
  <c r="L136" i="8"/>
  <c r="Z136" i="8"/>
  <c r="X136" i="8"/>
  <c r="Y136" i="8"/>
  <c r="AJ136" i="8"/>
  <c r="AK136" i="8"/>
  <c r="AL136" i="8"/>
  <c r="K136" i="8"/>
  <c r="J136" i="8"/>
  <c r="I136" i="8"/>
  <c r="H136" i="8"/>
  <c r="AH136" i="8"/>
  <c r="G136" i="8"/>
  <c r="F136" i="8"/>
  <c r="E136" i="8"/>
  <c r="M136" i="8"/>
  <c r="N136" i="8"/>
  <c r="O136" i="8"/>
  <c r="AM136" i="8"/>
  <c r="P136" i="8"/>
  <c r="Q136" i="8"/>
  <c r="AD136" i="8"/>
  <c r="AE136" i="8"/>
  <c r="AF136" i="8"/>
  <c r="AG136" i="8"/>
  <c r="D136" i="8"/>
  <c r="R136" i="8"/>
  <c r="S136" i="8"/>
  <c r="T136" i="8"/>
  <c r="U136" i="8"/>
  <c r="W136" i="8"/>
  <c r="V136" i="8"/>
  <c r="AI136" i="8"/>
  <c r="C136" i="8"/>
  <c r="AC136" i="8"/>
  <c r="AG135" i="8"/>
  <c r="AH135" i="8"/>
  <c r="AI135" i="8"/>
  <c r="AJ135" i="8"/>
  <c r="AK135" i="8"/>
  <c r="AL135" i="8"/>
  <c r="AM135" i="8"/>
  <c r="J135" i="8"/>
  <c r="C135" i="8"/>
  <c r="D135" i="8"/>
  <c r="E135" i="8"/>
  <c r="F135" i="8"/>
  <c r="G135" i="8"/>
  <c r="H135" i="8"/>
  <c r="I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F134" i="8"/>
  <c r="AG134" i="8"/>
  <c r="AH134" i="8"/>
  <c r="M134" i="8"/>
  <c r="L134" i="8"/>
  <c r="K134" i="8"/>
  <c r="AK134" i="8"/>
  <c r="AM134" i="8"/>
  <c r="AJ134" i="8"/>
  <c r="AL134" i="8"/>
  <c r="AI134" i="8"/>
  <c r="F134" i="8"/>
  <c r="C134" i="8"/>
  <c r="D134" i="8"/>
  <c r="E134" i="8"/>
  <c r="G134" i="8"/>
  <c r="H134" i="8"/>
  <c r="I134" i="8"/>
  <c r="J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X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W133" i="8"/>
  <c r="V133" i="8"/>
  <c r="T132" i="8"/>
  <c r="U132" i="8"/>
  <c r="V132" i="8"/>
  <c r="W132" i="8"/>
  <c r="X132" i="8"/>
  <c r="Y132" i="8"/>
  <c r="Z132" i="8"/>
  <c r="R132" i="8"/>
  <c r="AA132" i="8"/>
  <c r="AB132" i="8"/>
  <c r="AC132" i="8"/>
  <c r="AD132" i="8"/>
  <c r="S132" i="8"/>
  <c r="AL132" i="8"/>
  <c r="D132" i="8"/>
  <c r="AM132" i="8"/>
  <c r="AH132" i="8"/>
  <c r="AK132" i="8"/>
  <c r="AJ132" i="8"/>
  <c r="L132" i="8"/>
  <c r="K132" i="8"/>
  <c r="J132" i="8"/>
  <c r="I132" i="8"/>
  <c r="H132" i="8"/>
  <c r="G132" i="8"/>
  <c r="F132" i="8"/>
  <c r="E132" i="8"/>
  <c r="AI132" i="8"/>
  <c r="C132" i="8"/>
  <c r="M132" i="8"/>
  <c r="N132" i="8"/>
  <c r="AG132" i="8"/>
  <c r="AF132" i="8"/>
  <c r="AE132" i="8"/>
  <c r="O132" i="8"/>
  <c r="P132" i="8"/>
  <c r="Q132" i="8"/>
  <c r="AM131" i="8"/>
  <c r="Q131" i="8"/>
  <c r="I131" i="8"/>
  <c r="R131" i="8"/>
  <c r="AI131" i="8"/>
  <c r="AF131" i="8"/>
  <c r="E131" i="8"/>
  <c r="H131" i="8"/>
  <c r="K131" i="8"/>
  <c r="C131" i="8"/>
  <c r="P131" i="8"/>
  <c r="G131" i="8"/>
  <c r="AL131" i="8"/>
  <c r="AK131" i="8"/>
  <c r="AJ131" i="8"/>
  <c r="O131" i="8"/>
  <c r="J131" i="8"/>
  <c r="F131" i="8"/>
  <c r="M131" i="8"/>
  <c r="AG131" i="8"/>
  <c r="D131" i="8"/>
  <c r="L131" i="8"/>
  <c r="N131" i="8"/>
  <c r="AE131" i="8"/>
  <c r="AD131" i="8"/>
  <c r="AC131" i="8"/>
  <c r="AB131" i="8"/>
  <c r="AH131" i="8"/>
  <c r="AA131" i="8"/>
  <c r="Z131" i="8"/>
  <c r="Y131" i="8"/>
  <c r="X131" i="8"/>
  <c r="W131" i="8"/>
  <c r="V131" i="8"/>
  <c r="U131" i="8"/>
  <c r="T131" i="8"/>
  <c r="S131" i="8"/>
  <c r="R130" i="8"/>
  <c r="E130" i="8"/>
  <c r="J130" i="8"/>
  <c r="F130" i="8"/>
  <c r="AH130" i="8"/>
  <c r="M130" i="8"/>
  <c r="V130" i="8"/>
  <c r="AA130" i="8"/>
  <c r="AI130" i="8"/>
  <c r="L130" i="8"/>
  <c r="AE130" i="8"/>
  <c r="N130" i="8"/>
  <c r="AC130" i="8"/>
  <c r="AG130" i="8"/>
  <c r="AK130" i="8"/>
  <c r="AF130" i="8"/>
  <c r="P130" i="8"/>
  <c r="K130" i="8"/>
  <c r="D130" i="8"/>
  <c r="H130" i="8"/>
  <c r="Y130" i="8"/>
  <c r="AD130" i="8"/>
  <c r="AJ130" i="8"/>
  <c r="AL130" i="8"/>
  <c r="AM130" i="8"/>
  <c r="S130" i="8"/>
  <c r="O130" i="8"/>
  <c r="AB130" i="8"/>
  <c r="C130" i="8"/>
  <c r="Z130" i="8"/>
  <c r="W130" i="8"/>
  <c r="T130" i="8"/>
  <c r="Q130" i="8"/>
  <c r="I130" i="8"/>
  <c r="X130" i="8"/>
  <c r="U130" i="8"/>
  <c r="G130" i="8"/>
  <c r="X129" i="8"/>
  <c r="AM129" i="8"/>
  <c r="AI129" i="8"/>
  <c r="P129" i="8"/>
  <c r="J129" i="8"/>
  <c r="H129" i="8"/>
  <c r="AA129" i="8"/>
  <c r="T129" i="8"/>
  <c r="R129" i="8"/>
  <c r="M129" i="8"/>
  <c r="AJ129" i="8"/>
  <c r="Z129" i="8"/>
  <c r="S129" i="8"/>
  <c r="Q129" i="8"/>
  <c r="N129" i="8"/>
  <c r="I129" i="8"/>
  <c r="AD129" i="8"/>
  <c r="O129" i="8"/>
  <c r="D129" i="8"/>
  <c r="V129" i="8"/>
  <c r="AL129" i="8"/>
  <c r="AF129" i="8"/>
  <c r="AC129" i="8"/>
  <c r="C129" i="8"/>
  <c r="U129" i="8"/>
  <c r="AE129" i="8"/>
  <c r="AK129" i="8"/>
  <c r="Y129" i="8"/>
  <c r="AH129" i="8"/>
  <c r="AG129" i="8"/>
  <c r="AB129" i="8"/>
  <c r="W129" i="8"/>
  <c r="K129" i="8"/>
  <c r="F129" i="8"/>
  <c r="E129" i="8"/>
  <c r="G129" i="8"/>
  <c r="L129" i="8"/>
  <c r="S128" i="8"/>
  <c r="AH128" i="8"/>
  <c r="AC128" i="8"/>
  <c r="Y128" i="8"/>
  <c r="T128" i="8"/>
  <c r="I128" i="8"/>
  <c r="M128" i="8"/>
  <c r="P128" i="8"/>
  <c r="Q128" i="8"/>
  <c r="H128" i="8"/>
  <c r="N128" i="8"/>
  <c r="W128" i="8"/>
  <c r="AF128" i="8"/>
  <c r="AK128" i="8"/>
  <c r="AM128" i="8"/>
  <c r="D128" i="8"/>
  <c r="AI128" i="8"/>
  <c r="C128" i="8"/>
  <c r="Z128" i="8"/>
  <c r="V128" i="8"/>
  <c r="O128" i="8"/>
  <c r="E128" i="8"/>
  <c r="F128" i="8"/>
  <c r="J128" i="8"/>
  <c r="L128" i="8"/>
  <c r="R128" i="8"/>
  <c r="AD128" i="8"/>
  <c r="G128" i="8"/>
  <c r="U128" i="8"/>
  <c r="X128" i="8"/>
  <c r="AE128" i="8"/>
  <c r="AG128" i="8"/>
  <c r="AJ128" i="8"/>
  <c r="AL128" i="8"/>
  <c r="AB128" i="8"/>
  <c r="AA128" i="8"/>
  <c r="K128" i="8"/>
  <c r="L127" i="8"/>
  <c r="G127" i="8"/>
  <c r="N127" i="8"/>
  <c r="T127" i="8"/>
  <c r="AI127" i="8"/>
  <c r="I127" i="8"/>
  <c r="X127" i="8"/>
  <c r="Z127" i="8"/>
  <c r="AH127" i="8"/>
  <c r="U127" i="8"/>
  <c r="Y127" i="8"/>
  <c r="AG127" i="8"/>
  <c r="M127" i="8"/>
  <c r="V127" i="8"/>
  <c r="Q127" i="8"/>
  <c r="AD127" i="8"/>
  <c r="S127" i="8"/>
  <c r="K127" i="8"/>
  <c r="F127" i="8"/>
  <c r="C127" i="8"/>
  <c r="E127" i="8"/>
  <c r="AJ127" i="8"/>
  <c r="AB127" i="8"/>
  <c r="AC127" i="8"/>
  <c r="AF127" i="8"/>
  <c r="AK127" i="8"/>
  <c r="AA127" i="8"/>
  <c r="AM127" i="8"/>
  <c r="AE127" i="8"/>
  <c r="W127" i="8"/>
  <c r="P127" i="8"/>
  <c r="H127" i="8"/>
  <c r="J127" i="8"/>
  <c r="O127" i="8"/>
  <c r="R127" i="8"/>
  <c r="AL127" i="8"/>
  <c r="D127" i="8"/>
  <c r="AI126" i="8"/>
  <c r="AD126" i="8"/>
  <c r="AH126" i="8"/>
  <c r="AJ126" i="8"/>
  <c r="AL126" i="8"/>
  <c r="W126" i="8"/>
  <c r="V126" i="8"/>
  <c r="U126" i="8"/>
  <c r="F126" i="8"/>
  <c r="N126" i="8"/>
  <c r="M126" i="8"/>
  <c r="L126" i="8"/>
  <c r="K126" i="8"/>
  <c r="J126" i="8"/>
  <c r="I126" i="8"/>
  <c r="H126" i="8"/>
  <c r="G126" i="8"/>
  <c r="X126" i="8"/>
  <c r="E126" i="8"/>
  <c r="C126" i="8"/>
  <c r="AM126" i="8"/>
  <c r="D126" i="8"/>
  <c r="T126" i="8"/>
  <c r="S126" i="8"/>
  <c r="R126" i="8"/>
  <c r="Q126" i="8"/>
  <c r="P126" i="8"/>
  <c r="AK126" i="8"/>
  <c r="AG126" i="8"/>
  <c r="AF126" i="8"/>
  <c r="AE126" i="8"/>
  <c r="AC126" i="8"/>
  <c r="AB126" i="8"/>
  <c r="AA126" i="8"/>
  <c r="Z126" i="8"/>
  <c r="O126" i="8"/>
  <c r="Y126" i="8"/>
  <c r="G125" i="8"/>
  <c r="I125" i="8"/>
  <c r="J125" i="8"/>
  <c r="K125" i="8"/>
  <c r="C125" i="8"/>
  <c r="D125" i="8"/>
  <c r="E125" i="8"/>
  <c r="F125" i="8"/>
  <c r="AM125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Z125" i="8"/>
  <c r="Y125" i="8"/>
  <c r="X125" i="8"/>
  <c r="R125" i="8"/>
  <c r="Q125" i="8"/>
  <c r="P125" i="8"/>
  <c r="V125" i="8"/>
  <c r="O125" i="8"/>
  <c r="N125" i="8"/>
  <c r="M125" i="8"/>
  <c r="H125" i="8"/>
  <c r="L125" i="8"/>
  <c r="U125" i="8"/>
  <c r="T125" i="8"/>
  <c r="S125" i="8"/>
  <c r="W125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F124" i="8"/>
  <c r="E124" i="8"/>
  <c r="D124" i="8"/>
  <c r="C124" i="8"/>
  <c r="G124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AC123" i="8"/>
  <c r="K123" i="8"/>
  <c r="J123" i="8"/>
  <c r="I123" i="8"/>
  <c r="H123" i="8"/>
  <c r="G123" i="8"/>
  <c r="F123" i="8"/>
  <c r="E123" i="8"/>
  <c r="D123" i="8"/>
  <c r="AM123" i="8"/>
  <c r="AL123" i="8"/>
  <c r="AK123" i="8"/>
  <c r="AJ123" i="8"/>
  <c r="AI123" i="8"/>
  <c r="AH123" i="8"/>
  <c r="AG123" i="8"/>
  <c r="AF123" i="8"/>
  <c r="AE123" i="8"/>
  <c r="AD123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M122" i="8"/>
  <c r="AL122" i="8"/>
  <c r="AK122" i="8"/>
  <c r="AJ122" i="8"/>
  <c r="AI122" i="8"/>
  <c r="AH122" i="8"/>
  <c r="AG122" i="8"/>
  <c r="AF122" i="8"/>
  <c r="AE122" i="8"/>
  <c r="AD122" i="8"/>
  <c r="AC122" i="8"/>
  <c r="AM121" i="8"/>
  <c r="AL121" i="8"/>
  <c r="AK121" i="8"/>
  <c r="AJ121" i="8"/>
  <c r="AI121" i="8"/>
  <c r="AH121" i="8"/>
  <c r="AG121" i="8"/>
  <c r="AF121" i="8"/>
  <c r="AA121" i="8"/>
  <c r="AE121" i="8"/>
  <c r="AD121" i="8"/>
  <c r="AC121" i="8"/>
  <c r="AB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T120" i="8"/>
  <c r="AA120" i="8"/>
  <c r="Z120" i="8"/>
  <c r="Y120" i="8"/>
  <c r="X120" i="8"/>
  <c r="W120" i="8"/>
  <c r="V120" i="8"/>
  <c r="U120" i="8"/>
  <c r="S120" i="8"/>
  <c r="R120" i="8"/>
  <c r="Q120" i="8"/>
  <c r="P120" i="8"/>
  <c r="O120" i="8"/>
  <c r="N120" i="8"/>
  <c r="G120" i="8"/>
  <c r="E120" i="8"/>
  <c r="D120" i="8"/>
  <c r="C120" i="8"/>
  <c r="M120" i="8"/>
  <c r="H120" i="8"/>
  <c r="I120" i="8"/>
  <c r="J120" i="8"/>
  <c r="K120" i="8"/>
  <c r="L120" i="8"/>
  <c r="F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Y118" i="8"/>
  <c r="X118" i="8"/>
  <c r="W118" i="8"/>
  <c r="V118" i="8"/>
  <c r="U118" i="8"/>
  <c r="T118" i="8"/>
  <c r="S118" i="8"/>
  <c r="R118" i="8"/>
  <c r="C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Q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AG116" i="8"/>
  <c r="J116" i="8"/>
  <c r="I116" i="8"/>
  <c r="H116" i="8"/>
  <c r="G116" i="8"/>
  <c r="F116" i="8"/>
  <c r="E116" i="8"/>
  <c r="D116" i="8"/>
  <c r="AM116" i="8"/>
  <c r="AL116" i="8"/>
  <c r="AK116" i="8"/>
  <c r="AJ116" i="8"/>
  <c r="AI116" i="8"/>
  <c r="AH116" i="8"/>
  <c r="C116" i="8"/>
  <c r="AF116" i="8"/>
  <c r="AE116" i="8"/>
  <c r="AD116" i="8"/>
  <c r="AC116" i="8"/>
  <c r="AB116" i="8"/>
  <c r="AA116" i="8"/>
  <c r="Z116" i="8"/>
  <c r="Y116" i="8"/>
  <c r="X116" i="8"/>
  <c r="W115" i="8"/>
  <c r="AM115" i="8"/>
  <c r="AL115" i="8"/>
  <c r="AK115" i="8"/>
  <c r="AJ115" i="8"/>
  <c r="AI115" i="8"/>
  <c r="AH115" i="8"/>
  <c r="AG115" i="8"/>
  <c r="V115" i="8"/>
  <c r="AF115" i="8"/>
  <c r="AE115" i="8"/>
  <c r="AD115" i="8"/>
  <c r="AC115" i="8"/>
  <c r="AB115" i="8"/>
  <c r="AA115" i="8"/>
  <c r="Z115" i="8"/>
  <c r="F115" i="8"/>
  <c r="Y115" i="8"/>
  <c r="X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D115" i="8"/>
  <c r="G115" i="8"/>
  <c r="E115" i="8"/>
  <c r="C115" i="8"/>
  <c r="U114" i="8"/>
  <c r="J114" i="8"/>
  <c r="L114" i="8"/>
  <c r="M114" i="8"/>
  <c r="O114" i="8"/>
  <c r="P114" i="8"/>
  <c r="R114" i="8"/>
  <c r="T114" i="8"/>
  <c r="V114" i="8"/>
  <c r="W114" i="8"/>
  <c r="Y114" i="8"/>
  <c r="AB114" i="8"/>
  <c r="AC114" i="8"/>
  <c r="AE114" i="8"/>
  <c r="G114" i="8"/>
  <c r="AG114" i="8"/>
  <c r="AM114" i="8"/>
  <c r="AL114" i="8"/>
  <c r="AJ114" i="8"/>
  <c r="AI114" i="8"/>
  <c r="D114" i="8"/>
  <c r="E114" i="8"/>
  <c r="AA114" i="8"/>
  <c r="AK114" i="8"/>
  <c r="AH114" i="8"/>
  <c r="AF114" i="8"/>
  <c r="AD114" i="8"/>
  <c r="Z114" i="8"/>
  <c r="X114" i="8"/>
  <c r="S114" i="8"/>
  <c r="Q114" i="8"/>
  <c r="N114" i="8"/>
  <c r="K114" i="8"/>
  <c r="I114" i="8"/>
  <c r="H114" i="8"/>
  <c r="F114" i="8"/>
  <c r="C114" i="8"/>
  <c r="B114" i="8" s="1" a="1"/>
  <c r="B114" i="8" s="1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L113" i="8"/>
  <c r="AH113" i="8"/>
  <c r="AD113" i="8"/>
  <c r="Z113" i="8"/>
  <c r="AB113" i="8"/>
  <c r="AM113" i="8"/>
  <c r="AK113" i="8"/>
  <c r="AJ113" i="8"/>
  <c r="AI113" i="8"/>
  <c r="AG113" i="8"/>
  <c r="AF113" i="8"/>
  <c r="AE113" i="8"/>
  <c r="AC113" i="8"/>
  <c r="AA113" i="8"/>
  <c r="Y113" i="8"/>
  <c r="X113" i="8"/>
  <c r="W113" i="8"/>
  <c r="V113" i="8"/>
  <c r="Q112" i="8"/>
  <c r="S112" i="8"/>
  <c r="V112" i="8"/>
  <c r="X112" i="8"/>
  <c r="Z112" i="8"/>
  <c r="AA112" i="8"/>
  <c r="AB112" i="8"/>
  <c r="AC112" i="8"/>
  <c r="AD112" i="8"/>
  <c r="AE112" i="8"/>
  <c r="AF112" i="8"/>
  <c r="AG112" i="8"/>
  <c r="AL112" i="8"/>
  <c r="AH112" i="8"/>
  <c r="AI112" i="8"/>
  <c r="AJ112" i="8"/>
  <c r="AK112" i="8"/>
  <c r="AM112" i="8"/>
  <c r="Y112" i="8"/>
  <c r="W112" i="8"/>
  <c r="U112" i="8"/>
  <c r="R112" i="8"/>
  <c r="P112" i="8"/>
  <c r="M112" i="8"/>
  <c r="J112" i="8"/>
  <c r="G112" i="8"/>
  <c r="C112" i="8"/>
  <c r="T112" i="8"/>
  <c r="D112" i="8"/>
  <c r="E112" i="8"/>
  <c r="F112" i="8"/>
  <c r="H112" i="8"/>
  <c r="I112" i="8"/>
  <c r="K112" i="8"/>
  <c r="L112" i="8"/>
  <c r="N112" i="8"/>
  <c r="O112" i="8"/>
  <c r="L111" i="8"/>
  <c r="J111" i="8"/>
  <c r="I111" i="8"/>
  <c r="G111" i="8"/>
  <c r="F111" i="8"/>
  <c r="D111" i="8"/>
  <c r="C111" i="8"/>
  <c r="P111" i="8"/>
  <c r="AM111" i="8"/>
  <c r="AL111" i="8"/>
  <c r="AK111" i="8"/>
  <c r="AI111" i="8"/>
  <c r="AH111" i="8"/>
  <c r="AF111" i="8"/>
  <c r="AC111" i="8"/>
  <c r="AJ111" i="8"/>
  <c r="AG111" i="8"/>
  <c r="AE111" i="8"/>
  <c r="AD111" i="8"/>
  <c r="Z111" i="8"/>
  <c r="V111" i="8"/>
  <c r="S111" i="8"/>
  <c r="O111" i="8"/>
  <c r="M111" i="8"/>
  <c r="K111" i="8"/>
  <c r="H111" i="8"/>
  <c r="E111" i="8"/>
  <c r="AB111" i="8"/>
  <c r="AA111" i="8"/>
  <c r="Y111" i="8"/>
  <c r="X111" i="8"/>
  <c r="W111" i="8"/>
  <c r="U111" i="8"/>
  <c r="T111" i="8"/>
  <c r="R111" i="8"/>
  <c r="Q111" i="8"/>
  <c r="N111" i="8"/>
  <c r="L110" i="8"/>
  <c r="AI110" i="8"/>
  <c r="N110" i="8"/>
  <c r="O110" i="8"/>
  <c r="P110" i="8"/>
  <c r="C110" i="8"/>
  <c r="G110" i="8"/>
  <c r="J110" i="8"/>
  <c r="AH110" i="8"/>
  <c r="K110" i="8"/>
  <c r="M110" i="8"/>
  <c r="R110" i="8"/>
  <c r="T110" i="8"/>
  <c r="U110" i="8"/>
  <c r="AM110" i="8"/>
  <c r="AK110" i="8"/>
  <c r="AJ110" i="8"/>
  <c r="W110" i="8"/>
  <c r="AF110" i="8"/>
  <c r="AD110" i="8"/>
  <c r="AB110" i="8"/>
  <c r="Z110" i="8"/>
  <c r="X110" i="8"/>
  <c r="V110" i="8"/>
  <c r="S110" i="8"/>
  <c r="Q110" i="8"/>
  <c r="Y110" i="8"/>
  <c r="AA110" i="8"/>
  <c r="AC110" i="8"/>
  <c r="AE110" i="8"/>
  <c r="AG110" i="8"/>
  <c r="AL110" i="8"/>
  <c r="I110" i="8"/>
  <c r="H110" i="8"/>
  <c r="F110" i="8"/>
  <c r="E110" i="8"/>
  <c r="D110" i="8"/>
  <c r="R109" i="8"/>
  <c r="T109" i="8"/>
  <c r="U109" i="8"/>
  <c r="Y109" i="8"/>
  <c r="AA109" i="8"/>
  <c r="AC109" i="8"/>
  <c r="AD109" i="8"/>
  <c r="AE109" i="8"/>
  <c r="W109" i="8"/>
  <c r="D109" i="8"/>
  <c r="C109" i="8"/>
  <c r="E109" i="8"/>
  <c r="G109" i="8"/>
  <c r="K109" i="8"/>
  <c r="N109" i="8"/>
  <c r="P109" i="8"/>
  <c r="S109" i="8"/>
  <c r="V109" i="8"/>
  <c r="X109" i="8"/>
  <c r="Z109" i="8"/>
  <c r="Q109" i="8"/>
  <c r="M109" i="8"/>
  <c r="L109" i="8"/>
  <c r="O109" i="8"/>
  <c r="J109" i="8"/>
  <c r="I109" i="8"/>
  <c r="H109" i="8"/>
  <c r="AB109" i="8"/>
  <c r="F109" i="8"/>
  <c r="AL109" i="8"/>
  <c r="AF109" i="8"/>
  <c r="AI109" i="8"/>
  <c r="AG109" i="8"/>
  <c r="AM109" i="8"/>
  <c r="AK109" i="8"/>
  <c r="AJ109" i="8"/>
  <c r="AH109" i="8"/>
  <c r="AI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H108" i="8"/>
  <c r="G108" i="8"/>
  <c r="I108" i="8"/>
  <c r="AM108" i="8"/>
  <c r="AL108" i="8"/>
  <c r="AH108" i="8"/>
  <c r="F108" i="8"/>
  <c r="E108" i="8"/>
  <c r="C108" i="8"/>
  <c r="D108" i="8"/>
  <c r="AJ108" i="8"/>
  <c r="AK108" i="8"/>
  <c r="AG108" i="8"/>
  <c r="AF108" i="8"/>
  <c r="AE108" i="8"/>
  <c r="AD108" i="8"/>
  <c r="AC108" i="8"/>
  <c r="AB108" i="8"/>
  <c r="AA108" i="8"/>
  <c r="Z108" i="8"/>
  <c r="C107" i="8"/>
  <c r="AL107" i="8"/>
  <c r="AE107" i="8"/>
  <c r="AD107" i="8"/>
  <c r="AC107" i="8"/>
  <c r="AA107" i="8"/>
  <c r="Z107" i="8"/>
  <c r="X107" i="8"/>
  <c r="V107" i="8"/>
  <c r="AG107" i="8"/>
  <c r="T107" i="8"/>
  <c r="Q107" i="8"/>
  <c r="O107" i="8"/>
  <c r="N107" i="8"/>
  <c r="H107" i="8"/>
  <c r="J107" i="8"/>
  <c r="K107" i="8"/>
  <c r="M107" i="8"/>
  <c r="W107" i="8"/>
  <c r="F107" i="8"/>
  <c r="I107" i="8"/>
  <c r="L107" i="8"/>
  <c r="P107" i="8"/>
  <c r="R107" i="8"/>
  <c r="S107" i="8"/>
  <c r="U107" i="8"/>
  <c r="D107" i="8"/>
  <c r="Y107" i="8"/>
  <c r="AB107" i="8"/>
  <c r="E107" i="8"/>
  <c r="AF107" i="8"/>
  <c r="AI107" i="8"/>
  <c r="AK107" i="8"/>
  <c r="AM107" i="8"/>
  <c r="G107" i="8"/>
  <c r="AJ107" i="8"/>
  <c r="AH107" i="8"/>
  <c r="AG106" i="8"/>
  <c r="AI106" i="8"/>
  <c r="AJ106" i="8"/>
  <c r="AD106" i="8"/>
  <c r="AL106" i="8"/>
  <c r="G106" i="8"/>
  <c r="J106" i="8"/>
  <c r="L106" i="8"/>
  <c r="S106" i="8"/>
  <c r="V106" i="8"/>
  <c r="Y106" i="8"/>
  <c r="AC106" i="8"/>
  <c r="AM106" i="8"/>
  <c r="AF106" i="8"/>
  <c r="AH106" i="8"/>
  <c r="AK106" i="8"/>
  <c r="O106" i="8"/>
  <c r="AB106" i="8"/>
  <c r="AA106" i="8"/>
  <c r="Z106" i="8"/>
  <c r="X106" i="8"/>
  <c r="W106" i="8"/>
  <c r="U106" i="8"/>
  <c r="T106" i="8"/>
  <c r="C106" i="8"/>
  <c r="R106" i="8"/>
  <c r="Q106" i="8"/>
  <c r="AE106" i="8"/>
  <c r="N106" i="8"/>
  <c r="M106" i="8"/>
  <c r="K106" i="8"/>
  <c r="I106" i="8"/>
  <c r="H106" i="8"/>
  <c r="F106" i="8"/>
  <c r="E106" i="8"/>
  <c r="D106" i="8"/>
  <c r="P106" i="8"/>
  <c r="AK105" i="8"/>
  <c r="AH105" i="8"/>
  <c r="AF105" i="8"/>
  <c r="AD105" i="8"/>
  <c r="AA105" i="8"/>
  <c r="X105" i="8"/>
  <c r="U105" i="8"/>
  <c r="S105" i="8"/>
  <c r="O105" i="8"/>
  <c r="N105" i="8"/>
  <c r="M105" i="8"/>
  <c r="I105" i="8"/>
  <c r="G105" i="8"/>
  <c r="E105" i="8"/>
  <c r="L105" i="8"/>
  <c r="AM105" i="8"/>
  <c r="AL105" i="8"/>
  <c r="AJ105" i="8"/>
  <c r="AI105" i="8"/>
  <c r="AG105" i="8"/>
  <c r="AE105" i="8"/>
  <c r="AC105" i="8"/>
  <c r="AB105" i="8"/>
  <c r="Z105" i="8"/>
  <c r="Y105" i="8"/>
  <c r="W105" i="8"/>
  <c r="V105" i="8"/>
  <c r="T105" i="8"/>
  <c r="R105" i="8"/>
  <c r="Q105" i="8"/>
  <c r="P105" i="8"/>
  <c r="K105" i="8"/>
  <c r="J105" i="8"/>
  <c r="H105" i="8"/>
  <c r="F105" i="8"/>
  <c r="D105" i="8"/>
  <c r="C105" i="8"/>
  <c r="AA104" i="8"/>
  <c r="L104" i="8"/>
  <c r="K104" i="8"/>
  <c r="J104" i="8"/>
  <c r="I104" i="8"/>
  <c r="H104" i="8"/>
  <c r="G104" i="8"/>
  <c r="F104" i="8"/>
  <c r="E104" i="8"/>
  <c r="AL104" i="8"/>
  <c r="AB104" i="8"/>
  <c r="AD104" i="8"/>
  <c r="AF104" i="8"/>
  <c r="AH104" i="8"/>
  <c r="AI104" i="8"/>
  <c r="AK104" i="8"/>
  <c r="AM104" i="8"/>
  <c r="C104" i="8"/>
  <c r="AJ104" i="8"/>
  <c r="AG104" i="8"/>
  <c r="AE104" i="8"/>
  <c r="AC104" i="8"/>
  <c r="D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K103" i="8"/>
  <c r="J103" i="8"/>
  <c r="I103" i="8"/>
  <c r="H103" i="8"/>
  <c r="G103" i="8"/>
  <c r="F103" i="8"/>
  <c r="E103" i="8"/>
  <c r="D103" i="8"/>
  <c r="C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J102" i="8"/>
  <c r="I102" i="8"/>
  <c r="H102" i="8"/>
  <c r="G102" i="8"/>
  <c r="F102" i="8"/>
  <c r="E102" i="8"/>
  <c r="D102" i="8"/>
  <c r="C102" i="8"/>
  <c r="AF102" i="8"/>
  <c r="AM102" i="8"/>
  <c r="AL102" i="8"/>
  <c r="AK102" i="8"/>
  <c r="AJ102" i="8"/>
  <c r="AI102" i="8"/>
  <c r="AH102" i="8"/>
  <c r="AG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Q101" i="8"/>
  <c r="P101" i="8"/>
  <c r="O101" i="8"/>
  <c r="N101" i="8"/>
  <c r="M101" i="8"/>
  <c r="L101" i="8"/>
  <c r="K101" i="8"/>
  <c r="J101" i="8"/>
  <c r="AK101" i="8"/>
  <c r="I101" i="8"/>
  <c r="H101" i="8"/>
  <c r="G101" i="8"/>
  <c r="F101" i="8"/>
  <c r="E101" i="8"/>
  <c r="D101" i="8"/>
  <c r="AM101" i="8"/>
  <c r="AL101" i="8"/>
  <c r="C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O100" i="8"/>
  <c r="N100" i="8"/>
  <c r="M100" i="8"/>
  <c r="L100" i="8"/>
  <c r="K100" i="8"/>
  <c r="J100" i="8"/>
  <c r="I100" i="8"/>
  <c r="Q100" i="8"/>
  <c r="D100" i="8"/>
  <c r="E100" i="8"/>
  <c r="F100" i="8"/>
  <c r="G100" i="8"/>
  <c r="C100" i="8"/>
  <c r="P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H100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AJ98" i="8"/>
  <c r="AI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L98" i="8"/>
  <c r="AK98" i="8"/>
  <c r="AH98" i="8"/>
  <c r="AG98" i="8"/>
  <c r="AF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AE98" i="8"/>
  <c r="AM98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C97" i="8"/>
  <c r="M97" i="8"/>
  <c r="L97" i="8"/>
  <c r="K97" i="8"/>
  <c r="J97" i="8"/>
  <c r="I97" i="8"/>
  <c r="H97" i="8"/>
  <c r="G97" i="8"/>
  <c r="F97" i="8"/>
  <c r="E97" i="8"/>
  <c r="D97" i="8"/>
  <c r="AM96" i="8"/>
  <c r="AL96" i="8"/>
  <c r="AK96" i="8"/>
  <c r="V96" i="8"/>
  <c r="W96" i="8"/>
  <c r="AG96" i="8"/>
  <c r="AI96" i="8"/>
  <c r="AH96" i="8"/>
  <c r="C96" i="8"/>
  <c r="D96" i="8"/>
  <c r="X96" i="8"/>
  <c r="Y96" i="8"/>
  <c r="Z96" i="8"/>
  <c r="AA96" i="8"/>
  <c r="AB96" i="8"/>
  <c r="AC96" i="8"/>
  <c r="AD96" i="8"/>
  <c r="AE96" i="8"/>
  <c r="AF96" i="8"/>
  <c r="E96" i="8"/>
  <c r="F96" i="8"/>
  <c r="G96" i="8"/>
  <c r="AJ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G95" i="8"/>
  <c r="F95" i="8"/>
  <c r="E95" i="8"/>
  <c r="D95" i="8"/>
  <c r="C95" i="8"/>
  <c r="H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4" i="8"/>
  <c r="W94" i="8"/>
  <c r="X94" i="8"/>
  <c r="Y94" i="8"/>
  <c r="AA94" i="8"/>
  <c r="AB94" i="8"/>
  <c r="AC94" i="8"/>
  <c r="AD94" i="8"/>
  <c r="AE94" i="8"/>
  <c r="AF94" i="8"/>
  <c r="AG94" i="8"/>
  <c r="AH94" i="8"/>
  <c r="AI94" i="8"/>
  <c r="AJ94" i="8"/>
  <c r="AK94" i="8"/>
  <c r="Z94" i="8"/>
  <c r="AL94" i="8"/>
  <c r="AM94" i="8"/>
  <c r="D94" i="8"/>
  <c r="E94" i="8"/>
  <c r="F94" i="8"/>
  <c r="G94" i="8"/>
  <c r="C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O93" i="8"/>
  <c r="N93" i="8"/>
  <c r="M93" i="8"/>
  <c r="L93" i="8"/>
  <c r="K93" i="8"/>
  <c r="J93" i="8"/>
  <c r="I93" i="8"/>
  <c r="H93" i="8"/>
  <c r="G93" i="8"/>
  <c r="E93" i="8"/>
  <c r="D93" i="8"/>
  <c r="C93" i="8"/>
  <c r="P93" i="8"/>
  <c r="F93" i="8"/>
  <c r="AM92" i="8"/>
  <c r="AL92" i="8"/>
  <c r="AK92" i="8"/>
  <c r="AJ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P92" i="8"/>
  <c r="Q92" i="8"/>
  <c r="AI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AJ91" i="8"/>
  <c r="AK91" i="8"/>
  <c r="AL91" i="8"/>
  <c r="AM91" i="8"/>
  <c r="T91" i="8"/>
  <c r="U91" i="8"/>
  <c r="X91" i="8"/>
  <c r="Y91" i="8"/>
  <c r="Z91" i="8"/>
  <c r="AA91" i="8"/>
  <c r="R91" i="8"/>
  <c r="AI91" i="8"/>
  <c r="Q91" i="8"/>
  <c r="P91" i="8"/>
  <c r="O91" i="8"/>
  <c r="N91" i="8"/>
  <c r="M91" i="8"/>
  <c r="L91" i="8"/>
  <c r="K91" i="8"/>
  <c r="W91" i="8"/>
  <c r="I91" i="8"/>
  <c r="H91" i="8"/>
  <c r="G91" i="8"/>
  <c r="F91" i="8"/>
  <c r="E91" i="8"/>
  <c r="D91" i="8"/>
  <c r="C91" i="8"/>
  <c r="J91" i="8"/>
  <c r="S91" i="8"/>
  <c r="AG91" i="8"/>
  <c r="AF91" i="8"/>
  <c r="AE91" i="8"/>
  <c r="AD91" i="8"/>
  <c r="AC91" i="8"/>
  <c r="AB91" i="8"/>
  <c r="V91" i="8"/>
  <c r="AH91" i="8"/>
  <c r="AC90" i="8"/>
  <c r="AL90" i="8"/>
  <c r="M90" i="8"/>
  <c r="AJ90" i="8"/>
  <c r="AI90" i="8"/>
  <c r="AH90" i="8"/>
  <c r="AM90" i="8"/>
  <c r="AG90" i="8"/>
  <c r="AF90" i="8"/>
  <c r="C90" i="8"/>
  <c r="D90" i="8"/>
  <c r="E90" i="8"/>
  <c r="F90" i="8"/>
  <c r="AE90" i="8"/>
  <c r="G90" i="8"/>
  <c r="H90" i="8"/>
  <c r="I90" i="8"/>
  <c r="J90" i="8"/>
  <c r="K90" i="8"/>
  <c r="L90" i="8"/>
  <c r="AD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K90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M89" i="8"/>
  <c r="AL89" i="8"/>
  <c r="AK89" i="8"/>
  <c r="AJ89" i="8"/>
  <c r="Z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AM88" i="8"/>
  <c r="AK88" i="8"/>
  <c r="AL88" i="8"/>
  <c r="R88" i="8"/>
  <c r="S88" i="8"/>
  <c r="T88" i="8"/>
  <c r="U88" i="8"/>
  <c r="V88" i="8"/>
  <c r="W88" i="8"/>
  <c r="X88" i="8"/>
  <c r="Y88" i="8"/>
  <c r="AA88" i="8"/>
  <c r="C88" i="8"/>
  <c r="AB88" i="8"/>
  <c r="AC88" i="8"/>
  <c r="AD88" i="8"/>
  <c r="AE88" i="8"/>
  <c r="AF88" i="8"/>
  <c r="AG88" i="8"/>
  <c r="AH88" i="8"/>
  <c r="AI88" i="8"/>
  <c r="AJ88" i="8"/>
  <c r="X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C87" i="8"/>
  <c r="V87" i="8"/>
  <c r="W87" i="8"/>
  <c r="Y87" i="8"/>
  <c r="Z87" i="8"/>
  <c r="AA87" i="8"/>
  <c r="AB87" i="8"/>
  <c r="AC87" i="8"/>
  <c r="AD87" i="8"/>
  <c r="U87" i="8"/>
  <c r="AF87" i="8"/>
  <c r="AG87" i="8"/>
  <c r="AH87" i="8"/>
  <c r="AI87" i="8"/>
  <c r="AJ87" i="8"/>
  <c r="AK87" i="8"/>
  <c r="AL87" i="8"/>
  <c r="AM87" i="8"/>
  <c r="AE87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D86" i="8"/>
  <c r="C86" i="8"/>
  <c r="E86" i="8"/>
  <c r="AM86" i="8"/>
  <c r="AL86" i="8"/>
  <c r="AK86" i="8"/>
  <c r="AJ86" i="8"/>
  <c r="AI86" i="8"/>
  <c r="AH86" i="8"/>
  <c r="AG86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N85" i="8"/>
  <c r="Y85" i="8"/>
  <c r="M85" i="8"/>
  <c r="L85" i="8"/>
  <c r="K85" i="8"/>
  <c r="X85" i="8"/>
  <c r="C85" i="8"/>
  <c r="W85" i="8"/>
  <c r="V85" i="8"/>
  <c r="J85" i="8"/>
  <c r="U85" i="8"/>
  <c r="T85" i="8"/>
  <c r="I85" i="8"/>
  <c r="S85" i="8"/>
  <c r="H85" i="8"/>
  <c r="G85" i="8"/>
  <c r="F85" i="8"/>
  <c r="E85" i="8"/>
  <c r="D85" i="8"/>
  <c r="R85" i="8"/>
  <c r="Q85" i="8"/>
  <c r="P85" i="8"/>
  <c r="O85" i="8"/>
  <c r="AH84" i="8"/>
  <c r="R84" i="8"/>
  <c r="Q84" i="8"/>
  <c r="P84" i="8"/>
  <c r="O84" i="8"/>
  <c r="N84" i="8"/>
  <c r="M84" i="8"/>
  <c r="C84" i="8"/>
  <c r="D84" i="8"/>
  <c r="F84" i="8"/>
  <c r="G84" i="8"/>
  <c r="H84" i="8"/>
  <c r="I84" i="8"/>
  <c r="L84" i="8"/>
  <c r="U84" i="8"/>
  <c r="J84" i="8"/>
  <c r="S84" i="8"/>
  <c r="T84" i="8"/>
  <c r="E84" i="8"/>
  <c r="V84" i="8"/>
  <c r="W84" i="8"/>
  <c r="X84" i="8"/>
  <c r="Y84" i="8"/>
  <c r="Z84" i="8"/>
  <c r="AA84" i="8"/>
  <c r="K84" i="8"/>
  <c r="AB84" i="8"/>
  <c r="AC84" i="8"/>
  <c r="AD84" i="8"/>
  <c r="AE84" i="8"/>
  <c r="AF84" i="8"/>
  <c r="AG84" i="8"/>
  <c r="AI84" i="8"/>
  <c r="AJ84" i="8"/>
  <c r="AK84" i="8"/>
  <c r="AL84" i="8"/>
  <c r="AM84" i="8"/>
  <c r="J83" i="8"/>
  <c r="C83" i="8"/>
  <c r="D83" i="8"/>
  <c r="E83" i="8"/>
  <c r="F83" i="8"/>
  <c r="G83" i="8"/>
  <c r="H83" i="8"/>
  <c r="I83" i="8"/>
  <c r="K83" i="8"/>
  <c r="L83" i="8"/>
  <c r="M83" i="8"/>
  <c r="N83" i="8"/>
  <c r="O83" i="8"/>
  <c r="P83" i="8"/>
  <c r="Q83" i="8"/>
  <c r="R83" i="8"/>
  <c r="S83" i="8"/>
  <c r="T83" i="8"/>
  <c r="AM83" i="8"/>
  <c r="AL83" i="8"/>
  <c r="AK83" i="8"/>
  <c r="AJ83" i="8"/>
  <c r="AH83" i="8"/>
  <c r="AI83" i="8"/>
  <c r="AG83" i="8"/>
  <c r="AF83" i="8"/>
  <c r="AE83" i="8"/>
  <c r="AD83" i="8"/>
  <c r="AC83" i="8"/>
  <c r="AB83" i="8"/>
  <c r="U83" i="8"/>
  <c r="V83" i="8"/>
  <c r="W83" i="8"/>
  <c r="X83" i="8"/>
  <c r="Y83" i="8"/>
  <c r="Z83" i="8"/>
  <c r="AA83" i="8"/>
  <c r="AB82" i="8"/>
  <c r="AA82" i="8"/>
  <c r="Z82" i="8"/>
  <c r="Y82" i="8"/>
  <c r="O82" i="8"/>
  <c r="G82" i="8"/>
  <c r="D82" i="8"/>
  <c r="C82" i="8"/>
  <c r="P82" i="8"/>
  <c r="H82" i="8"/>
  <c r="M82" i="8"/>
  <c r="R82" i="8"/>
  <c r="U82" i="8"/>
  <c r="J82" i="8"/>
  <c r="E82" i="8"/>
  <c r="K82" i="8"/>
  <c r="Q82" i="8"/>
  <c r="S82" i="8"/>
  <c r="V82" i="8"/>
  <c r="N82" i="8"/>
  <c r="L82" i="8"/>
  <c r="X82" i="8"/>
  <c r="AM82" i="8"/>
  <c r="AL82" i="8"/>
  <c r="F82" i="8"/>
  <c r="AK82" i="8"/>
  <c r="AJ82" i="8"/>
  <c r="W82" i="8"/>
  <c r="T82" i="8"/>
  <c r="I82" i="8"/>
  <c r="AI82" i="8"/>
  <c r="AH82" i="8"/>
  <c r="AG82" i="8"/>
  <c r="AF82" i="8"/>
  <c r="AE82" i="8"/>
  <c r="AD82" i="8"/>
  <c r="AC82" i="8"/>
  <c r="T81" i="8"/>
  <c r="P81" i="8"/>
  <c r="K81" i="8"/>
  <c r="C81" i="8"/>
  <c r="AM81" i="8"/>
  <c r="I81" i="8"/>
  <c r="L81" i="8"/>
  <c r="X81" i="8"/>
  <c r="Y81" i="8"/>
  <c r="AA81" i="8"/>
  <c r="AE81" i="8"/>
  <c r="G81" i="8"/>
  <c r="D81" i="8"/>
  <c r="AF81" i="8"/>
  <c r="F81" i="8"/>
  <c r="U81" i="8"/>
  <c r="V81" i="8"/>
  <c r="O81" i="8"/>
  <c r="J81" i="8"/>
  <c r="E81" i="8"/>
  <c r="W81" i="8"/>
  <c r="AL81" i="8"/>
  <c r="S81" i="8"/>
  <c r="AH81" i="8"/>
  <c r="AK81" i="8"/>
  <c r="AD81" i="8"/>
  <c r="AG81" i="8"/>
  <c r="AI81" i="8"/>
  <c r="Q81" i="8"/>
  <c r="N81" i="8"/>
  <c r="M81" i="8"/>
  <c r="H81" i="8"/>
  <c r="AJ81" i="8"/>
  <c r="AC81" i="8"/>
  <c r="R81" i="8"/>
  <c r="Z81" i="8"/>
  <c r="AB81" i="8"/>
  <c r="AB80" i="8"/>
  <c r="U80" i="8"/>
  <c r="P80" i="8"/>
  <c r="AF80" i="8"/>
  <c r="D80" i="8"/>
  <c r="L80" i="8"/>
  <c r="W80" i="8"/>
  <c r="G80" i="8"/>
  <c r="O80" i="8"/>
  <c r="AM80" i="8"/>
  <c r="I80" i="8"/>
  <c r="R80" i="8"/>
  <c r="V80" i="8"/>
  <c r="T80" i="8"/>
  <c r="M80" i="8"/>
  <c r="H80" i="8"/>
  <c r="Y80" i="8"/>
  <c r="AA80" i="8"/>
  <c r="AD80" i="8"/>
  <c r="AJ80" i="8"/>
  <c r="AK80" i="8"/>
  <c r="AI80" i="8"/>
  <c r="AG80" i="8"/>
  <c r="Q80" i="8"/>
  <c r="N80" i="8"/>
  <c r="Z80" i="8"/>
  <c r="AE80" i="8"/>
  <c r="AC80" i="8"/>
  <c r="K80" i="8"/>
  <c r="AH80" i="8"/>
  <c r="C80" i="8"/>
  <c r="E80" i="8"/>
  <c r="J80" i="8"/>
  <c r="X80" i="8"/>
  <c r="F80" i="8"/>
  <c r="S80" i="8"/>
  <c r="AL80" i="8"/>
  <c r="AJ79" i="8"/>
  <c r="AH79" i="8"/>
  <c r="X79" i="8"/>
  <c r="U79" i="8"/>
  <c r="T79" i="8"/>
  <c r="I79" i="8"/>
  <c r="V79" i="8"/>
  <c r="Q79" i="8"/>
  <c r="K79" i="8"/>
  <c r="E79" i="8"/>
  <c r="Y79" i="8"/>
  <c r="AI79" i="8"/>
  <c r="AD79" i="8"/>
  <c r="AB79" i="8"/>
  <c r="S79" i="8"/>
  <c r="R79" i="8"/>
  <c r="M79" i="8"/>
  <c r="G79" i="8"/>
  <c r="O79" i="8"/>
  <c r="AE79" i="8"/>
  <c r="J79" i="8"/>
  <c r="H79" i="8"/>
  <c r="AL79" i="8"/>
  <c r="W79" i="8"/>
  <c r="AA79" i="8"/>
  <c r="AG79" i="8"/>
  <c r="AM79" i="8"/>
  <c r="AK79" i="8"/>
  <c r="P79" i="8"/>
  <c r="Z79" i="8"/>
  <c r="L79" i="8"/>
  <c r="C79" i="8"/>
  <c r="D79" i="8"/>
  <c r="F79" i="8"/>
  <c r="N79" i="8"/>
  <c r="AC79" i="8"/>
  <c r="AF79" i="8"/>
  <c r="J78" i="8"/>
  <c r="X78" i="8"/>
  <c r="AJ78" i="8"/>
  <c r="AA78" i="8"/>
  <c r="V78" i="8"/>
  <c r="T78" i="8"/>
  <c r="P78" i="8"/>
  <c r="W78" i="8"/>
  <c r="F78" i="8"/>
  <c r="Z78" i="8"/>
  <c r="E78" i="8"/>
  <c r="R78" i="8"/>
  <c r="L78" i="8"/>
  <c r="H78" i="8"/>
  <c r="K78" i="8"/>
  <c r="S78" i="8"/>
  <c r="AB78" i="8"/>
  <c r="AC78" i="8"/>
  <c r="D78" i="8"/>
  <c r="AE78" i="8"/>
  <c r="AG78" i="8"/>
  <c r="AH78" i="8"/>
  <c r="Y78" i="8"/>
  <c r="U78" i="8"/>
  <c r="AM78" i="8"/>
  <c r="M78" i="8"/>
  <c r="O78" i="8"/>
  <c r="AF78" i="8"/>
  <c r="AI78" i="8"/>
  <c r="I78" i="8"/>
  <c r="AK78" i="8"/>
  <c r="Q78" i="8"/>
  <c r="AD78" i="8"/>
  <c r="N78" i="8"/>
  <c r="G78" i="8"/>
  <c r="C78" i="8"/>
  <c r="AL78" i="8"/>
  <c r="AM77" i="8"/>
  <c r="AE77" i="8"/>
  <c r="Q77" i="8"/>
  <c r="K77" i="8"/>
  <c r="W77" i="8"/>
  <c r="D77" i="8"/>
  <c r="AC77" i="8"/>
  <c r="X77" i="8"/>
  <c r="T77" i="8"/>
  <c r="AL77" i="8"/>
  <c r="AG77" i="8"/>
  <c r="AA77" i="8"/>
  <c r="P77" i="8"/>
  <c r="L77" i="8"/>
  <c r="H77" i="8"/>
  <c r="F77" i="8"/>
  <c r="AK77" i="8"/>
  <c r="R77" i="8"/>
  <c r="C77" i="8"/>
  <c r="G77" i="8"/>
  <c r="Z77" i="8"/>
  <c r="AF77" i="8"/>
  <c r="Y77" i="8"/>
  <c r="V77" i="8"/>
  <c r="M77" i="8"/>
  <c r="J77" i="8"/>
  <c r="I77" i="8"/>
  <c r="E77" i="8"/>
  <c r="AI77" i="8"/>
  <c r="N77" i="8"/>
  <c r="O77" i="8"/>
  <c r="S77" i="8"/>
  <c r="U77" i="8"/>
  <c r="AB77" i="8"/>
  <c r="AD77" i="8"/>
  <c r="AH77" i="8"/>
  <c r="AJ77" i="8"/>
  <c r="AG76" i="8"/>
  <c r="AC76" i="8"/>
  <c r="U76" i="8"/>
  <c r="Q76" i="8"/>
  <c r="N76" i="8"/>
  <c r="J76" i="8"/>
  <c r="AI76" i="8"/>
  <c r="AB76" i="8"/>
  <c r="Y76" i="8"/>
  <c r="AD76" i="8"/>
  <c r="AL76" i="8"/>
  <c r="AH76" i="8"/>
  <c r="AF76" i="8"/>
  <c r="AK76" i="8"/>
  <c r="AJ76" i="8"/>
  <c r="AM76" i="8"/>
  <c r="W76" i="8"/>
  <c r="O76" i="8"/>
  <c r="L76" i="8"/>
  <c r="P76" i="8"/>
  <c r="T76" i="8"/>
  <c r="V76" i="8"/>
  <c r="M76" i="8"/>
  <c r="I76" i="8"/>
  <c r="AE76" i="8"/>
  <c r="H76" i="8"/>
  <c r="G76" i="8"/>
  <c r="C76" i="8"/>
  <c r="E76" i="8"/>
  <c r="D76" i="8"/>
  <c r="F76" i="8"/>
  <c r="AA76" i="8"/>
  <c r="Z76" i="8"/>
  <c r="X76" i="8"/>
  <c r="S76" i="8"/>
  <c r="R76" i="8"/>
  <c r="K76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M75" i="8"/>
  <c r="AL75" i="8"/>
  <c r="AK75" i="8"/>
  <c r="AJ75" i="8"/>
  <c r="AI75" i="8"/>
  <c r="AH75" i="8"/>
  <c r="AG75" i="8"/>
  <c r="AF75" i="8"/>
  <c r="AE75" i="8"/>
  <c r="AD75" i="8"/>
  <c r="AC75" i="8"/>
  <c r="AF74" i="8"/>
  <c r="AA74" i="8"/>
  <c r="Z74" i="8"/>
  <c r="Y74" i="8"/>
  <c r="X74" i="8"/>
  <c r="W74" i="8"/>
  <c r="V74" i="8"/>
  <c r="U74" i="8"/>
  <c r="T74" i="8"/>
  <c r="S74" i="8"/>
  <c r="R74" i="8"/>
  <c r="Q74" i="8"/>
  <c r="P74" i="8"/>
  <c r="AK74" i="8"/>
  <c r="O74" i="8"/>
  <c r="N74" i="8"/>
  <c r="M74" i="8"/>
  <c r="L74" i="8"/>
  <c r="K74" i="8"/>
  <c r="J74" i="8"/>
  <c r="I74" i="8"/>
  <c r="H74" i="8"/>
  <c r="G74" i="8"/>
  <c r="F74" i="8"/>
  <c r="E74" i="8"/>
  <c r="AM74" i="8"/>
  <c r="AL74" i="8"/>
  <c r="D74" i="8"/>
  <c r="AJ74" i="8"/>
  <c r="AI74" i="8"/>
  <c r="AH74" i="8"/>
  <c r="AG74" i="8"/>
  <c r="C74" i="8"/>
  <c r="AE74" i="8"/>
  <c r="AD74" i="8"/>
  <c r="AC74" i="8"/>
  <c r="AB74" i="8"/>
  <c r="AJ73" i="8"/>
  <c r="AI73" i="8"/>
  <c r="AH73" i="8"/>
  <c r="AG73" i="8"/>
  <c r="AF73" i="8"/>
  <c r="AE73" i="8"/>
  <c r="AD73" i="8"/>
  <c r="AC73" i="8"/>
  <c r="Z73" i="8"/>
  <c r="AB73" i="8"/>
  <c r="AA73" i="8"/>
  <c r="AM73" i="8"/>
  <c r="AL73" i="8"/>
  <c r="AK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V72" i="8"/>
  <c r="U72" i="8"/>
  <c r="T72" i="8"/>
  <c r="S72" i="8"/>
  <c r="R72" i="8"/>
  <c r="Q72" i="8"/>
  <c r="P72" i="8"/>
  <c r="O72" i="8"/>
  <c r="N72" i="8"/>
  <c r="L72" i="8"/>
  <c r="K72" i="8"/>
  <c r="J72" i="8"/>
  <c r="H72" i="8"/>
  <c r="G72" i="8"/>
  <c r="F72" i="8"/>
  <c r="E72" i="8"/>
  <c r="D72" i="8"/>
  <c r="M72" i="8"/>
  <c r="Y72" i="8"/>
  <c r="X72" i="8"/>
  <c r="I72" i="8"/>
  <c r="W72" i="8"/>
  <c r="C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C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W70" i="8"/>
  <c r="E70" i="8"/>
  <c r="D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AM68" i="8"/>
  <c r="AL68" i="8"/>
  <c r="AK68" i="8"/>
  <c r="AJ68" i="8"/>
  <c r="AI68" i="8"/>
  <c r="AH68" i="8"/>
  <c r="AG68" i="8"/>
  <c r="AF68" i="8"/>
  <c r="U68" i="8"/>
  <c r="AE68" i="8"/>
  <c r="AD68" i="8"/>
  <c r="AC68" i="8"/>
  <c r="AB68" i="8"/>
  <c r="AA68" i="8"/>
  <c r="Z68" i="8"/>
  <c r="Y68" i="8"/>
  <c r="X68" i="8"/>
  <c r="W68" i="8"/>
  <c r="V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 s="1" a="1"/>
  <c r="B68" i="8" s="1"/>
  <c r="M67" i="8"/>
  <c r="T67" i="8"/>
  <c r="S67" i="8"/>
  <c r="R67" i="8"/>
  <c r="Q67" i="8"/>
  <c r="P67" i="8"/>
  <c r="O67" i="8"/>
  <c r="N67" i="8"/>
  <c r="L67" i="8"/>
  <c r="K67" i="8"/>
  <c r="J67" i="8"/>
  <c r="I67" i="8"/>
  <c r="H67" i="8"/>
  <c r="G67" i="8"/>
  <c r="F67" i="8"/>
  <c r="D67" i="8"/>
  <c r="C67" i="8"/>
  <c r="E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S66" i="8"/>
  <c r="R66" i="8"/>
  <c r="Q66" i="8"/>
  <c r="P66" i="8"/>
  <c r="G66" i="8"/>
  <c r="M66" i="8"/>
  <c r="L66" i="8"/>
  <c r="C66" i="8"/>
  <c r="H66" i="8"/>
  <c r="J66" i="8"/>
  <c r="D66" i="8"/>
  <c r="F66" i="8"/>
  <c r="K66" i="8"/>
  <c r="I66" i="8"/>
  <c r="O66" i="8"/>
  <c r="E66" i="8"/>
  <c r="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J65" i="8"/>
  <c r="AF65" i="8"/>
  <c r="H65" i="8"/>
  <c r="U65" i="8"/>
  <c r="K65" i="8"/>
  <c r="N65" i="8"/>
  <c r="X65" i="8"/>
  <c r="Z65" i="8"/>
  <c r="AC65" i="8"/>
  <c r="AG65" i="8"/>
  <c r="AH65" i="8"/>
  <c r="AD65" i="8"/>
  <c r="AJ65" i="8"/>
  <c r="AL65" i="8"/>
  <c r="AK65" i="8"/>
  <c r="AA65" i="8"/>
  <c r="V65" i="8"/>
  <c r="AM65" i="8"/>
  <c r="AB65" i="8"/>
  <c r="S65" i="8"/>
  <c r="G65" i="8"/>
  <c r="AI65" i="8"/>
  <c r="AE65" i="8"/>
  <c r="O65" i="8"/>
  <c r="I65" i="8"/>
  <c r="F65" i="8"/>
  <c r="Q65" i="8"/>
  <c r="M65" i="8"/>
  <c r="Y65" i="8"/>
  <c r="P65" i="8"/>
  <c r="T65" i="8"/>
  <c r="E65" i="8"/>
  <c r="D65" i="8"/>
  <c r="L65" i="8"/>
  <c r="C65" i="8"/>
  <c r="R65" i="8"/>
  <c r="W65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C64" i="8"/>
  <c r="N64" i="8"/>
  <c r="M64" i="8"/>
  <c r="L64" i="8"/>
  <c r="O64" i="8"/>
  <c r="K64" i="8"/>
  <c r="J64" i="8"/>
  <c r="I64" i="8"/>
  <c r="H64" i="8"/>
  <c r="G64" i="8"/>
  <c r="F64" i="8"/>
  <c r="E64" i="8"/>
  <c r="D64" i="8"/>
  <c r="AM64" i="8"/>
  <c r="N63" i="8"/>
  <c r="M63" i="8"/>
  <c r="L63" i="8"/>
  <c r="K63" i="8"/>
  <c r="J63" i="8"/>
  <c r="I63" i="8"/>
  <c r="H63" i="8"/>
  <c r="G63" i="8"/>
  <c r="F63" i="8"/>
  <c r="E63" i="8"/>
  <c r="D63" i="8"/>
  <c r="C63" i="8"/>
  <c r="W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V63" i="8"/>
  <c r="U63" i="8"/>
  <c r="T63" i="8"/>
  <c r="S63" i="8"/>
  <c r="R63" i="8"/>
  <c r="Q63" i="8"/>
  <c r="P63" i="8"/>
  <c r="O63" i="8"/>
  <c r="M62" i="8"/>
  <c r="L62" i="8"/>
  <c r="K62" i="8"/>
  <c r="J62" i="8"/>
  <c r="I62" i="8"/>
  <c r="H62" i="8"/>
  <c r="G62" i="8"/>
  <c r="F62" i="8"/>
  <c r="E62" i="8"/>
  <c r="D62" i="8"/>
  <c r="AL62" i="8"/>
  <c r="AK62" i="8"/>
  <c r="AJ62" i="8"/>
  <c r="AI62" i="8"/>
  <c r="AH62" i="8"/>
  <c r="AG62" i="8"/>
  <c r="AF62" i="8"/>
  <c r="N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AM62" i="8"/>
  <c r="Q62" i="8"/>
  <c r="P62" i="8"/>
  <c r="O62" i="8"/>
  <c r="C62" i="8"/>
  <c r="R62" i="8"/>
  <c r="L61" i="8"/>
  <c r="K61" i="8"/>
  <c r="J61" i="8"/>
  <c r="I61" i="8"/>
  <c r="H61" i="8"/>
  <c r="G61" i="8"/>
  <c r="F61" i="8"/>
  <c r="E61" i="8"/>
  <c r="D61" i="8"/>
  <c r="C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K60" i="8"/>
  <c r="J60" i="8"/>
  <c r="I60" i="8"/>
  <c r="H60" i="8"/>
  <c r="G60" i="8"/>
  <c r="F60" i="8"/>
  <c r="E60" i="8"/>
  <c r="D60" i="8"/>
  <c r="C60" i="8"/>
  <c r="AF60" i="8"/>
  <c r="AG60" i="8"/>
  <c r="AH60" i="8"/>
  <c r="AI60" i="8"/>
  <c r="AJ60" i="8"/>
  <c r="AK60" i="8"/>
  <c r="AL60" i="8"/>
  <c r="AM60" i="8"/>
  <c r="AE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M59" i="8"/>
  <c r="AL59" i="8"/>
  <c r="AK59" i="8"/>
  <c r="AJ59" i="8"/>
  <c r="AI59" i="8"/>
  <c r="AH59" i="8"/>
  <c r="AG59" i="8"/>
  <c r="AF59" i="8"/>
  <c r="AE59" i="8"/>
  <c r="AD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C59" i="8"/>
  <c r="AM58" i="8"/>
  <c r="AL58" i="8"/>
  <c r="G58" i="8"/>
  <c r="F58" i="8"/>
  <c r="E58" i="8"/>
  <c r="D58" i="8"/>
  <c r="C58" i="8"/>
  <c r="J58" i="8"/>
  <c r="K58" i="8"/>
  <c r="AC58" i="8"/>
  <c r="H58" i="8"/>
  <c r="L58" i="8"/>
  <c r="M58" i="8"/>
  <c r="N58" i="8"/>
  <c r="O58" i="8"/>
  <c r="P58" i="8"/>
  <c r="Q58" i="8"/>
  <c r="R58" i="8"/>
  <c r="S58" i="8"/>
  <c r="I58" i="8"/>
  <c r="T58" i="8"/>
  <c r="U58" i="8"/>
  <c r="V58" i="8"/>
  <c r="W58" i="8"/>
  <c r="X58" i="8"/>
  <c r="Y58" i="8"/>
  <c r="Z58" i="8"/>
  <c r="AA58" i="8"/>
  <c r="AB58" i="8"/>
  <c r="AD58" i="8"/>
  <c r="AE58" i="8"/>
  <c r="AF58" i="8"/>
  <c r="AG58" i="8"/>
  <c r="AH58" i="8"/>
  <c r="AI58" i="8"/>
  <c r="AJ58" i="8"/>
  <c r="AK58" i="8"/>
  <c r="AK57" i="8"/>
  <c r="G57" i="8"/>
  <c r="F57" i="8"/>
  <c r="E57" i="8"/>
  <c r="D57" i="8"/>
  <c r="C57" i="8"/>
  <c r="AM57" i="8"/>
  <c r="AL57" i="8"/>
  <c r="H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Q57" i="8"/>
  <c r="R57" i="8"/>
  <c r="P57" i="8"/>
  <c r="O57" i="8"/>
  <c r="N57" i="8"/>
  <c r="M57" i="8"/>
  <c r="L57" i="8"/>
  <c r="K57" i="8"/>
  <c r="J57" i="8"/>
  <c r="I57" i="8"/>
  <c r="G56" i="8"/>
  <c r="F56" i="8"/>
  <c r="E56" i="8"/>
  <c r="D56" i="8"/>
  <c r="C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E55" i="8"/>
  <c r="D55" i="8"/>
  <c r="C55" i="8"/>
  <c r="O55" i="8"/>
  <c r="J55" i="8"/>
  <c r="AL55" i="8"/>
  <c r="AK55" i="8"/>
  <c r="AJ55" i="8"/>
  <c r="AM55" i="8"/>
  <c r="AI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AH55" i="8"/>
  <c r="N55" i="8"/>
  <c r="M55" i="8"/>
  <c r="L55" i="8"/>
  <c r="K55" i="8"/>
  <c r="I55" i="8"/>
  <c r="H55" i="8"/>
  <c r="G55" i="8"/>
  <c r="F55" i="8"/>
  <c r="AM54" i="8"/>
  <c r="AL54" i="8"/>
  <c r="AK54" i="8"/>
  <c r="AJ54" i="8"/>
  <c r="AI54" i="8"/>
  <c r="AH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L54" i="8"/>
  <c r="K54" i="8"/>
  <c r="J54" i="8"/>
  <c r="I54" i="8"/>
  <c r="H54" i="8"/>
  <c r="G54" i="8"/>
  <c r="F54" i="8"/>
  <c r="E54" i="8"/>
  <c r="C54" i="8"/>
  <c r="D54" i="8"/>
  <c r="M54" i="8"/>
  <c r="AG54" i="8"/>
  <c r="D53" i="8"/>
  <c r="C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C52" i="8"/>
  <c r="V52" i="8"/>
  <c r="AM52" i="8"/>
  <c r="AL52" i="8"/>
  <c r="AK52" i="8"/>
  <c r="AJ52" i="8"/>
  <c r="AI52" i="8"/>
  <c r="AH52" i="8"/>
  <c r="AG52" i="8"/>
  <c r="AF52" i="8"/>
  <c r="U52" i="8"/>
  <c r="W52" i="8"/>
  <c r="X52" i="8"/>
  <c r="Y52" i="8"/>
  <c r="Z52" i="8"/>
  <c r="AA52" i="8"/>
  <c r="AB52" i="8"/>
  <c r="AC52" i="8"/>
  <c r="AD52" i="8"/>
  <c r="AE52" i="8"/>
  <c r="E52" i="8"/>
  <c r="F52" i="8"/>
  <c r="D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Q51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I50" i="8"/>
  <c r="G50" i="8"/>
  <c r="F50" i="8"/>
  <c r="D50" i="8"/>
  <c r="E50" i="8"/>
  <c r="H50" i="8"/>
  <c r="P50" i="8"/>
  <c r="O50" i="8"/>
  <c r="N50" i="8"/>
  <c r="M50" i="8"/>
  <c r="L50" i="8"/>
  <c r="K50" i="8"/>
  <c r="C50" i="8"/>
  <c r="J50" i="8"/>
  <c r="Q50" i="8"/>
  <c r="R50" i="8"/>
  <c r="S50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G49" i="8"/>
  <c r="Z49" i="8"/>
  <c r="AA49" i="8"/>
  <c r="AB49" i="8"/>
  <c r="AC49" i="8"/>
  <c r="AD49" i="8"/>
  <c r="AE49" i="8"/>
  <c r="AF49" i="8"/>
  <c r="AJ49" i="8"/>
  <c r="AH49" i="8"/>
  <c r="AI49" i="8"/>
  <c r="Y49" i="8"/>
  <c r="AL49" i="8"/>
  <c r="AK49" i="8"/>
  <c r="AM49" i="8"/>
  <c r="X49" i="8"/>
  <c r="W49" i="8"/>
  <c r="V49" i="8"/>
  <c r="E48" i="8"/>
  <c r="D48" i="8"/>
  <c r="C48" i="8"/>
  <c r="V48" i="8"/>
  <c r="U48" i="8"/>
  <c r="T48" i="8"/>
  <c r="S48" i="8"/>
  <c r="R48" i="8"/>
  <c r="Q48" i="8"/>
  <c r="Y48" i="8"/>
  <c r="Z48" i="8"/>
  <c r="P48" i="8"/>
  <c r="O48" i="8"/>
  <c r="W48" i="8"/>
  <c r="M48" i="8"/>
  <c r="L48" i="8"/>
  <c r="AA48" i="8"/>
  <c r="K48" i="8"/>
  <c r="AB48" i="8"/>
  <c r="J48" i="8"/>
  <c r="AC48" i="8"/>
  <c r="AD48" i="8"/>
  <c r="X48" i="8"/>
  <c r="AE48" i="8"/>
  <c r="AF48" i="8"/>
  <c r="AG48" i="8"/>
  <c r="AH48" i="8"/>
  <c r="AI48" i="8"/>
  <c r="AJ48" i="8"/>
  <c r="I48" i="8"/>
  <c r="AK48" i="8"/>
  <c r="AL48" i="8"/>
  <c r="AM48" i="8"/>
  <c r="H48" i="8"/>
  <c r="G48" i="8"/>
  <c r="F48" i="8"/>
  <c r="N48" i="8"/>
  <c r="D47" i="8"/>
  <c r="C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C46" i="8"/>
  <c r="X46" i="8"/>
  <c r="AL46" i="8"/>
  <c r="Y46" i="8"/>
  <c r="Z46" i="8"/>
  <c r="AA46" i="8"/>
  <c r="AB46" i="8"/>
  <c r="AC46" i="8"/>
  <c r="AM46" i="8"/>
  <c r="AD46" i="8"/>
  <c r="AE46" i="8"/>
  <c r="AF46" i="8"/>
  <c r="AG46" i="8"/>
  <c r="AH46" i="8"/>
  <c r="N46" i="8"/>
  <c r="AI46" i="8"/>
  <c r="AJ46" i="8"/>
  <c r="AK46" i="8"/>
  <c r="T46" i="8"/>
  <c r="U46" i="8"/>
  <c r="V46" i="8"/>
  <c r="W46" i="8"/>
  <c r="S46" i="8"/>
  <c r="R46" i="8"/>
  <c r="Q46" i="8"/>
  <c r="P46" i="8"/>
  <c r="O46" i="8"/>
  <c r="M46" i="8"/>
  <c r="L46" i="8"/>
  <c r="K46" i="8"/>
  <c r="J46" i="8"/>
  <c r="I46" i="8"/>
  <c r="H46" i="8"/>
  <c r="G46" i="8"/>
  <c r="F46" i="8"/>
  <c r="E46" i="8"/>
  <c r="D46" i="8"/>
  <c r="V45" i="8"/>
  <c r="U45" i="8"/>
  <c r="T45" i="8"/>
  <c r="S45" i="8"/>
  <c r="R45" i="8"/>
  <c r="Q45" i="8"/>
  <c r="P45" i="8"/>
  <c r="O45" i="8"/>
  <c r="N45" i="8"/>
  <c r="M45" i="8"/>
  <c r="L45" i="8"/>
  <c r="J45" i="8"/>
  <c r="I45" i="8"/>
  <c r="H45" i="8"/>
  <c r="G45" i="8"/>
  <c r="F45" i="8"/>
  <c r="E45" i="8"/>
  <c r="D45" i="8"/>
  <c r="C45" i="8"/>
  <c r="Z45" i="8"/>
  <c r="AM45" i="8"/>
  <c r="AL45" i="8"/>
  <c r="AK45" i="8"/>
  <c r="AJ45" i="8"/>
  <c r="AI45" i="8"/>
  <c r="K45" i="8"/>
  <c r="AH45" i="8"/>
  <c r="AG45" i="8"/>
  <c r="AF45" i="8"/>
  <c r="AE45" i="8"/>
  <c r="AD45" i="8"/>
  <c r="AC45" i="8"/>
  <c r="AB45" i="8"/>
  <c r="AA45" i="8"/>
  <c r="Y45" i="8"/>
  <c r="X45" i="8"/>
  <c r="W45" i="8"/>
  <c r="T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I44" i="8"/>
  <c r="AJ44" i="8"/>
  <c r="AK44" i="8"/>
  <c r="AL44" i="8"/>
  <c r="AM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AH44" i="8"/>
  <c r="E44" i="8"/>
  <c r="D44" i="8"/>
  <c r="C44" i="8"/>
  <c r="U44" i="8"/>
  <c r="F44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M43" i="8"/>
  <c r="AL43" i="8"/>
  <c r="U42" i="8"/>
  <c r="C42" i="8"/>
  <c r="D42" i="8"/>
  <c r="E42" i="8"/>
  <c r="F42" i="8"/>
  <c r="G42" i="8"/>
  <c r="H42" i="8"/>
  <c r="I42" i="8"/>
  <c r="J42" i="8"/>
  <c r="K42" i="8"/>
  <c r="L42" i="8"/>
  <c r="M42" i="8"/>
  <c r="N42" i="8"/>
  <c r="P42" i="8"/>
  <c r="Q42" i="8"/>
  <c r="R42" i="8"/>
  <c r="S42" i="8"/>
  <c r="T42" i="8"/>
  <c r="O42" i="8"/>
  <c r="V42" i="8"/>
  <c r="W42" i="8"/>
  <c r="X42" i="8"/>
  <c r="Y42" i="8"/>
  <c r="Z42" i="8"/>
  <c r="AM42" i="8"/>
  <c r="AA42" i="8"/>
  <c r="AB42" i="8"/>
  <c r="AC42" i="8"/>
  <c r="AL42" i="8"/>
  <c r="AD42" i="8"/>
  <c r="AE42" i="8"/>
  <c r="AF42" i="8"/>
  <c r="AG42" i="8"/>
  <c r="AH42" i="8"/>
  <c r="AI42" i="8"/>
  <c r="AJ42" i="8"/>
  <c r="AK42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Q41" i="8"/>
  <c r="AM41" i="8"/>
  <c r="AL41" i="8"/>
  <c r="AK41" i="8"/>
  <c r="AM40" i="8"/>
  <c r="AL40" i="8"/>
  <c r="AK40" i="8"/>
  <c r="AJ40" i="8"/>
  <c r="AI40" i="8"/>
  <c r="AD40" i="8"/>
  <c r="D40" i="8"/>
  <c r="E40" i="8"/>
  <c r="F40" i="8"/>
  <c r="N40" i="8"/>
  <c r="H40" i="8"/>
  <c r="I40" i="8"/>
  <c r="J40" i="8"/>
  <c r="L40" i="8"/>
  <c r="M40" i="8"/>
  <c r="O40" i="8"/>
  <c r="K40" i="8"/>
  <c r="P40" i="8"/>
  <c r="Q40" i="8"/>
  <c r="R40" i="8"/>
  <c r="S40" i="8"/>
  <c r="T40" i="8"/>
  <c r="U40" i="8"/>
  <c r="V40" i="8"/>
  <c r="W40" i="8"/>
  <c r="X40" i="8"/>
  <c r="Y40" i="8"/>
  <c r="Z40" i="8"/>
  <c r="AA40" i="8"/>
  <c r="C40" i="8"/>
  <c r="AB40" i="8"/>
  <c r="AC40" i="8"/>
  <c r="G40" i="8"/>
  <c r="AE40" i="8"/>
  <c r="AF40" i="8"/>
  <c r="AG40" i="8"/>
  <c r="AH40" i="8"/>
  <c r="AC39" i="8"/>
  <c r="AB39" i="8"/>
  <c r="AA39" i="8"/>
  <c r="Z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D39" i="8"/>
  <c r="C39" i="8"/>
  <c r="AI39" i="8"/>
  <c r="AJ39" i="8"/>
  <c r="AK39" i="8"/>
  <c r="AL39" i="8"/>
  <c r="AM39" i="8"/>
  <c r="AH39" i="8"/>
  <c r="AG39" i="8"/>
  <c r="Y39" i="8"/>
  <c r="E39" i="8"/>
  <c r="AF39" i="8"/>
  <c r="AE39" i="8"/>
  <c r="AD39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M38" i="8"/>
  <c r="AL38" i="8"/>
  <c r="AK38" i="8"/>
  <c r="AJ38" i="8"/>
  <c r="AI38" i="8"/>
  <c r="AH38" i="8"/>
  <c r="AG38" i="8"/>
  <c r="AC37" i="8"/>
  <c r="AB37" i="8"/>
  <c r="AA37" i="8"/>
  <c r="Z37" i="8"/>
  <c r="Y37" i="8"/>
  <c r="X37" i="8"/>
  <c r="W37" i="8"/>
  <c r="V37" i="8"/>
  <c r="U37" i="8"/>
  <c r="M37" i="8"/>
  <c r="T37" i="8"/>
  <c r="S37" i="8"/>
  <c r="R37" i="8"/>
  <c r="Q37" i="8"/>
  <c r="P37" i="8"/>
  <c r="O37" i="8"/>
  <c r="N37" i="8"/>
  <c r="AL37" i="8"/>
  <c r="L37" i="8"/>
  <c r="K37" i="8"/>
  <c r="J37" i="8"/>
  <c r="I37" i="8"/>
  <c r="H37" i="8"/>
  <c r="G37" i="8"/>
  <c r="F37" i="8"/>
  <c r="E37" i="8"/>
  <c r="D37" i="8"/>
  <c r="C37" i="8"/>
  <c r="AK37" i="8"/>
  <c r="AJ37" i="8"/>
  <c r="AI37" i="8"/>
  <c r="AH37" i="8"/>
  <c r="AM37" i="8"/>
  <c r="AF37" i="8"/>
  <c r="AE37" i="8"/>
  <c r="AD37" i="8"/>
  <c r="AG37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M36" i="8"/>
  <c r="AL36" i="8"/>
  <c r="AK36" i="8"/>
  <c r="AJ36" i="8"/>
  <c r="AI36" i="8"/>
  <c r="AH36" i="8"/>
  <c r="AG36" i="8"/>
  <c r="AF36" i="8"/>
  <c r="AE36" i="8"/>
  <c r="AJ35" i="8"/>
  <c r="L35" i="8"/>
  <c r="AL35" i="8"/>
  <c r="AK35" i="8"/>
  <c r="AM35" i="8"/>
  <c r="AI35" i="8"/>
  <c r="AH35" i="8"/>
  <c r="AG35" i="8"/>
  <c r="V35" i="8"/>
  <c r="U35" i="8"/>
  <c r="T35" i="8"/>
  <c r="S35" i="8"/>
  <c r="R35" i="8"/>
  <c r="W35" i="8"/>
  <c r="X35" i="8"/>
  <c r="Z35" i="8"/>
  <c r="AA35" i="8"/>
  <c r="K35" i="8"/>
  <c r="M35" i="8"/>
  <c r="Q35" i="8"/>
  <c r="P35" i="8"/>
  <c r="O35" i="8"/>
  <c r="AB35" i="8"/>
  <c r="AC35" i="8"/>
  <c r="AD35" i="8"/>
  <c r="AE35" i="8"/>
  <c r="AF35" i="8"/>
  <c r="N35" i="8"/>
  <c r="J35" i="8"/>
  <c r="I35" i="8"/>
  <c r="H35" i="8"/>
  <c r="G35" i="8"/>
  <c r="F35" i="8"/>
  <c r="E35" i="8"/>
  <c r="Y35" i="8"/>
  <c r="D35" i="8"/>
  <c r="C35" i="8"/>
  <c r="B35" i="8" s="1" a="1"/>
  <c r="B35" i="8" s="1"/>
  <c r="AJ34" i="8"/>
  <c r="AB34" i="8"/>
  <c r="AA34" i="8"/>
  <c r="Z34" i="8"/>
  <c r="AD34" i="8"/>
  <c r="Y34" i="8"/>
  <c r="X34" i="8"/>
  <c r="W34" i="8"/>
  <c r="V34" i="8"/>
  <c r="AC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L34" i="8"/>
  <c r="AK34" i="8"/>
  <c r="AI34" i="8"/>
  <c r="AH34" i="8"/>
  <c r="AG34" i="8"/>
  <c r="AF34" i="8"/>
  <c r="AE34" i="8"/>
  <c r="AM34" i="8"/>
  <c r="AM33" i="8"/>
  <c r="AL33" i="8"/>
  <c r="AK33" i="8"/>
  <c r="AJ33" i="8"/>
  <c r="AI33" i="8"/>
  <c r="AH33" i="8"/>
  <c r="AG33" i="8"/>
  <c r="S33" i="8"/>
  <c r="AD33" i="8"/>
  <c r="Y33" i="8"/>
  <c r="T33" i="8"/>
  <c r="P33" i="8"/>
  <c r="L33" i="8"/>
  <c r="H33" i="8"/>
  <c r="Z33" i="8"/>
  <c r="AF33" i="8"/>
  <c r="M33" i="8"/>
  <c r="U33" i="8"/>
  <c r="R33" i="8"/>
  <c r="J33" i="8"/>
  <c r="C33" i="8"/>
  <c r="AC33" i="8"/>
  <c r="V33" i="8"/>
  <c r="E33" i="8"/>
  <c r="N33" i="8"/>
  <c r="K33" i="8"/>
  <c r="AE33" i="8"/>
  <c r="AB33" i="8"/>
  <c r="X33" i="8"/>
  <c r="G33" i="8"/>
  <c r="D33" i="8"/>
  <c r="AA33" i="8"/>
  <c r="W33" i="8"/>
  <c r="Q33" i="8"/>
  <c r="O33" i="8"/>
  <c r="I33" i="8"/>
  <c r="F33" i="8"/>
  <c r="E32" i="8"/>
  <c r="AM32" i="8"/>
  <c r="AJ32" i="8"/>
  <c r="AC32" i="8"/>
  <c r="Y32" i="8"/>
  <c r="W32" i="8"/>
  <c r="T32" i="8"/>
  <c r="N32" i="8"/>
  <c r="K32" i="8"/>
  <c r="AB32" i="8"/>
  <c r="C32" i="8"/>
  <c r="J32" i="8"/>
  <c r="G32" i="8"/>
  <c r="AE32" i="8"/>
  <c r="AL32" i="8"/>
  <c r="H32" i="8"/>
  <c r="O32" i="8"/>
  <c r="L32" i="8"/>
  <c r="P32" i="8"/>
  <c r="D32" i="8"/>
  <c r="S32" i="8"/>
  <c r="X32" i="8"/>
  <c r="R32" i="8"/>
  <c r="F32" i="8"/>
  <c r="M32" i="8"/>
  <c r="AK32" i="8"/>
  <c r="AG32" i="8"/>
  <c r="AA32" i="8"/>
  <c r="V32" i="8"/>
  <c r="U32" i="8"/>
  <c r="Q32" i="8"/>
  <c r="I32" i="8"/>
  <c r="AD32" i="8"/>
  <c r="AI32" i="8"/>
  <c r="AF32" i="8"/>
  <c r="AH32" i="8"/>
  <c r="Z32" i="8"/>
  <c r="AG31" i="8"/>
  <c r="AC31" i="8"/>
  <c r="V31" i="8"/>
  <c r="P31" i="8"/>
  <c r="N31" i="8"/>
  <c r="G31" i="8"/>
  <c r="D31" i="8"/>
  <c r="AL31" i="8"/>
  <c r="E31" i="8"/>
  <c r="U31" i="8"/>
  <c r="O31" i="8"/>
  <c r="AB31" i="8"/>
  <c r="AE31" i="8"/>
  <c r="AF31" i="8"/>
  <c r="J31" i="8"/>
  <c r="Z31" i="8"/>
  <c r="X31" i="8"/>
  <c r="AJ31" i="8"/>
  <c r="AK31" i="8"/>
  <c r="W31" i="8"/>
  <c r="AH31" i="8"/>
  <c r="AA31" i="8"/>
  <c r="T31" i="8"/>
  <c r="S31" i="8"/>
  <c r="I31" i="8"/>
  <c r="C31" i="8"/>
  <c r="R31" i="8"/>
  <c r="H31" i="8"/>
  <c r="AM31" i="8"/>
  <c r="Q31" i="8"/>
  <c r="F31" i="8"/>
  <c r="Y31" i="8"/>
  <c r="AD31" i="8"/>
  <c r="AI31" i="8"/>
  <c r="L31" i="8"/>
  <c r="M31" i="8"/>
  <c r="K31" i="8"/>
  <c r="AI30" i="8"/>
  <c r="AD30" i="8"/>
  <c r="X30" i="8"/>
  <c r="R30" i="8"/>
  <c r="L30" i="8"/>
  <c r="AF30" i="8"/>
  <c r="AH30" i="8"/>
  <c r="AB30" i="8"/>
  <c r="Y30" i="8"/>
  <c r="P30" i="8"/>
  <c r="S30" i="8"/>
  <c r="AJ30" i="8"/>
  <c r="AG30" i="8"/>
  <c r="AA30" i="8"/>
  <c r="W30" i="8"/>
  <c r="K30" i="8"/>
  <c r="U30" i="8"/>
  <c r="G30" i="8"/>
  <c r="E30" i="8"/>
  <c r="AE30" i="8"/>
  <c r="AC30" i="8"/>
  <c r="V30" i="8"/>
  <c r="O30" i="8"/>
  <c r="N30" i="8"/>
  <c r="J30" i="8"/>
  <c r="C30" i="8"/>
  <c r="Q30" i="8"/>
  <c r="I30" i="8"/>
  <c r="D30" i="8"/>
  <c r="AM30" i="8"/>
  <c r="T30" i="8"/>
  <c r="M30" i="8"/>
  <c r="H30" i="8"/>
  <c r="Z30" i="8"/>
  <c r="AL30" i="8"/>
  <c r="F30" i="8"/>
  <c r="AK30" i="8"/>
  <c r="AK29" i="8"/>
  <c r="AI29" i="8"/>
  <c r="AA29" i="8"/>
  <c r="Z29" i="8"/>
  <c r="Y29" i="8"/>
  <c r="X29" i="8"/>
  <c r="W29" i="8"/>
  <c r="F29" i="8"/>
  <c r="AL29" i="8"/>
  <c r="AH29" i="8"/>
  <c r="AJ29" i="8"/>
  <c r="G29" i="8"/>
  <c r="H29" i="8"/>
  <c r="I29" i="8"/>
  <c r="J29" i="8"/>
  <c r="K29" i="8"/>
  <c r="L29" i="8"/>
  <c r="M29" i="8"/>
  <c r="AC29" i="8"/>
  <c r="N29" i="8"/>
  <c r="AF29" i="8"/>
  <c r="AD29" i="8"/>
  <c r="O29" i="8"/>
  <c r="AE29" i="8"/>
  <c r="P29" i="8"/>
  <c r="Q29" i="8"/>
  <c r="R29" i="8"/>
  <c r="AG29" i="8"/>
  <c r="AB29" i="8"/>
  <c r="C29" i="8"/>
  <c r="AM29" i="8"/>
  <c r="S29" i="8"/>
  <c r="T29" i="8"/>
  <c r="D29" i="8"/>
  <c r="U29" i="8"/>
  <c r="V29" i="8"/>
  <c r="E29" i="8"/>
  <c r="C28" i="8"/>
  <c r="G28" i="8"/>
  <c r="H28" i="8"/>
  <c r="I28" i="8"/>
  <c r="AF28" i="8"/>
  <c r="AG28" i="8"/>
  <c r="AH28" i="8"/>
  <c r="AI28" i="8"/>
  <c r="AJ28" i="8"/>
  <c r="AK28" i="8"/>
  <c r="J28" i="8"/>
  <c r="K28" i="8"/>
  <c r="AL28" i="8"/>
  <c r="AM28" i="8"/>
  <c r="L28" i="8"/>
  <c r="M28" i="8"/>
  <c r="N28" i="8"/>
  <c r="P28" i="8"/>
  <c r="Q28" i="8"/>
  <c r="R28" i="8"/>
  <c r="S28" i="8"/>
  <c r="T28" i="8"/>
  <c r="U28" i="8"/>
  <c r="Y28" i="8"/>
  <c r="Z28" i="8"/>
  <c r="F28" i="8"/>
  <c r="AB28" i="8"/>
  <c r="AC28" i="8"/>
  <c r="AA28" i="8"/>
  <c r="E28" i="8"/>
  <c r="AE28" i="8"/>
  <c r="D28" i="8"/>
  <c r="V28" i="8"/>
  <c r="X28" i="8"/>
  <c r="AD28" i="8"/>
  <c r="W28" i="8"/>
  <c r="O28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A27" i="8"/>
  <c r="Q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C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C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Y25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I24" i="8"/>
  <c r="H24" i="8"/>
  <c r="G24" i="8"/>
  <c r="F24" i="8"/>
  <c r="E24" i="8"/>
  <c r="D24" i="8"/>
  <c r="C24" i="8"/>
  <c r="J24" i="8"/>
  <c r="AM24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M23" i="8"/>
  <c r="AL23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M22" i="8"/>
  <c r="AL22" i="8"/>
  <c r="AK22" i="8"/>
  <c r="AI21" i="8"/>
  <c r="AH21" i="8"/>
  <c r="AG21" i="8"/>
  <c r="AF21" i="8"/>
  <c r="AE21" i="8"/>
  <c r="AD21" i="8"/>
  <c r="AC21" i="8"/>
  <c r="AB21" i="8"/>
  <c r="AA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Z21" i="8"/>
  <c r="AM21" i="8"/>
  <c r="AL21" i="8"/>
  <c r="AK21" i="8"/>
  <c r="AJ21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J20" i="8"/>
  <c r="AI20" i="8"/>
  <c r="AH20" i="8"/>
  <c r="AL20" i="8"/>
  <c r="AK20" i="8"/>
  <c r="AM20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O18" i="8"/>
  <c r="N18" i="8"/>
  <c r="M18" i="8"/>
  <c r="L18" i="8"/>
  <c r="AM18" i="8"/>
  <c r="AL18" i="8"/>
  <c r="AK18" i="8"/>
  <c r="AJ18" i="8"/>
  <c r="AI18" i="8"/>
  <c r="AH18" i="8"/>
  <c r="AG18" i="8"/>
  <c r="AF18" i="8"/>
  <c r="AE18" i="8"/>
  <c r="K18" i="8"/>
  <c r="J18" i="8"/>
  <c r="D18" i="8"/>
  <c r="I18" i="8"/>
  <c r="H18" i="8"/>
  <c r="E18" i="8"/>
  <c r="F18" i="8"/>
  <c r="G18" i="8"/>
  <c r="AD18" i="8"/>
  <c r="AC18" i="8"/>
  <c r="AB18" i="8"/>
  <c r="AA18" i="8"/>
  <c r="Z18" i="8"/>
  <c r="C18" i="8"/>
  <c r="X18" i="8"/>
  <c r="W18" i="8"/>
  <c r="V18" i="8"/>
  <c r="U18" i="8"/>
  <c r="T18" i="8"/>
  <c r="S18" i="8"/>
  <c r="R18" i="8"/>
  <c r="Q18" i="8"/>
  <c r="P18" i="8"/>
  <c r="O17" i="8"/>
  <c r="M17" i="8"/>
  <c r="K17" i="8"/>
  <c r="U17" i="8"/>
  <c r="R17" i="8"/>
  <c r="N17" i="8"/>
  <c r="H17" i="8"/>
  <c r="I17" i="8"/>
  <c r="G17" i="8"/>
  <c r="D17" i="8"/>
  <c r="S17" i="8"/>
  <c r="T17" i="8"/>
  <c r="P17" i="8"/>
  <c r="L17" i="8"/>
  <c r="F17" i="8"/>
  <c r="J17" i="8"/>
  <c r="C17" i="8"/>
  <c r="E17" i="8"/>
  <c r="AE17" i="8"/>
  <c r="AM17" i="8"/>
  <c r="AL17" i="8"/>
  <c r="AK17" i="8"/>
  <c r="AJ17" i="8"/>
  <c r="AI17" i="8"/>
  <c r="AH17" i="8"/>
  <c r="AG17" i="8"/>
  <c r="AF17" i="8"/>
  <c r="AD17" i="8"/>
  <c r="AC17" i="8"/>
  <c r="AB17" i="8"/>
  <c r="AA17" i="8"/>
  <c r="Z17" i="8"/>
  <c r="Y17" i="8"/>
  <c r="X17" i="8"/>
  <c r="W17" i="8"/>
  <c r="V17" i="8"/>
  <c r="Q17" i="8"/>
  <c r="Y16" i="8"/>
  <c r="Q16" i="8"/>
  <c r="L16" i="8"/>
  <c r="I16" i="8"/>
  <c r="AC16" i="8"/>
  <c r="D16" i="8"/>
  <c r="O16" i="8"/>
  <c r="C16" i="8"/>
  <c r="AL16" i="8"/>
  <c r="AH16" i="8"/>
  <c r="AE16" i="8"/>
  <c r="AK16" i="8"/>
  <c r="AI16" i="8"/>
  <c r="AA16" i="8"/>
  <c r="T16" i="8"/>
  <c r="E16" i="8"/>
  <c r="U16" i="8"/>
  <c r="AM16" i="8"/>
  <c r="AF16" i="8"/>
  <c r="AB16" i="8"/>
  <c r="V16" i="8"/>
  <c r="R16" i="8"/>
  <c r="P16" i="8"/>
  <c r="K16" i="8"/>
  <c r="F16" i="8"/>
  <c r="Z16" i="8"/>
  <c r="J16" i="8"/>
  <c r="AG16" i="8"/>
  <c r="X16" i="8"/>
  <c r="N16" i="8"/>
  <c r="G16" i="8"/>
  <c r="M16" i="8"/>
  <c r="AJ16" i="8"/>
  <c r="AD16" i="8"/>
  <c r="W16" i="8"/>
  <c r="S16" i="8"/>
  <c r="H16" i="8"/>
  <c r="P15" i="8"/>
  <c r="H15" i="8"/>
  <c r="S15" i="8"/>
  <c r="AA15" i="8"/>
  <c r="AG15" i="8"/>
  <c r="C15" i="8"/>
  <c r="E15" i="8"/>
  <c r="G15" i="8"/>
  <c r="M15" i="8"/>
  <c r="Q15" i="8"/>
  <c r="V15" i="8"/>
  <c r="Y15" i="8"/>
  <c r="Z15" i="8"/>
  <c r="AE15" i="8"/>
  <c r="AJ15" i="8"/>
  <c r="AL15" i="8"/>
  <c r="D15" i="8"/>
  <c r="I15" i="8"/>
  <c r="U15" i="8"/>
  <c r="AC15" i="8"/>
  <c r="AI15" i="8"/>
  <c r="L15" i="8"/>
  <c r="F15" i="8"/>
  <c r="K15" i="8"/>
  <c r="N15" i="8"/>
  <c r="R15" i="8"/>
  <c r="X15" i="8"/>
  <c r="AD15" i="8"/>
  <c r="AK15" i="8"/>
  <c r="T15" i="8"/>
  <c r="AB15" i="8"/>
  <c r="AH15" i="8"/>
  <c r="J15" i="8"/>
  <c r="O15" i="8"/>
  <c r="W15" i="8"/>
  <c r="AF15" i="8"/>
  <c r="AM15" i="8"/>
  <c r="V14" i="8"/>
  <c r="I14" i="8"/>
  <c r="S14" i="8"/>
  <c r="P14" i="8"/>
  <c r="E14" i="8"/>
  <c r="O14" i="8"/>
  <c r="X14" i="8"/>
  <c r="K14" i="8"/>
  <c r="T14" i="8"/>
  <c r="W14" i="8"/>
  <c r="AE14" i="8"/>
  <c r="AK14" i="8"/>
  <c r="AD14" i="8"/>
  <c r="F14" i="8"/>
  <c r="H14" i="8"/>
  <c r="L14" i="8"/>
  <c r="U14" i="8"/>
  <c r="AA14" i="8"/>
  <c r="AF14" i="8"/>
  <c r="R14" i="8"/>
  <c r="AM14" i="8"/>
  <c r="AB14" i="8"/>
  <c r="C14" i="8"/>
  <c r="M14" i="8"/>
  <c r="Q14" i="8"/>
  <c r="Y14" i="8"/>
  <c r="AC14" i="8"/>
  <c r="AJ14" i="8"/>
  <c r="AH14" i="8"/>
  <c r="N14" i="8"/>
  <c r="J14" i="8"/>
  <c r="AL14" i="8"/>
  <c r="G14" i="8"/>
  <c r="D14" i="8"/>
  <c r="AG14" i="8"/>
  <c r="AI14" i="8"/>
  <c r="Z14" i="8"/>
  <c r="AI13" i="8"/>
  <c r="J13" i="8"/>
  <c r="Q13" i="8"/>
  <c r="Y13" i="8"/>
  <c r="AF13" i="8"/>
  <c r="AM13" i="8"/>
  <c r="AL13" i="8"/>
  <c r="H13" i="8"/>
  <c r="C13" i="8"/>
  <c r="AD13" i="8"/>
  <c r="T13" i="8"/>
  <c r="P13" i="8"/>
  <c r="K13" i="8"/>
  <c r="D13" i="8"/>
  <c r="AA13" i="8"/>
  <c r="AK13" i="8"/>
  <c r="V13" i="8"/>
  <c r="M13" i="8"/>
  <c r="F13" i="8"/>
  <c r="AE13" i="8"/>
  <c r="E13" i="8"/>
  <c r="L13" i="8"/>
  <c r="S13" i="8"/>
  <c r="Z13" i="8"/>
  <c r="G13" i="8"/>
  <c r="O13" i="8"/>
  <c r="W13" i="8"/>
  <c r="AB13" i="8"/>
  <c r="AH13" i="8"/>
  <c r="AJ13" i="8"/>
  <c r="AG13" i="8"/>
  <c r="AC13" i="8"/>
  <c r="X13" i="8"/>
  <c r="U13" i="8"/>
  <c r="R13" i="8"/>
  <c r="N13" i="8"/>
  <c r="I13" i="8"/>
  <c r="AK12" i="8"/>
  <c r="X12" i="8"/>
  <c r="Q12" i="8"/>
  <c r="I12" i="8"/>
  <c r="V12" i="8"/>
  <c r="AE12" i="8"/>
  <c r="AB12" i="8"/>
  <c r="AF12" i="8"/>
  <c r="D12" i="8"/>
  <c r="J12" i="8"/>
  <c r="M12" i="8"/>
  <c r="S12" i="8"/>
  <c r="Z12" i="8"/>
  <c r="AC12" i="8"/>
  <c r="Y12" i="8"/>
  <c r="N12" i="8"/>
  <c r="C12" i="8"/>
  <c r="AJ12" i="8"/>
  <c r="AH12" i="8"/>
  <c r="AA12" i="8"/>
  <c r="W12" i="8"/>
  <c r="T12" i="8"/>
  <c r="K12" i="8"/>
  <c r="E12" i="8"/>
  <c r="AM12" i="8"/>
  <c r="AI12" i="8"/>
  <c r="U12" i="8"/>
  <c r="P12" i="8"/>
  <c r="G12" i="8"/>
  <c r="AD12" i="8"/>
  <c r="AL12" i="8"/>
  <c r="R12" i="8"/>
  <c r="O12" i="8"/>
  <c r="L12" i="8"/>
  <c r="H12" i="8"/>
  <c r="AG12" i="8"/>
  <c r="F12" i="8"/>
  <c r="I11" i="8"/>
  <c r="N11" i="8"/>
  <c r="U11" i="8"/>
  <c r="V11" i="8"/>
  <c r="AC11" i="8"/>
  <c r="AG11" i="8"/>
  <c r="AJ11" i="8"/>
  <c r="R11" i="8"/>
  <c r="M11" i="8"/>
  <c r="K11" i="8"/>
  <c r="H11" i="8"/>
  <c r="G11" i="8"/>
  <c r="D11" i="8"/>
  <c r="AH11" i="8"/>
  <c r="Q11" i="8"/>
  <c r="J11" i="8"/>
  <c r="C11" i="8"/>
  <c r="AM11" i="8"/>
  <c r="AD11" i="8"/>
  <c r="S11" i="8"/>
  <c r="AE11" i="8"/>
  <c r="AA11" i="8"/>
  <c r="P11" i="8"/>
  <c r="L11" i="8"/>
  <c r="E11" i="8"/>
  <c r="Z11" i="8"/>
  <c r="AK11" i="8"/>
  <c r="AB11" i="8"/>
  <c r="AI11" i="8"/>
  <c r="AL11" i="8"/>
  <c r="F11" i="8"/>
  <c r="AF11" i="8"/>
  <c r="X11" i="8"/>
  <c r="Y11" i="8"/>
  <c r="T11" i="8"/>
  <c r="W11" i="8"/>
  <c r="O11" i="8"/>
  <c r="F10" i="8"/>
  <c r="P10" i="8"/>
  <c r="W10" i="8"/>
  <c r="AJ10" i="8"/>
  <c r="L10" i="8"/>
  <c r="R10" i="8"/>
  <c r="AB10" i="8"/>
  <c r="AK10" i="8"/>
  <c r="I10" i="8"/>
  <c r="U10" i="8"/>
  <c r="AA10" i="8"/>
  <c r="AC10" i="8"/>
  <c r="C10" i="8"/>
  <c r="E10" i="8"/>
  <c r="H10" i="8"/>
  <c r="J10" i="8"/>
  <c r="K10" i="8"/>
  <c r="N10" i="8"/>
  <c r="S10" i="8"/>
  <c r="V10" i="8"/>
  <c r="Z10" i="8"/>
  <c r="AE10" i="8"/>
  <c r="AG10" i="8"/>
  <c r="AH10" i="8"/>
  <c r="Q10" i="8"/>
  <c r="Y10" i="8"/>
  <c r="AD10" i="8"/>
  <c r="AM10" i="8"/>
  <c r="D10" i="8"/>
  <c r="G10" i="8"/>
  <c r="M10" i="8"/>
  <c r="O10" i="8"/>
  <c r="T10" i="8"/>
  <c r="X10" i="8"/>
  <c r="AF10" i="8"/>
  <c r="AI10" i="8"/>
  <c r="AL10" i="8"/>
  <c r="Z9" i="8"/>
  <c r="U9" i="8"/>
  <c r="E9" i="8"/>
  <c r="F9" i="8"/>
  <c r="AD9" i="8"/>
  <c r="AL9" i="8"/>
  <c r="AK9" i="8"/>
  <c r="AJ9" i="8"/>
  <c r="AI9" i="8"/>
  <c r="AH9" i="8"/>
  <c r="AE9" i="8"/>
  <c r="AB9" i="8"/>
  <c r="AA9" i="8"/>
  <c r="Q9" i="8"/>
  <c r="H9" i="8"/>
  <c r="Y9" i="8"/>
  <c r="W9" i="8"/>
  <c r="O9" i="8"/>
  <c r="P9" i="8"/>
  <c r="R9" i="8"/>
  <c r="S9" i="8"/>
  <c r="V9" i="8"/>
  <c r="G9" i="8"/>
  <c r="AC9" i="8"/>
  <c r="C9" i="8"/>
  <c r="AM9" i="8"/>
  <c r="D9" i="8"/>
  <c r="T9" i="8"/>
  <c r="AF9" i="8"/>
  <c r="N9" i="8"/>
  <c r="M9" i="8"/>
  <c r="L9" i="8"/>
  <c r="X9" i="8"/>
  <c r="K9" i="8"/>
  <c r="J9" i="8"/>
  <c r="I9" i="8"/>
  <c r="AG9" i="8"/>
  <c r="I8" i="8"/>
  <c r="H8" i="8"/>
  <c r="N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C8" i="8"/>
  <c r="D8" i="8"/>
  <c r="G8" i="8"/>
  <c r="E8" i="8"/>
  <c r="F8" i="8"/>
  <c r="K8" i="8"/>
  <c r="L8" i="8"/>
  <c r="M8" i="8"/>
  <c r="O8" i="8"/>
  <c r="P8" i="8"/>
  <c r="Q8" i="8"/>
  <c r="R8" i="8"/>
  <c r="S8" i="8"/>
  <c r="T8" i="8"/>
  <c r="U8" i="8"/>
  <c r="V8" i="8"/>
  <c r="W8" i="8"/>
  <c r="J8" i="8"/>
  <c r="Z7" i="8"/>
  <c r="Y7" i="8"/>
  <c r="X7" i="8"/>
  <c r="W7" i="8"/>
  <c r="V7" i="8"/>
  <c r="U7" i="8"/>
  <c r="T7" i="8"/>
  <c r="S7" i="8"/>
  <c r="R7" i="8"/>
  <c r="AF7" i="8"/>
  <c r="AE7" i="8"/>
  <c r="AD7" i="8"/>
  <c r="AL7" i="8"/>
  <c r="AK7" i="8"/>
  <c r="AJ7" i="8"/>
  <c r="AI7" i="8"/>
  <c r="AH7" i="8"/>
  <c r="AG7" i="8"/>
  <c r="AM7" i="8"/>
  <c r="AC7" i="8"/>
  <c r="AB7" i="8"/>
  <c r="Q7" i="8"/>
  <c r="P7" i="8"/>
  <c r="O7" i="8"/>
  <c r="N7" i="8"/>
  <c r="M7" i="8"/>
  <c r="L7" i="8"/>
  <c r="K7" i="8"/>
  <c r="J7" i="8"/>
  <c r="I7" i="8"/>
  <c r="H7" i="8"/>
  <c r="G7" i="8"/>
  <c r="E7" i="8"/>
  <c r="D7" i="8"/>
  <c r="C7" i="8"/>
  <c r="AA7" i="8"/>
  <c r="F7" i="8"/>
  <c r="J6" i="8"/>
  <c r="I6" i="8"/>
  <c r="C6" i="8"/>
  <c r="W6" i="8"/>
  <c r="V6" i="8"/>
  <c r="U6" i="8"/>
  <c r="T6" i="8"/>
  <c r="Y6" i="8"/>
  <c r="Z6" i="8"/>
  <c r="AA6" i="8"/>
  <c r="AB6" i="8"/>
  <c r="AC6" i="8"/>
  <c r="AD6" i="8"/>
  <c r="S6" i="8"/>
  <c r="R6" i="8"/>
  <c r="Q6" i="8"/>
  <c r="P6" i="8"/>
  <c r="O6" i="8"/>
  <c r="N6" i="8"/>
  <c r="M6" i="8"/>
  <c r="AM6" i="8"/>
  <c r="AL6" i="8"/>
  <c r="AK6" i="8"/>
  <c r="AJ6" i="8"/>
  <c r="AI6" i="8"/>
  <c r="AH6" i="8"/>
  <c r="AG6" i="8"/>
  <c r="AF6" i="8"/>
  <c r="AE6" i="8"/>
  <c r="D6" i="8"/>
  <c r="E6" i="8"/>
  <c r="F6" i="8"/>
  <c r="X6" i="8"/>
  <c r="G6" i="8"/>
  <c r="H6" i="8"/>
  <c r="L6" i="8"/>
  <c r="K6" i="8"/>
  <c r="AK5" i="8"/>
  <c r="F5" i="8"/>
  <c r="AH5" i="8"/>
  <c r="AG5" i="8"/>
  <c r="AI5" i="8"/>
  <c r="AJ5" i="8"/>
  <c r="AB5" i="8"/>
  <c r="AC5" i="8"/>
  <c r="X5" i="8"/>
  <c r="W5" i="8"/>
  <c r="V5" i="8"/>
  <c r="U5" i="8"/>
  <c r="I5" i="8"/>
  <c r="T5" i="8"/>
  <c r="S5" i="8"/>
  <c r="R5" i="8"/>
  <c r="Q5" i="8"/>
  <c r="P5" i="8"/>
  <c r="Z5" i="8"/>
  <c r="O5" i="8"/>
  <c r="N5" i="8"/>
  <c r="M5" i="8"/>
  <c r="L5" i="8"/>
  <c r="K5" i="8"/>
  <c r="J5" i="8"/>
  <c r="H5" i="8"/>
  <c r="AA5" i="8"/>
  <c r="G5" i="8"/>
  <c r="E5" i="8"/>
  <c r="AL5" i="8"/>
  <c r="AM5" i="8"/>
  <c r="Y5" i="8"/>
  <c r="AD5" i="8"/>
  <c r="AE5" i="8"/>
  <c r="AF5" i="8"/>
  <c r="D5" i="8"/>
  <c r="BO73" i="8"/>
  <c r="BN73" i="8"/>
  <c r="BM73" i="8"/>
  <c r="BL73" i="8"/>
  <c r="BK73" i="8"/>
  <c r="BJ73" i="8"/>
  <c r="BI73" i="8"/>
  <c r="BH73" i="8"/>
  <c r="BG73" i="8"/>
  <c r="BF73" i="8"/>
  <c r="BF36" i="8"/>
  <c r="BN36" i="8"/>
  <c r="BM36" i="8"/>
  <c r="BL36" i="8"/>
  <c r="BK36" i="8"/>
  <c r="BJ36" i="8"/>
  <c r="BO36" i="8"/>
  <c r="BI36" i="8"/>
  <c r="BH36" i="8"/>
  <c r="BG36" i="8"/>
  <c r="BN58" i="8"/>
  <c r="BM58" i="8"/>
  <c r="BK58" i="8"/>
  <c r="BJ58" i="8"/>
  <c r="BI58" i="8"/>
  <c r="BH58" i="8"/>
  <c r="BG58" i="8"/>
  <c r="BF58" i="8"/>
  <c r="BL58" i="8"/>
  <c r="BO58" i="8"/>
  <c r="BO48" i="8"/>
  <c r="BN48" i="8"/>
  <c r="BM48" i="8"/>
  <c r="BL48" i="8"/>
  <c r="BK48" i="8"/>
  <c r="BJ48" i="8"/>
  <c r="BI48" i="8"/>
  <c r="BH48" i="8"/>
  <c r="BG48" i="8"/>
  <c r="BF48" i="8"/>
  <c r="BJ42" i="8"/>
  <c r="BO42" i="8"/>
  <c r="BN42" i="8"/>
  <c r="BM42" i="8"/>
  <c r="BL42" i="8"/>
  <c r="BK42" i="8"/>
  <c r="BI42" i="8"/>
  <c r="BH42" i="8"/>
  <c r="BG42" i="8"/>
  <c r="BF42" i="8"/>
  <c r="B5" i="8" l="1" a="1"/>
  <c r="B5" i="8" s="1"/>
  <c r="B19" i="8" a="1"/>
  <c r="B19" i="8" s="1"/>
  <c r="B73" i="8" a="1"/>
  <c r="B73" i="8" s="1"/>
  <c r="B105" i="8" a="1"/>
  <c r="B105" i="8" s="1"/>
  <c r="B115" i="8" a="1"/>
  <c r="B115" i="8" s="1"/>
  <c r="B132" i="8" a="1"/>
  <c r="B132" i="8" s="1"/>
  <c r="B127" i="8" a="1"/>
  <c r="B127" i="8" s="1"/>
  <c r="B104" i="8" a="1"/>
  <c r="B104" i="8" s="1"/>
  <c r="B136" i="8" a="1"/>
  <c r="B136" i="8" s="1"/>
  <c r="B135" i="8" a="1"/>
  <c r="B135" i="8" s="1"/>
  <c r="B134" i="8" a="1"/>
  <c r="B134" i="8" s="1"/>
  <c r="B128" i="8" a="1"/>
  <c r="B128" i="8" s="1"/>
  <c r="B131" i="8" a="1"/>
  <c r="B131" i="8" s="1"/>
  <c r="B130" i="8" a="1"/>
  <c r="B130" i="8" s="1"/>
  <c r="B122" i="8" a="1"/>
  <c r="B122" i="8" s="1"/>
  <c r="B103" i="8" a="1"/>
  <c r="B103" i="8" s="1"/>
  <c r="B126" i="8" a="1"/>
  <c r="B126" i="8" s="1"/>
  <c r="B125" i="8" a="1"/>
  <c r="B125" i="8" s="1"/>
  <c r="B124" i="8" a="1"/>
  <c r="B124" i="8" s="1"/>
  <c r="B123" i="8" a="1"/>
  <c r="B123" i="8" s="1"/>
  <c r="B117" i="8" a="1"/>
  <c r="B117" i="8" s="1"/>
  <c r="B116" i="8" a="1"/>
  <c r="B116" i="8" s="1"/>
  <c r="B113" i="8" a="1"/>
  <c r="B113" i="8" s="1"/>
  <c r="B112" i="8" a="1"/>
  <c r="B112" i="8" s="1"/>
  <c r="B111" i="8" a="1"/>
  <c r="B111" i="8" s="1"/>
  <c r="B110" i="8" a="1"/>
  <c r="B110" i="8" s="1"/>
  <c r="B109" i="8" a="1"/>
  <c r="B109" i="8" s="1"/>
  <c r="B108" i="8" a="1"/>
  <c r="B108" i="8" s="1"/>
  <c r="B107" i="8" a="1"/>
  <c r="B107" i="8" s="1"/>
  <c r="B106" i="8" a="1"/>
  <c r="B106" i="8" s="1"/>
  <c r="B102" i="8" a="1"/>
  <c r="B102" i="8" s="1"/>
  <c r="B101" i="8" a="1"/>
  <c r="B101" i="8" s="1"/>
  <c r="B100" i="8" a="1"/>
  <c r="B100" i="8" s="1"/>
  <c r="B99" i="8" a="1"/>
  <c r="B99" i="8" s="1"/>
  <c r="B98" i="8" a="1"/>
  <c r="B98" i="8" s="1"/>
  <c r="B97" i="8" a="1"/>
  <c r="B97" i="8" s="1"/>
  <c r="B96" i="8" a="1"/>
  <c r="B96" i="8" s="1"/>
  <c r="B95" i="8" a="1"/>
  <c r="B95" i="8" s="1"/>
  <c r="B93" i="8" a="1"/>
  <c r="B93" i="8" s="1"/>
  <c r="B92" i="8" a="1"/>
  <c r="B92" i="8" s="1"/>
  <c r="B91" i="8" a="1"/>
  <c r="B91" i="8" s="1"/>
  <c r="B90" i="8" a="1"/>
  <c r="B90" i="8" s="1"/>
  <c r="B80" i="8" a="1"/>
  <c r="B80" i="8" s="1"/>
  <c r="B89" i="8" a="1"/>
  <c r="B89" i="8" s="1"/>
  <c r="B88" i="8" a="1"/>
  <c r="B88" i="8" s="1"/>
  <c r="B87" i="8" a="1"/>
  <c r="B87" i="8" s="1"/>
  <c r="B86" i="8" a="1"/>
  <c r="B86" i="8" s="1"/>
  <c r="B85" i="8" a="1"/>
  <c r="B85" i="8" s="1"/>
  <c r="B84" i="8" a="1"/>
  <c r="B84" i="8" s="1"/>
  <c r="B83" i="8" a="1"/>
  <c r="B83" i="8" s="1"/>
  <c r="B82" i="8" a="1"/>
  <c r="B82" i="8" s="1"/>
  <c r="B81" i="8" a="1"/>
  <c r="B81" i="8" s="1"/>
  <c r="B79" i="8" a="1"/>
  <c r="B79" i="8" s="1"/>
  <c r="B78" i="8" a="1"/>
  <c r="B78" i="8" s="1"/>
  <c r="B77" i="8" a="1"/>
  <c r="B77" i="8" s="1"/>
  <c r="B76" i="8" a="1"/>
  <c r="B76" i="8" s="1"/>
  <c r="B75" i="8" a="1"/>
  <c r="B75" i="8" s="1"/>
  <c r="B118" i="8" a="1"/>
  <c r="B118" i="8" s="1"/>
  <c r="B74" i="8" a="1"/>
  <c r="B74" i="8" s="1"/>
  <c r="B72" i="8" a="1"/>
  <c r="B72" i="8" s="1"/>
  <c r="B71" i="8" a="1"/>
  <c r="B71" i="8" s="1"/>
  <c r="B70" i="8" a="1"/>
  <c r="B70" i="8" s="1"/>
  <c r="B69" i="8" a="1"/>
  <c r="B69" i="8" s="1"/>
  <c r="B67" i="8" a="1"/>
  <c r="B67" i="8" s="1"/>
  <c r="B66" i="8" a="1"/>
  <c r="B66" i="8" s="1"/>
  <c r="B65" i="8" a="1"/>
  <c r="B65" i="8" s="1"/>
  <c r="B64" i="8" a="1"/>
  <c r="B64" i="8" s="1"/>
  <c r="B63" i="8" a="1"/>
  <c r="B63" i="8" s="1"/>
  <c r="B62" i="8" a="1"/>
  <c r="B62" i="8" s="1"/>
  <c r="B61" i="8" a="1"/>
  <c r="B61" i="8" s="1"/>
  <c r="B60" i="8" a="1"/>
  <c r="B60" i="8" s="1"/>
  <c r="B59" i="8" a="1"/>
  <c r="B59" i="8" s="1"/>
  <c r="B58" i="8" a="1"/>
  <c r="B58" i="8" s="1"/>
  <c r="B57" i="8" a="1"/>
  <c r="B57" i="8" s="1"/>
  <c r="B56" i="8" a="1"/>
  <c r="B56" i="8" s="1"/>
  <c r="B23" i="8" a="1"/>
  <c r="B23" i="8" s="1"/>
  <c r="B94" i="8" a="1"/>
  <c r="B94" i="8" s="1"/>
  <c r="B55" i="8" a="1"/>
  <c r="B55" i="8" s="1"/>
  <c r="B54" i="8" a="1"/>
  <c r="B54" i="8" s="1"/>
  <c r="B53" i="8" a="1"/>
  <c r="B53" i="8" s="1"/>
  <c r="B52" i="8" a="1"/>
  <c r="B52" i="8" s="1"/>
  <c r="B51" i="8" a="1"/>
  <c r="B51" i="8" s="1"/>
  <c r="B50" i="8" a="1"/>
  <c r="B50" i="8" s="1"/>
  <c r="B49" i="8" a="1"/>
  <c r="B49" i="8" s="1"/>
  <c r="B48" i="8" a="1"/>
  <c r="B48" i="8" s="1"/>
  <c r="B47" i="8" a="1"/>
  <c r="B47" i="8" s="1"/>
  <c r="B46" i="8" a="1"/>
  <c r="B46" i="8" s="1"/>
  <c r="B37" i="8" a="1"/>
  <c r="B37" i="8" s="1"/>
  <c r="B45" i="8" a="1"/>
  <c r="B45" i="8" s="1"/>
  <c r="B44" i="8" a="1"/>
  <c r="B44" i="8" s="1"/>
  <c r="B43" i="8" a="1"/>
  <c r="B43" i="8" s="1"/>
  <c r="B42" i="8" a="1"/>
  <c r="B42" i="8" s="1"/>
  <c r="B41" i="8" a="1"/>
  <c r="B41" i="8" s="1"/>
  <c r="B40" i="8" a="1"/>
  <c r="B40" i="8" s="1"/>
  <c r="B39" i="8" a="1"/>
  <c r="B39" i="8" s="1"/>
  <c r="B38" i="8" a="1"/>
  <c r="B38" i="8" s="1"/>
  <c r="B119" i="8" a="1"/>
  <c r="B119" i="8" s="1"/>
  <c r="B36" i="8" a="1"/>
  <c r="B36" i="8" s="1"/>
  <c r="B34" i="8" a="1"/>
  <c r="B34" i="8" s="1"/>
  <c r="B33" i="8" a="1"/>
  <c r="B33" i="8" s="1"/>
  <c r="B32" i="8" a="1"/>
  <c r="B32" i="8" s="1"/>
  <c r="B31" i="8" a="1"/>
  <c r="B31" i="8" s="1"/>
  <c r="B30" i="8" a="1"/>
  <c r="B30" i="8" s="1"/>
  <c r="B29" i="8" a="1"/>
  <c r="B29" i="8" s="1"/>
  <c r="B28" i="8" a="1"/>
  <c r="B28" i="8" s="1"/>
  <c r="B27" i="8" a="1"/>
  <c r="B27" i="8" s="1"/>
  <c r="B26" i="8" a="1"/>
  <c r="B26" i="8" s="1"/>
  <c r="B25" i="8" a="1"/>
  <c r="B25" i="8" s="1"/>
  <c r="B24" i="8" a="1"/>
  <c r="B24" i="8" s="1"/>
  <c r="B22" i="8" a="1"/>
  <c r="B22" i="8" s="1"/>
  <c r="B21" i="8" a="1"/>
  <c r="B21" i="8" s="1"/>
  <c r="B20" i="8" a="1"/>
  <c r="B20" i="8" s="1"/>
  <c r="B18" i="8" a="1"/>
  <c r="B18" i="8" s="1"/>
  <c r="B17" i="8" a="1"/>
  <c r="B17" i="8" s="1"/>
  <c r="B16" i="8" a="1"/>
  <c r="B16" i="8" s="1"/>
  <c r="B15" i="8" a="1"/>
  <c r="B15" i="8" s="1"/>
  <c r="B14" i="8" a="1"/>
  <c r="B14" i="8" s="1"/>
  <c r="B13" i="8" a="1"/>
  <c r="B13" i="8" s="1"/>
  <c r="B121" i="8" a="1"/>
  <c r="B121" i="8" s="1"/>
  <c r="B12" i="8" a="1"/>
  <c r="B12" i="8" s="1"/>
  <c r="B11" i="8" a="1"/>
  <c r="B11" i="8" s="1"/>
  <c r="B10" i="8" a="1"/>
  <c r="B10" i="8" s="1"/>
  <c r="B9" i="8" a="1"/>
  <c r="B9" i="8" s="1"/>
  <c r="B8" i="8" a="1"/>
  <c r="B8" i="8" s="1"/>
  <c r="B7" i="8" a="1"/>
  <c r="B7" i="8" s="1"/>
  <c r="B6" i="8" a="1"/>
  <c r="B6" i="8" s="1"/>
  <c r="B133" i="8" a="1"/>
  <c r="B133" i="8" s="1"/>
  <c r="B129" i="8" a="1"/>
  <c r="B129" i="8" s="1"/>
  <c r="B120" i="8" a="1"/>
  <c r="B120" i="8" s="1"/>
  <c r="H4" i="8"/>
  <c r="AI4" i="8"/>
  <c r="AJ4" i="8"/>
  <c r="AK4" i="8"/>
  <c r="AL4" i="8"/>
  <c r="AM4" i="8"/>
  <c r="AG4" i="8"/>
  <c r="AF4" i="8"/>
  <c r="AE4" i="8"/>
  <c r="AD4" i="8"/>
  <c r="AC4" i="8"/>
  <c r="D4" i="8"/>
  <c r="E4" i="8"/>
  <c r="I4" i="8"/>
  <c r="F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AH4" i="8"/>
  <c r="Y4" i="8"/>
  <c r="Z4" i="8"/>
  <c r="AA4" i="8"/>
  <c r="AB4" i="8"/>
  <c r="G4" i="8"/>
  <c r="C4" i="8"/>
  <c r="B4" i="8" l="1"/>
  <c r="H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A5009-B691-4902-A23B-F5438B20B39B}" keepAlive="1" name="Query - chests_2026-05" description="Connection to the 'chests_2026-05' query in the workbook." type="5" refreshedVersion="8" background="1" saveData="1">
    <dbPr connection="Provider=Microsoft.Mashup.OleDb.1;Data Source=$Workbook$;Location=chests_2026-05;Extended Properties=&quot;&quot;" command="SELECT * FROM [chests_2026-05]"/>
  </connection>
  <connection id="2" xr16:uid="{D5EE42EA-9B29-4A7D-A6D4-9AD5C5B53CA4}" keepAlive="1" name="Query - contributions_2026-05" description="Connection to the 'contributions_2026-05' query in the workbook." type="5" refreshedVersion="8" background="1" saveData="1">
    <dbPr connection="Provider=Microsoft.Mashup.OleDb.1;Data Source=$Workbook$;Location=contributions_2026-05;Extended Properties=&quot;&quot;" command="SELECT * FROM [contributions_2026-0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<sst xmlns="http://schemas.openxmlformats.org/spreadsheetml/2006/main" count="29678" uniqueCount="862">
  <si>
    <t>L5 Crypt</t>
  </si>
  <si>
    <t>L10 Crypt</t>
  </si>
  <si>
    <t>L15 Crypt</t>
  </si>
  <si>
    <t>L20 Crypt</t>
  </si>
  <si>
    <t>L25 Crypt</t>
  </si>
  <si>
    <t>L10 rare Crypt</t>
  </si>
  <si>
    <t>L15 rare Crypt</t>
  </si>
  <si>
    <t>L20 rare Crypt</t>
  </si>
  <si>
    <t>L25 rare Crypt</t>
  </si>
  <si>
    <t>L30 rare Crypt</t>
  </si>
  <si>
    <t>L15 epic Crypt</t>
  </si>
  <si>
    <t>L20 epic Crypt</t>
  </si>
  <si>
    <t>L25 epic Crypt</t>
  </si>
  <si>
    <t>L30 epic Crypt</t>
  </si>
  <si>
    <t>L35 epic Crypt</t>
  </si>
  <si>
    <t>L10 Citadel</t>
  </si>
  <si>
    <t>L15 Citadel</t>
  </si>
  <si>
    <t>L20 Citadel</t>
  </si>
  <si>
    <t>L25 Citadel</t>
  </si>
  <si>
    <t>L30 Citadel</t>
  </si>
  <si>
    <t>L16-24 Heroic</t>
  </si>
  <si>
    <t>L25-30 Heroic</t>
  </si>
  <si>
    <t>L31+ Heroic</t>
  </si>
  <si>
    <t>L40+ Heroic</t>
  </si>
  <si>
    <t>Bank</t>
  </si>
  <si>
    <t>Ragnarok Chests</t>
  </si>
  <si>
    <t>Olympus Chests</t>
  </si>
  <si>
    <t>Ancients vaults</t>
  </si>
  <si>
    <t>Others</t>
  </si>
  <si>
    <t>L10 Tartaros Crypt</t>
  </si>
  <si>
    <t>L15 Tartaros Crypt</t>
  </si>
  <si>
    <t>L20 Tartaros Crypt</t>
  </si>
  <si>
    <t>L25 Tartaros Crypt</t>
  </si>
  <si>
    <t>L30 Tartaros Crypt</t>
  </si>
  <si>
    <t>L35 Tartaros Crypt</t>
  </si>
  <si>
    <t>Ancients Chests</t>
  </si>
  <si>
    <t>Epic Monster Chests</t>
  </si>
  <si>
    <t>Points per chest:</t>
  </si>
  <si>
    <t>Weekly requirement -&gt;</t>
  </si>
  <si>
    <t>Total Chest Count -&gt;</t>
  </si>
  <si>
    <t>Total Chest Point -&gt;</t>
  </si>
  <si>
    <t>Level 25 Citadel</t>
  </si>
  <si>
    <t>Level 25 Crypt</t>
  </si>
  <si>
    <t>Level 35-39 Vault of the Ancients</t>
  </si>
  <si>
    <t>Level 20 Citadel</t>
  </si>
  <si>
    <t>Clan wealth</t>
  </si>
  <si>
    <t>Level 30 Citadel</t>
  </si>
  <si>
    <t>Level 40-44 Vault of the Ancients</t>
  </si>
  <si>
    <t>Level 20 Crypt</t>
  </si>
  <si>
    <t>Level 15 Crypt</t>
  </si>
  <si>
    <t>Level 10 Crypt</t>
  </si>
  <si>
    <t>Level 25 rare Crypt</t>
  </si>
  <si>
    <t>Level 5 Crypt</t>
  </si>
  <si>
    <t>Level 30 rare Crypt</t>
  </si>
  <si>
    <t>Level 20 rare Crypt</t>
  </si>
  <si>
    <t>Level 18 heroic Monster</t>
  </si>
  <si>
    <t>Level 19 heroic Monster</t>
  </si>
  <si>
    <t>Level 20 heroic Monster</t>
  </si>
  <si>
    <t>Level 21 heroic Monster</t>
  </si>
  <si>
    <t>Level 22 heroic Monster</t>
  </si>
  <si>
    <t>Arena</t>
  </si>
  <si>
    <t>Mercenary Exchange</t>
  </si>
  <si>
    <t>Level 25 epic Crypt</t>
  </si>
  <si>
    <t>Level 15 Citadel</t>
  </si>
  <si>
    <t>Level 15 epic Crypt</t>
  </si>
  <si>
    <t>Level 20 epic Crypt</t>
  </si>
  <si>
    <t>Rise of the Ancients event</t>
  </si>
  <si>
    <t>Epic Ancient squad</t>
  </si>
  <si>
    <t>Level 30 epic Crypt</t>
  </si>
  <si>
    <t>Level 35 epic Crypt</t>
  </si>
  <si>
    <t>Level 10 Citadel</t>
  </si>
  <si>
    <t>Level 15 rare Crypt</t>
  </si>
  <si>
    <t>Union of Triumph personal reward</t>
  </si>
  <si>
    <t>Mimic Chest</t>
  </si>
  <si>
    <t>Epic Inferno squad</t>
  </si>
  <si>
    <t>Level 10 rare Crypt</t>
  </si>
  <si>
    <t>Level 17 heroic Monster</t>
  </si>
  <si>
    <t>Lvl 40-44 Raid Runic squad</t>
  </si>
  <si>
    <t>Level 40 heroic Monster</t>
  </si>
  <si>
    <t>Epic Undead squad</t>
  </si>
  <si>
    <t>Level 29 heroic Monster</t>
  </si>
  <si>
    <t>Lvl 45 Raid Runic squad</t>
  </si>
  <si>
    <t>Arachne's Swarm Epic squad</t>
  </si>
  <si>
    <t>Level 44 heroic Monster</t>
  </si>
  <si>
    <t>Level 27 heroic Monster</t>
  </si>
  <si>
    <t>Level 28 heroic Monster</t>
  </si>
  <si>
    <t>Level 45 Vault of the Ancients</t>
  </si>
  <si>
    <t>Level 30-34 Vault of the Ancients</t>
  </si>
  <si>
    <t>Level 25 heroic Monster</t>
  </si>
  <si>
    <t>Level 43 heroic Monster</t>
  </si>
  <si>
    <t>Level 26 heroic Monster</t>
  </si>
  <si>
    <t>Level 23 heroic Monster</t>
  </si>
  <si>
    <t>Level 24 heroic Monster</t>
  </si>
  <si>
    <t>L10 Rare Crypt</t>
  </si>
  <si>
    <t>L15 Rare Crypt</t>
  </si>
  <si>
    <t>L20 Rare Crypt</t>
  </si>
  <si>
    <t>L25 Rare Crypt</t>
  </si>
  <si>
    <t>L30 Rare Crypt</t>
  </si>
  <si>
    <t>L15 Epic Crypt</t>
  </si>
  <si>
    <t>L20 Epic Crypt</t>
  </si>
  <si>
    <t>L25 Epic Crypt</t>
  </si>
  <si>
    <t>L30 Epic Crypt</t>
  </si>
  <si>
    <t>L35 Epic Crypt</t>
  </si>
  <si>
    <t>Tartaros Crypt level 10</t>
  </si>
  <si>
    <t>Tartaros Crypt level 15</t>
  </si>
  <si>
    <t>Tartaros Crypt level 20</t>
  </si>
  <si>
    <t>Tartaros Crypt level 25</t>
  </si>
  <si>
    <t>Tartaros Crypt level 30</t>
  </si>
  <si>
    <t>Tartaros Crypt level 35</t>
  </si>
  <si>
    <t>Level 16 heroic Monster</t>
  </si>
  <si>
    <t>Level 30 heroic Monster</t>
  </si>
  <si>
    <t>Level 31 heroic Monster</t>
  </si>
  <si>
    <t>Level 32 heroic Monster</t>
  </si>
  <si>
    <t>Level 33 heroic Monster</t>
  </si>
  <si>
    <t>Level 34 heroic Monster</t>
  </si>
  <si>
    <t>Level 35 heroic Monster</t>
  </si>
  <si>
    <t>Level 36 heroic Monster</t>
  </si>
  <si>
    <t>Level 37 heroic Monster</t>
  </si>
  <si>
    <t>Level 38 heroic Monster</t>
  </si>
  <si>
    <t>Level 39 heroic Monster</t>
  </si>
  <si>
    <t>Level 41 heroic Monster</t>
  </si>
  <si>
    <t>Level 42 heroic Monster</t>
  </si>
  <si>
    <t>Level 45 heroic Monster</t>
  </si>
  <si>
    <t>Level 10-14 Vault of the Ancients</t>
  </si>
  <si>
    <t>Ancients Vault</t>
  </si>
  <si>
    <t>Level 15-19 Vault of the Ancients</t>
  </si>
  <si>
    <t>Level 20-24 Vault of the Ancients</t>
  </si>
  <si>
    <t>Level 25-29 Vault of the Ancients</t>
  </si>
  <si>
    <t>Epic Briareus squad</t>
  </si>
  <si>
    <t>Epic Fenrir squad</t>
  </si>
  <si>
    <t>Epic Jormungandr squad</t>
  </si>
  <si>
    <t>Shadow City</t>
  </si>
  <si>
    <t>Ragnarok event</t>
  </si>
  <si>
    <t>Jormungandr Shop</t>
  </si>
  <si>
    <t>Event "Trials of Olympus"</t>
  </si>
  <si>
    <t>Hermes' Store</t>
  </si>
  <si>
    <t>Clash for the Throne tournament</t>
  </si>
  <si>
    <t>Story</t>
  </si>
  <si>
    <t>Beastman</t>
  </si>
  <si>
    <t>Shadow</t>
  </si>
  <si>
    <t>Epic Inferno Sguad</t>
  </si>
  <si>
    <t>Epic Undead sguad</t>
  </si>
  <si>
    <t>Arachne's Swarm Epic sguad</t>
  </si>
  <si>
    <t>Epic Basilisk squad</t>
  </si>
  <si>
    <t>Epic Chimera squad</t>
  </si>
  <si>
    <t>tab</t>
  </si>
  <si>
    <t>chest</t>
  </si>
  <si>
    <t>from</t>
  </si>
  <si>
    <t>source</t>
  </si>
  <si>
    <t>Gifts</t>
  </si>
  <si>
    <t>Kaachou</t>
  </si>
  <si>
    <t>Orc Chest</t>
  </si>
  <si>
    <t>Chili Peppers</t>
  </si>
  <si>
    <t>BORU</t>
  </si>
  <si>
    <t>datetime</t>
  </si>
  <si>
    <t>Jennifer</t>
  </si>
  <si>
    <t>Lil Thog of Boomtown</t>
  </si>
  <si>
    <t>Burgs</t>
  </si>
  <si>
    <t>Elegant Chest</t>
  </si>
  <si>
    <t>Earar</t>
  </si>
  <si>
    <t>Luchfirilas</t>
  </si>
  <si>
    <t>Lirosin</t>
  </si>
  <si>
    <t>Nettle</t>
  </si>
  <si>
    <t>Totaur</t>
  </si>
  <si>
    <t>Amr ibn al Aas</t>
  </si>
  <si>
    <t>crabb</t>
  </si>
  <si>
    <t>CarpeVino</t>
  </si>
  <si>
    <t>Eyvening</t>
  </si>
  <si>
    <t>Yondu</t>
  </si>
  <si>
    <t>ARBA33</t>
  </si>
  <si>
    <t>legalized</t>
  </si>
  <si>
    <t>Mayan Chest</t>
  </si>
  <si>
    <t>Braided Chest</t>
  </si>
  <si>
    <t>Stone Chest</t>
  </si>
  <si>
    <t>Titansteel Chest</t>
  </si>
  <si>
    <t>Gnome Workshop Chest</t>
  </si>
  <si>
    <t>Elven Citadel Chest</t>
  </si>
  <si>
    <t>Fire Chest</t>
  </si>
  <si>
    <t>Governor's Chest</t>
  </si>
  <si>
    <t>Stuff</t>
  </si>
  <si>
    <t>ROD</t>
  </si>
  <si>
    <t>Infernal Chest</t>
  </si>
  <si>
    <t>Bone Chest</t>
  </si>
  <si>
    <t>Sand Chest</t>
  </si>
  <si>
    <t>Barbarian Chest</t>
  </si>
  <si>
    <t>Forgotten Chest</t>
  </si>
  <si>
    <t>bb steboulet 2</t>
  </si>
  <si>
    <t>Rare Dragon Chest</t>
  </si>
  <si>
    <t>Common Chest of Wealth</t>
  </si>
  <si>
    <t>Uncommon Chest of Wealth</t>
  </si>
  <si>
    <t>Cobra Chest</t>
  </si>
  <si>
    <t>Der Morg</t>
  </si>
  <si>
    <t>Gladiator's Chest</t>
  </si>
  <si>
    <t>Van Jazzle</t>
  </si>
  <si>
    <t>Rayan</t>
  </si>
  <si>
    <t>Triumphal Gifts</t>
  </si>
  <si>
    <t>Bronze Chest</t>
  </si>
  <si>
    <t>Silver Chest</t>
  </si>
  <si>
    <t>Wooden Chest</t>
  </si>
  <si>
    <t>Elaref</t>
  </si>
  <si>
    <t>Sapphire Chest</t>
  </si>
  <si>
    <t>Maedrafir</t>
  </si>
  <si>
    <t>Pfunk</t>
  </si>
  <si>
    <t>Union Chest</t>
  </si>
  <si>
    <t>Celmeena</t>
  </si>
  <si>
    <t>SalahTime</t>
  </si>
  <si>
    <t>Golden Guardian Epic Chest</t>
  </si>
  <si>
    <t>Chest</t>
  </si>
  <si>
    <t>Quick March Chest</t>
  </si>
  <si>
    <t>Golden Chest</t>
  </si>
  <si>
    <t>Precious Chest</t>
  </si>
  <si>
    <t>Trillium Chest</t>
  </si>
  <si>
    <t>wiiikaaaa</t>
  </si>
  <si>
    <t>White Wood Chest</t>
  </si>
  <si>
    <t>Scorpion Chest</t>
  </si>
  <si>
    <t>Warrior's Chest</t>
  </si>
  <si>
    <t>Bilesi</t>
  </si>
  <si>
    <t>Minotaur Chest</t>
  </si>
  <si>
    <t>Priest's Chest</t>
  </si>
  <si>
    <t>Kathrilis</t>
  </si>
  <si>
    <t>Chest of the Cursed</t>
  </si>
  <si>
    <t>Agagas</t>
  </si>
  <si>
    <t>Tomuro</t>
  </si>
  <si>
    <t>Cobalt Chest</t>
  </si>
  <si>
    <t>Arardin</t>
  </si>
  <si>
    <t>Mohamed</t>
  </si>
  <si>
    <t>Scarab Chest</t>
  </si>
  <si>
    <t>Harpy Chest</t>
  </si>
  <si>
    <t>Bastion Chest</t>
  </si>
  <si>
    <t>Rhys</t>
  </si>
  <si>
    <t>Abandoned Chest</t>
  </si>
  <si>
    <t>Ferodad</t>
  </si>
  <si>
    <t>Cursed Citadel Chest</t>
  </si>
  <si>
    <t>Glitched</t>
  </si>
  <si>
    <t>Mario</t>
  </si>
  <si>
    <t>Pacified Mimic Chest</t>
  </si>
  <si>
    <t>Vasfris</t>
  </si>
  <si>
    <t>Level 15 Citadel}</t>
  </si>
  <si>
    <t>Lefinan</t>
  </si>
  <si>
    <t>Rare Chest of Wealth</t>
  </si>
  <si>
    <t>Thommy Black</t>
  </si>
  <si>
    <t>Aurithris</t>
  </si>
  <si>
    <t>Railrining</t>
  </si>
  <si>
    <t>Iver</t>
  </si>
  <si>
    <t>Volk</t>
  </si>
  <si>
    <t>Bella</t>
  </si>
  <si>
    <t>sillovr</t>
  </si>
  <si>
    <t>Darus735</t>
  </si>
  <si>
    <t>Grand Total</t>
  </si>
  <si>
    <t>Row Labels</t>
  </si>
  <si>
    <t>Luar</t>
  </si>
  <si>
    <t>Angel</t>
  </si>
  <si>
    <t>CongulusMurat</t>
  </si>
  <si>
    <t>Zulkigore</t>
  </si>
  <si>
    <t>Attila the hun</t>
  </si>
  <si>
    <t>Ascendant Ashen Chest</t>
  </si>
  <si>
    <t>Epic Ashen Squad</t>
  </si>
  <si>
    <t>Finfiring</t>
  </si>
  <si>
    <t>Megrinad</t>
  </si>
  <si>
    <t>Absolutus</t>
  </si>
  <si>
    <t>Kibur</t>
  </si>
  <si>
    <t>Rooster</t>
  </si>
  <si>
    <t>AL CAPONE</t>
  </si>
  <si>
    <t>TEAM GB</t>
  </si>
  <si>
    <t>Tiimo807</t>
  </si>
  <si>
    <t>Toastman</t>
  </si>
  <si>
    <t>MindraNivera</t>
  </si>
  <si>
    <t>morgana</t>
  </si>
  <si>
    <t>Sinwing</t>
  </si>
  <si>
    <t>aladred</t>
  </si>
  <si>
    <t>Column Labels</t>
  </si>
  <si>
    <t>Count of source</t>
  </si>
  <si>
    <t>date</t>
  </si>
  <si>
    <t>player</t>
  </si>
  <si>
    <t>amount</t>
  </si>
  <si>
    <t>type</t>
  </si>
  <si>
    <t>2717000</t>
  </si>
  <si>
    <t>Lumber</t>
  </si>
  <si>
    <t>1000000</t>
  </si>
  <si>
    <t>Stone</t>
  </si>
  <si>
    <t>elm3alim</t>
  </si>
  <si>
    <t>7d 0h</t>
  </si>
  <si>
    <t>Clan Speedup</t>
  </si>
  <si>
    <t>Gleranir</t>
  </si>
  <si>
    <t>1872000</t>
  </si>
  <si>
    <t>Food</t>
  </si>
  <si>
    <t>Silver</t>
  </si>
  <si>
    <t>11d 16h</t>
  </si>
  <si>
    <t>13d 3h</t>
  </si>
  <si>
    <t>18400000</t>
  </si>
  <si>
    <t>4587518</t>
  </si>
  <si>
    <t>Morn</t>
  </si>
  <si>
    <t>1248000</t>
  </si>
  <si>
    <t>848000</t>
  </si>
  <si>
    <t>2690000</t>
  </si>
  <si>
    <t>4428000</t>
  </si>
  <si>
    <t>2026</t>
  </si>
  <si>
    <t>2926000</t>
  </si>
  <si>
    <t>8229000</t>
  </si>
  <si>
    <t>Steel</t>
  </si>
  <si>
    <t>1890000</t>
  </si>
  <si>
    <t>Iron</t>
  </si>
  <si>
    <t>948000</t>
  </si>
  <si>
    <t>105856</t>
  </si>
  <si>
    <t>3758479</t>
  </si>
  <si>
    <t>2584672</t>
  </si>
  <si>
    <t>1150054</t>
  </si>
  <si>
    <t>706134</t>
  </si>
  <si>
    <t>737452</t>
  </si>
  <si>
    <t>823863</t>
  </si>
  <si>
    <t>208337</t>
  </si>
  <si>
    <t>198544</t>
  </si>
  <si>
    <t>1036</t>
  </si>
  <si>
    <t>100000</t>
  </si>
  <si>
    <t>431452</t>
  </si>
  <si>
    <t>6270000</t>
  </si>
  <si>
    <t>1063155</t>
  </si>
  <si>
    <t>1007106</t>
  </si>
  <si>
    <t>2339879</t>
  </si>
  <si>
    <t>3290000</t>
  </si>
  <si>
    <t>403139</t>
  </si>
  <si>
    <t>1794</t>
  </si>
  <si>
    <t>7481771</t>
  </si>
  <si>
    <t>1339713</t>
  </si>
  <si>
    <t>3500000</t>
  </si>
  <si>
    <t>400000</t>
  </si>
  <si>
    <t>2196908</t>
  </si>
  <si>
    <t>1108357</t>
  </si>
  <si>
    <t>50000</t>
  </si>
  <si>
    <t>3998821</t>
  </si>
  <si>
    <t>404000</t>
  </si>
  <si>
    <t>8862000</t>
  </si>
  <si>
    <t>994541</t>
  </si>
  <si>
    <t>200</t>
  </si>
  <si>
    <t>2912000</t>
  </si>
  <si>
    <t>2920000</t>
  </si>
  <si>
    <t>293</t>
  </si>
  <si>
    <t>2782000</t>
  </si>
  <si>
    <t>1011581</t>
  </si>
  <si>
    <t>1025449</t>
  </si>
  <si>
    <t>1023603</t>
  </si>
  <si>
    <t>29285</t>
  </si>
  <si>
    <t>1537891</t>
  </si>
  <si>
    <t>1880</t>
  </si>
  <si>
    <t/>
  </si>
  <si>
    <t>1353</t>
  </si>
  <si>
    <t>1250</t>
  </si>
  <si>
    <t>924000</t>
  </si>
  <si>
    <t>10d 15h</t>
  </si>
  <si>
    <t>Dragon Coins</t>
  </si>
  <si>
    <t>9d 9h</t>
  </si>
  <si>
    <t>7d 21h</t>
  </si>
  <si>
    <t>3d 18h</t>
  </si>
  <si>
    <t>104d 16h</t>
  </si>
  <si>
    <t>3744000</t>
  </si>
  <si>
    <t>89d 21h</t>
  </si>
  <si>
    <t>1314</t>
  </si>
  <si>
    <t>1313573</t>
  </si>
  <si>
    <t>1076737</t>
  </si>
  <si>
    <t>2175346</t>
  </si>
  <si>
    <t>26d 0h</t>
  </si>
  <si>
    <t>100367</t>
  </si>
  <si>
    <t>1d 2h</t>
  </si>
  <si>
    <t>763</t>
  </si>
  <si>
    <t>1883409</t>
  </si>
  <si>
    <t>11d 21h</t>
  </si>
  <si>
    <t>3d 8h</t>
  </si>
  <si>
    <t>2304851</t>
  </si>
  <si>
    <t>1041285</t>
  </si>
  <si>
    <t>18d 15h</t>
  </si>
  <si>
    <t>755</t>
  </si>
  <si>
    <t>1098</t>
  </si>
  <si>
    <t>543</t>
  </si>
  <si>
    <t>531</t>
  </si>
  <si>
    <t>1273</t>
  </si>
  <si>
    <t>8d 9h</t>
  </si>
  <si>
    <t>3276000</t>
  </si>
  <si>
    <t>8736000</t>
  </si>
  <si>
    <t>5474748</t>
  </si>
  <si>
    <t>4987071</t>
  </si>
  <si>
    <t>19d 9h</t>
  </si>
  <si>
    <t>silovr</t>
  </si>
  <si>
    <t>7d 14h</t>
  </si>
  <si>
    <t>17960</t>
  </si>
  <si>
    <t>1293</t>
  </si>
  <si>
    <t>2250000</t>
  </si>
  <si>
    <t>22144000</t>
  </si>
  <si>
    <t>2249036</t>
  </si>
  <si>
    <t>4952200</t>
  </si>
  <si>
    <t>4981467</t>
  </si>
  <si>
    <t>5045290</t>
  </si>
  <si>
    <t>2149046</t>
  </si>
  <si>
    <t>3000</t>
  </si>
  <si>
    <t>270</t>
  </si>
  <si>
    <t>250000</t>
  </si>
  <si>
    <t>254</t>
  </si>
  <si>
    <t>5230</t>
  </si>
  <si>
    <t>216</t>
  </si>
  <si>
    <t>1399</t>
  </si>
  <si>
    <t>1001146</t>
  </si>
  <si>
    <t>155</t>
  </si>
  <si>
    <t>1938527</t>
  </si>
  <si>
    <t>879393</t>
  </si>
  <si>
    <t>6055</t>
  </si>
  <si>
    <t>782</t>
  </si>
  <si>
    <t>5243</t>
  </si>
  <si>
    <t>212</t>
  </si>
  <si>
    <t>523</t>
  </si>
  <si>
    <t>278</t>
  </si>
  <si>
    <t>850</t>
  </si>
  <si>
    <t>1153</t>
  </si>
  <si>
    <t>917</t>
  </si>
  <si>
    <t>9179</t>
  </si>
  <si>
    <t>748</t>
  </si>
  <si>
    <t>28223</t>
  </si>
  <si>
    <t>12487</t>
  </si>
  <si>
    <t>17429</t>
  </si>
  <si>
    <t>19841</t>
  </si>
  <si>
    <t>11651</t>
  </si>
  <si>
    <t>27828</t>
  </si>
  <si>
    <t>13147</t>
  </si>
  <si>
    <t>274</t>
  </si>
  <si>
    <t>228</t>
  </si>
  <si>
    <t>357</t>
  </si>
  <si>
    <t>3764</t>
  </si>
  <si>
    <t>313</t>
  </si>
  <si>
    <t>159</t>
  </si>
  <si>
    <t>434</t>
  </si>
  <si>
    <t>7768</t>
  </si>
  <si>
    <t>1715</t>
  </si>
  <si>
    <t>1095</t>
  </si>
  <si>
    <t>483</t>
  </si>
  <si>
    <t>285</t>
  </si>
  <si>
    <t>979</t>
  </si>
  <si>
    <t>263</t>
  </si>
  <si>
    <t>221</t>
  </si>
  <si>
    <t>724</t>
  </si>
  <si>
    <t>7814</t>
  </si>
  <si>
    <t>2310</t>
  </si>
  <si>
    <t>2420</t>
  </si>
  <si>
    <t>663</t>
  </si>
  <si>
    <t>166</t>
  </si>
  <si>
    <t>1855</t>
  </si>
  <si>
    <t>179</t>
  </si>
  <si>
    <t>201943</t>
  </si>
  <si>
    <t>496</t>
  </si>
  <si>
    <t>851</t>
  </si>
  <si>
    <t>1834</t>
  </si>
  <si>
    <t>14849</t>
  </si>
  <si>
    <t>822</t>
  </si>
  <si>
    <t>6375</t>
  </si>
  <si>
    <t>4654</t>
  </si>
  <si>
    <t>253</t>
  </si>
  <si>
    <t>4019</t>
  </si>
  <si>
    <t>3049979</t>
  </si>
  <si>
    <t>7409978</t>
  </si>
  <si>
    <t>6957478</t>
  </si>
  <si>
    <t>7811465</t>
  </si>
  <si>
    <t>38800000</t>
  </si>
  <si>
    <t>21d 16h</t>
  </si>
  <si>
    <t>5434000</t>
  </si>
  <si>
    <t>2769000</t>
  </si>
  <si>
    <t>5d 14h</t>
  </si>
  <si>
    <t>50d 5h</t>
  </si>
  <si>
    <t>2d 6h</t>
  </si>
  <si>
    <t>1d 23h</t>
  </si>
  <si>
    <t>1d 22h</t>
  </si>
  <si>
    <t>712</t>
  </si>
  <si>
    <t>5852000</t>
  </si>
  <si>
    <t>844000</t>
  </si>
  <si>
    <t>5868000</t>
  </si>
  <si>
    <t>55d 9h</t>
  </si>
  <si>
    <t>412</t>
  </si>
  <si>
    <t>5824000</t>
  </si>
  <si>
    <t>1780659</t>
  </si>
  <si>
    <t>1039956</t>
  </si>
  <si>
    <t>2195092</t>
  </si>
  <si>
    <t>725779</t>
  </si>
  <si>
    <t>117d 3h</t>
  </si>
  <si>
    <t>210</t>
  </si>
  <si>
    <t>238162</t>
  </si>
  <si>
    <t>World Order</t>
  </si>
  <si>
    <t>150546</t>
  </si>
  <si>
    <t>198911</t>
  </si>
  <si>
    <t>264926</t>
  </si>
  <si>
    <t>377200</t>
  </si>
  <si>
    <t>1595579</t>
  </si>
  <si>
    <t>1881000</t>
  </si>
  <si>
    <t>1523651</t>
  </si>
  <si>
    <t>1860268</t>
  </si>
  <si>
    <t>76d 9h</t>
  </si>
  <si>
    <t>3679692</t>
  </si>
  <si>
    <t>1491188</t>
  </si>
  <si>
    <t>2389204</t>
  </si>
  <si>
    <t>22d 0h</t>
  </si>
  <si>
    <t>301216</t>
  </si>
  <si>
    <t>1021025</t>
  </si>
  <si>
    <t>512649</t>
  </si>
  <si>
    <t>5d 21h</t>
  </si>
  <si>
    <t>2243080</t>
  </si>
  <si>
    <t>1384343</t>
  </si>
  <si>
    <t>SHIOVF</t>
  </si>
  <si>
    <t>14911565</t>
  </si>
  <si>
    <t>34d 16h</t>
  </si>
  <si>
    <t>303617</t>
  </si>
  <si>
    <t>981214</t>
  </si>
  <si>
    <t>404114</t>
  </si>
  <si>
    <t>24d 0h</t>
  </si>
  <si>
    <t>38d 8h</t>
  </si>
  <si>
    <t>2026002</t>
  </si>
  <si>
    <t>2496000</t>
  </si>
  <si>
    <t>2568000</t>
  </si>
  <si>
    <t>18d 10h</t>
  </si>
  <si>
    <t>8d 23h</t>
  </si>
  <si>
    <t>739082</t>
  </si>
  <si>
    <t>1616186</t>
  </si>
  <si>
    <t>102d 20h</t>
  </si>
  <si>
    <t>21736000</t>
  </si>
  <si>
    <t>1336141</t>
  </si>
  <si>
    <t>174920</t>
  </si>
  <si>
    <t>11d 10h</t>
  </si>
  <si>
    <t>600244</t>
  </si>
  <si>
    <t>19306713</t>
  </si>
  <si>
    <t>395551</t>
  </si>
  <si>
    <t>597769</t>
  </si>
  <si>
    <t>918098</t>
  </si>
  <si>
    <t>109448</t>
  </si>
  <si>
    <t>205858</t>
  </si>
  <si>
    <t>194239</t>
  </si>
  <si>
    <t>203497</t>
  </si>
  <si>
    <t>136571</t>
  </si>
  <si>
    <t>10868000</t>
  </si>
  <si>
    <t>16211093</t>
  </si>
  <si>
    <t>95481</t>
  </si>
  <si>
    <t>1023991</t>
  </si>
  <si>
    <t>290170</t>
  </si>
  <si>
    <t>885889</t>
  </si>
  <si>
    <t>275328</t>
  </si>
  <si>
    <t>395670</t>
  </si>
  <si>
    <t>1045008</t>
  </si>
  <si>
    <t>1d 14h</t>
  </si>
  <si>
    <t>2d 22h</t>
  </si>
  <si>
    <t>1377552</t>
  </si>
  <si>
    <t>1356833</t>
  </si>
  <si>
    <t>1160966</t>
  </si>
  <si>
    <t>1690000</t>
  </si>
  <si>
    <t>1114124</t>
  </si>
  <si>
    <t>750000</t>
  </si>
  <si>
    <t>2704000</t>
  </si>
  <si>
    <t>2420718</t>
  </si>
  <si>
    <t>2453786</t>
  </si>
  <si>
    <t>2449059</t>
  </si>
  <si>
    <t>Colis</t>
  </si>
  <si>
    <t>2070000</t>
  </si>
  <si>
    <t>2322000</t>
  </si>
  <si>
    <t>Gozahn</t>
  </si>
  <si>
    <t>432</t>
  </si>
  <si>
    <t>155027</t>
  </si>
  <si>
    <t>1027496</t>
  </si>
  <si>
    <t>1386246</t>
  </si>
  <si>
    <t>1908000</t>
  </si>
  <si>
    <t>1675458</t>
  </si>
  <si>
    <t>1443532</t>
  </si>
  <si>
    <t>31d 8h</t>
  </si>
  <si>
    <t>10d 20h</t>
  </si>
  <si>
    <t>2d 18h</t>
  </si>
  <si>
    <t>7d 2h</t>
  </si>
  <si>
    <t>299796</t>
  </si>
  <si>
    <t>1067</t>
  </si>
  <si>
    <t>5727</t>
  </si>
  <si>
    <t>966</t>
  </si>
  <si>
    <t>11253</t>
  </si>
  <si>
    <t>4d 0h</t>
  </si>
  <si>
    <t>3753</t>
  </si>
  <si>
    <t>965</t>
  </si>
  <si>
    <t>5734</t>
  </si>
  <si>
    <t>922742</t>
  </si>
  <si>
    <t>11d 15h</t>
  </si>
  <si>
    <t>1729321</t>
  </si>
  <si>
    <t>20d 3h</t>
  </si>
  <si>
    <t>7d 11h</t>
  </si>
  <si>
    <t>4d 20h</t>
  </si>
  <si>
    <t>4585733</t>
  </si>
  <si>
    <t>126761</t>
  </si>
  <si>
    <t>506112</t>
  </si>
  <si>
    <t>252860</t>
  </si>
  <si>
    <t>134902</t>
  </si>
  <si>
    <t>467837</t>
  </si>
  <si>
    <t>2071221</t>
  </si>
  <si>
    <t>2198748</t>
  </si>
  <si>
    <t>17000</t>
  </si>
  <si>
    <t>2800</t>
  </si>
  <si>
    <t>246576</t>
  </si>
  <si>
    <t>2387256</t>
  </si>
  <si>
    <t>2014538</t>
  </si>
  <si>
    <t>62452</t>
  </si>
  <si>
    <t>269564</t>
  </si>
  <si>
    <t>81152</t>
  </si>
  <si>
    <t>Osvajac666</t>
  </si>
  <si>
    <t>1004814</t>
  </si>
  <si>
    <t>1013864</t>
  </si>
  <si>
    <t>1023935</t>
  </si>
  <si>
    <t>356</t>
  </si>
  <si>
    <t>Tygohn</t>
  </si>
  <si>
    <t>Nakor</t>
  </si>
  <si>
    <t>775192</t>
  </si>
  <si>
    <t>18d 8h</t>
  </si>
  <si>
    <t>4781988</t>
  </si>
  <si>
    <t>6156540</t>
  </si>
  <si>
    <t>Jon Snow</t>
  </si>
  <si>
    <t>5d 3h</t>
  </si>
  <si>
    <t>30d 12h</t>
  </si>
  <si>
    <t>35d 12h</t>
  </si>
  <si>
    <t>Hunter</t>
  </si>
  <si>
    <t>95562</t>
  </si>
  <si>
    <t>1241605</t>
  </si>
  <si>
    <t>314123</t>
  </si>
  <si>
    <t>317426</t>
  </si>
  <si>
    <t>298145</t>
  </si>
  <si>
    <t>846</t>
  </si>
  <si>
    <t>2019538</t>
  </si>
  <si>
    <t>Tafari Makonnen</t>
  </si>
  <si>
    <t>Comand KGH</t>
  </si>
  <si>
    <t>10000</t>
  </si>
  <si>
    <t>15000</t>
  </si>
  <si>
    <t>500000</t>
  </si>
  <si>
    <t>25000</t>
  </si>
  <si>
    <t>108605</t>
  </si>
  <si>
    <t>20000</t>
  </si>
  <si>
    <t>4444113</t>
  </si>
  <si>
    <t>132</t>
  </si>
  <si>
    <t>1839410</t>
  </si>
  <si>
    <t>190000</t>
  </si>
  <si>
    <t>1965088</t>
  </si>
  <si>
    <t>1898472</t>
  </si>
  <si>
    <t>1999761</t>
  </si>
  <si>
    <t>107987</t>
  </si>
  <si>
    <t>13d 12h</t>
  </si>
  <si>
    <t>28d 15h</t>
  </si>
  <si>
    <t>3412079</t>
  </si>
  <si>
    <t>3261646</t>
  </si>
  <si>
    <t>16d 0h</t>
  </si>
  <si>
    <t>857</t>
  </si>
  <si>
    <t>1023947</t>
  </si>
  <si>
    <t>1133682</t>
  </si>
  <si>
    <t>1598638</t>
  </si>
  <si>
    <t>1013672</t>
  </si>
  <si>
    <t>4708000</t>
  </si>
  <si>
    <t>1467921</t>
  </si>
  <si>
    <t>1386138</t>
  </si>
  <si>
    <t>2908828</t>
  </si>
  <si>
    <t>1052143</t>
  </si>
  <si>
    <t>1188627</t>
  </si>
  <si>
    <t>102746</t>
  </si>
  <si>
    <t>100743</t>
  </si>
  <si>
    <t>101179</t>
  </si>
  <si>
    <t>100581</t>
  </si>
  <si>
    <t>472910</t>
  </si>
  <si>
    <t>345719</t>
  </si>
  <si>
    <t>499117</t>
  </si>
  <si>
    <t>340049</t>
  </si>
  <si>
    <t>643</t>
  </si>
  <si>
    <t>2050000</t>
  </si>
  <si>
    <t>3408000</t>
  </si>
  <si>
    <t>6446111</t>
  </si>
  <si>
    <t>1806970</t>
  </si>
  <si>
    <t>6298507</t>
  </si>
  <si>
    <t>440000</t>
  </si>
  <si>
    <t>1890188</t>
  </si>
  <si>
    <t>2014710</t>
  </si>
  <si>
    <t>5142530</t>
  </si>
  <si>
    <t>6290507</t>
  </si>
  <si>
    <t>267000</t>
  </si>
  <si>
    <t>477286</t>
  </si>
  <si>
    <t>4389030</t>
  </si>
  <si>
    <t>3327441</t>
  </si>
  <si>
    <t>1650454</t>
  </si>
  <si>
    <t>1380469</t>
  </si>
  <si>
    <t>1350000</t>
  </si>
  <si>
    <t>350000</t>
  </si>
  <si>
    <t>51213</t>
  </si>
  <si>
    <t>1377898</t>
  </si>
  <si>
    <t>3748916</t>
  </si>
  <si>
    <t>1376900</t>
  </si>
  <si>
    <t>973148</t>
  </si>
  <si>
    <t>2679890</t>
  </si>
  <si>
    <t>2153129</t>
  </si>
  <si>
    <t>1090261</t>
  </si>
  <si>
    <t>2676000</t>
  </si>
  <si>
    <t>1240206</t>
  </si>
  <si>
    <t>1017080</t>
  </si>
  <si>
    <t>1017980</t>
  </si>
  <si>
    <t>1020835</t>
  </si>
  <si>
    <t>1018892</t>
  </si>
  <si>
    <t>1013599</t>
  </si>
  <si>
    <t>589</t>
  </si>
  <si>
    <t>25d 3h</t>
  </si>
  <si>
    <t>2d 8h</t>
  </si>
  <si>
    <t>86d 11h</t>
  </si>
  <si>
    <t>12d 19h</t>
  </si>
  <si>
    <t>1010692</t>
  </si>
  <si>
    <t>22d 1h</t>
  </si>
  <si>
    <t>20d 19h</t>
  </si>
  <si>
    <t>13d 17h</t>
  </si>
  <si>
    <t>45990</t>
  </si>
  <si>
    <t>593661</t>
  </si>
  <si>
    <t>lver</t>
  </si>
  <si>
    <t>538993</t>
  </si>
  <si>
    <t>1500560</t>
  </si>
  <si>
    <t>1418888</t>
  </si>
  <si>
    <t>42000000</t>
  </si>
  <si>
    <t>879055</t>
  </si>
  <si>
    <t>3909551</t>
  </si>
  <si>
    <t>4819622</t>
  </si>
  <si>
    <t>6055768</t>
  </si>
  <si>
    <t>7000000</t>
  </si>
  <si>
    <t>22464000</t>
  </si>
  <si>
    <t>Red Hot</t>
  </si>
  <si>
    <t>1142156</t>
  </si>
  <si>
    <t>1225415</t>
  </si>
  <si>
    <t>1138634</t>
  </si>
  <si>
    <t>9240000</t>
  </si>
  <si>
    <t>10320000</t>
  </si>
  <si>
    <t>25091</t>
  </si>
  <si>
    <t>12542</t>
  </si>
  <si>
    <t>29582</t>
  </si>
  <si>
    <t>24745</t>
  </si>
  <si>
    <t>1766</t>
  </si>
  <si>
    <t>25772</t>
  </si>
  <si>
    <t>817845</t>
  </si>
  <si>
    <t>257263</t>
  </si>
  <si>
    <t>879663</t>
  </si>
  <si>
    <t>413384</t>
  </si>
  <si>
    <t>773285</t>
  </si>
  <si>
    <t>4502</t>
  </si>
  <si>
    <t>1088</t>
  </si>
  <si>
    <t>1856</t>
  </si>
  <si>
    <t>1025</t>
  </si>
  <si>
    <t>987</t>
  </si>
  <si>
    <t>350</t>
  </si>
  <si>
    <t>4287275</t>
  </si>
  <si>
    <t>3550</t>
  </si>
  <si>
    <t>205</t>
  </si>
  <si>
    <t>700000</t>
  </si>
  <si>
    <t>989</t>
  </si>
  <si>
    <t>1311</t>
  </si>
  <si>
    <t>50199</t>
  </si>
  <si>
    <t>1093367</t>
  </si>
  <si>
    <t>188599</t>
  </si>
  <si>
    <t>59043</t>
  </si>
  <si>
    <t>16830</t>
  </si>
  <si>
    <t>46351</t>
  </si>
  <si>
    <t>11430</t>
  </si>
  <si>
    <t>2215</t>
  </si>
  <si>
    <t>1517</t>
  </si>
  <si>
    <t>1746</t>
  </si>
  <si>
    <t>601</t>
  </si>
  <si>
    <t>598</t>
  </si>
  <si>
    <t>51548</t>
  </si>
  <si>
    <t>basket ball</t>
  </si>
  <si>
    <t>7686000</t>
  </si>
  <si>
    <t>2600495</t>
  </si>
  <si>
    <t>141587</t>
  </si>
  <si>
    <t>Gabriel</t>
  </si>
  <si>
    <t>410177</t>
  </si>
  <si>
    <t>2743000</t>
  </si>
  <si>
    <t>1389847</t>
  </si>
  <si>
    <t>1096865</t>
  </si>
  <si>
    <t>1000924</t>
  </si>
  <si>
    <t>1283133</t>
  </si>
  <si>
    <t>1081245</t>
  </si>
  <si>
    <t>1125000</t>
  </si>
  <si>
    <t>1553</t>
  </si>
  <si>
    <t>18289</t>
  </si>
  <si>
    <t>2348</t>
  </si>
  <si>
    <t>487</t>
  </si>
  <si>
    <t>4513</t>
  </si>
  <si>
    <t>994</t>
  </si>
  <si>
    <t>17904</t>
  </si>
  <si>
    <t>251053</t>
  </si>
  <si>
    <t>1907</t>
  </si>
  <si>
    <t>1405</t>
  </si>
  <si>
    <t>768</t>
  </si>
  <si>
    <t>4709</t>
  </si>
  <si>
    <t>838</t>
  </si>
  <si>
    <t>535</t>
  </si>
  <si>
    <t>767</t>
  </si>
  <si>
    <t>1984</t>
  </si>
  <si>
    <t>193</t>
  </si>
  <si>
    <t>220</t>
  </si>
  <si>
    <t>Doberman</t>
  </si>
  <si>
    <t>152</t>
  </si>
  <si>
    <t>425</t>
  </si>
  <si>
    <t>250880</t>
  </si>
  <si>
    <t>Railrinine</t>
  </si>
  <si>
    <t>124</t>
  </si>
  <si>
    <t>484</t>
  </si>
  <si>
    <t>396</t>
  </si>
  <si>
    <t>577</t>
  </si>
  <si>
    <t>LeTinan</t>
  </si>
  <si>
    <t>330</t>
  </si>
  <si>
    <t>4500</t>
  </si>
  <si>
    <t>18060000</t>
  </si>
  <si>
    <t>6000</t>
  </si>
  <si>
    <t>185466</t>
  </si>
  <si>
    <t>1289351</t>
  </si>
  <si>
    <t>1110706</t>
  </si>
  <si>
    <t>1212047</t>
  </si>
  <si>
    <t>1015986</t>
  </si>
  <si>
    <t>1000088</t>
  </si>
  <si>
    <t>1101197</t>
  </si>
  <si>
    <t>1111211</t>
  </si>
  <si>
    <t>14000000</t>
  </si>
  <si>
    <t>1353049</t>
  </si>
  <si>
    <t>264</t>
  </si>
  <si>
    <t>500746</t>
  </si>
  <si>
    <t>10680666</t>
  </si>
  <si>
    <t>1038274</t>
  </si>
  <si>
    <t>8112000</t>
  </si>
  <si>
    <t>615836</t>
  </si>
  <si>
    <t>1050109</t>
  </si>
  <si>
    <t>1010329</t>
  </si>
  <si>
    <t>149422</t>
  </si>
  <si>
    <t>7620000</t>
  </si>
  <si>
    <t>814642</t>
  </si>
  <si>
    <t>272023</t>
  </si>
  <si>
    <t>17145000</t>
  </si>
  <si>
    <t>1827147</t>
  </si>
  <si>
    <t>821722</t>
  </si>
  <si>
    <t>1250000</t>
  </si>
  <si>
    <t>8d 2h</t>
  </si>
  <si>
    <t>1d 6h</t>
  </si>
  <si>
    <t>77d 7h</t>
  </si>
  <si>
    <t>3d 5h</t>
  </si>
  <si>
    <t>1009841</t>
  </si>
  <si>
    <t>8946000</t>
  </si>
  <si>
    <t>amount_num</t>
  </si>
  <si>
    <t>speedup_hours</t>
  </si>
  <si>
    <t>Sum of amount_num</t>
  </si>
  <si>
    <t>speedup_days</t>
  </si>
  <si>
    <t>Turtle Chest</t>
  </si>
  <si>
    <t>King Oliver</t>
  </si>
  <si>
    <t>CAPONE</t>
  </si>
  <si>
    <t>Runic Chest</t>
  </si>
  <si>
    <t>Lvl 20-24 Raid Runic squad</t>
  </si>
  <si>
    <t>Chest of Authority</t>
  </si>
  <si>
    <t>Authority Rush tournament</t>
  </si>
  <si>
    <t>Lvl 25-29 Raid Runic squad</t>
  </si>
  <si>
    <t>House of Horrors Chest</t>
  </si>
  <si>
    <t>federking</t>
  </si>
  <si>
    <t>Sparta</t>
  </si>
  <si>
    <t>Oliver</t>
  </si>
  <si>
    <t>steboulet 2</t>
  </si>
  <si>
    <t>pepe</t>
  </si>
  <si>
    <t>Tiimo8g07</t>
  </si>
  <si>
    <t>Diananaya</t>
  </si>
  <si>
    <t>Frekasa</t>
  </si>
  <si>
    <t>Ishnnin</t>
  </si>
  <si>
    <t>Magic Chest</t>
  </si>
  <si>
    <t>Bomfur</t>
  </si>
  <si>
    <t>Pehely</t>
  </si>
  <si>
    <t>Magyarock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</si>
</sst>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B2E5FF"/>
        <bgColor rgb="FFB2E5FF"/>
      </patternFill>
    </fill>
    <fill>
      <patternFill patternType="solid">
        <fgColor rgb="FFE5B2FF"/>
        <bgColor rgb="FFE5B2FF"/>
      </patternFill>
    </fill>
    <fill>
      <patternFill patternType="solid">
        <fgColor rgb="FFFFA400"/>
        <bgColor rgb="FFFFA400"/>
      </patternFill>
    </fill>
    <fill>
      <patternFill patternType="solid">
        <fgColor rgb="FFFFFFDF"/>
        <bgColor rgb="FFFFFFDF"/>
      </patternFill>
    </fill>
    <fill>
      <patternFill patternType="solid">
        <fgColor rgb="FFC2D69B"/>
        <bgColor rgb="FFC2D69B"/>
      </patternFill>
    </fill>
    <fill>
      <patternFill patternType="solid">
        <fgColor rgb="FF46BDC6"/>
        <bgColor rgb="FF46BDC6"/>
      </patternFill>
    </fill>
    <fill>
      <patternFill patternType="solid">
        <fgColor rgb="FFE5B8B7"/>
        <bgColor rgb="FFE5B8B7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theme="0" tint="-0.24994659260841701"/>
      </right>
      <top style="medium">
        <color rgb="FF00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00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 style="medium">
        <color rgb="FF000000"/>
      </top>
      <bottom style="thin">
        <color theme="0" tint="-0.24994659260841701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 style="medium">
        <color rgb="FF000000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/>
      <diagonal/>
    </border>
    <border>
      <left style="medium">
        <color rgb="FF000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rgb="FF000000"/>
      </top>
      <bottom style="thin">
        <color theme="0" tint="-0.24994659260841701"/>
      </bottom>
      <diagonal/>
    </border>
    <border>
      <left/>
      <right/>
      <top style="medium">
        <color rgb="FF000000"/>
      </top>
      <bottom style="thin">
        <color theme="0" tint="-0.24994659260841701"/>
      </bottom>
      <diagonal/>
    </border>
    <border>
      <left/>
      <right style="medium">
        <color rgb="FF000000"/>
      </right>
      <top style="medium">
        <color rgb="FF000000"/>
      </top>
      <bottom style="thin">
        <color theme="0" tint="-0.24994659260841701"/>
      </bottom>
      <diagonal/>
    </border>
    <border>
      <left style="medium">
        <color rgb="FF000000"/>
      </left>
      <right/>
      <top style="medium">
        <color rgb="FF000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rgb="FF000000"/>
      </top>
      <bottom style="thin">
        <color theme="0" tint="-0.24994659260841701"/>
      </bottom>
      <diagonal/>
    </border>
  </borders>
  <cellStyleXfs count="2">
    <xf numFmtId="0" fontId="0" fillId="0" borderId="0"/>
    <xf numFmtId="0" fontId="12" fillId="0" borderId="0"/>
  </cellStyleXfs>
  <cellXfs count="82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wrapText="1"/>
    </xf>
    <xf numFmtId="0" fontId="12" fillId="0" borderId="0" xfId="1"/>
    <xf numFmtId="0" fontId="4" fillId="0" borderId="0" xfId="0" applyFont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pivotButton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1" fillId="0" borderId="0" xfId="0" applyFont="1" applyAlignment="1">
      <alignment horizontal="center" vertical="center" textRotation="90"/>
    </xf>
    <xf numFmtId="0" fontId="11" fillId="0" borderId="0" xfId="0" applyFont="1" applyAlignment="1">
      <alignment horizontal="left" vertical="center"/>
    </xf>
    <xf numFmtId="0" fontId="1" fillId="0" borderId="0" xfId="0" applyFont="1"/>
    <xf numFmtId="0" fontId="4" fillId="2" borderId="2" xfId="0" applyFont="1" applyFill="1" applyBorder="1" applyAlignment="1">
      <alignment horizontal="center" textRotation="90" wrapText="1"/>
    </xf>
    <xf numFmtId="0" fontId="4" fillId="3" borderId="2" xfId="0" applyFont="1" applyFill="1" applyBorder="1" applyAlignment="1">
      <alignment horizontal="center" textRotation="90" wrapText="1"/>
    </xf>
    <xf numFmtId="0" fontId="4" fillId="4" borderId="2" xfId="0" applyFont="1" applyFill="1" applyBorder="1" applyAlignment="1">
      <alignment horizontal="center" textRotation="90" wrapText="1"/>
    </xf>
    <xf numFmtId="0" fontId="4" fillId="4" borderId="2" xfId="0" applyFont="1" applyFill="1" applyBorder="1" applyAlignment="1">
      <alignment horizontal="center" textRotation="90"/>
    </xf>
    <xf numFmtId="0" fontId="4" fillId="5" borderId="2" xfId="0" applyFont="1" applyFill="1" applyBorder="1" applyAlignment="1">
      <alignment horizontal="center" textRotation="90"/>
    </xf>
    <xf numFmtId="0" fontId="4" fillId="5" borderId="2" xfId="0" applyFont="1" applyFill="1" applyBorder="1" applyAlignment="1">
      <alignment horizontal="center" textRotation="90" wrapText="1"/>
    </xf>
    <xf numFmtId="0" fontId="4" fillId="0" borderId="2" xfId="0" applyFont="1" applyBorder="1" applyAlignment="1">
      <alignment horizontal="center" textRotation="90" wrapText="1"/>
    </xf>
    <xf numFmtId="0" fontId="4" fillId="6" borderId="2" xfId="0" applyFont="1" applyFill="1" applyBorder="1" applyAlignment="1">
      <alignment horizontal="center" textRotation="90"/>
    </xf>
    <xf numFmtId="0" fontId="4" fillId="6" borderId="2" xfId="0" applyFont="1" applyFill="1" applyBorder="1" applyAlignment="1">
      <alignment horizontal="center" textRotation="90" wrapText="1"/>
    </xf>
    <xf numFmtId="0" fontId="4" fillId="7" borderId="2" xfId="0" applyFont="1" applyFill="1" applyBorder="1" applyAlignment="1">
      <alignment horizontal="center" textRotation="90"/>
    </xf>
    <xf numFmtId="0" fontId="4" fillId="8" borderId="2" xfId="0" applyFont="1" applyFill="1" applyBorder="1" applyAlignment="1">
      <alignment horizontal="center" textRotation="90"/>
    </xf>
    <xf numFmtId="0" fontId="4" fillId="8" borderId="3" xfId="0" applyFont="1" applyFill="1" applyBorder="1" applyAlignment="1">
      <alignment horizontal="center" textRotation="90" wrapText="1"/>
    </xf>
    <xf numFmtId="0" fontId="4" fillId="0" borderId="4" xfId="0" applyFont="1" applyBorder="1" applyAlignment="1">
      <alignment horizontal="center" vertical="center"/>
    </xf>
    <xf numFmtId="1" fontId="4" fillId="0" borderId="5" xfId="0" applyNumberFormat="1" applyFont="1" applyBorder="1"/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8" xfId="0" applyNumberFormat="1" applyFont="1" applyBorder="1"/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 wrapText="1"/>
    </xf>
    <xf numFmtId="1" fontId="7" fillId="3" borderId="11" xfId="0" applyNumberFormat="1" applyFont="1" applyFill="1" applyBorder="1" applyAlignment="1">
      <alignment horizontal="center" vertical="center" wrapText="1"/>
    </xf>
    <xf numFmtId="1" fontId="7" fillId="4" borderId="11" xfId="0" applyNumberFormat="1" applyFont="1" applyFill="1" applyBorder="1" applyAlignment="1">
      <alignment horizontal="center" vertical="center" wrapText="1"/>
    </xf>
    <xf numFmtId="1" fontId="7" fillId="4" borderId="11" xfId="0" applyNumberFormat="1" applyFont="1" applyFill="1" applyBorder="1" applyAlignment="1">
      <alignment horizontal="center" vertical="center"/>
    </xf>
    <xf numFmtId="1" fontId="7" fillId="5" borderId="11" xfId="0" applyNumberFormat="1" applyFont="1" applyFill="1" applyBorder="1" applyAlignment="1">
      <alignment horizontal="center" vertical="center"/>
    </xf>
    <xf numFmtId="1" fontId="7" fillId="5" borderId="11" xfId="0" applyNumberFormat="1" applyFont="1" applyFill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/>
    </xf>
    <xf numFmtId="1" fontId="7" fillId="6" borderId="11" xfId="0" applyNumberFormat="1" applyFont="1" applyFill="1" applyBorder="1" applyAlignment="1">
      <alignment horizontal="center" vertical="center"/>
    </xf>
    <xf numFmtId="1" fontId="7" fillId="6" borderId="11" xfId="0" applyNumberFormat="1" applyFont="1" applyFill="1" applyBorder="1" applyAlignment="1">
      <alignment horizontal="center" vertical="center" wrapText="1"/>
    </xf>
    <xf numFmtId="1" fontId="7" fillId="7" borderId="11" xfId="0" applyNumberFormat="1" applyFont="1" applyFill="1" applyBorder="1" applyAlignment="1">
      <alignment horizontal="center" vertical="center"/>
    </xf>
    <xf numFmtId="1" fontId="7" fillId="8" borderId="11" xfId="0" applyNumberFormat="1" applyFont="1" applyFill="1" applyBorder="1" applyAlignment="1">
      <alignment horizontal="center" vertical="center"/>
    </xf>
    <xf numFmtId="1" fontId="7" fillId="8" borderId="12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1" fontId="4" fillId="0" borderId="14" xfId="0" applyNumberFormat="1" applyFont="1" applyBorder="1"/>
    <xf numFmtId="1" fontId="4" fillId="0" borderId="14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" fontId="9" fillId="9" borderId="8" xfId="0" applyNumberFormat="1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textRotation="90"/>
    </xf>
    <xf numFmtId="0" fontId="7" fillId="0" borderId="18" xfId="0" applyFont="1" applyBorder="1" applyAlignment="1">
      <alignment horizontal="center" vertical="center" wrapText="1"/>
    </xf>
    <xf numFmtId="22" fontId="0" fillId="0" borderId="0" xfId="0" applyNumberFormat="1"/>
    <xf numFmtId="3" fontId="0" fillId="0" borderId="0" xfId="0" applyNumberFormat="1"/>
    <xf numFmtId="3" fontId="0" fillId="0" borderId="0" xfId="0" pivotButton="1" applyNumberFormat="1"/>
    <xf numFmtId="3" fontId="0" fillId="0" borderId="0" xfId="0" applyNumberFormat="1" applyAlignment="1">
      <alignment horizontal="left"/>
    </xf>
    <xf numFmtId="0" fontId="4" fillId="10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0" fillId="0" borderId="11" xfId="0" applyBorder="1"/>
    <xf numFmtId="0" fontId="9" fillId="0" borderId="2" xfId="0" applyFont="1" applyBorder="1" applyAlignment="1">
      <alignment horizontal="center" vertical="center" wrapText="1"/>
    </xf>
    <xf numFmtId="0" fontId="0" fillId="0" borderId="2" xfId="0" applyBorder="1"/>
    <xf numFmtId="1" fontId="9" fillId="9" borderId="2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43"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  <alignment horizontal="lef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27" formatCode="d/m/yyyy\ hh:mm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Jensen" refreshedDate="46153.67642546296" createdVersion="8" refreshedVersion="8" minRefreshableVersion="3" recordCount="861" xr:uid="{9A4A2899-47E0-4575-9AAF-A111F68BE3BE}">
  <cacheSource type="worksheet">
    <worksheetSource name="contributions_2026_05"/>
  </cacheSource>
  <cacheFields count="7">
    <cacheField name="date" numFmtId="22">
      <sharedItems containsSemiMixedTypes="0" containsNonDate="0" containsDate="1" containsString="0" minDate="2026-05-04T00:00:00" maxDate="2026-05-05T00:00:00"/>
    </cacheField>
    <cacheField name="player" numFmtId="0">
      <sharedItems count="77">
        <s v="sillovr"/>
        <s v="MindraNivera"/>
        <s v="elm3alim"/>
        <s v="Gleranir"/>
        <s v="Nettle"/>
        <s v="Chili Peppers"/>
        <s v="Der Morg"/>
        <s v="Morn"/>
        <s v="Glitched"/>
        <s v="aladred"/>
        <s v="Zulkigore"/>
        <s v="Totaur"/>
        <s v="Pfunk"/>
        <s v="Yondu"/>
        <s v="Toastman"/>
        <s v="Sinwing"/>
        <s v="Absolutus"/>
        <s v="Megrinad"/>
        <s v="wiiikaaaa"/>
        <s v="Attila the hun"/>
        <s v="Ferodad"/>
        <s v="ARBA33"/>
        <s v="crabb"/>
        <s v="Amr ibn al Aas"/>
        <s v="Burgs"/>
        <s v="Angel"/>
        <s v="Earar"/>
        <s v="Tomuro"/>
        <s v="Bella"/>
        <s v="Rayan"/>
        <s v="Elaref"/>
        <s v="CongulusMurat"/>
        <s v="Volk"/>
        <s v="Mario"/>
        <s v="Darus735"/>
        <s v="Vasfris"/>
        <s v="bb steboulet 2"/>
        <s v="silovr"/>
        <s v="Stuff"/>
        <s v="Rhys"/>
        <s v="Agagas"/>
        <s v="Lil Thog of Boomtown"/>
        <s v="Luar"/>
        <s v="SalahTime"/>
        <s v="Maedrafir"/>
        <s v="BORU"/>
        <s v="Kaachou"/>
        <s v="Celmeena"/>
        <s v="Lirosin"/>
        <s v="Jennifer"/>
        <s v="ROD"/>
        <s v="Lefinan"/>
        <s v="Arardin"/>
        <s v="World Order"/>
        <s v="Kathrilis"/>
        <s v="AL CAPONE"/>
        <s v="SHIOVF"/>
        <s v="Eyvening"/>
        <s v="Railrining"/>
        <s v="Iver"/>
        <s v="Colis"/>
        <s v="Gozahn"/>
        <s v="CarpeVino"/>
        <s v="Osvajac666"/>
        <s v="Tygohn"/>
        <s v="Nakor"/>
        <s v="Jon Snow"/>
        <s v="Hunter"/>
        <s v="Tafari Makonnen"/>
        <s v="Comand KGH"/>
        <s v="lver"/>
        <s v="Red Hot"/>
        <s v="basket ball"/>
        <s v="Gabriel"/>
        <s v="Doberman"/>
        <s v="Railrinine"/>
        <s v="LeTinan"/>
      </sharedItems>
    </cacheField>
    <cacheField name="amount" numFmtId="0">
      <sharedItems/>
    </cacheField>
    <cacheField name="type" numFmtId="0">
      <sharedItems count="9">
        <s v="Lumber"/>
        <s v="Stone"/>
        <s v="Clan Speedup"/>
        <s v="Food"/>
        <s v="Silver"/>
        <s v="Steel"/>
        <s v="Iron"/>
        <s v=""/>
        <s v="Dragon Coins"/>
      </sharedItems>
    </cacheField>
    <cacheField name="amount_num" numFmtId="3">
      <sharedItems containsString="0" containsBlank="1" containsNumber="1" containsInteger="1" minValue="124" maxValue="42000000"/>
    </cacheField>
    <cacheField name="speedup_days" numFmtId="3">
      <sharedItems containsString="0" containsBlank="1" containsNumber="1" containsInteger="1" minValue="1" maxValue="117"/>
    </cacheField>
    <cacheField name="speedup_hours" numFmtId="3">
      <sharedItems containsString="0" containsBlank="1" containsNumber="1" containsInteger="1" minValue="26" maxValue="28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Jensen" refreshedDate="46153.676822685185" createdVersion="8" refreshedVersion="8" minRefreshableVersion="3" recordCount="301" xr:uid="{1A1A0633-4CE7-406B-B276-E296A546EDF6}">
  <cacheSource type="worksheet">
    <worksheetSource name="tbl_chests"/>
  </cacheSource>
  <cacheFields count="6">
    <cacheField name="datetime" numFmtId="22">
      <sharedItems containsSemiMixedTypes="0" containsNonDate="0" containsDate="1" containsString="0" minDate="2026-05-11T10:21:00" maxDate="2026-05-11T16:00:00"/>
    </cacheField>
    <cacheField name="tab" numFmtId="0">
      <sharedItems/>
    </cacheField>
    <cacheField name="chest" numFmtId="0">
      <sharedItems/>
    </cacheField>
    <cacheField name="from" numFmtId="0">
      <sharedItems count="116">
        <s v="Luar"/>
        <s v="Rooster"/>
        <s v="Frekasa"/>
        <s v="Maedrafir"/>
        <s v="Stuff"/>
        <s v="Gozahn"/>
        <s v="Van Jazzle"/>
        <s v="Chili Peppers"/>
        <s v="Sparta"/>
        <s v="Finfiring"/>
        <s v="sillovr"/>
        <s v="Sinwing"/>
        <s v="MindraNivera"/>
        <s v="Eyvening"/>
        <s v="Burgs"/>
        <s v="Ishnnin"/>
        <s v="Lirosin"/>
        <s v="ROD"/>
        <s v="Jennifer"/>
        <s v="crabb"/>
        <s v="Tiimo807"/>
        <s v="CAPONE"/>
        <s v="Attila the hun"/>
        <s v="Diananaya"/>
        <s v="Absolutus"/>
        <s v="Zulkigore"/>
        <s v="aladred"/>
        <s v="ARBA33"/>
        <s v="Der Morg"/>
        <s v="Nettle"/>
        <s v="BORU"/>
        <s v="Bomfur"/>
        <s v="Pehely"/>
        <s v="Magyarock"/>
        <s v="Amr ibn al Aas"/>
        <s v="Megrinad"/>
        <s v="CongulusMurat"/>
        <s v="Yondu"/>
        <s v="Toastman"/>
        <s v="Railrining" u="1"/>
        <s v="Bella" u="1"/>
        <s v="Tomuro" u="1"/>
        <s v="Ferodad" u="1"/>
        <s v="Lil Thog of Boomtown" u="1"/>
        <s v="Luchfirilas" u="1"/>
        <s v="Darus735" u="1"/>
        <s v="Kathrilis" u="1"/>
        <s v="Totaur" u="1"/>
        <s v="Kaachou" u="1"/>
        <s v="Angel" u="1"/>
        <s v="Vasfris" u="1"/>
        <s v="Aurithris" u="1"/>
        <s v="SalahTime" u="1"/>
        <s v="Earar" u="1"/>
        <s v="Lefinan" u="1"/>
        <s v="Rhys" u="1"/>
        <s v="bb steboulet 2" u="1"/>
        <s v="Thommy Black" u="1"/>
        <s v="Elaref" u="1"/>
        <s v="Agagas" u="1"/>
        <s v="Celmeena" u="1"/>
        <s v="Bilesi" u="1"/>
        <s v="Mario" u="1"/>
        <s v="Pfunk" u="1"/>
        <s v="Arardin" u="1"/>
        <s v="Glitched" u="1"/>
        <s v="Rayan" u="1"/>
        <s v="CarpeVino" u="1"/>
        <s v="Kibur" u="1"/>
        <s v="Iver" u="1"/>
        <s v="wiiikaaaa" u="1"/>
        <s v="Volk" u="1"/>
        <s v="AL CAPONE" u="1"/>
        <s v="TEAM GB" u="1"/>
        <s v="Mohamed" u="1"/>
        <s v="morgana" u="1"/>
        <s v="King Oliver" u="1"/>
        <s v="Gleranir" u="1"/>
        <s v="federking" u="1"/>
        <s v="Oliver" u="1"/>
        <s v="steboulet 2" u="1"/>
        <s v="pepe" u="1"/>
        <s v="Tiimo8g07" u="1"/>
        <s v="Trdat" u="1"/>
        <s v="Gabriel" u="1"/>
        <s v="Fobor" u="1"/>
        <s v="Tygohn" u="1"/>
        <s v="Colis" u="1"/>
        <s v="Lanien" u="1"/>
        <s v="lronsinger" u="1"/>
        <s v="Comand" u="1"/>
        <s v="Jon Snow" u="1"/>
        <s v="Nakor" u="1"/>
        <s v="Peregrine Falcon" u="1"/>
        <s v="Areda" u="1"/>
        <s v="hottie BOSS" u="1"/>
        <s v="Felkhabor" u="1"/>
        <s v="Ron" u="1"/>
        <s v="Hunter" u="1"/>
        <s v="Morn" u="1"/>
        <s v="Osvajac666" u="1"/>
        <s v="NurSo" u="1"/>
        <s v="Follador" u="1"/>
        <s v="World Order" u="1"/>
        <s v="Filloten" u="1"/>
        <s v="Red Hot" u="1"/>
        <s v="Funving" u="1"/>
        <s v="Eyareyl" u="1"/>
        <s v="Purefont" u="1"/>
        <s v="basket ball" u="1"/>
        <s v="Orodbrimir" u="1"/>
        <s v="CENGIZHAN" u="1"/>
        <s v="Comand KGH" u="1"/>
        <s v="Ironside" u="1"/>
        <s v="Doberman" u="1"/>
        <s v="Deldisel" u="1"/>
      </sharedItems>
    </cacheField>
    <cacheField name="source" numFmtId="0">
      <sharedItems/>
    </cacheField>
    <cacheField name="legalized" numFmtId="0">
      <sharedItems count="16">
        <s v="L10 Crypt"/>
        <s v="L15 Crypt"/>
        <s v="L5 Crypt"/>
        <s v="L10 Rare Crypt"/>
        <s v="Others"/>
        <s v="L15 Epic Crypt"/>
        <s v="L15 Rare Crypt"/>
        <s v="L20 Epic Crypt"/>
        <s v="L20 Crypt"/>
        <s v="Bank"/>
        <s v="L10 Citadel"/>
        <s v="L20 Citadel" u="1"/>
        <s v="L20 Rare Crypt" u="1"/>
        <s v="L15 Citadel" u="1"/>
        <s v="Ancients Vault" u="1"/>
        <s v="Ancients Chest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d v="2026-05-04T00:00:00"/>
    <x v="0"/>
    <s v="2717000"/>
    <x v="0"/>
    <n v="2717000"/>
    <m/>
    <m/>
  </r>
  <r>
    <d v="2026-05-04T00:00:00"/>
    <x v="1"/>
    <s v="1000000"/>
    <x v="0"/>
    <n v="1000000"/>
    <m/>
    <m/>
  </r>
  <r>
    <d v="2026-05-04T00:00:00"/>
    <x v="0"/>
    <s v="2717000"/>
    <x v="1"/>
    <n v="2717000"/>
    <m/>
    <m/>
  </r>
  <r>
    <d v="2026-05-04T00:00:00"/>
    <x v="2"/>
    <s v="7d 0h"/>
    <x v="2"/>
    <m/>
    <n v="7"/>
    <n v="168"/>
  </r>
  <r>
    <d v="2026-05-04T00:00:00"/>
    <x v="3"/>
    <s v="1872000"/>
    <x v="3"/>
    <n v="1872000"/>
    <m/>
    <m/>
  </r>
  <r>
    <d v="2026-05-04T00:00:00"/>
    <x v="3"/>
    <s v="1872000"/>
    <x v="3"/>
    <n v="1872000"/>
    <m/>
    <m/>
  </r>
  <r>
    <d v="2026-05-04T00:00:00"/>
    <x v="3"/>
    <s v="1872000"/>
    <x v="4"/>
    <n v="1872000"/>
    <m/>
    <m/>
  </r>
  <r>
    <d v="2026-05-04T00:00:00"/>
    <x v="4"/>
    <s v="11d 16h"/>
    <x v="2"/>
    <m/>
    <n v="12"/>
    <n v="280"/>
  </r>
  <r>
    <d v="2026-05-04T00:00:00"/>
    <x v="5"/>
    <s v="13d 3h"/>
    <x v="2"/>
    <m/>
    <n v="13"/>
    <n v="315"/>
  </r>
  <r>
    <d v="2026-05-04T00:00:00"/>
    <x v="4"/>
    <s v="18400000"/>
    <x v="3"/>
    <n v="18400000"/>
    <m/>
    <m/>
  </r>
  <r>
    <d v="2026-05-04T00:00:00"/>
    <x v="6"/>
    <s v="4587518"/>
    <x v="0"/>
    <n v="4587518"/>
    <m/>
    <m/>
  </r>
  <r>
    <d v="2026-05-04T00:00:00"/>
    <x v="7"/>
    <s v="1248000"/>
    <x v="3"/>
    <n v="1248000"/>
    <m/>
    <m/>
  </r>
  <r>
    <d v="2026-05-04T00:00:00"/>
    <x v="8"/>
    <s v="848000"/>
    <x v="3"/>
    <n v="848000"/>
    <m/>
    <m/>
  </r>
  <r>
    <d v="2026-05-04T00:00:00"/>
    <x v="9"/>
    <s v="2690000"/>
    <x v="1"/>
    <n v="2690000"/>
    <m/>
    <m/>
  </r>
  <r>
    <d v="2026-05-04T00:00:00"/>
    <x v="10"/>
    <s v="4428000"/>
    <x v="4"/>
    <n v="4428000"/>
    <m/>
    <m/>
  </r>
  <r>
    <d v="2026-05-04T00:00:00"/>
    <x v="1"/>
    <s v="1000000"/>
    <x v="4"/>
    <n v="1000000"/>
    <m/>
    <m/>
  </r>
  <r>
    <d v="2026-05-04T00:00:00"/>
    <x v="0"/>
    <s v="2717000"/>
    <x v="3"/>
    <n v="2717000"/>
    <m/>
    <m/>
  </r>
  <r>
    <d v="2026-05-04T00:00:00"/>
    <x v="3"/>
    <s v="1872000"/>
    <x v="4"/>
    <n v="1872000"/>
    <m/>
    <m/>
  </r>
  <r>
    <d v="2026-05-04T00:00:00"/>
    <x v="4"/>
    <s v="18400000"/>
    <x v="0"/>
    <n v="18400000"/>
    <m/>
    <m/>
  </r>
  <r>
    <d v="2026-05-04T00:00:00"/>
    <x v="6"/>
    <s v="4587518"/>
    <x v="3"/>
    <n v="4587518"/>
    <m/>
    <m/>
  </r>
  <r>
    <d v="2026-05-04T00:00:00"/>
    <x v="9"/>
    <s v="2690000"/>
    <x v="0"/>
    <n v="2690000"/>
    <m/>
    <m/>
  </r>
  <r>
    <d v="2026-05-04T00:00:00"/>
    <x v="11"/>
    <s v="2026"/>
    <x v="3"/>
    <n v="2026"/>
    <m/>
    <m/>
  </r>
  <r>
    <d v="2026-05-04T00:00:00"/>
    <x v="6"/>
    <s v="4587518"/>
    <x v="4"/>
    <n v="4587518"/>
    <m/>
    <m/>
  </r>
  <r>
    <d v="2026-05-04T00:00:00"/>
    <x v="9"/>
    <s v="2690000"/>
    <x v="4"/>
    <n v="2690000"/>
    <m/>
    <m/>
  </r>
  <r>
    <d v="2026-05-04T00:00:00"/>
    <x v="11"/>
    <s v="2926000"/>
    <x v="4"/>
    <n v="2926000"/>
    <m/>
    <m/>
  </r>
  <r>
    <d v="2026-05-04T00:00:00"/>
    <x v="11"/>
    <s v="2926000"/>
    <x v="1"/>
    <n v="2926000"/>
    <m/>
    <m/>
  </r>
  <r>
    <d v="2026-05-04T00:00:00"/>
    <x v="0"/>
    <s v="8229000"/>
    <x v="5"/>
    <n v="8229000"/>
    <m/>
    <m/>
  </r>
  <r>
    <d v="2026-05-04T00:00:00"/>
    <x v="12"/>
    <s v="1890000"/>
    <x v="3"/>
    <n v="1890000"/>
    <m/>
    <m/>
  </r>
  <r>
    <d v="2026-05-04T00:00:00"/>
    <x v="10"/>
    <s v="4428000"/>
    <x v="3"/>
    <n v="4428000"/>
    <m/>
    <m/>
  </r>
  <r>
    <d v="2026-05-04T00:00:00"/>
    <x v="11"/>
    <s v="2926000"/>
    <x v="3"/>
    <n v="2926000"/>
    <m/>
    <m/>
  </r>
  <r>
    <d v="2026-05-04T00:00:00"/>
    <x v="0"/>
    <s v="8229000"/>
    <x v="3"/>
    <n v="8229000"/>
    <m/>
    <m/>
  </r>
  <r>
    <d v="2026-05-04T00:00:00"/>
    <x v="12"/>
    <s v="1890000"/>
    <x v="6"/>
    <n v="1890000"/>
    <m/>
    <m/>
  </r>
  <r>
    <d v="2026-05-04T00:00:00"/>
    <x v="10"/>
    <s v="948000"/>
    <x v="0"/>
    <n v="948000"/>
    <m/>
    <m/>
  </r>
  <r>
    <d v="2026-05-04T00:00:00"/>
    <x v="12"/>
    <s v="105856"/>
    <x v="4"/>
    <n v="105856"/>
    <m/>
    <m/>
  </r>
  <r>
    <d v="2026-05-04T00:00:00"/>
    <x v="12"/>
    <s v="1890000"/>
    <x v="1"/>
    <n v="1890000"/>
    <m/>
    <m/>
  </r>
  <r>
    <d v="2026-05-04T00:00:00"/>
    <x v="9"/>
    <s v="3758479"/>
    <x v="0"/>
    <n v="3758479"/>
    <m/>
    <m/>
  </r>
  <r>
    <d v="2026-05-04T00:00:00"/>
    <x v="13"/>
    <s v="2584672"/>
    <x v="3"/>
    <n v="2584672"/>
    <m/>
    <m/>
  </r>
  <r>
    <d v="2026-05-04T00:00:00"/>
    <x v="0"/>
    <s v="8229000"/>
    <x v="4"/>
    <n v="8229000"/>
    <m/>
    <m/>
  </r>
  <r>
    <d v="2026-05-04T00:00:00"/>
    <x v="12"/>
    <s v="105856"/>
    <x v="3"/>
    <n v="105856"/>
    <m/>
    <m/>
  </r>
  <r>
    <d v="2026-05-04T00:00:00"/>
    <x v="9"/>
    <s v="3758479"/>
    <x v="4"/>
    <n v="3758479"/>
    <m/>
    <m/>
  </r>
  <r>
    <d v="2026-05-04T00:00:00"/>
    <x v="13"/>
    <s v="1150054"/>
    <x v="4"/>
    <n v="1150054"/>
    <m/>
    <m/>
  </r>
  <r>
    <d v="2026-05-04T00:00:00"/>
    <x v="13"/>
    <s v="706134"/>
    <x v="6"/>
    <n v="706134"/>
    <m/>
    <m/>
  </r>
  <r>
    <d v="2026-05-04T00:00:00"/>
    <x v="13"/>
    <s v="737452"/>
    <x v="3"/>
    <n v="737452"/>
    <m/>
    <m/>
  </r>
  <r>
    <d v="2026-05-04T00:00:00"/>
    <x v="13"/>
    <s v="823863"/>
    <x v="4"/>
    <n v="823863"/>
    <m/>
    <m/>
  </r>
  <r>
    <d v="2026-05-04T00:00:00"/>
    <x v="9"/>
    <s v="208337"/>
    <x v="1"/>
    <n v="208337"/>
    <m/>
    <m/>
  </r>
  <r>
    <d v="2026-05-04T00:00:00"/>
    <x v="9"/>
    <s v="198544"/>
    <x v="4"/>
    <n v="198544"/>
    <m/>
    <m/>
  </r>
  <r>
    <d v="2026-05-04T00:00:00"/>
    <x v="9"/>
    <s v="3758479"/>
    <x v="3"/>
    <n v="3758479"/>
    <m/>
    <m/>
  </r>
  <r>
    <d v="2026-05-04T00:00:00"/>
    <x v="13"/>
    <s v="2584672"/>
    <x v="1"/>
    <n v="2584672"/>
    <m/>
    <m/>
  </r>
  <r>
    <d v="2026-05-04T00:00:00"/>
    <x v="13"/>
    <s v="823863"/>
    <x v="1"/>
    <n v="823863"/>
    <m/>
    <m/>
  </r>
  <r>
    <d v="2026-05-04T00:00:00"/>
    <x v="14"/>
    <s v="1036"/>
    <x v="3"/>
    <n v="1036"/>
    <m/>
    <m/>
  </r>
  <r>
    <d v="2026-05-04T00:00:00"/>
    <x v="15"/>
    <s v="100000"/>
    <x v="3"/>
    <n v="100000"/>
    <m/>
    <m/>
  </r>
  <r>
    <d v="2026-05-04T00:00:00"/>
    <x v="16"/>
    <s v="431452"/>
    <x v="3"/>
    <n v="431452"/>
    <m/>
    <m/>
  </r>
  <r>
    <d v="2026-05-04T00:00:00"/>
    <x v="17"/>
    <s v="6270000"/>
    <x v="0"/>
    <n v="6270000"/>
    <m/>
    <m/>
  </r>
  <r>
    <d v="2026-05-04T00:00:00"/>
    <x v="16"/>
    <s v="1063155"/>
    <x v="5"/>
    <n v="1063155"/>
    <m/>
    <m/>
  </r>
  <r>
    <d v="2026-05-04T00:00:00"/>
    <x v="16"/>
    <s v="1063155"/>
    <x v="3"/>
    <n v="1063155"/>
    <m/>
    <m/>
  </r>
  <r>
    <d v="2026-05-04T00:00:00"/>
    <x v="17"/>
    <s v="1007106"/>
    <x v="6"/>
    <n v="1007106"/>
    <m/>
    <m/>
  </r>
  <r>
    <d v="2026-05-04T00:00:00"/>
    <x v="17"/>
    <s v="2339879"/>
    <x v="4"/>
    <n v="2339879"/>
    <m/>
    <m/>
  </r>
  <r>
    <d v="2026-05-04T00:00:00"/>
    <x v="18"/>
    <s v="3290000"/>
    <x v="1"/>
    <n v="3290000"/>
    <m/>
    <m/>
  </r>
  <r>
    <d v="2026-05-04T00:00:00"/>
    <x v="17"/>
    <s v="403139"/>
    <x v="3"/>
    <n v="403139"/>
    <m/>
    <m/>
  </r>
  <r>
    <d v="2026-05-04T00:00:00"/>
    <x v="18"/>
    <s v="3290000"/>
    <x v="4"/>
    <n v="3290000"/>
    <m/>
    <m/>
  </r>
  <r>
    <d v="2026-05-04T00:00:00"/>
    <x v="17"/>
    <s v="6270000"/>
    <x v="4"/>
    <n v="6270000"/>
    <m/>
    <m/>
  </r>
  <r>
    <d v="2026-05-04T00:00:00"/>
    <x v="17"/>
    <s v="2339879"/>
    <x v="3"/>
    <n v="2339879"/>
    <m/>
    <m/>
  </r>
  <r>
    <d v="2026-05-04T00:00:00"/>
    <x v="18"/>
    <s v="3290000"/>
    <x v="4"/>
    <n v="3290000"/>
    <m/>
    <m/>
  </r>
  <r>
    <d v="2026-05-04T00:00:00"/>
    <x v="17"/>
    <s v="403139"/>
    <x v="1"/>
    <n v="403139"/>
    <m/>
    <m/>
  </r>
  <r>
    <d v="2026-05-04T00:00:00"/>
    <x v="19"/>
    <s v="1794"/>
    <x v="3"/>
    <n v="1794"/>
    <m/>
    <m/>
  </r>
  <r>
    <d v="2026-05-04T00:00:00"/>
    <x v="0"/>
    <s v="7481771"/>
    <x v="0"/>
    <n v="7481771"/>
    <m/>
    <m/>
  </r>
  <r>
    <d v="2026-05-04T00:00:00"/>
    <x v="0"/>
    <s v="1339713"/>
    <x v="3"/>
    <n v="1339713"/>
    <m/>
    <m/>
  </r>
  <r>
    <d v="2026-05-04T00:00:00"/>
    <x v="20"/>
    <s v="3500000"/>
    <x v="6"/>
    <n v="3500000"/>
    <m/>
    <m/>
  </r>
  <r>
    <d v="2026-05-04T00:00:00"/>
    <x v="21"/>
    <s v="400000"/>
    <x v="1"/>
    <n v="400000"/>
    <m/>
    <m/>
  </r>
  <r>
    <d v="2026-05-04T00:00:00"/>
    <x v="18"/>
    <s v="3290000"/>
    <x v="3"/>
    <n v="3290000"/>
    <m/>
    <m/>
  </r>
  <r>
    <d v="2026-05-04T00:00:00"/>
    <x v="17"/>
    <s v="403139"/>
    <x v="4"/>
    <n v="403139"/>
    <m/>
    <m/>
  </r>
  <r>
    <d v="2026-05-04T00:00:00"/>
    <x v="1"/>
    <s v="1000000"/>
    <x v="3"/>
    <n v="1000000"/>
    <m/>
    <m/>
  </r>
  <r>
    <d v="2026-05-04T00:00:00"/>
    <x v="0"/>
    <s v="7481771"/>
    <x v="4"/>
    <n v="7481771"/>
    <m/>
    <m/>
  </r>
  <r>
    <d v="2026-05-04T00:00:00"/>
    <x v="0"/>
    <s v="1339713"/>
    <x v="4"/>
    <n v="1339713"/>
    <m/>
    <m/>
  </r>
  <r>
    <d v="2026-05-04T00:00:00"/>
    <x v="21"/>
    <s v="400000"/>
    <x v="3"/>
    <n v="400000"/>
    <m/>
    <m/>
  </r>
  <r>
    <d v="2026-05-04T00:00:00"/>
    <x v="0"/>
    <s v="2196908"/>
    <x v="3"/>
    <n v="2196908"/>
    <m/>
    <m/>
  </r>
  <r>
    <d v="2026-05-04T00:00:00"/>
    <x v="21"/>
    <s v="400000"/>
    <x v="4"/>
    <n v="400000"/>
    <m/>
    <m/>
  </r>
  <r>
    <d v="2026-05-04T00:00:00"/>
    <x v="0"/>
    <s v="1108357"/>
    <x v="6"/>
    <n v="1108357"/>
    <m/>
    <m/>
  </r>
  <r>
    <d v="2026-05-04T00:00:00"/>
    <x v="22"/>
    <s v="50000"/>
    <x v="3"/>
    <n v="50000"/>
    <m/>
    <m/>
  </r>
  <r>
    <d v="2026-05-04T00:00:00"/>
    <x v="23"/>
    <s v="3998821"/>
    <x v="4"/>
    <n v="3998821"/>
    <m/>
    <m/>
  </r>
  <r>
    <d v="2026-05-04T00:00:00"/>
    <x v="20"/>
    <s v="3500000"/>
    <x v="3"/>
    <n v="3500000"/>
    <m/>
    <m/>
  </r>
  <r>
    <d v="2026-05-04T00:00:00"/>
    <x v="22"/>
    <s v="50000"/>
    <x v="6"/>
    <n v="50000"/>
    <m/>
    <m/>
  </r>
  <r>
    <d v="2026-05-04T00:00:00"/>
    <x v="23"/>
    <s v="3998821"/>
    <x v="1"/>
    <n v="3998821"/>
    <m/>
    <m/>
  </r>
  <r>
    <d v="2026-05-04T00:00:00"/>
    <x v="1"/>
    <s v="404000"/>
    <x v="4"/>
    <n v="404000"/>
    <m/>
    <m/>
  </r>
  <r>
    <d v="2026-05-04T00:00:00"/>
    <x v="22"/>
    <s v="50000"/>
    <x v="4"/>
    <n v="50000"/>
    <m/>
    <m/>
  </r>
  <r>
    <d v="2026-05-04T00:00:00"/>
    <x v="22"/>
    <s v="50000"/>
    <x v="4"/>
    <n v="50000"/>
    <m/>
    <m/>
  </r>
  <r>
    <d v="2026-05-04T00:00:00"/>
    <x v="19"/>
    <s v="8862000"/>
    <x v="4"/>
    <n v="8862000"/>
    <m/>
    <m/>
  </r>
  <r>
    <d v="2026-05-04T00:00:00"/>
    <x v="0"/>
    <s v="1108357"/>
    <x v="3"/>
    <n v="1108357"/>
    <m/>
    <m/>
  </r>
  <r>
    <d v="2026-05-04T00:00:00"/>
    <x v="1"/>
    <s v="1000000"/>
    <x v="5"/>
    <n v="1000000"/>
    <m/>
    <m/>
  </r>
  <r>
    <d v="2026-05-04T00:00:00"/>
    <x v="22"/>
    <s v="50000"/>
    <x v="3"/>
    <n v="50000"/>
    <m/>
    <m/>
  </r>
  <r>
    <d v="2026-05-04T00:00:00"/>
    <x v="19"/>
    <s v="8862000"/>
    <x v="0"/>
    <n v="8862000"/>
    <m/>
    <m/>
  </r>
  <r>
    <d v="2026-05-04T00:00:00"/>
    <x v="11"/>
    <s v="2926000"/>
    <x v="6"/>
    <n v="2926000"/>
    <m/>
    <m/>
  </r>
  <r>
    <d v="2026-05-04T00:00:00"/>
    <x v="11"/>
    <s v="2926000"/>
    <x v="4"/>
    <n v="2926000"/>
    <m/>
    <m/>
  </r>
  <r>
    <d v="2026-05-04T00:00:00"/>
    <x v="24"/>
    <s v="994541"/>
    <x v="4"/>
    <n v="994541"/>
    <m/>
    <m/>
  </r>
  <r>
    <d v="2026-05-04T00:00:00"/>
    <x v="25"/>
    <s v="200"/>
    <x v="3"/>
    <n v="200"/>
    <m/>
    <m/>
  </r>
  <r>
    <d v="2026-05-04T00:00:00"/>
    <x v="22"/>
    <s v="50000"/>
    <x v="1"/>
    <n v="50000"/>
    <m/>
    <m/>
  </r>
  <r>
    <d v="2026-05-04T00:00:00"/>
    <x v="11"/>
    <s v="2926000"/>
    <x v="3"/>
    <n v="2926000"/>
    <m/>
    <m/>
  </r>
  <r>
    <d v="2026-05-04T00:00:00"/>
    <x v="24"/>
    <s v="994541"/>
    <x v="3"/>
    <n v="994541"/>
    <m/>
    <m/>
  </r>
  <r>
    <d v="2026-05-04T00:00:00"/>
    <x v="25"/>
    <s v="200"/>
    <x v="3"/>
    <n v="200"/>
    <m/>
    <m/>
  </r>
  <r>
    <d v="2026-05-04T00:00:00"/>
    <x v="25"/>
    <s v="200"/>
    <x v="6"/>
    <n v="200"/>
    <m/>
    <m/>
  </r>
  <r>
    <d v="2026-05-04T00:00:00"/>
    <x v="25"/>
    <s v="200"/>
    <x v="4"/>
    <n v="200"/>
    <m/>
    <m/>
  </r>
  <r>
    <d v="2026-05-04T00:00:00"/>
    <x v="25"/>
    <s v="200"/>
    <x v="4"/>
    <n v="200"/>
    <m/>
    <m/>
  </r>
  <r>
    <d v="2026-05-04T00:00:00"/>
    <x v="20"/>
    <s v="2912000"/>
    <x v="3"/>
    <n v="2912000"/>
    <m/>
    <m/>
  </r>
  <r>
    <d v="2026-05-04T00:00:00"/>
    <x v="20"/>
    <s v="2912000"/>
    <x v="3"/>
    <n v="2912000"/>
    <m/>
    <m/>
  </r>
  <r>
    <d v="2026-05-04T00:00:00"/>
    <x v="11"/>
    <s v="2920000"/>
    <x v="3"/>
    <n v="2920000"/>
    <m/>
    <m/>
  </r>
  <r>
    <d v="2026-05-04T00:00:00"/>
    <x v="25"/>
    <s v="200"/>
    <x v="0"/>
    <n v="200"/>
    <m/>
    <m/>
  </r>
  <r>
    <d v="2026-05-04T00:00:00"/>
    <x v="25"/>
    <s v="200"/>
    <x v="1"/>
    <n v="200"/>
    <m/>
    <m/>
  </r>
  <r>
    <d v="2026-05-04T00:00:00"/>
    <x v="20"/>
    <s v="2912000"/>
    <x v="1"/>
    <n v="2912000"/>
    <m/>
    <m/>
  </r>
  <r>
    <d v="2026-05-04T00:00:00"/>
    <x v="19"/>
    <s v="293"/>
    <x v="3"/>
    <n v="293"/>
    <m/>
    <m/>
  </r>
  <r>
    <d v="2026-05-04T00:00:00"/>
    <x v="0"/>
    <s v="2782000"/>
    <x v="0"/>
    <n v="2782000"/>
    <m/>
    <m/>
  </r>
  <r>
    <d v="2026-05-04T00:00:00"/>
    <x v="26"/>
    <s v="1011581"/>
    <x v="6"/>
    <n v="1011581"/>
    <m/>
    <m/>
  </r>
  <r>
    <d v="2026-05-04T00:00:00"/>
    <x v="26"/>
    <s v="1025449"/>
    <x v="3"/>
    <n v="1025449"/>
    <m/>
    <m/>
  </r>
  <r>
    <d v="2026-05-04T00:00:00"/>
    <x v="26"/>
    <s v="1023603"/>
    <x v="4"/>
    <n v="1023603"/>
    <m/>
    <m/>
  </r>
  <r>
    <d v="2026-05-04T00:00:00"/>
    <x v="27"/>
    <s v="29285"/>
    <x v="4"/>
    <n v="29285"/>
    <m/>
    <m/>
  </r>
  <r>
    <d v="2026-05-04T00:00:00"/>
    <x v="8"/>
    <s v="1537891"/>
    <x v="3"/>
    <n v="1537891"/>
    <m/>
    <m/>
  </r>
  <r>
    <d v="2026-05-04T00:00:00"/>
    <x v="27"/>
    <s v="1880"/>
    <x v="7"/>
    <n v="1880"/>
    <m/>
    <m/>
  </r>
  <r>
    <d v="2026-05-04T00:00:00"/>
    <x v="26"/>
    <s v="1011581"/>
    <x v="3"/>
    <n v="1011581"/>
    <m/>
    <m/>
  </r>
  <r>
    <d v="2026-05-04T00:00:00"/>
    <x v="26"/>
    <s v="1023603"/>
    <x v="1"/>
    <n v="1023603"/>
    <m/>
    <m/>
  </r>
  <r>
    <d v="2026-05-04T00:00:00"/>
    <x v="27"/>
    <s v="1880"/>
    <x v="3"/>
    <n v="1880"/>
    <m/>
    <m/>
  </r>
  <r>
    <d v="2026-05-04T00:00:00"/>
    <x v="19"/>
    <s v="1353"/>
    <x v="7"/>
    <n v="1353"/>
    <m/>
    <m/>
  </r>
  <r>
    <d v="2026-05-04T00:00:00"/>
    <x v="28"/>
    <s v="1250"/>
    <x v="3"/>
    <n v="1250"/>
    <m/>
    <m/>
  </r>
  <r>
    <d v="2026-05-04T00:00:00"/>
    <x v="10"/>
    <s v="924000"/>
    <x v="3"/>
    <n v="924000"/>
    <m/>
    <m/>
  </r>
  <r>
    <d v="2026-05-04T00:00:00"/>
    <x v="10"/>
    <s v="10d 15h"/>
    <x v="2"/>
    <m/>
    <n v="11"/>
    <n v="255"/>
  </r>
  <r>
    <d v="2026-05-04T00:00:00"/>
    <x v="19"/>
    <s v="1353"/>
    <x v="3"/>
    <n v="1353"/>
    <m/>
    <m/>
  </r>
  <r>
    <d v="2026-05-04T00:00:00"/>
    <x v="28"/>
    <s v="1250"/>
    <x v="8"/>
    <n v="1250"/>
    <m/>
    <m/>
  </r>
  <r>
    <d v="2026-05-04T00:00:00"/>
    <x v="10"/>
    <s v="924000"/>
    <x v="4"/>
    <n v="924000"/>
    <m/>
    <m/>
  </r>
  <r>
    <d v="2026-05-04T00:00:00"/>
    <x v="16"/>
    <s v="9d 9h"/>
    <x v="2"/>
    <m/>
    <n v="9"/>
    <n v="225"/>
  </r>
  <r>
    <d v="2026-05-04T00:00:00"/>
    <x v="4"/>
    <s v="7d 21h"/>
    <x v="2"/>
    <m/>
    <n v="8"/>
    <n v="189"/>
  </r>
  <r>
    <d v="2026-05-04T00:00:00"/>
    <x v="29"/>
    <s v="3d 18h"/>
    <x v="2"/>
    <m/>
    <n v="4"/>
    <n v="90"/>
  </r>
  <r>
    <d v="2026-05-04T00:00:00"/>
    <x v="30"/>
    <s v="104d 16h"/>
    <x v="2"/>
    <m/>
    <n v="105"/>
    <n v="2512"/>
  </r>
  <r>
    <d v="2026-05-04T00:00:00"/>
    <x v="31"/>
    <s v="3744000"/>
    <x v="4"/>
    <n v="3744000"/>
    <m/>
    <m/>
  </r>
  <r>
    <d v="2026-05-04T00:00:00"/>
    <x v="32"/>
    <s v="89d 21h"/>
    <x v="2"/>
    <m/>
    <n v="90"/>
    <n v="2157"/>
  </r>
  <r>
    <d v="2026-05-04T00:00:00"/>
    <x v="19"/>
    <s v="1314"/>
    <x v="3"/>
    <n v="1314"/>
    <m/>
    <m/>
  </r>
  <r>
    <d v="2026-05-04T00:00:00"/>
    <x v="0"/>
    <s v="1313573"/>
    <x v="3"/>
    <n v="1313573"/>
    <m/>
    <m/>
  </r>
  <r>
    <d v="2026-05-04T00:00:00"/>
    <x v="0"/>
    <s v="1076737"/>
    <x v="3"/>
    <n v="1076737"/>
    <m/>
    <m/>
  </r>
  <r>
    <d v="2026-05-04T00:00:00"/>
    <x v="0"/>
    <s v="1076737"/>
    <x v="6"/>
    <n v="1076737"/>
    <m/>
    <m/>
  </r>
  <r>
    <d v="2026-05-04T00:00:00"/>
    <x v="0"/>
    <s v="2175346"/>
    <x v="4"/>
    <n v="2175346"/>
    <m/>
    <m/>
  </r>
  <r>
    <d v="2026-05-04T00:00:00"/>
    <x v="12"/>
    <s v="1890000"/>
    <x v="3"/>
    <n v="1890000"/>
    <m/>
    <m/>
  </r>
  <r>
    <d v="2026-05-04T00:00:00"/>
    <x v="30"/>
    <s v="26d 0h"/>
    <x v="2"/>
    <m/>
    <n v="26"/>
    <n v="624"/>
  </r>
  <r>
    <d v="2026-05-04T00:00:00"/>
    <x v="20"/>
    <s v="2912000"/>
    <x v="4"/>
    <n v="2912000"/>
    <m/>
    <m/>
  </r>
  <r>
    <d v="2026-05-04T00:00:00"/>
    <x v="0"/>
    <s v="2175346"/>
    <x v="0"/>
    <n v="2175346"/>
    <m/>
    <m/>
  </r>
  <r>
    <d v="2026-05-04T00:00:00"/>
    <x v="12"/>
    <s v="1890000"/>
    <x v="0"/>
    <n v="1890000"/>
    <m/>
    <m/>
  </r>
  <r>
    <d v="2026-05-04T00:00:00"/>
    <x v="12"/>
    <s v="100367"/>
    <x v="3"/>
    <n v="100367"/>
    <m/>
    <m/>
  </r>
  <r>
    <d v="2026-05-04T00:00:00"/>
    <x v="12"/>
    <s v="1d 2h"/>
    <x v="2"/>
    <m/>
    <n v="1"/>
    <n v="26"/>
  </r>
  <r>
    <d v="2026-05-04T00:00:00"/>
    <x v="12"/>
    <s v="1890000"/>
    <x v="5"/>
    <n v="1890000"/>
    <m/>
    <m/>
  </r>
  <r>
    <d v="2026-05-04T00:00:00"/>
    <x v="20"/>
    <s v="2912000"/>
    <x v="0"/>
    <n v="2912000"/>
    <m/>
    <m/>
  </r>
  <r>
    <d v="2026-05-04T00:00:00"/>
    <x v="12"/>
    <s v="100367"/>
    <x v="4"/>
    <n v="100367"/>
    <m/>
    <m/>
  </r>
  <r>
    <d v="2026-05-04T00:00:00"/>
    <x v="12"/>
    <s v="1890000"/>
    <x v="4"/>
    <n v="1890000"/>
    <m/>
    <m/>
  </r>
  <r>
    <d v="2026-05-04T00:00:00"/>
    <x v="20"/>
    <s v="2912000"/>
    <x v="6"/>
    <n v="2912000"/>
    <m/>
    <m/>
  </r>
  <r>
    <d v="2026-05-04T00:00:00"/>
    <x v="29"/>
    <s v="763"/>
    <x v="3"/>
    <n v="763"/>
    <m/>
    <m/>
  </r>
  <r>
    <d v="2026-05-04T00:00:00"/>
    <x v="20"/>
    <s v="1883409"/>
    <x v="3"/>
    <n v="1883409"/>
    <m/>
    <m/>
  </r>
  <r>
    <d v="2026-05-04T00:00:00"/>
    <x v="33"/>
    <s v="11d 21h"/>
    <x v="2"/>
    <m/>
    <n v="12"/>
    <n v="285"/>
  </r>
  <r>
    <d v="2026-05-04T00:00:00"/>
    <x v="8"/>
    <s v="3d 8h"/>
    <x v="2"/>
    <m/>
    <n v="3"/>
    <n v="80"/>
  </r>
  <r>
    <d v="2026-05-04T00:00:00"/>
    <x v="24"/>
    <s v="2304851"/>
    <x v="6"/>
    <n v="2304851"/>
    <m/>
    <m/>
  </r>
  <r>
    <d v="2026-05-04T00:00:00"/>
    <x v="24"/>
    <s v="1041285"/>
    <x v="4"/>
    <n v="1041285"/>
    <m/>
    <m/>
  </r>
  <r>
    <d v="2026-05-04T00:00:00"/>
    <x v="24"/>
    <s v="1041285"/>
    <x v="3"/>
    <n v="1041285"/>
    <m/>
    <m/>
  </r>
  <r>
    <d v="2026-05-04T00:00:00"/>
    <x v="24"/>
    <s v="2912000"/>
    <x v="4"/>
    <n v="2912000"/>
    <m/>
    <m/>
  </r>
  <r>
    <d v="2026-05-04T00:00:00"/>
    <x v="22"/>
    <s v="18d 15h"/>
    <x v="2"/>
    <m/>
    <n v="19"/>
    <n v="447"/>
  </r>
  <r>
    <d v="2026-05-04T00:00:00"/>
    <x v="34"/>
    <s v="755"/>
    <x v="4"/>
    <n v="755"/>
    <m/>
    <m/>
  </r>
  <r>
    <d v="2026-05-04T00:00:00"/>
    <x v="35"/>
    <s v="1098"/>
    <x v="4"/>
    <n v="1098"/>
    <m/>
    <m/>
  </r>
  <r>
    <d v="2026-05-04T00:00:00"/>
    <x v="23"/>
    <s v="543"/>
    <x v="4"/>
    <n v="543"/>
    <m/>
    <m/>
  </r>
  <r>
    <d v="2026-05-04T00:00:00"/>
    <x v="0"/>
    <s v="531"/>
    <x v="4"/>
    <n v="531"/>
    <m/>
    <m/>
  </r>
  <r>
    <d v="2026-05-04T00:00:00"/>
    <x v="29"/>
    <s v="1273"/>
    <x v="4"/>
    <n v="1273"/>
    <m/>
    <m/>
  </r>
  <r>
    <d v="2026-05-04T00:00:00"/>
    <x v="36"/>
    <s v="8d 9h"/>
    <x v="2"/>
    <m/>
    <n v="8"/>
    <n v="201"/>
  </r>
  <r>
    <d v="2026-05-04T00:00:00"/>
    <x v="20"/>
    <s v="3276000"/>
    <x v="3"/>
    <n v="3276000"/>
    <m/>
    <m/>
  </r>
  <r>
    <d v="2026-05-04T00:00:00"/>
    <x v="20"/>
    <s v="8736000"/>
    <x v="1"/>
    <n v="8736000"/>
    <m/>
    <m/>
  </r>
  <r>
    <d v="2026-05-04T00:00:00"/>
    <x v="20"/>
    <s v="5474748"/>
    <x v="6"/>
    <n v="5474748"/>
    <m/>
    <m/>
  </r>
  <r>
    <d v="2026-05-04T00:00:00"/>
    <x v="20"/>
    <s v="4987071"/>
    <x v="3"/>
    <n v="4987071"/>
    <m/>
    <m/>
  </r>
  <r>
    <d v="2026-05-04T00:00:00"/>
    <x v="29"/>
    <s v="19d 9h"/>
    <x v="2"/>
    <m/>
    <n v="19"/>
    <n v="465"/>
  </r>
  <r>
    <d v="2026-05-04T00:00:00"/>
    <x v="37"/>
    <s v="531"/>
    <x v="3"/>
    <n v="531"/>
    <m/>
    <m/>
  </r>
  <r>
    <d v="2026-05-04T00:00:00"/>
    <x v="6"/>
    <s v="7d 14h"/>
    <x v="2"/>
    <m/>
    <n v="8"/>
    <n v="182"/>
  </r>
  <r>
    <d v="2026-05-04T00:00:00"/>
    <x v="5"/>
    <s v="17960"/>
    <x v="3"/>
    <n v="17960"/>
    <m/>
    <m/>
  </r>
  <r>
    <d v="2026-05-04T00:00:00"/>
    <x v="38"/>
    <s v="1293"/>
    <x v="3"/>
    <n v="1293"/>
    <m/>
    <m/>
  </r>
  <r>
    <d v="2026-05-04T00:00:00"/>
    <x v="38"/>
    <s v="2250000"/>
    <x v="3"/>
    <n v="2250000"/>
    <m/>
    <m/>
  </r>
  <r>
    <d v="2026-05-04T00:00:00"/>
    <x v="13"/>
    <s v="22144000"/>
    <x v="3"/>
    <n v="22144000"/>
    <m/>
    <m/>
  </r>
  <r>
    <d v="2026-05-04T00:00:00"/>
    <x v="13"/>
    <s v="2249036"/>
    <x v="4"/>
    <n v="2249036"/>
    <m/>
    <m/>
  </r>
  <r>
    <d v="2026-05-04T00:00:00"/>
    <x v="13"/>
    <s v="4952200"/>
    <x v="6"/>
    <n v="4952200"/>
    <m/>
    <m/>
  </r>
  <r>
    <d v="2026-05-04T00:00:00"/>
    <x v="13"/>
    <s v="4981467"/>
    <x v="4"/>
    <n v="4981467"/>
    <m/>
    <m/>
  </r>
  <r>
    <d v="2026-05-04T00:00:00"/>
    <x v="13"/>
    <s v="5045290"/>
    <x v="3"/>
    <n v="5045290"/>
    <m/>
    <m/>
  </r>
  <r>
    <d v="2026-05-04T00:00:00"/>
    <x v="0"/>
    <s v="2149046"/>
    <x v="3"/>
    <n v="2149046"/>
    <m/>
    <m/>
  </r>
  <r>
    <d v="2026-05-04T00:00:00"/>
    <x v="38"/>
    <s v="1293"/>
    <x v="7"/>
    <n v="1293"/>
    <m/>
    <m/>
  </r>
  <r>
    <d v="2026-05-04T00:00:00"/>
    <x v="13"/>
    <s v="22144000"/>
    <x v="4"/>
    <n v="22144000"/>
    <m/>
    <m/>
  </r>
  <r>
    <d v="2026-05-04T00:00:00"/>
    <x v="13"/>
    <s v="4952200"/>
    <x v="3"/>
    <n v="4952200"/>
    <m/>
    <m/>
  </r>
  <r>
    <d v="2026-05-04T00:00:00"/>
    <x v="13"/>
    <s v="4981467"/>
    <x v="1"/>
    <n v="4981467"/>
    <m/>
    <m/>
  </r>
  <r>
    <d v="2026-05-04T00:00:00"/>
    <x v="0"/>
    <s v="2149046"/>
    <x v="4"/>
    <n v="2149046"/>
    <m/>
    <m/>
  </r>
  <r>
    <d v="2026-05-04T00:00:00"/>
    <x v="39"/>
    <s v="3000"/>
    <x v="3"/>
    <n v="3000"/>
    <m/>
    <m/>
  </r>
  <r>
    <d v="2026-05-04T00:00:00"/>
    <x v="40"/>
    <s v="270"/>
    <x v="4"/>
    <n v="270"/>
    <m/>
    <m/>
  </r>
  <r>
    <d v="2026-05-04T00:00:00"/>
    <x v="39"/>
    <s v="3000"/>
    <x v="7"/>
    <n v="3000"/>
    <m/>
    <m/>
  </r>
  <r>
    <d v="2026-05-04T00:00:00"/>
    <x v="19"/>
    <s v="250000"/>
    <x v="4"/>
    <n v="250000"/>
    <m/>
    <m/>
  </r>
  <r>
    <d v="2026-05-04T00:00:00"/>
    <x v="41"/>
    <s v="254"/>
    <x v="4"/>
    <n v="254"/>
    <m/>
    <m/>
  </r>
  <r>
    <d v="2026-05-04T00:00:00"/>
    <x v="28"/>
    <s v="5230"/>
    <x v="4"/>
    <n v="5230"/>
    <m/>
    <m/>
  </r>
  <r>
    <d v="2026-05-04T00:00:00"/>
    <x v="34"/>
    <s v="216"/>
    <x v="4"/>
    <n v="216"/>
    <m/>
    <m/>
  </r>
  <r>
    <d v="2026-05-04T00:00:00"/>
    <x v="27"/>
    <s v="1399"/>
    <x v="4"/>
    <n v="1399"/>
    <m/>
    <m/>
  </r>
  <r>
    <d v="2026-05-04T00:00:00"/>
    <x v="29"/>
    <s v="1001146"/>
    <x v="4"/>
    <n v="1001146"/>
    <m/>
    <m/>
  </r>
  <r>
    <d v="2026-05-04T00:00:00"/>
    <x v="11"/>
    <s v="155"/>
    <x v="4"/>
    <n v="155"/>
    <m/>
    <m/>
  </r>
  <r>
    <d v="2026-05-04T00:00:00"/>
    <x v="0"/>
    <s v="1938527"/>
    <x v="1"/>
    <n v="1938527"/>
    <m/>
    <m/>
  </r>
  <r>
    <d v="2026-05-04T00:00:00"/>
    <x v="0"/>
    <s v="879393"/>
    <x v="4"/>
    <n v="879393"/>
    <m/>
    <m/>
  </r>
  <r>
    <d v="2026-05-04T00:00:00"/>
    <x v="24"/>
    <s v="6055"/>
    <x v="4"/>
    <n v="6055"/>
    <m/>
    <m/>
  </r>
  <r>
    <d v="2026-05-04T00:00:00"/>
    <x v="23"/>
    <s v="782"/>
    <x v="4"/>
    <n v="782"/>
    <m/>
    <m/>
  </r>
  <r>
    <d v="2026-05-04T00:00:00"/>
    <x v="5"/>
    <s v="5243"/>
    <x v="4"/>
    <n v="5243"/>
    <m/>
    <m/>
  </r>
  <r>
    <d v="2026-05-04T00:00:00"/>
    <x v="0"/>
    <s v="1938527"/>
    <x v="4"/>
    <n v="1938527"/>
    <m/>
    <m/>
  </r>
  <r>
    <d v="2026-05-04T00:00:00"/>
    <x v="20"/>
    <s v="212"/>
    <x v="4"/>
    <n v="212"/>
    <m/>
    <m/>
  </r>
  <r>
    <d v="2026-05-04T00:00:00"/>
    <x v="12"/>
    <s v="523"/>
    <x v="4"/>
    <n v="523"/>
    <m/>
    <m/>
  </r>
  <r>
    <d v="2026-05-04T00:00:00"/>
    <x v="30"/>
    <s v="278"/>
    <x v="3"/>
    <n v="278"/>
    <m/>
    <m/>
  </r>
  <r>
    <d v="2026-05-04T00:00:00"/>
    <x v="30"/>
    <s v="850"/>
    <x v="4"/>
    <n v="850"/>
    <m/>
    <m/>
  </r>
  <r>
    <d v="2026-05-04T00:00:00"/>
    <x v="42"/>
    <s v="1153"/>
    <x v="4"/>
    <n v="1153"/>
    <m/>
    <m/>
  </r>
  <r>
    <d v="2026-05-04T00:00:00"/>
    <x v="42"/>
    <s v="917"/>
    <x v="3"/>
    <n v="917"/>
    <m/>
    <m/>
  </r>
  <r>
    <d v="2026-05-04T00:00:00"/>
    <x v="27"/>
    <s v="9179"/>
    <x v="4"/>
    <n v="9179"/>
    <m/>
    <m/>
  </r>
  <r>
    <d v="2026-05-04T00:00:00"/>
    <x v="0"/>
    <s v="748"/>
    <x v="4"/>
    <n v="748"/>
    <m/>
    <m/>
  </r>
  <r>
    <d v="2026-05-04T00:00:00"/>
    <x v="43"/>
    <s v="28223"/>
    <x v="4"/>
    <n v="28223"/>
    <m/>
    <m/>
  </r>
  <r>
    <d v="2026-05-04T00:00:00"/>
    <x v="44"/>
    <s v="12487"/>
    <x v="4"/>
    <n v="12487"/>
    <m/>
    <m/>
  </r>
  <r>
    <d v="2026-05-04T00:00:00"/>
    <x v="13"/>
    <s v="17429"/>
    <x v="4"/>
    <n v="17429"/>
    <m/>
    <m/>
  </r>
  <r>
    <d v="2026-05-04T00:00:00"/>
    <x v="5"/>
    <s v="19841"/>
    <x v="4"/>
    <n v="19841"/>
    <m/>
    <m/>
  </r>
  <r>
    <d v="2026-05-04T00:00:00"/>
    <x v="24"/>
    <s v="11651"/>
    <x v="4"/>
    <n v="11651"/>
    <m/>
    <m/>
  </r>
  <r>
    <d v="2026-05-04T00:00:00"/>
    <x v="43"/>
    <s v="27828"/>
    <x v="4"/>
    <n v="27828"/>
    <m/>
    <m/>
  </r>
  <r>
    <d v="2026-05-04T00:00:00"/>
    <x v="13"/>
    <s v="13147"/>
    <x v="4"/>
    <n v="13147"/>
    <m/>
    <m/>
  </r>
  <r>
    <d v="2026-05-04T00:00:00"/>
    <x v="0"/>
    <s v="274"/>
    <x v="4"/>
    <n v="274"/>
    <m/>
    <m/>
  </r>
  <r>
    <d v="2026-05-04T00:00:00"/>
    <x v="6"/>
    <s v="228"/>
    <x v="4"/>
    <n v="228"/>
    <m/>
    <m/>
  </r>
  <r>
    <d v="2026-05-04T00:00:00"/>
    <x v="23"/>
    <s v="357"/>
    <x v="4"/>
    <n v="357"/>
    <m/>
    <m/>
  </r>
  <r>
    <d v="2026-05-04T00:00:00"/>
    <x v="13"/>
    <s v="3764"/>
    <x v="4"/>
    <n v="3764"/>
    <m/>
    <m/>
  </r>
  <r>
    <d v="2026-05-04T00:00:00"/>
    <x v="25"/>
    <s v="313"/>
    <x v="4"/>
    <n v="313"/>
    <m/>
    <m/>
  </r>
  <r>
    <d v="2026-05-04T00:00:00"/>
    <x v="34"/>
    <s v="159"/>
    <x v="4"/>
    <n v="159"/>
    <m/>
    <m/>
  </r>
  <r>
    <d v="2026-05-04T00:00:00"/>
    <x v="0"/>
    <s v="434"/>
    <x v="4"/>
    <n v="434"/>
    <m/>
    <m/>
  </r>
  <r>
    <d v="2026-05-04T00:00:00"/>
    <x v="24"/>
    <s v="7768"/>
    <x v="4"/>
    <n v="7768"/>
    <m/>
    <m/>
  </r>
  <r>
    <d v="2026-05-04T00:00:00"/>
    <x v="42"/>
    <s v="1715"/>
    <x v="4"/>
    <n v="1715"/>
    <m/>
    <m/>
  </r>
  <r>
    <d v="2026-05-04T00:00:00"/>
    <x v="45"/>
    <s v="1095"/>
    <x v="3"/>
    <n v="1095"/>
    <m/>
    <m/>
  </r>
  <r>
    <d v="2026-05-04T00:00:00"/>
    <x v="4"/>
    <s v="18400000"/>
    <x v="1"/>
    <n v="18400000"/>
    <m/>
    <m/>
  </r>
  <r>
    <d v="2026-05-04T00:00:00"/>
    <x v="46"/>
    <s v="483"/>
    <x v="4"/>
    <n v="483"/>
    <m/>
    <m/>
  </r>
  <r>
    <d v="2026-05-04T00:00:00"/>
    <x v="29"/>
    <s v="285"/>
    <x v="4"/>
    <n v="285"/>
    <m/>
    <m/>
  </r>
  <r>
    <d v="2026-05-04T00:00:00"/>
    <x v="47"/>
    <s v="979"/>
    <x v="4"/>
    <n v="979"/>
    <m/>
    <m/>
  </r>
  <r>
    <d v="2026-05-04T00:00:00"/>
    <x v="38"/>
    <s v="263"/>
    <x v="4"/>
    <n v="263"/>
    <m/>
    <m/>
  </r>
  <r>
    <d v="2026-05-04T00:00:00"/>
    <x v="19"/>
    <s v="221"/>
    <x v="4"/>
    <n v="221"/>
    <m/>
    <m/>
  </r>
  <r>
    <d v="2026-05-04T00:00:00"/>
    <x v="0"/>
    <s v="434"/>
    <x v="3"/>
    <n v="434"/>
    <m/>
    <m/>
  </r>
  <r>
    <d v="2026-05-04T00:00:00"/>
    <x v="45"/>
    <s v="1095"/>
    <x v="4"/>
    <n v="1095"/>
    <m/>
    <m/>
  </r>
  <r>
    <d v="2026-05-04T00:00:00"/>
    <x v="29"/>
    <s v="724"/>
    <x v="4"/>
    <n v="724"/>
    <m/>
    <m/>
  </r>
  <r>
    <d v="2026-05-04T00:00:00"/>
    <x v="24"/>
    <s v="7814"/>
    <x v="4"/>
    <n v="7814"/>
    <m/>
    <m/>
  </r>
  <r>
    <d v="2026-05-04T00:00:00"/>
    <x v="13"/>
    <s v="2310"/>
    <x v="4"/>
    <n v="2310"/>
    <m/>
    <m/>
  </r>
  <r>
    <d v="2026-05-04T00:00:00"/>
    <x v="42"/>
    <s v="2420"/>
    <x v="4"/>
    <n v="2420"/>
    <m/>
    <m/>
  </r>
  <r>
    <d v="2026-05-04T00:00:00"/>
    <x v="11"/>
    <s v="663"/>
    <x v="4"/>
    <n v="663"/>
    <m/>
    <m/>
  </r>
  <r>
    <d v="2026-05-04T00:00:00"/>
    <x v="25"/>
    <s v="166"/>
    <x v="4"/>
    <n v="166"/>
    <m/>
    <m/>
  </r>
  <r>
    <d v="2026-05-04T00:00:00"/>
    <x v="20"/>
    <s v="1855"/>
    <x v="4"/>
    <n v="1855"/>
    <m/>
    <m/>
  </r>
  <r>
    <d v="2026-05-04T00:00:00"/>
    <x v="45"/>
    <s v="179"/>
    <x v="4"/>
    <n v="179"/>
    <m/>
    <m/>
  </r>
  <r>
    <d v="2026-05-04T00:00:00"/>
    <x v="12"/>
    <s v="201943"/>
    <x v="4"/>
    <n v="201943"/>
    <m/>
    <m/>
  </r>
  <r>
    <d v="2026-05-04T00:00:00"/>
    <x v="19"/>
    <s v="496"/>
    <x v="4"/>
    <n v="496"/>
    <m/>
    <m/>
  </r>
  <r>
    <d v="2026-05-04T00:00:00"/>
    <x v="25"/>
    <s v="851"/>
    <x v="4"/>
    <n v="851"/>
    <m/>
    <m/>
  </r>
  <r>
    <d v="2026-05-04T00:00:00"/>
    <x v="45"/>
    <s v="179"/>
    <x v="3"/>
    <n v="179"/>
    <m/>
    <m/>
  </r>
  <r>
    <d v="2026-05-04T00:00:00"/>
    <x v="19"/>
    <s v="1834"/>
    <x v="4"/>
    <n v="1834"/>
    <m/>
    <m/>
  </r>
  <r>
    <d v="2026-05-04T00:00:00"/>
    <x v="13"/>
    <s v="14849"/>
    <x v="4"/>
    <n v="14849"/>
    <m/>
    <m/>
  </r>
  <r>
    <d v="2026-05-04T00:00:00"/>
    <x v="11"/>
    <s v="822"/>
    <x v="4"/>
    <n v="822"/>
    <m/>
    <m/>
  </r>
  <r>
    <d v="2026-05-04T00:00:00"/>
    <x v="4"/>
    <s v="6375"/>
    <x v="4"/>
    <n v="6375"/>
    <m/>
    <m/>
  </r>
  <r>
    <d v="2026-05-04T00:00:00"/>
    <x v="42"/>
    <s v="4654"/>
    <x v="4"/>
    <n v="4654"/>
    <m/>
    <m/>
  </r>
  <r>
    <d v="2026-05-04T00:00:00"/>
    <x v="48"/>
    <s v="253"/>
    <x v="4"/>
    <n v="253"/>
    <m/>
    <m/>
  </r>
  <r>
    <d v="2026-05-04T00:00:00"/>
    <x v="28"/>
    <s v="4019"/>
    <x v="4"/>
    <n v="4019"/>
    <m/>
    <m/>
  </r>
  <r>
    <d v="2026-05-04T00:00:00"/>
    <x v="49"/>
    <s v="3049979"/>
    <x v="4"/>
    <n v="3049979"/>
    <m/>
    <m/>
  </r>
  <r>
    <d v="2026-05-04T00:00:00"/>
    <x v="49"/>
    <s v="3049979"/>
    <x v="3"/>
    <n v="3049979"/>
    <m/>
    <m/>
  </r>
  <r>
    <d v="2026-05-04T00:00:00"/>
    <x v="25"/>
    <s v="200"/>
    <x v="5"/>
    <n v="200"/>
    <m/>
    <m/>
  </r>
  <r>
    <d v="2026-05-04T00:00:00"/>
    <x v="4"/>
    <s v="7409978"/>
    <x v="6"/>
    <n v="7409978"/>
    <m/>
    <m/>
  </r>
  <r>
    <d v="2026-05-04T00:00:00"/>
    <x v="4"/>
    <s v="6957478"/>
    <x v="3"/>
    <n v="6957478"/>
    <m/>
    <m/>
  </r>
  <r>
    <d v="2026-05-04T00:00:00"/>
    <x v="4"/>
    <s v="7811465"/>
    <x v="4"/>
    <n v="7811465"/>
    <m/>
    <m/>
  </r>
  <r>
    <d v="2026-05-04T00:00:00"/>
    <x v="4"/>
    <s v="38800000"/>
    <x v="0"/>
    <n v="38800000"/>
    <m/>
    <m/>
  </r>
  <r>
    <d v="2026-05-04T00:00:00"/>
    <x v="4"/>
    <s v="7811465"/>
    <x v="3"/>
    <n v="7811465"/>
    <m/>
    <m/>
  </r>
  <r>
    <d v="2026-05-04T00:00:00"/>
    <x v="4"/>
    <s v="21d 16h"/>
    <x v="2"/>
    <m/>
    <n v="22"/>
    <n v="520"/>
  </r>
  <r>
    <d v="2026-05-04T00:00:00"/>
    <x v="6"/>
    <s v="5434000"/>
    <x v="3"/>
    <n v="5434000"/>
    <m/>
    <m/>
  </r>
  <r>
    <d v="2026-05-04T00:00:00"/>
    <x v="50"/>
    <s v="250000"/>
    <x v="4"/>
    <n v="250000"/>
    <m/>
    <m/>
  </r>
  <r>
    <d v="2026-05-04T00:00:00"/>
    <x v="46"/>
    <s v="2769000"/>
    <x v="4"/>
    <n v="2769000"/>
    <m/>
    <m/>
  </r>
  <r>
    <d v="2026-05-04T00:00:00"/>
    <x v="4"/>
    <s v="7409978"/>
    <x v="3"/>
    <n v="7409978"/>
    <m/>
    <m/>
  </r>
  <r>
    <d v="2026-05-04T00:00:00"/>
    <x v="4"/>
    <s v="38800000"/>
    <x v="4"/>
    <n v="38800000"/>
    <m/>
    <m/>
  </r>
  <r>
    <d v="2026-05-04T00:00:00"/>
    <x v="6"/>
    <s v="5434000"/>
    <x v="4"/>
    <n v="5434000"/>
    <m/>
    <m/>
  </r>
  <r>
    <d v="2026-05-04T00:00:00"/>
    <x v="6"/>
    <s v="5d 14h"/>
    <x v="2"/>
    <m/>
    <n v="6"/>
    <n v="134"/>
  </r>
  <r>
    <d v="2026-05-04T00:00:00"/>
    <x v="33"/>
    <s v="50d 5h"/>
    <x v="2"/>
    <m/>
    <n v="50"/>
    <n v="1205"/>
  </r>
  <r>
    <d v="2026-05-04T00:00:00"/>
    <x v="8"/>
    <s v="2d 6h"/>
    <x v="2"/>
    <m/>
    <n v="2"/>
    <n v="54"/>
  </r>
  <r>
    <d v="2026-05-04T00:00:00"/>
    <x v="5"/>
    <s v="1d 23h"/>
    <x v="2"/>
    <m/>
    <n v="2"/>
    <n v="47"/>
  </r>
  <r>
    <d v="2026-05-04T00:00:00"/>
    <x v="47"/>
    <s v="1d 22h"/>
    <x v="2"/>
    <m/>
    <n v="2"/>
    <n v="46"/>
  </r>
  <r>
    <d v="2026-05-04T00:00:00"/>
    <x v="34"/>
    <s v="712"/>
    <x v="4"/>
    <n v="712"/>
    <m/>
    <m/>
  </r>
  <r>
    <d v="2026-05-04T00:00:00"/>
    <x v="11"/>
    <s v="5852000"/>
    <x v="1"/>
    <n v="5852000"/>
    <m/>
    <m/>
  </r>
  <r>
    <d v="2026-05-04T00:00:00"/>
    <x v="10"/>
    <s v="844000"/>
    <x v="4"/>
    <n v="844000"/>
    <m/>
    <m/>
  </r>
  <r>
    <d v="2026-05-04T00:00:00"/>
    <x v="10"/>
    <s v="844000"/>
    <x v="0"/>
    <n v="844000"/>
    <m/>
    <m/>
  </r>
  <r>
    <d v="2026-05-04T00:00:00"/>
    <x v="49"/>
    <s v="5868000"/>
    <x v="4"/>
    <n v="5868000"/>
    <m/>
    <m/>
  </r>
  <r>
    <d v="2026-05-04T00:00:00"/>
    <x v="30"/>
    <s v="250000"/>
    <x v="4"/>
    <n v="250000"/>
    <m/>
    <m/>
  </r>
  <r>
    <d v="2026-05-04T00:00:00"/>
    <x v="12"/>
    <s v="55d 9h"/>
    <x v="2"/>
    <m/>
    <n v="55"/>
    <n v="1329"/>
  </r>
  <r>
    <d v="2026-05-04T00:00:00"/>
    <x v="4"/>
    <s v="250000"/>
    <x v="4"/>
    <n v="250000"/>
    <m/>
    <m/>
  </r>
  <r>
    <d v="2026-05-04T00:00:00"/>
    <x v="18"/>
    <s v="250000"/>
    <x v="4"/>
    <n v="250000"/>
    <m/>
    <m/>
  </r>
  <r>
    <d v="2026-05-04T00:00:00"/>
    <x v="19"/>
    <s v="412"/>
    <x v="3"/>
    <n v="412"/>
    <m/>
    <m/>
  </r>
  <r>
    <d v="2026-05-04T00:00:00"/>
    <x v="24"/>
    <s v="250000"/>
    <x v="4"/>
    <n v="250000"/>
    <m/>
    <m/>
  </r>
  <r>
    <d v="2026-05-04T00:00:00"/>
    <x v="20"/>
    <s v="5824000"/>
    <x v="3"/>
    <n v="5824000"/>
    <m/>
    <m/>
  </r>
  <r>
    <d v="2026-05-04T00:00:00"/>
    <x v="49"/>
    <s v="5868000"/>
    <x v="0"/>
    <n v="5868000"/>
    <m/>
    <m/>
  </r>
  <r>
    <d v="2026-05-04T00:00:00"/>
    <x v="51"/>
    <s v="250000"/>
    <x v="4"/>
    <n v="250000"/>
    <m/>
    <m/>
  </r>
  <r>
    <d v="2026-05-04T00:00:00"/>
    <x v="0"/>
    <s v="1780659"/>
    <x v="3"/>
    <n v="1780659"/>
    <m/>
    <m/>
  </r>
  <r>
    <d v="2026-05-04T00:00:00"/>
    <x v="0"/>
    <s v="1039956"/>
    <x v="6"/>
    <n v="1039956"/>
    <m/>
    <m/>
  </r>
  <r>
    <d v="2026-05-04T00:00:00"/>
    <x v="0"/>
    <s v="2195092"/>
    <x v="1"/>
    <n v="2195092"/>
    <m/>
    <m/>
  </r>
  <r>
    <d v="2026-05-04T00:00:00"/>
    <x v="43"/>
    <s v="250000"/>
    <x v="4"/>
    <n v="250000"/>
    <m/>
    <m/>
  </r>
  <r>
    <d v="2026-05-04T00:00:00"/>
    <x v="0"/>
    <s v="2195092"/>
    <x v="4"/>
    <n v="2195092"/>
    <m/>
    <m/>
  </r>
  <r>
    <d v="2026-05-04T00:00:00"/>
    <x v="39"/>
    <s v="250000"/>
    <x v="4"/>
    <n v="250000"/>
    <m/>
    <m/>
  </r>
  <r>
    <d v="2026-05-04T00:00:00"/>
    <x v="6"/>
    <s v="725779"/>
    <x v="6"/>
    <n v="725779"/>
    <m/>
    <m/>
  </r>
  <r>
    <d v="2026-05-04T00:00:00"/>
    <x v="22"/>
    <s v="250000"/>
    <x v="4"/>
    <n v="250000"/>
    <m/>
    <m/>
  </r>
  <r>
    <d v="2026-05-04T00:00:00"/>
    <x v="52"/>
    <s v="117d 3h"/>
    <x v="2"/>
    <m/>
    <n v="117"/>
    <n v="2811"/>
  </r>
  <r>
    <d v="2026-05-04T00:00:00"/>
    <x v="47"/>
    <s v="250000"/>
    <x v="4"/>
    <n v="250000"/>
    <m/>
    <m/>
  </r>
  <r>
    <d v="2026-05-04T00:00:00"/>
    <x v="0"/>
    <s v="2195092"/>
    <x v="3"/>
    <n v="2195092"/>
    <m/>
    <m/>
  </r>
  <r>
    <d v="2026-05-04T00:00:00"/>
    <x v="25"/>
    <s v="210"/>
    <x v="1"/>
    <n v="210"/>
    <m/>
    <m/>
  </r>
  <r>
    <d v="2026-05-04T00:00:00"/>
    <x v="25"/>
    <s v="238162"/>
    <x v="3"/>
    <n v="238162"/>
    <m/>
    <m/>
  </r>
  <r>
    <d v="2026-05-04T00:00:00"/>
    <x v="53"/>
    <s v="150546"/>
    <x v="4"/>
    <n v="150546"/>
    <m/>
    <m/>
  </r>
  <r>
    <d v="2026-05-04T00:00:00"/>
    <x v="25"/>
    <s v="238162"/>
    <x v="4"/>
    <n v="238162"/>
    <m/>
    <m/>
  </r>
  <r>
    <d v="2026-05-04T00:00:00"/>
    <x v="25"/>
    <s v="250000"/>
    <x v="4"/>
    <n v="250000"/>
    <m/>
    <m/>
  </r>
  <r>
    <d v="2026-05-04T00:00:00"/>
    <x v="54"/>
    <s v="250000"/>
    <x v="4"/>
    <n v="250000"/>
    <m/>
    <m/>
  </r>
  <r>
    <d v="2026-05-04T00:00:00"/>
    <x v="28"/>
    <s v="250000"/>
    <x v="4"/>
    <n v="250000"/>
    <m/>
    <m/>
  </r>
  <r>
    <d v="2026-05-04T00:00:00"/>
    <x v="48"/>
    <s v="198911"/>
    <x v="6"/>
    <n v="198911"/>
    <m/>
    <m/>
  </r>
  <r>
    <d v="2026-05-04T00:00:00"/>
    <x v="48"/>
    <s v="264926"/>
    <x v="4"/>
    <n v="264926"/>
    <m/>
    <m/>
  </r>
  <r>
    <d v="2026-05-04T00:00:00"/>
    <x v="48"/>
    <s v="377200"/>
    <x v="3"/>
    <n v="377200"/>
    <m/>
    <m/>
  </r>
  <r>
    <d v="2026-05-04T00:00:00"/>
    <x v="53"/>
    <s v="150546"/>
    <x v="0"/>
    <n v="150546"/>
    <m/>
    <m/>
  </r>
  <r>
    <d v="2026-05-04T00:00:00"/>
    <x v="44"/>
    <s v="250000"/>
    <x v="4"/>
    <n v="250000"/>
    <m/>
    <m/>
  </r>
  <r>
    <d v="2026-05-04T00:00:00"/>
    <x v="26"/>
    <s v="1595579"/>
    <x v="6"/>
    <n v="1595579"/>
    <m/>
    <m/>
  </r>
  <r>
    <d v="2026-05-04T00:00:00"/>
    <x v="26"/>
    <s v="1881000"/>
    <x v="4"/>
    <n v="1881000"/>
    <m/>
    <m/>
  </r>
  <r>
    <d v="2026-05-04T00:00:00"/>
    <x v="45"/>
    <s v="250000"/>
    <x v="4"/>
    <n v="250000"/>
    <m/>
    <m/>
  </r>
  <r>
    <d v="2026-05-04T00:00:00"/>
    <x v="26"/>
    <s v="1523651"/>
    <x v="3"/>
    <n v="1523651"/>
    <m/>
    <m/>
  </r>
  <r>
    <d v="2026-05-04T00:00:00"/>
    <x v="26"/>
    <s v="1881000"/>
    <x v="1"/>
    <n v="1881000"/>
    <m/>
    <m/>
  </r>
  <r>
    <d v="2026-05-04T00:00:00"/>
    <x v="11"/>
    <s v="1860268"/>
    <x v="6"/>
    <n v="1860268"/>
    <m/>
    <m/>
  </r>
  <r>
    <d v="2026-05-04T00:00:00"/>
    <x v="46"/>
    <s v="1000000"/>
    <x v="4"/>
    <n v="1000000"/>
    <m/>
    <m/>
  </r>
  <r>
    <d v="2026-05-04T00:00:00"/>
    <x v="36"/>
    <s v="76d 9h"/>
    <x v="2"/>
    <m/>
    <n v="76"/>
    <n v="1833"/>
  </r>
  <r>
    <d v="2026-05-04T00:00:00"/>
    <x v="20"/>
    <s v="2912000"/>
    <x v="4"/>
    <n v="2912000"/>
    <m/>
    <m/>
  </r>
  <r>
    <d v="2026-05-04T00:00:00"/>
    <x v="0"/>
    <s v="3679692"/>
    <x v="1"/>
    <n v="3679692"/>
    <m/>
    <m/>
  </r>
  <r>
    <d v="2026-05-04T00:00:00"/>
    <x v="0"/>
    <s v="1491188"/>
    <x v="6"/>
    <n v="1491188"/>
    <m/>
    <m/>
  </r>
  <r>
    <d v="2026-05-04T00:00:00"/>
    <x v="42"/>
    <s v="2389204"/>
    <x v="4"/>
    <n v="2389204"/>
    <m/>
    <m/>
  </r>
  <r>
    <d v="2026-05-04T00:00:00"/>
    <x v="55"/>
    <s v="22d 0h"/>
    <x v="2"/>
    <m/>
    <n v="22"/>
    <n v="528"/>
  </r>
  <r>
    <d v="2026-05-04T00:00:00"/>
    <x v="42"/>
    <s v="301216"/>
    <x v="3"/>
    <n v="301216"/>
    <m/>
    <m/>
  </r>
  <r>
    <d v="2026-05-04T00:00:00"/>
    <x v="0"/>
    <s v="3679692"/>
    <x v="4"/>
    <n v="3679692"/>
    <m/>
    <m/>
  </r>
  <r>
    <d v="2026-05-04T00:00:00"/>
    <x v="42"/>
    <s v="1021025"/>
    <x v="3"/>
    <n v="1021025"/>
    <m/>
    <m/>
  </r>
  <r>
    <d v="2026-05-04T00:00:00"/>
    <x v="42"/>
    <s v="512649"/>
    <x v="1"/>
    <n v="512649"/>
    <m/>
    <m/>
  </r>
  <r>
    <d v="2026-05-04T00:00:00"/>
    <x v="54"/>
    <s v="5d 21h"/>
    <x v="2"/>
    <m/>
    <n v="6"/>
    <n v="141"/>
  </r>
  <r>
    <d v="2026-05-04T00:00:00"/>
    <x v="13"/>
    <s v="2243080"/>
    <x v="3"/>
    <n v="2243080"/>
    <m/>
    <m/>
  </r>
  <r>
    <d v="2026-05-04T00:00:00"/>
    <x v="13"/>
    <s v="1384343"/>
    <x v="3"/>
    <n v="1384343"/>
    <m/>
    <m/>
  </r>
  <r>
    <d v="2026-05-04T00:00:00"/>
    <x v="56"/>
    <s v="14911565"/>
    <x v="3"/>
    <n v="14911565"/>
    <m/>
    <m/>
  </r>
  <r>
    <d v="2026-05-04T00:00:00"/>
    <x v="42"/>
    <s v="2389204"/>
    <x v="0"/>
    <n v="2389204"/>
    <m/>
    <m/>
  </r>
  <r>
    <d v="2026-05-04T00:00:00"/>
    <x v="42"/>
    <s v="1021025"/>
    <x v="6"/>
    <n v="1021025"/>
    <m/>
    <m/>
  </r>
  <r>
    <d v="2026-05-04T00:00:00"/>
    <x v="42"/>
    <s v="512649"/>
    <x v="4"/>
    <n v="512649"/>
    <m/>
    <m/>
  </r>
  <r>
    <d v="2026-05-04T00:00:00"/>
    <x v="13"/>
    <s v="2243080"/>
    <x v="4"/>
    <n v="2243080"/>
    <m/>
    <m/>
  </r>
  <r>
    <d v="2026-05-04T00:00:00"/>
    <x v="8"/>
    <s v="34d 16h"/>
    <x v="2"/>
    <m/>
    <n v="35"/>
    <n v="832"/>
  </r>
  <r>
    <d v="2026-05-04T00:00:00"/>
    <x v="13"/>
    <s v="303617"/>
    <x v="4"/>
    <n v="303617"/>
    <m/>
    <m/>
  </r>
  <r>
    <d v="2026-05-04T00:00:00"/>
    <x v="13"/>
    <s v="981214"/>
    <x v="3"/>
    <n v="981214"/>
    <m/>
    <m/>
  </r>
  <r>
    <d v="2026-05-04T00:00:00"/>
    <x v="13"/>
    <s v="404114"/>
    <x v="6"/>
    <n v="404114"/>
    <m/>
    <m/>
  </r>
  <r>
    <d v="2026-05-04T00:00:00"/>
    <x v="13"/>
    <s v="1384343"/>
    <x v="4"/>
    <n v="1384343"/>
    <m/>
    <m/>
  </r>
  <r>
    <d v="2026-05-04T00:00:00"/>
    <x v="13"/>
    <s v="24d 0h"/>
    <x v="2"/>
    <m/>
    <n v="24"/>
    <n v="576"/>
  </r>
  <r>
    <d v="2026-05-04T00:00:00"/>
    <x v="5"/>
    <s v="250000"/>
    <x v="4"/>
    <n v="250000"/>
    <m/>
    <m/>
  </r>
  <r>
    <d v="2026-05-04T00:00:00"/>
    <x v="41"/>
    <s v="250000"/>
    <x v="4"/>
    <n v="250000"/>
    <m/>
    <m/>
  </r>
  <r>
    <d v="2026-05-04T00:00:00"/>
    <x v="12"/>
    <s v="38d 8h"/>
    <x v="2"/>
    <m/>
    <n v="38"/>
    <n v="920"/>
  </r>
  <r>
    <d v="2026-05-04T00:00:00"/>
    <x v="42"/>
    <s v="2026002"/>
    <x v="3"/>
    <n v="2026002"/>
    <m/>
    <m/>
  </r>
  <r>
    <d v="2026-05-04T00:00:00"/>
    <x v="13"/>
    <s v="303617"/>
    <x v="1"/>
    <n v="303617"/>
    <m/>
    <m/>
  </r>
  <r>
    <d v="2026-05-04T00:00:00"/>
    <x v="27"/>
    <s v="250000"/>
    <x v="4"/>
    <n v="250000"/>
    <m/>
    <m/>
  </r>
  <r>
    <d v="2026-05-04T00:00:00"/>
    <x v="12"/>
    <s v="250000"/>
    <x v="4"/>
    <n v="250000"/>
    <m/>
    <m/>
  </r>
  <r>
    <d v="2026-05-04T00:00:00"/>
    <x v="42"/>
    <s v="2496000"/>
    <x v="1"/>
    <n v="2496000"/>
    <m/>
    <m/>
  </r>
  <r>
    <d v="2026-05-04T00:00:00"/>
    <x v="42"/>
    <s v="2496000"/>
    <x v="4"/>
    <n v="2496000"/>
    <m/>
    <m/>
  </r>
  <r>
    <d v="2026-05-04T00:00:00"/>
    <x v="42"/>
    <s v="2568000"/>
    <x v="6"/>
    <n v="2568000"/>
    <m/>
    <m/>
  </r>
  <r>
    <d v="2026-05-04T00:00:00"/>
    <x v="42"/>
    <s v="2496000"/>
    <x v="0"/>
    <n v="2496000"/>
    <m/>
    <m/>
  </r>
  <r>
    <d v="2026-05-04T00:00:00"/>
    <x v="20"/>
    <s v="250000"/>
    <x v="4"/>
    <n v="250000"/>
    <m/>
    <m/>
  </r>
  <r>
    <d v="2026-05-04T00:00:00"/>
    <x v="57"/>
    <s v="250000"/>
    <x v="4"/>
    <n v="250000"/>
    <m/>
    <m/>
  </r>
  <r>
    <d v="2026-05-04T00:00:00"/>
    <x v="42"/>
    <s v="250000"/>
    <x v="4"/>
    <n v="250000"/>
    <m/>
    <m/>
  </r>
  <r>
    <d v="2026-05-04T00:00:00"/>
    <x v="13"/>
    <s v="250000"/>
    <x v="4"/>
    <n v="250000"/>
    <m/>
    <m/>
  </r>
  <r>
    <d v="2026-05-04T00:00:00"/>
    <x v="42"/>
    <s v="2496000"/>
    <x v="4"/>
    <n v="2496000"/>
    <m/>
    <m/>
  </r>
  <r>
    <d v="2026-05-04T00:00:00"/>
    <x v="27"/>
    <s v="18d 10h"/>
    <x v="2"/>
    <m/>
    <n v="18"/>
    <n v="442"/>
  </r>
  <r>
    <d v="2026-05-04T00:00:00"/>
    <x v="58"/>
    <s v="8d 23h"/>
    <x v="2"/>
    <m/>
    <n v="9"/>
    <n v="215"/>
  </r>
  <r>
    <d v="2026-05-04T00:00:00"/>
    <x v="0"/>
    <s v="739082"/>
    <x v="3"/>
    <n v="739082"/>
    <m/>
    <m/>
  </r>
  <r>
    <d v="2026-05-04T00:00:00"/>
    <x v="0"/>
    <s v="1616186"/>
    <x v="3"/>
    <n v="1616186"/>
    <m/>
    <m/>
  </r>
  <r>
    <d v="2026-05-04T00:00:00"/>
    <x v="42"/>
    <s v="250000"/>
    <x v="3"/>
    <n v="250000"/>
    <m/>
    <m/>
  </r>
  <r>
    <d v="2026-05-04T00:00:00"/>
    <x v="0"/>
    <s v="739082"/>
    <x v="6"/>
    <n v="739082"/>
    <m/>
    <m/>
  </r>
  <r>
    <d v="2026-05-04T00:00:00"/>
    <x v="13"/>
    <s v="102d 20h"/>
    <x v="2"/>
    <m/>
    <n v="103"/>
    <n v="2468"/>
  </r>
  <r>
    <d v="2026-05-04T00:00:00"/>
    <x v="6"/>
    <s v="21736000"/>
    <x v="0"/>
    <n v="21736000"/>
    <m/>
    <m/>
  </r>
  <r>
    <d v="2026-05-04T00:00:00"/>
    <x v="0"/>
    <s v="1336141"/>
    <x v="1"/>
    <n v="1336141"/>
    <m/>
    <m/>
  </r>
  <r>
    <d v="2026-05-04T00:00:00"/>
    <x v="0"/>
    <s v="174920"/>
    <x v="3"/>
    <n v="174920"/>
    <m/>
    <m/>
  </r>
  <r>
    <d v="2026-05-04T00:00:00"/>
    <x v="58"/>
    <s v="1250"/>
    <x v="3"/>
    <n v="1250"/>
    <m/>
    <m/>
  </r>
  <r>
    <d v="2026-05-04T00:00:00"/>
    <x v="6"/>
    <s v="21736000"/>
    <x v="4"/>
    <n v="21736000"/>
    <m/>
    <m/>
  </r>
  <r>
    <d v="2026-05-04T00:00:00"/>
    <x v="0"/>
    <s v="1336141"/>
    <x v="4"/>
    <n v="1336141"/>
    <m/>
    <m/>
  </r>
  <r>
    <d v="2026-05-04T00:00:00"/>
    <x v="58"/>
    <s v="1250"/>
    <x v="8"/>
    <n v="1250"/>
    <m/>
    <m/>
  </r>
  <r>
    <d v="2026-05-04T00:00:00"/>
    <x v="6"/>
    <s v="11d 10h"/>
    <x v="2"/>
    <m/>
    <n v="11"/>
    <n v="274"/>
  </r>
  <r>
    <d v="2026-05-04T00:00:00"/>
    <x v="6"/>
    <s v="600244"/>
    <x v="6"/>
    <n v="600244"/>
    <m/>
    <m/>
  </r>
  <r>
    <d v="2026-05-04T00:00:00"/>
    <x v="6"/>
    <s v="19306713"/>
    <x v="3"/>
    <n v="19306713"/>
    <m/>
    <m/>
  </r>
  <r>
    <d v="2026-05-04T00:00:00"/>
    <x v="24"/>
    <s v="395551"/>
    <x v="3"/>
    <n v="395551"/>
    <m/>
    <m/>
  </r>
  <r>
    <d v="2026-05-04T00:00:00"/>
    <x v="24"/>
    <s v="597769"/>
    <x v="3"/>
    <n v="597769"/>
    <m/>
    <m/>
  </r>
  <r>
    <d v="2026-05-04T00:00:00"/>
    <x v="58"/>
    <s v="1250"/>
    <x v="7"/>
    <n v="1250"/>
    <m/>
    <m/>
  </r>
  <r>
    <d v="2026-05-04T00:00:00"/>
    <x v="24"/>
    <s v="395551"/>
    <x v="0"/>
    <n v="395551"/>
    <m/>
    <m/>
  </r>
  <r>
    <d v="2026-05-04T00:00:00"/>
    <x v="24"/>
    <s v="918098"/>
    <x v="1"/>
    <n v="918098"/>
    <m/>
    <m/>
  </r>
  <r>
    <d v="2026-05-04T00:00:00"/>
    <x v="25"/>
    <s v="109448"/>
    <x v="6"/>
    <n v="109448"/>
    <m/>
    <m/>
  </r>
  <r>
    <d v="2026-05-04T00:00:00"/>
    <x v="25"/>
    <s v="205858"/>
    <x v="3"/>
    <n v="205858"/>
    <m/>
    <m/>
  </r>
  <r>
    <d v="2026-05-04T00:00:00"/>
    <x v="24"/>
    <s v="194239"/>
    <x v="4"/>
    <n v="194239"/>
    <m/>
    <m/>
  </r>
  <r>
    <d v="2026-05-04T00:00:00"/>
    <x v="25"/>
    <s v="203497"/>
    <x v="1"/>
    <n v="203497"/>
    <m/>
    <m/>
  </r>
  <r>
    <d v="2026-05-04T00:00:00"/>
    <x v="24"/>
    <s v="395551"/>
    <x v="5"/>
    <n v="395551"/>
    <m/>
    <m/>
  </r>
  <r>
    <d v="2026-05-04T00:00:00"/>
    <x v="24"/>
    <s v="918098"/>
    <x v="4"/>
    <n v="918098"/>
    <m/>
    <m/>
  </r>
  <r>
    <d v="2026-05-04T00:00:00"/>
    <x v="24"/>
    <s v="194239"/>
    <x v="3"/>
    <n v="194239"/>
    <m/>
    <m/>
  </r>
  <r>
    <d v="2026-05-04T00:00:00"/>
    <x v="25"/>
    <s v="203497"/>
    <x v="3"/>
    <n v="203497"/>
    <m/>
    <m/>
  </r>
  <r>
    <d v="2026-05-04T00:00:00"/>
    <x v="24"/>
    <s v="136571"/>
    <x v="6"/>
    <n v="136571"/>
    <m/>
    <m/>
  </r>
  <r>
    <d v="2026-05-04T00:00:00"/>
    <x v="6"/>
    <s v="10868000"/>
    <x v="6"/>
    <n v="10868000"/>
    <m/>
    <m/>
  </r>
  <r>
    <d v="2026-05-04T00:00:00"/>
    <x v="6"/>
    <s v="16211093"/>
    <x v="4"/>
    <n v="16211093"/>
    <m/>
    <m/>
  </r>
  <r>
    <d v="2026-05-04T00:00:00"/>
    <x v="27"/>
    <s v="1250"/>
    <x v="7"/>
    <n v="1250"/>
    <m/>
    <m/>
  </r>
  <r>
    <d v="2026-05-04T00:00:00"/>
    <x v="13"/>
    <s v="95481"/>
    <x v="4"/>
    <n v="95481"/>
    <m/>
    <m/>
  </r>
  <r>
    <d v="2026-05-04T00:00:00"/>
    <x v="42"/>
    <s v="1023991"/>
    <x v="6"/>
    <n v="1023991"/>
    <m/>
    <m/>
  </r>
  <r>
    <d v="2026-05-04T00:00:00"/>
    <x v="25"/>
    <s v="203497"/>
    <x v="4"/>
    <n v="203497"/>
    <m/>
    <m/>
  </r>
  <r>
    <d v="2026-05-04T00:00:00"/>
    <x v="6"/>
    <s v="16211093"/>
    <x v="1"/>
    <n v="16211093"/>
    <m/>
    <m/>
  </r>
  <r>
    <d v="2026-05-04T00:00:00"/>
    <x v="27"/>
    <s v="1250"/>
    <x v="8"/>
    <n v="1250"/>
    <m/>
    <m/>
  </r>
  <r>
    <d v="2026-05-04T00:00:00"/>
    <x v="13"/>
    <s v="95481"/>
    <x v="3"/>
    <n v="95481"/>
    <m/>
    <m/>
  </r>
  <r>
    <d v="2026-05-04T00:00:00"/>
    <x v="13"/>
    <s v="290170"/>
    <x v="3"/>
    <n v="290170"/>
    <m/>
    <m/>
  </r>
  <r>
    <d v="2026-05-04T00:00:00"/>
    <x v="13"/>
    <s v="885889"/>
    <x v="3"/>
    <n v="885889"/>
    <m/>
    <m/>
  </r>
  <r>
    <d v="2026-05-04T00:00:00"/>
    <x v="13"/>
    <s v="275328"/>
    <x v="6"/>
    <n v="275328"/>
    <m/>
    <m/>
  </r>
  <r>
    <d v="2026-05-04T00:00:00"/>
    <x v="28"/>
    <s v="1880"/>
    <x v="7"/>
    <n v="1880"/>
    <m/>
    <m/>
  </r>
  <r>
    <d v="2026-05-04T00:00:00"/>
    <x v="16"/>
    <s v="395670"/>
    <x v="6"/>
    <n v="395670"/>
    <m/>
    <m/>
  </r>
  <r>
    <d v="2026-05-04T00:00:00"/>
    <x v="6"/>
    <s v="16211093"/>
    <x v="3"/>
    <n v="16211093"/>
    <m/>
    <m/>
  </r>
  <r>
    <d v="2026-05-04T00:00:00"/>
    <x v="13"/>
    <s v="885889"/>
    <x v="0"/>
    <n v="885889"/>
    <m/>
    <m/>
  </r>
  <r>
    <d v="2026-05-04T00:00:00"/>
    <x v="28"/>
    <s v="1880"/>
    <x v="3"/>
    <n v="1880"/>
    <m/>
    <m/>
  </r>
  <r>
    <d v="2026-05-04T00:00:00"/>
    <x v="16"/>
    <s v="1045008"/>
    <x v="4"/>
    <n v="1045008"/>
    <m/>
    <m/>
  </r>
  <r>
    <d v="2026-05-04T00:00:00"/>
    <x v="42"/>
    <s v="2496000"/>
    <x v="6"/>
    <n v="2496000"/>
    <m/>
    <m/>
  </r>
  <r>
    <d v="2026-05-04T00:00:00"/>
    <x v="33"/>
    <s v="1d 14h"/>
    <x v="2"/>
    <m/>
    <n v="2"/>
    <n v="38"/>
  </r>
  <r>
    <d v="2026-05-04T00:00:00"/>
    <x v="5"/>
    <s v="2d 22h"/>
    <x v="2"/>
    <m/>
    <n v="3"/>
    <n v="70"/>
  </r>
  <r>
    <d v="2026-05-04T00:00:00"/>
    <x v="50"/>
    <s v="1377552"/>
    <x v="3"/>
    <n v="1377552"/>
    <m/>
    <m/>
  </r>
  <r>
    <d v="2026-05-04T00:00:00"/>
    <x v="50"/>
    <s v="1356833"/>
    <x v="6"/>
    <n v="1356833"/>
    <m/>
    <m/>
  </r>
  <r>
    <d v="2026-05-04T00:00:00"/>
    <x v="50"/>
    <s v="1160966"/>
    <x v="3"/>
    <n v="1160966"/>
    <m/>
    <m/>
  </r>
  <r>
    <d v="2026-05-04T00:00:00"/>
    <x v="12"/>
    <s v="1690000"/>
    <x v="3"/>
    <n v="1690000"/>
    <m/>
    <m/>
  </r>
  <r>
    <d v="2026-05-04T00:00:00"/>
    <x v="50"/>
    <s v="1160966"/>
    <x v="1"/>
    <n v="1160966"/>
    <m/>
    <m/>
  </r>
  <r>
    <d v="2026-05-04T00:00:00"/>
    <x v="50"/>
    <s v="1114124"/>
    <x v="4"/>
    <n v="1114124"/>
    <m/>
    <m/>
  </r>
  <r>
    <d v="2026-05-04T00:00:00"/>
    <x v="30"/>
    <s v="750000"/>
    <x v="4"/>
    <n v="750000"/>
    <m/>
    <m/>
  </r>
  <r>
    <d v="2026-05-04T00:00:00"/>
    <x v="54"/>
    <s v="2704000"/>
    <x v="4"/>
    <n v="2704000"/>
    <m/>
    <m/>
  </r>
  <r>
    <d v="2026-05-04T00:00:00"/>
    <x v="54"/>
    <s v="2704000"/>
    <x v="6"/>
    <n v="2704000"/>
    <m/>
    <m/>
  </r>
  <r>
    <d v="2026-05-04T00:00:00"/>
    <x v="20"/>
    <s v="2420718"/>
    <x v="3"/>
    <n v="2420718"/>
    <m/>
    <m/>
  </r>
  <r>
    <d v="2026-05-04T00:00:00"/>
    <x v="20"/>
    <s v="2453786"/>
    <x v="4"/>
    <n v="2453786"/>
    <m/>
    <m/>
  </r>
  <r>
    <d v="2026-05-04T00:00:00"/>
    <x v="20"/>
    <s v="2449059"/>
    <x v="6"/>
    <n v="2449059"/>
    <m/>
    <m/>
  </r>
  <r>
    <d v="2026-05-04T00:00:00"/>
    <x v="54"/>
    <s v="2704000"/>
    <x v="3"/>
    <n v="2704000"/>
    <m/>
    <m/>
  </r>
  <r>
    <d v="2026-05-04T00:00:00"/>
    <x v="59"/>
    <s v="1881000"/>
    <x v="4"/>
    <n v="1881000"/>
    <m/>
    <m/>
  </r>
  <r>
    <d v="2026-05-04T00:00:00"/>
    <x v="60"/>
    <s v="2070000"/>
    <x v="4"/>
    <n v="2070000"/>
    <m/>
    <m/>
  </r>
  <r>
    <d v="2026-05-04T00:00:00"/>
    <x v="60"/>
    <s v="2070000"/>
    <x v="4"/>
    <n v="2070000"/>
    <m/>
    <m/>
  </r>
  <r>
    <d v="2026-05-04T00:00:00"/>
    <x v="60"/>
    <s v="2322000"/>
    <x v="4"/>
    <n v="2322000"/>
    <m/>
    <m/>
  </r>
  <r>
    <d v="2026-05-04T00:00:00"/>
    <x v="60"/>
    <s v="2070000"/>
    <x v="6"/>
    <n v="2070000"/>
    <m/>
    <m/>
  </r>
  <r>
    <d v="2026-05-04T00:00:00"/>
    <x v="20"/>
    <s v="2453786"/>
    <x v="3"/>
    <n v="2453786"/>
    <m/>
    <m/>
  </r>
  <r>
    <d v="2026-05-04T00:00:00"/>
    <x v="60"/>
    <s v="2070000"/>
    <x v="3"/>
    <n v="2070000"/>
    <m/>
    <m/>
  </r>
  <r>
    <d v="2026-05-04T00:00:00"/>
    <x v="60"/>
    <s v="2070000"/>
    <x v="1"/>
    <n v="2070000"/>
    <m/>
    <m/>
  </r>
  <r>
    <d v="2026-05-04T00:00:00"/>
    <x v="60"/>
    <s v="2322000"/>
    <x v="3"/>
    <n v="2322000"/>
    <m/>
    <m/>
  </r>
  <r>
    <d v="2026-05-04T00:00:00"/>
    <x v="61"/>
    <s v="432"/>
    <x v="4"/>
    <n v="432"/>
    <m/>
    <m/>
  </r>
  <r>
    <d v="2026-05-04T00:00:00"/>
    <x v="53"/>
    <s v="155027"/>
    <x v="0"/>
    <n v="155027"/>
    <m/>
    <m/>
  </r>
  <r>
    <d v="2026-05-04T00:00:00"/>
    <x v="61"/>
    <s v="1027496"/>
    <x v="3"/>
    <n v="1027496"/>
    <m/>
    <m/>
  </r>
  <r>
    <d v="2026-05-04T00:00:00"/>
    <x v="61"/>
    <s v="1386246"/>
    <x v="1"/>
    <n v="1386246"/>
    <m/>
    <m/>
  </r>
  <r>
    <d v="2026-05-04T00:00:00"/>
    <x v="53"/>
    <s v="155027"/>
    <x v="4"/>
    <n v="155027"/>
    <m/>
    <m/>
  </r>
  <r>
    <d v="2026-05-04T00:00:00"/>
    <x v="61"/>
    <s v="1386246"/>
    <x v="4"/>
    <n v="1386246"/>
    <m/>
    <m/>
  </r>
  <r>
    <d v="2026-05-04T00:00:00"/>
    <x v="61"/>
    <s v="1908000"/>
    <x v="3"/>
    <n v="1908000"/>
    <m/>
    <m/>
  </r>
  <r>
    <d v="2026-05-04T00:00:00"/>
    <x v="26"/>
    <s v="1675458"/>
    <x v="6"/>
    <n v="1675458"/>
    <m/>
    <m/>
  </r>
  <r>
    <d v="2026-05-04T00:00:00"/>
    <x v="26"/>
    <s v="1443532"/>
    <x v="3"/>
    <n v="1443532"/>
    <m/>
    <m/>
  </r>
  <r>
    <d v="2026-05-04T00:00:00"/>
    <x v="61"/>
    <s v="1908000"/>
    <x v="0"/>
    <n v="1908000"/>
    <m/>
    <m/>
  </r>
  <r>
    <d v="2026-05-04T00:00:00"/>
    <x v="6"/>
    <s v="31d 8h"/>
    <x v="2"/>
    <m/>
    <n v="31"/>
    <n v="752"/>
  </r>
  <r>
    <d v="2026-05-04T00:00:00"/>
    <x v="55"/>
    <s v="10d 20h"/>
    <x v="2"/>
    <m/>
    <n v="11"/>
    <n v="260"/>
  </r>
  <r>
    <d v="2026-05-04T00:00:00"/>
    <x v="47"/>
    <s v="2d 18h"/>
    <x v="2"/>
    <m/>
    <n v="3"/>
    <n v="66"/>
  </r>
  <r>
    <d v="2026-05-04T00:00:00"/>
    <x v="4"/>
    <s v="7d 2h"/>
    <x v="2"/>
    <m/>
    <n v="7"/>
    <n v="170"/>
  </r>
  <r>
    <d v="2026-05-04T00:00:00"/>
    <x v="42"/>
    <s v="299796"/>
    <x v="3"/>
    <n v="299796"/>
    <m/>
    <m/>
  </r>
  <r>
    <d v="2026-05-04T00:00:00"/>
    <x v="28"/>
    <s v="1067"/>
    <x v="4"/>
    <n v="1067"/>
    <m/>
    <m/>
  </r>
  <r>
    <d v="2026-05-04T00:00:00"/>
    <x v="43"/>
    <s v="5727"/>
    <x v="4"/>
    <n v="5727"/>
    <m/>
    <m/>
  </r>
  <r>
    <d v="2026-05-04T00:00:00"/>
    <x v="18"/>
    <s v="966"/>
    <x v="4"/>
    <n v="966"/>
    <m/>
    <m/>
  </r>
  <r>
    <d v="2026-05-04T00:00:00"/>
    <x v="5"/>
    <s v="11253"/>
    <x v="4"/>
    <n v="11253"/>
    <m/>
    <m/>
  </r>
  <r>
    <d v="2026-05-04T00:00:00"/>
    <x v="62"/>
    <s v="4d 0h"/>
    <x v="2"/>
    <m/>
    <n v="4"/>
    <n v="96"/>
  </r>
  <r>
    <d v="2026-05-04T00:00:00"/>
    <x v="44"/>
    <s v="3753"/>
    <x v="4"/>
    <n v="3753"/>
    <m/>
    <m/>
  </r>
  <r>
    <d v="2026-05-04T00:00:00"/>
    <x v="28"/>
    <s v="965"/>
    <x v="4"/>
    <n v="965"/>
    <m/>
    <m/>
  </r>
  <r>
    <d v="2026-05-04T00:00:00"/>
    <x v="27"/>
    <s v="5734"/>
    <x v="4"/>
    <n v="5734"/>
    <m/>
    <m/>
  </r>
  <r>
    <d v="2026-05-04T00:00:00"/>
    <x v="11"/>
    <s v="922742"/>
    <x v="6"/>
    <n v="922742"/>
    <m/>
    <m/>
  </r>
  <r>
    <d v="2026-05-04T00:00:00"/>
    <x v="27"/>
    <s v="11d 15h"/>
    <x v="2"/>
    <m/>
    <n v="12"/>
    <n v="279"/>
  </r>
  <r>
    <d v="2026-05-04T00:00:00"/>
    <x v="11"/>
    <s v="1729321"/>
    <x v="3"/>
    <n v="1729321"/>
    <m/>
    <m/>
  </r>
  <r>
    <d v="2026-05-04T00:00:00"/>
    <x v="58"/>
    <s v="20d 3h"/>
    <x v="2"/>
    <m/>
    <n v="20"/>
    <n v="483"/>
  </r>
  <r>
    <d v="2026-05-04T00:00:00"/>
    <x v="29"/>
    <s v="7d 11h"/>
    <x v="2"/>
    <m/>
    <n v="7"/>
    <n v="179"/>
  </r>
  <r>
    <d v="2026-05-04T00:00:00"/>
    <x v="27"/>
    <s v="5734"/>
    <x v="3"/>
    <n v="5734"/>
    <m/>
    <m/>
  </r>
  <r>
    <d v="2026-05-04T00:00:00"/>
    <x v="11"/>
    <s v="1729321"/>
    <x v="1"/>
    <n v="1729321"/>
    <m/>
    <m/>
  </r>
  <r>
    <d v="2026-05-04T00:00:00"/>
    <x v="5"/>
    <s v="4d 20h"/>
    <x v="2"/>
    <m/>
    <n v="5"/>
    <n v="116"/>
  </r>
  <r>
    <d v="2026-05-04T00:00:00"/>
    <x v="5"/>
    <s v="4585733"/>
    <x v="3"/>
    <n v="4585733"/>
    <m/>
    <m/>
  </r>
  <r>
    <d v="2026-05-04T00:00:00"/>
    <x v="13"/>
    <s v="126761"/>
    <x v="3"/>
    <n v="126761"/>
    <m/>
    <m/>
  </r>
  <r>
    <d v="2026-05-04T00:00:00"/>
    <x v="13"/>
    <s v="506112"/>
    <x v="3"/>
    <n v="506112"/>
    <m/>
    <m/>
  </r>
  <r>
    <d v="2026-05-04T00:00:00"/>
    <x v="13"/>
    <s v="252860"/>
    <x v="4"/>
    <n v="252860"/>
    <m/>
    <m/>
  </r>
  <r>
    <d v="2026-05-04T00:00:00"/>
    <x v="13"/>
    <s v="506112"/>
    <x v="0"/>
    <n v="506112"/>
    <m/>
    <m/>
  </r>
  <r>
    <d v="2026-05-04T00:00:00"/>
    <x v="13"/>
    <s v="134902"/>
    <x v="6"/>
    <n v="134902"/>
    <m/>
    <m/>
  </r>
  <r>
    <d v="2026-05-04T00:00:00"/>
    <x v="13"/>
    <s v="467837"/>
    <x v="3"/>
    <n v="467837"/>
    <m/>
    <m/>
  </r>
  <r>
    <d v="2026-05-04T00:00:00"/>
    <x v="20"/>
    <s v="2071221"/>
    <x v="3"/>
    <n v="2071221"/>
    <m/>
    <m/>
  </r>
  <r>
    <d v="2026-05-04T00:00:00"/>
    <x v="20"/>
    <s v="2198748"/>
    <x v="1"/>
    <n v="2198748"/>
    <m/>
    <m/>
  </r>
  <r>
    <d v="2026-05-04T00:00:00"/>
    <x v="13"/>
    <s v="252860"/>
    <x v="1"/>
    <n v="252860"/>
    <m/>
    <m/>
  </r>
  <r>
    <d v="2026-05-04T00:00:00"/>
    <x v="13"/>
    <s v="467837"/>
    <x v="4"/>
    <n v="467837"/>
    <m/>
    <m/>
  </r>
  <r>
    <d v="2026-05-04T00:00:00"/>
    <x v="20"/>
    <s v="2198748"/>
    <x v="3"/>
    <n v="2198748"/>
    <m/>
    <m/>
  </r>
  <r>
    <d v="2026-05-04T00:00:00"/>
    <x v="12"/>
    <s v="750000"/>
    <x v="4"/>
    <n v="750000"/>
    <m/>
    <m/>
  </r>
  <r>
    <d v="2026-05-04T00:00:00"/>
    <x v="38"/>
    <s v="17000"/>
    <x v="4"/>
    <n v="17000"/>
    <m/>
    <m/>
  </r>
  <r>
    <d v="2026-05-04T00:00:00"/>
    <x v="28"/>
    <s v="17000"/>
    <x v="4"/>
    <n v="17000"/>
    <m/>
    <m/>
  </r>
  <r>
    <d v="2026-05-04T00:00:00"/>
    <x v="11"/>
    <s v="17000"/>
    <x v="4"/>
    <n v="17000"/>
    <m/>
    <m/>
  </r>
  <r>
    <d v="2026-05-04T00:00:00"/>
    <x v="33"/>
    <s v="2800"/>
    <x v="4"/>
    <n v="2800"/>
    <m/>
    <m/>
  </r>
  <r>
    <d v="2026-05-04T00:00:00"/>
    <x v="41"/>
    <s v="17000"/>
    <x v="4"/>
    <n v="17000"/>
    <m/>
    <m/>
  </r>
  <r>
    <d v="2026-05-04T00:00:00"/>
    <x v="24"/>
    <s v="246576"/>
    <x v="6"/>
    <n v="246576"/>
    <m/>
    <m/>
  </r>
  <r>
    <d v="2026-05-04T00:00:00"/>
    <x v="20"/>
    <s v="2387256"/>
    <x v="3"/>
    <n v="2387256"/>
    <m/>
    <m/>
  </r>
  <r>
    <d v="2026-05-04T00:00:00"/>
    <x v="20"/>
    <s v="2014538"/>
    <x v="4"/>
    <n v="2014538"/>
    <m/>
    <m/>
  </r>
  <r>
    <d v="2026-05-04T00:00:00"/>
    <x v="24"/>
    <s v="246576"/>
    <x v="3"/>
    <n v="246576"/>
    <m/>
    <m/>
  </r>
  <r>
    <d v="2026-05-04T00:00:00"/>
    <x v="24"/>
    <s v="62452"/>
    <x v="0"/>
    <n v="62452"/>
    <m/>
    <m/>
  </r>
  <r>
    <d v="2026-05-04T00:00:00"/>
    <x v="24"/>
    <s v="269564"/>
    <x v="3"/>
    <n v="269564"/>
    <m/>
    <m/>
  </r>
  <r>
    <d v="2026-05-04T00:00:00"/>
    <x v="12"/>
    <s v="81152"/>
    <x v="4"/>
    <n v="81152"/>
    <m/>
    <m/>
  </r>
  <r>
    <d v="2026-05-04T00:00:00"/>
    <x v="22"/>
    <s v="100000"/>
    <x v="6"/>
    <n v="100000"/>
    <m/>
    <m/>
  </r>
  <r>
    <d v="2026-05-04T00:00:00"/>
    <x v="22"/>
    <s v="100000"/>
    <x v="3"/>
    <n v="100000"/>
    <m/>
    <m/>
  </r>
  <r>
    <d v="2026-05-04T00:00:00"/>
    <x v="24"/>
    <s v="62452"/>
    <x v="3"/>
    <n v="62452"/>
    <m/>
    <m/>
  </r>
  <r>
    <d v="2026-05-04T00:00:00"/>
    <x v="24"/>
    <s v="269564"/>
    <x v="4"/>
    <n v="269564"/>
    <m/>
    <m/>
  </r>
  <r>
    <d v="2026-05-04T00:00:00"/>
    <x v="22"/>
    <s v="100000"/>
    <x v="4"/>
    <n v="100000"/>
    <m/>
    <m/>
  </r>
  <r>
    <d v="2026-05-04T00:00:00"/>
    <x v="63"/>
    <s v="1004814"/>
    <x v="6"/>
    <n v="1004814"/>
    <m/>
    <m/>
  </r>
  <r>
    <d v="2026-05-04T00:00:00"/>
    <x v="63"/>
    <s v="1013864"/>
    <x v="1"/>
    <n v="1013864"/>
    <m/>
    <m/>
  </r>
  <r>
    <d v="2026-05-04T00:00:00"/>
    <x v="63"/>
    <s v="1023935"/>
    <x v="4"/>
    <n v="1023935"/>
    <m/>
    <m/>
  </r>
  <r>
    <d v="2026-05-04T00:00:00"/>
    <x v="22"/>
    <s v="100000"/>
    <x v="3"/>
    <n v="100000"/>
    <m/>
    <m/>
  </r>
  <r>
    <d v="2026-05-04T00:00:00"/>
    <x v="63"/>
    <s v="1013864"/>
    <x v="4"/>
    <n v="1013864"/>
    <m/>
    <m/>
  </r>
  <r>
    <d v="2026-05-04T00:00:00"/>
    <x v="63"/>
    <s v="1023935"/>
    <x v="0"/>
    <n v="1023935"/>
    <m/>
    <m/>
  </r>
  <r>
    <d v="2026-05-04T00:00:00"/>
    <x v="42"/>
    <s v="356"/>
    <x v="3"/>
    <n v="356"/>
    <m/>
    <m/>
  </r>
  <r>
    <d v="2026-05-04T00:00:00"/>
    <x v="64"/>
    <s v="250000"/>
    <x v="4"/>
    <n v="250000"/>
    <m/>
    <m/>
  </r>
  <r>
    <d v="2026-05-04T00:00:00"/>
    <x v="65"/>
    <s v="250000"/>
    <x v="4"/>
    <n v="250000"/>
    <m/>
    <m/>
  </r>
  <r>
    <d v="2026-05-04T00:00:00"/>
    <x v="63"/>
    <s v="1023935"/>
    <x v="3"/>
    <n v="1023935"/>
    <m/>
    <m/>
  </r>
  <r>
    <d v="2026-05-04T00:00:00"/>
    <x v="11"/>
    <s v="775192"/>
    <x v="6"/>
    <n v="775192"/>
    <m/>
    <m/>
  </r>
  <r>
    <d v="2026-05-04T00:00:00"/>
    <x v="55"/>
    <s v="18d 8h"/>
    <x v="2"/>
    <m/>
    <n v="18"/>
    <n v="440"/>
  </r>
  <r>
    <d v="2026-05-04T00:00:00"/>
    <x v="42"/>
    <s v="2800"/>
    <x v="4"/>
    <n v="2800"/>
    <m/>
    <m/>
  </r>
  <r>
    <d v="2026-05-04T00:00:00"/>
    <x v="5"/>
    <s v="4781988"/>
    <x v="3"/>
    <n v="4781988"/>
    <m/>
    <m/>
  </r>
  <r>
    <d v="2026-05-04T00:00:00"/>
    <x v="5"/>
    <s v="6156540"/>
    <x v="6"/>
    <n v="6156540"/>
    <m/>
    <m/>
  </r>
  <r>
    <d v="2026-05-04T00:00:00"/>
    <x v="66"/>
    <s v="250000"/>
    <x v="4"/>
    <n v="250000"/>
    <m/>
    <m/>
  </r>
  <r>
    <d v="2026-05-04T00:00:00"/>
    <x v="5"/>
    <s v="5d 3h"/>
    <x v="2"/>
    <m/>
    <n v="5"/>
    <n v="123"/>
  </r>
  <r>
    <d v="2026-05-04T00:00:00"/>
    <x v="29"/>
    <s v="30d 12h"/>
    <x v="2"/>
    <m/>
    <n v="30"/>
    <n v="732"/>
  </r>
  <r>
    <d v="2026-05-04T00:00:00"/>
    <x v="5"/>
    <s v="6156540"/>
    <x v="3"/>
    <n v="6156540"/>
    <m/>
    <m/>
  </r>
  <r>
    <d v="2026-05-04T00:00:00"/>
    <x v="27"/>
    <s v="35d 12h"/>
    <x v="2"/>
    <m/>
    <n v="36"/>
    <n v="852"/>
  </r>
  <r>
    <d v="2026-05-04T00:00:00"/>
    <x v="20"/>
    <s v="17000"/>
    <x v="4"/>
    <n v="17000"/>
    <m/>
    <m/>
  </r>
  <r>
    <d v="2026-05-04T00:00:00"/>
    <x v="67"/>
    <s v="250000"/>
    <x v="4"/>
    <n v="250000"/>
    <m/>
    <m/>
  </r>
  <r>
    <d v="2026-05-04T00:00:00"/>
    <x v="13"/>
    <s v="95562"/>
    <x v="3"/>
    <n v="95562"/>
    <m/>
    <m/>
  </r>
  <r>
    <d v="2026-05-04T00:00:00"/>
    <x v="13"/>
    <s v="95562"/>
    <x v="4"/>
    <n v="95562"/>
    <m/>
    <m/>
  </r>
  <r>
    <d v="2026-05-04T00:00:00"/>
    <x v="13"/>
    <s v="1241605"/>
    <x v="4"/>
    <n v="1241605"/>
    <m/>
    <m/>
  </r>
  <r>
    <d v="2026-05-04T00:00:00"/>
    <x v="13"/>
    <s v="314123"/>
    <x v="3"/>
    <n v="314123"/>
    <m/>
    <m/>
  </r>
  <r>
    <d v="2026-05-04T00:00:00"/>
    <x v="13"/>
    <s v="317426"/>
    <x v="6"/>
    <n v="317426"/>
    <m/>
    <m/>
  </r>
  <r>
    <d v="2026-05-04T00:00:00"/>
    <x v="13"/>
    <s v="298145"/>
    <x v="4"/>
    <n v="298145"/>
    <m/>
    <m/>
  </r>
  <r>
    <d v="2026-05-04T00:00:00"/>
    <x v="54"/>
    <s v="846"/>
    <x v="4"/>
    <n v="846"/>
    <m/>
    <m/>
  </r>
  <r>
    <d v="2026-05-04T00:00:00"/>
    <x v="54"/>
    <s v="750000"/>
    <x v="4"/>
    <n v="750000"/>
    <m/>
    <m/>
  </r>
  <r>
    <d v="2026-05-04T00:00:00"/>
    <x v="13"/>
    <s v="1241605"/>
    <x v="3"/>
    <n v="1241605"/>
    <m/>
    <m/>
  </r>
  <r>
    <d v="2026-05-04T00:00:00"/>
    <x v="13"/>
    <s v="298145"/>
    <x v="3"/>
    <n v="298145"/>
    <m/>
    <m/>
  </r>
  <r>
    <d v="2026-05-04T00:00:00"/>
    <x v="13"/>
    <s v="317426"/>
    <x v="3"/>
    <n v="317426"/>
    <m/>
    <m/>
  </r>
  <r>
    <d v="2026-05-04T00:00:00"/>
    <x v="23"/>
    <s v="1890000"/>
    <x v="6"/>
    <n v="1890000"/>
    <m/>
    <m/>
  </r>
  <r>
    <d v="2026-05-04T00:00:00"/>
    <x v="23"/>
    <s v="2019538"/>
    <x v="3"/>
    <n v="2019538"/>
    <m/>
    <m/>
  </r>
  <r>
    <d v="2026-05-04T00:00:00"/>
    <x v="68"/>
    <s v="250000"/>
    <x v="4"/>
    <n v="250000"/>
    <m/>
    <m/>
  </r>
  <r>
    <d v="2026-05-04T00:00:00"/>
    <x v="69"/>
    <s v="250000"/>
    <x v="4"/>
    <n v="250000"/>
    <m/>
    <m/>
  </r>
  <r>
    <d v="2026-05-04T00:00:00"/>
    <x v="51"/>
    <s v="10000"/>
    <x v="3"/>
    <n v="10000"/>
    <m/>
    <m/>
  </r>
  <r>
    <d v="2026-05-04T00:00:00"/>
    <x v="13"/>
    <s v="250000"/>
    <x v="3"/>
    <n v="250000"/>
    <m/>
    <m/>
  </r>
  <r>
    <d v="2026-05-04T00:00:00"/>
    <x v="51"/>
    <s v="10000"/>
    <x v="8"/>
    <n v="10000"/>
    <m/>
    <m/>
  </r>
  <r>
    <d v="2026-05-04T00:00:00"/>
    <x v="39"/>
    <s v="15000"/>
    <x v="7"/>
    <n v="15000"/>
    <m/>
    <m/>
  </r>
  <r>
    <d v="2026-05-04T00:00:00"/>
    <x v="54"/>
    <s v="500000"/>
    <x v="4"/>
    <n v="500000"/>
    <m/>
    <m/>
  </r>
  <r>
    <d v="2026-05-04T00:00:00"/>
    <x v="50"/>
    <s v="10000"/>
    <x v="8"/>
    <n v="10000"/>
    <m/>
    <m/>
  </r>
  <r>
    <d v="2026-05-04T00:00:00"/>
    <x v="48"/>
    <s v="10000"/>
    <x v="7"/>
    <n v="10000"/>
    <m/>
    <m/>
  </r>
  <r>
    <d v="2026-05-04T00:00:00"/>
    <x v="65"/>
    <s v="25000"/>
    <x v="8"/>
    <n v="25000"/>
    <m/>
    <m/>
  </r>
  <r>
    <d v="2026-05-04T00:00:00"/>
    <x v="51"/>
    <s v="10000"/>
    <x v="7"/>
    <n v="10000"/>
    <m/>
    <m/>
  </r>
  <r>
    <d v="2026-05-04T00:00:00"/>
    <x v="48"/>
    <s v="10000"/>
    <x v="8"/>
    <n v="10000"/>
    <m/>
    <m/>
  </r>
  <r>
    <d v="2026-05-04T00:00:00"/>
    <x v="44"/>
    <s v="500000"/>
    <x v="4"/>
    <n v="500000"/>
    <m/>
    <m/>
  </r>
  <r>
    <d v="2026-05-04T00:00:00"/>
    <x v="64"/>
    <s v="10000"/>
    <x v="8"/>
    <n v="10000"/>
    <m/>
    <m/>
  </r>
  <r>
    <d v="2026-05-04T00:00:00"/>
    <x v="12"/>
    <s v="108605"/>
    <x v="4"/>
    <n v="108605"/>
    <m/>
    <m/>
  </r>
  <r>
    <d v="2026-05-04T00:00:00"/>
    <x v="4"/>
    <s v="10000"/>
    <x v="3"/>
    <n v="10000"/>
    <m/>
    <m/>
  </r>
  <r>
    <d v="2026-05-04T00:00:00"/>
    <x v="47"/>
    <s v="10000"/>
    <x v="4"/>
    <n v="10000"/>
    <m/>
    <m/>
  </r>
  <r>
    <d v="2026-05-04T00:00:00"/>
    <x v="64"/>
    <s v="10000"/>
    <x v="7"/>
    <n v="10000"/>
    <m/>
    <m/>
  </r>
  <r>
    <d v="2026-05-04T00:00:00"/>
    <x v="4"/>
    <s v="10000"/>
    <x v="8"/>
    <n v="10000"/>
    <m/>
    <m/>
  </r>
  <r>
    <d v="2026-05-04T00:00:00"/>
    <x v="47"/>
    <s v="10000"/>
    <x v="8"/>
    <n v="10000"/>
    <m/>
    <m/>
  </r>
  <r>
    <d v="2026-05-04T00:00:00"/>
    <x v="69"/>
    <s v="20000"/>
    <x v="7"/>
    <n v="20000"/>
    <m/>
    <m/>
  </r>
  <r>
    <d v="2026-05-04T00:00:00"/>
    <x v="66"/>
    <s v="20000"/>
    <x v="7"/>
    <n v="20000"/>
    <m/>
    <m/>
  </r>
  <r>
    <d v="2026-05-04T00:00:00"/>
    <x v="5"/>
    <s v="15000"/>
    <x v="8"/>
    <n v="15000"/>
    <m/>
    <m/>
  </r>
  <r>
    <d v="2026-05-04T00:00:00"/>
    <x v="50"/>
    <s v="4444113"/>
    <x v="1"/>
    <n v="4444113"/>
    <m/>
    <m/>
  </r>
  <r>
    <d v="2026-05-04T00:00:00"/>
    <x v="4"/>
    <s v="10000"/>
    <x v="7"/>
    <n v="10000"/>
    <m/>
    <m/>
  </r>
  <r>
    <d v="2026-05-04T00:00:00"/>
    <x v="47"/>
    <s v="10000"/>
    <x v="7"/>
    <n v="10000"/>
    <m/>
    <m/>
  </r>
  <r>
    <d v="2026-05-04T00:00:00"/>
    <x v="66"/>
    <s v="20000"/>
    <x v="8"/>
    <n v="20000"/>
    <m/>
    <m/>
  </r>
  <r>
    <d v="2026-05-04T00:00:00"/>
    <x v="50"/>
    <s v="4444113"/>
    <x v="4"/>
    <n v="4444113"/>
    <m/>
    <m/>
  </r>
  <r>
    <d v="2026-05-04T00:00:00"/>
    <x v="54"/>
    <s v="132"/>
    <x v="4"/>
    <n v="132"/>
    <m/>
    <m/>
  </r>
  <r>
    <d v="2026-05-04T00:00:00"/>
    <x v="49"/>
    <s v="1839410"/>
    <x v="4"/>
    <n v="1839410"/>
    <m/>
    <m/>
  </r>
  <r>
    <d v="2026-05-04T00:00:00"/>
    <x v="27"/>
    <s v="190000"/>
    <x v="4"/>
    <n v="190000"/>
    <m/>
    <m/>
  </r>
  <r>
    <d v="2026-05-04T00:00:00"/>
    <x v="29"/>
    <s v="17000"/>
    <x v="4"/>
    <n v="17000"/>
    <m/>
    <m/>
  </r>
  <r>
    <d v="2026-05-04T00:00:00"/>
    <x v="50"/>
    <s v="1965088"/>
    <x v="6"/>
    <n v="1965088"/>
    <m/>
    <m/>
  </r>
  <r>
    <d v="2026-05-04T00:00:00"/>
    <x v="50"/>
    <s v="4444113"/>
    <x v="3"/>
    <n v="4444113"/>
    <m/>
    <m/>
  </r>
  <r>
    <d v="2026-05-04T00:00:00"/>
    <x v="49"/>
    <s v="1839410"/>
    <x v="5"/>
    <n v="1839410"/>
    <m/>
    <m/>
  </r>
  <r>
    <d v="2026-05-04T00:00:00"/>
    <x v="50"/>
    <s v="1898472"/>
    <x v="3"/>
    <n v="1898472"/>
    <m/>
    <m/>
  </r>
  <r>
    <d v="2026-05-04T00:00:00"/>
    <x v="50"/>
    <s v="1999761"/>
    <x v="1"/>
    <n v="1999761"/>
    <m/>
    <m/>
  </r>
  <r>
    <d v="2026-05-04T00:00:00"/>
    <x v="53"/>
    <s v="107987"/>
    <x v="3"/>
    <n v="107987"/>
    <m/>
    <m/>
  </r>
  <r>
    <d v="2026-05-04T00:00:00"/>
    <x v="32"/>
    <s v="2704000"/>
    <x v="3"/>
    <n v="2704000"/>
    <m/>
    <m/>
  </r>
  <r>
    <d v="2026-05-04T00:00:00"/>
    <x v="55"/>
    <s v="13d 12h"/>
    <x v="2"/>
    <m/>
    <n v="14"/>
    <n v="324"/>
  </r>
  <r>
    <d v="2026-05-04T00:00:00"/>
    <x v="53"/>
    <s v="107987"/>
    <x v="4"/>
    <n v="107987"/>
    <m/>
    <m/>
  </r>
  <r>
    <d v="2026-05-04T00:00:00"/>
    <x v="32"/>
    <s v="2704000"/>
    <x v="4"/>
    <n v="2704000"/>
    <m/>
    <m/>
  </r>
  <r>
    <d v="2026-05-04T00:00:00"/>
    <x v="27"/>
    <s v="24d 0h"/>
    <x v="2"/>
    <m/>
    <n v="24"/>
    <n v="576"/>
  </r>
  <r>
    <d v="2026-05-04T00:00:00"/>
    <x v="4"/>
    <s v="28d 15h"/>
    <x v="2"/>
    <m/>
    <n v="29"/>
    <n v="687"/>
  </r>
  <r>
    <d v="2026-05-04T00:00:00"/>
    <x v="5"/>
    <s v="3412079"/>
    <x v="3"/>
    <n v="3412079"/>
    <m/>
    <m/>
  </r>
  <r>
    <d v="2026-05-04T00:00:00"/>
    <x v="5"/>
    <s v="3261646"/>
    <x v="6"/>
    <n v="3261646"/>
    <m/>
    <m/>
  </r>
  <r>
    <d v="2026-05-04T00:00:00"/>
    <x v="5"/>
    <s v="3261646"/>
    <x v="3"/>
    <n v="3261646"/>
    <m/>
    <m/>
  </r>
  <r>
    <d v="2026-05-04T00:00:00"/>
    <x v="62"/>
    <s v="16d 0h"/>
    <x v="2"/>
    <m/>
    <n v="16"/>
    <n v="384"/>
  </r>
  <r>
    <d v="2026-05-04T00:00:00"/>
    <x v="35"/>
    <s v="857"/>
    <x v="3"/>
    <n v="857"/>
    <m/>
    <m/>
  </r>
  <r>
    <d v="2026-05-04T00:00:00"/>
    <x v="63"/>
    <s v="1023947"/>
    <x v="6"/>
    <n v="1023947"/>
    <m/>
    <m/>
  </r>
  <r>
    <d v="2026-05-04T00:00:00"/>
    <x v="63"/>
    <s v="1133682"/>
    <x v="3"/>
    <n v="1133682"/>
    <m/>
    <m/>
  </r>
  <r>
    <d v="2026-05-04T00:00:00"/>
    <x v="26"/>
    <s v="1598638"/>
    <x v="6"/>
    <n v="1598638"/>
    <m/>
    <m/>
  </r>
  <r>
    <d v="2026-05-04T00:00:00"/>
    <x v="35"/>
    <s v="857"/>
    <x v="4"/>
    <n v="857"/>
    <m/>
    <m/>
  </r>
  <r>
    <d v="2026-05-04T00:00:00"/>
    <x v="63"/>
    <s v="1013672"/>
    <x v="4"/>
    <n v="1013672"/>
    <m/>
    <m/>
  </r>
  <r>
    <d v="2026-05-04T00:00:00"/>
    <x v="42"/>
    <s v="4708000"/>
    <x v="4"/>
    <n v="4708000"/>
    <m/>
    <m/>
  </r>
  <r>
    <d v="2026-05-04T00:00:00"/>
    <x v="26"/>
    <s v="1467921"/>
    <x v="3"/>
    <n v="1467921"/>
    <m/>
    <m/>
  </r>
  <r>
    <d v="2026-05-04T00:00:00"/>
    <x v="26"/>
    <s v="1386138"/>
    <x v="4"/>
    <n v="1386138"/>
    <m/>
    <m/>
  </r>
  <r>
    <d v="2026-05-04T00:00:00"/>
    <x v="42"/>
    <s v="4708000"/>
    <x v="3"/>
    <n v="4708000"/>
    <m/>
    <m/>
  </r>
  <r>
    <d v="2026-05-04T00:00:00"/>
    <x v="26"/>
    <s v="1386138"/>
    <x v="1"/>
    <n v="1386138"/>
    <m/>
    <m/>
  </r>
  <r>
    <d v="2026-05-04T00:00:00"/>
    <x v="24"/>
    <s v="2908828"/>
    <x v="5"/>
    <n v="2908828"/>
    <m/>
    <m/>
  </r>
  <r>
    <d v="2026-05-04T00:00:00"/>
    <x v="43"/>
    <s v="1052143"/>
    <x v="4"/>
    <n v="1052143"/>
    <m/>
    <m/>
  </r>
  <r>
    <d v="2026-05-04T00:00:00"/>
    <x v="13"/>
    <s v="1188627"/>
    <x v="4"/>
    <n v="1188627"/>
    <m/>
    <m/>
  </r>
  <r>
    <d v="2026-05-04T00:00:00"/>
    <x v="24"/>
    <s v="2908828"/>
    <x v="3"/>
    <n v="2908828"/>
    <m/>
    <m/>
  </r>
  <r>
    <d v="2026-05-04T00:00:00"/>
    <x v="43"/>
    <s v="1052143"/>
    <x v="3"/>
    <n v="1052143"/>
    <m/>
    <m/>
  </r>
  <r>
    <d v="2026-05-04T00:00:00"/>
    <x v="24"/>
    <s v="102746"/>
    <x v="3"/>
    <n v="102746"/>
    <m/>
    <m/>
  </r>
  <r>
    <d v="2026-05-04T00:00:00"/>
    <x v="24"/>
    <s v="100743"/>
    <x v="6"/>
    <n v="100743"/>
    <m/>
    <m/>
  </r>
  <r>
    <d v="2026-05-04T00:00:00"/>
    <x v="24"/>
    <s v="101179"/>
    <x v="1"/>
    <n v="101179"/>
    <m/>
    <m/>
  </r>
  <r>
    <d v="2026-05-04T00:00:00"/>
    <x v="24"/>
    <s v="100581"/>
    <x v="4"/>
    <n v="100581"/>
    <m/>
    <m/>
  </r>
  <r>
    <d v="2026-05-04T00:00:00"/>
    <x v="13"/>
    <s v="472910"/>
    <x v="6"/>
    <n v="472910"/>
    <m/>
    <m/>
  </r>
  <r>
    <d v="2026-05-04T00:00:00"/>
    <x v="24"/>
    <s v="101179"/>
    <x v="4"/>
    <n v="101179"/>
    <m/>
    <m/>
  </r>
  <r>
    <d v="2026-05-04T00:00:00"/>
    <x v="24"/>
    <s v="100581"/>
    <x v="3"/>
    <n v="100581"/>
    <m/>
    <m/>
  </r>
  <r>
    <d v="2026-05-04T00:00:00"/>
    <x v="13"/>
    <s v="345719"/>
    <x v="3"/>
    <n v="345719"/>
    <m/>
    <m/>
  </r>
  <r>
    <d v="2026-05-04T00:00:00"/>
    <x v="13"/>
    <s v="499117"/>
    <x v="1"/>
    <n v="499117"/>
    <m/>
    <m/>
  </r>
  <r>
    <d v="2026-05-04T00:00:00"/>
    <x v="13"/>
    <s v="340049"/>
    <x v="0"/>
    <n v="340049"/>
    <m/>
    <m/>
  </r>
  <r>
    <d v="2026-05-04T00:00:00"/>
    <x v="42"/>
    <s v="643"/>
    <x v="3"/>
    <n v="643"/>
    <m/>
    <m/>
  </r>
  <r>
    <d v="2026-05-04T00:00:00"/>
    <x v="13"/>
    <s v="499117"/>
    <x v="4"/>
    <n v="499117"/>
    <m/>
    <m/>
  </r>
  <r>
    <d v="2026-05-04T00:00:00"/>
    <x v="13"/>
    <s v="340049"/>
    <x v="4"/>
    <n v="340049"/>
    <m/>
    <m/>
  </r>
  <r>
    <d v="2026-05-04T00:00:00"/>
    <x v="42"/>
    <s v="1872000"/>
    <x v="4"/>
    <n v="1872000"/>
    <m/>
    <m/>
  </r>
  <r>
    <d v="2026-05-04T00:00:00"/>
    <x v="21"/>
    <s v="2050000"/>
    <x v="4"/>
    <n v="2050000"/>
    <m/>
    <m/>
  </r>
  <r>
    <d v="2026-05-04T00:00:00"/>
    <x v="47"/>
    <s v="3408000"/>
    <x v="4"/>
    <n v="3408000"/>
    <m/>
    <m/>
  </r>
  <r>
    <d v="2026-05-04T00:00:00"/>
    <x v="13"/>
    <s v="340049"/>
    <x v="3"/>
    <n v="340049"/>
    <m/>
    <m/>
  </r>
  <r>
    <d v="2026-05-04T00:00:00"/>
    <x v="21"/>
    <s v="2050000"/>
    <x v="3"/>
    <n v="2050000"/>
    <m/>
    <m/>
  </r>
  <r>
    <d v="2026-05-04T00:00:00"/>
    <x v="47"/>
    <s v="3408000"/>
    <x v="3"/>
    <n v="3408000"/>
    <m/>
    <m/>
  </r>
  <r>
    <d v="2026-05-04T00:00:00"/>
    <x v="6"/>
    <s v="6446111"/>
    <x v="4"/>
    <n v="6446111"/>
    <m/>
    <m/>
  </r>
  <r>
    <d v="2026-05-04T00:00:00"/>
    <x v="23"/>
    <s v="1806970"/>
    <x v="4"/>
    <n v="1806970"/>
    <m/>
    <m/>
  </r>
  <r>
    <d v="2026-05-04T00:00:00"/>
    <x v="48"/>
    <s v="6298507"/>
    <x v="4"/>
    <n v="6298507"/>
    <m/>
    <m/>
  </r>
  <r>
    <d v="2026-05-04T00:00:00"/>
    <x v="65"/>
    <s v="440000"/>
    <x v="4"/>
    <n v="440000"/>
    <m/>
    <m/>
  </r>
  <r>
    <d v="2026-05-04T00:00:00"/>
    <x v="32"/>
    <s v="1890188"/>
    <x v="1"/>
    <n v="1890188"/>
    <m/>
    <m/>
  </r>
  <r>
    <d v="2026-05-04T00:00:00"/>
    <x v="23"/>
    <s v="1806970"/>
    <x v="1"/>
    <n v="1806970"/>
    <m/>
    <m/>
  </r>
  <r>
    <d v="2026-05-04T00:00:00"/>
    <x v="32"/>
    <s v="1890188"/>
    <x v="4"/>
    <n v="1890188"/>
    <m/>
    <m/>
  </r>
  <r>
    <d v="2026-05-04T00:00:00"/>
    <x v="48"/>
    <s v="3744000"/>
    <x v="3"/>
    <n v="3744000"/>
    <m/>
    <m/>
  </r>
  <r>
    <d v="2026-05-04T00:00:00"/>
    <x v="32"/>
    <s v="2014710"/>
    <x v="0"/>
    <n v="2014710"/>
    <m/>
    <m/>
  </r>
  <r>
    <d v="2026-05-04T00:00:00"/>
    <x v="50"/>
    <s v="1000000"/>
    <x v="4"/>
    <n v="1000000"/>
    <m/>
    <m/>
  </r>
  <r>
    <d v="2026-05-04T00:00:00"/>
    <x v="32"/>
    <s v="5142530"/>
    <x v="4"/>
    <n v="5142530"/>
    <m/>
    <m/>
  </r>
  <r>
    <d v="2026-05-04T00:00:00"/>
    <x v="13"/>
    <s v="440000"/>
    <x v="4"/>
    <n v="440000"/>
    <m/>
    <m/>
  </r>
  <r>
    <d v="2026-05-04T00:00:00"/>
    <x v="48"/>
    <s v="6290507"/>
    <x v="3"/>
    <n v="6290507"/>
    <m/>
    <m/>
  </r>
  <r>
    <d v="2026-05-04T00:00:00"/>
    <x v="48"/>
    <s v="3744000"/>
    <x v="4"/>
    <n v="3744000"/>
    <m/>
    <m/>
  </r>
  <r>
    <d v="2026-05-04T00:00:00"/>
    <x v="32"/>
    <s v="2014710"/>
    <x v="4"/>
    <n v="2014710"/>
    <m/>
    <m/>
  </r>
  <r>
    <d v="2026-05-04T00:00:00"/>
    <x v="50"/>
    <s v="1000000"/>
    <x v="3"/>
    <n v="1000000"/>
    <m/>
    <m/>
  </r>
  <r>
    <d v="2026-05-04T00:00:00"/>
    <x v="32"/>
    <s v="5142530"/>
    <x v="3"/>
    <n v="5142530"/>
    <m/>
    <m/>
  </r>
  <r>
    <d v="2026-05-04T00:00:00"/>
    <x v="50"/>
    <s v="267000"/>
    <x v="4"/>
    <n v="267000"/>
    <m/>
    <m/>
  </r>
  <r>
    <d v="2026-05-04T00:00:00"/>
    <x v="13"/>
    <s v="477286"/>
    <x v="4"/>
    <n v="477286"/>
    <m/>
    <m/>
  </r>
  <r>
    <d v="2026-05-04T00:00:00"/>
    <x v="64"/>
    <s v="440000"/>
    <x v="4"/>
    <n v="440000"/>
    <m/>
    <m/>
  </r>
  <r>
    <d v="2026-05-04T00:00:00"/>
    <x v="34"/>
    <s v="17000"/>
    <x v="4"/>
    <n v="17000"/>
    <m/>
    <m/>
  </r>
  <r>
    <d v="2026-05-04T00:00:00"/>
    <x v="21"/>
    <s v="4389030"/>
    <x v="4"/>
    <n v="4389030"/>
    <m/>
    <m/>
  </r>
  <r>
    <d v="2026-05-04T00:00:00"/>
    <x v="60"/>
    <s v="3327441"/>
    <x v="4"/>
    <n v="3327441"/>
    <m/>
    <m/>
  </r>
  <r>
    <d v="2026-05-04T00:00:00"/>
    <x v="60"/>
    <s v="1650454"/>
    <x v="3"/>
    <n v="1650454"/>
    <m/>
    <m/>
  </r>
  <r>
    <d v="2026-05-04T00:00:00"/>
    <x v="60"/>
    <s v="1380469"/>
    <x v="6"/>
    <n v="1380469"/>
    <m/>
    <m/>
  </r>
  <r>
    <d v="2026-05-04T00:00:00"/>
    <x v="60"/>
    <s v="3327441"/>
    <x v="3"/>
    <n v="3327441"/>
    <m/>
    <m/>
  </r>
  <r>
    <d v="2026-05-04T00:00:00"/>
    <x v="4"/>
    <s v="1350000"/>
    <x v="4"/>
    <n v="1350000"/>
    <m/>
    <m/>
  </r>
  <r>
    <d v="2026-05-04T00:00:00"/>
    <x v="60"/>
    <s v="1380469"/>
    <x v="3"/>
    <n v="1380469"/>
    <m/>
    <m/>
  </r>
  <r>
    <d v="2026-05-04T00:00:00"/>
    <x v="21"/>
    <s v="350000"/>
    <x v="1"/>
    <n v="350000"/>
    <m/>
    <m/>
  </r>
  <r>
    <d v="2026-05-04T00:00:00"/>
    <x v="12"/>
    <s v="51213"/>
    <x v="4"/>
    <n v="51213"/>
    <m/>
    <m/>
  </r>
  <r>
    <d v="2026-05-04T00:00:00"/>
    <x v="21"/>
    <s v="350000"/>
    <x v="4"/>
    <n v="350000"/>
    <m/>
    <m/>
  </r>
  <r>
    <d v="2026-05-04T00:00:00"/>
    <x v="11"/>
    <s v="2926000"/>
    <x v="5"/>
    <n v="2926000"/>
    <m/>
    <m/>
  </r>
  <r>
    <d v="2026-05-04T00:00:00"/>
    <x v="11"/>
    <s v="1377898"/>
    <x v="6"/>
    <n v="1377898"/>
    <m/>
    <m/>
  </r>
  <r>
    <d v="2026-05-04T00:00:00"/>
    <x v="49"/>
    <s v="3748916"/>
    <x v="3"/>
    <n v="3748916"/>
    <m/>
    <m/>
  </r>
  <r>
    <d v="2026-05-04T00:00:00"/>
    <x v="32"/>
    <s v="1376900"/>
    <x v="3"/>
    <n v="1376900"/>
    <m/>
    <m/>
  </r>
  <r>
    <d v="2026-05-04T00:00:00"/>
    <x v="32"/>
    <s v="973148"/>
    <x v="4"/>
    <n v="973148"/>
    <m/>
    <m/>
  </r>
  <r>
    <d v="2026-05-04T00:00:00"/>
    <x v="11"/>
    <s v="2926000"/>
    <x v="0"/>
    <n v="2926000"/>
    <m/>
    <m/>
  </r>
  <r>
    <d v="2026-05-04T00:00:00"/>
    <x v="49"/>
    <s v="3748916"/>
    <x v="4"/>
    <n v="3748916"/>
    <m/>
    <m/>
  </r>
  <r>
    <d v="2026-05-04T00:00:00"/>
    <x v="32"/>
    <s v="2679890"/>
    <x v="3"/>
    <n v="2679890"/>
    <m/>
    <m/>
  </r>
  <r>
    <d v="2026-05-04T00:00:00"/>
    <x v="41"/>
    <s v="2153129"/>
    <x v="0"/>
    <n v="2153129"/>
    <m/>
    <m/>
  </r>
  <r>
    <d v="2026-05-04T00:00:00"/>
    <x v="32"/>
    <s v="2679890"/>
    <x v="0"/>
    <n v="2679890"/>
    <m/>
    <m/>
  </r>
  <r>
    <d v="2026-05-04T00:00:00"/>
    <x v="41"/>
    <s v="2153129"/>
    <x v="4"/>
    <n v="2153129"/>
    <m/>
    <m/>
  </r>
  <r>
    <d v="2026-05-04T00:00:00"/>
    <x v="63"/>
    <s v="1090261"/>
    <x v="3"/>
    <n v="1090261"/>
    <m/>
    <m/>
  </r>
  <r>
    <d v="2026-05-04T00:00:00"/>
    <x v="38"/>
    <s v="2250000"/>
    <x v="4"/>
    <n v="2250000"/>
    <m/>
    <m/>
  </r>
  <r>
    <d v="2026-05-04T00:00:00"/>
    <x v="50"/>
    <s v="2676000"/>
    <x v="4"/>
    <n v="2676000"/>
    <m/>
    <m/>
  </r>
  <r>
    <d v="2026-05-04T00:00:00"/>
    <x v="50"/>
    <s v="1240206"/>
    <x v="3"/>
    <n v="1240206"/>
    <m/>
    <m/>
  </r>
  <r>
    <d v="2026-05-04T00:00:00"/>
    <x v="50"/>
    <s v="1017080"/>
    <x v="3"/>
    <n v="1017080"/>
    <m/>
    <m/>
  </r>
  <r>
    <d v="2026-05-04T00:00:00"/>
    <x v="50"/>
    <s v="2676000"/>
    <x v="1"/>
    <n v="2676000"/>
    <m/>
    <m/>
  </r>
  <r>
    <d v="2026-05-04T00:00:00"/>
    <x v="50"/>
    <s v="1017980"/>
    <x v="6"/>
    <n v="1017980"/>
    <m/>
    <m/>
  </r>
  <r>
    <d v="2026-05-04T00:00:00"/>
    <x v="63"/>
    <s v="1020835"/>
    <x v="6"/>
    <n v="1020835"/>
    <m/>
    <m/>
  </r>
  <r>
    <d v="2026-05-04T00:00:00"/>
    <x v="63"/>
    <s v="1018892"/>
    <x v="4"/>
    <n v="1018892"/>
    <m/>
    <m/>
  </r>
  <r>
    <d v="2026-05-04T00:00:00"/>
    <x v="63"/>
    <s v="1013599"/>
    <x v="4"/>
    <n v="1013599"/>
    <m/>
    <m/>
  </r>
  <r>
    <d v="2026-05-04T00:00:00"/>
    <x v="27"/>
    <s v="589"/>
    <x v="4"/>
    <n v="589"/>
    <m/>
    <m/>
  </r>
  <r>
    <d v="2026-05-04T00:00:00"/>
    <x v="12"/>
    <s v="25d 3h"/>
    <x v="2"/>
    <m/>
    <n v="25"/>
    <n v="603"/>
  </r>
  <r>
    <d v="2026-05-04T00:00:00"/>
    <x v="38"/>
    <s v="2250000"/>
    <x v="0"/>
    <n v="2250000"/>
    <m/>
    <m/>
  </r>
  <r>
    <d v="2026-05-04T00:00:00"/>
    <x v="50"/>
    <s v="2676000"/>
    <x v="3"/>
    <n v="2676000"/>
    <m/>
    <m/>
  </r>
  <r>
    <d v="2026-05-04T00:00:00"/>
    <x v="66"/>
    <s v="2d 8h"/>
    <x v="2"/>
    <m/>
    <n v="2"/>
    <n v="56"/>
  </r>
  <r>
    <d v="2026-05-04T00:00:00"/>
    <x v="23"/>
    <s v="86d 11h"/>
    <x v="2"/>
    <m/>
    <n v="86"/>
    <n v="2075"/>
  </r>
  <r>
    <d v="2026-05-04T00:00:00"/>
    <x v="5"/>
    <s v="12d 19h"/>
    <x v="2"/>
    <m/>
    <n v="13"/>
    <n v="307"/>
  </r>
  <r>
    <d v="2026-05-04T00:00:00"/>
    <x v="63"/>
    <s v="1010692"/>
    <x v="3"/>
    <n v="1010692"/>
    <m/>
    <m/>
  </r>
  <r>
    <d v="2026-05-04T00:00:00"/>
    <x v="59"/>
    <s v="22d 1h"/>
    <x v="2"/>
    <m/>
    <n v="22"/>
    <n v="529"/>
  </r>
  <r>
    <d v="2026-05-04T00:00:00"/>
    <x v="58"/>
    <s v="20d 19h"/>
    <x v="2"/>
    <m/>
    <n v="21"/>
    <n v="499"/>
  </r>
  <r>
    <d v="2026-05-04T00:00:00"/>
    <x v="26"/>
    <s v="13d 17h"/>
    <x v="2"/>
    <m/>
    <n v="14"/>
    <n v="329"/>
  </r>
  <r>
    <d v="2026-05-04T00:00:00"/>
    <x v="42"/>
    <s v="45990"/>
    <x v="6"/>
    <n v="45990"/>
    <m/>
    <m/>
  </r>
  <r>
    <d v="2026-05-04T00:00:00"/>
    <x v="42"/>
    <s v="593661"/>
    <x v="4"/>
    <n v="593661"/>
    <m/>
    <m/>
  </r>
  <r>
    <d v="2026-05-04T00:00:00"/>
    <x v="70"/>
    <s v="22d 1h"/>
    <x v="2"/>
    <m/>
    <n v="22"/>
    <n v="529"/>
  </r>
  <r>
    <d v="2026-05-04T00:00:00"/>
    <x v="42"/>
    <s v="538993"/>
    <x v="3"/>
    <n v="538993"/>
    <m/>
    <m/>
  </r>
  <r>
    <d v="2026-05-04T00:00:00"/>
    <x v="32"/>
    <s v="1500560"/>
    <x v="3"/>
    <n v="1500560"/>
    <m/>
    <m/>
  </r>
  <r>
    <d v="2026-05-04T00:00:00"/>
    <x v="41"/>
    <s v="1418888"/>
    <x v="4"/>
    <n v="1418888"/>
    <m/>
    <m/>
  </r>
  <r>
    <d v="2026-05-04T00:00:00"/>
    <x v="65"/>
    <s v="42000000"/>
    <x v="0"/>
    <n v="42000000"/>
    <m/>
    <m/>
  </r>
  <r>
    <d v="2026-05-04T00:00:00"/>
    <x v="42"/>
    <s v="593661"/>
    <x v="1"/>
    <n v="593661"/>
    <m/>
    <m/>
  </r>
  <r>
    <d v="2026-05-04T00:00:00"/>
    <x v="42"/>
    <s v="538993"/>
    <x v="4"/>
    <n v="538993"/>
    <m/>
    <m/>
  </r>
  <r>
    <d v="2026-05-04T00:00:00"/>
    <x v="32"/>
    <s v="1500560"/>
    <x v="0"/>
    <n v="1500560"/>
    <m/>
    <m/>
  </r>
  <r>
    <d v="2026-05-04T00:00:00"/>
    <x v="65"/>
    <s v="42000000"/>
    <x v="4"/>
    <n v="42000000"/>
    <m/>
    <m/>
  </r>
  <r>
    <d v="2026-05-04T00:00:00"/>
    <x v="22"/>
    <s v="879055"/>
    <x v="4"/>
    <n v="879055"/>
    <m/>
    <m/>
  </r>
  <r>
    <d v="2026-05-04T00:00:00"/>
    <x v="65"/>
    <s v="3909551"/>
    <x v="3"/>
    <n v="3909551"/>
    <m/>
    <m/>
  </r>
  <r>
    <d v="2026-05-04T00:00:00"/>
    <x v="65"/>
    <s v="4819622"/>
    <x v="6"/>
    <n v="4819622"/>
    <m/>
    <m/>
  </r>
  <r>
    <d v="2026-05-04T00:00:00"/>
    <x v="65"/>
    <s v="6055768"/>
    <x v="4"/>
    <n v="6055768"/>
    <m/>
    <m/>
  </r>
  <r>
    <d v="2026-05-04T00:00:00"/>
    <x v="65"/>
    <s v="7000000"/>
    <x v="3"/>
    <n v="7000000"/>
    <m/>
    <m/>
  </r>
  <r>
    <d v="2026-05-04T00:00:00"/>
    <x v="34"/>
    <s v="22464000"/>
    <x v="3"/>
    <n v="22464000"/>
    <m/>
    <m/>
  </r>
  <r>
    <d v="2026-05-04T00:00:00"/>
    <x v="22"/>
    <s v="879055"/>
    <x v="3"/>
    <n v="879055"/>
    <m/>
    <m/>
  </r>
  <r>
    <d v="2026-05-04T00:00:00"/>
    <x v="65"/>
    <s v="3909551"/>
    <x v="4"/>
    <n v="3909551"/>
    <m/>
    <m/>
  </r>
  <r>
    <d v="2026-05-04T00:00:00"/>
    <x v="65"/>
    <s v="6055768"/>
    <x v="1"/>
    <n v="6055768"/>
    <m/>
    <m/>
  </r>
  <r>
    <d v="2026-05-04T00:00:00"/>
    <x v="34"/>
    <s v="22464000"/>
    <x v="4"/>
    <n v="22464000"/>
    <m/>
    <m/>
  </r>
  <r>
    <d v="2026-05-04T00:00:00"/>
    <x v="71"/>
    <s v="1142156"/>
    <x v="3"/>
    <n v="1142156"/>
    <m/>
    <m/>
  </r>
  <r>
    <d v="2026-05-04T00:00:00"/>
    <x v="71"/>
    <s v="1225415"/>
    <x v="1"/>
    <n v="1225415"/>
    <m/>
    <m/>
  </r>
  <r>
    <d v="2026-05-04T00:00:00"/>
    <x v="71"/>
    <s v="1138634"/>
    <x v="6"/>
    <n v="1138634"/>
    <m/>
    <m/>
  </r>
  <r>
    <d v="2026-05-04T00:00:00"/>
    <x v="71"/>
    <s v="9240000"/>
    <x v="3"/>
    <n v="9240000"/>
    <m/>
    <m/>
  </r>
  <r>
    <d v="2026-05-04T00:00:00"/>
    <x v="67"/>
    <s v="10320000"/>
    <x v="3"/>
    <n v="10320000"/>
    <m/>
    <m/>
  </r>
  <r>
    <d v="2026-05-04T00:00:00"/>
    <x v="34"/>
    <s v="22464000"/>
    <x v="0"/>
    <n v="22464000"/>
    <m/>
    <m/>
  </r>
  <r>
    <d v="2026-05-04T00:00:00"/>
    <x v="71"/>
    <s v="1225415"/>
    <x v="3"/>
    <n v="1225415"/>
    <m/>
    <m/>
  </r>
  <r>
    <d v="2026-05-04T00:00:00"/>
    <x v="71"/>
    <s v="9240000"/>
    <x v="4"/>
    <n v="9240000"/>
    <m/>
    <m/>
  </r>
  <r>
    <d v="2026-05-04T00:00:00"/>
    <x v="67"/>
    <s v="25091"/>
    <x v="4"/>
    <n v="25091"/>
    <m/>
    <m/>
  </r>
  <r>
    <d v="2026-05-04T00:00:00"/>
    <x v="43"/>
    <s v="12542"/>
    <x v="4"/>
    <n v="12542"/>
    <m/>
    <m/>
  </r>
  <r>
    <d v="2026-05-04T00:00:00"/>
    <x v="13"/>
    <s v="29582"/>
    <x v="4"/>
    <n v="29582"/>
    <m/>
    <m/>
  </r>
  <r>
    <d v="2026-05-04T00:00:00"/>
    <x v="68"/>
    <s v="24745"/>
    <x v="4"/>
    <n v="24745"/>
    <m/>
    <m/>
  </r>
  <r>
    <d v="2026-05-04T00:00:00"/>
    <x v="41"/>
    <s v="1766"/>
    <x v="4"/>
    <n v="1766"/>
    <m/>
    <m/>
  </r>
  <r>
    <d v="2026-05-04T00:00:00"/>
    <x v="21"/>
    <s v="250000"/>
    <x v="3"/>
    <n v="250000"/>
    <m/>
    <m/>
  </r>
  <r>
    <d v="2026-05-04T00:00:00"/>
    <x v="67"/>
    <s v="10320000"/>
    <x v="0"/>
    <n v="10320000"/>
    <m/>
    <m/>
  </r>
  <r>
    <d v="2026-05-04T00:00:00"/>
    <x v="21"/>
    <s v="250000"/>
    <x v="4"/>
    <n v="250000"/>
    <m/>
    <m/>
  </r>
  <r>
    <d v="2026-05-04T00:00:00"/>
    <x v="43"/>
    <s v="25772"/>
    <x v="4"/>
    <n v="25772"/>
    <m/>
    <m/>
  </r>
  <r>
    <d v="2026-05-04T00:00:00"/>
    <x v="13"/>
    <s v="817845"/>
    <x v="4"/>
    <n v="817845"/>
    <m/>
    <m/>
  </r>
  <r>
    <d v="2026-05-04T00:00:00"/>
    <x v="18"/>
    <s v="257263"/>
    <x v="4"/>
    <n v="257263"/>
    <m/>
    <m/>
  </r>
  <r>
    <d v="2026-05-04T00:00:00"/>
    <x v="13"/>
    <s v="879663"/>
    <x v="1"/>
    <n v="879663"/>
    <m/>
    <m/>
  </r>
  <r>
    <d v="2026-05-04T00:00:00"/>
    <x v="13"/>
    <s v="413384"/>
    <x v="3"/>
    <n v="413384"/>
    <m/>
    <m/>
  </r>
  <r>
    <d v="2026-05-04T00:00:00"/>
    <x v="13"/>
    <s v="879663"/>
    <x v="4"/>
    <n v="879663"/>
    <m/>
    <m/>
  </r>
  <r>
    <d v="2026-05-04T00:00:00"/>
    <x v="13"/>
    <s v="773285"/>
    <x v="6"/>
    <n v="773285"/>
    <m/>
    <m/>
  </r>
  <r>
    <d v="2026-05-04T00:00:00"/>
    <x v="50"/>
    <s v="4502"/>
    <x v="4"/>
    <n v="4502"/>
    <m/>
    <m/>
  </r>
  <r>
    <d v="2026-05-04T00:00:00"/>
    <x v="0"/>
    <s v="1088"/>
    <x v="4"/>
    <n v="1088"/>
    <m/>
    <m/>
  </r>
  <r>
    <d v="2026-05-04T00:00:00"/>
    <x v="65"/>
    <s v="1856"/>
    <x v="4"/>
    <n v="1856"/>
    <m/>
    <m/>
  </r>
  <r>
    <d v="2026-05-04T00:00:00"/>
    <x v="6"/>
    <s v="10868000"/>
    <x v="0"/>
    <n v="10868000"/>
    <m/>
    <m/>
  </r>
  <r>
    <d v="2026-05-04T00:00:00"/>
    <x v="6"/>
    <s v="10868000"/>
    <x v="4"/>
    <n v="10868000"/>
    <m/>
    <m/>
  </r>
  <r>
    <d v="2026-05-04T00:00:00"/>
    <x v="68"/>
    <s v="1025"/>
    <x v="4"/>
    <n v="1025"/>
    <m/>
    <m/>
  </r>
  <r>
    <d v="2026-05-04T00:00:00"/>
    <x v="46"/>
    <s v="987"/>
    <x v="4"/>
    <n v="987"/>
    <m/>
    <m/>
  </r>
  <r>
    <d v="2026-05-04T00:00:00"/>
    <x v="23"/>
    <s v="350"/>
    <x v="4"/>
    <n v="350"/>
    <m/>
    <m/>
  </r>
  <r>
    <d v="2026-05-04T00:00:00"/>
    <x v="29"/>
    <s v="965"/>
    <x v="4"/>
    <n v="965"/>
    <m/>
    <m/>
  </r>
  <r>
    <d v="2026-05-04T00:00:00"/>
    <x v="6"/>
    <s v="4287275"/>
    <x v="3"/>
    <n v="4287275"/>
    <m/>
    <m/>
  </r>
  <r>
    <d v="2026-05-04T00:00:00"/>
    <x v="44"/>
    <s v="3550"/>
    <x v="4"/>
    <n v="3550"/>
    <m/>
    <m/>
  </r>
  <r>
    <d v="2026-05-04T00:00:00"/>
    <x v="55"/>
    <s v="205"/>
    <x v="4"/>
    <n v="205"/>
    <m/>
    <m/>
  </r>
  <r>
    <d v="2026-05-04T00:00:00"/>
    <x v="22"/>
    <s v="700000"/>
    <x v="6"/>
    <n v="700000"/>
    <m/>
    <m/>
  </r>
  <r>
    <d v="2026-05-04T00:00:00"/>
    <x v="62"/>
    <s v="989"/>
    <x v="3"/>
    <n v="989"/>
    <m/>
    <m/>
  </r>
  <r>
    <d v="2026-05-04T00:00:00"/>
    <x v="6"/>
    <s v="1766"/>
    <x v="4"/>
    <n v="1766"/>
    <m/>
    <m/>
  </r>
  <r>
    <d v="2026-05-04T00:00:00"/>
    <x v="71"/>
    <s v="1311"/>
    <x v="4"/>
    <n v="1311"/>
    <m/>
    <m/>
  </r>
  <r>
    <d v="2026-05-04T00:00:00"/>
    <x v="22"/>
    <s v="700000"/>
    <x v="3"/>
    <n v="700000"/>
    <m/>
    <m/>
  </r>
  <r>
    <d v="2026-05-04T00:00:00"/>
    <x v="12"/>
    <s v="50199"/>
    <x v="4"/>
    <n v="50199"/>
    <m/>
    <m/>
  </r>
  <r>
    <d v="2026-05-04T00:00:00"/>
    <x v="22"/>
    <s v="700000"/>
    <x v="7"/>
    <n v="700000"/>
    <m/>
    <m/>
  </r>
  <r>
    <d v="2026-05-04T00:00:00"/>
    <x v="12"/>
    <s v="50199"/>
    <x v="3"/>
    <n v="50199"/>
    <m/>
    <m/>
  </r>
  <r>
    <d v="2026-05-04T00:00:00"/>
    <x v="6"/>
    <s v="2717000"/>
    <x v="1"/>
    <n v="2717000"/>
    <m/>
    <m/>
  </r>
  <r>
    <d v="2026-05-04T00:00:00"/>
    <x v="6"/>
    <s v="1093367"/>
    <x v="6"/>
    <n v="1093367"/>
    <m/>
    <m/>
  </r>
  <r>
    <d v="2026-05-04T00:00:00"/>
    <x v="6"/>
    <s v="2717000"/>
    <x v="7"/>
    <n v="2717000"/>
    <m/>
    <m/>
  </r>
  <r>
    <d v="2026-05-04T00:00:00"/>
    <x v="4"/>
    <s v="188599"/>
    <x v="4"/>
    <n v="188599"/>
    <m/>
    <m/>
  </r>
  <r>
    <d v="2026-05-04T00:00:00"/>
    <x v="5"/>
    <s v="59043"/>
    <x v="4"/>
    <n v="59043"/>
    <m/>
    <m/>
  </r>
  <r>
    <d v="2026-05-04T00:00:00"/>
    <x v="39"/>
    <s v="16830"/>
    <x v="4"/>
    <n v="16830"/>
    <m/>
    <m/>
  </r>
  <r>
    <d v="2026-05-04T00:00:00"/>
    <x v="67"/>
    <s v="46351"/>
    <x v="4"/>
    <n v="46351"/>
    <m/>
    <m/>
  </r>
  <r>
    <d v="2026-05-04T00:00:00"/>
    <x v="43"/>
    <s v="11430"/>
    <x v="3"/>
    <n v="11430"/>
    <m/>
    <m/>
  </r>
  <r>
    <d v="2026-05-04T00:00:00"/>
    <x v="43"/>
    <s v="11430"/>
    <x v="4"/>
    <n v="11430"/>
    <m/>
    <m/>
  </r>
  <r>
    <d v="2026-05-04T00:00:00"/>
    <x v="18"/>
    <s v="2215"/>
    <x v="4"/>
    <n v="2215"/>
    <m/>
    <m/>
  </r>
  <r>
    <d v="2026-05-04T00:00:00"/>
    <x v="51"/>
    <s v="1517"/>
    <x v="4"/>
    <n v="1517"/>
    <m/>
    <m/>
  </r>
  <r>
    <d v="2026-05-04T00:00:00"/>
    <x v="62"/>
    <s v="1746"/>
    <x v="4"/>
    <n v="1746"/>
    <m/>
    <m/>
  </r>
  <r>
    <d v="2026-05-04T00:00:00"/>
    <x v="24"/>
    <s v="601"/>
    <x v="4"/>
    <n v="601"/>
    <m/>
    <m/>
  </r>
  <r>
    <d v="2026-05-04T00:00:00"/>
    <x v="29"/>
    <s v="598"/>
    <x v="4"/>
    <n v="598"/>
    <m/>
    <m/>
  </r>
  <r>
    <d v="2026-05-04T00:00:00"/>
    <x v="65"/>
    <s v="51548"/>
    <x v="4"/>
    <n v="51548"/>
    <m/>
    <m/>
  </r>
  <r>
    <d v="2026-05-04T00:00:00"/>
    <x v="72"/>
    <s v="7686000"/>
    <x v="4"/>
    <n v="7686000"/>
    <m/>
    <m/>
  </r>
  <r>
    <d v="2026-05-04T00:00:00"/>
    <x v="6"/>
    <s v="2600495"/>
    <x v="1"/>
    <n v="2600495"/>
    <m/>
    <m/>
  </r>
  <r>
    <d v="2026-05-04T00:00:00"/>
    <x v="53"/>
    <s v="141587"/>
    <x v="5"/>
    <n v="141587"/>
    <m/>
    <m/>
  </r>
  <r>
    <d v="2026-05-04T00:00:00"/>
    <x v="73"/>
    <s v="250000"/>
    <x v="4"/>
    <n v="250000"/>
    <m/>
    <m/>
  </r>
  <r>
    <d v="2026-05-04T00:00:00"/>
    <x v="11"/>
    <s v="410177"/>
    <x v="6"/>
    <n v="410177"/>
    <m/>
    <m/>
  </r>
  <r>
    <d v="2026-05-04T00:00:00"/>
    <x v="6"/>
    <s v="2600495"/>
    <x v="4"/>
    <n v="2600495"/>
    <m/>
    <m/>
  </r>
  <r>
    <d v="2026-05-04T00:00:00"/>
    <x v="53"/>
    <s v="141587"/>
    <x v="4"/>
    <n v="141587"/>
    <m/>
    <m/>
  </r>
  <r>
    <d v="2026-05-04T00:00:00"/>
    <x v="28"/>
    <s v="2743000"/>
    <x v="4"/>
    <n v="2743000"/>
    <m/>
    <m/>
  </r>
  <r>
    <d v="2026-05-04T00:00:00"/>
    <x v="53"/>
    <s v="141587"/>
    <x v="3"/>
    <n v="141587"/>
    <m/>
    <m/>
  </r>
  <r>
    <d v="2026-05-04T00:00:00"/>
    <x v="28"/>
    <s v="2743000"/>
    <x v="0"/>
    <n v="2743000"/>
    <m/>
    <m/>
  </r>
  <r>
    <d v="2026-05-04T00:00:00"/>
    <x v="63"/>
    <s v="1389847"/>
    <x v="4"/>
    <n v="1389847"/>
    <m/>
    <m/>
  </r>
  <r>
    <d v="2026-05-04T00:00:00"/>
    <x v="63"/>
    <s v="1096865"/>
    <x v="3"/>
    <n v="1096865"/>
    <m/>
    <m/>
  </r>
  <r>
    <d v="2026-05-04T00:00:00"/>
    <x v="63"/>
    <s v="1000924"/>
    <x v="4"/>
    <n v="1000924"/>
    <m/>
    <m/>
  </r>
  <r>
    <d v="2026-05-04T00:00:00"/>
    <x v="63"/>
    <s v="1283133"/>
    <x v="6"/>
    <n v="1283133"/>
    <m/>
    <m/>
  </r>
  <r>
    <d v="2026-05-04T00:00:00"/>
    <x v="63"/>
    <s v="1389847"/>
    <x v="0"/>
    <n v="1389847"/>
    <m/>
    <m/>
  </r>
  <r>
    <d v="2026-05-04T00:00:00"/>
    <x v="23"/>
    <s v="1081245"/>
    <x v="3"/>
    <n v="1081245"/>
    <m/>
    <m/>
  </r>
  <r>
    <d v="2026-05-04T00:00:00"/>
    <x v="22"/>
    <s v="1125000"/>
    <x v="4"/>
    <n v="1125000"/>
    <m/>
    <m/>
  </r>
  <r>
    <d v="2026-05-04T00:00:00"/>
    <x v="23"/>
    <s v="1553"/>
    <x v="4"/>
    <n v="1553"/>
    <m/>
    <m/>
  </r>
  <r>
    <d v="2026-05-04T00:00:00"/>
    <x v="5"/>
    <s v="18289"/>
    <x v="4"/>
    <n v="18289"/>
    <m/>
    <m/>
  </r>
  <r>
    <d v="2026-05-04T00:00:00"/>
    <x v="29"/>
    <s v="2348"/>
    <x v="4"/>
    <n v="2348"/>
    <m/>
    <m/>
  </r>
  <r>
    <d v="2026-05-04T00:00:00"/>
    <x v="63"/>
    <s v="1000924"/>
    <x v="3"/>
    <n v="1000924"/>
    <m/>
    <m/>
  </r>
  <r>
    <d v="2026-05-04T00:00:00"/>
    <x v="22"/>
    <s v="1125000"/>
    <x v="3"/>
    <n v="1125000"/>
    <m/>
    <m/>
  </r>
  <r>
    <d v="2026-05-04T00:00:00"/>
    <x v="6"/>
    <s v="487"/>
    <x v="4"/>
    <n v="487"/>
    <m/>
    <m/>
  </r>
  <r>
    <d v="2026-05-04T00:00:00"/>
    <x v="43"/>
    <s v="4513"/>
    <x v="4"/>
    <n v="4513"/>
    <m/>
    <m/>
  </r>
  <r>
    <d v="2026-05-04T00:00:00"/>
    <x v="24"/>
    <s v="285"/>
    <x v="4"/>
    <n v="285"/>
    <m/>
    <m/>
  </r>
  <r>
    <d v="2026-05-04T00:00:00"/>
    <x v="12"/>
    <s v="994"/>
    <x v="4"/>
    <n v="994"/>
    <m/>
    <m/>
  </r>
  <r>
    <d v="2026-05-04T00:00:00"/>
    <x v="43"/>
    <s v="17904"/>
    <x v="4"/>
    <n v="17904"/>
    <m/>
    <m/>
  </r>
  <r>
    <d v="2026-05-04T00:00:00"/>
    <x v="51"/>
    <s v="251053"/>
    <x v="4"/>
    <n v="251053"/>
    <m/>
    <m/>
  </r>
  <r>
    <d v="2026-05-04T00:00:00"/>
    <x v="44"/>
    <s v="1907"/>
    <x v="4"/>
    <n v="1907"/>
    <m/>
    <m/>
  </r>
  <r>
    <d v="2026-05-04T00:00:00"/>
    <x v="29"/>
    <s v="1405"/>
    <x v="4"/>
    <n v="1405"/>
    <m/>
    <m/>
  </r>
  <r>
    <d v="2026-05-04T00:00:00"/>
    <x v="63"/>
    <s v="768"/>
    <x v="4"/>
    <n v="768"/>
    <m/>
    <m/>
  </r>
  <r>
    <d v="2026-05-04T00:00:00"/>
    <x v="44"/>
    <s v="4709"/>
    <x v="4"/>
    <n v="4709"/>
    <m/>
    <m/>
  </r>
  <r>
    <d v="2026-05-04T00:00:00"/>
    <x v="23"/>
    <s v="838"/>
    <x v="4"/>
    <n v="838"/>
    <m/>
    <m/>
  </r>
  <r>
    <d v="2026-05-04T00:00:00"/>
    <x v="0"/>
    <s v="535"/>
    <x v="4"/>
    <n v="535"/>
    <m/>
    <m/>
  </r>
  <r>
    <d v="2026-05-04T00:00:00"/>
    <x v="50"/>
    <s v="767"/>
    <x v="4"/>
    <n v="767"/>
    <m/>
    <m/>
  </r>
  <r>
    <d v="2026-05-04T00:00:00"/>
    <x v="6"/>
    <s v="1984"/>
    <x v="4"/>
    <n v="1984"/>
    <m/>
    <m/>
  </r>
  <r>
    <d v="2026-05-04T00:00:00"/>
    <x v="28"/>
    <s v="193"/>
    <x v="4"/>
    <n v="193"/>
    <m/>
    <m/>
  </r>
  <r>
    <d v="2026-05-04T00:00:00"/>
    <x v="12"/>
    <s v="535"/>
    <x v="4"/>
    <n v="535"/>
    <m/>
    <m/>
  </r>
  <r>
    <d v="2026-05-04T00:00:00"/>
    <x v="20"/>
    <s v="220"/>
    <x v="4"/>
    <n v="220"/>
    <m/>
    <m/>
  </r>
  <r>
    <d v="2026-05-04T00:00:00"/>
    <x v="74"/>
    <s v="152"/>
    <x v="4"/>
    <n v="152"/>
    <m/>
    <m/>
  </r>
  <r>
    <d v="2026-05-04T00:00:00"/>
    <x v="29"/>
    <s v="425"/>
    <x v="4"/>
    <n v="425"/>
    <m/>
    <m/>
  </r>
  <r>
    <d v="2026-05-04T00:00:00"/>
    <x v="68"/>
    <s v="250880"/>
    <x v="4"/>
    <n v="250880"/>
    <m/>
    <m/>
  </r>
  <r>
    <d v="2026-05-04T00:00:00"/>
    <x v="75"/>
    <s v="124"/>
    <x v="3"/>
    <n v="124"/>
    <m/>
    <m/>
  </r>
  <r>
    <d v="2026-05-04T00:00:00"/>
    <x v="41"/>
    <s v="250000"/>
    <x v="3"/>
    <n v="250000"/>
    <m/>
    <m/>
  </r>
  <r>
    <d v="2026-05-04T00:00:00"/>
    <x v="58"/>
    <s v="124"/>
    <x v="4"/>
    <n v="124"/>
    <m/>
    <m/>
  </r>
  <r>
    <d v="2026-05-04T00:00:00"/>
    <x v="71"/>
    <s v="484"/>
    <x v="4"/>
    <n v="484"/>
    <m/>
    <m/>
  </r>
  <r>
    <d v="2026-05-04T00:00:00"/>
    <x v="51"/>
    <s v="396"/>
    <x v="4"/>
    <n v="396"/>
    <m/>
    <m/>
  </r>
  <r>
    <d v="2026-05-04T00:00:00"/>
    <x v="6"/>
    <s v="577"/>
    <x v="4"/>
    <n v="577"/>
    <m/>
    <m/>
  </r>
  <r>
    <d v="2026-05-04T00:00:00"/>
    <x v="76"/>
    <s v="330"/>
    <x v="3"/>
    <n v="330"/>
    <m/>
    <m/>
  </r>
  <r>
    <d v="2026-05-04T00:00:00"/>
    <x v="13"/>
    <s v="4500"/>
    <x v="3"/>
    <n v="4500"/>
    <m/>
    <m/>
  </r>
  <r>
    <d v="2026-05-04T00:00:00"/>
    <x v="18"/>
    <s v="1880"/>
    <x v="3"/>
    <n v="1880"/>
    <m/>
    <m/>
  </r>
  <r>
    <d v="2026-05-04T00:00:00"/>
    <x v="39"/>
    <s v="7d 0h"/>
    <x v="2"/>
    <m/>
    <n v="7"/>
    <n v="168"/>
  </r>
  <r>
    <d v="2026-05-04T00:00:00"/>
    <x v="67"/>
    <s v="18060000"/>
    <x v="4"/>
    <n v="18060000"/>
    <m/>
    <m/>
  </r>
  <r>
    <d v="2026-05-04T00:00:00"/>
    <x v="13"/>
    <s v="4500"/>
    <x v="8"/>
    <n v="4500"/>
    <m/>
    <m/>
  </r>
  <r>
    <d v="2026-05-04T00:00:00"/>
    <x v="67"/>
    <s v="18060000"/>
    <x v="0"/>
    <n v="18060000"/>
    <m/>
    <m/>
  </r>
  <r>
    <d v="2026-05-04T00:00:00"/>
    <x v="67"/>
    <s v="6000"/>
    <x v="3"/>
    <n v="6000"/>
    <m/>
    <m/>
  </r>
  <r>
    <d v="2026-05-04T00:00:00"/>
    <x v="39"/>
    <s v="4500"/>
    <x v="7"/>
    <n v="4500"/>
    <m/>
    <m/>
  </r>
  <r>
    <d v="2026-05-04T00:00:00"/>
    <x v="22"/>
    <s v="50000"/>
    <x v="0"/>
    <n v="50000"/>
    <m/>
    <m/>
  </r>
  <r>
    <d v="2026-05-04T00:00:00"/>
    <x v="67"/>
    <s v="6000"/>
    <x v="8"/>
    <n v="6000"/>
    <m/>
    <m/>
  </r>
  <r>
    <d v="2026-05-04T00:00:00"/>
    <x v="39"/>
    <s v="4500"/>
    <x v="8"/>
    <n v="4500"/>
    <m/>
    <m/>
  </r>
  <r>
    <d v="2026-05-04T00:00:00"/>
    <x v="12"/>
    <s v="185466"/>
    <x v="4"/>
    <n v="185466"/>
    <m/>
    <m/>
  </r>
  <r>
    <d v="2026-05-04T00:00:00"/>
    <x v="50"/>
    <s v="1289351"/>
    <x v="6"/>
    <n v="1289351"/>
    <m/>
    <m/>
  </r>
  <r>
    <d v="2026-05-04T00:00:00"/>
    <x v="50"/>
    <s v="1110706"/>
    <x v="4"/>
    <n v="1110706"/>
    <m/>
    <m/>
  </r>
  <r>
    <d v="2026-05-04T00:00:00"/>
    <x v="50"/>
    <s v="1212047"/>
    <x v="3"/>
    <n v="1212047"/>
    <m/>
    <m/>
  </r>
  <r>
    <d v="2026-05-04T00:00:00"/>
    <x v="50"/>
    <s v="1110706"/>
    <x v="1"/>
    <n v="1110706"/>
    <m/>
    <m/>
  </r>
  <r>
    <d v="2026-05-04T00:00:00"/>
    <x v="0"/>
    <s v="1015986"/>
    <x v="4"/>
    <n v="1015986"/>
    <m/>
    <m/>
  </r>
  <r>
    <d v="2026-05-04T00:00:00"/>
    <x v="0"/>
    <s v="1000088"/>
    <x v="6"/>
    <n v="1000088"/>
    <m/>
    <m/>
  </r>
  <r>
    <d v="2026-05-04T00:00:00"/>
    <x v="0"/>
    <s v="1101197"/>
    <x v="4"/>
    <n v="1101197"/>
    <m/>
    <m/>
  </r>
  <r>
    <d v="2026-05-04T00:00:00"/>
    <x v="0"/>
    <s v="1111211"/>
    <x v="3"/>
    <n v="1111211"/>
    <m/>
    <m/>
  </r>
  <r>
    <d v="2026-05-04T00:00:00"/>
    <x v="21"/>
    <s v="350000"/>
    <x v="0"/>
    <n v="350000"/>
    <m/>
    <m/>
  </r>
  <r>
    <d v="2026-05-04T00:00:00"/>
    <x v="65"/>
    <s v="14000000"/>
    <x v="4"/>
    <n v="14000000"/>
    <m/>
    <m/>
  </r>
  <r>
    <d v="2026-05-04T00:00:00"/>
    <x v="0"/>
    <s v="1015986"/>
    <x v="3"/>
    <n v="1015986"/>
    <m/>
    <m/>
  </r>
  <r>
    <d v="2026-05-04T00:00:00"/>
    <x v="65"/>
    <s v="14000000"/>
    <x v="0"/>
    <n v="14000000"/>
    <m/>
    <m/>
  </r>
  <r>
    <d v="2026-05-04T00:00:00"/>
    <x v="0"/>
    <s v="1353049"/>
    <x v="3"/>
    <n v="1353049"/>
    <m/>
    <m/>
  </r>
  <r>
    <d v="2026-05-04T00:00:00"/>
    <x v="11"/>
    <s v="264"/>
    <x v="4"/>
    <n v="264"/>
    <m/>
    <m/>
  </r>
  <r>
    <d v="2026-05-04T00:00:00"/>
    <x v="42"/>
    <s v="500746"/>
    <x v="3"/>
    <n v="500746"/>
    <m/>
    <m/>
  </r>
  <r>
    <d v="2026-05-04T00:00:00"/>
    <x v="42"/>
    <s v="10680666"/>
    <x v="4"/>
    <n v="10680666"/>
    <m/>
    <m/>
  </r>
  <r>
    <d v="2026-05-04T00:00:00"/>
    <x v="63"/>
    <s v="1038274"/>
    <x v="6"/>
    <n v="1038274"/>
    <m/>
    <m/>
  </r>
  <r>
    <d v="2026-05-04T00:00:00"/>
    <x v="0"/>
    <s v="1101197"/>
    <x v="3"/>
    <n v="1101197"/>
    <m/>
    <m/>
  </r>
  <r>
    <d v="2026-05-04T00:00:00"/>
    <x v="21"/>
    <s v="350000"/>
    <x v="3"/>
    <n v="350000"/>
    <m/>
    <m/>
  </r>
  <r>
    <d v="2026-05-04T00:00:00"/>
    <x v="0"/>
    <s v="1353049"/>
    <x v="0"/>
    <n v="1353049"/>
    <m/>
    <m/>
  </r>
  <r>
    <d v="2026-05-04T00:00:00"/>
    <x v="42"/>
    <s v="10680666"/>
    <x v="0"/>
    <n v="10680666"/>
    <m/>
    <m/>
  </r>
  <r>
    <d v="2026-05-04T00:00:00"/>
    <x v="32"/>
    <s v="8112000"/>
    <x v="4"/>
    <n v="8112000"/>
    <m/>
    <m/>
  </r>
  <r>
    <d v="2026-05-04T00:00:00"/>
    <x v="42"/>
    <s v="615836"/>
    <x v="4"/>
    <n v="615836"/>
    <m/>
    <m/>
  </r>
  <r>
    <d v="2026-05-04T00:00:00"/>
    <x v="63"/>
    <s v="1050109"/>
    <x v="4"/>
    <n v="1050109"/>
    <m/>
    <m/>
  </r>
  <r>
    <d v="2026-05-04T00:00:00"/>
    <x v="63"/>
    <s v="1010329"/>
    <x v="3"/>
    <n v="1010329"/>
    <m/>
    <m/>
  </r>
  <r>
    <d v="2026-05-04T00:00:00"/>
    <x v="53"/>
    <s v="149422"/>
    <x v="4"/>
    <n v="149422"/>
    <m/>
    <m/>
  </r>
  <r>
    <d v="2026-05-04T00:00:00"/>
    <x v="73"/>
    <s v="7620000"/>
    <x v="6"/>
    <n v="7620000"/>
    <m/>
    <m/>
  </r>
  <r>
    <d v="2026-05-04T00:00:00"/>
    <x v="32"/>
    <s v="8112000"/>
    <x v="0"/>
    <n v="8112000"/>
    <m/>
    <m/>
  </r>
  <r>
    <d v="2026-05-04T00:00:00"/>
    <x v="63"/>
    <s v="1050109"/>
    <x v="1"/>
    <n v="1050109"/>
    <m/>
    <m/>
  </r>
  <r>
    <d v="2026-05-04T00:00:00"/>
    <x v="53"/>
    <s v="149422"/>
    <x v="0"/>
    <n v="149422"/>
    <m/>
    <m/>
  </r>
  <r>
    <d v="2026-05-04T00:00:00"/>
    <x v="73"/>
    <s v="7620000"/>
    <x v="3"/>
    <n v="7620000"/>
    <m/>
    <m/>
  </r>
  <r>
    <d v="2026-05-04T00:00:00"/>
    <x v="11"/>
    <s v="814642"/>
    <x v="1"/>
    <n v="814642"/>
    <m/>
    <m/>
  </r>
  <r>
    <d v="2026-05-04T00:00:00"/>
    <x v="11"/>
    <s v="272023"/>
    <x v="3"/>
    <n v="272023"/>
    <m/>
    <m/>
  </r>
  <r>
    <d v="2026-05-04T00:00:00"/>
    <x v="66"/>
    <s v="17145000"/>
    <x v="4"/>
    <n v="17145000"/>
    <m/>
    <m/>
  </r>
  <r>
    <d v="2026-05-04T00:00:00"/>
    <x v="11"/>
    <s v="1827147"/>
    <x v="4"/>
    <n v="1827147"/>
    <m/>
    <m/>
  </r>
  <r>
    <d v="2026-05-04T00:00:00"/>
    <x v="24"/>
    <s v="821722"/>
    <x v="3"/>
    <n v="821722"/>
    <m/>
    <m/>
  </r>
  <r>
    <d v="2026-05-04T00:00:00"/>
    <x v="63"/>
    <s v="1050109"/>
    <x v="3"/>
    <n v="1050109"/>
    <m/>
    <m/>
  </r>
  <r>
    <d v="2026-05-04T00:00:00"/>
    <x v="66"/>
    <s v="17145000"/>
    <x v="1"/>
    <n v="17145000"/>
    <m/>
    <m/>
  </r>
  <r>
    <d v="2026-05-04T00:00:00"/>
    <x v="11"/>
    <s v="1827147"/>
    <x v="0"/>
    <n v="1827147"/>
    <m/>
    <m/>
  </r>
  <r>
    <d v="2026-05-04T00:00:00"/>
    <x v="24"/>
    <s v="821722"/>
    <x v="4"/>
    <n v="821722"/>
    <m/>
    <m/>
  </r>
  <r>
    <d v="2026-05-04T00:00:00"/>
    <x v="35"/>
    <s v="1250000"/>
    <x v="4"/>
    <n v="1250000"/>
    <m/>
    <m/>
  </r>
  <r>
    <d v="2026-05-04T00:00:00"/>
    <x v="29"/>
    <s v="8d 2h"/>
    <x v="2"/>
    <m/>
    <n v="8"/>
    <n v="194"/>
  </r>
  <r>
    <d v="2026-05-04T00:00:00"/>
    <x v="58"/>
    <s v="1d 6h"/>
    <x v="2"/>
    <m/>
    <n v="1"/>
    <n v="30"/>
  </r>
  <r>
    <d v="2026-05-04T00:00:00"/>
    <x v="24"/>
    <s v="821722"/>
    <x v="1"/>
    <n v="821722"/>
    <m/>
    <m/>
  </r>
  <r>
    <d v="2026-05-04T00:00:00"/>
    <x v="69"/>
    <s v="77d 7h"/>
    <x v="2"/>
    <m/>
    <n v="77"/>
    <n v="1855"/>
  </r>
  <r>
    <d v="2026-05-04T00:00:00"/>
    <x v="68"/>
    <s v="3d 5h"/>
    <x v="2"/>
    <m/>
    <n v="3"/>
    <n v="77"/>
  </r>
  <r>
    <d v="2026-05-04T00:00:00"/>
    <x v="23"/>
    <s v="1009841"/>
    <x v="3"/>
    <n v="1009841"/>
    <m/>
    <m/>
  </r>
  <r>
    <d v="2026-05-04T00:00:00"/>
    <x v="43"/>
    <s v="8946000"/>
    <x v="4"/>
    <n v="894600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d v="2026-05-11T10:21:00"/>
    <s v="Gifts"/>
    <s v="Cobra Chest"/>
    <x v="0"/>
    <s v="Level 10 Crypt"/>
    <x v="0"/>
  </r>
  <r>
    <d v="2026-05-11T10:21:00"/>
    <s v="Gifts"/>
    <s v="Infernal Chest"/>
    <x v="0"/>
    <s v="Level 15 Crypt"/>
    <x v="1"/>
  </r>
  <r>
    <d v="2026-05-11T10:21:00"/>
    <s v="Gifts"/>
    <s v="Bone Chest"/>
    <x v="0"/>
    <s v="Level 15 Crypt"/>
    <x v="1"/>
  </r>
  <r>
    <d v="2026-05-11T10:21:00"/>
    <s v="Gifts"/>
    <s v="Bone Chest"/>
    <x v="0"/>
    <s v="Level 10 Crypt"/>
    <x v="0"/>
  </r>
  <r>
    <d v="2026-05-11T10:21:00"/>
    <s v="Gifts"/>
    <s v="Cobra Chest"/>
    <x v="1"/>
    <s v="Level 5 Crypt"/>
    <x v="2"/>
  </r>
  <r>
    <d v="2026-05-11T10:21:00"/>
    <s v="Gifts"/>
    <s v="Barbarian Chest"/>
    <x v="2"/>
    <s v="Level 5 Crypt"/>
    <x v="2"/>
  </r>
  <r>
    <d v="2026-05-11T10:21:00"/>
    <s v="Gifts"/>
    <s v="Bone Chest"/>
    <x v="2"/>
    <s v="Level 5 Crypt"/>
    <x v="2"/>
  </r>
  <r>
    <d v="2026-05-11T10:21:00"/>
    <s v="Gifts"/>
    <s v="Elegant Chest"/>
    <x v="2"/>
    <s v="Level 5 Crypt"/>
    <x v="2"/>
  </r>
  <r>
    <d v="2026-05-11T10:21:00"/>
    <s v="Gifts"/>
    <s v="Bone Chest"/>
    <x v="2"/>
    <s v="Level 5 Crypt"/>
    <x v="2"/>
  </r>
  <r>
    <d v="2026-05-11T10:21:00"/>
    <s v="Gifts"/>
    <s v="Rare Dragon Chest"/>
    <x v="3"/>
    <s v="Level 10 rare Crypt"/>
    <x v="3"/>
  </r>
  <r>
    <d v="2026-05-11T10:21:00"/>
    <s v="Gifts"/>
    <s v="Gladiator's Chest"/>
    <x v="2"/>
    <s v="Arena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Union Chest"/>
    <x v="4"/>
    <s v="Union of Triumph personal reward"/>
    <x v="4"/>
  </r>
  <r>
    <d v="2026-05-11T10:21:00"/>
    <s v="Gifts"/>
    <s v="Sand Chest"/>
    <x v="4"/>
    <s v="Level 10 Crypt"/>
    <x v="0"/>
  </r>
  <r>
    <d v="2026-05-11T10:21:00"/>
    <s v="Gifts"/>
    <s v="Wooden Chest"/>
    <x v="5"/>
    <s v="Clash for the Throne tournament"/>
    <x v="4"/>
  </r>
  <r>
    <d v="2026-05-11T10:21:00"/>
    <s v="Gifts"/>
    <s v="Turtle Chest"/>
    <x v="5"/>
    <s v="Level 15 epic Crypt"/>
    <x v="5"/>
  </r>
  <r>
    <d v="2026-05-11T10:21:00"/>
    <s v="Gifts"/>
    <s v="Gladiator's Chest"/>
    <x v="5"/>
    <s v="Arena"/>
    <x v="4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5 Crypt"/>
    <x v="1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Orc Chest"/>
    <x v="5"/>
    <s v="Level 10 Crypt"/>
    <x v="0"/>
  </r>
  <r>
    <d v="2026-05-11T10:21:00"/>
    <s v="Gifts"/>
    <s v="Elegant Chest"/>
    <x v="6"/>
    <s v="Level 5 Crypt"/>
    <x v="2"/>
  </r>
  <r>
    <d v="2026-05-11T10:21:00"/>
    <s v="Gifts"/>
    <s v="Fire Chest"/>
    <x v="6"/>
    <s v="Level 10 Crypt"/>
    <x v="0"/>
  </r>
  <r>
    <d v="2026-05-11T10:21:00"/>
    <s v="Gifts"/>
    <s v="Forgotten Chest"/>
    <x v="2"/>
    <s v="Level 15 Crypt"/>
    <x v="1"/>
  </r>
  <r>
    <d v="2026-05-11T10:21:00"/>
    <s v="Gifts"/>
    <s v="Barbarian Chest"/>
    <x v="5"/>
    <s v="Level 15 Crypt"/>
    <x v="1"/>
  </r>
  <r>
    <d v="2026-05-11T10:21:00"/>
    <s v="Gifts"/>
    <s v="Stone Chest"/>
    <x v="7"/>
    <s v="Level 15 Crypt"/>
    <x v="1"/>
  </r>
  <r>
    <d v="2026-05-11T10:21:00"/>
    <s v="Gifts"/>
    <s v="Infernal Chest"/>
    <x v="1"/>
    <s v="Level 10 Crypt"/>
    <x v="0"/>
  </r>
  <r>
    <d v="2026-05-11T10:21:00"/>
    <s v="Gifts"/>
    <s v="Forgotten Chest"/>
    <x v="6"/>
    <s v="Level 10 Crypt"/>
    <x v="0"/>
  </r>
  <r>
    <d v="2026-05-11T10:21:00"/>
    <s v="Gifts"/>
    <s v="Mayan Chest"/>
    <x v="1"/>
    <s v="Level 5 Crypt"/>
    <x v="2"/>
  </r>
  <r>
    <d v="2026-05-11T10:21:00"/>
    <s v="Gifts"/>
    <s v="Forgotten Chest"/>
    <x v="2"/>
    <s v="Level 10 Crypt"/>
    <x v="0"/>
  </r>
  <r>
    <d v="2026-05-11T10:21:00"/>
    <s v="Gifts"/>
    <s v="Infernal Chest"/>
    <x v="1"/>
    <s v="Level 5 Crypt"/>
    <x v="2"/>
  </r>
  <r>
    <d v="2026-05-11T10:21:00"/>
    <s v="Gifts"/>
    <s v="Mayan Chest"/>
    <x v="6"/>
    <s v="Level 5 Crypt"/>
    <x v="2"/>
  </r>
  <r>
    <d v="2026-05-11T10:21:00"/>
    <s v="Gifts"/>
    <s v="Stone Chest"/>
    <x v="1"/>
    <s v="Level 5 Crypt"/>
    <x v="2"/>
  </r>
  <r>
    <d v="2026-05-11T10:21:00"/>
    <s v="Gifts"/>
    <s v="Mayan Chest"/>
    <x v="8"/>
    <s v="Level 10 Crypt"/>
    <x v="0"/>
  </r>
  <r>
    <d v="2026-05-11T10:21:00"/>
    <s v="Gifts"/>
    <s v="Stone Chest"/>
    <x v="9"/>
    <s v="Level 5 Crypt"/>
    <x v="2"/>
  </r>
  <r>
    <d v="2026-05-11T10:21:00"/>
    <s v="Gifts"/>
    <s v="Stone Chest"/>
    <x v="9"/>
    <s v="Level 5 Crypt"/>
    <x v="2"/>
  </r>
  <r>
    <d v="2026-05-11T10:21:00"/>
    <s v="Gifts"/>
    <s v="Bone Chest"/>
    <x v="1"/>
    <s v="Level 5 Crypt"/>
    <x v="2"/>
  </r>
  <r>
    <d v="2026-05-11T10:21:00"/>
    <s v="Gifts"/>
    <s v="Infernal Chest"/>
    <x v="7"/>
    <s v="Level 15 Crypt"/>
    <x v="1"/>
  </r>
  <r>
    <d v="2026-05-11T10:21:00"/>
    <s v="Gifts"/>
    <s v="Fire Chest"/>
    <x v="7"/>
    <s v="Level 15 Crypt"/>
    <x v="1"/>
  </r>
  <r>
    <d v="2026-05-11T10:21:00"/>
    <s v="Gifts"/>
    <s v="Forgotten Chest"/>
    <x v="7"/>
    <s v="Level 15 Crypt"/>
    <x v="1"/>
  </r>
  <r>
    <d v="2026-05-11T10:21:00"/>
    <s v="Gifts"/>
    <s v="Orc Chest"/>
    <x v="10"/>
    <s v="Level 10 Crypt"/>
    <x v="0"/>
  </r>
  <r>
    <d v="2026-05-11T10:21:00"/>
    <s v="Gifts"/>
    <s v="Rare Dragon Chest"/>
    <x v="2"/>
    <s v="Level 15 rare Crypt"/>
    <x v="6"/>
  </r>
  <r>
    <d v="2026-05-11T10:21:00"/>
    <s v="Gifts"/>
    <s v="Harpy Chest"/>
    <x v="2"/>
    <s v="Level 15 epic Crypt"/>
    <x v="5"/>
  </r>
  <r>
    <d v="2026-05-11T10:21:00"/>
    <s v="Gifts"/>
    <s v="Stone Chest"/>
    <x v="7"/>
    <s v="Level 15 Crypt"/>
    <x v="1"/>
  </r>
  <r>
    <d v="2026-05-11T10:21:00"/>
    <s v="Gifts"/>
    <s v="Harpy Chest"/>
    <x v="2"/>
    <s v="Level 20 epic Crypt"/>
    <x v="7"/>
  </r>
  <r>
    <d v="2026-05-11T10:21:00"/>
    <s v="Gifts"/>
    <s v="Gnome Workshop Chest"/>
    <x v="11"/>
    <s v="Level 10 Crypt"/>
    <x v="0"/>
  </r>
  <r>
    <d v="2026-05-11T10:21:00"/>
    <s v="Gifts"/>
    <s v="Turtle Chest"/>
    <x v="2"/>
    <s v="Level 15 epic Crypt"/>
    <x v="5"/>
  </r>
  <r>
    <d v="2026-05-11T10:21:00"/>
    <s v="Gifts"/>
    <s v="Harpy Chest"/>
    <x v="2"/>
    <s v="Level 15 epic Crypt"/>
    <x v="5"/>
  </r>
  <r>
    <d v="2026-05-11T10:21:00"/>
    <s v="Gifts"/>
    <s v="Sand Chest"/>
    <x v="7"/>
    <s v="Level 15 Crypt"/>
    <x v="1"/>
  </r>
  <r>
    <d v="2026-05-11T10:21:00"/>
    <s v="Gifts"/>
    <s v="Mayan Chest"/>
    <x v="11"/>
    <s v="Level 10 Crypt"/>
    <x v="0"/>
  </r>
  <r>
    <d v="2026-05-11T10:21:00"/>
    <s v="Gifts"/>
    <s v="Harpy Chest"/>
    <x v="2"/>
    <s v="Level 15 epic Crypt"/>
    <x v="5"/>
  </r>
  <r>
    <d v="2026-05-11T10:21:00"/>
    <s v="Gifts"/>
    <s v="Stone Chest"/>
    <x v="9"/>
    <s v="Level 5 Crypt"/>
    <x v="2"/>
  </r>
  <r>
    <d v="2026-05-11T10:21:00"/>
    <s v="Gifts"/>
    <s v="Forgotten Chest"/>
    <x v="2"/>
    <s v="Level 10 Crypt"/>
    <x v="0"/>
  </r>
  <r>
    <d v="2026-05-11T10:21:00"/>
    <s v="Gifts"/>
    <s v="Forgotten Chest"/>
    <x v="2"/>
    <s v="Level 15 Crypt"/>
    <x v="1"/>
  </r>
  <r>
    <d v="2026-05-11T10:21:00"/>
    <s v="Gifts"/>
    <s v="Stone Chest"/>
    <x v="10"/>
    <s v="Level 5 Crypt"/>
    <x v="2"/>
  </r>
  <r>
    <d v="2026-05-11T10:21:00"/>
    <s v="Gifts"/>
    <s v="Barbarian Chest"/>
    <x v="10"/>
    <s v="Level 10 Crypt"/>
    <x v="0"/>
  </r>
  <r>
    <d v="2026-05-11T10:21:00"/>
    <s v="Gifts"/>
    <s v="Orc Chest"/>
    <x v="12"/>
    <s v="Level 5 Crypt"/>
    <x v="2"/>
  </r>
  <r>
    <d v="2026-05-11T10:21:00"/>
    <s v="Gifts"/>
    <s v="Cobra Chest"/>
    <x v="12"/>
    <s v="Level 5 Crypt"/>
    <x v="2"/>
  </r>
  <r>
    <d v="2026-05-11T10:21:00"/>
    <s v="Gifts"/>
    <s v="Mayan Chest"/>
    <x v="12"/>
    <s v="Level 5 Crypt"/>
    <x v="2"/>
  </r>
  <r>
    <d v="2026-05-11T10:21:00"/>
    <s v="Gifts"/>
    <s v="Elegant Chest"/>
    <x v="12"/>
    <s v="Level 5 Crypt"/>
    <x v="2"/>
  </r>
  <r>
    <d v="2026-05-11T10:21:00"/>
    <s v="Gifts"/>
    <s v="Bone Chest"/>
    <x v="12"/>
    <s v="Level 5 Crypt"/>
    <x v="2"/>
  </r>
  <r>
    <d v="2026-05-11T10:21:00"/>
    <s v="Gifts"/>
    <s v="Cobra Chest"/>
    <x v="13"/>
    <s v="Level 20 Crypt"/>
    <x v="8"/>
  </r>
  <r>
    <d v="2026-05-11T10:21:00"/>
    <s v="Gifts"/>
    <s v="Infernal Chest"/>
    <x v="12"/>
    <s v="Level 5 Crypt"/>
    <x v="2"/>
  </r>
  <r>
    <d v="2026-05-11T10:21:00"/>
    <s v="Gifts"/>
    <s v="Sand Chest"/>
    <x v="14"/>
    <s v="Level 15 Crypt"/>
    <x v="1"/>
  </r>
  <r>
    <d v="2026-05-11T10:21:00"/>
    <s v="Gifts"/>
    <s v="Cobra Chest"/>
    <x v="12"/>
    <s v="Level 5 Crypt"/>
    <x v="2"/>
  </r>
  <r>
    <d v="2026-05-11T10:21:00"/>
    <s v="Gifts"/>
    <s v="Mayan Chest"/>
    <x v="15"/>
    <s v="Level 5 Crypt"/>
    <x v="2"/>
  </r>
  <r>
    <d v="2026-05-11T10:21:00"/>
    <s v="Gifts"/>
    <s v="Cobra Chest"/>
    <x v="15"/>
    <s v="Level 5 Crypt"/>
    <x v="2"/>
  </r>
  <r>
    <d v="2026-05-11T10:21:00"/>
    <s v="Gifts"/>
    <s v="Sand Chest"/>
    <x v="12"/>
    <s v="Level 5 Crypt"/>
    <x v="2"/>
  </r>
  <r>
    <d v="2026-05-11T10:21:00"/>
    <s v="Gifts"/>
    <s v="Bone Chest"/>
    <x v="14"/>
    <s v="Level 10 Crypt"/>
    <x v="0"/>
  </r>
  <r>
    <d v="2026-05-11T10:21:00"/>
    <s v="Gifts"/>
    <s v="Barbarian Chest"/>
    <x v="12"/>
    <s v="Level 5 Crypt"/>
    <x v="2"/>
  </r>
  <r>
    <d v="2026-05-11T10:21:00"/>
    <s v="Gifts"/>
    <s v="Cobra Chest"/>
    <x v="1"/>
    <s v="Level 10 Crypt"/>
    <x v="0"/>
  </r>
  <r>
    <d v="2026-05-11T10:21:00"/>
    <s v="Gifts"/>
    <s v="Orc Chest"/>
    <x v="15"/>
    <s v="Level 5 Crypt"/>
    <x v="2"/>
  </r>
  <r>
    <d v="2026-05-11T10:21:00"/>
    <s v="Gifts"/>
    <s v="Fire Chest"/>
    <x v="12"/>
    <s v="Level 5 Crypt"/>
    <x v="2"/>
  </r>
  <r>
    <d v="2026-05-11T10:21:00"/>
    <s v="Gifts"/>
    <s v="Elegant Chest"/>
    <x v="16"/>
    <s v="Level 5 Crypt"/>
    <x v="2"/>
  </r>
  <r>
    <d v="2026-05-11T10:21:00"/>
    <s v="Gifts"/>
    <s v="Stone Chest"/>
    <x v="15"/>
    <s v="Level 5 Crypt"/>
    <x v="2"/>
  </r>
  <r>
    <d v="2026-05-11T10:21:00"/>
    <s v="Gifts"/>
    <s v="Stone Chest"/>
    <x v="12"/>
    <s v="Level 5 Crypt"/>
    <x v="2"/>
  </r>
  <r>
    <d v="2026-05-11T10:21:00"/>
    <s v="Gifts"/>
    <s v="Infernal Chest"/>
    <x v="1"/>
    <s v="Level 5 Crypt"/>
    <x v="2"/>
  </r>
  <r>
    <d v="2026-05-11T10:21:00"/>
    <s v="Gifts"/>
    <s v="Stone Chest"/>
    <x v="17"/>
    <s v="Level 5 Crypt"/>
    <x v="2"/>
  </r>
  <r>
    <d v="2026-05-11T10:21:00"/>
    <s v="Gifts"/>
    <s v="Forgotten Chest"/>
    <x v="2"/>
    <s v="Level 15 Crypt"/>
    <x v="1"/>
  </r>
  <r>
    <d v="2026-05-11T10:21:00"/>
    <s v="Gifts"/>
    <s v="Harpy Chest"/>
    <x v="2"/>
    <s v="Level 20 epic Crypt"/>
    <x v="7"/>
  </r>
  <r>
    <d v="2026-05-11T10:21:00"/>
    <s v="Gifts"/>
    <s v="Common Chest of Wealth"/>
    <x v="14"/>
    <s v="Clan wealth"/>
    <x v="4"/>
  </r>
  <r>
    <d v="2026-05-11T10:21:00"/>
    <s v="Gifts"/>
    <s v="Uncommon Chest of Wealth"/>
    <x v="14"/>
    <s v="Clan wealth"/>
    <x v="4"/>
  </r>
  <r>
    <d v="2026-05-11T10:21:00"/>
    <s v="Gifts"/>
    <s v="Rare Chest of Wealth"/>
    <x v="14"/>
    <s v="Clan wealth"/>
    <x v="4"/>
  </r>
  <r>
    <d v="2026-05-11T10:21:00"/>
    <s v="Gifts"/>
    <s v="Orc Chest"/>
    <x v="10"/>
    <s v="Level 10 Crypt"/>
    <x v="0"/>
  </r>
  <r>
    <d v="2026-05-11T10:21:00"/>
    <s v="Gifts"/>
    <s v="Infernal Chest"/>
    <x v="10"/>
    <s v="Level 10 Crypt"/>
    <x v="0"/>
  </r>
  <r>
    <d v="2026-05-11T10:21:00"/>
    <s v="Gifts"/>
    <s v="Mayan Chest"/>
    <x v="2"/>
    <s v="Level 10 Crypt"/>
    <x v="0"/>
  </r>
  <r>
    <d v="2026-05-11T10:21:00"/>
    <s v="Gifts"/>
    <s v="Infernal Chest"/>
    <x v="18"/>
    <s v="Level 10 Crypt"/>
    <x v="0"/>
  </r>
  <r>
    <d v="2026-05-11T10:21:00"/>
    <s v="Gifts"/>
    <s v="Cobra Chest"/>
    <x v="18"/>
    <s v="Level 10 Crypt"/>
    <x v="0"/>
  </r>
  <r>
    <d v="2026-05-11T10:21:00"/>
    <s v="Gifts"/>
    <s v="Mayan Chest"/>
    <x v="19"/>
    <s v="Level 10 Crypt"/>
    <x v="0"/>
  </r>
  <r>
    <d v="2026-05-11T10:21:00"/>
    <s v="Gifts"/>
    <s v="Rare Dragon Chest"/>
    <x v="19"/>
    <s v="Level 10 rare Crypt"/>
    <x v="3"/>
  </r>
  <r>
    <d v="2026-05-11T10:21:00"/>
    <s v="Gifts"/>
    <s v="Elegant Chest"/>
    <x v="12"/>
    <s v="Level 5 Crypt"/>
    <x v="2"/>
  </r>
  <r>
    <d v="2026-05-11T10:21:00"/>
    <s v="Gifts"/>
    <s v="Gnome Workshop Chest"/>
    <x v="12"/>
    <s v="Level 5 Crypt"/>
    <x v="2"/>
  </r>
  <r>
    <d v="2026-05-11T10:21:00"/>
    <s v="Gifts"/>
    <s v="Harpy Chest"/>
    <x v="2"/>
    <s v="Level 15 epic Crypt"/>
    <x v="5"/>
  </r>
  <r>
    <d v="2026-05-11T10:21:00"/>
    <s v="Gifts"/>
    <s v="Harpy Chest"/>
    <x v="2"/>
    <s v="Level 20 epic Crypt"/>
    <x v="7"/>
  </r>
  <r>
    <d v="2026-05-11T10:21:00"/>
    <s v="Gifts"/>
    <s v="Harpy Chest"/>
    <x v="2"/>
    <s v="Level 20 epic Crypt"/>
    <x v="7"/>
  </r>
  <r>
    <d v="2026-05-11T10:21:00"/>
    <s v="Gifts"/>
    <s v="Sand Chest"/>
    <x v="12"/>
    <s v="Level 5 Crypt"/>
    <x v="2"/>
  </r>
  <r>
    <d v="2026-05-11T10:21:00"/>
    <s v="Gifts"/>
    <s v="Infernal Chest"/>
    <x v="20"/>
    <s v="Level 5 Crypt"/>
    <x v="2"/>
  </r>
  <r>
    <d v="2026-05-11T10:21:00"/>
    <s v="Gifts"/>
    <s v="Sand Chest"/>
    <x v="2"/>
    <s v="Level 15 Crypt"/>
    <x v="1"/>
  </r>
  <r>
    <d v="2026-05-11T10:21:00"/>
    <s v="Gifts"/>
    <s v="Mayan Chest"/>
    <x v="12"/>
    <s v="Level 5 Crypt"/>
    <x v="2"/>
  </r>
  <r>
    <d v="2026-05-11T10:21:00"/>
    <s v="Gifts"/>
    <s v="Sand Chest"/>
    <x v="1"/>
    <s v="Level 10 Crypt"/>
    <x v="0"/>
  </r>
  <r>
    <d v="2026-05-11T10:21:00"/>
    <s v="Gifts"/>
    <s v="Fire Chest"/>
    <x v="12"/>
    <s v="Level 10 Crypt"/>
    <x v="0"/>
  </r>
  <r>
    <d v="2026-05-11T10:21:00"/>
    <s v="Gifts"/>
    <s v="Stone Chest"/>
    <x v="1"/>
    <s v="Level 5 Crypt"/>
    <x v="2"/>
  </r>
  <r>
    <d v="2026-05-11T10:21:00"/>
    <s v="Gifts"/>
    <s v="Cobra Chest"/>
    <x v="10"/>
    <s v="Level 10 Crypt"/>
    <x v="0"/>
  </r>
  <r>
    <d v="2026-05-11T10:21:00"/>
    <s v="Gifts"/>
    <s v="Elegant Chest"/>
    <x v="10"/>
    <s v="Level 5 Crypt"/>
    <x v="2"/>
  </r>
  <r>
    <d v="2026-05-11T10:21:00"/>
    <s v="Gifts"/>
    <s v="Barbarian Chest"/>
    <x v="1"/>
    <s v="Level 10 Crypt"/>
    <x v="0"/>
  </r>
  <r>
    <d v="2026-05-11T10:21:00"/>
    <s v="Gifts"/>
    <s v="Infernal Chest"/>
    <x v="12"/>
    <s v="Level 5 Crypt"/>
    <x v="2"/>
  </r>
  <r>
    <d v="2026-05-11T10:21:00"/>
    <s v="Gifts"/>
    <s v="Turtle Chest"/>
    <x v="21"/>
    <s v="Level 15 epic Crypt"/>
    <x v="5"/>
  </r>
  <r>
    <d v="2026-05-11T10:21:00"/>
    <s v="Gifts"/>
    <s v="Gnome Workshop Chest"/>
    <x v="12"/>
    <s v="Level 5 Crypt"/>
    <x v="2"/>
  </r>
  <r>
    <d v="2026-05-11T10:21:00"/>
    <s v="Gifts"/>
    <s v="Orc Chest"/>
    <x v="12"/>
    <s v="Level 10 Crypt"/>
    <x v="0"/>
  </r>
  <r>
    <d v="2026-05-11T10:21:00"/>
    <s v="Gifts"/>
    <s v="Mayan Chest"/>
    <x v="10"/>
    <s v="Level 5 Crypt"/>
    <x v="2"/>
  </r>
  <r>
    <d v="2026-05-11T10:21:00"/>
    <s v="Gifts"/>
    <s v="Cobra Chest"/>
    <x v="10"/>
    <s v="Level 5 Crypt"/>
    <x v="2"/>
  </r>
  <r>
    <d v="2026-05-11T10:21:00"/>
    <s v="Gifts"/>
    <s v="Mayan Chest"/>
    <x v="22"/>
    <s v="Level 15 Crypt"/>
    <x v="1"/>
  </r>
  <r>
    <d v="2026-05-11T10:21:00"/>
    <s v="Gifts"/>
    <s v="Stone Chest"/>
    <x v="10"/>
    <s v="Level 10 Crypt"/>
    <x v="0"/>
  </r>
  <r>
    <d v="2026-05-11T10:21:00"/>
    <s v="Gifts"/>
    <s v="Bone Chest"/>
    <x v="10"/>
    <s v="Level 10 Crypt"/>
    <x v="0"/>
  </r>
  <r>
    <d v="2026-05-11T10:21:00"/>
    <s v="Gifts"/>
    <s v="Barbarian Chest"/>
    <x v="12"/>
    <s v="Level 5 Crypt"/>
    <x v="2"/>
  </r>
  <r>
    <d v="2026-05-11T10:21:00"/>
    <s v="Gifts"/>
    <s v="Elegant Chest"/>
    <x v="10"/>
    <s v="Level 10 Crypt"/>
    <x v="0"/>
  </r>
  <r>
    <d v="2026-05-11T10:21:00"/>
    <s v="Triumphal Gifts"/>
    <s v="Wooden Chest"/>
    <x v="0"/>
    <s v="Bank"/>
    <x v="9"/>
  </r>
  <r>
    <d v="2026-05-11T10:21:00"/>
    <s v="Triumphal Gifts"/>
    <s v="Wooden Chest"/>
    <x v="0"/>
    <s v="Bank"/>
    <x v="9"/>
  </r>
  <r>
    <d v="2026-05-11T10:21:00"/>
    <s v="Triumphal Gifts"/>
    <s v="Wooden Chest"/>
    <x v="0"/>
    <s v="Bank"/>
    <x v="9"/>
  </r>
  <r>
    <d v="2026-05-11T10:21:00"/>
    <s v="Triumphal Gifts"/>
    <s v="Wooden Chest"/>
    <x v="0"/>
    <s v="Bank"/>
    <x v="9"/>
  </r>
  <r>
    <d v="2026-05-11T10:21:00"/>
    <s v="Triumphal Gifts"/>
    <s v="Wooden Chest"/>
    <x v="0"/>
    <s v="Bank"/>
    <x v="9"/>
  </r>
  <r>
    <d v="2026-05-11T10:21:00"/>
    <s v="Triumphal Gifts"/>
    <s v="Wooden Chest"/>
    <x v="0"/>
    <s v="Bank"/>
    <x v="9"/>
  </r>
  <r>
    <d v="2026-05-11T10:21:00"/>
    <s v="Triumphal Gifts"/>
    <s v="Golden Chest"/>
    <x v="7"/>
    <s v="Bank"/>
    <x v="9"/>
  </r>
  <r>
    <d v="2026-05-11T10:21:00"/>
    <s v="Triumphal Gifts"/>
    <s v="Golden Chest"/>
    <x v="7"/>
    <s v="Bank"/>
    <x v="9"/>
  </r>
  <r>
    <d v="2026-05-11T10:21:00"/>
    <s v="Triumphal Gifts"/>
    <s v="Golden Chest"/>
    <x v="7"/>
    <s v="Bank"/>
    <x v="9"/>
  </r>
  <r>
    <d v="2026-05-11T10:21:00"/>
    <s v="Triumphal Gifts"/>
    <s v="Magic Chest"/>
    <x v="23"/>
    <s v="Bank"/>
    <x v="9"/>
  </r>
  <r>
    <d v="2026-05-11T10:21:00"/>
    <s v="Triumphal Gifts"/>
    <s v="Magic Chest"/>
    <x v="23"/>
    <s v="Bank"/>
    <x v="9"/>
  </r>
  <r>
    <d v="2026-05-11T10:21:00"/>
    <s v="Triumphal Gifts"/>
    <s v="Magic Chest"/>
    <x v="23"/>
    <s v="Bank"/>
    <x v="9"/>
  </r>
  <r>
    <d v="2026-05-11T10:21:00"/>
    <s v="Triumphal Gifts"/>
    <s v="Wooden Chest"/>
    <x v="2"/>
    <s v="Bank"/>
    <x v="9"/>
  </r>
  <r>
    <d v="2026-05-11T10:21:00"/>
    <s v="Triumphal Gifts"/>
    <s v="Wooden Chest"/>
    <x v="2"/>
    <s v="Bank"/>
    <x v="9"/>
  </r>
  <r>
    <d v="2026-05-11T10:21:00"/>
    <s v="Triumphal Gifts"/>
    <s v="Wooden Chest"/>
    <x v="2"/>
    <s v="Bank"/>
    <x v="9"/>
  </r>
  <r>
    <d v="2026-05-11T10:21:00"/>
    <s v="Triumphal Gifts"/>
    <s v="Wooden Chest"/>
    <x v="2"/>
    <s v="Bank"/>
    <x v="9"/>
  </r>
  <r>
    <d v="2026-05-11T10:21:00"/>
    <s v="Triumphal Gifts"/>
    <s v="Wooden Chest"/>
    <x v="2"/>
    <s v="Bank"/>
    <x v="9"/>
  </r>
  <r>
    <d v="2026-05-11T10:21:00"/>
    <s v="Triumphal Gifts"/>
    <s v="Wooden Chest"/>
    <x v="2"/>
    <s v="Bank"/>
    <x v="9"/>
  </r>
  <r>
    <d v="2026-05-11T10:21:00"/>
    <s v="Triumphal Gifts"/>
    <s v="Wooden Chest"/>
    <x v="5"/>
    <s v="Bank"/>
    <x v="9"/>
  </r>
  <r>
    <d v="2026-05-11T10:21:00"/>
    <s v="Triumphal Gifts"/>
    <s v="Wooden Chest"/>
    <x v="5"/>
    <s v="Bank"/>
    <x v="9"/>
  </r>
  <r>
    <d v="2026-05-11T10:21:00"/>
    <s v="Triumphal Gifts"/>
    <s v="Wooden Chest"/>
    <x v="5"/>
    <s v="Bank"/>
    <x v="9"/>
  </r>
  <r>
    <d v="2026-05-11T10:21:00"/>
    <s v="Triumphal Gifts"/>
    <s v="Bronze Chest"/>
    <x v="2"/>
    <s v="Bank"/>
    <x v="9"/>
  </r>
  <r>
    <d v="2026-05-11T10:21:00"/>
    <s v="Triumphal Gifts"/>
    <s v="Bronze Chest"/>
    <x v="2"/>
    <s v="Bank"/>
    <x v="9"/>
  </r>
  <r>
    <d v="2026-05-11T10:21:00"/>
    <s v="Triumphal Gifts"/>
    <s v="Bronze Chest"/>
    <x v="2"/>
    <s v="Bank"/>
    <x v="9"/>
  </r>
  <r>
    <d v="2026-05-11T10:21:00"/>
    <s v="Triumphal Gifts"/>
    <s v="Bronze Chest"/>
    <x v="2"/>
    <s v="Bank"/>
    <x v="9"/>
  </r>
  <r>
    <d v="2026-05-11T10:21:00"/>
    <s v="Triumphal Gifts"/>
    <s v="Bronze Chest"/>
    <x v="2"/>
    <s v="Bank"/>
    <x v="9"/>
  </r>
  <r>
    <d v="2026-05-11T10:21:00"/>
    <s v="Triumphal Gifts"/>
    <s v="Bronze Chest"/>
    <x v="2"/>
    <s v="Bank"/>
    <x v="9"/>
  </r>
  <r>
    <d v="2026-05-11T10:21:00"/>
    <s v="Triumphal Gifts"/>
    <s v="Silver Chest"/>
    <x v="2"/>
    <s v="Bank"/>
    <x v="9"/>
  </r>
  <r>
    <d v="2026-05-11T10:21:00"/>
    <s v="Triumphal Gifts"/>
    <s v="Silver Chest"/>
    <x v="2"/>
    <s v="Bank"/>
    <x v="9"/>
  </r>
  <r>
    <d v="2026-05-11T10:21:00"/>
    <s v="Triumphal Gifts"/>
    <s v="Silver Chest"/>
    <x v="2"/>
    <s v="Bank"/>
    <x v="9"/>
  </r>
  <r>
    <d v="2026-05-11T10:21:00"/>
    <s v="Triumphal Gifts"/>
    <s v="Wooden Chest"/>
    <x v="11"/>
    <s v="Bank"/>
    <x v="9"/>
  </r>
  <r>
    <d v="2026-05-11T10:21:00"/>
    <s v="Triumphal Gifts"/>
    <s v="Wooden Chest"/>
    <x v="11"/>
    <s v="Bank"/>
    <x v="9"/>
  </r>
  <r>
    <d v="2026-05-11T10:21:00"/>
    <s v="Triumphal Gifts"/>
    <s v="Wooden Chest"/>
    <x v="11"/>
    <s v="Bank"/>
    <x v="9"/>
  </r>
  <r>
    <d v="2026-05-11T10:21:00"/>
    <s v="Triumphal Gifts"/>
    <s v="Wooden Chest"/>
    <x v="11"/>
    <s v="Bank"/>
    <x v="9"/>
  </r>
  <r>
    <d v="2026-05-11T10:21:00"/>
    <s v="Triumphal Gifts"/>
    <s v="Wooden Chest"/>
    <x v="11"/>
    <s v="Bank"/>
    <x v="9"/>
  </r>
  <r>
    <d v="2026-05-11T10:21:00"/>
    <s v="Triumphal Gifts"/>
    <s v="Wooden Chest"/>
    <x v="11"/>
    <s v="Bank"/>
    <x v="9"/>
  </r>
  <r>
    <d v="2026-05-11T10:21:00"/>
    <s v="Triumphal Gifts"/>
    <s v="Magic Chest"/>
    <x v="23"/>
    <s v="Bank"/>
    <x v="9"/>
  </r>
  <r>
    <d v="2026-05-11T10:21:00"/>
    <s v="Triumphal Gifts"/>
    <s v="Magic Chest"/>
    <x v="23"/>
    <s v="Bank"/>
    <x v="9"/>
  </r>
  <r>
    <d v="2026-05-11T10:21:00"/>
    <s v="Triumphal Gifts"/>
    <s v="Magic Chest"/>
    <x v="23"/>
    <s v="Bank"/>
    <x v="9"/>
  </r>
  <r>
    <d v="2026-05-11T15:32:00"/>
    <s v="Gifts"/>
    <s v="Bone Chest"/>
    <x v="14"/>
    <s v="Level 10 Crypt"/>
    <x v="0"/>
  </r>
  <r>
    <d v="2026-05-11T15:32:00"/>
    <s v="Gifts"/>
    <s v="Stone Chest"/>
    <x v="9"/>
    <s v="Level 10 Crypt"/>
    <x v="0"/>
  </r>
  <r>
    <d v="2026-05-11T15:32:00"/>
    <s v="Gifts"/>
    <s v="Elven Citadel Chest"/>
    <x v="24"/>
    <s v="Level 10 Citadel"/>
    <x v="10"/>
  </r>
  <r>
    <d v="2026-05-11T15:32:00"/>
    <s v="Gifts"/>
    <s v="Elegant Chest"/>
    <x v="4"/>
    <s v="Level 10 Crypt"/>
    <x v="0"/>
  </r>
  <r>
    <d v="2026-05-11T15:32:00"/>
    <s v="Gifts"/>
    <s v="Orc Chest"/>
    <x v="4"/>
    <s v="Level 10 Crypt"/>
    <x v="0"/>
  </r>
  <r>
    <d v="2026-05-11T15:32:00"/>
    <s v="Gifts"/>
    <s v="Sand Chest"/>
    <x v="22"/>
    <s v="Level 15 Crypt"/>
    <x v="1"/>
  </r>
  <r>
    <d v="2026-05-11T15:32:00"/>
    <s v="Gifts"/>
    <s v="Rare Dragon Chest"/>
    <x v="22"/>
    <s v="Level 15 rare Crypt"/>
    <x v="6"/>
  </r>
  <r>
    <d v="2026-05-11T15:32:00"/>
    <s v="Gifts"/>
    <s v="Chest of the Cursed"/>
    <x v="14"/>
    <s v="Level 15 epic Crypt"/>
    <x v="5"/>
  </r>
  <r>
    <d v="2026-05-11T15:32:00"/>
    <s v="Gifts"/>
    <s v="Bone Chest"/>
    <x v="4"/>
    <s v="Level 10 Crypt"/>
    <x v="0"/>
  </r>
  <r>
    <d v="2026-05-11T15:32:00"/>
    <s v="Gifts"/>
    <s v="Rare Dragon Chest"/>
    <x v="22"/>
    <s v="Level 15 rare Crypt"/>
    <x v="6"/>
  </r>
  <r>
    <d v="2026-05-11T15:32:00"/>
    <s v="Gifts"/>
    <s v="Fire Chest"/>
    <x v="22"/>
    <s v="Level 15 Crypt"/>
    <x v="1"/>
  </r>
  <r>
    <d v="2026-05-11T15:32:00"/>
    <s v="Gifts"/>
    <s v="Stone Chest"/>
    <x v="25"/>
    <s v="Level 10 Crypt"/>
    <x v="0"/>
  </r>
  <r>
    <d v="2026-05-11T15:32:00"/>
    <s v="Gifts"/>
    <s v="Stone Chest"/>
    <x v="7"/>
    <s v="Level 15 Crypt"/>
    <x v="1"/>
  </r>
  <r>
    <d v="2026-05-11T15:32:00"/>
    <s v="Gifts"/>
    <s v="Mayan Chest"/>
    <x v="4"/>
    <s v="Level 10 Crypt"/>
    <x v="0"/>
  </r>
  <r>
    <d v="2026-05-11T15:32:00"/>
    <s v="Gifts"/>
    <s v="Barbarian Chest"/>
    <x v="4"/>
    <s v="Level 10 Crypt"/>
    <x v="0"/>
  </r>
  <r>
    <d v="2026-05-11T15:32:00"/>
    <s v="Gifts"/>
    <s v="Infernal Chest"/>
    <x v="25"/>
    <s v="Level 5 Crypt"/>
    <x v="2"/>
  </r>
  <r>
    <d v="2026-05-11T15:32:00"/>
    <s v="Gifts"/>
    <s v="Orc Chest"/>
    <x v="26"/>
    <s v="Level 10 Crypt"/>
    <x v="0"/>
  </r>
  <r>
    <d v="2026-05-11T15:32:00"/>
    <s v="Gifts"/>
    <s v="Fire Chest"/>
    <x v="12"/>
    <s v="Level 10 Crypt"/>
    <x v="0"/>
  </r>
  <r>
    <d v="2026-05-11T15:32:00"/>
    <s v="Gifts"/>
    <s v="Mayan Chest"/>
    <x v="10"/>
    <s v="Level 5 Crypt"/>
    <x v="2"/>
  </r>
  <r>
    <d v="2026-05-11T15:32:00"/>
    <s v="Gifts"/>
    <s v="Gnome Workshop Chest"/>
    <x v="27"/>
    <s v="Level 5 Crypt"/>
    <x v="2"/>
  </r>
  <r>
    <d v="2026-05-11T15:32:00"/>
    <s v="Gifts"/>
    <s v="Barbarian Chest"/>
    <x v="12"/>
    <s v="Level 10 Crypt"/>
    <x v="0"/>
  </r>
  <r>
    <d v="2026-05-11T15:32:00"/>
    <s v="Gifts"/>
    <s v="Governor's Chest"/>
    <x v="28"/>
    <s v="Story"/>
    <x v="4"/>
  </r>
  <r>
    <d v="2026-05-11T15:32:00"/>
    <s v="Gifts"/>
    <s v="Mayan Chest"/>
    <x v="4"/>
    <s v="Level 10 Crypt"/>
    <x v="0"/>
  </r>
  <r>
    <d v="2026-05-11T15:32:00"/>
    <s v="Gifts"/>
    <s v="Mayan Chest"/>
    <x v="12"/>
    <s v="Level 5 Crypt"/>
    <x v="2"/>
  </r>
  <r>
    <d v="2026-05-11T15:32:00"/>
    <s v="Gifts"/>
    <s v="Barbarian Chest"/>
    <x v="0"/>
    <s v="Level 5 Crypt"/>
    <x v="2"/>
  </r>
  <r>
    <d v="2026-05-11T15:32:00"/>
    <s v="Gifts"/>
    <s v="Bone Chest"/>
    <x v="12"/>
    <s v="Level 5 Crypt"/>
    <x v="2"/>
  </r>
  <r>
    <d v="2026-05-11T15:32:00"/>
    <s v="Gifts"/>
    <s v="Mayan Chest"/>
    <x v="4"/>
    <s v="Level 10 Crypt"/>
    <x v="0"/>
  </r>
  <r>
    <d v="2026-05-11T15:32:00"/>
    <s v="Gifts"/>
    <s v="Fire Chest"/>
    <x v="4"/>
    <s v="Level 10 Crypt"/>
    <x v="0"/>
  </r>
  <r>
    <d v="2026-05-11T15:32:00"/>
    <s v="Gifts"/>
    <s v="Bone Chest"/>
    <x v="12"/>
    <s v="Level 10 Crypt"/>
    <x v="0"/>
  </r>
  <r>
    <d v="2026-05-11T15:32:00"/>
    <s v="Gifts"/>
    <s v="Infernal Chest"/>
    <x v="29"/>
    <s v="Level 15 Crypt"/>
    <x v="1"/>
  </r>
  <r>
    <d v="2026-05-11T15:32:00"/>
    <s v="Gifts"/>
    <s v="Turtle Chest"/>
    <x v="29"/>
    <s v="Level 15 epic Crypt"/>
    <x v="5"/>
  </r>
  <r>
    <d v="2026-05-11T15:32:00"/>
    <s v="Gifts"/>
    <s v="Gnome Workshop Chest"/>
    <x v="4"/>
    <s v="Level 10 Crypt"/>
    <x v="0"/>
  </r>
  <r>
    <d v="2026-05-11T15:32:00"/>
    <s v="Gifts"/>
    <s v="Mayan Chest"/>
    <x v="28"/>
    <s v="Level 10 Crypt"/>
    <x v="0"/>
  </r>
  <r>
    <d v="2026-05-11T15:32:00"/>
    <s v="Gifts"/>
    <s v="Bastion Chest"/>
    <x v="29"/>
    <s v="Level 15 epic Crypt"/>
    <x v="5"/>
  </r>
  <r>
    <d v="2026-05-11T15:32:00"/>
    <s v="Gifts"/>
    <s v="Bastion Chest"/>
    <x v="29"/>
    <s v="Level 15 epic Crypt"/>
    <x v="5"/>
  </r>
  <r>
    <d v="2026-05-11T15:32:00"/>
    <s v="Gifts"/>
    <s v="Infernal Chest"/>
    <x v="30"/>
    <s v="Level 10 Crypt"/>
    <x v="0"/>
  </r>
  <r>
    <d v="2026-05-11T15:32:00"/>
    <s v="Gifts"/>
    <s v="Orc Chest"/>
    <x v="30"/>
    <s v="Level 5 Crypt"/>
    <x v="2"/>
  </r>
  <r>
    <d v="2026-05-11T15:32:00"/>
    <s v="Gifts"/>
    <s v="Turtle Chest"/>
    <x v="29"/>
    <s v="Level 15 epic Crypt"/>
    <x v="5"/>
  </r>
  <r>
    <d v="2026-05-11T15:32:00"/>
    <s v="Gifts"/>
    <s v="Orc Chest"/>
    <x v="30"/>
    <s v="Level 5 Crypt"/>
    <x v="2"/>
  </r>
  <r>
    <d v="2026-05-11T15:32:00"/>
    <s v="Gifts"/>
    <s v="Turtle Chest"/>
    <x v="29"/>
    <s v="Level 15 epic Crypt"/>
    <x v="5"/>
  </r>
  <r>
    <d v="2026-05-11T15:32:00"/>
    <s v="Gifts"/>
    <s v="Forgotten Chest"/>
    <x v="6"/>
    <s v="Level 10 Crypt"/>
    <x v="0"/>
  </r>
  <r>
    <d v="2026-05-11T15:32:00"/>
    <s v="Gifts"/>
    <s v="Warrior's Chest"/>
    <x v="29"/>
    <s v="Level 15 epic Crypt"/>
    <x v="5"/>
  </r>
  <r>
    <d v="2026-05-11T15:32:00"/>
    <s v="Gifts"/>
    <s v="Orc Chest"/>
    <x v="26"/>
    <s v="Level 5 Crypt"/>
    <x v="2"/>
  </r>
  <r>
    <d v="2026-05-11T15:32:00"/>
    <s v="Gifts"/>
    <s v="Fire Chest"/>
    <x v="12"/>
    <s v="Level 5 Crypt"/>
    <x v="2"/>
  </r>
  <r>
    <d v="2026-05-11T15:32:00"/>
    <s v="Gifts"/>
    <s v="Minotaur Chest"/>
    <x v="29"/>
    <s v="Level 15 epic Crypt"/>
    <x v="5"/>
  </r>
  <r>
    <d v="2026-05-11T15:32:00"/>
    <s v="Gifts"/>
    <s v="Mayan Chest"/>
    <x v="31"/>
    <s v="Level 10 Crypt"/>
    <x v="0"/>
  </r>
  <r>
    <d v="2026-05-11T15:32:00"/>
    <s v="Gifts"/>
    <s v="Infernal Chest"/>
    <x v="32"/>
    <s v="Level 10 Crypt"/>
    <x v="0"/>
  </r>
  <r>
    <d v="2026-05-11T15:32:00"/>
    <s v="Gifts"/>
    <s v="Barbarian Chest"/>
    <x v="32"/>
    <s v="Level 10 Crypt"/>
    <x v="0"/>
  </r>
  <r>
    <d v="2026-05-11T15:32:00"/>
    <s v="Gifts"/>
    <s v="Stone Chest"/>
    <x v="6"/>
    <s v="Level 10 Crypt"/>
    <x v="0"/>
  </r>
  <r>
    <d v="2026-05-11T15:32:00"/>
    <s v="Gifts"/>
    <s v="Orc Chest"/>
    <x v="31"/>
    <s v="Level 5 Crypt"/>
    <x v="2"/>
  </r>
  <r>
    <d v="2026-05-11T15:32:00"/>
    <s v="Gifts"/>
    <s v="Stone Chest"/>
    <x v="12"/>
    <s v="Level 5 Crypt"/>
    <x v="2"/>
  </r>
  <r>
    <d v="2026-05-11T15:32:00"/>
    <s v="Gifts"/>
    <s v="Orc Chest"/>
    <x v="20"/>
    <s v="Level 10 Crypt"/>
    <x v="0"/>
  </r>
  <r>
    <d v="2026-05-11T15:32:00"/>
    <s v="Gifts"/>
    <s v="Gnome Workshop Chest"/>
    <x v="31"/>
    <s v="Level 5 Crypt"/>
    <x v="2"/>
  </r>
  <r>
    <d v="2026-05-11T15:32:00"/>
    <s v="Gifts"/>
    <s v="Fire Chest"/>
    <x v="10"/>
    <s v="Level 15 Crypt"/>
    <x v="1"/>
  </r>
  <r>
    <d v="2026-05-11T15:32:00"/>
    <s v="Gifts"/>
    <s v="Stone Chest"/>
    <x v="12"/>
    <s v="Level 5 Crypt"/>
    <x v="2"/>
  </r>
  <r>
    <d v="2026-05-11T15:32:00"/>
    <s v="Gifts"/>
    <s v="Common Chest of Wealth"/>
    <x v="14"/>
    <s v="Clan wealth"/>
    <x v="4"/>
  </r>
  <r>
    <d v="2026-05-11T15:32:00"/>
    <s v="Gifts"/>
    <s v="Uncommon Chest of Wealth"/>
    <x v="14"/>
    <s v="Clan wealth"/>
    <x v="4"/>
  </r>
  <r>
    <d v="2026-05-11T15:32:00"/>
    <s v="Gifts"/>
    <s v="Rare Chest of Wealth"/>
    <x v="14"/>
    <s v="Clan wealth"/>
    <x v="4"/>
  </r>
  <r>
    <d v="2026-05-11T15:32:00"/>
    <s v="Gifts"/>
    <s v="Bone Chest"/>
    <x v="33"/>
    <s v="Level 10 Crypt"/>
    <x v="0"/>
  </r>
  <r>
    <d v="2026-05-11T15:32:00"/>
    <s v="Gifts"/>
    <s v="Runic Chest"/>
    <x v="29"/>
    <s v="Lvl 20-24 Raid Runic squad"/>
    <x v="4"/>
  </r>
  <r>
    <d v="2026-05-11T15:32:00"/>
    <s v="Gifts"/>
    <s v="Forgotten Chest"/>
    <x v="24"/>
    <s v="Level 10 Crypt"/>
    <x v="0"/>
  </r>
  <r>
    <d v="2026-05-11T15:32:00"/>
    <s v="Gifts"/>
    <s v="Gladiator's Chest"/>
    <x v="24"/>
    <s v="Arena"/>
    <x v="4"/>
  </r>
  <r>
    <d v="2026-05-11T15:32:00"/>
    <s v="Gifts"/>
    <s v="Orc Chest"/>
    <x v="34"/>
    <s v="Level 10 Crypt"/>
    <x v="0"/>
  </r>
  <r>
    <d v="2026-05-11T15:32:00"/>
    <s v="Gifts"/>
    <s v="Runic Chest"/>
    <x v="29"/>
    <s v="Lvl 20-24 Raid Runic squad"/>
    <x v="4"/>
  </r>
  <r>
    <d v="2026-05-11T15:32:00"/>
    <s v="Gifts"/>
    <s v="Barbarian Chest"/>
    <x v="21"/>
    <s v="Level 5 Crypt"/>
    <x v="2"/>
  </r>
  <r>
    <d v="2026-05-11T15:32:00"/>
    <s v="Gifts"/>
    <s v="Stone Chest"/>
    <x v="22"/>
    <s v="Level 15 Crypt"/>
    <x v="1"/>
  </r>
  <r>
    <d v="2026-05-11T15:32:00"/>
    <s v="Gifts"/>
    <s v="Rare Dragon Chest"/>
    <x v="11"/>
    <s v="Level 10 rare Crypt"/>
    <x v="3"/>
  </r>
  <r>
    <d v="2026-05-11T15:32:00"/>
    <s v="Gifts"/>
    <s v="Gnome Workshop Chest"/>
    <x v="35"/>
    <s v="Level 10 Crypt"/>
    <x v="0"/>
  </r>
  <r>
    <d v="2026-05-11T15:32:00"/>
    <s v="Gifts"/>
    <s v="Forgotten Chest"/>
    <x v="21"/>
    <s v="Level 10 Crypt"/>
    <x v="0"/>
  </r>
  <r>
    <d v="2026-05-11T15:32:00"/>
    <s v="Gifts"/>
    <s v="Gladiator's Chest"/>
    <x v="24"/>
    <s v="Arena"/>
    <x v="4"/>
  </r>
  <r>
    <d v="2026-05-11T15:32:00"/>
    <s v="Gifts"/>
    <s v="Runic Chest"/>
    <x v="29"/>
    <s v="Lvl 20-24 Raid Runic squad"/>
    <x v="4"/>
  </r>
  <r>
    <d v="2026-05-11T15:32:00"/>
    <s v="Gifts"/>
    <s v="Elegant Chest"/>
    <x v="36"/>
    <s v="Level 5 Crypt"/>
    <x v="2"/>
  </r>
  <r>
    <d v="2026-05-11T15:32:00"/>
    <s v="Gifts"/>
    <s v="Elegant Chest"/>
    <x v="36"/>
    <s v="Level 10 Crypt"/>
    <x v="0"/>
  </r>
  <r>
    <d v="2026-05-11T15:32:00"/>
    <s v="Gifts"/>
    <s v="Sand Chest"/>
    <x v="11"/>
    <s v="Level 5 Crypt"/>
    <x v="2"/>
  </r>
  <r>
    <d v="2026-05-11T15:32:00"/>
    <s v="Gifts"/>
    <s v="Infernal Chest"/>
    <x v="12"/>
    <s v="Level 10 Crypt"/>
    <x v="0"/>
  </r>
  <r>
    <d v="2026-05-11T15:32:00"/>
    <s v="Gifts"/>
    <s v="Stone Chest"/>
    <x v="11"/>
    <s v="Level 15 Crypt"/>
    <x v="1"/>
  </r>
  <r>
    <d v="2026-05-11T15:32:00"/>
    <s v="Gifts"/>
    <s v="Barbarian Chest"/>
    <x v="27"/>
    <s v="Level 10 Crypt"/>
    <x v="0"/>
  </r>
  <r>
    <d v="2026-05-11T15:32:00"/>
    <s v="Gifts"/>
    <s v="Cobra Chest"/>
    <x v="15"/>
    <s v="Level 5 Crypt"/>
    <x v="2"/>
  </r>
  <r>
    <d v="2026-05-11T15:32:00"/>
    <s v="Triumphal Gifts"/>
    <s v="Wooden Chest"/>
    <x v="26"/>
    <s v="Bank"/>
    <x v="9"/>
  </r>
  <r>
    <d v="2026-05-11T15:32:00"/>
    <s v="Triumphal Gifts"/>
    <s v="Wooden Chest"/>
    <x v="26"/>
    <s v="Bank"/>
    <x v="9"/>
  </r>
  <r>
    <d v="2026-05-11T15:32:00"/>
    <s v="Triumphal Gifts"/>
    <s v="Wooden Chest"/>
    <x v="26"/>
    <s v="Bank"/>
    <x v="9"/>
  </r>
  <r>
    <d v="2026-05-11T15:32:00"/>
    <s v="Triumphal Gifts"/>
    <s v="Wooden Chest"/>
    <x v="26"/>
    <s v="Bank"/>
    <x v="9"/>
  </r>
  <r>
    <d v="2026-05-11T15:32:00"/>
    <s v="Triumphal Gifts"/>
    <s v="Wooden Chest"/>
    <x v="26"/>
    <s v="Bank"/>
    <x v="9"/>
  </r>
  <r>
    <d v="2026-05-11T15:32:00"/>
    <s v="Triumphal Gifts"/>
    <s v="Wooden Chest"/>
    <x v="26"/>
    <s v="Bank"/>
    <x v="9"/>
  </r>
  <r>
    <d v="2026-05-11T15:32:00"/>
    <s v="Triumphal Gifts"/>
    <s v="Bronze Chest"/>
    <x v="22"/>
    <s v="Bank"/>
    <x v="9"/>
  </r>
  <r>
    <d v="2026-05-11T15:32:00"/>
    <s v="Triumphal Gifts"/>
    <s v="Bronze Chest"/>
    <x v="22"/>
    <s v="Bank"/>
    <x v="9"/>
  </r>
  <r>
    <d v="2026-05-11T15:32:00"/>
    <s v="Triumphal Gifts"/>
    <s v="Bronze Chest"/>
    <x v="22"/>
    <s v="Bank"/>
    <x v="9"/>
  </r>
  <r>
    <d v="2026-05-11T15:32:00"/>
    <s v="Triumphal Gifts"/>
    <s v="Bronze Chest"/>
    <x v="22"/>
    <s v="Bank"/>
    <x v="9"/>
  </r>
  <r>
    <d v="2026-05-11T15:32:00"/>
    <s v="Triumphal Gifts"/>
    <s v="Bronze Chest"/>
    <x v="22"/>
    <s v="Bank"/>
    <x v="9"/>
  </r>
  <r>
    <d v="2026-05-11T15:32:00"/>
    <s v="Triumphal Gifts"/>
    <s v="Bronze Chest"/>
    <x v="22"/>
    <s v="Bank"/>
    <x v="9"/>
  </r>
  <r>
    <d v="2026-05-11T15:32:00"/>
    <s v="Triumphal Gifts"/>
    <s v="Wooden Chest"/>
    <x v="33"/>
    <s v="Bank"/>
    <x v="9"/>
  </r>
  <r>
    <d v="2026-05-11T15:32:00"/>
    <s v="Triumphal Gifts"/>
    <s v="Wooden Chest"/>
    <x v="33"/>
    <s v="Bank"/>
    <x v="9"/>
  </r>
  <r>
    <d v="2026-05-11T15:32:00"/>
    <s v="Triumphal Gifts"/>
    <s v="Wooden Chest"/>
    <x v="33"/>
    <s v="Bank"/>
    <x v="9"/>
  </r>
  <r>
    <d v="2026-05-11T15:32:00"/>
    <s v="Triumphal Gifts"/>
    <s v="Wooden Chest"/>
    <x v="33"/>
    <s v="Bank"/>
    <x v="9"/>
  </r>
  <r>
    <d v="2026-05-11T15:32:00"/>
    <s v="Triumphal Gifts"/>
    <s v="Wooden Chest"/>
    <x v="33"/>
    <s v="Bank"/>
    <x v="9"/>
  </r>
  <r>
    <d v="2026-05-11T15:32:00"/>
    <s v="Triumphal Gifts"/>
    <s v="Wooden Chest"/>
    <x v="33"/>
    <s v="Bank"/>
    <x v="9"/>
  </r>
  <r>
    <d v="2026-05-11T15:32:00"/>
    <s v="Triumphal Gifts"/>
    <s v="Wooden Chest"/>
    <x v="29"/>
    <s v="Bank"/>
    <x v="9"/>
  </r>
  <r>
    <d v="2026-05-11T15:32:00"/>
    <s v="Triumphal Gifts"/>
    <s v="Wooden Chest"/>
    <x v="29"/>
    <s v="Bank"/>
    <x v="9"/>
  </r>
  <r>
    <d v="2026-05-11T15:32:00"/>
    <s v="Triumphal Gifts"/>
    <s v="Wooden Chest"/>
    <x v="29"/>
    <s v="Bank"/>
    <x v="9"/>
  </r>
  <r>
    <d v="2026-05-11T15:32:00"/>
    <s v="Triumphal Gifts"/>
    <s v="Bronze Chest"/>
    <x v="29"/>
    <s v="Bank"/>
    <x v="9"/>
  </r>
  <r>
    <d v="2026-05-11T15:32:00"/>
    <s v="Triumphal Gifts"/>
    <s v="Bronze Chest"/>
    <x v="29"/>
    <s v="Bank"/>
    <x v="9"/>
  </r>
  <r>
    <d v="2026-05-11T15:32:00"/>
    <s v="Triumphal Gifts"/>
    <s v="Bronze Chest"/>
    <x v="29"/>
    <s v="Bank"/>
    <x v="9"/>
  </r>
  <r>
    <d v="2026-05-11T16:00:00"/>
    <s v="Gifts"/>
    <s v="Forgotten Chest"/>
    <x v="37"/>
    <s v="Level 15 Crypt"/>
    <x v="1"/>
  </r>
  <r>
    <d v="2026-05-11T16:00:00"/>
    <s v="Gifts"/>
    <s v="Infernal Chest"/>
    <x v="14"/>
    <s v="Level 10 Crypt"/>
    <x v="0"/>
  </r>
  <r>
    <d v="2026-05-11T16:00:00"/>
    <s v="Gifts"/>
    <s v="Cobra Chest"/>
    <x v="37"/>
    <s v="Level 15 Crypt"/>
    <x v="1"/>
  </r>
  <r>
    <d v="2026-05-11T16:00:00"/>
    <s v="Gifts"/>
    <s v="Stone Chest"/>
    <x v="37"/>
    <s v="Level 15 Crypt"/>
    <x v="1"/>
  </r>
  <r>
    <d v="2026-05-11T16:00:00"/>
    <s v="Gifts"/>
    <s v="Mayan Chest"/>
    <x v="37"/>
    <s v="Level 15 Crypt"/>
    <x v="1"/>
  </r>
  <r>
    <d v="2026-05-11T16:00:00"/>
    <s v="Gifts"/>
    <s v="Stone Chest"/>
    <x v="37"/>
    <s v="Level 10 Crypt"/>
    <x v="0"/>
  </r>
  <r>
    <d v="2026-05-11T16:00:00"/>
    <s v="Gifts"/>
    <s v="Orc Chest"/>
    <x v="14"/>
    <s v="Level 10 Crypt"/>
    <x v="0"/>
  </r>
  <r>
    <d v="2026-05-11T16:00:00"/>
    <s v="Gifts"/>
    <s v="Infernal Chest"/>
    <x v="0"/>
    <s v="Level 5 Crypt"/>
    <x v="2"/>
  </r>
  <r>
    <d v="2026-05-11T16:00:00"/>
    <s v="Gifts"/>
    <s v="Orc Chest"/>
    <x v="38"/>
    <s v="Level 10 Crypt"/>
    <x v="0"/>
  </r>
  <r>
    <d v="2026-05-11T16:00:00"/>
    <s v="Gifts"/>
    <s v="Forgotten Chest"/>
    <x v="5"/>
    <s v="Level 10 Crypt"/>
    <x v="0"/>
  </r>
  <r>
    <d v="2026-05-11T16:00:00"/>
    <s v="Gifts"/>
    <s v="Infernal Chest"/>
    <x v="38"/>
    <s v="Level 15 Crypt"/>
    <x v="1"/>
  </r>
  <r>
    <d v="2026-05-11T16:00:00"/>
    <s v="Gifts"/>
    <s v="Sand Chest"/>
    <x v="38"/>
    <s v="Level 10 Cryp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E4EED-9405-40C6-8C21-F5A4610606C3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R76" firstHeaderRow="1" firstDataRow="2" firstDataCol="1"/>
  <pivotFields count="7">
    <pivotField numFmtId="22" showAll="0"/>
    <pivotField axis="axisRow" showAll="0">
      <items count="78">
        <item x="16"/>
        <item x="40"/>
        <item x="55"/>
        <item x="9"/>
        <item x="23"/>
        <item x="25"/>
        <item x="52"/>
        <item x="21"/>
        <item x="19"/>
        <item x="72"/>
        <item x="36"/>
        <item x="28"/>
        <item x="45"/>
        <item x="24"/>
        <item x="62"/>
        <item x="47"/>
        <item x="5"/>
        <item x="60"/>
        <item x="69"/>
        <item x="31"/>
        <item x="22"/>
        <item x="34"/>
        <item x="6"/>
        <item x="74"/>
        <item x="26"/>
        <item x="30"/>
        <item x="2"/>
        <item x="57"/>
        <item x="20"/>
        <item x="73"/>
        <item x="3"/>
        <item x="8"/>
        <item x="61"/>
        <item x="67"/>
        <item x="59"/>
        <item x="49"/>
        <item x="66"/>
        <item x="46"/>
        <item x="54"/>
        <item x="51"/>
        <item x="76"/>
        <item x="41"/>
        <item x="48"/>
        <item x="42"/>
        <item x="70"/>
        <item x="44"/>
        <item x="33"/>
        <item x="17"/>
        <item x="1"/>
        <item x="7"/>
        <item x="65"/>
        <item x="4"/>
        <item x="63"/>
        <item x="12"/>
        <item x="75"/>
        <item x="58"/>
        <item x="29"/>
        <item x="71"/>
        <item x="39"/>
        <item x="50"/>
        <item x="43"/>
        <item x="56"/>
        <item x="0"/>
        <item x="37"/>
        <item x="15"/>
        <item x="38"/>
        <item x="68"/>
        <item x="14"/>
        <item x="27"/>
        <item x="11"/>
        <item x="64"/>
        <item x="35"/>
        <item x="32"/>
        <item x="18"/>
        <item x="53"/>
        <item x="13"/>
        <item x="10"/>
        <item t="default"/>
      </items>
    </pivotField>
    <pivotField showAll="0"/>
    <pivotField axis="axisCol" showAll="0">
      <items count="10">
        <item x="7"/>
        <item h="1" x="2"/>
        <item x="8"/>
        <item x="3"/>
        <item x="6"/>
        <item x="0"/>
        <item x="4"/>
        <item x="5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74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3"/>
  </colFields>
  <col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amount_num" fld="4" baseField="0" baseItem="0"/>
  </dataFields>
  <formats count="1">
    <format dxfId="4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7BA7C-FA37-4F8B-8E3E-76F9BD6AD7B6}" name="PivotTable1" cacheId="5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:H40" firstHeaderRow="1" firstDataRow="1" firstDataCol="1"/>
  <pivotFields count="6">
    <pivotField numFmtId="22" showAll="0"/>
    <pivotField showAll="0"/>
    <pivotField showAll="0"/>
    <pivotField axis="axisRow" showAll="0" sortType="ascending">
      <items count="117">
        <item x="24"/>
        <item m="1" x="59"/>
        <item m="1" x="72"/>
        <item x="26"/>
        <item x="34"/>
        <item m="1" x="49"/>
        <item m="1" x="64"/>
        <item x="27"/>
        <item m="1" x="94"/>
        <item x="22"/>
        <item m="1" x="51"/>
        <item m="1" x="109"/>
        <item m="1" x="56"/>
        <item m="1" x="40"/>
        <item m="1" x="61"/>
        <item x="31"/>
        <item x="30"/>
        <item x="14"/>
        <item x="21"/>
        <item m="1" x="67"/>
        <item m="1" x="60"/>
        <item m="1" x="111"/>
        <item x="7"/>
        <item m="1" x="87"/>
        <item m="1" x="90"/>
        <item m="1" x="112"/>
        <item x="36"/>
        <item x="19"/>
        <item m="1" x="45"/>
        <item m="1" x="115"/>
        <item x="28"/>
        <item x="23"/>
        <item m="1" x="114"/>
        <item m="1" x="53"/>
        <item m="1" x="58"/>
        <item m="1" x="107"/>
        <item x="13"/>
        <item m="1" x="78"/>
        <item m="1" x="96"/>
        <item m="1" x="42"/>
        <item m="1" x="104"/>
        <item x="9"/>
        <item m="1" x="85"/>
        <item m="1" x="102"/>
        <item x="2"/>
        <item m="1" x="106"/>
        <item m="1" x="84"/>
        <item m="1" x="77"/>
        <item m="1" x="65"/>
        <item x="5"/>
        <item m="1" x="95"/>
        <item m="1" x="98"/>
        <item m="1" x="113"/>
        <item x="15"/>
        <item m="1" x="69"/>
        <item x="18"/>
        <item m="1" x="91"/>
        <item m="1" x="48"/>
        <item m="1" x="46"/>
        <item m="1" x="68"/>
        <item m="1" x="76"/>
        <item m="1" x="88"/>
        <item m="1" x="54"/>
        <item m="1" x="43"/>
        <item x="16"/>
        <item m="1" x="89"/>
        <item x="0"/>
        <item m="1" x="44"/>
        <item x="3"/>
        <item x="33"/>
        <item m="1" x="62"/>
        <item x="35"/>
        <item x="12"/>
        <item m="1" x="74"/>
        <item m="1" x="75"/>
        <item m="1" x="99"/>
        <item m="1" x="92"/>
        <item x="29"/>
        <item m="1" x="101"/>
        <item m="1" x="79"/>
        <item m="1" x="110"/>
        <item m="1" x="100"/>
        <item x="32"/>
        <item m="1" x="81"/>
        <item m="1" x="93"/>
        <item m="1" x="63"/>
        <item m="1" x="108"/>
        <item m="1" x="39"/>
        <item m="1" x="66"/>
        <item m="1" x="105"/>
        <item m="1" x="55"/>
        <item x="17"/>
        <item m="1" x="97"/>
        <item x="1"/>
        <item m="1" x="52"/>
        <item x="10"/>
        <item x="11"/>
        <item x="8"/>
        <item m="1" x="80"/>
        <item x="4"/>
        <item m="1" x="73"/>
        <item m="1" x="57"/>
        <item x="20"/>
        <item m="1" x="82"/>
        <item x="38"/>
        <item m="1" x="41"/>
        <item m="1" x="47"/>
        <item m="1" x="83"/>
        <item m="1" x="86"/>
        <item x="6"/>
        <item m="1" x="50"/>
        <item m="1" x="71"/>
        <item m="1" x="70"/>
        <item m="1" x="103"/>
        <item x="37"/>
        <item x="25"/>
        <item t="default"/>
      </items>
    </pivotField>
    <pivotField showAll="0"/>
    <pivotField showAll="0"/>
  </pivotFields>
  <rowFields count="1">
    <field x="3"/>
  </rowFields>
  <rowItems count="39">
    <i>
      <x/>
    </i>
    <i>
      <x v="3"/>
    </i>
    <i>
      <x v="4"/>
    </i>
    <i>
      <x v="7"/>
    </i>
    <i>
      <x v="9"/>
    </i>
    <i>
      <x v="15"/>
    </i>
    <i>
      <x v="16"/>
    </i>
    <i>
      <x v="17"/>
    </i>
    <i>
      <x v="18"/>
    </i>
    <i>
      <x v="22"/>
    </i>
    <i>
      <x v="26"/>
    </i>
    <i>
      <x v="27"/>
    </i>
    <i>
      <x v="30"/>
    </i>
    <i>
      <x v="31"/>
    </i>
    <i>
      <x v="36"/>
    </i>
    <i>
      <x v="41"/>
    </i>
    <i>
      <x v="44"/>
    </i>
    <i>
      <x v="49"/>
    </i>
    <i>
      <x v="53"/>
    </i>
    <i>
      <x v="55"/>
    </i>
    <i>
      <x v="64"/>
    </i>
    <i>
      <x v="66"/>
    </i>
    <i>
      <x v="68"/>
    </i>
    <i>
      <x v="69"/>
    </i>
    <i>
      <x v="71"/>
    </i>
    <i>
      <x v="72"/>
    </i>
    <i>
      <x v="77"/>
    </i>
    <i>
      <x v="82"/>
    </i>
    <i>
      <x v="91"/>
    </i>
    <i>
      <x v="93"/>
    </i>
    <i>
      <x v="95"/>
    </i>
    <i>
      <x v="96"/>
    </i>
    <i>
      <x v="97"/>
    </i>
    <i>
      <x v="99"/>
    </i>
    <i>
      <x v="102"/>
    </i>
    <i>
      <x v="104"/>
    </i>
    <i>
      <x v="109"/>
    </i>
    <i>
      <x v="114"/>
    </i>
    <i>
      <x v="11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52687-F9C2-438F-BC47-930C3DFF9849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V42" firstHeaderRow="1" firstDataRow="2" firstDataCol="1"/>
  <pivotFields count="6">
    <pivotField numFmtId="22" showAll="0"/>
    <pivotField showAll="0"/>
    <pivotField showAll="0"/>
    <pivotField axis="axisRow" showAll="0">
      <items count="117">
        <item x="24"/>
        <item m="1" x="59"/>
        <item m="1" x="72"/>
        <item x="26"/>
        <item x="34"/>
        <item m="1" x="49"/>
        <item m="1" x="64"/>
        <item x="27"/>
        <item m="1" x="94"/>
        <item x="22"/>
        <item m="1" x="51"/>
        <item m="1" x="109"/>
        <item m="1" x="56"/>
        <item m="1" x="40"/>
        <item m="1" x="61"/>
        <item x="30"/>
        <item x="14"/>
        <item m="1" x="67"/>
        <item m="1" x="60"/>
        <item m="1" x="111"/>
        <item x="7"/>
        <item m="1" x="87"/>
        <item m="1" x="90"/>
        <item m="1" x="112"/>
        <item x="36"/>
        <item x="19"/>
        <item m="1" x="45"/>
        <item m="1" x="115"/>
        <item x="28"/>
        <item m="1" x="114"/>
        <item m="1" x="53"/>
        <item m="1" x="58"/>
        <item m="1" x="107"/>
        <item x="13"/>
        <item m="1" x="96"/>
        <item m="1" x="42"/>
        <item m="1" x="104"/>
        <item x="9"/>
        <item m="1" x="85"/>
        <item m="1" x="102"/>
        <item m="1" x="106"/>
        <item m="1" x="84"/>
        <item m="1" x="65"/>
        <item x="5"/>
        <item m="1" x="95"/>
        <item m="1" x="98"/>
        <item m="1" x="113"/>
        <item m="1" x="69"/>
        <item x="18"/>
        <item m="1" x="91"/>
        <item m="1" x="48"/>
        <item m="1" x="46"/>
        <item m="1" x="68"/>
        <item m="1" x="88"/>
        <item m="1" x="54"/>
        <item m="1" x="43"/>
        <item x="16"/>
        <item m="1" x="89"/>
        <item x="0"/>
        <item m="1" x="44"/>
        <item x="3"/>
        <item m="1" x="62"/>
        <item x="35"/>
        <item x="12"/>
        <item m="1" x="74"/>
        <item m="1" x="75"/>
        <item m="1" x="99"/>
        <item m="1" x="92"/>
        <item x="29"/>
        <item m="1" x="101"/>
        <item m="1" x="110"/>
        <item m="1" x="100"/>
        <item m="1" x="93"/>
        <item m="1" x="63"/>
        <item m="1" x="108"/>
        <item m="1" x="39"/>
        <item m="1" x="66"/>
        <item m="1" x="105"/>
        <item m="1" x="55"/>
        <item x="17"/>
        <item m="1" x="97"/>
        <item x="1"/>
        <item m="1" x="52"/>
        <item x="10"/>
        <item x="11"/>
        <item x="4"/>
        <item m="1" x="73"/>
        <item m="1" x="57"/>
        <item x="20"/>
        <item x="38"/>
        <item m="1" x="41"/>
        <item m="1" x="47"/>
        <item m="1" x="83"/>
        <item m="1" x="86"/>
        <item x="6"/>
        <item m="1" x="50"/>
        <item m="1" x="71"/>
        <item m="1" x="70"/>
        <item m="1" x="103"/>
        <item x="37"/>
        <item x="25"/>
        <item m="1" x="76"/>
        <item x="21"/>
        <item m="1" x="77"/>
        <item m="1" x="78"/>
        <item x="8"/>
        <item m="1" x="79"/>
        <item m="1" x="80"/>
        <item m="1" x="81"/>
        <item m="1" x="82"/>
        <item x="23"/>
        <item x="2"/>
        <item x="15"/>
        <item x="31"/>
        <item x="32"/>
        <item x="33"/>
        <item t="default"/>
      </items>
    </pivotField>
    <pivotField dataField="1" showAll="0"/>
    <pivotField axis="axisCol" showAll="0">
      <items count="17">
        <item m="1" x="15"/>
        <item m="1" x="14"/>
        <item x="9"/>
        <item x="10"/>
        <item x="0"/>
        <item x="3"/>
        <item m="1" x="13"/>
        <item x="1"/>
        <item x="5"/>
        <item x="6"/>
        <item m="1" x="11"/>
        <item x="8"/>
        <item x="7"/>
        <item m="1" x="12"/>
        <item x="2"/>
        <item x="4"/>
        <item t="default"/>
      </items>
    </pivotField>
  </pivotFields>
  <rowFields count="1">
    <field x="3"/>
  </rowFields>
  <rowItems count="40">
    <i>
      <x/>
    </i>
    <i>
      <x v="3"/>
    </i>
    <i>
      <x v="4"/>
    </i>
    <i>
      <x v="7"/>
    </i>
    <i>
      <x v="9"/>
    </i>
    <i>
      <x v="15"/>
    </i>
    <i>
      <x v="16"/>
    </i>
    <i>
      <x v="20"/>
    </i>
    <i>
      <x v="24"/>
    </i>
    <i>
      <x v="25"/>
    </i>
    <i>
      <x v="28"/>
    </i>
    <i>
      <x v="33"/>
    </i>
    <i>
      <x v="37"/>
    </i>
    <i>
      <x v="43"/>
    </i>
    <i>
      <x v="48"/>
    </i>
    <i>
      <x v="56"/>
    </i>
    <i>
      <x v="58"/>
    </i>
    <i>
      <x v="60"/>
    </i>
    <i>
      <x v="62"/>
    </i>
    <i>
      <x v="63"/>
    </i>
    <i>
      <x v="68"/>
    </i>
    <i>
      <x v="79"/>
    </i>
    <i>
      <x v="81"/>
    </i>
    <i>
      <x v="83"/>
    </i>
    <i>
      <x v="84"/>
    </i>
    <i>
      <x v="85"/>
    </i>
    <i>
      <x v="88"/>
    </i>
    <i>
      <x v="89"/>
    </i>
    <i>
      <x v="94"/>
    </i>
    <i>
      <x v="99"/>
    </i>
    <i>
      <x v="100"/>
    </i>
    <i>
      <x v="102"/>
    </i>
    <i>
      <x v="105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Fields count="1">
    <field x="5"/>
  </colFields>
  <colItems count="12"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4"/>
    </i>
    <i>
      <x v="15"/>
    </i>
    <i t="grand">
      <x/>
    </i>
  </colItems>
  <dataFields count="1">
    <dataField name="Count of sourc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8EF1E88-3ED2-49F6-92F6-9F0AA2CED1CB}" autoFormatId="16" applyNumberFormats="0" applyBorderFormats="0" applyFontFormats="0" applyPatternFormats="0" applyAlignmentFormats="0" applyWidthHeightFormats="0">
  <queryTableRefresh nextId="13">
    <queryTableFields count="7">
      <queryTableField id="1" name="date" tableColumnId="1"/>
      <queryTableField id="2" name="player" tableColumnId="2"/>
      <queryTableField id="3" name="amount" tableColumnId="3"/>
      <queryTableField id="4" name="type" tableColumnId="4"/>
      <queryTableField id="10" name="amount_num" tableColumnId="10"/>
      <queryTableField id="11" name="speedup_days" tableColumnId="11"/>
      <queryTableField id="12" name="speedup_hours" tableColumnId="12"/>
    </queryTableFields>
    <queryTableDeletedFields count="3">
      <deletedField name="amount_num"/>
      <deletedField name="speedup_days"/>
      <deletedField name="speedup_hour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AC9B5A1-68C4-45B6-B562-7EAAE9E1898A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etime" tableColumnId="1"/>
      <queryTableField id="2" name="tab" tableColumnId="2"/>
      <queryTableField id="3" name="chest" tableColumnId="3"/>
      <queryTableField id="4" name="from" tableColumnId="4"/>
      <queryTableField id="5" name="sourc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FCB50D-7D06-4454-B9E3-5BC5BFE89F75}" name="contributions_2026_05" displayName="contributions_2026_05" ref="A1:G862" tableType="queryTable" totalsRowShown="0">
  <autoFilter ref="A1:G862" xr:uid="{BDFCB50D-7D06-4454-B9E3-5BC5BFE89F75}"/>
  <tableColumns count="7">
    <tableColumn id="1" xr3:uid="{D1EBD1C3-8D4D-4299-A64C-951D0C139EE5}" uniqueName="1" name="date" queryTableFieldId="1" dataDxfId="10"/>
    <tableColumn id="2" xr3:uid="{7E226563-82ED-497C-9D68-49DE3FFF933C}" uniqueName="2" name="player" queryTableFieldId="2" dataDxfId="41"/>
    <tableColumn id="3" xr3:uid="{38011D04-21B3-4C9F-B9FE-A0E0939DD9D7}" uniqueName="3" name="amount" queryTableFieldId="3" dataDxfId="40"/>
    <tableColumn id="4" xr3:uid="{B521F633-B12C-420A-BA65-326619019DA6}" uniqueName="4" name="type" queryTableFieldId="4" dataDxfId="39"/>
    <tableColumn id="10" xr3:uid="{869C3D48-472E-4451-AACA-D95DC85EFCA7}" uniqueName="10" name="amount_num" queryTableFieldId="10" dataDxfId="9"/>
    <tableColumn id="11" xr3:uid="{D6E6EDA1-589F-4A29-A982-5A0B1CB07A07}" uniqueName="11" name="speedup_days" queryTableFieldId="11" dataDxfId="8"/>
    <tableColumn id="12" xr3:uid="{AF80800D-F99D-48F7-851E-E8397653E1D2}" uniqueName="12" name="speedup_hours" queryTableFieldId="12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34FE0-B2E0-4101-B5E0-0883ED2A621B}" name="tbl_chests" displayName="tbl_chests" ref="A1:F302" tableType="queryTable" totalsRowShown="0">
  <autoFilter ref="A1:F302" xr:uid="{00A34FE0-B2E0-4101-B5E0-0883ED2A621B}"/>
  <tableColumns count="6">
    <tableColumn id="1" xr3:uid="{79C5E2ED-42A5-420A-BFA4-611103E7483D}" uniqueName="1" name="datetime" queryTableFieldId="1" dataDxfId="6"/>
    <tableColumn id="2" xr3:uid="{5114FF5A-DA92-4DF7-98DE-D01E1C1A68C0}" uniqueName="2" name="tab" queryTableFieldId="2" dataDxfId="5"/>
    <tableColumn id="3" xr3:uid="{CF89E5EC-88DC-41D8-87F7-DE04CBA21185}" uniqueName="3" name="chest" queryTableFieldId="3" dataDxfId="4"/>
    <tableColumn id="4" xr3:uid="{317AAA43-DCC1-4949-A206-964ED58865FD}" uniqueName="4" name="from" queryTableFieldId="4" dataDxfId="3"/>
    <tableColumn id="5" xr3:uid="{B389AAA3-E7FF-4C77-9F4C-30804CE09BE8}" uniqueName="5" name="source" queryTableFieldId="5" dataDxfId="2"/>
    <tableColumn id="6" xr3:uid="{87B38D4A-6A86-4F58-AE06-E7E14005595F}" uniqueName="6" name="legalized" queryTableFieldId="6" dataDxfId="1">
      <calculatedColumnFormula>IF(E2="", "", IF(COUNTIF(ChestType!$A$5:$A$195, E2)&gt;0, VLOOKUP(E2, ChestType!$A$5:$B$195, 2, 0), "Others"))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727E14-2110-4E2C-95F1-BEE6562A0834}" name="Table3" displayName="Table3" ref="H1:H84" totalsRowShown="0" dataDxfId="36">
  <autoFilter ref="H1:H84" xr:uid="{54727E14-2110-4E2C-95F1-BEE6562A0834}"/>
  <tableColumns count="1">
    <tableColumn id="1" xr3:uid="{F44D8A84-A199-4B9B-A3E5-2C4B7C10C6F2}" name="Row Labels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6C9875-5127-4916-9FFC-F94B4CA6B4FB}" name="Table4" displayName="Table4" ref="J2:AA86" totalsRowShown="0">
  <autoFilter ref="J2:AA86" xr:uid="{7D6C9875-5127-4916-9FFC-F94B4CA6B4FB}"/>
  <tableColumns count="18">
    <tableColumn id="1" xr3:uid="{2CCBD977-0FCD-4F3B-A063-3AA9F9DC6E38}" name="Row Labels" dataDxfId="35"/>
    <tableColumn id="2" xr3:uid="{9D020BD3-753D-4542-99E4-5CF5C330B4AB}" name="Ancients Chests" dataDxfId="34"/>
    <tableColumn id="3" xr3:uid="{BB66373F-604E-495A-92C6-51081E1C1566}" name="Ancients Vault" dataDxfId="33"/>
    <tableColumn id="4" xr3:uid="{B2AF923F-595A-4C9A-A713-4D67210E7950}" name="Bank" dataDxfId="32"/>
    <tableColumn id="5" xr3:uid="{BE12D8C6-875D-40ED-8BDC-223CF8B558BD}" name="L10 Citadel" dataDxfId="31"/>
    <tableColumn id="6" xr3:uid="{B2FAF8EE-FD11-4231-BE2D-085D2C9F34E4}" name="L10 Crypt" dataDxfId="30"/>
    <tableColumn id="7" xr3:uid="{B64C0B4E-90F1-4FC1-961B-C0A6CD4B67F7}" name="L10 Rare Crypt" dataDxfId="29"/>
    <tableColumn id="8" xr3:uid="{92E9DAC2-C73F-42CB-83BD-AB0FB0250002}" name="L15 Citadel" dataDxfId="28"/>
    <tableColumn id="9" xr3:uid="{68418366-1215-4B90-966A-5CD625FF851E}" name="L15 Crypt" dataDxfId="27"/>
    <tableColumn id="10" xr3:uid="{303A37C8-49A1-4811-84CB-3F0B43E06474}" name="L15 Epic Crypt" dataDxfId="26"/>
    <tableColumn id="11" xr3:uid="{D92CAEB9-6136-49D0-96D5-9AB03365FC1B}" name="L15 Rare Crypt" dataDxfId="25"/>
    <tableColumn id="12" xr3:uid="{61BF765B-5B02-4EF2-BF91-4D991838A7E5}" name="L20 Citadel" dataDxfId="24"/>
    <tableColumn id="13" xr3:uid="{592D7EB2-3548-4647-8704-807F6FE8F971}" name="L20 Crypt" dataDxfId="23"/>
    <tableColumn id="14" xr3:uid="{D375B0E6-61E6-48E3-9E07-40EFDD3D3910}" name="L20 Epic Crypt" dataDxfId="22"/>
    <tableColumn id="15" xr3:uid="{4596308E-1660-4B8F-968B-F14A95FA9B80}" name="L20 Rare Crypt" dataDxfId="21"/>
    <tableColumn id="16" xr3:uid="{93A504B1-3199-4BFD-AFED-E7257980074E}" name="L5 Crypt" dataDxfId="20"/>
    <tableColumn id="17" xr3:uid="{FC64CBEA-0979-48BB-9759-295C63EFBB7E}" name="Others" dataDxfId="19"/>
    <tableColumn id="18" xr3:uid="{604810AB-C8B3-4EDB-A41C-F5E474B494C3}" name="Grand Total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DBC959-13C5-4A64-92B7-0B1525D56BCC}" name="Table5" displayName="Table5" ref="A1:F5056" totalsRowShown="0">
  <autoFilter ref="A1:F5056" xr:uid="{25DBC959-13C5-4A64-92B7-0B1525D56BCC}"/>
  <tableColumns count="6">
    <tableColumn id="1" xr3:uid="{3202971D-8369-41AC-ACFF-8BD638E95AB7}" name="datetime" dataDxfId="17"/>
    <tableColumn id="2" xr3:uid="{E7A2B9C5-9494-493E-B57D-A8142E4B3669}" name="tab" dataDxfId="16"/>
    <tableColumn id="3" xr3:uid="{25ED9CBA-4825-4920-9CC7-8E7A6DA28B61}" name="chest" dataDxfId="15"/>
    <tableColumn id="4" xr3:uid="{0212F499-7467-4C31-B548-E01129EC98D6}" name="from" dataDxfId="14"/>
    <tableColumn id="5" xr3:uid="{D7CA5605-B463-4D22-9388-94CC1BFD7FFB}" name="source" dataDxfId="13"/>
    <tableColumn id="6" xr3:uid="{3F0B6A1F-5FD2-4687-96B9-F5694BDD6235}" name="legalized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9E8A-9ADA-4BF5-B93C-80EE8B812D36}">
  <dimension ref="A1:BO1000"/>
  <sheetViews>
    <sheetView showGridLines="0" tabSelected="1" zoomScale="145" zoomScaleNormal="145" workbookViewId="0">
      <pane ySplit="4" topLeftCell="A5" activePane="bottomLeft" state="frozen"/>
      <selection pane="bottomLeft" activeCell="A4" sqref="A4"/>
    </sheetView>
  </sheetViews>
  <sheetFormatPr defaultColWidth="14.42578125" defaultRowHeight="15" customHeight="1" x14ac:dyDescent="0.25"/>
  <cols>
    <col min="1" max="1" width="25.7109375" customWidth="1"/>
    <col min="2" max="2" width="16" customWidth="1"/>
    <col min="3" max="3" width="4.28515625" bestFit="1" customWidth="1"/>
    <col min="4" max="4" width="5" bestFit="1" customWidth="1"/>
    <col min="5" max="39" width="4.28515625" bestFit="1" customWidth="1"/>
    <col min="40" max="67" width="3.5703125" customWidth="1"/>
  </cols>
  <sheetData>
    <row r="1" spans="1:67" ht="98.25" customHeight="1" x14ac:dyDescent="0.25">
      <c r="A1" s="79" t="str">
        <f ca="1">_xlfn.LET(_xlpm.d,TODAY(), _xlpm.monday,_xlpm.d-WEEKDAY(_xlpm.d,2)+1, TEXT(_xlpm.monday,"dd.mm.yyyy") &amp; " - " &amp; TEXT(_xlpm.monday+6,"dd.mm.yyyy"))</f>
        <v>11.05.2026 - 17.05.2026</v>
      </c>
      <c r="B1" s="80"/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3" t="s">
        <v>5</v>
      </c>
      <c r="I1" s="23" t="s">
        <v>6</v>
      </c>
      <c r="J1" s="23" t="s">
        <v>7</v>
      </c>
      <c r="K1" s="23" t="s">
        <v>8</v>
      </c>
      <c r="L1" s="23" t="s">
        <v>9</v>
      </c>
      <c r="M1" s="24" t="s">
        <v>10</v>
      </c>
      <c r="N1" s="25" t="s">
        <v>11</v>
      </c>
      <c r="O1" s="24" t="s">
        <v>12</v>
      </c>
      <c r="P1" s="24" t="s">
        <v>13</v>
      </c>
      <c r="Q1" s="25" t="s">
        <v>14</v>
      </c>
      <c r="R1" s="26" t="s">
        <v>15</v>
      </c>
      <c r="S1" s="26" t="s">
        <v>16</v>
      </c>
      <c r="T1" s="27" t="s">
        <v>17</v>
      </c>
      <c r="U1" s="27" t="s">
        <v>18</v>
      </c>
      <c r="V1" s="26" t="s">
        <v>19</v>
      </c>
      <c r="W1" s="28" t="s">
        <v>20</v>
      </c>
      <c r="X1" s="28" t="s">
        <v>21</v>
      </c>
      <c r="Y1" s="28" t="s">
        <v>22</v>
      </c>
      <c r="Z1" s="28" t="s">
        <v>23</v>
      </c>
      <c r="AA1" s="29" t="s">
        <v>24</v>
      </c>
      <c r="AB1" s="30" t="s">
        <v>25</v>
      </c>
      <c r="AC1" s="30" t="s">
        <v>26</v>
      </c>
      <c r="AD1" s="30" t="s">
        <v>27</v>
      </c>
      <c r="AE1" s="30" t="s">
        <v>28</v>
      </c>
      <c r="AF1" s="31" t="s">
        <v>29</v>
      </c>
      <c r="AG1" s="31" t="s">
        <v>30</v>
      </c>
      <c r="AH1" s="31" t="s">
        <v>31</v>
      </c>
      <c r="AI1" s="31" t="s">
        <v>32</v>
      </c>
      <c r="AJ1" s="31" t="s">
        <v>33</v>
      </c>
      <c r="AK1" s="31" t="s">
        <v>34</v>
      </c>
      <c r="AL1" s="32" t="s">
        <v>35</v>
      </c>
      <c r="AM1" s="33" t="s">
        <v>36</v>
      </c>
      <c r="AN1" s="19"/>
      <c r="AO1" s="3"/>
      <c r="AP1" s="3"/>
      <c r="AQ1" s="3"/>
      <c r="AR1" s="3"/>
      <c r="AS1" s="20"/>
      <c r="AT1" s="3"/>
      <c r="AU1" s="3"/>
      <c r="AV1" s="3"/>
      <c r="AW1" s="3"/>
      <c r="AX1" s="4"/>
      <c r="AY1" s="4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 ht="15.75" thickBot="1" x14ac:dyDescent="0.3">
      <c r="A2" s="74" t="s">
        <v>37</v>
      </c>
      <c r="B2" s="75"/>
      <c r="C2" s="42">
        <v>10</v>
      </c>
      <c r="D2" s="42">
        <v>20</v>
      </c>
      <c r="E2" s="42">
        <v>30</v>
      </c>
      <c r="F2" s="42">
        <v>40</v>
      </c>
      <c r="G2" s="42">
        <v>50</v>
      </c>
      <c r="H2" s="43">
        <v>10</v>
      </c>
      <c r="I2" s="43">
        <v>20</v>
      </c>
      <c r="J2" s="43">
        <v>20</v>
      </c>
      <c r="K2" s="43">
        <v>50</v>
      </c>
      <c r="L2" s="43">
        <v>80</v>
      </c>
      <c r="M2" s="44">
        <v>30</v>
      </c>
      <c r="N2" s="45">
        <v>50</v>
      </c>
      <c r="O2" s="44">
        <v>100</v>
      </c>
      <c r="P2" s="44">
        <v>200</v>
      </c>
      <c r="Q2" s="45">
        <v>300</v>
      </c>
      <c r="R2" s="46">
        <v>10</v>
      </c>
      <c r="S2" s="46">
        <v>20</v>
      </c>
      <c r="T2" s="47">
        <v>50</v>
      </c>
      <c r="U2" s="47">
        <v>160</v>
      </c>
      <c r="V2" s="46">
        <v>250</v>
      </c>
      <c r="W2" s="48">
        <v>20</v>
      </c>
      <c r="X2" s="48">
        <v>40</v>
      </c>
      <c r="Y2" s="48">
        <v>80</v>
      </c>
      <c r="Z2" s="48">
        <v>200</v>
      </c>
      <c r="AA2" s="49">
        <v>40</v>
      </c>
      <c r="AB2" s="50">
        <v>20</v>
      </c>
      <c r="AC2" s="50">
        <v>20</v>
      </c>
      <c r="AD2" s="50">
        <v>50</v>
      </c>
      <c r="AE2" s="50">
        <v>5</v>
      </c>
      <c r="AF2" s="51">
        <v>10</v>
      </c>
      <c r="AG2" s="51">
        <v>20</v>
      </c>
      <c r="AH2" s="51">
        <v>30</v>
      </c>
      <c r="AI2" s="51">
        <v>40</v>
      </c>
      <c r="AJ2" s="51">
        <v>80</v>
      </c>
      <c r="AK2" s="51">
        <v>120</v>
      </c>
      <c r="AL2" s="52">
        <v>0.1</v>
      </c>
      <c r="AM2" s="53">
        <v>100</v>
      </c>
      <c r="AP2" s="3"/>
      <c r="AQ2" s="3"/>
      <c r="AR2" s="3"/>
      <c r="AS2" s="3"/>
      <c r="AT2" s="10"/>
      <c r="AU2" s="3"/>
      <c r="AV2" s="3"/>
      <c r="AW2" s="3"/>
      <c r="AX2" s="4"/>
      <c r="AY2" s="4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spans="1:67" ht="17.25" customHeight="1" x14ac:dyDescent="0.25">
      <c r="A3" s="58" t="s">
        <v>38</v>
      </c>
      <c r="B3" s="59">
        <v>2000</v>
      </c>
      <c r="C3" s="76" t="s">
        <v>39</v>
      </c>
      <c r="D3" s="77"/>
      <c r="E3" s="77"/>
      <c r="F3" s="77"/>
      <c r="G3" s="77"/>
      <c r="H3" s="78">
        <f ca="1">SUM(C4:AM4)</f>
        <v>301</v>
      </c>
      <c r="I3" s="77"/>
      <c r="J3" s="77"/>
      <c r="K3" s="64"/>
      <c r="L3" s="65"/>
      <c r="M3" s="65"/>
      <c r="N3" s="66"/>
      <c r="O3" s="65"/>
      <c r="P3" s="65"/>
      <c r="Q3" s="66"/>
      <c r="R3" s="66"/>
      <c r="S3" s="66"/>
      <c r="T3" s="65"/>
      <c r="U3" s="65"/>
      <c r="V3" s="66"/>
      <c r="W3" s="65"/>
      <c r="X3" s="65"/>
      <c r="Y3" s="65"/>
      <c r="Z3" s="65"/>
      <c r="AA3" s="67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8"/>
      <c r="AN3" s="19"/>
      <c r="AO3" s="9"/>
      <c r="AR3" s="3"/>
      <c r="AS3" s="3"/>
      <c r="AT3" s="3"/>
      <c r="AU3" s="3"/>
      <c r="AV3" s="3"/>
      <c r="AW3" s="3"/>
      <c r="AX3" s="4"/>
      <c r="AY3" s="4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s="18" customFormat="1" ht="17.25" customHeight="1" thickBot="1" x14ac:dyDescent="0.3">
      <c r="A4" s="60" t="s">
        <v>40</v>
      </c>
      <c r="B4" s="61">
        <f ca="1">SUM(B5:B120)</f>
        <v>6900</v>
      </c>
      <c r="C4" s="62">
        <f t="shared" ref="C4:AM4" ca="1" si="0">SUM(C5:C111)</f>
        <v>64</v>
      </c>
      <c r="D4" s="62">
        <f t="shared" ca="1" si="0"/>
        <v>86</v>
      </c>
      <c r="E4" s="62">
        <f t="shared" ca="1" si="0"/>
        <v>37</v>
      </c>
      <c r="F4" s="62">
        <f t="shared" ca="1" si="0"/>
        <v>1</v>
      </c>
      <c r="G4" s="62">
        <f t="shared" ca="1" si="0"/>
        <v>0</v>
      </c>
      <c r="H4" s="62">
        <f t="shared" ca="1" si="0"/>
        <v>3</v>
      </c>
      <c r="I4" s="62">
        <f t="shared" ca="1" si="0"/>
        <v>3</v>
      </c>
      <c r="J4" s="62">
        <f t="shared" ca="1" si="0"/>
        <v>0</v>
      </c>
      <c r="K4" s="62">
        <f t="shared" ca="1" si="0"/>
        <v>0</v>
      </c>
      <c r="L4" s="62">
        <f t="shared" ca="1" si="0"/>
        <v>0</v>
      </c>
      <c r="M4" s="62">
        <f t="shared" ca="1" si="0"/>
        <v>15</v>
      </c>
      <c r="N4" s="62">
        <f t="shared" ca="1" si="0"/>
        <v>4</v>
      </c>
      <c r="O4" s="62">
        <f t="shared" ca="1" si="0"/>
        <v>0</v>
      </c>
      <c r="P4" s="62">
        <f t="shared" ca="1" si="0"/>
        <v>0</v>
      </c>
      <c r="Q4" s="62">
        <f t="shared" ca="1" si="0"/>
        <v>0</v>
      </c>
      <c r="R4" s="62">
        <f t="shared" ca="1" si="0"/>
        <v>1</v>
      </c>
      <c r="S4" s="62">
        <f t="shared" ca="1" si="0"/>
        <v>0</v>
      </c>
      <c r="T4" s="62">
        <f t="shared" ca="1" si="0"/>
        <v>0</v>
      </c>
      <c r="U4" s="62">
        <f t="shared" ca="1" si="0"/>
        <v>0</v>
      </c>
      <c r="V4" s="62">
        <f t="shared" ca="1" si="0"/>
        <v>0</v>
      </c>
      <c r="W4" s="62">
        <f t="shared" ca="1" si="0"/>
        <v>0</v>
      </c>
      <c r="X4" s="62">
        <f t="shared" ca="1" si="0"/>
        <v>0</v>
      </c>
      <c r="Y4" s="62">
        <f t="shared" ca="1" si="0"/>
        <v>0</v>
      </c>
      <c r="Z4" s="62">
        <f t="shared" ca="1" si="0"/>
        <v>0</v>
      </c>
      <c r="AA4" s="62">
        <f t="shared" ca="1" si="0"/>
        <v>63</v>
      </c>
      <c r="AB4" s="62">
        <f t="shared" ca="1" si="0"/>
        <v>0</v>
      </c>
      <c r="AC4" s="62">
        <f t="shared" ca="1" si="0"/>
        <v>0</v>
      </c>
      <c r="AD4" s="62">
        <f t="shared" ca="1" si="0"/>
        <v>0</v>
      </c>
      <c r="AE4" s="62">
        <f t="shared" ca="1" si="0"/>
        <v>24</v>
      </c>
      <c r="AF4" s="62">
        <f t="shared" ca="1" si="0"/>
        <v>0</v>
      </c>
      <c r="AG4" s="62">
        <f t="shared" ca="1" si="0"/>
        <v>0</v>
      </c>
      <c r="AH4" s="62">
        <f t="shared" ca="1" si="0"/>
        <v>0</v>
      </c>
      <c r="AI4" s="62">
        <f t="shared" ca="1" si="0"/>
        <v>0</v>
      </c>
      <c r="AJ4" s="62">
        <f t="shared" ca="1" si="0"/>
        <v>0</v>
      </c>
      <c r="AK4" s="62">
        <f t="shared" ca="1" si="0"/>
        <v>0</v>
      </c>
      <c r="AL4" s="62">
        <f t="shared" ca="1" si="0"/>
        <v>0</v>
      </c>
      <c r="AM4" s="63">
        <f t="shared" ca="1" si="0"/>
        <v>0</v>
      </c>
      <c r="AN4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spans="1:67" x14ac:dyDescent="0.25">
      <c r="A5" s="54" t="str">
        <f>chests_counter!$H2</f>
        <v>Absolutus</v>
      </c>
      <c r="B5" s="55" cm="1">
        <f t="array" aca="1" ref="B5" ca="1">IF(A5&lt;&gt;"", SUMPRODUCT(($C$2:$AM$2&lt;&gt;0)*(C5:AM5&lt;&gt;0)*($C$2:$AM$2)*(C5:AM5)), "")</f>
        <v>40</v>
      </c>
      <c r="C5" s="56">
        <f ca="1">IF($A5="","",IF(C$1="","",COUNTIFS(tbl_chests[from],$A5,tbl_chests[legalized],C$1,tbl_chests[datetime],"&gt;="&amp;TODAY()-WEEKDAY(TODAY(),2)+1,tbl_chests[datetime],"&lt;"&amp;TODAY()-WEEKDAY(TODAY(),2)+8)))</f>
        <v>0</v>
      </c>
      <c r="D5" s="56">
        <f ca="1">IF($A5="","",IF(D$1="","",COUNTIFS(tbl_chests[from],$A5,tbl_chests[legalized],D$1,tbl_chests[datetime],"&gt;="&amp;TODAY()-WEEKDAY(TODAY(),2)+1,tbl_chests[datetime],"&lt;"&amp;TODAY()-WEEKDAY(TODAY(),2)+8)))</f>
        <v>1</v>
      </c>
      <c r="E5" s="56">
        <f ca="1">IF($A5="","",IF(E$1="","",COUNTIFS(tbl_chests[from],$A5,tbl_chests[legalized],E$1,tbl_chests[datetime],"&gt;="&amp;TODAY()-WEEKDAY(TODAY(),2)+1,tbl_chests[datetime],"&lt;"&amp;TODAY()-WEEKDAY(TODAY(),2)+8)))</f>
        <v>0</v>
      </c>
      <c r="F5" s="56">
        <f ca="1">IF($A5="","",IF(F$1="","",COUNTIFS(tbl_chests[from],$A5,tbl_chests[legalized],F$1,tbl_chests[datetime],"&gt;="&amp;TODAY()-WEEKDAY(TODAY(),2)+1,tbl_chests[datetime],"&lt;"&amp;TODAY()-WEEKDAY(TODAY(),2)+8)))</f>
        <v>0</v>
      </c>
      <c r="G5" s="56">
        <f ca="1">IF($A5="","",IF(G$1="","",COUNTIFS(tbl_chests[from],$A5,tbl_chests[legalized],G$1,tbl_chests[datetime],"&gt;="&amp;TODAY()-WEEKDAY(TODAY(),2)+1,tbl_chests[datetime],"&lt;"&amp;TODAY()-WEEKDAY(TODAY(),2)+8)))</f>
        <v>0</v>
      </c>
      <c r="H5" s="56">
        <f ca="1">IF($A5="","",IF(H$1="","",COUNTIFS(tbl_chests[from],$A5,tbl_chests[legalized],H$1,tbl_chests[datetime],"&gt;="&amp;TODAY()-WEEKDAY(TODAY(),2)+1,tbl_chests[datetime],"&lt;"&amp;TODAY()-WEEKDAY(TODAY(),2)+8)))</f>
        <v>0</v>
      </c>
      <c r="I5" s="56">
        <f ca="1">IF($A5="","",IF(I$1="","",COUNTIFS(tbl_chests[from],$A5,tbl_chests[legalized],I$1,tbl_chests[datetime],"&gt;="&amp;TODAY()-WEEKDAY(TODAY(),2)+1,tbl_chests[datetime],"&lt;"&amp;TODAY()-WEEKDAY(TODAY(),2)+8)))</f>
        <v>0</v>
      </c>
      <c r="J5" s="56">
        <f ca="1">IF($A5="","",IF(J$1="","",COUNTIFS(tbl_chests[from],$A5,tbl_chests[legalized],J$1,tbl_chests[datetime],"&gt;="&amp;TODAY()-WEEKDAY(TODAY(),2)+1,tbl_chests[datetime],"&lt;"&amp;TODAY()-WEEKDAY(TODAY(),2)+8)))</f>
        <v>0</v>
      </c>
      <c r="K5" s="56">
        <f ca="1">IF($A5="","",IF(K$1="","",COUNTIFS(tbl_chests[from],$A5,tbl_chests[legalized],K$1,tbl_chests[datetime],"&gt;="&amp;TODAY()-WEEKDAY(TODAY(),2)+1,tbl_chests[datetime],"&lt;"&amp;TODAY()-WEEKDAY(TODAY(),2)+8)))</f>
        <v>0</v>
      </c>
      <c r="L5" s="56">
        <f ca="1">IF($A5="","",IF(L$1="","",COUNTIFS(tbl_chests[from],$A5,tbl_chests[legalized],L$1,tbl_chests[datetime],"&gt;="&amp;TODAY()-WEEKDAY(TODAY(),2)+1,tbl_chests[datetime],"&lt;"&amp;TODAY()-WEEKDAY(TODAY(),2)+8)))</f>
        <v>0</v>
      </c>
      <c r="M5" s="56">
        <f ca="1">IF($A5="","",IF(M$1="","",COUNTIFS(tbl_chests[from],$A5,tbl_chests[legalized],M$1,tbl_chests[datetime],"&gt;="&amp;TODAY()-WEEKDAY(TODAY(),2)+1,tbl_chests[datetime],"&lt;"&amp;TODAY()-WEEKDAY(TODAY(),2)+8)))</f>
        <v>0</v>
      </c>
      <c r="N5" s="56">
        <f ca="1">IF($A5="","",IF(N$1="","",COUNTIFS(tbl_chests[from],$A5,tbl_chests[legalized],N$1,tbl_chests[datetime],"&gt;="&amp;TODAY()-WEEKDAY(TODAY(),2)+1,tbl_chests[datetime],"&lt;"&amp;TODAY()-WEEKDAY(TODAY(),2)+8)))</f>
        <v>0</v>
      </c>
      <c r="O5" s="56">
        <f ca="1">IF($A5="","",IF(O$1="","",COUNTIFS(tbl_chests[from],$A5,tbl_chests[legalized],O$1,tbl_chests[datetime],"&gt;="&amp;TODAY()-WEEKDAY(TODAY(),2)+1,tbl_chests[datetime],"&lt;"&amp;TODAY()-WEEKDAY(TODAY(),2)+8)))</f>
        <v>0</v>
      </c>
      <c r="P5" s="56">
        <f ca="1">IF($A5="","",IF(P$1="","",COUNTIFS(tbl_chests[from],$A5,tbl_chests[legalized],P$1,tbl_chests[datetime],"&gt;="&amp;TODAY()-WEEKDAY(TODAY(),2)+1,tbl_chests[datetime],"&lt;"&amp;TODAY()-WEEKDAY(TODAY(),2)+8)))</f>
        <v>0</v>
      </c>
      <c r="Q5" s="56">
        <f ca="1">IF($A5="","",IF(Q$1="","",COUNTIFS(tbl_chests[from],$A5,tbl_chests[legalized],Q$1,tbl_chests[datetime],"&gt;="&amp;TODAY()-WEEKDAY(TODAY(),2)+1,tbl_chests[datetime],"&lt;"&amp;TODAY()-WEEKDAY(TODAY(),2)+8)))</f>
        <v>0</v>
      </c>
      <c r="R5" s="56">
        <f ca="1">IF($A5="","",IF(R$1="","",COUNTIFS(tbl_chests[from],$A5,tbl_chests[legalized],R$1,tbl_chests[datetime],"&gt;="&amp;TODAY()-WEEKDAY(TODAY(),2)+1,tbl_chests[datetime],"&lt;"&amp;TODAY()-WEEKDAY(TODAY(),2)+8)))</f>
        <v>1</v>
      </c>
      <c r="S5" s="56">
        <f ca="1">IF($A5="","",IF(S$1="","",COUNTIFS(tbl_chests[from],$A5,tbl_chests[legalized],S$1,tbl_chests[datetime],"&gt;="&amp;TODAY()-WEEKDAY(TODAY(),2)+1,tbl_chests[datetime],"&lt;"&amp;TODAY()-WEEKDAY(TODAY(),2)+8)))</f>
        <v>0</v>
      </c>
      <c r="T5" s="56">
        <f ca="1">IF($A5="","",IF(T$1="","",COUNTIFS(tbl_chests[from],$A5,tbl_chests[legalized],T$1,tbl_chests[datetime],"&gt;="&amp;TODAY()-WEEKDAY(TODAY(),2)+1,tbl_chests[datetime],"&lt;"&amp;TODAY()-WEEKDAY(TODAY(),2)+8)))</f>
        <v>0</v>
      </c>
      <c r="U5" s="56">
        <f ca="1">IF($A5="","",IF(U$1="","",COUNTIFS(tbl_chests[from],$A5,tbl_chests[legalized],U$1,tbl_chests[datetime],"&gt;="&amp;TODAY()-WEEKDAY(TODAY(),2)+1,tbl_chests[datetime],"&lt;"&amp;TODAY()-WEEKDAY(TODAY(),2)+8)))</f>
        <v>0</v>
      </c>
      <c r="V5" s="56">
        <f ca="1">IF($A5="","",IF(V$1="","",COUNTIFS(tbl_chests[from],$A5,tbl_chests[legalized],V$1,tbl_chests[datetime],"&gt;="&amp;TODAY()-WEEKDAY(TODAY(),2)+1,tbl_chests[datetime],"&lt;"&amp;TODAY()-WEEKDAY(TODAY(),2)+8)))</f>
        <v>0</v>
      </c>
      <c r="W5" s="56">
        <f ca="1">IF($A5="","",IF(W$1="","",COUNTIFS(tbl_chests[from],$A5,tbl_chests[legalized],W$1,tbl_chests[datetime],"&gt;="&amp;TODAY()-WEEKDAY(TODAY(),2)+1,tbl_chests[datetime],"&lt;"&amp;TODAY()-WEEKDAY(TODAY(),2)+8)))</f>
        <v>0</v>
      </c>
      <c r="X5" s="56">
        <f ca="1">IF($A5="","",IF(X$1="","",COUNTIFS(tbl_chests[from],$A5,tbl_chests[legalized],X$1,tbl_chests[datetime],"&gt;="&amp;TODAY()-WEEKDAY(TODAY(),2)+1,tbl_chests[datetime],"&lt;"&amp;TODAY()-WEEKDAY(TODAY(),2)+8)))</f>
        <v>0</v>
      </c>
      <c r="Y5" s="56">
        <f ca="1">IF($A5="","",IF(Y$1="","",COUNTIFS(tbl_chests[from],$A5,tbl_chests[legalized],Y$1,tbl_chests[datetime],"&gt;="&amp;TODAY()-WEEKDAY(TODAY(),2)+1,tbl_chests[datetime],"&lt;"&amp;TODAY()-WEEKDAY(TODAY(),2)+8)))</f>
        <v>0</v>
      </c>
      <c r="Z5" s="56">
        <f ca="1">IF($A5="","",IF(Z$1="","",COUNTIFS(tbl_chests[from],$A5,tbl_chests[legalized],Z$1,tbl_chests[datetime],"&gt;="&amp;TODAY()-WEEKDAY(TODAY(),2)+1,tbl_chests[datetime],"&lt;"&amp;TODAY()-WEEKDAY(TODAY(),2)+8)))</f>
        <v>0</v>
      </c>
      <c r="AA5" s="56">
        <f ca="1">IF($A5="","",IF(AA$1="","",COUNTIFS(tbl_chests[from],$A5,tbl_chests[legalized],AA$1,tbl_chests[datetime],"&gt;="&amp;TODAY()-WEEKDAY(TODAY(),2)+1,tbl_chests[datetime],"&lt;"&amp;TODAY()-WEEKDAY(TODAY(),2)+8)))</f>
        <v>0</v>
      </c>
      <c r="AB5" s="56">
        <f ca="1">IF($A5="","",IF(AB$1="","",COUNTIFS(tbl_chests[from],$A5,tbl_chests[legalized],AB$1,tbl_chests[datetime],"&gt;="&amp;TODAY()-WEEKDAY(TODAY(),2)+1,tbl_chests[datetime],"&lt;"&amp;TODAY()-WEEKDAY(TODAY(),2)+8)))</f>
        <v>0</v>
      </c>
      <c r="AC5" s="56">
        <f ca="1">IF($A5="","",IF(AC$1="","",COUNTIFS(tbl_chests[from],$A5,tbl_chests[legalized],AC$1,tbl_chests[datetime],"&gt;="&amp;TODAY()-WEEKDAY(TODAY(),2)+1,tbl_chests[datetime],"&lt;"&amp;TODAY()-WEEKDAY(TODAY(),2)+8)))</f>
        <v>0</v>
      </c>
      <c r="AD5" s="56">
        <f ca="1">IF($A5="","",IF(AD$1="","",COUNTIFS(tbl_chests[from],$A5,tbl_chests[legalized],AD$1,tbl_chests[datetime],"&gt;="&amp;TODAY()-WEEKDAY(TODAY(),2)+1,tbl_chests[datetime],"&lt;"&amp;TODAY()-WEEKDAY(TODAY(),2)+8)))</f>
        <v>0</v>
      </c>
      <c r="AE5" s="56">
        <f ca="1">IF($A5="","",IF(AE$1="","",COUNTIFS(tbl_chests[from],$A5,tbl_chests[legalized],AE$1,tbl_chests[datetime],"&gt;="&amp;TODAY()-WEEKDAY(TODAY(),2)+1,tbl_chests[datetime],"&lt;"&amp;TODAY()-WEEKDAY(TODAY(),2)+8)))</f>
        <v>2</v>
      </c>
      <c r="AF5" s="56">
        <f ca="1">IF($A5="","",IF(AF$1="","",COUNTIFS(tbl_chests[from],$A5,tbl_chests[legalized],AF$1,tbl_chests[datetime],"&gt;="&amp;TODAY()-WEEKDAY(TODAY(),2)+1,tbl_chests[datetime],"&lt;"&amp;TODAY()-WEEKDAY(TODAY(),2)+8)))</f>
        <v>0</v>
      </c>
      <c r="AG5" s="56">
        <f ca="1">IF($A5="","",IF(AG$1="","",COUNTIFS(tbl_chests[from],$A5,tbl_chests[legalized],AG$1,tbl_chests[datetime],"&gt;="&amp;TODAY()-WEEKDAY(TODAY(),2)+1,tbl_chests[datetime],"&lt;"&amp;TODAY()-WEEKDAY(TODAY(),2)+8)))</f>
        <v>0</v>
      </c>
      <c r="AH5" s="56">
        <f ca="1">IF($A5="","",IF(AH$1="","",COUNTIFS(tbl_chests[from],$A5,tbl_chests[legalized],AH$1,tbl_chests[datetime],"&gt;="&amp;TODAY()-WEEKDAY(TODAY(),2)+1,tbl_chests[datetime],"&lt;"&amp;TODAY()-WEEKDAY(TODAY(),2)+8)))</f>
        <v>0</v>
      </c>
      <c r="AI5" s="56">
        <f ca="1">IF($A5="","",IF(AI$1="","",COUNTIFS(tbl_chests[from],$A5,tbl_chests[legalized],AI$1,tbl_chests[datetime],"&gt;="&amp;TODAY()-WEEKDAY(TODAY(),2)+1,tbl_chests[datetime],"&lt;"&amp;TODAY()-WEEKDAY(TODAY(),2)+8)))</f>
        <v>0</v>
      </c>
      <c r="AJ5" s="56">
        <f ca="1">IF($A5="","",IF(AJ$1="","",COUNTIFS(tbl_chests[from],$A5,tbl_chests[legalized],AJ$1,tbl_chests[datetime],"&gt;="&amp;TODAY()-WEEKDAY(TODAY(),2)+1,tbl_chests[datetime],"&lt;"&amp;TODAY()-WEEKDAY(TODAY(),2)+8)))</f>
        <v>0</v>
      </c>
      <c r="AK5" s="56">
        <f ca="1">IF($A5="","",IF(AK$1="","",COUNTIFS(tbl_chests[from],$A5,tbl_chests[legalized],AK$1,tbl_chests[datetime],"&gt;="&amp;TODAY()-WEEKDAY(TODAY(),2)+1,tbl_chests[datetime],"&lt;"&amp;TODAY()-WEEKDAY(TODAY(),2)+8)))</f>
        <v>0</v>
      </c>
      <c r="AL5" s="56">
        <f ca="1">IF($A5="","",IF(AL$1="","",COUNTIFS(tbl_chests[from],$A5,tbl_chests[legalized],AL$1,tbl_chests[datetime],"&gt;="&amp;TODAY()-WEEKDAY(TODAY(),2)+1,tbl_chests[datetime],"&lt;"&amp;TODAY()-WEEKDAY(TODAY(),2)+8)))</f>
        <v>0</v>
      </c>
      <c r="AM5" s="57">
        <f ca="1">IF($A5="","",IF(AM$1="","",COUNTIFS(tbl_chests[from],$A5,tbl_chests[legalized],AM$1,tbl_chests[datetime],"&gt;="&amp;TODAY()-WEEKDAY(TODAY(),2)+1,tbl_chests[datetime],"&lt;"&amp;TODAY()-WEEKDAY(TODAY(),2)+8)))</f>
        <v>0</v>
      </c>
      <c r="AN5" s="16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1:67" x14ac:dyDescent="0.25">
      <c r="A6" s="34" t="str">
        <f>chests_counter!$H3</f>
        <v>aladred</v>
      </c>
      <c r="B6" s="35" cm="1">
        <f t="array" aca="1" ref="B6" ca="1">IF(A6&lt;&gt;"", SUMPRODUCT(($C$2:$AM$2&lt;&gt;0)*(C6:AM6&lt;&gt;0)*($C$2:$AM$2)*(C6:AM6)), "")</f>
        <v>270</v>
      </c>
      <c r="C6" s="36">
        <f ca="1">IF($A6="","",IF(C$1="","",COUNTIFS(tbl_chests[from],$A6,tbl_chests[legalized],C$1,tbl_chests[datetime],"&gt;="&amp;TODAY()-WEEKDAY(TODAY(),2)+1,tbl_chests[datetime],"&lt;"&amp;TODAY()-WEEKDAY(TODAY(),2)+8)))</f>
        <v>1</v>
      </c>
      <c r="D6" s="36">
        <f ca="1">IF($A6="","",IF(D$1="","",COUNTIFS(tbl_chests[from],$A6,tbl_chests[legalized],D$1,tbl_chests[datetime],"&gt;="&amp;TODAY()-WEEKDAY(TODAY(),2)+1,tbl_chests[datetime],"&lt;"&amp;TODAY()-WEEKDAY(TODAY(),2)+8)))</f>
        <v>1</v>
      </c>
      <c r="E6" s="36">
        <f ca="1">IF($A6="","",IF(E$1="","",COUNTIFS(tbl_chests[from],$A6,tbl_chests[legalized],E$1,tbl_chests[datetime],"&gt;="&amp;TODAY()-WEEKDAY(TODAY(),2)+1,tbl_chests[datetime],"&lt;"&amp;TODAY()-WEEKDAY(TODAY(),2)+8)))</f>
        <v>0</v>
      </c>
      <c r="F6" s="36">
        <f ca="1">IF($A6="","",IF(F$1="","",COUNTIFS(tbl_chests[from],$A6,tbl_chests[legalized],F$1,tbl_chests[datetime],"&gt;="&amp;TODAY()-WEEKDAY(TODAY(),2)+1,tbl_chests[datetime],"&lt;"&amp;TODAY()-WEEKDAY(TODAY(),2)+8)))</f>
        <v>0</v>
      </c>
      <c r="G6" s="36">
        <f ca="1">IF($A6="","",IF(G$1="","",COUNTIFS(tbl_chests[from],$A6,tbl_chests[legalized],G$1,tbl_chests[datetime],"&gt;="&amp;TODAY()-WEEKDAY(TODAY(),2)+1,tbl_chests[datetime],"&lt;"&amp;TODAY()-WEEKDAY(TODAY(),2)+8)))</f>
        <v>0</v>
      </c>
      <c r="H6" s="36">
        <f ca="1">IF($A6="","",IF(H$1="","",COUNTIFS(tbl_chests[from],$A6,tbl_chests[legalized],H$1,tbl_chests[datetime],"&gt;="&amp;TODAY()-WEEKDAY(TODAY(),2)+1,tbl_chests[datetime],"&lt;"&amp;TODAY()-WEEKDAY(TODAY(),2)+8)))</f>
        <v>0</v>
      </c>
      <c r="I6" s="36">
        <f ca="1">IF($A6="","",IF(I$1="","",COUNTIFS(tbl_chests[from],$A6,tbl_chests[legalized],I$1,tbl_chests[datetime],"&gt;="&amp;TODAY()-WEEKDAY(TODAY(),2)+1,tbl_chests[datetime],"&lt;"&amp;TODAY()-WEEKDAY(TODAY(),2)+8)))</f>
        <v>0</v>
      </c>
      <c r="J6" s="36">
        <f ca="1">IF($A6="","",IF(J$1="","",COUNTIFS(tbl_chests[from],$A6,tbl_chests[legalized],J$1,tbl_chests[datetime],"&gt;="&amp;TODAY()-WEEKDAY(TODAY(),2)+1,tbl_chests[datetime],"&lt;"&amp;TODAY()-WEEKDAY(TODAY(),2)+8)))</f>
        <v>0</v>
      </c>
      <c r="K6" s="36">
        <f ca="1">IF($A6="","",IF(K$1="","",COUNTIFS(tbl_chests[from],$A6,tbl_chests[legalized],K$1,tbl_chests[datetime],"&gt;="&amp;TODAY()-WEEKDAY(TODAY(),2)+1,tbl_chests[datetime],"&lt;"&amp;TODAY()-WEEKDAY(TODAY(),2)+8)))</f>
        <v>0</v>
      </c>
      <c r="L6" s="36">
        <f ca="1">IF($A6="","",IF(L$1="","",COUNTIFS(tbl_chests[from],$A6,tbl_chests[legalized],L$1,tbl_chests[datetime],"&gt;="&amp;TODAY()-WEEKDAY(TODAY(),2)+1,tbl_chests[datetime],"&lt;"&amp;TODAY()-WEEKDAY(TODAY(),2)+8)))</f>
        <v>0</v>
      </c>
      <c r="M6" s="36">
        <f ca="1">IF($A6="","",IF(M$1="","",COUNTIFS(tbl_chests[from],$A6,tbl_chests[legalized],M$1,tbl_chests[datetime],"&gt;="&amp;TODAY()-WEEKDAY(TODAY(),2)+1,tbl_chests[datetime],"&lt;"&amp;TODAY()-WEEKDAY(TODAY(),2)+8)))</f>
        <v>0</v>
      </c>
      <c r="N6" s="36">
        <f ca="1">IF($A6="","",IF(N$1="","",COUNTIFS(tbl_chests[from],$A6,tbl_chests[legalized],N$1,tbl_chests[datetime],"&gt;="&amp;TODAY()-WEEKDAY(TODAY(),2)+1,tbl_chests[datetime],"&lt;"&amp;TODAY()-WEEKDAY(TODAY(),2)+8)))</f>
        <v>0</v>
      </c>
      <c r="O6" s="36">
        <f ca="1">IF($A6="","",IF(O$1="","",COUNTIFS(tbl_chests[from],$A6,tbl_chests[legalized],O$1,tbl_chests[datetime],"&gt;="&amp;TODAY()-WEEKDAY(TODAY(),2)+1,tbl_chests[datetime],"&lt;"&amp;TODAY()-WEEKDAY(TODAY(),2)+8)))</f>
        <v>0</v>
      </c>
      <c r="P6" s="36">
        <f ca="1">IF($A6="","",IF(P$1="","",COUNTIFS(tbl_chests[from],$A6,tbl_chests[legalized],P$1,tbl_chests[datetime],"&gt;="&amp;TODAY()-WEEKDAY(TODAY(),2)+1,tbl_chests[datetime],"&lt;"&amp;TODAY()-WEEKDAY(TODAY(),2)+8)))</f>
        <v>0</v>
      </c>
      <c r="Q6" s="36">
        <f ca="1">IF($A6="","",IF(Q$1="","",COUNTIFS(tbl_chests[from],$A6,tbl_chests[legalized],Q$1,tbl_chests[datetime],"&gt;="&amp;TODAY()-WEEKDAY(TODAY(),2)+1,tbl_chests[datetime],"&lt;"&amp;TODAY()-WEEKDAY(TODAY(),2)+8)))</f>
        <v>0</v>
      </c>
      <c r="R6" s="36">
        <f ca="1">IF($A6="","",IF(R$1="","",COUNTIFS(tbl_chests[from],$A6,tbl_chests[legalized],R$1,tbl_chests[datetime],"&gt;="&amp;TODAY()-WEEKDAY(TODAY(),2)+1,tbl_chests[datetime],"&lt;"&amp;TODAY()-WEEKDAY(TODAY(),2)+8)))</f>
        <v>0</v>
      </c>
      <c r="S6" s="36">
        <f ca="1">IF($A6="","",IF(S$1="","",COUNTIFS(tbl_chests[from],$A6,tbl_chests[legalized],S$1,tbl_chests[datetime],"&gt;="&amp;TODAY()-WEEKDAY(TODAY(),2)+1,tbl_chests[datetime],"&lt;"&amp;TODAY()-WEEKDAY(TODAY(),2)+8)))</f>
        <v>0</v>
      </c>
      <c r="T6" s="36">
        <f ca="1">IF($A6="","",IF(T$1="","",COUNTIFS(tbl_chests[from],$A6,tbl_chests[legalized],T$1,tbl_chests[datetime],"&gt;="&amp;TODAY()-WEEKDAY(TODAY(),2)+1,tbl_chests[datetime],"&lt;"&amp;TODAY()-WEEKDAY(TODAY(),2)+8)))</f>
        <v>0</v>
      </c>
      <c r="U6" s="36">
        <f ca="1">IF($A6="","",IF(U$1="","",COUNTIFS(tbl_chests[from],$A6,tbl_chests[legalized],U$1,tbl_chests[datetime],"&gt;="&amp;TODAY()-WEEKDAY(TODAY(),2)+1,tbl_chests[datetime],"&lt;"&amp;TODAY()-WEEKDAY(TODAY(),2)+8)))</f>
        <v>0</v>
      </c>
      <c r="V6" s="36">
        <f ca="1">IF($A6="","",IF(V$1="","",COUNTIFS(tbl_chests[from],$A6,tbl_chests[legalized],V$1,tbl_chests[datetime],"&gt;="&amp;TODAY()-WEEKDAY(TODAY(),2)+1,tbl_chests[datetime],"&lt;"&amp;TODAY()-WEEKDAY(TODAY(),2)+8)))</f>
        <v>0</v>
      </c>
      <c r="W6" s="36">
        <f ca="1">IF($A6="","",IF(W$1="","",COUNTIFS(tbl_chests[from],$A6,tbl_chests[legalized],W$1,tbl_chests[datetime],"&gt;="&amp;TODAY()-WEEKDAY(TODAY(),2)+1,tbl_chests[datetime],"&lt;"&amp;TODAY()-WEEKDAY(TODAY(),2)+8)))</f>
        <v>0</v>
      </c>
      <c r="X6" s="36">
        <f ca="1">IF($A6="","",IF(X$1="","",COUNTIFS(tbl_chests[from],$A6,tbl_chests[legalized],X$1,tbl_chests[datetime],"&gt;="&amp;TODAY()-WEEKDAY(TODAY(),2)+1,tbl_chests[datetime],"&lt;"&amp;TODAY()-WEEKDAY(TODAY(),2)+8)))</f>
        <v>0</v>
      </c>
      <c r="Y6" s="36">
        <f ca="1">IF($A6="","",IF(Y$1="","",COUNTIFS(tbl_chests[from],$A6,tbl_chests[legalized],Y$1,tbl_chests[datetime],"&gt;="&amp;TODAY()-WEEKDAY(TODAY(),2)+1,tbl_chests[datetime],"&lt;"&amp;TODAY()-WEEKDAY(TODAY(),2)+8)))</f>
        <v>0</v>
      </c>
      <c r="Z6" s="36">
        <f ca="1">IF($A6="","",IF(Z$1="","",COUNTIFS(tbl_chests[from],$A6,tbl_chests[legalized],Z$1,tbl_chests[datetime],"&gt;="&amp;TODAY()-WEEKDAY(TODAY(),2)+1,tbl_chests[datetime],"&lt;"&amp;TODAY()-WEEKDAY(TODAY(),2)+8)))</f>
        <v>0</v>
      </c>
      <c r="AA6" s="36">
        <f ca="1">IF($A6="","",IF(AA$1="","",COUNTIFS(tbl_chests[from],$A6,tbl_chests[legalized],AA$1,tbl_chests[datetime],"&gt;="&amp;TODAY()-WEEKDAY(TODAY(),2)+1,tbl_chests[datetime],"&lt;"&amp;TODAY()-WEEKDAY(TODAY(),2)+8)))</f>
        <v>6</v>
      </c>
      <c r="AB6" s="36">
        <f ca="1">IF($A6="","",IF(AB$1="","",COUNTIFS(tbl_chests[from],$A6,tbl_chests[legalized],AB$1,tbl_chests[datetime],"&gt;="&amp;TODAY()-WEEKDAY(TODAY(),2)+1,tbl_chests[datetime],"&lt;"&amp;TODAY()-WEEKDAY(TODAY(),2)+8)))</f>
        <v>0</v>
      </c>
      <c r="AC6" s="36">
        <f ca="1">IF($A6="","",IF(AC$1="","",COUNTIFS(tbl_chests[from],$A6,tbl_chests[legalized],AC$1,tbl_chests[datetime],"&gt;="&amp;TODAY()-WEEKDAY(TODAY(),2)+1,tbl_chests[datetime],"&lt;"&amp;TODAY()-WEEKDAY(TODAY(),2)+8)))</f>
        <v>0</v>
      </c>
      <c r="AD6" s="36">
        <f ca="1">IF($A6="","",IF(AD$1="","",COUNTIFS(tbl_chests[from],$A6,tbl_chests[legalized],AD$1,tbl_chests[datetime],"&gt;="&amp;TODAY()-WEEKDAY(TODAY(),2)+1,tbl_chests[datetime],"&lt;"&amp;TODAY()-WEEKDAY(TODAY(),2)+8)))</f>
        <v>0</v>
      </c>
      <c r="AE6" s="36">
        <f ca="1">IF($A6="","",IF(AE$1="","",COUNTIFS(tbl_chests[from],$A6,tbl_chests[legalized],AE$1,tbl_chests[datetime],"&gt;="&amp;TODAY()-WEEKDAY(TODAY(),2)+1,tbl_chests[datetime],"&lt;"&amp;TODAY()-WEEKDAY(TODAY(),2)+8)))</f>
        <v>0</v>
      </c>
      <c r="AF6" s="36">
        <f ca="1">IF($A6="","",IF(AF$1="","",COUNTIFS(tbl_chests[from],$A6,tbl_chests[legalized],AF$1,tbl_chests[datetime],"&gt;="&amp;TODAY()-WEEKDAY(TODAY(),2)+1,tbl_chests[datetime],"&lt;"&amp;TODAY()-WEEKDAY(TODAY(),2)+8)))</f>
        <v>0</v>
      </c>
      <c r="AG6" s="36">
        <f ca="1">IF($A6="","",IF(AG$1="","",COUNTIFS(tbl_chests[from],$A6,tbl_chests[legalized],AG$1,tbl_chests[datetime],"&gt;="&amp;TODAY()-WEEKDAY(TODAY(),2)+1,tbl_chests[datetime],"&lt;"&amp;TODAY()-WEEKDAY(TODAY(),2)+8)))</f>
        <v>0</v>
      </c>
      <c r="AH6" s="36">
        <f ca="1">IF($A6="","",IF(AH$1="","",COUNTIFS(tbl_chests[from],$A6,tbl_chests[legalized],AH$1,tbl_chests[datetime],"&gt;="&amp;TODAY()-WEEKDAY(TODAY(),2)+1,tbl_chests[datetime],"&lt;"&amp;TODAY()-WEEKDAY(TODAY(),2)+8)))</f>
        <v>0</v>
      </c>
      <c r="AI6" s="36">
        <f ca="1">IF($A6="","",IF(AI$1="","",COUNTIFS(tbl_chests[from],$A6,tbl_chests[legalized],AI$1,tbl_chests[datetime],"&gt;="&amp;TODAY()-WEEKDAY(TODAY(),2)+1,tbl_chests[datetime],"&lt;"&amp;TODAY()-WEEKDAY(TODAY(),2)+8)))</f>
        <v>0</v>
      </c>
      <c r="AJ6" s="36">
        <f ca="1">IF($A6="","",IF(AJ$1="","",COUNTIFS(tbl_chests[from],$A6,tbl_chests[legalized],AJ$1,tbl_chests[datetime],"&gt;="&amp;TODAY()-WEEKDAY(TODAY(),2)+1,tbl_chests[datetime],"&lt;"&amp;TODAY()-WEEKDAY(TODAY(),2)+8)))</f>
        <v>0</v>
      </c>
      <c r="AK6" s="36">
        <f ca="1">IF($A6="","",IF(AK$1="","",COUNTIFS(tbl_chests[from],$A6,tbl_chests[legalized],AK$1,tbl_chests[datetime],"&gt;="&amp;TODAY()-WEEKDAY(TODAY(),2)+1,tbl_chests[datetime],"&lt;"&amp;TODAY()-WEEKDAY(TODAY(),2)+8)))</f>
        <v>0</v>
      </c>
      <c r="AL6" s="36">
        <f ca="1">IF($A6="","",IF(AL$1="","",COUNTIFS(tbl_chests[from],$A6,tbl_chests[legalized],AL$1,tbl_chests[datetime],"&gt;="&amp;TODAY()-WEEKDAY(TODAY(),2)+1,tbl_chests[datetime],"&lt;"&amp;TODAY()-WEEKDAY(TODAY(),2)+8)))</f>
        <v>0</v>
      </c>
      <c r="AM6" s="37">
        <f ca="1">IF($A6="","",IF(AM$1="","",COUNTIFS(tbl_chests[from],$A6,tbl_chests[legalized],AM$1,tbl_chests[datetime],"&gt;="&amp;TODAY()-WEEKDAY(TODAY(),2)+1,tbl_chests[datetime],"&lt;"&amp;TODAY()-WEEKDAY(TODAY(),2)+8)))</f>
        <v>0</v>
      </c>
      <c r="AN6" s="16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x14ac:dyDescent="0.25">
      <c r="A7" s="34" t="str">
        <f>chests_counter!$H4</f>
        <v>Amr ibn al Aas</v>
      </c>
      <c r="B7" s="35" cm="1">
        <f t="array" aca="1" ref="B7" ca="1">IF(A7&lt;&gt;"", SUMPRODUCT(($C$2:$AM$2&lt;&gt;0)*(C7:AM7&lt;&gt;0)*($C$2:$AM$2)*(C7:AM7)), "")</f>
        <v>20</v>
      </c>
      <c r="C7" s="36">
        <f ca="1">IF($A7="","",IF(C$1="","",COUNTIFS(tbl_chests[from],$A7,tbl_chests[legalized],C$1,tbl_chests[datetime],"&gt;="&amp;TODAY()-WEEKDAY(TODAY(),2)+1,tbl_chests[datetime],"&lt;"&amp;TODAY()-WEEKDAY(TODAY(),2)+8)))</f>
        <v>0</v>
      </c>
      <c r="D7" s="36">
        <f ca="1">IF($A7="","",IF(D$1="","",COUNTIFS(tbl_chests[from],$A7,tbl_chests[legalized],D$1,tbl_chests[datetime],"&gt;="&amp;TODAY()-WEEKDAY(TODAY(),2)+1,tbl_chests[datetime],"&lt;"&amp;TODAY()-WEEKDAY(TODAY(),2)+8)))</f>
        <v>1</v>
      </c>
      <c r="E7" s="36">
        <f ca="1">IF($A7="","",IF(E$1="","",COUNTIFS(tbl_chests[from],$A7,tbl_chests[legalized],E$1,tbl_chests[datetime],"&gt;="&amp;TODAY()-WEEKDAY(TODAY(),2)+1,tbl_chests[datetime],"&lt;"&amp;TODAY()-WEEKDAY(TODAY(),2)+8)))</f>
        <v>0</v>
      </c>
      <c r="F7" s="36">
        <f ca="1">IF($A7="","",IF(F$1="","",COUNTIFS(tbl_chests[from],$A7,tbl_chests[legalized],F$1,tbl_chests[datetime],"&gt;="&amp;TODAY()-WEEKDAY(TODAY(),2)+1,tbl_chests[datetime],"&lt;"&amp;TODAY()-WEEKDAY(TODAY(),2)+8)))</f>
        <v>0</v>
      </c>
      <c r="G7" s="36">
        <f ca="1">IF($A7="","",IF(G$1="","",COUNTIFS(tbl_chests[from],$A7,tbl_chests[legalized],G$1,tbl_chests[datetime],"&gt;="&amp;TODAY()-WEEKDAY(TODAY(),2)+1,tbl_chests[datetime],"&lt;"&amp;TODAY()-WEEKDAY(TODAY(),2)+8)))</f>
        <v>0</v>
      </c>
      <c r="H7" s="36">
        <f ca="1">IF($A7="","",IF(H$1="","",COUNTIFS(tbl_chests[from],$A7,tbl_chests[legalized],H$1,tbl_chests[datetime],"&gt;="&amp;TODAY()-WEEKDAY(TODAY(),2)+1,tbl_chests[datetime],"&lt;"&amp;TODAY()-WEEKDAY(TODAY(),2)+8)))</f>
        <v>0</v>
      </c>
      <c r="I7" s="36">
        <f ca="1">IF($A7="","",IF(I$1="","",COUNTIFS(tbl_chests[from],$A7,tbl_chests[legalized],I$1,tbl_chests[datetime],"&gt;="&amp;TODAY()-WEEKDAY(TODAY(),2)+1,tbl_chests[datetime],"&lt;"&amp;TODAY()-WEEKDAY(TODAY(),2)+8)))</f>
        <v>0</v>
      </c>
      <c r="J7" s="36">
        <f ca="1">IF($A7="","",IF(J$1="","",COUNTIFS(tbl_chests[from],$A7,tbl_chests[legalized],J$1,tbl_chests[datetime],"&gt;="&amp;TODAY()-WEEKDAY(TODAY(),2)+1,tbl_chests[datetime],"&lt;"&amp;TODAY()-WEEKDAY(TODAY(),2)+8)))</f>
        <v>0</v>
      </c>
      <c r="K7" s="36">
        <f ca="1">IF($A7="","",IF(K$1="","",COUNTIFS(tbl_chests[from],$A7,tbl_chests[legalized],K$1,tbl_chests[datetime],"&gt;="&amp;TODAY()-WEEKDAY(TODAY(),2)+1,tbl_chests[datetime],"&lt;"&amp;TODAY()-WEEKDAY(TODAY(),2)+8)))</f>
        <v>0</v>
      </c>
      <c r="L7" s="36">
        <f ca="1">IF($A7="","",IF(L$1="","",COUNTIFS(tbl_chests[from],$A7,tbl_chests[legalized],L$1,tbl_chests[datetime],"&gt;="&amp;TODAY()-WEEKDAY(TODAY(),2)+1,tbl_chests[datetime],"&lt;"&amp;TODAY()-WEEKDAY(TODAY(),2)+8)))</f>
        <v>0</v>
      </c>
      <c r="M7" s="36">
        <f ca="1">IF($A7="","",IF(M$1="","",COUNTIFS(tbl_chests[from],$A7,tbl_chests[legalized],M$1,tbl_chests[datetime],"&gt;="&amp;TODAY()-WEEKDAY(TODAY(),2)+1,tbl_chests[datetime],"&lt;"&amp;TODAY()-WEEKDAY(TODAY(),2)+8)))</f>
        <v>0</v>
      </c>
      <c r="N7" s="36">
        <f ca="1">IF($A7="","",IF(N$1="","",COUNTIFS(tbl_chests[from],$A7,tbl_chests[legalized],N$1,tbl_chests[datetime],"&gt;="&amp;TODAY()-WEEKDAY(TODAY(),2)+1,tbl_chests[datetime],"&lt;"&amp;TODAY()-WEEKDAY(TODAY(),2)+8)))</f>
        <v>0</v>
      </c>
      <c r="O7" s="36">
        <f ca="1">IF($A7="","",IF(O$1="","",COUNTIFS(tbl_chests[from],$A7,tbl_chests[legalized],O$1,tbl_chests[datetime],"&gt;="&amp;TODAY()-WEEKDAY(TODAY(),2)+1,tbl_chests[datetime],"&lt;"&amp;TODAY()-WEEKDAY(TODAY(),2)+8)))</f>
        <v>0</v>
      </c>
      <c r="P7" s="36">
        <f ca="1">IF($A7="","",IF(P$1="","",COUNTIFS(tbl_chests[from],$A7,tbl_chests[legalized],P$1,tbl_chests[datetime],"&gt;="&amp;TODAY()-WEEKDAY(TODAY(),2)+1,tbl_chests[datetime],"&lt;"&amp;TODAY()-WEEKDAY(TODAY(),2)+8)))</f>
        <v>0</v>
      </c>
      <c r="Q7" s="36">
        <f ca="1">IF($A7="","",IF(Q$1="","",COUNTIFS(tbl_chests[from],$A7,tbl_chests[legalized],Q$1,tbl_chests[datetime],"&gt;="&amp;TODAY()-WEEKDAY(TODAY(),2)+1,tbl_chests[datetime],"&lt;"&amp;TODAY()-WEEKDAY(TODAY(),2)+8)))</f>
        <v>0</v>
      </c>
      <c r="R7" s="36">
        <f ca="1">IF($A7="","",IF(R$1="","",COUNTIFS(tbl_chests[from],$A7,tbl_chests[legalized],R$1,tbl_chests[datetime],"&gt;="&amp;TODAY()-WEEKDAY(TODAY(),2)+1,tbl_chests[datetime],"&lt;"&amp;TODAY()-WEEKDAY(TODAY(),2)+8)))</f>
        <v>0</v>
      </c>
      <c r="S7" s="36">
        <f ca="1">IF($A7="","",IF(S$1="","",COUNTIFS(tbl_chests[from],$A7,tbl_chests[legalized],S$1,tbl_chests[datetime],"&gt;="&amp;TODAY()-WEEKDAY(TODAY(),2)+1,tbl_chests[datetime],"&lt;"&amp;TODAY()-WEEKDAY(TODAY(),2)+8)))</f>
        <v>0</v>
      </c>
      <c r="T7" s="36">
        <f ca="1">IF($A7="","",IF(T$1="","",COUNTIFS(tbl_chests[from],$A7,tbl_chests[legalized],T$1,tbl_chests[datetime],"&gt;="&amp;TODAY()-WEEKDAY(TODAY(),2)+1,tbl_chests[datetime],"&lt;"&amp;TODAY()-WEEKDAY(TODAY(),2)+8)))</f>
        <v>0</v>
      </c>
      <c r="U7" s="36">
        <f ca="1">IF($A7="","",IF(U$1="","",COUNTIFS(tbl_chests[from],$A7,tbl_chests[legalized],U$1,tbl_chests[datetime],"&gt;="&amp;TODAY()-WEEKDAY(TODAY(),2)+1,tbl_chests[datetime],"&lt;"&amp;TODAY()-WEEKDAY(TODAY(),2)+8)))</f>
        <v>0</v>
      </c>
      <c r="V7" s="36">
        <f ca="1">IF($A7="","",IF(V$1="","",COUNTIFS(tbl_chests[from],$A7,tbl_chests[legalized],V$1,tbl_chests[datetime],"&gt;="&amp;TODAY()-WEEKDAY(TODAY(),2)+1,tbl_chests[datetime],"&lt;"&amp;TODAY()-WEEKDAY(TODAY(),2)+8)))</f>
        <v>0</v>
      </c>
      <c r="W7" s="36">
        <f ca="1">IF($A7="","",IF(W$1="","",COUNTIFS(tbl_chests[from],$A7,tbl_chests[legalized],W$1,tbl_chests[datetime],"&gt;="&amp;TODAY()-WEEKDAY(TODAY(),2)+1,tbl_chests[datetime],"&lt;"&amp;TODAY()-WEEKDAY(TODAY(),2)+8)))</f>
        <v>0</v>
      </c>
      <c r="X7" s="36">
        <f ca="1">IF($A7="","",IF(X$1="","",COUNTIFS(tbl_chests[from],$A7,tbl_chests[legalized],X$1,tbl_chests[datetime],"&gt;="&amp;TODAY()-WEEKDAY(TODAY(),2)+1,tbl_chests[datetime],"&lt;"&amp;TODAY()-WEEKDAY(TODAY(),2)+8)))</f>
        <v>0</v>
      </c>
      <c r="Y7" s="36">
        <f ca="1">IF($A7="","",IF(Y$1="","",COUNTIFS(tbl_chests[from],$A7,tbl_chests[legalized],Y$1,tbl_chests[datetime],"&gt;="&amp;TODAY()-WEEKDAY(TODAY(),2)+1,tbl_chests[datetime],"&lt;"&amp;TODAY()-WEEKDAY(TODAY(),2)+8)))</f>
        <v>0</v>
      </c>
      <c r="Z7" s="36">
        <f ca="1">IF($A7="","",IF(Z$1="","",COUNTIFS(tbl_chests[from],$A7,tbl_chests[legalized],Z$1,tbl_chests[datetime],"&gt;="&amp;TODAY()-WEEKDAY(TODAY(),2)+1,tbl_chests[datetime],"&lt;"&amp;TODAY()-WEEKDAY(TODAY(),2)+8)))</f>
        <v>0</v>
      </c>
      <c r="AA7" s="36">
        <f ca="1">IF($A7="","",IF(AA$1="","",COUNTIFS(tbl_chests[from],$A7,tbl_chests[legalized],AA$1,tbl_chests[datetime],"&gt;="&amp;TODAY()-WEEKDAY(TODAY(),2)+1,tbl_chests[datetime],"&lt;"&amp;TODAY()-WEEKDAY(TODAY(),2)+8)))</f>
        <v>0</v>
      </c>
      <c r="AB7" s="36">
        <f ca="1">IF($A7="","",IF(AB$1="","",COUNTIFS(tbl_chests[from],$A7,tbl_chests[legalized],AB$1,tbl_chests[datetime],"&gt;="&amp;TODAY()-WEEKDAY(TODAY(),2)+1,tbl_chests[datetime],"&lt;"&amp;TODAY()-WEEKDAY(TODAY(),2)+8)))</f>
        <v>0</v>
      </c>
      <c r="AC7" s="36">
        <f ca="1">IF($A7="","",IF(AC$1="","",COUNTIFS(tbl_chests[from],$A7,tbl_chests[legalized],AC$1,tbl_chests[datetime],"&gt;="&amp;TODAY()-WEEKDAY(TODAY(),2)+1,tbl_chests[datetime],"&lt;"&amp;TODAY()-WEEKDAY(TODAY(),2)+8)))</f>
        <v>0</v>
      </c>
      <c r="AD7" s="36">
        <f ca="1">IF($A7="","",IF(AD$1="","",COUNTIFS(tbl_chests[from],$A7,tbl_chests[legalized],AD$1,tbl_chests[datetime],"&gt;="&amp;TODAY()-WEEKDAY(TODAY(),2)+1,tbl_chests[datetime],"&lt;"&amp;TODAY()-WEEKDAY(TODAY(),2)+8)))</f>
        <v>0</v>
      </c>
      <c r="AE7" s="36">
        <f ca="1">IF($A7="","",IF(AE$1="","",COUNTIFS(tbl_chests[from],$A7,tbl_chests[legalized],AE$1,tbl_chests[datetime],"&gt;="&amp;TODAY()-WEEKDAY(TODAY(),2)+1,tbl_chests[datetime],"&lt;"&amp;TODAY()-WEEKDAY(TODAY(),2)+8)))</f>
        <v>0</v>
      </c>
      <c r="AF7" s="36">
        <f ca="1">IF($A7="","",IF(AF$1="","",COUNTIFS(tbl_chests[from],$A7,tbl_chests[legalized],AF$1,tbl_chests[datetime],"&gt;="&amp;TODAY()-WEEKDAY(TODAY(),2)+1,tbl_chests[datetime],"&lt;"&amp;TODAY()-WEEKDAY(TODAY(),2)+8)))</f>
        <v>0</v>
      </c>
      <c r="AG7" s="36">
        <f ca="1">IF($A7="","",IF(AG$1="","",COUNTIFS(tbl_chests[from],$A7,tbl_chests[legalized],AG$1,tbl_chests[datetime],"&gt;="&amp;TODAY()-WEEKDAY(TODAY(),2)+1,tbl_chests[datetime],"&lt;"&amp;TODAY()-WEEKDAY(TODAY(),2)+8)))</f>
        <v>0</v>
      </c>
      <c r="AH7" s="36">
        <f ca="1">IF($A7="","",IF(AH$1="","",COUNTIFS(tbl_chests[from],$A7,tbl_chests[legalized],AH$1,tbl_chests[datetime],"&gt;="&amp;TODAY()-WEEKDAY(TODAY(),2)+1,tbl_chests[datetime],"&lt;"&amp;TODAY()-WEEKDAY(TODAY(),2)+8)))</f>
        <v>0</v>
      </c>
      <c r="AI7" s="36">
        <f ca="1">IF($A7="","",IF(AI$1="","",COUNTIFS(tbl_chests[from],$A7,tbl_chests[legalized],AI$1,tbl_chests[datetime],"&gt;="&amp;TODAY()-WEEKDAY(TODAY(),2)+1,tbl_chests[datetime],"&lt;"&amp;TODAY()-WEEKDAY(TODAY(),2)+8)))</f>
        <v>0</v>
      </c>
      <c r="AJ7" s="36">
        <f ca="1">IF($A7="","",IF(AJ$1="","",COUNTIFS(tbl_chests[from],$A7,tbl_chests[legalized],AJ$1,tbl_chests[datetime],"&gt;="&amp;TODAY()-WEEKDAY(TODAY(),2)+1,tbl_chests[datetime],"&lt;"&amp;TODAY()-WEEKDAY(TODAY(),2)+8)))</f>
        <v>0</v>
      </c>
      <c r="AK7" s="36">
        <f ca="1">IF($A7="","",IF(AK$1="","",COUNTIFS(tbl_chests[from],$A7,tbl_chests[legalized],AK$1,tbl_chests[datetime],"&gt;="&amp;TODAY()-WEEKDAY(TODAY(),2)+1,tbl_chests[datetime],"&lt;"&amp;TODAY()-WEEKDAY(TODAY(),2)+8)))</f>
        <v>0</v>
      </c>
      <c r="AL7" s="36">
        <f ca="1">IF($A7="","",IF(AL$1="","",COUNTIFS(tbl_chests[from],$A7,tbl_chests[legalized],AL$1,tbl_chests[datetime],"&gt;="&amp;TODAY()-WEEKDAY(TODAY(),2)+1,tbl_chests[datetime],"&lt;"&amp;TODAY()-WEEKDAY(TODAY(),2)+8)))</f>
        <v>0</v>
      </c>
      <c r="AM7" s="37">
        <f ca="1">IF($A7="","",IF(AM$1="","",COUNTIFS(tbl_chests[from],$A7,tbl_chests[legalized],AM$1,tbl_chests[datetime],"&gt;="&amp;TODAY()-WEEKDAY(TODAY(),2)+1,tbl_chests[datetime],"&lt;"&amp;TODAY()-WEEKDAY(TODAY(),2)+8)))</f>
        <v>0</v>
      </c>
      <c r="AN7" s="16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spans="1:67" x14ac:dyDescent="0.25">
      <c r="A8" s="34" t="str">
        <f>chests_counter!$H5</f>
        <v>ARBA33</v>
      </c>
      <c r="B8" s="35" cm="1">
        <f t="array" aca="1" ref="B8" ca="1">IF(A8&lt;&gt;"", SUMPRODUCT(($C$2:$AM$2&lt;&gt;0)*(C8:AM8&lt;&gt;0)*($C$2:$AM$2)*(C8:AM8)), "")</f>
        <v>30</v>
      </c>
      <c r="C8" s="36">
        <f ca="1">IF($A8="","",IF(C$1="","",COUNTIFS(tbl_chests[from],$A8,tbl_chests[legalized],C$1,tbl_chests[datetime],"&gt;="&amp;TODAY()-WEEKDAY(TODAY(),2)+1,tbl_chests[datetime],"&lt;"&amp;TODAY()-WEEKDAY(TODAY(),2)+8)))</f>
        <v>1</v>
      </c>
      <c r="D8" s="36">
        <f ca="1">IF($A8="","",IF(D$1="","",COUNTIFS(tbl_chests[from],$A8,tbl_chests[legalized],D$1,tbl_chests[datetime],"&gt;="&amp;TODAY()-WEEKDAY(TODAY(),2)+1,tbl_chests[datetime],"&lt;"&amp;TODAY()-WEEKDAY(TODAY(),2)+8)))</f>
        <v>1</v>
      </c>
      <c r="E8" s="36">
        <f ca="1">IF($A8="","",IF(E$1="","",COUNTIFS(tbl_chests[from],$A8,tbl_chests[legalized],E$1,tbl_chests[datetime],"&gt;="&amp;TODAY()-WEEKDAY(TODAY(),2)+1,tbl_chests[datetime],"&lt;"&amp;TODAY()-WEEKDAY(TODAY(),2)+8)))</f>
        <v>0</v>
      </c>
      <c r="F8" s="36">
        <f ca="1">IF($A8="","",IF(F$1="","",COUNTIFS(tbl_chests[from],$A8,tbl_chests[legalized],F$1,tbl_chests[datetime],"&gt;="&amp;TODAY()-WEEKDAY(TODAY(),2)+1,tbl_chests[datetime],"&lt;"&amp;TODAY()-WEEKDAY(TODAY(),2)+8)))</f>
        <v>0</v>
      </c>
      <c r="G8" s="36">
        <f ca="1">IF($A8="","",IF(G$1="","",COUNTIFS(tbl_chests[from],$A8,tbl_chests[legalized],G$1,tbl_chests[datetime],"&gt;="&amp;TODAY()-WEEKDAY(TODAY(),2)+1,tbl_chests[datetime],"&lt;"&amp;TODAY()-WEEKDAY(TODAY(),2)+8)))</f>
        <v>0</v>
      </c>
      <c r="H8" s="36">
        <f ca="1">IF($A8="","",IF(H$1="","",COUNTIFS(tbl_chests[from],$A8,tbl_chests[legalized],H$1,tbl_chests[datetime],"&gt;="&amp;TODAY()-WEEKDAY(TODAY(),2)+1,tbl_chests[datetime],"&lt;"&amp;TODAY()-WEEKDAY(TODAY(),2)+8)))</f>
        <v>0</v>
      </c>
      <c r="I8" s="36">
        <f ca="1">IF($A8="","",IF(I$1="","",COUNTIFS(tbl_chests[from],$A8,tbl_chests[legalized],I$1,tbl_chests[datetime],"&gt;="&amp;TODAY()-WEEKDAY(TODAY(),2)+1,tbl_chests[datetime],"&lt;"&amp;TODAY()-WEEKDAY(TODAY(),2)+8)))</f>
        <v>0</v>
      </c>
      <c r="J8" s="36">
        <f ca="1">IF($A8="","",IF(J$1="","",COUNTIFS(tbl_chests[from],$A8,tbl_chests[legalized],J$1,tbl_chests[datetime],"&gt;="&amp;TODAY()-WEEKDAY(TODAY(),2)+1,tbl_chests[datetime],"&lt;"&amp;TODAY()-WEEKDAY(TODAY(),2)+8)))</f>
        <v>0</v>
      </c>
      <c r="K8" s="36">
        <f ca="1">IF($A8="","",IF(K$1="","",COUNTIFS(tbl_chests[from],$A8,tbl_chests[legalized],K$1,tbl_chests[datetime],"&gt;="&amp;TODAY()-WEEKDAY(TODAY(),2)+1,tbl_chests[datetime],"&lt;"&amp;TODAY()-WEEKDAY(TODAY(),2)+8)))</f>
        <v>0</v>
      </c>
      <c r="L8" s="36">
        <f ca="1">IF($A8="","",IF(L$1="","",COUNTIFS(tbl_chests[from],$A8,tbl_chests[legalized],L$1,tbl_chests[datetime],"&gt;="&amp;TODAY()-WEEKDAY(TODAY(),2)+1,tbl_chests[datetime],"&lt;"&amp;TODAY()-WEEKDAY(TODAY(),2)+8)))</f>
        <v>0</v>
      </c>
      <c r="M8" s="36">
        <f ca="1">IF($A8="","",IF(M$1="","",COUNTIFS(tbl_chests[from],$A8,tbl_chests[legalized],M$1,tbl_chests[datetime],"&gt;="&amp;TODAY()-WEEKDAY(TODAY(),2)+1,tbl_chests[datetime],"&lt;"&amp;TODAY()-WEEKDAY(TODAY(),2)+8)))</f>
        <v>0</v>
      </c>
      <c r="N8" s="36">
        <f ca="1">IF($A8="","",IF(N$1="","",COUNTIFS(tbl_chests[from],$A8,tbl_chests[legalized],N$1,tbl_chests[datetime],"&gt;="&amp;TODAY()-WEEKDAY(TODAY(),2)+1,tbl_chests[datetime],"&lt;"&amp;TODAY()-WEEKDAY(TODAY(),2)+8)))</f>
        <v>0</v>
      </c>
      <c r="O8" s="36">
        <f ca="1">IF($A8="","",IF(O$1="","",COUNTIFS(tbl_chests[from],$A8,tbl_chests[legalized],O$1,tbl_chests[datetime],"&gt;="&amp;TODAY()-WEEKDAY(TODAY(),2)+1,tbl_chests[datetime],"&lt;"&amp;TODAY()-WEEKDAY(TODAY(),2)+8)))</f>
        <v>0</v>
      </c>
      <c r="P8" s="36">
        <f ca="1">IF($A8="","",IF(P$1="","",COUNTIFS(tbl_chests[from],$A8,tbl_chests[legalized],P$1,tbl_chests[datetime],"&gt;="&amp;TODAY()-WEEKDAY(TODAY(),2)+1,tbl_chests[datetime],"&lt;"&amp;TODAY()-WEEKDAY(TODAY(),2)+8)))</f>
        <v>0</v>
      </c>
      <c r="Q8" s="36">
        <f ca="1">IF($A8="","",IF(Q$1="","",COUNTIFS(tbl_chests[from],$A8,tbl_chests[legalized],Q$1,tbl_chests[datetime],"&gt;="&amp;TODAY()-WEEKDAY(TODAY(),2)+1,tbl_chests[datetime],"&lt;"&amp;TODAY()-WEEKDAY(TODAY(),2)+8)))</f>
        <v>0</v>
      </c>
      <c r="R8" s="36">
        <f ca="1">IF($A8="","",IF(R$1="","",COUNTIFS(tbl_chests[from],$A8,tbl_chests[legalized],R$1,tbl_chests[datetime],"&gt;="&amp;TODAY()-WEEKDAY(TODAY(),2)+1,tbl_chests[datetime],"&lt;"&amp;TODAY()-WEEKDAY(TODAY(),2)+8)))</f>
        <v>0</v>
      </c>
      <c r="S8" s="36">
        <f ca="1">IF($A8="","",IF(S$1="","",COUNTIFS(tbl_chests[from],$A8,tbl_chests[legalized],S$1,tbl_chests[datetime],"&gt;="&amp;TODAY()-WEEKDAY(TODAY(),2)+1,tbl_chests[datetime],"&lt;"&amp;TODAY()-WEEKDAY(TODAY(),2)+8)))</f>
        <v>0</v>
      </c>
      <c r="T8" s="36">
        <f ca="1">IF($A8="","",IF(T$1="","",COUNTIFS(tbl_chests[from],$A8,tbl_chests[legalized],T$1,tbl_chests[datetime],"&gt;="&amp;TODAY()-WEEKDAY(TODAY(),2)+1,tbl_chests[datetime],"&lt;"&amp;TODAY()-WEEKDAY(TODAY(),2)+8)))</f>
        <v>0</v>
      </c>
      <c r="U8" s="36">
        <f ca="1">IF($A8="","",IF(U$1="","",COUNTIFS(tbl_chests[from],$A8,tbl_chests[legalized],U$1,tbl_chests[datetime],"&gt;="&amp;TODAY()-WEEKDAY(TODAY(),2)+1,tbl_chests[datetime],"&lt;"&amp;TODAY()-WEEKDAY(TODAY(),2)+8)))</f>
        <v>0</v>
      </c>
      <c r="V8" s="36">
        <f ca="1">IF($A8="","",IF(V$1="","",COUNTIFS(tbl_chests[from],$A8,tbl_chests[legalized],V$1,tbl_chests[datetime],"&gt;="&amp;TODAY()-WEEKDAY(TODAY(),2)+1,tbl_chests[datetime],"&lt;"&amp;TODAY()-WEEKDAY(TODAY(),2)+8)))</f>
        <v>0</v>
      </c>
      <c r="W8" s="36">
        <f ca="1">IF($A8="","",IF(W$1="","",COUNTIFS(tbl_chests[from],$A8,tbl_chests[legalized],W$1,tbl_chests[datetime],"&gt;="&amp;TODAY()-WEEKDAY(TODAY(),2)+1,tbl_chests[datetime],"&lt;"&amp;TODAY()-WEEKDAY(TODAY(),2)+8)))</f>
        <v>0</v>
      </c>
      <c r="X8" s="36">
        <f ca="1">IF($A8="","",IF(X$1="","",COUNTIFS(tbl_chests[from],$A8,tbl_chests[legalized],X$1,tbl_chests[datetime],"&gt;="&amp;TODAY()-WEEKDAY(TODAY(),2)+1,tbl_chests[datetime],"&lt;"&amp;TODAY()-WEEKDAY(TODAY(),2)+8)))</f>
        <v>0</v>
      </c>
      <c r="Y8" s="36">
        <f ca="1">IF($A8="","",IF(Y$1="","",COUNTIFS(tbl_chests[from],$A8,tbl_chests[legalized],Y$1,tbl_chests[datetime],"&gt;="&amp;TODAY()-WEEKDAY(TODAY(),2)+1,tbl_chests[datetime],"&lt;"&amp;TODAY()-WEEKDAY(TODAY(),2)+8)))</f>
        <v>0</v>
      </c>
      <c r="Z8" s="36">
        <f ca="1">IF($A8="","",IF(Z$1="","",COUNTIFS(tbl_chests[from],$A8,tbl_chests[legalized],Z$1,tbl_chests[datetime],"&gt;="&amp;TODAY()-WEEKDAY(TODAY(),2)+1,tbl_chests[datetime],"&lt;"&amp;TODAY()-WEEKDAY(TODAY(),2)+8)))</f>
        <v>0</v>
      </c>
      <c r="AA8" s="36">
        <f ca="1">IF($A8="","",IF(AA$1="","",COUNTIFS(tbl_chests[from],$A8,tbl_chests[legalized],AA$1,tbl_chests[datetime],"&gt;="&amp;TODAY()-WEEKDAY(TODAY(),2)+1,tbl_chests[datetime],"&lt;"&amp;TODAY()-WEEKDAY(TODAY(),2)+8)))</f>
        <v>0</v>
      </c>
      <c r="AB8" s="36">
        <f ca="1">IF($A8="","",IF(AB$1="","",COUNTIFS(tbl_chests[from],$A8,tbl_chests[legalized],AB$1,tbl_chests[datetime],"&gt;="&amp;TODAY()-WEEKDAY(TODAY(),2)+1,tbl_chests[datetime],"&lt;"&amp;TODAY()-WEEKDAY(TODAY(),2)+8)))</f>
        <v>0</v>
      </c>
      <c r="AC8" s="36">
        <f ca="1">IF($A8="","",IF(AC$1="","",COUNTIFS(tbl_chests[from],$A8,tbl_chests[legalized],AC$1,tbl_chests[datetime],"&gt;="&amp;TODAY()-WEEKDAY(TODAY(),2)+1,tbl_chests[datetime],"&lt;"&amp;TODAY()-WEEKDAY(TODAY(),2)+8)))</f>
        <v>0</v>
      </c>
      <c r="AD8" s="36">
        <f ca="1">IF($A8="","",IF(AD$1="","",COUNTIFS(tbl_chests[from],$A8,tbl_chests[legalized],AD$1,tbl_chests[datetime],"&gt;="&amp;TODAY()-WEEKDAY(TODAY(),2)+1,tbl_chests[datetime],"&lt;"&amp;TODAY()-WEEKDAY(TODAY(),2)+8)))</f>
        <v>0</v>
      </c>
      <c r="AE8" s="36">
        <f ca="1">IF($A8="","",IF(AE$1="","",COUNTIFS(tbl_chests[from],$A8,tbl_chests[legalized],AE$1,tbl_chests[datetime],"&gt;="&amp;TODAY()-WEEKDAY(TODAY(),2)+1,tbl_chests[datetime],"&lt;"&amp;TODAY()-WEEKDAY(TODAY(),2)+8)))</f>
        <v>0</v>
      </c>
      <c r="AF8" s="36">
        <f ca="1">IF($A8="","",IF(AF$1="","",COUNTIFS(tbl_chests[from],$A8,tbl_chests[legalized],AF$1,tbl_chests[datetime],"&gt;="&amp;TODAY()-WEEKDAY(TODAY(),2)+1,tbl_chests[datetime],"&lt;"&amp;TODAY()-WEEKDAY(TODAY(),2)+8)))</f>
        <v>0</v>
      </c>
      <c r="AG8" s="36">
        <f ca="1">IF($A8="","",IF(AG$1="","",COUNTIFS(tbl_chests[from],$A8,tbl_chests[legalized],AG$1,tbl_chests[datetime],"&gt;="&amp;TODAY()-WEEKDAY(TODAY(),2)+1,tbl_chests[datetime],"&lt;"&amp;TODAY()-WEEKDAY(TODAY(),2)+8)))</f>
        <v>0</v>
      </c>
      <c r="AH8" s="36">
        <f ca="1">IF($A8="","",IF(AH$1="","",COUNTIFS(tbl_chests[from],$A8,tbl_chests[legalized],AH$1,tbl_chests[datetime],"&gt;="&amp;TODAY()-WEEKDAY(TODAY(),2)+1,tbl_chests[datetime],"&lt;"&amp;TODAY()-WEEKDAY(TODAY(),2)+8)))</f>
        <v>0</v>
      </c>
      <c r="AI8" s="36">
        <f ca="1">IF($A8="","",IF(AI$1="","",COUNTIFS(tbl_chests[from],$A8,tbl_chests[legalized],AI$1,tbl_chests[datetime],"&gt;="&amp;TODAY()-WEEKDAY(TODAY(),2)+1,tbl_chests[datetime],"&lt;"&amp;TODAY()-WEEKDAY(TODAY(),2)+8)))</f>
        <v>0</v>
      </c>
      <c r="AJ8" s="36">
        <f ca="1">IF($A8="","",IF(AJ$1="","",COUNTIFS(tbl_chests[from],$A8,tbl_chests[legalized],AJ$1,tbl_chests[datetime],"&gt;="&amp;TODAY()-WEEKDAY(TODAY(),2)+1,tbl_chests[datetime],"&lt;"&amp;TODAY()-WEEKDAY(TODAY(),2)+8)))</f>
        <v>0</v>
      </c>
      <c r="AK8" s="36">
        <f ca="1">IF($A8="","",IF(AK$1="","",COUNTIFS(tbl_chests[from],$A8,tbl_chests[legalized],AK$1,tbl_chests[datetime],"&gt;="&amp;TODAY()-WEEKDAY(TODAY(),2)+1,tbl_chests[datetime],"&lt;"&amp;TODAY()-WEEKDAY(TODAY(),2)+8)))</f>
        <v>0</v>
      </c>
      <c r="AL8" s="36">
        <f ca="1">IF($A8="","",IF(AL$1="","",COUNTIFS(tbl_chests[from],$A8,tbl_chests[legalized],AL$1,tbl_chests[datetime],"&gt;="&amp;TODAY()-WEEKDAY(TODAY(),2)+1,tbl_chests[datetime],"&lt;"&amp;TODAY()-WEEKDAY(TODAY(),2)+8)))</f>
        <v>0</v>
      </c>
      <c r="AM8" s="37">
        <f ca="1">IF($A8="","",IF(AM$1="","",COUNTIFS(tbl_chests[from],$A8,tbl_chests[legalized],AM$1,tbl_chests[datetime],"&gt;="&amp;TODAY()-WEEKDAY(TODAY(),2)+1,tbl_chests[datetime],"&lt;"&amp;TODAY()-WEEKDAY(TODAY(),2)+8)))</f>
        <v>0</v>
      </c>
      <c r="AN8" s="16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spans="1:67" x14ac:dyDescent="0.25">
      <c r="A9" s="34" t="str">
        <f>chests_counter!$H6</f>
        <v>Attila the hun</v>
      </c>
      <c r="B9" s="35" cm="1">
        <f t="array" aca="1" ref="B9" ca="1">IF(A9&lt;&gt;"", SUMPRODUCT(($C$2:$AM$2&lt;&gt;0)*(C9:AM9&lt;&gt;0)*($C$2:$AM$2)*(C9:AM9)), "")</f>
        <v>400</v>
      </c>
      <c r="C9" s="36">
        <f ca="1">IF($A9="","",IF(C$1="","",COUNTIFS(tbl_chests[from],$A9,tbl_chests[legalized],C$1,tbl_chests[datetime],"&gt;="&amp;TODAY()-WEEKDAY(TODAY(),2)+1,tbl_chests[datetime],"&lt;"&amp;TODAY()-WEEKDAY(TODAY(),2)+8)))</f>
        <v>0</v>
      </c>
      <c r="D9" s="36">
        <f ca="1">IF($A9="","",IF(D$1="","",COUNTIFS(tbl_chests[from],$A9,tbl_chests[legalized],D$1,tbl_chests[datetime],"&gt;="&amp;TODAY()-WEEKDAY(TODAY(),2)+1,tbl_chests[datetime],"&lt;"&amp;TODAY()-WEEKDAY(TODAY(),2)+8)))</f>
        <v>0</v>
      </c>
      <c r="E9" s="36">
        <f ca="1">IF($A9="","",IF(E$1="","",COUNTIFS(tbl_chests[from],$A9,tbl_chests[legalized],E$1,tbl_chests[datetime],"&gt;="&amp;TODAY()-WEEKDAY(TODAY(),2)+1,tbl_chests[datetime],"&lt;"&amp;TODAY()-WEEKDAY(TODAY(),2)+8)))</f>
        <v>4</v>
      </c>
      <c r="F9" s="36">
        <f ca="1">IF($A9="","",IF(F$1="","",COUNTIFS(tbl_chests[from],$A9,tbl_chests[legalized],F$1,tbl_chests[datetime],"&gt;="&amp;TODAY()-WEEKDAY(TODAY(),2)+1,tbl_chests[datetime],"&lt;"&amp;TODAY()-WEEKDAY(TODAY(),2)+8)))</f>
        <v>0</v>
      </c>
      <c r="G9" s="36">
        <f ca="1">IF($A9="","",IF(G$1="","",COUNTIFS(tbl_chests[from],$A9,tbl_chests[legalized],G$1,tbl_chests[datetime],"&gt;="&amp;TODAY()-WEEKDAY(TODAY(),2)+1,tbl_chests[datetime],"&lt;"&amp;TODAY()-WEEKDAY(TODAY(),2)+8)))</f>
        <v>0</v>
      </c>
      <c r="H9" s="36">
        <f ca="1">IF($A9="","",IF(H$1="","",COUNTIFS(tbl_chests[from],$A9,tbl_chests[legalized],H$1,tbl_chests[datetime],"&gt;="&amp;TODAY()-WEEKDAY(TODAY(),2)+1,tbl_chests[datetime],"&lt;"&amp;TODAY()-WEEKDAY(TODAY(),2)+8)))</f>
        <v>0</v>
      </c>
      <c r="I9" s="36">
        <f ca="1">IF($A9="","",IF(I$1="","",COUNTIFS(tbl_chests[from],$A9,tbl_chests[legalized],I$1,tbl_chests[datetime],"&gt;="&amp;TODAY()-WEEKDAY(TODAY(),2)+1,tbl_chests[datetime],"&lt;"&amp;TODAY()-WEEKDAY(TODAY(),2)+8)))</f>
        <v>2</v>
      </c>
      <c r="J9" s="36">
        <f ca="1">IF($A9="","",IF(J$1="","",COUNTIFS(tbl_chests[from],$A9,tbl_chests[legalized],J$1,tbl_chests[datetime],"&gt;="&amp;TODAY()-WEEKDAY(TODAY(),2)+1,tbl_chests[datetime],"&lt;"&amp;TODAY()-WEEKDAY(TODAY(),2)+8)))</f>
        <v>0</v>
      </c>
      <c r="K9" s="36">
        <f ca="1">IF($A9="","",IF(K$1="","",COUNTIFS(tbl_chests[from],$A9,tbl_chests[legalized],K$1,tbl_chests[datetime],"&gt;="&amp;TODAY()-WEEKDAY(TODAY(),2)+1,tbl_chests[datetime],"&lt;"&amp;TODAY()-WEEKDAY(TODAY(),2)+8)))</f>
        <v>0</v>
      </c>
      <c r="L9" s="36">
        <f ca="1">IF($A9="","",IF(L$1="","",COUNTIFS(tbl_chests[from],$A9,tbl_chests[legalized],L$1,tbl_chests[datetime],"&gt;="&amp;TODAY()-WEEKDAY(TODAY(),2)+1,tbl_chests[datetime],"&lt;"&amp;TODAY()-WEEKDAY(TODAY(),2)+8)))</f>
        <v>0</v>
      </c>
      <c r="M9" s="36">
        <f ca="1">IF($A9="","",IF(M$1="","",COUNTIFS(tbl_chests[from],$A9,tbl_chests[legalized],M$1,tbl_chests[datetime],"&gt;="&amp;TODAY()-WEEKDAY(TODAY(),2)+1,tbl_chests[datetime],"&lt;"&amp;TODAY()-WEEKDAY(TODAY(),2)+8)))</f>
        <v>0</v>
      </c>
      <c r="N9" s="36">
        <f ca="1">IF($A9="","",IF(N$1="","",COUNTIFS(tbl_chests[from],$A9,tbl_chests[legalized],N$1,tbl_chests[datetime],"&gt;="&amp;TODAY()-WEEKDAY(TODAY(),2)+1,tbl_chests[datetime],"&lt;"&amp;TODAY()-WEEKDAY(TODAY(),2)+8)))</f>
        <v>0</v>
      </c>
      <c r="O9" s="36">
        <f ca="1">IF($A9="","",IF(O$1="","",COUNTIFS(tbl_chests[from],$A9,tbl_chests[legalized],O$1,tbl_chests[datetime],"&gt;="&amp;TODAY()-WEEKDAY(TODAY(),2)+1,tbl_chests[datetime],"&lt;"&amp;TODAY()-WEEKDAY(TODAY(),2)+8)))</f>
        <v>0</v>
      </c>
      <c r="P9" s="36">
        <f ca="1">IF($A9="","",IF(P$1="","",COUNTIFS(tbl_chests[from],$A9,tbl_chests[legalized],P$1,tbl_chests[datetime],"&gt;="&amp;TODAY()-WEEKDAY(TODAY(),2)+1,tbl_chests[datetime],"&lt;"&amp;TODAY()-WEEKDAY(TODAY(),2)+8)))</f>
        <v>0</v>
      </c>
      <c r="Q9" s="36">
        <f ca="1">IF($A9="","",IF(Q$1="","",COUNTIFS(tbl_chests[from],$A9,tbl_chests[legalized],Q$1,tbl_chests[datetime],"&gt;="&amp;TODAY()-WEEKDAY(TODAY(),2)+1,tbl_chests[datetime],"&lt;"&amp;TODAY()-WEEKDAY(TODAY(),2)+8)))</f>
        <v>0</v>
      </c>
      <c r="R9" s="36">
        <f ca="1">IF($A9="","",IF(R$1="","",COUNTIFS(tbl_chests[from],$A9,tbl_chests[legalized],R$1,tbl_chests[datetime],"&gt;="&amp;TODAY()-WEEKDAY(TODAY(),2)+1,tbl_chests[datetime],"&lt;"&amp;TODAY()-WEEKDAY(TODAY(),2)+8)))</f>
        <v>0</v>
      </c>
      <c r="S9" s="36">
        <f ca="1">IF($A9="","",IF(S$1="","",COUNTIFS(tbl_chests[from],$A9,tbl_chests[legalized],S$1,tbl_chests[datetime],"&gt;="&amp;TODAY()-WEEKDAY(TODAY(),2)+1,tbl_chests[datetime],"&lt;"&amp;TODAY()-WEEKDAY(TODAY(),2)+8)))</f>
        <v>0</v>
      </c>
      <c r="T9" s="36">
        <f ca="1">IF($A9="","",IF(T$1="","",COUNTIFS(tbl_chests[from],$A9,tbl_chests[legalized],T$1,tbl_chests[datetime],"&gt;="&amp;TODAY()-WEEKDAY(TODAY(),2)+1,tbl_chests[datetime],"&lt;"&amp;TODAY()-WEEKDAY(TODAY(),2)+8)))</f>
        <v>0</v>
      </c>
      <c r="U9" s="36">
        <f ca="1">IF($A9="","",IF(U$1="","",COUNTIFS(tbl_chests[from],$A9,tbl_chests[legalized],U$1,tbl_chests[datetime],"&gt;="&amp;TODAY()-WEEKDAY(TODAY(),2)+1,tbl_chests[datetime],"&lt;"&amp;TODAY()-WEEKDAY(TODAY(),2)+8)))</f>
        <v>0</v>
      </c>
      <c r="V9" s="36">
        <f ca="1">IF($A9="","",IF(V$1="","",COUNTIFS(tbl_chests[from],$A9,tbl_chests[legalized],V$1,tbl_chests[datetime],"&gt;="&amp;TODAY()-WEEKDAY(TODAY(),2)+1,tbl_chests[datetime],"&lt;"&amp;TODAY()-WEEKDAY(TODAY(),2)+8)))</f>
        <v>0</v>
      </c>
      <c r="W9" s="36">
        <f ca="1">IF($A9="","",IF(W$1="","",COUNTIFS(tbl_chests[from],$A9,tbl_chests[legalized],W$1,tbl_chests[datetime],"&gt;="&amp;TODAY()-WEEKDAY(TODAY(),2)+1,tbl_chests[datetime],"&lt;"&amp;TODAY()-WEEKDAY(TODAY(),2)+8)))</f>
        <v>0</v>
      </c>
      <c r="X9" s="36">
        <f ca="1">IF($A9="","",IF(X$1="","",COUNTIFS(tbl_chests[from],$A9,tbl_chests[legalized],X$1,tbl_chests[datetime],"&gt;="&amp;TODAY()-WEEKDAY(TODAY(),2)+1,tbl_chests[datetime],"&lt;"&amp;TODAY()-WEEKDAY(TODAY(),2)+8)))</f>
        <v>0</v>
      </c>
      <c r="Y9" s="36">
        <f ca="1">IF($A9="","",IF(Y$1="","",COUNTIFS(tbl_chests[from],$A9,tbl_chests[legalized],Y$1,tbl_chests[datetime],"&gt;="&amp;TODAY()-WEEKDAY(TODAY(),2)+1,tbl_chests[datetime],"&lt;"&amp;TODAY()-WEEKDAY(TODAY(),2)+8)))</f>
        <v>0</v>
      </c>
      <c r="Z9" s="36">
        <f ca="1">IF($A9="","",IF(Z$1="","",COUNTIFS(tbl_chests[from],$A9,tbl_chests[legalized],Z$1,tbl_chests[datetime],"&gt;="&amp;TODAY()-WEEKDAY(TODAY(),2)+1,tbl_chests[datetime],"&lt;"&amp;TODAY()-WEEKDAY(TODAY(),2)+8)))</f>
        <v>0</v>
      </c>
      <c r="AA9" s="36">
        <f ca="1">IF($A9="","",IF(AA$1="","",COUNTIFS(tbl_chests[from],$A9,tbl_chests[legalized],AA$1,tbl_chests[datetime],"&gt;="&amp;TODAY()-WEEKDAY(TODAY(),2)+1,tbl_chests[datetime],"&lt;"&amp;TODAY()-WEEKDAY(TODAY(),2)+8)))</f>
        <v>6</v>
      </c>
      <c r="AB9" s="36">
        <f ca="1">IF($A9="","",IF(AB$1="","",COUNTIFS(tbl_chests[from],$A9,tbl_chests[legalized],AB$1,tbl_chests[datetime],"&gt;="&amp;TODAY()-WEEKDAY(TODAY(),2)+1,tbl_chests[datetime],"&lt;"&amp;TODAY()-WEEKDAY(TODAY(),2)+8)))</f>
        <v>0</v>
      </c>
      <c r="AC9" s="36">
        <f ca="1">IF($A9="","",IF(AC$1="","",COUNTIFS(tbl_chests[from],$A9,tbl_chests[legalized],AC$1,tbl_chests[datetime],"&gt;="&amp;TODAY()-WEEKDAY(TODAY(),2)+1,tbl_chests[datetime],"&lt;"&amp;TODAY()-WEEKDAY(TODAY(),2)+8)))</f>
        <v>0</v>
      </c>
      <c r="AD9" s="36">
        <f ca="1">IF($A9="","",IF(AD$1="","",COUNTIFS(tbl_chests[from],$A9,tbl_chests[legalized],AD$1,tbl_chests[datetime],"&gt;="&amp;TODAY()-WEEKDAY(TODAY(),2)+1,tbl_chests[datetime],"&lt;"&amp;TODAY()-WEEKDAY(TODAY(),2)+8)))</f>
        <v>0</v>
      </c>
      <c r="AE9" s="36">
        <f ca="1">IF($A9="","",IF(AE$1="","",COUNTIFS(tbl_chests[from],$A9,tbl_chests[legalized],AE$1,tbl_chests[datetime],"&gt;="&amp;TODAY()-WEEKDAY(TODAY(),2)+1,tbl_chests[datetime],"&lt;"&amp;TODAY()-WEEKDAY(TODAY(),2)+8)))</f>
        <v>0</v>
      </c>
      <c r="AF9" s="36">
        <f ca="1">IF($A9="","",IF(AF$1="","",COUNTIFS(tbl_chests[from],$A9,tbl_chests[legalized],AF$1,tbl_chests[datetime],"&gt;="&amp;TODAY()-WEEKDAY(TODAY(),2)+1,tbl_chests[datetime],"&lt;"&amp;TODAY()-WEEKDAY(TODAY(),2)+8)))</f>
        <v>0</v>
      </c>
      <c r="AG9" s="36">
        <f ca="1">IF($A9="","",IF(AG$1="","",COUNTIFS(tbl_chests[from],$A9,tbl_chests[legalized],AG$1,tbl_chests[datetime],"&gt;="&amp;TODAY()-WEEKDAY(TODAY(),2)+1,tbl_chests[datetime],"&lt;"&amp;TODAY()-WEEKDAY(TODAY(),2)+8)))</f>
        <v>0</v>
      </c>
      <c r="AH9" s="36">
        <f ca="1">IF($A9="","",IF(AH$1="","",COUNTIFS(tbl_chests[from],$A9,tbl_chests[legalized],AH$1,tbl_chests[datetime],"&gt;="&amp;TODAY()-WEEKDAY(TODAY(),2)+1,tbl_chests[datetime],"&lt;"&amp;TODAY()-WEEKDAY(TODAY(),2)+8)))</f>
        <v>0</v>
      </c>
      <c r="AI9" s="36">
        <f ca="1">IF($A9="","",IF(AI$1="","",COUNTIFS(tbl_chests[from],$A9,tbl_chests[legalized],AI$1,tbl_chests[datetime],"&gt;="&amp;TODAY()-WEEKDAY(TODAY(),2)+1,tbl_chests[datetime],"&lt;"&amp;TODAY()-WEEKDAY(TODAY(),2)+8)))</f>
        <v>0</v>
      </c>
      <c r="AJ9" s="36">
        <f ca="1">IF($A9="","",IF(AJ$1="","",COUNTIFS(tbl_chests[from],$A9,tbl_chests[legalized],AJ$1,tbl_chests[datetime],"&gt;="&amp;TODAY()-WEEKDAY(TODAY(),2)+1,tbl_chests[datetime],"&lt;"&amp;TODAY()-WEEKDAY(TODAY(),2)+8)))</f>
        <v>0</v>
      </c>
      <c r="AK9" s="36">
        <f ca="1">IF($A9="","",IF(AK$1="","",COUNTIFS(tbl_chests[from],$A9,tbl_chests[legalized],AK$1,tbl_chests[datetime],"&gt;="&amp;TODAY()-WEEKDAY(TODAY(),2)+1,tbl_chests[datetime],"&lt;"&amp;TODAY()-WEEKDAY(TODAY(),2)+8)))</f>
        <v>0</v>
      </c>
      <c r="AL9" s="36">
        <f ca="1">IF($A9="","",IF(AL$1="","",COUNTIFS(tbl_chests[from],$A9,tbl_chests[legalized],AL$1,tbl_chests[datetime],"&gt;="&amp;TODAY()-WEEKDAY(TODAY(),2)+1,tbl_chests[datetime],"&lt;"&amp;TODAY()-WEEKDAY(TODAY(),2)+8)))</f>
        <v>0</v>
      </c>
      <c r="AM9" s="37">
        <f ca="1">IF($A9="","",IF(AM$1="","",COUNTIFS(tbl_chests[from],$A9,tbl_chests[legalized],AM$1,tbl_chests[datetime],"&gt;="&amp;TODAY()-WEEKDAY(TODAY(),2)+1,tbl_chests[datetime],"&lt;"&amp;TODAY()-WEEKDAY(TODAY(),2)+8)))</f>
        <v>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spans="1:67" x14ac:dyDescent="0.25">
      <c r="A10" s="34" t="str">
        <f>chests_counter!$H7</f>
        <v>Bomfur</v>
      </c>
      <c r="B10" s="35" cm="1">
        <f t="array" aca="1" ref="B10" ca="1">IF(A10&lt;&gt;"", SUMPRODUCT(($C$2:$AM$2&lt;&gt;0)*(C10:AM10&lt;&gt;0)*($C$2:$AM$2)*(C10:AM10)), "")</f>
        <v>40</v>
      </c>
      <c r="C10" s="36">
        <f ca="1">IF($A10="","",IF(C$1="","",COUNTIFS(tbl_chests[from],$A10,tbl_chests[legalized],C$1,tbl_chests[datetime],"&gt;="&amp;TODAY()-WEEKDAY(TODAY(),2)+1,tbl_chests[datetime],"&lt;"&amp;TODAY()-WEEKDAY(TODAY(),2)+8)))</f>
        <v>2</v>
      </c>
      <c r="D10" s="36">
        <f ca="1">IF($A10="","",IF(D$1="","",COUNTIFS(tbl_chests[from],$A10,tbl_chests[legalized],D$1,tbl_chests[datetime],"&gt;="&amp;TODAY()-WEEKDAY(TODAY(),2)+1,tbl_chests[datetime],"&lt;"&amp;TODAY()-WEEKDAY(TODAY(),2)+8)))</f>
        <v>1</v>
      </c>
      <c r="E10" s="36">
        <f ca="1">IF($A10="","",IF(E$1="","",COUNTIFS(tbl_chests[from],$A10,tbl_chests[legalized],E$1,tbl_chests[datetime],"&gt;="&amp;TODAY()-WEEKDAY(TODAY(),2)+1,tbl_chests[datetime],"&lt;"&amp;TODAY()-WEEKDAY(TODAY(),2)+8)))</f>
        <v>0</v>
      </c>
      <c r="F10" s="36">
        <f ca="1">IF($A10="","",IF(F$1="","",COUNTIFS(tbl_chests[from],$A10,tbl_chests[legalized],F$1,tbl_chests[datetime],"&gt;="&amp;TODAY()-WEEKDAY(TODAY(),2)+1,tbl_chests[datetime],"&lt;"&amp;TODAY()-WEEKDAY(TODAY(),2)+8)))</f>
        <v>0</v>
      </c>
      <c r="G10" s="36">
        <f ca="1">IF($A10="","",IF(G$1="","",COUNTIFS(tbl_chests[from],$A10,tbl_chests[legalized],G$1,tbl_chests[datetime],"&gt;="&amp;TODAY()-WEEKDAY(TODAY(),2)+1,tbl_chests[datetime],"&lt;"&amp;TODAY()-WEEKDAY(TODAY(),2)+8)))</f>
        <v>0</v>
      </c>
      <c r="H10" s="36">
        <f ca="1">IF($A10="","",IF(H$1="","",COUNTIFS(tbl_chests[from],$A10,tbl_chests[legalized],H$1,tbl_chests[datetime],"&gt;="&amp;TODAY()-WEEKDAY(TODAY(),2)+1,tbl_chests[datetime],"&lt;"&amp;TODAY()-WEEKDAY(TODAY(),2)+8)))</f>
        <v>0</v>
      </c>
      <c r="I10" s="36">
        <f ca="1">IF($A10="","",IF(I$1="","",COUNTIFS(tbl_chests[from],$A10,tbl_chests[legalized],I$1,tbl_chests[datetime],"&gt;="&amp;TODAY()-WEEKDAY(TODAY(),2)+1,tbl_chests[datetime],"&lt;"&amp;TODAY()-WEEKDAY(TODAY(),2)+8)))</f>
        <v>0</v>
      </c>
      <c r="J10" s="36">
        <f ca="1">IF($A10="","",IF(J$1="","",COUNTIFS(tbl_chests[from],$A10,tbl_chests[legalized],J$1,tbl_chests[datetime],"&gt;="&amp;TODAY()-WEEKDAY(TODAY(),2)+1,tbl_chests[datetime],"&lt;"&amp;TODAY()-WEEKDAY(TODAY(),2)+8)))</f>
        <v>0</v>
      </c>
      <c r="K10" s="36">
        <f ca="1">IF($A10="","",IF(K$1="","",COUNTIFS(tbl_chests[from],$A10,tbl_chests[legalized],K$1,tbl_chests[datetime],"&gt;="&amp;TODAY()-WEEKDAY(TODAY(),2)+1,tbl_chests[datetime],"&lt;"&amp;TODAY()-WEEKDAY(TODAY(),2)+8)))</f>
        <v>0</v>
      </c>
      <c r="L10" s="36">
        <f ca="1">IF($A10="","",IF(L$1="","",COUNTIFS(tbl_chests[from],$A10,tbl_chests[legalized],L$1,tbl_chests[datetime],"&gt;="&amp;TODAY()-WEEKDAY(TODAY(),2)+1,tbl_chests[datetime],"&lt;"&amp;TODAY()-WEEKDAY(TODAY(),2)+8)))</f>
        <v>0</v>
      </c>
      <c r="M10" s="36">
        <f ca="1">IF($A10="","",IF(M$1="","",COUNTIFS(tbl_chests[from],$A10,tbl_chests[legalized],M$1,tbl_chests[datetime],"&gt;="&amp;TODAY()-WEEKDAY(TODAY(),2)+1,tbl_chests[datetime],"&lt;"&amp;TODAY()-WEEKDAY(TODAY(),2)+8)))</f>
        <v>0</v>
      </c>
      <c r="N10" s="36">
        <f ca="1">IF($A10="","",IF(N$1="","",COUNTIFS(tbl_chests[from],$A10,tbl_chests[legalized],N$1,tbl_chests[datetime],"&gt;="&amp;TODAY()-WEEKDAY(TODAY(),2)+1,tbl_chests[datetime],"&lt;"&amp;TODAY()-WEEKDAY(TODAY(),2)+8)))</f>
        <v>0</v>
      </c>
      <c r="O10" s="36">
        <f ca="1">IF($A10="","",IF(O$1="","",COUNTIFS(tbl_chests[from],$A10,tbl_chests[legalized],O$1,tbl_chests[datetime],"&gt;="&amp;TODAY()-WEEKDAY(TODAY(),2)+1,tbl_chests[datetime],"&lt;"&amp;TODAY()-WEEKDAY(TODAY(),2)+8)))</f>
        <v>0</v>
      </c>
      <c r="P10" s="36">
        <f ca="1">IF($A10="","",IF(P$1="","",COUNTIFS(tbl_chests[from],$A10,tbl_chests[legalized],P$1,tbl_chests[datetime],"&gt;="&amp;TODAY()-WEEKDAY(TODAY(),2)+1,tbl_chests[datetime],"&lt;"&amp;TODAY()-WEEKDAY(TODAY(),2)+8)))</f>
        <v>0</v>
      </c>
      <c r="Q10" s="36">
        <f ca="1">IF($A10="","",IF(Q$1="","",COUNTIFS(tbl_chests[from],$A10,tbl_chests[legalized],Q$1,tbl_chests[datetime],"&gt;="&amp;TODAY()-WEEKDAY(TODAY(),2)+1,tbl_chests[datetime],"&lt;"&amp;TODAY()-WEEKDAY(TODAY(),2)+8)))</f>
        <v>0</v>
      </c>
      <c r="R10" s="36">
        <f ca="1">IF($A10="","",IF(R$1="","",COUNTIFS(tbl_chests[from],$A10,tbl_chests[legalized],R$1,tbl_chests[datetime],"&gt;="&amp;TODAY()-WEEKDAY(TODAY(),2)+1,tbl_chests[datetime],"&lt;"&amp;TODAY()-WEEKDAY(TODAY(),2)+8)))</f>
        <v>0</v>
      </c>
      <c r="S10" s="36">
        <f ca="1">IF($A10="","",IF(S$1="","",COUNTIFS(tbl_chests[from],$A10,tbl_chests[legalized],S$1,tbl_chests[datetime],"&gt;="&amp;TODAY()-WEEKDAY(TODAY(),2)+1,tbl_chests[datetime],"&lt;"&amp;TODAY()-WEEKDAY(TODAY(),2)+8)))</f>
        <v>0</v>
      </c>
      <c r="T10" s="36">
        <f ca="1">IF($A10="","",IF(T$1="","",COUNTIFS(tbl_chests[from],$A10,tbl_chests[legalized],T$1,tbl_chests[datetime],"&gt;="&amp;TODAY()-WEEKDAY(TODAY(),2)+1,tbl_chests[datetime],"&lt;"&amp;TODAY()-WEEKDAY(TODAY(),2)+8)))</f>
        <v>0</v>
      </c>
      <c r="U10" s="36">
        <f ca="1">IF($A10="","",IF(U$1="","",COUNTIFS(tbl_chests[from],$A10,tbl_chests[legalized],U$1,tbl_chests[datetime],"&gt;="&amp;TODAY()-WEEKDAY(TODAY(),2)+1,tbl_chests[datetime],"&lt;"&amp;TODAY()-WEEKDAY(TODAY(),2)+8)))</f>
        <v>0</v>
      </c>
      <c r="V10" s="36">
        <f ca="1">IF($A10="","",IF(V$1="","",COUNTIFS(tbl_chests[from],$A10,tbl_chests[legalized],V$1,tbl_chests[datetime],"&gt;="&amp;TODAY()-WEEKDAY(TODAY(),2)+1,tbl_chests[datetime],"&lt;"&amp;TODAY()-WEEKDAY(TODAY(),2)+8)))</f>
        <v>0</v>
      </c>
      <c r="W10" s="36">
        <f ca="1">IF($A10="","",IF(W$1="","",COUNTIFS(tbl_chests[from],$A10,tbl_chests[legalized],W$1,tbl_chests[datetime],"&gt;="&amp;TODAY()-WEEKDAY(TODAY(),2)+1,tbl_chests[datetime],"&lt;"&amp;TODAY()-WEEKDAY(TODAY(),2)+8)))</f>
        <v>0</v>
      </c>
      <c r="X10" s="36">
        <f ca="1">IF($A10="","",IF(X$1="","",COUNTIFS(tbl_chests[from],$A10,tbl_chests[legalized],X$1,tbl_chests[datetime],"&gt;="&amp;TODAY()-WEEKDAY(TODAY(),2)+1,tbl_chests[datetime],"&lt;"&amp;TODAY()-WEEKDAY(TODAY(),2)+8)))</f>
        <v>0</v>
      </c>
      <c r="Y10" s="36">
        <f ca="1">IF($A10="","",IF(Y$1="","",COUNTIFS(tbl_chests[from],$A10,tbl_chests[legalized],Y$1,tbl_chests[datetime],"&gt;="&amp;TODAY()-WEEKDAY(TODAY(),2)+1,tbl_chests[datetime],"&lt;"&amp;TODAY()-WEEKDAY(TODAY(),2)+8)))</f>
        <v>0</v>
      </c>
      <c r="Z10" s="36">
        <f ca="1">IF($A10="","",IF(Z$1="","",COUNTIFS(tbl_chests[from],$A10,tbl_chests[legalized],Z$1,tbl_chests[datetime],"&gt;="&amp;TODAY()-WEEKDAY(TODAY(),2)+1,tbl_chests[datetime],"&lt;"&amp;TODAY()-WEEKDAY(TODAY(),2)+8)))</f>
        <v>0</v>
      </c>
      <c r="AA10" s="36">
        <f ca="1">IF($A10="","",IF(AA$1="","",COUNTIFS(tbl_chests[from],$A10,tbl_chests[legalized],AA$1,tbl_chests[datetime],"&gt;="&amp;TODAY()-WEEKDAY(TODAY(),2)+1,tbl_chests[datetime],"&lt;"&amp;TODAY()-WEEKDAY(TODAY(),2)+8)))</f>
        <v>0</v>
      </c>
      <c r="AB10" s="36">
        <f ca="1">IF($A10="","",IF(AB$1="","",COUNTIFS(tbl_chests[from],$A10,tbl_chests[legalized],AB$1,tbl_chests[datetime],"&gt;="&amp;TODAY()-WEEKDAY(TODAY(),2)+1,tbl_chests[datetime],"&lt;"&amp;TODAY()-WEEKDAY(TODAY(),2)+8)))</f>
        <v>0</v>
      </c>
      <c r="AC10" s="36">
        <f ca="1">IF($A10="","",IF(AC$1="","",COUNTIFS(tbl_chests[from],$A10,tbl_chests[legalized],AC$1,tbl_chests[datetime],"&gt;="&amp;TODAY()-WEEKDAY(TODAY(),2)+1,tbl_chests[datetime],"&lt;"&amp;TODAY()-WEEKDAY(TODAY(),2)+8)))</f>
        <v>0</v>
      </c>
      <c r="AD10" s="36">
        <f ca="1">IF($A10="","",IF(AD$1="","",COUNTIFS(tbl_chests[from],$A10,tbl_chests[legalized],AD$1,tbl_chests[datetime],"&gt;="&amp;TODAY()-WEEKDAY(TODAY(),2)+1,tbl_chests[datetime],"&lt;"&amp;TODAY()-WEEKDAY(TODAY(),2)+8)))</f>
        <v>0</v>
      </c>
      <c r="AE10" s="36">
        <f ca="1">IF($A10="","",IF(AE$1="","",COUNTIFS(tbl_chests[from],$A10,tbl_chests[legalized],AE$1,tbl_chests[datetime],"&gt;="&amp;TODAY()-WEEKDAY(TODAY(),2)+1,tbl_chests[datetime],"&lt;"&amp;TODAY()-WEEKDAY(TODAY(),2)+8)))</f>
        <v>0</v>
      </c>
      <c r="AF10" s="36">
        <f ca="1">IF($A10="","",IF(AF$1="","",COUNTIFS(tbl_chests[from],$A10,tbl_chests[legalized],AF$1,tbl_chests[datetime],"&gt;="&amp;TODAY()-WEEKDAY(TODAY(),2)+1,tbl_chests[datetime],"&lt;"&amp;TODAY()-WEEKDAY(TODAY(),2)+8)))</f>
        <v>0</v>
      </c>
      <c r="AG10" s="36">
        <f ca="1">IF($A10="","",IF(AG$1="","",COUNTIFS(tbl_chests[from],$A10,tbl_chests[legalized],AG$1,tbl_chests[datetime],"&gt;="&amp;TODAY()-WEEKDAY(TODAY(),2)+1,tbl_chests[datetime],"&lt;"&amp;TODAY()-WEEKDAY(TODAY(),2)+8)))</f>
        <v>0</v>
      </c>
      <c r="AH10" s="36">
        <f ca="1">IF($A10="","",IF(AH$1="","",COUNTIFS(tbl_chests[from],$A10,tbl_chests[legalized],AH$1,tbl_chests[datetime],"&gt;="&amp;TODAY()-WEEKDAY(TODAY(),2)+1,tbl_chests[datetime],"&lt;"&amp;TODAY()-WEEKDAY(TODAY(),2)+8)))</f>
        <v>0</v>
      </c>
      <c r="AI10" s="36">
        <f ca="1">IF($A10="","",IF(AI$1="","",COUNTIFS(tbl_chests[from],$A10,tbl_chests[legalized],AI$1,tbl_chests[datetime],"&gt;="&amp;TODAY()-WEEKDAY(TODAY(),2)+1,tbl_chests[datetime],"&lt;"&amp;TODAY()-WEEKDAY(TODAY(),2)+8)))</f>
        <v>0</v>
      </c>
      <c r="AJ10" s="36">
        <f ca="1">IF($A10="","",IF(AJ$1="","",COUNTIFS(tbl_chests[from],$A10,tbl_chests[legalized],AJ$1,tbl_chests[datetime],"&gt;="&amp;TODAY()-WEEKDAY(TODAY(),2)+1,tbl_chests[datetime],"&lt;"&amp;TODAY()-WEEKDAY(TODAY(),2)+8)))</f>
        <v>0</v>
      </c>
      <c r="AK10" s="36">
        <f ca="1">IF($A10="","",IF(AK$1="","",COUNTIFS(tbl_chests[from],$A10,tbl_chests[legalized],AK$1,tbl_chests[datetime],"&gt;="&amp;TODAY()-WEEKDAY(TODAY(),2)+1,tbl_chests[datetime],"&lt;"&amp;TODAY()-WEEKDAY(TODAY(),2)+8)))</f>
        <v>0</v>
      </c>
      <c r="AL10" s="36">
        <f ca="1">IF($A10="","",IF(AL$1="","",COUNTIFS(tbl_chests[from],$A10,tbl_chests[legalized],AL$1,tbl_chests[datetime],"&gt;="&amp;TODAY()-WEEKDAY(TODAY(),2)+1,tbl_chests[datetime],"&lt;"&amp;TODAY()-WEEKDAY(TODAY(),2)+8)))</f>
        <v>0</v>
      </c>
      <c r="AM10" s="37">
        <f ca="1">IF($A10="","",IF(AM$1="","",COUNTIFS(tbl_chests[from],$A10,tbl_chests[legalized],AM$1,tbl_chests[datetime],"&gt;="&amp;TODAY()-WEEKDAY(TODAY(),2)+1,tbl_chests[datetime],"&lt;"&amp;TODAY()-WEEKDAY(TODAY(),2)+8)))</f>
        <v>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spans="1:67" x14ac:dyDescent="0.25">
      <c r="A11" s="34" t="str">
        <f>chests_counter!$H8</f>
        <v>BORU</v>
      </c>
      <c r="B11" s="35" cm="1">
        <f t="array" aca="1" ref="B11" ca="1">IF(A11&lt;&gt;"", SUMPRODUCT(($C$2:$AM$2&lt;&gt;0)*(C11:AM11&lt;&gt;0)*($C$2:$AM$2)*(C11:AM11)), "")</f>
        <v>40</v>
      </c>
      <c r="C11" s="36">
        <f ca="1">IF($A11="","",IF(C$1="","",COUNTIFS(tbl_chests[from],$A11,tbl_chests[legalized],C$1,tbl_chests[datetime],"&gt;="&amp;TODAY()-WEEKDAY(TODAY(),2)+1,tbl_chests[datetime],"&lt;"&amp;TODAY()-WEEKDAY(TODAY(),2)+8)))</f>
        <v>2</v>
      </c>
      <c r="D11" s="36">
        <f ca="1">IF($A11="","",IF(D$1="","",COUNTIFS(tbl_chests[from],$A11,tbl_chests[legalized],D$1,tbl_chests[datetime],"&gt;="&amp;TODAY()-WEEKDAY(TODAY(),2)+1,tbl_chests[datetime],"&lt;"&amp;TODAY()-WEEKDAY(TODAY(),2)+8)))</f>
        <v>1</v>
      </c>
      <c r="E11" s="36">
        <f ca="1">IF($A11="","",IF(E$1="","",COUNTIFS(tbl_chests[from],$A11,tbl_chests[legalized],E$1,tbl_chests[datetime],"&gt;="&amp;TODAY()-WEEKDAY(TODAY(),2)+1,tbl_chests[datetime],"&lt;"&amp;TODAY()-WEEKDAY(TODAY(),2)+8)))</f>
        <v>0</v>
      </c>
      <c r="F11" s="36">
        <f ca="1">IF($A11="","",IF(F$1="","",COUNTIFS(tbl_chests[from],$A11,tbl_chests[legalized],F$1,tbl_chests[datetime],"&gt;="&amp;TODAY()-WEEKDAY(TODAY(),2)+1,tbl_chests[datetime],"&lt;"&amp;TODAY()-WEEKDAY(TODAY(),2)+8)))</f>
        <v>0</v>
      </c>
      <c r="G11" s="36">
        <f ca="1">IF($A11="","",IF(G$1="","",COUNTIFS(tbl_chests[from],$A11,tbl_chests[legalized],G$1,tbl_chests[datetime],"&gt;="&amp;TODAY()-WEEKDAY(TODAY(),2)+1,tbl_chests[datetime],"&lt;"&amp;TODAY()-WEEKDAY(TODAY(),2)+8)))</f>
        <v>0</v>
      </c>
      <c r="H11" s="36">
        <f ca="1">IF($A11="","",IF(H$1="","",COUNTIFS(tbl_chests[from],$A11,tbl_chests[legalized],H$1,tbl_chests[datetime],"&gt;="&amp;TODAY()-WEEKDAY(TODAY(),2)+1,tbl_chests[datetime],"&lt;"&amp;TODAY()-WEEKDAY(TODAY(),2)+8)))</f>
        <v>0</v>
      </c>
      <c r="I11" s="36">
        <f ca="1">IF($A11="","",IF(I$1="","",COUNTIFS(tbl_chests[from],$A11,tbl_chests[legalized],I$1,tbl_chests[datetime],"&gt;="&amp;TODAY()-WEEKDAY(TODAY(),2)+1,tbl_chests[datetime],"&lt;"&amp;TODAY()-WEEKDAY(TODAY(),2)+8)))</f>
        <v>0</v>
      </c>
      <c r="J11" s="36">
        <f ca="1">IF($A11="","",IF(J$1="","",COUNTIFS(tbl_chests[from],$A11,tbl_chests[legalized],J$1,tbl_chests[datetime],"&gt;="&amp;TODAY()-WEEKDAY(TODAY(),2)+1,tbl_chests[datetime],"&lt;"&amp;TODAY()-WEEKDAY(TODAY(),2)+8)))</f>
        <v>0</v>
      </c>
      <c r="K11" s="36">
        <f ca="1">IF($A11="","",IF(K$1="","",COUNTIFS(tbl_chests[from],$A11,tbl_chests[legalized],K$1,tbl_chests[datetime],"&gt;="&amp;TODAY()-WEEKDAY(TODAY(),2)+1,tbl_chests[datetime],"&lt;"&amp;TODAY()-WEEKDAY(TODAY(),2)+8)))</f>
        <v>0</v>
      </c>
      <c r="L11" s="36">
        <f ca="1">IF($A11="","",IF(L$1="","",COUNTIFS(tbl_chests[from],$A11,tbl_chests[legalized],L$1,tbl_chests[datetime],"&gt;="&amp;TODAY()-WEEKDAY(TODAY(),2)+1,tbl_chests[datetime],"&lt;"&amp;TODAY()-WEEKDAY(TODAY(),2)+8)))</f>
        <v>0</v>
      </c>
      <c r="M11" s="36">
        <f ca="1">IF($A11="","",IF(M$1="","",COUNTIFS(tbl_chests[from],$A11,tbl_chests[legalized],M$1,tbl_chests[datetime],"&gt;="&amp;TODAY()-WEEKDAY(TODAY(),2)+1,tbl_chests[datetime],"&lt;"&amp;TODAY()-WEEKDAY(TODAY(),2)+8)))</f>
        <v>0</v>
      </c>
      <c r="N11" s="36">
        <f ca="1">IF($A11="","",IF(N$1="","",COUNTIFS(tbl_chests[from],$A11,tbl_chests[legalized],N$1,tbl_chests[datetime],"&gt;="&amp;TODAY()-WEEKDAY(TODAY(),2)+1,tbl_chests[datetime],"&lt;"&amp;TODAY()-WEEKDAY(TODAY(),2)+8)))</f>
        <v>0</v>
      </c>
      <c r="O11" s="36">
        <f ca="1">IF($A11="","",IF(O$1="","",COUNTIFS(tbl_chests[from],$A11,tbl_chests[legalized],O$1,tbl_chests[datetime],"&gt;="&amp;TODAY()-WEEKDAY(TODAY(),2)+1,tbl_chests[datetime],"&lt;"&amp;TODAY()-WEEKDAY(TODAY(),2)+8)))</f>
        <v>0</v>
      </c>
      <c r="P11" s="36">
        <f ca="1">IF($A11="","",IF(P$1="","",COUNTIFS(tbl_chests[from],$A11,tbl_chests[legalized],P$1,tbl_chests[datetime],"&gt;="&amp;TODAY()-WEEKDAY(TODAY(),2)+1,tbl_chests[datetime],"&lt;"&amp;TODAY()-WEEKDAY(TODAY(),2)+8)))</f>
        <v>0</v>
      </c>
      <c r="Q11" s="36">
        <f ca="1">IF($A11="","",IF(Q$1="","",COUNTIFS(tbl_chests[from],$A11,tbl_chests[legalized],Q$1,tbl_chests[datetime],"&gt;="&amp;TODAY()-WEEKDAY(TODAY(),2)+1,tbl_chests[datetime],"&lt;"&amp;TODAY()-WEEKDAY(TODAY(),2)+8)))</f>
        <v>0</v>
      </c>
      <c r="R11" s="36">
        <f ca="1">IF($A11="","",IF(R$1="","",COUNTIFS(tbl_chests[from],$A11,tbl_chests[legalized],R$1,tbl_chests[datetime],"&gt;="&amp;TODAY()-WEEKDAY(TODAY(),2)+1,tbl_chests[datetime],"&lt;"&amp;TODAY()-WEEKDAY(TODAY(),2)+8)))</f>
        <v>0</v>
      </c>
      <c r="S11" s="36">
        <f ca="1">IF($A11="","",IF(S$1="","",COUNTIFS(tbl_chests[from],$A11,tbl_chests[legalized],S$1,tbl_chests[datetime],"&gt;="&amp;TODAY()-WEEKDAY(TODAY(),2)+1,tbl_chests[datetime],"&lt;"&amp;TODAY()-WEEKDAY(TODAY(),2)+8)))</f>
        <v>0</v>
      </c>
      <c r="T11" s="36">
        <f ca="1">IF($A11="","",IF(T$1="","",COUNTIFS(tbl_chests[from],$A11,tbl_chests[legalized],T$1,tbl_chests[datetime],"&gt;="&amp;TODAY()-WEEKDAY(TODAY(),2)+1,tbl_chests[datetime],"&lt;"&amp;TODAY()-WEEKDAY(TODAY(),2)+8)))</f>
        <v>0</v>
      </c>
      <c r="U11" s="36">
        <f ca="1">IF($A11="","",IF(U$1="","",COUNTIFS(tbl_chests[from],$A11,tbl_chests[legalized],U$1,tbl_chests[datetime],"&gt;="&amp;TODAY()-WEEKDAY(TODAY(),2)+1,tbl_chests[datetime],"&lt;"&amp;TODAY()-WEEKDAY(TODAY(),2)+8)))</f>
        <v>0</v>
      </c>
      <c r="V11" s="36">
        <f ca="1">IF($A11="","",IF(V$1="","",COUNTIFS(tbl_chests[from],$A11,tbl_chests[legalized],V$1,tbl_chests[datetime],"&gt;="&amp;TODAY()-WEEKDAY(TODAY(),2)+1,tbl_chests[datetime],"&lt;"&amp;TODAY()-WEEKDAY(TODAY(),2)+8)))</f>
        <v>0</v>
      </c>
      <c r="W11" s="36">
        <f ca="1">IF($A11="","",IF(W$1="","",COUNTIFS(tbl_chests[from],$A11,tbl_chests[legalized],W$1,tbl_chests[datetime],"&gt;="&amp;TODAY()-WEEKDAY(TODAY(),2)+1,tbl_chests[datetime],"&lt;"&amp;TODAY()-WEEKDAY(TODAY(),2)+8)))</f>
        <v>0</v>
      </c>
      <c r="X11" s="36">
        <f ca="1">IF($A11="","",IF(X$1="","",COUNTIFS(tbl_chests[from],$A11,tbl_chests[legalized],X$1,tbl_chests[datetime],"&gt;="&amp;TODAY()-WEEKDAY(TODAY(),2)+1,tbl_chests[datetime],"&lt;"&amp;TODAY()-WEEKDAY(TODAY(),2)+8)))</f>
        <v>0</v>
      </c>
      <c r="Y11" s="36">
        <f ca="1">IF($A11="","",IF(Y$1="","",COUNTIFS(tbl_chests[from],$A11,tbl_chests[legalized],Y$1,tbl_chests[datetime],"&gt;="&amp;TODAY()-WEEKDAY(TODAY(),2)+1,tbl_chests[datetime],"&lt;"&amp;TODAY()-WEEKDAY(TODAY(),2)+8)))</f>
        <v>0</v>
      </c>
      <c r="Z11" s="36">
        <f ca="1">IF($A11="","",IF(Z$1="","",COUNTIFS(tbl_chests[from],$A11,tbl_chests[legalized],Z$1,tbl_chests[datetime],"&gt;="&amp;TODAY()-WEEKDAY(TODAY(),2)+1,tbl_chests[datetime],"&lt;"&amp;TODAY()-WEEKDAY(TODAY(),2)+8)))</f>
        <v>0</v>
      </c>
      <c r="AA11" s="36">
        <f ca="1">IF($A11="","",IF(AA$1="","",COUNTIFS(tbl_chests[from],$A11,tbl_chests[legalized],AA$1,tbl_chests[datetime],"&gt;="&amp;TODAY()-WEEKDAY(TODAY(),2)+1,tbl_chests[datetime],"&lt;"&amp;TODAY()-WEEKDAY(TODAY(),2)+8)))</f>
        <v>0</v>
      </c>
      <c r="AB11" s="36">
        <f ca="1">IF($A11="","",IF(AB$1="","",COUNTIFS(tbl_chests[from],$A11,tbl_chests[legalized],AB$1,tbl_chests[datetime],"&gt;="&amp;TODAY()-WEEKDAY(TODAY(),2)+1,tbl_chests[datetime],"&lt;"&amp;TODAY()-WEEKDAY(TODAY(),2)+8)))</f>
        <v>0</v>
      </c>
      <c r="AC11" s="36">
        <f ca="1">IF($A11="","",IF(AC$1="","",COUNTIFS(tbl_chests[from],$A11,tbl_chests[legalized],AC$1,tbl_chests[datetime],"&gt;="&amp;TODAY()-WEEKDAY(TODAY(),2)+1,tbl_chests[datetime],"&lt;"&amp;TODAY()-WEEKDAY(TODAY(),2)+8)))</f>
        <v>0</v>
      </c>
      <c r="AD11" s="36">
        <f ca="1">IF($A11="","",IF(AD$1="","",COUNTIFS(tbl_chests[from],$A11,tbl_chests[legalized],AD$1,tbl_chests[datetime],"&gt;="&amp;TODAY()-WEEKDAY(TODAY(),2)+1,tbl_chests[datetime],"&lt;"&amp;TODAY()-WEEKDAY(TODAY(),2)+8)))</f>
        <v>0</v>
      </c>
      <c r="AE11" s="36">
        <f ca="1">IF($A11="","",IF(AE$1="","",COUNTIFS(tbl_chests[from],$A11,tbl_chests[legalized],AE$1,tbl_chests[datetime],"&gt;="&amp;TODAY()-WEEKDAY(TODAY(),2)+1,tbl_chests[datetime],"&lt;"&amp;TODAY()-WEEKDAY(TODAY(),2)+8)))</f>
        <v>0</v>
      </c>
      <c r="AF11" s="36">
        <f ca="1">IF($A11="","",IF(AF$1="","",COUNTIFS(tbl_chests[from],$A11,tbl_chests[legalized],AF$1,tbl_chests[datetime],"&gt;="&amp;TODAY()-WEEKDAY(TODAY(),2)+1,tbl_chests[datetime],"&lt;"&amp;TODAY()-WEEKDAY(TODAY(),2)+8)))</f>
        <v>0</v>
      </c>
      <c r="AG11" s="36">
        <f ca="1">IF($A11="","",IF(AG$1="","",COUNTIFS(tbl_chests[from],$A11,tbl_chests[legalized],AG$1,tbl_chests[datetime],"&gt;="&amp;TODAY()-WEEKDAY(TODAY(),2)+1,tbl_chests[datetime],"&lt;"&amp;TODAY()-WEEKDAY(TODAY(),2)+8)))</f>
        <v>0</v>
      </c>
      <c r="AH11" s="36">
        <f ca="1">IF($A11="","",IF(AH$1="","",COUNTIFS(tbl_chests[from],$A11,tbl_chests[legalized],AH$1,tbl_chests[datetime],"&gt;="&amp;TODAY()-WEEKDAY(TODAY(),2)+1,tbl_chests[datetime],"&lt;"&amp;TODAY()-WEEKDAY(TODAY(),2)+8)))</f>
        <v>0</v>
      </c>
      <c r="AI11" s="36">
        <f ca="1">IF($A11="","",IF(AI$1="","",COUNTIFS(tbl_chests[from],$A11,tbl_chests[legalized],AI$1,tbl_chests[datetime],"&gt;="&amp;TODAY()-WEEKDAY(TODAY(),2)+1,tbl_chests[datetime],"&lt;"&amp;TODAY()-WEEKDAY(TODAY(),2)+8)))</f>
        <v>0</v>
      </c>
      <c r="AJ11" s="36">
        <f ca="1">IF($A11="","",IF(AJ$1="","",COUNTIFS(tbl_chests[from],$A11,tbl_chests[legalized],AJ$1,tbl_chests[datetime],"&gt;="&amp;TODAY()-WEEKDAY(TODAY(),2)+1,tbl_chests[datetime],"&lt;"&amp;TODAY()-WEEKDAY(TODAY(),2)+8)))</f>
        <v>0</v>
      </c>
      <c r="AK11" s="36">
        <f ca="1">IF($A11="","",IF(AK$1="","",COUNTIFS(tbl_chests[from],$A11,tbl_chests[legalized],AK$1,tbl_chests[datetime],"&gt;="&amp;TODAY()-WEEKDAY(TODAY(),2)+1,tbl_chests[datetime],"&lt;"&amp;TODAY()-WEEKDAY(TODAY(),2)+8)))</f>
        <v>0</v>
      </c>
      <c r="AL11" s="36">
        <f ca="1">IF($A11="","",IF(AL$1="","",COUNTIFS(tbl_chests[from],$A11,tbl_chests[legalized],AL$1,tbl_chests[datetime],"&gt;="&amp;TODAY()-WEEKDAY(TODAY(),2)+1,tbl_chests[datetime],"&lt;"&amp;TODAY()-WEEKDAY(TODAY(),2)+8)))</f>
        <v>0</v>
      </c>
      <c r="AM11" s="37">
        <f ca="1">IF($A11="","",IF(AM$1="","",COUNTIFS(tbl_chests[from],$A11,tbl_chests[legalized],AM$1,tbl_chests[datetime],"&gt;="&amp;TODAY()-WEEKDAY(TODAY(),2)+1,tbl_chests[datetime],"&lt;"&amp;TODAY()-WEEKDAY(TODAY(),2)+8)))</f>
        <v>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spans="1:67" x14ac:dyDescent="0.25">
      <c r="A12" s="34" t="str">
        <f>chests_counter!$H9</f>
        <v>Burgs</v>
      </c>
      <c r="B12" s="35" cm="1">
        <f t="array" aca="1" ref="B12" ca="1">IF(A12&lt;&gt;"", SUMPRODUCT(($C$2:$AM$2&lt;&gt;0)*(C12:AM12&lt;&gt;0)*($C$2:$AM$2)*(C12:AM12)), "")</f>
        <v>170</v>
      </c>
      <c r="C12" s="36">
        <f ca="1">IF($A12="","",IF(C$1="","",COUNTIFS(tbl_chests[from],$A12,tbl_chests[legalized],C$1,tbl_chests[datetime],"&gt;="&amp;TODAY()-WEEKDAY(TODAY(),2)+1,tbl_chests[datetime],"&lt;"&amp;TODAY()-WEEKDAY(TODAY(),2)+8)))</f>
        <v>0</v>
      </c>
      <c r="D12" s="36">
        <f ca="1">IF($A12="","",IF(D$1="","",COUNTIFS(tbl_chests[from],$A12,tbl_chests[legalized],D$1,tbl_chests[datetime],"&gt;="&amp;TODAY()-WEEKDAY(TODAY(),2)+1,tbl_chests[datetime],"&lt;"&amp;TODAY()-WEEKDAY(TODAY(),2)+8)))</f>
        <v>4</v>
      </c>
      <c r="E12" s="36">
        <f ca="1">IF($A12="","",IF(E$1="","",COUNTIFS(tbl_chests[from],$A12,tbl_chests[legalized],E$1,tbl_chests[datetime],"&gt;="&amp;TODAY()-WEEKDAY(TODAY(),2)+1,tbl_chests[datetime],"&lt;"&amp;TODAY()-WEEKDAY(TODAY(),2)+8)))</f>
        <v>1</v>
      </c>
      <c r="F12" s="36">
        <f ca="1">IF($A12="","",IF(F$1="","",COUNTIFS(tbl_chests[from],$A12,tbl_chests[legalized],F$1,tbl_chests[datetime],"&gt;="&amp;TODAY()-WEEKDAY(TODAY(),2)+1,tbl_chests[datetime],"&lt;"&amp;TODAY()-WEEKDAY(TODAY(),2)+8)))</f>
        <v>0</v>
      </c>
      <c r="G12" s="36">
        <f ca="1">IF($A12="","",IF(G$1="","",COUNTIFS(tbl_chests[from],$A12,tbl_chests[legalized],G$1,tbl_chests[datetime],"&gt;="&amp;TODAY()-WEEKDAY(TODAY(),2)+1,tbl_chests[datetime],"&lt;"&amp;TODAY()-WEEKDAY(TODAY(),2)+8)))</f>
        <v>0</v>
      </c>
      <c r="H12" s="36">
        <f ca="1">IF($A12="","",IF(H$1="","",COUNTIFS(tbl_chests[from],$A12,tbl_chests[legalized],H$1,tbl_chests[datetime],"&gt;="&amp;TODAY()-WEEKDAY(TODAY(),2)+1,tbl_chests[datetime],"&lt;"&amp;TODAY()-WEEKDAY(TODAY(),2)+8)))</f>
        <v>0</v>
      </c>
      <c r="I12" s="36">
        <f ca="1">IF($A12="","",IF(I$1="","",COUNTIFS(tbl_chests[from],$A12,tbl_chests[legalized],I$1,tbl_chests[datetime],"&gt;="&amp;TODAY()-WEEKDAY(TODAY(),2)+1,tbl_chests[datetime],"&lt;"&amp;TODAY()-WEEKDAY(TODAY(),2)+8)))</f>
        <v>0</v>
      </c>
      <c r="J12" s="36">
        <f ca="1">IF($A12="","",IF(J$1="","",COUNTIFS(tbl_chests[from],$A12,tbl_chests[legalized],J$1,tbl_chests[datetime],"&gt;="&amp;TODAY()-WEEKDAY(TODAY(),2)+1,tbl_chests[datetime],"&lt;"&amp;TODAY()-WEEKDAY(TODAY(),2)+8)))</f>
        <v>0</v>
      </c>
      <c r="K12" s="36">
        <f ca="1">IF($A12="","",IF(K$1="","",COUNTIFS(tbl_chests[from],$A12,tbl_chests[legalized],K$1,tbl_chests[datetime],"&gt;="&amp;TODAY()-WEEKDAY(TODAY(),2)+1,tbl_chests[datetime],"&lt;"&amp;TODAY()-WEEKDAY(TODAY(),2)+8)))</f>
        <v>0</v>
      </c>
      <c r="L12" s="36">
        <f ca="1">IF($A12="","",IF(L$1="","",COUNTIFS(tbl_chests[from],$A12,tbl_chests[legalized],L$1,tbl_chests[datetime],"&gt;="&amp;TODAY()-WEEKDAY(TODAY(),2)+1,tbl_chests[datetime],"&lt;"&amp;TODAY()-WEEKDAY(TODAY(),2)+8)))</f>
        <v>0</v>
      </c>
      <c r="M12" s="36">
        <f ca="1">IF($A12="","",IF(M$1="","",COUNTIFS(tbl_chests[from],$A12,tbl_chests[legalized],M$1,tbl_chests[datetime],"&gt;="&amp;TODAY()-WEEKDAY(TODAY(),2)+1,tbl_chests[datetime],"&lt;"&amp;TODAY()-WEEKDAY(TODAY(),2)+8)))</f>
        <v>1</v>
      </c>
      <c r="N12" s="36">
        <f ca="1">IF($A12="","",IF(N$1="","",COUNTIFS(tbl_chests[from],$A12,tbl_chests[legalized],N$1,tbl_chests[datetime],"&gt;="&amp;TODAY()-WEEKDAY(TODAY(),2)+1,tbl_chests[datetime],"&lt;"&amp;TODAY()-WEEKDAY(TODAY(),2)+8)))</f>
        <v>0</v>
      </c>
      <c r="O12" s="36">
        <f ca="1">IF($A12="","",IF(O$1="","",COUNTIFS(tbl_chests[from],$A12,tbl_chests[legalized],O$1,tbl_chests[datetime],"&gt;="&amp;TODAY()-WEEKDAY(TODAY(),2)+1,tbl_chests[datetime],"&lt;"&amp;TODAY()-WEEKDAY(TODAY(),2)+8)))</f>
        <v>0</v>
      </c>
      <c r="P12" s="36">
        <f ca="1">IF($A12="","",IF(P$1="","",COUNTIFS(tbl_chests[from],$A12,tbl_chests[legalized],P$1,tbl_chests[datetime],"&gt;="&amp;TODAY()-WEEKDAY(TODAY(),2)+1,tbl_chests[datetime],"&lt;"&amp;TODAY()-WEEKDAY(TODAY(),2)+8)))</f>
        <v>0</v>
      </c>
      <c r="Q12" s="36">
        <f ca="1">IF($A12="","",IF(Q$1="","",COUNTIFS(tbl_chests[from],$A12,tbl_chests[legalized],Q$1,tbl_chests[datetime],"&gt;="&amp;TODAY()-WEEKDAY(TODAY(),2)+1,tbl_chests[datetime],"&lt;"&amp;TODAY()-WEEKDAY(TODAY(),2)+8)))</f>
        <v>0</v>
      </c>
      <c r="R12" s="36">
        <f ca="1">IF($A12="","",IF(R$1="","",COUNTIFS(tbl_chests[from],$A12,tbl_chests[legalized],R$1,tbl_chests[datetime],"&gt;="&amp;TODAY()-WEEKDAY(TODAY(),2)+1,tbl_chests[datetime],"&lt;"&amp;TODAY()-WEEKDAY(TODAY(),2)+8)))</f>
        <v>0</v>
      </c>
      <c r="S12" s="36">
        <f ca="1">IF($A12="","",IF(S$1="","",COUNTIFS(tbl_chests[from],$A12,tbl_chests[legalized],S$1,tbl_chests[datetime],"&gt;="&amp;TODAY()-WEEKDAY(TODAY(),2)+1,tbl_chests[datetime],"&lt;"&amp;TODAY()-WEEKDAY(TODAY(),2)+8)))</f>
        <v>0</v>
      </c>
      <c r="T12" s="36">
        <f ca="1">IF($A12="","",IF(T$1="","",COUNTIFS(tbl_chests[from],$A12,tbl_chests[legalized],T$1,tbl_chests[datetime],"&gt;="&amp;TODAY()-WEEKDAY(TODAY(),2)+1,tbl_chests[datetime],"&lt;"&amp;TODAY()-WEEKDAY(TODAY(),2)+8)))</f>
        <v>0</v>
      </c>
      <c r="U12" s="36">
        <f ca="1">IF($A12="","",IF(U$1="","",COUNTIFS(tbl_chests[from],$A12,tbl_chests[legalized],U$1,tbl_chests[datetime],"&gt;="&amp;TODAY()-WEEKDAY(TODAY(),2)+1,tbl_chests[datetime],"&lt;"&amp;TODAY()-WEEKDAY(TODAY(),2)+8)))</f>
        <v>0</v>
      </c>
      <c r="V12" s="36">
        <f ca="1">IF($A12="","",IF(V$1="","",COUNTIFS(tbl_chests[from],$A12,tbl_chests[legalized],V$1,tbl_chests[datetime],"&gt;="&amp;TODAY()-WEEKDAY(TODAY(),2)+1,tbl_chests[datetime],"&lt;"&amp;TODAY()-WEEKDAY(TODAY(),2)+8)))</f>
        <v>0</v>
      </c>
      <c r="W12" s="36">
        <f ca="1">IF($A12="","",IF(W$1="","",COUNTIFS(tbl_chests[from],$A12,tbl_chests[legalized],W$1,tbl_chests[datetime],"&gt;="&amp;TODAY()-WEEKDAY(TODAY(),2)+1,tbl_chests[datetime],"&lt;"&amp;TODAY()-WEEKDAY(TODAY(),2)+8)))</f>
        <v>0</v>
      </c>
      <c r="X12" s="36">
        <f ca="1">IF($A12="","",IF(X$1="","",COUNTIFS(tbl_chests[from],$A12,tbl_chests[legalized],X$1,tbl_chests[datetime],"&gt;="&amp;TODAY()-WEEKDAY(TODAY(),2)+1,tbl_chests[datetime],"&lt;"&amp;TODAY()-WEEKDAY(TODAY(),2)+8)))</f>
        <v>0</v>
      </c>
      <c r="Y12" s="36">
        <f ca="1">IF($A12="","",IF(Y$1="","",COUNTIFS(tbl_chests[from],$A12,tbl_chests[legalized],Y$1,tbl_chests[datetime],"&gt;="&amp;TODAY()-WEEKDAY(TODAY(),2)+1,tbl_chests[datetime],"&lt;"&amp;TODAY()-WEEKDAY(TODAY(),2)+8)))</f>
        <v>0</v>
      </c>
      <c r="Z12" s="36">
        <f ca="1">IF($A12="","",IF(Z$1="","",COUNTIFS(tbl_chests[from],$A12,tbl_chests[legalized],Z$1,tbl_chests[datetime],"&gt;="&amp;TODAY()-WEEKDAY(TODAY(),2)+1,tbl_chests[datetime],"&lt;"&amp;TODAY()-WEEKDAY(TODAY(),2)+8)))</f>
        <v>0</v>
      </c>
      <c r="AA12" s="36">
        <f ca="1">IF($A12="","",IF(AA$1="","",COUNTIFS(tbl_chests[from],$A12,tbl_chests[legalized],AA$1,tbl_chests[datetime],"&gt;="&amp;TODAY()-WEEKDAY(TODAY(),2)+1,tbl_chests[datetime],"&lt;"&amp;TODAY()-WEEKDAY(TODAY(),2)+8)))</f>
        <v>0</v>
      </c>
      <c r="AB12" s="36">
        <f ca="1">IF($A12="","",IF(AB$1="","",COUNTIFS(tbl_chests[from],$A12,tbl_chests[legalized],AB$1,tbl_chests[datetime],"&gt;="&amp;TODAY()-WEEKDAY(TODAY(),2)+1,tbl_chests[datetime],"&lt;"&amp;TODAY()-WEEKDAY(TODAY(),2)+8)))</f>
        <v>0</v>
      </c>
      <c r="AC12" s="36">
        <f ca="1">IF($A12="","",IF(AC$1="","",COUNTIFS(tbl_chests[from],$A12,tbl_chests[legalized],AC$1,tbl_chests[datetime],"&gt;="&amp;TODAY()-WEEKDAY(TODAY(),2)+1,tbl_chests[datetime],"&lt;"&amp;TODAY()-WEEKDAY(TODAY(),2)+8)))</f>
        <v>0</v>
      </c>
      <c r="AD12" s="36">
        <f ca="1">IF($A12="","",IF(AD$1="","",COUNTIFS(tbl_chests[from],$A12,tbl_chests[legalized],AD$1,tbl_chests[datetime],"&gt;="&amp;TODAY()-WEEKDAY(TODAY(),2)+1,tbl_chests[datetime],"&lt;"&amp;TODAY()-WEEKDAY(TODAY(),2)+8)))</f>
        <v>0</v>
      </c>
      <c r="AE12" s="36">
        <f ca="1">IF($A12="","",IF(AE$1="","",COUNTIFS(tbl_chests[from],$A12,tbl_chests[legalized],AE$1,tbl_chests[datetime],"&gt;="&amp;TODAY()-WEEKDAY(TODAY(),2)+1,tbl_chests[datetime],"&lt;"&amp;TODAY()-WEEKDAY(TODAY(),2)+8)))</f>
        <v>6</v>
      </c>
      <c r="AF12" s="36">
        <f ca="1">IF($A12="","",IF(AF$1="","",COUNTIFS(tbl_chests[from],$A12,tbl_chests[legalized],AF$1,tbl_chests[datetime],"&gt;="&amp;TODAY()-WEEKDAY(TODAY(),2)+1,tbl_chests[datetime],"&lt;"&amp;TODAY()-WEEKDAY(TODAY(),2)+8)))</f>
        <v>0</v>
      </c>
      <c r="AG12" s="36">
        <f ca="1">IF($A12="","",IF(AG$1="","",COUNTIFS(tbl_chests[from],$A12,tbl_chests[legalized],AG$1,tbl_chests[datetime],"&gt;="&amp;TODAY()-WEEKDAY(TODAY(),2)+1,tbl_chests[datetime],"&lt;"&amp;TODAY()-WEEKDAY(TODAY(),2)+8)))</f>
        <v>0</v>
      </c>
      <c r="AH12" s="36">
        <f ca="1">IF($A12="","",IF(AH$1="","",COUNTIFS(tbl_chests[from],$A12,tbl_chests[legalized],AH$1,tbl_chests[datetime],"&gt;="&amp;TODAY()-WEEKDAY(TODAY(),2)+1,tbl_chests[datetime],"&lt;"&amp;TODAY()-WEEKDAY(TODAY(),2)+8)))</f>
        <v>0</v>
      </c>
      <c r="AI12" s="36">
        <f ca="1">IF($A12="","",IF(AI$1="","",COUNTIFS(tbl_chests[from],$A12,tbl_chests[legalized],AI$1,tbl_chests[datetime],"&gt;="&amp;TODAY()-WEEKDAY(TODAY(),2)+1,tbl_chests[datetime],"&lt;"&amp;TODAY()-WEEKDAY(TODAY(),2)+8)))</f>
        <v>0</v>
      </c>
      <c r="AJ12" s="36">
        <f ca="1">IF($A12="","",IF(AJ$1="","",COUNTIFS(tbl_chests[from],$A12,tbl_chests[legalized],AJ$1,tbl_chests[datetime],"&gt;="&amp;TODAY()-WEEKDAY(TODAY(),2)+1,tbl_chests[datetime],"&lt;"&amp;TODAY()-WEEKDAY(TODAY(),2)+8)))</f>
        <v>0</v>
      </c>
      <c r="AK12" s="36">
        <f ca="1">IF($A12="","",IF(AK$1="","",COUNTIFS(tbl_chests[from],$A12,tbl_chests[legalized],AK$1,tbl_chests[datetime],"&gt;="&amp;TODAY()-WEEKDAY(TODAY(),2)+1,tbl_chests[datetime],"&lt;"&amp;TODAY()-WEEKDAY(TODAY(),2)+8)))</f>
        <v>0</v>
      </c>
      <c r="AL12" s="36">
        <f ca="1">IF($A12="","",IF(AL$1="","",COUNTIFS(tbl_chests[from],$A12,tbl_chests[legalized],AL$1,tbl_chests[datetime],"&gt;="&amp;TODAY()-WEEKDAY(TODAY(),2)+1,tbl_chests[datetime],"&lt;"&amp;TODAY()-WEEKDAY(TODAY(),2)+8)))</f>
        <v>0</v>
      </c>
      <c r="AM12" s="37">
        <f ca="1">IF($A12="","",IF(AM$1="","",COUNTIFS(tbl_chests[from],$A12,tbl_chests[legalized],AM$1,tbl_chests[datetime],"&gt;="&amp;TODAY()-WEEKDAY(TODAY(),2)+1,tbl_chests[datetime],"&lt;"&amp;TODAY()-WEEKDAY(TODAY(),2)+8)))</f>
        <v>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spans="1:67" x14ac:dyDescent="0.25">
      <c r="A13" s="34" t="str">
        <f>chests_counter!$H10</f>
        <v>CAPONE</v>
      </c>
      <c r="B13" s="35" cm="1">
        <f t="array" aca="1" ref="B13" ca="1">IF(A13&lt;&gt;"", SUMPRODUCT(($C$2:$AM$2&lt;&gt;0)*(C13:AM13&lt;&gt;0)*($C$2:$AM$2)*(C13:AM13)), "")</f>
        <v>60</v>
      </c>
      <c r="C13" s="36">
        <f ca="1">IF($A13="","",IF(C$1="","",COUNTIFS(tbl_chests[from],$A13,tbl_chests[legalized],C$1,tbl_chests[datetime],"&gt;="&amp;TODAY()-WEEKDAY(TODAY(),2)+1,tbl_chests[datetime],"&lt;"&amp;TODAY()-WEEKDAY(TODAY(),2)+8)))</f>
        <v>1</v>
      </c>
      <c r="D13" s="36">
        <f ca="1">IF($A13="","",IF(D$1="","",COUNTIFS(tbl_chests[from],$A13,tbl_chests[legalized],D$1,tbl_chests[datetime],"&gt;="&amp;TODAY()-WEEKDAY(TODAY(),2)+1,tbl_chests[datetime],"&lt;"&amp;TODAY()-WEEKDAY(TODAY(),2)+8)))</f>
        <v>1</v>
      </c>
      <c r="E13" s="36">
        <f ca="1">IF($A13="","",IF(E$1="","",COUNTIFS(tbl_chests[from],$A13,tbl_chests[legalized],E$1,tbl_chests[datetime],"&gt;="&amp;TODAY()-WEEKDAY(TODAY(),2)+1,tbl_chests[datetime],"&lt;"&amp;TODAY()-WEEKDAY(TODAY(),2)+8)))</f>
        <v>0</v>
      </c>
      <c r="F13" s="36">
        <f ca="1">IF($A13="","",IF(F$1="","",COUNTIFS(tbl_chests[from],$A13,tbl_chests[legalized],F$1,tbl_chests[datetime],"&gt;="&amp;TODAY()-WEEKDAY(TODAY(),2)+1,tbl_chests[datetime],"&lt;"&amp;TODAY()-WEEKDAY(TODAY(),2)+8)))</f>
        <v>0</v>
      </c>
      <c r="G13" s="36">
        <f ca="1">IF($A13="","",IF(G$1="","",COUNTIFS(tbl_chests[from],$A13,tbl_chests[legalized],G$1,tbl_chests[datetime],"&gt;="&amp;TODAY()-WEEKDAY(TODAY(),2)+1,tbl_chests[datetime],"&lt;"&amp;TODAY()-WEEKDAY(TODAY(),2)+8)))</f>
        <v>0</v>
      </c>
      <c r="H13" s="36">
        <f ca="1">IF($A13="","",IF(H$1="","",COUNTIFS(tbl_chests[from],$A13,tbl_chests[legalized],H$1,tbl_chests[datetime],"&gt;="&amp;TODAY()-WEEKDAY(TODAY(),2)+1,tbl_chests[datetime],"&lt;"&amp;TODAY()-WEEKDAY(TODAY(),2)+8)))</f>
        <v>0</v>
      </c>
      <c r="I13" s="36">
        <f ca="1">IF($A13="","",IF(I$1="","",COUNTIFS(tbl_chests[from],$A13,tbl_chests[legalized],I$1,tbl_chests[datetime],"&gt;="&amp;TODAY()-WEEKDAY(TODAY(),2)+1,tbl_chests[datetime],"&lt;"&amp;TODAY()-WEEKDAY(TODAY(),2)+8)))</f>
        <v>0</v>
      </c>
      <c r="J13" s="36">
        <f ca="1">IF($A13="","",IF(J$1="","",COUNTIFS(tbl_chests[from],$A13,tbl_chests[legalized],J$1,tbl_chests[datetime],"&gt;="&amp;TODAY()-WEEKDAY(TODAY(),2)+1,tbl_chests[datetime],"&lt;"&amp;TODAY()-WEEKDAY(TODAY(),2)+8)))</f>
        <v>0</v>
      </c>
      <c r="K13" s="36">
        <f ca="1">IF($A13="","",IF(K$1="","",COUNTIFS(tbl_chests[from],$A13,tbl_chests[legalized],K$1,tbl_chests[datetime],"&gt;="&amp;TODAY()-WEEKDAY(TODAY(),2)+1,tbl_chests[datetime],"&lt;"&amp;TODAY()-WEEKDAY(TODAY(),2)+8)))</f>
        <v>0</v>
      </c>
      <c r="L13" s="36">
        <f ca="1">IF($A13="","",IF(L$1="","",COUNTIFS(tbl_chests[from],$A13,tbl_chests[legalized],L$1,tbl_chests[datetime],"&gt;="&amp;TODAY()-WEEKDAY(TODAY(),2)+1,tbl_chests[datetime],"&lt;"&amp;TODAY()-WEEKDAY(TODAY(),2)+8)))</f>
        <v>0</v>
      </c>
      <c r="M13" s="36">
        <f ca="1">IF($A13="","",IF(M$1="","",COUNTIFS(tbl_chests[from],$A13,tbl_chests[legalized],M$1,tbl_chests[datetime],"&gt;="&amp;TODAY()-WEEKDAY(TODAY(),2)+1,tbl_chests[datetime],"&lt;"&amp;TODAY()-WEEKDAY(TODAY(),2)+8)))</f>
        <v>1</v>
      </c>
      <c r="N13" s="36">
        <f ca="1">IF($A13="","",IF(N$1="","",COUNTIFS(tbl_chests[from],$A13,tbl_chests[legalized],N$1,tbl_chests[datetime],"&gt;="&amp;TODAY()-WEEKDAY(TODAY(),2)+1,tbl_chests[datetime],"&lt;"&amp;TODAY()-WEEKDAY(TODAY(),2)+8)))</f>
        <v>0</v>
      </c>
      <c r="O13" s="36">
        <f ca="1">IF($A13="","",IF(O$1="","",COUNTIFS(tbl_chests[from],$A13,tbl_chests[legalized],O$1,tbl_chests[datetime],"&gt;="&amp;TODAY()-WEEKDAY(TODAY(),2)+1,tbl_chests[datetime],"&lt;"&amp;TODAY()-WEEKDAY(TODAY(),2)+8)))</f>
        <v>0</v>
      </c>
      <c r="P13" s="36">
        <f ca="1">IF($A13="","",IF(P$1="","",COUNTIFS(tbl_chests[from],$A13,tbl_chests[legalized],P$1,tbl_chests[datetime],"&gt;="&amp;TODAY()-WEEKDAY(TODAY(),2)+1,tbl_chests[datetime],"&lt;"&amp;TODAY()-WEEKDAY(TODAY(),2)+8)))</f>
        <v>0</v>
      </c>
      <c r="Q13" s="36">
        <f ca="1">IF($A13="","",IF(Q$1="","",COUNTIFS(tbl_chests[from],$A13,tbl_chests[legalized],Q$1,tbl_chests[datetime],"&gt;="&amp;TODAY()-WEEKDAY(TODAY(),2)+1,tbl_chests[datetime],"&lt;"&amp;TODAY()-WEEKDAY(TODAY(),2)+8)))</f>
        <v>0</v>
      </c>
      <c r="R13" s="36">
        <f ca="1">IF($A13="","",IF(R$1="","",COUNTIFS(tbl_chests[from],$A13,tbl_chests[legalized],R$1,tbl_chests[datetime],"&gt;="&amp;TODAY()-WEEKDAY(TODAY(),2)+1,tbl_chests[datetime],"&lt;"&amp;TODAY()-WEEKDAY(TODAY(),2)+8)))</f>
        <v>0</v>
      </c>
      <c r="S13" s="36">
        <f ca="1">IF($A13="","",IF(S$1="","",COUNTIFS(tbl_chests[from],$A13,tbl_chests[legalized],S$1,tbl_chests[datetime],"&gt;="&amp;TODAY()-WEEKDAY(TODAY(),2)+1,tbl_chests[datetime],"&lt;"&amp;TODAY()-WEEKDAY(TODAY(),2)+8)))</f>
        <v>0</v>
      </c>
      <c r="T13" s="36">
        <f ca="1">IF($A13="","",IF(T$1="","",COUNTIFS(tbl_chests[from],$A13,tbl_chests[legalized],T$1,tbl_chests[datetime],"&gt;="&amp;TODAY()-WEEKDAY(TODAY(),2)+1,tbl_chests[datetime],"&lt;"&amp;TODAY()-WEEKDAY(TODAY(),2)+8)))</f>
        <v>0</v>
      </c>
      <c r="U13" s="36">
        <f ca="1">IF($A13="","",IF(U$1="","",COUNTIFS(tbl_chests[from],$A13,tbl_chests[legalized],U$1,tbl_chests[datetime],"&gt;="&amp;TODAY()-WEEKDAY(TODAY(),2)+1,tbl_chests[datetime],"&lt;"&amp;TODAY()-WEEKDAY(TODAY(),2)+8)))</f>
        <v>0</v>
      </c>
      <c r="V13" s="36">
        <f ca="1">IF($A13="","",IF(V$1="","",COUNTIFS(tbl_chests[from],$A13,tbl_chests[legalized],V$1,tbl_chests[datetime],"&gt;="&amp;TODAY()-WEEKDAY(TODAY(),2)+1,tbl_chests[datetime],"&lt;"&amp;TODAY()-WEEKDAY(TODAY(),2)+8)))</f>
        <v>0</v>
      </c>
      <c r="W13" s="36">
        <f ca="1">IF($A13="","",IF(W$1="","",COUNTIFS(tbl_chests[from],$A13,tbl_chests[legalized],W$1,tbl_chests[datetime],"&gt;="&amp;TODAY()-WEEKDAY(TODAY(),2)+1,tbl_chests[datetime],"&lt;"&amp;TODAY()-WEEKDAY(TODAY(),2)+8)))</f>
        <v>0</v>
      </c>
      <c r="X13" s="36">
        <f ca="1">IF($A13="","",IF(X$1="","",COUNTIFS(tbl_chests[from],$A13,tbl_chests[legalized],X$1,tbl_chests[datetime],"&gt;="&amp;TODAY()-WEEKDAY(TODAY(),2)+1,tbl_chests[datetime],"&lt;"&amp;TODAY()-WEEKDAY(TODAY(),2)+8)))</f>
        <v>0</v>
      </c>
      <c r="Y13" s="36">
        <f ca="1">IF($A13="","",IF(Y$1="","",COUNTIFS(tbl_chests[from],$A13,tbl_chests[legalized],Y$1,tbl_chests[datetime],"&gt;="&amp;TODAY()-WEEKDAY(TODAY(),2)+1,tbl_chests[datetime],"&lt;"&amp;TODAY()-WEEKDAY(TODAY(),2)+8)))</f>
        <v>0</v>
      </c>
      <c r="Z13" s="36">
        <f ca="1">IF($A13="","",IF(Z$1="","",COUNTIFS(tbl_chests[from],$A13,tbl_chests[legalized],Z$1,tbl_chests[datetime],"&gt;="&amp;TODAY()-WEEKDAY(TODAY(),2)+1,tbl_chests[datetime],"&lt;"&amp;TODAY()-WEEKDAY(TODAY(),2)+8)))</f>
        <v>0</v>
      </c>
      <c r="AA13" s="36">
        <f ca="1">IF($A13="","",IF(AA$1="","",COUNTIFS(tbl_chests[from],$A13,tbl_chests[legalized],AA$1,tbl_chests[datetime],"&gt;="&amp;TODAY()-WEEKDAY(TODAY(),2)+1,tbl_chests[datetime],"&lt;"&amp;TODAY()-WEEKDAY(TODAY(),2)+8)))</f>
        <v>0</v>
      </c>
      <c r="AB13" s="36">
        <f ca="1">IF($A13="","",IF(AB$1="","",COUNTIFS(tbl_chests[from],$A13,tbl_chests[legalized],AB$1,tbl_chests[datetime],"&gt;="&amp;TODAY()-WEEKDAY(TODAY(),2)+1,tbl_chests[datetime],"&lt;"&amp;TODAY()-WEEKDAY(TODAY(),2)+8)))</f>
        <v>0</v>
      </c>
      <c r="AC13" s="36">
        <f ca="1">IF($A13="","",IF(AC$1="","",COUNTIFS(tbl_chests[from],$A13,tbl_chests[legalized],AC$1,tbl_chests[datetime],"&gt;="&amp;TODAY()-WEEKDAY(TODAY(),2)+1,tbl_chests[datetime],"&lt;"&amp;TODAY()-WEEKDAY(TODAY(),2)+8)))</f>
        <v>0</v>
      </c>
      <c r="AD13" s="36">
        <f ca="1">IF($A13="","",IF(AD$1="","",COUNTIFS(tbl_chests[from],$A13,tbl_chests[legalized],AD$1,tbl_chests[datetime],"&gt;="&amp;TODAY()-WEEKDAY(TODAY(),2)+1,tbl_chests[datetime],"&lt;"&amp;TODAY()-WEEKDAY(TODAY(),2)+8)))</f>
        <v>0</v>
      </c>
      <c r="AE13" s="36">
        <f ca="1">IF($A13="","",IF(AE$1="","",COUNTIFS(tbl_chests[from],$A13,tbl_chests[legalized],AE$1,tbl_chests[datetime],"&gt;="&amp;TODAY()-WEEKDAY(TODAY(),2)+1,tbl_chests[datetime],"&lt;"&amp;TODAY()-WEEKDAY(TODAY(),2)+8)))</f>
        <v>0</v>
      </c>
      <c r="AF13" s="36">
        <f ca="1">IF($A13="","",IF(AF$1="","",COUNTIFS(tbl_chests[from],$A13,tbl_chests[legalized],AF$1,tbl_chests[datetime],"&gt;="&amp;TODAY()-WEEKDAY(TODAY(),2)+1,tbl_chests[datetime],"&lt;"&amp;TODAY()-WEEKDAY(TODAY(),2)+8)))</f>
        <v>0</v>
      </c>
      <c r="AG13" s="36">
        <f ca="1">IF($A13="","",IF(AG$1="","",COUNTIFS(tbl_chests[from],$A13,tbl_chests[legalized],AG$1,tbl_chests[datetime],"&gt;="&amp;TODAY()-WEEKDAY(TODAY(),2)+1,tbl_chests[datetime],"&lt;"&amp;TODAY()-WEEKDAY(TODAY(),2)+8)))</f>
        <v>0</v>
      </c>
      <c r="AH13" s="36">
        <f ca="1">IF($A13="","",IF(AH$1="","",COUNTIFS(tbl_chests[from],$A13,tbl_chests[legalized],AH$1,tbl_chests[datetime],"&gt;="&amp;TODAY()-WEEKDAY(TODAY(),2)+1,tbl_chests[datetime],"&lt;"&amp;TODAY()-WEEKDAY(TODAY(),2)+8)))</f>
        <v>0</v>
      </c>
      <c r="AI13" s="36">
        <f ca="1">IF($A13="","",IF(AI$1="","",COUNTIFS(tbl_chests[from],$A13,tbl_chests[legalized],AI$1,tbl_chests[datetime],"&gt;="&amp;TODAY()-WEEKDAY(TODAY(),2)+1,tbl_chests[datetime],"&lt;"&amp;TODAY()-WEEKDAY(TODAY(),2)+8)))</f>
        <v>0</v>
      </c>
      <c r="AJ13" s="36">
        <f ca="1">IF($A13="","",IF(AJ$1="","",COUNTIFS(tbl_chests[from],$A13,tbl_chests[legalized],AJ$1,tbl_chests[datetime],"&gt;="&amp;TODAY()-WEEKDAY(TODAY(),2)+1,tbl_chests[datetime],"&lt;"&amp;TODAY()-WEEKDAY(TODAY(),2)+8)))</f>
        <v>0</v>
      </c>
      <c r="AK13" s="36">
        <f ca="1">IF($A13="","",IF(AK$1="","",COUNTIFS(tbl_chests[from],$A13,tbl_chests[legalized],AK$1,tbl_chests[datetime],"&gt;="&amp;TODAY()-WEEKDAY(TODAY(),2)+1,tbl_chests[datetime],"&lt;"&amp;TODAY()-WEEKDAY(TODAY(),2)+8)))</f>
        <v>0</v>
      </c>
      <c r="AL13" s="36">
        <f ca="1">IF($A13="","",IF(AL$1="","",COUNTIFS(tbl_chests[from],$A13,tbl_chests[legalized],AL$1,tbl_chests[datetime],"&gt;="&amp;TODAY()-WEEKDAY(TODAY(),2)+1,tbl_chests[datetime],"&lt;"&amp;TODAY()-WEEKDAY(TODAY(),2)+8)))</f>
        <v>0</v>
      </c>
      <c r="AM13" s="37">
        <f ca="1">IF($A13="","",IF(AM$1="","",COUNTIFS(tbl_chests[from],$A13,tbl_chests[legalized],AM$1,tbl_chests[datetime],"&gt;="&amp;TODAY()-WEEKDAY(TODAY(),2)+1,tbl_chests[datetime],"&lt;"&amp;TODAY()-WEEKDAY(TODAY(),2)+8)))</f>
        <v>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spans="1:67" x14ac:dyDescent="0.25">
      <c r="A14" s="34" t="str">
        <f>chests_counter!$H11</f>
        <v>Chili Peppers</v>
      </c>
      <c r="B14" s="35" cm="1">
        <f t="array" aca="1" ref="B14" ca="1">IF(A14&lt;&gt;"", SUMPRODUCT(($C$2:$AM$2&lt;&gt;0)*(C14:AM14&lt;&gt;0)*($C$2:$AM$2)*(C14:AM14)), "")</f>
        <v>330</v>
      </c>
      <c r="C14" s="36">
        <f ca="1">IF($A14="","",IF(C$1="","",COUNTIFS(tbl_chests[from],$A14,tbl_chests[legalized],C$1,tbl_chests[datetime],"&gt;="&amp;TODAY()-WEEKDAY(TODAY(),2)+1,tbl_chests[datetime],"&lt;"&amp;TODAY()-WEEKDAY(TODAY(),2)+8)))</f>
        <v>0</v>
      </c>
      <c r="D14" s="36">
        <f ca="1">IF($A14="","",IF(D$1="","",COUNTIFS(tbl_chests[from],$A14,tbl_chests[legalized],D$1,tbl_chests[datetime],"&gt;="&amp;TODAY()-WEEKDAY(TODAY(),2)+1,tbl_chests[datetime],"&lt;"&amp;TODAY()-WEEKDAY(TODAY(),2)+8)))</f>
        <v>0</v>
      </c>
      <c r="E14" s="36">
        <f ca="1">IF($A14="","",IF(E$1="","",COUNTIFS(tbl_chests[from],$A14,tbl_chests[legalized],E$1,tbl_chests[datetime],"&gt;="&amp;TODAY()-WEEKDAY(TODAY(),2)+1,tbl_chests[datetime],"&lt;"&amp;TODAY()-WEEKDAY(TODAY(),2)+8)))</f>
        <v>7</v>
      </c>
      <c r="F14" s="36">
        <f ca="1">IF($A14="","",IF(F$1="","",COUNTIFS(tbl_chests[from],$A14,tbl_chests[legalized],F$1,tbl_chests[datetime],"&gt;="&amp;TODAY()-WEEKDAY(TODAY(),2)+1,tbl_chests[datetime],"&lt;"&amp;TODAY()-WEEKDAY(TODAY(),2)+8)))</f>
        <v>0</v>
      </c>
      <c r="G14" s="36">
        <f ca="1">IF($A14="","",IF(G$1="","",COUNTIFS(tbl_chests[from],$A14,tbl_chests[legalized],G$1,tbl_chests[datetime],"&gt;="&amp;TODAY()-WEEKDAY(TODAY(),2)+1,tbl_chests[datetime],"&lt;"&amp;TODAY()-WEEKDAY(TODAY(),2)+8)))</f>
        <v>0</v>
      </c>
      <c r="H14" s="36">
        <f ca="1">IF($A14="","",IF(H$1="","",COUNTIFS(tbl_chests[from],$A14,tbl_chests[legalized],H$1,tbl_chests[datetime],"&gt;="&amp;TODAY()-WEEKDAY(TODAY(),2)+1,tbl_chests[datetime],"&lt;"&amp;TODAY()-WEEKDAY(TODAY(),2)+8)))</f>
        <v>0</v>
      </c>
      <c r="I14" s="36">
        <f ca="1">IF($A14="","",IF(I$1="","",COUNTIFS(tbl_chests[from],$A14,tbl_chests[legalized],I$1,tbl_chests[datetime],"&gt;="&amp;TODAY()-WEEKDAY(TODAY(),2)+1,tbl_chests[datetime],"&lt;"&amp;TODAY()-WEEKDAY(TODAY(),2)+8)))</f>
        <v>0</v>
      </c>
      <c r="J14" s="36">
        <f ca="1">IF($A14="","",IF(J$1="","",COUNTIFS(tbl_chests[from],$A14,tbl_chests[legalized],J$1,tbl_chests[datetime],"&gt;="&amp;TODAY()-WEEKDAY(TODAY(),2)+1,tbl_chests[datetime],"&lt;"&amp;TODAY()-WEEKDAY(TODAY(),2)+8)))</f>
        <v>0</v>
      </c>
      <c r="K14" s="36">
        <f ca="1">IF($A14="","",IF(K$1="","",COUNTIFS(tbl_chests[from],$A14,tbl_chests[legalized],K$1,tbl_chests[datetime],"&gt;="&amp;TODAY()-WEEKDAY(TODAY(),2)+1,tbl_chests[datetime],"&lt;"&amp;TODAY()-WEEKDAY(TODAY(),2)+8)))</f>
        <v>0</v>
      </c>
      <c r="L14" s="36">
        <f ca="1">IF($A14="","",IF(L$1="","",COUNTIFS(tbl_chests[from],$A14,tbl_chests[legalized],L$1,tbl_chests[datetime],"&gt;="&amp;TODAY()-WEEKDAY(TODAY(),2)+1,tbl_chests[datetime],"&lt;"&amp;TODAY()-WEEKDAY(TODAY(),2)+8)))</f>
        <v>0</v>
      </c>
      <c r="M14" s="36">
        <f ca="1">IF($A14="","",IF(M$1="","",COUNTIFS(tbl_chests[from],$A14,tbl_chests[legalized],M$1,tbl_chests[datetime],"&gt;="&amp;TODAY()-WEEKDAY(TODAY(),2)+1,tbl_chests[datetime],"&lt;"&amp;TODAY()-WEEKDAY(TODAY(),2)+8)))</f>
        <v>0</v>
      </c>
      <c r="N14" s="36">
        <f ca="1">IF($A14="","",IF(N$1="","",COUNTIFS(tbl_chests[from],$A14,tbl_chests[legalized],N$1,tbl_chests[datetime],"&gt;="&amp;TODAY()-WEEKDAY(TODAY(),2)+1,tbl_chests[datetime],"&lt;"&amp;TODAY()-WEEKDAY(TODAY(),2)+8)))</f>
        <v>0</v>
      </c>
      <c r="O14" s="36">
        <f ca="1">IF($A14="","",IF(O$1="","",COUNTIFS(tbl_chests[from],$A14,tbl_chests[legalized],O$1,tbl_chests[datetime],"&gt;="&amp;TODAY()-WEEKDAY(TODAY(),2)+1,tbl_chests[datetime],"&lt;"&amp;TODAY()-WEEKDAY(TODAY(),2)+8)))</f>
        <v>0</v>
      </c>
      <c r="P14" s="36">
        <f ca="1">IF($A14="","",IF(P$1="","",COUNTIFS(tbl_chests[from],$A14,tbl_chests[legalized],P$1,tbl_chests[datetime],"&gt;="&amp;TODAY()-WEEKDAY(TODAY(),2)+1,tbl_chests[datetime],"&lt;"&amp;TODAY()-WEEKDAY(TODAY(),2)+8)))</f>
        <v>0</v>
      </c>
      <c r="Q14" s="36">
        <f ca="1">IF($A14="","",IF(Q$1="","",COUNTIFS(tbl_chests[from],$A14,tbl_chests[legalized],Q$1,tbl_chests[datetime],"&gt;="&amp;TODAY()-WEEKDAY(TODAY(),2)+1,tbl_chests[datetime],"&lt;"&amp;TODAY()-WEEKDAY(TODAY(),2)+8)))</f>
        <v>0</v>
      </c>
      <c r="R14" s="36">
        <f ca="1">IF($A14="","",IF(R$1="","",COUNTIFS(tbl_chests[from],$A14,tbl_chests[legalized],R$1,tbl_chests[datetime],"&gt;="&amp;TODAY()-WEEKDAY(TODAY(),2)+1,tbl_chests[datetime],"&lt;"&amp;TODAY()-WEEKDAY(TODAY(),2)+8)))</f>
        <v>0</v>
      </c>
      <c r="S14" s="36">
        <f ca="1">IF($A14="","",IF(S$1="","",COUNTIFS(tbl_chests[from],$A14,tbl_chests[legalized],S$1,tbl_chests[datetime],"&gt;="&amp;TODAY()-WEEKDAY(TODAY(),2)+1,tbl_chests[datetime],"&lt;"&amp;TODAY()-WEEKDAY(TODAY(),2)+8)))</f>
        <v>0</v>
      </c>
      <c r="T14" s="36">
        <f ca="1">IF($A14="","",IF(T$1="","",COUNTIFS(tbl_chests[from],$A14,tbl_chests[legalized],T$1,tbl_chests[datetime],"&gt;="&amp;TODAY()-WEEKDAY(TODAY(),2)+1,tbl_chests[datetime],"&lt;"&amp;TODAY()-WEEKDAY(TODAY(),2)+8)))</f>
        <v>0</v>
      </c>
      <c r="U14" s="36">
        <f ca="1">IF($A14="","",IF(U$1="","",COUNTIFS(tbl_chests[from],$A14,tbl_chests[legalized],U$1,tbl_chests[datetime],"&gt;="&amp;TODAY()-WEEKDAY(TODAY(),2)+1,tbl_chests[datetime],"&lt;"&amp;TODAY()-WEEKDAY(TODAY(),2)+8)))</f>
        <v>0</v>
      </c>
      <c r="V14" s="36">
        <f ca="1">IF($A14="","",IF(V$1="","",COUNTIFS(tbl_chests[from],$A14,tbl_chests[legalized],V$1,tbl_chests[datetime],"&gt;="&amp;TODAY()-WEEKDAY(TODAY(),2)+1,tbl_chests[datetime],"&lt;"&amp;TODAY()-WEEKDAY(TODAY(),2)+8)))</f>
        <v>0</v>
      </c>
      <c r="W14" s="36">
        <f ca="1">IF($A14="","",IF(W$1="","",COUNTIFS(tbl_chests[from],$A14,tbl_chests[legalized],W$1,tbl_chests[datetime],"&gt;="&amp;TODAY()-WEEKDAY(TODAY(),2)+1,tbl_chests[datetime],"&lt;"&amp;TODAY()-WEEKDAY(TODAY(),2)+8)))</f>
        <v>0</v>
      </c>
      <c r="X14" s="36">
        <f ca="1">IF($A14="","",IF(X$1="","",COUNTIFS(tbl_chests[from],$A14,tbl_chests[legalized],X$1,tbl_chests[datetime],"&gt;="&amp;TODAY()-WEEKDAY(TODAY(),2)+1,tbl_chests[datetime],"&lt;"&amp;TODAY()-WEEKDAY(TODAY(),2)+8)))</f>
        <v>0</v>
      </c>
      <c r="Y14" s="36">
        <f ca="1">IF($A14="","",IF(Y$1="","",COUNTIFS(tbl_chests[from],$A14,tbl_chests[legalized],Y$1,tbl_chests[datetime],"&gt;="&amp;TODAY()-WEEKDAY(TODAY(),2)+1,tbl_chests[datetime],"&lt;"&amp;TODAY()-WEEKDAY(TODAY(),2)+8)))</f>
        <v>0</v>
      </c>
      <c r="Z14" s="36">
        <f ca="1">IF($A14="","",IF(Z$1="","",COUNTIFS(tbl_chests[from],$A14,tbl_chests[legalized],Z$1,tbl_chests[datetime],"&gt;="&amp;TODAY()-WEEKDAY(TODAY(),2)+1,tbl_chests[datetime],"&lt;"&amp;TODAY()-WEEKDAY(TODAY(),2)+8)))</f>
        <v>0</v>
      </c>
      <c r="AA14" s="36">
        <f ca="1">IF($A14="","",IF(AA$1="","",COUNTIFS(tbl_chests[from],$A14,tbl_chests[legalized],AA$1,tbl_chests[datetime],"&gt;="&amp;TODAY()-WEEKDAY(TODAY(),2)+1,tbl_chests[datetime],"&lt;"&amp;TODAY()-WEEKDAY(TODAY(),2)+8)))</f>
        <v>3</v>
      </c>
      <c r="AB14" s="36">
        <f ca="1">IF($A14="","",IF(AB$1="","",COUNTIFS(tbl_chests[from],$A14,tbl_chests[legalized],AB$1,tbl_chests[datetime],"&gt;="&amp;TODAY()-WEEKDAY(TODAY(),2)+1,tbl_chests[datetime],"&lt;"&amp;TODAY()-WEEKDAY(TODAY(),2)+8)))</f>
        <v>0</v>
      </c>
      <c r="AC14" s="36">
        <f ca="1">IF($A14="","",IF(AC$1="","",COUNTIFS(tbl_chests[from],$A14,tbl_chests[legalized],AC$1,tbl_chests[datetime],"&gt;="&amp;TODAY()-WEEKDAY(TODAY(),2)+1,tbl_chests[datetime],"&lt;"&amp;TODAY()-WEEKDAY(TODAY(),2)+8)))</f>
        <v>0</v>
      </c>
      <c r="AD14" s="36">
        <f ca="1">IF($A14="","",IF(AD$1="","",COUNTIFS(tbl_chests[from],$A14,tbl_chests[legalized],AD$1,tbl_chests[datetime],"&gt;="&amp;TODAY()-WEEKDAY(TODAY(),2)+1,tbl_chests[datetime],"&lt;"&amp;TODAY()-WEEKDAY(TODAY(),2)+8)))</f>
        <v>0</v>
      </c>
      <c r="AE14" s="36">
        <f ca="1">IF($A14="","",IF(AE$1="","",COUNTIFS(tbl_chests[from],$A14,tbl_chests[legalized],AE$1,tbl_chests[datetime],"&gt;="&amp;TODAY()-WEEKDAY(TODAY(),2)+1,tbl_chests[datetime],"&lt;"&amp;TODAY()-WEEKDAY(TODAY(),2)+8)))</f>
        <v>0</v>
      </c>
      <c r="AF14" s="36">
        <f ca="1">IF($A14="","",IF(AF$1="","",COUNTIFS(tbl_chests[from],$A14,tbl_chests[legalized],AF$1,tbl_chests[datetime],"&gt;="&amp;TODAY()-WEEKDAY(TODAY(),2)+1,tbl_chests[datetime],"&lt;"&amp;TODAY()-WEEKDAY(TODAY(),2)+8)))</f>
        <v>0</v>
      </c>
      <c r="AG14" s="36">
        <f ca="1">IF($A14="","",IF(AG$1="","",COUNTIFS(tbl_chests[from],$A14,tbl_chests[legalized],AG$1,tbl_chests[datetime],"&gt;="&amp;TODAY()-WEEKDAY(TODAY(),2)+1,tbl_chests[datetime],"&lt;"&amp;TODAY()-WEEKDAY(TODAY(),2)+8)))</f>
        <v>0</v>
      </c>
      <c r="AH14" s="36">
        <f ca="1">IF($A14="","",IF(AH$1="","",COUNTIFS(tbl_chests[from],$A14,tbl_chests[legalized],AH$1,tbl_chests[datetime],"&gt;="&amp;TODAY()-WEEKDAY(TODAY(),2)+1,tbl_chests[datetime],"&lt;"&amp;TODAY()-WEEKDAY(TODAY(),2)+8)))</f>
        <v>0</v>
      </c>
      <c r="AI14" s="36">
        <f ca="1">IF($A14="","",IF(AI$1="","",COUNTIFS(tbl_chests[from],$A14,tbl_chests[legalized],AI$1,tbl_chests[datetime],"&gt;="&amp;TODAY()-WEEKDAY(TODAY(),2)+1,tbl_chests[datetime],"&lt;"&amp;TODAY()-WEEKDAY(TODAY(),2)+8)))</f>
        <v>0</v>
      </c>
      <c r="AJ14" s="36">
        <f ca="1">IF($A14="","",IF(AJ$1="","",COUNTIFS(tbl_chests[from],$A14,tbl_chests[legalized],AJ$1,tbl_chests[datetime],"&gt;="&amp;TODAY()-WEEKDAY(TODAY(),2)+1,tbl_chests[datetime],"&lt;"&amp;TODAY()-WEEKDAY(TODAY(),2)+8)))</f>
        <v>0</v>
      </c>
      <c r="AK14" s="36">
        <f ca="1">IF($A14="","",IF(AK$1="","",COUNTIFS(tbl_chests[from],$A14,tbl_chests[legalized],AK$1,tbl_chests[datetime],"&gt;="&amp;TODAY()-WEEKDAY(TODAY(),2)+1,tbl_chests[datetime],"&lt;"&amp;TODAY()-WEEKDAY(TODAY(),2)+8)))</f>
        <v>0</v>
      </c>
      <c r="AL14" s="36">
        <f ca="1">IF($A14="","",IF(AL$1="","",COUNTIFS(tbl_chests[from],$A14,tbl_chests[legalized],AL$1,tbl_chests[datetime],"&gt;="&amp;TODAY()-WEEKDAY(TODAY(),2)+1,tbl_chests[datetime],"&lt;"&amp;TODAY()-WEEKDAY(TODAY(),2)+8)))</f>
        <v>0</v>
      </c>
      <c r="AM14" s="37">
        <f ca="1">IF($A14="","",IF(AM$1="","",COUNTIFS(tbl_chests[from],$A14,tbl_chests[legalized],AM$1,tbl_chests[datetime],"&gt;="&amp;TODAY()-WEEKDAY(TODAY(),2)+1,tbl_chests[datetime],"&lt;"&amp;TODAY()-WEEKDAY(TODAY(),2)+8)))</f>
        <v>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spans="1:67" x14ac:dyDescent="0.25">
      <c r="A15" s="34" t="str">
        <f>chests_counter!$H12</f>
        <v>CongulusMurat</v>
      </c>
      <c r="B15" s="35" cm="1">
        <f t="array" aca="1" ref="B15" ca="1">IF(A15&lt;&gt;"", SUMPRODUCT(($C$2:$AM$2&lt;&gt;0)*(C15:AM15&lt;&gt;0)*($C$2:$AM$2)*(C15:AM15)), "")</f>
        <v>30</v>
      </c>
      <c r="C15" s="36">
        <f ca="1">IF($A15="","",IF(C$1="","",COUNTIFS(tbl_chests[from],$A15,tbl_chests[legalized],C$1,tbl_chests[datetime],"&gt;="&amp;TODAY()-WEEKDAY(TODAY(),2)+1,tbl_chests[datetime],"&lt;"&amp;TODAY()-WEEKDAY(TODAY(),2)+8)))</f>
        <v>1</v>
      </c>
      <c r="D15" s="36">
        <f ca="1">IF($A15="","",IF(D$1="","",COUNTIFS(tbl_chests[from],$A15,tbl_chests[legalized],D$1,tbl_chests[datetime],"&gt;="&amp;TODAY()-WEEKDAY(TODAY(),2)+1,tbl_chests[datetime],"&lt;"&amp;TODAY()-WEEKDAY(TODAY(),2)+8)))</f>
        <v>1</v>
      </c>
      <c r="E15" s="36">
        <f ca="1">IF($A15="","",IF(E$1="","",COUNTIFS(tbl_chests[from],$A15,tbl_chests[legalized],E$1,tbl_chests[datetime],"&gt;="&amp;TODAY()-WEEKDAY(TODAY(),2)+1,tbl_chests[datetime],"&lt;"&amp;TODAY()-WEEKDAY(TODAY(),2)+8)))</f>
        <v>0</v>
      </c>
      <c r="F15" s="36">
        <f ca="1">IF($A15="","",IF(F$1="","",COUNTIFS(tbl_chests[from],$A15,tbl_chests[legalized],F$1,tbl_chests[datetime],"&gt;="&amp;TODAY()-WEEKDAY(TODAY(),2)+1,tbl_chests[datetime],"&lt;"&amp;TODAY()-WEEKDAY(TODAY(),2)+8)))</f>
        <v>0</v>
      </c>
      <c r="G15" s="36">
        <f ca="1">IF($A15="","",IF(G$1="","",COUNTIFS(tbl_chests[from],$A15,tbl_chests[legalized],G$1,tbl_chests[datetime],"&gt;="&amp;TODAY()-WEEKDAY(TODAY(),2)+1,tbl_chests[datetime],"&lt;"&amp;TODAY()-WEEKDAY(TODAY(),2)+8)))</f>
        <v>0</v>
      </c>
      <c r="H15" s="36">
        <f ca="1">IF($A15="","",IF(H$1="","",COUNTIFS(tbl_chests[from],$A15,tbl_chests[legalized],H$1,tbl_chests[datetime],"&gt;="&amp;TODAY()-WEEKDAY(TODAY(),2)+1,tbl_chests[datetime],"&lt;"&amp;TODAY()-WEEKDAY(TODAY(),2)+8)))</f>
        <v>0</v>
      </c>
      <c r="I15" s="36">
        <f ca="1">IF($A15="","",IF(I$1="","",COUNTIFS(tbl_chests[from],$A15,tbl_chests[legalized],I$1,tbl_chests[datetime],"&gt;="&amp;TODAY()-WEEKDAY(TODAY(),2)+1,tbl_chests[datetime],"&lt;"&amp;TODAY()-WEEKDAY(TODAY(),2)+8)))</f>
        <v>0</v>
      </c>
      <c r="J15" s="36">
        <f ca="1">IF($A15="","",IF(J$1="","",COUNTIFS(tbl_chests[from],$A15,tbl_chests[legalized],J$1,tbl_chests[datetime],"&gt;="&amp;TODAY()-WEEKDAY(TODAY(),2)+1,tbl_chests[datetime],"&lt;"&amp;TODAY()-WEEKDAY(TODAY(),2)+8)))</f>
        <v>0</v>
      </c>
      <c r="K15" s="36">
        <f ca="1">IF($A15="","",IF(K$1="","",COUNTIFS(tbl_chests[from],$A15,tbl_chests[legalized],K$1,tbl_chests[datetime],"&gt;="&amp;TODAY()-WEEKDAY(TODAY(),2)+1,tbl_chests[datetime],"&lt;"&amp;TODAY()-WEEKDAY(TODAY(),2)+8)))</f>
        <v>0</v>
      </c>
      <c r="L15" s="36">
        <f ca="1">IF($A15="","",IF(L$1="","",COUNTIFS(tbl_chests[from],$A15,tbl_chests[legalized],L$1,tbl_chests[datetime],"&gt;="&amp;TODAY()-WEEKDAY(TODAY(),2)+1,tbl_chests[datetime],"&lt;"&amp;TODAY()-WEEKDAY(TODAY(),2)+8)))</f>
        <v>0</v>
      </c>
      <c r="M15" s="36">
        <f ca="1">IF($A15="","",IF(M$1="","",COUNTIFS(tbl_chests[from],$A15,tbl_chests[legalized],M$1,tbl_chests[datetime],"&gt;="&amp;TODAY()-WEEKDAY(TODAY(),2)+1,tbl_chests[datetime],"&lt;"&amp;TODAY()-WEEKDAY(TODAY(),2)+8)))</f>
        <v>0</v>
      </c>
      <c r="N15" s="36">
        <f ca="1">IF($A15="","",IF(N$1="","",COUNTIFS(tbl_chests[from],$A15,tbl_chests[legalized],N$1,tbl_chests[datetime],"&gt;="&amp;TODAY()-WEEKDAY(TODAY(),2)+1,tbl_chests[datetime],"&lt;"&amp;TODAY()-WEEKDAY(TODAY(),2)+8)))</f>
        <v>0</v>
      </c>
      <c r="O15" s="36">
        <f ca="1">IF($A15="","",IF(O$1="","",COUNTIFS(tbl_chests[from],$A15,tbl_chests[legalized],O$1,tbl_chests[datetime],"&gt;="&amp;TODAY()-WEEKDAY(TODAY(),2)+1,tbl_chests[datetime],"&lt;"&amp;TODAY()-WEEKDAY(TODAY(),2)+8)))</f>
        <v>0</v>
      </c>
      <c r="P15" s="36">
        <f ca="1">IF($A15="","",IF(P$1="","",COUNTIFS(tbl_chests[from],$A15,tbl_chests[legalized],P$1,tbl_chests[datetime],"&gt;="&amp;TODAY()-WEEKDAY(TODAY(),2)+1,tbl_chests[datetime],"&lt;"&amp;TODAY()-WEEKDAY(TODAY(),2)+8)))</f>
        <v>0</v>
      </c>
      <c r="Q15" s="36">
        <f ca="1">IF($A15="","",IF(Q$1="","",COUNTIFS(tbl_chests[from],$A15,tbl_chests[legalized],Q$1,tbl_chests[datetime],"&gt;="&amp;TODAY()-WEEKDAY(TODAY(),2)+1,tbl_chests[datetime],"&lt;"&amp;TODAY()-WEEKDAY(TODAY(),2)+8)))</f>
        <v>0</v>
      </c>
      <c r="R15" s="36">
        <f ca="1">IF($A15="","",IF(R$1="","",COUNTIFS(tbl_chests[from],$A15,tbl_chests[legalized],R$1,tbl_chests[datetime],"&gt;="&amp;TODAY()-WEEKDAY(TODAY(),2)+1,tbl_chests[datetime],"&lt;"&amp;TODAY()-WEEKDAY(TODAY(),2)+8)))</f>
        <v>0</v>
      </c>
      <c r="S15" s="36">
        <f ca="1">IF($A15="","",IF(S$1="","",COUNTIFS(tbl_chests[from],$A15,tbl_chests[legalized],S$1,tbl_chests[datetime],"&gt;="&amp;TODAY()-WEEKDAY(TODAY(),2)+1,tbl_chests[datetime],"&lt;"&amp;TODAY()-WEEKDAY(TODAY(),2)+8)))</f>
        <v>0</v>
      </c>
      <c r="T15" s="36">
        <f ca="1">IF($A15="","",IF(T$1="","",COUNTIFS(tbl_chests[from],$A15,tbl_chests[legalized],T$1,tbl_chests[datetime],"&gt;="&amp;TODAY()-WEEKDAY(TODAY(),2)+1,tbl_chests[datetime],"&lt;"&amp;TODAY()-WEEKDAY(TODAY(),2)+8)))</f>
        <v>0</v>
      </c>
      <c r="U15" s="36">
        <f ca="1">IF($A15="","",IF(U$1="","",COUNTIFS(tbl_chests[from],$A15,tbl_chests[legalized],U$1,tbl_chests[datetime],"&gt;="&amp;TODAY()-WEEKDAY(TODAY(),2)+1,tbl_chests[datetime],"&lt;"&amp;TODAY()-WEEKDAY(TODAY(),2)+8)))</f>
        <v>0</v>
      </c>
      <c r="V15" s="36">
        <f ca="1">IF($A15="","",IF(V$1="","",COUNTIFS(tbl_chests[from],$A15,tbl_chests[legalized],V$1,tbl_chests[datetime],"&gt;="&amp;TODAY()-WEEKDAY(TODAY(),2)+1,tbl_chests[datetime],"&lt;"&amp;TODAY()-WEEKDAY(TODAY(),2)+8)))</f>
        <v>0</v>
      </c>
      <c r="W15" s="36">
        <f ca="1">IF($A15="","",IF(W$1="","",COUNTIFS(tbl_chests[from],$A15,tbl_chests[legalized],W$1,tbl_chests[datetime],"&gt;="&amp;TODAY()-WEEKDAY(TODAY(),2)+1,tbl_chests[datetime],"&lt;"&amp;TODAY()-WEEKDAY(TODAY(),2)+8)))</f>
        <v>0</v>
      </c>
      <c r="X15" s="36">
        <f ca="1">IF($A15="","",IF(X$1="","",COUNTIFS(tbl_chests[from],$A15,tbl_chests[legalized],X$1,tbl_chests[datetime],"&gt;="&amp;TODAY()-WEEKDAY(TODAY(),2)+1,tbl_chests[datetime],"&lt;"&amp;TODAY()-WEEKDAY(TODAY(),2)+8)))</f>
        <v>0</v>
      </c>
      <c r="Y15" s="36">
        <f ca="1">IF($A15="","",IF(Y$1="","",COUNTIFS(tbl_chests[from],$A15,tbl_chests[legalized],Y$1,tbl_chests[datetime],"&gt;="&amp;TODAY()-WEEKDAY(TODAY(),2)+1,tbl_chests[datetime],"&lt;"&amp;TODAY()-WEEKDAY(TODAY(),2)+8)))</f>
        <v>0</v>
      </c>
      <c r="Z15" s="36">
        <f ca="1">IF($A15="","",IF(Z$1="","",COUNTIFS(tbl_chests[from],$A15,tbl_chests[legalized],Z$1,tbl_chests[datetime],"&gt;="&amp;TODAY()-WEEKDAY(TODAY(),2)+1,tbl_chests[datetime],"&lt;"&amp;TODAY()-WEEKDAY(TODAY(),2)+8)))</f>
        <v>0</v>
      </c>
      <c r="AA15" s="36">
        <f ca="1">IF($A15="","",IF(AA$1="","",COUNTIFS(tbl_chests[from],$A15,tbl_chests[legalized],AA$1,tbl_chests[datetime],"&gt;="&amp;TODAY()-WEEKDAY(TODAY(),2)+1,tbl_chests[datetime],"&lt;"&amp;TODAY()-WEEKDAY(TODAY(),2)+8)))</f>
        <v>0</v>
      </c>
      <c r="AB15" s="36">
        <f ca="1">IF($A15="","",IF(AB$1="","",COUNTIFS(tbl_chests[from],$A15,tbl_chests[legalized],AB$1,tbl_chests[datetime],"&gt;="&amp;TODAY()-WEEKDAY(TODAY(),2)+1,tbl_chests[datetime],"&lt;"&amp;TODAY()-WEEKDAY(TODAY(),2)+8)))</f>
        <v>0</v>
      </c>
      <c r="AC15" s="36">
        <f ca="1">IF($A15="","",IF(AC$1="","",COUNTIFS(tbl_chests[from],$A15,tbl_chests[legalized],AC$1,tbl_chests[datetime],"&gt;="&amp;TODAY()-WEEKDAY(TODAY(),2)+1,tbl_chests[datetime],"&lt;"&amp;TODAY()-WEEKDAY(TODAY(),2)+8)))</f>
        <v>0</v>
      </c>
      <c r="AD15" s="36">
        <f ca="1">IF($A15="","",IF(AD$1="","",COUNTIFS(tbl_chests[from],$A15,tbl_chests[legalized],AD$1,tbl_chests[datetime],"&gt;="&amp;TODAY()-WEEKDAY(TODAY(),2)+1,tbl_chests[datetime],"&lt;"&amp;TODAY()-WEEKDAY(TODAY(),2)+8)))</f>
        <v>0</v>
      </c>
      <c r="AE15" s="36">
        <f ca="1">IF($A15="","",IF(AE$1="","",COUNTIFS(tbl_chests[from],$A15,tbl_chests[legalized],AE$1,tbl_chests[datetime],"&gt;="&amp;TODAY()-WEEKDAY(TODAY(),2)+1,tbl_chests[datetime],"&lt;"&amp;TODAY()-WEEKDAY(TODAY(),2)+8)))</f>
        <v>0</v>
      </c>
      <c r="AF15" s="36">
        <f ca="1">IF($A15="","",IF(AF$1="","",COUNTIFS(tbl_chests[from],$A15,tbl_chests[legalized],AF$1,tbl_chests[datetime],"&gt;="&amp;TODAY()-WEEKDAY(TODAY(),2)+1,tbl_chests[datetime],"&lt;"&amp;TODAY()-WEEKDAY(TODAY(),2)+8)))</f>
        <v>0</v>
      </c>
      <c r="AG15" s="36">
        <f ca="1">IF($A15="","",IF(AG$1="","",COUNTIFS(tbl_chests[from],$A15,tbl_chests[legalized],AG$1,tbl_chests[datetime],"&gt;="&amp;TODAY()-WEEKDAY(TODAY(),2)+1,tbl_chests[datetime],"&lt;"&amp;TODAY()-WEEKDAY(TODAY(),2)+8)))</f>
        <v>0</v>
      </c>
      <c r="AH15" s="36">
        <f ca="1">IF($A15="","",IF(AH$1="","",COUNTIFS(tbl_chests[from],$A15,tbl_chests[legalized],AH$1,tbl_chests[datetime],"&gt;="&amp;TODAY()-WEEKDAY(TODAY(),2)+1,tbl_chests[datetime],"&lt;"&amp;TODAY()-WEEKDAY(TODAY(),2)+8)))</f>
        <v>0</v>
      </c>
      <c r="AI15" s="36">
        <f ca="1">IF($A15="","",IF(AI$1="","",COUNTIFS(tbl_chests[from],$A15,tbl_chests[legalized],AI$1,tbl_chests[datetime],"&gt;="&amp;TODAY()-WEEKDAY(TODAY(),2)+1,tbl_chests[datetime],"&lt;"&amp;TODAY()-WEEKDAY(TODAY(),2)+8)))</f>
        <v>0</v>
      </c>
      <c r="AJ15" s="36">
        <f ca="1">IF($A15="","",IF(AJ$1="","",COUNTIFS(tbl_chests[from],$A15,tbl_chests[legalized],AJ$1,tbl_chests[datetime],"&gt;="&amp;TODAY()-WEEKDAY(TODAY(),2)+1,tbl_chests[datetime],"&lt;"&amp;TODAY()-WEEKDAY(TODAY(),2)+8)))</f>
        <v>0</v>
      </c>
      <c r="AK15" s="36">
        <f ca="1">IF($A15="","",IF(AK$1="","",COUNTIFS(tbl_chests[from],$A15,tbl_chests[legalized],AK$1,tbl_chests[datetime],"&gt;="&amp;TODAY()-WEEKDAY(TODAY(),2)+1,tbl_chests[datetime],"&lt;"&amp;TODAY()-WEEKDAY(TODAY(),2)+8)))</f>
        <v>0</v>
      </c>
      <c r="AL15" s="36">
        <f ca="1">IF($A15="","",IF(AL$1="","",COUNTIFS(tbl_chests[from],$A15,tbl_chests[legalized],AL$1,tbl_chests[datetime],"&gt;="&amp;TODAY()-WEEKDAY(TODAY(),2)+1,tbl_chests[datetime],"&lt;"&amp;TODAY()-WEEKDAY(TODAY(),2)+8)))</f>
        <v>0</v>
      </c>
      <c r="AM15" s="37">
        <f ca="1">IF($A15="","",IF(AM$1="","",COUNTIFS(tbl_chests[from],$A15,tbl_chests[legalized],AM$1,tbl_chests[datetime],"&gt;="&amp;TODAY()-WEEKDAY(TODAY(),2)+1,tbl_chests[datetime],"&lt;"&amp;TODAY()-WEEKDAY(TODAY(),2)+8)))</f>
        <v>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67" x14ac:dyDescent="0.25">
      <c r="A16" s="34" t="str">
        <f>chests_counter!$H13</f>
        <v>crabb</v>
      </c>
      <c r="B16" s="35" cm="1">
        <f t="array" aca="1" ref="B16" ca="1">IF(A16&lt;&gt;"", SUMPRODUCT(($C$2:$AM$2&lt;&gt;0)*(C16:AM16&lt;&gt;0)*($C$2:$AM$2)*(C16:AM16)), "")</f>
        <v>30</v>
      </c>
      <c r="C16" s="36">
        <f ca="1">IF($A16="","",IF(C$1="","",COUNTIFS(tbl_chests[from],$A16,tbl_chests[legalized],C$1,tbl_chests[datetime],"&gt;="&amp;TODAY()-WEEKDAY(TODAY(),2)+1,tbl_chests[datetime],"&lt;"&amp;TODAY()-WEEKDAY(TODAY(),2)+8)))</f>
        <v>0</v>
      </c>
      <c r="D16" s="36">
        <f ca="1">IF($A16="","",IF(D$1="","",COUNTIFS(tbl_chests[from],$A16,tbl_chests[legalized],D$1,tbl_chests[datetime],"&gt;="&amp;TODAY()-WEEKDAY(TODAY(),2)+1,tbl_chests[datetime],"&lt;"&amp;TODAY()-WEEKDAY(TODAY(),2)+8)))</f>
        <v>1</v>
      </c>
      <c r="E16" s="36">
        <f ca="1">IF($A16="","",IF(E$1="","",COUNTIFS(tbl_chests[from],$A16,tbl_chests[legalized],E$1,tbl_chests[datetime],"&gt;="&amp;TODAY()-WEEKDAY(TODAY(),2)+1,tbl_chests[datetime],"&lt;"&amp;TODAY()-WEEKDAY(TODAY(),2)+8)))</f>
        <v>0</v>
      </c>
      <c r="F16" s="36">
        <f ca="1">IF($A16="","",IF(F$1="","",COUNTIFS(tbl_chests[from],$A16,tbl_chests[legalized],F$1,tbl_chests[datetime],"&gt;="&amp;TODAY()-WEEKDAY(TODAY(),2)+1,tbl_chests[datetime],"&lt;"&amp;TODAY()-WEEKDAY(TODAY(),2)+8)))</f>
        <v>0</v>
      </c>
      <c r="G16" s="36">
        <f ca="1">IF($A16="","",IF(G$1="","",COUNTIFS(tbl_chests[from],$A16,tbl_chests[legalized],G$1,tbl_chests[datetime],"&gt;="&amp;TODAY()-WEEKDAY(TODAY(),2)+1,tbl_chests[datetime],"&lt;"&amp;TODAY()-WEEKDAY(TODAY(),2)+8)))</f>
        <v>0</v>
      </c>
      <c r="H16" s="36">
        <f ca="1">IF($A16="","",IF(H$1="","",COUNTIFS(tbl_chests[from],$A16,tbl_chests[legalized],H$1,tbl_chests[datetime],"&gt;="&amp;TODAY()-WEEKDAY(TODAY(),2)+1,tbl_chests[datetime],"&lt;"&amp;TODAY()-WEEKDAY(TODAY(),2)+8)))</f>
        <v>1</v>
      </c>
      <c r="I16" s="36">
        <f ca="1">IF($A16="","",IF(I$1="","",COUNTIFS(tbl_chests[from],$A16,tbl_chests[legalized],I$1,tbl_chests[datetime],"&gt;="&amp;TODAY()-WEEKDAY(TODAY(),2)+1,tbl_chests[datetime],"&lt;"&amp;TODAY()-WEEKDAY(TODAY(),2)+8)))</f>
        <v>0</v>
      </c>
      <c r="J16" s="36">
        <f ca="1">IF($A16="","",IF(J$1="","",COUNTIFS(tbl_chests[from],$A16,tbl_chests[legalized],J$1,tbl_chests[datetime],"&gt;="&amp;TODAY()-WEEKDAY(TODAY(),2)+1,tbl_chests[datetime],"&lt;"&amp;TODAY()-WEEKDAY(TODAY(),2)+8)))</f>
        <v>0</v>
      </c>
      <c r="K16" s="36">
        <f ca="1">IF($A16="","",IF(K$1="","",COUNTIFS(tbl_chests[from],$A16,tbl_chests[legalized],K$1,tbl_chests[datetime],"&gt;="&amp;TODAY()-WEEKDAY(TODAY(),2)+1,tbl_chests[datetime],"&lt;"&amp;TODAY()-WEEKDAY(TODAY(),2)+8)))</f>
        <v>0</v>
      </c>
      <c r="L16" s="36">
        <f ca="1">IF($A16="","",IF(L$1="","",COUNTIFS(tbl_chests[from],$A16,tbl_chests[legalized],L$1,tbl_chests[datetime],"&gt;="&amp;TODAY()-WEEKDAY(TODAY(),2)+1,tbl_chests[datetime],"&lt;"&amp;TODAY()-WEEKDAY(TODAY(),2)+8)))</f>
        <v>0</v>
      </c>
      <c r="M16" s="36">
        <f ca="1">IF($A16="","",IF(M$1="","",COUNTIFS(tbl_chests[from],$A16,tbl_chests[legalized],M$1,tbl_chests[datetime],"&gt;="&amp;TODAY()-WEEKDAY(TODAY(),2)+1,tbl_chests[datetime],"&lt;"&amp;TODAY()-WEEKDAY(TODAY(),2)+8)))</f>
        <v>0</v>
      </c>
      <c r="N16" s="36">
        <f ca="1">IF($A16="","",IF(N$1="","",COUNTIFS(tbl_chests[from],$A16,tbl_chests[legalized],N$1,tbl_chests[datetime],"&gt;="&amp;TODAY()-WEEKDAY(TODAY(),2)+1,tbl_chests[datetime],"&lt;"&amp;TODAY()-WEEKDAY(TODAY(),2)+8)))</f>
        <v>0</v>
      </c>
      <c r="O16" s="36">
        <f ca="1">IF($A16="","",IF(O$1="","",COUNTIFS(tbl_chests[from],$A16,tbl_chests[legalized],O$1,tbl_chests[datetime],"&gt;="&amp;TODAY()-WEEKDAY(TODAY(),2)+1,tbl_chests[datetime],"&lt;"&amp;TODAY()-WEEKDAY(TODAY(),2)+8)))</f>
        <v>0</v>
      </c>
      <c r="P16" s="36">
        <f ca="1">IF($A16="","",IF(P$1="","",COUNTIFS(tbl_chests[from],$A16,tbl_chests[legalized],P$1,tbl_chests[datetime],"&gt;="&amp;TODAY()-WEEKDAY(TODAY(),2)+1,tbl_chests[datetime],"&lt;"&amp;TODAY()-WEEKDAY(TODAY(),2)+8)))</f>
        <v>0</v>
      </c>
      <c r="Q16" s="36">
        <f ca="1">IF($A16="","",IF(Q$1="","",COUNTIFS(tbl_chests[from],$A16,tbl_chests[legalized],Q$1,tbl_chests[datetime],"&gt;="&amp;TODAY()-WEEKDAY(TODAY(),2)+1,tbl_chests[datetime],"&lt;"&amp;TODAY()-WEEKDAY(TODAY(),2)+8)))</f>
        <v>0</v>
      </c>
      <c r="R16" s="36">
        <f ca="1">IF($A16="","",IF(R$1="","",COUNTIFS(tbl_chests[from],$A16,tbl_chests[legalized],R$1,tbl_chests[datetime],"&gt;="&amp;TODAY()-WEEKDAY(TODAY(),2)+1,tbl_chests[datetime],"&lt;"&amp;TODAY()-WEEKDAY(TODAY(),2)+8)))</f>
        <v>0</v>
      </c>
      <c r="S16" s="36">
        <f ca="1">IF($A16="","",IF(S$1="","",COUNTIFS(tbl_chests[from],$A16,tbl_chests[legalized],S$1,tbl_chests[datetime],"&gt;="&amp;TODAY()-WEEKDAY(TODAY(),2)+1,tbl_chests[datetime],"&lt;"&amp;TODAY()-WEEKDAY(TODAY(),2)+8)))</f>
        <v>0</v>
      </c>
      <c r="T16" s="36">
        <f ca="1">IF($A16="","",IF(T$1="","",COUNTIFS(tbl_chests[from],$A16,tbl_chests[legalized],T$1,tbl_chests[datetime],"&gt;="&amp;TODAY()-WEEKDAY(TODAY(),2)+1,tbl_chests[datetime],"&lt;"&amp;TODAY()-WEEKDAY(TODAY(),2)+8)))</f>
        <v>0</v>
      </c>
      <c r="U16" s="36">
        <f ca="1">IF($A16="","",IF(U$1="","",COUNTIFS(tbl_chests[from],$A16,tbl_chests[legalized],U$1,tbl_chests[datetime],"&gt;="&amp;TODAY()-WEEKDAY(TODAY(),2)+1,tbl_chests[datetime],"&lt;"&amp;TODAY()-WEEKDAY(TODAY(),2)+8)))</f>
        <v>0</v>
      </c>
      <c r="V16" s="36">
        <f ca="1">IF($A16="","",IF(V$1="","",COUNTIFS(tbl_chests[from],$A16,tbl_chests[legalized],V$1,tbl_chests[datetime],"&gt;="&amp;TODAY()-WEEKDAY(TODAY(),2)+1,tbl_chests[datetime],"&lt;"&amp;TODAY()-WEEKDAY(TODAY(),2)+8)))</f>
        <v>0</v>
      </c>
      <c r="W16" s="36">
        <f ca="1">IF($A16="","",IF(W$1="","",COUNTIFS(tbl_chests[from],$A16,tbl_chests[legalized],W$1,tbl_chests[datetime],"&gt;="&amp;TODAY()-WEEKDAY(TODAY(),2)+1,tbl_chests[datetime],"&lt;"&amp;TODAY()-WEEKDAY(TODAY(),2)+8)))</f>
        <v>0</v>
      </c>
      <c r="X16" s="36">
        <f ca="1">IF($A16="","",IF(X$1="","",COUNTIFS(tbl_chests[from],$A16,tbl_chests[legalized],X$1,tbl_chests[datetime],"&gt;="&amp;TODAY()-WEEKDAY(TODAY(),2)+1,tbl_chests[datetime],"&lt;"&amp;TODAY()-WEEKDAY(TODAY(),2)+8)))</f>
        <v>0</v>
      </c>
      <c r="Y16" s="36">
        <f ca="1">IF($A16="","",IF(Y$1="","",COUNTIFS(tbl_chests[from],$A16,tbl_chests[legalized],Y$1,tbl_chests[datetime],"&gt;="&amp;TODAY()-WEEKDAY(TODAY(),2)+1,tbl_chests[datetime],"&lt;"&amp;TODAY()-WEEKDAY(TODAY(),2)+8)))</f>
        <v>0</v>
      </c>
      <c r="Z16" s="36">
        <f ca="1">IF($A16="","",IF(Z$1="","",COUNTIFS(tbl_chests[from],$A16,tbl_chests[legalized],Z$1,tbl_chests[datetime],"&gt;="&amp;TODAY()-WEEKDAY(TODAY(),2)+1,tbl_chests[datetime],"&lt;"&amp;TODAY()-WEEKDAY(TODAY(),2)+8)))</f>
        <v>0</v>
      </c>
      <c r="AA16" s="36">
        <f ca="1">IF($A16="","",IF(AA$1="","",COUNTIFS(tbl_chests[from],$A16,tbl_chests[legalized],AA$1,tbl_chests[datetime],"&gt;="&amp;TODAY()-WEEKDAY(TODAY(),2)+1,tbl_chests[datetime],"&lt;"&amp;TODAY()-WEEKDAY(TODAY(),2)+8)))</f>
        <v>0</v>
      </c>
      <c r="AB16" s="36">
        <f ca="1">IF($A16="","",IF(AB$1="","",COUNTIFS(tbl_chests[from],$A16,tbl_chests[legalized],AB$1,tbl_chests[datetime],"&gt;="&amp;TODAY()-WEEKDAY(TODAY(),2)+1,tbl_chests[datetime],"&lt;"&amp;TODAY()-WEEKDAY(TODAY(),2)+8)))</f>
        <v>0</v>
      </c>
      <c r="AC16" s="36">
        <f ca="1">IF($A16="","",IF(AC$1="","",COUNTIFS(tbl_chests[from],$A16,tbl_chests[legalized],AC$1,tbl_chests[datetime],"&gt;="&amp;TODAY()-WEEKDAY(TODAY(),2)+1,tbl_chests[datetime],"&lt;"&amp;TODAY()-WEEKDAY(TODAY(),2)+8)))</f>
        <v>0</v>
      </c>
      <c r="AD16" s="36">
        <f ca="1">IF($A16="","",IF(AD$1="","",COUNTIFS(tbl_chests[from],$A16,tbl_chests[legalized],AD$1,tbl_chests[datetime],"&gt;="&amp;TODAY()-WEEKDAY(TODAY(),2)+1,tbl_chests[datetime],"&lt;"&amp;TODAY()-WEEKDAY(TODAY(),2)+8)))</f>
        <v>0</v>
      </c>
      <c r="AE16" s="36">
        <f ca="1">IF($A16="","",IF(AE$1="","",COUNTIFS(tbl_chests[from],$A16,tbl_chests[legalized],AE$1,tbl_chests[datetime],"&gt;="&amp;TODAY()-WEEKDAY(TODAY(),2)+1,tbl_chests[datetime],"&lt;"&amp;TODAY()-WEEKDAY(TODAY(),2)+8)))</f>
        <v>0</v>
      </c>
      <c r="AF16" s="36">
        <f ca="1">IF($A16="","",IF(AF$1="","",COUNTIFS(tbl_chests[from],$A16,tbl_chests[legalized],AF$1,tbl_chests[datetime],"&gt;="&amp;TODAY()-WEEKDAY(TODAY(),2)+1,tbl_chests[datetime],"&lt;"&amp;TODAY()-WEEKDAY(TODAY(),2)+8)))</f>
        <v>0</v>
      </c>
      <c r="AG16" s="36">
        <f ca="1">IF($A16="","",IF(AG$1="","",COUNTIFS(tbl_chests[from],$A16,tbl_chests[legalized],AG$1,tbl_chests[datetime],"&gt;="&amp;TODAY()-WEEKDAY(TODAY(),2)+1,tbl_chests[datetime],"&lt;"&amp;TODAY()-WEEKDAY(TODAY(),2)+8)))</f>
        <v>0</v>
      </c>
      <c r="AH16" s="36">
        <f ca="1">IF($A16="","",IF(AH$1="","",COUNTIFS(tbl_chests[from],$A16,tbl_chests[legalized],AH$1,tbl_chests[datetime],"&gt;="&amp;TODAY()-WEEKDAY(TODAY(),2)+1,tbl_chests[datetime],"&lt;"&amp;TODAY()-WEEKDAY(TODAY(),2)+8)))</f>
        <v>0</v>
      </c>
      <c r="AI16" s="36">
        <f ca="1">IF($A16="","",IF(AI$1="","",COUNTIFS(tbl_chests[from],$A16,tbl_chests[legalized],AI$1,tbl_chests[datetime],"&gt;="&amp;TODAY()-WEEKDAY(TODAY(),2)+1,tbl_chests[datetime],"&lt;"&amp;TODAY()-WEEKDAY(TODAY(),2)+8)))</f>
        <v>0</v>
      </c>
      <c r="AJ16" s="36">
        <f ca="1">IF($A16="","",IF(AJ$1="","",COUNTIFS(tbl_chests[from],$A16,tbl_chests[legalized],AJ$1,tbl_chests[datetime],"&gt;="&amp;TODAY()-WEEKDAY(TODAY(),2)+1,tbl_chests[datetime],"&lt;"&amp;TODAY()-WEEKDAY(TODAY(),2)+8)))</f>
        <v>0</v>
      </c>
      <c r="AK16" s="36">
        <f ca="1">IF($A16="","",IF(AK$1="","",COUNTIFS(tbl_chests[from],$A16,tbl_chests[legalized],AK$1,tbl_chests[datetime],"&gt;="&amp;TODAY()-WEEKDAY(TODAY(),2)+1,tbl_chests[datetime],"&lt;"&amp;TODAY()-WEEKDAY(TODAY(),2)+8)))</f>
        <v>0</v>
      </c>
      <c r="AL16" s="36">
        <f ca="1">IF($A16="","",IF(AL$1="","",COUNTIFS(tbl_chests[from],$A16,tbl_chests[legalized],AL$1,tbl_chests[datetime],"&gt;="&amp;TODAY()-WEEKDAY(TODAY(),2)+1,tbl_chests[datetime],"&lt;"&amp;TODAY()-WEEKDAY(TODAY(),2)+8)))</f>
        <v>0</v>
      </c>
      <c r="AM16" s="37">
        <f ca="1">IF($A16="","",IF(AM$1="","",COUNTIFS(tbl_chests[from],$A16,tbl_chests[legalized],AM$1,tbl_chests[datetime],"&gt;="&amp;TODAY()-WEEKDAY(TODAY(),2)+1,tbl_chests[datetime],"&lt;"&amp;TODAY()-WEEKDAY(TODAY(),2)+8)))</f>
        <v>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 x14ac:dyDescent="0.25">
      <c r="A17" s="34" t="str">
        <f>chests_counter!$H14</f>
        <v>Der Morg</v>
      </c>
      <c r="B17" s="35" cm="1">
        <f t="array" aca="1" ref="B17" ca="1">IF(A17&lt;&gt;"", SUMPRODUCT(($C$2:$AM$2&lt;&gt;0)*(C17:AM17&lt;&gt;0)*($C$2:$AM$2)*(C17:AM17)), "")</f>
        <v>25</v>
      </c>
      <c r="C17" s="36">
        <f ca="1">IF($A17="","",IF(C$1="","",COUNTIFS(tbl_chests[from],$A17,tbl_chests[legalized],C$1,tbl_chests[datetime],"&gt;="&amp;TODAY()-WEEKDAY(TODAY(),2)+1,tbl_chests[datetime],"&lt;"&amp;TODAY()-WEEKDAY(TODAY(),2)+8)))</f>
        <v>0</v>
      </c>
      <c r="D17" s="36">
        <f ca="1">IF($A17="","",IF(D$1="","",COUNTIFS(tbl_chests[from],$A17,tbl_chests[legalized],D$1,tbl_chests[datetime],"&gt;="&amp;TODAY()-WEEKDAY(TODAY(),2)+1,tbl_chests[datetime],"&lt;"&amp;TODAY()-WEEKDAY(TODAY(),2)+8)))</f>
        <v>1</v>
      </c>
      <c r="E17" s="36">
        <f ca="1">IF($A17="","",IF(E$1="","",COUNTIFS(tbl_chests[from],$A17,tbl_chests[legalized],E$1,tbl_chests[datetime],"&gt;="&amp;TODAY()-WEEKDAY(TODAY(),2)+1,tbl_chests[datetime],"&lt;"&amp;TODAY()-WEEKDAY(TODAY(),2)+8)))</f>
        <v>0</v>
      </c>
      <c r="F17" s="36">
        <f ca="1">IF($A17="","",IF(F$1="","",COUNTIFS(tbl_chests[from],$A17,tbl_chests[legalized],F$1,tbl_chests[datetime],"&gt;="&amp;TODAY()-WEEKDAY(TODAY(),2)+1,tbl_chests[datetime],"&lt;"&amp;TODAY()-WEEKDAY(TODAY(),2)+8)))</f>
        <v>0</v>
      </c>
      <c r="G17" s="36">
        <f ca="1">IF($A17="","",IF(G$1="","",COUNTIFS(tbl_chests[from],$A17,tbl_chests[legalized],G$1,tbl_chests[datetime],"&gt;="&amp;TODAY()-WEEKDAY(TODAY(),2)+1,tbl_chests[datetime],"&lt;"&amp;TODAY()-WEEKDAY(TODAY(),2)+8)))</f>
        <v>0</v>
      </c>
      <c r="H17" s="36">
        <f ca="1">IF($A17="","",IF(H$1="","",COUNTIFS(tbl_chests[from],$A17,tbl_chests[legalized],H$1,tbl_chests[datetime],"&gt;="&amp;TODAY()-WEEKDAY(TODAY(),2)+1,tbl_chests[datetime],"&lt;"&amp;TODAY()-WEEKDAY(TODAY(),2)+8)))</f>
        <v>0</v>
      </c>
      <c r="I17" s="36">
        <f ca="1">IF($A17="","",IF(I$1="","",COUNTIFS(tbl_chests[from],$A17,tbl_chests[legalized],I$1,tbl_chests[datetime],"&gt;="&amp;TODAY()-WEEKDAY(TODAY(),2)+1,tbl_chests[datetime],"&lt;"&amp;TODAY()-WEEKDAY(TODAY(),2)+8)))</f>
        <v>0</v>
      </c>
      <c r="J17" s="36">
        <f ca="1">IF($A17="","",IF(J$1="","",COUNTIFS(tbl_chests[from],$A17,tbl_chests[legalized],J$1,tbl_chests[datetime],"&gt;="&amp;TODAY()-WEEKDAY(TODAY(),2)+1,tbl_chests[datetime],"&lt;"&amp;TODAY()-WEEKDAY(TODAY(),2)+8)))</f>
        <v>0</v>
      </c>
      <c r="K17" s="36">
        <f ca="1">IF($A17="","",IF(K$1="","",COUNTIFS(tbl_chests[from],$A17,tbl_chests[legalized],K$1,tbl_chests[datetime],"&gt;="&amp;TODAY()-WEEKDAY(TODAY(),2)+1,tbl_chests[datetime],"&lt;"&amp;TODAY()-WEEKDAY(TODAY(),2)+8)))</f>
        <v>0</v>
      </c>
      <c r="L17" s="36">
        <f ca="1">IF($A17="","",IF(L$1="","",COUNTIFS(tbl_chests[from],$A17,tbl_chests[legalized],L$1,tbl_chests[datetime],"&gt;="&amp;TODAY()-WEEKDAY(TODAY(),2)+1,tbl_chests[datetime],"&lt;"&amp;TODAY()-WEEKDAY(TODAY(),2)+8)))</f>
        <v>0</v>
      </c>
      <c r="M17" s="36">
        <f ca="1">IF($A17="","",IF(M$1="","",COUNTIFS(tbl_chests[from],$A17,tbl_chests[legalized],M$1,tbl_chests[datetime],"&gt;="&amp;TODAY()-WEEKDAY(TODAY(),2)+1,tbl_chests[datetime],"&lt;"&amp;TODAY()-WEEKDAY(TODAY(),2)+8)))</f>
        <v>0</v>
      </c>
      <c r="N17" s="36">
        <f ca="1">IF($A17="","",IF(N$1="","",COUNTIFS(tbl_chests[from],$A17,tbl_chests[legalized],N$1,tbl_chests[datetime],"&gt;="&amp;TODAY()-WEEKDAY(TODAY(),2)+1,tbl_chests[datetime],"&lt;"&amp;TODAY()-WEEKDAY(TODAY(),2)+8)))</f>
        <v>0</v>
      </c>
      <c r="O17" s="36">
        <f ca="1">IF($A17="","",IF(O$1="","",COUNTIFS(tbl_chests[from],$A17,tbl_chests[legalized],O$1,tbl_chests[datetime],"&gt;="&amp;TODAY()-WEEKDAY(TODAY(),2)+1,tbl_chests[datetime],"&lt;"&amp;TODAY()-WEEKDAY(TODAY(),2)+8)))</f>
        <v>0</v>
      </c>
      <c r="P17" s="36">
        <f ca="1">IF($A17="","",IF(P$1="","",COUNTIFS(tbl_chests[from],$A17,tbl_chests[legalized],P$1,tbl_chests[datetime],"&gt;="&amp;TODAY()-WEEKDAY(TODAY(),2)+1,tbl_chests[datetime],"&lt;"&amp;TODAY()-WEEKDAY(TODAY(),2)+8)))</f>
        <v>0</v>
      </c>
      <c r="Q17" s="36">
        <f ca="1">IF($A17="","",IF(Q$1="","",COUNTIFS(tbl_chests[from],$A17,tbl_chests[legalized],Q$1,tbl_chests[datetime],"&gt;="&amp;TODAY()-WEEKDAY(TODAY(),2)+1,tbl_chests[datetime],"&lt;"&amp;TODAY()-WEEKDAY(TODAY(),2)+8)))</f>
        <v>0</v>
      </c>
      <c r="R17" s="36">
        <f ca="1">IF($A17="","",IF(R$1="","",COUNTIFS(tbl_chests[from],$A17,tbl_chests[legalized],R$1,tbl_chests[datetime],"&gt;="&amp;TODAY()-WEEKDAY(TODAY(),2)+1,tbl_chests[datetime],"&lt;"&amp;TODAY()-WEEKDAY(TODAY(),2)+8)))</f>
        <v>0</v>
      </c>
      <c r="S17" s="36">
        <f ca="1">IF($A17="","",IF(S$1="","",COUNTIFS(tbl_chests[from],$A17,tbl_chests[legalized],S$1,tbl_chests[datetime],"&gt;="&amp;TODAY()-WEEKDAY(TODAY(),2)+1,tbl_chests[datetime],"&lt;"&amp;TODAY()-WEEKDAY(TODAY(),2)+8)))</f>
        <v>0</v>
      </c>
      <c r="T17" s="36">
        <f ca="1">IF($A17="","",IF(T$1="","",COUNTIFS(tbl_chests[from],$A17,tbl_chests[legalized],T$1,tbl_chests[datetime],"&gt;="&amp;TODAY()-WEEKDAY(TODAY(),2)+1,tbl_chests[datetime],"&lt;"&amp;TODAY()-WEEKDAY(TODAY(),2)+8)))</f>
        <v>0</v>
      </c>
      <c r="U17" s="36">
        <f ca="1">IF($A17="","",IF(U$1="","",COUNTIFS(tbl_chests[from],$A17,tbl_chests[legalized],U$1,tbl_chests[datetime],"&gt;="&amp;TODAY()-WEEKDAY(TODAY(),2)+1,tbl_chests[datetime],"&lt;"&amp;TODAY()-WEEKDAY(TODAY(),2)+8)))</f>
        <v>0</v>
      </c>
      <c r="V17" s="36">
        <f ca="1">IF($A17="","",IF(V$1="","",COUNTIFS(tbl_chests[from],$A17,tbl_chests[legalized],V$1,tbl_chests[datetime],"&gt;="&amp;TODAY()-WEEKDAY(TODAY(),2)+1,tbl_chests[datetime],"&lt;"&amp;TODAY()-WEEKDAY(TODAY(),2)+8)))</f>
        <v>0</v>
      </c>
      <c r="W17" s="36">
        <f ca="1">IF($A17="","",IF(W$1="","",COUNTIFS(tbl_chests[from],$A17,tbl_chests[legalized],W$1,tbl_chests[datetime],"&gt;="&amp;TODAY()-WEEKDAY(TODAY(),2)+1,tbl_chests[datetime],"&lt;"&amp;TODAY()-WEEKDAY(TODAY(),2)+8)))</f>
        <v>0</v>
      </c>
      <c r="X17" s="36">
        <f ca="1">IF($A17="","",IF(X$1="","",COUNTIFS(tbl_chests[from],$A17,tbl_chests[legalized],X$1,tbl_chests[datetime],"&gt;="&amp;TODAY()-WEEKDAY(TODAY(),2)+1,tbl_chests[datetime],"&lt;"&amp;TODAY()-WEEKDAY(TODAY(),2)+8)))</f>
        <v>0</v>
      </c>
      <c r="Y17" s="36">
        <f ca="1">IF($A17="","",IF(Y$1="","",COUNTIFS(tbl_chests[from],$A17,tbl_chests[legalized],Y$1,tbl_chests[datetime],"&gt;="&amp;TODAY()-WEEKDAY(TODAY(),2)+1,tbl_chests[datetime],"&lt;"&amp;TODAY()-WEEKDAY(TODAY(),2)+8)))</f>
        <v>0</v>
      </c>
      <c r="Z17" s="36">
        <f ca="1">IF($A17="","",IF(Z$1="","",COUNTIFS(tbl_chests[from],$A17,tbl_chests[legalized],Z$1,tbl_chests[datetime],"&gt;="&amp;TODAY()-WEEKDAY(TODAY(),2)+1,tbl_chests[datetime],"&lt;"&amp;TODAY()-WEEKDAY(TODAY(),2)+8)))</f>
        <v>0</v>
      </c>
      <c r="AA17" s="36">
        <f ca="1">IF($A17="","",IF(AA$1="","",COUNTIFS(tbl_chests[from],$A17,tbl_chests[legalized],AA$1,tbl_chests[datetime],"&gt;="&amp;TODAY()-WEEKDAY(TODAY(),2)+1,tbl_chests[datetime],"&lt;"&amp;TODAY()-WEEKDAY(TODAY(),2)+8)))</f>
        <v>0</v>
      </c>
      <c r="AB17" s="36">
        <f ca="1">IF($A17="","",IF(AB$1="","",COUNTIFS(tbl_chests[from],$A17,tbl_chests[legalized],AB$1,tbl_chests[datetime],"&gt;="&amp;TODAY()-WEEKDAY(TODAY(),2)+1,tbl_chests[datetime],"&lt;"&amp;TODAY()-WEEKDAY(TODAY(),2)+8)))</f>
        <v>0</v>
      </c>
      <c r="AC17" s="36">
        <f ca="1">IF($A17="","",IF(AC$1="","",COUNTIFS(tbl_chests[from],$A17,tbl_chests[legalized],AC$1,tbl_chests[datetime],"&gt;="&amp;TODAY()-WEEKDAY(TODAY(),2)+1,tbl_chests[datetime],"&lt;"&amp;TODAY()-WEEKDAY(TODAY(),2)+8)))</f>
        <v>0</v>
      </c>
      <c r="AD17" s="36">
        <f ca="1">IF($A17="","",IF(AD$1="","",COUNTIFS(tbl_chests[from],$A17,tbl_chests[legalized],AD$1,tbl_chests[datetime],"&gt;="&amp;TODAY()-WEEKDAY(TODAY(),2)+1,tbl_chests[datetime],"&lt;"&amp;TODAY()-WEEKDAY(TODAY(),2)+8)))</f>
        <v>0</v>
      </c>
      <c r="AE17" s="36">
        <f ca="1">IF($A17="","",IF(AE$1="","",COUNTIFS(tbl_chests[from],$A17,tbl_chests[legalized],AE$1,tbl_chests[datetime],"&gt;="&amp;TODAY()-WEEKDAY(TODAY(),2)+1,tbl_chests[datetime],"&lt;"&amp;TODAY()-WEEKDAY(TODAY(),2)+8)))</f>
        <v>1</v>
      </c>
      <c r="AF17" s="36">
        <f ca="1">IF($A17="","",IF(AF$1="","",COUNTIFS(tbl_chests[from],$A17,tbl_chests[legalized],AF$1,tbl_chests[datetime],"&gt;="&amp;TODAY()-WEEKDAY(TODAY(),2)+1,tbl_chests[datetime],"&lt;"&amp;TODAY()-WEEKDAY(TODAY(),2)+8)))</f>
        <v>0</v>
      </c>
      <c r="AG17" s="36">
        <f ca="1">IF($A17="","",IF(AG$1="","",COUNTIFS(tbl_chests[from],$A17,tbl_chests[legalized],AG$1,tbl_chests[datetime],"&gt;="&amp;TODAY()-WEEKDAY(TODAY(),2)+1,tbl_chests[datetime],"&lt;"&amp;TODAY()-WEEKDAY(TODAY(),2)+8)))</f>
        <v>0</v>
      </c>
      <c r="AH17" s="36">
        <f ca="1">IF($A17="","",IF(AH$1="","",COUNTIFS(tbl_chests[from],$A17,tbl_chests[legalized],AH$1,tbl_chests[datetime],"&gt;="&amp;TODAY()-WEEKDAY(TODAY(),2)+1,tbl_chests[datetime],"&lt;"&amp;TODAY()-WEEKDAY(TODAY(),2)+8)))</f>
        <v>0</v>
      </c>
      <c r="AI17" s="36">
        <f ca="1">IF($A17="","",IF(AI$1="","",COUNTIFS(tbl_chests[from],$A17,tbl_chests[legalized],AI$1,tbl_chests[datetime],"&gt;="&amp;TODAY()-WEEKDAY(TODAY(),2)+1,tbl_chests[datetime],"&lt;"&amp;TODAY()-WEEKDAY(TODAY(),2)+8)))</f>
        <v>0</v>
      </c>
      <c r="AJ17" s="36">
        <f ca="1">IF($A17="","",IF(AJ$1="","",COUNTIFS(tbl_chests[from],$A17,tbl_chests[legalized],AJ$1,tbl_chests[datetime],"&gt;="&amp;TODAY()-WEEKDAY(TODAY(),2)+1,tbl_chests[datetime],"&lt;"&amp;TODAY()-WEEKDAY(TODAY(),2)+8)))</f>
        <v>0</v>
      </c>
      <c r="AK17" s="36">
        <f ca="1">IF($A17="","",IF(AK$1="","",COUNTIFS(tbl_chests[from],$A17,tbl_chests[legalized],AK$1,tbl_chests[datetime],"&gt;="&amp;TODAY()-WEEKDAY(TODAY(),2)+1,tbl_chests[datetime],"&lt;"&amp;TODAY()-WEEKDAY(TODAY(),2)+8)))</f>
        <v>0</v>
      </c>
      <c r="AL17" s="36">
        <f ca="1">IF($A17="","",IF(AL$1="","",COUNTIFS(tbl_chests[from],$A17,tbl_chests[legalized],AL$1,tbl_chests[datetime],"&gt;="&amp;TODAY()-WEEKDAY(TODAY(),2)+1,tbl_chests[datetime],"&lt;"&amp;TODAY()-WEEKDAY(TODAY(),2)+8)))</f>
        <v>0</v>
      </c>
      <c r="AM17" s="37">
        <f ca="1">IF($A17="","",IF(AM$1="","",COUNTIFS(tbl_chests[from],$A17,tbl_chests[legalized],AM$1,tbl_chests[datetime],"&gt;="&amp;TODAY()-WEEKDAY(TODAY(),2)+1,tbl_chests[datetime],"&lt;"&amp;TODAY()-WEEKDAY(TODAY(),2)+8)))</f>
        <v>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 x14ac:dyDescent="0.25">
      <c r="A18" s="34" t="str">
        <f>chests_counter!$H15</f>
        <v>Diananaya</v>
      </c>
      <c r="B18" s="35" cm="1">
        <f t="array" aca="1" ref="B18" ca="1">IF(A18&lt;&gt;"", SUMPRODUCT(($C$2:$AM$2&lt;&gt;0)*(C18:AM18&lt;&gt;0)*($C$2:$AM$2)*(C18:AM18)), "")</f>
        <v>240</v>
      </c>
      <c r="C18" s="36">
        <f ca="1">IF($A18="","",IF(C$1="","",COUNTIFS(tbl_chests[from],$A18,tbl_chests[legalized],C$1,tbl_chests[datetime],"&gt;="&amp;TODAY()-WEEKDAY(TODAY(),2)+1,tbl_chests[datetime],"&lt;"&amp;TODAY()-WEEKDAY(TODAY(),2)+8)))</f>
        <v>0</v>
      </c>
      <c r="D18" s="36">
        <f ca="1">IF($A18="","",IF(D$1="","",COUNTIFS(tbl_chests[from],$A18,tbl_chests[legalized],D$1,tbl_chests[datetime],"&gt;="&amp;TODAY()-WEEKDAY(TODAY(),2)+1,tbl_chests[datetime],"&lt;"&amp;TODAY()-WEEKDAY(TODAY(),2)+8)))</f>
        <v>0</v>
      </c>
      <c r="E18" s="36">
        <f ca="1">IF($A18="","",IF(E$1="","",COUNTIFS(tbl_chests[from],$A18,tbl_chests[legalized],E$1,tbl_chests[datetime],"&gt;="&amp;TODAY()-WEEKDAY(TODAY(),2)+1,tbl_chests[datetime],"&lt;"&amp;TODAY()-WEEKDAY(TODAY(),2)+8)))</f>
        <v>0</v>
      </c>
      <c r="F18" s="36">
        <f ca="1">IF($A18="","",IF(F$1="","",COUNTIFS(tbl_chests[from],$A18,tbl_chests[legalized],F$1,tbl_chests[datetime],"&gt;="&amp;TODAY()-WEEKDAY(TODAY(),2)+1,tbl_chests[datetime],"&lt;"&amp;TODAY()-WEEKDAY(TODAY(),2)+8)))</f>
        <v>0</v>
      </c>
      <c r="G18" s="36">
        <f ca="1">IF($A18="","",IF(G$1="","",COUNTIFS(tbl_chests[from],$A18,tbl_chests[legalized],G$1,tbl_chests[datetime],"&gt;="&amp;TODAY()-WEEKDAY(TODAY(),2)+1,tbl_chests[datetime],"&lt;"&amp;TODAY()-WEEKDAY(TODAY(),2)+8)))</f>
        <v>0</v>
      </c>
      <c r="H18" s="36">
        <f ca="1">IF($A18="","",IF(H$1="","",COUNTIFS(tbl_chests[from],$A18,tbl_chests[legalized],H$1,tbl_chests[datetime],"&gt;="&amp;TODAY()-WEEKDAY(TODAY(),2)+1,tbl_chests[datetime],"&lt;"&amp;TODAY()-WEEKDAY(TODAY(),2)+8)))</f>
        <v>0</v>
      </c>
      <c r="I18" s="36">
        <f ca="1">IF($A18="","",IF(I$1="","",COUNTIFS(tbl_chests[from],$A18,tbl_chests[legalized],I$1,tbl_chests[datetime],"&gt;="&amp;TODAY()-WEEKDAY(TODAY(),2)+1,tbl_chests[datetime],"&lt;"&amp;TODAY()-WEEKDAY(TODAY(),2)+8)))</f>
        <v>0</v>
      </c>
      <c r="J18" s="36">
        <f ca="1">IF($A18="","",IF(J$1="","",COUNTIFS(tbl_chests[from],$A18,tbl_chests[legalized],J$1,tbl_chests[datetime],"&gt;="&amp;TODAY()-WEEKDAY(TODAY(),2)+1,tbl_chests[datetime],"&lt;"&amp;TODAY()-WEEKDAY(TODAY(),2)+8)))</f>
        <v>0</v>
      </c>
      <c r="K18" s="36">
        <f ca="1">IF($A18="","",IF(K$1="","",COUNTIFS(tbl_chests[from],$A18,tbl_chests[legalized],K$1,tbl_chests[datetime],"&gt;="&amp;TODAY()-WEEKDAY(TODAY(),2)+1,tbl_chests[datetime],"&lt;"&amp;TODAY()-WEEKDAY(TODAY(),2)+8)))</f>
        <v>0</v>
      </c>
      <c r="L18" s="36">
        <f ca="1">IF($A18="","",IF(L$1="","",COUNTIFS(tbl_chests[from],$A18,tbl_chests[legalized],L$1,tbl_chests[datetime],"&gt;="&amp;TODAY()-WEEKDAY(TODAY(),2)+1,tbl_chests[datetime],"&lt;"&amp;TODAY()-WEEKDAY(TODAY(),2)+8)))</f>
        <v>0</v>
      </c>
      <c r="M18" s="36">
        <f ca="1">IF($A18="","",IF(M$1="","",COUNTIFS(tbl_chests[from],$A18,tbl_chests[legalized],M$1,tbl_chests[datetime],"&gt;="&amp;TODAY()-WEEKDAY(TODAY(),2)+1,tbl_chests[datetime],"&lt;"&amp;TODAY()-WEEKDAY(TODAY(),2)+8)))</f>
        <v>0</v>
      </c>
      <c r="N18" s="36">
        <f ca="1">IF($A18="","",IF(N$1="","",COUNTIFS(tbl_chests[from],$A18,tbl_chests[legalized],N$1,tbl_chests[datetime],"&gt;="&amp;TODAY()-WEEKDAY(TODAY(),2)+1,tbl_chests[datetime],"&lt;"&amp;TODAY()-WEEKDAY(TODAY(),2)+8)))</f>
        <v>0</v>
      </c>
      <c r="O18" s="36">
        <f ca="1">IF($A18="","",IF(O$1="","",COUNTIFS(tbl_chests[from],$A18,tbl_chests[legalized],O$1,tbl_chests[datetime],"&gt;="&amp;TODAY()-WEEKDAY(TODAY(),2)+1,tbl_chests[datetime],"&lt;"&amp;TODAY()-WEEKDAY(TODAY(),2)+8)))</f>
        <v>0</v>
      </c>
      <c r="P18" s="36">
        <f ca="1">IF($A18="","",IF(P$1="","",COUNTIFS(tbl_chests[from],$A18,tbl_chests[legalized],P$1,tbl_chests[datetime],"&gt;="&amp;TODAY()-WEEKDAY(TODAY(),2)+1,tbl_chests[datetime],"&lt;"&amp;TODAY()-WEEKDAY(TODAY(),2)+8)))</f>
        <v>0</v>
      </c>
      <c r="Q18" s="36">
        <f ca="1">IF($A18="","",IF(Q$1="","",COUNTIFS(tbl_chests[from],$A18,tbl_chests[legalized],Q$1,tbl_chests[datetime],"&gt;="&amp;TODAY()-WEEKDAY(TODAY(),2)+1,tbl_chests[datetime],"&lt;"&amp;TODAY()-WEEKDAY(TODAY(),2)+8)))</f>
        <v>0</v>
      </c>
      <c r="R18" s="36">
        <f ca="1">IF($A18="","",IF(R$1="","",COUNTIFS(tbl_chests[from],$A18,tbl_chests[legalized],R$1,tbl_chests[datetime],"&gt;="&amp;TODAY()-WEEKDAY(TODAY(),2)+1,tbl_chests[datetime],"&lt;"&amp;TODAY()-WEEKDAY(TODAY(),2)+8)))</f>
        <v>0</v>
      </c>
      <c r="S18" s="36">
        <f ca="1">IF($A18="","",IF(S$1="","",COUNTIFS(tbl_chests[from],$A18,tbl_chests[legalized],S$1,tbl_chests[datetime],"&gt;="&amp;TODAY()-WEEKDAY(TODAY(),2)+1,tbl_chests[datetime],"&lt;"&amp;TODAY()-WEEKDAY(TODAY(),2)+8)))</f>
        <v>0</v>
      </c>
      <c r="T18" s="36">
        <f ca="1">IF($A18="","",IF(T$1="","",COUNTIFS(tbl_chests[from],$A18,tbl_chests[legalized],T$1,tbl_chests[datetime],"&gt;="&amp;TODAY()-WEEKDAY(TODAY(),2)+1,tbl_chests[datetime],"&lt;"&amp;TODAY()-WEEKDAY(TODAY(),2)+8)))</f>
        <v>0</v>
      </c>
      <c r="U18" s="36">
        <f ca="1">IF($A18="","",IF(U$1="","",COUNTIFS(tbl_chests[from],$A18,tbl_chests[legalized],U$1,tbl_chests[datetime],"&gt;="&amp;TODAY()-WEEKDAY(TODAY(),2)+1,tbl_chests[datetime],"&lt;"&amp;TODAY()-WEEKDAY(TODAY(),2)+8)))</f>
        <v>0</v>
      </c>
      <c r="V18" s="36">
        <f ca="1">IF($A18="","",IF(V$1="","",COUNTIFS(tbl_chests[from],$A18,tbl_chests[legalized],V$1,tbl_chests[datetime],"&gt;="&amp;TODAY()-WEEKDAY(TODAY(),2)+1,tbl_chests[datetime],"&lt;"&amp;TODAY()-WEEKDAY(TODAY(),2)+8)))</f>
        <v>0</v>
      </c>
      <c r="W18" s="36">
        <f ca="1">IF($A18="","",IF(W$1="","",COUNTIFS(tbl_chests[from],$A18,tbl_chests[legalized],W$1,tbl_chests[datetime],"&gt;="&amp;TODAY()-WEEKDAY(TODAY(),2)+1,tbl_chests[datetime],"&lt;"&amp;TODAY()-WEEKDAY(TODAY(),2)+8)))</f>
        <v>0</v>
      </c>
      <c r="X18" s="36">
        <f ca="1">IF($A18="","",IF(X$1="","",COUNTIFS(tbl_chests[from],$A18,tbl_chests[legalized],X$1,tbl_chests[datetime],"&gt;="&amp;TODAY()-WEEKDAY(TODAY(),2)+1,tbl_chests[datetime],"&lt;"&amp;TODAY()-WEEKDAY(TODAY(),2)+8)))</f>
        <v>0</v>
      </c>
      <c r="Y18" s="36">
        <f ca="1">IF($A18="","",IF(Y$1="","",COUNTIFS(tbl_chests[from],$A18,tbl_chests[legalized],Y$1,tbl_chests[datetime],"&gt;="&amp;TODAY()-WEEKDAY(TODAY(),2)+1,tbl_chests[datetime],"&lt;"&amp;TODAY()-WEEKDAY(TODAY(),2)+8)))</f>
        <v>0</v>
      </c>
      <c r="Z18" s="36">
        <f ca="1">IF($A18="","",IF(Z$1="","",COUNTIFS(tbl_chests[from],$A18,tbl_chests[legalized],Z$1,tbl_chests[datetime],"&gt;="&amp;TODAY()-WEEKDAY(TODAY(),2)+1,tbl_chests[datetime],"&lt;"&amp;TODAY()-WEEKDAY(TODAY(),2)+8)))</f>
        <v>0</v>
      </c>
      <c r="AA18" s="36">
        <f ca="1">IF($A18="","",IF(AA$1="","",COUNTIFS(tbl_chests[from],$A18,tbl_chests[legalized],AA$1,tbl_chests[datetime],"&gt;="&amp;TODAY()-WEEKDAY(TODAY(),2)+1,tbl_chests[datetime],"&lt;"&amp;TODAY()-WEEKDAY(TODAY(),2)+8)))</f>
        <v>6</v>
      </c>
      <c r="AB18" s="36">
        <f ca="1">IF($A18="","",IF(AB$1="","",COUNTIFS(tbl_chests[from],$A18,tbl_chests[legalized],AB$1,tbl_chests[datetime],"&gt;="&amp;TODAY()-WEEKDAY(TODAY(),2)+1,tbl_chests[datetime],"&lt;"&amp;TODAY()-WEEKDAY(TODAY(),2)+8)))</f>
        <v>0</v>
      </c>
      <c r="AC18" s="36">
        <f ca="1">IF($A18="","",IF(AC$1="","",COUNTIFS(tbl_chests[from],$A18,tbl_chests[legalized],AC$1,tbl_chests[datetime],"&gt;="&amp;TODAY()-WEEKDAY(TODAY(),2)+1,tbl_chests[datetime],"&lt;"&amp;TODAY()-WEEKDAY(TODAY(),2)+8)))</f>
        <v>0</v>
      </c>
      <c r="AD18" s="36">
        <f ca="1">IF($A18="","",IF(AD$1="","",COUNTIFS(tbl_chests[from],$A18,tbl_chests[legalized],AD$1,tbl_chests[datetime],"&gt;="&amp;TODAY()-WEEKDAY(TODAY(),2)+1,tbl_chests[datetime],"&lt;"&amp;TODAY()-WEEKDAY(TODAY(),2)+8)))</f>
        <v>0</v>
      </c>
      <c r="AE18" s="36">
        <f ca="1">IF($A18="","",IF(AE$1="","",COUNTIFS(tbl_chests[from],$A18,tbl_chests[legalized],AE$1,tbl_chests[datetime],"&gt;="&amp;TODAY()-WEEKDAY(TODAY(),2)+1,tbl_chests[datetime],"&lt;"&amp;TODAY()-WEEKDAY(TODAY(),2)+8)))</f>
        <v>0</v>
      </c>
      <c r="AF18" s="36">
        <f ca="1">IF($A18="","",IF(AF$1="","",COUNTIFS(tbl_chests[from],$A18,tbl_chests[legalized],AF$1,tbl_chests[datetime],"&gt;="&amp;TODAY()-WEEKDAY(TODAY(),2)+1,tbl_chests[datetime],"&lt;"&amp;TODAY()-WEEKDAY(TODAY(),2)+8)))</f>
        <v>0</v>
      </c>
      <c r="AG18" s="36">
        <f ca="1">IF($A18="","",IF(AG$1="","",COUNTIFS(tbl_chests[from],$A18,tbl_chests[legalized],AG$1,tbl_chests[datetime],"&gt;="&amp;TODAY()-WEEKDAY(TODAY(),2)+1,tbl_chests[datetime],"&lt;"&amp;TODAY()-WEEKDAY(TODAY(),2)+8)))</f>
        <v>0</v>
      </c>
      <c r="AH18" s="36">
        <f ca="1">IF($A18="","",IF(AH$1="","",COUNTIFS(tbl_chests[from],$A18,tbl_chests[legalized],AH$1,tbl_chests[datetime],"&gt;="&amp;TODAY()-WEEKDAY(TODAY(),2)+1,tbl_chests[datetime],"&lt;"&amp;TODAY()-WEEKDAY(TODAY(),2)+8)))</f>
        <v>0</v>
      </c>
      <c r="AI18" s="36">
        <f ca="1">IF($A18="","",IF(AI$1="","",COUNTIFS(tbl_chests[from],$A18,tbl_chests[legalized],AI$1,tbl_chests[datetime],"&gt;="&amp;TODAY()-WEEKDAY(TODAY(),2)+1,tbl_chests[datetime],"&lt;"&amp;TODAY()-WEEKDAY(TODAY(),2)+8)))</f>
        <v>0</v>
      </c>
      <c r="AJ18" s="36">
        <f ca="1">IF($A18="","",IF(AJ$1="","",COUNTIFS(tbl_chests[from],$A18,tbl_chests[legalized],AJ$1,tbl_chests[datetime],"&gt;="&amp;TODAY()-WEEKDAY(TODAY(),2)+1,tbl_chests[datetime],"&lt;"&amp;TODAY()-WEEKDAY(TODAY(),2)+8)))</f>
        <v>0</v>
      </c>
      <c r="AK18" s="36">
        <f ca="1">IF($A18="","",IF(AK$1="","",COUNTIFS(tbl_chests[from],$A18,tbl_chests[legalized],AK$1,tbl_chests[datetime],"&gt;="&amp;TODAY()-WEEKDAY(TODAY(),2)+1,tbl_chests[datetime],"&lt;"&amp;TODAY()-WEEKDAY(TODAY(),2)+8)))</f>
        <v>0</v>
      </c>
      <c r="AL18" s="36">
        <f ca="1">IF($A18="","",IF(AL$1="","",COUNTIFS(tbl_chests[from],$A18,tbl_chests[legalized],AL$1,tbl_chests[datetime],"&gt;="&amp;TODAY()-WEEKDAY(TODAY(),2)+1,tbl_chests[datetime],"&lt;"&amp;TODAY()-WEEKDAY(TODAY(),2)+8)))</f>
        <v>0</v>
      </c>
      <c r="AM18" s="37">
        <f ca="1">IF($A18="","",IF(AM$1="","",COUNTIFS(tbl_chests[from],$A18,tbl_chests[legalized],AM$1,tbl_chests[datetime],"&gt;="&amp;TODAY()-WEEKDAY(TODAY(),2)+1,tbl_chests[datetime],"&lt;"&amp;TODAY()-WEEKDAY(TODAY(),2)+8)))</f>
        <v>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 x14ac:dyDescent="0.25">
      <c r="A19" s="34" t="str">
        <f>chests_counter!$H16</f>
        <v>Eyvening</v>
      </c>
      <c r="B19" s="35" cm="1">
        <f t="array" aca="1" ref="B19" ca="1">IF(A19&lt;&gt;"", SUMPRODUCT(($C$2:$AM$2&lt;&gt;0)*(C19:AM19&lt;&gt;0)*($C$2:$AM$2)*(C19:AM19)), "")</f>
        <v>40</v>
      </c>
      <c r="C19" s="36">
        <f ca="1">IF($A19="","",IF(C$1="","",COUNTIFS(tbl_chests[from],$A19,tbl_chests[legalized],C$1,tbl_chests[datetime],"&gt;="&amp;TODAY()-WEEKDAY(TODAY(),2)+1,tbl_chests[datetime],"&lt;"&amp;TODAY()-WEEKDAY(TODAY(),2)+8)))</f>
        <v>0</v>
      </c>
      <c r="D19" s="36">
        <f ca="1">IF($A19="","",IF(D$1="","",COUNTIFS(tbl_chests[from],$A19,tbl_chests[legalized],D$1,tbl_chests[datetime],"&gt;="&amp;TODAY()-WEEKDAY(TODAY(),2)+1,tbl_chests[datetime],"&lt;"&amp;TODAY()-WEEKDAY(TODAY(),2)+8)))</f>
        <v>0</v>
      </c>
      <c r="E19" s="36">
        <f ca="1">IF($A19="","",IF(E$1="","",COUNTIFS(tbl_chests[from],$A19,tbl_chests[legalized],E$1,tbl_chests[datetime],"&gt;="&amp;TODAY()-WEEKDAY(TODAY(),2)+1,tbl_chests[datetime],"&lt;"&amp;TODAY()-WEEKDAY(TODAY(),2)+8)))</f>
        <v>0</v>
      </c>
      <c r="F19" s="36">
        <f ca="1">IF($A19="","",IF(F$1="","",COUNTIFS(tbl_chests[from],$A19,tbl_chests[legalized],F$1,tbl_chests[datetime],"&gt;="&amp;TODAY()-WEEKDAY(TODAY(),2)+1,tbl_chests[datetime],"&lt;"&amp;TODAY()-WEEKDAY(TODAY(),2)+8)))</f>
        <v>1</v>
      </c>
      <c r="G19" s="36">
        <f ca="1">IF($A19="","",IF(G$1="","",COUNTIFS(tbl_chests[from],$A19,tbl_chests[legalized],G$1,tbl_chests[datetime],"&gt;="&amp;TODAY()-WEEKDAY(TODAY(),2)+1,tbl_chests[datetime],"&lt;"&amp;TODAY()-WEEKDAY(TODAY(),2)+8)))</f>
        <v>0</v>
      </c>
      <c r="H19" s="36">
        <f ca="1">IF($A19="","",IF(H$1="","",COUNTIFS(tbl_chests[from],$A19,tbl_chests[legalized],H$1,tbl_chests[datetime],"&gt;="&amp;TODAY()-WEEKDAY(TODAY(),2)+1,tbl_chests[datetime],"&lt;"&amp;TODAY()-WEEKDAY(TODAY(),2)+8)))</f>
        <v>0</v>
      </c>
      <c r="I19" s="36">
        <f ca="1">IF($A19="","",IF(I$1="","",COUNTIFS(tbl_chests[from],$A19,tbl_chests[legalized],I$1,tbl_chests[datetime],"&gt;="&amp;TODAY()-WEEKDAY(TODAY(),2)+1,tbl_chests[datetime],"&lt;"&amp;TODAY()-WEEKDAY(TODAY(),2)+8)))</f>
        <v>0</v>
      </c>
      <c r="J19" s="36">
        <f ca="1">IF($A19="","",IF(J$1="","",COUNTIFS(tbl_chests[from],$A19,tbl_chests[legalized],J$1,tbl_chests[datetime],"&gt;="&amp;TODAY()-WEEKDAY(TODAY(),2)+1,tbl_chests[datetime],"&lt;"&amp;TODAY()-WEEKDAY(TODAY(),2)+8)))</f>
        <v>0</v>
      </c>
      <c r="K19" s="36">
        <f ca="1">IF($A19="","",IF(K$1="","",COUNTIFS(tbl_chests[from],$A19,tbl_chests[legalized],K$1,tbl_chests[datetime],"&gt;="&amp;TODAY()-WEEKDAY(TODAY(),2)+1,tbl_chests[datetime],"&lt;"&amp;TODAY()-WEEKDAY(TODAY(),2)+8)))</f>
        <v>0</v>
      </c>
      <c r="L19" s="36">
        <f ca="1">IF($A19="","",IF(L$1="","",COUNTIFS(tbl_chests[from],$A19,tbl_chests[legalized],L$1,tbl_chests[datetime],"&gt;="&amp;TODAY()-WEEKDAY(TODAY(),2)+1,tbl_chests[datetime],"&lt;"&amp;TODAY()-WEEKDAY(TODAY(),2)+8)))</f>
        <v>0</v>
      </c>
      <c r="M19" s="36">
        <f ca="1">IF($A19="","",IF(M$1="","",COUNTIFS(tbl_chests[from],$A19,tbl_chests[legalized],M$1,tbl_chests[datetime],"&gt;="&amp;TODAY()-WEEKDAY(TODAY(),2)+1,tbl_chests[datetime],"&lt;"&amp;TODAY()-WEEKDAY(TODAY(),2)+8)))</f>
        <v>0</v>
      </c>
      <c r="N19" s="36">
        <f ca="1">IF($A19="","",IF(N$1="","",COUNTIFS(tbl_chests[from],$A19,tbl_chests[legalized],N$1,tbl_chests[datetime],"&gt;="&amp;TODAY()-WEEKDAY(TODAY(),2)+1,tbl_chests[datetime],"&lt;"&amp;TODAY()-WEEKDAY(TODAY(),2)+8)))</f>
        <v>0</v>
      </c>
      <c r="O19" s="36">
        <f ca="1">IF($A19="","",IF(O$1="","",COUNTIFS(tbl_chests[from],$A19,tbl_chests[legalized],O$1,tbl_chests[datetime],"&gt;="&amp;TODAY()-WEEKDAY(TODAY(),2)+1,tbl_chests[datetime],"&lt;"&amp;TODAY()-WEEKDAY(TODAY(),2)+8)))</f>
        <v>0</v>
      </c>
      <c r="P19" s="36">
        <f ca="1">IF($A19="","",IF(P$1="","",COUNTIFS(tbl_chests[from],$A19,tbl_chests[legalized],P$1,tbl_chests[datetime],"&gt;="&amp;TODAY()-WEEKDAY(TODAY(),2)+1,tbl_chests[datetime],"&lt;"&amp;TODAY()-WEEKDAY(TODAY(),2)+8)))</f>
        <v>0</v>
      </c>
      <c r="Q19" s="36">
        <f ca="1">IF($A19="","",IF(Q$1="","",COUNTIFS(tbl_chests[from],$A19,tbl_chests[legalized],Q$1,tbl_chests[datetime],"&gt;="&amp;TODAY()-WEEKDAY(TODAY(),2)+1,tbl_chests[datetime],"&lt;"&amp;TODAY()-WEEKDAY(TODAY(),2)+8)))</f>
        <v>0</v>
      </c>
      <c r="R19" s="36">
        <f ca="1">IF($A19="","",IF(R$1="","",COUNTIFS(tbl_chests[from],$A19,tbl_chests[legalized],R$1,tbl_chests[datetime],"&gt;="&amp;TODAY()-WEEKDAY(TODAY(),2)+1,tbl_chests[datetime],"&lt;"&amp;TODAY()-WEEKDAY(TODAY(),2)+8)))</f>
        <v>0</v>
      </c>
      <c r="S19" s="36">
        <f ca="1">IF($A19="","",IF(S$1="","",COUNTIFS(tbl_chests[from],$A19,tbl_chests[legalized],S$1,tbl_chests[datetime],"&gt;="&amp;TODAY()-WEEKDAY(TODAY(),2)+1,tbl_chests[datetime],"&lt;"&amp;TODAY()-WEEKDAY(TODAY(),2)+8)))</f>
        <v>0</v>
      </c>
      <c r="T19" s="36">
        <f ca="1">IF($A19="","",IF(T$1="","",COUNTIFS(tbl_chests[from],$A19,tbl_chests[legalized],T$1,tbl_chests[datetime],"&gt;="&amp;TODAY()-WEEKDAY(TODAY(),2)+1,tbl_chests[datetime],"&lt;"&amp;TODAY()-WEEKDAY(TODAY(),2)+8)))</f>
        <v>0</v>
      </c>
      <c r="U19" s="36">
        <f ca="1">IF($A19="","",IF(U$1="","",COUNTIFS(tbl_chests[from],$A19,tbl_chests[legalized],U$1,tbl_chests[datetime],"&gt;="&amp;TODAY()-WEEKDAY(TODAY(),2)+1,tbl_chests[datetime],"&lt;"&amp;TODAY()-WEEKDAY(TODAY(),2)+8)))</f>
        <v>0</v>
      </c>
      <c r="V19" s="36">
        <f ca="1">IF($A19="","",IF(V$1="","",COUNTIFS(tbl_chests[from],$A19,tbl_chests[legalized],V$1,tbl_chests[datetime],"&gt;="&amp;TODAY()-WEEKDAY(TODAY(),2)+1,tbl_chests[datetime],"&lt;"&amp;TODAY()-WEEKDAY(TODAY(),2)+8)))</f>
        <v>0</v>
      </c>
      <c r="W19" s="36">
        <f ca="1">IF($A19="","",IF(W$1="","",COUNTIFS(tbl_chests[from],$A19,tbl_chests[legalized],W$1,tbl_chests[datetime],"&gt;="&amp;TODAY()-WEEKDAY(TODAY(),2)+1,tbl_chests[datetime],"&lt;"&amp;TODAY()-WEEKDAY(TODAY(),2)+8)))</f>
        <v>0</v>
      </c>
      <c r="X19" s="36">
        <f ca="1">IF($A19="","",IF(X$1="","",COUNTIFS(tbl_chests[from],$A19,tbl_chests[legalized],X$1,tbl_chests[datetime],"&gt;="&amp;TODAY()-WEEKDAY(TODAY(),2)+1,tbl_chests[datetime],"&lt;"&amp;TODAY()-WEEKDAY(TODAY(),2)+8)))</f>
        <v>0</v>
      </c>
      <c r="Y19" s="36">
        <f ca="1">IF($A19="","",IF(Y$1="","",COUNTIFS(tbl_chests[from],$A19,tbl_chests[legalized],Y$1,tbl_chests[datetime],"&gt;="&amp;TODAY()-WEEKDAY(TODAY(),2)+1,tbl_chests[datetime],"&lt;"&amp;TODAY()-WEEKDAY(TODAY(),2)+8)))</f>
        <v>0</v>
      </c>
      <c r="Z19" s="36">
        <f ca="1">IF($A19="","",IF(Z$1="","",COUNTIFS(tbl_chests[from],$A19,tbl_chests[legalized],Z$1,tbl_chests[datetime],"&gt;="&amp;TODAY()-WEEKDAY(TODAY(),2)+1,tbl_chests[datetime],"&lt;"&amp;TODAY()-WEEKDAY(TODAY(),2)+8)))</f>
        <v>0</v>
      </c>
      <c r="AA19" s="36">
        <f ca="1">IF($A19="","",IF(AA$1="","",COUNTIFS(tbl_chests[from],$A19,tbl_chests[legalized],AA$1,tbl_chests[datetime],"&gt;="&amp;TODAY()-WEEKDAY(TODAY(),2)+1,tbl_chests[datetime],"&lt;"&amp;TODAY()-WEEKDAY(TODAY(),2)+8)))</f>
        <v>0</v>
      </c>
      <c r="AB19" s="36">
        <f ca="1">IF($A19="","",IF(AB$1="","",COUNTIFS(tbl_chests[from],$A19,tbl_chests[legalized],AB$1,tbl_chests[datetime],"&gt;="&amp;TODAY()-WEEKDAY(TODAY(),2)+1,tbl_chests[datetime],"&lt;"&amp;TODAY()-WEEKDAY(TODAY(),2)+8)))</f>
        <v>0</v>
      </c>
      <c r="AC19" s="36">
        <f ca="1">IF($A19="","",IF(AC$1="","",COUNTIFS(tbl_chests[from],$A19,tbl_chests[legalized],AC$1,tbl_chests[datetime],"&gt;="&amp;TODAY()-WEEKDAY(TODAY(),2)+1,tbl_chests[datetime],"&lt;"&amp;TODAY()-WEEKDAY(TODAY(),2)+8)))</f>
        <v>0</v>
      </c>
      <c r="AD19" s="36">
        <f ca="1">IF($A19="","",IF(AD$1="","",COUNTIFS(tbl_chests[from],$A19,tbl_chests[legalized],AD$1,tbl_chests[datetime],"&gt;="&amp;TODAY()-WEEKDAY(TODAY(),2)+1,tbl_chests[datetime],"&lt;"&amp;TODAY()-WEEKDAY(TODAY(),2)+8)))</f>
        <v>0</v>
      </c>
      <c r="AE19" s="36">
        <f ca="1">IF($A19="","",IF(AE$1="","",COUNTIFS(tbl_chests[from],$A19,tbl_chests[legalized],AE$1,tbl_chests[datetime],"&gt;="&amp;TODAY()-WEEKDAY(TODAY(),2)+1,tbl_chests[datetime],"&lt;"&amp;TODAY()-WEEKDAY(TODAY(),2)+8)))</f>
        <v>0</v>
      </c>
      <c r="AF19" s="36">
        <f ca="1">IF($A19="","",IF(AF$1="","",COUNTIFS(tbl_chests[from],$A19,tbl_chests[legalized],AF$1,tbl_chests[datetime],"&gt;="&amp;TODAY()-WEEKDAY(TODAY(),2)+1,tbl_chests[datetime],"&lt;"&amp;TODAY()-WEEKDAY(TODAY(),2)+8)))</f>
        <v>0</v>
      </c>
      <c r="AG19" s="36">
        <f ca="1">IF($A19="","",IF(AG$1="","",COUNTIFS(tbl_chests[from],$A19,tbl_chests[legalized],AG$1,tbl_chests[datetime],"&gt;="&amp;TODAY()-WEEKDAY(TODAY(),2)+1,tbl_chests[datetime],"&lt;"&amp;TODAY()-WEEKDAY(TODAY(),2)+8)))</f>
        <v>0</v>
      </c>
      <c r="AH19" s="36">
        <f ca="1">IF($A19="","",IF(AH$1="","",COUNTIFS(tbl_chests[from],$A19,tbl_chests[legalized],AH$1,tbl_chests[datetime],"&gt;="&amp;TODAY()-WEEKDAY(TODAY(),2)+1,tbl_chests[datetime],"&lt;"&amp;TODAY()-WEEKDAY(TODAY(),2)+8)))</f>
        <v>0</v>
      </c>
      <c r="AI19" s="36">
        <f ca="1">IF($A19="","",IF(AI$1="","",COUNTIFS(tbl_chests[from],$A19,tbl_chests[legalized],AI$1,tbl_chests[datetime],"&gt;="&amp;TODAY()-WEEKDAY(TODAY(),2)+1,tbl_chests[datetime],"&lt;"&amp;TODAY()-WEEKDAY(TODAY(),2)+8)))</f>
        <v>0</v>
      </c>
      <c r="AJ19" s="36">
        <f ca="1">IF($A19="","",IF(AJ$1="","",COUNTIFS(tbl_chests[from],$A19,tbl_chests[legalized],AJ$1,tbl_chests[datetime],"&gt;="&amp;TODAY()-WEEKDAY(TODAY(),2)+1,tbl_chests[datetime],"&lt;"&amp;TODAY()-WEEKDAY(TODAY(),2)+8)))</f>
        <v>0</v>
      </c>
      <c r="AK19" s="36">
        <f ca="1">IF($A19="","",IF(AK$1="","",COUNTIFS(tbl_chests[from],$A19,tbl_chests[legalized],AK$1,tbl_chests[datetime],"&gt;="&amp;TODAY()-WEEKDAY(TODAY(),2)+1,tbl_chests[datetime],"&lt;"&amp;TODAY()-WEEKDAY(TODAY(),2)+8)))</f>
        <v>0</v>
      </c>
      <c r="AL19" s="36">
        <f ca="1">IF($A19="","",IF(AL$1="","",COUNTIFS(tbl_chests[from],$A19,tbl_chests[legalized],AL$1,tbl_chests[datetime],"&gt;="&amp;TODAY()-WEEKDAY(TODAY(),2)+1,tbl_chests[datetime],"&lt;"&amp;TODAY()-WEEKDAY(TODAY(),2)+8)))</f>
        <v>0</v>
      </c>
      <c r="AM19" s="37">
        <f ca="1">IF($A19="","",IF(AM$1="","",COUNTIFS(tbl_chests[from],$A19,tbl_chests[legalized],AM$1,tbl_chests[datetime],"&gt;="&amp;TODAY()-WEEKDAY(TODAY(),2)+1,tbl_chests[datetime],"&lt;"&amp;TODAY()-WEEKDAY(TODAY(),2)+8)))</f>
        <v>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 x14ac:dyDescent="0.25">
      <c r="A20" s="34" t="str">
        <f>chests_counter!$H17</f>
        <v>Finfiring</v>
      </c>
      <c r="B20" s="35" cm="1">
        <f t="array" aca="1" ref="B20" ca="1">IF(A20&lt;&gt;"", SUMPRODUCT(($C$2:$AM$2&lt;&gt;0)*(C20:AM20&lt;&gt;0)*($C$2:$AM$2)*(C20:AM20)), "")</f>
        <v>50</v>
      </c>
      <c r="C20" s="36">
        <f ca="1">IF($A20="","",IF(C$1="","",COUNTIFS(tbl_chests[from],$A20,tbl_chests[legalized],C$1,tbl_chests[datetime],"&gt;="&amp;TODAY()-WEEKDAY(TODAY(),2)+1,tbl_chests[datetime],"&lt;"&amp;TODAY()-WEEKDAY(TODAY(),2)+8)))</f>
        <v>3</v>
      </c>
      <c r="D20" s="36">
        <f ca="1">IF($A20="","",IF(D$1="","",COUNTIFS(tbl_chests[from],$A20,tbl_chests[legalized],D$1,tbl_chests[datetime],"&gt;="&amp;TODAY()-WEEKDAY(TODAY(),2)+1,tbl_chests[datetime],"&lt;"&amp;TODAY()-WEEKDAY(TODAY(),2)+8)))</f>
        <v>1</v>
      </c>
      <c r="E20" s="36">
        <f ca="1">IF($A20="","",IF(E$1="","",COUNTIFS(tbl_chests[from],$A20,tbl_chests[legalized],E$1,tbl_chests[datetime],"&gt;="&amp;TODAY()-WEEKDAY(TODAY(),2)+1,tbl_chests[datetime],"&lt;"&amp;TODAY()-WEEKDAY(TODAY(),2)+8)))</f>
        <v>0</v>
      </c>
      <c r="F20" s="36">
        <f ca="1">IF($A20="","",IF(F$1="","",COUNTIFS(tbl_chests[from],$A20,tbl_chests[legalized],F$1,tbl_chests[datetime],"&gt;="&amp;TODAY()-WEEKDAY(TODAY(),2)+1,tbl_chests[datetime],"&lt;"&amp;TODAY()-WEEKDAY(TODAY(),2)+8)))</f>
        <v>0</v>
      </c>
      <c r="G20" s="36">
        <f ca="1">IF($A20="","",IF(G$1="","",COUNTIFS(tbl_chests[from],$A20,tbl_chests[legalized],G$1,tbl_chests[datetime],"&gt;="&amp;TODAY()-WEEKDAY(TODAY(),2)+1,tbl_chests[datetime],"&lt;"&amp;TODAY()-WEEKDAY(TODAY(),2)+8)))</f>
        <v>0</v>
      </c>
      <c r="H20" s="36">
        <f ca="1">IF($A20="","",IF(H$1="","",COUNTIFS(tbl_chests[from],$A20,tbl_chests[legalized],H$1,tbl_chests[datetime],"&gt;="&amp;TODAY()-WEEKDAY(TODAY(),2)+1,tbl_chests[datetime],"&lt;"&amp;TODAY()-WEEKDAY(TODAY(),2)+8)))</f>
        <v>0</v>
      </c>
      <c r="I20" s="36">
        <f ca="1">IF($A20="","",IF(I$1="","",COUNTIFS(tbl_chests[from],$A20,tbl_chests[legalized],I$1,tbl_chests[datetime],"&gt;="&amp;TODAY()-WEEKDAY(TODAY(),2)+1,tbl_chests[datetime],"&lt;"&amp;TODAY()-WEEKDAY(TODAY(),2)+8)))</f>
        <v>0</v>
      </c>
      <c r="J20" s="36">
        <f ca="1">IF($A20="","",IF(J$1="","",COUNTIFS(tbl_chests[from],$A20,tbl_chests[legalized],J$1,tbl_chests[datetime],"&gt;="&amp;TODAY()-WEEKDAY(TODAY(),2)+1,tbl_chests[datetime],"&lt;"&amp;TODAY()-WEEKDAY(TODAY(),2)+8)))</f>
        <v>0</v>
      </c>
      <c r="K20" s="36">
        <f ca="1">IF($A20="","",IF(K$1="","",COUNTIFS(tbl_chests[from],$A20,tbl_chests[legalized],K$1,tbl_chests[datetime],"&gt;="&amp;TODAY()-WEEKDAY(TODAY(),2)+1,tbl_chests[datetime],"&lt;"&amp;TODAY()-WEEKDAY(TODAY(),2)+8)))</f>
        <v>0</v>
      </c>
      <c r="L20" s="36">
        <f ca="1">IF($A20="","",IF(L$1="","",COUNTIFS(tbl_chests[from],$A20,tbl_chests[legalized],L$1,tbl_chests[datetime],"&gt;="&amp;TODAY()-WEEKDAY(TODAY(),2)+1,tbl_chests[datetime],"&lt;"&amp;TODAY()-WEEKDAY(TODAY(),2)+8)))</f>
        <v>0</v>
      </c>
      <c r="M20" s="36">
        <f ca="1">IF($A20="","",IF(M$1="","",COUNTIFS(tbl_chests[from],$A20,tbl_chests[legalized],M$1,tbl_chests[datetime],"&gt;="&amp;TODAY()-WEEKDAY(TODAY(),2)+1,tbl_chests[datetime],"&lt;"&amp;TODAY()-WEEKDAY(TODAY(),2)+8)))</f>
        <v>0</v>
      </c>
      <c r="N20" s="36">
        <f ca="1">IF($A20="","",IF(N$1="","",COUNTIFS(tbl_chests[from],$A20,tbl_chests[legalized],N$1,tbl_chests[datetime],"&gt;="&amp;TODAY()-WEEKDAY(TODAY(),2)+1,tbl_chests[datetime],"&lt;"&amp;TODAY()-WEEKDAY(TODAY(),2)+8)))</f>
        <v>0</v>
      </c>
      <c r="O20" s="36">
        <f ca="1">IF($A20="","",IF(O$1="","",COUNTIFS(tbl_chests[from],$A20,tbl_chests[legalized],O$1,tbl_chests[datetime],"&gt;="&amp;TODAY()-WEEKDAY(TODAY(),2)+1,tbl_chests[datetime],"&lt;"&amp;TODAY()-WEEKDAY(TODAY(),2)+8)))</f>
        <v>0</v>
      </c>
      <c r="P20" s="36">
        <f ca="1">IF($A20="","",IF(P$1="","",COUNTIFS(tbl_chests[from],$A20,tbl_chests[legalized],P$1,tbl_chests[datetime],"&gt;="&amp;TODAY()-WEEKDAY(TODAY(),2)+1,tbl_chests[datetime],"&lt;"&amp;TODAY()-WEEKDAY(TODAY(),2)+8)))</f>
        <v>0</v>
      </c>
      <c r="Q20" s="36">
        <f ca="1">IF($A20="","",IF(Q$1="","",COUNTIFS(tbl_chests[from],$A20,tbl_chests[legalized],Q$1,tbl_chests[datetime],"&gt;="&amp;TODAY()-WEEKDAY(TODAY(),2)+1,tbl_chests[datetime],"&lt;"&amp;TODAY()-WEEKDAY(TODAY(),2)+8)))</f>
        <v>0</v>
      </c>
      <c r="R20" s="36">
        <f ca="1">IF($A20="","",IF(R$1="","",COUNTIFS(tbl_chests[from],$A20,tbl_chests[legalized],R$1,tbl_chests[datetime],"&gt;="&amp;TODAY()-WEEKDAY(TODAY(),2)+1,tbl_chests[datetime],"&lt;"&amp;TODAY()-WEEKDAY(TODAY(),2)+8)))</f>
        <v>0</v>
      </c>
      <c r="S20" s="36">
        <f ca="1">IF($A20="","",IF(S$1="","",COUNTIFS(tbl_chests[from],$A20,tbl_chests[legalized],S$1,tbl_chests[datetime],"&gt;="&amp;TODAY()-WEEKDAY(TODAY(),2)+1,tbl_chests[datetime],"&lt;"&amp;TODAY()-WEEKDAY(TODAY(),2)+8)))</f>
        <v>0</v>
      </c>
      <c r="T20" s="36">
        <f ca="1">IF($A20="","",IF(T$1="","",COUNTIFS(tbl_chests[from],$A20,tbl_chests[legalized],T$1,tbl_chests[datetime],"&gt;="&amp;TODAY()-WEEKDAY(TODAY(),2)+1,tbl_chests[datetime],"&lt;"&amp;TODAY()-WEEKDAY(TODAY(),2)+8)))</f>
        <v>0</v>
      </c>
      <c r="U20" s="36">
        <f ca="1">IF($A20="","",IF(U$1="","",COUNTIFS(tbl_chests[from],$A20,tbl_chests[legalized],U$1,tbl_chests[datetime],"&gt;="&amp;TODAY()-WEEKDAY(TODAY(),2)+1,tbl_chests[datetime],"&lt;"&amp;TODAY()-WEEKDAY(TODAY(),2)+8)))</f>
        <v>0</v>
      </c>
      <c r="V20" s="36">
        <f ca="1">IF($A20="","",IF(V$1="","",COUNTIFS(tbl_chests[from],$A20,tbl_chests[legalized],V$1,tbl_chests[datetime],"&gt;="&amp;TODAY()-WEEKDAY(TODAY(),2)+1,tbl_chests[datetime],"&lt;"&amp;TODAY()-WEEKDAY(TODAY(),2)+8)))</f>
        <v>0</v>
      </c>
      <c r="W20" s="36">
        <f ca="1">IF($A20="","",IF(W$1="","",COUNTIFS(tbl_chests[from],$A20,tbl_chests[legalized],W$1,tbl_chests[datetime],"&gt;="&amp;TODAY()-WEEKDAY(TODAY(),2)+1,tbl_chests[datetime],"&lt;"&amp;TODAY()-WEEKDAY(TODAY(),2)+8)))</f>
        <v>0</v>
      </c>
      <c r="X20" s="36">
        <f ca="1">IF($A20="","",IF(X$1="","",COUNTIFS(tbl_chests[from],$A20,tbl_chests[legalized],X$1,tbl_chests[datetime],"&gt;="&amp;TODAY()-WEEKDAY(TODAY(),2)+1,tbl_chests[datetime],"&lt;"&amp;TODAY()-WEEKDAY(TODAY(),2)+8)))</f>
        <v>0</v>
      </c>
      <c r="Y20" s="36">
        <f ca="1">IF($A20="","",IF(Y$1="","",COUNTIFS(tbl_chests[from],$A20,tbl_chests[legalized],Y$1,tbl_chests[datetime],"&gt;="&amp;TODAY()-WEEKDAY(TODAY(),2)+1,tbl_chests[datetime],"&lt;"&amp;TODAY()-WEEKDAY(TODAY(),2)+8)))</f>
        <v>0</v>
      </c>
      <c r="Z20" s="36">
        <f ca="1">IF($A20="","",IF(Z$1="","",COUNTIFS(tbl_chests[from],$A20,tbl_chests[legalized],Z$1,tbl_chests[datetime],"&gt;="&amp;TODAY()-WEEKDAY(TODAY(),2)+1,tbl_chests[datetime],"&lt;"&amp;TODAY()-WEEKDAY(TODAY(),2)+8)))</f>
        <v>0</v>
      </c>
      <c r="AA20" s="36">
        <f ca="1">IF($A20="","",IF(AA$1="","",COUNTIFS(tbl_chests[from],$A20,tbl_chests[legalized],AA$1,tbl_chests[datetime],"&gt;="&amp;TODAY()-WEEKDAY(TODAY(),2)+1,tbl_chests[datetime],"&lt;"&amp;TODAY()-WEEKDAY(TODAY(),2)+8)))</f>
        <v>0</v>
      </c>
      <c r="AB20" s="36">
        <f ca="1">IF($A20="","",IF(AB$1="","",COUNTIFS(tbl_chests[from],$A20,tbl_chests[legalized],AB$1,tbl_chests[datetime],"&gt;="&amp;TODAY()-WEEKDAY(TODAY(),2)+1,tbl_chests[datetime],"&lt;"&amp;TODAY()-WEEKDAY(TODAY(),2)+8)))</f>
        <v>0</v>
      </c>
      <c r="AC20" s="36">
        <f ca="1">IF($A20="","",IF(AC$1="","",COUNTIFS(tbl_chests[from],$A20,tbl_chests[legalized],AC$1,tbl_chests[datetime],"&gt;="&amp;TODAY()-WEEKDAY(TODAY(),2)+1,tbl_chests[datetime],"&lt;"&amp;TODAY()-WEEKDAY(TODAY(),2)+8)))</f>
        <v>0</v>
      </c>
      <c r="AD20" s="36">
        <f ca="1">IF($A20="","",IF(AD$1="","",COUNTIFS(tbl_chests[from],$A20,tbl_chests[legalized],AD$1,tbl_chests[datetime],"&gt;="&amp;TODAY()-WEEKDAY(TODAY(),2)+1,tbl_chests[datetime],"&lt;"&amp;TODAY()-WEEKDAY(TODAY(),2)+8)))</f>
        <v>0</v>
      </c>
      <c r="AE20" s="36">
        <f ca="1">IF($A20="","",IF(AE$1="","",COUNTIFS(tbl_chests[from],$A20,tbl_chests[legalized],AE$1,tbl_chests[datetime],"&gt;="&amp;TODAY()-WEEKDAY(TODAY(),2)+1,tbl_chests[datetime],"&lt;"&amp;TODAY()-WEEKDAY(TODAY(),2)+8)))</f>
        <v>0</v>
      </c>
      <c r="AF20" s="36">
        <f ca="1">IF($A20="","",IF(AF$1="","",COUNTIFS(tbl_chests[from],$A20,tbl_chests[legalized],AF$1,tbl_chests[datetime],"&gt;="&amp;TODAY()-WEEKDAY(TODAY(),2)+1,tbl_chests[datetime],"&lt;"&amp;TODAY()-WEEKDAY(TODAY(),2)+8)))</f>
        <v>0</v>
      </c>
      <c r="AG20" s="36">
        <f ca="1">IF($A20="","",IF(AG$1="","",COUNTIFS(tbl_chests[from],$A20,tbl_chests[legalized],AG$1,tbl_chests[datetime],"&gt;="&amp;TODAY()-WEEKDAY(TODAY(),2)+1,tbl_chests[datetime],"&lt;"&amp;TODAY()-WEEKDAY(TODAY(),2)+8)))</f>
        <v>0</v>
      </c>
      <c r="AH20" s="36">
        <f ca="1">IF($A20="","",IF(AH$1="","",COUNTIFS(tbl_chests[from],$A20,tbl_chests[legalized],AH$1,tbl_chests[datetime],"&gt;="&amp;TODAY()-WEEKDAY(TODAY(),2)+1,tbl_chests[datetime],"&lt;"&amp;TODAY()-WEEKDAY(TODAY(),2)+8)))</f>
        <v>0</v>
      </c>
      <c r="AI20" s="36">
        <f ca="1">IF($A20="","",IF(AI$1="","",COUNTIFS(tbl_chests[from],$A20,tbl_chests[legalized],AI$1,tbl_chests[datetime],"&gt;="&amp;TODAY()-WEEKDAY(TODAY(),2)+1,tbl_chests[datetime],"&lt;"&amp;TODAY()-WEEKDAY(TODAY(),2)+8)))</f>
        <v>0</v>
      </c>
      <c r="AJ20" s="36">
        <f ca="1">IF($A20="","",IF(AJ$1="","",COUNTIFS(tbl_chests[from],$A20,tbl_chests[legalized],AJ$1,tbl_chests[datetime],"&gt;="&amp;TODAY()-WEEKDAY(TODAY(),2)+1,tbl_chests[datetime],"&lt;"&amp;TODAY()-WEEKDAY(TODAY(),2)+8)))</f>
        <v>0</v>
      </c>
      <c r="AK20" s="36">
        <f ca="1">IF($A20="","",IF(AK$1="","",COUNTIFS(tbl_chests[from],$A20,tbl_chests[legalized],AK$1,tbl_chests[datetime],"&gt;="&amp;TODAY()-WEEKDAY(TODAY(),2)+1,tbl_chests[datetime],"&lt;"&amp;TODAY()-WEEKDAY(TODAY(),2)+8)))</f>
        <v>0</v>
      </c>
      <c r="AL20" s="36">
        <f ca="1">IF($A20="","",IF(AL$1="","",COUNTIFS(tbl_chests[from],$A20,tbl_chests[legalized],AL$1,tbl_chests[datetime],"&gt;="&amp;TODAY()-WEEKDAY(TODAY(),2)+1,tbl_chests[datetime],"&lt;"&amp;TODAY()-WEEKDAY(TODAY(),2)+8)))</f>
        <v>0</v>
      </c>
      <c r="AM20" s="37">
        <f ca="1">IF($A20="","",IF(AM$1="","",COUNTIFS(tbl_chests[from],$A20,tbl_chests[legalized],AM$1,tbl_chests[datetime],"&gt;="&amp;TODAY()-WEEKDAY(TODAY(),2)+1,tbl_chests[datetime],"&lt;"&amp;TODAY()-WEEKDAY(TODAY(),2)+8)))</f>
        <v>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 ht="15.75" customHeight="1" x14ac:dyDescent="0.25">
      <c r="A21" s="34" t="str">
        <f>chests_counter!$H18</f>
        <v>Frekasa</v>
      </c>
      <c r="B21" s="35" cm="1">
        <f t="array" aca="1" ref="B21" ca="1">IF(A21&lt;&gt;"", SUMPRODUCT(($C$2:$AM$2&lt;&gt;0)*(C21:AM21&lt;&gt;0)*($C$2:$AM$2)*(C21:AM21)), "")</f>
        <v>1195</v>
      </c>
      <c r="C21" s="36">
        <f ca="1">IF($A21="","",IF(C$1="","",COUNTIFS(tbl_chests[from],$A21,tbl_chests[legalized],C$1,tbl_chests[datetime],"&gt;="&amp;TODAY()-WEEKDAY(TODAY(),2)+1,tbl_chests[datetime],"&lt;"&amp;TODAY()-WEEKDAY(TODAY(),2)+8)))</f>
        <v>4</v>
      </c>
      <c r="D21" s="36">
        <f ca="1">IF($A21="","",IF(D$1="","",COUNTIFS(tbl_chests[from],$A21,tbl_chests[legalized],D$1,tbl_chests[datetime],"&gt;="&amp;TODAY()-WEEKDAY(TODAY(),2)+1,tbl_chests[datetime],"&lt;"&amp;TODAY()-WEEKDAY(TODAY(),2)+8)))</f>
        <v>3</v>
      </c>
      <c r="E21" s="36">
        <f ca="1">IF($A21="","",IF(E$1="","",COUNTIFS(tbl_chests[from],$A21,tbl_chests[legalized],E$1,tbl_chests[datetime],"&gt;="&amp;TODAY()-WEEKDAY(TODAY(),2)+1,tbl_chests[datetime],"&lt;"&amp;TODAY()-WEEKDAY(TODAY(),2)+8)))</f>
        <v>4</v>
      </c>
      <c r="F21" s="36">
        <f ca="1">IF($A21="","",IF(F$1="","",COUNTIFS(tbl_chests[from],$A21,tbl_chests[legalized],F$1,tbl_chests[datetime],"&gt;="&amp;TODAY()-WEEKDAY(TODAY(),2)+1,tbl_chests[datetime],"&lt;"&amp;TODAY()-WEEKDAY(TODAY(),2)+8)))</f>
        <v>0</v>
      </c>
      <c r="G21" s="36">
        <f ca="1">IF($A21="","",IF(G$1="","",COUNTIFS(tbl_chests[from],$A21,tbl_chests[legalized],G$1,tbl_chests[datetime],"&gt;="&amp;TODAY()-WEEKDAY(TODAY(),2)+1,tbl_chests[datetime],"&lt;"&amp;TODAY()-WEEKDAY(TODAY(),2)+8)))</f>
        <v>0</v>
      </c>
      <c r="H21" s="36">
        <f ca="1">IF($A21="","",IF(H$1="","",COUNTIFS(tbl_chests[from],$A21,tbl_chests[legalized],H$1,tbl_chests[datetime],"&gt;="&amp;TODAY()-WEEKDAY(TODAY(),2)+1,tbl_chests[datetime],"&lt;"&amp;TODAY()-WEEKDAY(TODAY(),2)+8)))</f>
        <v>0</v>
      </c>
      <c r="I21" s="36">
        <f ca="1">IF($A21="","",IF(I$1="","",COUNTIFS(tbl_chests[from],$A21,tbl_chests[legalized],I$1,tbl_chests[datetime],"&gt;="&amp;TODAY()-WEEKDAY(TODAY(),2)+1,tbl_chests[datetime],"&lt;"&amp;TODAY()-WEEKDAY(TODAY(),2)+8)))</f>
        <v>1</v>
      </c>
      <c r="J21" s="36">
        <f ca="1">IF($A21="","",IF(J$1="","",COUNTIFS(tbl_chests[from],$A21,tbl_chests[legalized],J$1,tbl_chests[datetime],"&gt;="&amp;TODAY()-WEEKDAY(TODAY(),2)+1,tbl_chests[datetime],"&lt;"&amp;TODAY()-WEEKDAY(TODAY(),2)+8)))</f>
        <v>0</v>
      </c>
      <c r="K21" s="36">
        <f ca="1">IF($A21="","",IF(K$1="","",COUNTIFS(tbl_chests[from],$A21,tbl_chests[legalized],K$1,tbl_chests[datetime],"&gt;="&amp;TODAY()-WEEKDAY(TODAY(),2)+1,tbl_chests[datetime],"&lt;"&amp;TODAY()-WEEKDAY(TODAY(),2)+8)))</f>
        <v>0</v>
      </c>
      <c r="L21" s="36">
        <f ca="1">IF($A21="","",IF(L$1="","",COUNTIFS(tbl_chests[from],$A21,tbl_chests[legalized],L$1,tbl_chests[datetime],"&gt;="&amp;TODAY()-WEEKDAY(TODAY(),2)+1,tbl_chests[datetime],"&lt;"&amp;TODAY()-WEEKDAY(TODAY(),2)+8)))</f>
        <v>0</v>
      </c>
      <c r="M21" s="36">
        <f ca="1">IF($A21="","",IF(M$1="","",COUNTIFS(tbl_chests[from],$A21,tbl_chests[legalized],M$1,tbl_chests[datetime],"&gt;="&amp;TODAY()-WEEKDAY(TODAY(),2)+1,tbl_chests[datetime],"&lt;"&amp;TODAY()-WEEKDAY(TODAY(),2)+8)))</f>
        <v>5</v>
      </c>
      <c r="N21" s="36">
        <f ca="1">IF($A21="","",IF(N$1="","",COUNTIFS(tbl_chests[from],$A21,tbl_chests[legalized],N$1,tbl_chests[datetime],"&gt;="&amp;TODAY()-WEEKDAY(TODAY(),2)+1,tbl_chests[datetime],"&lt;"&amp;TODAY()-WEEKDAY(TODAY(),2)+8)))</f>
        <v>4</v>
      </c>
      <c r="O21" s="36">
        <f ca="1">IF($A21="","",IF(O$1="","",COUNTIFS(tbl_chests[from],$A21,tbl_chests[legalized],O$1,tbl_chests[datetime],"&gt;="&amp;TODAY()-WEEKDAY(TODAY(),2)+1,tbl_chests[datetime],"&lt;"&amp;TODAY()-WEEKDAY(TODAY(),2)+8)))</f>
        <v>0</v>
      </c>
      <c r="P21" s="36">
        <f ca="1">IF($A21="","",IF(P$1="","",COUNTIFS(tbl_chests[from],$A21,tbl_chests[legalized],P$1,tbl_chests[datetime],"&gt;="&amp;TODAY()-WEEKDAY(TODAY(),2)+1,tbl_chests[datetime],"&lt;"&amp;TODAY()-WEEKDAY(TODAY(),2)+8)))</f>
        <v>0</v>
      </c>
      <c r="Q21" s="36">
        <f ca="1">IF($A21="","",IF(Q$1="","",COUNTIFS(tbl_chests[from],$A21,tbl_chests[legalized],Q$1,tbl_chests[datetime],"&gt;="&amp;TODAY()-WEEKDAY(TODAY(),2)+1,tbl_chests[datetime],"&lt;"&amp;TODAY()-WEEKDAY(TODAY(),2)+8)))</f>
        <v>0</v>
      </c>
      <c r="R21" s="36">
        <f ca="1">IF($A21="","",IF(R$1="","",COUNTIFS(tbl_chests[from],$A21,tbl_chests[legalized],R$1,tbl_chests[datetime],"&gt;="&amp;TODAY()-WEEKDAY(TODAY(),2)+1,tbl_chests[datetime],"&lt;"&amp;TODAY()-WEEKDAY(TODAY(),2)+8)))</f>
        <v>0</v>
      </c>
      <c r="S21" s="36">
        <f ca="1">IF($A21="","",IF(S$1="","",COUNTIFS(tbl_chests[from],$A21,tbl_chests[legalized],S$1,tbl_chests[datetime],"&gt;="&amp;TODAY()-WEEKDAY(TODAY(),2)+1,tbl_chests[datetime],"&lt;"&amp;TODAY()-WEEKDAY(TODAY(),2)+8)))</f>
        <v>0</v>
      </c>
      <c r="T21" s="36">
        <f ca="1">IF($A21="","",IF(T$1="","",COUNTIFS(tbl_chests[from],$A21,tbl_chests[legalized],T$1,tbl_chests[datetime],"&gt;="&amp;TODAY()-WEEKDAY(TODAY(),2)+1,tbl_chests[datetime],"&lt;"&amp;TODAY()-WEEKDAY(TODAY(),2)+8)))</f>
        <v>0</v>
      </c>
      <c r="U21" s="36">
        <f ca="1">IF($A21="","",IF(U$1="","",COUNTIFS(tbl_chests[from],$A21,tbl_chests[legalized],U$1,tbl_chests[datetime],"&gt;="&amp;TODAY()-WEEKDAY(TODAY(),2)+1,tbl_chests[datetime],"&lt;"&amp;TODAY()-WEEKDAY(TODAY(),2)+8)))</f>
        <v>0</v>
      </c>
      <c r="V21" s="36">
        <f ca="1">IF($A21="","",IF(V$1="","",COUNTIFS(tbl_chests[from],$A21,tbl_chests[legalized],V$1,tbl_chests[datetime],"&gt;="&amp;TODAY()-WEEKDAY(TODAY(),2)+1,tbl_chests[datetime],"&lt;"&amp;TODAY()-WEEKDAY(TODAY(),2)+8)))</f>
        <v>0</v>
      </c>
      <c r="W21" s="36">
        <f ca="1">IF($A21="","",IF(W$1="","",COUNTIFS(tbl_chests[from],$A21,tbl_chests[legalized],W$1,tbl_chests[datetime],"&gt;="&amp;TODAY()-WEEKDAY(TODAY(),2)+1,tbl_chests[datetime],"&lt;"&amp;TODAY()-WEEKDAY(TODAY(),2)+8)))</f>
        <v>0</v>
      </c>
      <c r="X21" s="36">
        <f ca="1">IF($A21="","",IF(X$1="","",COUNTIFS(tbl_chests[from],$A21,tbl_chests[legalized],X$1,tbl_chests[datetime],"&gt;="&amp;TODAY()-WEEKDAY(TODAY(),2)+1,tbl_chests[datetime],"&lt;"&amp;TODAY()-WEEKDAY(TODAY(),2)+8)))</f>
        <v>0</v>
      </c>
      <c r="Y21" s="36">
        <f ca="1">IF($A21="","",IF(Y$1="","",COUNTIFS(tbl_chests[from],$A21,tbl_chests[legalized],Y$1,tbl_chests[datetime],"&gt;="&amp;TODAY()-WEEKDAY(TODAY(),2)+1,tbl_chests[datetime],"&lt;"&amp;TODAY()-WEEKDAY(TODAY(),2)+8)))</f>
        <v>0</v>
      </c>
      <c r="Z21" s="36">
        <f ca="1">IF($A21="","",IF(Z$1="","",COUNTIFS(tbl_chests[from],$A21,tbl_chests[legalized],Z$1,tbl_chests[datetime],"&gt;="&amp;TODAY()-WEEKDAY(TODAY(),2)+1,tbl_chests[datetime],"&lt;"&amp;TODAY()-WEEKDAY(TODAY(),2)+8)))</f>
        <v>0</v>
      </c>
      <c r="AA21" s="36">
        <f ca="1">IF($A21="","",IF(AA$1="","",COUNTIFS(tbl_chests[from],$A21,tbl_chests[legalized],AA$1,tbl_chests[datetime],"&gt;="&amp;TODAY()-WEEKDAY(TODAY(),2)+1,tbl_chests[datetime],"&lt;"&amp;TODAY()-WEEKDAY(TODAY(),2)+8)))</f>
        <v>15</v>
      </c>
      <c r="AB21" s="36">
        <f ca="1">IF($A21="","",IF(AB$1="","",COUNTIFS(tbl_chests[from],$A21,tbl_chests[legalized],AB$1,tbl_chests[datetime],"&gt;="&amp;TODAY()-WEEKDAY(TODAY(),2)+1,tbl_chests[datetime],"&lt;"&amp;TODAY()-WEEKDAY(TODAY(),2)+8)))</f>
        <v>0</v>
      </c>
      <c r="AC21" s="36">
        <f ca="1">IF($A21="","",IF(AC$1="","",COUNTIFS(tbl_chests[from],$A21,tbl_chests[legalized],AC$1,tbl_chests[datetime],"&gt;="&amp;TODAY()-WEEKDAY(TODAY(),2)+1,tbl_chests[datetime],"&lt;"&amp;TODAY()-WEEKDAY(TODAY(),2)+8)))</f>
        <v>0</v>
      </c>
      <c r="AD21" s="36">
        <f ca="1">IF($A21="","",IF(AD$1="","",COUNTIFS(tbl_chests[from],$A21,tbl_chests[legalized],AD$1,tbl_chests[datetime],"&gt;="&amp;TODAY()-WEEKDAY(TODAY(),2)+1,tbl_chests[datetime],"&lt;"&amp;TODAY()-WEEKDAY(TODAY(),2)+8)))</f>
        <v>0</v>
      </c>
      <c r="AE21" s="36">
        <f ca="1">IF($A21="","",IF(AE$1="","",COUNTIFS(tbl_chests[from],$A21,tbl_chests[legalized],AE$1,tbl_chests[datetime],"&gt;="&amp;TODAY()-WEEKDAY(TODAY(),2)+1,tbl_chests[datetime],"&lt;"&amp;TODAY()-WEEKDAY(TODAY(),2)+8)))</f>
        <v>1</v>
      </c>
      <c r="AF21" s="36">
        <f ca="1">IF($A21="","",IF(AF$1="","",COUNTIFS(tbl_chests[from],$A21,tbl_chests[legalized],AF$1,tbl_chests[datetime],"&gt;="&amp;TODAY()-WEEKDAY(TODAY(),2)+1,tbl_chests[datetime],"&lt;"&amp;TODAY()-WEEKDAY(TODAY(),2)+8)))</f>
        <v>0</v>
      </c>
      <c r="AG21" s="36">
        <f ca="1">IF($A21="","",IF(AG$1="","",COUNTIFS(tbl_chests[from],$A21,tbl_chests[legalized],AG$1,tbl_chests[datetime],"&gt;="&amp;TODAY()-WEEKDAY(TODAY(),2)+1,tbl_chests[datetime],"&lt;"&amp;TODAY()-WEEKDAY(TODAY(),2)+8)))</f>
        <v>0</v>
      </c>
      <c r="AH21" s="36">
        <f ca="1">IF($A21="","",IF(AH$1="","",COUNTIFS(tbl_chests[from],$A21,tbl_chests[legalized],AH$1,tbl_chests[datetime],"&gt;="&amp;TODAY()-WEEKDAY(TODAY(),2)+1,tbl_chests[datetime],"&lt;"&amp;TODAY()-WEEKDAY(TODAY(),2)+8)))</f>
        <v>0</v>
      </c>
      <c r="AI21" s="36">
        <f ca="1">IF($A21="","",IF(AI$1="","",COUNTIFS(tbl_chests[from],$A21,tbl_chests[legalized],AI$1,tbl_chests[datetime],"&gt;="&amp;TODAY()-WEEKDAY(TODAY(),2)+1,tbl_chests[datetime],"&lt;"&amp;TODAY()-WEEKDAY(TODAY(),2)+8)))</f>
        <v>0</v>
      </c>
      <c r="AJ21" s="36">
        <f ca="1">IF($A21="","",IF(AJ$1="","",COUNTIFS(tbl_chests[from],$A21,tbl_chests[legalized],AJ$1,tbl_chests[datetime],"&gt;="&amp;TODAY()-WEEKDAY(TODAY(),2)+1,tbl_chests[datetime],"&lt;"&amp;TODAY()-WEEKDAY(TODAY(),2)+8)))</f>
        <v>0</v>
      </c>
      <c r="AK21" s="36">
        <f ca="1">IF($A21="","",IF(AK$1="","",COUNTIFS(tbl_chests[from],$A21,tbl_chests[legalized],AK$1,tbl_chests[datetime],"&gt;="&amp;TODAY()-WEEKDAY(TODAY(),2)+1,tbl_chests[datetime],"&lt;"&amp;TODAY()-WEEKDAY(TODAY(),2)+8)))</f>
        <v>0</v>
      </c>
      <c r="AL21" s="36">
        <f ca="1">IF($A21="","",IF(AL$1="","",COUNTIFS(tbl_chests[from],$A21,tbl_chests[legalized],AL$1,tbl_chests[datetime],"&gt;="&amp;TODAY()-WEEKDAY(TODAY(),2)+1,tbl_chests[datetime],"&lt;"&amp;TODAY()-WEEKDAY(TODAY(),2)+8)))</f>
        <v>0</v>
      </c>
      <c r="AM21" s="37">
        <f ca="1">IF($A21="","",IF(AM$1="","",COUNTIFS(tbl_chests[from],$A21,tbl_chests[legalized],AM$1,tbl_chests[datetime],"&gt;="&amp;TODAY()-WEEKDAY(TODAY(),2)+1,tbl_chests[datetime],"&lt;"&amp;TODAY()-WEEKDAY(TODAY(),2)+8)))</f>
        <v>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 ht="15.75" customHeight="1" x14ac:dyDescent="0.25">
      <c r="A22" s="73" t="str">
        <f>chests_counter!$H19</f>
        <v>Gozahn</v>
      </c>
      <c r="B22" s="35" cm="1">
        <f t="array" aca="1" ref="B22" ca="1">IF(A22&lt;&gt;"", SUMPRODUCT(($C$2:$AM$2&lt;&gt;0)*(C22:AM22&lt;&gt;0)*($C$2:$AM$2)*(C22:AM22)), "")</f>
        <v>890</v>
      </c>
      <c r="C22" s="36">
        <f ca="1">IF($A22="","",IF(C$1="","",COUNTIFS(tbl_chests[from],$A22,tbl_chests[legalized],C$1,tbl_chests[datetime],"&gt;="&amp;TODAY()-WEEKDAY(TODAY(),2)+1,tbl_chests[datetime],"&lt;"&amp;TODAY()-WEEKDAY(TODAY(),2)+8)))</f>
        <v>0</v>
      </c>
      <c r="D22" s="36">
        <f ca="1">IF($A22="","",IF(D$1="","",COUNTIFS(tbl_chests[from],$A22,tbl_chests[legalized],D$1,tbl_chests[datetime],"&gt;="&amp;TODAY()-WEEKDAY(TODAY(),2)+1,tbl_chests[datetime],"&lt;"&amp;TODAY()-WEEKDAY(TODAY(),2)+8)))</f>
        <v>20</v>
      </c>
      <c r="E22" s="36">
        <f ca="1">IF($A22="","",IF(E$1="","",COUNTIFS(tbl_chests[from],$A22,tbl_chests[legalized],E$1,tbl_chests[datetime],"&gt;="&amp;TODAY()-WEEKDAY(TODAY(),2)+1,tbl_chests[datetime],"&lt;"&amp;TODAY()-WEEKDAY(TODAY(),2)+8)))</f>
        <v>11</v>
      </c>
      <c r="F22" s="36">
        <f ca="1">IF($A22="","",IF(F$1="","",COUNTIFS(tbl_chests[from],$A22,tbl_chests[legalized],F$1,tbl_chests[datetime],"&gt;="&amp;TODAY()-WEEKDAY(TODAY(),2)+1,tbl_chests[datetime],"&lt;"&amp;TODAY()-WEEKDAY(TODAY(),2)+8)))</f>
        <v>0</v>
      </c>
      <c r="G22" s="36">
        <f ca="1">IF($A22="","",IF(G$1="","",COUNTIFS(tbl_chests[from],$A22,tbl_chests[legalized],G$1,tbl_chests[datetime],"&gt;="&amp;TODAY()-WEEKDAY(TODAY(),2)+1,tbl_chests[datetime],"&lt;"&amp;TODAY()-WEEKDAY(TODAY(),2)+8)))</f>
        <v>0</v>
      </c>
      <c r="H22" s="36">
        <f ca="1">IF($A22="","",IF(H$1="","",COUNTIFS(tbl_chests[from],$A22,tbl_chests[legalized],H$1,tbl_chests[datetime],"&gt;="&amp;TODAY()-WEEKDAY(TODAY(),2)+1,tbl_chests[datetime],"&lt;"&amp;TODAY()-WEEKDAY(TODAY(),2)+8)))</f>
        <v>0</v>
      </c>
      <c r="I22" s="36">
        <f ca="1">IF($A22="","",IF(I$1="","",COUNTIFS(tbl_chests[from],$A22,tbl_chests[legalized],I$1,tbl_chests[datetime],"&gt;="&amp;TODAY()-WEEKDAY(TODAY(),2)+1,tbl_chests[datetime],"&lt;"&amp;TODAY()-WEEKDAY(TODAY(),2)+8)))</f>
        <v>0</v>
      </c>
      <c r="J22" s="36">
        <f ca="1">IF($A22="","",IF(J$1="","",COUNTIFS(tbl_chests[from],$A22,tbl_chests[legalized],J$1,tbl_chests[datetime],"&gt;="&amp;TODAY()-WEEKDAY(TODAY(),2)+1,tbl_chests[datetime],"&lt;"&amp;TODAY()-WEEKDAY(TODAY(),2)+8)))</f>
        <v>0</v>
      </c>
      <c r="K22" s="36">
        <f ca="1">IF($A22="","",IF(K$1="","",COUNTIFS(tbl_chests[from],$A22,tbl_chests[legalized],K$1,tbl_chests[datetime],"&gt;="&amp;TODAY()-WEEKDAY(TODAY(),2)+1,tbl_chests[datetime],"&lt;"&amp;TODAY()-WEEKDAY(TODAY(),2)+8)))</f>
        <v>0</v>
      </c>
      <c r="L22" s="36">
        <f ca="1">IF($A22="","",IF(L$1="","",COUNTIFS(tbl_chests[from],$A22,tbl_chests[legalized],L$1,tbl_chests[datetime],"&gt;="&amp;TODAY()-WEEKDAY(TODAY(),2)+1,tbl_chests[datetime],"&lt;"&amp;TODAY()-WEEKDAY(TODAY(),2)+8)))</f>
        <v>0</v>
      </c>
      <c r="M22" s="36">
        <f ca="1">IF($A22="","",IF(M$1="","",COUNTIFS(tbl_chests[from],$A22,tbl_chests[legalized],M$1,tbl_chests[datetime],"&gt;="&amp;TODAY()-WEEKDAY(TODAY(),2)+1,tbl_chests[datetime],"&lt;"&amp;TODAY()-WEEKDAY(TODAY(),2)+8)))</f>
        <v>1</v>
      </c>
      <c r="N22" s="36">
        <f ca="1">IF($A22="","",IF(N$1="","",COUNTIFS(tbl_chests[from],$A22,tbl_chests[legalized],N$1,tbl_chests[datetime],"&gt;="&amp;TODAY()-WEEKDAY(TODAY(),2)+1,tbl_chests[datetime],"&lt;"&amp;TODAY()-WEEKDAY(TODAY(),2)+8)))</f>
        <v>0</v>
      </c>
      <c r="O22" s="36">
        <f ca="1">IF($A22="","",IF(O$1="","",COUNTIFS(tbl_chests[from],$A22,tbl_chests[legalized],O$1,tbl_chests[datetime],"&gt;="&amp;TODAY()-WEEKDAY(TODAY(),2)+1,tbl_chests[datetime],"&lt;"&amp;TODAY()-WEEKDAY(TODAY(),2)+8)))</f>
        <v>0</v>
      </c>
      <c r="P22" s="36">
        <f ca="1">IF($A22="","",IF(P$1="","",COUNTIFS(tbl_chests[from],$A22,tbl_chests[legalized],P$1,tbl_chests[datetime],"&gt;="&amp;TODAY()-WEEKDAY(TODAY(),2)+1,tbl_chests[datetime],"&lt;"&amp;TODAY()-WEEKDAY(TODAY(),2)+8)))</f>
        <v>0</v>
      </c>
      <c r="Q22" s="36">
        <f ca="1">IF($A22="","",IF(Q$1="","",COUNTIFS(tbl_chests[from],$A22,tbl_chests[legalized],Q$1,tbl_chests[datetime],"&gt;="&amp;TODAY()-WEEKDAY(TODAY(),2)+1,tbl_chests[datetime],"&lt;"&amp;TODAY()-WEEKDAY(TODAY(),2)+8)))</f>
        <v>0</v>
      </c>
      <c r="R22" s="36">
        <f ca="1">IF($A22="","",IF(R$1="","",COUNTIFS(tbl_chests[from],$A22,tbl_chests[legalized],R$1,tbl_chests[datetime],"&gt;="&amp;TODAY()-WEEKDAY(TODAY(),2)+1,tbl_chests[datetime],"&lt;"&amp;TODAY()-WEEKDAY(TODAY(),2)+8)))</f>
        <v>0</v>
      </c>
      <c r="S22" s="36">
        <f ca="1">IF($A22="","",IF(S$1="","",COUNTIFS(tbl_chests[from],$A22,tbl_chests[legalized],S$1,tbl_chests[datetime],"&gt;="&amp;TODAY()-WEEKDAY(TODAY(),2)+1,tbl_chests[datetime],"&lt;"&amp;TODAY()-WEEKDAY(TODAY(),2)+8)))</f>
        <v>0</v>
      </c>
      <c r="T22" s="36">
        <f ca="1">IF($A22="","",IF(T$1="","",COUNTIFS(tbl_chests[from],$A22,tbl_chests[legalized],T$1,tbl_chests[datetime],"&gt;="&amp;TODAY()-WEEKDAY(TODAY(),2)+1,tbl_chests[datetime],"&lt;"&amp;TODAY()-WEEKDAY(TODAY(),2)+8)))</f>
        <v>0</v>
      </c>
      <c r="U22" s="36">
        <f ca="1">IF($A22="","",IF(U$1="","",COUNTIFS(tbl_chests[from],$A22,tbl_chests[legalized],U$1,tbl_chests[datetime],"&gt;="&amp;TODAY()-WEEKDAY(TODAY(),2)+1,tbl_chests[datetime],"&lt;"&amp;TODAY()-WEEKDAY(TODAY(),2)+8)))</f>
        <v>0</v>
      </c>
      <c r="V22" s="36">
        <f ca="1">IF($A22="","",IF(V$1="","",COUNTIFS(tbl_chests[from],$A22,tbl_chests[legalized],V$1,tbl_chests[datetime],"&gt;="&amp;TODAY()-WEEKDAY(TODAY(),2)+1,tbl_chests[datetime],"&lt;"&amp;TODAY()-WEEKDAY(TODAY(),2)+8)))</f>
        <v>0</v>
      </c>
      <c r="W22" s="36">
        <f ca="1">IF($A22="","",IF(W$1="","",COUNTIFS(tbl_chests[from],$A22,tbl_chests[legalized],W$1,tbl_chests[datetime],"&gt;="&amp;TODAY()-WEEKDAY(TODAY(),2)+1,tbl_chests[datetime],"&lt;"&amp;TODAY()-WEEKDAY(TODAY(),2)+8)))</f>
        <v>0</v>
      </c>
      <c r="X22" s="36">
        <f ca="1">IF($A22="","",IF(X$1="","",COUNTIFS(tbl_chests[from],$A22,tbl_chests[legalized],X$1,tbl_chests[datetime],"&gt;="&amp;TODAY()-WEEKDAY(TODAY(),2)+1,tbl_chests[datetime],"&lt;"&amp;TODAY()-WEEKDAY(TODAY(),2)+8)))</f>
        <v>0</v>
      </c>
      <c r="Y22" s="36">
        <f ca="1">IF($A22="","",IF(Y$1="","",COUNTIFS(tbl_chests[from],$A22,tbl_chests[legalized],Y$1,tbl_chests[datetime],"&gt;="&amp;TODAY()-WEEKDAY(TODAY(),2)+1,tbl_chests[datetime],"&lt;"&amp;TODAY()-WEEKDAY(TODAY(),2)+8)))</f>
        <v>0</v>
      </c>
      <c r="Z22" s="36">
        <f ca="1">IF($A22="","",IF(Z$1="","",COUNTIFS(tbl_chests[from],$A22,tbl_chests[legalized],Z$1,tbl_chests[datetime],"&gt;="&amp;TODAY()-WEEKDAY(TODAY(),2)+1,tbl_chests[datetime],"&lt;"&amp;TODAY()-WEEKDAY(TODAY(),2)+8)))</f>
        <v>0</v>
      </c>
      <c r="AA22" s="36">
        <f ca="1">IF($A22="","",IF(AA$1="","",COUNTIFS(tbl_chests[from],$A22,tbl_chests[legalized],AA$1,tbl_chests[datetime],"&gt;="&amp;TODAY()-WEEKDAY(TODAY(),2)+1,tbl_chests[datetime],"&lt;"&amp;TODAY()-WEEKDAY(TODAY(),2)+8)))</f>
        <v>3</v>
      </c>
      <c r="AB22" s="36">
        <f ca="1">IF($A22="","",IF(AB$1="","",COUNTIFS(tbl_chests[from],$A22,tbl_chests[legalized],AB$1,tbl_chests[datetime],"&gt;="&amp;TODAY()-WEEKDAY(TODAY(),2)+1,tbl_chests[datetime],"&lt;"&amp;TODAY()-WEEKDAY(TODAY(),2)+8)))</f>
        <v>0</v>
      </c>
      <c r="AC22" s="36">
        <f ca="1">IF($A22="","",IF(AC$1="","",COUNTIFS(tbl_chests[from],$A22,tbl_chests[legalized],AC$1,tbl_chests[datetime],"&gt;="&amp;TODAY()-WEEKDAY(TODAY(),2)+1,tbl_chests[datetime],"&lt;"&amp;TODAY()-WEEKDAY(TODAY(),2)+8)))</f>
        <v>0</v>
      </c>
      <c r="AD22" s="36">
        <f ca="1">IF($A22="","",IF(AD$1="","",COUNTIFS(tbl_chests[from],$A22,tbl_chests[legalized],AD$1,tbl_chests[datetime],"&gt;="&amp;TODAY()-WEEKDAY(TODAY(),2)+1,tbl_chests[datetime],"&lt;"&amp;TODAY()-WEEKDAY(TODAY(),2)+8)))</f>
        <v>0</v>
      </c>
      <c r="AE22" s="36">
        <f ca="1">IF($A22="","",IF(AE$1="","",COUNTIFS(tbl_chests[from],$A22,tbl_chests[legalized],AE$1,tbl_chests[datetime],"&gt;="&amp;TODAY()-WEEKDAY(TODAY(),2)+1,tbl_chests[datetime],"&lt;"&amp;TODAY()-WEEKDAY(TODAY(),2)+8)))</f>
        <v>2</v>
      </c>
      <c r="AF22" s="36">
        <f ca="1">IF($A22="","",IF(AF$1="","",COUNTIFS(tbl_chests[from],$A22,tbl_chests[legalized],AF$1,tbl_chests[datetime],"&gt;="&amp;TODAY()-WEEKDAY(TODAY(),2)+1,tbl_chests[datetime],"&lt;"&amp;TODAY()-WEEKDAY(TODAY(),2)+8)))</f>
        <v>0</v>
      </c>
      <c r="AG22" s="36">
        <f ca="1">IF($A22="","",IF(AG$1="","",COUNTIFS(tbl_chests[from],$A22,tbl_chests[legalized],AG$1,tbl_chests[datetime],"&gt;="&amp;TODAY()-WEEKDAY(TODAY(),2)+1,tbl_chests[datetime],"&lt;"&amp;TODAY()-WEEKDAY(TODAY(),2)+8)))</f>
        <v>0</v>
      </c>
      <c r="AH22" s="36">
        <f ca="1">IF($A22="","",IF(AH$1="","",COUNTIFS(tbl_chests[from],$A22,tbl_chests[legalized],AH$1,tbl_chests[datetime],"&gt;="&amp;TODAY()-WEEKDAY(TODAY(),2)+1,tbl_chests[datetime],"&lt;"&amp;TODAY()-WEEKDAY(TODAY(),2)+8)))</f>
        <v>0</v>
      </c>
      <c r="AI22" s="36">
        <f ca="1">IF($A22="","",IF(AI$1="","",COUNTIFS(tbl_chests[from],$A22,tbl_chests[legalized],AI$1,tbl_chests[datetime],"&gt;="&amp;TODAY()-WEEKDAY(TODAY(),2)+1,tbl_chests[datetime],"&lt;"&amp;TODAY()-WEEKDAY(TODAY(),2)+8)))</f>
        <v>0</v>
      </c>
      <c r="AJ22" s="36">
        <f ca="1">IF($A22="","",IF(AJ$1="","",COUNTIFS(tbl_chests[from],$A22,tbl_chests[legalized],AJ$1,tbl_chests[datetime],"&gt;="&amp;TODAY()-WEEKDAY(TODAY(),2)+1,tbl_chests[datetime],"&lt;"&amp;TODAY()-WEEKDAY(TODAY(),2)+8)))</f>
        <v>0</v>
      </c>
      <c r="AK22" s="36">
        <f ca="1">IF($A22="","",IF(AK$1="","",COUNTIFS(tbl_chests[from],$A22,tbl_chests[legalized],AK$1,tbl_chests[datetime],"&gt;="&amp;TODAY()-WEEKDAY(TODAY(),2)+1,tbl_chests[datetime],"&lt;"&amp;TODAY()-WEEKDAY(TODAY(),2)+8)))</f>
        <v>0</v>
      </c>
      <c r="AL22" s="36">
        <f ca="1">IF($A22="","",IF(AL$1="","",COUNTIFS(tbl_chests[from],$A22,tbl_chests[legalized],AL$1,tbl_chests[datetime],"&gt;="&amp;TODAY()-WEEKDAY(TODAY(),2)+1,tbl_chests[datetime],"&lt;"&amp;TODAY()-WEEKDAY(TODAY(),2)+8)))</f>
        <v>0</v>
      </c>
      <c r="AM22" s="37">
        <f ca="1">IF($A22="","",IF(AM$1="","",COUNTIFS(tbl_chests[from],$A22,tbl_chests[legalized],AM$1,tbl_chests[datetime],"&gt;="&amp;TODAY()-WEEKDAY(TODAY(),2)+1,tbl_chests[datetime],"&lt;"&amp;TODAY()-WEEKDAY(TODAY(),2)+8)))</f>
        <v>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 ht="15.75" customHeight="1" x14ac:dyDescent="0.25">
      <c r="A23" s="34" t="str">
        <f>chests_counter!$H20</f>
        <v>Ishnnin</v>
      </c>
      <c r="B23" s="35" cm="1">
        <f t="array" aca="1" ref="B23" ca="1">IF(A23&lt;&gt;"", SUMPRODUCT(($C$2:$AM$2&lt;&gt;0)*(C23:AM23&lt;&gt;0)*($C$2:$AM$2)*(C23:AM23)), "")</f>
        <v>50</v>
      </c>
      <c r="C23" s="36">
        <f ca="1">IF($A23="","",IF(C$1="","",COUNTIFS(tbl_chests[from],$A23,tbl_chests[legalized],C$1,tbl_chests[datetime],"&gt;="&amp;TODAY()-WEEKDAY(TODAY(),2)+1,tbl_chests[datetime],"&lt;"&amp;TODAY()-WEEKDAY(TODAY(),2)+8)))</f>
        <v>5</v>
      </c>
      <c r="D23" s="36">
        <f ca="1">IF($A23="","",IF(D$1="","",COUNTIFS(tbl_chests[from],$A23,tbl_chests[legalized],D$1,tbl_chests[datetime],"&gt;="&amp;TODAY()-WEEKDAY(TODAY(),2)+1,tbl_chests[datetime],"&lt;"&amp;TODAY()-WEEKDAY(TODAY(),2)+8)))</f>
        <v>0</v>
      </c>
      <c r="E23" s="36">
        <f ca="1">IF($A23="","",IF(E$1="","",COUNTIFS(tbl_chests[from],$A23,tbl_chests[legalized],E$1,tbl_chests[datetime],"&gt;="&amp;TODAY()-WEEKDAY(TODAY(),2)+1,tbl_chests[datetime],"&lt;"&amp;TODAY()-WEEKDAY(TODAY(),2)+8)))</f>
        <v>0</v>
      </c>
      <c r="F23" s="36">
        <f ca="1">IF($A23="","",IF(F$1="","",COUNTIFS(tbl_chests[from],$A23,tbl_chests[legalized],F$1,tbl_chests[datetime],"&gt;="&amp;TODAY()-WEEKDAY(TODAY(),2)+1,tbl_chests[datetime],"&lt;"&amp;TODAY()-WEEKDAY(TODAY(),2)+8)))</f>
        <v>0</v>
      </c>
      <c r="G23" s="36">
        <f ca="1">IF($A23="","",IF(G$1="","",COUNTIFS(tbl_chests[from],$A23,tbl_chests[legalized],G$1,tbl_chests[datetime],"&gt;="&amp;TODAY()-WEEKDAY(TODAY(),2)+1,tbl_chests[datetime],"&lt;"&amp;TODAY()-WEEKDAY(TODAY(),2)+8)))</f>
        <v>0</v>
      </c>
      <c r="H23" s="36">
        <f ca="1">IF($A23="","",IF(H$1="","",COUNTIFS(tbl_chests[from],$A23,tbl_chests[legalized],H$1,tbl_chests[datetime],"&gt;="&amp;TODAY()-WEEKDAY(TODAY(),2)+1,tbl_chests[datetime],"&lt;"&amp;TODAY()-WEEKDAY(TODAY(),2)+8)))</f>
        <v>0</v>
      </c>
      <c r="I23" s="36">
        <f ca="1">IF($A23="","",IF(I$1="","",COUNTIFS(tbl_chests[from],$A23,tbl_chests[legalized],I$1,tbl_chests[datetime],"&gt;="&amp;TODAY()-WEEKDAY(TODAY(),2)+1,tbl_chests[datetime],"&lt;"&amp;TODAY()-WEEKDAY(TODAY(),2)+8)))</f>
        <v>0</v>
      </c>
      <c r="J23" s="36">
        <f ca="1">IF($A23="","",IF(J$1="","",COUNTIFS(tbl_chests[from],$A23,tbl_chests[legalized],J$1,tbl_chests[datetime],"&gt;="&amp;TODAY()-WEEKDAY(TODAY(),2)+1,tbl_chests[datetime],"&lt;"&amp;TODAY()-WEEKDAY(TODAY(),2)+8)))</f>
        <v>0</v>
      </c>
      <c r="K23" s="36">
        <f ca="1">IF($A23="","",IF(K$1="","",COUNTIFS(tbl_chests[from],$A23,tbl_chests[legalized],K$1,tbl_chests[datetime],"&gt;="&amp;TODAY()-WEEKDAY(TODAY(),2)+1,tbl_chests[datetime],"&lt;"&amp;TODAY()-WEEKDAY(TODAY(),2)+8)))</f>
        <v>0</v>
      </c>
      <c r="L23" s="36">
        <f ca="1">IF($A23="","",IF(L$1="","",COUNTIFS(tbl_chests[from],$A23,tbl_chests[legalized],L$1,tbl_chests[datetime],"&gt;="&amp;TODAY()-WEEKDAY(TODAY(),2)+1,tbl_chests[datetime],"&lt;"&amp;TODAY()-WEEKDAY(TODAY(),2)+8)))</f>
        <v>0</v>
      </c>
      <c r="M23" s="36">
        <f ca="1">IF($A23="","",IF(M$1="","",COUNTIFS(tbl_chests[from],$A23,tbl_chests[legalized],M$1,tbl_chests[datetime],"&gt;="&amp;TODAY()-WEEKDAY(TODAY(),2)+1,tbl_chests[datetime],"&lt;"&amp;TODAY()-WEEKDAY(TODAY(),2)+8)))</f>
        <v>0</v>
      </c>
      <c r="N23" s="36">
        <f ca="1">IF($A23="","",IF(N$1="","",COUNTIFS(tbl_chests[from],$A23,tbl_chests[legalized],N$1,tbl_chests[datetime],"&gt;="&amp;TODAY()-WEEKDAY(TODAY(),2)+1,tbl_chests[datetime],"&lt;"&amp;TODAY()-WEEKDAY(TODAY(),2)+8)))</f>
        <v>0</v>
      </c>
      <c r="O23" s="36">
        <f ca="1">IF($A23="","",IF(O$1="","",COUNTIFS(tbl_chests[from],$A23,tbl_chests[legalized],O$1,tbl_chests[datetime],"&gt;="&amp;TODAY()-WEEKDAY(TODAY(),2)+1,tbl_chests[datetime],"&lt;"&amp;TODAY()-WEEKDAY(TODAY(),2)+8)))</f>
        <v>0</v>
      </c>
      <c r="P23" s="36">
        <f ca="1">IF($A23="","",IF(P$1="","",COUNTIFS(tbl_chests[from],$A23,tbl_chests[legalized],P$1,tbl_chests[datetime],"&gt;="&amp;TODAY()-WEEKDAY(TODAY(),2)+1,tbl_chests[datetime],"&lt;"&amp;TODAY()-WEEKDAY(TODAY(),2)+8)))</f>
        <v>0</v>
      </c>
      <c r="Q23" s="36">
        <f ca="1">IF($A23="","",IF(Q$1="","",COUNTIFS(tbl_chests[from],$A23,tbl_chests[legalized],Q$1,tbl_chests[datetime],"&gt;="&amp;TODAY()-WEEKDAY(TODAY(),2)+1,tbl_chests[datetime],"&lt;"&amp;TODAY()-WEEKDAY(TODAY(),2)+8)))</f>
        <v>0</v>
      </c>
      <c r="R23" s="36">
        <f ca="1">IF($A23="","",IF(R$1="","",COUNTIFS(tbl_chests[from],$A23,tbl_chests[legalized],R$1,tbl_chests[datetime],"&gt;="&amp;TODAY()-WEEKDAY(TODAY(),2)+1,tbl_chests[datetime],"&lt;"&amp;TODAY()-WEEKDAY(TODAY(),2)+8)))</f>
        <v>0</v>
      </c>
      <c r="S23" s="36">
        <f ca="1">IF($A23="","",IF(S$1="","",COUNTIFS(tbl_chests[from],$A23,tbl_chests[legalized],S$1,tbl_chests[datetime],"&gt;="&amp;TODAY()-WEEKDAY(TODAY(),2)+1,tbl_chests[datetime],"&lt;"&amp;TODAY()-WEEKDAY(TODAY(),2)+8)))</f>
        <v>0</v>
      </c>
      <c r="T23" s="36">
        <f ca="1">IF($A23="","",IF(T$1="","",COUNTIFS(tbl_chests[from],$A23,tbl_chests[legalized],T$1,tbl_chests[datetime],"&gt;="&amp;TODAY()-WEEKDAY(TODAY(),2)+1,tbl_chests[datetime],"&lt;"&amp;TODAY()-WEEKDAY(TODAY(),2)+8)))</f>
        <v>0</v>
      </c>
      <c r="U23" s="36">
        <f ca="1">IF($A23="","",IF(U$1="","",COUNTIFS(tbl_chests[from],$A23,tbl_chests[legalized],U$1,tbl_chests[datetime],"&gt;="&amp;TODAY()-WEEKDAY(TODAY(),2)+1,tbl_chests[datetime],"&lt;"&amp;TODAY()-WEEKDAY(TODAY(),2)+8)))</f>
        <v>0</v>
      </c>
      <c r="V23" s="36">
        <f ca="1">IF($A23="","",IF(V$1="","",COUNTIFS(tbl_chests[from],$A23,tbl_chests[legalized],V$1,tbl_chests[datetime],"&gt;="&amp;TODAY()-WEEKDAY(TODAY(),2)+1,tbl_chests[datetime],"&lt;"&amp;TODAY()-WEEKDAY(TODAY(),2)+8)))</f>
        <v>0</v>
      </c>
      <c r="W23" s="36">
        <f ca="1">IF($A23="","",IF(W$1="","",COUNTIFS(tbl_chests[from],$A23,tbl_chests[legalized],W$1,tbl_chests[datetime],"&gt;="&amp;TODAY()-WEEKDAY(TODAY(),2)+1,tbl_chests[datetime],"&lt;"&amp;TODAY()-WEEKDAY(TODAY(),2)+8)))</f>
        <v>0</v>
      </c>
      <c r="X23" s="36">
        <f ca="1">IF($A23="","",IF(X$1="","",COUNTIFS(tbl_chests[from],$A23,tbl_chests[legalized],X$1,tbl_chests[datetime],"&gt;="&amp;TODAY()-WEEKDAY(TODAY(),2)+1,tbl_chests[datetime],"&lt;"&amp;TODAY()-WEEKDAY(TODAY(),2)+8)))</f>
        <v>0</v>
      </c>
      <c r="Y23" s="36">
        <f ca="1">IF($A23="","",IF(Y$1="","",COUNTIFS(tbl_chests[from],$A23,tbl_chests[legalized],Y$1,tbl_chests[datetime],"&gt;="&amp;TODAY()-WEEKDAY(TODAY(),2)+1,tbl_chests[datetime],"&lt;"&amp;TODAY()-WEEKDAY(TODAY(),2)+8)))</f>
        <v>0</v>
      </c>
      <c r="Z23" s="36">
        <f ca="1">IF($A23="","",IF(Z$1="","",COUNTIFS(tbl_chests[from],$A23,tbl_chests[legalized],Z$1,tbl_chests[datetime],"&gt;="&amp;TODAY()-WEEKDAY(TODAY(),2)+1,tbl_chests[datetime],"&lt;"&amp;TODAY()-WEEKDAY(TODAY(),2)+8)))</f>
        <v>0</v>
      </c>
      <c r="AA23" s="36">
        <f ca="1">IF($A23="","",IF(AA$1="","",COUNTIFS(tbl_chests[from],$A23,tbl_chests[legalized],AA$1,tbl_chests[datetime],"&gt;="&amp;TODAY()-WEEKDAY(TODAY(),2)+1,tbl_chests[datetime],"&lt;"&amp;TODAY()-WEEKDAY(TODAY(),2)+8)))</f>
        <v>0</v>
      </c>
      <c r="AB23" s="36">
        <f ca="1">IF($A23="","",IF(AB$1="","",COUNTIFS(tbl_chests[from],$A23,tbl_chests[legalized],AB$1,tbl_chests[datetime],"&gt;="&amp;TODAY()-WEEKDAY(TODAY(),2)+1,tbl_chests[datetime],"&lt;"&amp;TODAY()-WEEKDAY(TODAY(),2)+8)))</f>
        <v>0</v>
      </c>
      <c r="AC23" s="36">
        <f ca="1">IF($A23="","",IF(AC$1="","",COUNTIFS(tbl_chests[from],$A23,tbl_chests[legalized],AC$1,tbl_chests[datetime],"&gt;="&amp;TODAY()-WEEKDAY(TODAY(),2)+1,tbl_chests[datetime],"&lt;"&amp;TODAY()-WEEKDAY(TODAY(),2)+8)))</f>
        <v>0</v>
      </c>
      <c r="AD23" s="36">
        <f ca="1">IF($A23="","",IF(AD$1="","",COUNTIFS(tbl_chests[from],$A23,tbl_chests[legalized],AD$1,tbl_chests[datetime],"&gt;="&amp;TODAY()-WEEKDAY(TODAY(),2)+1,tbl_chests[datetime],"&lt;"&amp;TODAY()-WEEKDAY(TODAY(),2)+8)))</f>
        <v>0</v>
      </c>
      <c r="AE23" s="36">
        <f ca="1">IF($A23="","",IF(AE$1="","",COUNTIFS(tbl_chests[from],$A23,tbl_chests[legalized],AE$1,tbl_chests[datetime],"&gt;="&amp;TODAY()-WEEKDAY(TODAY(),2)+1,tbl_chests[datetime],"&lt;"&amp;TODAY()-WEEKDAY(TODAY(),2)+8)))</f>
        <v>0</v>
      </c>
      <c r="AF23" s="36">
        <f ca="1">IF($A23="","",IF(AF$1="","",COUNTIFS(tbl_chests[from],$A23,tbl_chests[legalized],AF$1,tbl_chests[datetime],"&gt;="&amp;TODAY()-WEEKDAY(TODAY(),2)+1,tbl_chests[datetime],"&lt;"&amp;TODAY()-WEEKDAY(TODAY(),2)+8)))</f>
        <v>0</v>
      </c>
      <c r="AG23" s="36">
        <f ca="1">IF($A23="","",IF(AG$1="","",COUNTIFS(tbl_chests[from],$A23,tbl_chests[legalized],AG$1,tbl_chests[datetime],"&gt;="&amp;TODAY()-WEEKDAY(TODAY(),2)+1,tbl_chests[datetime],"&lt;"&amp;TODAY()-WEEKDAY(TODAY(),2)+8)))</f>
        <v>0</v>
      </c>
      <c r="AH23" s="36">
        <f ca="1">IF($A23="","",IF(AH$1="","",COUNTIFS(tbl_chests[from],$A23,tbl_chests[legalized],AH$1,tbl_chests[datetime],"&gt;="&amp;TODAY()-WEEKDAY(TODAY(),2)+1,tbl_chests[datetime],"&lt;"&amp;TODAY()-WEEKDAY(TODAY(),2)+8)))</f>
        <v>0</v>
      </c>
      <c r="AI23" s="36">
        <f ca="1">IF($A23="","",IF(AI$1="","",COUNTIFS(tbl_chests[from],$A23,tbl_chests[legalized],AI$1,tbl_chests[datetime],"&gt;="&amp;TODAY()-WEEKDAY(TODAY(),2)+1,tbl_chests[datetime],"&lt;"&amp;TODAY()-WEEKDAY(TODAY(),2)+8)))</f>
        <v>0</v>
      </c>
      <c r="AJ23" s="36">
        <f ca="1">IF($A23="","",IF(AJ$1="","",COUNTIFS(tbl_chests[from],$A23,tbl_chests[legalized],AJ$1,tbl_chests[datetime],"&gt;="&amp;TODAY()-WEEKDAY(TODAY(),2)+1,tbl_chests[datetime],"&lt;"&amp;TODAY()-WEEKDAY(TODAY(),2)+8)))</f>
        <v>0</v>
      </c>
      <c r="AK23" s="36">
        <f ca="1">IF($A23="","",IF(AK$1="","",COUNTIFS(tbl_chests[from],$A23,tbl_chests[legalized],AK$1,tbl_chests[datetime],"&gt;="&amp;TODAY()-WEEKDAY(TODAY(),2)+1,tbl_chests[datetime],"&lt;"&amp;TODAY()-WEEKDAY(TODAY(),2)+8)))</f>
        <v>0</v>
      </c>
      <c r="AL23" s="36">
        <f ca="1">IF($A23="","",IF(AL$1="","",COUNTIFS(tbl_chests[from],$A23,tbl_chests[legalized],AL$1,tbl_chests[datetime],"&gt;="&amp;TODAY()-WEEKDAY(TODAY(),2)+1,tbl_chests[datetime],"&lt;"&amp;TODAY()-WEEKDAY(TODAY(),2)+8)))</f>
        <v>0</v>
      </c>
      <c r="AM23" s="37">
        <f ca="1">IF($A23="","",IF(AM$1="","",COUNTIFS(tbl_chests[from],$A23,tbl_chests[legalized],AM$1,tbl_chests[datetime],"&gt;="&amp;TODAY()-WEEKDAY(TODAY(),2)+1,tbl_chests[datetime],"&lt;"&amp;TODAY()-WEEKDAY(TODAY(),2)+8)))</f>
        <v>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 ht="15.75" customHeight="1" x14ac:dyDescent="0.25">
      <c r="A24" s="34" t="str">
        <f>chests_counter!$H21</f>
        <v>Jennifer</v>
      </c>
      <c r="B24" s="35" cm="1">
        <f t="array" aca="1" ref="B24" ca="1">IF(A24&lt;&gt;"", SUMPRODUCT(($C$2:$AM$2&lt;&gt;0)*(C24:AM24&lt;&gt;0)*($C$2:$AM$2)*(C24:AM24)), "")</f>
        <v>40</v>
      </c>
      <c r="C24" s="36">
        <f ca="1">IF($A24="","",IF(C$1="","",COUNTIFS(tbl_chests[from],$A24,tbl_chests[legalized],C$1,tbl_chests[datetime],"&gt;="&amp;TODAY()-WEEKDAY(TODAY(),2)+1,tbl_chests[datetime],"&lt;"&amp;TODAY()-WEEKDAY(TODAY(),2)+8)))</f>
        <v>0</v>
      </c>
      <c r="D24" s="36">
        <f ca="1">IF($A24="","",IF(D$1="","",COUNTIFS(tbl_chests[from],$A24,tbl_chests[legalized],D$1,tbl_chests[datetime],"&gt;="&amp;TODAY()-WEEKDAY(TODAY(),2)+1,tbl_chests[datetime],"&lt;"&amp;TODAY()-WEEKDAY(TODAY(),2)+8)))</f>
        <v>2</v>
      </c>
      <c r="E24" s="36">
        <f ca="1">IF($A24="","",IF(E$1="","",COUNTIFS(tbl_chests[from],$A24,tbl_chests[legalized],E$1,tbl_chests[datetime],"&gt;="&amp;TODAY()-WEEKDAY(TODAY(),2)+1,tbl_chests[datetime],"&lt;"&amp;TODAY()-WEEKDAY(TODAY(),2)+8)))</f>
        <v>0</v>
      </c>
      <c r="F24" s="36">
        <f ca="1">IF($A24="","",IF(F$1="","",COUNTIFS(tbl_chests[from],$A24,tbl_chests[legalized],F$1,tbl_chests[datetime],"&gt;="&amp;TODAY()-WEEKDAY(TODAY(),2)+1,tbl_chests[datetime],"&lt;"&amp;TODAY()-WEEKDAY(TODAY(),2)+8)))</f>
        <v>0</v>
      </c>
      <c r="G24" s="36">
        <f ca="1">IF($A24="","",IF(G$1="","",COUNTIFS(tbl_chests[from],$A24,tbl_chests[legalized],G$1,tbl_chests[datetime],"&gt;="&amp;TODAY()-WEEKDAY(TODAY(),2)+1,tbl_chests[datetime],"&lt;"&amp;TODAY()-WEEKDAY(TODAY(),2)+8)))</f>
        <v>0</v>
      </c>
      <c r="H24" s="36">
        <f ca="1">IF($A24="","",IF(H$1="","",COUNTIFS(tbl_chests[from],$A24,tbl_chests[legalized],H$1,tbl_chests[datetime],"&gt;="&amp;TODAY()-WEEKDAY(TODAY(),2)+1,tbl_chests[datetime],"&lt;"&amp;TODAY()-WEEKDAY(TODAY(),2)+8)))</f>
        <v>0</v>
      </c>
      <c r="I24" s="36">
        <f ca="1">IF($A24="","",IF(I$1="","",COUNTIFS(tbl_chests[from],$A24,tbl_chests[legalized],I$1,tbl_chests[datetime],"&gt;="&amp;TODAY()-WEEKDAY(TODAY(),2)+1,tbl_chests[datetime],"&lt;"&amp;TODAY()-WEEKDAY(TODAY(),2)+8)))</f>
        <v>0</v>
      </c>
      <c r="J24" s="36">
        <f ca="1">IF($A24="","",IF(J$1="","",COUNTIFS(tbl_chests[from],$A24,tbl_chests[legalized],J$1,tbl_chests[datetime],"&gt;="&amp;TODAY()-WEEKDAY(TODAY(),2)+1,tbl_chests[datetime],"&lt;"&amp;TODAY()-WEEKDAY(TODAY(),2)+8)))</f>
        <v>0</v>
      </c>
      <c r="K24" s="36">
        <f ca="1">IF($A24="","",IF(K$1="","",COUNTIFS(tbl_chests[from],$A24,tbl_chests[legalized],K$1,tbl_chests[datetime],"&gt;="&amp;TODAY()-WEEKDAY(TODAY(),2)+1,tbl_chests[datetime],"&lt;"&amp;TODAY()-WEEKDAY(TODAY(),2)+8)))</f>
        <v>0</v>
      </c>
      <c r="L24" s="36">
        <f ca="1">IF($A24="","",IF(L$1="","",COUNTIFS(tbl_chests[from],$A24,tbl_chests[legalized],L$1,tbl_chests[datetime],"&gt;="&amp;TODAY()-WEEKDAY(TODAY(),2)+1,tbl_chests[datetime],"&lt;"&amp;TODAY()-WEEKDAY(TODAY(),2)+8)))</f>
        <v>0</v>
      </c>
      <c r="M24" s="36">
        <f ca="1">IF($A24="","",IF(M$1="","",COUNTIFS(tbl_chests[from],$A24,tbl_chests[legalized],M$1,tbl_chests[datetime],"&gt;="&amp;TODAY()-WEEKDAY(TODAY(),2)+1,tbl_chests[datetime],"&lt;"&amp;TODAY()-WEEKDAY(TODAY(),2)+8)))</f>
        <v>0</v>
      </c>
      <c r="N24" s="36">
        <f ca="1">IF($A24="","",IF(N$1="","",COUNTIFS(tbl_chests[from],$A24,tbl_chests[legalized],N$1,tbl_chests[datetime],"&gt;="&amp;TODAY()-WEEKDAY(TODAY(),2)+1,tbl_chests[datetime],"&lt;"&amp;TODAY()-WEEKDAY(TODAY(),2)+8)))</f>
        <v>0</v>
      </c>
      <c r="O24" s="36">
        <f ca="1">IF($A24="","",IF(O$1="","",COUNTIFS(tbl_chests[from],$A24,tbl_chests[legalized],O$1,tbl_chests[datetime],"&gt;="&amp;TODAY()-WEEKDAY(TODAY(),2)+1,tbl_chests[datetime],"&lt;"&amp;TODAY()-WEEKDAY(TODAY(),2)+8)))</f>
        <v>0</v>
      </c>
      <c r="P24" s="36">
        <f ca="1">IF($A24="","",IF(P$1="","",COUNTIFS(tbl_chests[from],$A24,tbl_chests[legalized],P$1,tbl_chests[datetime],"&gt;="&amp;TODAY()-WEEKDAY(TODAY(),2)+1,tbl_chests[datetime],"&lt;"&amp;TODAY()-WEEKDAY(TODAY(),2)+8)))</f>
        <v>0</v>
      </c>
      <c r="Q24" s="36">
        <f ca="1">IF($A24="","",IF(Q$1="","",COUNTIFS(tbl_chests[from],$A24,tbl_chests[legalized],Q$1,tbl_chests[datetime],"&gt;="&amp;TODAY()-WEEKDAY(TODAY(),2)+1,tbl_chests[datetime],"&lt;"&amp;TODAY()-WEEKDAY(TODAY(),2)+8)))</f>
        <v>0</v>
      </c>
      <c r="R24" s="36">
        <f ca="1">IF($A24="","",IF(R$1="","",COUNTIFS(tbl_chests[from],$A24,tbl_chests[legalized],R$1,tbl_chests[datetime],"&gt;="&amp;TODAY()-WEEKDAY(TODAY(),2)+1,tbl_chests[datetime],"&lt;"&amp;TODAY()-WEEKDAY(TODAY(),2)+8)))</f>
        <v>0</v>
      </c>
      <c r="S24" s="36">
        <f ca="1">IF($A24="","",IF(S$1="","",COUNTIFS(tbl_chests[from],$A24,tbl_chests[legalized],S$1,tbl_chests[datetime],"&gt;="&amp;TODAY()-WEEKDAY(TODAY(),2)+1,tbl_chests[datetime],"&lt;"&amp;TODAY()-WEEKDAY(TODAY(),2)+8)))</f>
        <v>0</v>
      </c>
      <c r="T24" s="36">
        <f ca="1">IF($A24="","",IF(T$1="","",COUNTIFS(tbl_chests[from],$A24,tbl_chests[legalized],T$1,tbl_chests[datetime],"&gt;="&amp;TODAY()-WEEKDAY(TODAY(),2)+1,tbl_chests[datetime],"&lt;"&amp;TODAY()-WEEKDAY(TODAY(),2)+8)))</f>
        <v>0</v>
      </c>
      <c r="U24" s="36">
        <f ca="1">IF($A24="","",IF(U$1="","",COUNTIFS(tbl_chests[from],$A24,tbl_chests[legalized],U$1,tbl_chests[datetime],"&gt;="&amp;TODAY()-WEEKDAY(TODAY(),2)+1,tbl_chests[datetime],"&lt;"&amp;TODAY()-WEEKDAY(TODAY(),2)+8)))</f>
        <v>0</v>
      </c>
      <c r="V24" s="36">
        <f ca="1">IF($A24="","",IF(V$1="","",COUNTIFS(tbl_chests[from],$A24,tbl_chests[legalized],V$1,tbl_chests[datetime],"&gt;="&amp;TODAY()-WEEKDAY(TODAY(),2)+1,tbl_chests[datetime],"&lt;"&amp;TODAY()-WEEKDAY(TODAY(),2)+8)))</f>
        <v>0</v>
      </c>
      <c r="W24" s="36">
        <f ca="1">IF($A24="","",IF(W$1="","",COUNTIFS(tbl_chests[from],$A24,tbl_chests[legalized],W$1,tbl_chests[datetime],"&gt;="&amp;TODAY()-WEEKDAY(TODAY(),2)+1,tbl_chests[datetime],"&lt;"&amp;TODAY()-WEEKDAY(TODAY(),2)+8)))</f>
        <v>0</v>
      </c>
      <c r="X24" s="36">
        <f ca="1">IF($A24="","",IF(X$1="","",COUNTIFS(tbl_chests[from],$A24,tbl_chests[legalized],X$1,tbl_chests[datetime],"&gt;="&amp;TODAY()-WEEKDAY(TODAY(),2)+1,tbl_chests[datetime],"&lt;"&amp;TODAY()-WEEKDAY(TODAY(),2)+8)))</f>
        <v>0</v>
      </c>
      <c r="Y24" s="36">
        <f ca="1">IF($A24="","",IF(Y$1="","",COUNTIFS(tbl_chests[from],$A24,tbl_chests[legalized],Y$1,tbl_chests[datetime],"&gt;="&amp;TODAY()-WEEKDAY(TODAY(),2)+1,tbl_chests[datetime],"&lt;"&amp;TODAY()-WEEKDAY(TODAY(),2)+8)))</f>
        <v>0</v>
      </c>
      <c r="Z24" s="36">
        <f ca="1">IF($A24="","",IF(Z$1="","",COUNTIFS(tbl_chests[from],$A24,tbl_chests[legalized],Z$1,tbl_chests[datetime],"&gt;="&amp;TODAY()-WEEKDAY(TODAY(),2)+1,tbl_chests[datetime],"&lt;"&amp;TODAY()-WEEKDAY(TODAY(),2)+8)))</f>
        <v>0</v>
      </c>
      <c r="AA24" s="36">
        <f ca="1">IF($A24="","",IF(AA$1="","",COUNTIFS(tbl_chests[from],$A24,tbl_chests[legalized],AA$1,tbl_chests[datetime],"&gt;="&amp;TODAY()-WEEKDAY(TODAY(),2)+1,tbl_chests[datetime],"&lt;"&amp;TODAY()-WEEKDAY(TODAY(),2)+8)))</f>
        <v>0</v>
      </c>
      <c r="AB24" s="36">
        <f ca="1">IF($A24="","",IF(AB$1="","",COUNTIFS(tbl_chests[from],$A24,tbl_chests[legalized],AB$1,tbl_chests[datetime],"&gt;="&amp;TODAY()-WEEKDAY(TODAY(),2)+1,tbl_chests[datetime],"&lt;"&amp;TODAY()-WEEKDAY(TODAY(),2)+8)))</f>
        <v>0</v>
      </c>
      <c r="AC24" s="36">
        <f ca="1">IF($A24="","",IF(AC$1="","",COUNTIFS(tbl_chests[from],$A24,tbl_chests[legalized],AC$1,tbl_chests[datetime],"&gt;="&amp;TODAY()-WEEKDAY(TODAY(),2)+1,tbl_chests[datetime],"&lt;"&amp;TODAY()-WEEKDAY(TODAY(),2)+8)))</f>
        <v>0</v>
      </c>
      <c r="AD24" s="36">
        <f ca="1">IF($A24="","",IF(AD$1="","",COUNTIFS(tbl_chests[from],$A24,tbl_chests[legalized],AD$1,tbl_chests[datetime],"&gt;="&amp;TODAY()-WEEKDAY(TODAY(),2)+1,tbl_chests[datetime],"&lt;"&amp;TODAY()-WEEKDAY(TODAY(),2)+8)))</f>
        <v>0</v>
      </c>
      <c r="AE24" s="36">
        <f ca="1">IF($A24="","",IF(AE$1="","",COUNTIFS(tbl_chests[from],$A24,tbl_chests[legalized],AE$1,tbl_chests[datetime],"&gt;="&amp;TODAY()-WEEKDAY(TODAY(),2)+1,tbl_chests[datetime],"&lt;"&amp;TODAY()-WEEKDAY(TODAY(),2)+8)))</f>
        <v>0</v>
      </c>
      <c r="AF24" s="36">
        <f ca="1">IF($A24="","",IF(AF$1="","",COUNTIFS(tbl_chests[from],$A24,tbl_chests[legalized],AF$1,tbl_chests[datetime],"&gt;="&amp;TODAY()-WEEKDAY(TODAY(),2)+1,tbl_chests[datetime],"&lt;"&amp;TODAY()-WEEKDAY(TODAY(),2)+8)))</f>
        <v>0</v>
      </c>
      <c r="AG24" s="36">
        <f ca="1">IF($A24="","",IF(AG$1="","",COUNTIFS(tbl_chests[from],$A24,tbl_chests[legalized],AG$1,tbl_chests[datetime],"&gt;="&amp;TODAY()-WEEKDAY(TODAY(),2)+1,tbl_chests[datetime],"&lt;"&amp;TODAY()-WEEKDAY(TODAY(),2)+8)))</f>
        <v>0</v>
      </c>
      <c r="AH24" s="36">
        <f ca="1">IF($A24="","",IF(AH$1="","",COUNTIFS(tbl_chests[from],$A24,tbl_chests[legalized],AH$1,tbl_chests[datetime],"&gt;="&amp;TODAY()-WEEKDAY(TODAY(),2)+1,tbl_chests[datetime],"&lt;"&amp;TODAY()-WEEKDAY(TODAY(),2)+8)))</f>
        <v>0</v>
      </c>
      <c r="AI24" s="36">
        <f ca="1">IF($A24="","",IF(AI$1="","",COUNTIFS(tbl_chests[from],$A24,tbl_chests[legalized],AI$1,tbl_chests[datetime],"&gt;="&amp;TODAY()-WEEKDAY(TODAY(),2)+1,tbl_chests[datetime],"&lt;"&amp;TODAY()-WEEKDAY(TODAY(),2)+8)))</f>
        <v>0</v>
      </c>
      <c r="AJ24" s="36">
        <f ca="1">IF($A24="","",IF(AJ$1="","",COUNTIFS(tbl_chests[from],$A24,tbl_chests[legalized],AJ$1,tbl_chests[datetime],"&gt;="&amp;TODAY()-WEEKDAY(TODAY(),2)+1,tbl_chests[datetime],"&lt;"&amp;TODAY()-WEEKDAY(TODAY(),2)+8)))</f>
        <v>0</v>
      </c>
      <c r="AK24" s="36">
        <f ca="1">IF($A24="","",IF(AK$1="","",COUNTIFS(tbl_chests[from],$A24,tbl_chests[legalized],AK$1,tbl_chests[datetime],"&gt;="&amp;TODAY()-WEEKDAY(TODAY(),2)+1,tbl_chests[datetime],"&lt;"&amp;TODAY()-WEEKDAY(TODAY(),2)+8)))</f>
        <v>0</v>
      </c>
      <c r="AL24" s="36">
        <f ca="1">IF($A24="","",IF(AL$1="","",COUNTIFS(tbl_chests[from],$A24,tbl_chests[legalized],AL$1,tbl_chests[datetime],"&gt;="&amp;TODAY()-WEEKDAY(TODAY(),2)+1,tbl_chests[datetime],"&lt;"&amp;TODAY()-WEEKDAY(TODAY(),2)+8)))</f>
        <v>0</v>
      </c>
      <c r="AM24" s="37">
        <f ca="1">IF($A24="","",IF(AM$1="","",COUNTIFS(tbl_chests[from],$A24,tbl_chests[legalized],AM$1,tbl_chests[datetime],"&gt;="&amp;TODAY()-WEEKDAY(TODAY(),2)+1,tbl_chests[datetime],"&lt;"&amp;TODAY()-WEEKDAY(TODAY(),2)+8)))</f>
        <v>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 ht="15.75" customHeight="1" x14ac:dyDescent="0.25">
      <c r="A25" s="34" t="str">
        <f>chests_counter!$H22</f>
        <v>Lirosin</v>
      </c>
      <c r="B25" s="35" cm="1">
        <f t="array" aca="1" ref="B25" ca="1">IF(A25&lt;&gt;"", SUMPRODUCT(($C$2:$AM$2&lt;&gt;0)*(C25:AM25&lt;&gt;0)*($C$2:$AM$2)*(C25:AM25)), "")</f>
        <v>10</v>
      </c>
      <c r="C25" s="36">
        <f ca="1">IF($A25="","",IF(C$1="","",COUNTIFS(tbl_chests[from],$A25,tbl_chests[legalized],C$1,tbl_chests[datetime],"&gt;="&amp;TODAY()-WEEKDAY(TODAY(),2)+1,tbl_chests[datetime],"&lt;"&amp;TODAY()-WEEKDAY(TODAY(),2)+8)))</f>
        <v>1</v>
      </c>
      <c r="D25" s="36">
        <f ca="1">IF($A25="","",IF(D$1="","",COUNTIFS(tbl_chests[from],$A25,tbl_chests[legalized],D$1,tbl_chests[datetime],"&gt;="&amp;TODAY()-WEEKDAY(TODAY(),2)+1,tbl_chests[datetime],"&lt;"&amp;TODAY()-WEEKDAY(TODAY(),2)+8)))</f>
        <v>0</v>
      </c>
      <c r="E25" s="36">
        <f ca="1">IF($A25="","",IF(E$1="","",COUNTIFS(tbl_chests[from],$A25,tbl_chests[legalized],E$1,tbl_chests[datetime],"&gt;="&amp;TODAY()-WEEKDAY(TODAY(),2)+1,tbl_chests[datetime],"&lt;"&amp;TODAY()-WEEKDAY(TODAY(),2)+8)))</f>
        <v>0</v>
      </c>
      <c r="F25" s="36">
        <f ca="1">IF($A25="","",IF(F$1="","",COUNTIFS(tbl_chests[from],$A25,tbl_chests[legalized],F$1,tbl_chests[datetime],"&gt;="&amp;TODAY()-WEEKDAY(TODAY(),2)+1,tbl_chests[datetime],"&lt;"&amp;TODAY()-WEEKDAY(TODAY(),2)+8)))</f>
        <v>0</v>
      </c>
      <c r="G25" s="36">
        <f ca="1">IF($A25="","",IF(G$1="","",COUNTIFS(tbl_chests[from],$A25,tbl_chests[legalized],G$1,tbl_chests[datetime],"&gt;="&amp;TODAY()-WEEKDAY(TODAY(),2)+1,tbl_chests[datetime],"&lt;"&amp;TODAY()-WEEKDAY(TODAY(),2)+8)))</f>
        <v>0</v>
      </c>
      <c r="H25" s="36">
        <f ca="1">IF($A25="","",IF(H$1="","",COUNTIFS(tbl_chests[from],$A25,tbl_chests[legalized],H$1,tbl_chests[datetime],"&gt;="&amp;TODAY()-WEEKDAY(TODAY(),2)+1,tbl_chests[datetime],"&lt;"&amp;TODAY()-WEEKDAY(TODAY(),2)+8)))</f>
        <v>0</v>
      </c>
      <c r="I25" s="36">
        <f ca="1">IF($A25="","",IF(I$1="","",COUNTIFS(tbl_chests[from],$A25,tbl_chests[legalized],I$1,tbl_chests[datetime],"&gt;="&amp;TODAY()-WEEKDAY(TODAY(),2)+1,tbl_chests[datetime],"&lt;"&amp;TODAY()-WEEKDAY(TODAY(),2)+8)))</f>
        <v>0</v>
      </c>
      <c r="J25" s="36">
        <f ca="1">IF($A25="","",IF(J$1="","",COUNTIFS(tbl_chests[from],$A25,tbl_chests[legalized],J$1,tbl_chests[datetime],"&gt;="&amp;TODAY()-WEEKDAY(TODAY(),2)+1,tbl_chests[datetime],"&lt;"&amp;TODAY()-WEEKDAY(TODAY(),2)+8)))</f>
        <v>0</v>
      </c>
      <c r="K25" s="36">
        <f ca="1">IF($A25="","",IF(K$1="","",COUNTIFS(tbl_chests[from],$A25,tbl_chests[legalized],K$1,tbl_chests[datetime],"&gt;="&amp;TODAY()-WEEKDAY(TODAY(),2)+1,tbl_chests[datetime],"&lt;"&amp;TODAY()-WEEKDAY(TODAY(),2)+8)))</f>
        <v>0</v>
      </c>
      <c r="L25" s="36">
        <f ca="1">IF($A25="","",IF(L$1="","",COUNTIFS(tbl_chests[from],$A25,tbl_chests[legalized],L$1,tbl_chests[datetime],"&gt;="&amp;TODAY()-WEEKDAY(TODAY(),2)+1,tbl_chests[datetime],"&lt;"&amp;TODAY()-WEEKDAY(TODAY(),2)+8)))</f>
        <v>0</v>
      </c>
      <c r="M25" s="36">
        <f ca="1">IF($A25="","",IF(M$1="","",COUNTIFS(tbl_chests[from],$A25,tbl_chests[legalized],M$1,tbl_chests[datetime],"&gt;="&amp;TODAY()-WEEKDAY(TODAY(),2)+1,tbl_chests[datetime],"&lt;"&amp;TODAY()-WEEKDAY(TODAY(),2)+8)))</f>
        <v>0</v>
      </c>
      <c r="N25" s="36">
        <f ca="1">IF($A25="","",IF(N$1="","",COUNTIFS(tbl_chests[from],$A25,tbl_chests[legalized],N$1,tbl_chests[datetime],"&gt;="&amp;TODAY()-WEEKDAY(TODAY(),2)+1,tbl_chests[datetime],"&lt;"&amp;TODAY()-WEEKDAY(TODAY(),2)+8)))</f>
        <v>0</v>
      </c>
      <c r="O25" s="36">
        <f ca="1">IF($A25="","",IF(O$1="","",COUNTIFS(tbl_chests[from],$A25,tbl_chests[legalized],O$1,tbl_chests[datetime],"&gt;="&amp;TODAY()-WEEKDAY(TODAY(),2)+1,tbl_chests[datetime],"&lt;"&amp;TODAY()-WEEKDAY(TODAY(),2)+8)))</f>
        <v>0</v>
      </c>
      <c r="P25" s="36">
        <f ca="1">IF($A25="","",IF(P$1="","",COUNTIFS(tbl_chests[from],$A25,tbl_chests[legalized],P$1,tbl_chests[datetime],"&gt;="&amp;TODAY()-WEEKDAY(TODAY(),2)+1,tbl_chests[datetime],"&lt;"&amp;TODAY()-WEEKDAY(TODAY(),2)+8)))</f>
        <v>0</v>
      </c>
      <c r="Q25" s="36">
        <f ca="1">IF($A25="","",IF(Q$1="","",COUNTIFS(tbl_chests[from],$A25,tbl_chests[legalized],Q$1,tbl_chests[datetime],"&gt;="&amp;TODAY()-WEEKDAY(TODAY(),2)+1,tbl_chests[datetime],"&lt;"&amp;TODAY()-WEEKDAY(TODAY(),2)+8)))</f>
        <v>0</v>
      </c>
      <c r="R25" s="36">
        <f ca="1">IF($A25="","",IF(R$1="","",COUNTIFS(tbl_chests[from],$A25,tbl_chests[legalized],R$1,tbl_chests[datetime],"&gt;="&amp;TODAY()-WEEKDAY(TODAY(),2)+1,tbl_chests[datetime],"&lt;"&amp;TODAY()-WEEKDAY(TODAY(),2)+8)))</f>
        <v>0</v>
      </c>
      <c r="S25" s="36">
        <f ca="1">IF($A25="","",IF(S$1="","",COUNTIFS(tbl_chests[from],$A25,tbl_chests[legalized],S$1,tbl_chests[datetime],"&gt;="&amp;TODAY()-WEEKDAY(TODAY(),2)+1,tbl_chests[datetime],"&lt;"&amp;TODAY()-WEEKDAY(TODAY(),2)+8)))</f>
        <v>0</v>
      </c>
      <c r="T25" s="36">
        <f ca="1">IF($A25="","",IF(T$1="","",COUNTIFS(tbl_chests[from],$A25,tbl_chests[legalized],T$1,tbl_chests[datetime],"&gt;="&amp;TODAY()-WEEKDAY(TODAY(),2)+1,tbl_chests[datetime],"&lt;"&amp;TODAY()-WEEKDAY(TODAY(),2)+8)))</f>
        <v>0</v>
      </c>
      <c r="U25" s="36">
        <f ca="1">IF($A25="","",IF(U$1="","",COUNTIFS(tbl_chests[from],$A25,tbl_chests[legalized],U$1,tbl_chests[datetime],"&gt;="&amp;TODAY()-WEEKDAY(TODAY(),2)+1,tbl_chests[datetime],"&lt;"&amp;TODAY()-WEEKDAY(TODAY(),2)+8)))</f>
        <v>0</v>
      </c>
      <c r="V25" s="36">
        <f ca="1">IF($A25="","",IF(V$1="","",COUNTIFS(tbl_chests[from],$A25,tbl_chests[legalized],V$1,tbl_chests[datetime],"&gt;="&amp;TODAY()-WEEKDAY(TODAY(),2)+1,tbl_chests[datetime],"&lt;"&amp;TODAY()-WEEKDAY(TODAY(),2)+8)))</f>
        <v>0</v>
      </c>
      <c r="W25" s="36">
        <f ca="1">IF($A25="","",IF(W$1="","",COUNTIFS(tbl_chests[from],$A25,tbl_chests[legalized],W$1,tbl_chests[datetime],"&gt;="&amp;TODAY()-WEEKDAY(TODAY(),2)+1,tbl_chests[datetime],"&lt;"&amp;TODAY()-WEEKDAY(TODAY(),2)+8)))</f>
        <v>0</v>
      </c>
      <c r="X25" s="36">
        <f ca="1">IF($A25="","",IF(X$1="","",COUNTIFS(tbl_chests[from],$A25,tbl_chests[legalized],X$1,tbl_chests[datetime],"&gt;="&amp;TODAY()-WEEKDAY(TODAY(),2)+1,tbl_chests[datetime],"&lt;"&amp;TODAY()-WEEKDAY(TODAY(),2)+8)))</f>
        <v>0</v>
      </c>
      <c r="Y25" s="36">
        <f ca="1">IF($A25="","",IF(Y$1="","",COUNTIFS(tbl_chests[from],$A25,tbl_chests[legalized],Y$1,tbl_chests[datetime],"&gt;="&amp;TODAY()-WEEKDAY(TODAY(),2)+1,tbl_chests[datetime],"&lt;"&amp;TODAY()-WEEKDAY(TODAY(),2)+8)))</f>
        <v>0</v>
      </c>
      <c r="Z25" s="36">
        <f ca="1">IF($A25="","",IF(Z$1="","",COUNTIFS(tbl_chests[from],$A25,tbl_chests[legalized],Z$1,tbl_chests[datetime],"&gt;="&amp;TODAY()-WEEKDAY(TODAY(),2)+1,tbl_chests[datetime],"&lt;"&amp;TODAY()-WEEKDAY(TODAY(),2)+8)))</f>
        <v>0</v>
      </c>
      <c r="AA25" s="36">
        <f ca="1">IF($A25="","",IF(AA$1="","",COUNTIFS(tbl_chests[from],$A25,tbl_chests[legalized],AA$1,tbl_chests[datetime],"&gt;="&amp;TODAY()-WEEKDAY(TODAY(),2)+1,tbl_chests[datetime],"&lt;"&amp;TODAY()-WEEKDAY(TODAY(),2)+8)))</f>
        <v>0</v>
      </c>
      <c r="AB25" s="36">
        <f ca="1">IF($A25="","",IF(AB$1="","",COUNTIFS(tbl_chests[from],$A25,tbl_chests[legalized],AB$1,tbl_chests[datetime],"&gt;="&amp;TODAY()-WEEKDAY(TODAY(),2)+1,tbl_chests[datetime],"&lt;"&amp;TODAY()-WEEKDAY(TODAY(),2)+8)))</f>
        <v>0</v>
      </c>
      <c r="AC25" s="36">
        <f ca="1">IF($A25="","",IF(AC$1="","",COUNTIFS(tbl_chests[from],$A25,tbl_chests[legalized],AC$1,tbl_chests[datetime],"&gt;="&amp;TODAY()-WEEKDAY(TODAY(),2)+1,tbl_chests[datetime],"&lt;"&amp;TODAY()-WEEKDAY(TODAY(),2)+8)))</f>
        <v>0</v>
      </c>
      <c r="AD25" s="36">
        <f ca="1">IF($A25="","",IF(AD$1="","",COUNTIFS(tbl_chests[from],$A25,tbl_chests[legalized],AD$1,tbl_chests[datetime],"&gt;="&amp;TODAY()-WEEKDAY(TODAY(),2)+1,tbl_chests[datetime],"&lt;"&amp;TODAY()-WEEKDAY(TODAY(),2)+8)))</f>
        <v>0</v>
      </c>
      <c r="AE25" s="36">
        <f ca="1">IF($A25="","",IF(AE$1="","",COUNTIFS(tbl_chests[from],$A25,tbl_chests[legalized],AE$1,tbl_chests[datetime],"&gt;="&amp;TODAY()-WEEKDAY(TODAY(),2)+1,tbl_chests[datetime],"&lt;"&amp;TODAY()-WEEKDAY(TODAY(),2)+8)))</f>
        <v>0</v>
      </c>
      <c r="AF25" s="36">
        <f ca="1">IF($A25="","",IF(AF$1="","",COUNTIFS(tbl_chests[from],$A25,tbl_chests[legalized],AF$1,tbl_chests[datetime],"&gt;="&amp;TODAY()-WEEKDAY(TODAY(),2)+1,tbl_chests[datetime],"&lt;"&amp;TODAY()-WEEKDAY(TODAY(),2)+8)))</f>
        <v>0</v>
      </c>
      <c r="AG25" s="36">
        <f ca="1">IF($A25="","",IF(AG$1="","",COUNTIFS(tbl_chests[from],$A25,tbl_chests[legalized],AG$1,tbl_chests[datetime],"&gt;="&amp;TODAY()-WEEKDAY(TODAY(),2)+1,tbl_chests[datetime],"&lt;"&amp;TODAY()-WEEKDAY(TODAY(),2)+8)))</f>
        <v>0</v>
      </c>
      <c r="AH25" s="36">
        <f ca="1">IF($A25="","",IF(AH$1="","",COUNTIFS(tbl_chests[from],$A25,tbl_chests[legalized],AH$1,tbl_chests[datetime],"&gt;="&amp;TODAY()-WEEKDAY(TODAY(),2)+1,tbl_chests[datetime],"&lt;"&amp;TODAY()-WEEKDAY(TODAY(),2)+8)))</f>
        <v>0</v>
      </c>
      <c r="AI25" s="36">
        <f ca="1">IF($A25="","",IF(AI$1="","",COUNTIFS(tbl_chests[from],$A25,tbl_chests[legalized],AI$1,tbl_chests[datetime],"&gt;="&amp;TODAY()-WEEKDAY(TODAY(),2)+1,tbl_chests[datetime],"&lt;"&amp;TODAY()-WEEKDAY(TODAY(),2)+8)))</f>
        <v>0</v>
      </c>
      <c r="AJ25" s="36">
        <f ca="1">IF($A25="","",IF(AJ$1="","",COUNTIFS(tbl_chests[from],$A25,tbl_chests[legalized],AJ$1,tbl_chests[datetime],"&gt;="&amp;TODAY()-WEEKDAY(TODAY(),2)+1,tbl_chests[datetime],"&lt;"&amp;TODAY()-WEEKDAY(TODAY(),2)+8)))</f>
        <v>0</v>
      </c>
      <c r="AK25" s="36">
        <f ca="1">IF($A25="","",IF(AK$1="","",COUNTIFS(tbl_chests[from],$A25,tbl_chests[legalized],AK$1,tbl_chests[datetime],"&gt;="&amp;TODAY()-WEEKDAY(TODAY(),2)+1,tbl_chests[datetime],"&lt;"&amp;TODAY()-WEEKDAY(TODAY(),2)+8)))</f>
        <v>0</v>
      </c>
      <c r="AL25" s="36">
        <f ca="1">IF($A25="","",IF(AL$1="","",COUNTIFS(tbl_chests[from],$A25,tbl_chests[legalized],AL$1,tbl_chests[datetime],"&gt;="&amp;TODAY()-WEEKDAY(TODAY(),2)+1,tbl_chests[datetime],"&lt;"&amp;TODAY()-WEEKDAY(TODAY(),2)+8)))</f>
        <v>0</v>
      </c>
      <c r="AM25" s="37">
        <f ca="1">IF($A25="","",IF(AM$1="","",COUNTIFS(tbl_chests[from],$A25,tbl_chests[legalized],AM$1,tbl_chests[datetime],"&gt;="&amp;TODAY()-WEEKDAY(TODAY(),2)+1,tbl_chests[datetime],"&lt;"&amp;TODAY()-WEEKDAY(TODAY(),2)+8)))</f>
        <v>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 ht="15.75" customHeight="1" x14ac:dyDescent="0.25">
      <c r="A26" s="34" t="str">
        <f>chests_counter!$H23</f>
        <v>Luar</v>
      </c>
      <c r="B26" s="35" cm="1">
        <f t="array" aca="1" ref="B26" ca="1">IF(A26&lt;&gt;"", SUMPRODUCT(($C$2:$AM$2&lt;&gt;0)*(C26:AM26&lt;&gt;0)*($C$2:$AM$2)*(C26:AM26)), "")</f>
        <v>360</v>
      </c>
      <c r="C26" s="36">
        <f ca="1">IF($A26="","",IF(C$1="","",COUNTIFS(tbl_chests[from],$A26,tbl_chests[legalized],C$1,tbl_chests[datetime],"&gt;="&amp;TODAY()-WEEKDAY(TODAY(),2)+1,tbl_chests[datetime],"&lt;"&amp;TODAY()-WEEKDAY(TODAY(),2)+8)))</f>
        <v>2</v>
      </c>
      <c r="D26" s="36">
        <f ca="1">IF($A26="","",IF(D$1="","",COUNTIFS(tbl_chests[from],$A26,tbl_chests[legalized],D$1,tbl_chests[datetime],"&gt;="&amp;TODAY()-WEEKDAY(TODAY(),2)+1,tbl_chests[datetime],"&lt;"&amp;TODAY()-WEEKDAY(TODAY(),2)+8)))</f>
        <v>2</v>
      </c>
      <c r="E26" s="36">
        <f ca="1">IF($A26="","",IF(E$1="","",COUNTIFS(tbl_chests[from],$A26,tbl_chests[legalized],E$1,tbl_chests[datetime],"&gt;="&amp;TODAY()-WEEKDAY(TODAY(),2)+1,tbl_chests[datetime],"&lt;"&amp;TODAY()-WEEKDAY(TODAY(),2)+8)))</f>
        <v>2</v>
      </c>
      <c r="F26" s="36">
        <f ca="1">IF($A26="","",IF(F$1="","",COUNTIFS(tbl_chests[from],$A26,tbl_chests[legalized],F$1,tbl_chests[datetime],"&gt;="&amp;TODAY()-WEEKDAY(TODAY(),2)+1,tbl_chests[datetime],"&lt;"&amp;TODAY()-WEEKDAY(TODAY(),2)+8)))</f>
        <v>0</v>
      </c>
      <c r="G26" s="36">
        <f ca="1">IF($A26="","",IF(G$1="","",COUNTIFS(tbl_chests[from],$A26,tbl_chests[legalized],G$1,tbl_chests[datetime],"&gt;="&amp;TODAY()-WEEKDAY(TODAY(),2)+1,tbl_chests[datetime],"&lt;"&amp;TODAY()-WEEKDAY(TODAY(),2)+8)))</f>
        <v>0</v>
      </c>
      <c r="H26" s="36">
        <f ca="1">IF($A26="","",IF(H$1="","",COUNTIFS(tbl_chests[from],$A26,tbl_chests[legalized],H$1,tbl_chests[datetime],"&gt;="&amp;TODAY()-WEEKDAY(TODAY(),2)+1,tbl_chests[datetime],"&lt;"&amp;TODAY()-WEEKDAY(TODAY(),2)+8)))</f>
        <v>0</v>
      </c>
      <c r="I26" s="36">
        <f ca="1">IF($A26="","",IF(I$1="","",COUNTIFS(tbl_chests[from],$A26,tbl_chests[legalized],I$1,tbl_chests[datetime],"&gt;="&amp;TODAY()-WEEKDAY(TODAY(),2)+1,tbl_chests[datetime],"&lt;"&amp;TODAY()-WEEKDAY(TODAY(),2)+8)))</f>
        <v>0</v>
      </c>
      <c r="J26" s="36">
        <f ca="1">IF($A26="","",IF(J$1="","",COUNTIFS(tbl_chests[from],$A26,tbl_chests[legalized],J$1,tbl_chests[datetime],"&gt;="&amp;TODAY()-WEEKDAY(TODAY(),2)+1,tbl_chests[datetime],"&lt;"&amp;TODAY()-WEEKDAY(TODAY(),2)+8)))</f>
        <v>0</v>
      </c>
      <c r="K26" s="36">
        <f ca="1">IF($A26="","",IF(K$1="","",COUNTIFS(tbl_chests[from],$A26,tbl_chests[legalized],K$1,tbl_chests[datetime],"&gt;="&amp;TODAY()-WEEKDAY(TODAY(),2)+1,tbl_chests[datetime],"&lt;"&amp;TODAY()-WEEKDAY(TODAY(),2)+8)))</f>
        <v>0</v>
      </c>
      <c r="L26" s="36">
        <f ca="1">IF($A26="","",IF(L$1="","",COUNTIFS(tbl_chests[from],$A26,tbl_chests[legalized],L$1,tbl_chests[datetime],"&gt;="&amp;TODAY()-WEEKDAY(TODAY(),2)+1,tbl_chests[datetime],"&lt;"&amp;TODAY()-WEEKDAY(TODAY(),2)+8)))</f>
        <v>0</v>
      </c>
      <c r="M26" s="36">
        <f ca="1">IF($A26="","",IF(M$1="","",COUNTIFS(tbl_chests[from],$A26,tbl_chests[legalized],M$1,tbl_chests[datetime],"&gt;="&amp;TODAY()-WEEKDAY(TODAY(),2)+1,tbl_chests[datetime],"&lt;"&amp;TODAY()-WEEKDAY(TODAY(),2)+8)))</f>
        <v>0</v>
      </c>
      <c r="N26" s="36">
        <f ca="1">IF($A26="","",IF(N$1="","",COUNTIFS(tbl_chests[from],$A26,tbl_chests[legalized],N$1,tbl_chests[datetime],"&gt;="&amp;TODAY()-WEEKDAY(TODAY(),2)+1,tbl_chests[datetime],"&lt;"&amp;TODAY()-WEEKDAY(TODAY(),2)+8)))</f>
        <v>0</v>
      </c>
      <c r="O26" s="36">
        <f ca="1">IF($A26="","",IF(O$1="","",COUNTIFS(tbl_chests[from],$A26,tbl_chests[legalized],O$1,tbl_chests[datetime],"&gt;="&amp;TODAY()-WEEKDAY(TODAY(),2)+1,tbl_chests[datetime],"&lt;"&amp;TODAY()-WEEKDAY(TODAY(),2)+8)))</f>
        <v>0</v>
      </c>
      <c r="P26" s="36">
        <f ca="1">IF($A26="","",IF(P$1="","",COUNTIFS(tbl_chests[from],$A26,tbl_chests[legalized],P$1,tbl_chests[datetime],"&gt;="&amp;TODAY()-WEEKDAY(TODAY(),2)+1,tbl_chests[datetime],"&lt;"&amp;TODAY()-WEEKDAY(TODAY(),2)+8)))</f>
        <v>0</v>
      </c>
      <c r="Q26" s="36">
        <f ca="1">IF($A26="","",IF(Q$1="","",COUNTIFS(tbl_chests[from],$A26,tbl_chests[legalized],Q$1,tbl_chests[datetime],"&gt;="&amp;TODAY()-WEEKDAY(TODAY(),2)+1,tbl_chests[datetime],"&lt;"&amp;TODAY()-WEEKDAY(TODAY(),2)+8)))</f>
        <v>0</v>
      </c>
      <c r="R26" s="36">
        <f ca="1">IF($A26="","",IF(R$1="","",COUNTIFS(tbl_chests[from],$A26,tbl_chests[legalized],R$1,tbl_chests[datetime],"&gt;="&amp;TODAY()-WEEKDAY(TODAY(),2)+1,tbl_chests[datetime],"&lt;"&amp;TODAY()-WEEKDAY(TODAY(),2)+8)))</f>
        <v>0</v>
      </c>
      <c r="S26" s="36">
        <f ca="1">IF($A26="","",IF(S$1="","",COUNTIFS(tbl_chests[from],$A26,tbl_chests[legalized],S$1,tbl_chests[datetime],"&gt;="&amp;TODAY()-WEEKDAY(TODAY(),2)+1,tbl_chests[datetime],"&lt;"&amp;TODAY()-WEEKDAY(TODAY(),2)+8)))</f>
        <v>0</v>
      </c>
      <c r="T26" s="36">
        <f ca="1">IF($A26="","",IF(T$1="","",COUNTIFS(tbl_chests[from],$A26,tbl_chests[legalized],T$1,tbl_chests[datetime],"&gt;="&amp;TODAY()-WEEKDAY(TODAY(),2)+1,tbl_chests[datetime],"&lt;"&amp;TODAY()-WEEKDAY(TODAY(),2)+8)))</f>
        <v>0</v>
      </c>
      <c r="U26" s="36">
        <f ca="1">IF($A26="","",IF(U$1="","",COUNTIFS(tbl_chests[from],$A26,tbl_chests[legalized],U$1,tbl_chests[datetime],"&gt;="&amp;TODAY()-WEEKDAY(TODAY(),2)+1,tbl_chests[datetime],"&lt;"&amp;TODAY()-WEEKDAY(TODAY(),2)+8)))</f>
        <v>0</v>
      </c>
      <c r="V26" s="36">
        <f ca="1">IF($A26="","",IF(V$1="","",COUNTIFS(tbl_chests[from],$A26,tbl_chests[legalized],V$1,tbl_chests[datetime],"&gt;="&amp;TODAY()-WEEKDAY(TODAY(),2)+1,tbl_chests[datetime],"&lt;"&amp;TODAY()-WEEKDAY(TODAY(),2)+8)))</f>
        <v>0</v>
      </c>
      <c r="W26" s="36">
        <f ca="1">IF($A26="","",IF(W$1="","",COUNTIFS(tbl_chests[from],$A26,tbl_chests[legalized],W$1,tbl_chests[datetime],"&gt;="&amp;TODAY()-WEEKDAY(TODAY(),2)+1,tbl_chests[datetime],"&lt;"&amp;TODAY()-WEEKDAY(TODAY(),2)+8)))</f>
        <v>0</v>
      </c>
      <c r="X26" s="36">
        <f ca="1">IF($A26="","",IF(X$1="","",COUNTIFS(tbl_chests[from],$A26,tbl_chests[legalized],X$1,tbl_chests[datetime],"&gt;="&amp;TODAY()-WEEKDAY(TODAY(),2)+1,tbl_chests[datetime],"&lt;"&amp;TODAY()-WEEKDAY(TODAY(),2)+8)))</f>
        <v>0</v>
      </c>
      <c r="Y26" s="36">
        <f ca="1">IF($A26="","",IF(Y$1="","",COUNTIFS(tbl_chests[from],$A26,tbl_chests[legalized],Y$1,tbl_chests[datetime],"&gt;="&amp;TODAY()-WEEKDAY(TODAY(),2)+1,tbl_chests[datetime],"&lt;"&amp;TODAY()-WEEKDAY(TODAY(),2)+8)))</f>
        <v>0</v>
      </c>
      <c r="Z26" s="36">
        <f ca="1">IF($A26="","",IF(Z$1="","",COUNTIFS(tbl_chests[from],$A26,tbl_chests[legalized],Z$1,tbl_chests[datetime],"&gt;="&amp;TODAY()-WEEKDAY(TODAY(),2)+1,tbl_chests[datetime],"&lt;"&amp;TODAY()-WEEKDAY(TODAY(),2)+8)))</f>
        <v>0</v>
      </c>
      <c r="AA26" s="36">
        <f ca="1">IF($A26="","",IF(AA$1="","",COUNTIFS(tbl_chests[from],$A26,tbl_chests[legalized],AA$1,tbl_chests[datetime],"&gt;="&amp;TODAY()-WEEKDAY(TODAY(),2)+1,tbl_chests[datetime],"&lt;"&amp;TODAY()-WEEKDAY(TODAY(),2)+8)))</f>
        <v>6</v>
      </c>
      <c r="AB26" s="36">
        <f ca="1">IF($A26="","",IF(AB$1="","",COUNTIFS(tbl_chests[from],$A26,tbl_chests[legalized],AB$1,tbl_chests[datetime],"&gt;="&amp;TODAY()-WEEKDAY(TODAY(),2)+1,tbl_chests[datetime],"&lt;"&amp;TODAY()-WEEKDAY(TODAY(),2)+8)))</f>
        <v>0</v>
      </c>
      <c r="AC26" s="36">
        <f ca="1">IF($A26="","",IF(AC$1="","",COUNTIFS(tbl_chests[from],$A26,tbl_chests[legalized],AC$1,tbl_chests[datetime],"&gt;="&amp;TODAY()-WEEKDAY(TODAY(),2)+1,tbl_chests[datetime],"&lt;"&amp;TODAY()-WEEKDAY(TODAY(),2)+8)))</f>
        <v>0</v>
      </c>
      <c r="AD26" s="36">
        <f ca="1">IF($A26="","",IF(AD$1="","",COUNTIFS(tbl_chests[from],$A26,tbl_chests[legalized],AD$1,tbl_chests[datetime],"&gt;="&amp;TODAY()-WEEKDAY(TODAY(),2)+1,tbl_chests[datetime],"&lt;"&amp;TODAY()-WEEKDAY(TODAY(),2)+8)))</f>
        <v>0</v>
      </c>
      <c r="AE26" s="36">
        <f ca="1">IF($A26="","",IF(AE$1="","",COUNTIFS(tbl_chests[from],$A26,tbl_chests[legalized],AE$1,tbl_chests[datetime],"&gt;="&amp;TODAY()-WEEKDAY(TODAY(),2)+1,tbl_chests[datetime],"&lt;"&amp;TODAY()-WEEKDAY(TODAY(),2)+8)))</f>
        <v>0</v>
      </c>
      <c r="AF26" s="36">
        <f ca="1">IF($A26="","",IF(AF$1="","",COUNTIFS(tbl_chests[from],$A26,tbl_chests[legalized],AF$1,tbl_chests[datetime],"&gt;="&amp;TODAY()-WEEKDAY(TODAY(),2)+1,tbl_chests[datetime],"&lt;"&amp;TODAY()-WEEKDAY(TODAY(),2)+8)))</f>
        <v>0</v>
      </c>
      <c r="AG26" s="36">
        <f ca="1">IF($A26="","",IF(AG$1="","",COUNTIFS(tbl_chests[from],$A26,tbl_chests[legalized],AG$1,tbl_chests[datetime],"&gt;="&amp;TODAY()-WEEKDAY(TODAY(),2)+1,tbl_chests[datetime],"&lt;"&amp;TODAY()-WEEKDAY(TODAY(),2)+8)))</f>
        <v>0</v>
      </c>
      <c r="AH26" s="36">
        <f ca="1">IF($A26="","",IF(AH$1="","",COUNTIFS(tbl_chests[from],$A26,tbl_chests[legalized],AH$1,tbl_chests[datetime],"&gt;="&amp;TODAY()-WEEKDAY(TODAY(),2)+1,tbl_chests[datetime],"&lt;"&amp;TODAY()-WEEKDAY(TODAY(),2)+8)))</f>
        <v>0</v>
      </c>
      <c r="AI26" s="36">
        <f ca="1">IF($A26="","",IF(AI$1="","",COUNTIFS(tbl_chests[from],$A26,tbl_chests[legalized],AI$1,tbl_chests[datetime],"&gt;="&amp;TODAY()-WEEKDAY(TODAY(),2)+1,tbl_chests[datetime],"&lt;"&amp;TODAY()-WEEKDAY(TODAY(),2)+8)))</f>
        <v>0</v>
      </c>
      <c r="AJ26" s="36">
        <f ca="1">IF($A26="","",IF(AJ$1="","",COUNTIFS(tbl_chests[from],$A26,tbl_chests[legalized],AJ$1,tbl_chests[datetime],"&gt;="&amp;TODAY()-WEEKDAY(TODAY(),2)+1,tbl_chests[datetime],"&lt;"&amp;TODAY()-WEEKDAY(TODAY(),2)+8)))</f>
        <v>0</v>
      </c>
      <c r="AK26" s="36">
        <f ca="1">IF($A26="","",IF(AK$1="","",COUNTIFS(tbl_chests[from],$A26,tbl_chests[legalized],AK$1,tbl_chests[datetime],"&gt;="&amp;TODAY()-WEEKDAY(TODAY(),2)+1,tbl_chests[datetime],"&lt;"&amp;TODAY()-WEEKDAY(TODAY(),2)+8)))</f>
        <v>0</v>
      </c>
      <c r="AL26" s="36">
        <f ca="1">IF($A26="","",IF(AL$1="","",COUNTIFS(tbl_chests[from],$A26,tbl_chests[legalized],AL$1,tbl_chests[datetime],"&gt;="&amp;TODAY()-WEEKDAY(TODAY(),2)+1,tbl_chests[datetime],"&lt;"&amp;TODAY()-WEEKDAY(TODAY(),2)+8)))</f>
        <v>0</v>
      </c>
      <c r="AM26" s="37">
        <f ca="1">IF($A26="","",IF(AM$1="","",COUNTIFS(tbl_chests[from],$A26,tbl_chests[legalized],AM$1,tbl_chests[datetime],"&gt;="&amp;TODAY()-WEEKDAY(TODAY(),2)+1,tbl_chests[datetime],"&lt;"&amp;TODAY()-WEEKDAY(TODAY(),2)+8)))</f>
        <v>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 ht="15.75" customHeight="1" x14ac:dyDescent="0.25">
      <c r="A27" s="34" t="str">
        <f>chests_counter!$H24</f>
        <v>Maedrafir</v>
      </c>
      <c r="B27" s="35" cm="1">
        <f t="array" aca="1" ref="B27" ca="1">IF(A27&lt;&gt;"", SUMPRODUCT(($C$2:$AM$2&lt;&gt;0)*(C27:AM27&lt;&gt;0)*($C$2:$AM$2)*(C27:AM27)), "")</f>
        <v>10</v>
      </c>
      <c r="C27" s="36">
        <f ca="1">IF($A27="","",IF(C$1="","",COUNTIFS(tbl_chests[from],$A27,tbl_chests[legalized],C$1,tbl_chests[datetime],"&gt;="&amp;TODAY()-WEEKDAY(TODAY(),2)+1,tbl_chests[datetime],"&lt;"&amp;TODAY()-WEEKDAY(TODAY(),2)+8)))</f>
        <v>0</v>
      </c>
      <c r="D27" s="36">
        <f ca="1">IF($A27="","",IF(D$1="","",COUNTIFS(tbl_chests[from],$A27,tbl_chests[legalized],D$1,tbl_chests[datetime],"&gt;="&amp;TODAY()-WEEKDAY(TODAY(),2)+1,tbl_chests[datetime],"&lt;"&amp;TODAY()-WEEKDAY(TODAY(),2)+8)))</f>
        <v>0</v>
      </c>
      <c r="E27" s="36">
        <f ca="1">IF($A27="","",IF(E$1="","",COUNTIFS(tbl_chests[from],$A27,tbl_chests[legalized],E$1,tbl_chests[datetime],"&gt;="&amp;TODAY()-WEEKDAY(TODAY(),2)+1,tbl_chests[datetime],"&lt;"&amp;TODAY()-WEEKDAY(TODAY(),2)+8)))</f>
        <v>0</v>
      </c>
      <c r="F27" s="36">
        <f ca="1">IF($A27="","",IF(F$1="","",COUNTIFS(tbl_chests[from],$A27,tbl_chests[legalized],F$1,tbl_chests[datetime],"&gt;="&amp;TODAY()-WEEKDAY(TODAY(),2)+1,tbl_chests[datetime],"&lt;"&amp;TODAY()-WEEKDAY(TODAY(),2)+8)))</f>
        <v>0</v>
      </c>
      <c r="G27" s="36">
        <f ca="1">IF($A27="","",IF(G$1="","",COUNTIFS(tbl_chests[from],$A27,tbl_chests[legalized],G$1,tbl_chests[datetime],"&gt;="&amp;TODAY()-WEEKDAY(TODAY(),2)+1,tbl_chests[datetime],"&lt;"&amp;TODAY()-WEEKDAY(TODAY(),2)+8)))</f>
        <v>0</v>
      </c>
      <c r="H27" s="36">
        <f ca="1">IF($A27="","",IF(H$1="","",COUNTIFS(tbl_chests[from],$A27,tbl_chests[legalized],H$1,tbl_chests[datetime],"&gt;="&amp;TODAY()-WEEKDAY(TODAY(),2)+1,tbl_chests[datetime],"&lt;"&amp;TODAY()-WEEKDAY(TODAY(),2)+8)))</f>
        <v>1</v>
      </c>
      <c r="I27" s="36">
        <f ca="1">IF($A27="","",IF(I$1="","",COUNTIFS(tbl_chests[from],$A27,tbl_chests[legalized],I$1,tbl_chests[datetime],"&gt;="&amp;TODAY()-WEEKDAY(TODAY(),2)+1,tbl_chests[datetime],"&lt;"&amp;TODAY()-WEEKDAY(TODAY(),2)+8)))</f>
        <v>0</v>
      </c>
      <c r="J27" s="36">
        <f ca="1">IF($A27="","",IF(J$1="","",COUNTIFS(tbl_chests[from],$A27,tbl_chests[legalized],J$1,tbl_chests[datetime],"&gt;="&amp;TODAY()-WEEKDAY(TODAY(),2)+1,tbl_chests[datetime],"&lt;"&amp;TODAY()-WEEKDAY(TODAY(),2)+8)))</f>
        <v>0</v>
      </c>
      <c r="K27" s="36">
        <f ca="1">IF($A27="","",IF(K$1="","",COUNTIFS(tbl_chests[from],$A27,tbl_chests[legalized],K$1,tbl_chests[datetime],"&gt;="&amp;TODAY()-WEEKDAY(TODAY(),2)+1,tbl_chests[datetime],"&lt;"&amp;TODAY()-WEEKDAY(TODAY(),2)+8)))</f>
        <v>0</v>
      </c>
      <c r="L27" s="36">
        <f ca="1">IF($A27="","",IF(L$1="","",COUNTIFS(tbl_chests[from],$A27,tbl_chests[legalized],L$1,tbl_chests[datetime],"&gt;="&amp;TODAY()-WEEKDAY(TODAY(),2)+1,tbl_chests[datetime],"&lt;"&amp;TODAY()-WEEKDAY(TODAY(),2)+8)))</f>
        <v>0</v>
      </c>
      <c r="M27" s="36">
        <f ca="1">IF($A27="","",IF(M$1="","",COUNTIFS(tbl_chests[from],$A27,tbl_chests[legalized],M$1,tbl_chests[datetime],"&gt;="&amp;TODAY()-WEEKDAY(TODAY(),2)+1,tbl_chests[datetime],"&lt;"&amp;TODAY()-WEEKDAY(TODAY(),2)+8)))</f>
        <v>0</v>
      </c>
      <c r="N27" s="36">
        <f ca="1">IF($A27="","",IF(N$1="","",COUNTIFS(tbl_chests[from],$A27,tbl_chests[legalized],N$1,tbl_chests[datetime],"&gt;="&amp;TODAY()-WEEKDAY(TODAY(),2)+1,tbl_chests[datetime],"&lt;"&amp;TODAY()-WEEKDAY(TODAY(),2)+8)))</f>
        <v>0</v>
      </c>
      <c r="O27" s="36">
        <f ca="1">IF($A27="","",IF(O$1="","",COUNTIFS(tbl_chests[from],$A27,tbl_chests[legalized],O$1,tbl_chests[datetime],"&gt;="&amp;TODAY()-WEEKDAY(TODAY(),2)+1,tbl_chests[datetime],"&lt;"&amp;TODAY()-WEEKDAY(TODAY(),2)+8)))</f>
        <v>0</v>
      </c>
      <c r="P27" s="36">
        <f ca="1">IF($A27="","",IF(P$1="","",COUNTIFS(tbl_chests[from],$A27,tbl_chests[legalized],P$1,tbl_chests[datetime],"&gt;="&amp;TODAY()-WEEKDAY(TODAY(),2)+1,tbl_chests[datetime],"&lt;"&amp;TODAY()-WEEKDAY(TODAY(),2)+8)))</f>
        <v>0</v>
      </c>
      <c r="Q27" s="36">
        <f ca="1">IF($A27="","",IF(Q$1="","",COUNTIFS(tbl_chests[from],$A27,tbl_chests[legalized],Q$1,tbl_chests[datetime],"&gt;="&amp;TODAY()-WEEKDAY(TODAY(),2)+1,tbl_chests[datetime],"&lt;"&amp;TODAY()-WEEKDAY(TODAY(),2)+8)))</f>
        <v>0</v>
      </c>
      <c r="R27" s="36">
        <f ca="1">IF($A27="","",IF(R$1="","",COUNTIFS(tbl_chests[from],$A27,tbl_chests[legalized],R$1,tbl_chests[datetime],"&gt;="&amp;TODAY()-WEEKDAY(TODAY(),2)+1,tbl_chests[datetime],"&lt;"&amp;TODAY()-WEEKDAY(TODAY(),2)+8)))</f>
        <v>0</v>
      </c>
      <c r="S27" s="36">
        <f ca="1">IF($A27="","",IF(S$1="","",COUNTIFS(tbl_chests[from],$A27,tbl_chests[legalized],S$1,tbl_chests[datetime],"&gt;="&amp;TODAY()-WEEKDAY(TODAY(),2)+1,tbl_chests[datetime],"&lt;"&amp;TODAY()-WEEKDAY(TODAY(),2)+8)))</f>
        <v>0</v>
      </c>
      <c r="T27" s="36">
        <f ca="1">IF($A27="","",IF(T$1="","",COUNTIFS(tbl_chests[from],$A27,tbl_chests[legalized],T$1,tbl_chests[datetime],"&gt;="&amp;TODAY()-WEEKDAY(TODAY(),2)+1,tbl_chests[datetime],"&lt;"&amp;TODAY()-WEEKDAY(TODAY(),2)+8)))</f>
        <v>0</v>
      </c>
      <c r="U27" s="36">
        <f ca="1">IF($A27="","",IF(U$1="","",COUNTIFS(tbl_chests[from],$A27,tbl_chests[legalized],U$1,tbl_chests[datetime],"&gt;="&amp;TODAY()-WEEKDAY(TODAY(),2)+1,tbl_chests[datetime],"&lt;"&amp;TODAY()-WEEKDAY(TODAY(),2)+8)))</f>
        <v>0</v>
      </c>
      <c r="V27" s="36">
        <f ca="1">IF($A27="","",IF(V$1="","",COUNTIFS(tbl_chests[from],$A27,tbl_chests[legalized],V$1,tbl_chests[datetime],"&gt;="&amp;TODAY()-WEEKDAY(TODAY(),2)+1,tbl_chests[datetime],"&lt;"&amp;TODAY()-WEEKDAY(TODAY(),2)+8)))</f>
        <v>0</v>
      </c>
      <c r="W27" s="36">
        <f ca="1">IF($A27="","",IF(W$1="","",COUNTIFS(tbl_chests[from],$A27,tbl_chests[legalized],W$1,tbl_chests[datetime],"&gt;="&amp;TODAY()-WEEKDAY(TODAY(),2)+1,tbl_chests[datetime],"&lt;"&amp;TODAY()-WEEKDAY(TODAY(),2)+8)))</f>
        <v>0</v>
      </c>
      <c r="X27" s="36">
        <f ca="1">IF($A27="","",IF(X$1="","",COUNTIFS(tbl_chests[from],$A27,tbl_chests[legalized],X$1,tbl_chests[datetime],"&gt;="&amp;TODAY()-WEEKDAY(TODAY(),2)+1,tbl_chests[datetime],"&lt;"&amp;TODAY()-WEEKDAY(TODAY(),2)+8)))</f>
        <v>0</v>
      </c>
      <c r="Y27" s="36">
        <f ca="1">IF($A27="","",IF(Y$1="","",COUNTIFS(tbl_chests[from],$A27,tbl_chests[legalized],Y$1,tbl_chests[datetime],"&gt;="&amp;TODAY()-WEEKDAY(TODAY(),2)+1,tbl_chests[datetime],"&lt;"&amp;TODAY()-WEEKDAY(TODAY(),2)+8)))</f>
        <v>0</v>
      </c>
      <c r="Z27" s="36">
        <f ca="1">IF($A27="","",IF(Z$1="","",COUNTIFS(tbl_chests[from],$A27,tbl_chests[legalized],Z$1,tbl_chests[datetime],"&gt;="&amp;TODAY()-WEEKDAY(TODAY(),2)+1,tbl_chests[datetime],"&lt;"&amp;TODAY()-WEEKDAY(TODAY(),2)+8)))</f>
        <v>0</v>
      </c>
      <c r="AA27" s="36">
        <f ca="1">IF($A27="","",IF(AA$1="","",COUNTIFS(tbl_chests[from],$A27,tbl_chests[legalized],AA$1,tbl_chests[datetime],"&gt;="&amp;TODAY()-WEEKDAY(TODAY(),2)+1,tbl_chests[datetime],"&lt;"&amp;TODAY()-WEEKDAY(TODAY(),2)+8)))</f>
        <v>0</v>
      </c>
      <c r="AB27" s="36">
        <f ca="1">IF($A27="","",IF(AB$1="","",COUNTIFS(tbl_chests[from],$A27,tbl_chests[legalized],AB$1,tbl_chests[datetime],"&gt;="&amp;TODAY()-WEEKDAY(TODAY(),2)+1,tbl_chests[datetime],"&lt;"&amp;TODAY()-WEEKDAY(TODAY(),2)+8)))</f>
        <v>0</v>
      </c>
      <c r="AC27" s="36">
        <f ca="1">IF($A27="","",IF(AC$1="","",COUNTIFS(tbl_chests[from],$A27,tbl_chests[legalized],AC$1,tbl_chests[datetime],"&gt;="&amp;TODAY()-WEEKDAY(TODAY(),2)+1,tbl_chests[datetime],"&lt;"&amp;TODAY()-WEEKDAY(TODAY(),2)+8)))</f>
        <v>0</v>
      </c>
      <c r="AD27" s="36">
        <f ca="1">IF($A27="","",IF(AD$1="","",COUNTIFS(tbl_chests[from],$A27,tbl_chests[legalized],AD$1,tbl_chests[datetime],"&gt;="&amp;TODAY()-WEEKDAY(TODAY(),2)+1,tbl_chests[datetime],"&lt;"&amp;TODAY()-WEEKDAY(TODAY(),2)+8)))</f>
        <v>0</v>
      </c>
      <c r="AE27" s="36">
        <f ca="1">IF($A27="","",IF(AE$1="","",COUNTIFS(tbl_chests[from],$A27,tbl_chests[legalized],AE$1,tbl_chests[datetime],"&gt;="&amp;TODAY()-WEEKDAY(TODAY(),2)+1,tbl_chests[datetime],"&lt;"&amp;TODAY()-WEEKDAY(TODAY(),2)+8)))</f>
        <v>0</v>
      </c>
      <c r="AF27" s="36">
        <f ca="1">IF($A27="","",IF(AF$1="","",COUNTIFS(tbl_chests[from],$A27,tbl_chests[legalized],AF$1,tbl_chests[datetime],"&gt;="&amp;TODAY()-WEEKDAY(TODAY(),2)+1,tbl_chests[datetime],"&lt;"&amp;TODAY()-WEEKDAY(TODAY(),2)+8)))</f>
        <v>0</v>
      </c>
      <c r="AG27" s="36">
        <f ca="1">IF($A27="","",IF(AG$1="","",COUNTIFS(tbl_chests[from],$A27,tbl_chests[legalized],AG$1,tbl_chests[datetime],"&gt;="&amp;TODAY()-WEEKDAY(TODAY(),2)+1,tbl_chests[datetime],"&lt;"&amp;TODAY()-WEEKDAY(TODAY(),2)+8)))</f>
        <v>0</v>
      </c>
      <c r="AH27" s="36">
        <f ca="1">IF($A27="","",IF(AH$1="","",COUNTIFS(tbl_chests[from],$A27,tbl_chests[legalized],AH$1,tbl_chests[datetime],"&gt;="&amp;TODAY()-WEEKDAY(TODAY(),2)+1,tbl_chests[datetime],"&lt;"&amp;TODAY()-WEEKDAY(TODAY(),2)+8)))</f>
        <v>0</v>
      </c>
      <c r="AI27" s="36">
        <f ca="1">IF($A27="","",IF(AI$1="","",COUNTIFS(tbl_chests[from],$A27,tbl_chests[legalized],AI$1,tbl_chests[datetime],"&gt;="&amp;TODAY()-WEEKDAY(TODAY(),2)+1,tbl_chests[datetime],"&lt;"&amp;TODAY()-WEEKDAY(TODAY(),2)+8)))</f>
        <v>0</v>
      </c>
      <c r="AJ27" s="36">
        <f ca="1">IF($A27="","",IF(AJ$1="","",COUNTIFS(tbl_chests[from],$A27,tbl_chests[legalized],AJ$1,tbl_chests[datetime],"&gt;="&amp;TODAY()-WEEKDAY(TODAY(),2)+1,tbl_chests[datetime],"&lt;"&amp;TODAY()-WEEKDAY(TODAY(),2)+8)))</f>
        <v>0</v>
      </c>
      <c r="AK27" s="36">
        <f ca="1">IF($A27="","",IF(AK$1="","",COUNTIFS(tbl_chests[from],$A27,tbl_chests[legalized],AK$1,tbl_chests[datetime],"&gt;="&amp;TODAY()-WEEKDAY(TODAY(),2)+1,tbl_chests[datetime],"&lt;"&amp;TODAY()-WEEKDAY(TODAY(),2)+8)))</f>
        <v>0</v>
      </c>
      <c r="AL27" s="36">
        <f ca="1">IF($A27="","",IF(AL$1="","",COUNTIFS(tbl_chests[from],$A27,tbl_chests[legalized],AL$1,tbl_chests[datetime],"&gt;="&amp;TODAY()-WEEKDAY(TODAY(),2)+1,tbl_chests[datetime],"&lt;"&amp;TODAY()-WEEKDAY(TODAY(),2)+8)))</f>
        <v>0</v>
      </c>
      <c r="AM27" s="37">
        <f ca="1">IF($A27="","",IF(AM$1="","",COUNTIFS(tbl_chests[from],$A27,tbl_chests[legalized],AM$1,tbl_chests[datetime],"&gt;="&amp;TODAY()-WEEKDAY(TODAY(),2)+1,tbl_chests[datetime],"&lt;"&amp;TODAY()-WEEKDAY(TODAY(),2)+8)))</f>
        <v>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 ht="15.75" customHeight="1" x14ac:dyDescent="0.25">
      <c r="A28" s="34" t="str">
        <f>chests_counter!$H25</f>
        <v>Magyarock</v>
      </c>
      <c r="B28" s="35" cm="1">
        <f t="array" aca="1" ref="B28" ca="1">IF(A28&lt;&gt;"", SUMPRODUCT(($C$2:$AM$2&lt;&gt;0)*(C28:AM28&lt;&gt;0)*($C$2:$AM$2)*(C28:AM28)), "")</f>
        <v>260</v>
      </c>
      <c r="C28" s="36">
        <f ca="1">IF($A28="","",IF(C$1="","",COUNTIFS(tbl_chests[from],$A28,tbl_chests[legalized],C$1,tbl_chests[datetime],"&gt;="&amp;TODAY()-WEEKDAY(TODAY(),2)+1,tbl_chests[datetime],"&lt;"&amp;TODAY()-WEEKDAY(TODAY(),2)+8)))</f>
        <v>0</v>
      </c>
      <c r="D28" s="36">
        <f ca="1">IF($A28="","",IF(D$1="","",COUNTIFS(tbl_chests[from],$A28,tbl_chests[legalized],D$1,tbl_chests[datetime],"&gt;="&amp;TODAY()-WEEKDAY(TODAY(),2)+1,tbl_chests[datetime],"&lt;"&amp;TODAY()-WEEKDAY(TODAY(),2)+8)))</f>
        <v>1</v>
      </c>
      <c r="E28" s="36">
        <f ca="1">IF($A28="","",IF(E$1="","",COUNTIFS(tbl_chests[from],$A28,tbl_chests[legalized],E$1,tbl_chests[datetime],"&gt;="&amp;TODAY()-WEEKDAY(TODAY(),2)+1,tbl_chests[datetime],"&lt;"&amp;TODAY()-WEEKDAY(TODAY(),2)+8)))</f>
        <v>0</v>
      </c>
      <c r="F28" s="36">
        <f ca="1">IF($A28="","",IF(F$1="","",COUNTIFS(tbl_chests[from],$A28,tbl_chests[legalized],F$1,tbl_chests[datetime],"&gt;="&amp;TODAY()-WEEKDAY(TODAY(),2)+1,tbl_chests[datetime],"&lt;"&amp;TODAY()-WEEKDAY(TODAY(),2)+8)))</f>
        <v>0</v>
      </c>
      <c r="G28" s="36">
        <f ca="1">IF($A28="","",IF(G$1="","",COUNTIFS(tbl_chests[from],$A28,tbl_chests[legalized],G$1,tbl_chests[datetime],"&gt;="&amp;TODAY()-WEEKDAY(TODAY(),2)+1,tbl_chests[datetime],"&lt;"&amp;TODAY()-WEEKDAY(TODAY(),2)+8)))</f>
        <v>0</v>
      </c>
      <c r="H28" s="36">
        <f ca="1">IF($A28="","",IF(H$1="","",COUNTIFS(tbl_chests[from],$A28,tbl_chests[legalized],H$1,tbl_chests[datetime],"&gt;="&amp;TODAY()-WEEKDAY(TODAY(),2)+1,tbl_chests[datetime],"&lt;"&amp;TODAY()-WEEKDAY(TODAY(),2)+8)))</f>
        <v>0</v>
      </c>
      <c r="I28" s="36">
        <f ca="1">IF($A28="","",IF(I$1="","",COUNTIFS(tbl_chests[from],$A28,tbl_chests[legalized],I$1,tbl_chests[datetime],"&gt;="&amp;TODAY()-WEEKDAY(TODAY(),2)+1,tbl_chests[datetime],"&lt;"&amp;TODAY()-WEEKDAY(TODAY(),2)+8)))</f>
        <v>0</v>
      </c>
      <c r="J28" s="36">
        <f ca="1">IF($A28="","",IF(J$1="","",COUNTIFS(tbl_chests[from],$A28,tbl_chests[legalized],J$1,tbl_chests[datetime],"&gt;="&amp;TODAY()-WEEKDAY(TODAY(),2)+1,tbl_chests[datetime],"&lt;"&amp;TODAY()-WEEKDAY(TODAY(),2)+8)))</f>
        <v>0</v>
      </c>
      <c r="K28" s="36">
        <f ca="1">IF($A28="","",IF(K$1="","",COUNTIFS(tbl_chests[from],$A28,tbl_chests[legalized],K$1,tbl_chests[datetime],"&gt;="&amp;TODAY()-WEEKDAY(TODAY(),2)+1,tbl_chests[datetime],"&lt;"&amp;TODAY()-WEEKDAY(TODAY(),2)+8)))</f>
        <v>0</v>
      </c>
      <c r="L28" s="36">
        <f ca="1">IF($A28="","",IF(L$1="","",COUNTIFS(tbl_chests[from],$A28,tbl_chests[legalized],L$1,tbl_chests[datetime],"&gt;="&amp;TODAY()-WEEKDAY(TODAY(),2)+1,tbl_chests[datetime],"&lt;"&amp;TODAY()-WEEKDAY(TODAY(),2)+8)))</f>
        <v>0</v>
      </c>
      <c r="M28" s="36">
        <f ca="1">IF($A28="","",IF(M$1="","",COUNTIFS(tbl_chests[from],$A28,tbl_chests[legalized],M$1,tbl_chests[datetime],"&gt;="&amp;TODAY()-WEEKDAY(TODAY(),2)+1,tbl_chests[datetime],"&lt;"&amp;TODAY()-WEEKDAY(TODAY(),2)+8)))</f>
        <v>0</v>
      </c>
      <c r="N28" s="36">
        <f ca="1">IF($A28="","",IF(N$1="","",COUNTIFS(tbl_chests[from],$A28,tbl_chests[legalized],N$1,tbl_chests[datetime],"&gt;="&amp;TODAY()-WEEKDAY(TODAY(),2)+1,tbl_chests[datetime],"&lt;"&amp;TODAY()-WEEKDAY(TODAY(),2)+8)))</f>
        <v>0</v>
      </c>
      <c r="O28" s="36">
        <f ca="1">IF($A28="","",IF(O$1="","",COUNTIFS(tbl_chests[from],$A28,tbl_chests[legalized],O$1,tbl_chests[datetime],"&gt;="&amp;TODAY()-WEEKDAY(TODAY(),2)+1,tbl_chests[datetime],"&lt;"&amp;TODAY()-WEEKDAY(TODAY(),2)+8)))</f>
        <v>0</v>
      </c>
      <c r="P28" s="36">
        <f ca="1">IF($A28="","",IF(P$1="","",COUNTIFS(tbl_chests[from],$A28,tbl_chests[legalized],P$1,tbl_chests[datetime],"&gt;="&amp;TODAY()-WEEKDAY(TODAY(),2)+1,tbl_chests[datetime],"&lt;"&amp;TODAY()-WEEKDAY(TODAY(),2)+8)))</f>
        <v>0</v>
      </c>
      <c r="Q28" s="36">
        <f ca="1">IF($A28="","",IF(Q$1="","",COUNTIFS(tbl_chests[from],$A28,tbl_chests[legalized],Q$1,tbl_chests[datetime],"&gt;="&amp;TODAY()-WEEKDAY(TODAY(),2)+1,tbl_chests[datetime],"&lt;"&amp;TODAY()-WEEKDAY(TODAY(),2)+8)))</f>
        <v>0</v>
      </c>
      <c r="R28" s="36">
        <f ca="1">IF($A28="","",IF(R$1="","",COUNTIFS(tbl_chests[from],$A28,tbl_chests[legalized],R$1,tbl_chests[datetime],"&gt;="&amp;TODAY()-WEEKDAY(TODAY(),2)+1,tbl_chests[datetime],"&lt;"&amp;TODAY()-WEEKDAY(TODAY(),2)+8)))</f>
        <v>0</v>
      </c>
      <c r="S28" s="36">
        <f ca="1">IF($A28="","",IF(S$1="","",COUNTIFS(tbl_chests[from],$A28,tbl_chests[legalized],S$1,tbl_chests[datetime],"&gt;="&amp;TODAY()-WEEKDAY(TODAY(),2)+1,tbl_chests[datetime],"&lt;"&amp;TODAY()-WEEKDAY(TODAY(),2)+8)))</f>
        <v>0</v>
      </c>
      <c r="T28" s="36">
        <f ca="1">IF($A28="","",IF(T$1="","",COUNTIFS(tbl_chests[from],$A28,tbl_chests[legalized],T$1,tbl_chests[datetime],"&gt;="&amp;TODAY()-WEEKDAY(TODAY(),2)+1,tbl_chests[datetime],"&lt;"&amp;TODAY()-WEEKDAY(TODAY(),2)+8)))</f>
        <v>0</v>
      </c>
      <c r="U28" s="36">
        <f ca="1">IF($A28="","",IF(U$1="","",COUNTIFS(tbl_chests[from],$A28,tbl_chests[legalized],U$1,tbl_chests[datetime],"&gt;="&amp;TODAY()-WEEKDAY(TODAY(),2)+1,tbl_chests[datetime],"&lt;"&amp;TODAY()-WEEKDAY(TODAY(),2)+8)))</f>
        <v>0</v>
      </c>
      <c r="V28" s="36">
        <f ca="1">IF($A28="","",IF(V$1="","",COUNTIFS(tbl_chests[from],$A28,tbl_chests[legalized],V$1,tbl_chests[datetime],"&gt;="&amp;TODAY()-WEEKDAY(TODAY(),2)+1,tbl_chests[datetime],"&lt;"&amp;TODAY()-WEEKDAY(TODAY(),2)+8)))</f>
        <v>0</v>
      </c>
      <c r="W28" s="36">
        <f ca="1">IF($A28="","",IF(W$1="","",COUNTIFS(tbl_chests[from],$A28,tbl_chests[legalized],W$1,tbl_chests[datetime],"&gt;="&amp;TODAY()-WEEKDAY(TODAY(),2)+1,tbl_chests[datetime],"&lt;"&amp;TODAY()-WEEKDAY(TODAY(),2)+8)))</f>
        <v>0</v>
      </c>
      <c r="X28" s="36">
        <f ca="1">IF($A28="","",IF(X$1="","",COUNTIFS(tbl_chests[from],$A28,tbl_chests[legalized],X$1,tbl_chests[datetime],"&gt;="&amp;TODAY()-WEEKDAY(TODAY(),2)+1,tbl_chests[datetime],"&lt;"&amp;TODAY()-WEEKDAY(TODAY(),2)+8)))</f>
        <v>0</v>
      </c>
      <c r="Y28" s="36">
        <f ca="1">IF($A28="","",IF(Y$1="","",COUNTIFS(tbl_chests[from],$A28,tbl_chests[legalized],Y$1,tbl_chests[datetime],"&gt;="&amp;TODAY()-WEEKDAY(TODAY(),2)+1,tbl_chests[datetime],"&lt;"&amp;TODAY()-WEEKDAY(TODAY(),2)+8)))</f>
        <v>0</v>
      </c>
      <c r="Z28" s="36">
        <f ca="1">IF($A28="","",IF(Z$1="","",COUNTIFS(tbl_chests[from],$A28,tbl_chests[legalized],Z$1,tbl_chests[datetime],"&gt;="&amp;TODAY()-WEEKDAY(TODAY(),2)+1,tbl_chests[datetime],"&lt;"&amp;TODAY()-WEEKDAY(TODAY(),2)+8)))</f>
        <v>0</v>
      </c>
      <c r="AA28" s="36">
        <f ca="1">IF($A28="","",IF(AA$1="","",COUNTIFS(tbl_chests[from],$A28,tbl_chests[legalized],AA$1,tbl_chests[datetime],"&gt;="&amp;TODAY()-WEEKDAY(TODAY(),2)+1,tbl_chests[datetime],"&lt;"&amp;TODAY()-WEEKDAY(TODAY(),2)+8)))</f>
        <v>6</v>
      </c>
      <c r="AB28" s="36">
        <f ca="1">IF($A28="","",IF(AB$1="","",COUNTIFS(tbl_chests[from],$A28,tbl_chests[legalized],AB$1,tbl_chests[datetime],"&gt;="&amp;TODAY()-WEEKDAY(TODAY(),2)+1,tbl_chests[datetime],"&lt;"&amp;TODAY()-WEEKDAY(TODAY(),2)+8)))</f>
        <v>0</v>
      </c>
      <c r="AC28" s="36">
        <f ca="1">IF($A28="","",IF(AC$1="","",COUNTIFS(tbl_chests[from],$A28,tbl_chests[legalized],AC$1,tbl_chests[datetime],"&gt;="&amp;TODAY()-WEEKDAY(TODAY(),2)+1,tbl_chests[datetime],"&lt;"&amp;TODAY()-WEEKDAY(TODAY(),2)+8)))</f>
        <v>0</v>
      </c>
      <c r="AD28" s="36">
        <f ca="1">IF($A28="","",IF(AD$1="","",COUNTIFS(tbl_chests[from],$A28,tbl_chests[legalized],AD$1,tbl_chests[datetime],"&gt;="&amp;TODAY()-WEEKDAY(TODAY(),2)+1,tbl_chests[datetime],"&lt;"&amp;TODAY()-WEEKDAY(TODAY(),2)+8)))</f>
        <v>0</v>
      </c>
      <c r="AE28" s="36">
        <f ca="1">IF($A28="","",IF(AE$1="","",COUNTIFS(tbl_chests[from],$A28,tbl_chests[legalized],AE$1,tbl_chests[datetime],"&gt;="&amp;TODAY()-WEEKDAY(TODAY(),2)+1,tbl_chests[datetime],"&lt;"&amp;TODAY()-WEEKDAY(TODAY(),2)+8)))</f>
        <v>0</v>
      </c>
      <c r="AF28" s="36">
        <f ca="1">IF($A28="","",IF(AF$1="","",COUNTIFS(tbl_chests[from],$A28,tbl_chests[legalized],AF$1,tbl_chests[datetime],"&gt;="&amp;TODAY()-WEEKDAY(TODAY(),2)+1,tbl_chests[datetime],"&lt;"&amp;TODAY()-WEEKDAY(TODAY(),2)+8)))</f>
        <v>0</v>
      </c>
      <c r="AG28" s="36">
        <f ca="1">IF($A28="","",IF(AG$1="","",COUNTIFS(tbl_chests[from],$A28,tbl_chests[legalized],AG$1,tbl_chests[datetime],"&gt;="&amp;TODAY()-WEEKDAY(TODAY(),2)+1,tbl_chests[datetime],"&lt;"&amp;TODAY()-WEEKDAY(TODAY(),2)+8)))</f>
        <v>0</v>
      </c>
      <c r="AH28" s="36">
        <f ca="1">IF($A28="","",IF(AH$1="","",COUNTIFS(tbl_chests[from],$A28,tbl_chests[legalized],AH$1,tbl_chests[datetime],"&gt;="&amp;TODAY()-WEEKDAY(TODAY(),2)+1,tbl_chests[datetime],"&lt;"&amp;TODAY()-WEEKDAY(TODAY(),2)+8)))</f>
        <v>0</v>
      </c>
      <c r="AI28" s="36">
        <f ca="1">IF($A28="","",IF(AI$1="","",COUNTIFS(tbl_chests[from],$A28,tbl_chests[legalized],AI$1,tbl_chests[datetime],"&gt;="&amp;TODAY()-WEEKDAY(TODAY(),2)+1,tbl_chests[datetime],"&lt;"&amp;TODAY()-WEEKDAY(TODAY(),2)+8)))</f>
        <v>0</v>
      </c>
      <c r="AJ28" s="36">
        <f ca="1">IF($A28="","",IF(AJ$1="","",COUNTIFS(tbl_chests[from],$A28,tbl_chests[legalized],AJ$1,tbl_chests[datetime],"&gt;="&amp;TODAY()-WEEKDAY(TODAY(),2)+1,tbl_chests[datetime],"&lt;"&amp;TODAY()-WEEKDAY(TODAY(),2)+8)))</f>
        <v>0</v>
      </c>
      <c r="AK28" s="36">
        <f ca="1">IF($A28="","",IF(AK$1="","",COUNTIFS(tbl_chests[from],$A28,tbl_chests[legalized],AK$1,tbl_chests[datetime],"&gt;="&amp;TODAY()-WEEKDAY(TODAY(),2)+1,tbl_chests[datetime],"&lt;"&amp;TODAY()-WEEKDAY(TODAY(),2)+8)))</f>
        <v>0</v>
      </c>
      <c r="AL28" s="36">
        <f ca="1">IF($A28="","",IF(AL$1="","",COUNTIFS(tbl_chests[from],$A28,tbl_chests[legalized],AL$1,tbl_chests[datetime],"&gt;="&amp;TODAY()-WEEKDAY(TODAY(),2)+1,tbl_chests[datetime],"&lt;"&amp;TODAY()-WEEKDAY(TODAY(),2)+8)))</f>
        <v>0</v>
      </c>
      <c r="AM28" s="37">
        <f ca="1">IF($A28="","",IF(AM$1="","",COUNTIFS(tbl_chests[from],$A28,tbl_chests[legalized],AM$1,tbl_chests[datetime],"&gt;="&amp;TODAY()-WEEKDAY(TODAY(),2)+1,tbl_chests[datetime],"&lt;"&amp;TODAY()-WEEKDAY(TODAY(),2)+8)))</f>
        <v>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 ht="15.75" customHeight="1" x14ac:dyDescent="0.25">
      <c r="A29" s="34" t="str">
        <f>chests_counter!$H26</f>
        <v>Megrinad</v>
      </c>
      <c r="B29" s="35" cm="1">
        <f t="array" aca="1" ref="B29" ca="1">IF(A29&lt;&gt;"", SUMPRODUCT(($C$2:$AM$2&lt;&gt;0)*(C29:AM29&lt;&gt;0)*($C$2:$AM$2)*(C29:AM29)), "")</f>
        <v>20</v>
      </c>
      <c r="C29" s="36">
        <f ca="1">IF($A29="","",IF(C$1="","",COUNTIFS(tbl_chests[from],$A29,tbl_chests[legalized],C$1,tbl_chests[datetime],"&gt;="&amp;TODAY()-WEEKDAY(TODAY(),2)+1,tbl_chests[datetime],"&lt;"&amp;TODAY()-WEEKDAY(TODAY(),2)+8)))</f>
        <v>0</v>
      </c>
      <c r="D29" s="36">
        <f ca="1">IF($A29="","",IF(D$1="","",COUNTIFS(tbl_chests[from],$A29,tbl_chests[legalized],D$1,tbl_chests[datetime],"&gt;="&amp;TODAY()-WEEKDAY(TODAY(),2)+1,tbl_chests[datetime],"&lt;"&amp;TODAY()-WEEKDAY(TODAY(),2)+8)))</f>
        <v>1</v>
      </c>
      <c r="E29" s="36">
        <f ca="1">IF($A29="","",IF(E$1="","",COUNTIFS(tbl_chests[from],$A29,tbl_chests[legalized],E$1,tbl_chests[datetime],"&gt;="&amp;TODAY()-WEEKDAY(TODAY(),2)+1,tbl_chests[datetime],"&lt;"&amp;TODAY()-WEEKDAY(TODAY(),2)+8)))</f>
        <v>0</v>
      </c>
      <c r="F29" s="36">
        <f ca="1">IF($A29="","",IF(F$1="","",COUNTIFS(tbl_chests[from],$A29,tbl_chests[legalized],F$1,tbl_chests[datetime],"&gt;="&amp;TODAY()-WEEKDAY(TODAY(),2)+1,tbl_chests[datetime],"&lt;"&amp;TODAY()-WEEKDAY(TODAY(),2)+8)))</f>
        <v>0</v>
      </c>
      <c r="G29" s="36">
        <f ca="1">IF($A29="","",IF(G$1="","",COUNTIFS(tbl_chests[from],$A29,tbl_chests[legalized],G$1,tbl_chests[datetime],"&gt;="&amp;TODAY()-WEEKDAY(TODAY(),2)+1,tbl_chests[datetime],"&lt;"&amp;TODAY()-WEEKDAY(TODAY(),2)+8)))</f>
        <v>0</v>
      </c>
      <c r="H29" s="36">
        <f ca="1">IF($A29="","",IF(H$1="","",COUNTIFS(tbl_chests[from],$A29,tbl_chests[legalized],H$1,tbl_chests[datetime],"&gt;="&amp;TODAY()-WEEKDAY(TODAY(),2)+1,tbl_chests[datetime],"&lt;"&amp;TODAY()-WEEKDAY(TODAY(),2)+8)))</f>
        <v>0</v>
      </c>
      <c r="I29" s="36">
        <f ca="1">IF($A29="","",IF(I$1="","",COUNTIFS(tbl_chests[from],$A29,tbl_chests[legalized],I$1,tbl_chests[datetime],"&gt;="&amp;TODAY()-WEEKDAY(TODAY(),2)+1,tbl_chests[datetime],"&lt;"&amp;TODAY()-WEEKDAY(TODAY(),2)+8)))</f>
        <v>0</v>
      </c>
      <c r="J29" s="36">
        <f ca="1">IF($A29="","",IF(J$1="","",COUNTIFS(tbl_chests[from],$A29,tbl_chests[legalized],J$1,tbl_chests[datetime],"&gt;="&amp;TODAY()-WEEKDAY(TODAY(),2)+1,tbl_chests[datetime],"&lt;"&amp;TODAY()-WEEKDAY(TODAY(),2)+8)))</f>
        <v>0</v>
      </c>
      <c r="K29" s="36">
        <f ca="1">IF($A29="","",IF(K$1="","",COUNTIFS(tbl_chests[from],$A29,tbl_chests[legalized],K$1,tbl_chests[datetime],"&gt;="&amp;TODAY()-WEEKDAY(TODAY(),2)+1,tbl_chests[datetime],"&lt;"&amp;TODAY()-WEEKDAY(TODAY(),2)+8)))</f>
        <v>0</v>
      </c>
      <c r="L29" s="36">
        <f ca="1">IF($A29="","",IF(L$1="","",COUNTIFS(tbl_chests[from],$A29,tbl_chests[legalized],L$1,tbl_chests[datetime],"&gt;="&amp;TODAY()-WEEKDAY(TODAY(),2)+1,tbl_chests[datetime],"&lt;"&amp;TODAY()-WEEKDAY(TODAY(),2)+8)))</f>
        <v>0</v>
      </c>
      <c r="M29" s="36">
        <f ca="1">IF($A29="","",IF(M$1="","",COUNTIFS(tbl_chests[from],$A29,tbl_chests[legalized],M$1,tbl_chests[datetime],"&gt;="&amp;TODAY()-WEEKDAY(TODAY(),2)+1,tbl_chests[datetime],"&lt;"&amp;TODAY()-WEEKDAY(TODAY(),2)+8)))</f>
        <v>0</v>
      </c>
      <c r="N29" s="36">
        <f ca="1">IF($A29="","",IF(N$1="","",COUNTIFS(tbl_chests[from],$A29,tbl_chests[legalized],N$1,tbl_chests[datetime],"&gt;="&amp;TODAY()-WEEKDAY(TODAY(),2)+1,tbl_chests[datetime],"&lt;"&amp;TODAY()-WEEKDAY(TODAY(),2)+8)))</f>
        <v>0</v>
      </c>
      <c r="O29" s="36">
        <f ca="1">IF($A29="","",IF(O$1="","",COUNTIFS(tbl_chests[from],$A29,tbl_chests[legalized],O$1,tbl_chests[datetime],"&gt;="&amp;TODAY()-WEEKDAY(TODAY(),2)+1,tbl_chests[datetime],"&lt;"&amp;TODAY()-WEEKDAY(TODAY(),2)+8)))</f>
        <v>0</v>
      </c>
      <c r="P29" s="36">
        <f ca="1">IF($A29="","",IF(P$1="","",COUNTIFS(tbl_chests[from],$A29,tbl_chests[legalized],P$1,tbl_chests[datetime],"&gt;="&amp;TODAY()-WEEKDAY(TODAY(),2)+1,tbl_chests[datetime],"&lt;"&amp;TODAY()-WEEKDAY(TODAY(),2)+8)))</f>
        <v>0</v>
      </c>
      <c r="Q29" s="36">
        <f ca="1">IF($A29="","",IF(Q$1="","",COUNTIFS(tbl_chests[from],$A29,tbl_chests[legalized],Q$1,tbl_chests[datetime],"&gt;="&amp;TODAY()-WEEKDAY(TODAY(),2)+1,tbl_chests[datetime],"&lt;"&amp;TODAY()-WEEKDAY(TODAY(),2)+8)))</f>
        <v>0</v>
      </c>
      <c r="R29" s="36">
        <f ca="1">IF($A29="","",IF(R$1="","",COUNTIFS(tbl_chests[from],$A29,tbl_chests[legalized],R$1,tbl_chests[datetime],"&gt;="&amp;TODAY()-WEEKDAY(TODAY(),2)+1,tbl_chests[datetime],"&lt;"&amp;TODAY()-WEEKDAY(TODAY(),2)+8)))</f>
        <v>0</v>
      </c>
      <c r="S29" s="36">
        <f ca="1">IF($A29="","",IF(S$1="","",COUNTIFS(tbl_chests[from],$A29,tbl_chests[legalized],S$1,tbl_chests[datetime],"&gt;="&amp;TODAY()-WEEKDAY(TODAY(),2)+1,tbl_chests[datetime],"&lt;"&amp;TODAY()-WEEKDAY(TODAY(),2)+8)))</f>
        <v>0</v>
      </c>
      <c r="T29" s="36">
        <f ca="1">IF($A29="","",IF(T$1="","",COUNTIFS(tbl_chests[from],$A29,tbl_chests[legalized],T$1,tbl_chests[datetime],"&gt;="&amp;TODAY()-WEEKDAY(TODAY(),2)+1,tbl_chests[datetime],"&lt;"&amp;TODAY()-WEEKDAY(TODAY(),2)+8)))</f>
        <v>0</v>
      </c>
      <c r="U29" s="36">
        <f ca="1">IF($A29="","",IF(U$1="","",COUNTIFS(tbl_chests[from],$A29,tbl_chests[legalized],U$1,tbl_chests[datetime],"&gt;="&amp;TODAY()-WEEKDAY(TODAY(),2)+1,tbl_chests[datetime],"&lt;"&amp;TODAY()-WEEKDAY(TODAY(),2)+8)))</f>
        <v>0</v>
      </c>
      <c r="V29" s="36">
        <f ca="1">IF($A29="","",IF(V$1="","",COUNTIFS(tbl_chests[from],$A29,tbl_chests[legalized],V$1,tbl_chests[datetime],"&gt;="&amp;TODAY()-WEEKDAY(TODAY(),2)+1,tbl_chests[datetime],"&lt;"&amp;TODAY()-WEEKDAY(TODAY(),2)+8)))</f>
        <v>0</v>
      </c>
      <c r="W29" s="36">
        <f ca="1">IF($A29="","",IF(W$1="","",COUNTIFS(tbl_chests[from],$A29,tbl_chests[legalized],W$1,tbl_chests[datetime],"&gt;="&amp;TODAY()-WEEKDAY(TODAY(),2)+1,tbl_chests[datetime],"&lt;"&amp;TODAY()-WEEKDAY(TODAY(),2)+8)))</f>
        <v>0</v>
      </c>
      <c r="X29" s="36">
        <f ca="1">IF($A29="","",IF(X$1="","",COUNTIFS(tbl_chests[from],$A29,tbl_chests[legalized],X$1,tbl_chests[datetime],"&gt;="&amp;TODAY()-WEEKDAY(TODAY(),2)+1,tbl_chests[datetime],"&lt;"&amp;TODAY()-WEEKDAY(TODAY(),2)+8)))</f>
        <v>0</v>
      </c>
      <c r="Y29" s="36">
        <f ca="1">IF($A29="","",IF(Y$1="","",COUNTIFS(tbl_chests[from],$A29,tbl_chests[legalized],Y$1,tbl_chests[datetime],"&gt;="&amp;TODAY()-WEEKDAY(TODAY(),2)+1,tbl_chests[datetime],"&lt;"&amp;TODAY()-WEEKDAY(TODAY(),2)+8)))</f>
        <v>0</v>
      </c>
      <c r="Z29" s="36">
        <f ca="1">IF($A29="","",IF(Z$1="","",COUNTIFS(tbl_chests[from],$A29,tbl_chests[legalized],Z$1,tbl_chests[datetime],"&gt;="&amp;TODAY()-WEEKDAY(TODAY(),2)+1,tbl_chests[datetime],"&lt;"&amp;TODAY()-WEEKDAY(TODAY(),2)+8)))</f>
        <v>0</v>
      </c>
      <c r="AA29" s="36">
        <f ca="1">IF($A29="","",IF(AA$1="","",COUNTIFS(tbl_chests[from],$A29,tbl_chests[legalized],AA$1,tbl_chests[datetime],"&gt;="&amp;TODAY()-WEEKDAY(TODAY(),2)+1,tbl_chests[datetime],"&lt;"&amp;TODAY()-WEEKDAY(TODAY(),2)+8)))</f>
        <v>0</v>
      </c>
      <c r="AB29" s="36">
        <f ca="1">IF($A29="","",IF(AB$1="","",COUNTIFS(tbl_chests[from],$A29,tbl_chests[legalized],AB$1,tbl_chests[datetime],"&gt;="&amp;TODAY()-WEEKDAY(TODAY(),2)+1,tbl_chests[datetime],"&lt;"&amp;TODAY()-WEEKDAY(TODAY(),2)+8)))</f>
        <v>0</v>
      </c>
      <c r="AC29" s="36">
        <f ca="1">IF($A29="","",IF(AC$1="","",COUNTIFS(tbl_chests[from],$A29,tbl_chests[legalized],AC$1,tbl_chests[datetime],"&gt;="&amp;TODAY()-WEEKDAY(TODAY(),2)+1,tbl_chests[datetime],"&lt;"&amp;TODAY()-WEEKDAY(TODAY(),2)+8)))</f>
        <v>0</v>
      </c>
      <c r="AD29" s="36">
        <f ca="1">IF($A29="","",IF(AD$1="","",COUNTIFS(tbl_chests[from],$A29,tbl_chests[legalized],AD$1,tbl_chests[datetime],"&gt;="&amp;TODAY()-WEEKDAY(TODAY(),2)+1,tbl_chests[datetime],"&lt;"&amp;TODAY()-WEEKDAY(TODAY(),2)+8)))</f>
        <v>0</v>
      </c>
      <c r="AE29" s="36">
        <f ca="1">IF($A29="","",IF(AE$1="","",COUNTIFS(tbl_chests[from],$A29,tbl_chests[legalized],AE$1,tbl_chests[datetime],"&gt;="&amp;TODAY()-WEEKDAY(TODAY(),2)+1,tbl_chests[datetime],"&lt;"&amp;TODAY()-WEEKDAY(TODAY(),2)+8)))</f>
        <v>0</v>
      </c>
      <c r="AF29" s="36">
        <f ca="1">IF($A29="","",IF(AF$1="","",COUNTIFS(tbl_chests[from],$A29,tbl_chests[legalized],AF$1,tbl_chests[datetime],"&gt;="&amp;TODAY()-WEEKDAY(TODAY(),2)+1,tbl_chests[datetime],"&lt;"&amp;TODAY()-WEEKDAY(TODAY(),2)+8)))</f>
        <v>0</v>
      </c>
      <c r="AG29" s="36">
        <f ca="1">IF($A29="","",IF(AG$1="","",COUNTIFS(tbl_chests[from],$A29,tbl_chests[legalized],AG$1,tbl_chests[datetime],"&gt;="&amp;TODAY()-WEEKDAY(TODAY(),2)+1,tbl_chests[datetime],"&lt;"&amp;TODAY()-WEEKDAY(TODAY(),2)+8)))</f>
        <v>0</v>
      </c>
      <c r="AH29" s="36">
        <f ca="1">IF($A29="","",IF(AH$1="","",COUNTIFS(tbl_chests[from],$A29,tbl_chests[legalized],AH$1,tbl_chests[datetime],"&gt;="&amp;TODAY()-WEEKDAY(TODAY(),2)+1,tbl_chests[datetime],"&lt;"&amp;TODAY()-WEEKDAY(TODAY(),2)+8)))</f>
        <v>0</v>
      </c>
      <c r="AI29" s="36">
        <f ca="1">IF($A29="","",IF(AI$1="","",COUNTIFS(tbl_chests[from],$A29,tbl_chests[legalized],AI$1,tbl_chests[datetime],"&gt;="&amp;TODAY()-WEEKDAY(TODAY(),2)+1,tbl_chests[datetime],"&lt;"&amp;TODAY()-WEEKDAY(TODAY(),2)+8)))</f>
        <v>0</v>
      </c>
      <c r="AJ29" s="36">
        <f ca="1">IF($A29="","",IF(AJ$1="","",COUNTIFS(tbl_chests[from],$A29,tbl_chests[legalized],AJ$1,tbl_chests[datetime],"&gt;="&amp;TODAY()-WEEKDAY(TODAY(),2)+1,tbl_chests[datetime],"&lt;"&amp;TODAY()-WEEKDAY(TODAY(),2)+8)))</f>
        <v>0</v>
      </c>
      <c r="AK29" s="36">
        <f ca="1">IF($A29="","",IF(AK$1="","",COUNTIFS(tbl_chests[from],$A29,tbl_chests[legalized],AK$1,tbl_chests[datetime],"&gt;="&amp;TODAY()-WEEKDAY(TODAY(),2)+1,tbl_chests[datetime],"&lt;"&amp;TODAY()-WEEKDAY(TODAY(),2)+8)))</f>
        <v>0</v>
      </c>
      <c r="AL29" s="36">
        <f ca="1">IF($A29="","",IF(AL$1="","",COUNTIFS(tbl_chests[from],$A29,tbl_chests[legalized],AL$1,tbl_chests[datetime],"&gt;="&amp;TODAY()-WEEKDAY(TODAY(),2)+1,tbl_chests[datetime],"&lt;"&amp;TODAY()-WEEKDAY(TODAY(),2)+8)))</f>
        <v>0</v>
      </c>
      <c r="AM29" s="37">
        <f ca="1">IF($A29="","",IF(AM$1="","",COUNTIFS(tbl_chests[from],$A29,tbl_chests[legalized],AM$1,tbl_chests[datetime],"&gt;="&amp;TODAY()-WEEKDAY(TODAY(),2)+1,tbl_chests[datetime],"&lt;"&amp;TODAY()-WEEKDAY(TODAY(),2)+8)))</f>
        <v>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 ht="15.75" customHeight="1" x14ac:dyDescent="0.25">
      <c r="A30" s="34" t="str">
        <f>chests_counter!$H27</f>
        <v>MindraNivera</v>
      </c>
      <c r="B30" s="35" cm="1">
        <f t="array" aca="1" ref="B30" ca="1">IF(A30&lt;&gt;"", SUMPRODUCT(($C$2:$AM$2&lt;&gt;0)*(C30:AM30&lt;&gt;0)*($C$2:$AM$2)*(C30:AM30)), "")</f>
        <v>350</v>
      </c>
      <c r="C30" s="36">
        <f ca="1">IF($A30="","",IF(C$1="","",COUNTIFS(tbl_chests[from],$A30,tbl_chests[legalized],C$1,tbl_chests[datetime],"&gt;="&amp;TODAY()-WEEKDAY(TODAY(),2)+1,tbl_chests[datetime],"&lt;"&amp;TODAY()-WEEKDAY(TODAY(),2)+8)))</f>
        <v>23</v>
      </c>
      <c r="D30" s="36">
        <f ca="1">IF($A30="","",IF(D$1="","",COUNTIFS(tbl_chests[from],$A30,tbl_chests[legalized],D$1,tbl_chests[datetime],"&gt;="&amp;TODAY()-WEEKDAY(TODAY(),2)+1,tbl_chests[datetime],"&lt;"&amp;TODAY()-WEEKDAY(TODAY(),2)+8)))</f>
        <v>6</v>
      </c>
      <c r="E30" s="36">
        <f ca="1">IF($A30="","",IF(E$1="","",COUNTIFS(tbl_chests[from],$A30,tbl_chests[legalized],E$1,tbl_chests[datetime],"&gt;="&amp;TODAY()-WEEKDAY(TODAY(),2)+1,tbl_chests[datetime],"&lt;"&amp;TODAY()-WEEKDAY(TODAY(),2)+8)))</f>
        <v>0</v>
      </c>
      <c r="F30" s="36">
        <f ca="1">IF($A30="","",IF(F$1="","",COUNTIFS(tbl_chests[from],$A30,tbl_chests[legalized],F$1,tbl_chests[datetime],"&gt;="&amp;TODAY()-WEEKDAY(TODAY(),2)+1,tbl_chests[datetime],"&lt;"&amp;TODAY()-WEEKDAY(TODAY(),2)+8)))</f>
        <v>0</v>
      </c>
      <c r="G30" s="36">
        <f ca="1">IF($A30="","",IF(G$1="","",COUNTIFS(tbl_chests[from],$A30,tbl_chests[legalized],G$1,tbl_chests[datetime],"&gt;="&amp;TODAY()-WEEKDAY(TODAY(),2)+1,tbl_chests[datetime],"&lt;"&amp;TODAY()-WEEKDAY(TODAY(),2)+8)))</f>
        <v>0</v>
      </c>
      <c r="H30" s="36">
        <f ca="1">IF($A30="","",IF(H$1="","",COUNTIFS(tbl_chests[from],$A30,tbl_chests[legalized],H$1,tbl_chests[datetime],"&gt;="&amp;TODAY()-WEEKDAY(TODAY(),2)+1,tbl_chests[datetime],"&lt;"&amp;TODAY()-WEEKDAY(TODAY(),2)+8)))</f>
        <v>0</v>
      </c>
      <c r="I30" s="36">
        <f ca="1">IF($A30="","",IF(I$1="","",COUNTIFS(tbl_chests[from],$A30,tbl_chests[legalized],I$1,tbl_chests[datetime],"&gt;="&amp;TODAY()-WEEKDAY(TODAY(),2)+1,tbl_chests[datetime],"&lt;"&amp;TODAY()-WEEKDAY(TODAY(),2)+8)))</f>
        <v>0</v>
      </c>
      <c r="J30" s="36">
        <f ca="1">IF($A30="","",IF(J$1="","",COUNTIFS(tbl_chests[from],$A30,tbl_chests[legalized],J$1,tbl_chests[datetime],"&gt;="&amp;TODAY()-WEEKDAY(TODAY(),2)+1,tbl_chests[datetime],"&lt;"&amp;TODAY()-WEEKDAY(TODAY(),2)+8)))</f>
        <v>0</v>
      </c>
      <c r="K30" s="36">
        <f ca="1">IF($A30="","",IF(K$1="","",COUNTIFS(tbl_chests[from],$A30,tbl_chests[legalized],K$1,tbl_chests[datetime],"&gt;="&amp;TODAY()-WEEKDAY(TODAY(),2)+1,tbl_chests[datetime],"&lt;"&amp;TODAY()-WEEKDAY(TODAY(),2)+8)))</f>
        <v>0</v>
      </c>
      <c r="L30" s="36">
        <f ca="1">IF($A30="","",IF(L$1="","",COUNTIFS(tbl_chests[from],$A30,tbl_chests[legalized],L$1,tbl_chests[datetime],"&gt;="&amp;TODAY()-WEEKDAY(TODAY(),2)+1,tbl_chests[datetime],"&lt;"&amp;TODAY()-WEEKDAY(TODAY(),2)+8)))</f>
        <v>0</v>
      </c>
      <c r="M30" s="36">
        <f ca="1">IF($A30="","",IF(M$1="","",COUNTIFS(tbl_chests[from],$A30,tbl_chests[legalized],M$1,tbl_chests[datetime],"&gt;="&amp;TODAY()-WEEKDAY(TODAY(),2)+1,tbl_chests[datetime],"&lt;"&amp;TODAY()-WEEKDAY(TODAY(),2)+8)))</f>
        <v>0</v>
      </c>
      <c r="N30" s="36">
        <f ca="1">IF($A30="","",IF(N$1="","",COUNTIFS(tbl_chests[from],$A30,tbl_chests[legalized],N$1,tbl_chests[datetime],"&gt;="&amp;TODAY()-WEEKDAY(TODAY(),2)+1,tbl_chests[datetime],"&lt;"&amp;TODAY()-WEEKDAY(TODAY(),2)+8)))</f>
        <v>0</v>
      </c>
      <c r="O30" s="36">
        <f ca="1">IF($A30="","",IF(O$1="","",COUNTIFS(tbl_chests[from],$A30,tbl_chests[legalized],O$1,tbl_chests[datetime],"&gt;="&amp;TODAY()-WEEKDAY(TODAY(),2)+1,tbl_chests[datetime],"&lt;"&amp;TODAY()-WEEKDAY(TODAY(),2)+8)))</f>
        <v>0</v>
      </c>
      <c r="P30" s="36">
        <f ca="1">IF($A30="","",IF(P$1="","",COUNTIFS(tbl_chests[from],$A30,tbl_chests[legalized],P$1,tbl_chests[datetime],"&gt;="&amp;TODAY()-WEEKDAY(TODAY(),2)+1,tbl_chests[datetime],"&lt;"&amp;TODAY()-WEEKDAY(TODAY(),2)+8)))</f>
        <v>0</v>
      </c>
      <c r="Q30" s="36">
        <f ca="1">IF($A30="","",IF(Q$1="","",COUNTIFS(tbl_chests[from],$A30,tbl_chests[legalized],Q$1,tbl_chests[datetime],"&gt;="&amp;TODAY()-WEEKDAY(TODAY(),2)+1,tbl_chests[datetime],"&lt;"&amp;TODAY()-WEEKDAY(TODAY(),2)+8)))</f>
        <v>0</v>
      </c>
      <c r="R30" s="36">
        <f ca="1">IF($A30="","",IF(R$1="","",COUNTIFS(tbl_chests[from],$A30,tbl_chests[legalized],R$1,tbl_chests[datetime],"&gt;="&amp;TODAY()-WEEKDAY(TODAY(),2)+1,tbl_chests[datetime],"&lt;"&amp;TODAY()-WEEKDAY(TODAY(),2)+8)))</f>
        <v>0</v>
      </c>
      <c r="S30" s="36">
        <f ca="1">IF($A30="","",IF(S$1="","",COUNTIFS(tbl_chests[from],$A30,tbl_chests[legalized],S$1,tbl_chests[datetime],"&gt;="&amp;TODAY()-WEEKDAY(TODAY(),2)+1,tbl_chests[datetime],"&lt;"&amp;TODAY()-WEEKDAY(TODAY(),2)+8)))</f>
        <v>0</v>
      </c>
      <c r="T30" s="36">
        <f ca="1">IF($A30="","",IF(T$1="","",COUNTIFS(tbl_chests[from],$A30,tbl_chests[legalized],T$1,tbl_chests[datetime],"&gt;="&amp;TODAY()-WEEKDAY(TODAY(),2)+1,tbl_chests[datetime],"&lt;"&amp;TODAY()-WEEKDAY(TODAY(),2)+8)))</f>
        <v>0</v>
      </c>
      <c r="U30" s="36">
        <f ca="1">IF($A30="","",IF(U$1="","",COUNTIFS(tbl_chests[from],$A30,tbl_chests[legalized],U$1,tbl_chests[datetime],"&gt;="&amp;TODAY()-WEEKDAY(TODAY(),2)+1,tbl_chests[datetime],"&lt;"&amp;TODAY()-WEEKDAY(TODAY(),2)+8)))</f>
        <v>0</v>
      </c>
      <c r="V30" s="36">
        <f ca="1">IF($A30="","",IF(V$1="","",COUNTIFS(tbl_chests[from],$A30,tbl_chests[legalized],V$1,tbl_chests[datetime],"&gt;="&amp;TODAY()-WEEKDAY(TODAY(),2)+1,tbl_chests[datetime],"&lt;"&amp;TODAY()-WEEKDAY(TODAY(),2)+8)))</f>
        <v>0</v>
      </c>
      <c r="W30" s="36">
        <f ca="1">IF($A30="","",IF(W$1="","",COUNTIFS(tbl_chests[from],$A30,tbl_chests[legalized],W$1,tbl_chests[datetime],"&gt;="&amp;TODAY()-WEEKDAY(TODAY(),2)+1,tbl_chests[datetime],"&lt;"&amp;TODAY()-WEEKDAY(TODAY(),2)+8)))</f>
        <v>0</v>
      </c>
      <c r="X30" s="36">
        <f ca="1">IF($A30="","",IF(X$1="","",COUNTIFS(tbl_chests[from],$A30,tbl_chests[legalized],X$1,tbl_chests[datetime],"&gt;="&amp;TODAY()-WEEKDAY(TODAY(),2)+1,tbl_chests[datetime],"&lt;"&amp;TODAY()-WEEKDAY(TODAY(),2)+8)))</f>
        <v>0</v>
      </c>
      <c r="Y30" s="36">
        <f ca="1">IF($A30="","",IF(Y$1="","",COUNTIFS(tbl_chests[from],$A30,tbl_chests[legalized],Y$1,tbl_chests[datetime],"&gt;="&amp;TODAY()-WEEKDAY(TODAY(),2)+1,tbl_chests[datetime],"&lt;"&amp;TODAY()-WEEKDAY(TODAY(),2)+8)))</f>
        <v>0</v>
      </c>
      <c r="Z30" s="36">
        <f ca="1">IF($A30="","",IF(Z$1="","",COUNTIFS(tbl_chests[from],$A30,tbl_chests[legalized],Z$1,tbl_chests[datetime],"&gt;="&amp;TODAY()-WEEKDAY(TODAY(),2)+1,tbl_chests[datetime],"&lt;"&amp;TODAY()-WEEKDAY(TODAY(),2)+8)))</f>
        <v>0</v>
      </c>
      <c r="AA30" s="36">
        <f ca="1">IF($A30="","",IF(AA$1="","",COUNTIFS(tbl_chests[from],$A30,tbl_chests[legalized],AA$1,tbl_chests[datetime],"&gt;="&amp;TODAY()-WEEKDAY(TODAY(),2)+1,tbl_chests[datetime],"&lt;"&amp;TODAY()-WEEKDAY(TODAY(),2)+8)))</f>
        <v>0</v>
      </c>
      <c r="AB30" s="36">
        <f ca="1">IF($A30="","",IF(AB$1="","",COUNTIFS(tbl_chests[from],$A30,tbl_chests[legalized],AB$1,tbl_chests[datetime],"&gt;="&amp;TODAY()-WEEKDAY(TODAY(),2)+1,tbl_chests[datetime],"&lt;"&amp;TODAY()-WEEKDAY(TODAY(),2)+8)))</f>
        <v>0</v>
      </c>
      <c r="AC30" s="36">
        <f ca="1">IF($A30="","",IF(AC$1="","",COUNTIFS(tbl_chests[from],$A30,tbl_chests[legalized],AC$1,tbl_chests[datetime],"&gt;="&amp;TODAY()-WEEKDAY(TODAY(),2)+1,tbl_chests[datetime],"&lt;"&amp;TODAY()-WEEKDAY(TODAY(),2)+8)))</f>
        <v>0</v>
      </c>
      <c r="AD30" s="36">
        <f ca="1">IF($A30="","",IF(AD$1="","",COUNTIFS(tbl_chests[from],$A30,tbl_chests[legalized],AD$1,tbl_chests[datetime],"&gt;="&amp;TODAY()-WEEKDAY(TODAY(),2)+1,tbl_chests[datetime],"&lt;"&amp;TODAY()-WEEKDAY(TODAY(),2)+8)))</f>
        <v>0</v>
      </c>
      <c r="AE30" s="36">
        <f ca="1">IF($A30="","",IF(AE$1="","",COUNTIFS(tbl_chests[from],$A30,tbl_chests[legalized],AE$1,tbl_chests[datetime],"&gt;="&amp;TODAY()-WEEKDAY(TODAY(),2)+1,tbl_chests[datetime],"&lt;"&amp;TODAY()-WEEKDAY(TODAY(),2)+8)))</f>
        <v>0</v>
      </c>
      <c r="AF30" s="36">
        <f ca="1">IF($A30="","",IF(AF$1="","",COUNTIFS(tbl_chests[from],$A30,tbl_chests[legalized],AF$1,tbl_chests[datetime],"&gt;="&amp;TODAY()-WEEKDAY(TODAY(),2)+1,tbl_chests[datetime],"&lt;"&amp;TODAY()-WEEKDAY(TODAY(),2)+8)))</f>
        <v>0</v>
      </c>
      <c r="AG30" s="36">
        <f ca="1">IF($A30="","",IF(AG$1="","",COUNTIFS(tbl_chests[from],$A30,tbl_chests[legalized],AG$1,tbl_chests[datetime],"&gt;="&amp;TODAY()-WEEKDAY(TODAY(),2)+1,tbl_chests[datetime],"&lt;"&amp;TODAY()-WEEKDAY(TODAY(),2)+8)))</f>
        <v>0</v>
      </c>
      <c r="AH30" s="36">
        <f ca="1">IF($A30="","",IF(AH$1="","",COUNTIFS(tbl_chests[from],$A30,tbl_chests[legalized],AH$1,tbl_chests[datetime],"&gt;="&amp;TODAY()-WEEKDAY(TODAY(),2)+1,tbl_chests[datetime],"&lt;"&amp;TODAY()-WEEKDAY(TODAY(),2)+8)))</f>
        <v>0</v>
      </c>
      <c r="AI30" s="36">
        <f ca="1">IF($A30="","",IF(AI$1="","",COUNTIFS(tbl_chests[from],$A30,tbl_chests[legalized],AI$1,tbl_chests[datetime],"&gt;="&amp;TODAY()-WEEKDAY(TODAY(),2)+1,tbl_chests[datetime],"&lt;"&amp;TODAY()-WEEKDAY(TODAY(),2)+8)))</f>
        <v>0</v>
      </c>
      <c r="AJ30" s="36">
        <f ca="1">IF($A30="","",IF(AJ$1="","",COUNTIFS(tbl_chests[from],$A30,tbl_chests[legalized],AJ$1,tbl_chests[datetime],"&gt;="&amp;TODAY()-WEEKDAY(TODAY(),2)+1,tbl_chests[datetime],"&lt;"&amp;TODAY()-WEEKDAY(TODAY(),2)+8)))</f>
        <v>0</v>
      </c>
      <c r="AK30" s="36">
        <f ca="1">IF($A30="","",IF(AK$1="","",COUNTIFS(tbl_chests[from],$A30,tbl_chests[legalized],AK$1,tbl_chests[datetime],"&gt;="&amp;TODAY()-WEEKDAY(TODAY(),2)+1,tbl_chests[datetime],"&lt;"&amp;TODAY()-WEEKDAY(TODAY(),2)+8)))</f>
        <v>0</v>
      </c>
      <c r="AL30" s="36">
        <f ca="1">IF($A30="","",IF(AL$1="","",COUNTIFS(tbl_chests[from],$A30,tbl_chests[legalized],AL$1,tbl_chests[datetime],"&gt;="&amp;TODAY()-WEEKDAY(TODAY(),2)+1,tbl_chests[datetime],"&lt;"&amp;TODAY()-WEEKDAY(TODAY(),2)+8)))</f>
        <v>0</v>
      </c>
      <c r="AM30" s="37">
        <f ca="1">IF($A30="","",IF(AM$1="","",COUNTIFS(tbl_chests[from],$A30,tbl_chests[legalized],AM$1,tbl_chests[datetime],"&gt;="&amp;TODAY()-WEEKDAY(TODAY(),2)+1,tbl_chests[datetime],"&lt;"&amp;TODAY()-WEEKDAY(TODAY(),2)+8)))</f>
        <v>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 ht="15.75" customHeight="1" x14ac:dyDescent="0.25">
      <c r="A31" s="34" t="str">
        <f>chests_counter!$H28</f>
        <v>Nettle</v>
      </c>
      <c r="B31" s="35" cm="1">
        <f t="array" aca="1" ref="B31" ca="1">IF(A31&lt;&gt;"", SUMPRODUCT(($C$2:$AM$2&lt;&gt;0)*(C31:AM31&lt;&gt;0)*($C$2:$AM$2)*(C31:AM31)), "")</f>
        <v>495</v>
      </c>
      <c r="C31" s="36">
        <f ca="1">IF($A31="","",IF(C$1="","",COUNTIFS(tbl_chests[from],$A31,tbl_chests[legalized],C$1,tbl_chests[datetime],"&gt;="&amp;TODAY()-WEEKDAY(TODAY(),2)+1,tbl_chests[datetime],"&lt;"&amp;TODAY()-WEEKDAY(TODAY(),2)+8)))</f>
        <v>0</v>
      </c>
      <c r="D31" s="36">
        <f ca="1">IF($A31="","",IF(D$1="","",COUNTIFS(tbl_chests[from],$A31,tbl_chests[legalized],D$1,tbl_chests[datetime],"&gt;="&amp;TODAY()-WEEKDAY(TODAY(),2)+1,tbl_chests[datetime],"&lt;"&amp;TODAY()-WEEKDAY(TODAY(),2)+8)))</f>
        <v>0</v>
      </c>
      <c r="E31" s="36">
        <f ca="1">IF($A31="","",IF(E$1="","",COUNTIFS(tbl_chests[from],$A31,tbl_chests[legalized],E$1,tbl_chests[datetime],"&gt;="&amp;TODAY()-WEEKDAY(TODAY(),2)+1,tbl_chests[datetime],"&lt;"&amp;TODAY()-WEEKDAY(TODAY(),2)+8)))</f>
        <v>1</v>
      </c>
      <c r="F31" s="36">
        <f ca="1">IF($A31="","",IF(F$1="","",COUNTIFS(tbl_chests[from],$A31,tbl_chests[legalized],F$1,tbl_chests[datetime],"&gt;="&amp;TODAY()-WEEKDAY(TODAY(),2)+1,tbl_chests[datetime],"&lt;"&amp;TODAY()-WEEKDAY(TODAY(),2)+8)))</f>
        <v>0</v>
      </c>
      <c r="G31" s="36">
        <f ca="1">IF($A31="","",IF(G$1="","",COUNTIFS(tbl_chests[from],$A31,tbl_chests[legalized],G$1,tbl_chests[datetime],"&gt;="&amp;TODAY()-WEEKDAY(TODAY(),2)+1,tbl_chests[datetime],"&lt;"&amp;TODAY()-WEEKDAY(TODAY(),2)+8)))</f>
        <v>0</v>
      </c>
      <c r="H31" s="36">
        <f ca="1">IF($A31="","",IF(H$1="","",COUNTIFS(tbl_chests[from],$A31,tbl_chests[legalized],H$1,tbl_chests[datetime],"&gt;="&amp;TODAY()-WEEKDAY(TODAY(),2)+1,tbl_chests[datetime],"&lt;"&amp;TODAY()-WEEKDAY(TODAY(),2)+8)))</f>
        <v>0</v>
      </c>
      <c r="I31" s="36">
        <f ca="1">IF($A31="","",IF(I$1="","",COUNTIFS(tbl_chests[from],$A31,tbl_chests[legalized],I$1,tbl_chests[datetime],"&gt;="&amp;TODAY()-WEEKDAY(TODAY(),2)+1,tbl_chests[datetime],"&lt;"&amp;TODAY()-WEEKDAY(TODAY(),2)+8)))</f>
        <v>0</v>
      </c>
      <c r="J31" s="36">
        <f ca="1">IF($A31="","",IF(J$1="","",COUNTIFS(tbl_chests[from],$A31,tbl_chests[legalized],J$1,tbl_chests[datetime],"&gt;="&amp;TODAY()-WEEKDAY(TODAY(),2)+1,tbl_chests[datetime],"&lt;"&amp;TODAY()-WEEKDAY(TODAY(),2)+8)))</f>
        <v>0</v>
      </c>
      <c r="K31" s="36">
        <f ca="1">IF($A31="","",IF(K$1="","",COUNTIFS(tbl_chests[from],$A31,tbl_chests[legalized],K$1,tbl_chests[datetime],"&gt;="&amp;TODAY()-WEEKDAY(TODAY(),2)+1,tbl_chests[datetime],"&lt;"&amp;TODAY()-WEEKDAY(TODAY(),2)+8)))</f>
        <v>0</v>
      </c>
      <c r="L31" s="36">
        <f ca="1">IF($A31="","",IF(L$1="","",COUNTIFS(tbl_chests[from],$A31,tbl_chests[legalized],L$1,tbl_chests[datetime],"&gt;="&amp;TODAY()-WEEKDAY(TODAY(),2)+1,tbl_chests[datetime],"&lt;"&amp;TODAY()-WEEKDAY(TODAY(),2)+8)))</f>
        <v>0</v>
      </c>
      <c r="M31" s="36">
        <f ca="1">IF($A31="","",IF(M$1="","",COUNTIFS(tbl_chests[from],$A31,tbl_chests[legalized],M$1,tbl_chests[datetime],"&gt;="&amp;TODAY()-WEEKDAY(TODAY(),2)+1,tbl_chests[datetime],"&lt;"&amp;TODAY()-WEEKDAY(TODAY(),2)+8)))</f>
        <v>7</v>
      </c>
      <c r="N31" s="36">
        <f ca="1">IF($A31="","",IF(N$1="","",COUNTIFS(tbl_chests[from],$A31,tbl_chests[legalized],N$1,tbl_chests[datetime],"&gt;="&amp;TODAY()-WEEKDAY(TODAY(),2)+1,tbl_chests[datetime],"&lt;"&amp;TODAY()-WEEKDAY(TODAY(),2)+8)))</f>
        <v>0</v>
      </c>
      <c r="O31" s="36">
        <f ca="1">IF($A31="","",IF(O$1="","",COUNTIFS(tbl_chests[from],$A31,tbl_chests[legalized],O$1,tbl_chests[datetime],"&gt;="&amp;TODAY()-WEEKDAY(TODAY(),2)+1,tbl_chests[datetime],"&lt;"&amp;TODAY()-WEEKDAY(TODAY(),2)+8)))</f>
        <v>0</v>
      </c>
      <c r="P31" s="36">
        <f ca="1">IF($A31="","",IF(P$1="","",COUNTIFS(tbl_chests[from],$A31,tbl_chests[legalized],P$1,tbl_chests[datetime],"&gt;="&amp;TODAY()-WEEKDAY(TODAY(),2)+1,tbl_chests[datetime],"&lt;"&amp;TODAY()-WEEKDAY(TODAY(),2)+8)))</f>
        <v>0</v>
      </c>
      <c r="Q31" s="36">
        <f ca="1">IF($A31="","",IF(Q$1="","",COUNTIFS(tbl_chests[from],$A31,tbl_chests[legalized],Q$1,tbl_chests[datetime],"&gt;="&amp;TODAY()-WEEKDAY(TODAY(),2)+1,tbl_chests[datetime],"&lt;"&amp;TODAY()-WEEKDAY(TODAY(),2)+8)))</f>
        <v>0</v>
      </c>
      <c r="R31" s="36">
        <f ca="1">IF($A31="","",IF(R$1="","",COUNTIFS(tbl_chests[from],$A31,tbl_chests[legalized],R$1,tbl_chests[datetime],"&gt;="&amp;TODAY()-WEEKDAY(TODAY(),2)+1,tbl_chests[datetime],"&lt;"&amp;TODAY()-WEEKDAY(TODAY(),2)+8)))</f>
        <v>0</v>
      </c>
      <c r="S31" s="36">
        <f ca="1">IF($A31="","",IF(S$1="","",COUNTIFS(tbl_chests[from],$A31,tbl_chests[legalized],S$1,tbl_chests[datetime],"&gt;="&amp;TODAY()-WEEKDAY(TODAY(),2)+1,tbl_chests[datetime],"&lt;"&amp;TODAY()-WEEKDAY(TODAY(),2)+8)))</f>
        <v>0</v>
      </c>
      <c r="T31" s="36">
        <f ca="1">IF($A31="","",IF(T$1="","",COUNTIFS(tbl_chests[from],$A31,tbl_chests[legalized],T$1,tbl_chests[datetime],"&gt;="&amp;TODAY()-WEEKDAY(TODAY(),2)+1,tbl_chests[datetime],"&lt;"&amp;TODAY()-WEEKDAY(TODAY(),2)+8)))</f>
        <v>0</v>
      </c>
      <c r="U31" s="36">
        <f ca="1">IF($A31="","",IF(U$1="","",COUNTIFS(tbl_chests[from],$A31,tbl_chests[legalized],U$1,tbl_chests[datetime],"&gt;="&amp;TODAY()-WEEKDAY(TODAY(),2)+1,tbl_chests[datetime],"&lt;"&amp;TODAY()-WEEKDAY(TODAY(),2)+8)))</f>
        <v>0</v>
      </c>
      <c r="V31" s="36">
        <f ca="1">IF($A31="","",IF(V$1="","",COUNTIFS(tbl_chests[from],$A31,tbl_chests[legalized],V$1,tbl_chests[datetime],"&gt;="&amp;TODAY()-WEEKDAY(TODAY(),2)+1,tbl_chests[datetime],"&lt;"&amp;TODAY()-WEEKDAY(TODAY(),2)+8)))</f>
        <v>0</v>
      </c>
      <c r="W31" s="36">
        <f ca="1">IF($A31="","",IF(W$1="","",COUNTIFS(tbl_chests[from],$A31,tbl_chests[legalized],W$1,tbl_chests[datetime],"&gt;="&amp;TODAY()-WEEKDAY(TODAY(),2)+1,tbl_chests[datetime],"&lt;"&amp;TODAY()-WEEKDAY(TODAY(),2)+8)))</f>
        <v>0</v>
      </c>
      <c r="X31" s="36">
        <f ca="1">IF($A31="","",IF(X$1="","",COUNTIFS(tbl_chests[from],$A31,tbl_chests[legalized],X$1,tbl_chests[datetime],"&gt;="&amp;TODAY()-WEEKDAY(TODAY(),2)+1,tbl_chests[datetime],"&lt;"&amp;TODAY()-WEEKDAY(TODAY(),2)+8)))</f>
        <v>0</v>
      </c>
      <c r="Y31" s="36">
        <f ca="1">IF($A31="","",IF(Y$1="","",COUNTIFS(tbl_chests[from],$A31,tbl_chests[legalized],Y$1,tbl_chests[datetime],"&gt;="&amp;TODAY()-WEEKDAY(TODAY(),2)+1,tbl_chests[datetime],"&lt;"&amp;TODAY()-WEEKDAY(TODAY(),2)+8)))</f>
        <v>0</v>
      </c>
      <c r="Z31" s="36">
        <f ca="1">IF($A31="","",IF(Z$1="","",COUNTIFS(tbl_chests[from],$A31,tbl_chests[legalized],Z$1,tbl_chests[datetime],"&gt;="&amp;TODAY()-WEEKDAY(TODAY(),2)+1,tbl_chests[datetime],"&lt;"&amp;TODAY()-WEEKDAY(TODAY(),2)+8)))</f>
        <v>0</v>
      </c>
      <c r="AA31" s="36">
        <f ca="1">IF($A31="","",IF(AA$1="","",COUNTIFS(tbl_chests[from],$A31,tbl_chests[legalized],AA$1,tbl_chests[datetime],"&gt;="&amp;TODAY()-WEEKDAY(TODAY(),2)+1,tbl_chests[datetime],"&lt;"&amp;TODAY()-WEEKDAY(TODAY(),2)+8)))</f>
        <v>6</v>
      </c>
      <c r="AB31" s="36">
        <f ca="1">IF($A31="","",IF(AB$1="","",COUNTIFS(tbl_chests[from],$A31,tbl_chests[legalized],AB$1,tbl_chests[datetime],"&gt;="&amp;TODAY()-WEEKDAY(TODAY(),2)+1,tbl_chests[datetime],"&lt;"&amp;TODAY()-WEEKDAY(TODAY(),2)+8)))</f>
        <v>0</v>
      </c>
      <c r="AC31" s="36">
        <f ca="1">IF($A31="","",IF(AC$1="","",COUNTIFS(tbl_chests[from],$A31,tbl_chests[legalized],AC$1,tbl_chests[datetime],"&gt;="&amp;TODAY()-WEEKDAY(TODAY(),2)+1,tbl_chests[datetime],"&lt;"&amp;TODAY()-WEEKDAY(TODAY(),2)+8)))</f>
        <v>0</v>
      </c>
      <c r="AD31" s="36">
        <f ca="1">IF($A31="","",IF(AD$1="","",COUNTIFS(tbl_chests[from],$A31,tbl_chests[legalized],AD$1,tbl_chests[datetime],"&gt;="&amp;TODAY()-WEEKDAY(TODAY(),2)+1,tbl_chests[datetime],"&lt;"&amp;TODAY()-WEEKDAY(TODAY(),2)+8)))</f>
        <v>0</v>
      </c>
      <c r="AE31" s="36">
        <f ca="1">IF($A31="","",IF(AE$1="","",COUNTIFS(tbl_chests[from],$A31,tbl_chests[legalized],AE$1,tbl_chests[datetime],"&gt;="&amp;TODAY()-WEEKDAY(TODAY(),2)+1,tbl_chests[datetime],"&lt;"&amp;TODAY()-WEEKDAY(TODAY(),2)+8)))</f>
        <v>3</v>
      </c>
      <c r="AF31" s="36">
        <f ca="1">IF($A31="","",IF(AF$1="","",COUNTIFS(tbl_chests[from],$A31,tbl_chests[legalized],AF$1,tbl_chests[datetime],"&gt;="&amp;TODAY()-WEEKDAY(TODAY(),2)+1,tbl_chests[datetime],"&lt;"&amp;TODAY()-WEEKDAY(TODAY(),2)+8)))</f>
        <v>0</v>
      </c>
      <c r="AG31" s="36">
        <f ca="1">IF($A31="","",IF(AG$1="","",COUNTIFS(tbl_chests[from],$A31,tbl_chests[legalized],AG$1,tbl_chests[datetime],"&gt;="&amp;TODAY()-WEEKDAY(TODAY(),2)+1,tbl_chests[datetime],"&lt;"&amp;TODAY()-WEEKDAY(TODAY(),2)+8)))</f>
        <v>0</v>
      </c>
      <c r="AH31" s="36">
        <f ca="1">IF($A31="","",IF(AH$1="","",COUNTIFS(tbl_chests[from],$A31,tbl_chests[legalized],AH$1,tbl_chests[datetime],"&gt;="&amp;TODAY()-WEEKDAY(TODAY(),2)+1,tbl_chests[datetime],"&lt;"&amp;TODAY()-WEEKDAY(TODAY(),2)+8)))</f>
        <v>0</v>
      </c>
      <c r="AI31" s="36">
        <f ca="1">IF($A31="","",IF(AI$1="","",COUNTIFS(tbl_chests[from],$A31,tbl_chests[legalized],AI$1,tbl_chests[datetime],"&gt;="&amp;TODAY()-WEEKDAY(TODAY(),2)+1,tbl_chests[datetime],"&lt;"&amp;TODAY()-WEEKDAY(TODAY(),2)+8)))</f>
        <v>0</v>
      </c>
      <c r="AJ31" s="36">
        <f ca="1">IF($A31="","",IF(AJ$1="","",COUNTIFS(tbl_chests[from],$A31,tbl_chests[legalized],AJ$1,tbl_chests[datetime],"&gt;="&amp;TODAY()-WEEKDAY(TODAY(),2)+1,tbl_chests[datetime],"&lt;"&amp;TODAY()-WEEKDAY(TODAY(),2)+8)))</f>
        <v>0</v>
      </c>
      <c r="AK31" s="36">
        <f ca="1">IF($A31="","",IF(AK$1="","",COUNTIFS(tbl_chests[from],$A31,tbl_chests[legalized],AK$1,tbl_chests[datetime],"&gt;="&amp;TODAY()-WEEKDAY(TODAY(),2)+1,tbl_chests[datetime],"&lt;"&amp;TODAY()-WEEKDAY(TODAY(),2)+8)))</f>
        <v>0</v>
      </c>
      <c r="AL31" s="36">
        <f ca="1">IF($A31="","",IF(AL$1="","",COUNTIFS(tbl_chests[from],$A31,tbl_chests[legalized],AL$1,tbl_chests[datetime],"&gt;="&amp;TODAY()-WEEKDAY(TODAY(),2)+1,tbl_chests[datetime],"&lt;"&amp;TODAY()-WEEKDAY(TODAY(),2)+8)))</f>
        <v>0</v>
      </c>
      <c r="AM31" s="37">
        <f ca="1">IF($A31="","",IF(AM$1="","",COUNTIFS(tbl_chests[from],$A31,tbl_chests[legalized],AM$1,tbl_chests[datetime],"&gt;="&amp;TODAY()-WEEKDAY(TODAY(),2)+1,tbl_chests[datetime],"&lt;"&amp;TODAY()-WEEKDAY(TODAY(),2)+8)))</f>
        <v>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 ht="15.75" customHeight="1" x14ac:dyDescent="0.25">
      <c r="A32" s="34" t="str">
        <f>chests_counter!$H29</f>
        <v>Pehely</v>
      </c>
      <c r="B32" s="35" cm="1">
        <f t="array" aca="1" ref="B32" ca="1">IF(A32&lt;&gt;"", SUMPRODUCT(($C$2:$AM$2&lt;&gt;0)*(C32:AM32&lt;&gt;0)*($C$2:$AM$2)*(C32:AM32)), "")</f>
        <v>40</v>
      </c>
      <c r="C32" s="36">
        <f ca="1">IF($A32="","",IF(C$1="","",COUNTIFS(tbl_chests[from],$A32,tbl_chests[legalized],C$1,tbl_chests[datetime],"&gt;="&amp;TODAY()-WEEKDAY(TODAY(),2)+1,tbl_chests[datetime],"&lt;"&amp;TODAY()-WEEKDAY(TODAY(),2)+8)))</f>
        <v>0</v>
      </c>
      <c r="D32" s="36">
        <f ca="1">IF($A32="","",IF(D$1="","",COUNTIFS(tbl_chests[from],$A32,tbl_chests[legalized],D$1,tbl_chests[datetime],"&gt;="&amp;TODAY()-WEEKDAY(TODAY(),2)+1,tbl_chests[datetime],"&lt;"&amp;TODAY()-WEEKDAY(TODAY(),2)+8)))</f>
        <v>2</v>
      </c>
      <c r="E32" s="36">
        <f ca="1">IF($A32="","",IF(E$1="","",COUNTIFS(tbl_chests[from],$A32,tbl_chests[legalized],E$1,tbl_chests[datetime],"&gt;="&amp;TODAY()-WEEKDAY(TODAY(),2)+1,tbl_chests[datetime],"&lt;"&amp;TODAY()-WEEKDAY(TODAY(),2)+8)))</f>
        <v>0</v>
      </c>
      <c r="F32" s="36">
        <f ca="1">IF($A32="","",IF(F$1="","",COUNTIFS(tbl_chests[from],$A32,tbl_chests[legalized],F$1,tbl_chests[datetime],"&gt;="&amp;TODAY()-WEEKDAY(TODAY(),2)+1,tbl_chests[datetime],"&lt;"&amp;TODAY()-WEEKDAY(TODAY(),2)+8)))</f>
        <v>0</v>
      </c>
      <c r="G32" s="36">
        <f ca="1">IF($A32="","",IF(G$1="","",COUNTIFS(tbl_chests[from],$A32,tbl_chests[legalized],G$1,tbl_chests[datetime],"&gt;="&amp;TODAY()-WEEKDAY(TODAY(),2)+1,tbl_chests[datetime],"&lt;"&amp;TODAY()-WEEKDAY(TODAY(),2)+8)))</f>
        <v>0</v>
      </c>
      <c r="H32" s="36">
        <f ca="1">IF($A32="","",IF(H$1="","",COUNTIFS(tbl_chests[from],$A32,tbl_chests[legalized],H$1,tbl_chests[datetime],"&gt;="&amp;TODAY()-WEEKDAY(TODAY(),2)+1,tbl_chests[datetime],"&lt;"&amp;TODAY()-WEEKDAY(TODAY(),2)+8)))</f>
        <v>0</v>
      </c>
      <c r="I32" s="36">
        <f ca="1">IF($A32="","",IF(I$1="","",COUNTIFS(tbl_chests[from],$A32,tbl_chests[legalized],I$1,tbl_chests[datetime],"&gt;="&amp;TODAY()-WEEKDAY(TODAY(),2)+1,tbl_chests[datetime],"&lt;"&amp;TODAY()-WEEKDAY(TODAY(),2)+8)))</f>
        <v>0</v>
      </c>
      <c r="J32" s="36">
        <f ca="1">IF($A32="","",IF(J$1="","",COUNTIFS(tbl_chests[from],$A32,tbl_chests[legalized],J$1,tbl_chests[datetime],"&gt;="&amp;TODAY()-WEEKDAY(TODAY(),2)+1,tbl_chests[datetime],"&lt;"&amp;TODAY()-WEEKDAY(TODAY(),2)+8)))</f>
        <v>0</v>
      </c>
      <c r="K32" s="36">
        <f ca="1">IF($A32="","",IF(K$1="","",COUNTIFS(tbl_chests[from],$A32,tbl_chests[legalized],K$1,tbl_chests[datetime],"&gt;="&amp;TODAY()-WEEKDAY(TODAY(),2)+1,tbl_chests[datetime],"&lt;"&amp;TODAY()-WEEKDAY(TODAY(),2)+8)))</f>
        <v>0</v>
      </c>
      <c r="L32" s="36">
        <f ca="1">IF($A32="","",IF(L$1="","",COUNTIFS(tbl_chests[from],$A32,tbl_chests[legalized],L$1,tbl_chests[datetime],"&gt;="&amp;TODAY()-WEEKDAY(TODAY(),2)+1,tbl_chests[datetime],"&lt;"&amp;TODAY()-WEEKDAY(TODAY(),2)+8)))</f>
        <v>0</v>
      </c>
      <c r="M32" s="36">
        <f ca="1">IF($A32="","",IF(M$1="","",COUNTIFS(tbl_chests[from],$A32,tbl_chests[legalized],M$1,tbl_chests[datetime],"&gt;="&amp;TODAY()-WEEKDAY(TODAY(),2)+1,tbl_chests[datetime],"&lt;"&amp;TODAY()-WEEKDAY(TODAY(),2)+8)))</f>
        <v>0</v>
      </c>
      <c r="N32" s="36">
        <f ca="1">IF($A32="","",IF(N$1="","",COUNTIFS(tbl_chests[from],$A32,tbl_chests[legalized],N$1,tbl_chests[datetime],"&gt;="&amp;TODAY()-WEEKDAY(TODAY(),2)+1,tbl_chests[datetime],"&lt;"&amp;TODAY()-WEEKDAY(TODAY(),2)+8)))</f>
        <v>0</v>
      </c>
      <c r="O32" s="36">
        <f ca="1">IF($A32="","",IF(O$1="","",COUNTIFS(tbl_chests[from],$A32,tbl_chests[legalized],O$1,tbl_chests[datetime],"&gt;="&amp;TODAY()-WEEKDAY(TODAY(),2)+1,tbl_chests[datetime],"&lt;"&amp;TODAY()-WEEKDAY(TODAY(),2)+8)))</f>
        <v>0</v>
      </c>
      <c r="P32" s="36">
        <f ca="1">IF($A32="","",IF(P$1="","",COUNTIFS(tbl_chests[from],$A32,tbl_chests[legalized],P$1,tbl_chests[datetime],"&gt;="&amp;TODAY()-WEEKDAY(TODAY(),2)+1,tbl_chests[datetime],"&lt;"&amp;TODAY()-WEEKDAY(TODAY(),2)+8)))</f>
        <v>0</v>
      </c>
      <c r="Q32" s="36">
        <f ca="1">IF($A32="","",IF(Q$1="","",COUNTIFS(tbl_chests[from],$A32,tbl_chests[legalized],Q$1,tbl_chests[datetime],"&gt;="&amp;TODAY()-WEEKDAY(TODAY(),2)+1,tbl_chests[datetime],"&lt;"&amp;TODAY()-WEEKDAY(TODAY(),2)+8)))</f>
        <v>0</v>
      </c>
      <c r="R32" s="36">
        <f ca="1">IF($A32="","",IF(R$1="","",COUNTIFS(tbl_chests[from],$A32,tbl_chests[legalized],R$1,tbl_chests[datetime],"&gt;="&amp;TODAY()-WEEKDAY(TODAY(),2)+1,tbl_chests[datetime],"&lt;"&amp;TODAY()-WEEKDAY(TODAY(),2)+8)))</f>
        <v>0</v>
      </c>
      <c r="S32" s="36">
        <f ca="1">IF($A32="","",IF(S$1="","",COUNTIFS(tbl_chests[from],$A32,tbl_chests[legalized],S$1,tbl_chests[datetime],"&gt;="&amp;TODAY()-WEEKDAY(TODAY(),2)+1,tbl_chests[datetime],"&lt;"&amp;TODAY()-WEEKDAY(TODAY(),2)+8)))</f>
        <v>0</v>
      </c>
      <c r="T32" s="36">
        <f ca="1">IF($A32="","",IF(T$1="","",COUNTIFS(tbl_chests[from],$A32,tbl_chests[legalized],T$1,tbl_chests[datetime],"&gt;="&amp;TODAY()-WEEKDAY(TODAY(),2)+1,tbl_chests[datetime],"&lt;"&amp;TODAY()-WEEKDAY(TODAY(),2)+8)))</f>
        <v>0</v>
      </c>
      <c r="U32" s="36">
        <f ca="1">IF($A32="","",IF(U$1="","",COUNTIFS(tbl_chests[from],$A32,tbl_chests[legalized],U$1,tbl_chests[datetime],"&gt;="&amp;TODAY()-WEEKDAY(TODAY(),2)+1,tbl_chests[datetime],"&lt;"&amp;TODAY()-WEEKDAY(TODAY(),2)+8)))</f>
        <v>0</v>
      </c>
      <c r="V32" s="36">
        <f ca="1">IF($A32="","",IF(V$1="","",COUNTIFS(tbl_chests[from],$A32,tbl_chests[legalized],V$1,tbl_chests[datetime],"&gt;="&amp;TODAY()-WEEKDAY(TODAY(),2)+1,tbl_chests[datetime],"&lt;"&amp;TODAY()-WEEKDAY(TODAY(),2)+8)))</f>
        <v>0</v>
      </c>
      <c r="W32" s="36">
        <f ca="1">IF($A32="","",IF(W$1="","",COUNTIFS(tbl_chests[from],$A32,tbl_chests[legalized],W$1,tbl_chests[datetime],"&gt;="&amp;TODAY()-WEEKDAY(TODAY(),2)+1,tbl_chests[datetime],"&lt;"&amp;TODAY()-WEEKDAY(TODAY(),2)+8)))</f>
        <v>0</v>
      </c>
      <c r="X32" s="36">
        <f ca="1">IF($A32="","",IF(X$1="","",COUNTIFS(tbl_chests[from],$A32,tbl_chests[legalized],X$1,tbl_chests[datetime],"&gt;="&amp;TODAY()-WEEKDAY(TODAY(),2)+1,tbl_chests[datetime],"&lt;"&amp;TODAY()-WEEKDAY(TODAY(),2)+8)))</f>
        <v>0</v>
      </c>
      <c r="Y32" s="36">
        <f ca="1">IF($A32="","",IF(Y$1="","",COUNTIFS(tbl_chests[from],$A32,tbl_chests[legalized],Y$1,tbl_chests[datetime],"&gt;="&amp;TODAY()-WEEKDAY(TODAY(),2)+1,tbl_chests[datetime],"&lt;"&amp;TODAY()-WEEKDAY(TODAY(),2)+8)))</f>
        <v>0</v>
      </c>
      <c r="Z32" s="36">
        <f ca="1">IF($A32="","",IF(Z$1="","",COUNTIFS(tbl_chests[from],$A32,tbl_chests[legalized],Z$1,tbl_chests[datetime],"&gt;="&amp;TODAY()-WEEKDAY(TODAY(),2)+1,tbl_chests[datetime],"&lt;"&amp;TODAY()-WEEKDAY(TODAY(),2)+8)))</f>
        <v>0</v>
      </c>
      <c r="AA32" s="36">
        <f ca="1">IF($A32="","",IF(AA$1="","",COUNTIFS(tbl_chests[from],$A32,tbl_chests[legalized],AA$1,tbl_chests[datetime],"&gt;="&amp;TODAY()-WEEKDAY(TODAY(),2)+1,tbl_chests[datetime],"&lt;"&amp;TODAY()-WEEKDAY(TODAY(),2)+8)))</f>
        <v>0</v>
      </c>
      <c r="AB32" s="36">
        <f ca="1">IF($A32="","",IF(AB$1="","",COUNTIFS(tbl_chests[from],$A32,tbl_chests[legalized],AB$1,tbl_chests[datetime],"&gt;="&amp;TODAY()-WEEKDAY(TODAY(),2)+1,tbl_chests[datetime],"&lt;"&amp;TODAY()-WEEKDAY(TODAY(),2)+8)))</f>
        <v>0</v>
      </c>
      <c r="AC32" s="36">
        <f ca="1">IF($A32="","",IF(AC$1="","",COUNTIFS(tbl_chests[from],$A32,tbl_chests[legalized],AC$1,tbl_chests[datetime],"&gt;="&amp;TODAY()-WEEKDAY(TODAY(),2)+1,tbl_chests[datetime],"&lt;"&amp;TODAY()-WEEKDAY(TODAY(),2)+8)))</f>
        <v>0</v>
      </c>
      <c r="AD32" s="36">
        <f ca="1">IF($A32="","",IF(AD$1="","",COUNTIFS(tbl_chests[from],$A32,tbl_chests[legalized],AD$1,tbl_chests[datetime],"&gt;="&amp;TODAY()-WEEKDAY(TODAY(),2)+1,tbl_chests[datetime],"&lt;"&amp;TODAY()-WEEKDAY(TODAY(),2)+8)))</f>
        <v>0</v>
      </c>
      <c r="AE32" s="36">
        <f ca="1">IF($A32="","",IF(AE$1="","",COUNTIFS(tbl_chests[from],$A32,tbl_chests[legalized],AE$1,tbl_chests[datetime],"&gt;="&amp;TODAY()-WEEKDAY(TODAY(),2)+1,tbl_chests[datetime],"&lt;"&amp;TODAY()-WEEKDAY(TODAY(),2)+8)))</f>
        <v>0</v>
      </c>
      <c r="AF32" s="36">
        <f ca="1">IF($A32="","",IF(AF$1="","",COUNTIFS(tbl_chests[from],$A32,tbl_chests[legalized],AF$1,tbl_chests[datetime],"&gt;="&amp;TODAY()-WEEKDAY(TODAY(),2)+1,tbl_chests[datetime],"&lt;"&amp;TODAY()-WEEKDAY(TODAY(),2)+8)))</f>
        <v>0</v>
      </c>
      <c r="AG32" s="36">
        <f ca="1">IF($A32="","",IF(AG$1="","",COUNTIFS(tbl_chests[from],$A32,tbl_chests[legalized],AG$1,tbl_chests[datetime],"&gt;="&amp;TODAY()-WEEKDAY(TODAY(),2)+1,tbl_chests[datetime],"&lt;"&amp;TODAY()-WEEKDAY(TODAY(),2)+8)))</f>
        <v>0</v>
      </c>
      <c r="AH32" s="36">
        <f ca="1">IF($A32="","",IF(AH$1="","",COUNTIFS(tbl_chests[from],$A32,tbl_chests[legalized],AH$1,tbl_chests[datetime],"&gt;="&amp;TODAY()-WEEKDAY(TODAY(),2)+1,tbl_chests[datetime],"&lt;"&amp;TODAY()-WEEKDAY(TODAY(),2)+8)))</f>
        <v>0</v>
      </c>
      <c r="AI32" s="36">
        <f ca="1">IF($A32="","",IF(AI$1="","",COUNTIFS(tbl_chests[from],$A32,tbl_chests[legalized],AI$1,tbl_chests[datetime],"&gt;="&amp;TODAY()-WEEKDAY(TODAY(),2)+1,tbl_chests[datetime],"&lt;"&amp;TODAY()-WEEKDAY(TODAY(),2)+8)))</f>
        <v>0</v>
      </c>
      <c r="AJ32" s="36">
        <f ca="1">IF($A32="","",IF(AJ$1="","",COUNTIFS(tbl_chests[from],$A32,tbl_chests[legalized],AJ$1,tbl_chests[datetime],"&gt;="&amp;TODAY()-WEEKDAY(TODAY(),2)+1,tbl_chests[datetime],"&lt;"&amp;TODAY()-WEEKDAY(TODAY(),2)+8)))</f>
        <v>0</v>
      </c>
      <c r="AK32" s="36">
        <f ca="1">IF($A32="","",IF(AK$1="","",COUNTIFS(tbl_chests[from],$A32,tbl_chests[legalized],AK$1,tbl_chests[datetime],"&gt;="&amp;TODAY()-WEEKDAY(TODAY(),2)+1,tbl_chests[datetime],"&lt;"&amp;TODAY()-WEEKDAY(TODAY(),2)+8)))</f>
        <v>0</v>
      </c>
      <c r="AL32" s="36">
        <f ca="1">IF($A32="","",IF(AL$1="","",COUNTIFS(tbl_chests[from],$A32,tbl_chests[legalized],AL$1,tbl_chests[datetime],"&gt;="&amp;TODAY()-WEEKDAY(TODAY(),2)+1,tbl_chests[datetime],"&lt;"&amp;TODAY()-WEEKDAY(TODAY(),2)+8)))</f>
        <v>0</v>
      </c>
      <c r="AM32" s="37">
        <f ca="1">IF($A32="","",IF(AM$1="","",COUNTIFS(tbl_chests[from],$A32,tbl_chests[legalized],AM$1,tbl_chests[datetime],"&gt;="&amp;TODAY()-WEEKDAY(TODAY(),2)+1,tbl_chests[datetime],"&lt;"&amp;TODAY()-WEEKDAY(TODAY(),2)+8)))</f>
        <v>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 ht="15.75" customHeight="1" x14ac:dyDescent="0.25">
      <c r="A33" s="34" t="str">
        <f>chests_counter!$H30</f>
        <v>ROD</v>
      </c>
      <c r="B33" s="35" cm="1">
        <f t="array" aca="1" ref="B33" ca="1">IF(A33&lt;&gt;"", SUMPRODUCT(($C$2:$AM$2&lt;&gt;0)*(C33:AM33&lt;&gt;0)*($C$2:$AM$2)*(C33:AM33)), "")</f>
        <v>10</v>
      </c>
      <c r="C33" s="36">
        <f ca="1">IF($A33="","",IF(C$1="","",COUNTIFS(tbl_chests[from],$A33,tbl_chests[legalized],C$1,tbl_chests[datetime],"&gt;="&amp;TODAY()-WEEKDAY(TODAY(),2)+1,tbl_chests[datetime],"&lt;"&amp;TODAY()-WEEKDAY(TODAY(),2)+8)))</f>
        <v>1</v>
      </c>
      <c r="D33" s="36">
        <f ca="1">IF($A33="","",IF(D$1="","",COUNTIFS(tbl_chests[from],$A33,tbl_chests[legalized],D$1,tbl_chests[datetime],"&gt;="&amp;TODAY()-WEEKDAY(TODAY(),2)+1,tbl_chests[datetime],"&lt;"&amp;TODAY()-WEEKDAY(TODAY(),2)+8)))</f>
        <v>0</v>
      </c>
      <c r="E33" s="36">
        <f ca="1">IF($A33="","",IF(E$1="","",COUNTIFS(tbl_chests[from],$A33,tbl_chests[legalized],E$1,tbl_chests[datetime],"&gt;="&amp;TODAY()-WEEKDAY(TODAY(),2)+1,tbl_chests[datetime],"&lt;"&amp;TODAY()-WEEKDAY(TODAY(),2)+8)))</f>
        <v>0</v>
      </c>
      <c r="F33" s="36">
        <f ca="1">IF($A33="","",IF(F$1="","",COUNTIFS(tbl_chests[from],$A33,tbl_chests[legalized],F$1,tbl_chests[datetime],"&gt;="&amp;TODAY()-WEEKDAY(TODAY(),2)+1,tbl_chests[datetime],"&lt;"&amp;TODAY()-WEEKDAY(TODAY(),2)+8)))</f>
        <v>0</v>
      </c>
      <c r="G33" s="36">
        <f ca="1">IF($A33="","",IF(G$1="","",COUNTIFS(tbl_chests[from],$A33,tbl_chests[legalized],G$1,tbl_chests[datetime],"&gt;="&amp;TODAY()-WEEKDAY(TODAY(),2)+1,tbl_chests[datetime],"&lt;"&amp;TODAY()-WEEKDAY(TODAY(),2)+8)))</f>
        <v>0</v>
      </c>
      <c r="H33" s="36">
        <f ca="1">IF($A33="","",IF(H$1="","",COUNTIFS(tbl_chests[from],$A33,tbl_chests[legalized],H$1,tbl_chests[datetime],"&gt;="&amp;TODAY()-WEEKDAY(TODAY(),2)+1,tbl_chests[datetime],"&lt;"&amp;TODAY()-WEEKDAY(TODAY(),2)+8)))</f>
        <v>0</v>
      </c>
      <c r="I33" s="36">
        <f ca="1">IF($A33="","",IF(I$1="","",COUNTIFS(tbl_chests[from],$A33,tbl_chests[legalized],I$1,tbl_chests[datetime],"&gt;="&amp;TODAY()-WEEKDAY(TODAY(),2)+1,tbl_chests[datetime],"&lt;"&amp;TODAY()-WEEKDAY(TODAY(),2)+8)))</f>
        <v>0</v>
      </c>
      <c r="J33" s="36">
        <f ca="1">IF($A33="","",IF(J$1="","",COUNTIFS(tbl_chests[from],$A33,tbl_chests[legalized],J$1,tbl_chests[datetime],"&gt;="&amp;TODAY()-WEEKDAY(TODAY(),2)+1,tbl_chests[datetime],"&lt;"&amp;TODAY()-WEEKDAY(TODAY(),2)+8)))</f>
        <v>0</v>
      </c>
      <c r="K33" s="36">
        <f ca="1">IF($A33="","",IF(K$1="","",COUNTIFS(tbl_chests[from],$A33,tbl_chests[legalized],K$1,tbl_chests[datetime],"&gt;="&amp;TODAY()-WEEKDAY(TODAY(),2)+1,tbl_chests[datetime],"&lt;"&amp;TODAY()-WEEKDAY(TODAY(),2)+8)))</f>
        <v>0</v>
      </c>
      <c r="L33" s="36">
        <f ca="1">IF($A33="","",IF(L$1="","",COUNTIFS(tbl_chests[from],$A33,tbl_chests[legalized],L$1,tbl_chests[datetime],"&gt;="&amp;TODAY()-WEEKDAY(TODAY(),2)+1,tbl_chests[datetime],"&lt;"&amp;TODAY()-WEEKDAY(TODAY(),2)+8)))</f>
        <v>0</v>
      </c>
      <c r="M33" s="36">
        <f ca="1">IF($A33="","",IF(M$1="","",COUNTIFS(tbl_chests[from],$A33,tbl_chests[legalized],M$1,tbl_chests[datetime],"&gt;="&amp;TODAY()-WEEKDAY(TODAY(),2)+1,tbl_chests[datetime],"&lt;"&amp;TODAY()-WEEKDAY(TODAY(),2)+8)))</f>
        <v>0</v>
      </c>
      <c r="N33" s="36">
        <f ca="1">IF($A33="","",IF(N$1="","",COUNTIFS(tbl_chests[from],$A33,tbl_chests[legalized],N$1,tbl_chests[datetime],"&gt;="&amp;TODAY()-WEEKDAY(TODAY(),2)+1,tbl_chests[datetime],"&lt;"&amp;TODAY()-WEEKDAY(TODAY(),2)+8)))</f>
        <v>0</v>
      </c>
      <c r="O33" s="36">
        <f ca="1">IF($A33="","",IF(O$1="","",COUNTIFS(tbl_chests[from],$A33,tbl_chests[legalized],O$1,tbl_chests[datetime],"&gt;="&amp;TODAY()-WEEKDAY(TODAY(),2)+1,tbl_chests[datetime],"&lt;"&amp;TODAY()-WEEKDAY(TODAY(),2)+8)))</f>
        <v>0</v>
      </c>
      <c r="P33" s="36">
        <f ca="1">IF($A33="","",IF(P$1="","",COUNTIFS(tbl_chests[from],$A33,tbl_chests[legalized],P$1,tbl_chests[datetime],"&gt;="&amp;TODAY()-WEEKDAY(TODAY(),2)+1,tbl_chests[datetime],"&lt;"&amp;TODAY()-WEEKDAY(TODAY(),2)+8)))</f>
        <v>0</v>
      </c>
      <c r="Q33" s="36">
        <f ca="1">IF($A33="","",IF(Q$1="","",COUNTIFS(tbl_chests[from],$A33,tbl_chests[legalized],Q$1,tbl_chests[datetime],"&gt;="&amp;TODAY()-WEEKDAY(TODAY(),2)+1,tbl_chests[datetime],"&lt;"&amp;TODAY()-WEEKDAY(TODAY(),2)+8)))</f>
        <v>0</v>
      </c>
      <c r="R33" s="36">
        <f ca="1">IF($A33="","",IF(R$1="","",COUNTIFS(tbl_chests[from],$A33,tbl_chests[legalized],R$1,tbl_chests[datetime],"&gt;="&amp;TODAY()-WEEKDAY(TODAY(),2)+1,tbl_chests[datetime],"&lt;"&amp;TODAY()-WEEKDAY(TODAY(),2)+8)))</f>
        <v>0</v>
      </c>
      <c r="S33" s="36">
        <f ca="1">IF($A33="","",IF(S$1="","",COUNTIFS(tbl_chests[from],$A33,tbl_chests[legalized],S$1,tbl_chests[datetime],"&gt;="&amp;TODAY()-WEEKDAY(TODAY(),2)+1,tbl_chests[datetime],"&lt;"&amp;TODAY()-WEEKDAY(TODAY(),2)+8)))</f>
        <v>0</v>
      </c>
      <c r="T33" s="36">
        <f ca="1">IF($A33="","",IF(T$1="","",COUNTIFS(tbl_chests[from],$A33,tbl_chests[legalized],T$1,tbl_chests[datetime],"&gt;="&amp;TODAY()-WEEKDAY(TODAY(),2)+1,tbl_chests[datetime],"&lt;"&amp;TODAY()-WEEKDAY(TODAY(),2)+8)))</f>
        <v>0</v>
      </c>
      <c r="U33" s="36">
        <f ca="1">IF($A33="","",IF(U$1="","",COUNTIFS(tbl_chests[from],$A33,tbl_chests[legalized],U$1,tbl_chests[datetime],"&gt;="&amp;TODAY()-WEEKDAY(TODAY(),2)+1,tbl_chests[datetime],"&lt;"&amp;TODAY()-WEEKDAY(TODAY(),2)+8)))</f>
        <v>0</v>
      </c>
      <c r="V33" s="36">
        <f ca="1">IF($A33="","",IF(V$1="","",COUNTIFS(tbl_chests[from],$A33,tbl_chests[legalized],V$1,tbl_chests[datetime],"&gt;="&amp;TODAY()-WEEKDAY(TODAY(),2)+1,tbl_chests[datetime],"&lt;"&amp;TODAY()-WEEKDAY(TODAY(),2)+8)))</f>
        <v>0</v>
      </c>
      <c r="W33" s="36">
        <f ca="1">IF($A33="","",IF(W$1="","",COUNTIFS(tbl_chests[from],$A33,tbl_chests[legalized],W$1,tbl_chests[datetime],"&gt;="&amp;TODAY()-WEEKDAY(TODAY(),2)+1,tbl_chests[datetime],"&lt;"&amp;TODAY()-WEEKDAY(TODAY(),2)+8)))</f>
        <v>0</v>
      </c>
      <c r="X33" s="36">
        <f ca="1">IF($A33="","",IF(X$1="","",COUNTIFS(tbl_chests[from],$A33,tbl_chests[legalized],X$1,tbl_chests[datetime],"&gt;="&amp;TODAY()-WEEKDAY(TODAY(),2)+1,tbl_chests[datetime],"&lt;"&amp;TODAY()-WEEKDAY(TODAY(),2)+8)))</f>
        <v>0</v>
      </c>
      <c r="Y33" s="36">
        <f ca="1">IF($A33="","",IF(Y$1="","",COUNTIFS(tbl_chests[from],$A33,tbl_chests[legalized],Y$1,tbl_chests[datetime],"&gt;="&amp;TODAY()-WEEKDAY(TODAY(),2)+1,tbl_chests[datetime],"&lt;"&amp;TODAY()-WEEKDAY(TODAY(),2)+8)))</f>
        <v>0</v>
      </c>
      <c r="Z33" s="36">
        <f ca="1">IF($A33="","",IF(Z$1="","",COUNTIFS(tbl_chests[from],$A33,tbl_chests[legalized],Z$1,tbl_chests[datetime],"&gt;="&amp;TODAY()-WEEKDAY(TODAY(),2)+1,tbl_chests[datetime],"&lt;"&amp;TODAY()-WEEKDAY(TODAY(),2)+8)))</f>
        <v>0</v>
      </c>
      <c r="AA33" s="36">
        <f ca="1">IF($A33="","",IF(AA$1="","",COUNTIFS(tbl_chests[from],$A33,tbl_chests[legalized],AA$1,tbl_chests[datetime],"&gt;="&amp;TODAY()-WEEKDAY(TODAY(),2)+1,tbl_chests[datetime],"&lt;"&amp;TODAY()-WEEKDAY(TODAY(),2)+8)))</f>
        <v>0</v>
      </c>
      <c r="AB33" s="36">
        <f ca="1">IF($A33="","",IF(AB$1="","",COUNTIFS(tbl_chests[from],$A33,tbl_chests[legalized],AB$1,tbl_chests[datetime],"&gt;="&amp;TODAY()-WEEKDAY(TODAY(),2)+1,tbl_chests[datetime],"&lt;"&amp;TODAY()-WEEKDAY(TODAY(),2)+8)))</f>
        <v>0</v>
      </c>
      <c r="AC33" s="36">
        <f ca="1">IF($A33="","",IF(AC$1="","",COUNTIFS(tbl_chests[from],$A33,tbl_chests[legalized],AC$1,tbl_chests[datetime],"&gt;="&amp;TODAY()-WEEKDAY(TODAY(),2)+1,tbl_chests[datetime],"&lt;"&amp;TODAY()-WEEKDAY(TODAY(),2)+8)))</f>
        <v>0</v>
      </c>
      <c r="AD33" s="36">
        <f ca="1">IF($A33="","",IF(AD$1="","",COUNTIFS(tbl_chests[from],$A33,tbl_chests[legalized],AD$1,tbl_chests[datetime],"&gt;="&amp;TODAY()-WEEKDAY(TODAY(),2)+1,tbl_chests[datetime],"&lt;"&amp;TODAY()-WEEKDAY(TODAY(),2)+8)))</f>
        <v>0</v>
      </c>
      <c r="AE33" s="36">
        <f ca="1">IF($A33="","",IF(AE$1="","",COUNTIFS(tbl_chests[from],$A33,tbl_chests[legalized],AE$1,tbl_chests[datetime],"&gt;="&amp;TODAY()-WEEKDAY(TODAY(),2)+1,tbl_chests[datetime],"&lt;"&amp;TODAY()-WEEKDAY(TODAY(),2)+8)))</f>
        <v>0</v>
      </c>
      <c r="AF33" s="36">
        <f ca="1">IF($A33="","",IF(AF$1="","",COUNTIFS(tbl_chests[from],$A33,tbl_chests[legalized],AF$1,tbl_chests[datetime],"&gt;="&amp;TODAY()-WEEKDAY(TODAY(),2)+1,tbl_chests[datetime],"&lt;"&amp;TODAY()-WEEKDAY(TODAY(),2)+8)))</f>
        <v>0</v>
      </c>
      <c r="AG33" s="36">
        <f ca="1">IF($A33="","",IF(AG$1="","",COUNTIFS(tbl_chests[from],$A33,tbl_chests[legalized],AG$1,tbl_chests[datetime],"&gt;="&amp;TODAY()-WEEKDAY(TODAY(),2)+1,tbl_chests[datetime],"&lt;"&amp;TODAY()-WEEKDAY(TODAY(),2)+8)))</f>
        <v>0</v>
      </c>
      <c r="AH33" s="36">
        <f ca="1">IF($A33="","",IF(AH$1="","",COUNTIFS(tbl_chests[from],$A33,tbl_chests[legalized],AH$1,tbl_chests[datetime],"&gt;="&amp;TODAY()-WEEKDAY(TODAY(),2)+1,tbl_chests[datetime],"&lt;"&amp;TODAY()-WEEKDAY(TODAY(),2)+8)))</f>
        <v>0</v>
      </c>
      <c r="AI33" s="36">
        <f ca="1">IF($A33="","",IF(AI$1="","",COUNTIFS(tbl_chests[from],$A33,tbl_chests[legalized],AI$1,tbl_chests[datetime],"&gt;="&amp;TODAY()-WEEKDAY(TODAY(),2)+1,tbl_chests[datetime],"&lt;"&amp;TODAY()-WEEKDAY(TODAY(),2)+8)))</f>
        <v>0</v>
      </c>
      <c r="AJ33" s="36">
        <f ca="1">IF($A33="","",IF(AJ$1="","",COUNTIFS(tbl_chests[from],$A33,tbl_chests[legalized],AJ$1,tbl_chests[datetime],"&gt;="&amp;TODAY()-WEEKDAY(TODAY(),2)+1,tbl_chests[datetime],"&lt;"&amp;TODAY()-WEEKDAY(TODAY(),2)+8)))</f>
        <v>0</v>
      </c>
      <c r="AK33" s="36">
        <f ca="1">IF($A33="","",IF(AK$1="","",COUNTIFS(tbl_chests[from],$A33,tbl_chests[legalized],AK$1,tbl_chests[datetime],"&gt;="&amp;TODAY()-WEEKDAY(TODAY(),2)+1,tbl_chests[datetime],"&lt;"&amp;TODAY()-WEEKDAY(TODAY(),2)+8)))</f>
        <v>0</v>
      </c>
      <c r="AL33" s="36">
        <f ca="1">IF($A33="","",IF(AL$1="","",COUNTIFS(tbl_chests[from],$A33,tbl_chests[legalized],AL$1,tbl_chests[datetime],"&gt;="&amp;TODAY()-WEEKDAY(TODAY(),2)+1,tbl_chests[datetime],"&lt;"&amp;TODAY()-WEEKDAY(TODAY(),2)+8)))</f>
        <v>0</v>
      </c>
      <c r="AM33" s="37">
        <f ca="1">IF($A33="","",IF(AM$1="","",COUNTIFS(tbl_chests[from],$A33,tbl_chests[legalized],AM$1,tbl_chests[datetime],"&gt;="&amp;TODAY()-WEEKDAY(TODAY(),2)+1,tbl_chests[datetime],"&lt;"&amp;TODAY()-WEEKDAY(TODAY(),2)+8)))</f>
        <v>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 ht="15.75" customHeight="1" x14ac:dyDescent="0.25">
      <c r="A34" s="34" t="str">
        <f>chests_counter!$H31</f>
        <v>Rooster</v>
      </c>
      <c r="B34" s="35" cm="1">
        <f t="array" aca="1" ref="B34" ca="1">IF(A34&lt;&gt;"", SUMPRODUCT(($C$2:$AM$2&lt;&gt;0)*(C34:AM34&lt;&gt;0)*($C$2:$AM$2)*(C34:AM34)), "")</f>
        <v>150</v>
      </c>
      <c r="C34" s="36">
        <f ca="1">IF($A34="","",IF(C$1="","",COUNTIFS(tbl_chests[from],$A34,tbl_chests[legalized],C$1,tbl_chests[datetime],"&gt;="&amp;TODAY()-WEEKDAY(TODAY(),2)+1,tbl_chests[datetime],"&lt;"&amp;TODAY()-WEEKDAY(TODAY(),2)+8)))</f>
        <v>7</v>
      </c>
      <c r="D34" s="36">
        <f ca="1">IF($A34="","",IF(D$1="","",COUNTIFS(tbl_chests[from],$A34,tbl_chests[legalized],D$1,tbl_chests[datetime],"&gt;="&amp;TODAY()-WEEKDAY(TODAY(),2)+1,tbl_chests[datetime],"&lt;"&amp;TODAY()-WEEKDAY(TODAY(),2)+8)))</f>
        <v>4</v>
      </c>
      <c r="E34" s="36">
        <f ca="1">IF($A34="","",IF(E$1="","",COUNTIFS(tbl_chests[from],$A34,tbl_chests[legalized],E$1,tbl_chests[datetime],"&gt;="&amp;TODAY()-WEEKDAY(TODAY(),2)+1,tbl_chests[datetime],"&lt;"&amp;TODAY()-WEEKDAY(TODAY(),2)+8)))</f>
        <v>0</v>
      </c>
      <c r="F34" s="36">
        <f ca="1">IF($A34="","",IF(F$1="","",COUNTIFS(tbl_chests[from],$A34,tbl_chests[legalized],F$1,tbl_chests[datetime],"&gt;="&amp;TODAY()-WEEKDAY(TODAY(),2)+1,tbl_chests[datetime],"&lt;"&amp;TODAY()-WEEKDAY(TODAY(),2)+8)))</f>
        <v>0</v>
      </c>
      <c r="G34" s="36">
        <f ca="1">IF($A34="","",IF(G$1="","",COUNTIFS(tbl_chests[from],$A34,tbl_chests[legalized],G$1,tbl_chests[datetime],"&gt;="&amp;TODAY()-WEEKDAY(TODAY(),2)+1,tbl_chests[datetime],"&lt;"&amp;TODAY()-WEEKDAY(TODAY(),2)+8)))</f>
        <v>0</v>
      </c>
      <c r="H34" s="36">
        <f ca="1">IF($A34="","",IF(H$1="","",COUNTIFS(tbl_chests[from],$A34,tbl_chests[legalized],H$1,tbl_chests[datetime],"&gt;="&amp;TODAY()-WEEKDAY(TODAY(),2)+1,tbl_chests[datetime],"&lt;"&amp;TODAY()-WEEKDAY(TODAY(),2)+8)))</f>
        <v>0</v>
      </c>
      <c r="I34" s="36">
        <f ca="1">IF($A34="","",IF(I$1="","",COUNTIFS(tbl_chests[from],$A34,tbl_chests[legalized],I$1,tbl_chests[datetime],"&gt;="&amp;TODAY()-WEEKDAY(TODAY(),2)+1,tbl_chests[datetime],"&lt;"&amp;TODAY()-WEEKDAY(TODAY(),2)+8)))</f>
        <v>0</v>
      </c>
      <c r="J34" s="36">
        <f ca="1">IF($A34="","",IF(J$1="","",COUNTIFS(tbl_chests[from],$A34,tbl_chests[legalized],J$1,tbl_chests[datetime],"&gt;="&amp;TODAY()-WEEKDAY(TODAY(),2)+1,tbl_chests[datetime],"&lt;"&amp;TODAY()-WEEKDAY(TODAY(),2)+8)))</f>
        <v>0</v>
      </c>
      <c r="K34" s="36">
        <f ca="1">IF($A34="","",IF(K$1="","",COUNTIFS(tbl_chests[from],$A34,tbl_chests[legalized],K$1,tbl_chests[datetime],"&gt;="&amp;TODAY()-WEEKDAY(TODAY(),2)+1,tbl_chests[datetime],"&lt;"&amp;TODAY()-WEEKDAY(TODAY(),2)+8)))</f>
        <v>0</v>
      </c>
      <c r="L34" s="36">
        <f ca="1">IF($A34="","",IF(L$1="","",COUNTIFS(tbl_chests[from],$A34,tbl_chests[legalized],L$1,tbl_chests[datetime],"&gt;="&amp;TODAY()-WEEKDAY(TODAY(),2)+1,tbl_chests[datetime],"&lt;"&amp;TODAY()-WEEKDAY(TODAY(),2)+8)))</f>
        <v>0</v>
      </c>
      <c r="M34" s="36">
        <f ca="1">IF($A34="","",IF(M$1="","",COUNTIFS(tbl_chests[from],$A34,tbl_chests[legalized],M$1,tbl_chests[datetime],"&gt;="&amp;TODAY()-WEEKDAY(TODAY(),2)+1,tbl_chests[datetime],"&lt;"&amp;TODAY()-WEEKDAY(TODAY(),2)+8)))</f>
        <v>0</v>
      </c>
      <c r="N34" s="36">
        <f ca="1">IF($A34="","",IF(N$1="","",COUNTIFS(tbl_chests[from],$A34,tbl_chests[legalized],N$1,tbl_chests[datetime],"&gt;="&amp;TODAY()-WEEKDAY(TODAY(),2)+1,tbl_chests[datetime],"&lt;"&amp;TODAY()-WEEKDAY(TODAY(),2)+8)))</f>
        <v>0</v>
      </c>
      <c r="O34" s="36">
        <f ca="1">IF($A34="","",IF(O$1="","",COUNTIFS(tbl_chests[from],$A34,tbl_chests[legalized],O$1,tbl_chests[datetime],"&gt;="&amp;TODAY()-WEEKDAY(TODAY(),2)+1,tbl_chests[datetime],"&lt;"&amp;TODAY()-WEEKDAY(TODAY(),2)+8)))</f>
        <v>0</v>
      </c>
      <c r="P34" s="36">
        <f ca="1">IF($A34="","",IF(P$1="","",COUNTIFS(tbl_chests[from],$A34,tbl_chests[legalized],P$1,tbl_chests[datetime],"&gt;="&amp;TODAY()-WEEKDAY(TODAY(),2)+1,tbl_chests[datetime],"&lt;"&amp;TODAY()-WEEKDAY(TODAY(),2)+8)))</f>
        <v>0</v>
      </c>
      <c r="Q34" s="36">
        <f ca="1">IF($A34="","",IF(Q$1="","",COUNTIFS(tbl_chests[from],$A34,tbl_chests[legalized],Q$1,tbl_chests[datetime],"&gt;="&amp;TODAY()-WEEKDAY(TODAY(),2)+1,tbl_chests[datetime],"&lt;"&amp;TODAY()-WEEKDAY(TODAY(),2)+8)))</f>
        <v>0</v>
      </c>
      <c r="R34" s="36">
        <f ca="1">IF($A34="","",IF(R$1="","",COUNTIFS(tbl_chests[from],$A34,tbl_chests[legalized],R$1,tbl_chests[datetime],"&gt;="&amp;TODAY()-WEEKDAY(TODAY(),2)+1,tbl_chests[datetime],"&lt;"&amp;TODAY()-WEEKDAY(TODAY(),2)+8)))</f>
        <v>0</v>
      </c>
      <c r="S34" s="36">
        <f ca="1">IF($A34="","",IF(S$1="","",COUNTIFS(tbl_chests[from],$A34,tbl_chests[legalized],S$1,tbl_chests[datetime],"&gt;="&amp;TODAY()-WEEKDAY(TODAY(),2)+1,tbl_chests[datetime],"&lt;"&amp;TODAY()-WEEKDAY(TODAY(),2)+8)))</f>
        <v>0</v>
      </c>
      <c r="T34" s="36">
        <f ca="1">IF($A34="","",IF(T$1="","",COUNTIFS(tbl_chests[from],$A34,tbl_chests[legalized],T$1,tbl_chests[datetime],"&gt;="&amp;TODAY()-WEEKDAY(TODAY(),2)+1,tbl_chests[datetime],"&lt;"&amp;TODAY()-WEEKDAY(TODAY(),2)+8)))</f>
        <v>0</v>
      </c>
      <c r="U34" s="36">
        <f ca="1">IF($A34="","",IF(U$1="","",COUNTIFS(tbl_chests[from],$A34,tbl_chests[legalized],U$1,tbl_chests[datetime],"&gt;="&amp;TODAY()-WEEKDAY(TODAY(),2)+1,tbl_chests[datetime],"&lt;"&amp;TODAY()-WEEKDAY(TODAY(),2)+8)))</f>
        <v>0</v>
      </c>
      <c r="V34" s="36">
        <f ca="1">IF($A34="","",IF(V$1="","",COUNTIFS(tbl_chests[from],$A34,tbl_chests[legalized],V$1,tbl_chests[datetime],"&gt;="&amp;TODAY()-WEEKDAY(TODAY(),2)+1,tbl_chests[datetime],"&lt;"&amp;TODAY()-WEEKDAY(TODAY(),2)+8)))</f>
        <v>0</v>
      </c>
      <c r="W34" s="36">
        <f ca="1">IF($A34="","",IF(W$1="","",COUNTIFS(tbl_chests[from],$A34,tbl_chests[legalized],W$1,tbl_chests[datetime],"&gt;="&amp;TODAY()-WEEKDAY(TODAY(),2)+1,tbl_chests[datetime],"&lt;"&amp;TODAY()-WEEKDAY(TODAY(),2)+8)))</f>
        <v>0</v>
      </c>
      <c r="X34" s="36">
        <f ca="1">IF($A34="","",IF(X$1="","",COUNTIFS(tbl_chests[from],$A34,tbl_chests[legalized],X$1,tbl_chests[datetime],"&gt;="&amp;TODAY()-WEEKDAY(TODAY(),2)+1,tbl_chests[datetime],"&lt;"&amp;TODAY()-WEEKDAY(TODAY(),2)+8)))</f>
        <v>0</v>
      </c>
      <c r="Y34" s="36">
        <f ca="1">IF($A34="","",IF(Y$1="","",COUNTIFS(tbl_chests[from],$A34,tbl_chests[legalized],Y$1,tbl_chests[datetime],"&gt;="&amp;TODAY()-WEEKDAY(TODAY(),2)+1,tbl_chests[datetime],"&lt;"&amp;TODAY()-WEEKDAY(TODAY(),2)+8)))</f>
        <v>0</v>
      </c>
      <c r="Z34" s="36">
        <f ca="1">IF($A34="","",IF(Z$1="","",COUNTIFS(tbl_chests[from],$A34,tbl_chests[legalized],Z$1,tbl_chests[datetime],"&gt;="&amp;TODAY()-WEEKDAY(TODAY(),2)+1,tbl_chests[datetime],"&lt;"&amp;TODAY()-WEEKDAY(TODAY(),2)+8)))</f>
        <v>0</v>
      </c>
      <c r="AA34" s="36">
        <f ca="1">IF($A34="","",IF(AA$1="","",COUNTIFS(tbl_chests[from],$A34,tbl_chests[legalized],AA$1,tbl_chests[datetime],"&gt;="&amp;TODAY()-WEEKDAY(TODAY(),2)+1,tbl_chests[datetime],"&lt;"&amp;TODAY()-WEEKDAY(TODAY(),2)+8)))</f>
        <v>0</v>
      </c>
      <c r="AB34" s="36">
        <f ca="1">IF($A34="","",IF(AB$1="","",COUNTIFS(tbl_chests[from],$A34,tbl_chests[legalized],AB$1,tbl_chests[datetime],"&gt;="&amp;TODAY()-WEEKDAY(TODAY(),2)+1,tbl_chests[datetime],"&lt;"&amp;TODAY()-WEEKDAY(TODAY(),2)+8)))</f>
        <v>0</v>
      </c>
      <c r="AC34" s="36">
        <f ca="1">IF($A34="","",IF(AC$1="","",COUNTIFS(tbl_chests[from],$A34,tbl_chests[legalized],AC$1,tbl_chests[datetime],"&gt;="&amp;TODAY()-WEEKDAY(TODAY(),2)+1,tbl_chests[datetime],"&lt;"&amp;TODAY()-WEEKDAY(TODAY(),2)+8)))</f>
        <v>0</v>
      </c>
      <c r="AD34" s="36">
        <f ca="1">IF($A34="","",IF(AD$1="","",COUNTIFS(tbl_chests[from],$A34,tbl_chests[legalized],AD$1,tbl_chests[datetime],"&gt;="&amp;TODAY()-WEEKDAY(TODAY(),2)+1,tbl_chests[datetime],"&lt;"&amp;TODAY()-WEEKDAY(TODAY(),2)+8)))</f>
        <v>0</v>
      </c>
      <c r="AE34" s="36">
        <f ca="1">IF($A34="","",IF(AE$1="","",COUNTIFS(tbl_chests[from],$A34,tbl_chests[legalized],AE$1,tbl_chests[datetime],"&gt;="&amp;TODAY()-WEEKDAY(TODAY(),2)+1,tbl_chests[datetime],"&lt;"&amp;TODAY()-WEEKDAY(TODAY(),2)+8)))</f>
        <v>0</v>
      </c>
      <c r="AF34" s="36">
        <f ca="1">IF($A34="","",IF(AF$1="","",COUNTIFS(tbl_chests[from],$A34,tbl_chests[legalized],AF$1,tbl_chests[datetime],"&gt;="&amp;TODAY()-WEEKDAY(TODAY(),2)+1,tbl_chests[datetime],"&lt;"&amp;TODAY()-WEEKDAY(TODAY(),2)+8)))</f>
        <v>0</v>
      </c>
      <c r="AG34" s="36">
        <f ca="1">IF($A34="","",IF(AG$1="","",COUNTIFS(tbl_chests[from],$A34,tbl_chests[legalized],AG$1,tbl_chests[datetime],"&gt;="&amp;TODAY()-WEEKDAY(TODAY(),2)+1,tbl_chests[datetime],"&lt;"&amp;TODAY()-WEEKDAY(TODAY(),2)+8)))</f>
        <v>0</v>
      </c>
      <c r="AH34" s="36">
        <f ca="1">IF($A34="","",IF(AH$1="","",COUNTIFS(tbl_chests[from],$A34,tbl_chests[legalized],AH$1,tbl_chests[datetime],"&gt;="&amp;TODAY()-WEEKDAY(TODAY(),2)+1,tbl_chests[datetime],"&lt;"&amp;TODAY()-WEEKDAY(TODAY(),2)+8)))</f>
        <v>0</v>
      </c>
      <c r="AI34" s="36">
        <f ca="1">IF($A34="","",IF(AI$1="","",COUNTIFS(tbl_chests[from],$A34,tbl_chests[legalized],AI$1,tbl_chests[datetime],"&gt;="&amp;TODAY()-WEEKDAY(TODAY(),2)+1,tbl_chests[datetime],"&lt;"&amp;TODAY()-WEEKDAY(TODAY(),2)+8)))</f>
        <v>0</v>
      </c>
      <c r="AJ34" s="36">
        <f ca="1">IF($A34="","",IF(AJ$1="","",COUNTIFS(tbl_chests[from],$A34,tbl_chests[legalized],AJ$1,tbl_chests[datetime],"&gt;="&amp;TODAY()-WEEKDAY(TODAY(),2)+1,tbl_chests[datetime],"&lt;"&amp;TODAY()-WEEKDAY(TODAY(),2)+8)))</f>
        <v>0</v>
      </c>
      <c r="AK34" s="36">
        <f ca="1">IF($A34="","",IF(AK$1="","",COUNTIFS(tbl_chests[from],$A34,tbl_chests[legalized],AK$1,tbl_chests[datetime],"&gt;="&amp;TODAY()-WEEKDAY(TODAY(),2)+1,tbl_chests[datetime],"&lt;"&amp;TODAY()-WEEKDAY(TODAY(),2)+8)))</f>
        <v>0</v>
      </c>
      <c r="AL34" s="36">
        <f ca="1">IF($A34="","",IF(AL$1="","",COUNTIFS(tbl_chests[from],$A34,tbl_chests[legalized],AL$1,tbl_chests[datetime],"&gt;="&amp;TODAY()-WEEKDAY(TODAY(),2)+1,tbl_chests[datetime],"&lt;"&amp;TODAY()-WEEKDAY(TODAY(),2)+8)))</f>
        <v>0</v>
      </c>
      <c r="AM34" s="37">
        <f ca="1">IF($A34="","",IF(AM$1="","",COUNTIFS(tbl_chests[from],$A34,tbl_chests[legalized],AM$1,tbl_chests[datetime],"&gt;="&amp;TODAY()-WEEKDAY(TODAY(),2)+1,tbl_chests[datetime],"&lt;"&amp;TODAY()-WEEKDAY(TODAY(),2)+8)))</f>
        <v>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 ht="15.75" customHeight="1" x14ac:dyDescent="0.25">
      <c r="A35" s="34" t="str">
        <f>chests_counter!$H32</f>
        <v>sillovr</v>
      </c>
      <c r="B35" s="35" cm="1">
        <f t="array" aca="1" ref="B35" ca="1">IF(A35&lt;&gt;"", SUMPRODUCT(($C$2:$AM$2&lt;&gt;0)*(C35:AM35&lt;&gt;0)*($C$2:$AM$2)*(C35:AM35)), "")</f>
        <v>240</v>
      </c>
      <c r="C35" s="36">
        <f ca="1">IF($A35="","",IF(C$1="","",COUNTIFS(tbl_chests[from],$A35,tbl_chests[legalized],C$1,tbl_chests[datetime],"&gt;="&amp;TODAY()-WEEKDAY(TODAY(),2)+1,tbl_chests[datetime],"&lt;"&amp;TODAY()-WEEKDAY(TODAY(),2)+8)))</f>
        <v>5</v>
      </c>
      <c r="D35" s="36">
        <f ca="1">IF($A35="","",IF(D$1="","",COUNTIFS(tbl_chests[from],$A35,tbl_chests[legalized],D$1,tbl_chests[datetime],"&gt;="&amp;TODAY()-WEEKDAY(TODAY(),2)+1,tbl_chests[datetime],"&lt;"&amp;TODAY()-WEEKDAY(TODAY(),2)+8)))</f>
        <v>8</v>
      </c>
      <c r="E35" s="36">
        <f ca="1">IF($A35="","",IF(E$1="","",COUNTIFS(tbl_chests[from],$A35,tbl_chests[legalized],E$1,tbl_chests[datetime],"&gt;="&amp;TODAY()-WEEKDAY(TODAY(),2)+1,tbl_chests[datetime],"&lt;"&amp;TODAY()-WEEKDAY(TODAY(),2)+8)))</f>
        <v>1</v>
      </c>
      <c r="F35" s="36">
        <f ca="1">IF($A35="","",IF(F$1="","",COUNTIFS(tbl_chests[from],$A35,tbl_chests[legalized],F$1,tbl_chests[datetime],"&gt;="&amp;TODAY()-WEEKDAY(TODAY(),2)+1,tbl_chests[datetime],"&lt;"&amp;TODAY()-WEEKDAY(TODAY(),2)+8)))</f>
        <v>0</v>
      </c>
      <c r="G35" s="36">
        <f ca="1">IF($A35="","",IF(G$1="","",COUNTIFS(tbl_chests[from],$A35,tbl_chests[legalized],G$1,tbl_chests[datetime],"&gt;="&amp;TODAY()-WEEKDAY(TODAY(),2)+1,tbl_chests[datetime],"&lt;"&amp;TODAY()-WEEKDAY(TODAY(),2)+8)))</f>
        <v>0</v>
      </c>
      <c r="H35" s="36">
        <f ca="1">IF($A35="","",IF(H$1="","",COUNTIFS(tbl_chests[from],$A35,tbl_chests[legalized],H$1,tbl_chests[datetime],"&gt;="&amp;TODAY()-WEEKDAY(TODAY(),2)+1,tbl_chests[datetime],"&lt;"&amp;TODAY()-WEEKDAY(TODAY(),2)+8)))</f>
        <v>0</v>
      </c>
      <c r="I35" s="36">
        <f ca="1">IF($A35="","",IF(I$1="","",COUNTIFS(tbl_chests[from],$A35,tbl_chests[legalized],I$1,tbl_chests[datetime],"&gt;="&amp;TODAY()-WEEKDAY(TODAY(),2)+1,tbl_chests[datetime],"&lt;"&amp;TODAY()-WEEKDAY(TODAY(),2)+8)))</f>
        <v>0</v>
      </c>
      <c r="J35" s="36">
        <f ca="1">IF($A35="","",IF(J$1="","",COUNTIFS(tbl_chests[from],$A35,tbl_chests[legalized],J$1,tbl_chests[datetime],"&gt;="&amp;TODAY()-WEEKDAY(TODAY(),2)+1,tbl_chests[datetime],"&lt;"&amp;TODAY()-WEEKDAY(TODAY(),2)+8)))</f>
        <v>0</v>
      </c>
      <c r="K35" s="36">
        <f ca="1">IF($A35="","",IF(K$1="","",COUNTIFS(tbl_chests[from],$A35,tbl_chests[legalized],K$1,tbl_chests[datetime],"&gt;="&amp;TODAY()-WEEKDAY(TODAY(),2)+1,tbl_chests[datetime],"&lt;"&amp;TODAY()-WEEKDAY(TODAY(),2)+8)))</f>
        <v>0</v>
      </c>
      <c r="L35" s="36">
        <f ca="1">IF($A35="","",IF(L$1="","",COUNTIFS(tbl_chests[from],$A35,tbl_chests[legalized],L$1,tbl_chests[datetime],"&gt;="&amp;TODAY()-WEEKDAY(TODAY(),2)+1,tbl_chests[datetime],"&lt;"&amp;TODAY()-WEEKDAY(TODAY(),2)+8)))</f>
        <v>0</v>
      </c>
      <c r="M35" s="36">
        <f ca="1">IF($A35="","",IF(M$1="","",COUNTIFS(tbl_chests[from],$A35,tbl_chests[legalized],M$1,tbl_chests[datetime],"&gt;="&amp;TODAY()-WEEKDAY(TODAY(),2)+1,tbl_chests[datetime],"&lt;"&amp;TODAY()-WEEKDAY(TODAY(),2)+8)))</f>
        <v>0</v>
      </c>
      <c r="N35" s="36">
        <f ca="1">IF($A35="","",IF(N$1="","",COUNTIFS(tbl_chests[from],$A35,tbl_chests[legalized],N$1,tbl_chests[datetime],"&gt;="&amp;TODAY()-WEEKDAY(TODAY(),2)+1,tbl_chests[datetime],"&lt;"&amp;TODAY()-WEEKDAY(TODAY(),2)+8)))</f>
        <v>0</v>
      </c>
      <c r="O35" s="36">
        <f ca="1">IF($A35="","",IF(O$1="","",COUNTIFS(tbl_chests[from],$A35,tbl_chests[legalized],O$1,tbl_chests[datetime],"&gt;="&amp;TODAY()-WEEKDAY(TODAY(),2)+1,tbl_chests[datetime],"&lt;"&amp;TODAY()-WEEKDAY(TODAY(),2)+8)))</f>
        <v>0</v>
      </c>
      <c r="P35" s="36">
        <f ca="1">IF($A35="","",IF(P$1="","",COUNTIFS(tbl_chests[from],$A35,tbl_chests[legalized],P$1,tbl_chests[datetime],"&gt;="&amp;TODAY()-WEEKDAY(TODAY(),2)+1,tbl_chests[datetime],"&lt;"&amp;TODAY()-WEEKDAY(TODAY(),2)+8)))</f>
        <v>0</v>
      </c>
      <c r="Q35" s="36">
        <f ca="1">IF($A35="","",IF(Q$1="","",COUNTIFS(tbl_chests[from],$A35,tbl_chests[legalized],Q$1,tbl_chests[datetime],"&gt;="&amp;TODAY()-WEEKDAY(TODAY(),2)+1,tbl_chests[datetime],"&lt;"&amp;TODAY()-WEEKDAY(TODAY(),2)+8)))</f>
        <v>0</v>
      </c>
      <c r="R35" s="36">
        <f ca="1">IF($A35="","",IF(R$1="","",COUNTIFS(tbl_chests[from],$A35,tbl_chests[legalized],R$1,tbl_chests[datetime],"&gt;="&amp;TODAY()-WEEKDAY(TODAY(),2)+1,tbl_chests[datetime],"&lt;"&amp;TODAY()-WEEKDAY(TODAY(),2)+8)))</f>
        <v>0</v>
      </c>
      <c r="S35" s="36">
        <f ca="1">IF($A35="","",IF(S$1="","",COUNTIFS(tbl_chests[from],$A35,tbl_chests[legalized],S$1,tbl_chests[datetime],"&gt;="&amp;TODAY()-WEEKDAY(TODAY(),2)+1,tbl_chests[datetime],"&lt;"&amp;TODAY()-WEEKDAY(TODAY(),2)+8)))</f>
        <v>0</v>
      </c>
      <c r="T35" s="36">
        <f ca="1">IF($A35="","",IF(T$1="","",COUNTIFS(tbl_chests[from],$A35,tbl_chests[legalized],T$1,tbl_chests[datetime],"&gt;="&amp;TODAY()-WEEKDAY(TODAY(),2)+1,tbl_chests[datetime],"&lt;"&amp;TODAY()-WEEKDAY(TODAY(),2)+8)))</f>
        <v>0</v>
      </c>
      <c r="U35" s="36">
        <f ca="1">IF($A35="","",IF(U$1="","",COUNTIFS(tbl_chests[from],$A35,tbl_chests[legalized],U$1,tbl_chests[datetime],"&gt;="&amp;TODAY()-WEEKDAY(TODAY(),2)+1,tbl_chests[datetime],"&lt;"&amp;TODAY()-WEEKDAY(TODAY(),2)+8)))</f>
        <v>0</v>
      </c>
      <c r="V35" s="36">
        <f ca="1">IF($A35="","",IF(V$1="","",COUNTIFS(tbl_chests[from],$A35,tbl_chests[legalized],V$1,tbl_chests[datetime],"&gt;="&amp;TODAY()-WEEKDAY(TODAY(),2)+1,tbl_chests[datetime],"&lt;"&amp;TODAY()-WEEKDAY(TODAY(),2)+8)))</f>
        <v>0</v>
      </c>
      <c r="W35" s="36">
        <f ca="1">IF($A35="","",IF(W$1="","",COUNTIFS(tbl_chests[from],$A35,tbl_chests[legalized],W$1,tbl_chests[datetime],"&gt;="&amp;TODAY()-WEEKDAY(TODAY(),2)+1,tbl_chests[datetime],"&lt;"&amp;TODAY()-WEEKDAY(TODAY(),2)+8)))</f>
        <v>0</v>
      </c>
      <c r="X35" s="36">
        <f ca="1">IF($A35="","",IF(X$1="","",COUNTIFS(tbl_chests[from],$A35,tbl_chests[legalized],X$1,tbl_chests[datetime],"&gt;="&amp;TODAY()-WEEKDAY(TODAY(),2)+1,tbl_chests[datetime],"&lt;"&amp;TODAY()-WEEKDAY(TODAY(),2)+8)))</f>
        <v>0</v>
      </c>
      <c r="Y35" s="36">
        <f ca="1">IF($A35="","",IF(Y$1="","",COUNTIFS(tbl_chests[from],$A35,tbl_chests[legalized],Y$1,tbl_chests[datetime],"&gt;="&amp;TODAY()-WEEKDAY(TODAY(),2)+1,tbl_chests[datetime],"&lt;"&amp;TODAY()-WEEKDAY(TODAY(),2)+8)))</f>
        <v>0</v>
      </c>
      <c r="Z35" s="36">
        <f ca="1">IF($A35="","",IF(Z$1="","",COUNTIFS(tbl_chests[from],$A35,tbl_chests[legalized],Z$1,tbl_chests[datetime],"&gt;="&amp;TODAY()-WEEKDAY(TODAY(),2)+1,tbl_chests[datetime],"&lt;"&amp;TODAY()-WEEKDAY(TODAY(),2)+8)))</f>
        <v>0</v>
      </c>
      <c r="AA35" s="36">
        <f ca="1">IF($A35="","",IF(AA$1="","",COUNTIFS(tbl_chests[from],$A35,tbl_chests[legalized],AA$1,tbl_chests[datetime],"&gt;="&amp;TODAY()-WEEKDAY(TODAY(),2)+1,tbl_chests[datetime],"&lt;"&amp;TODAY()-WEEKDAY(TODAY(),2)+8)))</f>
        <v>0</v>
      </c>
      <c r="AB35" s="36">
        <f ca="1">IF($A35="","",IF(AB$1="","",COUNTIFS(tbl_chests[from],$A35,tbl_chests[legalized],AB$1,tbl_chests[datetime],"&gt;="&amp;TODAY()-WEEKDAY(TODAY(),2)+1,tbl_chests[datetime],"&lt;"&amp;TODAY()-WEEKDAY(TODAY(),2)+8)))</f>
        <v>0</v>
      </c>
      <c r="AC35" s="36">
        <f ca="1">IF($A35="","",IF(AC$1="","",COUNTIFS(tbl_chests[from],$A35,tbl_chests[legalized],AC$1,tbl_chests[datetime],"&gt;="&amp;TODAY()-WEEKDAY(TODAY(),2)+1,tbl_chests[datetime],"&lt;"&amp;TODAY()-WEEKDAY(TODAY(),2)+8)))</f>
        <v>0</v>
      </c>
      <c r="AD35" s="36">
        <f ca="1">IF($A35="","",IF(AD$1="","",COUNTIFS(tbl_chests[from],$A35,tbl_chests[legalized],AD$1,tbl_chests[datetime],"&gt;="&amp;TODAY()-WEEKDAY(TODAY(),2)+1,tbl_chests[datetime],"&lt;"&amp;TODAY()-WEEKDAY(TODAY(),2)+8)))</f>
        <v>0</v>
      </c>
      <c r="AE35" s="36">
        <f ca="1">IF($A35="","",IF(AE$1="","",COUNTIFS(tbl_chests[from],$A35,tbl_chests[legalized],AE$1,tbl_chests[datetime],"&gt;="&amp;TODAY()-WEEKDAY(TODAY(),2)+1,tbl_chests[datetime],"&lt;"&amp;TODAY()-WEEKDAY(TODAY(),2)+8)))</f>
        <v>0</v>
      </c>
      <c r="AF35" s="36">
        <f ca="1">IF($A35="","",IF(AF$1="","",COUNTIFS(tbl_chests[from],$A35,tbl_chests[legalized],AF$1,tbl_chests[datetime],"&gt;="&amp;TODAY()-WEEKDAY(TODAY(),2)+1,tbl_chests[datetime],"&lt;"&amp;TODAY()-WEEKDAY(TODAY(),2)+8)))</f>
        <v>0</v>
      </c>
      <c r="AG35" s="36">
        <f ca="1">IF($A35="","",IF(AG$1="","",COUNTIFS(tbl_chests[from],$A35,tbl_chests[legalized],AG$1,tbl_chests[datetime],"&gt;="&amp;TODAY()-WEEKDAY(TODAY(),2)+1,tbl_chests[datetime],"&lt;"&amp;TODAY()-WEEKDAY(TODAY(),2)+8)))</f>
        <v>0</v>
      </c>
      <c r="AH35" s="36">
        <f ca="1">IF($A35="","",IF(AH$1="","",COUNTIFS(tbl_chests[from],$A35,tbl_chests[legalized],AH$1,tbl_chests[datetime],"&gt;="&amp;TODAY()-WEEKDAY(TODAY(),2)+1,tbl_chests[datetime],"&lt;"&amp;TODAY()-WEEKDAY(TODAY(),2)+8)))</f>
        <v>0</v>
      </c>
      <c r="AI35" s="36">
        <f ca="1">IF($A35="","",IF(AI$1="","",COUNTIFS(tbl_chests[from],$A35,tbl_chests[legalized],AI$1,tbl_chests[datetime],"&gt;="&amp;TODAY()-WEEKDAY(TODAY(),2)+1,tbl_chests[datetime],"&lt;"&amp;TODAY()-WEEKDAY(TODAY(),2)+8)))</f>
        <v>0</v>
      </c>
      <c r="AJ35" s="36">
        <f ca="1">IF($A35="","",IF(AJ$1="","",COUNTIFS(tbl_chests[from],$A35,tbl_chests[legalized],AJ$1,tbl_chests[datetime],"&gt;="&amp;TODAY()-WEEKDAY(TODAY(),2)+1,tbl_chests[datetime],"&lt;"&amp;TODAY()-WEEKDAY(TODAY(),2)+8)))</f>
        <v>0</v>
      </c>
      <c r="AK35" s="36">
        <f ca="1">IF($A35="","",IF(AK$1="","",COUNTIFS(tbl_chests[from],$A35,tbl_chests[legalized],AK$1,tbl_chests[datetime],"&gt;="&amp;TODAY()-WEEKDAY(TODAY(),2)+1,tbl_chests[datetime],"&lt;"&amp;TODAY()-WEEKDAY(TODAY(),2)+8)))</f>
        <v>0</v>
      </c>
      <c r="AL35" s="36">
        <f ca="1">IF($A35="","",IF(AL$1="","",COUNTIFS(tbl_chests[from],$A35,tbl_chests[legalized],AL$1,tbl_chests[datetime],"&gt;="&amp;TODAY()-WEEKDAY(TODAY(),2)+1,tbl_chests[datetime],"&lt;"&amp;TODAY()-WEEKDAY(TODAY(),2)+8)))</f>
        <v>0</v>
      </c>
      <c r="AM35" s="37">
        <f ca="1">IF($A35="","",IF(AM$1="","",COUNTIFS(tbl_chests[from],$A35,tbl_chests[legalized],AM$1,tbl_chests[datetime],"&gt;="&amp;TODAY()-WEEKDAY(TODAY(),2)+1,tbl_chests[datetime],"&lt;"&amp;TODAY()-WEEKDAY(TODAY(),2)+8)))</f>
        <v>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 ht="15.75" customHeight="1" x14ac:dyDescent="0.25">
      <c r="A36" s="34" t="str">
        <f>chests_counter!$H33</f>
        <v>Sinwing</v>
      </c>
      <c r="B36" s="35" cm="1">
        <f t="array" aca="1" ref="B36" ca="1">IF(A36&lt;&gt;"", SUMPRODUCT(($C$2:$AM$2&lt;&gt;0)*(C36:AM36&lt;&gt;0)*($C$2:$AM$2)*(C36:AM36)), "")</f>
        <v>330</v>
      </c>
      <c r="C36" s="36">
        <f ca="1">IF($A36="","",IF(C$1="","",COUNTIFS(tbl_chests[from],$A36,tbl_chests[legalized],C$1,tbl_chests[datetime],"&gt;="&amp;TODAY()-WEEKDAY(TODAY(),2)+1,tbl_chests[datetime],"&lt;"&amp;TODAY()-WEEKDAY(TODAY(),2)+8)))</f>
        <v>1</v>
      </c>
      <c r="D36" s="36">
        <f ca="1">IF($A36="","",IF(D$1="","",COUNTIFS(tbl_chests[from],$A36,tbl_chests[legalized],D$1,tbl_chests[datetime],"&gt;="&amp;TODAY()-WEEKDAY(TODAY(),2)+1,tbl_chests[datetime],"&lt;"&amp;TODAY()-WEEKDAY(TODAY(),2)+8)))</f>
        <v>2</v>
      </c>
      <c r="E36" s="36">
        <f ca="1">IF($A36="","",IF(E$1="","",COUNTIFS(tbl_chests[from],$A36,tbl_chests[legalized],E$1,tbl_chests[datetime],"&gt;="&amp;TODAY()-WEEKDAY(TODAY(),2)+1,tbl_chests[datetime],"&lt;"&amp;TODAY()-WEEKDAY(TODAY(),2)+8)))</f>
        <v>1</v>
      </c>
      <c r="F36" s="36">
        <f ca="1">IF($A36="","",IF(F$1="","",COUNTIFS(tbl_chests[from],$A36,tbl_chests[legalized],F$1,tbl_chests[datetime],"&gt;="&amp;TODAY()-WEEKDAY(TODAY(),2)+1,tbl_chests[datetime],"&lt;"&amp;TODAY()-WEEKDAY(TODAY(),2)+8)))</f>
        <v>0</v>
      </c>
      <c r="G36" s="36">
        <f ca="1">IF($A36="","",IF(G$1="","",COUNTIFS(tbl_chests[from],$A36,tbl_chests[legalized],G$1,tbl_chests[datetime],"&gt;="&amp;TODAY()-WEEKDAY(TODAY(),2)+1,tbl_chests[datetime],"&lt;"&amp;TODAY()-WEEKDAY(TODAY(),2)+8)))</f>
        <v>0</v>
      </c>
      <c r="H36" s="36">
        <f ca="1">IF($A36="","",IF(H$1="","",COUNTIFS(tbl_chests[from],$A36,tbl_chests[legalized],H$1,tbl_chests[datetime],"&gt;="&amp;TODAY()-WEEKDAY(TODAY(),2)+1,tbl_chests[datetime],"&lt;"&amp;TODAY()-WEEKDAY(TODAY(),2)+8)))</f>
        <v>1</v>
      </c>
      <c r="I36" s="36">
        <f ca="1">IF($A36="","",IF(I$1="","",COUNTIFS(tbl_chests[from],$A36,tbl_chests[legalized],I$1,tbl_chests[datetime],"&gt;="&amp;TODAY()-WEEKDAY(TODAY(),2)+1,tbl_chests[datetime],"&lt;"&amp;TODAY()-WEEKDAY(TODAY(),2)+8)))</f>
        <v>0</v>
      </c>
      <c r="J36" s="36">
        <f ca="1">IF($A36="","",IF(J$1="","",COUNTIFS(tbl_chests[from],$A36,tbl_chests[legalized],J$1,tbl_chests[datetime],"&gt;="&amp;TODAY()-WEEKDAY(TODAY(),2)+1,tbl_chests[datetime],"&lt;"&amp;TODAY()-WEEKDAY(TODAY(),2)+8)))</f>
        <v>0</v>
      </c>
      <c r="K36" s="36">
        <f ca="1">IF($A36="","",IF(K$1="","",COUNTIFS(tbl_chests[from],$A36,tbl_chests[legalized],K$1,tbl_chests[datetime],"&gt;="&amp;TODAY()-WEEKDAY(TODAY(),2)+1,tbl_chests[datetime],"&lt;"&amp;TODAY()-WEEKDAY(TODAY(),2)+8)))</f>
        <v>0</v>
      </c>
      <c r="L36" s="36">
        <f ca="1">IF($A36="","",IF(L$1="","",COUNTIFS(tbl_chests[from],$A36,tbl_chests[legalized],L$1,tbl_chests[datetime],"&gt;="&amp;TODAY()-WEEKDAY(TODAY(),2)+1,tbl_chests[datetime],"&lt;"&amp;TODAY()-WEEKDAY(TODAY(),2)+8)))</f>
        <v>0</v>
      </c>
      <c r="M36" s="36">
        <f ca="1">IF($A36="","",IF(M$1="","",COUNTIFS(tbl_chests[from],$A36,tbl_chests[legalized],M$1,tbl_chests[datetime],"&gt;="&amp;TODAY()-WEEKDAY(TODAY(),2)+1,tbl_chests[datetime],"&lt;"&amp;TODAY()-WEEKDAY(TODAY(),2)+8)))</f>
        <v>0</v>
      </c>
      <c r="N36" s="36">
        <f ca="1">IF($A36="","",IF(N$1="","",COUNTIFS(tbl_chests[from],$A36,tbl_chests[legalized],N$1,tbl_chests[datetime],"&gt;="&amp;TODAY()-WEEKDAY(TODAY(),2)+1,tbl_chests[datetime],"&lt;"&amp;TODAY()-WEEKDAY(TODAY(),2)+8)))</f>
        <v>0</v>
      </c>
      <c r="O36" s="36">
        <f ca="1">IF($A36="","",IF(O$1="","",COUNTIFS(tbl_chests[from],$A36,tbl_chests[legalized],O$1,tbl_chests[datetime],"&gt;="&amp;TODAY()-WEEKDAY(TODAY(),2)+1,tbl_chests[datetime],"&lt;"&amp;TODAY()-WEEKDAY(TODAY(),2)+8)))</f>
        <v>0</v>
      </c>
      <c r="P36" s="36">
        <f ca="1">IF($A36="","",IF(P$1="","",COUNTIFS(tbl_chests[from],$A36,tbl_chests[legalized],P$1,tbl_chests[datetime],"&gt;="&amp;TODAY()-WEEKDAY(TODAY(),2)+1,tbl_chests[datetime],"&lt;"&amp;TODAY()-WEEKDAY(TODAY(),2)+8)))</f>
        <v>0</v>
      </c>
      <c r="Q36" s="36">
        <f ca="1">IF($A36="","",IF(Q$1="","",COUNTIFS(tbl_chests[from],$A36,tbl_chests[legalized],Q$1,tbl_chests[datetime],"&gt;="&amp;TODAY()-WEEKDAY(TODAY(),2)+1,tbl_chests[datetime],"&lt;"&amp;TODAY()-WEEKDAY(TODAY(),2)+8)))</f>
        <v>0</v>
      </c>
      <c r="R36" s="36">
        <f ca="1">IF($A36="","",IF(R$1="","",COUNTIFS(tbl_chests[from],$A36,tbl_chests[legalized],R$1,tbl_chests[datetime],"&gt;="&amp;TODAY()-WEEKDAY(TODAY(),2)+1,tbl_chests[datetime],"&lt;"&amp;TODAY()-WEEKDAY(TODAY(),2)+8)))</f>
        <v>0</v>
      </c>
      <c r="S36" s="36">
        <f ca="1">IF($A36="","",IF(S$1="","",COUNTIFS(tbl_chests[from],$A36,tbl_chests[legalized],S$1,tbl_chests[datetime],"&gt;="&amp;TODAY()-WEEKDAY(TODAY(),2)+1,tbl_chests[datetime],"&lt;"&amp;TODAY()-WEEKDAY(TODAY(),2)+8)))</f>
        <v>0</v>
      </c>
      <c r="T36" s="36">
        <f ca="1">IF($A36="","",IF(T$1="","",COUNTIFS(tbl_chests[from],$A36,tbl_chests[legalized],T$1,tbl_chests[datetime],"&gt;="&amp;TODAY()-WEEKDAY(TODAY(),2)+1,tbl_chests[datetime],"&lt;"&amp;TODAY()-WEEKDAY(TODAY(),2)+8)))</f>
        <v>0</v>
      </c>
      <c r="U36" s="36">
        <f ca="1">IF($A36="","",IF(U$1="","",COUNTIFS(tbl_chests[from],$A36,tbl_chests[legalized],U$1,tbl_chests[datetime],"&gt;="&amp;TODAY()-WEEKDAY(TODAY(),2)+1,tbl_chests[datetime],"&lt;"&amp;TODAY()-WEEKDAY(TODAY(),2)+8)))</f>
        <v>0</v>
      </c>
      <c r="V36" s="36">
        <f ca="1">IF($A36="","",IF(V$1="","",COUNTIFS(tbl_chests[from],$A36,tbl_chests[legalized],V$1,tbl_chests[datetime],"&gt;="&amp;TODAY()-WEEKDAY(TODAY(),2)+1,tbl_chests[datetime],"&lt;"&amp;TODAY()-WEEKDAY(TODAY(),2)+8)))</f>
        <v>0</v>
      </c>
      <c r="W36" s="36">
        <f ca="1">IF($A36="","",IF(W$1="","",COUNTIFS(tbl_chests[from],$A36,tbl_chests[legalized],W$1,tbl_chests[datetime],"&gt;="&amp;TODAY()-WEEKDAY(TODAY(),2)+1,tbl_chests[datetime],"&lt;"&amp;TODAY()-WEEKDAY(TODAY(),2)+8)))</f>
        <v>0</v>
      </c>
      <c r="X36" s="36">
        <f ca="1">IF($A36="","",IF(X$1="","",COUNTIFS(tbl_chests[from],$A36,tbl_chests[legalized],X$1,tbl_chests[datetime],"&gt;="&amp;TODAY()-WEEKDAY(TODAY(),2)+1,tbl_chests[datetime],"&lt;"&amp;TODAY()-WEEKDAY(TODAY(),2)+8)))</f>
        <v>0</v>
      </c>
      <c r="Y36" s="36">
        <f ca="1">IF($A36="","",IF(Y$1="","",COUNTIFS(tbl_chests[from],$A36,tbl_chests[legalized],Y$1,tbl_chests[datetime],"&gt;="&amp;TODAY()-WEEKDAY(TODAY(),2)+1,tbl_chests[datetime],"&lt;"&amp;TODAY()-WEEKDAY(TODAY(),2)+8)))</f>
        <v>0</v>
      </c>
      <c r="Z36" s="36">
        <f ca="1">IF($A36="","",IF(Z$1="","",COUNTIFS(tbl_chests[from],$A36,tbl_chests[legalized],Z$1,tbl_chests[datetime],"&gt;="&amp;TODAY()-WEEKDAY(TODAY(),2)+1,tbl_chests[datetime],"&lt;"&amp;TODAY()-WEEKDAY(TODAY(),2)+8)))</f>
        <v>0</v>
      </c>
      <c r="AA36" s="36">
        <f ca="1">IF($A36="","",IF(AA$1="","",COUNTIFS(tbl_chests[from],$A36,tbl_chests[legalized],AA$1,tbl_chests[datetime],"&gt;="&amp;TODAY()-WEEKDAY(TODAY(),2)+1,tbl_chests[datetime],"&lt;"&amp;TODAY()-WEEKDAY(TODAY(),2)+8)))</f>
        <v>6</v>
      </c>
      <c r="AB36" s="36">
        <f ca="1">IF($A36="","",IF(AB$1="","",COUNTIFS(tbl_chests[from],$A36,tbl_chests[legalized],AB$1,tbl_chests[datetime],"&gt;="&amp;TODAY()-WEEKDAY(TODAY(),2)+1,tbl_chests[datetime],"&lt;"&amp;TODAY()-WEEKDAY(TODAY(),2)+8)))</f>
        <v>0</v>
      </c>
      <c r="AC36" s="36">
        <f ca="1">IF($A36="","",IF(AC$1="","",COUNTIFS(tbl_chests[from],$A36,tbl_chests[legalized],AC$1,tbl_chests[datetime],"&gt;="&amp;TODAY()-WEEKDAY(TODAY(),2)+1,tbl_chests[datetime],"&lt;"&amp;TODAY()-WEEKDAY(TODAY(),2)+8)))</f>
        <v>0</v>
      </c>
      <c r="AD36" s="36">
        <f ca="1">IF($A36="","",IF(AD$1="","",COUNTIFS(tbl_chests[from],$A36,tbl_chests[legalized],AD$1,tbl_chests[datetime],"&gt;="&amp;TODAY()-WEEKDAY(TODAY(),2)+1,tbl_chests[datetime],"&lt;"&amp;TODAY()-WEEKDAY(TODAY(),2)+8)))</f>
        <v>0</v>
      </c>
      <c r="AE36" s="36">
        <f ca="1">IF($A36="","",IF(AE$1="","",COUNTIFS(tbl_chests[from],$A36,tbl_chests[legalized],AE$1,tbl_chests[datetime],"&gt;="&amp;TODAY()-WEEKDAY(TODAY(),2)+1,tbl_chests[datetime],"&lt;"&amp;TODAY()-WEEKDAY(TODAY(),2)+8)))</f>
        <v>0</v>
      </c>
      <c r="AF36" s="36">
        <f ca="1">IF($A36="","",IF(AF$1="","",COUNTIFS(tbl_chests[from],$A36,tbl_chests[legalized],AF$1,tbl_chests[datetime],"&gt;="&amp;TODAY()-WEEKDAY(TODAY(),2)+1,tbl_chests[datetime],"&lt;"&amp;TODAY()-WEEKDAY(TODAY(),2)+8)))</f>
        <v>0</v>
      </c>
      <c r="AG36" s="36">
        <f ca="1">IF($A36="","",IF(AG$1="","",COUNTIFS(tbl_chests[from],$A36,tbl_chests[legalized],AG$1,tbl_chests[datetime],"&gt;="&amp;TODAY()-WEEKDAY(TODAY(),2)+1,tbl_chests[datetime],"&lt;"&amp;TODAY()-WEEKDAY(TODAY(),2)+8)))</f>
        <v>0</v>
      </c>
      <c r="AH36" s="36">
        <f ca="1">IF($A36="","",IF(AH$1="","",COUNTIFS(tbl_chests[from],$A36,tbl_chests[legalized],AH$1,tbl_chests[datetime],"&gt;="&amp;TODAY()-WEEKDAY(TODAY(),2)+1,tbl_chests[datetime],"&lt;"&amp;TODAY()-WEEKDAY(TODAY(),2)+8)))</f>
        <v>0</v>
      </c>
      <c r="AI36" s="36">
        <f ca="1">IF($A36="","",IF(AI$1="","",COUNTIFS(tbl_chests[from],$A36,tbl_chests[legalized],AI$1,tbl_chests[datetime],"&gt;="&amp;TODAY()-WEEKDAY(TODAY(),2)+1,tbl_chests[datetime],"&lt;"&amp;TODAY()-WEEKDAY(TODAY(),2)+8)))</f>
        <v>0</v>
      </c>
      <c r="AJ36" s="36">
        <f ca="1">IF($A36="","",IF(AJ$1="","",COUNTIFS(tbl_chests[from],$A36,tbl_chests[legalized],AJ$1,tbl_chests[datetime],"&gt;="&amp;TODAY()-WEEKDAY(TODAY(),2)+1,tbl_chests[datetime],"&lt;"&amp;TODAY()-WEEKDAY(TODAY(),2)+8)))</f>
        <v>0</v>
      </c>
      <c r="AK36" s="36">
        <f ca="1">IF($A36="","",IF(AK$1="","",COUNTIFS(tbl_chests[from],$A36,tbl_chests[legalized],AK$1,tbl_chests[datetime],"&gt;="&amp;TODAY()-WEEKDAY(TODAY(),2)+1,tbl_chests[datetime],"&lt;"&amp;TODAY()-WEEKDAY(TODAY(),2)+8)))</f>
        <v>0</v>
      </c>
      <c r="AL36" s="36">
        <f ca="1">IF($A36="","",IF(AL$1="","",COUNTIFS(tbl_chests[from],$A36,tbl_chests[legalized],AL$1,tbl_chests[datetime],"&gt;="&amp;TODAY()-WEEKDAY(TODAY(),2)+1,tbl_chests[datetime],"&lt;"&amp;TODAY()-WEEKDAY(TODAY(),2)+8)))</f>
        <v>0</v>
      </c>
      <c r="AM36" s="37">
        <f ca="1">IF($A36="","",IF(AM$1="","",COUNTIFS(tbl_chests[from],$A36,tbl_chests[legalized],AM$1,tbl_chests[datetime],"&gt;="&amp;TODAY()-WEEKDAY(TODAY(),2)+1,tbl_chests[datetime],"&lt;"&amp;TODAY()-WEEKDAY(TODAY(),2)+8)))</f>
        <v>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 t="str">
        <f>IF($A31 = "","",IF(BF$1 = "","",COUNTIFS(#REF!,$A31,#REF!,BF$1)))</f>
        <v/>
      </c>
      <c r="BG36" s="5" t="str">
        <f>IF($A31 = "","",IF(BG$1 = "","",COUNTIFS(#REF!,$A31,#REF!,BG$1)))</f>
        <v/>
      </c>
      <c r="BH36" s="5" t="str">
        <f>IF($A31 = "","",IF(BH$1 = "","",COUNTIFS(#REF!,$A31,#REF!,BH$1)))</f>
        <v/>
      </c>
      <c r="BI36" s="5" t="str">
        <f>IF($A31 = "","",IF(BI$1 = "","",COUNTIFS(#REF!,$A31,#REF!,BI$1)))</f>
        <v/>
      </c>
      <c r="BJ36" s="5" t="str">
        <f>IF($A31 = "","",IF(BJ$1 = "","",COUNTIFS(#REF!,$A31,#REF!,BJ$1)))</f>
        <v/>
      </c>
      <c r="BK36" s="5" t="str">
        <f>IF($A31 = "","",IF(BK$1 = "","",COUNTIFS(#REF!,$A31,#REF!,BK$1)))</f>
        <v/>
      </c>
      <c r="BL36" s="5" t="str">
        <f>IF($A31 = "","",IF(BL$1 = "","",COUNTIFS(#REF!,$A31,#REF!,BL$1)))</f>
        <v/>
      </c>
      <c r="BM36" s="5" t="str">
        <f>IF($A31 = "","",IF(BM$1 = "","",COUNTIFS(#REF!,$A31,#REF!,BM$1)))</f>
        <v/>
      </c>
      <c r="BN36" s="5" t="str">
        <f>IF($A31 = "","",IF(BN$1 = "","",COUNTIFS(#REF!,$A31,#REF!,BN$1)))</f>
        <v/>
      </c>
      <c r="BO36" s="5" t="str">
        <f>IF($A31 = "","",IF(BO$1 = "","",COUNTIFS(#REF!,$A31,#REF!,BO$1)))</f>
        <v/>
      </c>
    </row>
    <row r="37" spans="1:67" ht="15.75" customHeight="1" x14ac:dyDescent="0.25">
      <c r="A37" s="34" t="str">
        <f>chests_counter!$H34</f>
        <v>Sparta</v>
      </c>
      <c r="B37" s="35" cm="1">
        <f t="array" aca="1" ref="B37" ca="1">IF(A37&lt;&gt;"", SUMPRODUCT(($C$2:$AM$2&lt;&gt;0)*(C37:AM37&lt;&gt;0)*($C$2:$AM$2)*(C37:AM37)), "")</f>
        <v>20</v>
      </c>
      <c r="C37" s="36">
        <f ca="1">IF($A37="","",IF(C$1="","",COUNTIFS(tbl_chests[from],$A37,tbl_chests[legalized],C$1,tbl_chests[datetime],"&gt;="&amp;TODAY()-WEEKDAY(TODAY(),2)+1,tbl_chests[datetime],"&lt;"&amp;TODAY()-WEEKDAY(TODAY(),2)+8)))</f>
        <v>0</v>
      </c>
      <c r="D37" s="36">
        <f ca="1">IF($A37="","",IF(D$1="","",COUNTIFS(tbl_chests[from],$A37,tbl_chests[legalized],D$1,tbl_chests[datetime],"&gt;="&amp;TODAY()-WEEKDAY(TODAY(),2)+1,tbl_chests[datetime],"&lt;"&amp;TODAY()-WEEKDAY(TODAY(),2)+8)))</f>
        <v>1</v>
      </c>
      <c r="E37" s="36">
        <f ca="1">IF($A37="","",IF(E$1="","",COUNTIFS(tbl_chests[from],$A37,tbl_chests[legalized],E$1,tbl_chests[datetime],"&gt;="&amp;TODAY()-WEEKDAY(TODAY(),2)+1,tbl_chests[datetime],"&lt;"&amp;TODAY()-WEEKDAY(TODAY(),2)+8)))</f>
        <v>0</v>
      </c>
      <c r="F37" s="36">
        <f ca="1">IF($A37="","",IF(F$1="","",COUNTIFS(tbl_chests[from],$A37,tbl_chests[legalized],F$1,tbl_chests[datetime],"&gt;="&amp;TODAY()-WEEKDAY(TODAY(),2)+1,tbl_chests[datetime],"&lt;"&amp;TODAY()-WEEKDAY(TODAY(),2)+8)))</f>
        <v>0</v>
      </c>
      <c r="G37" s="36">
        <f ca="1">IF($A37="","",IF(G$1="","",COUNTIFS(tbl_chests[from],$A37,tbl_chests[legalized],G$1,tbl_chests[datetime],"&gt;="&amp;TODAY()-WEEKDAY(TODAY(),2)+1,tbl_chests[datetime],"&lt;"&amp;TODAY()-WEEKDAY(TODAY(),2)+8)))</f>
        <v>0</v>
      </c>
      <c r="H37" s="36">
        <f ca="1">IF($A37="","",IF(H$1="","",COUNTIFS(tbl_chests[from],$A37,tbl_chests[legalized],H$1,tbl_chests[datetime],"&gt;="&amp;TODAY()-WEEKDAY(TODAY(),2)+1,tbl_chests[datetime],"&lt;"&amp;TODAY()-WEEKDAY(TODAY(),2)+8)))</f>
        <v>0</v>
      </c>
      <c r="I37" s="36">
        <f ca="1">IF($A37="","",IF(I$1="","",COUNTIFS(tbl_chests[from],$A37,tbl_chests[legalized],I$1,tbl_chests[datetime],"&gt;="&amp;TODAY()-WEEKDAY(TODAY(),2)+1,tbl_chests[datetime],"&lt;"&amp;TODAY()-WEEKDAY(TODAY(),2)+8)))</f>
        <v>0</v>
      </c>
      <c r="J37" s="36">
        <f ca="1">IF($A37="","",IF(J$1="","",COUNTIFS(tbl_chests[from],$A37,tbl_chests[legalized],J$1,tbl_chests[datetime],"&gt;="&amp;TODAY()-WEEKDAY(TODAY(),2)+1,tbl_chests[datetime],"&lt;"&amp;TODAY()-WEEKDAY(TODAY(),2)+8)))</f>
        <v>0</v>
      </c>
      <c r="K37" s="36">
        <f ca="1">IF($A37="","",IF(K$1="","",COUNTIFS(tbl_chests[from],$A37,tbl_chests[legalized],K$1,tbl_chests[datetime],"&gt;="&amp;TODAY()-WEEKDAY(TODAY(),2)+1,tbl_chests[datetime],"&lt;"&amp;TODAY()-WEEKDAY(TODAY(),2)+8)))</f>
        <v>0</v>
      </c>
      <c r="L37" s="36">
        <f ca="1">IF($A37="","",IF(L$1="","",COUNTIFS(tbl_chests[from],$A37,tbl_chests[legalized],L$1,tbl_chests[datetime],"&gt;="&amp;TODAY()-WEEKDAY(TODAY(),2)+1,tbl_chests[datetime],"&lt;"&amp;TODAY()-WEEKDAY(TODAY(),2)+8)))</f>
        <v>0</v>
      </c>
      <c r="M37" s="36">
        <f ca="1">IF($A37="","",IF(M$1="","",COUNTIFS(tbl_chests[from],$A37,tbl_chests[legalized],M$1,tbl_chests[datetime],"&gt;="&amp;TODAY()-WEEKDAY(TODAY(),2)+1,tbl_chests[datetime],"&lt;"&amp;TODAY()-WEEKDAY(TODAY(),2)+8)))</f>
        <v>0</v>
      </c>
      <c r="N37" s="36">
        <f ca="1">IF($A37="","",IF(N$1="","",COUNTIFS(tbl_chests[from],$A37,tbl_chests[legalized],N$1,tbl_chests[datetime],"&gt;="&amp;TODAY()-WEEKDAY(TODAY(),2)+1,tbl_chests[datetime],"&lt;"&amp;TODAY()-WEEKDAY(TODAY(),2)+8)))</f>
        <v>0</v>
      </c>
      <c r="O37" s="36">
        <f ca="1">IF($A37="","",IF(O$1="","",COUNTIFS(tbl_chests[from],$A37,tbl_chests[legalized],O$1,tbl_chests[datetime],"&gt;="&amp;TODAY()-WEEKDAY(TODAY(),2)+1,tbl_chests[datetime],"&lt;"&amp;TODAY()-WEEKDAY(TODAY(),2)+8)))</f>
        <v>0</v>
      </c>
      <c r="P37" s="36">
        <f ca="1">IF($A37="","",IF(P$1="","",COUNTIFS(tbl_chests[from],$A37,tbl_chests[legalized],P$1,tbl_chests[datetime],"&gt;="&amp;TODAY()-WEEKDAY(TODAY(),2)+1,tbl_chests[datetime],"&lt;"&amp;TODAY()-WEEKDAY(TODAY(),2)+8)))</f>
        <v>0</v>
      </c>
      <c r="Q37" s="36">
        <f ca="1">IF($A37="","",IF(Q$1="","",COUNTIFS(tbl_chests[from],$A37,tbl_chests[legalized],Q$1,tbl_chests[datetime],"&gt;="&amp;TODAY()-WEEKDAY(TODAY(),2)+1,tbl_chests[datetime],"&lt;"&amp;TODAY()-WEEKDAY(TODAY(),2)+8)))</f>
        <v>0</v>
      </c>
      <c r="R37" s="36">
        <f ca="1">IF($A37="","",IF(R$1="","",COUNTIFS(tbl_chests[from],$A37,tbl_chests[legalized],R$1,tbl_chests[datetime],"&gt;="&amp;TODAY()-WEEKDAY(TODAY(),2)+1,tbl_chests[datetime],"&lt;"&amp;TODAY()-WEEKDAY(TODAY(),2)+8)))</f>
        <v>0</v>
      </c>
      <c r="S37" s="36">
        <f ca="1">IF($A37="","",IF(S$1="","",COUNTIFS(tbl_chests[from],$A37,tbl_chests[legalized],S$1,tbl_chests[datetime],"&gt;="&amp;TODAY()-WEEKDAY(TODAY(),2)+1,tbl_chests[datetime],"&lt;"&amp;TODAY()-WEEKDAY(TODAY(),2)+8)))</f>
        <v>0</v>
      </c>
      <c r="T37" s="36">
        <f ca="1">IF($A37="","",IF(T$1="","",COUNTIFS(tbl_chests[from],$A37,tbl_chests[legalized],T$1,tbl_chests[datetime],"&gt;="&amp;TODAY()-WEEKDAY(TODAY(),2)+1,tbl_chests[datetime],"&lt;"&amp;TODAY()-WEEKDAY(TODAY(),2)+8)))</f>
        <v>0</v>
      </c>
      <c r="U37" s="36">
        <f ca="1">IF($A37="","",IF(U$1="","",COUNTIFS(tbl_chests[from],$A37,tbl_chests[legalized],U$1,tbl_chests[datetime],"&gt;="&amp;TODAY()-WEEKDAY(TODAY(),2)+1,tbl_chests[datetime],"&lt;"&amp;TODAY()-WEEKDAY(TODAY(),2)+8)))</f>
        <v>0</v>
      </c>
      <c r="V37" s="36">
        <f ca="1">IF($A37="","",IF(V$1="","",COUNTIFS(tbl_chests[from],$A37,tbl_chests[legalized],V$1,tbl_chests[datetime],"&gt;="&amp;TODAY()-WEEKDAY(TODAY(),2)+1,tbl_chests[datetime],"&lt;"&amp;TODAY()-WEEKDAY(TODAY(),2)+8)))</f>
        <v>0</v>
      </c>
      <c r="W37" s="36">
        <f ca="1">IF($A37="","",IF(W$1="","",COUNTIFS(tbl_chests[from],$A37,tbl_chests[legalized],W$1,tbl_chests[datetime],"&gt;="&amp;TODAY()-WEEKDAY(TODAY(),2)+1,tbl_chests[datetime],"&lt;"&amp;TODAY()-WEEKDAY(TODAY(),2)+8)))</f>
        <v>0</v>
      </c>
      <c r="X37" s="36">
        <f ca="1">IF($A37="","",IF(X$1="","",COUNTIFS(tbl_chests[from],$A37,tbl_chests[legalized],X$1,tbl_chests[datetime],"&gt;="&amp;TODAY()-WEEKDAY(TODAY(),2)+1,tbl_chests[datetime],"&lt;"&amp;TODAY()-WEEKDAY(TODAY(),2)+8)))</f>
        <v>0</v>
      </c>
      <c r="Y37" s="36">
        <f ca="1">IF($A37="","",IF(Y$1="","",COUNTIFS(tbl_chests[from],$A37,tbl_chests[legalized],Y$1,tbl_chests[datetime],"&gt;="&amp;TODAY()-WEEKDAY(TODAY(),2)+1,tbl_chests[datetime],"&lt;"&amp;TODAY()-WEEKDAY(TODAY(),2)+8)))</f>
        <v>0</v>
      </c>
      <c r="Z37" s="36">
        <f ca="1">IF($A37="","",IF(Z$1="","",COUNTIFS(tbl_chests[from],$A37,tbl_chests[legalized],Z$1,tbl_chests[datetime],"&gt;="&amp;TODAY()-WEEKDAY(TODAY(),2)+1,tbl_chests[datetime],"&lt;"&amp;TODAY()-WEEKDAY(TODAY(),2)+8)))</f>
        <v>0</v>
      </c>
      <c r="AA37" s="36">
        <f ca="1">IF($A37="","",IF(AA$1="","",COUNTIFS(tbl_chests[from],$A37,tbl_chests[legalized],AA$1,tbl_chests[datetime],"&gt;="&amp;TODAY()-WEEKDAY(TODAY(),2)+1,tbl_chests[datetime],"&lt;"&amp;TODAY()-WEEKDAY(TODAY(),2)+8)))</f>
        <v>0</v>
      </c>
      <c r="AB37" s="36">
        <f ca="1">IF($A37="","",IF(AB$1="","",COUNTIFS(tbl_chests[from],$A37,tbl_chests[legalized],AB$1,tbl_chests[datetime],"&gt;="&amp;TODAY()-WEEKDAY(TODAY(),2)+1,tbl_chests[datetime],"&lt;"&amp;TODAY()-WEEKDAY(TODAY(),2)+8)))</f>
        <v>0</v>
      </c>
      <c r="AC37" s="36">
        <f ca="1">IF($A37="","",IF(AC$1="","",COUNTIFS(tbl_chests[from],$A37,tbl_chests[legalized],AC$1,tbl_chests[datetime],"&gt;="&amp;TODAY()-WEEKDAY(TODAY(),2)+1,tbl_chests[datetime],"&lt;"&amp;TODAY()-WEEKDAY(TODAY(),2)+8)))</f>
        <v>0</v>
      </c>
      <c r="AD37" s="36">
        <f ca="1">IF($A37="","",IF(AD$1="","",COUNTIFS(tbl_chests[from],$A37,tbl_chests[legalized],AD$1,tbl_chests[datetime],"&gt;="&amp;TODAY()-WEEKDAY(TODAY(),2)+1,tbl_chests[datetime],"&lt;"&amp;TODAY()-WEEKDAY(TODAY(),2)+8)))</f>
        <v>0</v>
      </c>
      <c r="AE37" s="36">
        <f ca="1">IF($A37="","",IF(AE$1="","",COUNTIFS(tbl_chests[from],$A37,tbl_chests[legalized],AE$1,tbl_chests[datetime],"&gt;="&amp;TODAY()-WEEKDAY(TODAY(),2)+1,tbl_chests[datetime],"&lt;"&amp;TODAY()-WEEKDAY(TODAY(),2)+8)))</f>
        <v>0</v>
      </c>
      <c r="AF37" s="36">
        <f ca="1">IF($A37="","",IF(AF$1="","",COUNTIFS(tbl_chests[from],$A37,tbl_chests[legalized],AF$1,tbl_chests[datetime],"&gt;="&amp;TODAY()-WEEKDAY(TODAY(),2)+1,tbl_chests[datetime],"&lt;"&amp;TODAY()-WEEKDAY(TODAY(),2)+8)))</f>
        <v>0</v>
      </c>
      <c r="AG37" s="36">
        <f ca="1">IF($A37="","",IF(AG$1="","",COUNTIFS(tbl_chests[from],$A37,tbl_chests[legalized],AG$1,tbl_chests[datetime],"&gt;="&amp;TODAY()-WEEKDAY(TODAY(),2)+1,tbl_chests[datetime],"&lt;"&amp;TODAY()-WEEKDAY(TODAY(),2)+8)))</f>
        <v>0</v>
      </c>
      <c r="AH37" s="36">
        <f ca="1">IF($A37="","",IF(AH$1="","",COUNTIFS(tbl_chests[from],$A37,tbl_chests[legalized],AH$1,tbl_chests[datetime],"&gt;="&amp;TODAY()-WEEKDAY(TODAY(),2)+1,tbl_chests[datetime],"&lt;"&amp;TODAY()-WEEKDAY(TODAY(),2)+8)))</f>
        <v>0</v>
      </c>
      <c r="AI37" s="36">
        <f ca="1">IF($A37="","",IF(AI$1="","",COUNTIFS(tbl_chests[from],$A37,tbl_chests[legalized],AI$1,tbl_chests[datetime],"&gt;="&amp;TODAY()-WEEKDAY(TODAY(),2)+1,tbl_chests[datetime],"&lt;"&amp;TODAY()-WEEKDAY(TODAY(),2)+8)))</f>
        <v>0</v>
      </c>
      <c r="AJ37" s="36">
        <f ca="1">IF($A37="","",IF(AJ$1="","",COUNTIFS(tbl_chests[from],$A37,tbl_chests[legalized],AJ$1,tbl_chests[datetime],"&gt;="&amp;TODAY()-WEEKDAY(TODAY(),2)+1,tbl_chests[datetime],"&lt;"&amp;TODAY()-WEEKDAY(TODAY(),2)+8)))</f>
        <v>0</v>
      </c>
      <c r="AK37" s="36">
        <f ca="1">IF($A37="","",IF(AK$1="","",COUNTIFS(tbl_chests[from],$A37,tbl_chests[legalized],AK$1,tbl_chests[datetime],"&gt;="&amp;TODAY()-WEEKDAY(TODAY(),2)+1,tbl_chests[datetime],"&lt;"&amp;TODAY()-WEEKDAY(TODAY(),2)+8)))</f>
        <v>0</v>
      </c>
      <c r="AL37" s="36">
        <f ca="1">IF($A37="","",IF(AL$1="","",COUNTIFS(tbl_chests[from],$A37,tbl_chests[legalized],AL$1,tbl_chests[datetime],"&gt;="&amp;TODAY()-WEEKDAY(TODAY(),2)+1,tbl_chests[datetime],"&lt;"&amp;TODAY()-WEEKDAY(TODAY(),2)+8)))</f>
        <v>0</v>
      </c>
      <c r="AM37" s="37">
        <f ca="1">IF($A37="","",IF(AM$1="","",COUNTIFS(tbl_chests[from],$A37,tbl_chests[legalized],AM$1,tbl_chests[datetime],"&gt;="&amp;TODAY()-WEEKDAY(TODAY(),2)+1,tbl_chests[datetime],"&lt;"&amp;TODAY()-WEEKDAY(TODAY(),2)+8)))</f>
        <v>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 ht="15.75" customHeight="1" x14ac:dyDescent="0.25">
      <c r="A38" s="34" t="str">
        <f>chests_counter!$H35</f>
        <v>Stuff</v>
      </c>
      <c r="B38" s="35" cm="1">
        <f t="array" aca="1" ref="B38" ca="1">IF(A38&lt;&gt;"", SUMPRODUCT(($C$2:$AM$2&lt;&gt;0)*(C38:AM38&lt;&gt;0)*($C$2:$AM$2)*(C38:AM38)), "")</f>
        <v>245</v>
      </c>
      <c r="C38" s="36">
        <f ca="1">IF($A38="","",IF(C$1="","",COUNTIFS(tbl_chests[from],$A38,tbl_chests[legalized],C$1,tbl_chests[datetime],"&gt;="&amp;TODAY()-WEEKDAY(TODAY(),2)+1,tbl_chests[datetime],"&lt;"&amp;TODAY()-WEEKDAY(TODAY(),2)+8)))</f>
        <v>0</v>
      </c>
      <c r="D38" s="36">
        <f ca="1">IF($A38="","",IF(D$1="","",COUNTIFS(tbl_chests[from],$A38,tbl_chests[legalized],D$1,tbl_chests[datetime],"&gt;="&amp;TODAY()-WEEKDAY(TODAY(),2)+1,tbl_chests[datetime],"&lt;"&amp;TODAY()-WEEKDAY(TODAY(),2)+8)))</f>
        <v>10</v>
      </c>
      <c r="E38" s="36">
        <f ca="1">IF($A38="","",IF(E$1="","",COUNTIFS(tbl_chests[from],$A38,tbl_chests[legalized],E$1,tbl_chests[datetime],"&gt;="&amp;TODAY()-WEEKDAY(TODAY(),2)+1,tbl_chests[datetime],"&lt;"&amp;TODAY()-WEEKDAY(TODAY(),2)+8)))</f>
        <v>0</v>
      </c>
      <c r="F38" s="36">
        <f ca="1">IF($A38="","",IF(F$1="","",COUNTIFS(tbl_chests[from],$A38,tbl_chests[legalized],F$1,tbl_chests[datetime],"&gt;="&amp;TODAY()-WEEKDAY(TODAY(),2)+1,tbl_chests[datetime],"&lt;"&amp;TODAY()-WEEKDAY(TODAY(),2)+8)))</f>
        <v>0</v>
      </c>
      <c r="G38" s="36">
        <f ca="1">IF($A38="","",IF(G$1="","",COUNTIFS(tbl_chests[from],$A38,tbl_chests[legalized],G$1,tbl_chests[datetime],"&gt;="&amp;TODAY()-WEEKDAY(TODAY(),2)+1,tbl_chests[datetime],"&lt;"&amp;TODAY()-WEEKDAY(TODAY(),2)+8)))</f>
        <v>0</v>
      </c>
      <c r="H38" s="36">
        <f ca="1">IF($A38="","",IF(H$1="","",COUNTIFS(tbl_chests[from],$A38,tbl_chests[legalized],H$1,tbl_chests[datetime],"&gt;="&amp;TODAY()-WEEKDAY(TODAY(),2)+1,tbl_chests[datetime],"&lt;"&amp;TODAY()-WEEKDAY(TODAY(),2)+8)))</f>
        <v>0</v>
      </c>
      <c r="I38" s="36">
        <f ca="1">IF($A38="","",IF(I$1="","",COUNTIFS(tbl_chests[from],$A38,tbl_chests[legalized],I$1,tbl_chests[datetime],"&gt;="&amp;TODAY()-WEEKDAY(TODAY(),2)+1,tbl_chests[datetime],"&lt;"&amp;TODAY()-WEEKDAY(TODAY(),2)+8)))</f>
        <v>0</v>
      </c>
      <c r="J38" s="36">
        <f ca="1">IF($A38="","",IF(J$1="","",COUNTIFS(tbl_chests[from],$A38,tbl_chests[legalized],J$1,tbl_chests[datetime],"&gt;="&amp;TODAY()-WEEKDAY(TODAY(),2)+1,tbl_chests[datetime],"&lt;"&amp;TODAY()-WEEKDAY(TODAY(),2)+8)))</f>
        <v>0</v>
      </c>
      <c r="K38" s="36">
        <f ca="1">IF($A38="","",IF(K$1="","",COUNTIFS(tbl_chests[from],$A38,tbl_chests[legalized],K$1,tbl_chests[datetime],"&gt;="&amp;TODAY()-WEEKDAY(TODAY(),2)+1,tbl_chests[datetime],"&lt;"&amp;TODAY()-WEEKDAY(TODAY(),2)+8)))</f>
        <v>0</v>
      </c>
      <c r="L38" s="36">
        <f ca="1">IF($A38="","",IF(L$1="","",COUNTIFS(tbl_chests[from],$A38,tbl_chests[legalized],L$1,tbl_chests[datetime],"&gt;="&amp;TODAY()-WEEKDAY(TODAY(),2)+1,tbl_chests[datetime],"&lt;"&amp;TODAY()-WEEKDAY(TODAY(),2)+8)))</f>
        <v>0</v>
      </c>
      <c r="M38" s="36">
        <f ca="1">IF($A38="","",IF(M$1="","",COUNTIFS(tbl_chests[from],$A38,tbl_chests[legalized],M$1,tbl_chests[datetime],"&gt;="&amp;TODAY()-WEEKDAY(TODAY(),2)+1,tbl_chests[datetime],"&lt;"&amp;TODAY()-WEEKDAY(TODAY(),2)+8)))</f>
        <v>0</v>
      </c>
      <c r="N38" s="36">
        <f ca="1">IF($A38="","",IF(N$1="","",COUNTIFS(tbl_chests[from],$A38,tbl_chests[legalized],N$1,tbl_chests[datetime],"&gt;="&amp;TODAY()-WEEKDAY(TODAY(),2)+1,tbl_chests[datetime],"&lt;"&amp;TODAY()-WEEKDAY(TODAY(),2)+8)))</f>
        <v>0</v>
      </c>
      <c r="O38" s="36">
        <f ca="1">IF($A38="","",IF(O$1="","",COUNTIFS(tbl_chests[from],$A38,tbl_chests[legalized],O$1,tbl_chests[datetime],"&gt;="&amp;TODAY()-WEEKDAY(TODAY(),2)+1,tbl_chests[datetime],"&lt;"&amp;TODAY()-WEEKDAY(TODAY(),2)+8)))</f>
        <v>0</v>
      </c>
      <c r="P38" s="36">
        <f ca="1">IF($A38="","",IF(P$1="","",COUNTIFS(tbl_chests[from],$A38,tbl_chests[legalized],P$1,tbl_chests[datetime],"&gt;="&amp;TODAY()-WEEKDAY(TODAY(),2)+1,tbl_chests[datetime],"&lt;"&amp;TODAY()-WEEKDAY(TODAY(),2)+8)))</f>
        <v>0</v>
      </c>
      <c r="Q38" s="36">
        <f ca="1">IF($A38="","",IF(Q$1="","",COUNTIFS(tbl_chests[from],$A38,tbl_chests[legalized],Q$1,tbl_chests[datetime],"&gt;="&amp;TODAY()-WEEKDAY(TODAY(),2)+1,tbl_chests[datetime],"&lt;"&amp;TODAY()-WEEKDAY(TODAY(),2)+8)))</f>
        <v>0</v>
      </c>
      <c r="R38" s="36">
        <f ca="1">IF($A38="","",IF(R$1="","",COUNTIFS(tbl_chests[from],$A38,tbl_chests[legalized],R$1,tbl_chests[datetime],"&gt;="&amp;TODAY()-WEEKDAY(TODAY(),2)+1,tbl_chests[datetime],"&lt;"&amp;TODAY()-WEEKDAY(TODAY(),2)+8)))</f>
        <v>0</v>
      </c>
      <c r="S38" s="36">
        <f ca="1">IF($A38="","",IF(S$1="","",COUNTIFS(tbl_chests[from],$A38,tbl_chests[legalized],S$1,tbl_chests[datetime],"&gt;="&amp;TODAY()-WEEKDAY(TODAY(),2)+1,tbl_chests[datetime],"&lt;"&amp;TODAY()-WEEKDAY(TODAY(),2)+8)))</f>
        <v>0</v>
      </c>
      <c r="T38" s="36">
        <f ca="1">IF($A38="","",IF(T$1="","",COUNTIFS(tbl_chests[from],$A38,tbl_chests[legalized],T$1,tbl_chests[datetime],"&gt;="&amp;TODAY()-WEEKDAY(TODAY(),2)+1,tbl_chests[datetime],"&lt;"&amp;TODAY()-WEEKDAY(TODAY(),2)+8)))</f>
        <v>0</v>
      </c>
      <c r="U38" s="36">
        <f ca="1">IF($A38="","",IF(U$1="","",COUNTIFS(tbl_chests[from],$A38,tbl_chests[legalized],U$1,tbl_chests[datetime],"&gt;="&amp;TODAY()-WEEKDAY(TODAY(),2)+1,tbl_chests[datetime],"&lt;"&amp;TODAY()-WEEKDAY(TODAY(),2)+8)))</f>
        <v>0</v>
      </c>
      <c r="V38" s="36">
        <f ca="1">IF($A38="","",IF(V$1="","",COUNTIFS(tbl_chests[from],$A38,tbl_chests[legalized],V$1,tbl_chests[datetime],"&gt;="&amp;TODAY()-WEEKDAY(TODAY(),2)+1,tbl_chests[datetime],"&lt;"&amp;TODAY()-WEEKDAY(TODAY(),2)+8)))</f>
        <v>0</v>
      </c>
      <c r="W38" s="36">
        <f ca="1">IF($A38="","",IF(W$1="","",COUNTIFS(tbl_chests[from],$A38,tbl_chests[legalized],W$1,tbl_chests[datetime],"&gt;="&amp;TODAY()-WEEKDAY(TODAY(),2)+1,tbl_chests[datetime],"&lt;"&amp;TODAY()-WEEKDAY(TODAY(),2)+8)))</f>
        <v>0</v>
      </c>
      <c r="X38" s="36">
        <f ca="1">IF($A38="","",IF(X$1="","",COUNTIFS(tbl_chests[from],$A38,tbl_chests[legalized],X$1,tbl_chests[datetime],"&gt;="&amp;TODAY()-WEEKDAY(TODAY(),2)+1,tbl_chests[datetime],"&lt;"&amp;TODAY()-WEEKDAY(TODAY(),2)+8)))</f>
        <v>0</v>
      </c>
      <c r="Y38" s="36">
        <f ca="1">IF($A38="","",IF(Y$1="","",COUNTIFS(tbl_chests[from],$A38,tbl_chests[legalized],Y$1,tbl_chests[datetime],"&gt;="&amp;TODAY()-WEEKDAY(TODAY(),2)+1,tbl_chests[datetime],"&lt;"&amp;TODAY()-WEEKDAY(TODAY(),2)+8)))</f>
        <v>0</v>
      </c>
      <c r="Z38" s="36">
        <f ca="1">IF($A38="","",IF(Z$1="","",COUNTIFS(tbl_chests[from],$A38,tbl_chests[legalized],Z$1,tbl_chests[datetime],"&gt;="&amp;TODAY()-WEEKDAY(TODAY(),2)+1,tbl_chests[datetime],"&lt;"&amp;TODAY()-WEEKDAY(TODAY(),2)+8)))</f>
        <v>0</v>
      </c>
      <c r="AA38" s="36">
        <f ca="1">IF($A38="","",IF(AA$1="","",COUNTIFS(tbl_chests[from],$A38,tbl_chests[legalized],AA$1,tbl_chests[datetime],"&gt;="&amp;TODAY()-WEEKDAY(TODAY(),2)+1,tbl_chests[datetime],"&lt;"&amp;TODAY()-WEEKDAY(TODAY(),2)+8)))</f>
        <v>0</v>
      </c>
      <c r="AB38" s="36">
        <f ca="1">IF($A38="","",IF(AB$1="","",COUNTIFS(tbl_chests[from],$A38,tbl_chests[legalized],AB$1,tbl_chests[datetime],"&gt;="&amp;TODAY()-WEEKDAY(TODAY(),2)+1,tbl_chests[datetime],"&lt;"&amp;TODAY()-WEEKDAY(TODAY(),2)+8)))</f>
        <v>0</v>
      </c>
      <c r="AC38" s="36">
        <f ca="1">IF($A38="","",IF(AC$1="","",COUNTIFS(tbl_chests[from],$A38,tbl_chests[legalized],AC$1,tbl_chests[datetime],"&gt;="&amp;TODAY()-WEEKDAY(TODAY(),2)+1,tbl_chests[datetime],"&lt;"&amp;TODAY()-WEEKDAY(TODAY(),2)+8)))</f>
        <v>0</v>
      </c>
      <c r="AD38" s="36">
        <f ca="1">IF($A38="","",IF(AD$1="","",COUNTIFS(tbl_chests[from],$A38,tbl_chests[legalized],AD$1,tbl_chests[datetime],"&gt;="&amp;TODAY()-WEEKDAY(TODAY(),2)+1,tbl_chests[datetime],"&lt;"&amp;TODAY()-WEEKDAY(TODAY(),2)+8)))</f>
        <v>0</v>
      </c>
      <c r="AE38" s="36">
        <f ca="1">IF($A38="","",IF(AE$1="","",COUNTIFS(tbl_chests[from],$A38,tbl_chests[legalized],AE$1,tbl_chests[datetime],"&gt;="&amp;TODAY()-WEEKDAY(TODAY(),2)+1,tbl_chests[datetime],"&lt;"&amp;TODAY()-WEEKDAY(TODAY(),2)+8)))</f>
        <v>9</v>
      </c>
      <c r="AF38" s="36">
        <f ca="1">IF($A38="","",IF(AF$1="","",COUNTIFS(tbl_chests[from],$A38,tbl_chests[legalized],AF$1,tbl_chests[datetime],"&gt;="&amp;TODAY()-WEEKDAY(TODAY(),2)+1,tbl_chests[datetime],"&lt;"&amp;TODAY()-WEEKDAY(TODAY(),2)+8)))</f>
        <v>0</v>
      </c>
      <c r="AG38" s="36">
        <f ca="1">IF($A38="","",IF(AG$1="","",COUNTIFS(tbl_chests[from],$A38,tbl_chests[legalized],AG$1,tbl_chests[datetime],"&gt;="&amp;TODAY()-WEEKDAY(TODAY(),2)+1,tbl_chests[datetime],"&lt;"&amp;TODAY()-WEEKDAY(TODAY(),2)+8)))</f>
        <v>0</v>
      </c>
      <c r="AH38" s="36">
        <f ca="1">IF($A38="","",IF(AH$1="","",COUNTIFS(tbl_chests[from],$A38,tbl_chests[legalized],AH$1,tbl_chests[datetime],"&gt;="&amp;TODAY()-WEEKDAY(TODAY(),2)+1,tbl_chests[datetime],"&lt;"&amp;TODAY()-WEEKDAY(TODAY(),2)+8)))</f>
        <v>0</v>
      </c>
      <c r="AI38" s="36">
        <f ca="1">IF($A38="","",IF(AI$1="","",COUNTIFS(tbl_chests[from],$A38,tbl_chests[legalized],AI$1,tbl_chests[datetime],"&gt;="&amp;TODAY()-WEEKDAY(TODAY(),2)+1,tbl_chests[datetime],"&lt;"&amp;TODAY()-WEEKDAY(TODAY(),2)+8)))</f>
        <v>0</v>
      </c>
      <c r="AJ38" s="36">
        <f ca="1">IF($A38="","",IF(AJ$1="","",COUNTIFS(tbl_chests[from],$A38,tbl_chests[legalized],AJ$1,tbl_chests[datetime],"&gt;="&amp;TODAY()-WEEKDAY(TODAY(),2)+1,tbl_chests[datetime],"&lt;"&amp;TODAY()-WEEKDAY(TODAY(),2)+8)))</f>
        <v>0</v>
      </c>
      <c r="AK38" s="36">
        <f ca="1">IF($A38="","",IF(AK$1="","",COUNTIFS(tbl_chests[from],$A38,tbl_chests[legalized],AK$1,tbl_chests[datetime],"&gt;="&amp;TODAY()-WEEKDAY(TODAY(),2)+1,tbl_chests[datetime],"&lt;"&amp;TODAY()-WEEKDAY(TODAY(),2)+8)))</f>
        <v>0</v>
      </c>
      <c r="AL38" s="36">
        <f ca="1">IF($A38="","",IF(AL$1="","",COUNTIFS(tbl_chests[from],$A38,tbl_chests[legalized],AL$1,tbl_chests[datetime],"&gt;="&amp;TODAY()-WEEKDAY(TODAY(),2)+1,tbl_chests[datetime],"&lt;"&amp;TODAY()-WEEKDAY(TODAY(),2)+8)))</f>
        <v>0</v>
      </c>
      <c r="AM38" s="37">
        <f ca="1">IF($A38="","",IF(AM$1="","",COUNTIFS(tbl_chests[from],$A38,tbl_chests[legalized],AM$1,tbl_chests[datetime],"&gt;="&amp;TODAY()-WEEKDAY(TODAY(),2)+1,tbl_chests[datetime],"&lt;"&amp;TODAY()-WEEKDAY(TODAY(),2)+8)))</f>
        <v>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 ht="15.75" customHeight="1" x14ac:dyDescent="0.25">
      <c r="A39" s="34" t="str">
        <f>chests_counter!$H36</f>
        <v>Tiimo807</v>
      </c>
      <c r="B39" s="35" cm="1">
        <f t="array" aca="1" ref="B39" ca="1">IF(A39&lt;&gt;"", SUMPRODUCT(($C$2:$AM$2&lt;&gt;0)*(C39:AM39&lt;&gt;0)*($C$2:$AM$2)*(C39:AM39)), "")</f>
        <v>30</v>
      </c>
      <c r="C39" s="36">
        <f ca="1">IF($A39="","",IF(C$1="","",COUNTIFS(tbl_chests[from],$A39,tbl_chests[legalized],C$1,tbl_chests[datetime],"&gt;="&amp;TODAY()-WEEKDAY(TODAY(),2)+1,tbl_chests[datetime],"&lt;"&amp;TODAY()-WEEKDAY(TODAY(),2)+8)))</f>
        <v>1</v>
      </c>
      <c r="D39" s="36">
        <f ca="1">IF($A39="","",IF(D$1="","",COUNTIFS(tbl_chests[from],$A39,tbl_chests[legalized],D$1,tbl_chests[datetime],"&gt;="&amp;TODAY()-WEEKDAY(TODAY(),2)+1,tbl_chests[datetime],"&lt;"&amp;TODAY()-WEEKDAY(TODAY(),2)+8)))</f>
        <v>1</v>
      </c>
      <c r="E39" s="36">
        <f ca="1">IF($A39="","",IF(E$1="","",COUNTIFS(tbl_chests[from],$A39,tbl_chests[legalized],E$1,tbl_chests[datetime],"&gt;="&amp;TODAY()-WEEKDAY(TODAY(),2)+1,tbl_chests[datetime],"&lt;"&amp;TODAY()-WEEKDAY(TODAY(),2)+8)))</f>
        <v>0</v>
      </c>
      <c r="F39" s="36">
        <f ca="1">IF($A39="","",IF(F$1="","",COUNTIFS(tbl_chests[from],$A39,tbl_chests[legalized],F$1,tbl_chests[datetime],"&gt;="&amp;TODAY()-WEEKDAY(TODAY(),2)+1,tbl_chests[datetime],"&lt;"&amp;TODAY()-WEEKDAY(TODAY(),2)+8)))</f>
        <v>0</v>
      </c>
      <c r="G39" s="36">
        <f ca="1">IF($A39="","",IF(G$1="","",COUNTIFS(tbl_chests[from],$A39,tbl_chests[legalized],G$1,tbl_chests[datetime],"&gt;="&amp;TODAY()-WEEKDAY(TODAY(),2)+1,tbl_chests[datetime],"&lt;"&amp;TODAY()-WEEKDAY(TODAY(),2)+8)))</f>
        <v>0</v>
      </c>
      <c r="H39" s="36">
        <f ca="1">IF($A39="","",IF(H$1="","",COUNTIFS(tbl_chests[from],$A39,tbl_chests[legalized],H$1,tbl_chests[datetime],"&gt;="&amp;TODAY()-WEEKDAY(TODAY(),2)+1,tbl_chests[datetime],"&lt;"&amp;TODAY()-WEEKDAY(TODAY(),2)+8)))</f>
        <v>0</v>
      </c>
      <c r="I39" s="36">
        <f ca="1">IF($A39="","",IF(I$1="","",COUNTIFS(tbl_chests[from],$A39,tbl_chests[legalized],I$1,tbl_chests[datetime],"&gt;="&amp;TODAY()-WEEKDAY(TODAY(),2)+1,tbl_chests[datetime],"&lt;"&amp;TODAY()-WEEKDAY(TODAY(),2)+8)))</f>
        <v>0</v>
      </c>
      <c r="J39" s="36">
        <f ca="1">IF($A39="","",IF(J$1="","",COUNTIFS(tbl_chests[from],$A39,tbl_chests[legalized],J$1,tbl_chests[datetime],"&gt;="&amp;TODAY()-WEEKDAY(TODAY(),2)+1,tbl_chests[datetime],"&lt;"&amp;TODAY()-WEEKDAY(TODAY(),2)+8)))</f>
        <v>0</v>
      </c>
      <c r="K39" s="36">
        <f ca="1">IF($A39="","",IF(K$1="","",COUNTIFS(tbl_chests[from],$A39,tbl_chests[legalized],K$1,tbl_chests[datetime],"&gt;="&amp;TODAY()-WEEKDAY(TODAY(),2)+1,tbl_chests[datetime],"&lt;"&amp;TODAY()-WEEKDAY(TODAY(),2)+8)))</f>
        <v>0</v>
      </c>
      <c r="L39" s="36">
        <f ca="1">IF($A39="","",IF(L$1="","",COUNTIFS(tbl_chests[from],$A39,tbl_chests[legalized],L$1,tbl_chests[datetime],"&gt;="&amp;TODAY()-WEEKDAY(TODAY(),2)+1,tbl_chests[datetime],"&lt;"&amp;TODAY()-WEEKDAY(TODAY(),2)+8)))</f>
        <v>0</v>
      </c>
      <c r="M39" s="36">
        <f ca="1">IF($A39="","",IF(M$1="","",COUNTIFS(tbl_chests[from],$A39,tbl_chests[legalized],M$1,tbl_chests[datetime],"&gt;="&amp;TODAY()-WEEKDAY(TODAY(),2)+1,tbl_chests[datetime],"&lt;"&amp;TODAY()-WEEKDAY(TODAY(),2)+8)))</f>
        <v>0</v>
      </c>
      <c r="N39" s="36">
        <f ca="1">IF($A39="","",IF(N$1="","",COUNTIFS(tbl_chests[from],$A39,tbl_chests[legalized],N$1,tbl_chests[datetime],"&gt;="&amp;TODAY()-WEEKDAY(TODAY(),2)+1,tbl_chests[datetime],"&lt;"&amp;TODAY()-WEEKDAY(TODAY(),2)+8)))</f>
        <v>0</v>
      </c>
      <c r="O39" s="36">
        <f ca="1">IF($A39="","",IF(O$1="","",COUNTIFS(tbl_chests[from],$A39,tbl_chests[legalized],O$1,tbl_chests[datetime],"&gt;="&amp;TODAY()-WEEKDAY(TODAY(),2)+1,tbl_chests[datetime],"&lt;"&amp;TODAY()-WEEKDAY(TODAY(),2)+8)))</f>
        <v>0</v>
      </c>
      <c r="P39" s="36">
        <f ca="1">IF($A39="","",IF(P$1="","",COUNTIFS(tbl_chests[from],$A39,tbl_chests[legalized],P$1,tbl_chests[datetime],"&gt;="&amp;TODAY()-WEEKDAY(TODAY(),2)+1,tbl_chests[datetime],"&lt;"&amp;TODAY()-WEEKDAY(TODAY(),2)+8)))</f>
        <v>0</v>
      </c>
      <c r="Q39" s="36">
        <f ca="1">IF($A39="","",IF(Q$1="","",COUNTIFS(tbl_chests[from],$A39,tbl_chests[legalized],Q$1,tbl_chests[datetime],"&gt;="&amp;TODAY()-WEEKDAY(TODAY(),2)+1,tbl_chests[datetime],"&lt;"&amp;TODAY()-WEEKDAY(TODAY(),2)+8)))</f>
        <v>0</v>
      </c>
      <c r="R39" s="36">
        <f ca="1">IF($A39="","",IF(R$1="","",COUNTIFS(tbl_chests[from],$A39,tbl_chests[legalized],R$1,tbl_chests[datetime],"&gt;="&amp;TODAY()-WEEKDAY(TODAY(),2)+1,tbl_chests[datetime],"&lt;"&amp;TODAY()-WEEKDAY(TODAY(),2)+8)))</f>
        <v>0</v>
      </c>
      <c r="S39" s="36">
        <f ca="1">IF($A39="","",IF(S$1="","",COUNTIFS(tbl_chests[from],$A39,tbl_chests[legalized],S$1,tbl_chests[datetime],"&gt;="&amp;TODAY()-WEEKDAY(TODAY(),2)+1,tbl_chests[datetime],"&lt;"&amp;TODAY()-WEEKDAY(TODAY(),2)+8)))</f>
        <v>0</v>
      </c>
      <c r="T39" s="36">
        <f ca="1">IF($A39="","",IF(T$1="","",COUNTIFS(tbl_chests[from],$A39,tbl_chests[legalized],T$1,tbl_chests[datetime],"&gt;="&amp;TODAY()-WEEKDAY(TODAY(),2)+1,tbl_chests[datetime],"&lt;"&amp;TODAY()-WEEKDAY(TODAY(),2)+8)))</f>
        <v>0</v>
      </c>
      <c r="U39" s="36">
        <f ca="1">IF($A39="","",IF(U$1="","",COUNTIFS(tbl_chests[from],$A39,tbl_chests[legalized],U$1,tbl_chests[datetime],"&gt;="&amp;TODAY()-WEEKDAY(TODAY(),2)+1,tbl_chests[datetime],"&lt;"&amp;TODAY()-WEEKDAY(TODAY(),2)+8)))</f>
        <v>0</v>
      </c>
      <c r="V39" s="36">
        <f ca="1">IF($A39="","",IF(V$1="","",COUNTIFS(tbl_chests[from],$A39,tbl_chests[legalized],V$1,tbl_chests[datetime],"&gt;="&amp;TODAY()-WEEKDAY(TODAY(),2)+1,tbl_chests[datetime],"&lt;"&amp;TODAY()-WEEKDAY(TODAY(),2)+8)))</f>
        <v>0</v>
      </c>
      <c r="W39" s="36">
        <f ca="1">IF($A39="","",IF(W$1="","",COUNTIFS(tbl_chests[from],$A39,tbl_chests[legalized],W$1,tbl_chests[datetime],"&gt;="&amp;TODAY()-WEEKDAY(TODAY(),2)+1,tbl_chests[datetime],"&lt;"&amp;TODAY()-WEEKDAY(TODAY(),2)+8)))</f>
        <v>0</v>
      </c>
      <c r="X39" s="36">
        <f ca="1">IF($A39="","",IF(X$1="","",COUNTIFS(tbl_chests[from],$A39,tbl_chests[legalized],X$1,tbl_chests[datetime],"&gt;="&amp;TODAY()-WEEKDAY(TODAY(),2)+1,tbl_chests[datetime],"&lt;"&amp;TODAY()-WEEKDAY(TODAY(),2)+8)))</f>
        <v>0</v>
      </c>
      <c r="Y39" s="36">
        <f ca="1">IF($A39="","",IF(Y$1="","",COUNTIFS(tbl_chests[from],$A39,tbl_chests[legalized],Y$1,tbl_chests[datetime],"&gt;="&amp;TODAY()-WEEKDAY(TODAY(),2)+1,tbl_chests[datetime],"&lt;"&amp;TODAY()-WEEKDAY(TODAY(),2)+8)))</f>
        <v>0</v>
      </c>
      <c r="Z39" s="36">
        <f ca="1">IF($A39="","",IF(Z$1="","",COUNTIFS(tbl_chests[from],$A39,tbl_chests[legalized],Z$1,tbl_chests[datetime],"&gt;="&amp;TODAY()-WEEKDAY(TODAY(),2)+1,tbl_chests[datetime],"&lt;"&amp;TODAY()-WEEKDAY(TODAY(),2)+8)))</f>
        <v>0</v>
      </c>
      <c r="AA39" s="36">
        <f ca="1">IF($A39="","",IF(AA$1="","",COUNTIFS(tbl_chests[from],$A39,tbl_chests[legalized],AA$1,tbl_chests[datetime],"&gt;="&amp;TODAY()-WEEKDAY(TODAY(),2)+1,tbl_chests[datetime],"&lt;"&amp;TODAY()-WEEKDAY(TODAY(),2)+8)))</f>
        <v>0</v>
      </c>
      <c r="AB39" s="36">
        <f ca="1">IF($A39="","",IF(AB$1="","",COUNTIFS(tbl_chests[from],$A39,tbl_chests[legalized],AB$1,tbl_chests[datetime],"&gt;="&amp;TODAY()-WEEKDAY(TODAY(),2)+1,tbl_chests[datetime],"&lt;"&amp;TODAY()-WEEKDAY(TODAY(),2)+8)))</f>
        <v>0</v>
      </c>
      <c r="AC39" s="36">
        <f ca="1">IF($A39="","",IF(AC$1="","",COUNTIFS(tbl_chests[from],$A39,tbl_chests[legalized],AC$1,tbl_chests[datetime],"&gt;="&amp;TODAY()-WEEKDAY(TODAY(),2)+1,tbl_chests[datetime],"&lt;"&amp;TODAY()-WEEKDAY(TODAY(),2)+8)))</f>
        <v>0</v>
      </c>
      <c r="AD39" s="36">
        <f ca="1">IF($A39="","",IF(AD$1="","",COUNTIFS(tbl_chests[from],$A39,tbl_chests[legalized],AD$1,tbl_chests[datetime],"&gt;="&amp;TODAY()-WEEKDAY(TODAY(),2)+1,tbl_chests[datetime],"&lt;"&amp;TODAY()-WEEKDAY(TODAY(),2)+8)))</f>
        <v>0</v>
      </c>
      <c r="AE39" s="36">
        <f ca="1">IF($A39="","",IF(AE$1="","",COUNTIFS(tbl_chests[from],$A39,tbl_chests[legalized],AE$1,tbl_chests[datetime],"&gt;="&amp;TODAY()-WEEKDAY(TODAY(),2)+1,tbl_chests[datetime],"&lt;"&amp;TODAY()-WEEKDAY(TODAY(),2)+8)))</f>
        <v>0</v>
      </c>
      <c r="AF39" s="36">
        <f ca="1">IF($A39="","",IF(AF$1="","",COUNTIFS(tbl_chests[from],$A39,tbl_chests[legalized],AF$1,tbl_chests[datetime],"&gt;="&amp;TODAY()-WEEKDAY(TODAY(),2)+1,tbl_chests[datetime],"&lt;"&amp;TODAY()-WEEKDAY(TODAY(),2)+8)))</f>
        <v>0</v>
      </c>
      <c r="AG39" s="36">
        <f ca="1">IF($A39="","",IF(AG$1="","",COUNTIFS(tbl_chests[from],$A39,tbl_chests[legalized],AG$1,tbl_chests[datetime],"&gt;="&amp;TODAY()-WEEKDAY(TODAY(),2)+1,tbl_chests[datetime],"&lt;"&amp;TODAY()-WEEKDAY(TODAY(),2)+8)))</f>
        <v>0</v>
      </c>
      <c r="AH39" s="36">
        <f ca="1">IF($A39="","",IF(AH$1="","",COUNTIFS(tbl_chests[from],$A39,tbl_chests[legalized],AH$1,tbl_chests[datetime],"&gt;="&amp;TODAY()-WEEKDAY(TODAY(),2)+1,tbl_chests[datetime],"&lt;"&amp;TODAY()-WEEKDAY(TODAY(),2)+8)))</f>
        <v>0</v>
      </c>
      <c r="AI39" s="36">
        <f ca="1">IF($A39="","",IF(AI$1="","",COUNTIFS(tbl_chests[from],$A39,tbl_chests[legalized],AI$1,tbl_chests[datetime],"&gt;="&amp;TODAY()-WEEKDAY(TODAY(),2)+1,tbl_chests[datetime],"&lt;"&amp;TODAY()-WEEKDAY(TODAY(),2)+8)))</f>
        <v>0</v>
      </c>
      <c r="AJ39" s="36">
        <f ca="1">IF($A39="","",IF(AJ$1="","",COUNTIFS(tbl_chests[from],$A39,tbl_chests[legalized],AJ$1,tbl_chests[datetime],"&gt;="&amp;TODAY()-WEEKDAY(TODAY(),2)+1,tbl_chests[datetime],"&lt;"&amp;TODAY()-WEEKDAY(TODAY(),2)+8)))</f>
        <v>0</v>
      </c>
      <c r="AK39" s="36">
        <f ca="1">IF($A39="","",IF(AK$1="","",COUNTIFS(tbl_chests[from],$A39,tbl_chests[legalized],AK$1,tbl_chests[datetime],"&gt;="&amp;TODAY()-WEEKDAY(TODAY(),2)+1,tbl_chests[datetime],"&lt;"&amp;TODAY()-WEEKDAY(TODAY(),2)+8)))</f>
        <v>0</v>
      </c>
      <c r="AL39" s="36">
        <f ca="1">IF($A39="","",IF(AL$1="","",COUNTIFS(tbl_chests[from],$A39,tbl_chests[legalized],AL$1,tbl_chests[datetime],"&gt;="&amp;TODAY()-WEEKDAY(TODAY(),2)+1,tbl_chests[datetime],"&lt;"&amp;TODAY()-WEEKDAY(TODAY(),2)+8)))</f>
        <v>0</v>
      </c>
      <c r="AM39" s="37">
        <f ca="1">IF($A39="","",IF(AM$1="","",COUNTIFS(tbl_chests[from],$A39,tbl_chests[legalized],AM$1,tbl_chests[datetime],"&gt;="&amp;TODAY()-WEEKDAY(TODAY(),2)+1,tbl_chests[datetime],"&lt;"&amp;TODAY()-WEEKDAY(TODAY(),2)+8)))</f>
        <v>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 ht="15.75" customHeight="1" x14ac:dyDescent="0.25">
      <c r="A40" s="34" t="str">
        <f>chests_counter!$H37</f>
        <v>Toastman</v>
      </c>
      <c r="B40" s="35" cm="1">
        <f t="array" aca="1" ref="B40" ca="1">IF(A40&lt;&gt;"", SUMPRODUCT(($C$2:$AM$2&lt;&gt;0)*(C40:AM40&lt;&gt;0)*($C$2:$AM$2)*(C40:AM40)), "")</f>
        <v>70</v>
      </c>
      <c r="C40" s="36">
        <f ca="1">IF($A40="","",IF(C$1="","",COUNTIFS(tbl_chests[from],$A40,tbl_chests[legalized],C$1,tbl_chests[datetime],"&gt;="&amp;TODAY()-WEEKDAY(TODAY(),2)+1,tbl_chests[datetime],"&lt;"&amp;TODAY()-WEEKDAY(TODAY(),2)+8)))</f>
        <v>0</v>
      </c>
      <c r="D40" s="36">
        <f ca="1">IF($A40="","",IF(D$1="","",COUNTIFS(tbl_chests[from],$A40,tbl_chests[legalized],D$1,tbl_chests[datetime],"&gt;="&amp;TODAY()-WEEKDAY(TODAY(),2)+1,tbl_chests[datetime],"&lt;"&amp;TODAY()-WEEKDAY(TODAY(),2)+8)))</f>
        <v>2</v>
      </c>
      <c r="E40" s="36">
        <f ca="1">IF($A40="","",IF(E$1="","",COUNTIFS(tbl_chests[from],$A40,tbl_chests[legalized],E$1,tbl_chests[datetime],"&gt;="&amp;TODAY()-WEEKDAY(TODAY(),2)+1,tbl_chests[datetime],"&lt;"&amp;TODAY()-WEEKDAY(TODAY(),2)+8)))</f>
        <v>1</v>
      </c>
      <c r="F40" s="36">
        <f ca="1">IF($A40="","",IF(F$1="","",COUNTIFS(tbl_chests[from],$A40,tbl_chests[legalized],F$1,tbl_chests[datetime],"&gt;="&amp;TODAY()-WEEKDAY(TODAY(),2)+1,tbl_chests[datetime],"&lt;"&amp;TODAY()-WEEKDAY(TODAY(),2)+8)))</f>
        <v>0</v>
      </c>
      <c r="G40" s="36">
        <f ca="1">IF($A40="","",IF(G$1="","",COUNTIFS(tbl_chests[from],$A40,tbl_chests[legalized],G$1,tbl_chests[datetime],"&gt;="&amp;TODAY()-WEEKDAY(TODAY(),2)+1,tbl_chests[datetime],"&lt;"&amp;TODAY()-WEEKDAY(TODAY(),2)+8)))</f>
        <v>0</v>
      </c>
      <c r="H40" s="36">
        <f ca="1">IF($A40="","",IF(H$1="","",COUNTIFS(tbl_chests[from],$A40,tbl_chests[legalized],H$1,tbl_chests[datetime],"&gt;="&amp;TODAY()-WEEKDAY(TODAY(),2)+1,tbl_chests[datetime],"&lt;"&amp;TODAY()-WEEKDAY(TODAY(),2)+8)))</f>
        <v>0</v>
      </c>
      <c r="I40" s="36">
        <f ca="1">IF($A40="","",IF(I$1="","",COUNTIFS(tbl_chests[from],$A40,tbl_chests[legalized],I$1,tbl_chests[datetime],"&gt;="&amp;TODAY()-WEEKDAY(TODAY(),2)+1,tbl_chests[datetime],"&lt;"&amp;TODAY()-WEEKDAY(TODAY(),2)+8)))</f>
        <v>0</v>
      </c>
      <c r="J40" s="36">
        <f ca="1">IF($A40="","",IF(J$1="","",COUNTIFS(tbl_chests[from],$A40,tbl_chests[legalized],J$1,tbl_chests[datetime],"&gt;="&amp;TODAY()-WEEKDAY(TODAY(),2)+1,tbl_chests[datetime],"&lt;"&amp;TODAY()-WEEKDAY(TODAY(),2)+8)))</f>
        <v>0</v>
      </c>
      <c r="K40" s="36">
        <f ca="1">IF($A40="","",IF(K$1="","",COUNTIFS(tbl_chests[from],$A40,tbl_chests[legalized],K$1,tbl_chests[datetime],"&gt;="&amp;TODAY()-WEEKDAY(TODAY(),2)+1,tbl_chests[datetime],"&lt;"&amp;TODAY()-WEEKDAY(TODAY(),2)+8)))</f>
        <v>0</v>
      </c>
      <c r="L40" s="36">
        <f ca="1">IF($A40="","",IF(L$1="","",COUNTIFS(tbl_chests[from],$A40,tbl_chests[legalized],L$1,tbl_chests[datetime],"&gt;="&amp;TODAY()-WEEKDAY(TODAY(),2)+1,tbl_chests[datetime],"&lt;"&amp;TODAY()-WEEKDAY(TODAY(),2)+8)))</f>
        <v>0</v>
      </c>
      <c r="M40" s="36">
        <f ca="1">IF($A40="","",IF(M$1="","",COUNTIFS(tbl_chests[from],$A40,tbl_chests[legalized],M$1,tbl_chests[datetime],"&gt;="&amp;TODAY()-WEEKDAY(TODAY(),2)+1,tbl_chests[datetime],"&lt;"&amp;TODAY()-WEEKDAY(TODAY(),2)+8)))</f>
        <v>0</v>
      </c>
      <c r="N40" s="36">
        <f ca="1">IF($A40="","",IF(N$1="","",COUNTIFS(tbl_chests[from],$A40,tbl_chests[legalized],N$1,tbl_chests[datetime],"&gt;="&amp;TODAY()-WEEKDAY(TODAY(),2)+1,tbl_chests[datetime],"&lt;"&amp;TODAY()-WEEKDAY(TODAY(),2)+8)))</f>
        <v>0</v>
      </c>
      <c r="O40" s="36">
        <f ca="1">IF($A40="","",IF(O$1="","",COUNTIFS(tbl_chests[from],$A40,tbl_chests[legalized],O$1,tbl_chests[datetime],"&gt;="&amp;TODAY()-WEEKDAY(TODAY(),2)+1,tbl_chests[datetime],"&lt;"&amp;TODAY()-WEEKDAY(TODAY(),2)+8)))</f>
        <v>0</v>
      </c>
      <c r="P40" s="36">
        <f ca="1">IF($A40="","",IF(P$1="","",COUNTIFS(tbl_chests[from],$A40,tbl_chests[legalized],P$1,tbl_chests[datetime],"&gt;="&amp;TODAY()-WEEKDAY(TODAY(),2)+1,tbl_chests[datetime],"&lt;"&amp;TODAY()-WEEKDAY(TODAY(),2)+8)))</f>
        <v>0</v>
      </c>
      <c r="Q40" s="36">
        <f ca="1">IF($A40="","",IF(Q$1="","",COUNTIFS(tbl_chests[from],$A40,tbl_chests[legalized],Q$1,tbl_chests[datetime],"&gt;="&amp;TODAY()-WEEKDAY(TODAY(),2)+1,tbl_chests[datetime],"&lt;"&amp;TODAY()-WEEKDAY(TODAY(),2)+8)))</f>
        <v>0</v>
      </c>
      <c r="R40" s="36">
        <f ca="1">IF($A40="","",IF(R$1="","",COUNTIFS(tbl_chests[from],$A40,tbl_chests[legalized],R$1,tbl_chests[datetime],"&gt;="&amp;TODAY()-WEEKDAY(TODAY(),2)+1,tbl_chests[datetime],"&lt;"&amp;TODAY()-WEEKDAY(TODAY(),2)+8)))</f>
        <v>0</v>
      </c>
      <c r="S40" s="36">
        <f ca="1">IF($A40="","",IF(S$1="","",COUNTIFS(tbl_chests[from],$A40,tbl_chests[legalized],S$1,tbl_chests[datetime],"&gt;="&amp;TODAY()-WEEKDAY(TODAY(),2)+1,tbl_chests[datetime],"&lt;"&amp;TODAY()-WEEKDAY(TODAY(),2)+8)))</f>
        <v>0</v>
      </c>
      <c r="T40" s="36">
        <f ca="1">IF($A40="","",IF(T$1="","",COUNTIFS(tbl_chests[from],$A40,tbl_chests[legalized],T$1,tbl_chests[datetime],"&gt;="&amp;TODAY()-WEEKDAY(TODAY(),2)+1,tbl_chests[datetime],"&lt;"&amp;TODAY()-WEEKDAY(TODAY(),2)+8)))</f>
        <v>0</v>
      </c>
      <c r="U40" s="36">
        <f ca="1">IF($A40="","",IF(U$1="","",COUNTIFS(tbl_chests[from],$A40,tbl_chests[legalized],U$1,tbl_chests[datetime],"&gt;="&amp;TODAY()-WEEKDAY(TODAY(),2)+1,tbl_chests[datetime],"&lt;"&amp;TODAY()-WEEKDAY(TODAY(),2)+8)))</f>
        <v>0</v>
      </c>
      <c r="V40" s="36">
        <f ca="1">IF($A40="","",IF(V$1="","",COUNTIFS(tbl_chests[from],$A40,tbl_chests[legalized],V$1,tbl_chests[datetime],"&gt;="&amp;TODAY()-WEEKDAY(TODAY(),2)+1,tbl_chests[datetime],"&lt;"&amp;TODAY()-WEEKDAY(TODAY(),2)+8)))</f>
        <v>0</v>
      </c>
      <c r="W40" s="36">
        <f ca="1">IF($A40="","",IF(W$1="","",COUNTIFS(tbl_chests[from],$A40,tbl_chests[legalized],W$1,tbl_chests[datetime],"&gt;="&amp;TODAY()-WEEKDAY(TODAY(),2)+1,tbl_chests[datetime],"&lt;"&amp;TODAY()-WEEKDAY(TODAY(),2)+8)))</f>
        <v>0</v>
      </c>
      <c r="X40" s="36">
        <f ca="1">IF($A40="","",IF(X$1="","",COUNTIFS(tbl_chests[from],$A40,tbl_chests[legalized],X$1,tbl_chests[datetime],"&gt;="&amp;TODAY()-WEEKDAY(TODAY(),2)+1,tbl_chests[datetime],"&lt;"&amp;TODAY()-WEEKDAY(TODAY(),2)+8)))</f>
        <v>0</v>
      </c>
      <c r="Y40" s="36">
        <f ca="1">IF($A40="","",IF(Y$1="","",COUNTIFS(tbl_chests[from],$A40,tbl_chests[legalized],Y$1,tbl_chests[datetime],"&gt;="&amp;TODAY()-WEEKDAY(TODAY(),2)+1,tbl_chests[datetime],"&lt;"&amp;TODAY()-WEEKDAY(TODAY(),2)+8)))</f>
        <v>0</v>
      </c>
      <c r="Z40" s="36">
        <f ca="1">IF($A40="","",IF(Z$1="","",COUNTIFS(tbl_chests[from],$A40,tbl_chests[legalized],Z$1,tbl_chests[datetime],"&gt;="&amp;TODAY()-WEEKDAY(TODAY(),2)+1,tbl_chests[datetime],"&lt;"&amp;TODAY()-WEEKDAY(TODAY(),2)+8)))</f>
        <v>0</v>
      </c>
      <c r="AA40" s="36">
        <f ca="1">IF($A40="","",IF(AA$1="","",COUNTIFS(tbl_chests[from],$A40,tbl_chests[legalized],AA$1,tbl_chests[datetime],"&gt;="&amp;TODAY()-WEEKDAY(TODAY(),2)+1,tbl_chests[datetime],"&lt;"&amp;TODAY()-WEEKDAY(TODAY(),2)+8)))</f>
        <v>0</v>
      </c>
      <c r="AB40" s="36">
        <f ca="1">IF($A40="","",IF(AB$1="","",COUNTIFS(tbl_chests[from],$A40,tbl_chests[legalized],AB$1,tbl_chests[datetime],"&gt;="&amp;TODAY()-WEEKDAY(TODAY(),2)+1,tbl_chests[datetime],"&lt;"&amp;TODAY()-WEEKDAY(TODAY(),2)+8)))</f>
        <v>0</v>
      </c>
      <c r="AC40" s="36">
        <f ca="1">IF($A40="","",IF(AC$1="","",COUNTIFS(tbl_chests[from],$A40,tbl_chests[legalized],AC$1,tbl_chests[datetime],"&gt;="&amp;TODAY()-WEEKDAY(TODAY(),2)+1,tbl_chests[datetime],"&lt;"&amp;TODAY()-WEEKDAY(TODAY(),2)+8)))</f>
        <v>0</v>
      </c>
      <c r="AD40" s="36">
        <f ca="1">IF($A40="","",IF(AD$1="","",COUNTIFS(tbl_chests[from],$A40,tbl_chests[legalized],AD$1,tbl_chests[datetime],"&gt;="&amp;TODAY()-WEEKDAY(TODAY(),2)+1,tbl_chests[datetime],"&lt;"&amp;TODAY()-WEEKDAY(TODAY(),2)+8)))</f>
        <v>0</v>
      </c>
      <c r="AE40" s="36">
        <f ca="1">IF($A40="","",IF(AE$1="","",COUNTIFS(tbl_chests[from],$A40,tbl_chests[legalized],AE$1,tbl_chests[datetime],"&gt;="&amp;TODAY()-WEEKDAY(TODAY(),2)+1,tbl_chests[datetime],"&lt;"&amp;TODAY()-WEEKDAY(TODAY(),2)+8)))</f>
        <v>0</v>
      </c>
      <c r="AF40" s="36">
        <f ca="1">IF($A40="","",IF(AF$1="","",COUNTIFS(tbl_chests[from],$A40,tbl_chests[legalized],AF$1,tbl_chests[datetime],"&gt;="&amp;TODAY()-WEEKDAY(TODAY(),2)+1,tbl_chests[datetime],"&lt;"&amp;TODAY()-WEEKDAY(TODAY(),2)+8)))</f>
        <v>0</v>
      </c>
      <c r="AG40" s="36">
        <f ca="1">IF($A40="","",IF(AG$1="","",COUNTIFS(tbl_chests[from],$A40,tbl_chests[legalized],AG$1,tbl_chests[datetime],"&gt;="&amp;TODAY()-WEEKDAY(TODAY(),2)+1,tbl_chests[datetime],"&lt;"&amp;TODAY()-WEEKDAY(TODAY(),2)+8)))</f>
        <v>0</v>
      </c>
      <c r="AH40" s="36">
        <f ca="1">IF($A40="","",IF(AH$1="","",COUNTIFS(tbl_chests[from],$A40,tbl_chests[legalized],AH$1,tbl_chests[datetime],"&gt;="&amp;TODAY()-WEEKDAY(TODAY(),2)+1,tbl_chests[datetime],"&lt;"&amp;TODAY()-WEEKDAY(TODAY(),2)+8)))</f>
        <v>0</v>
      </c>
      <c r="AI40" s="36">
        <f ca="1">IF($A40="","",IF(AI$1="","",COUNTIFS(tbl_chests[from],$A40,tbl_chests[legalized],AI$1,tbl_chests[datetime],"&gt;="&amp;TODAY()-WEEKDAY(TODAY(),2)+1,tbl_chests[datetime],"&lt;"&amp;TODAY()-WEEKDAY(TODAY(),2)+8)))</f>
        <v>0</v>
      </c>
      <c r="AJ40" s="36">
        <f ca="1">IF($A40="","",IF(AJ$1="","",COUNTIFS(tbl_chests[from],$A40,tbl_chests[legalized],AJ$1,tbl_chests[datetime],"&gt;="&amp;TODAY()-WEEKDAY(TODAY(),2)+1,tbl_chests[datetime],"&lt;"&amp;TODAY()-WEEKDAY(TODAY(),2)+8)))</f>
        <v>0</v>
      </c>
      <c r="AK40" s="36">
        <f ca="1">IF($A40="","",IF(AK$1="","",COUNTIFS(tbl_chests[from],$A40,tbl_chests[legalized],AK$1,tbl_chests[datetime],"&gt;="&amp;TODAY()-WEEKDAY(TODAY(),2)+1,tbl_chests[datetime],"&lt;"&amp;TODAY()-WEEKDAY(TODAY(),2)+8)))</f>
        <v>0</v>
      </c>
      <c r="AL40" s="36">
        <f ca="1">IF($A40="","",IF(AL$1="","",COUNTIFS(tbl_chests[from],$A40,tbl_chests[legalized],AL$1,tbl_chests[datetime],"&gt;="&amp;TODAY()-WEEKDAY(TODAY(),2)+1,tbl_chests[datetime],"&lt;"&amp;TODAY()-WEEKDAY(TODAY(),2)+8)))</f>
        <v>0</v>
      </c>
      <c r="AM40" s="37">
        <f ca="1">IF($A40="","",IF(AM$1="","",COUNTIFS(tbl_chests[from],$A40,tbl_chests[legalized],AM$1,tbl_chests[datetime],"&gt;="&amp;TODAY()-WEEKDAY(TODAY(),2)+1,tbl_chests[datetime],"&lt;"&amp;TODAY()-WEEKDAY(TODAY(),2)+8)))</f>
        <v>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 ht="15.75" customHeight="1" x14ac:dyDescent="0.25">
      <c r="A41" s="34" t="str">
        <f>chests_counter!$H38</f>
        <v>Van Jazzle</v>
      </c>
      <c r="B41" s="35" cm="1">
        <f t="array" aca="1" ref="B41" ca="1">IF(A41&lt;&gt;"", SUMPRODUCT(($C$2:$AM$2&lt;&gt;0)*(C41:AM41&lt;&gt;0)*($C$2:$AM$2)*(C41:AM41)), "")</f>
        <v>100</v>
      </c>
      <c r="C41" s="36">
        <f ca="1">IF($A41="","",IF(C$1="","",COUNTIFS(tbl_chests[from],$A41,tbl_chests[legalized],C$1,tbl_chests[datetime],"&gt;="&amp;TODAY()-WEEKDAY(TODAY(),2)+1,tbl_chests[datetime],"&lt;"&amp;TODAY()-WEEKDAY(TODAY(),2)+8)))</f>
        <v>2</v>
      </c>
      <c r="D41" s="36">
        <f ca="1">IF($A41="","",IF(D$1="","",COUNTIFS(tbl_chests[from],$A41,tbl_chests[legalized],D$1,tbl_chests[datetime],"&gt;="&amp;TODAY()-WEEKDAY(TODAY(),2)+1,tbl_chests[datetime],"&lt;"&amp;TODAY()-WEEKDAY(TODAY(),2)+8)))</f>
        <v>4</v>
      </c>
      <c r="E41" s="36">
        <f ca="1">IF($A41="","",IF(E$1="","",COUNTIFS(tbl_chests[from],$A41,tbl_chests[legalized],E$1,tbl_chests[datetime],"&gt;="&amp;TODAY()-WEEKDAY(TODAY(),2)+1,tbl_chests[datetime],"&lt;"&amp;TODAY()-WEEKDAY(TODAY(),2)+8)))</f>
        <v>0</v>
      </c>
      <c r="F41" s="36">
        <f ca="1">IF($A41="","",IF(F$1="","",COUNTIFS(tbl_chests[from],$A41,tbl_chests[legalized],F$1,tbl_chests[datetime],"&gt;="&amp;TODAY()-WEEKDAY(TODAY(),2)+1,tbl_chests[datetime],"&lt;"&amp;TODAY()-WEEKDAY(TODAY(),2)+8)))</f>
        <v>0</v>
      </c>
      <c r="G41" s="36">
        <f ca="1">IF($A41="","",IF(G$1="","",COUNTIFS(tbl_chests[from],$A41,tbl_chests[legalized],G$1,tbl_chests[datetime],"&gt;="&amp;TODAY()-WEEKDAY(TODAY(),2)+1,tbl_chests[datetime],"&lt;"&amp;TODAY()-WEEKDAY(TODAY(),2)+8)))</f>
        <v>0</v>
      </c>
      <c r="H41" s="36">
        <f ca="1">IF($A41="","",IF(H$1="","",COUNTIFS(tbl_chests[from],$A41,tbl_chests[legalized],H$1,tbl_chests[datetime],"&gt;="&amp;TODAY()-WEEKDAY(TODAY(),2)+1,tbl_chests[datetime],"&lt;"&amp;TODAY()-WEEKDAY(TODAY(),2)+8)))</f>
        <v>0</v>
      </c>
      <c r="I41" s="36">
        <f ca="1">IF($A41="","",IF(I$1="","",COUNTIFS(tbl_chests[from],$A41,tbl_chests[legalized],I$1,tbl_chests[datetime],"&gt;="&amp;TODAY()-WEEKDAY(TODAY(),2)+1,tbl_chests[datetime],"&lt;"&amp;TODAY()-WEEKDAY(TODAY(),2)+8)))</f>
        <v>0</v>
      </c>
      <c r="J41" s="36">
        <f ca="1">IF($A41="","",IF(J$1="","",COUNTIFS(tbl_chests[from],$A41,tbl_chests[legalized],J$1,tbl_chests[datetime],"&gt;="&amp;TODAY()-WEEKDAY(TODAY(),2)+1,tbl_chests[datetime],"&lt;"&amp;TODAY()-WEEKDAY(TODAY(),2)+8)))</f>
        <v>0</v>
      </c>
      <c r="K41" s="36">
        <f ca="1">IF($A41="","",IF(K$1="","",COUNTIFS(tbl_chests[from],$A41,tbl_chests[legalized],K$1,tbl_chests[datetime],"&gt;="&amp;TODAY()-WEEKDAY(TODAY(),2)+1,tbl_chests[datetime],"&lt;"&amp;TODAY()-WEEKDAY(TODAY(),2)+8)))</f>
        <v>0</v>
      </c>
      <c r="L41" s="36">
        <f ca="1">IF($A41="","",IF(L$1="","",COUNTIFS(tbl_chests[from],$A41,tbl_chests[legalized],L$1,tbl_chests[datetime],"&gt;="&amp;TODAY()-WEEKDAY(TODAY(),2)+1,tbl_chests[datetime],"&lt;"&amp;TODAY()-WEEKDAY(TODAY(),2)+8)))</f>
        <v>0</v>
      </c>
      <c r="M41" s="36">
        <f ca="1">IF($A41="","",IF(M$1="","",COUNTIFS(tbl_chests[from],$A41,tbl_chests[legalized],M$1,tbl_chests[datetime],"&gt;="&amp;TODAY()-WEEKDAY(TODAY(),2)+1,tbl_chests[datetime],"&lt;"&amp;TODAY()-WEEKDAY(TODAY(),2)+8)))</f>
        <v>0</v>
      </c>
      <c r="N41" s="36">
        <f ca="1">IF($A41="","",IF(N$1="","",COUNTIFS(tbl_chests[from],$A41,tbl_chests[legalized],N$1,tbl_chests[datetime],"&gt;="&amp;TODAY()-WEEKDAY(TODAY(),2)+1,tbl_chests[datetime],"&lt;"&amp;TODAY()-WEEKDAY(TODAY(),2)+8)))</f>
        <v>0</v>
      </c>
      <c r="O41" s="36">
        <f ca="1">IF($A41="","",IF(O$1="","",COUNTIFS(tbl_chests[from],$A41,tbl_chests[legalized],O$1,tbl_chests[datetime],"&gt;="&amp;TODAY()-WEEKDAY(TODAY(),2)+1,tbl_chests[datetime],"&lt;"&amp;TODAY()-WEEKDAY(TODAY(),2)+8)))</f>
        <v>0</v>
      </c>
      <c r="P41" s="36">
        <f ca="1">IF($A41="","",IF(P$1="","",COUNTIFS(tbl_chests[from],$A41,tbl_chests[legalized],P$1,tbl_chests[datetime],"&gt;="&amp;TODAY()-WEEKDAY(TODAY(),2)+1,tbl_chests[datetime],"&lt;"&amp;TODAY()-WEEKDAY(TODAY(),2)+8)))</f>
        <v>0</v>
      </c>
      <c r="Q41" s="36">
        <f ca="1">IF($A41="","",IF(Q$1="","",COUNTIFS(tbl_chests[from],$A41,tbl_chests[legalized],Q$1,tbl_chests[datetime],"&gt;="&amp;TODAY()-WEEKDAY(TODAY(),2)+1,tbl_chests[datetime],"&lt;"&amp;TODAY()-WEEKDAY(TODAY(),2)+8)))</f>
        <v>0</v>
      </c>
      <c r="R41" s="36">
        <f ca="1">IF($A41="","",IF(R$1="","",COUNTIFS(tbl_chests[from],$A41,tbl_chests[legalized],R$1,tbl_chests[datetime],"&gt;="&amp;TODAY()-WEEKDAY(TODAY(),2)+1,tbl_chests[datetime],"&lt;"&amp;TODAY()-WEEKDAY(TODAY(),2)+8)))</f>
        <v>0</v>
      </c>
      <c r="S41" s="36">
        <f ca="1">IF($A41="","",IF(S$1="","",COUNTIFS(tbl_chests[from],$A41,tbl_chests[legalized],S$1,tbl_chests[datetime],"&gt;="&amp;TODAY()-WEEKDAY(TODAY(),2)+1,tbl_chests[datetime],"&lt;"&amp;TODAY()-WEEKDAY(TODAY(),2)+8)))</f>
        <v>0</v>
      </c>
      <c r="T41" s="36">
        <f ca="1">IF($A41="","",IF(T$1="","",COUNTIFS(tbl_chests[from],$A41,tbl_chests[legalized],T$1,tbl_chests[datetime],"&gt;="&amp;TODAY()-WEEKDAY(TODAY(),2)+1,tbl_chests[datetime],"&lt;"&amp;TODAY()-WEEKDAY(TODAY(),2)+8)))</f>
        <v>0</v>
      </c>
      <c r="U41" s="36">
        <f ca="1">IF($A41="","",IF(U$1="","",COUNTIFS(tbl_chests[from],$A41,tbl_chests[legalized],U$1,tbl_chests[datetime],"&gt;="&amp;TODAY()-WEEKDAY(TODAY(),2)+1,tbl_chests[datetime],"&lt;"&amp;TODAY()-WEEKDAY(TODAY(),2)+8)))</f>
        <v>0</v>
      </c>
      <c r="V41" s="36">
        <f ca="1">IF($A41="","",IF(V$1="","",COUNTIFS(tbl_chests[from],$A41,tbl_chests[legalized],V$1,tbl_chests[datetime],"&gt;="&amp;TODAY()-WEEKDAY(TODAY(),2)+1,tbl_chests[datetime],"&lt;"&amp;TODAY()-WEEKDAY(TODAY(),2)+8)))</f>
        <v>0</v>
      </c>
      <c r="W41" s="36">
        <f ca="1">IF($A41="","",IF(W$1="","",COUNTIFS(tbl_chests[from],$A41,tbl_chests[legalized],W$1,tbl_chests[datetime],"&gt;="&amp;TODAY()-WEEKDAY(TODAY(),2)+1,tbl_chests[datetime],"&lt;"&amp;TODAY()-WEEKDAY(TODAY(),2)+8)))</f>
        <v>0</v>
      </c>
      <c r="X41" s="36">
        <f ca="1">IF($A41="","",IF(X$1="","",COUNTIFS(tbl_chests[from],$A41,tbl_chests[legalized],X$1,tbl_chests[datetime],"&gt;="&amp;TODAY()-WEEKDAY(TODAY(),2)+1,tbl_chests[datetime],"&lt;"&amp;TODAY()-WEEKDAY(TODAY(),2)+8)))</f>
        <v>0</v>
      </c>
      <c r="Y41" s="36">
        <f ca="1">IF($A41="","",IF(Y$1="","",COUNTIFS(tbl_chests[from],$A41,tbl_chests[legalized],Y$1,tbl_chests[datetime],"&gt;="&amp;TODAY()-WEEKDAY(TODAY(),2)+1,tbl_chests[datetime],"&lt;"&amp;TODAY()-WEEKDAY(TODAY(),2)+8)))</f>
        <v>0</v>
      </c>
      <c r="Z41" s="36">
        <f ca="1">IF($A41="","",IF(Z$1="","",COUNTIFS(tbl_chests[from],$A41,tbl_chests[legalized],Z$1,tbl_chests[datetime],"&gt;="&amp;TODAY()-WEEKDAY(TODAY(),2)+1,tbl_chests[datetime],"&lt;"&amp;TODAY()-WEEKDAY(TODAY(),2)+8)))</f>
        <v>0</v>
      </c>
      <c r="AA41" s="36">
        <f ca="1">IF($A41="","",IF(AA$1="","",COUNTIFS(tbl_chests[from],$A41,tbl_chests[legalized],AA$1,tbl_chests[datetime],"&gt;="&amp;TODAY()-WEEKDAY(TODAY(),2)+1,tbl_chests[datetime],"&lt;"&amp;TODAY()-WEEKDAY(TODAY(),2)+8)))</f>
        <v>0</v>
      </c>
      <c r="AB41" s="36">
        <f ca="1">IF($A41="","",IF(AB$1="","",COUNTIFS(tbl_chests[from],$A41,tbl_chests[legalized],AB$1,tbl_chests[datetime],"&gt;="&amp;TODAY()-WEEKDAY(TODAY(),2)+1,tbl_chests[datetime],"&lt;"&amp;TODAY()-WEEKDAY(TODAY(),2)+8)))</f>
        <v>0</v>
      </c>
      <c r="AC41" s="36">
        <f ca="1">IF($A41="","",IF(AC$1="","",COUNTIFS(tbl_chests[from],$A41,tbl_chests[legalized],AC$1,tbl_chests[datetime],"&gt;="&amp;TODAY()-WEEKDAY(TODAY(),2)+1,tbl_chests[datetime],"&lt;"&amp;TODAY()-WEEKDAY(TODAY(),2)+8)))</f>
        <v>0</v>
      </c>
      <c r="AD41" s="36">
        <f ca="1">IF($A41="","",IF(AD$1="","",COUNTIFS(tbl_chests[from],$A41,tbl_chests[legalized],AD$1,tbl_chests[datetime],"&gt;="&amp;TODAY()-WEEKDAY(TODAY(),2)+1,tbl_chests[datetime],"&lt;"&amp;TODAY()-WEEKDAY(TODAY(),2)+8)))</f>
        <v>0</v>
      </c>
      <c r="AE41" s="36">
        <f ca="1">IF($A41="","",IF(AE$1="","",COUNTIFS(tbl_chests[from],$A41,tbl_chests[legalized],AE$1,tbl_chests[datetime],"&gt;="&amp;TODAY()-WEEKDAY(TODAY(),2)+1,tbl_chests[datetime],"&lt;"&amp;TODAY()-WEEKDAY(TODAY(),2)+8)))</f>
        <v>0</v>
      </c>
      <c r="AF41" s="36">
        <f ca="1">IF($A41="","",IF(AF$1="","",COUNTIFS(tbl_chests[from],$A41,tbl_chests[legalized],AF$1,tbl_chests[datetime],"&gt;="&amp;TODAY()-WEEKDAY(TODAY(),2)+1,tbl_chests[datetime],"&lt;"&amp;TODAY()-WEEKDAY(TODAY(),2)+8)))</f>
        <v>0</v>
      </c>
      <c r="AG41" s="36">
        <f ca="1">IF($A41="","",IF(AG$1="","",COUNTIFS(tbl_chests[from],$A41,tbl_chests[legalized],AG$1,tbl_chests[datetime],"&gt;="&amp;TODAY()-WEEKDAY(TODAY(),2)+1,tbl_chests[datetime],"&lt;"&amp;TODAY()-WEEKDAY(TODAY(),2)+8)))</f>
        <v>0</v>
      </c>
      <c r="AH41" s="36">
        <f ca="1">IF($A41="","",IF(AH$1="","",COUNTIFS(tbl_chests[from],$A41,tbl_chests[legalized],AH$1,tbl_chests[datetime],"&gt;="&amp;TODAY()-WEEKDAY(TODAY(),2)+1,tbl_chests[datetime],"&lt;"&amp;TODAY()-WEEKDAY(TODAY(),2)+8)))</f>
        <v>0</v>
      </c>
      <c r="AI41" s="36">
        <f ca="1">IF($A41="","",IF(AI$1="","",COUNTIFS(tbl_chests[from],$A41,tbl_chests[legalized],AI$1,tbl_chests[datetime],"&gt;="&amp;TODAY()-WEEKDAY(TODAY(),2)+1,tbl_chests[datetime],"&lt;"&amp;TODAY()-WEEKDAY(TODAY(),2)+8)))</f>
        <v>0</v>
      </c>
      <c r="AJ41" s="36">
        <f ca="1">IF($A41="","",IF(AJ$1="","",COUNTIFS(tbl_chests[from],$A41,tbl_chests[legalized],AJ$1,tbl_chests[datetime],"&gt;="&amp;TODAY()-WEEKDAY(TODAY(),2)+1,tbl_chests[datetime],"&lt;"&amp;TODAY()-WEEKDAY(TODAY(),2)+8)))</f>
        <v>0</v>
      </c>
      <c r="AK41" s="36">
        <f ca="1">IF($A41="","",IF(AK$1="","",COUNTIFS(tbl_chests[from],$A41,tbl_chests[legalized],AK$1,tbl_chests[datetime],"&gt;="&amp;TODAY()-WEEKDAY(TODAY(),2)+1,tbl_chests[datetime],"&lt;"&amp;TODAY()-WEEKDAY(TODAY(),2)+8)))</f>
        <v>0</v>
      </c>
      <c r="AL41" s="36">
        <f ca="1">IF($A41="","",IF(AL$1="","",COUNTIFS(tbl_chests[from],$A41,tbl_chests[legalized],AL$1,tbl_chests[datetime],"&gt;="&amp;TODAY()-WEEKDAY(TODAY(),2)+1,tbl_chests[datetime],"&lt;"&amp;TODAY()-WEEKDAY(TODAY(),2)+8)))</f>
        <v>0</v>
      </c>
      <c r="AM41" s="37">
        <f ca="1">IF($A41="","",IF(AM$1="","",COUNTIFS(tbl_chests[from],$A41,tbl_chests[legalized],AM$1,tbl_chests[datetime],"&gt;="&amp;TODAY()-WEEKDAY(TODAY(),2)+1,tbl_chests[datetime],"&lt;"&amp;TODAY()-WEEKDAY(TODAY(),2)+8)))</f>
        <v>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 ht="15.75" customHeight="1" x14ac:dyDescent="0.25">
      <c r="A42" s="34" t="str">
        <f>chests_counter!$H39</f>
        <v>Yondu</v>
      </c>
      <c r="B42" s="35" cm="1">
        <f t="array" aca="1" ref="B42" ca="1">IF(A42&lt;&gt;"", SUMPRODUCT(($C$2:$AM$2&lt;&gt;0)*(C42:AM42&lt;&gt;0)*($C$2:$AM$2)*(C42:AM42)), "")</f>
        <v>140</v>
      </c>
      <c r="C42" s="36">
        <f ca="1">IF($A42="","",IF(C$1="","",COUNTIFS(tbl_chests[from],$A42,tbl_chests[legalized],C$1,tbl_chests[datetime],"&gt;="&amp;TODAY()-WEEKDAY(TODAY(),2)+1,tbl_chests[datetime],"&lt;"&amp;TODAY()-WEEKDAY(TODAY(),2)+8)))</f>
        <v>0</v>
      </c>
      <c r="D42" s="36">
        <f ca="1">IF($A42="","",IF(D$1="","",COUNTIFS(tbl_chests[from],$A42,tbl_chests[legalized],D$1,tbl_chests[datetime],"&gt;="&amp;TODAY()-WEEKDAY(TODAY(),2)+1,tbl_chests[datetime],"&lt;"&amp;TODAY()-WEEKDAY(TODAY(),2)+8)))</f>
        <v>1</v>
      </c>
      <c r="E42" s="36">
        <f ca="1">IF($A42="","",IF(E$1="","",COUNTIFS(tbl_chests[from],$A42,tbl_chests[legalized],E$1,tbl_chests[datetime],"&gt;="&amp;TODAY()-WEEKDAY(TODAY(),2)+1,tbl_chests[datetime],"&lt;"&amp;TODAY()-WEEKDAY(TODAY(),2)+8)))</f>
        <v>4</v>
      </c>
      <c r="F42" s="36">
        <f ca="1">IF($A42="","",IF(F$1="","",COUNTIFS(tbl_chests[from],$A42,tbl_chests[legalized],F$1,tbl_chests[datetime],"&gt;="&amp;TODAY()-WEEKDAY(TODAY(),2)+1,tbl_chests[datetime],"&lt;"&amp;TODAY()-WEEKDAY(TODAY(),2)+8)))</f>
        <v>0</v>
      </c>
      <c r="G42" s="36">
        <f ca="1">IF($A42="","",IF(G$1="","",COUNTIFS(tbl_chests[from],$A42,tbl_chests[legalized],G$1,tbl_chests[datetime],"&gt;="&amp;TODAY()-WEEKDAY(TODAY(),2)+1,tbl_chests[datetime],"&lt;"&amp;TODAY()-WEEKDAY(TODAY(),2)+8)))</f>
        <v>0</v>
      </c>
      <c r="H42" s="36">
        <f ca="1">IF($A42="","",IF(H$1="","",COUNTIFS(tbl_chests[from],$A42,tbl_chests[legalized],H$1,tbl_chests[datetime],"&gt;="&amp;TODAY()-WEEKDAY(TODAY(),2)+1,tbl_chests[datetime],"&lt;"&amp;TODAY()-WEEKDAY(TODAY(),2)+8)))</f>
        <v>0</v>
      </c>
      <c r="I42" s="36">
        <f ca="1">IF($A42="","",IF(I$1="","",COUNTIFS(tbl_chests[from],$A42,tbl_chests[legalized],I$1,tbl_chests[datetime],"&gt;="&amp;TODAY()-WEEKDAY(TODAY(),2)+1,tbl_chests[datetime],"&lt;"&amp;TODAY()-WEEKDAY(TODAY(),2)+8)))</f>
        <v>0</v>
      </c>
      <c r="J42" s="36">
        <f ca="1">IF($A42="","",IF(J$1="","",COUNTIFS(tbl_chests[from],$A42,tbl_chests[legalized],J$1,tbl_chests[datetime],"&gt;="&amp;TODAY()-WEEKDAY(TODAY(),2)+1,tbl_chests[datetime],"&lt;"&amp;TODAY()-WEEKDAY(TODAY(),2)+8)))</f>
        <v>0</v>
      </c>
      <c r="K42" s="36">
        <f ca="1">IF($A42="","",IF(K$1="","",COUNTIFS(tbl_chests[from],$A42,tbl_chests[legalized],K$1,tbl_chests[datetime],"&gt;="&amp;TODAY()-WEEKDAY(TODAY(),2)+1,tbl_chests[datetime],"&lt;"&amp;TODAY()-WEEKDAY(TODAY(),2)+8)))</f>
        <v>0</v>
      </c>
      <c r="L42" s="36">
        <f ca="1">IF($A42="","",IF(L$1="","",COUNTIFS(tbl_chests[from],$A42,tbl_chests[legalized],L$1,tbl_chests[datetime],"&gt;="&amp;TODAY()-WEEKDAY(TODAY(),2)+1,tbl_chests[datetime],"&lt;"&amp;TODAY()-WEEKDAY(TODAY(),2)+8)))</f>
        <v>0</v>
      </c>
      <c r="M42" s="36">
        <f ca="1">IF($A42="","",IF(M$1="","",COUNTIFS(tbl_chests[from],$A42,tbl_chests[legalized],M$1,tbl_chests[datetime],"&gt;="&amp;TODAY()-WEEKDAY(TODAY(),2)+1,tbl_chests[datetime],"&lt;"&amp;TODAY()-WEEKDAY(TODAY(),2)+8)))</f>
        <v>0</v>
      </c>
      <c r="N42" s="36">
        <f ca="1">IF($A42="","",IF(N$1="","",COUNTIFS(tbl_chests[from],$A42,tbl_chests[legalized],N$1,tbl_chests[datetime],"&gt;="&amp;TODAY()-WEEKDAY(TODAY(),2)+1,tbl_chests[datetime],"&lt;"&amp;TODAY()-WEEKDAY(TODAY(),2)+8)))</f>
        <v>0</v>
      </c>
      <c r="O42" s="36">
        <f ca="1">IF($A42="","",IF(O$1="","",COUNTIFS(tbl_chests[from],$A42,tbl_chests[legalized],O$1,tbl_chests[datetime],"&gt;="&amp;TODAY()-WEEKDAY(TODAY(),2)+1,tbl_chests[datetime],"&lt;"&amp;TODAY()-WEEKDAY(TODAY(),2)+8)))</f>
        <v>0</v>
      </c>
      <c r="P42" s="36">
        <f ca="1">IF($A42="","",IF(P$1="","",COUNTIFS(tbl_chests[from],$A42,tbl_chests[legalized],P$1,tbl_chests[datetime],"&gt;="&amp;TODAY()-WEEKDAY(TODAY(),2)+1,tbl_chests[datetime],"&lt;"&amp;TODAY()-WEEKDAY(TODAY(),2)+8)))</f>
        <v>0</v>
      </c>
      <c r="Q42" s="36">
        <f ca="1">IF($A42="","",IF(Q$1="","",COUNTIFS(tbl_chests[from],$A42,tbl_chests[legalized],Q$1,tbl_chests[datetime],"&gt;="&amp;TODAY()-WEEKDAY(TODAY(),2)+1,tbl_chests[datetime],"&lt;"&amp;TODAY()-WEEKDAY(TODAY(),2)+8)))</f>
        <v>0</v>
      </c>
      <c r="R42" s="36">
        <f ca="1">IF($A42="","",IF(R$1="","",COUNTIFS(tbl_chests[from],$A42,tbl_chests[legalized],R$1,tbl_chests[datetime],"&gt;="&amp;TODAY()-WEEKDAY(TODAY(),2)+1,tbl_chests[datetime],"&lt;"&amp;TODAY()-WEEKDAY(TODAY(),2)+8)))</f>
        <v>0</v>
      </c>
      <c r="S42" s="36">
        <f ca="1">IF($A42="","",IF(S$1="","",COUNTIFS(tbl_chests[from],$A42,tbl_chests[legalized],S$1,tbl_chests[datetime],"&gt;="&amp;TODAY()-WEEKDAY(TODAY(),2)+1,tbl_chests[datetime],"&lt;"&amp;TODAY()-WEEKDAY(TODAY(),2)+8)))</f>
        <v>0</v>
      </c>
      <c r="T42" s="36">
        <f ca="1">IF($A42="","",IF(T$1="","",COUNTIFS(tbl_chests[from],$A42,tbl_chests[legalized],T$1,tbl_chests[datetime],"&gt;="&amp;TODAY()-WEEKDAY(TODAY(),2)+1,tbl_chests[datetime],"&lt;"&amp;TODAY()-WEEKDAY(TODAY(),2)+8)))</f>
        <v>0</v>
      </c>
      <c r="U42" s="36">
        <f ca="1">IF($A42="","",IF(U$1="","",COUNTIFS(tbl_chests[from],$A42,tbl_chests[legalized],U$1,tbl_chests[datetime],"&gt;="&amp;TODAY()-WEEKDAY(TODAY(),2)+1,tbl_chests[datetime],"&lt;"&amp;TODAY()-WEEKDAY(TODAY(),2)+8)))</f>
        <v>0</v>
      </c>
      <c r="V42" s="36">
        <f ca="1">IF($A42="","",IF(V$1="","",COUNTIFS(tbl_chests[from],$A42,tbl_chests[legalized],V$1,tbl_chests[datetime],"&gt;="&amp;TODAY()-WEEKDAY(TODAY(),2)+1,tbl_chests[datetime],"&lt;"&amp;TODAY()-WEEKDAY(TODAY(),2)+8)))</f>
        <v>0</v>
      </c>
      <c r="W42" s="36">
        <f ca="1">IF($A42="","",IF(W$1="","",COUNTIFS(tbl_chests[from],$A42,tbl_chests[legalized],W$1,tbl_chests[datetime],"&gt;="&amp;TODAY()-WEEKDAY(TODAY(),2)+1,tbl_chests[datetime],"&lt;"&amp;TODAY()-WEEKDAY(TODAY(),2)+8)))</f>
        <v>0</v>
      </c>
      <c r="X42" s="36">
        <f ca="1">IF($A42="","",IF(X$1="","",COUNTIFS(tbl_chests[from],$A42,tbl_chests[legalized],X$1,tbl_chests[datetime],"&gt;="&amp;TODAY()-WEEKDAY(TODAY(),2)+1,tbl_chests[datetime],"&lt;"&amp;TODAY()-WEEKDAY(TODAY(),2)+8)))</f>
        <v>0</v>
      </c>
      <c r="Y42" s="36">
        <f ca="1">IF($A42="","",IF(Y$1="","",COUNTIFS(tbl_chests[from],$A42,tbl_chests[legalized],Y$1,tbl_chests[datetime],"&gt;="&amp;TODAY()-WEEKDAY(TODAY(),2)+1,tbl_chests[datetime],"&lt;"&amp;TODAY()-WEEKDAY(TODAY(),2)+8)))</f>
        <v>0</v>
      </c>
      <c r="Z42" s="36">
        <f ca="1">IF($A42="","",IF(Z$1="","",COUNTIFS(tbl_chests[from],$A42,tbl_chests[legalized],Z$1,tbl_chests[datetime],"&gt;="&amp;TODAY()-WEEKDAY(TODAY(),2)+1,tbl_chests[datetime],"&lt;"&amp;TODAY()-WEEKDAY(TODAY(),2)+8)))</f>
        <v>0</v>
      </c>
      <c r="AA42" s="36">
        <f ca="1">IF($A42="","",IF(AA$1="","",COUNTIFS(tbl_chests[from],$A42,tbl_chests[legalized],AA$1,tbl_chests[datetime],"&gt;="&amp;TODAY()-WEEKDAY(TODAY(),2)+1,tbl_chests[datetime],"&lt;"&amp;TODAY()-WEEKDAY(TODAY(),2)+8)))</f>
        <v>0</v>
      </c>
      <c r="AB42" s="36">
        <f ca="1">IF($A42="","",IF(AB$1="","",COUNTIFS(tbl_chests[from],$A42,tbl_chests[legalized],AB$1,tbl_chests[datetime],"&gt;="&amp;TODAY()-WEEKDAY(TODAY(),2)+1,tbl_chests[datetime],"&lt;"&amp;TODAY()-WEEKDAY(TODAY(),2)+8)))</f>
        <v>0</v>
      </c>
      <c r="AC42" s="36">
        <f ca="1">IF($A42="","",IF(AC$1="","",COUNTIFS(tbl_chests[from],$A42,tbl_chests[legalized],AC$1,tbl_chests[datetime],"&gt;="&amp;TODAY()-WEEKDAY(TODAY(),2)+1,tbl_chests[datetime],"&lt;"&amp;TODAY()-WEEKDAY(TODAY(),2)+8)))</f>
        <v>0</v>
      </c>
      <c r="AD42" s="36">
        <f ca="1">IF($A42="","",IF(AD$1="","",COUNTIFS(tbl_chests[from],$A42,tbl_chests[legalized],AD$1,tbl_chests[datetime],"&gt;="&amp;TODAY()-WEEKDAY(TODAY(),2)+1,tbl_chests[datetime],"&lt;"&amp;TODAY()-WEEKDAY(TODAY(),2)+8)))</f>
        <v>0</v>
      </c>
      <c r="AE42" s="36">
        <f ca="1">IF($A42="","",IF(AE$1="","",COUNTIFS(tbl_chests[from],$A42,tbl_chests[legalized],AE$1,tbl_chests[datetime],"&gt;="&amp;TODAY()-WEEKDAY(TODAY(),2)+1,tbl_chests[datetime],"&lt;"&amp;TODAY()-WEEKDAY(TODAY(),2)+8)))</f>
        <v>0</v>
      </c>
      <c r="AF42" s="36">
        <f ca="1">IF($A42="","",IF(AF$1="","",COUNTIFS(tbl_chests[from],$A42,tbl_chests[legalized],AF$1,tbl_chests[datetime],"&gt;="&amp;TODAY()-WEEKDAY(TODAY(),2)+1,tbl_chests[datetime],"&lt;"&amp;TODAY()-WEEKDAY(TODAY(),2)+8)))</f>
        <v>0</v>
      </c>
      <c r="AG42" s="36">
        <f ca="1">IF($A42="","",IF(AG$1="","",COUNTIFS(tbl_chests[from],$A42,tbl_chests[legalized],AG$1,tbl_chests[datetime],"&gt;="&amp;TODAY()-WEEKDAY(TODAY(),2)+1,tbl_chests[datetime],"&lt;"&amp;TODAY()-WEEKDAY(TODAY(),2)+8)))</f>
        <v>0</v>
      </c>
      <c r="AH42" s="36">
        <f ca="1">IF($A42="","",IF(AH$1="","",COUNTIFS(tbl_chests[from],$A42,tbl_chests[legalized],AH$1,tbl_chests[datetime],"&gt;="&amp;TODAY()-WEEKDAY(TODAY(),2)+1,tbl_chests[datetime],"&lt;"&amp;TODAY()-WEEKDAY(TODAY(),2)+8)))</f>
        <v>0</v>
      </c>
      <c r="AI42" s="36">
        <f ca="1">IF($A42="","",IF(AI$1="","",COUNTIFS(tbl_chests[from],$A42,tbl_chests[legalized],AI$1,tbl_chests[datetime],"&gt;="&amp;TODAY()-WEEKDAY(TODAY(),2)+1,tbl_chests[datetime],"&lt;"&amp;TODAY()-WEEKDAY(TODAY(),2)+8)))</f>
        <v>0</v>
      </c>
      <c r="AJ42" s="36">
        <f ca="1">IF($A42="","",IF(AJ$1="","",COUNTIFS(tbl_chests[from],$A42,tbl_chests[legalized],AJ$1,tbl_chests[datetime],"&gt;="&amp;TODAY()-WEEKDAY(TODAY(),2)+1,tbl_chests[datetime],"&lt;"&amp;TODAY()-WEEKDAY(TODAY(),2)+8)))</f>
        <v>0</v>
      </c>
      <c r="AK42" s="36">
        <f ca="1">IF($A42="","",IF(AK$1="","",COUNTIFS(tbl_chests[from],$A42,tbl_chests[legalized],AK$1,tbl_chests[datetime],"&gt;="&amp;TODAY()-WEEKDAY(TODAY(),2)+1,tbl_chests[datetime],"&lt;"&amp;TODAY()-WEEKDAY(TODAY(),2)+8)))</f>
        <v>0</v>
      </c>
      <c r="AL42" s="36">
        <f ca="1">IF($A42="","",IF(AL$1="","",COUNTIFS(tbl_chests[from],$A42,tbl_chests[legalized],AL$1,tbl_chests[datetime],"&gt;="&amp;TODAY()-WEEKDAY(TODAY(),2)+1,tbl_chests[datetime],"&lt;"&amp;TODAY()-WEEKDAY(TODAY(),2)+8)))</f>
        <v>0</v>
      </c>
      <c r="AM42" s="37">
        <f ca="1">IF($A42="","",IF(AM$1="","",COUNTIFS(tbl_chests[from],$A42,tbl_chests[legalized],AM$1,tbl_chests[datetime],"&gt;="&amp;TODAY()-WEEKDAY(TODAY(),2)+1,tbl_chests[datetime],"&lt;"&amp;TODAY()-WEEKDAY(TODAY(),2)+8)))</f>
        <v>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 t="str">
        <f>IF($A42 = "","",IF(BF$1 = "","",COUNTIFS(#REF!,$A42,#REF!,BF$1)))</f>
        <v/>
      </c>
      <c r="BG42" s="5" t="str">
        <f>IF($A42 = "","",IF(BG$1 = "","",COUNTIFS(#REF!,$A42,#REF!,BG$1)))</f>
        <v/>
      </c>
      <c r="BH42" s="5" t="str">
        <f>IF($A42 = "","",IF(BH$1 = "","",COUNTIFS(#REF!,$A42,#REF!,BH$1)))</f>
        <v/>
      </c>
      <c r="BI42" s="5" t="str">
        <f>IF($A42 = "","",IF(BI$1 = "","",COUNTIFS(#REF!,$A42,#REF!,BI$1)))</f>
        <v/>
      </c>
      <c r="BJ42" s="5" t="str">
        <f>IF($A42 = "","",IF(BJ$1 = "","",COUNTIFS(#REF!,$A42,#REF!,BJ$1)))</f>
        <v/>
      </c>
      <c r="BK42" s="5" t="str">
        <f>IF($A42 = "","",IF(BK$1 = "","",COUNTIFS(#REF!,$A42,#REF!,BK$1)))</f>
        <v/>
      </c>
      <c r="BL42" s="5" t="str">
        <f>IF($A42 = "","",IF(BL$1 = "","",COUNTIFS(#REF!,$A42,#REF!,BL$1)))</f>
        <v/>
      </c>
      <c r="BM42" s="5" t="str">
        <f>IF($A42 = "","",IF(BM$1 = "","",COUNTIFS(#REF!,$A42,#REF!,BM$1)))</f>
        <v/>
      </c>
      <c r="BN42" s="5" t="str">
        <f>IF($A42 = "","",IF(BN$1 = "","",COUNTIFS(#REF!,$A42,#REF!,BN$1)))</f>
        <v/>
      </c>
      <c r="BO42" s="5" t="str">
        <f>IF($A42 = "","",IF(BO$1 = "","",COUNTIFS(#REF!,$A42,#REF!,BO$1)))</f>
        <v/>
      </c>
    </row>
    <row r="43" spans="1:67" ht="15.75" customHeight="1" x14ac:dyDescent="0.25">
      <c r="A43" s="34" t="str">
        <f>chests_counter!$H40</f>
        <v>Zulkigore</v>
      </c>
      <c r="B43" s="35" cm="1">
        <f t="array" aca="1" ref="B43" ca="1">IF(A43&lt;&gt;"", SUMPRODUCT(($C$2:$AM$2&lt;&gt;0)*(C43:AM43&lt;&gt;0)*($C$2:$AM$2)*(C43:AM43)), "")</f>
        <v>30</v>
      </c>
      <c r="C43" s="36">
        <f ca="1">IF($A43="","",IF(C$1="","",COUNTIFS(tbl_chests[from],$A43,tbl_chests[legalized],C$1,tbl_chests[datetime],"&gt;="&amp;TODAY()-WEEKDAY(TODAY(),2)+1,tbl_chests[datetime],"&lt;"&amp;TODAY()-WEEKDAY(TODAY(),2)+8)))</f>
        <v>1</v>
      </c>
      <c r="D43" s="36">
        <f ca="1">IF($A43="","",IF(D$1="","",COUNTIFS(tbl_chests[from],$A43,tbl_chests[legalized],D$1,tbl_chests[datetime],"&gt;="&amp;TODAY()-WEEKDAY(TODAY(),2)+1,tbl_chests[datetime],"&lt;"&amp;TODAY()-WEEKDAY(TODAY(),2)+8)))</f>
        <v>1</v>
      </c>
      <c r="E43" s="36">
        <f ca="1">IF($A43="","",IF(E$1="","",COUNTIFS(tbl_chests[from],$A43,tbl_chests[legalized],E$1,tbl_chests[datetime],"&gt;="&amp;TODAY()-WEEKDAY(TODAY(),2)+1,tbl_chests[datetime],"&lt;"&amp;TODAY()-WEEKDAY(TODAY(),2)+8)))</f>
        <v>0</v>
      </c>
      <c r="F43" s="36">
        <f ca="1">IF($A43="","",IF(F$1="","",COUNTIFS(tbl_chests[from],$A43,tbl_chests[legalized],F$1,tbl_chests[datetime],"&gt;="&amp;TODAY()-WEEKDAY(TODAY(),2)+1,tbl_chests[datetime],"&lt;"&amp;TODAY()-WEEKDAY(TODAY(),2)+8)))</f>
        <v>0</v>
      </c>
      <c r="G43" s="36">
        <f ca="1">IF($A43="","",IF(G$1="","",COUNTIFS(tbl_chests[from],$A43,tbl_chests[legalized],G$1,tbl_chests[datetime],"&gt;="&amp;TODAY()-WEEKDAY(TODAY(),2)+1,tbl_chests[datetime],"&lt;"&amp;TODAY()-WEEKDAY(TODAY(),2)+8)))</f>
        <v>0</v>
      </c>
      <c r="H43" s="36">
        <f ca="1">IF($A43="","",IF(H$1="","",COUNTIFS(tbl_chests[from],$A43,tbl_chests[legalized],H$1,tbl_chests[datetime],"&gt;="&amp;TODAY()-WEEKDAY(TODAY(),2)+1,tbl_chests[datetime],"&lt;"&amp;TODAY()-WEEKDAY(TODAY(),2)+8)))</f>
        <v>0</v>
      </c>
      <c r="I43" s="36">
        <f ca="1">IF($A43="","",IF(I$1="","",COUNTIFS(tbl_chests[from],$A43,tbl_chests[legalized],I$1,tbl_chests[datetime],"&gt;="&amp;TODAY()-WEEKDAY(TODAY(),2)+1,tbl_chests[datetime],"&lt;"&amp;TODAY()-WEEKDAY(TODAY(),2)+8)))</f>
        <v>0</v>
      </c>
      <c r="J43" s="36">
        <f ca="1">IF($A43="","",IF(J$1="","",COUNTIFS(tbl_chests[from],$A43,tbl_chests[legalized],J$1,tbl_chests[datetime],"&gt;="&amp;TODAY()-WEEKDAY(TODAY(),2)+1,tbl_chests[datetime],"&lt;"&amp;TODAY()-WEEKDAY(TODAY(),2)+8)))</f>
        <v>0</v>
      </c>
      <c r="K43" s="36">
        <f ca="1">IF($A43="","",IF(K$1="","",COUNTIFS(tbl_chests[from],$A43,tbl_chests[legalized],K$1,tbl_chests[datetime],"&gt;="&amp;TODAY()-WEEKDAY(TODAY(),2)+1,tbl_chests[datetime],"&lt;"&amp;TODAY()-WEEKDAY(TODAY(),2)+8)))</f>
        <v>0</v>
      </c>
      <c r="L43" s="36">
        <f ca="1">IF($A43="","",IF(L$1="","",COUNTIFS(tbl_chests[from],$A43,tbl_chests[legalized],L$1,tbl_chests[datetime],"&gt;="&amp;TODAY()-WEEKDAY(TODAY(),2)+1,tbl_chests[datetime],"&lt;"&amp;TODAY()-WEEKDAY(TODAY(),2)+8)))</f>
        <v>0</v>
      </c>
      <c r="M43" s="36">
        <f ca="1">IF($A43="","",IF(M$1="","",COUNTIFS(tbl_chests[from],$A43,tbl_chests[legalized],M$1,tbl_chests[datetime],"&gt;="&amp;TODAY()-WEEKDAY(TODAY(),2)+1,tbl_chests[datetime],"&lt;"&amp;TODAY()-WEEKDAY(TODAY(),2)+8)))</f>
        <v>0</v>
      </c>
      <c r="N43" s="36">
        <f ca="1">IF($A43="","",IF(N$1="","",COUNTIFS(tbl_chests[from],$A43,tbl_chests[legalized],N$1,tbl_chests[datetime],"&gt;="&amp;TODAY()-WEEKDAY(TODAY(),2)+1,tbl_chests[datetime],"&lt;"&amp;TODAY()-WEEKDAY(TODAY(),2)+8)))</f>
        <v>0</v>
      </c>
      <c r="O43" s="36">
        <f ca="1">IF($A43="","",IF(O$1="","",COUNTIFS(tbl_chests[from],$A43,tbl_chests[legalized],O$1,tbl_chests[datetime],"&gt;="&amp;TODAY()-WEEKDAY(TODAY(),2)+1,tbl_chests[datetime],"&lt;"&amp;TODAY()-WEEKDAY(TODAY(),2)+8)))</f>
        <v>0</v>
      </c>
      <c r="P43" s="36">
        <f ca="1">IF($A43="","",IF(P$1="","",COUNTIFS(tbl_chests[from],$A43,tbl_chests[legalized],P$1,tbl_chests[datetime],"&gt;="&amp;TODAY()-WEEKDAY(TODAY(),2)+1,tbl_chests[datetime],"&lt;"&amp;TODAY()-WEEKDAY(TODAY(),2)+8)))</f>
        <v>0</v>
      </c>
      <c r="Q43" s="36">
        <f ca="1">IF($A43="","",IF(Q$1="","",COUNTIFS(tbl_chests[from],$A43,tbl_chests[legalized],Q$1,tbl_chests[datetime],"&gt;="&amp;TODAY()-WEEKDAY(TODAY(),2)+1,tbl_chests[datetime],"&lt;"&amp;TODAY()-WEEKDAY(TODAY(),2)+8)))</f>
        <v>0</v>
      </c>
      <c r="R43" s="36">
        <f ca="1">IF($A43="","",IF(R$1="","",COUNTIFS(tbl_chests[from],$A43,tbl_chests[legalized],R$1,tbl_chests[datetime],"&gt;="&amp;TODAY()-WEEKDAY(TODAY(),2)+1,tbl_chests[datetime],"&lt;"&amp;TODAY()-WEEKDAY(TODAY(),2)+8)))</f>
        <v>0</v>
      </c>
      <c r="S43" s="36">
        <f ca="1">IF($A43="","",IF(S$1="","",COUNTIFS(tbl_chests[from],$A43,tbl_chests[legalized],S$1,tbl_chests[datetime],"&gt;="&amp;TODAY()-WEEKDAY(TODAY(),2)+1,tbl_chests[datetime],"&lt;"&amp;TODAY()-WEEKDAY(TODAY(),2)+8)))</f>
        <v>0</v>
      </c>
      <c r="T43" s="36">
        <f ca="1">IF($A43="","",IF(T$1="","",COUNTIFS(tbl_chests[from],$A43,tbl_chests[legalized],T$1,tbl_chests[datetime],"&gt;="&amp;TODAY()-WEEKDAY(TODAY(),2)+1,tbl_chests[datetime],"&lt;"&amp;TODAY()-WEEKDAY(TODAY(),2)+8)))</f>
        <v>0</v>
      </c>
      <c r="U43" s="36">
        <f ca="1">IF($A43="","",IF(U$1="","",COUNTIFS(tbl_chests[from],$A43,tbl_chests[legalized],U$1,tbl_chests[datetime],"&gt;="&amp;TODAY()-WEEKDAY(TODAY(),2)+1,tbl_chests[datetime],"&lt;"&amp;TODAY()-WEEKDAY(TODAY(),2)+8)))</f>
        <v>0</v>
      </c>
      <c r="V43" s="36">
        <f ca="1">IF($A43="","",IF(V$1="","",COUNTIFS(tbl_chests[from],$A43,tbl_chests[legalized],V$1,tbl_chests[datetime],"&gt;="&amp;TODAY()-WEEKDAY(TODAY(),2)+1,tbl_chests[datetime],"&lt;"&amp;TODAY()-WEEKDAY(TODAY(),2)+8)))</f>
        <v>0</v>
      </c>
      <c r="W43" s="36">
        <f ca="1">IF($A43="","",IF(W$1="","",COUNTIFS(tbl_chests[from],$A43,tbl_chests[legalized],W$1,tbl_chests[datetime],"&gt;="&amp;TODAY()-WEEKDAY(TODAY(),2)+1,tbl_chests[datetime],"&lt;"&amp;TODAY()-WEEKDAY(TODAY(),2)+8)))</f>
        <v>0</v>
      </c>
      <c r="X43" s="36">
        <f ca="1">IF($A43="","",IF(X$1="","",COUNTIFS(tbl_chests[from],$A43,tbl_chests[legalized],X$1,tbl_chests[datetime],"&gt;="&amp;TODAY()-WEEKDAY(TODAY(),2)+1,tbl_chests[datetime],"&lt;"&amp;TODAY()-WEEKDAY(TODAY(),2)+8)))</f>
        <v>0</v>
      </c>
      <c r="Y43" s="36">
        <f ca="1">IF($A43="","",IF(Y$1="","",COUNTIFS(tbl_chests[from],$A43,tbl_chests[legalized],Y$1,tbl_chests[datetime],"&gt;="&amp;TODAY()-WEEKDAY(TODAY(),2)+1,tbl_chests[datetime],"&lt;"&amp;TODAY()-WEEKDAY(TODAY(),2)+8)))</f>
        <v>0</v>
      </c>
      <c r="Z43" s="36">
        <f ca="1">IF($A43="","",IF(Z$1="","",COUNTIFS(tbl_chests[from],$A43,tbl_chests[legalized],Z$1,tbl_chests[datetime],"&gt;="&amp;TODAY()-WEEKDAY(TODAY(),2)+1,tbl_chests[datetime],"&lt;"&amp;TODAY()-WEEKDAY(TODAY(),2)+8)))</f>
        <v>0</v>
      </c>
      <c r="AA43" s="36">
        <f ca="1">IF($A43="","",IF(AA$1="","",COUNTIFS(tbl_chests[from],$A43,tbl_chests[legalized],AA$1,tbl_chests[datetime],"&gt;="&amp;TODAY()-WEEKDAY(TODAY(),2)+1,tbl_chests[datetime],"&lt;"&amp;TODAY()-WEEKDAY(TODAY(),2)+8)))</f>
        <v>0</v>
      </c>
      <c r="AB43" s="36">
        <f ca="1">IF($A43="","",IF(AB$1="","",COUNTIFS(tbl_chests[from],$A43,tbl_chests[legalized],AB$1,tbl_chests[datetime],"&gt;="&amp;TODAY()-WEEKDAY(TODAY(),2)+1,tbl_chests[datetime],"&lt;"&amp;TODAY()-WEEKDAY(TODAY(),2)+8)))</f>
        <v>0</v>
      </c>
      <c r="AC43" s="36">
        <f ca="1">IF($A43="","",IF(AC$1="","",COUNTIFS(tbl_chests[from],$A43,tbl_chests[legalized],AC$1,tbl_chests[datetime],"&gt;="&amp;TODAY()-WEEKDAY(TODAY(),2)+1,tbl_chests[datetime],"&lt;"&amp;TODAY()-WEEKDAY(TODAY(),2)+8)))</f>
        <v>0</v>
      </c>
      <c r="AD43" s="36">
        <f ca="1">IF($A43="","",IF(AD$1="","",COUNTIFS(tbl_chests[from],$A43,tbl_chests[legalized],AD$1,tbl_chests[datetime],"&gt;="&amp;TODAY()-WEEKDAY(TODAY(),2)+1,tbl_chests[datetime],"&lt;"&amp;TODAY()-WEEKDAY(TODAY(),2)+8)))</f>
        <v>0</v>
      </c>
      <c r="AE43" s="36">
        <f ca="1">IF($A43="","",IF(AE$1="","",COUNTIFS(tbl_chests[from],$A43,tbl_chests[legalized],AE$1,tbl_chests[datetime],"&gt;="&amp;TODAY()-WEEKDAY(TODAY(),2)+1,tbl_chests[datetime],"&lt;"&amp;TODAY()-WEEKDAY(TODAY(),2)+8)))</f>
        <v>0</v>
      </c>
      <c r="AF43" s="36">
        <f ca="1">IF($A43="","",IF(AF$1="","",COUNTIFS(tbl_chests[from],$A43,tbl_chests[legalized],AF$1,tbl_chests[datetime],"&gt;="&amp;TODAY()-WEEKDAY(TODAY(),2)+1,tbl_chests[datetime],"&lt;"&amp;TODAY()-WEEKDAY(TODAY(),2)+8)))</f>
        <v>0</v>
      </c>
      <c r="AG43" s="36">
        <f ca="1">IF($A43="","",IF(AG$1="","",COUNTIFS(tbl_chests[from],$A43,tbl_chests[legalized],AG$1,tbl_chests[datetime],"&gt;="&amp;TODAY()-WEEKDAY(TODAY(),2)+1,tbl_chests[datetime],"&lt;"&amp;TODAY()-WEEKDAY(TODAY(),2)+8)))</f>
        <v>0</v>
      </c>
      <c r="AH43" s="36">
        <f ca="1">IF($A43="","",IF(AH$1="","",COUNTIFS(tbl_chests[from],$A43,tbl_chests[legalized],AH$1,tbl_chests[datetime],"&gt;="&amp;TODAY()-WEEKDAY(TODAY(),2)+1,tbl_chests[datetime],"&lt;"&amp;TODAY()-WEEKDAY(TODAY(),2)+8)))</f>
        <v>0</v>
      </c>
      <c r="AI43" s="36">
        <f ca="1">IF($A43="","",IF(AI$1="","",COUNTIFS(tbl_chests[from],$A43,tbl_chests[legalized],AI$1,tbl_chests[datetime],"&gt;="&amp;TODAY()-WEEKDAY(TODAY(),2)+1,tbl_chests[datetime],"&lt;"&amp;TODAY()-WEEKDAY(TODAY(),2)+8)))</f>
        <v>0</v>
      </c>
      <c r="AJ43" s="36">
        <f ca="1">IF($A43="","",IF(AJ$1="","",COUNTIFS(tbl_chests[from],$A43,tbl_chests[legalized],AJ$1,tbl_chests[datetime],"&gt;="&amp;TODAY()-WEEKDAY(TODAY(),2)+1,tbl_chests[datetime],"&lt;"&amp;TODAY()-WEEKDAY(TODAY(),2)+8)))</f>
        <v>0</v>
      </c>
      <c r="AK43" s="36">
        <f ca="1">IF($A43="","",IF(AK$1="","",COUNTIFS(tbl_chests[from],$A43,tbl_chests[legalized],AK$1,tbl_chests[datetime],"&gt;="&amp;TODAY()-WEEKDAY(TODAY(),2)+1,tbl_chests[datetime],"&lt;"&amp;TODAY()-WEEKDAY(TODAY(),2)+8)))</f>
        <v>0</v>
      </c>
      <c r="AL43" s="36">
        <f ca="1">IF($A43="","",IF(AL$1="","",COUNTIFS(tbl_chests[from],$A43,tbl_chests[legalized],AL$1,tbl_chests[datetime],"&gt;="&amp;TODAY()-WEEKDAY(TODAY(),2)+1,tbl_chests[datetime],"&lt;"&amp;TODAY()-WEEKDAY(TODAY(),2)+8)))</f>
        <v>0</v>
      </c>
      <c r="AM43" s="37">
        <f ca="1">IF($A43="","",IF(AM$1="","",COUNTIFS(tbl_chests[from],$A43,tbl_chests[legalized],AM$1,tbl_chests[datetime],"&gt;="&amp;TODAY()-WEEKDAY(TODAY(),2)+1,tbl_chests[datetime],"&lt;"&amp;TODAY()-WEEKDAY(TODAY(),2)+8)))</f>
        <v>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 ht="15.75" customHeight="1" x14ac:dyDescent="0.25">
      <c r="A44" s="34">
        <f>chests_counter!$H41</f>
        <v>0</v>
      </c>
      <c r="B44" s="35" cm="1">
        <f t="array" aca="1" ref="B44" ca="1">IF(A44&lt;&gt;"", SUMPRODUCT(($C$2:$AM$2&lt;&gt;0)*(C44:AM44&lt;&gt;0)*($C$2:$AM$2)*(C44:AM44)), "")</f>
        <v>0</v>
      </c>
      <c r="C44" s="36">
        <f ca="1">IF($A44="","",IF(C$1="","",COUNTIFS(tbl_chests[from],$A44,tbl_chests[legalized],C$1,tbl_chests[datetime],"&gt;="&amp;TODAY()-WEEKDAY(TODAY(),2)+1,tbl_chests[datetime],"&lt;"&amp;TODAY()-WEEKDAY(TODAY(),2)+8)))</f>
        <v>0</v>
      </c>
      <c r="D44" s="36">
        <f ca="1">IF($A44="","",IF(D$1="","",COUNTIFS(tbl_chests[from],$A44,tbl_chests[legalized],D$1,tbl_chests[datetime],"&gt;="&amp;TODAY()-WEEKDAY(TODAY(),2)+1,tbl_chests[datetime],"&lt;"&amp;TODAY()-WEEKDAY(TODAY(),2)+8)))</f>
        <v>0</v>
      </c>
      <c r="E44" s="36">
        <f ca="1">IF($A44="","",IF(E$1="","",COUNTIFS(tbl_chests[from],$A44,tbl_chests[legalized],E$1,tbl_chests[datetime],"&gt;="&amp;TODAY()-WEEKDAY(TODAY(),2)+1,tbl_chests[datetime],"&lt;"&amp;TODAY()-WEEKDAY(TODAY(),2)+8)))</f>
        <v>0</v>
      </c>
      <c r="F44" s="36">
        <f ca="1">IF($A44="","",IF(F$1="","",COUNTIFS(tbl_chests[from],$A44,tbl_chests[legalized],F$1,tbl_chests[datetime],"&gt;="&amp;TODAY()-WEEKDAY(TODAY(),2)+1,tbl_chests[datetime],"&lt;"&amp;TODAY()-WEEKDAY(TODAY(),2)+8)))</f>
        <v>0</v>
      </c>
      <c r="G44" s="36">
        <f ca="1">IF($A44="","",IF(G$1="","",COUNTIFS(tbl_chests[from],$A44,tbl_chests[legalized],G$1,tbl_chests[datetime],"&gt;="&amp;TODAY()-WEEKDAY(TODAY(),2)+1,tbl_chests[datetime],"&lt;"&amp;TODAY()-WEEKDAY(TODAY(),2)+8)))</f>
        <v>0</v>
      </c>
      <c r="H44" s="36">
        <f ca="1">IF($A44="","",IF(H$1="","",COUNTIFS(tbl_chests[from],$A44,tbl_chests[legalized],H$1,tbl_chests[datetime],"&gt;="&amp;TODAY()-WEEKDAY(TODAY(),2)+1,tbl_chests[datetime],"&lt;"&amp;TODAY()-WEEKDAY(TODAY(),2)+8)))</f>
        <v>0</v>
      </c>
      <c r="I44" s="36">
        <f ca="1">IF($A44="","",IF(I$1="","",COUNTIFS(tbl_chests[from],$A44,tbl_chests[legalized],I$1,tbl_chests[datetime],"&gt;="&amp;TODAY()-WEEKDAY(TODAY(),2)+1,tbl_chests[datetime],"&lt;"&amp;TODAY()-WEEKDAY(TODAY(),2)+8)))</f>
        <v>0</v>
      </c>
      <c r="J44" s="36">
        <f ca="1">IF($A44="","",IF(J$1="","",COUNTIFS(tbl_chests[from],$A44,tbl_chests[legalized],J$1,tbl_chests[datetime],"&gt;="&amp;TODAY()-WEEKDAY(TODAY(),2)+1,tbl_chests[datetime],"&lt;"&amp;TODAY()-WEEKDAY(TODAY(),2)+8)))</f>
        <v>0</v>
      </c>
      <c r="K44" s="36">
        <f ca="1">IF($A44="","",IF(K$1="","",COUNTIFS(tbl_chests[from],$A44,tbl_chests[legalized],K$1,tbl_chests[datetime],"&gt;="&amp;TODAY()-WEEKDAY(TODAY(),2)+1,tbl_chests[datetime],"&lt;"&amp;TODAY()-WEEKDAY(TODAY(),2)+8)))</f>
        <v>0</v>
      </c>
      <c r="L44" s="36">
        <f ca="1">IF($A44="","",IF(L$1="","",COUNTIFS(tbl_chests[from],$A44,tbl_chests[legalized],L$1,tbl_chests[datetime],"&gt;="&amp;TODAY()-WEEKDAY(TODAY(),2)+1,tbl_chests[datetime],"&lt;"&amp;TODAY()-WEEKDAY(TODAY(),2)+8)))</f>
        <v>0</v>
      </c>
      <c r="M44" s="36">
        <f ca="1">IF($A44="","",IF(M$1="","",COUNTIFS(tbl_chests[from],$A44,tbl_chests[legalized],M$1,tbl_chests[datetime],"&gt;="&amp;TODAY()-WEEKDAY(TODAY(),2)+1,tbl_chests[datetime],"&lt;"&amp;TODAY()-WEEKDAY(TODAY(),2)+8)))</f>
        <v>0</v>
      </c>
      <c r="N44" s="36">
        <f ca="1">IF($A44="","",IF(N$1="","",COUNTIFS(tbl_chests[from],$A44,tbl_chests[legalized],N$1,tbl_chests[datetime],"&gt;="&amp;TODAY()-WEEKDAY(TODAY(),2)+1,tbl_chests[datetime],"&lt;"&amp;TODAY()-WEEKDAY(TODAY(),2)+8)))</f>
        <v>0</v>
      </c>
      <c r="O44" s="36">
        <f ca="1">IF($A44="","",IF(O$1="","",COUNTIFS(tbl_chests[from],$A44,tbl_chests[legalized],O$1,tbl_chests[datetime],"&gt;="&amp;TODAY()-WEEKDAY(TODAY(),2)+1,tbl_chests[datetime],"&lt;"&amp;TODAY()-WEEKDAY(TODAY(),2)+8)))</f>
        <v>0</v>
      </c>
      <c r="P44" s="36">
        <f ca="1">IF($A44="","",IF(P$1="","",COUNTIFS(tbl_chests[from],$A44,tbl_chests[legalized],P$1,tbl_chests[datetime],"&gt;="&amp;TODAY()-WEEKDAY(TODAY(),2)+1,tbl_chests[datetime],"&lt;"&amp;TODAY()-WEEKDAY(TODAY(),2)+8)))</f>
        <v>0</v>
      </c>
      <c r="Q44" s="36">
        <f ca="1">IF($A44="","",IF(Q$1="","",COUNTIFS(tbl_chests[from],$A44,tbl_chests[legalized],Q$1,tbl_chests[datetime],"&gt;="&amp;TODAY()-WEEKDAY(TODAY(),2)+1,tbl_chests[datetime],"&lt;"&amp;TODAY()-WEEKDAY(TODAY(),2)+8)))</f>
        <v>0</v>
      </c>
      <c r="R44" s="36">
        <f ca="1">IF($A44="","",IF(R$1="","",COUNTIFS(tbl_chests[from],$A44,tbl_chests[legalized],R$1,tbl_chests[datetime],"&gt;="&amp;TODAY()-WEEKDAY(TODAY(),2)+1,tbl_chests[datetime],"&lt;"&amp;TODAY()-WEEKDAY(TODAY(),2)+8)))</f>
        <v>0</v>
      </c>
      <c r="S44" s="36">
        <f ca="1">IF($A44="","",IF(S$1="","",COUNTIFS(tbl_chests[from],$A44,tbl_chests[legalized],S$1,tbl_chests[datetime],"&gt;="&amp;TODAY()-WEEKDAY(TODAY(),2)+1,tbl_chests[datetime],"&lt;"&amp;TODAY()-WEEKDAY(TODAY(),2)+8)))</f>
        <v>0</v>
      </c>
      <c r="T44" s="36">
        <f ca="1">IF($A44="","",IF(T$1="","",COUNTIFS(tbl_chests[from],$A44,tbl_chests[legalized],T$1,tbl_chests[datetime],"&gt;="&amp;TODAY()-WEEKDAY(TODAY(),2)+1,tbl_chests[datetime],"&lt;"&amp;TODAY()-WEEKDAY(TODAY(),2)+8)))</f>
        <v>0</v>
      </c>
      <c r="U44" s="36">
        <f ca="1">IF($A44="","",IF(U$1="","",COUNTIFS(tbl_chests[from],$A44,tbl_chests[legalized],U$1,tbl_chests[datetime],"&gt;="&amp;TODAY()-WEEKDAY(TODAY(),2)+1,tbl_chests[datetime],"&lt;"&amp;TODAY()-WEEKDAY(TODAY(),2)+8)))</f>
        <v>0</v>
      </c>
      <c r="V44" s="36">
        <f ca="1">IF($A44="","",IF(V$1="","",COUNTIFS(tbl_chests[from],$A44,tbl_chests[legalized],V$1,tbl_chests[datetime],"&gt;="&amp;TODAY()-WEEKDAY(TODAY(),2)+1,tbl_chests[datetime],"&lt;"&amp;TODAY()-WEEKDAY(TODAY(),2)+8)))</f>
        <v>0</v>
      </c>
      <c r="W44" s="36">
        <f ca="1">IF($A44="","",IF(W$1="","",COUNTIFS(tbl_chests[from],$A44,tbl_chests[legalized],W$1,tbl_chests[datetime],"&gt;="&amp;TODAY()-WEEKDAY(TODAY(),2)+1,tbl_chests[datetime],"&lt;"&amp;TODAY()-WEEKDAY(TODAY(),2)+8)))</f>
        <v>0</v>
      </c>
      <c r="X44" s="36">
        <f ca="1">IF($A44="","",IF(X$1="","",COUNTIFS(tbl_chests[from],$A44,tbl_chests[legalized],X$1,tbl_chests[datetime],"&gt;="&amp;TODAY()-WEEKDAY(TODAY(),2)+1,tbl_chests[datetime],"&lt;"&amp;TODAY()-WEEKDAY(TODAY(),2)+8)))</f>
        <v>0</v>
      </c>
      <c r="Y44" s="36">
        <f ca="1">IF($A44="","",IF(Y$1="","",COUNTIFS(tbl_chests[from],$A44,tbl_chests[legalized],Y$1,tbl_chests[datetime],"&gt;="&amp;TODAY()-WEEKDAY(TODAY(),2)+1,tbl_chests[datetime],"&lt;"&amp;TODAY()-WEEKDAY(TODAY(),2)+8)))</f>
        <v>0</v>
      </c>
      <c r="Z44" s="36">
        <f ca="1">IF($A44="","",IF(Z$1="","",COUNTIFS(tbl_chests[from],$A44,tbl_chests[legalized],Z$1,tbl_chests[datetime],"&gt;="&amp;TODAY()-WEEKDAY(TODAY(),2)+1,tbl_chests[datetime],"&lt;"&amp;TODAY()-WEEKDAY(TODAY(),2)+8)))</f>
        <v>0</v>
      </c>
      <c r="AA44" s="36">
        <f ca="1">IF($A44="","",IF(AA$1="","",COUNTIFS(tbl_chests[from],$A44,tbl_chests[legalized],AA$1,tbl_chests[datetime],"&gt;="&amp;TODAY()-WEEKDAY(TODAY(),2)+1,tbl_chests[datetime],"&lt;"&amp;TODAY()-WEEKDAY(TODAY(),2)+8)))</f>
        <v>0</v>
      </c>
      <c r="AB44" s="36">
        <f ca="1">IF($A44="","",IF(AB$1="","",COUNTIFS(tbl_chests[from],$A44,tbl_chests[legalized],AB$1,tbl_chests[datetime],"&gt;="&amp;TODAY()-WEEKDAY(TODAY(),2)+1,tbl_chests[datetime],"&lt;"&amp;TODAY()-WEEKDAY(TODAY(),2)+8)))</f>
        <v>0</v>
      </c>
      <c r="AC44" s="36">
        <f ca="1">IF($A44="","",IF(AC$1="","",COUNTIFS(tbl_chests[from],$A44,tbl_chests[legalized],AC$1,tbl_chests[datetime],"&gt;="&amp;TODAY()-WEEKDAY(TODAY(),2)+1,tbl_chests[datetime],"&lt;"&amp;TODAY()-WEEKDAY(TODAY(),2)+8)))</f>
        <v>0</v>
      </c>
      <c r="AD44" s="36">
        <f ca="1">IF($A44="","",IF(AD$1="","",COUNTIFS(tbl_chests[from],$A44,tbl_chests[legalized],AD$1,tbl_chests[datetime],"&gt;="&amp;TODAY()-WEEKDAY(TODAY(),2)+1,tbl_chests[datetime],"&lt;"&amp;TODAY()-WEEKDAY(TODAY(),2)+8)))</f>
        <v>0</v>
      </c>
      <c r="AE44" s="36">
        <f ca="1">IF($A44="","",IF(AE$1="","",COUNTIFS(tbl_chests[from],$A44,tbl_chests[legalized],AE$1,tbl_chests[datetime],"&gt;="&amp;TODAY()-WEEKDAY(TODAY(),2)+1,tbl_chests[datetime],"&lt;"&amp;TODAY()-WEEKDAY(TODAY(),2)+8)))</f>
        <v>0</v>
      </c>
      <c r="AF44" s="36">
        <f ca="1">IF($A44="","",IF(AF$1="","",COUNTIFS(tbl_chests[from],$A44,tbl_chests[legalized],AF$1,tbl_chests[datetime],"&gt;="&amp;TODAY()-WEEKDAY(TODAY(),2)+1,tbl_chests[datetime],"&lt;"&amp;TODAY()-WEEKDAY(TODAY(),2)+8)))</f>
        <v>0</v>
      </c>
      <c r="AG44" s="36">
        <f ca="1">IF($A44="","",IF(AG$1="","",COUNTIFS(tbl_chests[from],$A44,tbl_chests[legalized],AG$1,tbl_chests[datetime],"&gt;="&amp;TODAY()-WEEKDAY(TODAY(),2)+1,tbl_chests[datetime],"&lt;"&amp;TODAY()-WEEKDAY(TODAY(),2)+8)))</f>
        <v>0</v>
      </c>
      <c r="AH44" s="36">
        <f ca="1">IF($A44="","",IF(AH$1="","",COUNTIFS(tbl_chests[from],$A44,tbl_chests[legalized],AH$1,tbl_chests[datetime],"&gt;="&amp;TODAY()-WEEKDAY(TODAY(),2)+1,tbl_chests[datetime],"&lt;"&amp;TODAY()-WEEKDAY(TODAY(),2)+8)))</f>
        <v>0</v>
      </c>
      <c r="AI44" s="36">
        <f ca="1">IF($A44="","",IF(AI$1="","",COUNTIFS(tbl_chests[from],$A44,tbl_chests[legalized],AI$1,tbl_chests[datetime],"&gt;="&amp;TODAY()-WEEKDAY(TODAY(),2)+1,tbl_chests[datetime],"&lt;"&amp;TODAY()-WEEKDAY(TODAY(),2)+8)))</f>
        <v>0</v>
      </c>
      <c r="AJ44" s="36">
        <f ca="1">IF($A44="","",IF(AJ$1="","",COUNTIFS(tbl_chests[from],$A44,tbl_chests[legalized],AJ$1,tbl_chests[datetime],"&gt;="&amp;TODAY()-WEEKDAY(TODAY(),2)+1,tbl_chests[datetime],"&lt;"&amp;TODAY()-WEEKDAY(TODAY(),2)+8)))</f>
        <v>0</v>
      </c>
      <c r="AK44" s="36">
        <f ca="1">IF($A44="","",IF(AK$1="","",COUNTIFS(tbl_chests[from],$A44,tbl_chests[legalized],AK$1,tbl_chests[datetime],"&gt;="&amp;TODAY()-WEEKDAY(TODAY(),2)+1,tbl_chests[datetime],"&lt;"&amp;TODAY()-WEEKDAY(TODAY(),2)+8)))</f>
        <v>0</v>
      </c>
      <c r="AL44" s="36">
        <f ca="1">IF($A44="","",IF(AL$1="","",COUNTIFS(tbl_chests[from],$A44,tbl_chests[legalized],AL$1,tbl_chests[datetime],"&gt;="&amp;TODAY()-WEEKDAY(TODAY(),2)+1,tbl_chests[datetime],"&lt;"&amp;TODAY()-WEEKDAY(TODAY(),2)+8)))</f>
        <v>0</v>
      </c>
      <c r="AM44" s="37">
        <f ca="1">IF($A44="","",IF(AM$1="","",COUNTIFS(tbl_chests[from],$A44,tbl_chests[legalized],AM$1,tbl_chests[datetime],"&gt;="&amp;TODAY()-WEEKDAY(TODAY(),2)+1,tbl_chests[datetime],"&lt;"&amp;TODAY()-WEEKDAY(TODAY(),2)+8)))</f>
        <v>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 ht="15.75" customHeight="1" x14ac:dyDescent="0.25">
      <c r="A45" s="34">
        <f>chests_counter!$H42</f>
        <v>0</v>
      </c>
      <c r="B45" s="35" cm="1">
        <f t="array" aca="1" ref="B45" ca="1">IF(A45&lt;&gt;"", SUMPRODUCT(($C$2:$AM$2&lt;&gt;0)*(C45:AM45&lt;&gt;0)*($C$2:$AM$2)*(C45:AM45)), "")</f>
        <v>0</v>
      </c>
      <c r="C45" s="36">
        <f ca="1">IF($A45="","",IF(C$1="","",COUNTIFS(tbl_chests[from],$A45,tbl_chests[legalized],C$1,tbl_chests[datetime],"&gt;="&amp;TODAY()-WEEKDAY(TODAY(),2)+1,tbl_chests[datetime],"&lt;"&amp;TODAY()-WEEKDAY(TODAY(),2)+8)))</f>
        <v>0</v>
      </c>
      <c r="D45" s="36">
        <f ca="1">IF($A45="","",IF(D$1="","",COUNTIFS(tbl_chests[from],$A45,tbl_chests[legalized],D$1,tbl_chests[datetime],"&gt;="&amp;TODAY()-WEEKDAY(TODAY(),2)+1,tbl_chests[datetime],"&lt;"&amp;TODAY()-WEEKDAY(TODAY(),2)+8)))</f>
        <v>0</v>
      </c>
      <c r="E45" s="36">
        <f ca="1">IF($A45="","",IF(E$1="","",COUNTIFS(tbl_chests[from],$A45,tbl_chests[legalized],E$1,tbl_chests[datetime],"&gt;="&amp;TODAY()-WEEKDAY(TODAY(),2)+1,tbl_chests[datetime],"&lt;"&amp;TODAY()-WEEKDAY(TODAY(),2)+8)))</f>
        <v>0</v>
      </c>
      <c r="F45" s="36">
        <f ca="1">IF($A45="","",IF(F$1="","",COUNTIFS(tbl_chests[from],$A45,tbl_chests[legalized],F$1,tbl_chests[datetime],"&gt;="&amp;TODAY()-WEEKDAY(TODAY(),2)+1,tbl_chests[datetime],"&lt;"&amp;TODAY()-WEEKDAY(TODAY(),2)+8)))</f>
        <v>0</v>
      </c>
      <c r="G45" s="36">
        <f ca="1">IF($A45="","",IF(G$1="","",COUNTIFS(tbl_chests[from],$A45,tbl_chests[legalized],G$1,tbl_chests[datetime],"&gt;="&amp;TODAY()-WEEKDAY(TODAY(),2)+1,tbl_chests[datetime],"&lt;"&amp;TODAY()-WEEKDAY(TODAY(),2)+8)))</f>
        <v>0</v>
      </c>
      <c r="H45" s="36">
        <f ca="1">IF($A45="","",IF(H$1="","",COUNTIFS(tbl_chests[from],$A45,tbl_chests[legalized],H$1,tbl_chests[datetime],"&gt;="&amp;TODAY()-WEEKDAY(TODAY(),2)+1,tbl_chests[datetime],"&lt;"&amp;TODAY()-WEEKDAY(TODAY(),2)+8)))</f>
        <v>0</v>
      </c>
      <c r="I45" s="36">
        <f ca="1">IF($A45="","",IF(I$1="","",COUNTIFS(tbl_chests[from],$A45,tbl_chests[legalized],I$1,tbl_chests[datetime],"&gt;="&amp;TODAY()-WEEKDAY(TODAY(),2)+1,tbl_chests[datetime],"&lt;"&amp;TODAY()-WEEKDAY(TODAY(),2)+8)))</f>
        <v>0</v>
      </c>
      <c r="J45" s="36">
        <f ca="1">IF($A45="","",IF(J$1="","",COUNTIFS(tbl_chests[from],$A45,tbl_chests[legalized],J$1,tbl_chests[datetime],"&gt;="&amp;TODAY()-WEEKDAY(TODAY(),2)+1,tbl_chests[datetime],"&lt;"&amp;TODAY()-WEEKDAY(TODAY(),2)+8)))</f>
        <v>0</v>
      </c>
      <c r="K45" s="36">
        <f ca="1">IF($A45="","",IF(K$1="","",COUNTIFS(tbl_chests[from],$A45,tbl_chests[legalized],K$1,tbl_chests[datetime],"&gt;="&amp;TODAY()-WEEKDAY(TODAY(),2)+1,tbl_chests[datetime],"&lt;"&amp;TODAY()-WEEKDAY(TODAY(),2)+8)))</f>
        <v>0</v>
      </c>
      <c r="L45" s="36">
        <f ca="1">IF($A45="","",IF(L$1="","",COUNTIFS(tbl_chests[from],$A45,tbl_chests[legalized],L$1,tbl_chests[datetime],"&gt;="&amp;TODAY()-WEEKDAY(TODAY(),2)+1,tbl_chests[datetime],"&lt;"&amp;TODAY()-WEEKDAY(TODAY(),2)+8)))</f>
        <v>0</v>
      </c>
      <c r="M45" s="36">
        <f ca="1">IF($A45="","",IF(M$1="","",COUNTIFS(tbl_chests[from],$A45,tbl_chests[legalized],M$1,tbl_chests[datetime],"&gt;="&amp;TODAY()-WEEKDAY(TODAY(),2)+1,tbl_chests[datetime],"&lt;"&amp;TODAY()-WEEKDAY(TODAY(),2)+8)))</f>
        <v>0</v>
      </c>
      <c r="N45" s="36">
        <f ca="1">IF($A45="","",IF(N$1="","",COUNTIFS(tbl_chests[from],$A45,tbl_chests[legalized],N$1,tbl_chests[datetime],"&gt;="&amp;TODAY()-WEEKDAY(TODAY(),2)+1,tbl_chests[datetime],"&lt;"&amp;TODAY()-WEEKDAY(TODAY(),2)+8)))</f>
        <v>0</v>
      </c>
      <c r="O45" s="36">
        <f ca="1">IF($A45="","",IF(O$1="","",COUNTIFS(tbl_chests[from],$A45,tbl_chests[legalized],O$1,tbl_chests[datetime],"&gt;="&amp;TODAY()-WEEKDAY(TODAY(),2)+1,tbl_chests[datetime],"&lt;"&amp;TODAY()-WEEKDAY(TODAY(),2)+8)))</f>
        <v>0</v>
      </c>
      <c r="P45" s="36">
        <f ca="1">IF($A45="","",IF(P$1="","",COUNTIFS(tbl_chests[from],$A45,tbl_chests[legalized],P$1,tbl_chests[datetime],"&gt;="&amp;TODAY()-WEEKDAY(TODAY(),2)+1,tbl_chests[datetime],"&lt;"&amp;TODAY()-WEEKDAY(TODAY(),2)+8)))</f>
        <v>0</v>
      </c>
      <c r="Q45" s="36">
        <f ca="1">IF($A45="","",IF(Q$1="","",COUNTIFS(tbl_chests[from],$A45,tbl_chests[legalized],Q$1,tbl_chests[datetime],"&gt;="&amp;TODAY()-WEEKDAY(TODAY(),2)+1,tbl_chests[datetime],"&lt;"&amp;TODAY()-WEEKDAY(TODAY(),2)+8)))</f>
        <v>0</v>
      </c>
      <c r="R45" s="36">
        <f ca="1">IF($A45="","",IF(R$1="","",COUNTIFS(tbl_chests[from],$A45,tbl_chests[legalized],R$1,tbl_chests[datetime],"&gt;="&amp;TODAY()-WEEKDAY(TODAY(),2)+1,tbl_chests[datetime],"&lt;"&amp;TODAY()-WEEKDAY(TODAY(),2)+8)))</f>
        <v>0</v>
      </c>
      <c r="S45" s="36">
        <f ca="1">IF($A45="","",IF(S$1="","",COUNTIFS(tbl_chests[from],$A45,tbl_chests[legalized],S$1,tbl_chests[datetime],"&gt;="&amp;TODAY()-WEEKDAY(TODAY(),2)+1,tbl_chests[datetime],"&lt;"&amp;TODAY()-WEEKDAY(TODAY(),2)+8)))</f>
        <v>0</v>
      </c>
      <c r="T45" s="36">
        <f ca="1">IF($A45="","",IF(T$1="","",COUNTIFS(tbl_chests[from],$A45,tbl_chests[legalized],T$1,tbl_chests[datetime],"&gt;="&amp;TODAY()-WEEKDAY(TODAY(),2)+1,tbl_chests[datetime],"&lt;"&amp;TODAY()-WEEKDAY(TODAY(),2)+8)))</f>
        <v>0</v>
      </c>
      <c r="U45" s="36">
        <f ca="1">IF($A45="","",IF(U$1="","",COUNTIFS(tbl_chests[from],$A45,tbl_chests[legalized],U$1,tbl_chests[datetime],"&gt;="&amp;TODAY()-WEEKDAY(TODAY(),2)+1,tbl_chests[datetime],"&lt;"&amp;TODAY()-WEEKDAY(TODAY(),2)+8)))</f>
        <v>0</v>
      </c>
      <c r="V45" s="36">
        <f ca="1">IF($A45="","",IF(V$1="","",COUNTIFS(tbl_chests[from],$A45,tbl_chests[legalized],V$1,tbl_chests[datetime],"&gt;="&amp;TODAY()-WEEKDAY(TODAY(),2)+1,tbl_chests[datetime],"&lt;"&amp;TODAY()-WEEKDAY(TODAY(),2)+8)))</f>
        <v>0</v>
      </c>
      <c r="W45" s="36">
        <f ca="1">IF($A45="","",IF(W$1="","",COUNTIFS(tbl_chests[from],$A45,tbl_chests[legalized],W$1,tbl_chests[datetime],"&gt;="&amp;TODAY()-WEEKDAY(TODAY(),2)+1,tbl_chests[datetime],"&lt;"&amp;TODAY()-WEEKDAY(TODAY(),2)+8)))</f>
        <v>0</v>
      </c>
      <c r="X45" s="36">
        <f ca="1">IF($A45="","",IF(X$1="","",COUNTIFS(tbl_chests[from],$A45,tbl_chests[legalized],X$1,tbl_chests[datetime],"&gt;="&amp;TODAY()-WEEKDAY(TODAY(),2)+1,tbl_chests[datetime],"&lt;"&amp;TODAY()-WEEKDAY(TODAY(),2)+8)))</f>
        <v>0</v>
      </c>
      <c r="Y45" s="36">
        <f ca="1">IF($A45="","",IF(Y$1="","",COUNTIFS(tbl_chests[from],$A45,tbl_chests[legalized],Y$1,tbl_chests[datetime],"&gt;="&amp;TODAY()-WEEKDAY(TODAY(),2)+1,tbl_chests[datetime],"&lt;"&amp;TODAY()-WEEKDAY(TODAY(),2)+8)))</f>
        <v>0</v>
      </c>
      <c r="Z45" s="36">
        <f ca="1">IF($A45="","",IF(Z$1="","",COUNTIFS(tbl_chests[from],$A45,tbl_chests[legalized],Z$1,tbl_chests[datetime],"&gt;="&amp;TODAY()-WEEKDAY(TODAY(),2)+1,tbl_chests[datetime],"&lt;"&amp;TODAY()-WEEKDAY(TODAY(),2)+8)))</f>
        <v>0</v>
      </c>
      <c r="AA45" s="36">
        <f ca="1">IF($A45="","",IF(AA$1="","",COUNTIFS(tbl_chests[from],$A45,tbl_chests[legalized],AA$1,tbl_chests[datetime],"&gt;="&amp;TODAY()-WEEKDAY(TODAY(),2)+1,tbl_chests[datetime],"&lt;"&amp;TODAY()-WEEKDAY(TODAY(),2)+8)))</f>
        <v>0</v>
      </c>
      <c r="AB45" s="36">
        <f ca="1">IF($A45="","",IF(AB$1="","",COUNTIFS(tbl_chests[from],$A45,tbl_chests[legalized],AB$1,tbl_chests[datetime],"&gt;="&amp;TODAY()-WEEKDAY(TODAY(),2)+1,tbl_chests[datetime],"&lt;"&amp;TODAY()-WEEKDAY(TODAY(),2)+8)))</f>
        <v>0</v>
      </c>
      <c r="AC45" s="36">
        <f ca="1">IF($A45="","",IF(AC$1="","",COUNTIFS(tbl_chests[from],$A45,tbl_chests[legalized],AC$1,tbl_chests[datetime],"&gt;="&amp;TODAY()-WEEKDAY(TODAY(),2)+1,tbl_chests[datetime],"&lt;"&amp;TODAY()-WEEKDAY(TODAY(),2)+8)))</f>
        <v>0</v>
      </c>
      <c r="AD45" s="36">
        <f ca="1">IF($A45="","",IF(AD$1="","",COUNTIFS(tbl_chests[from],$A45,tbl_chests[legalized],AD$1,tbl_chests[datetime],"&gt;="&amp;TODAY()-WEEKDAY(TODAY(),2)+1,tbl_chests[datetime],"&lt;"&amp;TODAY()-WEEKDAY(TODAY(),2)+8)))</f>
        <v>0</v>
      </c>
      <c r="AE45" s="36">
        <f ca="1">IF($A45="","",IF(AE$1="","",COUNTIFS(tbl_chests[from],$A45,tbl_chests[legalized],AE$1,tbl_chests[datetime],"&gt;="&amp;TODAY()-WEEKDAY(TODAY(),2)+1,tbl_chests[datetime],"&lt;"&amp;TODAY()-WEEKDAY(TODAY(),2)+8)))</f>
        <v>0</v>
      </c>
      <c r="AF45" s="36">
        <f ca="1">IF($A45="","",IF(AF$1="","",COUNTIFS(tbl_chests[from],$A45,tbl_chests[legalized],AF$1,tbl_chests[datetime],"&gt;="&amp;TODAY()-WEEKDAY(TODAY(),2)+1,tbl_chests[datetime],"&lt;"&amp;TODAY()-WEEKDAY(TODAY(),2)+8)))</f>
        <v>0</v>
      </c>
      <c r="AG45" s="36">
        <f ca="1">IF($A45="","",IF(AG$1="","",COUNTIFS(tbl_chests[from],$A45,tbl_chests[legalized],AG$1,tbl_chests[datetime],"&gt;="&amp;TODAY()-WEEKDAY(TODAY(),2)+1,tbl_chests[datetime],"&lt;"&amp;TODAY()-WEEKDAY(TODAY(),2)+8)))</f>
        <v>0</v>
      </c>
      <c r="AH45" s="36">
        <f ca="1">IF($A45="","",IF(AH$1="","",COUNTIFS(tbl_chests[from],$A45,tbl_chests[legalized],AH$1,tbl_chests[datetime],"&gt;="&amp;TODAY()-WEEKDAY(TODAY(),2)+1,tbl_chests[datetime],"&lt;"&amp;TODAY()-WEEKDAY(TODAY(),2)+8)))</f>
        <v>0</v>
      </c>
      <c r="AI45" s="36">
        <f ca="1">IF($A45="","",IF(AI$1="","",COUNTIFS(tbl_chests[from],$A45,tbl_chests[legalized],AI$1,tbl_chests[datetime],"&gt;="&amp;TODAY()-WEEKDAY(TODAY(),2)+1,tbl_chests[datetime],"&lt;"&amp;TODAY()-WEEKDAY(TODAY(),2)+8)))</f>
        <v>0</v>
      </c>
      <c r="AJ45" s="36">
        <f ca="1">IF($A45="","",IF(AJ$1="","",COUNTIFS(tbl_chests[from],$A45,tbl_chests[legalized],AJ$1,tbl_chests[datetime],"&gt;="&amp;TODAY()-WEEKDAY(TODAY(),2)+1,tbl_chests[datetime],"&lt;"&amp;TODAY()-WEEKDAY(TODAY(),2)+8)))</f>
        <v>0</v>
      </c>
      <c r="AK45" s="36">
        <f ca="1">IF($A45="","",IF(AK$1="","",COUNTIFS(tbl_chests[from],$A45,tbl_chests[legalized],AK$1,tbl_chests[datetime],"&gt;="&amp;TODAY()-WEEKDAY(TODAY(),2)+1,tbl_chests[datetime],"&lt;"&amp;TODAY()-WEEKDAY(TODAY(),2)+8)))</f>
        <v>0</v>
      </c>
      <c r="AL45" s="36">
        <f ca="1">IF($A45="","",IF(AL$1="","",COUNTIFS(tbl_chests[from],$A45,tbl_chests[legalized],AL$1,tbl_chests[datetime],"&gt;="&amp;TODAY()-WEEKDAY(TODAY(),2)+1,tbl_chests[datetime],"&lt;"&amp;TODAY()-WEEKDAY(TODAY(),2)+8)))</f>
        <v>0</v>
      </c>
      <c r="AM45" s="37">
        <f ca="1">IF($A45="","",IF(AM$1="","",COUNTIFS(tbl_chests[from],$A45,tbl_chests[legalized],AM$1,tbl_chests[datetime],"&gt;="&amp;TODAY()-WEEKDAY(TODAY(),2)+1,tbl_chests[datetime],"&lt;"&amp;TODAY()-WEEKDAY(TODAY(),2)+8)))</f>
        <v>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 ht="15.75" customHeight="1" x14ac:dyDescent="0.25">
      <c r="A46" s="34">
        <f>chests_counter!$H43</f>
        <v>0</v>
      </c>
      <c r="B46" s="35" cm="1">
        <f t="array" aca="1" ref="B46" ca="1">IF(A46&lt;&gt;"", SUMPRODUCT(($C$2:$AM$2&lt;&gt;0)*(C46:AM46&lt;&gt;0)*($C$2:$AM$2)*(C46:AM46)), "")</f>
        <v>0</v>
      </c>
      <c r="C46" s="36">
        <f ca="1">IF($A46="","",IF(C$1="","",COUNTIFS(tbl_chests[from],$A46,tbl_chests[legalized],C$1,tbl_chests[datetime],"&gt;="&amp;TODAY()-WEEKDAY(TODAY(),2)+1,tbl_chests[datetime],"&lt;"&amp;TODAY()-WEEKDAY(TODAY(),2)+8)))</f>
        <v>0</v>
      </c>
      <c r="D46" s="36">
        <f ca="1">IF($A46="","",IF(D$1="","",COUNTIFS(tbl_chests[from],$A46,tbl_chests[legalized],D$1,tbl_chests[datetime],"&gt;="&amp;TODAY()-WEEKDAY(TODAY(),2)+1,tbl_chests[datetime],"&lt;"&amp;TODAY()-WEEKDAY(TODAY(),2)+8)))</f>
        <v>0</v>
      </c>
      <c r="E46" s="36">
        <f ca="1">IF($A46="","",IF(E$1="","",COUNTIFS(tbl_chests[from],$A46,tbl_chests[legalized],E$1,tbl_chests[datetime],"&gt;="&amp;TODAY()-WEEKDAY(TODAY(),2)+1,tbl_chests[datetime],"&lt;"&amp;TODAY()-WEEKDAY(TODAY(),2)+8)))</f>
        <v>0</v>
      </c>
      <c r="F46" s="36">
        <f ca="1">IF($A46="","",IF(F$1="","",COUNTIFS(tbl_chests[from],$A46,tbl_chests[legalized],F$1,tbl_chests[datetime],"&gt;="&amp;TODAY()-WEEKDAY(TODAY(),2)+1,tbl_chests[datetime],"&lt;"&amp;TODAY()-WEEKDAY(TODAY(),2)+8)))</f>
        <v>0</v>
      </c>
      <c r="G46" s="36">
        <f ca="1">IF($A46="","",IF(G$1="","",COUNTIFS(tbl_chests[from],$A46,tbl_chests[legalized],G$1,tbl_chests[datetime],"&gt;="&amp;TODAY()-WEEKDAY(TODAY(),2)+1,tbl_chests[datetime],"&lt;"&amp;TODAY()-WEEKDAY(TODAY(),2)+8)))</f>
        <v>0</v>
      </c>
      <c r="H46" s="36">
        <f ca="1">IF($A46="","",IF(H$1="","",COUNTIFS(tbl_chests[from],$A46,tbl_chests[legalized],H$1,tbl_chests[datetime],"&gt;="&amp;TODAY()-WEEKDAY(TODAY(),2)+1,tbl_chests[datetime],"&lt;"&amp;TODAY()-WEEKDAY(TODAY(),2)+8)))</f>
        <v>0</v>
      </c>
      <c r="I46" s="36">
        <f ca="1">IF($A46="","",IF(I$1="","",COUNTIFS(tbl_chests[from],$A46,tbl_chests[legalized],I$1,tbl_chests[datetime],"&gt;="&amp;TODAY()-WEEKDAY(TODAY(),2)+1,tbl_chests[datetime],"&lt;"&amp;TODAY()-WEEKDAY(TODAY(),2)+8)))</f>
        <v>0</v>
      </c>
      <c r="J46" s="36">
        <f ca="1">IF($A46="","",IF(J$1="","",COUNTIFS(tbl_chests[from],$A46,tbl_chests[legalized],J$1,tbl_chests[datetime],"&gt;="&amp;TODAY()-WEEKDAY(TODAY(),2)+1,tbl_chests[datetime],"&lt;"&amp;TODAY()-WEEKDAY(TODAY(),2)+8)))</f>
        <v>0</v>
      </c>
      <c r="K46" s="36">
        <f ca="1">IF($A46="","",IF(K$1="","",COUNTIFS(tbl_chests[from],$A46,tbl_chests[legalized],K$1,tbl_chests[datetime],"&gt;="&amp;TODAY()-WEEKDAY(TODAY(),2)+1,tbl_chests[datetime],"&lt;"&amp;TODAY()-WEEKDAY(TODAY(),2)+8)))</f>
        <v>0</v>
      </c>
      <c r="L46" s="36">
        <f ca="1">IF($A46="","",IF(L$1="","",COUNTIFS(tbl_chests[from],$A46,tbl_chests[legalized],L$1,tbl_chests[datetime],"&gt;="&amp;TODAY()-WEEKDAY(TODAY(),2)+1,tbl_chests[datetime],"&lt;"&amp;TODAY()-WEEKDAY(TODAY(),2)+8)))</f>
        <v>0</v>
      </c>
      <c r="M46" s="36">
        <f ca="1">IF($A46="","",IF(M$1="","",COUNTIFS(tbl_chests[from],$A46,tbl_chests[legalized],M$1,tbl_chests[datetime],"&gt;="&amp;TODAY()-WEEKDAY(TODAY(),2)+1,tbl_chests[datetime],"&lt;"&amp;TODAY()-WEEKDAY(TODAY(),2)+8)))</f>
        <v>0</v>
      </c>
      <c r="N46" s="36">
        <f ca="1">IF($A46="","",IF(N$1="","",COUNTIFS(tbl_chests[from],$A46,tbl_chests[legalized],N$1,tbl_chests[datetime],"&gt;="&amp;TODAY()-WEEKDAY(TODAY(),2)+1,tbl_chests[datetime],"&lt;"&amp;TODAY()-WEEKDAY(TODAY(),2)+8)))</f>
        <v>0</v>
      </c>
      <c r="O46" s="36">
        <f ca="1">IF($A46="","",IF(O$1="","",COUNTIFS(tbl_chests[from],$A46,tbl_chests[legalized],O$1,tbl_chests[datetime],"&gt;="&amp;TODAY()-WEEKDAY(TODAY(),2)+1,tbl_chests[datetime],"&lt;"&amp;TODAY()-WEEKDAY(TODAY(),2)+8)))</f>
        <v>0</v>
      </c>
      <c r="P46" s="36">
        <f ca="1">IF($A46="","",IF(P$1="","",COUNTIFS(tbl_chests[from],$A46,tbl_chests[legalized],P$1,tbl_chests[datetime],"&gt;="&amp;TODAY()-WEEKDAY(TODAY(),2)+1,tbl_chests[datetime],"&lt;"&amp;TODAY()-WEEKDAY(TODAY(),2)+8)))</f>
        <v>0</v>
      </c>
      <c r="Q46" s="36">
        <f ca="1">IF($A46="","",IF(Q$1="","",COUNTIFS(tbl_chests[from],$A46,tbl_chests[legalized],Q$1,tbl_chests[datetime],"&gt;="&amp;TODAY()-WEEKDAY(TODAY(),2)+1,tbl_chests[datetime],"&lt;"&amp;TODAY()-WEEKDAY(TODAY(),2)+8)))</f>
        <v>0</v>
      </c>
      <c r="R46" s="36">
        <f ca="1">IF($A46="","",IF(R$1="","",COUNTIFS(tbl_chests[from],$A46,tbl_chests[legalized],R$1,tbl_chests[datetime],"&gt;="&amp;TODAY()-WEEKDAY(TODAY(),2)+1,tbl_chests[datetime],"&lt;"&amp;TODAY()-WEEKDAY(TODAY(),2)+8)))</f>
        <v>0</v>
      </c>
      <c r="S46" s="36">
        <f ca="1">IF($A46="","",IF(S$1="","",COUNTIFS(tbl_chests[from],$A46,tbl_chests[legalized],S$1,tbl_chests[datetime],"&gt;="&amp;TODAY()-WEEKDAY(TODAY(),2)+1,tbl_chests[datetime],"&lt;"&amp;TODAY()-WEEKDAY(TODAY(),2)+8)))</f>
        <v>0</v>
      </c>
      <c r="T46" s="36">
        <f ca="1">IF($A46="","",IF(T$1="","",COUNTIFS(tbl_chests[from],$A46,tbl_chests[legalized],T$1,tbl_chests[datetime],"&gt;="&amp;TODAY()-WEEKDAY(TODAY(),2)+1,tbl_chests[datetime],"&lt;"&amp;TODAY()-WEEKDAY(TODAY(),2)+8)))</f>
        <v>0</v>
      </c>
      <c r="U46" s="36">
        <f ca="1">IF($A46="","",IF(U$1="","",COUNTIFS(tbl_chests[from],$A46,tbl_chests[legalized],U$1,tbl_chests[datetime],"&gt;="&amp;TODAY()-WEEKDAY(TODAY(),2)+1,tbl_chests[datetime],"&lt;"&amp;TODAY()-WEEKDAY(TODAY(),2)+8)))</f>
        <v>0</v>
      </c>
      <c r="V46" s="36">
        <f ca="1">IF($A46="","",IF(V$1="","",COUNTIFS(tbl_chests[from],$A46,tbl_chests[legalized],V$1,tbl_chests[datetime],"&gt;="&amp;TODAY()-WEEKDAY(TODAY(),2)+1,tbl_chests[datetime],"&lt;"&amp;TODAY()-WEEKDAY(TODAY(),2)+8)))</f>
        <v>0</v>
      </c>
      <c r="W46" s="36">
        <f ca="1">IF($A46="","",IF(W$1="","",COUNTIFS(tbl_chests[from],$A46,tbl_chests[legalized],W$1,tbl_chests[datetime],"&gt;="&amp;TODAY()-WEEKDAY(TODAY(),2)+1,tbl_chests[datetime],"&lt;"&amp;TODAY()-WEEKDAY(TODAY(),2)+8)))</f>
        <v>0</v>
      </c>
      <c r="X46" s="36">
        <f ca="1">IF($A46="","",IF(X$1="","",COUNTIFS(tbl_chests[from],$A46,tbl_chests[legalized],X$1,tbl_chests[datetime],"&gt;="&amp;TODAY()-WEEKDAY(TODAY(),2)+1,tbl_chests[datetime],"&lt;"&amp;TODAY()-WEEKDAY(TODAY(),2)+8)))</f>
        <v>0</v>
      </c>
      <c r="Y46" s="36">
        <f ca="1">IF($A46="","",IF(Y$1="","",COUNTIFS(tbl_chests[from],$A46,tbl_chests[legalized],Y$1,tbl_chests[datetime],"&gt;="&amp;TODAY()-WEEKDAY(TODAY(),2)+1,tbl_chests[datetime],"&lt;"&amp;TODAY()-WEEKDAY(TODAY(),2)+8)))</f>
        <v>0</v>
      </c>
      <c r="Z46" s="36">
        <f ca="1">IF($A46="","",IF(Z$1="","",COUNTIFS(tbl_chests[from],$A46,tbl_chests[legalized],Z$1,tbl_chests[datetime],"&gt;="&amp;TODAY()-WEEKDAY(TODAY(),2)+1,tbl_chests[datetime],"&lt;"&amp;TODAY()-WEEKDAY(TODAY(),2)+8)))</f>
        <v>0</v>
      </c>
      <c r="AA46" s="36">
        <f ca="1">IF($A46="","",IF(AA$1="","",COUNTIFS(tbl_chests[from],$A46,tbl_chests[legalized],AA$1,tbl_chests[datetime],"&gt;="&amp;TODAY()-WEEKDAY(TODAY(),2)+1,tbl_chests[datetime],"&lt;"&amp;TODAY()-WEEKDAY(TODAY(),2)+8)))</f>
        <v>0</v>
      </c>
      <c r="AB46" s="36">
        <f ca="1">IF($A46="","",IF(AB$1="","",COUNTIFS(tbl_chests[from],$A46,tbl_chests[legalized],AB$1,tbl_chests[datetime],"&gt;="&amp;TODAY()-WEEKDAY(TODAY(),2)+1,tbl_chests[datetime],"&lt;"&amp;TODAY()-WEEKDAY(TODAY(),2)+8)))</f>
        <v>0</v>
      </c>
      <c r="AC46" s="36">
        <f ca="1">IF($A46="","",IF(AC$1="","",COUNTIFS(tbl_chests[from],$A46,tbl_chests[legalized],AC$1,tbl_chests[datetime],"&gt;="&amp;TODAY()-WEEKDAY(TODAY(),2)+1,tbl_chests[datetime],"&lt;"&amp;TODAY()-WEEKDAY(TODAY(),2)+8)))</f>
        <v>0</v>
      </c>
      <c r="AD46" s="36">
        <f ca="1">IF($A46="","",IF(AD$1="","",COUNTIFS(tbl_chests[from],$A46,tbl_chests[legalized],AD$1,tbl_chests[datetime],"&gt;="&amp;TODAY()-WEEKDAY(TODAY(),2)+1,tbl_chests[datetime],"&lt;"&amp;TODAY()-WEEKDAY(TODAY(),2)+8)))</f>
        <v>0</v>
      </c>
      <c r="AE46" s="36">
        <f ca="1">IF($A46="","",IF(AE$1="","",COUNTIFS(tbl_chests[from],$A46,tbl_chests[legalized],AE$1,tbl_chests[datetime],"&gt;="&amp;TODAY()-WEEKDAY(TODAY(),2)+1,tbl_chests[datetime],"&lt;"&amp;TODAY()-WEEKDAY(TODAY(),2)+8)))</f>
        <v>0</v>
      </c>
      <c r="AF46" s="36">
        <f ca="1">IF($A46="","",IF(AF$1="","",COUNTIFS(tbl_chests[from],$A46,tbl_chests[legalized],AF$1,tbl_chests[datetime],"&gt;="&amp;TODAY()-WEEKDAY(TODAY(),2)+1,tbl_chests[datetime],"&lt;"&amp;TODAY()-WEEKDAY(TODAY(),2)+8)))</f>
        <v>0</v>
      </c>
      <c r="AG46" s="36">
        <f ca="1">IF($A46="","",IF(AG$1="","",COUNTIFS(tbl_chests[from],$A46,tbl_chests[legalized],AG$1,tbl_chests[datetime],"&gt;="&amp;TODAY()-WEEKDAY(TODAY(),2)+1,tbl_chests[datetime],"&lt;"&amp;TODAY()-WEEKDAY(TODAY(),2)+8)))</f>
        <v>0</v>
      </c>
      <c r="AH46" s="36">
        <f ca="1">IF($A46="","",IF(AH$1="","",COUNTIFS(tbl_chests[from],$A46,tbl_chests[legalized],AH$1,tbl_chests[datetime],"&gt;="&amp;TODAY()-WEEKDAY(TODAY(),2)+1,tbl_chests[datetime],"&lt;"&amp;TODAY()-WEEKDAY(TODAY(),2)+8)))</f>
        <v>0</v>
      </c>
      <c r="AI46" s="36">
        <f ca="1">IF($A46="","",IF(AI$1="","",COUNTIFS(tbl_chests[from],$A46,tbl_chests[legalized],AI$1,tbl_chests[datetime],"&gt;="&amp;TODAY()-WEEKDAY(TODAY(),2)+1,tbl_chests[datetime],"&lt;"&amp;TODAY()-WEEKDAY(TODAY(),2)+8)))</f>
        <v>0</v>
      </c>
      <c r="AJ46" s="36">
        <f ca="1">IF($A46="","",IF(AJ$1="","",COUNTIFS(tbl_chests[from],$A46,tbl_chests[legalized],AJ$1,tbl_chests[datetime],"&gt;="&amp;TODAY()-WEEKDAY(TODAY(),2)+1,tbl_chests[datetime],"&lt;"&amp;TODAY()-WEEKDAY(TODAY(),2)+8)))</f>
        <v>0</v>
      </c>
      <c r="AK46" s="36">
        <f ca="1">IF($A46="","",IF(AK$1="","",COUNTIFS(tbl_chests[from],$A46,tbl_chests[legalized],AK$1,tbl_chests[datetime],"&gt;="&amp;TODAY()-WEEKDAY(TODAY(),2)+1,tbl_chests[datetime],"&lt;"&amp;TODAY()-WEEKDAY(TODAY(),2)+8)))</f>
        <v>0</v>
      </c>
      <c r="AL46" s="36">
        <f ca="1">IF($A46="","",IF(AL$1="","",COUNTIFS(tbl_chests[from],$A46,tbl_chests[legalized],AL$1,tbl_chests[datetime],"&gt;="&amp;TODAY()-WEEKDAY(TODAY(),2)+1,tbl_chests[datetime],"&lt;"&amp;TODAY()-WEEKDAY(TODAY(),2)+8)))</f>
        <v>0</v>
      </c>
      <c r="AM46" s="37">
        <f ca="1">IF($A46="","",IF(AM$1="","",COUNTIFS(tbl_chests[from],$A46,tbl_chests[legalized],AM$1,tbl_chests[datetime],"&gt;="&amp;TODAY()-WEEKDAY(TODAY(),2)+1,tbl_chests[datetime],"&lt;"&amp;TODAY()-WEEKDAY(TODAY(),2)+8)))</f>
        <v>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 ht="15.75" customHeight="1" x14ac:dyDescent="0.25">
      <c r="A47" s="34">
        <f>chests_counter!$H44</f>
        <v>0</v>
      </c>
      <c r="B47" s="35" cm="1">
        <f t="array" aca="1" ref="B47" ca="1">IF(A47&lt;&gt;"", SUMPRODUCT(($C$2:$AM$2&lt;&gt;0)*(C47:AM47&lt;&gt;0)*($C$2:$AM$2)*(C47:AM47)), "")</f>
        <v>0</v>
      </c>
      <c r="C47" s="36">
        <f ca="1">IF($A47="","",IF(C$1="","",COUNTIFS(tbl_chests[from],$A47,tbl_chests[legalized],C$1,tbl_chests[datetime],"&gt;="&amp;TODAY()-WEEKDAY(TODAY(),2)+1,tbl_chests[datetime],"&lt;"&amp;TODAY()-WEEKDAY(TODAY(),2)+8)))</f>
        <v>0</v>
      </c>
      <c r="D47" s="36">
        <f ca="1">IF($A47="","",IF(D$1="","",COUNTIFS(tbl_chests[from],$A47,tbl_chests[legalized],D$1,tbl_chests[datetime],"&gt;="&amp;TODAY()-WEEKDAY(TODAY(),2)+1,tbl_chests[datetime],"&lt;"&amp;TODAY()-WEEKDAY(TODAY(),2)+8)))</f>
        <v>0</v>
      </c>
      <c r="E47" s="36">
        <f ca="1">IF($A47="","",IF(E$1="","",COUNTIFS(tbl_chests[from],$A47,tbl_chests[legalized],E$1,tbl_chests[datetime],"&gt;="&amp;TODAY()-WEEKDAY(TODAY(),2)+1,tbl_chests[datetime],"&lt;"&amp;TODAY()-WEEKDAY(TODAY(),2)+8)))</f>
        <v>0</v>
      </c>
      <c r="F47" s="36">
        <f ca="1">IF($A47="","",IF(F$1="","",COUNTIFS(tbl_chests[from],$A47,tbl_chests[legalized],F$1,tbl_chests[datetime],"&gt;="&amp;TODAY()-WEEKDAY(TODAY(),2)+1,tbl_chests[datetime],"&lt;"&amp;TODAY()-WEEKDAY(TODAY(),2)+8)))</f>
        <v>0</v>
      </c>
      <c r="G47" s="36">
        <f ca="1">IF($A47="","",IF(G$1="","",COUNTIFS(tbl_chests[from],$A47,tbl_chests[legalized],G$1,tbl_chests[datetime],"&gt;="&amp;TODAY()-WEEKDAY(TODAY(),2)+1,tbl_chests[datetime],"&lt;"&amp;TODAY()-WEEKDAY(TODAY(),2)+8)))</f>
        <v>0</v>
      </c>
      <c r="H47" s="36">
        <f ca="1">IF($A47="","",IF(H$1="","",COUNTIFS(tbl_chests[from],$A47,tbl_chests[legalized],H$1,tbl_chests[datetime],"&gt;="&amp;TODAY()-WEEKDAY(TODAY(),2)+1,tbl_chests[datetime],"&lt;"&amp;TODAY()-WEEKDAY(TODAY(),2)+8)))</f>
        <v>0</v>
      </c>
      <c r="I47" s="36">
        <f ca="1">IF($A47="","",IF(I$1="","",COUNTIFS(tbl_chests[from],$A47,tbl_chests[legalized],I$1,tbl_chests[datetime],"&gt;="&amp;TODAY()-WEEKDAY(TODAY(),2)+1,tbl_chests[datetime],"&lt;"&amp;TODAY()-WEEKDAY(TODAY(),2)+8)))</f>
        <v>0</v>
      </c>
      <c r="J47" s="36">
        <f ca="1">IF($A47="","",IF(J$1="","",COUNTIFS(tbl_chests[from],$A47,tbl_chests[legalized],J$1,tbl_chests[datetime],"&gt;="&amp;TODAY()-WEEKDAY(TODAY(),2)+1,tbl_chests[datetime],"&lt;"&amp;TODAY()-WEEKDAY(TODAY(),2)+8)))</f>
        <v>0</v>
      </c>
      <c r="K47" s="36">
        <f ca="1">IF($A47="","",IF(K$1="","",COUNTIFS(tbl_chests[from],$A47,tbl_chests[legalized],K$1,tbl_chests[datetime],"&gt;="&amp;TODAY()-WEEKDAY(TODAY(),2)+1,tbl_chests[datetime],"&lt;"&amp;TODAY()-WEEKDAY(TODAY(),2)+8)))</f>
        <v>0</v>
      </c>
      <c r="L47" s="36">
        <f ca="1">IF($A47="","",IF(L$1="","",COUNTIFS(tbl_chests[from],$A47,tbl_chests[legalized],L$1,tbl_chests[datetime],"&gt;="&amp;TODAY()-WEEKDAY(TODAY(),2)+1,tbl_chests[datetime],"&lt;"&amp;TODAY()-WEEKDAY(TODAY(),2)+8)))</f>
        <v>0</v>
      </c>
      <c r="M47" s="36">
        <f ca="1">IF($A47="","",IF(M$1="","",COUNTIFS(tbl_chests[from],$A47,tbl_chests[legalized],M$1,tbl_chests[datetime],"&gt;="&amp;TODAY()-WEEKDAY(TODAY(),2)+1,tbl_chests[datetime],"&lt;"&amp;TODAY()-WEEKDAY(TODAY(),2)+8)))</f>
        <v>0</v>
      </c>
      <c r="N47" s="36">
        <f ca="1">IF($A47="","",IF(N$1="","",COUNTIFS(tbl_chests[from],$A47,tbl_chests[legalized],N$1,tbl_chests[datetime],"&gt;="&amp;TODAY()-WEEKDAY(TODAY(),2)+1,tbl_chests[datetime],"&lt;"&amp;TODAY()-WEEKDAY(TODAY(),2)+8)))</f>
        <v>0</v>
      </c>
      <c r="O47" s="36">
        <f ca="1">IF($A47="","",IF(O$1="","",COUNTIFS(tbl_chests[from],$A47,tbl_chests[legalized],O$1,tbl_chests[datetime],"&gt;="&amp;TODAY()-WEEKDAY(TODAY(),2)+1,tbl_chests[datetime],"&lt;"&amp;TODAY()-WEEKDAY(TODAY(),2)+8)))</f>
        <v>0</v>
      </c>
      <c r="P47" s="36">
        <f ca="1">IF($A47="","",IF(P$1="","",COUNTIFS(tbl_chests[from],$A47,tbl_chests[legalized],P$1,tbl_chests[datetime],"&gt;="&amp;TODAY()-WEEKDAY(TODAY(),2)+1,tbl_chests[datetime],"&lt;"&amp;TODAY()-WEEKDAY(TODAY(),2)+8)))</f>
        <v>0</v>
      </c>
      <c r="Q47" s="36">
        <f ca="1">IF($A47="","",IF(Q$1="","",COUNTIFS(tbl_chests[from],$A47,tbl_chests[legalized],Q$1,tbl_chests[datetime],"&gt;="&amp;TODAY()-WEEKDAY(TODAY(),2)+1,tbl_chests[datetime],"&lt;"&amp;TODAY()-WEEKDAY(TODAY(),2)+8)))</f>
        <v>0</v>
      </c>
      <c r="R47" s="36">
        <f ca="1">IF($A47="","",IF(R$1="","",COUNTIFS(tbl_chests[from],$A47,tbl_chests[legalized],R$1,tbl_chests[datetime],"&gt;="&amp;TODAY()-WEEKDAY(TODAY(),2)+1,tbl_chests[datetime],"&lt;"&amp;TODAY()-WEEKDAY(TODAY(),2)+8)))</f>
        <v>0</v>
      </c>
      <c r="S47" s="36">
        <f ca="1">IF($A47="","",IF(S$1="","",COUNTIFS(tbl_chests[from],$A47,tbl_chests[legalized],S$1,tbl_chests[datetime],"&gt;="&amp;TODAY()-WEEKDAY(TODAY(),2)+1,tbl_chests[datetime],"&lt;"&amp;TODAY()-WEEKDAY(TODAY(),2)+8)))</f>
        <v>0</v>
      </c>
      <c r="T47" s="36">
        <f ca="1">IF($A47="","",IF(T$1="","",COUNTIFS(tbl_chests[from],$A47,tbl_chests[legalized],T$1,tbl_chests[datetime],"&gt;="&amp;TODAY()-WEEKDAY(TODAY(),2)+1,tbl_chests[datetime],"&lt;"&amp;TODAY()-WEEKDAY(TODAY(),2)+8)))</f>
        <v>0</v>
      </c>
      <c r="U47" s="36">
        <f ca="1">IF($A47="","",IF(U$1="","",COUNTIFS(tbl_chests[from],$A47,tbl_chests[legalized],U$1,tbl_chests[datetime],"&gt;="&amp;TODAY()-WEEKDAY(TODAY(),2)+1,tbl_chests[datetime],"&lt;"&amp;TODAY()-WEEKDAY(TODAY(),2)+8)))</f>
        <v>0</v>
      </c>
      <c r="V47" s="36">
        <f ca="1">IF($A47="","",IF(V$1="","",COUNTIFS(tbl_chests[from],$A47,tbl_chests[legalized],V$1,tbl_chests[datetime],"&gt;="&amp;TODAY()-WEEKDAY(TODAY(),2)+1,tbl_chests[datetime],"&lt;"&amp;TODAY()-WEEKDAY(TODAY(),2)+8)))</f>
        <v>0</v>
      </c>
      <c r="W47" s="36">
        <f ca="1">IF($A47="","",IF(W$1="","",COUNTIFS(tbl_chests[from],$A47,tbl_chests[legalized],W$1,tbl_chests[datetime],"&gt;="&amp;TODAY()-WEEKDAY(TODAY(),2)+1,tbl_chests[datetime],"&lt;"&amp;TODAY()-WEEKDAY(TODAY(),2)+8)))</f>
        <v>0</v>
      </c>
      <c r="X47" s="36">
        <f ca="1">IF($A47="","",IF(X$1="","",COUNTIFS(tbl_chests[from],$A47,tbl_chests[legalized],X$1,tbl_chests[datetime],"&gt;="&amp;TODAY()-WEEKDAY(TODAY(),2)+1,tbl_chests[datetime],"&lt;"&amp;TODAY()-WEEKDAY(TODAY(),2)+8)))</f>
        <v>0</v>
      </c>
      <c r="Y47" s="36">
        <f ca="1">IF($A47="","",IF(Y$1="","",COUNTIFS(tbl_chests[from],$A47,tbl_chests[legalized],Y$1,tbl_chests[datetime],"&gt;="&amp;TODAY()-WEEKDAY(TODAY(),2)+1,tbl_chests[datetime],"&lt;"&amp;TODAY()-WEEKDAY(TODAY(),2)+8)))</f>
        <v>0</v>
      </c>
      <c r="Z47" s="36">
        <f ca="1">IF($A47="","",IF(Z$1="","",COUNTIFS(tbl_chests[from],$A47,tbl_chests[legalized],Z$1,tbl_chests[datetime],"&gt;="&amp;TODAY()-WEEKDAY(TODAY(),2)+1,tbl_chests[datetime],"&lt;"&amp;TODAY()-WEEKDAY(TODAY(),2)+8)))</f>
        <v>0</v>
      </c>
      <c r="AA47" s="36">
        <f ca="1">IF($A47="","",IF(AA$1="","",COUNTIFS(tbl_chests[from],$A47,tbl_chests[legalized],AA$1,tbl_chests[datetime],"&gt;="&amp;TODAY()-WEEKDAY(TODAY(),2)+1,tbl_chests[datetime],"&lt;"&amp;TODAY()-WEEKDAY(TODAY(),2)+8)))</f>
        <v>0</v>
      </c>
      <c r="AB47" s="36">
        <f ca="1">IF($A47="","",IF(AB$1="","",COUNTIFS(tbl_chests[from],$A47,tbl_chests[legalized],AB$1,tbl_chests[datetime],"&gt;="&amp;TODAY()-WEEKDAY(TODAY(),2)+1,tbl_chests[datetime],"&lt;"&amp;TODAY()-WEEKDAY(TODAY(),2)+8)))</f>
        <v>0</v>
      </c>
      <c r="AC47" s="36">
        <f ca="1">IF($A47="","",IF(AC$1="","",COUNTIFS(tbl_chests[from],$A47,tbl_chests[legalized],AC$1,tbl_chests[datetime],"&gt;="&amp;TODAY()-WEEKDAY(TODAY(),2)+1,tbl_chests[datetime],"&lt;"&amp;TODAY()-WEEKDAY(TODAY(),2)+8)))</f>
        <v>0</v>
      </c>
      <c r="AD47" s="36">
        <f ca="1">IF($A47="","",IF(AD$1="","",COUNTIFS(tbl_chests[from],$A47,tbl_chests[legalized],AD$1,tbl_chests[datetime],"&gt;="&amp;TODAY()-WEEKDAY(TODAY(),2)+1,tbl_chests[datetime],"&lt;"&amp;TODAY()-WEEKDAY(TODAY(),2)+8)))</f>
        <v>0</v>
      </c>
      <c r="AE47" s="36">
        <f ca="1">IF($A47="","",IF(AE$1="","",COUNTIFS(tbl_chests[from],$A47,tbl_chests[legalized],AE$1,tbl_chests[datetime],"&gt;="&amp;TODAY()-WEEKDAY(TODAY(),2)+1,tbl_chests[datetime],"&lt;"&amp;TODAY()-WEEKDAY(TODAY(),2)+8)))</f>
        <v>0</v>
      </c>
      <c r="AF47" s="36">
        <f ca="1">IF($A47="","",IF(AF$1="","",COUNTIFS(tbl_chests[from],$A47,tbl_chests[legalized],AF$1,tbl_chests[datetime],"&gt;="&amp;TODAY()-WEEKDAY(TODAY(),2)+1,tbl_chests[datetime],"&lt;"&amp;TODAY()-WEEKDAY(TODAY(),2)+8)))</f>
        <v>0</v>
      </c>
      <c r="AG47" s="36">
        <f ca="1">IF($A47="","",IF(AG$1="","",COUNTIFS(tbl_chests[from],$A47,tbl_chests[legalized],AG$1,tbl_chests[datetime],"&gt;="&amp;TODAY()-WEEKDAY(TODAY(),2)+1,tbl_chests[datetime],"&lt;"&amp;TODAY()-WEEKDAY(TODAY(),2)+8)))</f>
        <v>0</v>
      </c>
      <c r="AH47" s="36">
        <f ca="1">IF($A47="","",IF(AH$1="","",COUNTIFS(tbl_chests[from],$A47,tbl_chests[legalized],AH$1,tbl_chests[datetime],"&gt;="&amp;TODAY()-WEEKDAY(TODAY(),2)+1,tbl_chests[datetime],"&lt;"&amp;TODAY()-WEEKDAY(TODAY(),2)+8)))</f>
        <v>0</v>
      </c>
      <c r="AI47" s="36">
        <f ca="1">IF($A47="","",IF(AI$1="","",COUNTIFS(tbl_chests[from],$A47,tbl_chests[legalized],AI$1,tbl_chests[datetime],"&gt;="&amp;TODAY()-WEEKDAY(TODAY(),2)+1,tbl_chests[datetime],"&lt;"&amp;TODAY()-WEEKDAY(TODAY(),2)+8)))</f>
        <v>0</v>
      </c>
      <c r="AJ47" s="36">
        <f ca="1">IF($A47="","",IF(AJ$1="","",COUNTIFS(tbl_chests[from],$A47,tbl_chests[legalized],AJ$1,tbl_chests[datetime],"&gt;="&amp;TODAY()-WEEKDAY(TODAY(),2)+1,tbl_chests[datetime],"&lt;"&amp;TODAY()-WEEKDAY(TODAY(),2)+8)))</f>
        <v>0</v>
      </c>
      <c r="AK47" s="36">
        <f ca="1">IF($A47="","",IF(AK$1="","",COUNTIFS(tbl_chests[from],$A47,tbl_chests[legalized],AK$1,tbl_chests[datetime],"&gt;="&amp;TODAY()-WEEKDAY(TODAY(),2)+1,tbl_chests[datetime],"&lt;"&amp;TODAY()-WEEKDAY(TODAY(),2)+8)))</f>
        <v>0</v>
      </c>
      <c r="AL47" s="36">
        <f ca="1">IF($A47="","",IF(AL$1="","",COUNTIFS(tbl_chests[from],$A47,tbl_chests[legalized],AL$1,tbl_chests[datetime],"&gt;="&amp;TODAY()-WEEKDAY(TODAY(),2)+1,tbl_chests[datetime],"&lt;"&amp;TODAY()-WEEKDAY(TODAY(),2)+8)))</f>
        <v>0</v>
      </c>
      <c r="AM47" s="37">
        <f ca="1">IF($A47="","",IF(AM$1="","",COUNTIFS(tbl_chests[from],$A47,tbl_chests[legalized],AM$1,tbl_chests[datetime],"&gt;="&amp;TODAY()-WEEKDAY(TODAY(),2)+1,tbl_chests[datetime],"&lt;"&amp;TODAY()-WEEKDAY(TODAY(),2)+8)))</f>
        <v>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 ht="15.75" customHeight="1" x14ac:dyDescent="0.25">
      <c r="A48" s="34">
        <f>chests_counter!$H45</f>
        <v>0</v>
      </c>
      <c r="B48" s="35" cm="1">
        <f t="array" aca="1" ref="B48" ca="1">IF(A48&lt;&gt;"", SUMPRODUCT(($C$2:$AM$2&lt;&gt;0)*(C48:AM48&lt;&gt;0)*($C$2:$AM$2)*(C48:AM48)), "")</f>
        <v>0</v>
      </c>
      <c r="C48" s="36">
        <f ca="1">IF($A48="","",IF(C$1="","",COUNTIFS(tbl_chests[from],$A48,tbl_chests[legalized],C$1,tbl_chests[datetime],"&gt;="&amp;TODAY()-WEEKDAY(TODAY(),2)+1,tbl_chests[datetime],"&lt;"&amp;TODAY()-WEEKDAY(TODAY(),2)+8)))</f>
        <v>0</v>
      </c>
      <c r="D48" s="36">
        <f ca="1">IF($A48="","",IF(D$1="","",COUNTIFS(tbl_chests[from],$A48,tbl_chests[legalized],D$1,tbl_chests[datetime],"&gt;="&amp;TODAY()-WEEKDAY(TODAY(),2)+1,tbl_chests[datetime],"&lt;"&amp;TODAY()-WEEKDAY(TODAY(),2)+8)))</f>
        <v>0</v>
      </c>
      <c r="E48" s="36">
        <f ca="1">IF($A48="","",IF(E$1="","",COUNTIFS(tbl_chests[from],$A48,tbl_chests[legalized],E$1,tbl_chests[datetime],"&gt;="&amp;TODAY()-WEEKDAY(TODAY(),2)+1,tbl_chests[datetime],"&lt;"&amp;TODAY()-WEEKDAY(TODAY(),2)+8)))</f>
        <v>0</v>
      </c>
      <c r="F48" s="36">
        <f ca="1">IF($A48="","",IF(F$1="","",COUNTIFS(tbl_chests[from],$A48,tbl_chests[legalized],F$1,tbl_chests[datetime],"&gt;="&amp;TODAY()-WEEKDAY(TODAY(),2)+1,tbl_chests[datetime],"&lt;"&amp;TODAY()-WEEKDAY(TODAY(),2)+8)))</f>
        <v>0</v>
      </c>
      <c r="G48" s="36">
        <f ca="1">IF($A48="","",IF(G$1="","",COUNTIFS(tbl_chests[from],$A48,tbl_chests[legalized],G$1,tbl_chests[datetime],"&gt;="&amp;TODAY()-WEEKDAY(TODAY(),2)+1,tbl_chests[datetime],"&lt;"&amp;TODAY()-WEEKDAY(TODAY(),2)+8)))</f>
        <v>0</v>
      </c>
      <c r="H48" s="36">
        <f ca="1">IF($A48="","",IF(H$1="","",COUNTIFS(tbl_chests[from],$A48,tbl_chests[legalized],H$1,tbl_chests[datetime],"&gt;="&amp;TODAY()-WEEKDAY(TODAY(),2)+1,tbl_chests[datetime],"&lt;"&amp;TODAY()-WEEKDAY(TODAY(),2)+8)))</f>
        <v>0</v>
      </c>
      <c r="I48" s="36">
        <f ca="1">IF($A48="","",IF(I$1="","",COUNTIFS(tbl_chests[from],$A48,tbl_chests[legalized],I$1,tbl_chests[datetime],"&gt;="&amp;TODAY()-WEEKDAY(TODAY(),2)+1,tbl_chests[datetime],"&lt;"&amp;TODAY()-WEEKDAY(TODAY(),2)+8)))</f>
        <v>0</v>
      </c>
      <c r="J48" s="36">
        <f ca="1">IF($A48="","",IF(J$1="","",COUNTIFS(tbl_chests[from],$A48,tbl_chests[legalized],J$1,tbl_chests[datetime],"&gt;="&amp;TODAY()-WEEKDAY(TODAY(),2)+1,tbl_chests[datetime],"&lt;"&amp;TODAY()-WEEKDAY(TODAY(),2)+8)))</f>
        <v>0</v>
      </c>
      <c r="K48" s="36">
        <f ca="1">IF($A48="","",IF(K$1="","",COUNTIFS(tbl_chests[from],$A48,tbl_chests[legalized],K$1,tbl_chests[datetime],"&gt;="&amp;TODAY()-WEEKDAY(TODAY(),2)+1,tbl_chests[datetime],"&lt;"&amp;TODAY()-WEEKDAY(TODAY(),2)+8)))</f>
        <v>0</v>
      </c>
      <c r="L48" s="36">
        <f ca="1">IF($A48="","",IF(L$1="","",COUNTIFS(tbl_chests[from],$A48,tbl_chests[legalized],L$1,tbl_chests[datetime],"&gt;="&amp;TODAY()-WEEKDAY(TODAY(),2)+1,tbl_chests[datetime],"&lt;"&amp;TODAY()-WEEKDAY(TODAY(),2)+8)))</f>
        <v>0</v>
      </c>
      <c r="M48" s="36">
        <f ca="1">IF($A48="","",IF(M$1="","",COUNTIFS(tbl_chests[from],$A48,tbl_chests[legalized],M$1,tbl_chests[datetime],"&gt;="&amp;TODAY()-WEEKDAY(TODAY(),2)+1,tbl_chests[datetime],"&lt;"&amp;TODAY()-WEEKDAY(TODAY(),2)+8)))</f>
        <v>0</v>
      </c>
      <c r="N48" s="36">
        <f ca="1">IF($A48="","",IF(N$1="","",COUNTIFS(tbl_chests[from],$A48,tbl_chests[legalized],N$1,tbl_chests[datetime],"&gt;="&amp;TODAY()-WEEKDAY(TODAY(),2)+1,tbl_chests[datetime],"&lt;"&amp;TODAY()-WEEKDAY(TODAY(),2)+8)))</f>
        <v>0</v>
      </c>
      <c r="O48" s="36">
        <f ca="1">IF($A48="","",IF(O$1="","",COUNTIFS(tbl_chests[from],$A48,tbl_chests[legalized],O$1,tbl_chests[datetime],"&gt;="&amp;TODAY()-WEEKDAY(TODAY(),2)+1,tbl_chests[datetime],"&lt;"&amp;TODAY()-WEEKDAY(TODAY(),2)+8)))</f>
        <v>0</v>
      </c>
      <c r="P48" s="36">
        <f ca="1">IF($A48="","",IF(P$1="","",COUNTIFS(tbl_chests[from],$A48,tbl_chests[legalized],P$1,tbl_chests[datetime],"&gt;="&amp;TODAY()-WEEKDAY(TODAY(),2)+1,tbl_chests[datetime],"&lt;"&amp;TODAY()-WEEKDAY(TODAY(),2)+8)))</f>
        <v>0</v>
      </c>
      <c r="Q48" s="36">
        <f ca="1">IF($A48="","",IF(Q$1="","",COUNTIFS(tbl_chests[from],$A48,tbl_chests[legalized],Q$1,tbl_chests[datetime],"&gt;="&amp;TODAY()-WEEKDAY(TODAY(),2)+1,tbl_chests[datetime],"&lt;"&amp;TODAY()-WEEKDAY(TODAY(),2)+8)))</f>
        <v>0</v>
      </c>
      <c r="R48" s="36">
        <f ca="1">IF($A48="","",IF(R$1="","",COUNTIFS(tbl_chests[from],$A48,tbl_chests[legalized],R$1,tbl_chests[datetime],"&gt;="&amp;TODAY()-WEEKDAY(TODAY(),2)+1,tbl_chests[datetime],"&lt;"&amp;TODAY()-WEEKDAY(TODAY(),2)+8)))</f>
        <v>0</v>
      </c>
      <c r="S48" s="36">
        <f ca="1">IF($A48="","",IF(S$1="","",COUNTIFS(tbl_chests[from],$A48,tbl_chests[legalized],S$1,tbl_chests[datetime],"&gt;="&amp;TODAY()-WEEKDAY(TODAY(),2)+1,tbl_chests[datetime],"&lt;"&amp;TODAY()-WEEKDAY(TODAY(),2)+8)))</f>
        <v>0</v>
      </c>
      <c r="T48" s="36">
        <f ca="1">IF($A48="","",IF(T$1="","",COUNTIFS(tbl_chests[from],$A48,tbl_chests[legalized],T$1,tbl_chests[datetime],"&gt;="&amp;TODAY()-WEEKDAY(TODAY(),2)+1,tbl_chests[datetime],"&lt;"&amp;TODAY()-WEEKDAY(TODAY(),2)+8)))</f>
        <v>0</v>
      </c>
      <c r="U48" s="36">
        <f ca="1">IF($A48="","",IF(U$1="","",COUNTIFS(tbl_chests[from],$A48,tbl_chests[legalized],U$1,tbl_chests[datetime],"&gt;="&amp;TODAY()-WEEKDAY(TODAY(),2)+1,tbl_chests[datetime],"&lt;"&amp;TODAY()-WEEKDAY(TODAY(),2)+8)))</f>
        <v>0</v>
      </c>
      <c r="V48" s="36">
        <f ca="1">IF($A48="","",IF(V$1="","",COUNTIFS(tbl_chests[from],$A48,tbl_chests[legalized],V$1,tbl_chests[datetime],"&gt;="&amp;TODAY()-WEEKDAY(TODAY(),2)+1,tbl_chests[datetime],"&lt;"&amp;TODAY()-WEEKDAY(TODAY(),2)+8)))</f>
        <v>0</v>
      </c>
      <c r="W48" s="36">
        <f ca="1">IF($A48="","",IF(W$1="","",COUNTIFS(tbl_chests[from],$A48,tbl_chests[legalized],W$1,tbl_chests[datetime],"&gt;="&amp;TODAY()-WEEKDAY(TODAY(),2)+1,tbl_chests[datetime],"&lt;"&amp;TODAY()-WEEKDAY(TODAY(),2)+8)))</f>
        <v>0</v>
      </c>
      <c r="X48" s="36">
        <f ca="1">IF($A48="","",IF(X$1="","",COUNTIFS(tbl_chests[from],$A48,tbl_chests[legalized],X$1,tbl_chests[datetime],"&gt;="&amp;TODAY()-WEEKDAY(TODAY(),2)+1,tbl_chests[datetime],"&lt;"&amp;TODAY()-WEEKDAY(TODAY(),2)+8)))</f>
        <v>0</v>
      </c>
      <c r="Y48" s="36">
        <f ca="1">IF($A48="","",IF(Y$1="","",COUNTIFS(tbl_chests[from],$A48,tbl_chests[legalized],Y$1,tbl_chests[datetime],"&gt;="&amp;TODAY()-WEEKDAY(TODAY(),2)+1,tbl_chests[datetime],"&lt;"&amp;TODAY()-WEEKDAY(TODAY(),2)+8)))</f>
        <v>0</v>
      </c>
      <c r="Z48" s="36">
        <f ca="1">IF($A48="","",IF(Z$1="","",COUNTIFS(tbl_chests[from],$A48,tbl_chests[legalized],Z$1,tbl_chests[datetime],"&gt;="&amp;TODAY()-WEEKDAY(TODAY(),2)+1,tbl_chests[datetime],"&lt;"&amp;TODAY()-WEEKDAY(TODAY(),2)+8)))</f>
        <v>0</v>
      </c>
      <c r="AA48" s="36">
        <f ca="1">IF($A48="","",IF(AA$1="","",COUNTIFS(tbl_chests[from],$A48,tbl_chests[legalized],AA$1,tbl_chests[datetime],"&gt;="&amp;TODAY()-WEEKDAY(TODAY(),2)+1,tbl_chests[datetime],"&lt;"&amp;TODAY()-WEEKDAY(TODAY(),2)+8)))</f>
        <v>0</v>
      </c>
      <c r="AB48" s="36">
        <f ca="1">IF($A48="","",IF(AB$1="","",COUNTIFS(tbl_chests[from],$A48,tbl_chests[legalized],AB$1,tbl_chests[datetime],"&gt;="&amp;TODAY()-WEEKDAY(TODAY(),2)+1,tbl_chests[datetime],"&lt;"&amp;TODAY()-WEEKDAY(TODAY(),2)+8)))</f>
        <v>0</v>
      </c>
      <c r="AC48" s="36">
        <f ca="1">IF($A48="","",IF(AC$1="","",COUNTIFS(tbl_chests[from],$A48,tbl_chests[legalized],AC$1,tbl_chests[datetime],"&gt;="&amp;TODAY()-WEEKDAY(TODAY(),2)+1,tbl_chests[datetime],"&lt;"&amp;TODAY()-WEEKDAY(TODAY(),2)+8)))</f>
        <v>0</v>
      </c>
      <c r="AD48" s="36">
        <f ca="1">IF($A48="","",IF(AD$1="","",COUNTIFS(tbl_chests[from],$A48,tbl_chests[legalized],AD$1,tbl_chests[datetime],"&gt;="&amp;TODAY()-WEEKDAY(TODAY(),2)+1,tbl_chests[datetime],"&lt;"&amp;TODAY()-WEEKDAY(TODAY(),2)+8)))</f>
        <v>0</v>
      </c>
      <c r="AE48" s="36">
        <f ca="1">IF($A48="","",IF(AE$1="","",COUNTIFS(tbl_chests[from],$A48,tbl_chests[legalized],AE$1,tbl_chests[datetime],"&gt;="&amp;TODAY()-WEEKDAY(TODAY(),2)+1,tbl_chests[datetime],"&lt;"&amp;TODAY()-WEEKDAY(TODAY(),2)+8)))</f>
        <v>0</v>
      </c>
      <c r="AF48" s="36">
        <f ca="1">IF($A48="","",IF(AF$1="","",COUNTIFS(tbl_chests[from],$A48,tbl_chests[legalized],AF$1,tbl_chests[datetime],"&gt;="&amp;TODAY()-WEEKDAY(TODAY(),2)+1,tbl_chests[datetime],"&lt;"&amp;TODAY()-WEEKDAY(TODAY(),2)+8)))</f>
        <v>0</v>
      </c>
      <c r="AG48" s="36">
        <f ca="1">IF($A48="","",IF(AG$1="","",COUNTIFS(tbl_chests[from],$A48,tbl_chests[legalized],AG$1,tbl_chests[datetime],"&gt;="&amp;TODAY()-WEEKDAY(TODAY(),2)+1,tbl_chests[datetime],"&lt;"&amp;TODAY()-WEEKDAY(TODAY(),2)+8)))</f>
        <v>0</v>
      </c>
      <c r="AH48" s="36">
        <f ca="1">IF($A48="","",IF(AH$1="","",COUNTIFS(tbl_chests[from],$A48,tbl_chests[legalized],AH$1,tbl_chests[datetime],"&gt;="&amp;TODAY()-WEEKDAY(TODAY(),2)+1,tbl_chests[datetime],"&lt;"&amp;TODAY()-WEEKDAY(TODAY(),2)+8)))</f>
        <v>0</v>
      </c>
      <c r="AI48" s="36">
        <f ca="1">IF($A48="","",IF(AI$1="","",COUNTIFS(tbl_chests[from],$A48,tbl_chests[legalized],AI$1,tbl_chests[datetime],"&gt;="&amp;TODAY()-WEEKDAY(TODAY(),2)+1,tbl_chests[datetime],"&lt;"&amp;TODAY()-WEEKDAY(TODAY(),2)+8)))</f>
        <v>0</v>
      </c>
      <c r="AJ48" s="36">
        <f ca="1">IF($A48="","",IF(AJ$1="","",COUNTIFS(tbl_chests[from],$A48,tbl_chests[legalized],AJ$1,tbl_chests[datetime],"&gt;="&amp;TODAY()-WEEKDAY(TODAY(),2)+1,tbl_chests[datetime],"&lt;"&amp;TODAY()-WEEKDAY(TODAY(),2)+8)))</f>
        <v>0</v>
      </c>
      <c r="AK48" s="36">
        <f ca="1">IF($A48="","",IF(AK$1="","",COUNTIFS(tbl_chests[from],$A48,tbl_chests[legalized],AK$1,tbl_chests[datetime],"&gt;="&amp;TODAY()-WEEKDAY(TODAY(),2)+1,tbl_chests[datetime],"&lt;"&amp;TODAY()-WEEKDAY(TODAY(),2)+8)))</f>
        <v>0</v>
      </c>
      <c r="AL48" s="36">
        <f ca="1">IF($A48="","",IF(AL$1="","",COUNTIFS(tbl_chests[from],$A48,tbl_chests[legalized],AL$1,tbl_chests[datetime],"&gt;="&amp;TODAY()-WEEKDAY(TODAY(),2)+1,tbl_chests[datetime],"&lt;"&amp;TODAY()-WEEKDAY(TODAY(),2)+8)))</f>
        <v>0</v>
      </c>
      <c r="AM48" s="37">
        <f ca="1">IF($A48="","",IF(AM$1="","",COUNTIFS(tbl_chests[from],$A48,tbl_chests[legalized],AM$1,tbl_chests[datetime],"&gt;="&amp;TODAY()-WEEKDAY(TODAY(),2)+1,tbl_chests[datetime],"&lt;"&amp;TODAY()-WEEKDAY(TODAY(),2)+8)))</f>
        <v>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 t="str">
        <f>IF($A48 = "","",IF(BF$1 = "","",COUNTIFS(#REF!,$A48,#REF!,BF$1)))</f>
        <v/>
      </c>
      <c r="BG48" s="5" t="str">
        <f>IF($A48 = "","",IF(BG$1 = "","",COUNTIFS(#REF!,$A48,#REF!,BG$1)))</f>
        <v/>
      </c>
      <c r="BH48" s="5" t="str">
        <f>IF($A48 = "","",IF(BH$1 = "","",COUNTIFS(#REF!,$A48,#REF!,BH$1)))</f>
        <v/>
      </c>
      <c r="BI48" s="5" t="str">
        <f>IF($A48 = "","",IF(BI$1 = "","",COUNTIFS(#REF!,$A48,#REF!,BI$1)))</f>
        <v/>
      </c>
      <c r="BJ48" s="5" t="str">
        <f>IF($A48 = "","",IF(BJ$1 = "","",COUNTIFS(#REF!,$A48,#REF!,BJ$1)))</f>
        <v/>
      </c>
      <c r="BK48" s="5" t="str">
        <f>IF($A48 = "","",IF(BK$1 = "","",COUNTIFS(#REF!,$A48,#REF!,BK$1)))</f>
        <v/>
      </c>
      <c r="BL48" s="5" t="str">
        <f>IF($A48 = "","",IF(BL$1 = "","",COUNTIFS(#REF!,$A48,#REF!,BL$1)))</f>
        <v/>
      </c>
      <c r="BM48" s="5" t="str">
        <f>IF($A48 = "","",IF(BM$1 = "","",COUNTIFS(#REF!,$A48,#REF!,BM$1)))</f>
        <v/>
      </c>
      <c r="BN48" s="5" t="str">
        <f>IF($A48 = "","",IF(BN$1 = "","",COUNTIFS(#REF!,$A48,#REF!,BN$1)))</f>
        <v/>
      </c>
      <c r="BO48" s="5" t="str">
        <f>IF($A48 = "","",IF(BO$1 = "","",COUNTIFS(#REF!,$A48,#REF!,BO$1)))</f>
        <v/>
      </c>
    </row>
    <row r="49" spans="1:67" ht="15.75" customHeight="1" x14ac:dyDescent="0.25">
      <c r="A49" s="34">
        <f>chests_counter!$H46</f>
        <v>0</v>
      </c>
      <c r="B49" s="35" cm="1">
        <f t="array" aca="1" ref="B49" ca="1">IF(A49&lt;&gt;"", SUMPRODUCT(($C$2:$AM$2&lt;&gt;0)*(C49:AM49&lt;&gt;0)*($C$2:$AM$2)*(C49:AM49)), "")</f>
        <v>0</v>
      </c>
      <c r="C49" s="36">
        <f ca="1">IF($A49="","",IF(C$1="","",COUNTIFS(tbl_chests[from],$A49,tbl_chests[legalized],C$1,tbl_chests[datetime],"&gt;="&amp;TODAY()-WEEKDAY(TODAY(),2)+1,tbl_chests[datetime],"&lt;"&amp;TODAY()-WEEKDAY(TODAY(),2)+8)))</f>
        <v>0</v>
      </c>
      <c r="D49" s="36">
        <f ca="1">IF($A49="","",IF(D$1="","",COUNTIFS(tbl_chests[from],$A49,tbl_chests[legalized],D$1,tbl_chests[datetime],"&gt;="&amp;TODAY()-WEEKDAY(TODAY(),2)+1,tbl_chests[datetime],"&lt;"&amp;TODAY()-WEEKDAY(TODAY(),2)+8)))</f>
        <v>0</v>
      </c>
      <c r="E49" s="36">
        <f ca="1">IF($A49="","",IF(E$1="","",COUNTIFS(tbl_chests[from],$A49,tbl_chests[legalized],E$1,tbl_chests[datetime],"&gt;="&amp;TODAY()-WEEKDAY(TODAY(),2)+1,tbl_chests[datetime],"&lt;"&amp;TODAY()-WEEKDAY(TODAY(),2)+8)))</f>
        <v>0</v>
      </c>
      <c r="F49" s="36">
        <f ca="1">IF($A49="","",IF(F$1="","",COUNTIFS(tbl_chests[from],$A49,tbl_chests[legalized],F$1,tbl_chests[datetime],"&gt;="&amp;TODAY()-WEEKDAY(TODAY(),2)+1,tbl_chests[datetime],"&lt;"&amp;TODAY()-WEEKDAY(TODAY(),2)+8)))</f>
        <v>0</v>
      </c>
      <c r="G49" s="36">
        <f ca="1">IF($A49="","",IF(G$1="","",COUNTIFS(tbl_chests[from],$A49,tbl_chests[legalized],G$1,tbl_chests[datetime],"&gt;="&amp;TODAY()-WEEKDAY(TODAY(),2)+1,tbl_chests[datetime],"&lt;"&amp;TODAY()-WEEKDAY(TODAY(),2)+8)))</f>
        <v>0</v>
      </c>
      <c r="H49" s="36">
        <f ca="1">IF($A49="","",IF(H$1="","",COUNTIFS(tbl_chests[from],$A49,tbl_chests[legalized],H$1,tbl_chests[datetime],"&gt;="&amp;TODAY()-WEEKDAY(TODAY(),2)+1,tbl_chests[datetime],"&lt;"&amp;TODAY()-WEEKDAY(TODAY(),2)+8)))</f>
        <v>0</v>
      </c>
      <c r="I49" s="36">
        <f ca="1">IF($A49="","",IF(I$1="","",COUNTIFS(tbl_chests[from],$A49,tbl_chests[legalized],I$1,tbl_chests[datetime],"&gt;="&amp;TODAY()-WEEKDAY(TODAY(),2)+1,tbl_chests[datetime],"&lt;"&amp;TODAY()-WEEKDAY(TODAY(),2)+8)))</f>
        <v>0</v>
      </c>
      <c r="J49" s="36">
        <f ca="1">IF($A49="","",IF(J$1="","",COUNTIFS(tbl_chests[from],$A49,tbl_chests[legalized],J$1,tbl_chests[datetime],"&gt;="&amp;TODAY()-WEEKDAY(TODAY(),2)+1,tbl_chests[datetime],"&lt;"&amp;TODAY()-WEEKDAY(TODAY(),2)+8)))</f>
        <v>0</v>
      </c>
      <c r="K49" s="36">
        <f ca="1">IF($A49="","",IF(K$1="","",COUNTIFS(tbl_chests[from],$A49,tbl_chests[legalized],K$1,tbl_chests[datetime],"&gt;="&amp;TODAY()-WEEKDAY(TODAY(),2)+1,tbl_chests[datetime],"&lt;"&amp;TODAY()-WEEKDAY(TODAY(),2)+8)))</f>
        <v>0</v>
      </c>
      <c r="L49" s="36">
        <f ca="1">IF($A49="","",IF(L$1="","",COUNTIFS(tbl_chests[from],$A49,tbl_chests[legalized],L$1,tbl_chests[datetime],"&gt;="&amp;TODAY()-WEEKDAY(TODAY(),2)+1,tbl_chests[datetime],"&lt;"&amp;TODAY()-WEEKDAY(TODAY(),2)+8)))</f>
        <v>0</v>
      </c>
      <c r="M49" s="36">
        <f ca="1">IF($A49="","",IF(M$1="","",COUNTIFS(tbl_chests[from],$A49,tbl_chests[legalized],M$1,tbl_chests[datetime],"&gt;="&amp;TODAY()-WEEKDAY(TODAY(),2)+1,tbl_chests[datetime],"&lt;"&amp;TODAY()-WEEKDAY(TODAY(),2)+8)))</f>
        <v>0</v>
      </c>
      <c r="N49" s="36">
        <f ca="1">IF($A49="","",IF(N$1="","",COUNTIFS(tbl_chests[from],$A49,tbl_chests[legalized],N$1,tbl_chests[datetime],"&gt;="&amp;TODAY()-WEEKDAY(TODAY(),2)+1,tbl_chests[datetime],"&lt;"&amp;TODAY()-WEEKDAY(TODAY(),2)+8)))</f>
        <v>0</v>
      </c>
      <c r="O49" s="36">
        <f ca="1">IF($A49="","",IF(O$1="","",COUNTIFS(tbl_chests[from],$A49,tbl_chests[legalized],O$1,tbl_chests[datetime],"&gt;="&amp;TODAY()-WEEKDAY(TODAY(),2)+1,tbl_chests[datetime],"&lt;"&amp;TODAY()-WEEKDAY(TODAY(),2)+8)))</f>
        <v>0</v>
      </c>
      <c r="P49" s="36">
        <f ca="1">IF($A49="","",IF(P$1="","",COUNTIFS(tbl_chests[from],$A49,tbl_chests[legalized],P$1,tbl_chests[datetime],"&gt;="&amp;TODAY()-WEEKDAY(TODAY(),2)+1,tbl_chests[datetime],"&lt;"&amp;TODAY()-WEEKDAY(TODAY(),2)+8)))</f>
        <v>0</v>
      </c>
      <c r="Q49" s="36">
        <f ca="1">IF($A49="","",IF(Q$1="","",COUNTIFS(tbl_chests[from],$A49,tbl_chests[legalized],Q$1,tbl_chests[datetime],"&gt;="&amp;TODAY()-WEEKDAY(TODAY(),2)+1,tbl_chests[datetime],"&lt;"&amp;TODAY()-WEEKDAY(TODAY(),2)+8)))</f>
        <v>0</v>
      </c>
      <c r="R49" s="36">
        <f ca="1">IF($A49="","",IF(R$1="","",COUNTIFS(tbl_chests[from],$A49,tbl_chests[legalized],R$1,tbl_chests[datetime],"&gt;="&amp;TODAY()-WEEKDAY(TODAY(),2)+1,tbl_chests[datetime],"&lt;"&amp;TODAY()-WEEKDAY(TODAY(),2)+8)))</f>
        <v>0</v>
      </c>
      <c r="S49" s="36">
        <f ca="1">IF($A49="","",IF(S$1="","",COUNTIFS(tbl_chests[from],$A49,tbl_chests[legalized],S$1,tbl_chests[datetime],"&gt;="&amp;TODAY()-WEEKDAY(TODAY(),2)+1,tbl_chests[datetime],"&lt;"&amp;TODAY()-WEEKDAY(TODAY(),2)+8)))</f>
        <v>0</v>
      </c>
      <c r="T49" s="36">
        <f ca="1">IF($A49="","",IF(T$1="","",COUNTIFS(tbl_chests[from],$A49,tbl_chests[legalized],T$1,tbl_chests[datetime],"&gt;="&amp;TODAY()-WEEKDAY(TODAY(),2)+1,tbl_chests[datetime],"&lt;"&amp;TODAY()-WEEKDAY(TODAY(),2)+8)))</f>
        <v>0</v>
      </c>
      <c r="U49" s="36">
        <f ca="1">IF($A49="","",IF(U$1="","",COUNTIFS(tbl_chests[from],$A49,tbl_chests[legalized],U$1,tbl_chests[datetime],"&gt;="&amp;TODAY()-WEEKDAY(TODAY(),2)+1,tbl_chests[datetime],"&lt;"&amp;TODAY()-WEEKDAY(TODAY(),2)+8)))</f>
        <v>0</v>
      </c>
      <c r="V49" s="36">
        <f ca="1">IF($A49="","",IF(V$1="","",COUNTIFS(tbl_chests[from],$A49,tbl_chests[legalized],V$1,tbl_chests[datetime],"&gt;="&amp;TODAY()-WEEKDAY(TODAY(),2)+1,tbl_chests[datetime],"&lt;"&amp;TODAY()-WEEKDAY(TODAY(),2)+8)))</f>
        <v>0</v>
      </c>
      <c r="W49" s="36">
        <f ca="1">IF($A49="","",IF(W$1="","",COUNTIFS(tbl_chests[from],$A49,tbl_chests[legalized],W$1,tbl_chests[datetime],"&gt;="&amp;TODAY()-WEEKDAY(TODAY(),2)+1,tbl_chests[datetime],"&lt;"&amp;TODAY()-WEEKDAY(TODAY(),2)+8)))</f>
        <v>0</v>
      </c>
      <c r="X49" s="36">
        <f ca="1">IF($A49="","",IF(X$1="","",COUNTIFS(tbl_chests[from],$A49,tbl_chests[legalized],X$1,tbl_chests[datetime],"&gt;="&amp;TODAY()-WEEKDAY(TODAY(),2)+1,tbl_chests[datetime],"&lt;"&amp;TODAY()-WEEKDAY(TODAY(),2)+8)))</f>
        <v>0</v>
      </c>
      <c r="Y49" s="36">
        <f ca="1">IF($A49="","",IF(Y$1="","",COUNTIFS(tbl_chests[from],$A49,tbl_chests[legalized],Y$1,tbl_chests[datetime],"&gt;="&amp;TODAY()-WEEKDAY(TODAY(),2)+1,tbl_chests[datetime],"&lt;"&amp;TODAY()-WEEKDAY(TODAY(),2)+8)))</f>
        <v>0</v>
      </c>
      <c r="Z49" s="36">
        <f ca="1">IF($A49="","",IF(Z$1="","",COUNTIFS(tbl_chests[from],$A49,tbl_chests[legalized],Z$1,tbl_chests[datetime],"&gt;="&amp;TODAY()-WEEKDAY(TODAY(),2)+1,tbl_chests[datetime],"&lt;"&amp;TODAY()-WEEKDAY(TODAY(),2)+8)))</f>
        <v>0</v>
      </c>
      <c r="AA49" s="36">
        <f ca="1">IF($A49="","",IF(AA$1="","",COUNTIFS(tbl_chests[from],$A49,tbl_chests[legalized],AA$1,tbl_chests[datetime],"&gt;="&amp;TODAY()-WEEKDAY(TODAY(),2)+1,tbl_chests[datetime],"&lt;"&amp;TODAY()-WEEKDAY(TODAY(),2)+8)))</f>
        <v>0</v>
      </c>
      <c r="AB49" s="36">
        <f ca="1">IF($A49="","",IF(AB$1="","",COUNTIFS(tbl_chests[from],$A49,tbl_chests[legalized],AB$1,tbl_chests[datetime],"&gt;="&amp;TODAY()-WEEKDAY(TODAY(),2)+1,tbl_chests[datetime],"&lt;"&amp;TODAY()-WEEKDAY(TODAY(),2)+8)))</f>
        <v>0</v>
      </c>
      <c r="AC49" s="36">
        <f ca="1">IF($A49="","",IF(AC$1="","",COUNTIFS(tbl_chests[from],$A49,tbl_chests[legalized],AC$1,tbl_chests[datetime],"&gt;="&amp;TODAY()-WEEKDAY(TODAY(),2)+1,tbl_chests[datetime],"&lt;"&amp;TODAY()-WEEKDAY(TODAY(),2)+8)))</f>
        <v>0</v>
      </c>
      <c r="AD49" s="36">
        <f ca="1">IF($A49="","",IF(AD$1="","",COUNTIFS(tbl_chests[from],$A49,tbl_chests[legalized],AD$1,tbl_chests[datetime],"&gt;="&amp;TODAY()-WEEKDAY(TODAY(),2)+1,tbl_chests[datetime],"&lt;"&amp;TODAY()-WEEKDAY(TODAY(),2)+8)))</f>
        <v>0</v>
      </c>
      <c r="AE49" s="36">
        <f ca="1">IF($A49="","",IF(AE$1="","",COUNTIFS(tbl_chests[from],$A49,tbl_chests[legalized],AE$1,tbl_chests[datetime],"&gt;="&amp;TODAY()-WEEKDAY(TODAY(),2)+1,tbl_chests[datetime],"&lt;"&amp;TODAY()-WEEKDAY(TODAY(),2)+8)))</f>
        <v>0</v>
      </c>
      <c r="AF49" s="36">
        <f ca="1">IF($A49="","",IF(AF$1="","",COUNTIFS(tbl_chests[from],$A49,tbl_chests[legalized],AF$1,tbl_chests[datetime],"&gt;="&amp;TODAY()-WEEKDAY(TODAY(),2)+1,tbl_chests[datetime],"&lt;"&amp;TODAY()-WEEKDAY(TODAY(),2)+8)))</f>
        <v>0</v>
      </c>
      <c r="AG49" s="36">
        <f ca="1">IF($A49="","",IF(AG$1="","",COUNTIFS(tbl_chests[from],$A49,tbl_chests[legalized],AG$1,tbl_chests[datetime],"&gt;="&amp;TODAY()-WEEKDAY(TODAY(),2)+1,tbl_chests[datetime],"&lt;"&amp;TODAY()-WEEKDAY(TODAY(),2)+8)))</f>
        <v>0</v>
      </c>
      <c r="AH49" s="36">
        <f ca="1">IF($A49="","",IF(AH$1="","",COUNTIFS(tbl_chests[from],$A49,tbl_chests[legalized],AH$1,tbl_chests[datetime],"&gt;="&amp;TODAY()-WEEKDAY(TODAY(),2)+1,tbl_chests[datetime],"&lt;"&amp;TODAY()-WEEKDAY(TODAY(),2)+8)))</f>
        <v>0</v>
      </c>
      <c r="AI49" s="36">
        <f ca="1">IF($A49="","",IF(AI$1="","",COUNTIFS(tbl_chests[from],$A49,tbl_chests[legalized],AI$1,tbl_chests[datetime],"&gt;="&amp;TODAY()-WEEKDAY(TODAY(),2)+1,tbl_chests[datetime],"&lt;"&amp;TODAY()-WEEKDAY(TODAY(),2)+8)))</f>
        <v>0</v>
      </c>
      <c r="AJ49" s="36">
        <f ca="1">IF($A49="","",IF(AJ$1="","",COUNTIFS(tbl_chests[from],$A49,tbl_chests[legalized],AJ$1,tbl_chests[datetime],"&gt;="&amp;TODAY()-WEEKDAY(TODAY(),2)+1,tbl_chests[datetime],"&lt;"&amp;TODAY()-WEEKDAY(TODAY(),2)+8)))</f>
        <v>0</v>
      </c>
      <c r="AK49" s="36">
        <f ca="1">IF($A49="","",IF(AK$1="","",COUNTIFS(tbl_chests[from],$A49,tbl_chests[legalized],AK$1,tbl_chests[datetime],"&gt;="&amp;TODAY()-WEEKDAY(TODAY(),2)+1,tbl_chests[datetime],"&lt;"&amp;TODAY()-WEEKDAY(TODAY(),2)+8)))</f>
        <v>0</v>
      </c>
      <c r="AL49" s="36">
        <f ca="1">IF($A49="","",IF(AL$1="","",COUNTIFS(tbl_chests[from],$A49,tbl_chests[legalized],AL$1,tbl_chests[datetime],"&gt;="&amp;TODAY()-WEEKDAY(TODAY(),2)+1,tbl_chests[datetime],"&lt;"&amp;TODAY()-WEEKDAY(TODAY(),2)+8)))</f>
        <v>0</v>
      </c>
      <c r="AM49" s="37">
        <f ca="1">IF($A49="","",IF(AM$1="","",COUNTIFS(tbl_chests[from],$A49,tbl_chests[legalized],AM$1,tbl_chests[datetime],"&gt;="&amp;TODAY()-WEEKDAY(TODAY(),2)+1,tbl_chests[datetime],"&lt;"&amp;TODAY()-WEEKDAY(TODAY(),2)+8)))</f>
        <v>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spans="1:67" ht="15.75" customHeight="1" x14ac:dyDescent="0.25">
      <c r="A50" s="34">
        <f>chests_counter!$H47</f>
        <v>0</v>
      </c>
      <c r="B50" s="35" cm="1">
        <f t="array" aca="1" ref="B50" ca="1">IF(A50&lt;&gt;"", SUMPRODUCT(($C$2:$AM$2&lt;&gt;0)*(C50:AM50&lt;&gt;0)*($C$2:$AM$2)*(C50:AM50)), "")</f>
        <v>0</v>
      </c>
      <c r="C50" s="36">
        <f ca="1">IF($A50="","",IF(C$1="","",COUNTIFS(tbl_chests[from],$A50,tbl_chests[legalized],C$1,tbl_chests[datetime],"&gt;="&amp;TODAY()-WEEKDAY(TODAY(),2)+1,tbl_chests[datetime],"&lt;"&amp;TODAY()-WEEKDAY(TODAY(),2)+8)))</f>
        <v>0</v>
      </c>
      <c r="D50" s="36">
        <f ca="1">IF($A50="","",IF(D$1="","",COUNTIFS(tbl_chests[from],$A50,tbl_chests[legalized],D$1,tbl_chests[datetime],"&gt;="&amp;TODAY()-WEEKDAY(TODAY(),2)+1,tbl_chests[datetime],"&lt;"&amp;TODAY()-WEEKDAY(TODAY(),2)+8)))</f>
        <v>0</v>
      </c>
      <c r="E50" s="36">
        <f ca="1">IF($A50="","",IF(E$1="","",COUNTIFS(tbl_chests[from],$A50,tbl_chests[legalized],E$1,tbl_chests[datetime],"&gt;="&amp;TODAY()-WEEKDAY(TODAY(),2)+1,tbl_chests[datetime],"&lt;"&amp;TODAY()-WEEKDAY(TODAY(),2)+8)))</f>
        <v>0</v>
      </c>
      <c r="F50" s="36">
        <f ca="1">IF($A50="","",IF(F$1="","",COUNTIFS(tbl_chests[from],$A50,tbl_chests[legalized],F$1,tbl_chests[datetime],"&gt;="&amp;TODAY()-WEEKDAY(TODAY(),2)+1,tbl_chests[datetime],"&lt;"&amp;TODAY()-WEEKDAY(TODAY(),2)+8)))</f>
        <v>0</v>
      </c>
      <c r="G50" s="36">
        <f ca="1">IF($A50="","",IF(G$1="","",COUNTIFS(tbl_chests[from],$A50,tbl_chests[legalized],G$1,tbl_chests[datetime],"&gt;="&amp;TODAY()-WEEKDAY(TODAY(),2)+1,tbl_chests[datetime],"&lt;"&amp;TODAY()-WEEKDAY(TODAY(),2)+8)))</f>
        <v>0</v>
      </c>
      <c r="H50" s="36">
        <f ca="1">IF($A50="","",IF(H$1="","",COUNTIFS(tbl_chests[from],$A50,tbl_chests[legalized],H$1,tbl_chests[datetime],"&gt;="&amp;TODAY()-WEEKDAY(TODAY(),2)+1,tbl_chests[datetime],"&lt;"&amp;TODAY()-WEEKDAY(TODAY(),2)+8)))</f>
        <v>0</v>
      </c>
      <c r="I50" s="36">
        <f ca="1">IF($A50="","",IF(I$1="","",COUNTIFS(tbl_chests[from],$A50,tbl_chests[legalized],I$1,tbl_chests[datetime],"&gt;="&amp;TODAY()-WEEKDAY(TODAY(),2)+1,tbl_chests[datetime],"&lt;"&amp;TODAY()-WEEKDAY(TODAY(),2)+8)))</f>
        <v>0</v>
      </c>
      <c r="J50" s="36">
        <f ca="1">IF($A50="","",IF(J$1="","",COUNTIFS(tbl_chests[from],$A50,tbl_chests[legalized],J$1,tbl_chests[datetime],"&gt;="&amp;TODAY()-WEEKDAY(TODAY(),2)+1,tbl_chests[datetime],"&lt;"&amp;TODAY()-WEEKDAY(TODAY(),2)+8)))</f>
        <v>0</v>
      </c>
      <c r="K50" s="36">
        <f ca="1">IF($A50="","",IF(K$1="","",COUNTIFS(tbl_chests[from],$A50,tbl_chests[legalized],K$1,tbl_chests[datetime],"&gt;="&amp;TODAY()-WEEKDAY(TODAY(),2)+1,tbl_chests[datetime],"&lt;"&amp;TODAY()-WEEKDAY(TODAY(),2)+8)))</f>
        <v>0</v>
      </c>
      <c r="L50" s="36">
        <f ca="1">IF($A50="","",IF(L$1="","",COUNTIFS(tbl_chests[from],$A50,tbl_chests[legalized],L$1,tbl_chests[datetime],"&gt;="&amp;TODAY()-WEEKDAY(TODAY(),2)+1,tbl_chests[datetime],"&lt;"&amp;TODAY()-WEEKDAY(TODAY(),2)+8)))</f>
        <v>0</v>
      </c>
      <c r="M50" s="36">
        <f ca="1">IF($A50="","",IF(M$1="","",COUNTIFS(tbl_chests[from],$A50,tbl_chests[legalized],M$1,tbl_chests[datetime],"&gt;="&amp;TODAY()-WEEKDAY(TODAY(),2)+1,tbl_chests[datetime],"&lt;"&amp;TODAY()-WEEKDAY(TODAY(),2)+8)))</f>
        <v>0</v>
      </c>
      <c r="N50" s="36">
        <f ca="1">IF($A50="","",IF(N$1="","",COUNTIFS(tbl_chests[from],$A50,tbl_chests[legalized],N$1,tbl_chests[datetime],"&gt;="&amp;TODAY()-WEEKDAY(TODAY(),2)+1,tbl_chests[datetime],"&lt;"&amp;TODAY()-WEEKDAY(TODAY(),2)+8)))</f>
        <v>0</v>
      </c>
      <c r="O50" s="36">
        <f ca="1">IF($A50="","",IF(O$1="","",COUNTIFS(tbl_chests[from],$A50,tbl_chests[legalized],O$1,tbl_chests[datetime],"&gt;="&amp;TODAY()-WEEKDAY(TODAY(),2)+1,tbl_chests[datetime],"&lt;"&amp;TODAY()-WEEKDAY(TODAY(),2)+8)))</f>
        <v>0</v>
      </c>
      <c r="P50" s="36">
        <f ca="1">IF($A50="","",IF(P$1="","",COUNTIFS(tbl_chests[from],$A50,tbl_chests[legalized],P$1,tbl_chests[datetime],"&gt;="&amp;TODAY()-WEEKDAY(TODAY(),2)+1,tbl_chests[datetime],"&lt;"&amp;TODAY()-WEEKDAY(TODAY(),2)+8)))</f>
        <v>0</v>
      </c>
      <c r="Q50" s="36">
        <f ca="1">IF($A50="","",IF(Q$1="","",COUNTIFS(tbl_chests[from],$A50,tbl_chests[legalized],Q$1,tbl_chests[datetime],"&gt;="&amp;TODAY()-WEEKDAY(TODAY(),2)+1,tbl_chests[datetime],"&lt;"&amp;TODAY()-WEEKDAY(TODAY(),2)+8)))</f>
        <v>0</v>
      </c>
      <c r="R50" s="36">
        <f ca="1">IF($A50="","",IF(R$1="","",COUNTIFS(tbl_chests[from],$A50,tbl_chests[legalized],R$1,tbl_chests[datetime],"&gt;="&amp;TODAY()-WEEKDAY(TODAY(),2)+1,tbl_chests[datetime],"&lt;"&amp;TODAY()-WEEKDAY(TODAY(),2)+8)))</f>
        <v>0</v>
      </c>
      <c r="S50" s="36">
        <f ca="1">IF($A50="","",IF(S$1="","",COUNTIFS(tbl_chests[from],$A50,tbl_chests[legalized],S$1,tbl_chests[datetime],"&gt;="&amp;TODAY()-WEEKDAY(TODAY(),2)+1,tbl_chests[datetime],"&lt;"&amp;TODAY()-WEEKDAY(TODAY(),2)+8)))</f>
        <v>0</v>
      </c>
      <c r="T50" s="36">
        <f ca="1">IF($A50="","",IF(T$1="","",COUNTIFS(tbl_chests[from],$A50,tbl_chests[legalized],T$1,tbl_chests[datetime],"&gt;="&amp;TODAY()-WEEKDAY(TODAY(),2)+1,tbl_chests[datetime],"&lt;"&amp;TODAY()-WEEKDAY(TODAY(),2)+8)))</f>
        <v>0</v>
      </c>
      <c r="U50" s="36">
        <f ca="1">IF($A50="","",IF(U$1="","",COUNTIFS(tbl_chests[from],$A50,tbl_chests[legalized],U$1,tbl_chests[datetime],"&gt;="&amp;TODAY()-WEEKDAY(TODAY(),2)+1,tbl_chests[datetime],"&lt;"&amp;TODAY()-WEEKDAY(TODAY(),2)+8)))</f>
        <v>0</v>
      </c>
      <c r="V50" s="36">
        <f ca="1">IF($A50="","",IF(V$1="","",COUNTIFS(tbl_chests[from],$A50,tbl_chests[legalized],V$1,tbl_chests[datetime],"&gt;="&amp;TODAY()-WEEKDAY(TODAY(),2)+1,tbl_chests[datetime],"&lt;"&amp;TODAY()-WEEKDAY(TODAY(),2)+8)))</f>
        <v>0</v>
      </c>
      <c r="W50" s="36">
        <f ca="1">IF($A50="","",IF(W$1="","",COUNTIFS(tbl_chests[from],$A50,tbl_chests[legalized],W$1,tbl_chests[datetime],"&gt;="&amp;TODAY()-WEEKDAY(TODAY(),2)+1,tbl_chests[datetime],"&lt;"&amp;TODAY()-WEEKDAY(TODAY(),2)+8)))</f>
        <v>0</v>
      </c>
      <c r="X50" s="36">
        <f ca="1">IF($A50="","",IF(X$1="","",COUNTIFS(tbl_chests[from],$A50,tbl_chests[legalized],X$1,tbl_chests[datetime],"&gt;="&amp;TODAY()-WEEKDAY(TODAY(),2)+1,tbl_chests[datetime],"&lt;"&amp;TODAY()-WEEKDAY(TODAY(),2)+8)))</f>
        <v>0</v>
      </c>
      <c r="Y50" s="36">
        <f ca="1">IF($A50="","",IF(Y$1="","",COUNTIFS(tbl_chests[from],$A50,tbl_chests[legalized],Y$1,tbl_chests[datetime],"&gt;="&amp;TODAY()-WEEKDAY(TODAY(),2)+1,tbl_chests[datetime],"&lt;"&amp;TODAY()-WEEKDAY(TODAY(),2)+8)))</f>
        <v>0</v>
      </c>
      <c r="Z50" s="36">
        <f ca="1">IF($A50="","",IF(Z$1="","",COUNTIFS(tbl_chests[from],$A50,tbl_chests[legalized],Z$1,tbl_chests[datetime],"&gt;="&amp;TODAY()-WEEKDAY(TODAY(),2)+1,tbl_chests[datetime],"&lt;"&amp;TODAY()-WEEKDAY(TODAY(),2)+8)))</f>
        <v>0</v>
      </c>
      <c r="AA50" s="36">
        <f ca="1">IF($A50="","",IF(AA$1="","",COUNTIFS(tbl_chests[from],$A50,tbl_chests[legalized],AA$1,tbl_chests[datetime],"&gt;="&amp;TODAY()-WEEKDAY(TODAY(),2)+1,tbl_chests[datetime],"&lt;"&amp;TODAY()-WEEKDAY(TODAY(),2)+8)))</f>
        <v>0</v>
      </c>
      <c r="AB50" s="36">
        <f ca="1">IF($A50="","",IF(AB$1="","",COUNTIFS(tbl_chests[from],$A50,tbl_chests[legalized],AB$1,tbl_chests[datetime],"&gt;="&amp;TODAY()-WEEKDAY(TODAY(),2)+1,tbl_chests[datetime],"&lt;"&amp;TODAY()-WEEKDAY(TODAY(),2)+8)))</f>
        <v>0</v>
      </c>
      <c r="AC50" s="36">
        <f ca="1">IF($A50="","",IF(AC$1="","",COUNTIFS(tbl_chests[from],$A50,tbl_chests[legalized],AC$1,tbl_chests[datetime],"&gt;="&amp;TODAY()-WEEKDAY(TODAY(),2)+1,tbl_chests[datetime],"&lt;"&amp;TODAY()-WEEKDAY(TODAY(),2)+8)))</f>
        <v>0</v>
      </c>
      <c r="AD50" s="36">
        <f ca="1">IF($A50="","",IF(AD$1="","",COUNTIFS(tbl_chests[from],$A50,tbl_chests[legalized],AD$1,tbl_chests[datetime],"&gt;="&amp;TODAY()-WEEKDAY(TODAY(),2)+1,tbl_chests[datetime],"&lt;"&amp;TODAY()-WEEKDAY(TODAY(),2)+8)))</f>
        <v>0</v>
      </c>
      <c r="AE50" s="36">
        <f ca="1">IF($A50="","",IF(AE$1="","",COUNTIFS(tbl_chests[from],$A50,tbl_chests[legalized],AE$1,tbl_chests[datetime],"&gt;="&amp;TODAY()-WEEKDAY(TODAY(),2)+1,tbl_chests[datetime],"&lt;"&amp;TODAY()-WEEKDAY(TODAY(),2)+8)))</f>
        <v>0</v>
      </c>
      <c r="AF50" s="36">
        <f ca="1">IF($A50="","",IF(AF$1="","",COUNTIFS(tbl_chests[from],$A50,tbl_chests[legalized],AF$1,tbl_chests[datetime],"&gt;="&amp;TODAY()-WEEKDAY(TODAY(),2)+1,tbl_chests[datetime],"&lt;"&amp;TODAY()-WEEKDAY(TODAY(),2)+8)))</f>
        <v>0</v>
      </c>
      <c r="AG50" s="36">
        <f ca="1">IF($A50="","",IF(AG$1="","",COUNTIFS(tbl_chests[from],$A50,tbl_chests[legalized],AG$1,tbl_chests[datetime],"&gt;="&amp;TODAY()-WEEKDAY(TODAY(),2)+1,tbl_chests[datetime],"&lt;"&amp;TODAY()-WEEKDAY(TODAY(),2)+8)))</f>
        <v>0</v>
      </c>
      <c r="AH50" s="36">
        <f ca="1">IF($A50="","",IF(AH$1="","",COUNTIFS(tbl_chests[from],$A50,tbl_chests[legalized],AH$1,tbl_chests[datetime],"&gt;="&amp;TODAY()-WEEKDAY(TODAY(),2)+1,tbl_chests[datetime],"&lt;"&amp;TODAY()-WEEKDAY(TODAY(),2)+8)))</f>
        <v>0</v>
      </c>
      <c r="AI50" s="36">
        <f ca="1">IF($A50="","",IF(AI$1="","",COUNTIFS(tbl_chests[from],$A50,tbl_chests[legalized],AI$1,tbl_chests[datetime],"&gt;="&amp;TODAY()-WEEKDAY(TODAY(),2)+1,tbl_chests[datetime],"&lt;"&amp;TODAY()-WEEKDAY(TODAY(),2)+8)))</f>
        <v>0</v>
      </c>
      <c r="AJ50" s="36">
        <f ca="1">IF($A50="","",IF(AJ$1="","",COUNTIFS(tbl_chests[from],$A50,tbl_chests[legalized],AJ$1,tbl_chests[datetime],"&gt;="&amp;TODAY()-WEEKDAY(TODAY(),2)+1,tbl_chests[datetime],"&lt;"&amp;TODAY()-WEEKDAY(TODAY(),2)+8)))</f>
        <v>0</v>
      </c>
      <c r="AK50" s="36">
        <f ca="1">IF($A50="","",IF(AK$1="","",COUNTIFS(tbl_chests[from],$A50,tbl_chests[legalized],AK$1,tbl_chests[datetime],"&gt;="&amp;TODAY()-WEEKDAY(TODAY(),2)+1,tbl_chests[datetime],"&lt;"&amp;TODAY()-WEEKDAY(TODAY(),2)+8)))</f>
        <v>0</v>
      </c>
      <c r="AL50" s="36">
        <f ca="1">IF($A50="","",IF(AL$1="","",COUNTIFS(tbl_chests[from],$A50,tbl_chests[legalized],AL$1,tbl_chests[datetime],"&gt;="&amp;TODAY()-WEEKDAY(TODAY(),2)+1,tbl_chests[datetime],"&lt;"&amp;TODAY()-WEEKDAY(TODAY(),2)+8)))</f>
        <v>0</v>
      </c>
      <c r="AM50" s="37">
        <f ca="1">IF($A50="","",IF(AM$1="","",COUNTIFS(tbl_chests[from],$A50,tbl_chests[legalized],AM$1,tbl_chests[datetime],"&gt;="&amp;TODAY()-WEEKDAY(TODAY(),2)+1,tbl_chests[datetime],"&lt;"&amp;TODAY()-WEEKDAY(TODAY(),2)+8)))</f>
        <v>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spans="1:67" ht="15.75" customHeight="1" x14ac:dyDescent="0.25">
      <c r="A51" s="34">
        <f>chests_counter!$H48</f>
        <v>0</v>
      </c>
      <c r="B51" s="35" cm="1">
        <f t="array" aca="1" ref="B51" ca="1">IF(A51&lt;&gt;"", SUMPRODUCT(($C$2:$AM$2&lt;&gt;0)*(C51:AM51&lt;&gt;0)*($C$2:$AM$2)*(C51:AM51)), "")</f>
        <v>0</v>
      </c>
      <c r="C51" s="36">
        <f ca="1">IF($A51="","",IF(C$1="","",COUNTIFS(tbl_chests[from],$A51,tbl_chests[legalized],C$1,tbl_chests[datetime],"&gt;="&amp;TODAY()-WEEKDAY(TODAY(),2)+1,tbl_chests[datetime],"&lt;"&amp;TODAY()-WEEKDAY(TODAY(),2)+8)))</f>
        <v>0</v>
      </c>
      <c r="D51" s="36">
        <f ca="1">IF($A51="","",IF(D$1="","",COUNTIFS(tbl_chests[from],$A51,tbl_chests[legalized],D$1,tbl_chests[datetime],"&gt;="&amp;TODAY()-WEEKDAY(TODAY(),2)+1,tbl_chests[datetime],"&lt;"&amp;TODAY()-WEEKDAY(TODAY(),2)+8)))</f>
        <v>0</v>
      </c>
      <c r="E51" s="36">
        <f ca="1">IF($A51="","",IF(E$1="","",COUNTIFS(tbl_chests[from],$A51,tbl_chests[legalized],E$1,tbl_chests[datetime],"&gt;="&amp;TODAY()-WEEKDAY(TODAY(),2)+1,tbl_chests[datetime],"&lt;"&amp;TODAY()-WEEKDAY(TODAY(),2)+8)))</f>
        <v>0</v>
      </c>
      <c r="F51" s="36">
        <f ca="1">IF($A51="","",IF(F$1="","",COUNTIFS(tbl_chests[from],$A51,tbl_chests[legalized],F$1,tbl_chests[datetime],"&gt;="&amp;TODAY()-WEEKDAY(TODAY(),2)+1,tbl_chests[datetime],"&lt;"&amp;TODAY()-WEEKDAY(TODAY(),2)+8)))</f>
        <v>0</v>
      </c>
      <c r="G51" s="36">
        <f ca="1">IF($A51="","",IF(G$1="","",COUNTIFS(tbl_chests[from],$A51,tbl_chests[legalized],G$1,tbl_chests[datetime],"&gt;="&amp;TODAY()-WEEKDAY(TODAY(),2)+1,tbl_chests[datetime],"&lt;"&amp;TODAY()-WEEKDAY(TODAY(),2)+8)))</f>
        <v>0</v>
      </c>
      <c r="H51" s="36">
        <f ca="1">IF($A51="","",IF(H$1="","",COUNTIFS(tbl_chests[from],$A51,tbl_chests[legalized],H$1,tbl_chests[datetime],"&gt;="&amp;TODAY()-WEEKDAY(TODAY(),2)+1,tbl_chests[datetime],"&lt;"&amp;TODAY()-WEEKDAY(TODAY(),2)+8)))</f>
        <v>0</v>
      </c>
      <c r="I51" s="36">
        <f ca="1">IF($A51="","",IF(I$1="","",COUNTIFS(tbl_chests[from],$A51,tbl_chests[legalized],I$1,tbl_chests[datetime],"&gt;="&amp;TODAY()-WEEKDAY(TODAY(),2)+1,tbl_chests[datetime],"&lt;"&amp;TODAY()-WEEKDAY(TODAY(),2)+8)))</f>
        <v>0</v>
      </c>
      <c r="J51" s="36">
        <f ca="1">IF($A51="","",IF(J$1="","",COUNTIFS(tbl_chests[from],$A51,tbl_chests[legalized],J$1,tbl_chests[datetime],"&gt;="&amp;TODAY()-WEEKDAY(TODAY(),2)+1,tbl_chests[datetime],"&lt;"&amp;TODAY()-WEEKDAY(TODAY(),2)+8)))</f>
        <v>0</v>
      </c>
      <c r="K51" s="36">
        <f ca="1">IF($A51="","",IF(K$1="","",COUNTIFS(tbl_chests[from],$A51,tbl_chests[legalized],K$1,tbl_chests[datetime],"&gt;="&amp;TODAY()-WEEKDAY(TODAY(),2)+1,tbl_chests[datetime],"&lt;"&amp;TODAY()-WEEKDAY(TODAY(),2)+8)))</f>
        <v>0</v>
      </c>
      <c r="L51" s="36">
        <f ca="1">IF($A51="","",IF(L$1="","",COUNTIFS(tbl_chests[from],$A51,tbl_chests[legalized],L$1,tbl_chests[datetime],"&gt;="&amp;TODAY()-WEEKDAY(TODAY(),2)+1,tbl_chests[datetime],"&lt;"&amp;TODAY()-WEEKDAY(TODAY(),2)+8)))</f>
        <v>0</v>
      </c>
      <c r="M51" s="36">
        <f ca="1">IF($A51="","",IF(M$1="","",COUNTIFS(tbl_chests[from],$A51,tbl_chests[legalized],M$1,tbl_chests[datetime],"&gt;="&amp;TODAY()-WEEKDAY(TODAY(),2)+1,tbl_chests[datetime],"&lt;"&amp;TODAY()-WEEKDAY(TODAY(),2)+8)))</f>
        <v>0</v>
      </c>
      <c r="N51" s="36">
        <f ca="1">IF($A51="","",IF(N$1="","",COUNTIFS(tbl_chests[from],$A51,tbl_chests[legalized],N$1,tbl_chests[datetime],"&gt;="&amp;TODAY()-WEEKDAY(TODAY(),2)+1,tbl_chests[datetime],"&lt;"&amp;TODAY()-WEEKDAY(TODAY(),2)+8)))</f>
        <v>0</v>
      </c>
      <c r="O51" s="36">
        <f ca="1">IF($A51="","",IF(O$1="","",COUNTIFS(tbl_chests[from],$A51,tbl_chests[legalized],O$1,tbl_chests[datetime],"&gt;="&amp;TODAY()-WEEKDAY(TODAY(),2)+1,tbl_chests[datetime],"&lt;"&amp;TODAY()-WEEKDAY(TODAY(),2)+8)))</f>
        <v>0</v>
      </c>
      <c r="P51" s="36">
        <f ca="1">IF($A51="","",IF(P$1="","",COUNTIFS(tbl_chests[from],$A51,tbl_chests[legalized],P$1,tbl_chests[datetime],"&gt;="&amp;TODAY()-WEEKDAY(TODAY(),2)+1,tbl_chests[datetime],"&lt;"&amp;TODAY()-WEEKDAY(TODAY(),2)+8)))</f>
        <v>0</v>
      </c>
      <c r="Q51" s="36">
        <f ca="1">IF($A51="","",IF(Q$1="","",COUNTIFS(tbl_chests[from],$A51,tbl_chests[legalized],Q$1,tbl_chests[datetime],"&gt;="&amp;TODAY()-WEEKDAY(TODAY(),2)+1,tbl_chests[datetime],"&lt;"&amp;TODAY()-WEEKDAY(TODAY(),2)+8)))</f>
        <v>0</v>
      </c>
      <c r="R51" s="36">
        <f ca="1">IF($A51="","",IF(R$1="","",COUNTIFS(tbl_chests[from],$A51,tbl_chests[legalized],R$1,tbl_chests[datetime],"&gt;="&amp;TODAY()-WEEKDAY(TODAY(),2)+1,tbl_chests[datetime],"&lt;"&amp;TODAY()-WEEKDAY(TODAY(),2)+8)))</f>
        <v>0</v>
      </c>
      <c r="S51" s="36">
        <f ca="1">IF($A51="","",IF(S$1="","",COUNTIFS(tbl_chests[from],$A51,tbl_chests[legalized],S$1,tbl_chests[datetime],"&gt;="&amp;TODAY()-WEEKDAY(TODAY(),2)+1,tbl_chests[datetime],"&lt;"&amp;TODAY()-WEEKDAY(TODAY(),2)+8)))</f>
        <v>0</v>
      </c>
      <c r="T51" s="36">
        <f ca="1">IF($A51="","",IF(T$1="","",COUNTIFS(tbl_chests[from],$A51,tbl_chests[legalized],T$1,tbl_chests[datetime],"&gt;="&amp;TODAY()-WEEKDAY(TODAY(),2)+1,tbl_chests[datetime],"&lt;"&amp;TODAY()-WEEKDAY(TODAY(),2)+8)))</f>
        <v>0</v>
      </c>
      <c r="U51" s="36">
        <f ca="1">IF($A51="","",IF(U$1="","",COUNTIFS(tbl_chests[from],$A51,tbl_chests[legalized],U$1,tbl_chests[datetime],"&gt;="&amp;TODAY()-WEEKDAY(TODAY(),2)+1,tbl_chests[datetime],"&lt;"&amp;TODAY()-WEEKDAY(TODAY(),2)+8)))</f>
        <v>0</v>
      </c>
      <c r="V51" s="36">
        <f ca="1">IF($A51="","",IF(V$1="","",COUNTIFS(tbl_chests[from],$A51,tbl_chests[legalized],V$1,tbl_chests[datetime],"&gt;="&amp;TODAY()-WEEKDAY(TODAY(),2)+1,tbl_chests[datetime],"&lt;"&amp;TODAY()-WEEKDAY(TODAY(),2)+8)))</f>
        <v>0</v>
      </c>
      <c r="W51" s="36">
        <f ca="1">IF($A51="","",IF(W$1="","",COUNTIFS(tbl_chests[from],$A51,tbl_chests[legalized],W$1,tbl_chests[datetime],"&gt;="&amp;TODAY()-WEEKDAY(TODAY(),2)+1,tbl_chests[datetime],"&lt;"&amp;TODAY()-WEEKDAY(TODAY(),2)+8)))</f>
        <v>0</v>
      </c>
      <c r="X51" s="36">
        <f ca="1">IF($A51="","",IF(X$1="","",COUNTIFS(tbl_chests[from],$A51,tbl_chests[legalized],X$1,tbl_chests[datetime],"&gt;="&amp;TODAY()-WEEKDAY(TODAY(),2)+1,tbl_chests[datetime],"&lt;"&amp;TODAY()-WEEKDAY(TODAY(),2)+8)))</f>
        <v>0</v>
      </c>
      <c r="Y51" s="36">
        <f ca="1">IF($A51="","",IF(Y$1="","",COUNTIFS(tbl_chests[from],$A51,tbl_chests[legalized],Y$1,tbl_chests[datetime],"&gt;="&amp;TODAY()-WEEKDAY(TODAY(),2)+1,tbl_chests[datetime],"&lt;"&amp;TODAY()-WEEKDAY(TODAY(),2)+8)))</f>
        <v>0</v>
      </c>
      <c r="Z51" s="36">
        <f ca="1">IF($A51="","",IF(Z$1="","",COUNTIFS(tbl_chests[from],$A51,tbl_chests[legalized],Z$1,tbl_chests[datetime],"&gt;="&amp;TODAY()-WEEKDAY(TODAY(),2)+1,tbl_chests[datetime],"&lt;"&amp;TODAY()-WEEKDAY(TODAY(),2)+8)))</f>
        <v>0</v>
      </c>
      <c r="AA51" s="36">
        <f ca="1">IF($A51="","",IF(AA$1="","",COUNTIFS(tbl_chests[from],$A51,tbl_chests[legalized],AA$1,tbl_chests[datetime],"&gt;="&amp;TODAY()-WEEKDAY(TODAY(),2)+1,tbl_chests[datetime],"&lt;"&amp;TODAY()-WEEKDAY(TODAY(),2)+8)))</f>
        <v>0</v>
      </c>
      <c r="AB51" s="36">
        <f ca="1">IF($A51="","",IF(AB$1="","",COUNTIFS(tbl_chests[from],$A51,tbl_chests[legalized],AB$1,tbl_chests[datetime],"&gt;="&amp;TODAY()-WEEKDAY(TODAY(),2)+1,tbl_chests[datetime],"&lt;"&amp;TODAY()-WEEKDAY(TODAY(),2)+8)))</f>
        <v>0</v>
      </c>
      <c r="AC51" s="36">
        <f ca="1">IF($A51="","",IF(AC$1="","",COUNTIFS(tbl_chests[from],$A51,tbl_chests[legalized],AC$1,tbl_chests[datetime],"&gt;="&amp;TODAY()-WEEKDAY(TODAY(),2)+1,tbl_chests[datetime],"&lt;"&amp;TODAY()-WEEKDAY(TODAY(),2)+8)))</f>
        <v>0</v>
      </c>
      <c r="AD51" s="36">
        <f ca="1">IF($A51="","",IF(AD$1="","",COUNTIFS(tbl_chests[from],$A51,tbl_chests[legalized],AD$1,tbl_chests[datetime],"&gt;="&amp;TODAY()-WEEKDAY(TODAY(),2)+1,tbl_chests[datetime],"&lt;"&amp;TODAY()-WEEKDAY(TODAY(),2)+8)))</f>
        <v>0</v>
      </c>
      <c r="AE51" s="36">
        <f ca="1">IF($A51="","",IF(AE$1="","",COUNTIFS(tbl_chests[from],$A51,tbl_chests[legalized],AE$1,tbl_chests[datetime],"&gt;="&amp;TODAY()-WEEKDAY(TODAY(),2)+1,tbl_chests[datetime],"&lt;"&amp;TODAY()-WEEKDAY(TODAY(),2)+8)))</f>
        <v>0</v>
      </c>
      <c r="AF51" s="36">
        <f ca="1">IF($A51="","",IF(AF$1="","",COUNTIFS(tbl_chests[from],$A51,tbl_chests[legalized],AF$1,tbl_chests[datetime],"&gt;="&amp;TODAY()-WEEKDAY(TODAY(),2)+1,tbl_chests[datetime],"&lt;"&amp;TODAY()-WEEKDAY(TODAY(),2)+8)))</f>
        <v>0</v>
      </c>
      <c r="AG51" s="36">
        <f ca="1">IF($A51="","",IF(AG$1="","",COUNTIFS(tbl_chests[from],$A51,tbl_chests[legalized],AG$1,tbl_chests[datetime],"&gt;="&amp;TODAY()-WEEKDAY(TODAY(),2)+1,tbl_chests[datetime],"&lt;"&amp;TODAY()-WEEKDAY(TODAY(),2)+8)))</f>
        <v>0</v>
      </c>
      <c r="AH51" s="36">
        <f ca="1">IF($A51="","",IF(AH$1="","",COUNTIFS(tbl_chests[from],$A51,tbl_chests[legalized],AH$1,tbl_chests[datetime],"&gt;="&amp;TODAY()-WEEKDAY(TODAY(),2)+1,tbl_chests[datetime],"&lt;"&amp;TODAY()-WEEKDAY(TODAY(),2)+8)))</f>
        <v>0</v>
      </c>
      <c r="AI51" s="36">
        <f ca="1">IF($A51="","",IF(AI$1="","",COUNTIFS(tbl_chests[from],$A51,tbl_chests[legalized],AI$1,tbl_chests[datetime],"&gt;="&amp;TODAY()-WEEKDAY(TODAY(),2)+1,tbl_chests[datetime],"&lt;"&amp;TODAY()-WEEKDAY(TODAY(),2)+8)))</f>
        <v>0</v>
      </c>
      <c r="AJ51" s="36">
        <f ca="1">IF($A51="","",IF(AJ$1="","",COUNTIFS(tbl_chests[from],$A51,tbl_chests[legalized],AJ$1,tbl_chests[datetime],"&gt;="&amp;TODAY()-WEEKDAY(TODAY(),2)+1,tbl_chests[datetime],"&lt;"&amp;TODAY()-WEEKDAY(TODAY(),2)+8)))</f>
        <v>0</v>
      </c>
      <c r="AK51" s="36">
        <f ca="1">IF($A51="","",IF(AK$1="","",COUNTIFS(tbl_chests[from],$A51,tbl_chests[legalized],AK$1,tbl_chests[datetime],"&gt;="&amp;TODAY()-WEEKDAY(TODAY(),2)+1,tbl_chests[datetime],"&lt;"&amp;TODAY()-WEEKDAY(TODAY(),2)+8)))</f>
        <v>0</v>
      </c>
      <c r="AL51" s="36">
        <f ca="1">IF($A51="","",IF(AL$1="","",COUNTIFS(tbl_chests[from],$A51,tbl_chests[legalized],AL$1,tbl_chests[datetime],"&gt;="&amp;TODAY()-WEEKDAY(TODAY(),2)+1,tbl_chests[datetime],"&lt;"&amp;TODAY()-WEEKDAY(TODAY(),2)+8)))</f>
        <v>0</v>
      </c>
      <c r="AM51" s="37">
        <f ca="1">IF($A51="","",IF(AM$1="","",COUNTIFS(tbl_chests[from],$A51,tbl_chests[legalized],AM$1,tbl_chests[datetime],"&gt;="&amp;TODAY()-WEEKDAY(TODAY(),2)+1,tbl_chests[datetime],"&lt;"&amp;TODAY()-WEEKDAY(TODAY(),2)+8)))</f>
        <v>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spans="1:67" ht="15.75" customHeight="1" x14ac:dyDescent="0.25">
      <c r="A52" s="34">
        <f>chests_counter!$H49</f>
        <v>0</v>
      </c>
      <c r="B52" s="35" cm="1">
        <f t="array" aca="1" ref="B52" ca="1">IF(A52&lt;&gt;"", SUMPRODUCT(($C$2:$AM$2&lt;&gt;0)*(C52:AM52&lt;&gt;0)*($C$2:$AM$2)*(C52:AM52)), "")</f>
        <v>0</v>
      </c>
      <c r="C52" s="36">
        <f ca="1">IF($A52="","",IF(C$1="","",COUNTIFS(tbl_chests[from],$A52,tbl_chests[legalized],C$1,tbl_chests[datetime],"&gt;="&amp;TODAY()-WEEKDAY(TODAY(),2)+1,tbl_chests[datetime],"&lt;"&amp;TODAY()-WEEKDAY(TODAY(),2)+8)))</f>
        <v>0</v>
      </c>
      <c r="D52" s="36">
        <f ca="1">IF($A52="","",IF(D$1="","",COUNTIFS(tbl_chests[from],$A52,tbl_chests[legalized],D$1,tbl_chests[datetime],"&gt;="&amp;TODAY()-WEEKDAY(TODAY(),2)+1,tbl_chests[datetime],"&lt;"&amp;TODAY()-WEEKDAY(TODAY(),2)+8)))</f>
        <v>0</v>
      </c>
      <c r="E52" s="36">
        <f ca="1">IF($A52="","",IF(E$1="","",COUNTIFS(tbl_chests[from],$A52,tbl_chests[legalized],E$1,tbl_chests[datetime],"&gt;="&amp;TODAY()-WEEKDAY(TODAY(),2)+1,tbl_chests[datetime],"&lt;"&amp;TODAY()-WEEKDAY(TODAY(),2)+8)))</f>
        <v>0</v>
      </c>
      <c r="F52" s="36">
        <f ca="1">IF($A52="","",IF(F$1="","",COUNTIFS(tbl_chests[from],$A52,tbl_chests[legalized],F$1,tbl_chests[datetime],"&gt;="&amp;TODAY()-WEEKDAY(TODAY(),2)+1,tbl_chests[datetime],"&lt;"&amp;TODAY()-WEEKDAY(TODAY(),2)+8)))</f>
        <v>0</v>
      </c>
      <c r="G52" s="36">
        <f ca="1">IF($A52="","",IF(G$1="","",COUNTIFS(tbl_chests[from],$A52,tbl_chests[legalized],G$1,tbl_chests[datetime],"&gt;="&amp;TODAY()-WEEKDAY(TODAY(),2)+1,tbl_chests[datetime],"&lt;"&amp;TODAY()-WEEKDAY(TODAY(),2)+8)))</f>
        <v>0</v>
      </c>
      <c r="H52" s="36">
        <f ca="1">IF($A52="","",IF(H$1="","",COUNTIFS(tbl_chests[from],$A52,tbl_chests[legalized],H$1,tbl_chests[datetime],"&gt;="&amp;TODAY()-WEEKDAY(TODAY(),2)+1,tbl_chests[datetime],"&lt;"&amp;TODAY()-WEEKDAY(TODAY(),2)+8)))</f>
        <v>0</v>
      </c>
      <c r="I52" s="36">
        <f ca="1">IF($A52="","",IF(I$1="","",COUNTIFS(tbl_chests[from],$A52,tbl_chests[legalized],I$1,tbl_chests[datetime],"&gt;="&amp;TODAY()-WEEKDAY(TODAY(),2)+1,tbl_chests[datetime],"&lt;"&amp;TODAY()-WEEKDAY(TODAY(),2)+8)))</f>
        <v>0</v>
      </c>
      <c r="J52" s="36">
        <f ca="1">IF($A52="","",IF(J$1="","",COUNTIFS(tbl_chests[from],$A52,tbl_chests[legalized],J$1,tbl_chests[datetime],"&gt;="&amp;TODAY()-WEEKDAY(TODAY(),2)+1,tbl_chests[datetime],"&lt;"&amp;TODAY()-WEEKDAY(TODAY(),2)+8)))</f>
        <v>0</v>
      </c>
      <c r="K52" s="36">
        <f ca="1">IF($A52="","",IF(K$1="","",COUNTIFS(tbl_chests[from],$A52,tbl_chests[legalized],K$1,tbl_chests[datetime],"&gt;="&amp;TODAY()-WEEKDAY(TODAY(),2)+1,tbl_chests[datetime],"&lt;"&amp;TODAY()-WEEKDAY(TODAY(),2)+8)))</f>
        <v>0</v>
      </c>
      <c r="L52" s="36">
        <f ca="1">IF($A52="","",IF(L$1="","",COUNTIFS(tbl_chests[from],$A52,tbl_chests[legalized],L$1,tbl_chests[datetime],"&gt;="&amp;TODAY()-WEEKDAY(TODAY(),2)+1,tbl_chests[datetime],"&lt;"&amp;TODAY()-WEEKDAY(TODAY(),2)+8)))</f>
        <v>0</v>
      </c>
      <c r="M52" s="36">
        <f ca="1">IF($A52="","",IF(M$1="","",COUNTIFS(tbl_chests[from],$A52,tbl_chests[legalized],M$1,tbl_chests[datetime],"&gt;="&amp;TODAY()-WEEKDAY(TODAY(),2)+1,tbl_chests[datetime],"&lt;"&amp;TODAY()-WEEKDAY(TODAY(),2)+8)))</f>
        <v>0</v>
      </c>
      <c r="N52" s="36">
        <f ca="1">IF($A52="","",IF(N$1="","",COUNTIFS(tbl_chests[from],$A52,tbl_chests[legalized],N$1,tbl_chests[datetime],"&gt;="&amp;TODAY()-WEEKDAY(TODAY(),2)+1,tbl_chests[datetime],"&lt;"&amp;TODAY()-WEEKDAY(TODAY(),2)+8)))</f>
        <v>0</v>
      </c>
      <c r="O52" s="36">
        <f ca="1">IF($A52="","",IF(O$1="","",COUNTIFS(tbl_chests[from],$A52,tbl_chests[legalized],O$1,tbl_chests[datetime],"&gt;="&amp;TODAY()-WEEKDAY(TODAY(),2)+1,tbl_chests[datetime],"&lt;"&amp;TODAY()-WEEKDAY(TODAY(),2)+8)))</f>
        <v>0</v>
      </c>
      <c r="P52" s="36">
        <f ca="1">IF($A52="","",IF(P$1="","",COUNTIFS(tbl_chests[from],$A52,tbl_chests[legalized],P$1,tbl_chests[datetime],"&gt;="&amp;TODAY()-WEEKDAY(TODAY(),2)+1,tbl_chests[datetime],"&lt;"&amp;TODAY()-WEEKDAY(TODAY(),2)+8)))</f>
        <v>0</v>
      </c>
      <c r="Q52" s="36">
        <f ca="1">IF($A52="","",IF(Q$1="","",COUNTIFS(tbl_chests[from],$A52,tbl_chests[legalized],Q$1,tbl_chests[datetime],"&gt;="&amp;TODAY()-WEEKDAY(TODAY(),2)+1,tbl_chests[datetime],"&lt;"&amp;TODAY()-WEEKDAY(TODAY(),2)+8)))</f>
        <v>0</v>
      </c>
      <c r="R52" s="36">
        <f ca="1">IF($A52="","",IF(R$1="","",COUNTIFS(tbl_chests[from],$A52,tbl_chests[legalized],R$1,tbl_chests[datetime],"&gt;="&amp;TODAY()-WEEKDAY(TODAY(),2)+1,tbl_chests[datetime],"&lt;"&amp;TODAY()-WEEKDAY(TODAY(),2)+8)))</f>
        <v>0</v>
      </c>
      <c r="S52" s="36">
        <f ca="1">IF($A52="","",IF(S$1="","",COUNTIFS(tbl_chests[from],$A52,tbl_chests[legalized],S$1,tbl_chests[datetime],"&gt;="&amp;TODAY()-WEEKDAY(TODAY(),2)+1,tbl_chests[datetime],"&lt;"&amp;TODAY()-WEEKDAY(TODAY(),2)+8)))</f>
        <v>0</v>
      </c>
      <c r="T52" s="36">
        <f ca="1">IF($A52="","",IF(T$1="","",COUNTIFS(tbl_chests[from],$A52,tbl_chests[legalized],T$1,tbl_chests[datetime],"&gt;="&amp;TODAY()-WEEKDAY(TODAY(),2)+1,tbl_chests[datetime],"&lt;"&amp;TODAY()-WEEKDAY(TODAY(),2)+8)))</f>
        <v>0</v>
      </c>
      <c r="U52" s="36">
        <f ca="1">IF($A52="","",IF(U$1="","",COUNTIFS(tbl_chests[from],$A52,tbl_chests[legalized],U$1,tbl_chests[datetime],"&gt;="&amp;TODAY()-WEEKDAY(TODAY(),2)+1,tbl_chests[datetime],"&lt;"&amp;TODAY()-WEEKDAY(TODAY(),2)+8)))</f>
        <v>0</v>
      </c>
      <c r="V52" s="36">
        <f ca="1">IF($A52="","",IF(V$1="","",COUNTIFS(tbl_chests[from],$A52,tbl_chests[legalized],V$1,tbl_chests[datetime],"&gt;="&amp;TODAY()-WEEKDAY(TODAY(),2)+1,tbl_chests[datetime],"&lt;"&amp;TODAY()-WEEKDAY(TODAY(),2)+8)))</f>
        <v>0</v>
      </c>
      <c r="W52" s="36">
        <f ca="1">IF($A52="","",IF(W$1="","",COUNTIFS(tbl_chests[from],$A52,tbl_chests[legalized],W$1,tbl_chests[datetime],"&gt;="&amp;TODAY()-WEEKDAY(TODAY(),2)+1,tbl_chests[datetime],"&lt;"&amp;TODAY()-WEEKDAY(TODAY(),2)+8)))</f>
        <v>0</v>
      </c>
      <c r="X52" s="36">
        <f ca="1">IF($A52="","",IF(X$1="","",COUNTIFS(tbl_chests[from],$A52,tbl_chests[legalized],X$1,tbl_chests[datetime],"&gt;="&amp;TODAY()-WEEKDAY(TODAY(),2)+1,tbl_chests[datetime],"&lt;"&amp;TODAY()-WEEKDAY(TODAY(),2)+8)))</f>
        <v>0</v>
      </c>
      <c r="Y52" s="36">
        <f ca="1">IF($A52="","",IF(Y$1="","",COUNTIFS(tbl_chests[from],$A52,tbl_chests[legalized],Y$1,tbl_chests[datetime],"&gt;="&amp;TODAY()-WEEKDAY(TODAY(),2)+1,tbl_chests[datetime],"&lt;"&amp;TODAY()-WEEKDAY(TODAY(),2)+8)))</f>
        <v>0</v>
      </c>
      <c r="Z52" s="36">
        <f ca="1">IF($A52="","",IF(Z$1="","",COUNTIFS(tbl_chests[from],$A52,tbl_chests[legalized],Z$1,tbl_chests[datetime],"&gt;="&amp;TODAY()-WEEKDAY(TODAY(),2)+1,tbl_chests[datetime],"&lt;"&amp;TODAY()-WEEKDAY(TODAY(),2)+8)))</f>
        <v>0</v>
      </c>
      <c r="AA52" s="36">
        <f ca="1">IF($A52="","",IF(AA$1="","",COUNTIFS(tbl_chests[from],$A52,tbl_chests[legalized],AA$1,tbl_chests[datetime],"&gt;="&amp;TODAY()-WEEKDAY(TODAY(),2)+1,tbl_chests[datetime],"&lt;"&amp;TODAY()-WEEKDAY(TODAY(),2)+8)))</f>
        <v>0</v>
      </c>
      <c r="AB52" s="36">
        <f ca="1">IF($A52="","",IF(AB$1="","",COUNTIFS(tbl_chests[from],$A52,tbl_chests[legalized],AB$1,tbl_chests[datetime],"&gt;="&amp;TODAY()-WEEKDAY(TODAY(),2)+1,tbl_chests[datetime],"&lt;"&amp;TODAY()-WEEKDAY(TODAY(),2)+8)))</f>
        <v>0</v>
      </c>
      <c r="AC52" s="36">
        <f ca="1">IF($A52="","",IF(AC$1="","",COUNTIFS(tbl_chests[from],$A52,tbl_chests[legalized],AC$1,tbl_chests[datetime],"&gt;="&amp;TODAY()-WEEKDAY(TODAY(),2)+1,tbl_chests[datetime],"&lt;"&amp;TODAY()-WEEKDAY(TODAY(),2)+8)))</f>
        <v>0</v>
      </c>
      <c r="AD52" s="36">
        <f ca="1">IF($A52="","",IF(AD$1="","",COUNTIFS(tbl_chests[from],$A52,tbl_chests[legalized],AD$1,tbl_chests[datetime],"&gt;="&amp;TODAY()-WEEKDAY(TODAY(),2)+1,tbl_chests[datetime],"&lt;"&amp;TODAY()-WEEKDAY(TODAY(),2)+8)))</f>
        <v>0</v>
      </c>
      <c r="AE52" s="36">
        <f ca="1">IF($A52="","",IF(AE$1="","",COUNTIFS(tbl_chests[from],$A52,tbl_chests[legalized],AE$1,tbl_chests[datetime],"&gt;="&amp;TODAY()-WEEKDAY(TODAY(),2)+1,tbl_chests[datetime],"&lt;"&amp;TODAY()-WEEKDAY(TODAY(),2)+8)))</f>
        <v>0</v>
      </c>
      <c r="AF52" s="36">
        <f ca="1">IF($A52="","",IF(AF$1="","",COUNTIFS(tbl_chests[from],$A52,tbl_chests[legalized],AF$1,tbl_chests[datetime],"&gt;="&amp;TODAY()-WEEKDAY(TODAY(),2)+1,tbl_chests[datetime],"&lt;"&amp;TODAY()-WEEKDAY(TODAY(),2)+8)))</f>
        <v>0</v>
      </c>
      <c r="AG52" s="36">
        <f ca="1">IF($A52="","",IF(AG$1="","",COUNTIFS(tbl_chests[from],$A52,tbl_chests[legalized],AG$1,tbl_chests[datetime],"&gt;="&amp;TODAY()-WEEKDAY(TODAY(),2)+1,tbl_chests[datetime],"&lt;"&amp;TODAY()-WEEKDAY(TODAY(),2)+8)))</f>
        <v>0</v>
      </c>
      <c r="AH52" s="36">
        <f ca="1">IF($A52="","",IF(AH$1="","",COUNTIFS(tbl_chests[from],$A52,tbl_chests[legalized],AH$1,tbl_chests[datetime],"&gt;="&amp;TODAY()-WEEKDAY(TODAY(),2)+1,tbl_chests[datetime],"&lt;"&amp;TODAY()-WEEKDAY(TODAY(),2)+8)))</f>
        <v>0</v>
      </c>
      <c r="AI52" s="36">
        <f ca="1">IF($A52="","",IF(AI$1="","",COUNTIFS(tbl_chests[from],$A52,tbl_chests[legalized],AI$1,tbl_chests[datetime],"&gt;="&amp;TODAY()-WEEKDAY(TODAY(),2)+1,tbl_chests[datetime],"&lt;"&amp;TODAY()-WEEKDAY(TODAY(),2)+8)))</f>
        <v>0</v>
      </c>
      <c r="AJ52" s="36">
        <f ca="1">IF($A52="","",IF(AJ$1="","",COUNTIFS(tbl_chests[from],$A52,tbl_chests[legalized],AJ$1,tbl_chests[datetime],"&gt;="&amp;TODAY()-WEEKDAY(TODAY(),2)+1,tbl_chests[datetime],"&lt;"&amp;TODAY()-WEEKDAY(TODAY(),2)+8)))</f>
        <v>0</v>
      </c>
      <c r="AK52" s="36">
        <f ca="1">IF($A52="","",IF(AK$1="","",COUNTIFS(tbl_chests[from],$A52,tbl_chests[legalized],AK$1,tbl_chests[datetime],"&gt;="&amp;TODAY()-WEEKDAY(TODAY(),2)+1,tbl_chests[datetime],"&lt;"&amp;TODAY()-WEEKDAY(TODAY(),2)+8)))</f>
        <v>0</v>
      </c>
      <c r="AL52" s="36">
        <f ca="1">IF($A52="","",IF(AL$1="","",COUNTIFS(tbl_chests[from],$A52,tbl_chests[legalized],AL$1,tbl_chests[datetime],"&gt;="&amp;TODAY()-WEEKDAY(TODAY(),2)+1,tbl_chests[datetime],"&lt;"&amp;TODAY()-WEEKDAY(TODAY(),2)+8)))</f>
        <v>0</v>
      </c>
      <c r="AM52" s="37">
        <f ca="1">IF($A52="","",IF(AM$1="","",COUNTIFS(tbl_chests[from],$A52,tbl_chests[legalized],AM$1,tbl_chests[datetime],"&gt;="&amp;TODAY()-WEEKDAY(TODAY(),2)+1,tbl_chests[datetime],"&lt;"&amp;TODAY()-WEEKDAY(TODAY(),2)+8)))</f>
        <v>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spans="1:67" ht="15.75" customHeight="1" x14ac:dyDescent="0.25">
      <c r="A53" s="34">
        <f>chests_counter!$H50</f>
        <v>0</v>
      </c>
      <c r="B53" s="35" cm="1">
        <f t="array" aca="1" ref="B53" ca="1">IF(A53&lt;&gt;"", SUMPRODUCT(($C$2:$AM$2&lt;&gt;0)*(C53:AM53&lt;&gt;0)*($C$2:$AM$2)*(C53:AM53)), "")</f>
        <v>0</v>
      </c>
      <c r="C53" s="36">
        <f ca="1">IF($A53="","",IF(C$1="","",COUNTIFS(tbl_chests[from],$A53,tbl_chests[legalized],C$1,tbl_chests[datetime],"&gt;="&amp;TODAY()-WEEKDAY(TODAY(),2)+1,tbl_chests[datetime],"&lt;"&amp;TODAY()-WEEKDAY(TODAY(),2)+8)))</f>
        <v>0</v>
      </c>
      <c r="D53" s="36">
        <f ca="1">IF($A53="","",IF(D$1="","",COUNTIFS(tbl_chests[from],$A53,tbl_chests[legalized],D$1,tbl_chests[datetime],"&gt;="&amp;TODAY()-WEEKDAY(TODAY(),2)+1,tbl_chests[datetime],"&lt;"&amp;TODAY()-WEEKDAY(TODAY(),2)+8)))</f>
        <v>0</v>
      </c>
      <c r="E53" s="36">
        <f ca="1">IF($A53="","",IF(E$1="","",COUNTIFS(tbl_chests[from],$A53,tbl_chests[legalized],E$1,tbl_chests[datetime],"&gt;="&amp;TODAY()-WEEKDAY(TODAY(),2)+1,tbl_chests[datetime],"&lt;"&amp;TODAY()-WEEKDAY(TODAY(),2)+8)))</f>
        <v>0</v>
      </c>
      <c r="F53" s="36">
        <f ca="1">IF($A53="","",IF(F$1="","",COUNTIFS(tbl_chests[from],$A53,tbl_chests[legalized],F$1,tbl_chests[datetime],"&gt;="&amp;TODAY()-WEEKDAY(TODAY(),2)+1,tbl_chests[datetime],"&lt;"&amp;TODAY()-WEEKDAY(TODAY(),2)+8)))</f>
        <v>0</v>
      </c>
      <c r="G53" s="36">
        <f ca="1">IF($A53="","",IF(G$1="","",COUNTIFS(tbl_chests[from],$A53,tbl_chests[legalized],G$1,tbl_chests[datetime],"&gt;="&amp;TODAY()-WEEKDAY(TODAY(),2)+1,tbl_chests[datetime],"&lt;"&amp;TODAY()-WEEKDAY(TODAY(),2)+8)))</f>
        <v>0</v>
      </c>
      <c r="H53" s="36">
        <f ca="1">IF($A53="","",IF(H$1="","",COUNTIFS(tbl_chests[from],$A53,tbl_chests[legalized],H$1,tbl_chests[datetime],"&gt;="&amp;TODAY()-WEEKDAY(TODAY(),2)+1,tbl_chests[datetime],"&lt;"&amp;TODAY()-WEEKDAY(TODAY(),2)+8)))</f>
        <v>0</v>
      </c>
      <c r="I53" s="36">
        <f ca="1">IF($A53="","",IF(I$1="","",COUNTIFS(tbl_chests[from],$A53,tbl_chests[legalized],I$1,tbl_chests[datetime],"&gt;="&amp;TODAY()-WEEKDAY(TODAY(),2)+1,tbl_chests[datetime],"&lt;"&amp;TODAY()-WEEKDAY(TODAY(),2)+8)))</f>
        <v>0</v>
      </c>
      <c r="J53" s="36">
        <f ca="1">IF($A53="","",IF(J$1="","",COUNTIFS(tbl_chests[from],$A53,tbl_chests[legalized],J$1,tbl_chests[datetime],"&gt;="&amp;TODAY()-WEEKDAY(TODAY(),2)+1,tbl_chests[datetime],"&lt;"&amp;TODAY()-WEEKDAY(TODAY(),2)+8)))</f>
        <v>0</v>
      </c>
      <c r="K53" s="36">
        <f ca="1">IF($A53="","",IF(K$1="","",COUNTIFS(tbl_chests[from],$A53,tbl_chests[legalized],K$1,tbl_chests[datetime],"&gt;="&amp;TODAY()-WEEKDAY(TODAY(),2)+1,tbl_chests[datetime],"&lt;"&amp;TODAY()-WEEKDAY(TODAY(),2)+8)))</f>
        <v>0</v>
      </c>
      <c r="L53" s="36">
        <f ca="1">IF($A53="","",IF(L$1="","",COUNTIFS(tbl_chests[from],$A53,tbl_chests[legalized],L$1,tbl_chests[datetime],"&gt;="&amp;TODAY()-WEEKDAY(TODAY(),2)+1,tbl_chests[datetime],"&lt;"&amp;TODAY()-WEEKDAY(TODAY(),2)+8)))</f>
        <v>0</v>
      </c>
      <c r="M53" s="36">
        <f ca="1">IF($A53="","",IF(M$1="","",COUNTIFS(tbl_chests[from],$A53,tbl_chests[legalized],M$1,tbl_chests[datetime],"&gt;="&amp;TODAY()-WEEKDAY(TODAY(),2)+1,tbl_chests[datetime],"&lt;"&amp;TODAY()-WEEKDAY(TODAY(),2)+8)))</f>
        <v>0</v>
      </c>
      <c r="N53" s="36">
        <f ca="1">IF($A53="","",IF(N$1="","",COUNTIFS(tbl_chests[from],$A53,tbl_chests[legalized],N$1,tbl_chests[datetime],"&gt;="&amp;TODAY()-WEEKDAY(TODAY(),2)+1,tbl_chests[datetime],"&lt;"&amp;TODAY()-WEEKDAY(TODAY(),2)+8)))</f>
        <v>0</v>
      </c>
      <c r="O53" s="36">
        <f ca="1">IF($A53="","",IF(O$1="","",COUNTIFS(tbl_chests[from],$A53,tbl_chests[legalized],O$1,tbl_chests[datetime],"&gt;="&amp;TODAY()-WEEKDAY(TODAY(),2)+1,tbl_chests[datetime],"&lt;"&amp;TODAY()-WEEKDAY(TODAY(),2)+8)))</f>
        <v>0</v>
      </c>
      <c r="P53" s="36">
        <f ca="1">IF($A53="","",IF(P$1="","",COUNTIFS(tbl_chests[from],$A53,tbl_chests[legalized],P$1,tbl_chests[datetime],"&gt;="&amp;TODAY()-WEEKDAY(TODAY(),2)+1,tbl_chests[datetime],"&lt;"&amp;TODAY()-WEEKDAY(TODAY(),2)+8)))</f>
        <v>0</v>
      </c>
      <c r="Q53" s="36">
        <f ca="1">IF($A53="","",IF(Q$1="","",COUNTIFS(tbl_chests[from],$A53,tbl_chests[legalized],Q$1,tbl_chests[datetime],"&gt;="&amp;TODAY()-WEEKDAY(TODAY(),2)+1,tbl_chests[datetime],"&lt;"&amp;TODAY()-WEEKDAY(TODAY(),2)+8)))</f>
        <v>0</v>
      </c>
      <c r="R53" s="36">
        <f ca="1">IF($A53="","",IF(R$1="","",COUNTIFS(tbl_chests[from],$A53,tbl_chests[legalized],R$1,tbl_chests[datetime],"&gt;="&amp;TODAY()-WEEKDAY(TODAY(),2)+1,tbl_chests[datetime],"&lt;"&amp;TODAY()-WEEKDAY(TODAY(),2)+8)))</f>
        <v>0</v>
      </c>
      <c r="S53" s="36">
        <f ca="1">IF($A53="","",IF(S$1="","",COUNTIFS(tbl_chests[from],$A53,tbl_chests[legalized],S$1,tbl_chests[datetime],"&gt;="&amp;TODAY()-WEEKDAY(TODAY(),2)+1,tbl_chests[datetime],"&lt;"&amp;TODAY()-WEEKDAY(TODAY(),2)+8)))</f>
        <v>0</v>
      </c>
      <c r="T53" s="36">
        <f ca="1">IF($A53="","",IF(T$1="","",COUNTIFS(tbl_chests[from],$A53,tbl_chests[legalized],T$1,tbl_chests[datetime],"&gt;="&amp;TODAY()-WEEKDAY(TODAY(),2)+1,tbl_chests[datetime],"&lt;"&amp;TODAY()-WEEKDAY(TODAY(),2)+8)))</f>
        <v>0</v>
      </c>
      <c r="U53" s="36">
        <f ca="1">IF($A53="","",IF(U$1="","",COUNTIFS(tbl_chests[from],$A53,tbl_chests[legalized],U$1,tbl_chests[datetime],"&gt;="&amp;TODAY()-WEEKDAY(TODAY(),2)+1,tbl_chests[datetime],"&lt;"&amp;TODAY()-WEEKDAY(TODAY(),2)+8)))</f>
        <v>0</v>
      </c>
      <c r="V53" s="36">
        <f ca="1">IF($A53="","",IF(V$1="","",COUNTIFS(tbl_chests[from],$A53,tbl_chests[legalized],V$1,tbl_chests[datetime],"&gt;="&amp;TODAY()-WEEKDAY(TODAY(),2)+1,tbl_chests[datetime],"&lt;"&amp;TODAY()-WEEKDAY(TODAY(),2)+8)))</f>
        <v>0</v>
      </c>
      <c r="W53" s="36">
        <f ca="1">IF($A53="","",IF(W$1="","",COUNTIFS(tbl_chests[from],$A53,tbl_chests[legalized],W$1,tbl_chests[datetime],"&gt;="&amp;TODAY()-WEEKDAY(TODAY(),2)+1,tbl_chests[datetime],"&lt;"&amp;TODAY()-WEEKDAY(TODAY(),2)+8)))</f>
        <v>0</v>
      </c>
      <c r="X53" s="36">
        <f ca="1">IF($A53="","",IF(X$1="","",COUNTIFS(tbl_chests[from],$A53,tbl_chests[legalized],X$1,tbl_chests[datetime],"&gt;="&amp;TODAY()-WEEKDAY(TODAY(),2)+1,tbl_chests[datetime],"&lt;"&amp;TODAY()-WEEKDAY(TODAY(),2)+8)))</f>
        <v>0</v>
      </c>
      <c r="Y53" s="36">
        <f ca="1">IF($A53="","",IF(Y$1="","",COUNTIFS(tbl_chests[from],$A53,tbl_chests[legalized],Y$1,tbl_chests[datetime],"&gt;="&amp;TODAY()-WEEKDAY(TODAY(),2)+1,tbl_chests[datetime],"&lt;"&amp;TODAY()-WEEKDAY(TODAY(),2)+8)))</f>
        <v>0</v>
      </c>
      <c r="Z53" s="36">
        <f ca="1">IF($A53="","",IF(Z$1="","",COUNTIFS(tbl_chests[from],$A53,tbl_chests[legalized],Z$1,tbl_chests[datetime],"&gt;="&amp;TODAY()-WEEKDAY(TODAY(),2)+1,tbl_chests[datetime],"&lt;"&amp;TODAY()-WEEKDAY(TODAY(),2)+8)))</f>
        <v>0</v>
      </c>
      <c r="AA53" s="36">
        <f ca="1">IF($A53="","",IF(AA$1="","",COUNTIFS(tbl_chests[from],$A53,tbl_chests[legalized],AA$1,tbl_chests[datetime],"&gt;="&amp;TODAY()-WEEKDAY(TODAY(),2)+1,tbl_chests[datetime],"&lt;"&amp;TODAY()-WEEKDAY(TODAY(),2)+8)))</f>
        <v>0</v>
      </c>
      <c r="AB53" s="36">
        <f ca="1">IF($A53="","",IF(AB$1="","",COUNTIFS(tbl_chests[from],$A53,tbl_chests[legalized],AB$1,tbl_chests[datetime],"&gt;="&amp;TODAY()-WEEKDAY(TODAY(),2)+1,tbl_chests[datetime],"&lt;"&amp;TODAY()-WEEKDAY(TODAY(),2)+8)))</f>
        <v>0</v>
      </c>
      <c r="AC53" s="36">
        <f ca="1">IF($A53="","",IF(AC$1="","",COUNTIFS(tbl_chests[from],$A53,tbl_chests[legalized],AC$1,tbl_chests[datetime],"&gt;="&amp;TODAY()-WEEKDAY(TODAY(),2)+1,tbl_chests[datetime],"&lt;"&amp;TODAY()-WEEKDAY(TODAY(),2)+8)))</f>
        <v>0</v>
      </c>
      <c r="AD53" s="36">
        <f ca="1">IF($A53="","",IF(AD$1="","",COUNTIFS(tbl_chests[from],$A53,tbl_chests[legalized],AD$1,tbl_chests[datetime],"&gt;="&amp;TODAY()-WEEKDAY(TODAY(),2)+1,tbl_chests[datetime],"&lt;"&amp;TODAY()-WEEKDAY(TODAY(),2)+8)))</f>
        <v>0</v>
      </c>
      <c r="AE53" s="36">
        <f ca="1">IF($A53="","",IF(AE$1="","",COUNTIFS(tbl_chests[from],$A53,tbl_chests[legalized],AE$1,tbl_chests[datetime],"&gt;="&amp;TODAY()-WEEKDAY(TODAY(),2)+1,tbl_chests[datetime],"&lt;"&amp;TODAY()-WEEKDAY(TODAY(),2)+8)))</f>
        <v>0</v>
      </c>
      <c r="AF53" s="36">
        <f ca="1">IF($A53="","",IF(AF$1="","",COUNTIFS(tbl_chests[from],$A53,tbl_chests[legalized],AF$1,tbl_chests[datetime],"&gt;="&amp;TODAY()-WEEKDAY(TODAY(),2)+1,tbl_chests[datetime],"&lt;"&amp;TODAY()-WEEKDAY(TODAY(),2)+8)))</f>
        <v>0</v>
      </c>
      <c r="AG53" s="36">
        <f ca="1">IF($A53="","",IF(AG$1="","",COUNTIFS(tbl_chests[from],$A53,tbl_chests[legalized],AG$1,tbl_chests[datetime],"&gt;="&amp;TODAY()-WEEKDAY(TODAY(),2)+1,tbl_chests[datetime],"&lt;"&amp;TODAY()-WEEKDAY(TODAY(),2)+8)))</f>
        <v>0</v>
      </c>
      <c r="AH53" s="36">
        <f ca="1">IF($A53="","",IF(AH$1="","",COUNTIFS(tbl_chests[from],$A53,tbl_chests[legalized],AH$1,tbl_chests[datetime],"&gt;="&amp;TODAY()-WEEKDAY(TODAY(),2)+1,tbl_chests[datetime],"&lt;"&amp;TODAY()-WEEKDAY(TODAY(),2)+8)))</f>
        <v>0</v>
      </c>
      <c r="AI53" s="36">
        <f ca="1">IF($A53="","",IF(AI$1="","",COUNTIFS(tbl_chests[from],$A53,tbl_chests[legalized],AI$1,tbl_chests[datetime],"&gt;="&amp;TODAY()-WEEKDAY(TODAY(),2)+1,tbl_chests[datetime],"&lt;"&amp;TODAY()-WEEKDAY(TODAY(),2)+8)))</f>
        <v>0</v>
      </c>
      <c r="AJ53" s="36">
        <f ca="1">IF($A53="","",IF(AJ$1="","",COUNTIFS(tbl_chests[from],$A53,tbl_chests[legalized],AJ$1,tbl_chests[datetime],"&gt;="&amp;TODAY()-WEEKDAY(TODAY(),2)+1,tbl_chests[datetime],"&lt;"&amp;TODAY()-WEEKDAY(TODAY(),2)+8)))</f>
        <v>0</v>
      </c>
      <c r="AK53" s="36">
        <f ca="1">IF($A53="","",IF(AK$1="","",COUNTIFS(tbl_chests[from],$A53,tbl_chests[legalized],AK$1,tbl_chests[datetime],"&gt;="&amp;TODAY()-WEEKDAY(TODAY(),2)+1,tbl_chests[datetime],"&lt;"&amp;TODAY()-WEEKDAY(TODAY(),2)+8)))</f>
        <v>0</v>
      </c>
      <c r="AL53" s="36">
        <f ca="1">IF($A53="","",IF(AL$1="","",COUNTIFS(tbl_chests[from],$A53,tbl_chests[legalized],AL$1,tbl_chests[datetime],"&gt;="&amp;TODAY()-WEEKDAY(TODAY(),2)+1,tbl_chests[datetime],"&lt;"&amp;TODAY()-WEEKDAY(TODAY(),2)+8)))</f>
        <v>0</v>
      </c>
      <c r="AM53" s="37">
        <f ca="1">IF($A53="","",IF(AM$1="","",COUNTIFS(tbl_chests[from],$A53,tbl_chests[legalized],AM$1,tbl_chests[datetime],"&gt;="&amp;TODAY()-WEEKDAY(TODAY(),2)+1,tbl_chests[datetime],"&lt;"&amp;TODAY()-WEEKDAY(TODAY(),2)+8)))</f>
        <v>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spans="1:67" ht="15.75" customHeight="1" x14ac:dyDescent="0.25">
      <c r="A54" s="34">
        <f>chests_counter!$H51</f>
        <v>0</v>
      </c>
      <c r="B54" s="35" cm="1">
        <f t="array" aca="1" ref="B54" ca="1">IF(A54&lt;&gt;"", SUMPRODUCT(($C$2:$AM$2&lt;&gt;0)*(C54:AM54&lt;&gt;0)*($C$2:$AM$2)*(C54:AM54)), "")</f>
        <v>0</v>
      </c>
      <c r="C54" s="36">
        <f ca="1">IF($A54="","",IF(C$1="","",COUNTIFS(tbl_chests[from],$A54,tbl_chests[legalized],C$1,tbl_chests[datetime],"&gt;="&amp;TODAY()-WEEKDAY(TODAY(),2)+1,tbl_chests[datetime],"&lt;"&amp;TODAY()-WEEKDAY(TODAY(),2)+8)))</f>
        <v>0</v>
      </c>
      <c r="D54" s="36">
        <f ca="1">IF($A54="","",IF(D$1="","",COUNTIFS(tbl_chests[from],$A54,tbl_chests[legalized],D$1,tbl_chests[datetime],"&gt;="&amp;TODAY()-WEEKDAY(TODAY(),2)+1,tbl_chests[datetime],"&lt;"&amp;TODAY()-WEEKDAY(TODAY(),2)+8)))</f>
        <v>0</v>
      </c>
      <c r="E54" s="36">
        <f ca="1">IF($A54="","",IF(E$1="","",COUNTIFS(tbl_chests[from],$A54,tbl_chests[legalized],E$1,tbl_chests[datetime],"&gt;="&amp;TODAY()-WEEKDAY(TODAY(),2)+1,tbl_chests[datetime],"&lt;"&amp;TODAY()-WEEKDAY(TODAY(),2)+8)))</f>
        <v>0</v>
      </c>
      <c r="F54" s="36">
        <f ca="1">IF($A54="","",IF(F$1="","",COUNTIFS(tbl_chests[from],$A54,tbl_chests[legalized],F$1,tbl_chests[datetime],"&gt;="&amp;TODAY()-WEEKDAY(TODAY(),2)+1,tbl_chests[datetime],"&lt;"&amp;TODAY()-WEEKDAY(TODAY(),2)+8)))</f>
        <v>0</v>
      </c>
      <c r="G54" s="36">
        <f ca="1">IF($A54="","",IF(G$1="","",COUNTIFS(tbl_chests[from],$A54,tbl_chests[legalized],G$1,tbl_chests[datetime],"&gt;="&amp;TODAY()-WEEKDAY(TODAY(),2)+1,tbl_chests[datetime],"&lt;"&amp;TODAY()-WEEKDAY(TODAY(),2)+8)))</f>
        <v>0</v>
      </c>
      <c r="H54" s="36">
        <f ca="1">IF($A54="","",IF(H$1="","",COUNTIFS(tbl_chests[from],$A54,tbl_chests[legalized],H$1,tbl_chests[datetime],"&gt;="&amp;TODAY()-WEEKDAY(TODAY(),2)+1,tbl_chests[datetime],"&lt;"&amp;TODAY()-WEEKDAY(TODAY(),2)+8)))</f>
        <v>0</v>
      </c>
      <c r="I54" s="36">
        <f ca="1">IF($A54="","",IF(I$1="","",COUNTIFS(tbl_chests[from],$A54,tbl_chests[legalized],I$1,tbl_chests[datetime],"&gt;="&amp;TODAY()-WEEKDAY(TODAY(),2)+1,tbl_chests[datetime],"&lt;"&amp;TODAY()-WEEKDAY(TODAY(),2)+8)))</f>
        <v>0</v>
      </c>
      <c r="J54" s="36">
        <f ca="1">IF($A54="","",IF(J$1="","",COUNTIFS(tbl_chests[from],$A54,tbl_chests[legalized],J$1,tbl_chests[datetime],"&gt;="&amp;TODAY()-WEEKDAY(TODAY(),2)+1,tbl_chests[datetime],"&lt;"&amp;TODAY()-WEEKDAY(TODAY(),2)+8)))</f>
        <v>0</v>
      </c>
      <c r="K54" s="36">
        <f ca="1">IF($A54="","",IF(K$1="","",COUNTIFS(tbl_chests[from],$A54,tbl_chests[legalized],K$1,tbl_chests[datetime],"&gt;="&amp;TODAY()-WEEKDAY(TODAY(),2)+1,tbl_chests[datetime],"&lt;"&amp;TODAY()-WEEKDAY(TODAY(),2)+8)))</f>
        <v>0</v>
      </c>
      <c r="L54" s="36">
        <f ca="1">IF($A54="","",IF(L$1="","",COUNTIFS(tbl_chests[from],$A54,tbl_chests[legalized],L$1,tbl_chests[datetime],"&gt;="&amp;TODAY()-WEEKDAY(TODAY(),2)+1,tbl_chests[datetime],"&lt;"&amp;TODAY()-WEEKDAY(TODAY(),2)+8)))</f>
        <v>0</v>
      </c>
      <c r="M54" s="36">
        <f ca="1">IF($A54="","",IF(M$1="","",COUNTIFS(tbl_chests[from],$A54,tbl_chests[legalized],M$1,tbl_chests[datetime],"&gt;="&amp;TODAY()-WEEKDAY(TODAY(),2)+1,tbl_chests[datetime],"&lt;"&amp;TODAY()-WEEKDAY(TODAY(),2)+8)))</f>
        <v>0</v>
      </c>
      <c r="N54" s="36">
        <f ca="1">IF($A54="","",IF(N$1="","",COUNTIFS(tbl_chests[from],$A54,tbl_chests[legalized],N$1,tbl_chests[datetime],"&gt;="&amp;TODAY()-WEEKDAY(TODAY(),2)+1,tbl_chests[datetime],"&lt;"&amp;TODAY()-WEEKDAY(TODAY(),2)+8)))</f>
        <v>0</v>
      </c>
      <c r="O54" s="36">
        <f ca="1">IF($A54="","",IF(O$1="","",COUNTIFS(tbl_chests[from],$A54,tbl_chests[legalized],O$1,tbl_chests[datetime],"&gt;="&amp;TODAY()-WEEKDAY(TODAY(),2)+1,tbl_chests[datetime],"&lt;"&amp;TODAY()-WEEKDAY(TODAY(),2)+8)))</f>
        <v>0</v>
      </c>
      <c r="P54" s="36">
        <f ca="1">IF($A54="","",IF(P$1="","",COUNTIFS(tbl_chests[from],$A54,tbl_chests[legalized],P$1,tbl_chests[datetime],"&gt;="&amp;TODAY()-WEEKDAY(TODAY(),2)+1,tbl_chests[datetime],"&lt;"&amp;TODAY()-WEEKDAY(TODAY(),2)+8)))</f>
        <v>0</v>
      </c>
      <c r="Q54" s="36">
        <f ca="1">IF($A54="","",IF(Q$1="","",COUNTIFS(tbl_chests[from],$A54,tbl_chests[legalized],Q$1,tbl_chests[datetime],"&gt;="&amp;TODAY()-WEEKDAY(TODAY(),2)+1,tbl_chests[datetime],"&lt;"&amp;TODAY()-WEEKDAY(TODAY(),2)+8)))</f>
        <v>0</v>
      </c>
      <c r="R54" s="36">
        <f ca="1">IF($A54="","",IF(R$1="","",COUNTIFS(tbl_chests[from],$A54,tbl_chests[legalized],R$1,tbl_chests[datetime],"&gt;="&amp;TODAY()-WEEKDAY(TODAY(),2)+1,tbl_chests[datetime],"&lt;"&amp;TODAY()-WEEKDAY(TODAY(),2)+8)))</f>
        <v>0</v>
      </c>
      <c r="S54" s="36">
        <f ca="1">IF($A54="","",IF(S$1="","",COUNTIFS(tbl_chests[from],$A54,tbl_chests[legalized],S$1,tbl_chests[datetime],"&gt;="&amp;TODAY()-WEEKDAY(TODAY(),2)+1,tbl_chests[datetime],"&lt;"&amp;TODAY()-WEEKDAY(TODAY(),2)+8)))</f>
        <v>0</v>
      </c>
      <c r="T54" s="36">
        <f ca="1">IF($A54="","",IF(T$1="","",COUNTIFS(tbl_chests[from],$A54,tbl_chests[legalized],T$1,tbl_chests[datetime],"&gt;="&amp;TODAY()-WEEKDAY(TODAY(),2)+1,tbl_chests[datetime],"&lt;"&amp;TODAY()-WEEKDAY(TODAY(),2)+8)))</f>
        <v>0</v>
      </c>
      <c r="U54" s="36">
        <f ca="1">IF($A54="","",IF(U$1="","",COUNTIFS(tbl_chests[from],$A54,tbl_chests[legalized],U$1,tbl_chests[datetime],"&gt;="&amp;TODAY()-WEEKDAY(TODAY(),2)+1,tbl_chests[datetime],"&lt;"&amp;TODAY()-WEEKDAY(TODAY(),2)+8)))</f>
        <v>0</v>
      </c>
      <c r="V54" s="36">
        <f ca="1">IF($A54="","",IF(V$1="","",COUNTIFS(tbl_chests[from],$A54,tbl_chests[legalized],V$1,tbl_chests[datetime],"&gt;="&amp;TODAY()-WEEKDAY(TODAY(),2)+1,tbl_chests[datetime],"&lt;"&amp;TODAY()-WEEKDAY(TODAY(),2)+8)))</f>
        <v>0</v>
      </c>
      <c r="W54" s="36">
        <f ca="1">IF($A54="","",IF(W$1="","",COUNTIFS(tbl_chests[from],$A54,tbl_chests[legalized],W$1,tbl_chests[datetime],"&gt;="&amp;TODAY()-WEEKDAY(TODAY(),2)+1,tbl_chests[datetime],"&lt;"&amp;TODAY()-WEEKDAY(TODAY(),2)+8)))</f>
        <v>0</v>
      </c>
      <c r="X54" s="36">
        <f ca="1">IF($A54="","",IF(X$1="","",COUNTIFS(tbl_chests[from],$A54,tbl_chests[legalized],X$1,tbl_chests[datetime],"&gt;="&amp;TODAY()-WEEKDAY(TODAY(),2)+1,tbl_chests[datetime],"&lt;"&amp;TODAY()-WEEKDAY(TODAY(),2)+8)))</f>
        <v>0</v>
      </c>
      <c r="Y54" s="36">
        <f ca="1">IF($A54="","",IF(Y$1="","",COUNTIFS(tbl_chests[from],$A54,tbl_chests[legalized],Y$1,tbl_chests[datetime],"&gt;="&amp;TODAY()-WEEKDAY(TODAY(),2)+1,tbl_chests[datetime],"&lt;"&amp;TODAY()-WEEKDAY(TODAY(),2)+8)))</f>
        <v>0</v>
      </c>
      <c r="Z54" s="36">
        <f ca="1">IF($A54="","",IF(Z$1="","",COUNTIFS(tbl_chests[from],$A54,tbl_chests[legalized],Z$1,tbl_chests[datetime],"&gt;="&amp;TODAY()-WEEKDAY(TODAY(),2)+1,tbl_chests[datetime],"&lt;"&amp;TODAY()-WEEKDAY(TODAY(),2)+8)))</f>
        <v>0</v>
      </c>
      <c r="AA54" s="36">
        <f ca="1">IF($A54="","",IF(AA$1="","",COUNTIFS(tbl_chests[from],$A54,tbl_chests[legalized],AA$1,tbl_chests[datetime],"&gt;="&amp;TODAY()-WEEKDAY(TODAY(),2)+1,tbl_chests[datetime],"&lt;"&amp;TODAY()-WEEKDAY(TODAY(),2)+8)))</f>
        <v>0</v>
      </c>
      <c r="AB54" s="36">
        <f ca="1">IF($A54="","",IF(AB$1="","",COUNTIFS(tbl_chests[from],$A54,tbl_chests[legalized],AB$1,tbl_chests[datetime],"&gt;="&amp;TODAY()-WEEKDAY(TODAY(),2)+1,tbl_chests[datetime],"&lt;"&amp;TODAY()-WEEKDAY(TODAY(),2)+8)))</f>
        <v>0</v>
      </c>
      <c r="AC54" s="36">
        <f ca="1">IF($A54="","",IF(AC$1="","",COUNTIFS(tbl_chests[from],$A54,tbl_chests[legalized],AC$1,tbl_chests[datetime],"&gt;="&amp;TODAY()-WEEKDAY(TODAY(),2)+1,tbl_chests[datetime],"&lt;"&amp;TODAY()-WEEKDAY(TODAY(),2)+8)))</f>
        <v>0</v>
      </c>
      <c r="AD54" s="36">
        <f ca="1">IF($A54="","",IF(AD$1="","",COUNTIFS(tbl_chests[from],$A54,tbl_chests[legalized],AD$1,tbl_chests[datetime],"&gt;="&amp;TODAY()-WEEKDAY(TODAY(),2)+1,tbl_chests[datetime],"&lt;"&amp;TODAY()-WEEKDAY(TODAY(),2)+8)))</f>
        <v>0</v>
      </c>
      <c r="AE54" s="36">
        <f ca="1">IF($A54="","",IF(AE$1="","",COUNTIFS(tbl_chests[from],$A54,tbl_chests[legalized],AE$1,tbl_chests[datetime],"&gt;="&amp;TODAY()-WEEKDAY(TODAY(),2)+1,tbl_chests[datetime],"&lt;"&amp;TODAY()-WEEKDAY(TODAY(),2)+8)))</f>
        <v>0</v>
      </c>
      <c r="AF54" s="36">
        <f ca="1">IF($A54="","",IF(AF$1="","",COUNTIFS(tbl_chests[from],$A54,tbl_chests[legalized],AF$1,tbl_chests[datetime],"&gt;="&amp;TODAY()-WEEKDAY(TODAY(),2)+1,tbl_chests[datetime],"&lt;"&amp;TODAY()-WEEKDAY(TODAY(),2)+8)))</f>
        <v>0</v>
      </c>
      <c r="AG54" s="36">
        <f ca="1">IF($A54="","",IF(AG$1="","",COUNTIFS(tbl_chests[from],$A54,tbl_chests[legalized],AG$1,tbl_chests[datetime],"&gt;="&amp;TODAY()-WEEKDAY(TODAY(),2)+1,tbl_chests[datetime],"&lt;"&amp;TODAY()-WEEKDAY(TODAY(),2)+8)))</f>
        <v>0</v>
      </c>
      <c r="AH54" s="36">
        <f ca="1">IF($A54="","",IF(AH$1="","",COUNTIFS(tbl_chests[from],$A54,tbl_chests[legalized],AH$1,tbl_chests[datetime],"&gt;="&amp;TODAY()-WEEKDAY(TODAY(),2)+1,tbl_chests[datetime],"&lt;"&amp;TODAY()-WEEKDAY(TODAY(),2)+8)))</f>
        <v>0</v>
      </c>
      <c r="AI54" s="36">
        <f ca="1">IF($A54="","",IF(AI$1="","",COUNTIFS(tbl_chests[from],$A54,tbl_chests[legalized],AI$1,tbl_chests[datetime],"&gt;="&amp;TODAY()-WEEKDAY(TODAY(),2)+1,tbl_chests[datetime],"&lt;"&amp;TODAY()-WEEKDAY(TODAY(),2)+8)))</f>
        <v>0</v>
      </c>
      <c r="AJ54" s="36">
        <f ca="1">IF($A54="","",IF(AJ$1="","",COUNTIFS(tbl_chests[from],$A54,tbl_chests[legalized],AJ$1,tbl_chests[datetime],"&gt;="&amp;TODAY()-WEEKDAY(TODAY(),2)+1,tbl_chests[datetime],"&lt;"&amp;TODAY()-WEEKDAY(TODAY(),2)+8)))</f>
        <v>0</v>
      </c>
      <c r="AK54" s="36">
        <f ca="1">IF($A54="","",IF(AK$1="","",COUNTIFS(tbl_chests[from],$A54,tbl_chests[legalized],AK$1,tbl_chests[datetime],"&gt;="&amp;TODAY()-WEEKDAY(TODAY(),2)+1,tbl_chests[datetime],"&lt;"&amp;TODAY()-WEEKDAY(TODAY(),2)+8)))</f>
        <v>0</v>
      </c>
      <c r="AL54" s="36">
        <f ca="1">IF($A54="","",IF(AL$1="","",COUNTIFS(tbl_chests[from],$A54,tbl_chests[legalized],AL$1,tbl_chests[datetime],"&gt;="&amp;TODAY()-WEEKDAY(TODAY(),2)+1,tbl_chests[datetime],"&lt;"&amp;TODAY()-WEEKDAY(TODAY(),2)+8)))</f>
        <v>0</v>
      </c>
      <c r="AM54" s="37">
        <f ca="1">IF($A54="","",IF(AM$1="","",COUNTIFS(tbl_chests[from],$A54,tbl_chests[legalized],AM$1,tbl_chests[datetime],"&gt;="&amp;TODAY()-WEEKDAY(TODAY(),2)+1,tbl_chests[datetime],"&lt;"&amp;TODAY()-WEEKDAY(TODAY(),2)+8)))</f>
        <v>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spans="1:67" ht="15.75" customHeight="1" x14ac:dyDescent="0.25">
      <c r="A55" s="34">
        <f>chests_counter!$H52</f>
        <v>0</v>
      </c>
      <c r="B55" s="35" cm="1">
        <f t="array" aca="1" ref="B55" ca="1">IF(A55&lt;&gt;"", SUMPRODUCT(($C$2:$AM$2&lt;&gt;0)*(C55:AM55&lt;&gt;0)*($C$2:$AM$2)*(C55:AM55)), "")</f>
        <v>0</v>
      </c>
      <c r="C55" s="36">
        <f ca="1">IF($A55="","",IF(C$1="","",COUNTIFS(tbl_chests[from],$A55,tbl_chests[legalized],C$1,tbl_chests[datetime],"&gt;="&amp;TODAY()-WEEKDAY(TODAY(),2)+1,tbl_chests[datetime],"&lt;"&amp;TODAY()-WEEKDAY(TODAY(),2)+8)))</f>
        <v>0</v>
      </c>
      <c r="D55" s="36">
        <f ca="1">IF($A55="","",IF(D$1="","",COUNTIFS(tbl_chests[from],$A55,tbl_chests[legalized],D$1,tbl_chests[datetime],"&gt;="&amp;TODAY()-WEEKDAY(TODAY(),2)+1,tbl_chests[datetime],"&lt;"&amp;TODAY()-WEEKDAY(TODAY(),2)+8)))</f>
        <v>0</v>
      </c>
      <c r="E55" s="36">
        <f ca="1">IF($A55="","",IF(E$1="","",COUNTIFS(tbl_chests[from],$A55,tbl_chests[legalized],E$1,tbl_chests[datetime],"&gt;="&amp;TODAY()-WEEKDAY(TODAY(),2)+1,tbl_chests[datetime],"&lt;"&amp;TODAY()-WEEKDAY(TODAY(),2)+8)))</f>
        <v>0</v>
      </c>
      <c r="F55" s="36">
        <f ca="1">IF($A55="","",IF(F$1="","",COUNTIFS(tbl_chests[from],$A55,tbl_chests[legalized],F$1,tbl_chests[datetime],"&gt;="&amp;TODAY()-WEEKDAY(TODAY(),2)+1,tbl_chests[datetime],"&lt;"&amp;TODAY()-WEEKDAY(TODAY(),2)+8)))</f>
        <v>0</v>
      </c>
      <c r="G55" s="36">
        <f ca="1">IF($A55="","",IF(G$1="","",COUNTIFS(tbl_chests[from],$A55,tbl_chests[legalized],G$1,tbl_chests[datetime],"&gt;="&amp;TODAY()-WEEKDAY(TODAY(),2)+1,tbl_chests[datetime],"&lt;"&amp;TODAY()-WEEKDAY(TODAY(),2)+8)))</f>
        <v>0</v>
      </c>
      <c r="H55" s="36">
        <f ca="1">IF($A55="","",IF(H$1="","",COUNTIFS(tbl_chests[from],$A55,tbl_chests[legalized],H$1,tbl_chests[datetime],"&gt;="&amp;TODAY()-WEEKDAY(TODAY(),2)+1,tbl_chests[datetime],"&lt;"&amp;TODAY()-WEEKDAY(TODAY(),2)+8)))</f>
        <v>0</v>
      </c>
      <c r="I55" s="36">
        <f ca="1">IF($A55="","",IF(I$1="","",COUNTIFS(tbl_chests[from],$A55,tbl_chests[legalized],I$1,tbl_chests[datetime],"&gt;="&amp;TODAY()-WEEKDAY(TODAY(),2)+1,tbl_chests[datetime],"&lt;"&amp;TODAY()-WEEKDAY(TODAY(),2)+8)))</f>
        <v>0</v>
      </c>
      <c r="J55" s="36">
        <f ca="1">IF($A55="","",IF(J$1="","",COUNTIFS(tbl_chests[from],$A55,tbl_chests[legalized],J$1,tbl_chests[datetime],"&gt;="&amp;TODAY()-WEEKDAY(TODAY(),2)+1,tbl_chests[datetime],"&lt;"&amp;TODAY()-WEEKDAY(TODAY(),2)+8)))</f>
        <v>0</v>
      </c>
      <c r="K55" s="36">
        <f ca="1">IF($A55="","",IF(K$1="","",COUNTIFS(tbl_chests[from],$A55,tbl_chests[legalized],K$1,tbl_chests[datetime],"&gt;="&amp;TODAY()-WEEKDAY(TODAY(),2)+1,tbl_chests[datetime],"&lt;"&amp;TODAY()-WEEKDAY(TODAY(),2)+8)))</f>
        <v>0</v>
      </c>
      <c r="L55" s="36">
        <f ca="1">IF($A55="","",IF(L$1="","",COUNTIFS(tbl_chests[from],$A55,tbl_chests[legalized],L$1,tbl_chests[datetime],"&gt;="&amp;TODAY()-WEEKDAY(TODAY(),2)+1,tbl_chests[datetime],"&lt;"&amp;TODAY()-WEEKDAY(TODAY(),2)+8)))</f>
        <v>0</v>
      </c>
      <c r="M55" s="36">
        <f ca="1">IF($A55="","",IF(M$1="","",COUNTIFS(tbl_chests[from],$A55,tbl_chests[legalized],M$1,tbl_chests[datetime],"&gt;="&amp;TODAY()-WEEKDAY(TODAY(),2)+1,tbl_chests[datetime],"&lt;"&amp;TODAY()-WEEKDAY(TODAY(),2)+8)))</f>
        <v>0</v>
      </c>
      <c r="N55" s="36">
        <f ca="1">IF($A55="","",IF(N$1="","",COUNTIFS(tbl_chests[from],$A55,tbl_chests[legalized],N$1,tbl_chests[datetime],"&gt;="&amp;TODAY()-WEEKDAY(TODAY(),2)+1,tbl_chests[datetime],"&lt;"&amp;TODAY()-WEEKDAY(TODAY(),2)+8)))</f>
        <v>0</v>
      </c>
      <c r="O55" s="36">
        <f ca="1">IF($A55="","",IF(O$1="","",COUNTIFS(tbl_chests[from],$A55,tbl_chests[legalized],O$1,tbl_chests[datetime],"&gt;="&amp;TODAY()-WEEKDAY(TODAY(),2)+1,tbl_chests[datetime],"&lt;"&amp;TODAY()-WEEKDAY(TODAY(),2)+8)))</f>
        <v>0</v>
      </c>
      <c r="P55" s="36">
        <f ca="1">IF($A55="","",IF(P$1="","",COUNTIFS(tbl_chests[from],$A55,tbl_chests[legalized],P$1,tbl_chests[datetime],"&gt;="&amp;TODAY()-WEEKDAY(TODAY(),2)+1,tbl_chests[datetime],"&lt;"&amp;TODAY()-WEEKDAY(TODAY(),2)+8)))</f>
        <v>0</v>
      </c>
      <c r="Q55" s="36">
        <f ca="1">IF($A55="","",IF(Q$1="","",COUNTIFS(tbl_chests[from],$A55,tbl_chests[legalized],Q$1,tbl_chests[datetime],"&gt;="&amp;TODAY()-WEEKDAY(TODAY(),2)+1,tbl_chests[datetime],"&lt;"&amp;TODAY()-WEEKDAY(TODAY(),2)+8)))</f>
        <v>0</v>
      </c>
      <c r="R55" s="36">
        <f ca="1">IF($A55="","",IF(R$1="","",COUNTIFS(tbl_chests[from],$A55,tbl_chests[legalized],R$1,tbl_chests[datetime],"&gt;="&amp;TODAY()-WEEKDAY(TODAY(),2)+1,tbl_chests[datetime],"&lt;"&amp;TODAY()-WEEKDAY(TODAY(),2)+8)))</f>
        <v>0</v>
      </c>
      <c r="S55" s="36">
        <f ca="1">IF($A55="","",IF(S$1="","",COUNTIFS(tbl_chests[from],$A55,tbl_chests[legalized],S$1,tbl_chests[datetime],"&gt;="&amp;TODAY()-WEEKDAY(TODAY(),2)+1,tbl_chests[datetime],"&lt;"&amp;TODAY()-WEEKDAY(TODAY(),2)+8)))</f>
        <v>0</v>
      </c>
      <c r="T55" s="36">
        <f ca="1">IF($A55="","",IF(T$1="","",COUNTIFS(tbl_chests[from],$A55,tbl_chests[legalized],T$1,tbl_chests[datetime],"&gt;="&amp;TODAY()-WEEKDAY(TODAY(),2)+1,tbl_chests[datetime],"&lt;"&amp;TODAY()-WEEKDAY(TODAY(),2)+8)))</f>
        <v>0</v>
      </c>
      <c r="U55" s="36">
        <f ca="1">IF($A55="","",IF(U$1="","",COUNTIFS(tbl_chests[from],$A55,tbl_chests[legalized],U$1,tbl_chests[datetime],"&gt;="&amp;TODAY()-WEEKDAY(TODAY(),2)+1,tbl_chests[datetime],"&lt;"&amp;TODAY()-WEEKDAY(TODAY(),2)+8)))</f>
        <v>0</v>
      </c>
      <c r="V55" s="36">
        <f ca="1">IF($A55="","",IF(V$1="","",COUNTIFS(tbl_chests[from],$A55,tbl_chests[legalized],V$1,tbl_chests[datetime],"&gt;="&amp;TODAY()-WEEKDAY(TODAY(),2)+1,tbl_chests[datetime],"&lt;"&amp;TODAY()-WEEKDAY(TODAY(),2)+8)))</f>
        <v>0</v>
      </c>
      <c r="W55" s="36">
        <f ca="1">IF($A55="","",IF(W$1="","",COUNTIFS(tbl_chests[from],$A55,tbl_chests[legalized],W$1,tbl_chests[datetime],"&gt;="&amp;TODAY()-WEEKDAY(TODAY(),2)+1,tbl_chests[datetime],"&lt;"&amp;TODAY()-WEEKDAY(TODAY(),2)+8)))</f>
        <v>0</v>
      </c>
      <c r="X55" s="36">
        <f ca="1">IF($A55="","",IF(X$1="","",COUNTIFS(tbl_chests[from],$A55,tbl_chests[legalized],X$1,tbl_chests[datetime],"&gt;="&amp;TODAY()-WEEKDAY(TODAY(),2)+1,tbl_chests[datetime],"&lt;"&amp;TODAY()-WEEKDAY(TODAY(),2)+8)))</f>
        <v>0</v>
      </c>
      <c r="Y55" s="36">
        <f ca="1">IF($A55="","",IF(Y$1="","",COUNTIFS(tbl_chests[from],$A55,tbl_chests[legalized],Y$1,tbl_chests[datetime],"&gt;="&amp;TODAY()-WEEKDAY(TODAY(),2)+1,tbl_chests[datetime],"&lt;"&amp;TODAY()-WEEKDAY(TODAY(),2)+8)))</f>
        <v>0</v>
      </c>
      <c r="Z55" s="36">
        <f ca="1">IF($A55="","",IF(Z$1="","",COUNTIFS(tbl_chests[from],$A55,tbl_chests[legalized],Z$1,tbl_chests[datetime],"&gt;="&amp;TODAY()-WEEKDAY(TODAY(),2)+1,tbl_chests[datetime],"&lt;"&amp;TODAY()-WEEKDAY(TODAY(),2)+8)))</f>
        <v>0</v>
      </c>
      <c r="AA55" s="36">
        <f ca="1">IF($A55="","",IF(AA$1="","",COUNTIFS(tbl_chests[from],$A55,tbl_chests[legalized],AA$1,tbl_chests[datetime],"&gt;="&amp;TODAY()-WEEKDAY(TODAY(),2)+1,tbl_chests[datetime],"&lt;"&amp;TODAY()-WEEKDAY(TODAY(),2)+8)))</f>
        <v>0</v>
      </c>
      <c r="AB55" s="36">
        <f ca="1">IF($A55="","",IF(AB$1="","",COUNTIFS(tbl_chests[from],$A55,tbl_chests[legalized],AB$1,tbl_chests[datetime],"&gt;="&amp;TODAY()-WEEKDAY(TODAY(),2)+1,tbl_chests[datetime],"&lt;"&amp;TODAY()-WEEKDAY(TODAY(),2)+8)))</f>
        <v>0</v>
      </c>
      <c r="AC55" s="36">
        <f ca="1">IF($A55="","",IF(AC$1="","",COUNTIFS(tbl_chests[from],$A55,tbl_chests[legalized],AC$1,tbl_chests[datetime],"&gt;="&amp;TODAY()-WEEKDAY(TODAY(),2)+1,tbl_chests[datetime],"&lt;"&amp;TODAY()-WEEKDAY(TODAY(),2)+8)))</f>
        <v>0</v>
      </c>
      <c r="AD55" s="36">
        <f ca="1">IF($A55="","",IF(AD$1="","",COUNTIFS(tbl_chests[from],$A55,tbl_chests[legalized],AD$1,tbl_chests[datetime],"&gt;="&amp;TODAY()-WEEKDAY(TODAY(),2)+1,tbl_chests[datetime],"&lt;"&amp;TODAY()-WEEKDAY(TODAY(),2)+8)))</f>
        <v>0</v>
      </c>
      <c r="AE55" s="36">
        <f ca="1">IF($A55="","",IF(AE$1="","",COUNTIFS(tbl_chests[from],$A55,tbl_chests[legalized],AE$1,tbl_chests[datetime],"&gt;="&amp;TODAY()-WEEKDAY(TODAY(),2)+1,tbl_chests[datetime],"&lt;"&amp;TODAY()-WEEKDAY(TODAY(),2)+8)))</f>
        <v>0</v>
      </c>
      <c r="AF55" s="36">
        <f ca="1">IF($A55="","",IF(AF$1="","",COUNTIFS(tbl_chests[from],$A55,tbl_chests[legalized],AF$1,tbl_chests[datetime],"&gt;="&amp;TODAY()-WEEKDAY(TODAY(),2)+1,tbl_chests[datetime],"&lt;"&amp;TODAY()-WEEKDAY(TODAY(),2)+8)))</f>
        <v>0</v>
      </c>
      <c r="AG55" s="36">
        <f ca="1">IF($A55="","",IF(AG$1="","",COUNTIFS(tbl_chests[from],$A55,tbl_chests[legalized],AG$1,tbl_chests[datetime],"&gt;="&amp;TODAY()-WEEKDAY(TODAY(),2)+1,tbl_chests[datetime],"&lt;"&amp;TODAY()-WEEKDAY(TODAY(),2)+8)))</f>
        <v>0</v>
      </c>
      <c r="AH55" s="36">
        <f ca="1">IF($A55="","",IF(AH$1="","",COUNTIFS(tbl_chests[from],$A55,tbl_chests[legalized],AH$1,tbl_chests[datetime],"&gt;="&amp;TODAY()-WEEKDAY(TODAY(),2)+1,tbl_chests[datetime],"&lt;"&amp;TODAY()-WEEKDAY(TODAY(),2)+8)))</f>
        <v>0</v>
      </c>
      <c r="AI55" s="36">
        <f ca="1">IF($A55="","",IF(AI$1="","",COUNTIFS(tbl_chests[from],$A55,tbl_chests[legalized],AI$1,tbl_chests[datetime],"&gt;="&amp;TODAY()-WEEKDAY(TODAY(),2)+1,tbl_chests[datetime],"&lt;"&amp;TODAY()-WEEKDAY(TODAY(),2)+8)))</f>
        <v>0</v>
      </c>
      <c r="AJ55" s="36">
        <f ca="1">IF($A55="","",IF(AJ$1="","",COUNTIFS(tbl_chests[from],$A55,tbl_chests[legalized],AJ$1,tbl_chests[datetime],"&gt;="&amp;TODAY()-WEEKDAY(TODAY(),2)+1,tbl_chests[datetime],"&lt;"&amp;TODAY()-WEEKDAY(TODAY(),2)+8)))</f>
        <v>0</v>
      </c>
      <c r="AK55" s="36">
        <f ca="1">IF($A55="","",IF(AK$1="","",COUNTIFS(tbl_chests[from],$A55,tbl_chests[legalized],AK$1,tbl_chests[datetime],"&gt;="&amp;TODAY()-WEEKDAY(TODAY(),2)+1,tbl_chests[datetime],"&lt;"&amp;TODAY()-WEEKDAY(TODAY(),2)+8)))</f>
        <v>0</v>
      </c>
      <c r="AL55" s="36">
        <f ca="1">IF($A55="","",IF(AL$1="","",COUNTIFS(tbl_chests[from],$A55,tbl_chests[legalized],AL$1,tbl_chests[datetime],"&gt;="&amp;TODAY()-WEEKDAY(TODAY(),2)+1,tbl_chests[datetime],"&lt;"&amp;TODAY()-WEEKDAY(TODAY(),2)+8)))</f>
        <v>0</v>
      </c>
      <c r="AM55" s="37">
        <f ca="1">IF($A55="","",IF(AM$1="","",COUNTIFS(tbl_chests[from],$A55,tbl_chests[legalized],AM$1,tbl_chests[datetime],"&gt;="&amp;TODAY()-WEEKDAY(TODAY(),2)+1,tbl_chests[datetime],"&lt;"&amp;TODAY()-WEEKDAY(TODAY(),2)+8)))</f>
        <v>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spans="1:67" ht="15.75" customHeight="1" x14ac:dyDescent="0.25">
      <c r="A56" s="34">
        <f>chests_counter!$H53</f>
        <v>0</v>
      </c>
      <c r="B56" s="35" cm="1">
        <f t="array" aca="1" ref="B56" ca="1">IF(A56&lt;&gt;"", SUMPRODUCT(($C$2:$AM$2&lt;&gt;0)*(C56:AM56&lt;&gt;0)*($C$2:$AM$2)*(C56:AM56)), "")</f>
        <v>0</v>
      </c>
      <c r="C56" s="36">
        <f ca="1">IF($A56="","",IF(C$1="","",COUNTIFS(tbl_chests[from],$A56,tbl_chests[legalized],C$1,tbl_chests[datetime],"&gt;="&amp;TODAY()-WEEKDAY(TODAY(),2)+1,tbl_chests[datetime],"&lt;"&amp;TODAY()-WEEKDAY(TODAY(),2)+8)))</f>
        <v>0</v>
      </c>
      <c r="D56" s="36">
        <f ca="1">IF($A56="","",IF(D$1="","",COUNTIFS(tbl_chests[from],$A56,tbl_chests[legalized],D$1,tbl_chests[datetime],"&gt;="&amp;TODAY()-WEEKDAY(TODAY(),2)+1,tbl_chests[datetime],"&lt;"&amp;TODAY()-WEEKDAY(TODAY(),2)+8)))</f>
        <v>0</v>
      </c>
      <c r="E56" s="36">
        <f ca="1">IF($A56="","",IF(E$1="","",COUNTIFS(tbl_chests[from],$A56,tbl_chests[legalized],E$1,tbl_chests[datetime],"&gt;="&amp;TODAY()-WEEKDAY(TODAY(),2)+1,tbl_chests[datetime],"&lt;"&amp;TODAY()-WEEKDAY(TODAY(),2)+8)))</f>
        <v>0</v>
      </c>
      <c r="F56" s="36">
        <f ca="1">IF($A56="","",IF(F$1="","",COUNTIFS(tbl_chests[from],$A56,tbl_chests[legalized],F$1,tbl_chests[datetime],"&gt;="&amp;TODAY()-WEEKDAY(TODAY(),2)+1,tbl_chests[datetime],"&lt;"&amp;TODAY()-WEEKDAY(TODAY(),2)+8)))</f>
        <v>0</v>
      </c>
      <c r="G56" s="36">
        <f ca="1">IF($A56="","",IF(G$1="","",COUNTIFS(tbl_chests[from],$A56,tbl_chests[legalized],G$1,tbl_chests[datetime],"&gt;="&amp;TODAY()-WEEKDAY(TODAY(),2)+1,tbl_chests[datetime],"&lt;"&amp;TODAY()-WEEKDAY(TODAY(),2)+8)))</f>
        <v>0</v>
      </c>
      <c r="H56" s="36">
        <f ca="1">IF($A56="","",IF(H$1="","",COUNTIFS(tbl_chests[from],$A56,tbl_chests[legalized],H$1,tbl_chests[datetime],"&gt;="&amp;TODAY()-WEEKDAY(TODAY(),2)+1,tbl_chests[datetime],"&lt;"&amp;TODAY()-WEEKDAY(TODAY(),2)+8)))</f>
        <v>0</v>
      </c>
      <c r="I56" s="36">
        <f ca="1">IF($A56="","",IF(I$1="","",COUNTIFS(tbl_chests[from],$A56,tbl_chests[legalized],I$1,tbl_chests[datetime],"&gt;="&amp;TODAY()-WEEKDAY(TODAY(),2)+1,tbl_chests[datetime],"&lt;"&amp;TODAY()-WEEKDAY(TODAY(),2)+8)))</f>
        <v>0</v>
      </c>
      <c r="J56" s="36">
        <f ca="1">IF($A56="","",IF(J$1="","",COUNTIFS(tbl_chests[from],$A56,tbl_chests[legalized],J$1,tbl_chests[datetime],"&gt;="&amp;TODAY()-WEEKDAY(TODAY(),2)+1,tbl_chests[datetime],"&lt;"&amp;TODAY()-WEEKDAY(TODAY(),2)+8)))</f>
        <v>0</v>
      </c>
      <c r="K56" s="36">
        <f ca="1">IF($A56="","",IF(K$1="","",COUNTIFS(tbl_chests[from],$A56,tbl_chests[legalized],K$1,tbl_chests[datetime],"&gt;="&amp;TODAY()-WEEKDAY(TODAY(),2)+1,tbl_chests[datetime],"&lt;"&amp;TODAY()-WEEKDAY(TODAY(),2)+8)))</f>
        <v>0</v>
      </c>
      <c r="L56" s="36">
        <f ca="1">IF($A56="","",IF(L$1="","",COUNTIFS(tbl_chests[from],$A56,tbl_chests[legalized],L$1,tbl_chests[datetime],"&gt;="&amp;TODAY()-WEEKDAY(TODAY(),2)+1,tbl_chests[datetime],"&lt;"&amp;TODAY()-WEEKDAY(TODAY(),2)+8)))</f>
        <v>0</v>
      </c>
      <c r="M56" s="36">
        <f ca="1">IF($A56="","",IF(M$1="","",COUNTIFS(tbl_chests[from],$A56,tbl_chests[legalized],M$1,tbl_chests[datetime],"&gt;="&amp;TODAY()-WEEKDAY(TODAY(),2)+1,tbl_chests[datetime],"&lt;"&amp;TODAY()-WEEKDAY(TODAY(),2)+8)))</f>
        <v>0</v>
      </c>
      <c r="N56" s="36">
        <f ca="1">IF($A56="","",IF(N$1="","",COUNTIFS(tbl_chests[from],$A56,tbl_chests[legalized],N$1,tbl_chests[datetime],"&gt;="&amp;TODAY()-WEEKDAY(TODAY(),2)+1,tbl_chests[datetime],"&lt;"&amp;TODAY()-WEEKDAY(TODAY(),2)+8)))</f>
        <v>0</v>
      </c>
      <c r="O56" s="36">
        <f ca="1">IF($A56="","",IF(O$1="","",COUNTIFS(tbl_chests[from],$A56,tbl_chests[legalized],O$1,tbl_chests[datetime],"&gt;="&amp;TODAY()-WEEKDAY(TODAY(),2)+1,tbl_chests[datetime],"&lt;"&amp;TODAY()-WEEKDAY(TODAY(),2)+8)))</f>
        <v>0</v>
      </c>
      <c r="P56" s="36">
        <f ca="1">IF($A56="","",IF(P$1="","",COUNTIFS(tbl_chests[from],$A56,tbl_chests[legalized],P$1,tbl_chests[datetime],"&gt;="&amp;TODAY()-WEEKDAY(TODAY(),2)+1,tbl_chests[datetime],"&lt;"&amp;TODAY()-WEEKDAY(TODAY(),2)+8)))</f>
        <v>0</v>
      </c>
      <c r="Q56" s="36">
        <f ca="1">IF($A56="","",IF(Q$1="","",COUNTIFS(tbl_chests[from],$A56,tbl_chests[legalized],Q$1,tbl_chests[datetime],"&gt;="&amp;TODAY()-WEEKDAY(TODAY(),2)+1,tbl_chests[datetime],"&lt;"&amp;TODAY()-WEEKDAY(TODAY(),2)+8)))</f>
        <v>0</v>
      </c>
      <c r="R56" s="36">
        <f ca="1">IF($A56="","",IF(R$1="","",COUNTIFS(tbl_chests[from],$A56,tbl_chests[legalized],R$1,tbl_chests[datetime],"&gt;="&amp;TODAY()-WEEKDAY(TODAY(),2)+1,tbl_chests[datetime],"&lt;"&amp;TODAY()-WEEKDAY(TODAY(),2)+8)))</f>
        <v>0</v>
      </c>
      <c r="S56" s="36">
        <f ca="1">IF($A56="","",IF(S$1="","",COUNTIFS(tbl_chests[from],$A56,tbl_chests[legalized],S$1,tbl_chests[datetime],"&gt;="&amp;TODAY()-WEEKDAY(TODAY(),2)+1,tbl_chests[datetime],"&lt;"&amp;TODAY()-WEEKDAY(TODAY(),2)+8)))</f>
        <v>0</v>
      </c>
      <c r="T56" s="36">
        <f ca="1">IF($A56="","",IF(T$1="","",COUNTIFS(tbl_chests[from],$A56,tbl_chests[legalized],T$1,tbl_chests[datetime],"&gt;="&amp;TODAY()-WEEKDAY(TODAY(),2)+1,tbl_chests[datetime],"&lt;"&amp;TODAY()-WEEKDAY(TODAY(),2)+8)))</f>
        <v>0</v>
      </c>
      <c r="U56" s="36">
        <f ca="1">IF($A56="","",IF(U$1="","",COUNTIFS(tbl_chests[from],$A56,tbl_chests[legalized],U$1,tbl_chests[datetime],"&gt;="&amp;TODAY()-WEEKDAY(TODAY(),2)+1,tbl_chests[datetime],"&lt;"&amp;TODAY()-WEEKDAY(TODAY(),2)+8)))</f>
        <v>0</v>
      </c>
      <c r="V56" s="36">
        <f ca="1">IF($A56="","",IF(V$1="","",COUNTIFS(tbl_chests[from],$A56,tbl_chests[legalized],V$1,tbl_chests[datetime],"&gt;="&amp;TODAY()-WEEKDAY(TODAY(),2)+1,tbl_chests[datetime],"&lt;"&amp;TODAY()-WEEKDAY(TODAY(),2)+8)))</f>
        <v>0</v>
      </c>
      <c r="W56" s="36">
        <f ca="1">IF($A56="","",IF(W$1="","",COUNTIFS(tbl_chests[from],$A56,tbl_chests[legalized],W$1,tbl_chests[datetime],"&gt;="&amp;TODAY()-WEEKDAY(TODAY(),2)+1,tbl_chests[datetime],"&lt;"&amp;TODAY()-WEEKDAY(TODAY(),2)+8)))</f>
        <v>0</v>
      </c>
      <c r="X56" s="36">
        <f ca="1">IF($A56="","",IF(X$1="","",COUNTIFS(tbl_chests[from],$A56,tbl_chests[legalized],X$1,tbl_chests[datetime],"&gt;="&amp;TODAY()-WEEKDAY(TODAY(),2)+1,tbl_chests[datetime],"&lt;"&amp;TODAY()-WEEKDAY(TODAY(),2)+8)))</f>
        <v>0</v>
      </c>
      <c r="Y56" s="36">
        <f ca="1">IF($A56="","",IF(Y$1="","",COUNTIFS(tbl_chests[from],$A56,tbl_chests[legalized],Y$1,tbl_chests[datetime],"&gt;="&amp;TODAY()-WEEKDAY(TODAY(),2)+1,tbl_chests[datetime],"&lt;"&amp;TODAY()-WEEKDAY(TODAY(),2)+8)))</f>
        <v>0</v>
      </c>
      <c r="Z56" s="36">
        <f ca="1">IF($A56="","",IF(Z$1="","",COUNTIFS(tbl_chests[from],$A56,tbl_chests[legalized],Z$1,tbl_chests[datetime],"&gt;="&amp;TODAY()-WEEKDAY(TODAY(),2)+1,tbl_chests[datetime],"&lt;"&amp;TODAY()-WEEKDAY(TODAY(),2)+8)))</f>
        <v>0</v>
      </c>
      <c r="AA56" s="36">
        <f ca="1">IF($A56="","",IF(AA$1="","",COUNTIFS(tbl_chests[from],$A56,tbl_chests[legalized],AA$1,tbl_chests[datetime],"&gt;="&amp;TODAY()-WEEKDAY(TODAY(),2)+1,tbl_chests[datetime],"&lt;"&amp;TODAY()-WEEKDAY(TODAY(),2)+8)))</f>
        <v>0</v>
      </c>
      <c r="AB56" s="36">
        <f ca="1">IF($A56="","",IF(AB$1="","",COUNTIFS(tbl_chests[from],$A56,tbl_chests[legalized],AB$1,tbl_chests[datetime],"&gt;="&amp;TODAY()-WEEKDAY(TODAY(),2)+1,tbl_chests[datetime],"&lt;"&amp;TODAY()-WEEKDAY(TODAY(),2)+8)))</f>
        <v>0</v>
      </c>
      <c r="AC56" s="36">
        <f ca="1">IF($A56="","",IF(AC$1="","",COUNTIFS(tbl_chests[from],$A56,tbl_chests[legalized],AC$1,tbl_chests[datetime],"&gt;="&amp;TODAY()-WEEKDAY(TODAY(),2)+1,tbl_chests[datetime],"&lt;"&amp;TODAY()-WEEKDAY(TODAY(),2)+8)))</f>
        <v>0</v>
      </c>
      <c r="AD56" s="36">
        <f ca="1">IF($A56="","",IF(AD$1="","",COUNTIFS(tbl_chests[from],$A56,tbl_chests[legalized],AD$1,tbl_chests[datetime],"&gt;="&amp;TODAY()-WEEKDAY(TODAY(),2)+1,tbl_chests[datetime],"&lt;"&amp;TODAY()-WEEKDAY(TODAY(),2)+8)))</f>
        <v>0</v>
      </c>
      <c r="AE56" s="36">
        <f ca="1">IF($A56="","",IF(AE$1="","",COUNTIFS(tbl_chests[from],$A56,tbl_chests[legalized],AE$1,tbl_chests[datetime],"&gt;="&amp;TODAY()-WEEKDAY(TODAY(),2)+1,tbl_chests[datetime],"&lt;"&amp;TODAY()-WEEKDAY(TODAY(),2)+8)))</f>
        <v>0</v>
      </c>
      <c r="AF56" s="36">
        <f ca="1">IF($A56="","",IF(AF$1="","",COUNTIFS(tbl_chests[from],$A56,tbl_chests[legalized],AF$1,tbl_chests[datetime],"&gt;="&amp;TODAY()-WEEKDAY(TODAY(),2)+1,tbl_chests[datetime],"&lt;"&amp;TODAY()-WEEKDAY(TODAY(),2)+8)))</f>
        <v>0</v>
      </c>
      <c r="AG56" s="36">
        <f ca="1">IF($A56="","",IF(AG$1="","",COUNTIFS(tbl_chests[from],$A56,tbl_chests[legalized],AG$1,tbl_chests[datetime],"&gt;="&amp;TODAY()-WEEKDAY(TODAY(),2)+1,tbl_chests[datetime],"&lt;"&amp;TODAY()-WEEKDAY(TODAY(),2)+8)))</f>
        <v>0</v>
      </c>
      <c r="AH56" s="36">
        <f ca="1">IF($A56="","",IF(AH$1="","",COUNTIFS(tbl_chests[from],$A56,tbl_chests[legalized],AH$1,tbl_chests[datetime],"&gt;="&amp;TODAY()-WEEKDAY(TODAY(),2)+1,tbl_chests[datetime],"&lt;"&amp;TODAY()-WEEKDAY(TODAY(),2)+8)))</f>
        <v>0</v>
      </c>
      <c r="AI56" s="36">
        <f ca="1">IF($A56="","",IF(AI$1="","",COUNTIFS(tbl_chests[from],$A56,tbl_chests[legalized],AI$1,tbl_chests[datetime],"&gt;="&amp;TODAY()-WEEKDAY(TODAY(),2)+1,tbl_chests[datetime],"&lt;"&amp;TODAY()-WEEKDAY(TODAY(),2)+8)))</f>
        <v>0</v>
      </c>
      <c r="AJ56" s="36">
        <f ca="1">IF($A56="","",IF(AJ$1="","",COUNTIFS(tbl_chests[from],$A56,tbl_chests[legalized],AJ$1,tbl_chests[datetime],"&gt;="&amp;TODAY()-WEEKDAY(TODAY(),2)+1,tbl_chests[datetime],"&lt;"&amp;TODAY()-WEEKDAY(TODAY(),2)+8)))</f>
        <v>0</v>
      </c>
      <c r="AK56" s="36">
        <f ca="1">IF($A56="","",IF(AK$1="","",COUNTIFS(tbl_chests[from],$A56,tbl_chests[legalized],AK$1,tbl_chests[datetime],"&gt;="&amp;TODAY()-WEEKDAY(TODAY(),2)+1,tbl_chests[datetime],"&lt;"&amp;TODAY()-WEEKDAY(TODAY(),2)+8)))</f>
        <v>0</v>
      </c>
      <c r="AL56" s="36">
        <f ca="1">IF($A56="","",IF(AL$1="","",COUNTIFS(tbl_chests[from],$A56,tbl_chests[legalized],AL$1,tbl_chests[datetime],"&gt;="&amp;TODAY()-WEEKDAY(TODAY(),2)+1,tbl_chests[datetime],"&lt;"&amp;TODAY()-WEEKDAY(TODAY(),2)+8)))</f>
        <v>0</v>
      </c>
      <c r="AM56" s="37">
        <f ca="1">IF($A56="","",IF(AM$1="","",COUNTIFS(tbl_chests[from],$A56,tbl_chests[legalized],AM$1,tbl_chests[datetime],"&gt;="&amp;TODAY()-WEEKDAY(TODAY(),2)+1,tbl_chests[datetime],"&lt;"&amp;TODAY()-WEEKDAY(TODAY(),2)+8)))</f>
        <v>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spans="1:67" ht="15.75" customHeight="1" x14ac:dyDescent="0.25">
      <c r="A57" s="34">
        <f>chests_counter!$H54</f>
        <v>0</v>
      </c>
      <c r="B57" s="35" cm="1">
        <f t="array" aca="1" ref="B57" ca="1">IF(A57&lt;&gt;"", SUMPRODUCT(($C$2:$AM$2&lt;&gt;0)*(C57:AM57&lt;&gt;0)*($C$2:$AM$2)*(C57:AM57)), "")</f>
        <v>0</v>
      </c>
      <c r="C57" s="36">
        <f ca="1">IF($A57="","",IF(C$1="","",COUNTIFS(tbl_chests[from],$A57,tbl_chests[legalized],C$1,tbl_chests[datetime],"&gt;="&amp;TODAY()-WEEKDAY(TODAY(),2)+1,tbl_chests[datetime],"&lt;"&amp;TODAY()-WEEKDAY(TODAY(),2)+8)))</f>
        <v>0</v>
      </c>
      <c r="D57" s="36">
        <f ca="1">IF($A57="","",IF(D$1="","",COUNTIFS(tbl_chests[from],$A57,tbl_chests[legalized],D$1,tbl_chests[datetime],"&gt;="&amp;TODAY()-WEEKDAY(TODAY(),2)+1,tbl_chests[datetime],"&lt;"&amp;TODAY()-WEEKDAY(TODAY(),2)+8)))</f>
        <v>0</v>
      </c>
      <c r="E57" s="36">
        <f ca="1">IF($A57="","",IF(E$1="","",COUNTIFS(tbl_chests[from],$A57,tbl_chests[legalized],E$1,tbl_chests[datetime],"&gt;="&amp;TODAY()-WEEKDAY(TODAY(),2)+1,tbl_chests[datetime],"&lt;"&amp;TODAY()-WEEKDAY(TODAY(),2)+8)))</f>
        <v>0</v>
      </c>
      <c r="F57" s="36">
        <f ca="1">IF($A57="","",IF(F$1="","",COUNTIFS(tbl_chests[from],$A57,tbl_chests[legalized],F$1,tbl_chests[datetime],"&gt;="&amp;TODAY()-WEEKDAY(TODAY(),2)+1,tbl_chests[datetime],"&lt;"&amp;TODAY()-WEEKDAY(TODAY(),2)+8)))</f>
        <v>0</v>
      </c>
      <c r="G57" s="36">
        <f ca="1">IF($A57="","",IF(G$1="","",COUNTIFS(tbl_chests[from],$A57,tbl_chests[legalized],G$1,tbl_chests[datetime],"&gt;="&amp;TODAY()-WEEKDAY(TODAY(),2)+1,tbl_chests[datetime],"&lt;"&amp;TODAY()-WEEKDAY(TODAY(),2)+8)))</f>
        <v>0</v>
      </c>
      <c r="H57" s="36">
        <f ca="1">IF($A57="","",IF(H$1="","",COUNTIFS(tbl_chests[from],$A57,tbl_chests[legalized],H$1,tbl_chests[datetime],"&gt;="&amp;TODAY()-WEEKDAY(TODAY(),2)+1,tbl_chests[datetime],"&lt;"&amp;TODAY()-WEEKDAY(TODAY(),2)+8)))</f>
        <v>0</v>
      </c>
      <c r="I57" s="36">
        <f ca="1">IF($A57="","",IF(I$1="","",COUNTIFS(tbl_chests[from],$A57,tbl_chests[legalized],I$1,tbl_chests[datetime],"&gt;="&amp;TODAY()-WEEKDAY(TODAY(),2)+1,tbl_chests[datetime],"&lt;"&amp;TODAY()-WEEKDAY(TODAY(),2)+8)))</f>
        <v>0</v>
      </c>
      <c r="J57" s="36">
        <f ca="1">IF($A57="","",IF(J$1="","",COUNTIFS(tbl_chests[from],$A57,tbl_chests[legalized],J$1,tbl_chests[datetime],"&gt;="&amp;TODAY()-WEEKDAY(TODAY(),2)+1,tbl_chests[datetime],"&lt;"&amp;TODAY()-WEEKDAY(TODAY(),2)+8)))</f>
        <v>0</v>
      </c>
      <c r="K57" s="36">
        <f ca="1">IF($A57="","",IF(K$1="","",COUNTIFS(tbl_chests[from],$A57,tbl_chests[legalized],K$1,tbl_chests[datetime],"&gt;="&amp;TODAY()-WEEKDAY(TODAY(),2)+1,tbl_chests[datetime],"&lt;"&amp;TODAY()-WEEKDAY(TODAY(),2)+8)))</f>
        <v>0</v>
      </c>
      <c r="L57" s="36">
        <f ca="1">IF($A57="","",IF(L$1="","",COUNTIFS(tbl_chests[from],$A57,tbl_chests[legalized],L$1,tbl_chests[datetime],"&gt;="&amp;TODAY()-WEEKDAY(TODAY(),2)+1,tbl_chests[datetime],"&lt;"&amp;TODAY()-WEEKDAY(TODAY(),2)+8)))</f>
        <v>0</v>
      </c>
      <c r="M57" s="36">
        <f ca="1">IF($A57="","",IF(M$1="","",COUNTIFS(tbl_chests[from],$A57,tbl_chests[legalized],M$1,tbl_chests[datetime],"&gt;="&amp;TODAY()-WEEKDAY(TODAY(),2)+1,tbl_chests[datetime],"&lt;"&amp;TODAY()-WEEKDAY(TODAY(),2)+8)))</f>
        <v>0</v>
      </c>
      <c r="N57" s="36">
        <f ca="1">IF($A57="","",IF(N$1="","",COUNTIFS(tbl_chests[from],$A57,tbl_chests[legalized],N$1,tbl_chests[datetime],"&gt;="&amp;TODAY()-WEEKDAY(TODAY(),2)+1,tbl_chests[datetime],"&lt;"&amp;TODAY()-WEEKDAY(TODAY(),2)+8)))</f>
        <v>0</v>
      </c>
      <c r="O57" s="36">
        <f ca="1">IF($A57="","",IF(O$1="","",COUNTIFS(tbl_chests[from],$A57,tbl_chests[legalized],O$1,tbl_chests[datetime],"&gt;="&amp;TODAY()-WEEKDAY(TODAY(),2)+1,tbl_chests[datetime],"&lt;"&amp;TODAY()-WEEKDAY(TODAY(),2)+8)))</f>
        <v>0</v>
      </c>
      <c r="P57" s="36">
        <f ca="1">IF($A57="","",IF(P$1="","",COUNTIFS(tbl_chests[from],$A57,tbl_chests[legalized],P$1,tbl_chests[datetime],"&gt;="&amp;TODAY()-WEEKDAY(TODAY(),2)+1,tbl_chests[datetime],"&lt;"&amp;TODAY()-WEEKDAY(TODAY(),2)+8)))</f>
        <v>0</v>
      </c>
      <c r="Q57" s="36">
        <f ca="1">IF($A57="","",IF(Q$1="","",COUNTIFS(tbl_chests[from],$A57,tbl_chests[legalized],Q$1,tbl_chests[datetime],"&gt;="&amp;TODAY()-WEEKDAY(TODAY(),2)+1,tbl_chests[datetime],"&lt;"&amp;TODAY()-WEEKDAY(TODAY(),2)+8)))</f>
        <v>0</v>
      </c>
      <c r="R57" s="36">
        <f ca="1">IF($A57="","",IF(R$1="","",COUNTIFS(tbl_chests[from],$A57,tbl_chests[legalized],R$1,tbl_chests[datetime],"&gt;="&amp;TODAY()-WEEKDAY(TODAY(),2)+1,tbl_chests[datetime],"&lt;"&amp;TODAY()-WEEKDAY(TODAY(),2)+8)))</f>
        <v>0</v>
      </c>
      <c r="S57" s="36">
        <f ca="1">IF($A57="","",IF(S$1="","",COUNTIFS(tbl_chests[from],$A57,tbl_chests[legalized],S$1,tbl_chests[datetime],"&gt;="&amp;TODAY()-WEEKDAY(TODAY(),2)+1,tbl_chests[datetime],"&lt;"&amp;TODAY()-WEEKDAY(TODAY(),2)+8)))</f>
        <v>0</v>
      </c>
      <c r="T57" s="36">
        <f ca="1">IF($A57="","",IF(T$1="","",COUNTIFS(tbl_chests[from],$A57,tbl_chests[legalized],T$1,tbl_chests[datetime],"&gt;="&amp;TODAY()-WEEKDAY(TODAY(),2)+1,tbl_chests[datetime],"&lt;"&amp;TODAY()-WEEKDAY(TODAY(),2)+8)))</f>
        <v>0</v>
      </c>
      <c r="U57" s="36">
        <f ca="1">IF($A57="","",IF(U$1="","",COUNTIFS(tbl_chests[from],$A57,tbl_chests[legalized],U$1,tbl_chests[datetime],"&gt;="&amp;TODAY()-WEEKDAY(TODAY(),2)+1,tbl_chests[datetime],"&lt;"&amp;TODAY()-WEEKDAY(TODAY(),2)+8)))</f>
        <v>0</v>
      </c>
      <c r="V57" s="36">
        <f ca="1">IF($A57="","",IF(V$1="","",COUNTIFS(tbl_chests[from],$A57,tbl_chests[legalized],V$1,tbl_chests[datetime],"&gt;="&amp;TODAY()-WEEKDAY(TODAY(),2)+1,tbl_chests[datetime],"&lt;"&amp;TODAY()-WEEKDAY(TODAY(),2)+8)))</f>
        <v>0</v>
      </c>
      <c r="W57" s="36">
        <f ca="1">IF($A57="","",IF(W$1="","",COUNTIFS(tbl_chests[from],$A57,tbl_chests[legalized],W$1,tbl_chests[datetime],"&gt;="&amp;TODAY()-WEEKDAY(TODAY(),2)+1,tbl_chests[datetime],"&lt;"&amp;TODAY()-WEEKDAY(TODAY(),2)+8)))</f>
        <v>0</v>
      </c>
      <c r="X57" s="36">
        <f ca="1">IF($A57="","",IF(X$1="","",COUNTIFS(tbl_chests[from],$A57,tbl_chests[legalized],X$1,tbl_chests[datetime],"&gt;="&amp;TODAY()-WEEKDAY(TODAY(),2)+1,tbl_chests[datetime],"&lt;"&amp;TODAY()-WEEKDAY(TODAY(),2)+8)))</f>
        <v>0</v>
      </c>
      <c r="Y57" s="36">
        <f ca="1">IF($A57="","",IF(Y$1="","",COUNTIFS(tbl_chests[from],$A57,tbl_chests[legalized],Y$1,tbl_chests[datetime],"&gt;="&amp;TODAY()-WEEKDAY(TODAY(),2)+1,tbl_chests[datetime],"&lt;"&amp;TODAY()-WEEKDAY(TODAY(),2)+8)))</f>
        <v>0</v>
      </c>
      <c r="Z57" s="36">
        <f ca="1">IF($A57="","",IF(Z$1="","",COUNTIFS(tbl_chests[from],$A57,tbl_chests[legalized],Z$1,tbl_chests[datetime],"&gt;="&amp;TODAY()-WEEKDAY(TODAY(),2)+1,tbl_chests[datetime],"&lt;"&amp;TODAY()-WEEKDAY(TODAY(),2)+8)))</f>
        <v>0</v>
      </c>
      <c r="AA57" s="36">
        <f ca="1">IF($A57="","",IF(AA$1="","",COUNTIFS(tbl_chests[from],$A57,tbl_chests[legalized],AA$1,tbl_chests[datetime],"&gt;="&amp;TODAY()-WEEKDAY(TODAY(),2)+1,tbl_chests[datetime],"&lt;"&amp;TODAY()-WEEKDAY(TODAY(),2)+8)))</f>
        <v>0</v>
      </c>
      <c r="AB57" s="36">
        <f ca="1">IF($A57="","",IF(AB$1="","",COUNTIFS(tbl_chests[from],$A57,tbl_chests[legalized],AB$1,tbl_chests[datetime],"&gt;="&amp;TODAY()-WEEKDAY(TODAY(),2)+1,tbl_chests[datetime],"&lt;"&amp;TODAY()-WEEKDAY(TODAY(),2)+8)))</f>
        <v>0</v>
      </c>
      <c r="AC57" s="36">
        <f ca="1">IF($A57="","",IF(AC$1="","",COUNTIFS(tbl_chests[from],$A57,tbl_chests[legalized],AC$1,tbl_chests[datetime],"&gt;="&amp;TODAY()-WEEKDAY(TODAY(),2)+1,tbl_chests[datetime],"&lt;"&amp;TODAY()-WEEKDAY(TODAY(),2)+8)))</f>
        <v>0</v>
      </c>
      <c r="AD57" s="36">
        <f ca="1">IF($A57="","",IF(AD$1="","",COUNTIFS(tbl_chests[from],$A57,tbl_chests[legalized],AD$1,tbl_chests[datetime],"&gt;="&amp;TODAY()-WEEKDAY(TODAY(),2)+1,tbl_chests[datetime],"&lt;"&amp;TODAY()-WEEKDAY(TODAY(),2)+8)))</f>
        <v>0</v>
      </c>
      <c r="AE57" s="36">
        <f ca="1">IF($A57="","",IF(AE$1="","",COUNTIFS(tbl_chests[from],$A57,tbl_chests[legalized],AE$1,tbl_chests[datetime],"&gt;="&amp;TODAY()-WEEKDAY(TODAY(),2)+1,tbl_chests[datetime],"&lt;"&amp;TODAY()-WEEKDAY(TODAY(),2)+8)))</f>
        <v>0</v>
      </c>
      <c r="AF57" s="36">
        <f ca="1">IF($A57="","",IF(AF$1="","",COUNTIFS(tbl_chests[from],$A57,tbl_chests[legalized],AF$1,tbl_chests[datetime],"&gt;="&amp;TODAY()-WEEKDAY(TODAY(),2)+1,tbl_chests[datetime],"&lt;"&amp;TODAY()-WEEKDAY(TODAY(),2)+8)))</f>
        <v>0</v>
      </c>
      <c r="AG57" s="36">
        <f ca="1">IF($A57="","",IF(AG$1="","",COUNTIFS(tbl_chests[from],$A57,tbl_chests[legalized],AG$1,tbl_chests[datetime],"&gt;="&amp;TODAY()-WEEKDAY(TODAY(),2)+1,tbl_chests[datetime],"&lt;"&amp;TODAY()-WEEKDAY(TODAY(),2)+8)))</f>
        <v>0</v>
      </c>
      <c r="AH57" s="36">
        <f ca="1">IF($A57="","",IF(AH$1="","",COUNTIFS(tbl_chests[from],$A57,tbl_chests[legalized],AH$1,tbl_chests[datetime],"&gt;="&amp;TODAY()-WEEKDAY(TODAY(),2)+1,tbl_chests[datetime],"&lt;"&amp;TODAY()-WEEKDAY(TODAY(),2)+8)))</f>
        <v>0</v>
      </c>
      <c r="AI57" s="36">
        <f ca="1">IF($A57="","",IF(AI$1="","",COUNTIFS(tbl_chests[from],$A57,tbl_chests[legalized],AI$1,tbl_chests[datetime],"&gt;="&amp;TODAY()-WEEKDAY(TODAY(),2)+1,tbl_chests[datetime],"&lt;"&amp;TODAY()-WEEKDAY(TODAY(),2)+8)))</f>
        <v>0</v>
      </c>
      <c r="AJ57" s="36">
        <f ca="1">IF($A57="","",IF(AJ$1="","",COUNTIFS(tbl_chests[from],$A57,tbl_chests[legalized],AJ$1,tbl_chests[datetime],"&gt;="&amp;TODAY()-WEEKDAY(TODAY(),2)+1,tbl_chests[datetime],"&lt;"&amp;TODAY()-WEEKDAY(TODAY(),2)+8)))</f>
        <v>0</v>
      </c>
      <c r="AK57" s="36">
        <f ca="1">IF($A57="","",IF(AK$1="","",COUNTIFS(tbl_chests[from],$A57,tbl_chests[legalized],AK$1,tbl_chests[datetime],"&gt;="&amp;TODAY()-WEEKDAY(TODAY(),2)+1,tbl_chests[datetime],"&lt;"&amp;TODAY()-WEEKDAY(TODAY(),2)+8)))</f>
        <v>0</v>
      </c>
      <c r="AL57" s="36">
        <f ca="1">IF($A57="","",IF(AL$1="","",COUNTIFS(tbl_chests[from],$A57,tbl_chests[legalized],AL$1,tbl_chests[datetime],"&gt;="&amp;TODAY()-WEEKDAY(TODAY(),2)+1,tbl_chests[datetime],"&lt;"&amp;TODAY()-WEEKDAY(TODAY(),2)+8)))</f>
        <v>0</v>
      </c>
      <c r="AM57" s="37">
        <f ca="1">IF($A57="","",IF(AM$1="","",COUNTIFS(tbl_chests[from],$A57,tbl_chests[legalized],AM$1,tbl_chests[datetime],"&gt;="&amp;TODAY()-WEEKDAY(TODAY(),2)+1,tbl_chests[datetime],"&lt;"&amp;TODAY()-WEEKDAY(TODAY(),2)+8)))</f>
        <v>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 ht="15.75" customHeight="1" x14ac:dyDescent="0.25">
      <c r="A58" s="34">
        <f>chests_counter!$H55</f>
        <v>0</v>
      </c>
      <c r="B58" s="35" cm="1">
        <f t="array" aca="1" ref="B58" ca="1">IF(A58&lt;&gt;"", SUMPRODUCT(($C$2:$AM$2&lt;&gt;0)*(C58:AM58&lt;&gt;0)*($C$2:$AM$2)*(C58:AM58)), "")</f>
        <v>0</v>
      </c>
      <c r="C58" s="36">
        <f ca="1">IF($A58="","",IF(C$1="","",COUNTIFS(tbl_chests[from],$A58,tbl_chests[legalized],C$1,tbl_chests[datetime],"&gt;="&amp;TODAY()-WEEKDAY(TODAY(),2)+1,tbl_chests[datetime],"&lt;"&amp;TODAY()-WEEKDAY(TODAY(),2)+8)))</f>
        <v>0</v>
      </c>
      <c r="D58" s="36">
        <f ca="1">IF($A58="","",IF(D$1="","",COUNTIFS(tbl_chests[from],$A58,tbl_chests[legalized],D$1,tbl_chests[datetime],"&gt;="&amp;TODAY()-WEEKDAY(TODAY(),2)+1,tbl_chests[datetime],"&lt;"&amp;TODAY()-WEEKDAY(TODAY(),2)+8)))</f>
        <v>0</v>
      </c>
      <c r="E58" s="36">
        <f ca="1">IF($A58="","",IF(E$1="","",COUNTIFS(tbl_chests[from],$A58,tbl_chests[legalized],E$1,tbl_chests[datetime],"&gt;="&amp;TODAY()-WEEKDAY(TODAY(),2)+1,tbl_chests[datetime],"&lt;"&amp;TODAY()-WEEKDAY(TODAY(),2)+8)))</f>
        <v>0</v>
      </c>
      <c r="F58" s="36">
        <f ca="1">IF($A58="","",IF(F$1="","",COUNTIFS(tbl_chests[from],$A58,tbl_chests[legalized],F$1,tbl_chests[datetime],"&gt;="&amp;TODAY()-WEEKDAY(TODAY(),2)+1,tbl_chests[datetime],"&lt;"&amp;TODAY()-WEEKDAY(TODAY(),2)+8)))</f>
        <v>0</v>
      </c>
      <c r="G58" s="36">
        <f ca="1">IF($A58="","",IF(G$1="","",COUNTIFS(tbl_chests[from],$A58,tbl_chests[legalized],G$1,tbl_chests[datetime],"&gt;="&amp;TODAY()-WEEKDAY(TODAY(),2)+1,tbl_chests[datetime],"&lt;"&amp;TODAY()-WEEKDAY(TODAY(),2)+8)))</f>
        <v>0</v>
      </c>
      <c r="H58" s="36">
        <f ca="1">IF($A58="","",IF(H$1="","",COUNTIFS(tbl_chests[from],$A58,tbl_chests[legalized],H$1,tbl_chests[datetime],"&gt;="&amp;TODAY()-WEEKDAY(TODAY(),2)+1,tbl_chests[datetime],"&lt;"&amp;TODAY()-WEEKDAY(TODAY(),2)+8)))</f>
        <v>0</v>
      </c>
      <c r="I58" s="36">
        <f ca="1">IF($A58="","",IF(I$1="","",COUNTIFS(tbl_chests[from],$A58,tbl_chests[legalized],I$1,tbl_chests[datetime],"&gt;="&amp;TODAY()-WEEKDAY(TODAY(),2)+1,tbl_chests[datetime],"&lt;"&amp;TODAY()-WEEKDAY(TODAY(),2)+8)))</f>
        <v>0</v>
      </c>
      <c r="J58" s="36">
        <f ca="1">IF($A58="","",IF(J$1="","",COUNTIFS(tbl_chests[from],$A58,tbl_chests[legalized],J$1,tbl_chests[datetime],"&gt;="&amp;TODAY()-WEEKDAY(TODAY(),2)+1,tbl_chests[datetime],"&lt;"&amp;TODAY()-WEEKDAY(TODAY(),2)+8)))</f>
        <v>0</v>
      </c>
      <c r="K58" s="36">
        <f ca="1">IF($A58="","",IF(K$1="","",COUNTIFS(tbl_chests[from],$A58,tbl_chests[legalized],K$1,tbl_chests[datetime],"&gt;="&amp;TODAY()-WEEKDAY(TODAY(),2)+1,tbl_chests[datetime],"&lt;"&amp;TODAY()-WEEKDAY(TODAY(),2)+8)))</f>
        <v>0</v>
      </c>
      <c r="L58" s="36">
        <f ca="1">IF($A58="","",IF(L$1="","",COUNTIFS(tbl_chests[from],$A58,tbl_chests[legalized],L$1,tbl_chests[datetime],"&gt;="&amp;TODAY()-WEEKDAY(TODAY(),2)+1,tbl_chests[datetime],"&lt;"&amp;TODAY()-WEEKDAY(TODAY(),2)+8)))</f>
        <v>0</v>
      </c>
      <c r="M58" s="36">
        <f ca="1">IF($A58="","",IF(M$1="","",COUNTIFS(tbl_chests[from],$A58,tbl_chests[legalized],M$1,tbl_chests[datetime],"&gt;="&amp;TODAY()-WEEKDAY(TODAY(),2)+1,tbl_chests[datetime],"&lt;"&amp;TODAY()-WEEKDAY(TODAY(),2)+8)))</f>
        <v>0</v>
      </c>
      <c r="N58" s="36">
        <f ca="1">IF($A58="","",IF(N$1="","",COUNTIFS(tbl_chests[from],$A58,tbl_chests[legalized],N$1,tbl_chests[datetime],"&gt;="&amp;TODAY()-WEEKDAY(TODAY(),2)+1,tbl_chests[datetime],"&lt;"&amp;TODAY()-WEEKDAY(TODAY(),2)+8)))</f>
        <v>0</v>
      </c>
      <c r="O58" s="36">
        <f ca="1">IF($A58="","",IF(O$1="","",COUNTIFS(tbl_chests[from],$A58,tbl_chests[legalized],O$1,tbl_chests[datetime],"&gt;="&amp;TODAY()-WEEKDAY(TODAY(),2)+1,tbl_chests[datetime],"&lt;"&amp;TODAY()-WEEKDAY(TODAY(),2)+8)))</f>
        <v>0</v>
      </c>
      <c r="P58" s="36">
        <f ca="1">IF($A58="","",IF(P$1="","",COUNTIFS(tbl_chests[from],$A58,tbl_chests[legalized],P$1,tbl_chests[datetime],"&gt;="&amp;TODAY()-WEEKDAY(TODAY(),2)+1,tbl_chests[datetime],"&lt;"&amp;TODAY()-WEEKDAY(TODAY(),2)+8)))</f>
        <v>0</v>
      </c>
      <c r="Q58" s="36">
        <f ca="1">IF($A58="","",IF(Q$1="","",COUNTIFS(tbl_chests[from],$A58,tbl_chests[legalized],Q$1,tbl_chests[datetime],"&gt;="&amp;TODAY()-WEEKDAY(TODAY(),2)+1,tbl_chests[datetime],"&lt;"&amp;TODAY()-WEEKDAY(TODAY(),2)+8)))</f>
        <v>0</v>
      </c>
      <c r="R58" s="36">
        <f ca="1">IF($A58="","",IF(R$1="","",COUNTIFS(tbl_chests[from],$A58,tbl_chests[legalized],R$1,tbl_chests[datetime],"&gt;="&amp;TODAY()-WEEKDAY(TODAY(),2)+1,tbl_chests[datetime],"&lt;"&amp;TODAY()-WEEKDAY(TODAY(),2)+8)))</f>
        <v>0</v>
      </c>
      <c r="S58" s="36">
        <f ca="1">IF($A58="","",IF(S$1="","",COUNTIFS(tbl_chests[from],$A58,tbl_chests[legalized],S$1,tbl_chests[datetime],"&gt;="&amp;TODAY()-WEEKDAY(TODAY(),2)+1,tbl_chests[datetime],"&lt;"&amp;TODAY()-WEEKDAY(TODAY(),2)+8)))</f>
        <v>0</v>
      </c>
      <c r="T58" s="36">
        <f ca="1">IF($A58="","",IF(T$1="","",COUNTIFS(tbl_chests[from],$A58,tbl_chests[legalized],T$1,tbl_chests[datetime],"&gt;="&amp;TODAY()-WEEKDAY(TODAY(),2)+1,tbl_chests[datetime],"&lt;"&amp;TODAY()-WEEKDAY(TODAY(),2)+8)))</f>
        <v>0</v>
      </c>
      <c r="U58" s="36">
        <f ca="1">IF($A58="","",IF(U$1="","",COUNTIFS(tbl_chests[from],$A58,tbl_chests[legalized],U$1,tbl_chests[datetime],"&gt;="&amp;TODAY()-WEEKDAY(TODAY(),2)+1,tbl_chests[datetime],"&lt;"&amp;TODAY()-WEEKDAY(TODAY(),2)+8)))</f>
        <v>0</v>
      </c>
      <c r="V58" s="36">
        <f ca="1">IF($A58="","",IF(V$1="","",COUNTIFS(tbl_chests[from],$A58,tbl_chests[legalized],V$1,tbl_chests[datetime],"&gt;="&amp;TODAY()-WEEKDAY(TODAY(),2)+1,tbl_chests[datetime],"&lt;"&amp;TODAY()-WEEKDAY(TODAY(),2)+8)))</f>
        <v>0</v>
      </c>
      <c r="W58" s="36">
        <f ca="1">IF($A58="","",IF(W$1="","",COUNTIFS(tbl_chests[from],$A58,tbl_chests[legalized],W$1,tbl_chests[datetime],"&gt;="&amp;TODAY()-WEEKDAY(TODAY(),2)+1,tbl_chests[datetime],"&lt;"&amp;TODAY()-WEEKDAY(TODAY(),2)+8)))</f>
        <v>0</v>
      </c>
      <c r="X58" s="36">
        <f ca="1">IF($A58="","",IF(X$1="","",COUNTIFS(tbl_chests[from],$A58,tbl_chests[legalized],X$1,tbl_chests[datetime],"&gt;="&amp;TODAY()-WEEKDAY(TODAY(),2)+1,tbl_chests[datetime],"&lt;"&amp;TODAY()-WEEKDAY(TODAY(),2)+8)))</f>
        <v>0</v>
      </c>
      <c r="Y58" s="36">
        <f ca="1">IF($A58="","",IF(Y$1="","",COUNTIFS(tbl_chests[from],$A58,tbl_chests[legalized],Y$1,tbl_chests[datetime],"&gt;="&amp;TODAY()-WEEKDAY(TODAY(),2)+1,tbl_chests[datetime],"&lt;"&amp;TODAY()-WEEKDAY(TODAY(),2)+8)))</f>
        <v>0</v>
      </c>
      <c r="Z58" s="36">
        <f ca="1">IF($A58="","",IF(Z$1="","",COUNTIFS(tbl_chests[from],$A58,tbl_chests[legalized],Z$1,tbl_chests[datetime],"&gt;="&amp;TODAY()-WEEKDAY(TODAY(),2)+1,tbl_chests[datetime],"&lt;"&amp;TODAY()-WEEKDAY(TODAY(),2)+8)))</f>
        <v>0</v>
      </c>
      <c r="AA58" s="36">
        <f ca="1">IF($A58="","",IF(AA$1="","",COUNTIFS(tbl_chests[from],$A58,tbl_chests[legalized],AA$1,tbl_chests[datetime],"&gt;="&amp;TODAY()-WEEKDAY(TODAY(),2)+1,tbl_chests[datetime],"&lt;"&amp;TODAY()-WEEKDAY(TODAY(),2)+8)))</f>
        <v>0</v>
      </c>
      <c r="AB58" s="36">
        <f ca="1">IF($A58="","",IF(AB$1="","",COUNTIFS(tbl_chests[from],$A58,tbl_chests[legalized],AB$1,tbl_chests[datetime],"&gt;="&amp;TODAY()-WEEKDAY(TODAY(),2)+1,tbl_chests[datetime],"&lt;"&amp;TODAY()-WEEKDAY(TODAY(),2)+8)))</f>
        <v>0</v>
      </c>
      <c r="AC58" s="36">
        <f ca="1">IF($A58="","",IF(AC$1="","",COUNTIFS(tbl_chests[from],$A58,tbl_chests[legalized],AC$1,tbl_chests[datetime],"&gt;="&amp;TODAY()-WEEKDAY(TODAY(),2)+1,tbl_chests[datetime],"&lt;"&amp;TODAY()-WEEKDAY(TODAY(),2)+8)))</f>
        <v>0</v>
      </c>
      <c r="AD58" s="36">
        <f ca="1">IF($A58="","",IF(AD$1="","",COUNTIFS(tbl_chests[from],$A58,tbl_chests[legalized],AD$1,tbl_chests[datetime],"&gt;="&amp;TODAY()-WEEKDAY(TODAY(),2)+1,tbl_chests[datetime],"&lt;"&amp;TODAY()-WEEKDAY(TODAY(),2)+8)))</f>
        <v>0</v>
      </c>
      <c r="AE58" s="36">
        <f ca="1">IF($A58="","",IF(AE$1="","",COUNTIFS(tbl_chests[from],$A58,tbl_chests[legalized],AE$1,tbl_chests[datetime],"&gt;="&amp;TODAY()-WEEKDAY(TODAY(),2)+1,tbl_chests[datetime],"&lt;"&amp;TODAY()-WEEKDAY(TODAY(),2)+8)))</f>
        <v>0</v>
      </c>
      <c r="AF58" s="36">
        <f ca="1">IF($A58="","",IF(AF$1="","",COUNTIFS(tbl_chests[from],$A58,tbl_chests[legalized],AF$1,tbl_chests[datetime],"&gt;="&amp;TODAY()-WEEKDAY(TODAY(),2)+1,tbl_chests[datetime],"&lt;"&amp;TODAY()-WEEKDAY(TODAY(),2)+8)))</f>
        <v>0</v>
      </c>
      <c r="AG58" s="36">
        <f ca="1">IF($A58="","",IF(AG$1="","",COUNTIFS(tbl_chests[from],$A58,tbl_chests[legalized],AG$1,tbl_chests[datetime],"&gt;="&amp;TODAY()-WEEKDAY(TODAY(),2)+1,tbl_chests[datetime],"&lt;"&amp;TODAY()-WEEKDAY(TODAY(),2)+8)))</f>
        <v>0</v>
      </c>
      <c r="AH58" s="36">
        <f ca="1">IF($A58="","",IF(AH$1="","",COUNTIFS(tbl_chests[from],$A58,tbl_chests[legalized],AH$1,tbl_chests[datetime],"&gt;="&amp;TODAY()-WEEKDAY(TODAY(),2)+1,tbl_chests[datetime],"&lt;"&amp;TODAY()-WEEKDAY(TODAY(),2)+8)))</f>
        <v>0</v>
      </c>
      <c r="AI58" s="36">
        <f ca="1">IF($A58="","",IF(AI$1="","",COUNTIFS(tbl_chests[from],$A58,tbl_chests[legalized],AI$1,tbl_chests[datetime],"&gt;="&amp;TODAY()-WEEKDAY(TODAY(),2)+1,tbl_chests[datetime],"&lt;"&amp;TODAY()-WEEKDAY(TODAY(),2)+8)))</f>
        <v>0</v>
      </c>
      <c r="AJ58" s="36">
        <f ca="1">IF($A58="","",IF(AJ$1="","",COUNTIFS(tbl_chests[from],$A58,tbl_chests[legalized],AJ$1,tbl_chests[datetime],"&gt;="&amp;TODAY()-WEEKDAY(TODAY(),2)+1,tbl_chests[datetime],"&lt;"&amp;TODAY()-WEEKDAY(TODAY(),2)+8)))</f>
        <v>0</v>
      </c>
      <c r="AK58" s="36">
        <f ca="1">IF($A58="","",IF(AK$1="","",COUNTIFS(tbl_chests[from],$A58,tbl_chests[legalized],AK$1,tbl_chests[datetime],"&gt;="&amp;TODAY()-WEEKDAY(TODAY(),2)+1,tbl_chests[datetime],"&lt;"&amp;TODAY()-WEEKDAY(TODAY(),2)+8)))</f>
        <v>0</v>
      </c>
      <c r="AL58" s="36">
        <f ca="1">IF($A58="","",IF(AL$1="","",COUNTIFS(tbl_chests[from],$A58,tbl_chests[legalized],AL$1,tbl_chests[datetime],"&gt;="&amp;TODAY()-WEEKDAY(TODAY(),2)+1,tbl_chests[datetime],"&lt;"&amp;TODAY()-WEEKDAY(TODAY(),2)+8)))</f>
        <v>0</v>
      </c>
      <c r="AM58" s="37">
        <f ca="1">IF($A58="","",IF(AM$1="","",COUNTIFS(tbl_chests[from],$A58,tbl_chests[legalized],AM$1,tbl_chests[datetime],"&gt;="&amp;TODAY()-WEEKDAY(TODAY(),2)+1,tbl_chests[datetime],"&lt;"&amp;TODAY()-WEEKDAY(TODAY(),2)+8)))</f>
        <v>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 t="str">
        <f>IF($A58 = "","",IF(BF$1 = "","",COUNTIFS(#REF!,$A58,#REF!,BF$1)))</f>
        <v/>
      </c>
      <c r="BG58" s="5" t="str">
        <f>IF($A58 = "","",IF(BG$1 = "","",COUNTIFS(#REF!,$A58,#REF!,BG$1)))</f>
        <v/>
      </c>
      <c r="BH58" s="5" t="str">
        <f>IF($A58 = "","",IF(BH$1 = "","",COUNTIFS(#REF!,$A58,#REF!,BH$1)))</f>
        <v/>
      </c>
      <c r="BI58" s="5" t="str">
        <f>IF($A58 = "","",IF(BI$1 = "","",COUNTIFS(#REF!,$A58,#REF!,BI$1)))</f>
        <v/>
      </c>
      <c r="BJ58" s="5" t="str">
        <f>IF($A58 = "","",IF(BJ$1 = "","",COUNTIFS(#REF!,$A58,#REF!,BJ$1)))</f>
        <v/>
      </c>
      <c r="BK58" s="5" t="str">
        <f>IF($A58 = "","",IF(BK$1 = "","",COUNTIFS(#REF!,$A58,#REF!,BK$1)))</f>
        <v/>
      </c>
      <c r="BL58" s="5" t="str">
        <f>IF($A58 = "","",IF(BL$1 = "","",COUNTIFS(#REF!,$A58,#REF!,BL$1)))</f>
        <v/>
      </c>
      <c r="BM58" s="5" t="str">
        <f>IF($A58 = "","",IF(BM$1 = "","",COUNTIFS(#REF!,$A58,#REF!,BM$1)))</f>
        <v/>
      </c>
      <c r="BN58" s="5" t="str">
        <f>IF($A58 = "","",IF(BN$1 = "","",COUNTIFS(#REF!,$A58,#REF!,BN$1)))</f>
        <v/>
      </c>
      <c r="BO58" s="5" t="str">
        <f>IF($A58 = "","",IF(BO$1 = "","",COUNTIFS(#REF!,$A58,#REF!,BO$1)))</f>
        <v/>
      </c>
    </row>
    <row r="59" spans="1:67" ht="15.75" customHeight="1" x14ac:dyDescent="0.25">
      <c r="A59" s="34">
        <f>chests_counter!$H56</f>
        <v>0</v>
      </c>
      <c r="B59" s="35" cm="1">
        <f t="array" aca="1" ref="B59" ca="1">IF(A59&lt;&gt;"", SUMPRODUCT(($C$2:$AM$2&lt;&gt;0)*(C59:AM59&lt;&gt;0)*($C$2:$AM$2)*(C59:AM59)), "")</f>
        <v>0</v>
      </c>
      <c r="C59" s="36">
        <f ca="1">IF($A59="","",IF(C$1="","",COUNTIFS(tbl_chests[from],$A59,tbl_chests[legalized],C$1,tbl_chests[datetime],"&gt;="&amp;TODAY()-WEEKDAY(TODAY(),2)+1,tbl_chests[datetime],"&lt;"&amp;TODAY()-WEEKDAY(TODAY(),2)+8)))</f>
        <v>0</v>
      </c>
      <c r="D59" s="36">
        <f ca="1">IF($A59="","",IF(D$1="","",COUNTIFS(tbl_chests[from],$A59,tbl_chests[legalized],D$1,tbl_chests[datetime],"&gt;="&amp;TODAY()-WEEKDAY(TODAY(),2)+1,tbl_chests[datetime],"&lt;"&amp;TODAY()-WEEKDAY(TODAY(),2)+8)))</f>
        <v>0</v>
      </c>
      <c r="E59" s="36">
        <f ca="1">IF($A59="","",IF(E$1="","",COUNTIFS(tbl_chests[from],$A59,tbl_chests[legalized],E$1,tbl_chests[datetime],"&gt;="&amp;TODAY()-WEEKDAY(TODAY(),2)+1,tbl_chests[datetime],"&lt;"&amp;TODAY()-WEEKDAY(TODAY(),2)+8)))</f>
        <v>0</v>
      </c>
      <c r="F59" s="36">
        <f ca="1">IF($A59="","",IF(F$1="","",COUNTIFS(tbl_chests[from],$A59,tbl_chests[legalized],F$1,tbl_chests[datetime],"&gt;="&amp;TODAY()-WEEKDAY(TODAY(),2)+1,tbl_chests[datetime],"&lt;"&amp;TODAY()-WEEKDAY(TODAY(),2)+8)))</f>
        <v>0</v>
      </c>
      <c r="G59" s="36">
        <f ca="1">IF($A59="","",IF(G$1="","",COUNTIFS(tbl_chests[from],$A59,tbl_chests[legalized],G$1,tbl_chests[datetime],"&gt;="&amp;TODAY()-WEEKDAY(TODAY(),2)+1,tbl_chests[datetime],"&lt;"&amp;TODAY()-WEEKDAY(TODAY(),2)+8)))</f>
        <v>0</v>
      </c>
      <c r="H59" s="36">
        <f ca="1">IF($A59="","",IF(H$1="","",COUNTIFS(tbl_chests[from],$A59,tbl_chests[legalized],H$1,tbl_chests[datetime],"&gt;="&amp;TODAY()-WEEKDAY(TODAY(),2)+1,tbl_chests[datetime],"&lt;"&amp;TODAY()-WEEKDAY(TODAY(),2)+8)))</f>
        <v>0</v>
      </c>
      <c r="I59" s="36">
        <f ca="1">IF($A59="","",IF(I$1="","",COUNTIFS(tbl_chests[from],$A59,tbl_chests[legalized],I$1,tbl_chests[datetime],"&gt;="&amp;TODAY()-WEEKDAY(TODAY(),2)+1,tbl_chests[datetime],"&lt;"&amp;TODAY()-WEEKDAY(TODAY(),2)+8)))</f>
        <v>0</v>
      </c>
      <c r="J59" s="36">
        <f ca="1">IF($A59="","",IF(J$1="","",COUNTIFS(tbl_chests[from],$A59,tbl_chests[legalized],J$1,tbl_chests[datetime],"&gt;="&amp;TODAY()-WEEKDAY(TODAY(),2)+1,tbl_chests[datetime],"&lt;"&amp;TODAY()-WEEKDAY(TODAY(),2)+8)))</f>
        <v>0</v>
      </c>
      <c r="K59" s="36">
        <f ca="1">IF($A59="","",IF(K$1="","",COUNTIFS(tbl_chests[from],$A59,tbl_chests[legalized],K$1,tbl_chests[datetime],"&gt;="&amp;TODAY()-WEEKDAY(TODAY(),2)+1,tbl_chests[datetime],"&lt;"&amp;TODAY()-WEEKDAY(TODAY(),2)+8)))</f>
        <v>0</v>
      </c>
      <c r="L59" s="36">
        <f ca="1">IF($A59="","",IF(L$1="","",COUNTIFS(tbl_chests[from],$A59,tbl_chests[legalized],L$1,tbl_chests[datetime],"&gt;="&amp;TODAY()-WEEKDAY(TODAY(),2)+1,tbl_chests[datetime],"&lt;"&amp;TODAY()-WEEKDAY(TODAY(),2)+8)))</f>
        <v>0</v>
      </c>
      <c r="M59" s="36">
        <f ca="1">IF($A59="","",IF(M$1="","",COUNTIFS(tbl_chests[from],$A59,tbl_chests[legalized],M$1,tbl_chests[datetime],"&gt;="&amp;TODAY()-WEEKDAY(TODAY(),2)+1,tbl_chests[datetime],"&lt;"&amp;TODAY()-WEEKDAY(TODAY(),2)+8)))</f>
        <v>0</v>
      </c>
      <c r="N59" s="36">
        <f ca="1">IF($A59="","",IF(N$1="","",COUNTIFS(tbl_chests[from],$A59,tbl_chests[legalized],N$1,tbl_chests[datetime],"&gt;="&amp;TODAY()-WEEKDAY(TODAY(),2)+1,tbl_chests[datetime],"&lt;"&amp;TODAY()-WEEKDAY(TODAY(),2)+8)))</f>
        <v>0</v>
      </c>
      <c r="O59" s="36">
        <f ca="1">IF($A59="","",IF(O$1="","",COUNTIFS(tbl_chests[from],$A59,tbl_chests[legalized],O$1,tbl_chests[datetime],"&gt;="&amp;TODAY()-WEEKDAY(TODAY(),2)+1,tbl_chests[datetime],"&lt;"&amp;TODAY()-WEEKDAY(TODAY(),2)+8)))</f>
        <v>0</v>
      </c>
      <c r="P59" s="36">
        <f ca="1">IF($A59="","",IF(P$1="","",COUNTIFS(tbl_chests[from],$A59,tbl_chests[legalized],P$1,tbl_chests[datetime],"&gt;="&amp;TODAY()-WEEKDAY(TODAY(),2)+1,tbl_chests[datetime],"&lt;"&amp;TODAY()-WEEKDAY(TODAY(),2)+8)))</f>
        <v>0</v>
      </c>
      <c r="Q59" s="36">
        <f ca="1">IF($A59="","",IF(Q$1="","",COUNTIFS(tbl_chests[from],$A59,tbl_chests[legalized],Q$1,tbl_chests[datetime],"&gt;="&amp;TODAY()-WEEKDAY(TODAY(),2)+1,tbl_chests[datetime],"&lt;"&amp;TODAY()-WEEKDAY(TODAY(),2)+8)))</f>
        <v>0</v>
      </c>
      <c r="R59" s="36">
        <f ca="1">IF($A59="","",IF(R$1="","",COUNTIFS(tbl_chests[from],$A59,tbl_chests[legalized],R$1,tbl_chests[datetime],"&gt;="&amp;TODAY()-WEEKDAY(TODAY(),2)+1,tbl_chests[datetime],"&lt;"&amp;TODAY()-WEEKDAY(TODAY(),2)+8)))</f>
        <v>0</v>
      </c>
      <c r="S59" s="36">
        <f ca="1">IF($A59="","",IF(S$1="","",COUNTIFS(tbl_chests[from],$A59,tbl_chests[legalized],S$1,tbl_chests[datetime],"&gt;="&amp;TODAY()-WEEKDAY(TODAY(),2)+1,tbl_chests[datetime],"&lt;"&amp;TODAY()-WEEKDAY(TODAY(),2)+8)))</f>
        <v>0</v>
      </c>
      <c r="T59" s="36">
        <f ca="1">IF($A59="","",IF(T$1="","",COUNTIFS(tbl_chests[from],$A59,tbl_chests[legalized],T$1,tbl_chests[datetime],"&gt;="&amp;TODAY()-WEEKDAY(TODAY(),2)+1,tbl_chests[datetime],"&lt;"&amp;TODAY()-WEEKDAY(TODAY(),2)+8)))</f>
        <v>0</v>
      </c>
      <c r="U59" s="36">
        <f ca="1">IF($A59="","",IF(U$1="","",COUNTIFS(tbl_chests[from],$A59,tbl_chests[legalized],U$1,tbl_chests[datetime],"&gt;="&amp;TODAY()-WEEKDAY(TODAY(),2)+1,tbl_chests[datetime],"&lt;"&amp;TODAY()-WEEKDAY(TODAY(),2)+8)))</f>
        <v>0</v>
      </c>
      <c r="V59" s="36">
        <f ca="1">IF($A59="","",IF(V$1="","",COUNTIFS(tbl_chests[from],$A59,tbl_chests[legalized],V$1,tbl_chests[datetime],"&gt;="&amp;TODAY()-WEEKDAY(TODAY(),2)+1,tbl_chests[datetime],"&lt;"&amp;TODAY()-WEEKDAY(TODAY(),2)+8)))</f>
        <v>0</v>
      </c>
      <c r="W59" s="36">
        <f ca="1">IF($A59="","",IF(W$1="","",COUNTIFS(tbl_chests[from],$A59,tbl_chests[legalized],W$1,tbl_chests[datetime],"&gt;="&amp;TODAY()-WEEKDAY(TODAY(),2)+1,tbl_chests[datetime],"&lt;"&amp;TODAY()-WEEKDAY(TODAY(),2)+8)))</f>
        <v>0</v>
      </c>
      <c r="X59" s="36">
        <f ca="1">IF($A59="","",IF(X$1="","",COUNTIFS(tbl_chests[from],$A59,tbl_chests[legalized],X$1,tbl_chests[datetime],"&gt;="&amp;TODAY()-WEEKDAY(TODAY(),2)+1,tbl_chests[datetime],"&lt;"&amp;TODAY()-WEEKDAY(TODAY(),2)+8)))</f>
        <v>0</v>
      </c>
      <c r="Y59" s="36">
        <f ca="1">IF($A59="","",IF(Y$1="","",COUNTIFS(tbl_chests[from],$A59,tbl_chests[legalized],Y$1,tbl_chests[datetime],"&gt;="&amp;TODAY()-WEEKDAY(TODAY(),2)+1,tbl_chests[datetime],"&lt;"&amp;TODAY()-WEEKDAY(TODAY(),2)+8)))</f>
        <v>0</v>
      </c>
      <c r="Z59" s="36">
        <f ca="1">IF($A59="","",IF(Z$1="","",COUNTIFS(tbl_chests[from],$A59,tbl_chests[legalized],Z$1,tbl_chests[datetime],"&gt;="&amp;TODAY()-WEEKDAY(TODAY(),2)+1,tbl_chests[datetime],"&lt;"&amp;TODAY()-WEEKDAY(TODAY(),2)+8)))</f>
        <v>0</v>
      </c>
      <c r="AA59" s="36">
        <f ca="1">IF($A59="","",IF(AA$1="","",COUNTIFS(tbl_chests[from],$A59,tbl_chests[legalized],AA$1,tbl_chests[datetime],"&gt;="&amp;TODAY()-WEEKDAY(TODAY(),2)+1,tbl_chests[datetime],"&lt;"&amp;TODAY()-WEEKDAY(TODAY(),2)+8)))</f>
        <v>0</v>
      </c>
      <c r="AB59" s="36">
        <f ca="1">IF($A59="","",IF(AB$1="","",COUNTIFS(tbl_chests[from],$A59,tbl_chests[legalized],AB$1,tbl_chests[datetime],"&gt;="&amp;TODAY()-WEEKDAY(TODAY(),2)+1,tbl_chests[datetime],"&lt;"&amp;TODAY()-WEEKDAY(TODAY(),2)+8)))</f>
        <v>0</v>
      </c>
      <c r="AC59" s="36">
        <f ca="1">IF($A59="","",IF(AC$1="","",COUNTIFS(tbl_chests[from],$A59,tbl_chests[legalized],AC$1,tbl_chests[datetime],"&gt;="&amp;TODAY()-WEEKDAY(TODAY(),2)+1,tbl_chests[datetime],"&lt;"&amp;TODAY()-WEEKDAY(TODAY(),2)+8)))</f>
        <v>0</v>
      </c>
      <c r="AD59" s="36">
        <f ca="1">IF($A59="","",IF(AD$1="","",COUNTIFS(tbl_chests[from],$A59,tbl_chests[legalized],AD$1,tbl_chests[datetime],"&gt;="&amp;TODAY()-WEEKDAY(TODAY(),2)+1,tbl_chests[datetime],"&lt;"&amp;TODAY()-WEEKDAY(TODAY(),2)+8)))</f>
        <v>0</v>
      </c>
      <c r="AE59" s="36">
        <f ca="1">IF($A59="","",IF(AE$1="","",COUNTIFS(tbl_chests[from],$A59,tbl_chests[legalized],AE$1,tbl_chests[datetime],"&gt;="&amp;TODAY()-WEEKDAY(TODAY(),2)+1,tbl_chests[datetime],"&lt;"&amp;TODAY()-WEEKDAY(TODAY(),2)+8)))</f>
        <v>0</v>
      </c>
      <c r="AF59" s="36">
        <f ca="1">IF($A59="","",IF(AF$1="","",COUNTIFS(tbl_chests[from],$A59,tbl_chests[legalized],AF$1,tbl_chests[datetime],"&gt;="&amp;TODAY()-WEEKDAY(TODAY(),2)+1,tbl_chests[datetime],"&lt;"&amp;TODAY()-WEEKDAY(TODAY(),2)+8)))</f>
        <v>0</v>
      </c>
      <c r="AG59" s="36">
        <f ca="1">IF($A59="","",IF(AG$1="","",COUNTIFS(tbl_chests[from],$A59,tbl_chests[legalized],AG$1,tbl_chests[datetime],"&gt;="&amp;TODAY()-WEEKDAY(TODAY(),2)+1,tbl_chests[datetime],"&lt;"&amp;TODAY()-WEEKDAY(TODAY(),2)+8)))</f>
        <v>0</v>
      </c>
      <c r="AH59" s="36">
        <f ca="1">IF($A59="","",IF(AH$1="","",COUNTIFS(tbl_chests[from],$A59,tbl_chests[legalized],AH$1,tbl_chests[datetime],"&gt;="&amp;TODAY()-WEEKDAY(TODAY(),2)+1,tbl_chests[datetime],"&lt;"&amp;TODAY()-WEEKDAY(TODAY(),2)+8)))</f>
        <v>0</v>
      </c>
      <c r="AI59" s="36">
        <f ca="1">IF($A59="","",IF(AI$1="","",COUNTIFS(tbl_chests[from],$A59,tbl_chests[legalized],AI$1,tbl_chests[datetime],"&gt;="&amp;TODAY()-WEEKDAY(TODAY(),2)+1,tbl_chests[datetime],"&lt;"&amp;TODAY()-WEEKDAY(TODAY(),2)+8)))</f>
        <v>0</v>
      </c>
      <c r="AJ59" s="36">
        <f ca="1">IF($A59="","",IF(AJ$1="","",COUNTIFS(tbl_chests[from],$A59,tbl_chests[legalized],AJ$1,tbl_chests[datetime],"&gt;="&amp;TODAY()-WEEKDAY(TODAY(),2)+1,tbl_chests[datetime],"&lt;"&amp;TODAY()-WEEKDAY(TODAY(),2)+8)))</f>
        <v>0</v>
      </c>
      <c r="AK59" s="36">
        <f ca="1">IF($A59="","",IF(AK$1="","",COUNTIFS(tbl_chests[from],$A59,tbl_chests[legalized],AK$1,tbl_chests[datetime],"&gt;="&amp;TODAY()-WEEKDAY(TODAY(),2)+1,tbl_chests[datetime],"&lt;"&amp;TODAY()-WEEKDAY(TODAY(),2)+8)))</f>
        <v>0</v>
      </c>
      <c r="AL59" s="36">
        <f ca="1">IF($A59="","",IF(AL$1="","",COUNTIFS(tbl_chests[from],$A59,tbl_chests[legalized],AL$1,tbl_chests[datetime],"&gt;="&amp;TODAY()-WEEKDAY(TODAY(),2)+1,tbl_chests[datetime],"&lt;"&amp;TODAY()-WEEKDAY(TODAY(),2)+8)))</f>
        <v>0</v>
      </c>
      <c r="AM59" s="37">
        <f ca="1">IF($A59="","",IF(AM$1="","",COUNTIFS(tbl_chests[from],$A59,tbl_chests[legalized],AM$1,tbl_chests[datetime],"&gt;="&amp;TODAY()-WEEKDAY(TODAY(),2)+1,tbl_chests[datetime],"&lt;"&amp;TODAY()-WEEKDAY(TODAY(),2)+8)))</f>
        <v>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pans="1:67" ht="15.75" customHeight="1" x14ac:dyDescent="0.25">
      <c r="A60" s="34">
        <f>chests_counter!$H57</f>
        <v>0</v>
      </c>
      <c r="B60" s="35" cm="1">
        <f t="array" aca="1" ref="B60" ca="1">IF(A60&lt;&gt;"", SUMPRODUCT(($C$2:$AM$2&lt;&gt;0)*(C60:AM60&lt;&gt;0)*($C$2:$AM$2)*(C60:AM60)), "")</f>
        <v>0</v>
      </c>
      <c r="C60" s="36">
        <f ca="1">IF($A60="","",IF(C$1="","",COUNTIFS(tbl_chests[from],$A60,tbl_chests[legalized],C$1,tbl_chests[datetime],"&gt;="&amp;TODAY()-WEEKDAY(TODAY(),2)+1,tbl_chests[datetime],"&lt;"&amp;TODAY()-WEEKDAY(TODAY(),2)+8)))</f>
        <v>0</v>
      </c>
      <c r="D60" s="36">
        <f ca="1">IF($A60="","",IF(D$1="","",COUNTIFS(tbl_chests[from],$A60,tbl_chests[legalized],D$1,tbl_chests[datetime],"&gt;="&amp;TODAY()-WEEKDAY(TODAY(),2)+1,tbl_chests[datetime],"&lt;"&amp;TODAY()-WEEKDAY(TODAY(),2)+8)))</f>
        <v>0</v>
      </c>
      <c r="E60" s="36">
        <f ca="1">IF($A60="","",IF(E$1="","",COUNTIFS(tbl_chests[from],$A60,tbl_chests[legalized],E$1,tbl_chests[datetime],"&gt;="&amp;TODAY()-WEEKDAY(TODAY(),2)+1,tbl_chests[datetime],"&lt;"&amp;TODAY()-WEEKDAY(TODAY(),2)+8)))</f>
        <v>0</v>
      </c>
      <c r="F60" s="36">
        <f ca="1">IF($A60="","",IF(F$1="","",COUNTIFS(tbl_chests[from],$A60,tbl_chests[legalized],F$1,tbl_chests[datetime],"&gt;="&amp;TODAY()-WEEKDAY(TODAY(),2)+1,tbl_chests[datetime],"&lt;"&amp;TODAY()-WEEKDAY(TODAY(),2)+8)))</f>
        <v>0</v>
      </c>
      <c r="G60" s="36">
        <f ca="1">IF($A60="","",IF(G$1="","",COUNTIFS(tbl_chests[from],$A60,tbl_chests[legalized],G$1,tbl_chests[datetime],"&gt;="&amp;TODAY()-WEEKDAY(TODAY(),2)+1,tbl_chests[datetime],"&lt;"&amp;TODAY()-WEEKDAY(TODAY(),2)+8)))</f>
        <v>0</v>
      </c>
      <c r="H60" s="36">
        <f ca="1">IF($A60="","",IF(H$1="","",COUNTIFS(tbl_chests[from],$A60,tbl_chests[legalized],H$1,tbl_chests[datetime],"&gt;="&amp;TODAY()-WEEKDAY(TODAY(),2)+1,tbl_chests[datetime],"&lt;"&amp;TODAY()-WEEKDAY(TODAY(),2)+8)))</f>
        <v>0</v>
      </c>
      <c r="I60" s="36">
        <f ca="1">IF($A60="","",IF(I$1="","",COUNTIFS(tbl_chests[from],$A60,tbl_chests[legalized],I$1,tbl_chests[datetime],"&gt;="&amp;TODAY()-WEEKDAY(TODAY(),2)+1,tbl_chests[datetime],"&lt;"&amp;TODAY()-WEEKDAY(TODAY(),2)+8)))</f>
        <v>0</v>
      </c>
      <c r="J60" s="36">
        <f ca="1">IF($A60="","",IF(J$1="","",COUNTIFS(tbl_chests[from],$A60,tbl_chests[legalized],J$1,tbl_chests[datetime],"&gt;="&amp;TODAY()-WEEKDAY(TODAY(),2)+1,tbl_chests[datetime],"&lt;"&amp;TODAY()-WEEKDAY(TODAY(),2)+8)))</f>
        <v>0</v>
      </c>
      <c r="K60" s="36">
        <f ca="1">IF($A60="","",IF(K$1="","",COUNTIFS(tbl_chests[from],$A60,tbl_chests[legalized],K$1,tbl_chests[datetime],"&gt;="&amp;TODAY()-WEEKDAY(TODAY(),2)+1,tbl_chests[datetime],"&lt;"&amp;TODAY()-WEEKDAY(TODAY(),2)+8)))</f>
        <v>0</v>
      </c>
      <c r="L60" s="36">
        <f ca="1">IF($A60="","",IF(L$1="","",COUNTIFS(tbl_chests[from],$A60,tbl_chests[legalized],L$1,tbl_chests[datetime],"&gt;="&amp;TODAY()-WEEKDAY(TODAY(),2)+1,tbl_chests[datetime],"&lt;"&amp;TODAY()-WEEKDAY(TODAY(),2)+8)))</f>
        <v>0</v>
      </c>
      <c r="M60" s="36">
        <f ca="1">IF($A60="","",IF(M$1="","",COUNTIFS(tbl_chests[from],$A60,tbl_chests[legalized],M$1,tbl_chests[datetime],"&gt;="&amp;TODAY()-WEEKDAY(TODAY(),2)+1,tbl_chests[datetime],"&lt;"&amp;TODAY()-WEEKDAY(TODAY(),2)+8)))</f>
        <v>0</v>
      </c>
      <c r="N60" s="36">
        <f ca="1">IF($A60="","",IF(N$1="","",COUNTIFS(tbl_chests[from],$A60,tbl_chests[legalized],N$1,tbl_chests[datetime],"&gt;="&amp;TODAY()-WEEKDAY(TODAY(),2)+1,tbl_chests[datetime],"&lt;"&amp;TODAY()-WEEKDAY(TODAY(),2)+8)))</f>
        <v>0</v>
      </c>
      <c r="O60" s="36">
        <f ca="1">IF($A60="","",IF(O$1="","",COUNTIFS(tbl_chests[from],$A60,tbl_chests[legalized],O$1,tbl_chests[datetime],"&gt;="&amp;TODAY()-WEEKDAY(TODAY(),2)+1,tbl_chests[datetime],"&lt;"&amp;TODAY()-WEEKDAY(TODAY(),2)+8)))</f>
        <v>0</v>
      </c>
      <c r="P60" s="36">
        <f ca="1">IF($A60="","",IF(P$1="","",COUNTIFS(tbl_chests[from],$A60,tbl_chests[legalized],P$1,tbl_chests[datetime],"&gt;="&amp;TODAY()-WEEKDAY(TODAY(),2)+1,tbl_chests[datetime],"&lt;"&amp;TODAY()-WEEKDAY(TODAY(),2)+8)))</f>
        <v>0</v>
      </c>
      <c r="Q60" s="36">
        <f ca="1">IF($A60="","",IF(Q$1="","",COUNTIFS(tbl_chests[from],$A60,tbl_chests[legalized],Q$1,tbl_chests[datetime],"&gt;="&amp;TODAY()-WEEKDAY(TODAY(),2)+1,tbl_chests[datetime],"&lt;"&amp;TODAY()-WEEKDAY(TODAY(),2)+8)))</f>
        <v>0</v>
      </c>
      <c r="R60" s="36">
        <f ca="1">IF($A60="","",IF(R$1="","",COUNTIFS(tbl_chests[from],$A60,tbl_chests[legalized],R$1,tbl_chests[datetime],"&gt;="&amp;TODAY()-WEEKDAY(TODAY(),2)+1,tbl_chests[datetime],"&lt;"&amp;TODAY()-WEEKDAY(TODAY(),2)+8)))</f>
        <v>0</v>
      </c>
      <c r="S60" s="36">
        <f ca="1">IF($A60="","",IF(S$1="","",COUNTIFS(tbl_chests[from],$A60,tbl_chests[legalized],S$1,tbl_chests[datetime],"&gt;="&amp;TODAY()-WEEKDAY(TODAY(),2)+1,tbl_chests[datetime],"&lt;"&amp;TODAY()-WEEKDAY(TODAY(),2)+8)))</f>
        <v>0</v>
      </c>
      <c r="T60" s="36">
        <f ca="1">IF($A60="","",IF(T$1="","",COUNTIFS(tbl_chests[from],$A60,tbl_chests[legalized],T$1,tbl_chests[datetime],"&gt;="&amp;TODAY()-WEEKDAY(TODAY(),2)+1,tbl_chests[datetime],"&lt;"&amp;TODAY()-WEEKDAY(TODAY(),2)+8)))</f>
        <v>0</v>
      </c>
      <c r="U60" s="36">
        <f ca="1">IF($A60="","",IF(U$1="","",COUNTIFS(tbl_chests[from],$A60,tbl_chests[legalized],U$1,tbl_chests[datetime],"&gt;="&amp;TODAY()-WEEKDAY(TODAY(),2)+1,tbl_chests[datetime],"&lt;"&amp;TODAY()-WEEKDAY(TODAY(),2)+8)))</f>
        <v>0</v>
      </c>
      <c r="V60" s="36">
        <f ca="1">IF($A60="","",IF(V$1="","",COUNTIFS(tbl_chests[from],$A60,tbl_chests[legalized],V$1,tbl_chests[datetime],"&gt;="&amp;TODAY()-WEEKDAY(TODAY(),2)+1,tbl_chests[datetime],"&lt;"&amp;TODAY()-WEEKDAY(TODAY(),2)+8)))</f>
        <v>0</v>
      </c>
      <c r="W60" s="36">
        <f ca="1">IF($A60="","",IF(W$1="","",COUNTIFS(tbl_chests[from],$A60,tbl_chests[legalized],W$1,tbl_chests[datetime],"&gt;="&amp;TODAY()-WEEKDAY(TODAY(),2)+1,tbl_chests[datetime],"&lt;"&amp;TODAY()-WEEKDAY(TODAY(),2)+8)))</f>
        <v>0</v>
      </c>
      <c r="X60" s="36">
        <f ca="1">IF($A60="","",IF(X$1="","",COUNTIFS(tbl_chests[from],$A60,tbl_chests[legalized],X$1,tbl_chests[datetime],"&gt;="&amp;TODAY()-WEEKDAY(TODAY(),2)+1,tbl_chests[datetime],"&lt;"&amp;TODAY()-WEEKDAY(TODAY(),2)+8)))</f>
        <v>0</v>
      </c>
      <c r="Y60" s="36">
        <f ca="1">IF($A60="","",IF(Y$1="","",COUNTIFS(tbl_chests[from],$A60,tbl_chests[legalized],Y$1,tbl_chests[datetime],"&gt;="&amp;TODAY()-WEEKDAY(TODAY(),2)+1,tbl_chests[datetime],"&lt;"&amp;TODAY()-WEEKDAY(TODAY(),2)+8)))</f>
        <v>0</v>
      </c>
      <c r="Z60" s="36">
        <f ca="1">IF($A60="","",IF(Z$1="","",COUNTIFS(tbl_chests[from],$A60,tbl_chests[legalized],Z$1,tbl_chests[datetime],"&gt;="&amp;TODAY()-WEEKDAY(TODAY(),2)+1,tbl_chests[datetime],"&lt;"&amp;TODAY()-WEEKDAY(TODAY(),2)+8)))</f>
        <v>0</v>
      </c>
      <c r="AA60" s="36">
        <f ca="1">IF($A60="","",IF(AA$1="","",COUNTIFS(tbl_chests[from],$A60,tbl_chests[legalized],AA$1,tbl_chests[datetime],"&gt;="&amp;TODAY()-WEEKDAY(TODAY(),2)+1,tbl_chests[datetime],"&lt;"&amp;TODAY()-WEEKDAY(TODAY(),2)+8)))</f>
        <v>0</v>
      </c>
      <c r="AB60" s="36">
        <f ca="1">IF($A60="","",IF(AB$1="","",COUNTIFS(tbl_chests[from],$A60,tbl_chests[legalized],AB$1,tbl_chests[datetime],"&gt;="&amp;TODAY()-WEEKDAY(TODAY(),2)+1,tbl_chests[datetime],"&lt;"&amp;TODAY()-WEEKDAY(TODAY(),2)+8)))</f>
        <v>0</v>
      </c>
      <c r="AC60" s="36">
        <f ca="1">IF($A60="","",IF(AC$1="","",COUNTIFS(tbl_chests[from],$A60,tbl_chests[legalized],AC$1,tbl_chests[datetime],"&gt;="&amp;TODAY()-WEEKDAY(TODAY(),2)+1,tbl_chests[datetime],"&lt;"&amp;TODAY()-WEEKDAY(TODAY(),2)+8)))</f>
        <v>0</v>
      </c>
      <c r="AD60" s="36">
        <f ca="1">IF($A60="","",IF(AD$1="","",COUNTIFS(tbl_chests[from],$A60,tbl_chests[legalized],AD$1,tbl_chests[datetime],"&gt;="&amp;TODAY()-WEEKDAY(TODAY(),2)+1,tbl_chests[datetime],"&lt;"&amp;TODAY()-WEEKDAY(TODAY(),2)+8)))</f>
        <v>0</v>
      </c>
      <c r="AE60" s="36">
        <f ca="1">IF($A60="","",IF(AE$1="","",COUNTIFS(tbl_chests[from],$A60,tbl_chests[legalized],AE$1,tbl_chests[datetime],"&gt;="&amp;TODAY()-WEEKDAY(TODAY(),2)+1,tbl_chests[datetime],"&lt;"&amp;TODAY()-WEEKDAY(TODAY(),2)+8)))</f>
        <v>0</v>
      </c>
      <c r="AF60" s="36">
        <f ca="1">IF($A60="","",IF(AF$1="","",COUNTIFS(tbl_chests[from],$A60,tbl_chests[legalized],AF$1,tbl_chests[datetime],"&gt;="&amp;TODAY()-WEEKDAY(TODAY(),2)+1,tbl_chests[datetime],"&lt;"&amp;TODAY()-WEEKDAY(TODAY(),2)+8)))</f>
        <v>0</v>
      </c>
      <c r="AG60" s="36">
        <f ca="1">IF($A60="","",IF(AG$1="","",COUNTIFS(tbl_chests[from],$A60,tbl_chests[legalized],AG$1,tbl_chests[datetime],"&gt;="&amp;TODAY()-WEEKDAY(TODAY(),2)+1,tbl_chests[datetime],"&lt;"&amp;TODAY()-WEEKDAY(TODAY(),2)+8)))</f>
        <v>0</v>
      </c>
      <c r="AH60" s="36">
        <f ca="1">IF($A60="","",IF(AH$1="","",COUNTIFS(tbl_chests[from],$A60,tbl_chests[legalized],AH$1,tbl_chests[datetime],"&gt;="&amp;TODAY()-WEEKDAY(TODAY(),2)+1,tbl_chests[datetime],"&lt;"&amp;TODAY()-WEEKDAY(TODAY(),2)+8)))</f>
        <v>0</v>
      </c>
      <c r="AI60" s="36">
        <f ca="1">IF($A60="","",IF(AI$1="","",COUNTIFS(tbl_chests[from],$A60,tbl_chests[legalized],AI$1,tbl_chests[datetime],"&gt;="&amp;TODAY()-WEEKDAY(TODAY(),2)+1,tbl_chests[datetime],"&lt;"&amp;TODAY()-WEEKDAY(TODAY(),2)+8)))</f>
        <v>0</v>
      </c>
      <c r="AJ60" s="36">
        <f ca="1">IF($A60="","",IF(AJ$1="","",COUNTIFS(tbl_chests[from],$A60,tbl_chests[legalized],AJ$1,tbl_chests[datetime],"&gt;="&amp;TODAY()-WEEKDAY(TODAY(),2)+1,tbl_chests[datetime],"&lt;"&amp;TODAY()-WEEKDAY(TODAY(),2)+8)))</f>
        <v>0</v>
      </c>
      <c r="AK60" s="36">
        <f ca="1">IF($A60="","",IF(AK$1="","",COUNTIFS(tbl_chests[from],$A60,tbl_chests[legalized],AK$1,tbl_chests[datetime],"&gt;="&amp;TODAY()-WEEKDAY(TODAY(),2)+1,tbl_chests[datetime],"&lt;"&amp;TODAY()-WEEKDAY(TODAY(),2)+8)))</f>
        <v>0</v>
      </c>
      <c r="AL60" s="36">
        <f ca="1">IF($A60="","",IF(AL$1="","",COUNTIFS(tbl_chests[from],$A60,tbl_chests[legalized],AL$1,tbl_chests[datetime],"&gt;="&amp;TODAY()-WEEKDAY(TODAY(),2)+1,tbl_chests[datetime],"&lt;"&amp;TODAY()-WEEKDAY(TODAY(),2)+8)))</f>
        <v>0</v>
      </c>
      <c r="AM60" s="37">
        <f ca="1">IF($A60="","",IF(AM$1="","",COUNTIFS(tbl_chests[from],$A60,tbl_chests[legalized],AM$1,tbl_chests[datetime],"&gt;="&amp;TODAY()-WEEKDAY(TODAY(),2)+1,tbl_chests[datetime],"&lt;"&amp;TODAY()-WEEKDAY(TODAY(),2)+8)))</f>
        <v>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pans="1:67" ht="15.75" customHeight="1" x14ac:dyDescent="0.25">
      <c r="A61" s="34">
        <f>chests_counter!$H58</f>
        <v>0</v>
      </c>
      <c r="B61" s="35" cm="1">
        <f t="array" aca="1" ref="B61" ca="1">IF(A61&lt;&gt;"", SUMPRODUCT(($C$2:$AM$2&lt;&gt;0)*(C61:AM61&lt;&gt;0)*($C$2:$AM$2)*(C61:AM61)), "")</f>
        <v>0</v>
      </c>
      <c r="C61" s="36">
        <f ca="1">IF($A61="","",IF(C$1="","",COUNTIFS(tbl_chests[from],$A61,tbl_chests[legalized],C$1,tbl_chests[datetime],"&gt;="&amp;TODAY()-WEEKDAY(TODAY(),2)+1,tbl_chests[datetime],"&lt;"&amp;TODAY()-WEEKDAY(TODAY(),2)+8)))</f>
        <v>0</v>
      </c>
      <c r="D61" s="36">
        <f ca="1">IF($A61="","",IF(D$1="","",COUNTIFS(tbl_chests[from],$A61,tbl_chests[legalized],D$1,tbl_chests[datetime],"&gt;="&amp;TODAY()-WEEKDAY(TODAY(),2)+1,tbl_chests[datetime],"&lt;"&amp;TODAY()-WEEKDAY(TODAY(),2)+8)))</f>
        <v>0</v>
      </c>
      <c r="E61" s="36">
        <f ca="1">IF($A61="","",IF(E$1="","",COUNTIFS(tbl_chests[from],$A61,tbl_chests[legalized],E$1,tbl_chests[datetime],"&gt;="&amp;TODAY()-WEEKDAY(TODAY(),2)+1,tbl_chests[datetime],"&lt;"&amp;TODAY()-WEEKDAY(TODAY(),2)+8)))</f>
        <v>0</v>
      </c>
      <c r="F61" s="36">
        <f ca="1">IF($A61="","",IF(F$1="","",COUNTIFS(tbl_chests[from],$A61,tbl_chests[legalized],F$1,tbl_chests[datetime],"&gt;="&amp;TODAY()-WEEKDAY(TODAY(),2)+1,tbl_chests[datetime],"&lt;"&amp;TODAY()-WEEKDAY(TODAY(),2)+8)))</f>
        <v>0</v>
      </c>
      <c r="G61" s="36">
        <f ca="1">IF($A61="","",IF(G$1="","",COUNTIFS(tbl_chests[from],$A61,tbl_chests[legalized],G$1,tbl_chests[datetime],"&gt;="&amp;TODAY()-WEEKDAY(TODAY(),2)+1,tbl_chests[datetime],"&lt;"&amp;TODAY()-WEEKDAY(TODAY(),2)+8)))</f>
        <v>0</v>
      </c>
      <c r="H61" s="36">
        <f ca="1">IF($A61="","",IF(H$1="","",COUNTIFS(tbl_chests[from],$A61,tbl_chests[legalized],H$1,tbl_chests[datetime],"&gt;="&amp;TODAY()-WEEKDAY(TODAY(),2)+1,tbl_chests[datetime],"&lt;"&amp;TODAY()-WEEKDAY(TODAY(),2)+8)))</f>
        <v>0</v>
      </c>
      <c r="I61" s="36">
        <f ca="1">IF($A61="","",IF(I$1="","",COUNTIFS(tbl_chests[from],$A61,tbl_chests[legalized],I$1,tbl_chests[datetime],"&gt;="&amp;TODAY()-WEEKDAY(TODAY(),2)+1,tbl_chests[datetime],"&lt;"&amp;TODAY()-WEEKDAY(TODAY(),2)+8)))</f>
        <v>0</v>
      </c>
      <c r="J61" s="36">
        <f ca="1">IF($A61="","",IF(J$1="","",COUNTIFS(tbl_chests[from],$A61,tbl_chests[legalized],J$1,tbl_chests[datetime],"&gt;="&amp;TODAY()-WEEKDAY(TODAY(),2)+1,tbl_chests[datetime],"&lt;"&amp;TODAY()-WEEKDAY(TODAY(),2)+8)))</f>
        <v>0</v>
      </c>
      <c r="K61" s="36">
        <f ca="1">IF($A61="","",IF(K$1="","",COUNTIFS(tbl_chests[from],$A61,tbl_chests[legalized],K$1,tbl_chests[datetime],"&gt;="&amp;TODAY()-WEEKDAY(TODAY(),2)+1,tbl_chests[datetime],"&lt;"&amp;TODAY()-WEEKDAY(TODAY(),2)+8)))</f>
        <v>0</v>
      </c>
      <c r="L61" s="36">
        <f ca="1">IF($A61="","",IF(L$1="","",COUNTIFS(tbl_chests[from],$A61,tbl_chests[legalized],L$1,tbl_chests[datetime],"&gt;="&amp;TODAY()-WEEKDAY(TODAY(),2)+1,tbl_chests[datetime],"&lt;"&amp;TODAY()-WEEKDAY(TODAY(),2)+8)))</f>
        <v>0</v>
      </c>
      <c r="M61" s="36">
        <f ca="1">IF($A61="","",IF(M$1="","",COUNTIFS(tbl_chests[from],$A61,tbl_chests[legalized],M$1,tbl_chests[datetime],"&gt;="&amp;TODAY()-WEEKDAY(TODAY(),2)+1,tbl_chests[datetime],"&lt;"&amp;TODAY()-WEEKDAY(TODAY(),2)+8)))</f>
        <v>0</v>
      </c>
      <c r="N61" s="36">
        <f ca="1">IF($A61="","",IF(N$1="","",COUNTIFS(tbl_chests[from],$A61,tbl_chests[legalized],N$1,tbl_chests[datetime],"&gt;="&amp;TODAY()-WEEKDAY(TODAY(),2)+1,tbl_chests[datetime],"&lt;"&amp;TODAY()-WEEKDAY(TODAY(),2)+8)))</f>
        <v>0</v>
      </c>
      <c r="O61" s="36">
        <f ca="1">IF($A61="","",IF(O$1="","",COUNTIFS(tbl_chests[from],$A61,tbl_chests[legalized],O$1,tbl_chests[datetime],"&gt;="&amp;TODAY()-WEEKDAY(TODAY(),2)+1,tbl_chests[datetime],"&lt;"&amp;TODAY()-WEEKDAY(TODAY(),2)+8)))</f>
        <v>0</v>
      </c>
      <c r="P61" s="36">
        <f ca="1">IF($A61="","",IF(P$1="","",COUNTIFS(tbl_chests[from],$A61,tbl_chests[legalized],P$1,tbl_chests[datetime],"&gt;="&amp;TODAY()-WEEKDAY(TODAY(),2)+1,tbl_chests[datetime],"&lt;"&amp;TODAY()-WEEKDAY(TODAY(),2)+8)))</f>
        <v>0</v>
      </c>
      <c r="Q61" s="36">
        <f ca="1">IF($A61="","",IF(Q$1="","",COUNTIFS(tbl_chests[from],$A61,tbl_chests[legalized],Q$1,tbl_chests[datetime],"&gt;="&amp;TODAY()-WEEKDAY(TODAY(),2)+1,tbl_chests[datetime],"&lt;"&amp;TODAY()-WEEKDAY(TODAY(),2)+8)))</f>
        <v>0</v>
      </c>
      <c r="R61" s="36">
        <f ca="1">IF($A61="","",IF(R$1="","",COUNTIFS(tbl_chests[from],$A61,tbl_chests[legalized],R$1,tbl_chests[datetime],"&gt;="&amp;TODAY()-WEEKDAY(TODAY(),2)+1,tbl_chests[datetime],"&lt;"&amp;TODAY()-WEEKDAY(TODAY(),2)+8)))</f>
        <v>0</v>
      </c>
      <c r="S61" s="36">
        <f ca="1">IF($A61="","",IF(S$1="","",COUNTIFS(tbl_chests[from],$A61,tbl_chests[legalized],S$1,tbl_chests[datetime],"&gt;="&amp;TODAY()-WEEKDAY(TODAY(),2)+1,tbl_chests[datetime],"&lt;"&amp;TODAY()-WEEKDAY(TODAY(),2)+8)))</f>
        <v>0</v>
      </c>
      <c r="T61" s="36">
        <f ca="1">IF($A61="","",IF(T$1="","",COUNTIFS(tbl_chests[from],$A61,tbl_chests[legalized],T$1,tbl_chests[datetime],"&gt;="&amp;TODAY()-WEEKDAY(TODAY(),2)+1,tbl_chests[datetime],"&lt;"&amp;TODAY()-WEEKDAY(TODAY(),2)+8)))</f>
        <v>0</v>
      </c>
      <c r="U61" s="36">
        <f ca="1">IF($A61="","",IF(U$1="","",COUNTIFS(tbl_chests[from],$A61,tbl_chests[legalized],U$1,tbl_chests[datetime],"&gt;="&amp;TODAY()-WEEKDAY(TODAY(),2)+1,tbl_chests[datetime],"&lt;"&amp;TODAY()-WEEKDAY(TODAY(),2)+8)))</f>
        <v>0</v>
      </c>
      <c r="V61" s="36">
        <f ca="1">IF($A61="","",IF(V$1="","",COUNTIFS(tbl_chests[from],$A61,tbl_chests[legalized],V$1,tbl_chests[datetime],"&gt;="&amp;TODAY()-WEEKDAY(TODAY(),2)+1,tbl_chests[datetime],"&lt;"&amp;TODAY()-WEEKDAY(TODAY(),2)+8)))</f>
        <v>0</v>
      </c>
      <c r="W61" s="36">
        <f ca="1">IF($A61="","",IF(W$1="","",COUNTIFS(tbl_chests[from],$A61,tbl_chests[legalized],W$1,tbl_chests[datetime],"&gt;="&amp;TODAY()-WEEKDAY(TODAY(),2)+1,tbl_chests[datetime],"&lt;"&amp;TODAY()-WEEKDAY(TODAY(),2)+8)))</f>
        <v>0</v>
      </c>
      <c r="X61" s="36">
        <f ca="1">IF($A61="","",IF(X$1="","",COUNTIFS(tbl_chests[from],$A61,tbl_chests[legalized],X$1,tbl_chests[datetime],"&gt;="&amp;TODAY()-WEEKDAY(TODAY(),2)+1,tbl_chests[datetime],"&lt;"&amp;TODAY()-WEEKDAY(TODAY(),2)+8)))</f>
        <v>0</v>
      </c>
      <c r="Y61" s="36">
        <f ca="1">IF($A61="","",IF(Y$1="","",COUNTIFS(tbl_chests[from],$A61,tbl_chests[legalized],Y$1,tbl_chests[datetime],"&gt;="&amp;TODAY()-WEEKDAY(TODAY(),2)+1,tbl_chests[datetime],"&lt;"&amp;TODAY()-WEEKDAY(TODAY(),2)+8)))</f>
        <v>0</v>
      </c>
      <c r="Z61" s="36">
        <f ca="1">IF($A61="","",IF(Z$1="","",COUNTIFS(tbl_chests[from],$A61,tbl_chests[legalized],Z$1,tbl_chests[datetime],"&gt;="&amp;TODAY()-WEEKDAY(TODAY(),2)+1,tbl_chests[datetime],"&lt;"&amp;TODAY()-WEEKDAY(TODAY(),2)+8)))</f>
        <v>0</v>
      </c>
      <c r="AA61" s="36">
        <f ca="1">IF($A61="","",IF(AA$1="","",COUNTIFS(tbl_chests[from],$A61,tbl_chests[legalized],AA$1,tbl_chests[datetime],"&gt;="&amp;TODAY()-WEEKDAY(TODAY(),2)+1,tbl_chests[datetime],"&lt;"&amp;TODAY()-WEEKDAY(TODAY(),2)+8)))</f>
        <v>0</v>
      </c>
      <c r="AB61" s="36">
        <f ca="1">IF($A61="","",IF(AB$1="","",COUNTIFS(tbl_chests[from],$A61,tbl_chests[legalized],AB$1,tbl_chests[datetime],"&gt;="&amp;TODAY()-WEEKDAY(TODAY(),2)+1,tbl_chests[datetime],"&lt;"&amp;TODAY()-WEEKDAY(TODAY(),2)+8)))</f>
        <v>0</v>
      </c>
      <c r="AC61" s="36">
        <f ca="1">IF($A61="","",IF(AC$1="","",COUNTIFS(tbl_chests[from],$A61,tbl_chests[legalized],AC$1,tbl_chests[datetime],"&gt;="&amp;TODAY()-WEEKDAY(TODAY(),2)+1,tbl_chests[datetime],"&lt;"&amp;TODAY()-WEEKDAY(TODAY(),2)+8)))</f>
        <v>0</v>
      </c>
      <c r="AD61" s="36">
        <f ca="1">IF($A61="","",IF(AD$1="","",COUNTIFS(tbl_chests[from],$A61,tbl_chests[legalized],AD$1,tbl_chests[datetime],"&gt;="&amp;TODAY()-WEEKDAY(TODAY(),2)+1,tbl_chests[datetime],"&lt;"&amp;TODAY()-WEEKDAY(TODAY(),2)+8)))</f>
        <v>0</v>
      </c>
      <c r="AE61" s="36">
        <f ca="1">IF($A61="","",IF(AE$1="","",COUNTIFS(tbl_chests[from],$A61,tbl_chests[legalized],AE$1,tbl_chests[datetime],"&gt;="&amp;TODAY()-WEEKDAY(TODAY(),2)+1,tbl_chests[datetime],"&lt;"&amp;TODAY()-WEEKDAY(TODAY(),2)+8)))</f>
        <v>0</v>
      </c>
      <c r="AF61" s="36">
        <f ca="1">IF($A61="","",IF(AF$1="","",COUNTIFS(tbl_chests[from],$A61,tbl_chests[legalized],AF$1,tbl_chests[datetime],"&gt;="&amp;TODAY()-WEEKDAY(TODAY(),2)+1,tbl_chests[datetime],"&lt;"&amp;TODAY()-WEEKDAY(TODAY(),2)+8)))</f>
        <v>0</v>
      </c>
      <c r="AG61" s="36">
        <f ca="1">IF($A61="","",IF(AG$1="","",COUNTIFS(tbl_chests[from],$A61,tbl_chests[legalized],AG$1,tbl_chests[datetime],"&gt;="&amp;TODAY()-WEEKDAY(TODAY(),2)+1,tbl_chests[datetime],"&lt;"&amp;TODAY()-WEEKDAY(TODAY(),2)+8)))</f>
        <v>0</v>
      </c>
      <c r="AH61" s="36">
        <f ca="1">IF($A61="","",IF(AH$1="","",COUNTIFS(tbl_chests[from],$A61,tbl_chests[legalized],AH$1,tbl_chests[datetime],"&gt;="&amp;TODAY()-WEEKDAY(TODAY(),2)+1,tbl_chests[datetime],"&lt;"&amp;TODAY()-WEEKDAY(TODAY(),2)+8)))</f>
        <v>0</v>
      </c>
      <c r="AI61" s="36">
        <f ca="1">IF($A61="","",IF(AI$1="","",COUNTIFS(tbl_chests[from],$A61,tbl_chests[legalized],AI$1,tbl_chests[datetime],"&gt;="&amp;TODAY()-WEEKDAY(TODAY(),2)+1,tbl_chests[datetime],"&lt;"&amp;TODAY()-WEEKDAY(TODAY(),2)+8)))</f>
        <v>0</v>
      </c>
      <c r="AJ61" s="36">
        <f ca="1">IF($A61="","",IF(AJ$1="","",COUNTIFS(tbl_chests[from],$A61,tbl_chests[legalized],AJ$1,tbl_chests[datetime],"&gt;="&amp;TODAY()-WEEKDAY(TODAY(),2)+1,tbl_chests[datetime],"&lt;"&amp;TODAY()-WEEKDAY(TODAY(),2)+8)))</f>
        <v>0</v>
      </c>
      <c r="AK61" s="36">
        <f ca="1">IF($A61="","",IF(AK$1="","",COUNTIFS(tbl_chests[from],$A61,tbl_chests[legalized],AK$1,tbl_chests[datetime],"&gt;="&amp;TODAY()-WEEKDAY(TODAY(),2)+1,tbl_chests[datetime],"&lt;"&amp;TODAY()-WEEKDAY(TODAY(),2)+8)))</f>
        <v>0</v>
      </c>
      <c r="AL61" s="36">
        <f ca="1">IF($A61="","",IF(AL$1="","",COUNTIFS(tbl_chests[from],$A61,tbl_chests[legalized],AL$1,tbl_chests[datetime],"&gt;="&amp;TODAY()-WEEKDAY(TODAY(),2)+1,tbl_chests[datetime],"&lt;"&amp;TODAY()-WEEKDAY(TODAY(),2)+8)))</f>
        <v>0</v>
      </c>
      <c r="AM61" s="37">
        <f ca="1">IF($A61="","",IF(AM$1="","",COUNTIFS(tbl_chests[from],$A61,tbl_chests[legalized],AM$1,tbl_chests[datetime],"&gt;="&amp;TODAY()-WEEKDAY(TODAY(),2)+1,tbl_chests[datetime],"&lt;"&amp;TODAY()-WEEKDAY(TODAY(),2)+8)))</f>
        <v>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pans="1:67" ht="15.75" customHeight="1" x14ac:dyDescent="0.25">
      <c r="A62" s="34">
        <f>chests_counter!$H59</f>
        <v>0</v>
      </c>
      <c r="B62" s="35" cm="1">
        <f t="array" aca="1" ref="B62" ca="1">IF(A62&lt;&gt;"", SUMPRODUCT(($C$2:$AM$2&lt;&gt;0)*(C62:AM62&lt;&gt;0)*($C$2:$AM$2)*(C62:AM62)), "")</f>
        <v>0</v>
      </c>
      <c r="C62" s="36">
        <f ca="1">IF($A62="","",IF(C$1="","",COUNTIFS(tbl_chests[from],$A62,tbl_chests[legalized],C$1,tbl_chests[datetime],"&gt;="&amp;TODAY()-WEEKDAY(TODAY(),2)+1,tbl_chests[datetime],"&lt;"&amp;TODAY()-WEEKDAY(TODAY(),2)+8)))</f>
        <v>0</v>
      </c>
      <c r="D62" s="36">
        <f ca="1">IF($A62="","",IF(D$1="","",COUNTIFS(tbl_chests[from],$A62,tbl_chests[legalized],D$1,tbl_chests[datetime],"&gt;="&amp;TODAY()-WEEKDAY(TODAY(),2)+1,tbl_chests[datetime],"&lt;"&amp;TODAY()-WEEKDAY(TODAY(),2)+8)))</f>
        <v>0</v>
      </c>
      <c r="E62" s="36">
        <f ca="1">IF($A62="","",IF(E$1="","",COUNTIFS(tbl_chests[from],$A62,tbl_chests[legalized],E$1,tbl_chests[datetime],"&gt;="&amp;TODAY()-WEEKDAY(TODAY(),2)+1,tbl_chests[datetime],"&lt;"&amp;TODAY()-WEEKDAY(TODAY(),2)+8)))</f>
        <v>0</v>
      </c>
      <c r="F62" s="36">
        <f ca="1">IF($A62="","",IF(F$1="","",COUNTIFS(tbl_chests[from],$A62,tbl_chests[legalized],F$1,tbl_chests[datetime],"&gt;="&amp;TODAY()-WEEKDAY(TODAY(),2)+1,tbl_chests[datetime],"&lt;"&amp;TODAY()-WEEKDAY(TODAY(),2)+8)))</f>
        <v>0</v>
      </c>
      <c r="G62" s="36">
        <f ca="1">IF($A62="","",IF(G$1="","",COUNTIFS(tbl_chests[from],$A62,tbl_chests[legalized],G$1,tbl_chests[datetime],"&gt;="&amp;TODAY()-WEEKDAY(TODAY(),2)+1,tbl_chests[datetime],"&lt;"&amp;TODAY()-WEEKDAY(TODAY(),2)+8)))</f>
        <v>0</v>
      </c>
      <c r="H62" s="36">
        <f ca="1">IF($A62="","",IF(H$1="","",COUNTIFS(tbl_chests[from],$A62,tbl_chests[legalized],H$1,tbl_chests[datetime],"&gt;="&amp;TODAY()-WEEKDAY(TODAY(),2)+1,tbl_chests[datetime],"&lt;"&amp;TODAY()-WEEKDAY(TODAY(),2)+8)))</f>
        <v>0</v>
      </c>
      <c r="I62" s="36">
        <f ca="1">IF($A62="","",IF(I$1="","",COUNTIFS(tbl_chests[from],$A62,tbl_chests[legalized],I$1,tbl_chests[datetime],"&gt;="&amp;TODAY()-WEEKDAY(TODAY(),2)+1,tbl_chests[datetime],"&lt;"&amp;TODAY()-WEEKDAY(TODAY(),2)+8)))</f>
        <v>0</v>
      </c>
      <c r="J62" s="36">
        <f ca="1">IF($A62="","",IF(J$1="","",COUNTIFS(tbl_chests[from],$A62,tbl_chests[legalized],J$1,tbl_chests[datetime],"&gt;="&amp;TODAY()-WEEKDAY(TODAY(),2)+1,tbl_chests[datetime],"&lt;"&amp;TODAY()-WEEKDAY(TODAY(),2)+8)))</f>
        <v>0</v>
      </c>
      <c r="K62" s="36">
        <f ca="1">IF($A62="","",IF(K$1="","",COUNTIFS(tbl_chests[from],$A62,tbl_chests[legalized],K$1,tbl_chests[datetime],"&gt;="&amp;TODAY()-WEEKDAY(TODAY(),2)+1,tbl_chests[datetime],"&lt;"&amp;TODAY()-WEEKDAY(TODAY(),2)+8)))</f>
        <v>0</v>
      </c>
      <c r="L62" s="36">
        <f ca="1">IF($A62="","",IF(L$1="","",COUNTIFS(tbl_chests[from],$A62,tbl_chests[legalized],L$1,tbl_chests[datetime],"&gt;="&amp;TODAY()-WEEKDAY(TODAY(),2)+1,tbl_chests[datetime],"&lt;"&amp;TODAY()-WEEKDAY(TODAY(),2)+8)))</f>
        <v>0</v>
      </c>
      <c r="M62" s="36">
        <f ca="1">IF($A62="","",IF(M$1="","",COUNTIFS(tbl_chests[from],$A62,tbl_chests[legalized],M$1,tbl_chests[datetime],"&gt;="&amp;TODAY()-WEEKDAY(TODAY(),2)+1,tbl_chests[datetime],"&lt;"&amp;TODAY()-WEEKDAY(TODAY(),2)+8)))</f>
        <v>0</v>
      </c>
      <c r="N62" s="36">
        <f ca="1">IF($A62="","",IF(N$1="","",COUNTIFS(tbl_chests[from],$A62,tbl_chests[legalized],N$1,tbl_chests[datetime],"&gt;="&amp;TODAY()-WEEKDAY(TODAY(),2)+1,tbl_chests[datetime],"&lt;"&amp;TODAY()-WEEKDAY(TODAY(),2)+8)))</f>
        <v>0</v>
      </c>
      <c r="O62" s="36">
        <f ca="1">IF($A62="","",IF(O$1="","",COUNTIFS(tbl_chests[from],$A62,tbl_chests[legalized],O$1,tbl_chests[datetime],"&gt;="&amp;TODAY()-WEEKDAY(TODAY(),2)+1,tbl_chests[datetime],"&lt;"&amp;TODAY()-WEEKDAY(TODAY(),2)+8)))</f>
        <v>0</v>
      </c>
      <c r="P62" s="36">
        <f ca="1">IF($A62="","",IF(P$1="","",COUNTIFS(tbl_chests[from],$A62,tbl_chests[legalized],P$1,tbl_chests[datetime],"&gt;="&amp;TODAY()-WEEKDAY(TODAY(),2)+1,tbl_chests[datetime],"&lt;"&amp;TODAY()-WEEKDAY(TODAY(),2)+8)))</f>
        <v>0</v>
      </c>
      <c r="Q62" s="36">
        <f ca="1">IF($A62="","",IF(Q$1="","",COUNTIFS(tbl_chests[from],$A62,tbl_chests[legalized],Q$1,tbl_chests[datetime],"&gt;="&amp;TODAY()-WEEKDAY(TODAY(),2)+1,tbl_chests[datetime],"&lt;"&amp;TODAY()-WEEKDAY(TODAY(),2)+8)))</f>
        <v>0</v>
      </c>
      <c r="R62" s="36">
        <f ca="1">IF($A62="","",IF(R$1="","",COUNTIFS(tbl_chests[from],$A62,tbl_chests[legalized],R$1,tbl_chests[datetime],"&gt;="&amp;TODAY()-WEEKDAY(TODAY(),2)+1,tbl_chests[datetime],"&lt;"&amp;TODAY()-WEEKDAY(TODAY(),2)+8)))</f>
        <v>0</v>
      </c>
      <c r="S62" s="36">
        <f ca="1">IF($A62="","",IF(S$1="","",COUNTIFS(tbl_chests[from],$A62,tbl_chests[legalized],S$1,tbl_chests[datetime],"&gt;="&amp;TODAY()-WEEKDAY(TODAY(),2)+1,tbl_chests[datetime],"&lt;"&amp;TODAY()-WEEKDAY(TODAY(),2)+8)))</f>
        <v>0</v>
      </c>
      <c r="T62" s="36">
        <f ca="1">IF($A62="","",IF(T$1="","",COUNTIFS(tbl_chests[from],$A62,tbl_chests[legalized],T$1,tbl_chests[datetime],"&gt;="&amp;TODAY()-WEEKDAY(TODAY(),2)+1,tbl_chests[datetime],"&lt;"&amp;TODAY()-WEEKDAY(TODAY(),2)+8)))</f>
        <v>0</v>
      </c>
      <c r="U62" s="36">
        <f ca="1">IF($A62="","",IF(U$1="","",COUNTIFS(tbl_chests[from],$A62,tbl_chests[legalized],U$1,tbl_chests[datetime],"&gt;="&amp;TODAY()-WEEKDAY(TODAY(),2)+1,tbl_chests[datetime],"&lt;"&amp;TODAY()-WEEKDAY(TODAY(),2)+8)))</f>
        <v>0</v>
      </c>
      <c r="V62" s="36">
        <f ca="1">IF($A62="","",IF(V$1="","",COUNTIFS(tbl_chests[from],$A62,tbl_chests[legalized],V$1,tbl_chests[datetime],"&gt;="&amp;TODAY()-WEEKDAY(TODAY(),2)+1,tbl_chests[datetime],"&lt;"&amp;TODAY()-WEEKDAY(TODAY(),2)+8)))</f>
        <v>0</v>
      </c>
      <c r="W62" s="36">
        <f ca="1">IF($A62="","",IF(W$1="","",COUNTIFS(tbl_chests[from],$A62,tbl_chests[legalized],W$1,tbl_chests[datetime],"&gt;="&amp;TODAY()-WEEKDAY(TODAY(),2)+1,tbl_chests[datetime],"&lt;"&amp;TODAY()-WEEKDAY(TODAY(),2)+8)))</f>
        <v>0</v>
      </c>
      <c r="X62" s="36">
        <f ca="1">IF($A62="","",IF(X$1="","",COUNTIFS(tbl_chests[from],$A62,tbl_chests[legalized],X$1,tbl_chests[datetime],"&gt;="&amp;TODAY()-WEEKDAY(TODAY(),2)+1,tbl_chests[datetime],"&lt;"&amp;TODAY()-WEEKDAY(TODAY(),2)+8)))</f>
        <v>0</v>
      </c>
      <c r="Y62" s="36">
        <f ca="1">IF($A62="","",IF(Y$1="","",COUNTIFS(tbl_chests[from],$A62,tbl_chests[legalized],Y$1,tbl_chests[datetime],"&gt;="&amp;TODAY()-WEEKDAY(TODAY(),2)+1,tbl_chests[datetime],"&lt;"&amp;TODAY()-WEEKDAY(TODAY(),2)+8)))</f>
        <v>0</v>
      </c>
      <c r="Z62" s="36">
        <f ca="1">IF($A62="","",IF(Z$1="","",COUNTIFS(tbl_chests[from],$A62,tbl_chests[legalized],Z$1,tbl_chests[datetime],"&gt;="&amp;TODAY()-WEEKDAY(TODAY(),2)+1,tbl_chests[datetime],"&lt;"&amp;TODAY()-WEEKDAY(TODAY(),2)+8)))</f>
        <v>0</v>
      </c>
      <c r="AA62" s="36">
        <f ca="1">IF($A62="","",IF(AA$1="","",COUNTIFS(tbl_chests[from],$A62,tbl_chests[legalized],AA$1,tbl_chests[datetime],"&gt;="&amp;TODAY()-WEEKDAY(TODAY(),2)+1,tbl_chests[datetime],"&lt;"&amp;TODAY()-WEEKDAY(TODAY(),2)+8)))</f>
        <v>0</v>
      </c>
      <c r="AB62" s="36">
        <f ca="1">IF($A62="","",IF(AB$1="","",COUNTIFS(tbl_chests[from],$A62,tbl_chests[legalized],AB$1,tbl_chests[datetime],"&gt;="&amp;TODAY()-WEEKDAY(TODAY(),2)+1,tbl_chests[datetime],"&lt;"&amp;TODAY()-WEEKDAY(TODAY(),2)+8)))</f>
        <v>0</v>
      </c>
      <c r="AC62" s="36">
        <f ca="1">IF($A62="","",IF(AC$1="","",COUNTIFS(tbl_chests[from],$A62,tbl_chests[legalized],AC$1,tbl_chests[datetime],"&gt;="&amp;TODAY()-WEEKDAY(TODAY(),2)+1,tbl_chests[datetime],"&lt;"&amp;TODAY()-WEEKDAY(TODAY(),2)+8)))</f>
        <v>0</v>
      </c>
      <c r="AD62" s="36">
        <f ca="1">IF($A62="","",IF(AD$1="","",COUNTIFS(tbl_chests[from],$A62,tbl_chests[legalized],AD$1,tbl_chests[datetime],"&gt;="&amp;TODAY()-WEEKDAY(TODAY(),2)+1,tbl_chests[datetime],"&lt;"&amp;TODAY()-WEEKDAY(TODAY(),2)+8)))</f>
        <v>0</v>
      </c>
      <c r="AE62" s="36">
        <f ca="1">IF($A62="","",IF(AE$1="","",COUNTIFS(tbl_chests[from],$A62,tbl_chests[legalized],AE$1,tbl_chests[datetime],"&gt;="&amp;TODAY()-WEEKDAY(TODAY(),2)+1,tbl_chests[datetime],"&lt;"&amp;TODAY()-WEEKDAY(TODAY(),2)+8)))</f>
        <v>0</v>
      </c>
      <c r="AF62" s="36">
        <f ca="1">IF($A62="","",IF(AF$1="","",COUNTIFS(tbl_chests[from],$A62,tbl_chests[legalized],AF$1,tbl_chests[datetime],"&gt;="&amp;TODAY()-WEEKDAY(TODAY(),2)+1,tbl_chests[datetime],"&lt;"&amp;TODAY()-WEEKDAY(TODAY(),2)+8)))</f>
        <v>0</v>
      </c>
      <c r="AG62" s="36">
        <f ca="1">IF($A62="","",IF(AG$1="","",COUNTIFS(tbl_chests[from],$A62,tbl_chests[legalized],AG$1,tbl_chests[datetime],"&gt;="&amp;TODAY()-WEEKDAY(TODAY(),2)+1,tbl_chests[datetime],"&lt;"&amp;TODAY()-WEEKDAY(TODAY(),2)+8)))</f>
        <v>0</v>
      </c>
      <c r="AH62" s="36">
        <f ca="1">IF($A62="","",IF(AH$1="","",COUNTIFS(tbl_chests[from],$A62,tbl_chests[legalized],AH$1,tbl_chests[datetime],"&gt;="&amp;TODAY()-WEEKDAY(TODAY(),2)+1,tbl_chests[datetime],"&lt;"&amp;TODAY()-WEEKDAY(TODAY(),2)+8)))</f>
        <v>0</v>
      </c>
      <c r="AI62" s="36">
        <f ca="1">IF($A62="","",IF(AI$1="","",COUNTIFS(tbl_chests[from],$A62,tbl_chests[legalized],AI$1,tbl_chests[datetime],"&gt;="&amp;TODAY()-WEEKDAY(TODAY(),2)+1,tbl_chests[datetime],"&lt;"&amp;TODAY()-WEEKDAY(TODAY(),2)+8)))</f>
        <v>0</v>
      </c>
      <c r="AJ62" s="36">
        <f ca="1">IF($A62="","",IF(AJ$1="","",COUNTIFS(tbl_chests[from],$A62,tbl_chests[legalized],AJ$1,tbl_chests[datetime],"&gt;="&amp;TODAY()-WEEKDAY(TODAY(),2)+1,tbl_chests[datetime],"&lt;"&amp;TODAY()-WEEKDAY(TODAY(),2)+8)))</f>
        <v>0</v>
      </c>
      <c r="AK62" s="36">
        <f ca="1">IF($A62="","",IF(AK$1="","",COUNTIFS(tbl_chests[from],$A62,tbl_chests[legalized],AK$1,tbl_chests[datetime],"&gt;="&amp;TODAY()-WEEKDAY(TODAY(),2)+1,tbl_chests[datetime],"&lt;"&amp;TODAY()-WEEKDAY(TODAY(),2)+8)))</f>
        <v>0</v>
      </c>
      <c r="AL62" s="36">
        <f ca="1">IF($A62="","",IF(AL$1="","",COUNTIFS(tbl_chests[from],$A62,tbl_chests[legalized],AL$1,tbl_chests[datetime],"&gt;="&amp;TODAY()-WEEKDAY(TODAY(),2)+1,tbl_chests[datetime],"&lt;"&amp;TODAY()-WEEKDAY(TODAY(),2)+8)))</f>
        <v>0</v>
      </c>
      <c r="AM62" s="37">
        <f ca="1">IF($A62="","",IF(AM$1="","",COUNTIFS(tbl_chests[from],$A62,tbl_chests[legalized],AM$1,tbl_chests[datetime],"&gt;="&amp;TODAY()-WEEKDAY(TODAY(),2)+1,tbl_chests[datetime],"&lt;"&amp;TODAY()-WEEKDAY(TODAY(),2)+8)))</f>
        <v>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spans="1:67" ht="15.75" customHeight="1" x14ac:dyDescent="0.25">
      <c r="A63" s="34">
        <f>chests_counter!$H60</f>
        <v>0</v>
      </c>
      <c r="B63" s="35" cm="1">
        <f t="array" aca="1" ref="B63" ca="1">IF(A63&lt;&gt;"", SUMPRODUCT(($C$2:$AM$2&lt;&gt;0)*(C63:AM63&lt;&gt;0)*($C$2:$AM$2)*(C63:AM63)), "")</f>
        <v>0</v>
      </c>
      <c r="C63" s="36">
        <f ca="1">IF($A63="","",IF(C$1="","",COUNTIFS(tbl_chests[from],$A63,tbl_chests[legalized],C$1,tbl_chests[datetime],"&gt;="&amp;TODAY()-WEEKDAY(TODAY(),2)+1,tbl_chests[datetime],"&lt;"&amp;TODAY()-WEEKDAY(TODAY(),2)+8)))</f>
        <v>0</v>
      </c>
      <c r="D63" s="36">
        <f ca="1">IF($A63="","",IF(D$1="","",COUNTIFS(tbl_chests[from],$A63,tbl_chests[legalized],D$1,tbl_chests[datetime],"&gt;="&amp;TODAY()-WEEKDAY(TODAY(),2)+1,tbl_chests[datetime],"&lt;"&amp;TODAY()-WEEKDAY(TODAY(),2)+8)))</f>
        <v>0</v>
      </c>
      <c r="E63" s="36">
        <f ca="1">IF($A63="","",IF(E$1="","",COUNTIFS(tbl_chests[from],$A63,tbl_chests[legalized],E$1,tbl_chests[datetime],"&gt;="&amp;TODAY()-WEEKDAY(TODAY(),2)+1,tbl_chests[datetime],"&lt;"&amp;TODAY()-WEEKDAY(TODAY(),2)+8)))</f>
        <v>0</v>
      </c>
      <c r="F63" s="36">
        <f ca="1">IF($A63="","",IF(F$1="","",COUNTIFS(tbl_chests[from],$A63,tbl_chests[legalized],F$1,tbl_chests[datetime],"&gt;="&amp;TODAY()-WEEKDAY(TODAY(),2)+1,tbl_chests[datetime],"&lt;"&amp;TODAY()-WEEKDAY(TODAY(),2)+8)))</f>
        <v>0</v>
      </c>
      <c r="G63" s="36">
        <f ca="1">IF($A63="","",IF(G$1="","",COUNTIFS(tbl_chests[from],$A63,tbl_chests[legalized],G$1,tbl_chests[datetime],"&gt;="&amp;TODAY()-WEEKDAY(TODAY(),2)+1,tbl_chests[datetime],"&lt;"&amp;TODAY()-WEEKDAY(TODAY(),2)+8)))</f>
        <v>0</v>
      </c>
      <c r="H63" s="36">
        <f ca="1">IF($A63="","",IF(H$1="","",COUNTIFS(tbl_chests[from],$A63,tbl_chests[legalized],H$1,tbl_chests[datetime],"&gt;="&amp;TODAY()-WEEKDAY(TODAY(),2)+1,tbl_chests[datetime],"&lt;"&amp;TODAY()-WEEKDAY(TODAY(),2)+8)))</f>
        <v>0</v>
      </c>
      <c r="I63" s="36">
        <f ca="1">IF($A63="","",IF(I$1="","",COUNTIFS(tbl_chests[from],$A63,tbl_chests[legalized],I$1,tbl_chests[datetime],"&gt;="&amp;TODAY()-WEEKDAY(TODAY(),2)+1,tbl_chests[datetime],"&lt;"&amp;TODAY()-WEEKDAY(TODAY(),2)+8)))</f>
        <v>0</v>
      </c>
      <c r="J63" s="36">
        <f ca="1">IF($A63="","",IF(J$1="","",COUNTIFS(tbl_chests[from],$A63,tbl_chests[legalized],J$1,tbl_chests[datetime],"&gt;="&amp;TODAY()-WEEKDAY(TODAY(),2)+1,tbl_chests[datetime],"&lt;"&amp;TODAY()-WEEKDAY(TODAY(),2)+8)))</f>
        <v>0</v>
      </c>
      <c r="K63" s="36">
        <f ca="1">IF($A63="","",IF(K$1="","",COUNTIFS(tbl_chests[from],$A63,tbl_chests[legalized],K$1,tbl_chests[datetime],"&gt;="&amp;TODAY()-WEEKDAY(TODAY(),2)+1,tbl_chests[datetime],"&lt;"&amp;TODAY()-WEEKDAY(TODAY(),2)+8)))</f>
        <v>0</v>
      </c>
      <c r="L63" s="36">
        <f ca="1">IF($A63="","",IF(L$1="","",COUNTIFS(tbl_chests[from],$A63,tbl_chests[legalized],L$1,tbl_chests[datetime],"&gt;="&amp;TODAY()-WEEKDAY(TODAY(),2)+1,tbl_chests[datetime],"&lt;"&amp;TODAY()-WEEKDAY(TODAY(),2)+8)))</f>
        <v>0</v>
      </c>
      <c r="M63" s="36">
        <f ca="1">IF($A63="","",IF(M$1="","",COUNTIFS(tbl_chests[from],$A63,tbl_chests[legalized],M$1,tbl_chests[datetime],"&gt;="&amp;TODAY()-WEEKDAY(TODAY(),2)+1,tbl_chests[datetime],"&lt;"&amp;TODAY()-WEEKDAY(TODAY(),2)+8)))</f>
        <v>0</v>
      </c>
      <c r="N63" s="36">
        <f ca="1">IF($A63="","",IF(N$1="","",COUNTIFS(tbl_chests[from],$A63,tbl_chests[legalized],N$1,tbl_chests[datetime],"&gt;="&amp;TODAY()-WEEKDAY(TODAY(),2)+1,tbl_chests[datetime],"&lt;"&amp;TODAY()-WEEKDAY(TODAY(),2)+8)))</f>
        <v>0</v>
      </c>
      <c r="O63" s="36">
        <f ca="1">IF($A63="","",IF(O$1="","",COUNTIFS(tbl_chests[from],$A63,tbl_chests[legalized],O$1,tbl_chests[datetime],"&gt;="&amp;TODAY()-WEEKDAY(TODAY(),2)+1,tbl_chests[datetime],"&lt;"&amp;TODAY()-WEEKDAY(TODAY(),2)+8)))</f>
        <v>0</v>
      </c>
      <c r="P63" s="36">
        <f ca="1">IF($A63="","",IF(P$1="","",COUNTIFS(tbl_chests[from],$A63,tbl_chests[legalized],P$1,tbl_chests[datetime],"&gt;="&amp;TODAY()-WEEKDAY(TODAY(),2)+1,tbl_chests[datetime],"&lt;"&amp;TODAY()-WEEKDAY(TODAY(),2)+8)))</f>
        <v>0</v>
      </c>
      <c r="Q63" s="36">
        <f ca="1">IF($A63="","",IF(Q$1="","",COUNTIFS(tbl_chests[from],$A63,tbl_chests[legalized],Q$1,tbl_chests[datetime],"&gt;="&amp;TODAY()-WEEKDAY(TODAY(),2)+1,tbl_chests[datetime],"&lt;"&amp;TODAY()-WEEKDAY(TODAY(),2)+8)))</f>
        <v>0</v>
      </c>
      <c r="R63" s="36">
        <f ca="1">IF($A63="","",IF(R$1="","",COUNTIFS(tbl_chests[from],$A63,tbl_chests[legalized],R$1,tbl_chests[datetime],"&gt;="&amp;TODAY()-WEEKDAY(TODAY(),2)+1,tbl_chests[datetime],"&lt;"&amp;TODAY()-WEEKDAY(TODAY(),2)+8)))</f>
        <v>0</v>
      </c>
      <c r="S63" s="36">
        <f ca="1">IF($A63="","",IF(S$1="","",COUNTIFS(tbl_chests[from],$A63,tbl_chests[legalized],S$1,tbl_chests[datetime],"&gt;="&amp;TODAY()-WEEKDAY(TODAY(),2)+1,tbl_chests[datetime],"&lt;"&amp;TODAY()-WEEKDAY(TODAY(),2)+8)))</f>
        <v>0</v>
      </c>
      <c r="T63" s="36">
        <f ca="1">IF($A63="","",IF(T$1="","",COUNTIFS(tbl_chests[from],$A63,tbl_chests[legalized],T$1,tbl_chests[datetime],"&gt;="&amp;TODAY()-WEEKDAY(TODAY(),2)+1,tbl_chests[datetime],"&lt;"&amp;TODAY()-WEEKDAY(TODAY(),2)+8)))</f>
        <v>0</v>
      </c>
      <c r="U63" s="36">
        <f ca="1">IF($A63="","",IF(U$1="","",COUNTIFS(tbl_chests[from],$A63,tbl_chests[legalized],U$1,tbl_chests[datetime],"&gt;="&amp;TODAY()-WEEKDAY(TODAY(),2)+1,tbl_chests[datetime],"&lt;"&amp;TODAY()-WEEKDAY(TODAY(),2)+8)))</f>
        <v>0</v>
      </c>
      <c r="V63" s="36">
        <f ca="1">IF($A63="","",IF(V$1="","",COUNTIFS(tbl_chests[from],$A63,tbl_chests[legalized],V$1,tbl_chests[datetime],"&gt;="&amp;TODAY()-WEEKDAY(TODAY(),2)+1,tbl_chests[datetime],"&lt;"&amp;TODAY()-WEEKDAY(TODAY(),2)+8)))</f>
        <v>0</v>
      </c>
      <c r="W63" s="36">
        <f ca="1">IF($A63="","",IF(W$1="","",COUNTIFS(tbl_chests[from],$A63,tbl_chests[legalized],W$1,tbl_chests[datetime],"&gt;="&amp;TODAY()-WEEKDAY(TODAY(),2)+1,tbl_chests[datetime],"&lt;"&amp;TODAY()-WEEKDAY(TODAY(),2)+8)))</f>
        <v>0</v>
      </c>
      <c r="X63" s="36">
        <f ca="1">IF($A63="","",IF(X$1="","",COUNTIFS(tbl_chests[from],$A63,tbl_chests[legalized],X$1,tbl_chests[datetime],"&gt;="&amp;TODAY()-WEEKDAY(TODAY(),2)+1,tbl_chests[datetime],"&lt;"&amp;TODAY()-WEEKDAY(TODAY(),2)+8)))</f>
        <v>0</v>
      </c>
      <c r="Y63" s="36">
        <f ca="1">IF($A63="","",IF(Y$1="","",COUNTIFS(tbl_chests[from],$A63,tbl_chests[legalized],Y$1,tbl_chests[datetime],"&gt;="&amp;TODAY()-WEEKDAY(TODAY(),2)+1,tbl_chests[datetime],"&lt;"&amp;TODAY()-WEEKDAY(TODAY(),2)+8)))</f>
        <v>0</v>
      </c>
      <c r="Z63" s="36">
        <f ca="1">IF($A63="","",IF(Z$1="","",COUNTIFS(tbl_chests[from],$A63,tbl_chests[legalized],Z$1,tbl_chests[datetime],"&gt;="&amp;TODAY()-WEEKDAY(TODAY(),2)+1,tbl_chests[datetime],"&lt;"&amp;TODAY()-WEEKDAY(TODAY(),2)+8)))</f>
        <v>0</v>
      </c>
      <c r="AA63" s="36">
        <f ca="1">IF($A63="","",IF(AA$1="","",COUNTIFS(tbl_chests[from],$A63,tbl_chests[legalized],AA$1,tbl_chests[datetime],"&gt;="&amp;TODAY()-WEEKDAY(TODAY(),2)+1,tbl_chests[datetime],"&lt;"&amp;TODAY()-WEEKDAY(TODAY(),2)+8)))</f>
        <v>0</v>
      </c>
      <c r="AB63" s="36">
        <f ca="1">IF($A63="","",IF(AB$1="","",COUNTIFS(tbl_chests[from],$A63,tbl_chests[legalized],AB$1,tbl_chests[datetime],"&gt;="&amp;TODAY()-WEEKDAY(TODAY(),2)+1,tbl_chests[datetime],"&lt;"&amp;TODAY()-WEEKDAY(TODAY(),2)+8)))</f>
        <v>0</v>
      </c>
      <c r="AC63" s="36">
        <f ca="1">IF($A63="","",IF(AC$1="","",COUNTIFS(tbl_chests[from],$A63,tbl_chests[legalized],AC$1,tbl_chests[datetime],"&gt;="&amp;TODAY()-WEEKDAY(TODAY(),2)+1,tbl_chests[datetime],"&lt;"&amp;TODAY()-WEEKDAY(TODAY(),2)+8)))</f>
        <v>0</v>
      </c>
      <c r="AD63" s="36">
        <f ca="1">IF($A63="","",IF(AD$1="","",COUNTIFS(tbl_chests[from],$A63,tbl_chests[legalized],AD$1,tbl_chests[datetime],"&gt;="&amp;TODAY()-WEEKDAY(TODAY(),2)+1,tbl_chests[datetime],"&lt;"&amp;TODAY()-WEEKDAY(TODAY(),2)+8)))</f>
        <v>0</v>
      </c>
      <c r="AE63" s="36">
        <f ca="1">IF($A63="","",IF(AE$1="","",COUNTIFS(tbl_chests[from],$A63,tbl_chests[legalized],AE$1,tbl_chests[datetime],"&gt;="&amp;TODAY()-WEEKDAY(TODAY(),2)+1,tbl_chests[datetime],"&lt;"&amp;TODAY()-WEEKDAY(TODAY(),2)+8)))</f>
        <v>0</v>
      </c>
      <c r="AF63" s="36">
        <f ca="1">IF($A63="","",IF(AF$1="","",COUNTIFS(tbl_chests[from],$A63,tbl_chests[legalized],AF$1,tbl_chests[datetime],"&gt;="&amp;TODAY()-WEEKDAY(TODAY(),2)+1,tbl_chests[datetime],"&lt;"&amp;TODAY()-WEEKDAY(TODAY(),2)+8)))</f>
        <v>0</v>
      </c>
      <c r="AG63" s="36">
        <f ca="1">IF($A63="","",IF(AG$1="","",COUNTIFS(tbl_chests[from],$A63,tbl_chests[legalized],AG$1,tbl_chests[datetime],"&gt;="&amp;TODAY()-WEEKDAY(TODAY(),2)+1,tbl_chests[datetime],"&lt;"&amp;TODAY()-WEEKDAY(TODAY(),2)+8)))</f>
        <v>0</v>
      </c>
      <c r="AH63" s="36">
        <f ca="1">IF($A63="","",IF(AH$1="","",COUNTIFS(tbl_chests[from],$A63,tbl_chests[legalized],AH$1,tbl_chests[datetime],"&gt;="&amp;TODAY()-WEEKDAY(TODAY(),2)+1,tbl_chests[datetime],"&lt;"&amp;TODAY()-WEEKDAY(TODAY(),2)+8)))</f>
        <v>0</v>
      </c>
      <c r="AI63" s="36">
        <f ca="1">IF($A63="","",IF(AI$1="","",COUNTIFS(tbl_chests[from],$A63,tbl_chests[legalized],AI$1,tbl_chests[datetime],"&gt;="&amp;TODAY()-WEEKDAY(TODAY(),2)+1,tbl_chests[datetime],"&lt;"&amp;TODAY()-WEEKDAY(TODAY(),2)+8)))</f>
        <v>0</v>
      </c>
      <c r="AJ63" s="36">
        <f ca="1">IF($A63="","",IF(AJ$1="","",COUNTIFS(tbl_chests[from],$A63,tbl_chests[legalized],AJ$1,tbl_chests[datetime],"&gt;="&amp;TODAY()-WEEKDAY(TODAY(),2)+1,tbl_chests[datetime],"&lt;"&amp;TODAY()-WEEKDAY(TODAY(),2)+8)))</f>
        <v>0</v>
      </c>
      <c r="AK63" s="36">
        <f ca="1">IF($A63="","",IF(AK$1="","",COUNTIFS(tbl_chests[from],$A63,tbl_chests[legalized],AK$1,tbl_chests[datetime],"&gt;="&amp;TODAY()-WEEKDAY(TODAY(),2)+1,tbl_chests[datetime],"&lt;"&amp;TODAY()-WEEKDAY(TODAY(),2)+8)))</f>
        <v>0</v>
      </c>
      <c r="AL63" s="36">
        <f ca="1">IF($A63="","",IF(AL$1="","",COUNTIFS(tbl_chests[from],$A63,tbl_chests[legalized],AL$1,tbl_chests[datetime],"&gt;="&amp;TODAY()-WEEKDAY(TODAY(),2)+1,tbl_chests[datetime],"&lt;"&amp;TODAY()-WEEKDAY(TODAY(),2)+8)))</f>
        <v>0</v>
      </c>
      <c r="AM63" s="37">
        <f ca="1">IF($A63="","",IF(AM$1="","",COUNTIFS(tbl_chests[from],$A63,tbl_chests[legalized],AM$1,tbl_chests[datetime],"&gt;="&amp;TODAY()-WEEKDAY(TODAY(),2)+1,tbl_chests[datetime],"&lt;"&amp;TODAY()-WEEKDAY(TODAY(),2)+8)))</f>
        <v>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 spans="1:67" ht="15.75" customHeight="1" x14ac:dyDescent="0.25">
      <c r="A64" s="34">
        <f>chests_counter!$H61</f>
        <v>0</v>
      </c>
      <c r="B64" s="35" cm="1">
        <f t="array" aca="1" ref="B64" ca="1">IF(A64&lt;&gt;"", SUMPRODUCT(($C$2:$AM$2&lt;&gt;0)*(C64:AM64&lt;&gt;0)*($C$2:$AM$2)*(C64:AM64)), "")</f>
        <v>0</v>
      </c>
      <c r="C64" s="36">
        <f ca="1">IF($A64="","",IF(C$1="","",COUNTIFS(tbl_chests[from],$A64,tbl_chests[legalized],C$1,tbl_chests[datetime],"&gt;="&amp;TODAY()-WEEKDAY(TODAY(),2)+1,tbl_chests[datetime],"&lt;"&amp;TODAY()-WEEKDAY(TODAY(),2)+8)))</f>
        <v>0</v>
      </c>
      <c r="D64" s="36">
        <f ca="1">IF($A64="","",IF(D$1="","",COUNTIFS(tbl_chests[from],$A64,tbl_chests[legalized],D$1,tbl_chests[datetime],"&gt;="&amp;TODAY()-WEEKDAY(TODAY(),2)+1,tbl_chests[datetime],"&lt;"&amp;TODAY()-WEEKDAY(TODAY(),2)+8)))</f>
        <v>0</v>
      </c>
      <c r="E64" s="36">
        <f ca="1">IF($A64="","",IF(E$1="","",COUNTIFS(tbl_chests[from],$A64,tbl_chests[legalized],E$1,tbl_chests[datetime],"&gt;="&amp;TODAY()-WEEKDAY(TODAY(),2)+1,tbl_chests[datetime],"&lt;"&amp;TODAY()-WEEKDAY(TODAY(),2)+8)))</f>
        <v>0</v>
      </c>
      <c r="F64" s="36">
        <f ca="1">IF($A64="","",IF(F$1="","",COUNTIFS(tbl_chests[from],$A64,tbl_chests[legalized],F$1,tbl_chests[datetime],"&gt;="&amp;TODAY()-WEEKDAY(TODAY(),2)+1,tbl_chests[datetime],"&lt;"&amp;TODAY()-WEEKDAY(TODAY(),2)+8)))</f>
        <v>0</v>
      </c>
      <c r="G64" s="36">
        <f ca="1">IF($A64="","",IF(G$1="","",COUNTIFS(tbl_chests[from],$A64,tbl_chests[legalized],G$1,tbl_chests[datetime],"&gt;="&amp;TODAY()-WEEKDAY(TODAY(),2)+1,tbl_chests[datetime],"&lt;"&amp;TODAY()-WEEKDAY(TODAY(),2)+8)))</f>
        <v>0</v>
      </c>
      <c r="H64" s="36">
        <f ca="1">IF($A64="","",IF(H$1="","",COUNTIFS(tbl_chests[from],$A64,tbl_chests[legalized],H$1,tbl_chests[datetime],"&gt;="&amp;TODAY()-WEEKDAY(TODAY(),2)+1,tbl_chests[datetime],"&lt;"&amp;TODAY()-WEEKDAY(TODAY(),2)+8)))</f>
        <v>0</v>
      </c>
      <c r="I64" s="36">
        <f ca="1">IF($A64="","",IF(I$1="","",COUNTIFS(tbl_chests[from],$A64,tbl_chests[legalized],I$1,tbl_chests[datetime],"&gt;="&amp;TODAY()-WEEKDAY(TODAY(),2)+1,tbl_chests[datetime],"&lt;"&amp;TODAY()-WEEKDAY(TODAY(),2)+8)))</f>
        <v>0</v>
      </c>
      <c r="J64" s="36">
        <f ca="1">IF($A64="","",IF(J$1="","",COUNTIFS(tbl_chests[from],$A64,tbl_chests[legalized],J$1,tbl_chests[datetime],"&gt;="&amp;TODAY()-WEEKDAY(TODAY(),2)+1,tbl_chests[datetime],"&lt;"&amp;TODAY()-WEEKDAY(TODAY(),2)+8)))</f>
        <v>0</v>
      </c>
      <c r="K64" s="36">
        <f ca="1">IF($A64="","",IF(K$1="","",COUNTIFS(tbl_chests[from],$A64,tbl_chests[legalized],K$1,tbl_chests[datetime],"&gt;="&amp;TODAY()-WEEKDAY(TODAY(),2)+1,tbl_chests[datetime],"&lt;"&amp;TODAY()-WEEKDAY(TODAY(),2)+8)))</f>
        <v>0</v>
      </c>
      <c r="L64" s="36">
        <f ca="1">IF($A64="","",IF(L$1="","",COUNTIFS(tbl_chests[from],$A64,tbl_chests[legalized],L$1,tbl_chests[datetime],"&gt;="&amp;TODAY()-WEEKDAY(TODAY(),2)+1,tbl_chests[datetime],"&lt;"&amp;TODAY()-WEEKDAY(TODAY(),2)+8)))</f>
        <v>0</v>
      </c>
      <c r="M64" s="36">
        <f ca="1">IF($A64="","",IF(M$1="","",COUNTIFS(tbl_chests[from],$A64,tbl_chests[legalized],M$1,tbl_chests[datetime],"&gt;="&amp;TODAY()-WEEKDAY(TODAY(),2)+1,tbl_chests[datetime],"&lt;"&amp;TODAY()-WEEKDAY(TODAY(),2)+8)))</f>
        <v>0</v>
      </c>
      <c r="N64" s="36">
        <f ca="1">IF($A64="","",IF(N$1="","",COUNTIFS(tbl_chests[from],$A64,tbl_chests[legalized],N$1,tbl_chests[datetime],"&gt;="&amp;TODAY()-WEEKDAY(TODAY(),2)+1,tbl_chests[datetime],"&lt;"&amp;TODAY()-WEEKDAY(TODAY(),2)+8)))</f>
        <v>0</v>
      </c>
      <c r="O64" s="36">
        <f ca="1">IF($A64="","",IF(O$1="","",COUNTIFS(tbl_chests[from],$A64,tbl_chests[legalized],O$1,tbl_chests[datetime],"&gt;="&amp;TODAY()-WEEKDAY(TODAY(),2)+1,tbl_chests[datetime],"&lt;"&amp;TODAY()-WEEKDAY(TODAY(),2)+8)))</f>
        <v>0</v>
      </c>
      <c r="P64" s="36">
        <f ca="1">IF($A64="","",IF(P$1="","",COUNTIFS(tbl_chests[from],$A64,tbl_chests[legalized],P$1,tbl_chests[datetime],"&gt;="&amp;TODAY()-WEEKDAY(TODAY(),2)+1,tbl_chests[datetime],"&lt;"&amp;TODAY()-WEEKDAY(TODAY(),2)+8)))</f>
        <v>0</v>
      </c>
      <c r="Q64" s="36">
        <f ca="1">IF($A64="","",IF(Q$1="","",COUNTIFS(tbl_chests[from],$A64,tbl_chests[legalized],Q$1,tbl_chests[datetime],"&gt;="&amp;TODAY()-WEEKDAY(TODAY(),2)+1,tbl_chests[datetime],"&lt;"&amp;TODAY()-WEEKDAY(TODAY(),2)+8)))</f>
        <v>0</v>
      </c>
      <c r="R64" s="36">
        <f ca="1">IF($A64="","",IF(R$1="","",COUNTIFS(tbl_chests[from],$A64,tbl_chests[legalized],R$1,tbl_chests[datetime],"&gt;="&amp;TODAY()-WEEKDAY(TODAY(),2)+1,tbl_chests[datetime],"&lt;"&amp;TODAY()-WEEKDAY(TODAY(),2)+8)))</f>
        <v>0</v>
      </c>
      <c r="S64" s="36">
        <f ca="1">IF($A64="","",IF(S$1="","",COUNTIFS(tbl_chests[from],$A64,tbl_chests[legalized],S$1,tbl_chests[datetime],"&gt;="&amp;TODAY()-WEEKDAY(TODAY(),2)+1,tbl_chests[datetime],"&lt;"&amp;TODAY()-WEEKDAY(TODAY(),2)+8)))</f>
        <v>0</v>
      </c>
      <c r="T64" s="36">
        <f ca="1">IF($A64="","",IF(T$1="","",COUNTIFS(tbl_chests[from],$A64,tbl_chests[legalized],T$1,tbl_chests[datetime],"&gt;="&amp;TODAY()-WEEKDAY(TODAY(),2)+1,tbl_chests[datetime],"&lt;"&amp;TODAY()-WEEKDAY(TODAY(),2)+8)))</f>
        <v>0</v>
      </c>
      <c r="U64" s="36">
        <f ca="1">IF($A64="","",IF(U$1="","",COUNTIFS(tbl_chests[from],$A64,tbl_chests[legalized],U$1,tbl_chests[datetime],"&gt;="&amp;TODAY()-WEEKDAY(TODAY(),2)+1,tbl_chests[datetime],"&lt;"&amp;TODAY()-WEEKDAY(TODAY(),2)+8)))</f>
        <v>0</v>
      </c>
      <c r="V64" s="36">
        <f ca="1">IF($A64="","",IF(V$1="","",COUNTIFS(tbl_chests[from],$A64,tbl_chests[legalized],V$1,tbl_chests[datetime],"&gt;="&amp;TODAY()-WEEKDAY(TODAY(),2)+1,tbl_chests[datetime],"&lt;"&amp;TODAY()-WEEKDAY(TODAY(),2)+8)))</f>
        <v>0</v>
      </c>
      <c r="W64" s="36">
        <f ca="1">IF($A64="","",IF(W$1="","",COUNTIFS(tbl_chests[from],$A64,tbl_chests[legalized],W$1,tbl_chests[datetime],"&gt;="&amp;TODAY()-WEEKDAY(TODAY(),2)+1,tbl_chests[datetime],"&lt;"&amp;TODAY()-WEEKDAY(TODAY(),2)+8)))</f>
        <v>0</v>
      </c>
      <c r="X64" s="36">
        <f ca="1">IF($A64="","",IF(X$1="","",COUNTIFS(tbl_chests[from],$A64,tbl_chests[legalized],X$1,tbl_chests[datetime],"&gt;="&amp;TODAY()-WEEKDAY(TODAY(),2)+1,tbl_chests[datetime],"&lt;"&amp;TODAY()-WEEKDAY(TODAY(),2)+8)))</f>
        <v>0</v>
      </c>
      <c r="Y64" s="36">
        <f ca="1">IF($A64="","",IF(Y$1="","",COUNTIFS(tbl_chests[from],$A64,tbl_chests[legalized],Y$1,tbl_chests[datetime],"&gt;="&amp;TODAY()-WEEKDAY(TODAY(),2)+1,tbl_chests[datetime],"&lt;"&amp;TODAY()-WEEKDAY(TODAY(),2)+8)))</f>
        <v>0</v>
      </c>
      <c r="Z64" s="36">
        <f ca="1">IF($A64="","",IF(Z$1="","",COUNTIFS(tbl_chests[from],$A64,tbl_chests[legalized],Z$1,tbl_chests[datetime],"&gt;="&amp;TODAY()-WEEKDAY(TODAY(),2)+1,tbl_chests[datetime],"&lt;"&amp;TODAY()-WEEKDAY(TODAY(),2)+8)))</f>
        <v>0</v>
      </c>
      <c r="AA64" s="36">
        <f ca="1">IF($A64="","",IF(AA$1="","",COUNTIFS(tbl_chests[from],$A64,tbl_chests[legalized],AA$1,tbl_chests[datetime],"&gt;="&amp;TODAY()-WEEKDAY(TODAY(),2)+1,tbl_chests[datetime],"&lt;"&amp;TODAY()-WEEKDAY(TODAY(),2)+8)))</f>
        <v>0</v>
      </c>
      <c r="AB64" s="36">
        <f ca="1">IF($A64="","",IF(AB$1="","",COUNTIFS(tbl_chests[from],$A64,tbl_chests[legalized],AB$1,tbl_chests[datetime],"&gt;="&amp;TODAY()-WEEKDAY(TODAY(),2)+1,tbl_chests[datetime],"&lt;"&amp;TODAY()-WEEKDAY(TODAY(),2)+8)))</f>
        <v>0</v>
      </c>
      <c r="AC64" s="36">
        <f ca="1">IF($A64="","",IF(AC$1="","",COUNTIFS(tbl_chests[from],$A64,tbl_chests[legalized],AC$1,tbl_chests[datetime],"&gt;="&amp;TODAY()-WEEKDAY(TODAY(),2)+1,tbl_chests[datetime],"&lt;"&amp;TODAY()-WEEKDAY(TODAY(),2)+8)))</f>
        <v>0</v>
      </c>
      <c r="AD64" s="36">
        <f ca="1">IF($A64="","",IF(AD$1="","",COUNTIFS(tbl_chests[from],$A64,tbl_chests[legalized],AD$1,tbl_chests[datetime],"&gt;="&amp;TODAY()-WEEKDAY(TODAY(),2)+1,tbl_chests[datetime],"&lt;"&amp;TODAY()-WEEKDAY(TODAY(),2)+8)))</f>
        <v>0</v>
      </c>
      <c r="AE64" s="36">
        <f ca="1">IF($A64="","",IF(AE$1="","",COUNTIFS(tbl_chests[from],$A64,tbl_chests[legalized],AE$1,tbl_chests[datetime],"&gt;="&amp;TODAY()-WEEKDAY(TODAY(),2)+1,tbl_chests[datetime],"&lt;"&amp;TODAY()-WEEKDAY(TODAY(),2)+8)))</f>
        <v>0</v>
      </c>
      <c r="AF64" s="36">
        <f ca="1">IF($A64="","",IF(AF$1="","",COUNTIFS(tbl_chests[from],$A64,tbl_chests[legalized],AF$1,tbl_chests[datetime],"&gt;="&amp;TODAY()-WEEKDAY(TODAY(),2)+1,tbl_chests[datetime],"&lt;"&amp;TODAY()-WEEKDAY(TODAY(),2)+8)))</f>
        <v>0</v>
      </c>
      <c r="AG64" s="36">
        <f ca="1">IF($A64="","",IF(AG$1="","",COUNTIFS(tbl_chests[from],$A64,tbl_chests[legalized],AG$1,tbl_chests[datetime],"&gt;="&amp;TODAY()-WEEKDAY(TODAY(),2)+1,tbl_chests[datetime],"&lt;"&amp;TODAY()-WEEKDAY(TODAY(),2)+8)))</f>
        <v>0</v>
      </c>
      <c r="AH64" s="36">
        <f ca="1">IF($A64="","",IF(AH$1="","",COUNTIFS(tbl_chests[from],$A64,tbl_chests[legalized],AH$1,tbl_chests[datetime],"&gt;="&amp;TODAY()-WEEKDAY(TODAY(),2)+1,tbl_chests[datetime],"&lt;"&amp;TODAY()-WEEKDAY(TODAY(),2)+8)))</f>
        <v>0</v>
      </c>
      <c r="AI64" s="36">
        <f ca="1">IF($A64="","",IF(AI$1="","",COUNTIFS(tbl_chests[from],$A64,tbl_chests[legalized],AI$1,tbl_chests[datetime],"&gt;="&amp;TODAY()-WEEKDAY(TODAY(),2)+1,tbl_chests[datetime],"&lt;"&amp;TODAY()-WEEKDAY(TODAY(),2)+8)))</f>
        <v>0</v>
      </c>
      <c r="AJ64" s="36">
        <f ca="1">IF($A64="","",IF(AJ$1="","",COUNTIFS(tbl_chests[from],$A64,tbl_chests[legalized],AJ$1,tbl_chests[datetime],"&gt;="&amp;TODAY()-WEEKDAY(TODAY(),2)+1,tbl_chests[datetime],"&lt;"&amp;TODAY()-WEEKDAY(TODAY(),2)+8)))</f>
        <v>0</v>
      </c>
      <c r="AK64" s="36">
        <f ca="1">IF($A64="","",IF(AK$1="","",COUNTIFS(tbl_chests[from],$A64,tbl_chests[legalized],AK$1,tbl_chests[datetime],"&gt;="&amp;TODAY()-WEEKDAY(TODAY(),2)+1,tbl_chests[datetime],"&lt;"&amp;TODAY()-WEEKDAY(TODAY(),2)+8)))</f>
        <v>0</v>
      </c>
      <c r="AL64" s="36">
        <f ca="1">IF($A64="","",IF(AL$1="","",COUNTIFS(tbl_chests[from],$A64,tbl_chests[legalized],AL$1,tbl_chests[datetime],"&gt;="&amp;TODAY()-WEEKDAY(TODAY(),2)+1,tbl_chests[datetime],"&lt;"&amp;TODAY()-WEEKDAY(TODAY(),2)+8)))</f>
        <v>0</v>
      </c>
      <c r="AM64" s="37">
        <f ca="1">IF($A64="","",IF(AM$1="","",COUNTIFS(tbl_chests[from],$A64,tbl_chests[legalized],AM$1,tbl_chests[datetime],"&gt;="&amp;TODAY()-WEEKDAY(TODAY(),2)+1,tbl_chests[datetime],"&lt;"&amp;TODAY()-WEEKDAY(TODAY(),2)+8)))</f>
        <v>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 spans="1:67" ht="15.75" customHeight="1" x14ac:dyDescent="0.25">
      <c r="A65" s="34">
        <f>chests_counter!$H62</f>
        <v>0</v>
      </c>
      <c r="B65" s="35" cm="1">
        <f t="array" aca="1" ref="B65" ca="1">IF(A65&lt;&gt;"", SUMPRODUCT(($C$2:$AM$2&lt;&gt;0)*(C65:AM65&lt;&gt;0)*($C$2:$AM$2)*(C65:AM65)), "")</f>
        <v>0</v>
      </c>
      <c r="C65" s="36">
        <f ca="1">IF($A65="","",IF(C$1="","",COUNTIFS(tbl_chests[from],$A65,tbl_chests[legalized],C$1,tbl_chests[datetime],"&gt;="&amp;TODAY()-WEEKDAY(TODAY(),2)+1,tbl_chests[datetime],"&lt;"&amp;TODAY()-WEEKDAY(TODAY(),2)+8)))</f>
        <v>0</v>
      </c>
      <c r="D65" s="36">
        <f ca="1">IF($A65="","",IF(D$1="","",COUNTIFS(tbl_chests[from],$A65,tbl_chests[legalized],D$1,tbl_chests[datetime],"&gt;="&amp;TODAY()-WEEKDAY(TODAY(),2)+1,tbl_chests[datetime],"&lt;"&amp;TODAY()-WEEKDAY(TODAY(),2)+8)))</f>
        <v>0</v>
      </c>
      <c r="E65" s="36">
        <f ca="1">IF($A65="","",IF(E$1="","",COUNTIFS(tbl_chests[from],$A65,tbl_chests[legalized],E$1,tbl_chests[datetime],"&gt;="&amp;TODAY()-WEEKDAY(TODAY(),2)+1,tbl_chests[datetime],"&lt;"&amp;TODAY()-WEEKDAY(TODAY(),2)+8)))</f>
        <v>0</v>
      </c>
      <c r="F65" s="36">
        <f ca="1">IF($A65="","",IF(F$1="","",COUNTIFS(tbl_chests[from],$A65,tbl_chests[legalized],F$1,tbl_chests[datetime],"&gt;="&amp;TODAY()-WEEKDAY(TODAY(),2)+1,tbl_chests[datetime],"&lt;"&amp;TODAY()-WEEKDAY(TODAY(),2)+8)))</f>
        <v>0</v>
      </c>
      <c r="G65" s="36">
        <f ca="1">IF($A65="","",IF(G$1="","",COUNTIFS(tbl_chests[from],$A65,tbl_chests[legalized],G$1,tbl_chests[datetime],"&gt;="&amp;TODAY()-WEEKDAY(TODAY(),2)+1,tbl_chests[datetime],"&lt;"&amp;TODAY()-WEEKDAY(TODAY(),2)+8)))</f>
        <v>0</v>
      </c>
      <c r="H65" s="36">
        <f ca="1">IF($A65="","",IF(H$1="","",COUNTIFS(tbl_chests[from],$A65,tbl_chests[legalized],H$1,tbl_chests[datetime],"&gt;="&amp;TODAY()-WEEKDAY(TODAY(),2)+1,tbl_chests[datetime],"&lt;"&amp;TODAY()-WEEKDAY(TODAY(),2)+8)))</f>
        <v>0</v>
      </c>
      <c r="I65" s="36">
        <f ca="1">IF($A65="","",IF(I$1="","",COUNTIFS(tbl_chests[from],$A65,tbl_chests[legalized],I$1,tbl_chests[datetime],"&gt;="&amp;TODAY()-WEEKDAY(TODAY(),2)+1,tbl_chests[datetime],"&lt;"&amp;TODAY()-WEEKDAY(TODAY(),2)+8)))</f>
        <v>0</v>
      </c>
      <c r="J65" s="36">
        <f ca="1">IF($A65="","",IF(J$1="","",COUNTIFS(tbl_chests[from],$A65,tbl_chests[legalized],J$1,tbl_chests[datetime],"&gt;="&amp;TODAY()-WEEKDAY(TODAY(),2)+1,tbl_chests[datetime],"&lt;"&amp;TODAY()-WEEKDAY(TODAY(),2)+8)))</f>
        <v>0</v>
      </c>
      <c r="K65" s="36">
        <f ca="1">IF($A65="","",IF(K$1="","",COUNTIFS(tbl_chests[from],$A65,tbl_chests[legalized],K$1,tbl_chests[datetime],"&gt;="&amp;TODAY()-WEEKDAY(TODAY(),2)+1,tbl_chests[datetime],"&lt;"&amp;TODAY()-WEEKDAY(TODAY(),2)+8)))</f>
        <v>0</v>
      </c>
      <c r="L65" s="36">
        <f ca="1">IF($A65="","",IF(L$1="","",COUNTIFS(tbl_chests[from],$A65,tbl_chests[legalized],L$1,tbl_chests[datetime],"&gt;="&amp;TODAY()-WEEKDAY(TODAY(),2)+1,tbl_chests[datetime],"&lt;"&amp;TODAY()-WEEKDAY(TODAY(),2)+8)))</f>
        <v>0</v>
      </c>
      <c r="M65" s="36">
        <f ca="1">IF($A65="","",IF(M$1="","",COUNTIFS(tbl_chests[from],$A65,tbl_chests[legalized],M$1,tbl_chests[datetime],"&gt;="&amp;TODAY()-WEEKDAY(TODAY(),2)+1,tbl_chests[datetime],"&lt;"&amp;TODAY()-WEEKDAY(TODAY(),2)+8)))</f>
        <v>0</v>
      </c>
      <c r="N65" s="36">
        <f ca="1">IF($A65="","",IF(N$1="","",COUNTIFS(tbl_chests[from],$A65,tbl_chests[legalized],N$1,tbl_chests[datetime],"&gt;="&amp;TODAY()-WEEKDAY(TODAY(),2)+1,tbl_chests[datetime],"&lt;"&amp;TODAY()-WEEKDAY(TODAY(),2)+8)))</f>
        <v>0</v>
      </c>
      <c r="O65" s="36">
        <f ca="1">IF($A65="","",IF(O$1="","",COUNTIFS(tbl_chests[from],$A65,tbl_chests[legalized],O$1,tbl_chests[datetime],"&gt;="&amp;TODAY()-WEEKDAY(TODAY(),2)+1,tbl_chests[datetime],"&lt;"&amp;TODAY()-WEEKDAY(TODAY(),2)+8)))</f>
        <v>0</v>
      </c>
      <c r="P65" s="36">
        <f ca="1">IF($A65="","",IF(P$1="","",COUNTIFS(tbl_chests[from],$A65,tbl_chests[legalized],P$1,tbl_chests[datetime],"&gt;="&amp;TODAY()-WEEKDAY(TODAY(),2)+1,tbl_chests[datetime],"&lt;"&amp;TODAY()-WEEKDAY(TODAY(),2)+8)))</f>
        <v>0</v>
      </c>
      <c r="Q65" s="36">
        <f ca="1">IF($A65="","",IF(Q$1="","",COUNTIFS(tbl_chests[from],$A65,tbl_chests[legalized],Q$1,tbl_chests[datetime],"&gt;="&amp;TODAY()-WEEKDAY(TODAY(),2)+1,tbl_chests[datetime],"&lt;"&amp;TODAY()-WEEKDAY(TODAY(),2)+8)))</f>
        <v>0</v>
      </c>
      <c r="R65" s="36">
        <f ca="1">IF($A65="","",IF(R$1="","",COUNTIFS(tbl_chests[from],$A65,tbl_chests[legalized],R$1,tbl_chests[datetime],"&gt;="&amp;TODAY()-WEEKDAY(TODAY(),2)+1,tbl_chests[datetime],"&lt;"&amp;TODAY()-WEEKDAY(TODAY(),2)+8)))</f>
        <v>0</v>
      </c>
      <c r="S65" s="36">
        <f ca="1">IF($A65="","",IF(S$1="","",COUNTIFS(tbl_chests[from],$A65,tbl_chests[legalized],S$1,tbl_chests[datetime],"&gt;="&amp;TODAY()-WEEKDAY(TODAY(),2)+1,tbl_chests[datetime],"&lt;"&amp;TODAY()-WEEKDAY(TODAY(),2)+8)))</f>
        <v>0</v>
      </c>
      <c r="T65" s="36">
        <f ca="1">IF($A65="","",IF(T$1="","",COUNTIFS(tbl_chests[from],$A65,tbl_chests[legalized],T$1,tbl_chests[datetime],"&gt;="&amp;TODAY()-WEEKDAY(TODAY(),2)+1,tbl_chests[datetime],"&lt;"&amp;TODAY()-WEEKDAY(TODAY(),2)+8)))</f>
        <v>0</v>
      </c>
      <c r="U65" s="36">
        <f ca="1">IF($A65="","",IF(U$1="","",COUNTIFS(tbl_chests[from],$A65,tbl_chests[legalized],U$1,tbl_chests[datetime],"&gt;="&amp;TODAY()-WEEKDAY(TODAY(),2)+1,tbl_chests[datetime],"&lt;"&amp;TODAY()-WEEKDAY(TODAY(),2)+8)))</f>
        <v>0</v>
      </c>
      <c r="V65" s="36">
        <f ca="1">IF($A65="","",IF(V$1="","",COUNTIFS(tbl_chests[from],$A65,tbl_chests[legalized],V$1,tbl_chests[datetime],"&gt;="&amp;TODAY()-WEEKDAY(TODAY(),2)+1,tbl_chests[datetime],"&lt;"&amp;TODAY()-WEEKDAY(TODAY(),2)+8)))</f>
        <v>0</v>
      </c>
      <c r="W65" s="36">
        <f ca="1">IF($A65="","",IF(W$1="","",COUNTIFS(tbl_chests[from],$A65,tbl_chests[legalized],W$1,tbl_chests[datetime],"&gt;="&amp;TODAY()-WEEKDAY(TODAY(),2)+1,tbl_chests[datetime],"&lt;"&amp;TODAY()-WEEKDAY(TODAY(),2)+8)))</f>
        <v>0</v>
      </c>
      <c r="X65" s="36">
        <f ca="1">IF($A65="","",IF(X$1="","",COUNTIFS(tbl_chests[from],$A65,tbl_chests[legalized],X$1,tbl_chests[datetime],"&gt;="&amp;TODAY()-WEEKDAY(TODAY(),2)+1,tbl_chests[datetime],"&lt;"&amp;TODAY()-WEEKDAY(TODAY(),2)+8)))</f>
        <v>0</v>
      </c>
      <c r="Y65" s="36">
        <f ca="1">IF($A65="","",IF(Y$1="","",COUNTIFS(tbl_chests[from],$A65,tbl_chests[legalized],Y$1,tbl_chests[datetime],"&gt;="&amp;TODAY()-WEEKDAY(TODAY(),2)+1,tbl_chests[datetime],"&lt;"&amp;TODAY()-WEEKDAY(TODAY(),2)+8)))</f>
        <v>0</v>
      </c>
      <c r="Z65" s="36">
        <f ca="1">IF($A65="","",IF(Z$1="","",COUNTIFS(tbl_chests[from],$A65,tbl_chests[legalized],Z$1,tbl_chests[datetime],"&gt;="&amp;TODAY()-WEEKDAY(TODAY(),2)+1,tbl_chests[datetime],"&lt;"&amp;TODAY()-WEEKDAY(TODAY(),2)+8)))</f>
        <v>0</v>
      </c>
      <c r="AA65" s="36">
        <f ca="1">IF($A65="","",IF(AA$1="","",COUNTIFS(tbl_chests[from],$A65,tbl_chests[legalized],AA$1,tbl_chests[datetime],"&gt;="&amp;TODAY()-WEEKDAY(TODAY(),2)+1,tbl_chests[datetime],"&lt;"&amp;TODAY()-WEEKDAY(TODAY(),2)+8)))</f>
        <v>0</v>
      </c>
      <c r="AB65" s="36">
        <f ca="1">IF($A65="","",IF(AB$1="","",COUNTIFS(tbl_chests[from],$A65,tbl_chests[legalized],AB$1,tbl_chests[datetime],"&gt;="&amp;TODAY()-WEEKDAY(TODAY(),2)+1,tbl_chests[datetime],"&lt;"&amp;TODAY()-WEEKDAY(TODAY(),2)+8)))</f>
        <v>0</v>
      </c>
      <c r="AC65" s="36">
        <f ca="1">IF($A65="","",IF(AC$1="","",COUNTIFS(tbl_chests[from],$A65,tbl_chests[legalized],AC$1,tbl_chests[datetime],"&gt;="&amp;TODAY()-WEEKDAY(TODAY(),2)+1,tbl_chests[datetime],"&lt;"&amp;TODAY()-WEEKDAY(TODAY(),2)+8)))</f>
        <v>0</v>
      </c>
      <c r="AD65" s="36">
        <f ca="1">IF($A65="","",IF(AD$1="","",COUNTIFS(tbl_chests[from],$A65,tbl_chests[legalized],AD$1,tbl_chests[datetime],"&gt;="&amp;TODAY()-WEEKDAY(TODAY(),2)+1,tbl_chests[datetime],"&lt;"&amp;TODAY()-WEEKDAY(TODAY(),2)+8)))</f>
        <v>0</v>
      </c>
      <c r="AE65" s="36">
        <f ca="1">IF($A65="","",IF(AE$1="","",COUNTIFS(tbl_chests[from],$A65,tbl_chests[legalized],AE$1,tbl_chests[datetime],"&gt;="&amp;TODAY()-WEEKDAY(TODAY(),2)+1,tbl_chests[datetime],"&lt;"&amp;TODAY()-WEEKDAY(TODAY(),2)+8)))</f>
        <v>0</v>
      </c>
      <c r="AF65" s="36">
        <f ca="1">IF($A65="","",IF(AF$1="","",COUNTIFS(tbl_chests[from],$A65,tbl_chests[legalized],AF$1,tbl_chests[datetime],"&gt;="&amp;TODAY()-WEEKDAY(TODAY(),2)+1,tbl_chests[datetime],"&lt;"&amp;TODAY()-WEEKDAY(TODAY(),2)+8)))</f>
        <v>0</v>
      </c>
      <c r="AG65" s="36">
        <f ca="1">IF($A65="","",IF(AG$1="","",COUNTIFS(tbl_chests[from],$A65,tbl_chests[legalized],AG$1,tbl_chests[datetime],"&gt;="&amp;TODAY()-WEEKDAY(TODAY(),2)+1,tbl_chests[datetime],"&lt;"&amp;TODAY()-WEEKDAY(TODAY(),2)+8)))</f>
        <v>0</v>
      </c>
      <c r="AH65" s="36">
        <f ca="1">IF($A65="","",IF(AH$1="","",COUNTIFS(tbl_chests[from],$A65,tbl_chests[legalized],AH$1,tbl_chests[datetime],"&gt;="&amp;TODAY()-WEEKDAY(TODAY(),2)+1,tbl_chests[datetime],"&lt;"&amp;TODAY()-WEEKDAY(TODAY(),2)+8)))</f>
        <v>0</v>
      </c>
      <c r="AI65" s="36">
        <f ca="1">IF($A65="","",IF(AI$1="","",COUNTIFS(tbl_chests[from],$A65,tbl_chests[legalized],AI$1,tbl_chests[datetime],"&gt;="&amp;TODAY()-WEEKDAY(TODAY(),2)+1,tbl_chests[datetime],"&lt;"&amp;TODAY()-WEEKDAY(TODAY(),2)+8)))</f>
        <v>0</v>
      </c>
      <c r="AJ65" s="36">
        <f ca="1">IF($A65="","",IF(AJ$1="","",COUNTIFS(tbl_chests[from],$A65,tbl_chests[legalized],AJ$1,tbl_chests[datetime],"&gt;="&amp;TODAY()-WEEKDAY(TODAY(),2)+1,tbl_chests[datetime],"&lt;"&amp;TODAY()-WEEKDAY(TODAY(),2)+8)))</f>
        <v>0</v>
      </c>
      <c r="AK65" s="36">
        <f ca="1">IF($A65="","",IF(AK$1="","",COUNTIFS(tbl_chests[from],$A65,tbl_chests[legalized],AK$1,tbl_chests[datetime],"&gt;="&amp;TODAY()-WEEKDAY(TODAY(),2)+1,tbl_chests[datetime],"&lt;"&amp;TODAY()-WEEKDAY(TODAY(),2)+8)))</f>
        <v>0</v>
      </c>
      <c r="AL65" s="36">
        <f ca="1">IF($A65="","",IF(AL$1="","",COUNTIFS(tbl_chests[from],$A65,tbl_chests[legalized],AL$1,tbl_chests[datetime],"&gt;="&amp;TODAY()-WEEKDAY(TODAY(),2)+1,tbl_chests[datetime],"&lt;"&amp;TODAY()-WEEKDAY(TODAY(),2)+8)))</f>
        <v>0</v>
      </c>
      <c r="AM65" s="37">
        <f ca="1">IF($A65="","",IF(AM$1="","",COUNTIFS(tbl_chests[from],$A65,tbl_chests[legalized],AM$1,tbl_chests[datetime],"&gt;="&amp;TODAY()-WEEKDAY(TODAY(),2)+1,tbl_chests[datetime],"&lt;"&amp;TODAY()-WEEKDAY(TODAY(),2)+8)))</f>
        <v>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 spans="1:67" ht="15.75" customHeight="1" x14ac:dyDescent="0.25">
      <c r="A66" s="34">
        <f>chests_counter!$H63</f>
        <v>0</v>
      </c>
      <c r="B66" s="35" cm="1">
        <f t="array" aca="1" ref="B66" ca="1">IF(A66&lt;&gt;"", SUMPRODUCT(($C$2:$AM$2&lt;&gt;0)*(C66:AM66&lt;&gt;0)*($C$2:$AM$2)*(C66:AM66)), "")</f>
        <v>0</v>
      </c>
      <c r="C66" s="36">
        <f ca="1">IF($A66="","",IF(C$1="","",COUNTIFS(tbl_chests[from],$A66,tbl_chests[legalized],C$1,tbl_chests[datetime],"&gt;="&amp;TODAY()-WEEKDAY(TODAY(),2)+1,tbl_chests[datetime],"&lt;"&amp;TODAY()-WEEKDAY(TODAY(),2)+8)))</f>
        <v>0</v>
      </c>
      <c r="D66" s="36">
        <f ca="1">IF($A66="","",IF(D$1="","",COUNTIFS(tbl_chests[from],$A66,tbl_chests[legalized],D$1,tbl_chests[datetime],"&gt;="&amp;TODAY()-WEEKDAY(TODAY(),2)+1,tbl_chests[datetime],"&lt;"&amp;TODAY()-WEEKDAY(TODAY(),2)+8)))</f>
        <v>0</v>
      </c>
      <c r="E66" s="36">
        <f ca="1">IF($A66="","",IF(E$1="","",COUNTIFS(tbl_chests[from],$A66,tbl_chests[legalized],E$1,tbl_chests[datetime],"&gt;="&amp;TODAY()-WEEKDAY(TODAY(),2)+1,tbl_chests[datetime],"&lt;"&amp;TODAY()-WEEKDAY(TODAY(),2)+8)))</f>
        <v>0</v>
      </c>
      <c r="F66" s="36">
        <f ca="1">IF($A66="","",IF(F$1="","",COUNTIFS(tbl_chests[from],$A66,tbl_chests[legalized],F$1,tbl_chests[datetime],"&gt;="&amp;TODAY()-WEEKDAY(TODAY(),2)+1,tbl_chests[datetime],"&lt;"&amp;TODAY()-WEEKDAY(TODAY(),2)+8)))</f>
        <v>0</v>
      </c>
      <c r="G66" s="36">
        <f ca="1">IF($A66="","",IF(G$1="","",COUNTIFS(tbl_chests[from],$A66,tbl_chests[legalized],G$1,tbl_chests[datetime],"&gt;="&amp;TODAY()-WEEKDAY(TODAY(),2)+1,tbl_chests[datetime],"&lt;"&amp;TODAY()-WEEKDAY(TODAY(),2)+8)))</f>
        <v>0</v>
      </c>
      <c r="H66" s="36">
        <f ca="1">IF($A66="","",IF(H$1="","",COUNTIFS(tbl_chests[from],$A66,tbl_chests[legalized],H$1,tbl_chests[datetime],"&gt;="&amp;TODAY()-WEEKDAY(TODAY(),2)+1,tbl_chests[datetime],"&lt;"&amp;TODAY()-WEEKDAY(TODAY(),2)+8)))</f>
        <v>0</v>
      </c>
      <c r="I66" s="36">
        <f ca="1">IF($A66="","",IF(I$1="","",COUNTIFS(tbl_chests[from],$A66,tbl_chests[legalized],I$1,tbl_chests[datetime],"&gt;="&amp;TODAY()-WEEKDAY(TODAY(),2)+1,tbl_chests[datetime],"&lt;"&amp;TODAY()-WEEKDAY(TODAY(),2)+8)))</f>
        <v>0</v>
      </c>
      <c r="J66" s="36">
        <f ca="1">IF($A66="","",IF(J$1="","",COUNTIFS(tbl_chests[from],$A66,tbl_chests[legalized],J$1,tbl_chests[datetime],"&gt;="&amp;TODAY()-WEEKDAY(TODAY(),2)+1,tbl_chests[datetime],"&lt;"&amp;TODAY()-WEEKDAY(TODAY(),2)+8)))</f>
        <v>0</v>
      </c>
      <c r="K66" s="36">
        <f ca="1">IF($A66="","",IF(K$1="","",COUNTIFS(tbl_chests[from],$A66,tbl_chests[legalized],K$1,tbl_chests[datetime],"&gt;="&amp;TODAY()-WEEKDAY(TODAY(),2)+1,tbl_chests[datetime],"&lt;"&amp;TODAY()-WEEKDAY(TODAY(),2)+8)))</f>
        <v>0</v>
      </c>
      <c r="L66" s="36">
        <f ca="1">IF($A66="","",IF(L$1="","",COUNTIFS(tbl_chests[from],$A66,tbl_chests[legalized],L$1,tbl_chests[datetime],"&gt;="&amp;TODAY()-WEEKDAY(TODAY(),2)+1,tbl_chests[datetime],"&lt;"&amp;TODAY()-WEEKDAY(TODAY(),2)+8)))</f>
        <v>0</v>
      </c>
      <c r="M66" s="36">
        <f ca="1">IF($A66="","",IF(M$1="","",COUNTIFS(tbl_chests[from],$A66,tbl_chests[legalized],M$1,tbl_chests[datetime],"&gt;="&amp;TODAY()-WEEKDAY(TODAY(),2)+1,tbl_chests[datetime],"&lt;"&amp;TODAY()-WEEKDAY(TODAY(),2)+8)))</f>
        <v>0</v>
      </c>
      <c r="N66" s="36">
        <f ca="1">IF($A66="","",IF(N$1="","",COUNTIFS(tbl_chests[from],$A66,tbl_chests[legalized],N$1,tbl_chests[datetime],"&gt;="&amp;TODAY()-WEEKDAY(TODAY(),2)+1,tbl_chests[datetime],"&lt;"&amp;TODAY()-WEEKDAY(TODAY(),2)+8)))</f>
        <v>0</v>
      </c>
      <c r="O66" s="36">
        <f ca="1">IF($A66="","",IF(O$1="","",COUNTIFS(tbl_chests[from],$A66,tbl_chests[legalized],O$1,tbl_chests[datetime],"&gt;="&amp;TODAY()-WEEKDAY(TODAY(),2)+1,tbl_chests[datetime],"&lt;"&amp;TODAY()-WEEKDAY(TODAY(),2)+8)))</f>
        <v>0</v>
      </c>
      <c r="P66" s="36">
        <f ca="1">IF($A66="","",IF(P$1="","",COUNTIFS(tbl_chests[from],$A66,tbl_chests[legalized],P$1,tbl_chests[datetime],"&gt;="&amp;TODAY()-WEEKDAY(TODAY(),2)+1,tbl_chests[datetime],"&lt;"&amp;TODAY()-WEEKDAY(TODAY(),2)+8)))</f>
        <v>0</v>
      </c>
      <c r="Q66" s="36">
        <f ca="1">IF($A66="","",IF(Q$1="","",COUNTIFS(tbl_chests[from],$A66,tbl_chests[legalized],Q$1,tbl_chests[datetime],"&gt;="&amp;TODAY()-WEEKDAY(TODAY(),2)+1,tbl_chests[datetime],"&lt;"&amp;TODAY()-WEEKDAY(TODAY(),2)+8)))</f>
        <v>0</v>
      </c>
      <c r="R66" s="36">
        <f ca="1">IF($A66="","",IF(R$1="","",COUNTIFS(tbl_chests[from],$A66,tbl_chests[legalized],R$1,tbl_chests[datetime],"&gt;="&amp;TODAY()-WEEKDAY(TODAY(),2)+1,tbl_chests[datetime],"&lt;"&amp;TODAY()-WEEKDAY(TODAY(),2)+8)))</f>
        <v>0</v>
      </c>
      <c r="S66" s="36">
        <f ca="1">IF($A66="","",IF(S$1="","",COUNTIFS(tbl_chests[from],$A66,tbl_chests[legalized],S$1,tbl_chests[datetime],"&gt;="&amp;TODAY()-WEEKDAY(TODAY(),2)+1,tbl_chests[datetime],"&lt;"&amp;TODAY()-WEEKDAY(TODAY(),2)+8)))</f>
        <v>0</v>
      </c>
      <c r="T66" s="36">
        <f ca="1">IF($A66="","",IF(T$1="","",COUNTIFS(tbl_chests[from],$A66,tbl_chests[legalized],T$1,tbl_chests[datetime],"&gt;="&amp;TODAY()-WEEKDAY(TODAY(),2)+1,tbl_chests[datetime],"&lt;"&amp;TODAY()-WEEKDAY(TODAY(),2)+8)))</f>
        <v>0</v>
      </c>
      <c r="U66" s="36">
        <f ca="1">IF($A66="","",IF(U$1="","",COUNTIFS(tbl_chests[from],$A66,tbl_chests[legalized],U$1,tbl_chests[datetime],"&gt;="&amp;TODAY()-WEEKDAY(TODAY(),2)+1,tbl_chests[datetime],"&lt;"&amp;TODAY()-WEEKDAY(TODAY(),2)+8)))</f>
        <v>0</v>
      </c>
      <c r="V66" s="36">
        <f ca="1">IF($A66="","",IF(V$1="","",COUNTIFS(tbl_chests[from],$A66,tbl_chests[legalized],V$1,tbl_chests[datetime],"&gt;="&amp;TODAY()-WEEKDAY(TODAY(),2)+1,tbl_chests[datetime],"&lt;"&amp;TODAY()-WEEKDAY(TODAY(),2)+8)))</f>
        <v>0</v>
      </c>
      <c r="W66" s="36">
        <f ca="1">IF($A66="","",IF(W$1="","",COUNTIFS(tbl_chests[from],$A66,tbl_chests[legalized],W$1,tbl_chests[datetime],"&gt;="&amp;TODAY()-WEEKDAY(TODAY(),2)+1,tbl_chests[datetime],"&lt;"&amp;TODAY()-WEEKDAY(TODAY(),2)+8)))</f>
        <v>0</v>
      </c>
      <c r="X66" s="36">
        <f ca="1">IF($A66="","",IF(X$1="","",COUNTIFS(tbl_chests[from],$A66,tbl_chests[legalized],X$1,tbl_chests[datetime],"&gt;="&amp;TODAY()-WEEKDAY(TODAY(),2)+1,tbl_chests[datetime],"&lt;"&amp;TODAY()-WEEKDAY(TODAY(),2)+8)))</f>
        <v>0</v>
      </c>
      <c r="Y66" s="36">
        <f ca="1">IF($A66="","",IF(Y$1="","",COUNTIFS(tbl_chests[from],$A66,tbl_chests[legalized],Y$1,tbl_chests[datetime],"&gt;="&amp;TODAY()-WEEKDAY(TODAY(),2)+1,tbl_chests[datetime],"&lt;"&amp;TODAY()-WEEKDAY(TODAY(),2)+8)))</f>
        <v>0</v>
      </c>
      <c r="Z66" s="36">
        <f ca="1">IF($A66="","",IF(Z$1="","",COUNTIFS(tbl_chests[from],$A66,tbl_chests[legalized],Z$1,tbl_chests[datetime],"&gt;="&amp;TODAY()-WEEKDAY(TODAY(),2)+1,tbl_chests[datetime],"&lt;"&amp;TODAY()-WEEKDAY(TODAY(),2)+8)))</f>
        <v>0</v>
      </c>
      <c r="AA66" s="36">
        <f ca="1">IF($A66="","",IF(AA$1="","",COUNTIFS(tbl_chests[from],$A66,tbl_chests[legalized],AA$1,tbl_chests[datetime],"&gt;="&amp;TODAY()-WEEKDAY(TODAY(),2)+1,tbl_chests[datetime],"&lt;"&amp;TODAY()-WEEKDAY(TODAY(),2)+8)))</f>
        <v>0</v>
      </c>
      <c r="AB66" s="36">
        <f ca="1">IF($A66="","",IF(AB$1="","",COUNTIFS(tbl_chests[from],$A66,tbl_chests[legalized],AB$1,tbl_chests[datetime],"&gt;="&amp;TODAY()-WEEKDAY(TODAY(),2)+1,tbl_chests[datetime],"&lt;"&amp;TODAY()-WEEKDAY(TODAY(),2)+8)))</f>
        <v>0</v>
      </c>
      <c r="AC66" s="36">
        <f ca="1">IF($A66="","",IF(AC$1="","",COUNTIFS(tbl_chests[from],$A66,tbl_chests[legalized],AC$1,tbl_chests[datetime],"&gt;="&amp;TODAY()-WEEKDAY(TODAY(),2)+1,tbl_chests[datetime],"&lt;"&amp;TODAY()-WEEKDAY(TODAY(),2)+8)))</f>
        <v>0</v>
      </c>
      <c r="AD66" s="36">
        <f ca="1">IF($A66="","",IF(AD$1="","",COUNTIFS(tbl_chests[from],$A66,tbl_chests[legalized],AD$1,tbl_chests[datetime],"&gt;="&amp;TODAY()-WEEKDAY(TODAY(),2)+1,tbl_chests[datetime],"&lt;"&amp;TODAY()-WEEKDAY(TODAY(),2)+8)))</f>
        <v>0</v>
      </c>
      <c r="AE66" s="36">
        <f ca="1">IF($A66="","",IF(AE$1="","",COUNTIFS(tbl_chests[from],$A66,tbl_chests[legalized],AE$1,tbl_chests[datetime],"&gt;="&amp;TODAY()-WEEKDAY(TODAY(),2)+1,tbl_chests[datetime],"&lt;"&amp;TODAY()-WEEKDAY(TODAY(),2)+8)))</f>
        <v>0</v>
      </c>
      <c r="AF66" s="36">
        <f ca="1">IF($A66="","",IF(AF$1="","",COUNTIFS(tbl_chests[from],$A66,tbl_chests[legalized],AF$1,tbl_chests[datetime],"&gt;="&amp;TODAY()-WEEKDAY(TODAY(),2)+1,tbl_chests[datetime],"&lt;"&amp;TODAY()-WEEKDAY(TODAY(),2)+8)))</f>
        <v>0</v>
      </c>
      <c r="AG66" s="36">
        <f ca="1">IF($A66="","",IF(AG$1="","",COUNTIFS(tbl_chests[from],$A66,tbl_chests[legalized],AG$1,tbl_chests[datetime],"&gt;="&amp;TODAY()-WEEKDAY(TODAY(),2)+1,tbl_chests[datetime],"&lt;"&amp;TODAY()-WEEKDAY(TODAY(),2)+8)))</f>
        <v>0</v>
      </c>
      <c r="AH66" s="36">
        <f ca="1">IF($A66="","",IF(AH$1="","",COUNTIFS(tbl_chests[from],$A66,tbl_chests[legalized],AH$1,tbl_chests[datetime],"&gt;="&amp;TODAY()-WEEKDAY(TODAY(),2)+1,tbl_chests[datetime],"&lt;"&amp;TODAY()-WEEKDAY(TODAY(),2)+8)))</f>
        <v>0</v>
      </c>
      <c r="AI66" s="36">
        <f ca="1">IF($A66="","",IF(AI$1="","",COUNTIFS(tbl_chests[from],$A66,tbl_chests[legalized],AI$1,tbl_chests[datetime],"&gt;="&amp;TODAY()-WEEKDAY(TODAY(),2)+1,tbl_chests[datetime],"&lt;"&amp;TODAY()-WEEKDAY(TODAY(),2)+8)))</f>
        <v>0</v>
      </c>
      <c r="AJ66" s="36">
        <f ca="1">IF($A66="","",IF(AJ$1="","",COUNTIFS(tbl_chests[from],$A66,tbl_chests[legalized],AJ$1,tbl_chests[datetime],"&gt;="&amp;TODAY()-WEEKDAY(TODAY(),2)+1,tbl_chests[datetime],"&lt;"&amp;TODAY()-WEEKDAY(TODAY(),2)+8)))</f>
        <v>0</v>
      </c>
      <c r="AK66" s="36">
        <f ca="1">IF($A66="","",IF(AK$1="","",COUNTIFS(tbl_chests[from],$A66,tbl_chests[legalized],AK$1,tbl_chests[datetime],"&gt;="&amp;TODAY()-WEEKDAY(TODAY(),2)+1,tbl_chests[datetime],"&lt;"&amp;TODAY()-WEEKDAY(TODAY(),2)+8)))</f>
        <v>0</v>
      </c>
      <c r="AL66" s="36">
        <f ca="1">IF($A66="","",IF(AL$1="","",COUNTIFS(tbl_chests[from],$A66,tbl_chests[legalized],AL$1,tbl_chests[datetime],"&gt;="&amp;TODAY()-WEEKDAY(TODAY(),2)+1,tbl_chests[datetime],"&lt;"&amp;TODAY()-WEEKDAY(TODAY(),2)+8)))</f>
        <v>0</v>
      </c>
      <c r="AM66" s="37">
        <f ca="1">IF($A66="","",IF(AM$1="","",COUNTIFS(tbl_chests[from],$A66,tbl_chests[legalized],AM$1,tbl_chests[datetime],"&gt;="&amp;TODAY()-WEEKDAY(TODAY(),2)+1,tbl_chests[datetime],"&lt;"&amp;TODAY()-WEEKDAY(TODAY(),2)+8)))</f>
        <v>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 spans="1:67" ht="15.75" customHeight="1" x14ac:dyDescent="0.25">
      <c r="A67" s="34">
        <f>chests_counter!$H64</f>
        <v>0</v>
      </c>
      <c r="B67" s="35" cm="1">
        <f t="array" aca="1" ref="B67" ca="1">IF(A67&lt;&gt;"", SUMPRODUCT(($C$2:$AM$2&lt;&gt;0)*(C67:AM67&lt;&gt;0)*($C$2:$AM$2)*(C67:AM67)), "")</f>
        <v>0</v>
      </c>
      <c r="C67" s="36">
        <f ca="1">IF($A67="","",IF(C$1="","",COUNTIFS(tbl_chests[from],$A67,tbl_chests[legalized],C$1,tbl_chests[datetime],"&gt;="&amp;TODAY()-WEEKDAY(TODAY(),2)+1,tbl_chests[datetime],"&lt;"&amp;TODAY()-WEEKDAY(TODAY(),2)+8)))</f>
        <v>0</v>
      </c>
      <c r="D67" s="36">
        <f ca="1">IF($A67="","",IF(D$1="","",COUNTIFS(tbl_chests[from],$A67,tbl_chests[legalized],D$1,tbl_chests[datetime],"&gt;="&amp;TODAY()-WEEKDAY(TODAY(),2)+1,tbl_chests[datetime],"&lt;"&amp;TODAY()-WEEKDAY(TODAY(),2)+8)))</f>
        <v>0</v>
      </c>
      <c r="E67" s="36">
        <f ca="1">IF($A67="","",IF(E$1="","",COUNTIFS(tbl_chests[from],$A67,tbl_chests[legalized],E$1,tbl_chests[datetime],"&gt;="&amp;TODAY()-WEEKDAY(TODAY(),2)+1,tbl_chests[datetime],"&lt;"&amp;TODAY()-WEEKDAY(TODAY(),2)+8)))</f>
        <v>0</v>
      </c>
      <c r="F67" s="36">
        <f ca="1">IF($A67="","",IF(F$1="","",COUNTIFS(tbl_chests[from],$A67,tbl_chests[legalized],F$1,tbl_chests[datetime],"&gt;="&amp;TODAY()-WEEKDAY(TODAY(),2)+1,tbl_chests[datetime],"&lt;"&amp;TODAY()-WEEKDAY(TODAY(),2)+8)))</f>
        <v>0</v>
      </c>
      <c r="G67" s="36">
        <f ca="1">IF($A67="","",IF(G$1="","",COUNTIFS(tbl_chests[from],$A67,tbl_chests[legalized],G$1,tbl_chests[datetime],"&gt;="&amp;TODAY()-WEEKDAY(TODAY(),2)+1,tbl_chests[datetime],"&lt;"&amp;TODAY()-WEEKDAY(TODAY(),2)+8)))</f>
        <v>0</v>
      </c>
      <c r="H67" s="36">
        <f ca="1">IF($A67="","",IF(H$1="","",COUNTIFS(tbl_chests[from],$A67,tbl_chests[legalized],H$1,tbl_chests[datetime],"&gt;="&amp;TODAY()-WEEKDAY(TODAY(),2)+1,tbl_chests[datetime],"&lt;"&amp;TODAY()-WEEKDAY(TODAY(),2)+8)))</f>
        <v>0</v>
      </c>
      <c r="I67" s="36">
        <f ca="1">IF($A67="","",IF(I$1="","",COUNTIFS(tbl_chests[from],$A67,tbl_chests[legalized],I$1,tbl_chests[datetime],"&gt;="&amp;TODAY()-WEEKDAY(TODAY(),2)+1,tbl_chests[datetime],"&lt;"&amp;TODAY()-WEEKDAY(TODAY(),2)+8)))</f>
        <v>0</v>
      </c>
      <c r="J67" s="36">
        <f ca="1">IF($A67="","",IF(J$1="","",COUNTIFS(tbl_chests[from],$A67,tbl_chests[legalized],J$1,tbl_chests[datetime],"&gt;="&amp;TODAY()-WEEKDAY(TODAY(),2)+1,tbl_chests[datetime],"&lt;"&amp;TODAY()-WEEKDAY(TODAY(),2)+8)))</f>
        <v>0</v>
      </c>
      <c r="K67" s="36">
        <f ca="1">IF($A67="","",IF(K$1="","",COUNTIFS(tbl_chests[from],$A67,tbl_chests[legalized],K$1,tbl_chests[datetime],"&gt;="&amp;TODAY()-WEEKDAY(TODAY(),2)+1,tbl_chests[datetime],"&lt;"&amp;TODAY()-WEEKDAY(TODAY(),2)+8)))</f>
        <v>0</v>
      </c>
      <c r="L67" s="36">
        <f ca="1">IF($A67="","",IF(L$1="","",COUNTIFS(tbl_chests[from],$A67,tbl_chests[legalized],L$1,tbl_chests[datetime],"&gt;="&amp;TODAY()-WEEKDAY(TODAY(),2)+1,tbl_chests[datetime],"&lt;"&amp;TODAY()-WEEKDAY(TODAY(),2)+8)))</f>
        <v>0</v>
      </c>
      <c r="M67" s="36">
        <f ca="1">IF($A67="","",IF(M$1="","",COUNTIFS(tbl_chests[from],$A67,tbl_chests[legalized],M$1,tbl_chests[datetime],"&gt;="&amp;TODAY()-WEEKDAY(TODAY(),2)+1,tbl_chests[datetime],"&lt;"&amp;TODAY()-WEEKDAY(TODAY(),2)+8)))</f>
        <v>0</v>
      </c>
      <c r="N67" s="36">
        <f ca="1">IF($A67="","",IF(N$1="","",COUNTIFS(tbl_chests[from],$A67,tbl_chests[legalized],N$1,tbl_chests[datetime],"&gt;="&amp;TODAY()-WEEKDAY(TODAY(),2)+1,tbl_chests[datetime],"&lt;"&amp;TODAY()-WEEKDAY(TODAY(),2)+8)))</f>
        <v>0</v>
      </c>
      <c r="O67" s="36">
        <f ca="1">IF($A67="","",IF(O$1="","",COUNTIFS(tbl_chests[from],$A67,tbl_chests[legalized],O$1,tbl_chests[datetime],"&gt;="&amp;TODAY()-WEEKDAY(TODAY(),2)+1,tbl_chests[datetime],"&lt;"&amp;TODAY()-WEEKDAY(TODAY(),2)+8)))</f>
        <v>0</v>
      </c>
      <c r="P67" s="36">
        <f ca="1">IF($A67="","",IF(P$1="","",COUNTIFS(tbl_chests[from],$A67,tbl_chests[legalized],P$1,tbl_chests[datetime],"&gt;="&amp;TODAY()-WEEKDAY(TODAY(),2)+1,tbl_chests[datetime],"&lt;"&amp;TODAY()-WEEKDAY(TODAY(),2)+8)))</f>
        <v>0</v>
      </c>
      <c r="Q67" s="36">
        <f ca="1">IF($A67="","",IF(Q$1="","",COUNTIFS(tbl_chests[from],$A67,tbl_chests[legalized],Q$1,tbl_chests[datetime],"&gt;="&amp;TODAY()-WEEKDAY(TODAY(),2)+1,tbl_chests[datetime],"&lt;"&amp;TODAY()-WEEKDAY(TODAY(),2)+8)))</f>
        <v>0</v>
      </c>
      <c r="R67" s="36">
        <f ca="1">IF($A67="","",IF(R$1="","",COUNTIFS(tbl_chests[from],$A67,tbl_chests[legalized],R$1,tbl_chests[datetime],"&gt;="&amp;TODAY()-WEEKDAY(TODAY(),2)+1,tbl_chests[datetime],"&lt;"&amp;TODAY()-WEEKDAY(TODAY(),2)+8)))</f>
        <v>0</v>
      </c>
      <c r="S67" s="36">
        <f ca="1">IF($A67="","",IF(S$1="","",COUNTIFS(tbl_chests[from],$A67,tbl_chests[legalized],S$1,tbl_chests[datetime],"&gt;="&amp;TODAY()-WEEKDAY(TODAY(),2)+1,tbl_chests[datetime],"&lt;"&amp;TODAY()-WEEKDAY(TODAY(),2)+8)))</f>
        <v>0</v>
      </c>
      <c r="T67" s="36">
        <f ca="1">IF($A67="","",IF(T$1="","",COUNTIFS(tbl_chests[from],$A67,tbl_chests[legalized],T$1,tbl_chests[datetime],"&gt;="&amp;TODAY()-WEEKDAY(TODAY(),2)+1,tbl_chests[datetime],"&lt;"&amp;TODAY()-WEEKDAY(TODAY(),2)+8)))</f>
        <v>0</v>
      </c>
      <c r="U67" s="36">
        <f ca="1">IF($A67="","",IF(U$1="","",COUNTIFS(tbl_chests[from],$A67,tbl_chests[legalized],U$1,tbl_chests[datetime],"&gt;="&amp;TODAY()-WEEKDAY(TODAY(),2)+1,tbl_chests[datetime],"&lt;"&amp;TODAY()-WEEKDAY(TODAY(),2)+8)))</f>
        <v>0</v>
      </c>
      <c r="V67" s="36">
        <f ca="1">IF($A67="","",IF(V$1="","",COUNTIFS(tbl_chests[from],$A67,tbl_chests[legalized],V$1,tbl_chests[datetime],"&gt;="&amp;TODAY()-WEEKDAY(TODAY(),2)+1,tbl_chests[datetime],"&lt;"&amp;TODAY()-WEEKDAY(TODAY(),2)+8)))</f>
        <v>0</v>
      </c>
      <c r="W67" s="36">
        <f ca="1">IF($A67="","",IF(W$1="","",COUNTIFS(tbl_chests[from],$A67,tbl_chests[legalized],W$1,tbl_chests[datetime],"&gt;="&amp;TODAY()-WEEKDAY(TODAY(),2)+1,tbl_chests[datetime],"&lt;"&amp;TODAY()-WEEKDAY(TODAY(),2)+8)))</f>
        <v>0</v>
      </c>
      <c r="X67" s="36">
        <f ca="1">IF($A67="","",IF(X$1="","",COUNTIFS(tbl_chests[from],$A67,tbl_chests[legalized],X$1,tbl_chests[datetime],"&gt;="&amp;TODAY()-WEEKDAY(TODAY(),2)+1,tbl_chests[datetime],"&lt;"&amp;TODAY()-WEEKDAY(TODAY(),2)+8)))</f>
        <v>0</v>
      </c>
      <c r="Y67" s="36">
        <f ca="1">IF($A67="","",IF(Y$1="","",COUNTIFS(tbl_chests[from],$A67,tbl_chests[legalized],Y$1,tbl_chests[datetime],"&gt;="&amp;TODAY()-WEEKDAY(TODAY(),2)+1,tbl_chests[datetime],"&lt;"&amp;TODAY()-WEEKDAY(TODAY(),2)+8)))</f>
        <v>0</v>
      </c>
      <c r="Z67" s="36">
        <f ca="1">IF($A67="","",IF(Z$1="","",COUNTIFS(tbl_chests[from],$A67,tbl_chests[legalized],Z$1,tbl_chests[datetime],"&gt;="&amp;TODAY()-WEEKDAY(TODAY(),2)+1,tbl_chests[datetime],"&lt;"&amp;TODAY()-WEEKDAY(TODAY(),2)+8)))</f>
        <v>0</v>
      </c>
      <c r="AA67" s="36">
        <f ca="1">IF($A67="","",IF(AA$1="","",COUNTIFS(tbl_chests[from],$A67,tbl_chests[legalized],AA$1,tbl_chests[datetime],"&gt;="&amp;TODAY()-WEEKDAY(TODAY(),2)+1,tbl_chests[datetime],"&lt;"&amp;TODAY()-WEEKDAY(TODAY(),2)+8)))</f>
        <v>0</v>
      </c>
      <c r="AB67" s="36">
        <f ca="1">IF($A67="","",IF(AB$1="","",COUNTIFS(tbl_chests[from],$A67,tbl_chests[legalized],AB$1,tbl_chests[datetime],"&gt;="&amp;TODAY()-WEEKDAY(TODAY(),2)+1,tbl_chests[datetime],"&lt;"&amp;TODAY()-WEEKDAY(TODAY(),2)+8)))</f>
        <v>0</v>
      </c>
      <c r="AC67" s="36">
        <f ca="1">IF($A67="","",IF(AC$1="","",COUNTIFS(tbl_chests[from],$A67,tbl_chests[legalized],AC$1,tbl_chests[datetime],"&gt;="&amp;TODAY()-WEEKDAY(TODAY(),2)+1,tbl_chests[datetime],"&lt;"&amp;TODAY()-WEEKDAY(TODAY(),2)+8)))</f>
        <v>0</v>
      </c>
      <c r="AD67" s="36">
        <f ca="1">IF($A67="","",IF(AD$1="","",COUNTIFS(tbl_chests[from],$A67,tbl_chests[legalized],AD$1,tbl_chests[datetime],"&gt;="&amp;TODAY()-WEEKDAY(TODAY(),2)+1,tbl_chests[datetime],"&lt;"&amp;TODAY()-WEEKDAY(TODAY(),2)+8)))</f>
        <v>0</v>
      </c>
      <c r="AE67" s="36">
        <f ca="1">IF($A67="","",IF(AE$1="","",COUNTIFS(tbl_chests[from],$A67,tbl_chests[legalized],AE$1,tbl_chests[datetime],"&gt;="&amp;TODAY()-WEEKDAY(TODAY(),2)+1,tbl_chests[datetime],"&lt;"&amp;TODAY()-WEEKDAY(TODAY(),2)+8)))</f>
        <v>0</v>
      </c>
      <c r="AF67" s="36">
        <f ca="1">IF($A67="","",IF(AF$1="","",COUNTIFS(tbl_chests[from],$A67,tbl_chests[legalized],AF$1,tbl_chests[datetime],"&gt;="&amp;TODAY()-WEEKDAY(TODAY(),2)+1,tbl_chests[datetime],"&lt;"&amp;TODAY()-WEEKDAY(TODAY(),2)+8)))</f>
        <v>0</v>
      </c>
      <c r="AG67" s="36">
        <f ca="1">IF($A67="","",IF(AG$1="","",COUNTIFS(tbl_chests[from],$A67,tbl_chests[legalized],AG$1,tbl_chests[datetime],"&gt;="&amp;TODAY()-WEEKDAY(TODAY(),2)+1,tbl_chests[datetime],"&lt;"&amp;TODAY()-WEEKDAY(TODAY(),2)+8)))</f>
        <v>0</v>
      </c>
      <c r="AH67" s="36">
        <f ca="1">IF($A67="","",IF(AH$1="","",COUNTIFS(tbl_chests[from],$A67,tbl_chests[legalized],AH$1,tbl_chests[datetime],"&gt;="&amp;TODAY()-WEEKDAY(TODAY(),2)+1,tbl_chests[datetime],"&lt;"&amp;TODAY()-WEEKDAY(TODAY(),2)+8)))</f>
        <v>0</v>
      </c>
      <c r="AI67" s="36">
        <f ca="1">IF($A67="","",IF(AI$1="","",COUNTIFS(tbl_chests[from],$A67,tbl_chests[legalized],AI$1,tbl_chests[datetime],"&gt;="&amp;TODAY()-WEEKDAY(TODAY(),2)+1,tbl_chests[datetime],"&lt;"&amp;TODAY()-WEEKDAY(TODAY(),2)+8)))</f>
        <v>0</v>
      </c>
      <c r="AJ67" s="36">
        <f ca="1">IF($A67="","",IF(AJ$1="","",COUNTIFS(tbl_chests[from],$A67,tbl_chests[legalized],AJ$1,tbl_chests[datetime],"&gt;="&amp;TODAY()-WEEKDAY(TODAY(),2)+1,tbl_chests[datetime],"&lt;"&amp;TODAY()-WEEKDAY(TODAY(),2)+8)))</f>
        <v>0</v>
      </c>
      <c r="AK67" s="36">
        <f ca="1">IF($A67="","",IF(AK$1="","",COUNTIFS(tbl_chests[from],$A67,tbl_chests[legalized],AK$1,tbl_chests[datetime],"&gt;="&amp;TODAY()-WEEKDAY(TODAY(),2)+1,tbl_chests[datetime],"&lt;"&amp;TODAY()-WEEKDAY(TODAY(),2)+8)))</f>
        <v>0</v>
      </c>
      <c r="AL67" s="36">
        <f ca="1">IF($A67="","",IF(AL$1="","",COUNTIFS(tbl_chests[from],$A67,tbl_chests[legalized],AL$1,tbl_chests[datetime],"&gt;="&amp;TODAY()-WEEKDAY(TODAY(),2)+1,tbl_chests[datetime],"&lt;"&amp;TODAY()-WEEKDAY(TODAY(),2)+8)))</f>
        <v>0</v>
      </c>
      <c r="AM67" s="37">
        <f ca="1">IF($A67="","",IF(AM$1="","",COUNTIFS(tbl_chests[from],$A67,tbl_chests[legalized],AM$1,tbl_chests[datetime],"&gt;="&amp;TODAY()-WEEKDAY(TODAY(),2)+1,tbl_chests[datetime],"&lt;"&amp;TODAY()-WEEKDAY(TODAY(),2)+8)))</f>
        <v>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 spans="1:67" ht="15.75" customHeight="1" x14ac:dyDescent="0.25">
      <c r="A68" s="34">
        <f>chests_counter!$H65</f>
        <v>0</v>
      </c>
      <c r="B68" s="35" cm="1">
        <f t="array" aca="1" ref="B68" ca="1">IF(A68&lt;&gt;"", SUMPRODUCT(($C$2:$AM$2&lt;&gt;0)*(C68:AM68&lt;&gt;0)*($C$2:$AM$2)*(C68:AM68)), "")</f>
        <v>0</v>
      </c>
      <c r="C68" s="36">
        <f ca="1">IF($A68="","",IF(C$1="","",COUNTIFS(tbl_chests[from],$A68,tbl_chests[legalized],C$1,tbl_chests[datetime],"&gt;="&amp;TODAY()-WEEKDAY(TODAY(),2)+1,tbl_chests[datetime],"&lt;"&amp;TODAY()-WEEKDAY(TODAY(),2)+8)))</f>
        <v>0</v>
      </c>
      <c r="D68" s="36">
        <f ca="1">IF($A68="","",IF(D$1="","",COUNTIFS(tbl_chests[from],$A68,tbl_chests[legalized],D$1,tbl_chests[datetime],"&gt;="&amp;TODAY()-WEEKDAY(TODAY(),2)+1,tbl_chests[datetime],"&lt;"&amp;TODAY()-WEEKDAY(TODAY(),2)+8)))</f>
        <v>0</v>
      </c>
      <c r="E68" s="36">
        <f ca="1">IF($A68="","",IF(E$1="","",COUNTIFS(tbl_chests[from],$A68,tbl_chests[legalized],E$1,tbl_chests[datetime],"&gt;="&amp;TODAY()-WEEKDAY(TODAY(),2)+1,tbl_chests[datetime],"&lt;"&amp;TODAY()-WEEKDAY(TODAY(),2)+8)))</f>
        <v>0</v>
      </c>
      <c r="F68" s="36">
        <f ca="1">IF($A68="","",IF(F$1="","",COUNTIFS(tbl_chests[from],$A68,tbl_chests[legalized],F$1,tbl_chests[datetime],"&gt;="&amp;TODAY()-WEEKDAY(TODAY(),2)+1,tbl_chests[datetime],"&lt;"&amp;TODAY()-WEEKDAY(TODAY(),2)+8)))</f>
        <v>0</v>
      </c>
      <c r="G68" s="36">
        <f ca="1">IF($A68="","",IF(G$1="","",COUNTIFS(tbl_chests[from],$A68,tbl_chests[legalized],G$1,tbl_chests[datetime],"&gt;="&amp;TODAY()-WEEKDAY(TODAY(),2)+1,tbl_chests[datetime],"&lt;"&amp;TODAY()-WEEKDAY(TODAY(),2)+8)))</f>
        <v>0</v>
      </c>
      <c r="H68" s="36">
        <f ca="1">IF($A68="","",IF(H$1="","",COUNTIFS(tbl_chests[from],$A68,tbl_chests[legalized],H$1,tbl_chests[datetime],"&gt;="&amp;TODAY()-WEEKDAY(TODAY(),2)+1,tbl_chests[datetime],"&lt;"&amp;TODAY()-WEEKDAY(TODAY(),2)+8)))</f>
        <v>0</v>
      </c>
      <c r="I68" s="36">
        <f ca="1">IF($A68="","",IF(I$1="","",COUNTIFS(tbl_chests[from],$A68,tbl_chests[legalized],I$1,tbl_chests[datetime],"&gt;="&amp;TODAY()-WEEKDAY(TODAY(),2)+1,tbl_chests[datetime],"&lt;"&amp;TODAY()-WEEKDAY(TODAY(),2)+8)))</f>
        <v>0</v>
      </c>
      <c r="J68" s="36">
        <f ca="1">IF($A68="","",IF(J$1="","",COUNTIFS(tbl_chests[from],$A68,tbl_chests[legalized],J$1,tbl_chests[datetime],"&gt;="&amp;TODAY()-WEEKDAY(TODAY(),2)+1,tbl_chests[datetime],"&lt;"&amp;TODAY()-WEEKDAY(TODAY(),2)+8)))</f>
        <v>0</v>
      </c>
      <c r="K68" s="36">
        <f ca="1">IF($A68="","",IF(K$1="","",COUNTIFS(tbl_chests[from],$A68,tbl_chests[legalized],K$1,tbl_chests[datetime],"&gt;="&amp;TODAY()-WEEKDAY(TODAY(),2)+1,tbl_chests[datetime],"&lt;"&amp;TODAY()-WEEKDAY(TODAY(),2)+8)))</f>
        <v>0</v>
      </c>
      <c r="L68" s="36">
        <f ca="1">IF($A68="","",IF(L$1="","",COUNTIFS(tbl_chests[from],$A68,tbl_chests[legalized],L$1,tbl_chests[datetime],"&gt;="&amp;TODAY()-WEEKDAY(TODAY(),2)+1,tbl_chests[datetime],"&lt;"&amp;TODAY()-WEEKDAY(TODAY(),2)+8)))</f>
        <v>0</v>
      </c>
      <c r="M68" s="36">
        <f ca="1">IF($A68="","",IF(M$1="","",COUNTIFS(tbl_chests[from],$A68,tbl_chests[legalized],M$1,tbl_chests[datetime],"&gt;="&amp;TODAY()-WEEKDAY(TODAY(),2)+1,tbl_chests[datetime],"&lt;"&amp;TODAY()-WEEKDAY(TODAY(),2)+8)))</f>
        <v>0</v>
      </c>
      <c r="N68" s="36">
        <f ca="1">IF($A68="","",IF(N$1="","",COUNTIFS(tbl_chests[from],$A68,tbl_chests[legalized],N$1,tbl_chests[datetime],"&gt;="&amp;TODAY()-WEEKDAY(TODAY(),2)+1,tbl_chests[datetime],"&lt;"&amp;TODAY()-WEEKDAY(TODAY(),2)+8)))</f>
        <v>0</v>
      </c>
      <c r="O68" s="36">
        <f ca="1">IF($A68="","",IF(O$1="","",COUNTIFS(tbl_chests[from],$A68,tbl_chests[legalized],O$1,tbl_chests[datetime],"&gt;="&amp;TODAY()-WEEKDAY(TODAY(),2)+1,tbl_chests[datetime],"&lt;"&amp;TODAY()-WEEKDAY(TODAY(),2)+8)))</f>
        <v>0</v>
      </c>
      <c r="P68" s="36">
        <f ca="1">IF($A68="","",IF(P$1="","",COUNTIFS(tbl_chests[from],$A68,tbl_chests[legalized],P$1,tbl_chests[datetime],"&gt;="&amp;TODAY()-WEEKDAY(TODAY(),2)+1,tbl_chests[datetime],"&lt;"&amp;TODAY()-WEEKDAY(TODAY(),2)+8)))</f>
        <v>0</v>
      </c>
      <c r="Q68" s="36">
        <f ca="1">IF($A68="","",IF(Q$1="","",COUNTIFS(tbl_chests[from],$A68,tbl_chests[legalized],Q$1,tbl_chests[datetime],"&gt;="&amp;TODAY()-WEEKDAY(TODAY(),2)+1,tbl_chests[datetime],"&lt;"&amp;TODAY()-WEEKDAY(TODAY(),2)+8)))</f>
        <v>0</v>
      </c>
      <c r="R68" s="36">
        <f ca="1">IF($A68="","",IF(R$1="","",COUNTIFS(tbl_chests[from],$A68,tbl_chests[legalized],R$1,tbl_chests[datetime],"&gt;="&amp;TODAY()-WEEKDAY(TODAY(),2)+1,tbl_chests[datetime],"&lt;"&amp;TODAY()-WEEKDAY(TODAY(),2)+8)))</f>
        <v>0</v>
      </c>
      <c r="S68" s="36">
        <f ca="1">IF($A68="","",IF(S$1="","",COUNTIFS(tbl_chests[from],$A68,tbl_chests[legalized],S$1,tbl_chests[datetime],"&gt;="&amp;TODAY()-WEEKDAY(TODAY(),2)+1,tbl_chests[datetime],"&lt;"&amp;TODAY()-WEEKDAY(TODAY(),2)+8)))</f>
        <v>0</v>
      </c>
      <c r="T68" s="36">
        <f ca="1">IF($A68="","",IF(T$1="","",COUNTIFS(tbl_chests[from],$A68,tbl_chests[legalized],T$1,tbl_chests[datetime],"&gt;="&amp;TODAY()-WEEKDAY(TODAY(),2)+1,tbl_chests[datetime],"&lt;"&amp;TODAY()-WEEKDAY(TODAY(),2)+8)))</f>
        <v>0</v>
      </c>
      <c r="U68" s="36">
        <f ca="1">IF($A68="","",IF(U$1="","",COUNTIFS(tbl_chests[from],$A68,tbl_chests[legalized],U$1,tbl_chests[datetime],"&gt;="&amp;TODAY()-WEEKDAY(TODAY(),2)+1,tbl_chests[datetime],"&lt;"&amp;TODAY()-WEEKDAY(TODAY(),2)+8)))</f>
        <v>0</v>
      </c>
      <c r="V68" s="36">
        <f ca="1">IF($A68="","",IF(V$1="","",COUNTIFS(tbl_chests[from],$A68,tbl_chests[legalized],V$1,tbl_chests[datetime],"&gt;="&amp;TODAY()-WEEKDAY(TODAY(),2)+1,tbl_chests[datetime],"&lt;"&amp;TODAY()-WEEKDAY(TODAY(),2)+8)))</f>
        <v>0</v>
      </c>
      <c r="W68" s="36">
        <f ca="1">IF($A68="","",IF(W$1="","",COUNTIFS(tbl_chests[from],$A68,tbl_chests[legalized],W$1,tbl_chests[datetime],"&gt;="&amp;TODAY()-WEEKDAY(TODAY(),2)+1,tbl_chests[datetime],"&lt;"&amp;TODAY()-WEEKDAY(TODAY(),2)+8)))</f>
        <v>0</v>
      </c>
      <c r="X68" s="36">
        <f ca="1">IF($A68="","",IF(X$1="","",COUNTIFS(tbl_chests[from],$A68,tbl_chests[legalized],X$1,tbl_chests[datetime],"&gt;="&amp;TODAY()-WEEKDAY(TODAY(),2)+1,tbl_chests[datetime],"&lt;"&amp;TODAY()-WEEKDAY(TODAY(),2)+8)))</f>
        <v>0</v>
      </c>
      <c r="Y68" s="36">
        <f ca="1">IF($A68="","",IF(Y$1="","",COUNTIFS(tbl_chests[from],$A68,tbl_chests[legalized],Y$1,tbl_chests[datetime],"&gt;="&amp;TODAY()-WEEKDAY(TODAY(),2)+1,tbl_chests[datetime],"&lt;"&amp;TODAY()-WEEKDAY(TODAY(),2)+8)))</f>
        <v>0</v>
      </c>
      <c r="Z68" s="36">
        <f ca="1">IF($A68="","",IF(Z$1="","",COUNTIFS(tbl_chests[from],$A68,tbl_chests[legalized],Z$1,tbl_chests[datetime],"&gt;="&amp;TODAY()-WEEKDAY(TODAY(),2)+1,tbl_chests[datetime],"&lt;"&amp;TODAY()-WEEKDAY(TODAY(),2)+8)))</f>
        <v>0</v>
      </c>
      <c r="AA68" s="36">
        <f ca="1">IF($A68="","",IF(AA$1="","",COUNTIFS(tbl_chests[from],$A68,tbl_chests[legalized],AA$1,tbl_chests[datetime],"&gt;="&amp;TODAY()-WEEKDAY(TODAY(),2)+1,tbl_chests[datetime],"&lt;"&amp;TODAY()-WEEKDAY(TODAY(),2)+8)))</f>
        <v>0</v>
      </c>
      <c r="AB68" s="36">
        <f ca="1">IF($A68="","",IF(AB$1="","",COUNTIFS(tbl_chests[from],$A68,tbl_chests[legalized],AB$1,tbl_chests[datetime],"&gt;="&amp;TODAY()-WEEKDAY(TODAY(),2)+1,tbl_chests[datetime],"&lt;"&amp;TODAY()-WEEKDAY(TODAY(),2)+8)))</f>
        <v>0</v>
      </c>
      <c r="AC68" s="36">
        <f ca="1">IF($A68="","",IF(AC$1="","",COUNTIFS(tbl_chests[from],$A68,tbl_chests[legalized],AC$1,tbl_chests[datetime],"&gt;="&amp;TODAY()-WEEKDAY(TODAY(),2)+1,tbl_chests[datetime],"&lt;"&amp;TODAY()-WEEKDAY(TODAY(),2)+8)))</f>
        <v>0</v>
      </c>
      <c r="AD68" s="36">
        <f ca="1">IF($A68="","",IF(AD$1="","",COUNTIFS(tbl_chests[from],$A68,tbl_chests[legalized],AD$1,tbl_chests[datetime],"&gt;="&amp;TODAY()-WEEKDAY(TODAY(),2)+1,tbl_chests[datetime],"&lt;"&amp;TODAY()-WEEKDAY(TODAY(),2)+8)))</f>
        <v>0</v>
      </c>
      <c r="AE68" s="36">
        <f ca="1">IF($A68="","",IF(AE$1="","",COUNTIFS(tbl_chests[from],$A68,tbl_chests[legalized],AE$1,tbl_chests[datetime],"&gt;="&amp;TODAY()-WEEKDAY(TODAY(),2)+1,tbl_chests[datetime],"&lt;"&amp;TODAY()-WEEKDAY(TODAY(),2)+8)))</f>
        <v>0</v>
      </c>
      <c r="AF68" s="36">
        <f ca="1">IF($A68="","",IF(AF$1="","",COUNTIFS(tbl_chests[from],$A68,tbl_chests[legalized],AF$1,tbl_chests[datetime],"&gt;="&amp;TODAY()-WEEKDAY(TODAY(),2)+1,tbl_chests[datetime],"&lt;"&amp;TODAY()-WEEKDAY(TODAY(),2)+8)))</f>
        <v>0</v>
      </c>
      <c r="AG68" s="36">
        <f ca="1">IF($A68="","",IF(AG$1="","",COUNTIFS(tbl_chests[from],$A68,tbl_chests[legalized],AG$1,tbl_chests[datetime],"&gt;="&amp;TODAY()-WEEKDAY(TODAY(),2)+1,tbl_chests[datetime],"&lt;"&amp;TODAY()-WEEKDAY(TODAY(),2)+8)))</f>
        <v>0</v>
      </c>
      <c r="AH68" s="36">
        <f ca="1">IF($A68="","",IF(AH$1="","",COUNTIFS(tbl_chests[from],$A68,tbl_chests[legalized],AH$1,tbl_chests[datetime],"&gt;="&amp;TODAY()-WEEKDAY(TODAY(),2)+1,tbl_chests[datetime],"&lt;"&amp;TODAY()-WEEKDAY(TODAY(),2)+8)))</f>
        <v>0</v>
      </c>
      <c r="AI68" s="36">
        <f ca="1">IF($A68="","",IF(AI$1="","",COUNTIFS(tbl_chests[from],$A68,tbl_chests[legalized],AI$1,tbl_chests[datetime],"&gt;="&amp;TODAY()-WEEKDAY(TODAY(),2)+1,tbl_chests[datetime],"&lt;"&amp;TODAY()-WEEKDAY(TODAY(),2)+8)))</f>
        <v>0</v>
      </c>
      <c r="AJ68" s="36">
        <f ca="1">IF($A68="","",IF(AJ$1="","",COUNTIFS(tbl_chests[from],$A68,tbl_chests[legalized],AJ$1,tbl_chests[datetime],"&gt;="&amp;TODAY()-WEEKDAY(TODAY(),2)+1,tbl_chests[datetime],"&lt;"&amp;TODAY()-WEEKDAY(TODAY(),2)+8)))</f>
        <v>0</v>
      </c>
      <c r="AK68" s="36">
        <f ca="1">IF($A68="","",IF(AK$1="","",COUNTIFS(tbl_chests[from],$A68,tbl_chests[legalized],AK$1,tbl_chests[datetime],"&gt;="&amp;TODAY()-WEEKDAY(TODAY(),2)+1,tbl_chests[datetime],"&lt;"&amp;TODAY()-WEEKDAY(TODAY(),2)+8)))</f>
        <v>0</v>
      </c>
      <c r="AL68" s="36">
        <f ca="1">IF($A68="","",IF(AL$1="","",COUNTIFS(tbl_chests[from],$A68,tbl_chests[legalized],AL$1,tbl_chests[datetime],"&gt;="&amp;TODAY()-WEEKDAY(TODAY(),2)+1,tbl_chests[datetime],"&lt;"&amp;TODAY()-WEEKDAY(TODAY(),2)+8)))</f>
        <v>0</v>
      </c>
      <c r="AM68" s="37">
        <f ca="1">IF($A68="","",IF(AM$1="","",COUNTIFS(tbl_chests[from],$A68,tbl_chests[legalized],AM$1,tbl_chests[datetime],"&gt;="&amp;TODAY()-WEEKDAY(TODAY(),2)+1,tbl_chests[datetime],"&lt;"&amp;TODAY()-WEEKDAY(TODAY(),2)+8)))</f>
        <v>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 spans="1:67" ht="15.75" customHeight="1" x14ac:dyDescent="0.25">
      <c r="A69" s="34">
        <f>chests_counter!$H66</f>
        <v>0</v>
      </c>
      <c r="B69" s="35" cm="1">
        <f t="array" aca="1" ref="B69" ca="1">IF(A69&lt;&gt;"", SUMPRODUCT(($C$2:$AM$2&lt;&gt;0)*(C69:AM69&lt;&gt;0)*($C$2:$AM$2)*(C69:AM69)), "")</f>
        <v>0</v>
      </c>
      <c r="C69" s="36">
        <f ca="1">IF($A69="","",IF(C$1="","",COUNTIFS(tbl_chests[from],$A69,tbl_chests[legalized],C$1,tbl_chests[datetime],"&gt;="&amp;TODAY()-WEEKDAY(TODAY(),2)+1,tbl_chests[datetime],"&lt;"&amp;TODAY()-WEEKDAY(TODAY(),2)+8)))</f>
        <v>0</v>
      </c>
      <c r="D69" s="36">
        <f ca="1">IF($A69="","",IF(D$1="","",COUNTIFS(tbl_chests[from],$A69,tbl_chests[legalized],D$1,tbl_chests[datetime],"&gt;="&amp;TODAY()-WEEKDAY(TODAY(),2)+1,tbl_chests[datetime],"&lt;"&amp;TODAY()-WEEKDAY(TODAY(),2)+8)))</f>
        <v>0</v>
      </c>
      <c r="E69" s="36">
        <f ca="1">IF($A69="","",IF(E$1="","",COUNTIFS(tbl_chests[from],$A69,tbl_chests[legalized],E$1,tbl_chests[datetime],"&gt;="&amp;TODAY()-WEEKDAY(TODAY(),2)+1,tbl_chests[datetime],"&lt;"&amp;TODAY()-WEEKDAY(TODAY(),2)+8)))</f>
        <v>0</v>
      </c>
      <c r="F69" s="36">
        <f ca="1">IF($A69="","",IF(F$1="","",COUNTIFS(tbl_chests[from],$A69,tbl_chests[legalized],F$1,tbl_chests[datetime],"&gt;="&amp;TODAY()-WEEKDAY(TODAY(),2)+1,tbl_chests[datetime],"&lt;"&amp;TODAY()-WEEKDAY(TODAY(),2)+8)))</f>
        <v>0</v>
      </c>
      <c r="G69" s="36">
        <f ca="1">IF($A69="","",IF(G$1="","",COUNTIFS(tbl_chests[from],$A69,tbl_chests[legalized],G$1,tbl_chests[datetime],"&gt;="&amp;TODAY()-WEEKDAY(TODAY(),2)+1,tbl_chests[datetime],"&lt;"&amp;TODAY()-WEEKDAY(TODAY(),2)+8)))</f>
        <v>0</v>
      </c>
      <c r="H69" s="36">
        <f ca="1">IF($A69="","",IF(H$1="","",COUNTIFS(tbl_chests[from],$A69,tbl_chests[legalized],H$1,tbl_chests[datetime],"&gt;="&amp;TODAY()-WEEKDAY(TODAY(),2)+1,tbl_chests[datetime],"&lt;"&amp;TODAY()-WEEKDAY(TODAY(),2)+8)))</f>
        <v>0</v>
      </c>
      <c r="I69" s="36">
        <f ca="1">IF($A69="","",IF(I$1="","",COUNTIFS(tbl_chests[from],$A69,tbl_chests[legalized],I$1,tbl_chests[datetime],"&gt;="&amp;TODAY()-WEEKDAY(TODAY(),2)+1,tbl_chests[datetime],"&lt;"&amp;TODAY()-WEEKDAY(TODAY(),2)+8)))</f>
        <v>0</v>
      </c>
      <c r="J69" s="36">
        <f ca="1">IF($A69="","",IF(J$1="","",COUNTIFS(tbl_chests[from],$A69,tbl_chests[legalized],J$1,tbl_chests[datetime],"&gt;="&amp;TODAY()-WEEKDAY(TODAY(),2)+1,tbl_chests[datetime],"&lt;"&amp;TODAY()-WEEKDAY(TODAY(),2)+8)))</f>
        <v>0</v>
      </c>
      <c r="K69" s="36">
        <f ca="1">IF($A69="","",IF(K$1="","",COUNTIFS(tbl_chests[from],$A69,tbl_chests[legalized],K$1,tbl_chests[datetime],"&gt;="&amp;TODAY()-WEEKDAY(TODAY(),2)+1,tbl_chests[datetime],"&lt;"&amp;TODAY()-WEEKDAY(TODAY(),2)+8)))</f>
        <v>0</v>
      </c>
      <c r="L69" s="36">
        <f ca="1">IF($A69="","",IF(L$1="","",COUNTIFS(tbl_chests[from],$A69,tbl_chests[legalized],L$1,tbl_chests[datetime],"&gt;="&amp;TODAY()-WEEKDAY(TODAY(),2)+1,tbl_chests[datetime],"&lt;"&amp;TODAY()-WEEKDAY(TODAY(),2)+8)))</f>
        <v>0</v>
      </c>
      <c r="M69" s="36">
        <f ca="1">IF($A69="","",IF(M$1="","",COUNTIFS(tbl_chests[from],$A69,tbl_chests[legalized],M$1,tbl_chests[datetime],"&gt;="&amp;TODAY()-WEEKDAY(TODAY(),2)+1,tbl_chests[datetime],"&lt;"&amp;TODAY()-WEEKDAY(TODAY(),2)+8)))</f>
        <v>0</v>
      </c>
      <c r="N69" s="36">
        <f ca="1">IF($A69="","",IF(N$1="","",COUNTIFS(tbl_chests[from],$A69,tbl_chests[legalized],N$1,tbl_chests[datetime],"&gt;="&amp;TODAY()-WEEKDAY(TODAY(),2)+1,tbl_chests[datetime],"&lt;"&amp;TODAY()-WEEKDAY(TODAY(),2)+8)))</f>
        <v>0</v>
      </c>
      <c r="O69" s="36">
        <f ca="1">IF($A69="","",IF(O$1="","",COUNTIFS(tbl_chests[from],$A69,tbl_chests[legalized],O$1,tbl_chests[datetime],"&gt;="&amp;TODAY()-WEEKDAY(TODAY(),2)+1,tbl_chests[datetime],"&lt;"&amp;TODAY()-WEEKDAY(TODAY(),2)+8)))</f>
        <v>0</v>
      </c>
      <c r="P69" s="36">
        <f ca="1">IF($A69="","",IF(P$1="","",COUNTIFS(tbl_chests[from],$A69,tbl_chests[legalized],P$1,tbl_chests[datetime],"&gt;="&amp;TODAY()-WEEKDAY(TODAY(),2)+1,tbl_chests[datetime],"&lt;"&amp;TODAY()-WEEKDAY(TODAY(),2)+8)))</f>
        <v>0</v>
      </c>
      <c r="Q69" s="36">
        <f ca="1">IF($A69="","",IF(Q$1="","",COUNTIFS(tbl_chests[from],$A69,tbl_chests[legalized],Q$1,tbl_chests[datetime],"&gt;="&amp;TODAY()-WEEKDAY(TODAY(),2)+1,tbl_chests[datetime],"&lt;"&amp;TODAY()-WEEKDAY(TODAY(),2)+8)))</f>
        <v>0</v>
      </c>
      <c r="R69" s="36">
        <f ca="1">IF($A69="","",IF(R$1="","",COUNTIFS(tbl_chests[from],$A69,tbl_chests[legalized],R$1,tbl_chests[datetime],"&gt;="&amp;TODAY()-WEEKDAY(TODAY(),2)+1,tbl_chests[datetime],"&lt;"&amp;TODAY()-WEEKDAY(TODAY(),2)+8)))</f>
        <v>0</v>
      </c>
      <c r="S69" s="36">
        <f ca="1">IF($A69="","",IF(S$1="","",COUNTIFS(tbl_chests[from],$A69,tbl_chests[legalized],S$1,tbl_chests[datetime],"&gt;="&amp;TODAY()-WEEKDAY(TODAY(),2)+1,tbl_chests[datetime],"&lt;"&amp;TODAY()-WEEKDAY(TODAY(),2)+8)))</f>
        <v>0</v>
      </c>
      <c r="T69" s="36">
        <f ca="1">IF($A69="","",IF(T$1="","",COUNTIFS(tbl_chests[from],$A69,tbl_chests[legalized],T$1,tbl_chests[datetime],"&gt;="&amp;TODAY()-WEEKDAY(TODAY(),2)+1,tbl_chests[datetime],"&lt;"&amp;TODAY()-WEEKDAY(TODAY(),2)+8)))</f>
        <v>0</v>
      </c>
      <c r="U69" s="36">
        <f ca="1">IF($A69="","",IF(U$1="","",COUNTIFS(tbl_chests[from],$A69,tbl_chests[legalized],U$1,tbl_chests[datetime],"&gt;="&amp;TODAY()-WEEKDAY(TODAY(),2)+1,tbl_chests[datetime],"&lt;"&amp;TODAY()-WEEKDAY(TODAY(),2)+8)))</f>
        <v>0</v>
      </c>
      <c r="V69" s="36">
        <f ca="1">IF($A69="","",IF(V$1="","",COUNTIFS(tbl_chests[from],$A69,tbl_chests[legalized],V$1,tbl_chests[datetime],"&gt;="&amp;TODAY()-WEEKDAY(TODAY(),2)+1,tbl_chests[datetime],"&lt;"&amp;TODAY()-WEEKDAY(TODAY(),2)+8)))</f>
        <v>0</v>
      </c>
      <c r="W69" s="36">
        <f ca="1">IF($A69="","",IF(W$1="","",COUNTIFS(tbl_chests[from],$A69,tbl_chests[legalized],W$1,tbl_chests[datetime],"&gt;="&amp;TODAY()-WEEKDAY(TODAY(),2)+1,tbl_chests[datetime],"&lt;"&amp;TODAY()-WEEKDAY(TODAY(),2)+8)))</f>
        <v>0</v>
      </c>
      <c r="X69" s="36">
        <f ca="1">IF($A69="","",IF(X$1="","",COUNTIFS(tbl_chests[from],$A69,tbl_chests[legalized],X$1,tbl_chests[datetime],"&gt;="&amp;TODAY()-WEEKDAY(TODAY(),2)+1,tbl_chests[datetime],"&lt;"&amp;TODAY()-WEEKDAY(TODAY(),2)+8)))</f>
        <v>0</v>
      </c>
      <c r="Y69" s="36">
        <f ca="1">IF($A69="","",IF(Y$1="","",COUNTIFS(tbl_chests[from],$A69,tbl_chests[legalized],Y$1,tbl_chests[datetime],"&gt;="&amp;TODAY()-WEEKDAY(TODAY(),2)+1,tbl_chests[datetime],"&lt;"&amp;TODAY()-WEEKDAY(TODAY(),2)+8)))</f>
        <v>0</v>
      </c>
      <c r="Z69" s="36">
        <f ca="1">IF($A69="","",IF(Z$1="","",COUNTIFS(tbl_chests[from],$A69,tbl_chests[legalized],Z$1,tbl_chests[datetime],"&gt;="&amp;TODAY()-WEEKDAY(TODAY(),2)+1,tbl_chests[datetime],"&lt;"&amp;TODAY()-WEEKDAY(TODAY(),2)+8)))</f>
        <v>0</v>
      </c>
      <c r="AA69" s="36">
        <f ca="1">IF($A69="","",IF(AA$1="","",COUNTIFS(tbl_chests[from],$A69,tbl_chests[legalized],AA$1,tbl_chests[datetime],"&gt;="&amp;TODAY()-WEEKDAY(TODAY(),2)+1,tbl_chests[datetime],"&lt;"&amp;TODAY()-WEEKDAY(TODAY(),2)+8)))</f>
        <v>0</v>
      </c>
      <c r="AB69" s="36">
        <f ca="1">IF($A69="","",IF(AB$1="","",COUNTIFS(tbl_chests[from],$A69,tbl_chests[legalized],AB$1,tbl_chests[datetime],"&gt;="&amp;TODAY()-WEEKDAY(TODAY(),2)+1,tbl_chests[datetime],"&lt;"&amp;TODAY()-WEEKDAY(TODAY(),2)+8)))</f>
        <v>0</v>
      </c>
      <c r="AC69" s="36">
        <f ca="1">IF($A69="","",IF(AC$1="","",COUNTIFS(tbl_chests[from],$A69,tbl_chests[legalized],AC$1,tbl_chests[datetime],"&gt;="&amp;TODAY()-WEEKDAY(TODAY(),2)+1,tbl_chests[datetime],"&lt;"&amp;TODAY()-WEEKDAY(TODAY(),2)+8)))</f>
        <v>0</v>
      </c>
      <c r="AD69" s="36">
        <f ca="1">IF($A69="","",IF(AD$1="","",COUNTIFS(tbl_chests[from],$A69,tbl_chests[legalized],AD$1,tbl_chests[datetime],"&gt;="&amp;TODAY()-WEEKDAY(TODAY(),2)+1,tbl_chests[datetime],"&lt;"&amp;TODAY()-WEEKDAY(TODAY(),2)+8)))</f>
        <v>0</v>
      </c>
      <c r="AE69" s="36">
        <f ca="1">IF($A69="","",IF(AE$1="","",COUNTIFS(tbl_chests[from],$A69,tbl_chests[legalized],AE$1,tbl_chests[datetime],"&gt;="&amp;TODAY()-WEEKDAY(TODAY(),2)+1,tbl_chests[datetime],"&lt;"&amp;TODAY()-WEEKDAY(TODAY(),2)+8)))</f>
        <v>0</v>
      </c>
      <c r="AF69" s="36">
        <f ca="1">IF($A69="","",IF(AF$1="","",COUNTIFS(tbl_chests[from],$A69,tbl_chests[legalized],AF$1,tbl_chests[datetime],"&gt;="&amp;TODAY()-WEEKDAY(TODAY(),2)+1,tbl_chests[datetime],"&lt;"&amp;TODAY()-WEEKDAY(TODAY(),2)+8)))</f>
        <v>0</v>
      </c>
      <c r="AG69" s="36">
        <f ca="1">IF($A69="","",IF(AG$1="","",COUNTIFS(tbl_chests[from],$A69,tbl_chests[legalized],AG$1,tbl_chests[datetime],"&gt;="&amp;TODAY()-WEEKDAY(TODAY(),2)+1,tbl_chests[datetime],"&lt;"&amp;TODAY()-WEEKDAY(TODAY(),2)+8)))</f>
        <v>0</v>
      </c>
      <c r="AH69" s="36">
        <f ca="1">IF($A69="","",IF(AH$1="","",COUNTIFS(tbl_chests[from],$A69,tbl_chests[legalized],AH$1,tbl_chests[datetime],"&gt;="&amp;TODAY()-WEEKDAY(TODAY(),2)+1,tbl_chests[datetime],"&lt;"&amp;TODAY()-WEEKDAY(TODAY(),2)+8)))</f>
        <v>0</v>
      </c>
      <c r="AI69" s="36">
        <f ca="1">IF($A69="","",IF(AI$1="","",COUNTIFS(tbl_chests[from],$A69,tbl_chests[legalized],AI$1,tbl_chests[datetime],"&gt;="&amp;TODAY()-WEEKDAY(TODAY(),2)+1,tbl_chests[datetime],"&lt;"&amp;TODAY()-WEEKDAY(TODAY(),2)+8)))</f>
        <v>0</v>
      </c>
      <c r="AJ69" s="36">
        <f ca="1">IF($A69="","",IF(AJ$1="","",COUNTIFS(tbl_chests[from],$A69,tbl_chests[legalized],AJ$1,tbl_chests[datetime],"&gt;="&amp;TODAY()-WEEKDAY(TODAY(),2)+1,tbl_chests[datetime],"&lt;"&amp;TODAY()-WEEKDAY(TODAY(),2)+8)))</f>
        <v>0</v>
      </c>
      <c r="AK69" s="36">
        <f ca="1">IF($A69="","",IF(AK$1="","",COUNTIFS(tbl_chests[from],$A69,tbl_chests[legalized],AK$1,tbl_chests[datetime],"&gt;="&amp;TODAY()-WEEKDAY(TODAY(),2)+1,tbl_chests[datetime],"&lt;"&amp;TODAY()-WEEKDAY(TODAY(),2)+8)))</f>
        <v>0</v>
      </c>
      <c r="AL69" s="36">
        <f ca="1">IF($A69="","",IF(AL$1="","",COUNTIFS(tbl_chests[from],$A69,tbl_chests[legalized],AL$1,tbl_chests[datetime],"&gt;="&amp;TODAY()-WEEKDAY(TODAY(),2)+1,tbl_chests[datetime],"&lt;"&amp;TODAY()-WEEKDAY(TODAY(),2)+8)))</f>
        <v>0</v>
      </c>
      <c r="AM69" s="37">
        <f ca="1">IF($A69="","",IF(AM$1="","",COUNTIFS(tbl_chests[from],$A69,tbl_chests[legalized],AM$1,tbl_chests[datetime],"&gt;="&amp;TODAY()-WEEKDAY(TODAY(),2)+1,tbl_chests[datetime],"&lt;"&amp;TODAY()-WEEKDAY(TODAY(),2)+8)))</f>
        <v>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 spans="1:67" ht="15.75" customHeight="1" x14ac:dyDescent="0.25">
      <c r="A70" s="34">
        <f>chests_counter!$H67</f>
        <v>0</v>
      </c>
      <c r="B70" s="35" cm="1">
        <f t="array" aca="1" ref="B70" ca="1">IF(A70&lt;&gt;"", SUMPRODUCT(($C$2:$AM$2&lt;&gt;0)*(C70:AM70&lt;&gt;0)*($C$2:$AM$2)*(C70:AM70)), "")</f>
        <v>0</v>
      </c>
      <c r="C70" s="36">
        <f ca="1">IF($A70="","",IF(C$1="","",COUNTIFS(tbl_chests[from],$A70,tbl_chests[legalized],C$1,tbl_chests[datetime],"&gt;="&amp;TODAY()-WEEKDAY(TODAY(),2)+1,tbl_chests[datetime],"&lt;"&amp;TODAY()-WEEKDAY(TODAY(),2)+8)))</f>
        <v>0</v>
      </c>
      <c r="D70" s="36">
        <f ca="1">IF($A70="","",IF(D$1="","",COUNTIFS(tbl_chests[from],$A70,tbl_chests[legalized],D$1,tbl_chests[datetime],"&gt;="&amp;TODAY()-WEEKDAY(TODAY(),2)+1,tbl_chests[datetime],"&lt;"&amp;TODAY()-WEEKDAY(TODAY(),2)+8)))</f>
        <v>0</v>
      </c>
      <c r="E70" s="36">
        <f ca="1">IF($A70="","",IF(E$1="","",COUNTIFS(tbl_chests[from],$A70,tbl_chests[legalized],E$1,tbl_chests[datetime],"&gt;="&amp;TODAY()-WEEKDAY(TODAY(),2)+1,tbl_chests[datetime],"&lt;"&amp;TODAY()-WEEKDAY(TODAY(),2)+8)))</f>
        <v>0</v>
      </c>
      <c r="F70" s="36">
        <f ca="1">IF($A70="","",IF(F$1="","",COUNTIFS(tbl_chests[from],$A70,tbl_chests[legalized],F$1,tbl_chests[datetime],"&gt;="&amp;TODAY()-WEEKDAY(TODAY(),2)+1,tbl_chests[datetime],"&lt;"&amp;TODAY()-WEEKDAY(TODAY(),2)+8)))</f>
        <v>0</v>
      </c>
      <c r="G70" s="36">
        <f ca="1">IF($A70="","",IF(G$1="","",COUNTIFS(tbl_chests[from],$A70,tbl_chests[legalized],G$1,tbl_chests[datetime],"&gt;="&amp;TODAY()-WEEKDAY(TODAY(),2)+1,tbl_chests[datetime],"&lt;"&amp;TODAY()-WEEKDAY(TODAY(),2)+8)))</f>
        <v>0</v>
      </c>
      <c r="H70" s="36">
        <f ca="1">IF($A70="","",IF(H$1="","",COUNTIFS(tbl_chests[from],$A70,tbl_chests[legalized],H$1,tbl_chests[datetime],"&gt;="&amp;TODAY()-WEEKDAY(TODAY(),2)+1,tbl_chests[datetime],"&lt;"&amp;TODAY()-WEEKDAY(TODAY(),2)+8)))</f>
        <v>0</v>
      </c>
      <c r="I70" s="36">
        <f ca="1">IF($A70="","",IF(I$1="","",COUNTIFS(tbl_chests[from],$A70,tbl_chests[legalized],I$1,tbl_chests[datetime],"&gt;="&amp;TODAY()-WEEKDAY(TODAY(),2)+1,tbl_chests[datetime],"&lt;"&amp;TODAY()-WEEKDAY(TODAY(),2)+8)))</f>
        <v>0</v>
      </c>
      <c r="J70" s="36">
        <f ca="1">IF($A70="","",IF(J$1="","",COUNTIFS(tbl_chests[from],$A70,tbl_chests[legalized],J$1,tbl_chests[datetime],"&gt;="&amp;TODAY()-WEEKDAY(TODAY(),2)+1,tbl_chests[datetime],"&lt;"&amp;TODAY()-WEEKDAY(TODAY(),2)+8)))</f>
        <v>0</v>
      </c>
      <c r="K70" s="36">
        <f ca="1">IF($A70="","",IF(K$1="","",COUNTIFS(tbl_chests[from],$A70,tbl_chests[legalized],K$1,tbl_chests[datetime],"&gt;="&amp;TODAY()-WEEKDAY(TODAY(),2)+1,tbl_chests[datetime],"&lt;"&amp;TODAY()-WEEKDAY(TODAY(),2)+8)))</f>
        <v>0</v>
      </c>
      <c r="L70" s="36">
        <f ca="1">IF($A70="","",IF(L$1="","",COUNTIFS(tbl_chests[from],$A70,tbl_chests[legalized],L$1,tbl_chests[datetime],"&gt;="&amp;TODAY()-WEEKDAY(TODAY(),2)+1,tbl_chests[datetime],"&lt;"&amp;TODAY()-WEEKDAY(TODAY(),2)+8)))</f>
        <v>0</v>
      </c>
      <c r="M70" s="36">
        <f ca="1">IF($A70="","",IF(M$1="","",COUNTIFS(tbl_chests[from],$A70,tbl_chests[legalized],M$1,tbl_chests[datetime],"&gt;="&amp;TODAY()-WEEKDAY(TODAY(),2)+1,tbl_chests[datetime],"&lt;"&amp;TODAY()-WEEKDAY(TODAY(),2)+8)))</f>
        <v>0</v>
      </c>
      <c r="N70" s="36">
        <f ca="1">IF($A70="","",IF(N$1="","",COUNTIFS(tbl_chests[from],$A70,tbl_chests[legalized],N$1,tbl_chests[datetime],"&gt;="&amp;TODAY()-WEEKDAY(TODAY(),2)+1,tbl_chests[datetime],"&lt;"&amp;TODAY()-WEEKDAY(TODAY(),2)+8)))</f>
        <v>0</v>
      </c>
      <c r="O70" s="36">
        <f ca="1">IF($A70="","",IF(O$1="","",COUNTIFS(tbl_chests[from],$A70,tbl_chests[legalized],O$1,tbl_chests[datetime],"&gt;="&amp;TODAY()-WEEKDAY(TODAY(),2)+1,tbl_chests[datetime],"&lt;"&amp;TODAY()-WEEKDAY(TODAY(),2)+8)))</f>
        <v>0</v>
      </c>
      <c r="P70" s="36">
        <f ca="1">IF($A70="","",IF(P$1="","",COUNTIFS(tbl_chests[from],$A70,tbl_chests[legalized],P$1,tbl_chests[datetime],"&gt;="&amp;TODAY()-WEEKDAY(TODAY(),2)+1,tbl_chests[datetime],"&lt;"&amp;TODAY()-WEEKDAY(TODAY(),2)+8)))</f>
        <v>0</v>
      </c>
      <c r="Q70" s="36">
        <f ca="1">IF($A70="","",IF(Q$1="","",COUNTIFS(tbl_chests[from],$A70,tbl_chests[legalized],Q$1,tbl_chests[datetime],"&gt;="&amp;TODAY()-WEEKDAY(TODAY(),2)+1,tbl_chests[datetime],"&lt;"&amp;TODAY()-WEEKDAY(TODAY(),2)+8)))</f>
        <v>0</v>
      </c>
      <c r="R70" s="36">
        <f ca="1">IF($A70="","",IF(R$1="","",COUNTIFS(tbl_chests[from],$A70,tbl_chests[legalized],R$1,tbl_chests[datetime],"&gt;="&amp;TODAY()-WEEKDAY(TODAY(),2)+1,tbl_chests[datetime],"&lt;"&amp;TODAY()-WEEKDAY(TODAY(),2)+8)))</f>
        <v>0</v>
      </c>
      <c r="S70" s="36">
        <f ca="1">IF($A70="","",IF(S$1="","",COUNTIFS(tbl_chests[from],$A70,tbl_chests[legalized],S$1,tbl_chests[datetime],"&gt;="&amp;TODAY()-WEEKDAY(TODAY(),2)+1,tbl_chests[datetime],"&lt;"&amp;TODAY()-WEEKDAY(TODAY(),2)+8)))</f>
        <v>0</v>
      </c>
      <c r="T70" s="36">
        <f ca="1">IF($A70="","",IF(T$1="","",COUNTIFS(tbl_chests[from],$A70,tbl_chests[legalized],T$1,tbl_chests[datetime],"&gt;="&amp;TODAY()-WEEKDAY(TODAY(),2)+1,tbl_chests[datetime],"&lt;"&amp;TODAY()-WEEKDAY(TODAY(),2)+8)))</f>
        <v>0</v>
      </c>
      <c r="U70" s="36">
        <f ca="1">IF($A70="","",IF(U$1="","",COUNTIFS(tbl_chests[from],$A70,tbl_chests[legalized],U$1,tbl_chests[datetime],"&gt;="&amp;TODAY()-WEEKDAY(TODAY(),2)+1,tbl_chests[datetime],"&lt;"&amp;TODAY()-WEEKDAY(TODAY(),2)+8)))</f>
        <v>0</v>
      </c>
      <c r="V70" s="36">
        <f ca="1">IF($A70="","",IF(V$1="","",COUNTIFS(tbl_chests[from],$A70,tbl_chests[legalized],V$1,tbl_chests[datetime],"&gt;="&amp;TODAY()-WEEKDAY(TODAY(),2)+1,tbl_chests[datetime],"&lt;"&amp;TODAY()-WEEKDAY(TODAY(),2)+8)))</f>
        <v>0</v>
      </c>
      <c r="W70" s="36">
        <f ca="1">IF($A70="","",IF(W$1="","",COUNTIFS(tbl_chests[from],$A70,tbl_chests[legalized],W$1,tbl_chests[datetime],"&gt;="&amp;TODAY()-WEEKDAY(TODAY(),2)+1,tbl_chests[datetime],"&lt;"&amp;TODAY()-WEEKDAY(TODAY(),2)+8)))</f>
        <v>0</v>
      </c>
      <c r="X70" s="36">
        <f ca="1">IF($A70="","",IF(X$1="","",COUNTIFS(tbl_chests[from],$A70,tbl_chests[legalized],X$1,tbl_chests[datetime],"&gt;="&amp;TODAY()-WEEKDAY(TODAY(),2)+1,tbl_chests[datetime],"&lt;"&amp;TODAY()-WEEKDAY(TODAY(),2)+8)))</f>
        <v>0</v>
      </c>
      <c r="Y70" s="36">
        <f ca="1">IF($A70="","",IF(Y$1="","",COUNTIFS(tbl_chests[from],$A70,tbl_chests[legalized],Y$1,tbl_chests[datetime],"&gt;="&amp;TODAY()-WEEKDAY(TODAY(),2)+1,tbl_chests[datetime],"&lt;"&amp;TODAY()-WEEKDAY(TODAY(),2)+8)))</f>
        <v>0</v>
      </c>
      <c r="Z70" s="36">
        <f ca="1">IF($A70="","",IF(Z$1="","",COUNTIFS(tbl_chests[from],$A70,tbl_chests[legalized],Z$1,tbl_chests[datetime],"&gt;="&amp;TODAY()-WEEKDAY(TODAY(),2)+1,tbl_chests[datetime],"&lt;"&amp;TODAY()-WEEKDAY(TODAY(),2)+8)))</f>
        <v>0</v>
      </c>
      <c r="AA70" s="36">
        <f ca="1">IF($A70="","",IF(AA$1="","",COUNTIFS(tbl_chests[from],$A70,tbl_chests[legalized],AA$1,tbl_chests[datetime],"&gt;="&amp;TODAY()-WEEKDAY(TODAY(),2)+1,tbl_chests[datetime],"&lt;"&amp;TODAY()-WEEKDAY(TODAY(),2)+8)))</f>
        <v>0</v>
      </c>
      <c r="AB70" s="36">
        <f ca="1">IF($A70="","",IF(AB$1="","",COUNTIFS(tbl_chests[from],$A70,tbl_chests[legalized],AB$1,tbl_chests[datetime],"&gt;="&amp;TODAY()-WEEKDAY(TODAY(),2)+1,tbl_chests[datetime],"&lt;"&amp;TODAY()-WEEKDAY(TODAY(),2)+8)))</f>
        <v>0</v>
      </c>
      <c r="AC70" s="36">
        <f ca="1">IF($A70="","",IF(AC$1="","",COUNTIFS(tbl_chests[from],$A70,tbl_chests[legalized],AC$1,tbl_chests[datetime],"&gt;="&amp;TODAY()-WEEKDAY(TODAY(),2)+1,tbl_chests[datetime],"&lt;"&amp;TODAY()-WEEKDAY(TODAY(),2)+8)))</f>
        <v>0</v>
      </c>
      <c r="AD70" s="36">
        <f ca="1">IF($A70="","",IF(AD$1="","",COUNTIFS(tbl_chests[from],$A70,tbl_chests[legalized],AD$1,tbl_chests[datetime],"&gt;="&amp;TODAY()-WEEKDAY(TODAY(),2)+1,tbl_chests[datetime],"&lt;"&amp;TODAY()-WEEKDAY(TODAY(),2)+8)))</f>
        <v>0</v>
      </c>
      <c r="AE70" s="36">
        <f ca="1">IF($A70="","",IF(AE$1="","",COUNTIFS(tbl_chests[from],$A70,tbl_chests[legalized],AE$1,tbl_chests[datetime],"&gt;="&amp;TODAY()-WEEKDAY(TODAY(),2)+1,tbl_chests[datetime],"&lt;"&amp;TODAY()-WEEKDAY(TODAY(),2)+8)))</f>
        <v>0</v>
      </c>
      <c r="AF70" s="36">
        <f ca="1">IF($A70="","",IF(AF$1="","",COUNTIFS(tbl_chests[from],$A70,tbl_chests[legalized],AF$1,tbl_chests[datetime],"&gt;="&amp;TODAY()-WEEKDAY(TODAY(),2)+1,tbl_chests[datetime],"&lt;"&amp;TODAY()-WEEKDAY(TODAY(),2)+8)))</f>
        <v>0</v>
      </c>
      <c r="AG70" s="36">
        <f ca="1">IF($A70="","",IF(AG$1="","",COUNTIFS(tbl_chests[from],$A70,tbl_chests[legalized],AG$1,tbl_chests[datetime],"&gt;="&amp;TODAY()-WEEKDAY(TODAY(),2)+1,tbl_chests[datetime],"&lt;"&amp;TODAY()-WEEKDAY(TODAY(),2)+8)))</f>
        <v>0</v>
      </c>
      <c r="AH70" s="36">
        <f ca="1">IF($A70="","",IF(AH$1="","",COUNTIFS(tbl_chests[from],$A70,tbl_chests[legalized],AH$1,tbl_chests[datetime],"&gt;="&amp;TODAY()-WEEKDAY(TODAY(),2)+1,tbl_chests[datetime],"&lt;"&amp;TODAY()-WEEKDAY(TODAY(),2)+8)))</f>
        <v>0</v>
      </c>
      <c r="AI70" s="36">
        <f ca="1">IF($A70="","",IF(AI$1="","",COUNTIFS(tbl_chests[from],$A70,tbl_chests[legalized],AI$1,tbl_chests[datetime],"&gt;="&amp;TODAY()-WEEKDAY(TODAY(),2)+1,tbl_chests[datetime],"&lt;"&amp;TODAY()-WEEKDAY(TODAY(),2)+8)))</f>
        <v>0</v>
      </c>
      <c r="AJ70" s="36">
        <f ca="1">IF($A70="","",IF(AJ$1="","",COUNTIFS(tbl_chests[from],$A70,tbl_chests[legalized],AJ$1,tbl_chests[datetime],"&gt;="&amp;TODAY()-WEEKDAY(TODAY(),2)+1,tbl_chests[datetime],"&lt;"&amp;TODAY()-WEEKDAY(TODAY(),2)+8)))</f>
        <v>0</v>
      </c>
      <c r="AK70" s="36">
        <f ca="1">IF($A70="","",IF(AK$1="","",COUNTIFS(tbl_chests[from],$A70,tbl_chests[legalized],AK$1,tbl_chests[datetime],"&gt;="&amp;TODAY()-WEEKDAY(TODAY(),2)+1,tbl_chests[datetime],"&lt;"&amp;TODAY()-WEEKDAY(TODAY(),2)+8)))</f>
        <v>0</v>
      </c>
      <c r="AL70" s="36">
        <f ca="1">IF($A70="","",IF(AL$1="","",COUNTIFS(tbl_chests[from],$A70,tbl_chests[legalized],AL$1,tbl_chests[datetime],"&gt;="&amp;TODAY()-WEEKDAY(TODAY(),2)+1,tbl_chests[datetime],"&lt;"&amp;TODAY()-WEEKDAY(TODAY(),2)+8)))</f>
        <v>0</v>
      </c>
      <c r="AM70" s="37">
        <f ca="1">IF($A70="","",IF(AM$1="","",COUNTIFS(tbl_chests[from],$A70,tbl_chests[legalized],AM$1,tbl_chests[datetime],"&gt;="&amp;TODAY()-WEEKDAY(TODAY(),2)+1,tbl_chests[datetime],"&lt;"&amp;TODAY()-WEEKDAY(TODAY(),2)+8)))</f>
        <v>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 spans="1:67" ht="15.75" customHeight="1" x14ac:dyDescent="0.25">
      <c r="A71" s="34">
        <f>chests_counter!$H68</f>
        <v>0</v>
      </c>
      <c r="B71" s="35" cm="1">
        <f t="array" aca="1" ref="B71" ca="1">IF(A71&lt;&gt;"", SUMPRODUCT(($C$2:$AM$2&lt;&gt;0)*(C71:AM71&lt;&gt;0)*($C$2:$AM$2)*(C71:AM71)), "")</f>
        <v>0</v>
      </c>
      <c r="C71" s="36">
        <f ca="1">IF($A71="","",IF(C$1="","",COUNTIFS(tbl_chests[from],$A71,tbl_chests[legalized],C$1,tbl_chests[datetime],"&gt;="&amp;TODAY()-WEEKDAY(TODAY(),2)+1,tbl_chests[datetime],"&lt;"&amp;TODAY()-WEEKDAY(TODAY(),2)+8)))</f>
        <v>0</v>
      </c>
      <c r="D71" s="36">
        <f ca="1">IF($A71="","",IF(D$1="","",COUNTIFS(tbl_chests[from],$A71,tbl_chests[legalized],D$1,tbl_chests[datetime],"&gt;="&amp;TODAY()-WEEKDAY(TODAY(),2)+1,tbl_chests[datetime],"&lt;"&amp;TODAY()-WEEKDAY(TODAY(),2)+8)))</f>
        <v>0</v>
      </c>
      <c r="E71" s="36">
        <f ca="1">IF($A71="","",IF(E$1="","",COUNTIFS(tbl_chests[from],$A71,tbl_chests[legalized],E$1,tbl_chests[datetime],"&gt;="&amp;TODAY()-WEEKDAY(TODAY(),2)+1,tbl_chests[datetime],"&lt;"&amp;TODAY()-WEEKDAY(TODAY(),2)+8)))</f>
        <v>0</v>
      </c>
      <c r="F71" s="36">
        <f ca="1">IF($A71="","",IF(F$1="","",COUNTIFS(tbl_chests[from],$A71,tbl_chests[legalized],F$1,tbl_chests[datetime],"&gt;="&amp;TODAY()-WEEKDAY(TODAY(),2)+1,tbl_chests[datetime],"&lt;"&amp;TODAY()-WEEKDAY(TODAY(),2)+8)))</f>
        <v>0</v>
      </c>
      <c r="G71" s="36">
        <f ca="1">IF($A71="","",IF(G$1="","",COUNTIFS(tbl_chests[from],$A71,tbl_chests[legalized],G$1,tbl_chests[datetime],"&gt;="&amp;TODAY()-WEEKDAY(TODAY(),2)+1,tbl_chests[datetime],"&lt;"&amp;TODAY()-WEEKDAY(TODAY(),2)+8)))</f>
        <v>0</v>
      </c>
      <c r="H71" s="36">
        <f ca="1">IF($A71="","",IF(H$1="","",COUNTIFS(tbl_chests[from],$A71,tbl_chests[legalized],H$1,tbl_chests[datetime],"&gt;="&amp;TODAY()-WEEKDAY(TODAY(),2)+1,tbl_chests[datetime],"&lt;"&amp;TODAY()-WEEKDAY(TODAY(),2)+8)))</f>
        <v>0</v>
      </c>
      <c r="I71" s="36">
        <f ca="1">IF($A71="","",IF(I$1="","",COUNTIFS(tbl_chests[from],$A71,tbl_chests[legalized],I$1,tbl_chests[datetime],"&gt;="&amp;TODAY()-WEEKDAY(TODAY(),2)+1,tbl_chests[datetime],"&lt;"&amp;TODAY()-WEEKDAY(TODAY(),2)+8)))</f>
        <v>0</v>
      </c>
      <c r="J71" s="36">
        <f ca="1">IF($A71="","",IF(J$1="","",COUNTIFS(tbl_chests[from],$A71,tbl_chests[legalized],J$1,tbl_chests[datetime],"&gt;="&amp;TODAY()-WEEKDAY(TODAY(),2)+1,tbl_chests[datetime],"&lt;"&amp;TODAY()-WEEKDAY(TODAY(),2)+8)))</f>
        <v>0</v>
      </c>
      <c r="K71" s="36">
        <f ca="1">IF($A71="","",IF(K$1="","",COUNTIFS(tbl_chests[from],$A71,tbl_chests[legalized],K$1,tbl_chests[datetime],"&gt;="&amp;TODAY()-WEEKDAY(TODAY(),2)+1,tbl_chests[datetime],"&lt;"&amp;TODAY()-WEEKDAY(TODAY(),2)+8)))</f>
        <v>0</v>
      </c>
      <c r="L71" s="36">
        <f ca="1">IF($A71="","",IF(L$1="","",COUNTIFS(tbl_chests[from],$A71,tbl_chests[legalized],L$1,tbl_chests[datetime],"&gt;="&amp;TODAY()-WEEKDAY(TODAY(),2)+1,tbl_chests[datetime],"&lt;"&amp;TODAY()-WEEKDAY(TODAY(),2)+8)))</f>
        <v>0</v>
      </c>
      <c r="M71" s="36">
        <f ca="1">IF($A71="","",IF(M$1="","",COUNTIFS(tbl_chests[from],$A71,tbl_chests[legalized],M$1,tbl_chests[datetime],"&gt;="&amp;TODAY()-WEEKDAY(TODAY(),2)+1,tbl_chests[datetime],"&lt;"&amp;TODAY()-WEEKDAY(TODAY(),2)+8)))</f>
        <v>0</v>
      </c>
      <c r="N71" s="36">
        <f ca="1">IF($A71="","",IF(N$1="","",COUNTIFS(tbl_chests[from],$A71,tbl_chests[legalized],N$1,tbl_chests[datetime],"&gt;="&amp;TODAY()-WEEKDAY(TODAY(),2)+1,tbl_chests[datetime],"&lt;"&amp;TODAY()-WEEKDAY(TODAY(),2)+8)))</f>
        <v>0</v>
      </c>
      <c r="O71" s="36">
        <f ca="1">IF($A71="","",IF(O$1="","",COUNTIFS(tbl_chests[from],$A71,tbl_chests[legalized],O$1,tbl_chests[datetime],"&gt;="&amp;TODAY()-WEEKDAY(TODAY(),2)+1,tbl_chests[datetime],"&lt;"&amp;TODAY()-WEEKDAY(TODAY(),2)+8)))</f>
        <v>0</v>
      </c>
      <c r="P71" s="36">
        <f ca="1">IF($A71="","",IF(P$1="","",COUNTIFS(tbl_chests[from],$A71,tbl_chests[legalized],P$1,tbl_chests[datetime],"&gt;="&amp;TODAY()-WEEKDAY(TODAY(),2)+1,tbl_chests[datetime],"&lt;"&amp;TODAY()-WEEKDAY(TODAY(),2)+8)))</f>
        <v>0</v>
      </c>
      <c r="Q71" s="36">
        <f ca="1">IF($A71="","",IF(Q$1="","",COUNTIFS(tbl_chests[from],$A71,tbl_chests[legalized],Q$1,tbl_chests[datetime],"&gt;="&amp;TODAY()-WEEKDAY(TODAY(),2)+1,tbl_chests[datetime],"&lt;"&amp;TODAY()-WEEKDAY(TODAY(),2)+8)))</f>
        <v>0</v>
      </c>
      <c r="R71" s="36">
        <f ca="1">IF($A71="","",IF(R$1="","",COUNTIFS(tbl_chests[from],$A71,tbl_chests[legalized],R$1,tbl_chests[datetime],"&gt;="&amp;TODAY()-WEEKDAY(TODAY(),2)+1,tbl_chests[datetime],"&lt;"&amp;TODAY()-WEEKDAY(TODAY(),2)+8)))</f>
        <v>0</v>
      </c>
      <c r="S71" s="36">
        <f ca="1">IF($A71="","",IF(S$1="","",COUNTIFS(tbl_chests[from],$A71,tbl_chests[legalized],S$1,tbl_chests[datetime],"&gt;="&amp;TODAY()-WEEKDAY(TODAY(),2)+1,tbl_chests[datetime],"&lt;"&amp;TODAY()-WEEKDAY(TODAY(),2)+8)))</f>
        <v>0</v>
      </c>
      <c r="T71" s="36">
        <f ca="1">IF($A71="","",IF(T$1="","",COUNTIFS(tbl_chests[from],$A71,tbl_chests[legalized],T$1,tbl_chests[datetime],"&gt;="&amp;TODAY()-WEEKDAY(TODAY(),2)+1,tbl_chests[datetime],"&lt;"&amp;TODAY()-WEEKDAY(TODAY(),2)+8)))</f>
        <v>0</v>
      </c>
      <c r="U71" s="36">
        <f ca="1">IF($A71="","",IF(U$1="","",COUNTIFS(tbl_chests[from],$A71,tbl_chests[legalized],U$1,tbl_chests[datetime],"&gt;="&amp;TODAY()-WEEKDAY(TODAY(),2)+1,tbl_chests[datetime],"&lt;"&amp;TODAY()-WEEKDAY(TODAY(),2)+8)))</f>
        <v>0</v>
      </c>
      <c r="V71" s="36">
        <f ca="1">IF($A71="","",IF(V$1="","",COUNTIFS(tbl_chests[from],$A71,tbl_chests[legalized],V$1,tbl_chests[datetime],"&gt;="&amp;TODAY()-WEEKDAY(TODAY(),2)+1,tbl_chests[datetime],"&lt;"&amp;TODAY()-WEEKDAY(TODAY(),2)+8)))</f>
        <v>0</v>
      </c>
      <c r="W71" s="36">
        <f ca="1">IF($A71="","",IF(W$1="","",COUNTIFS(tbl_chests[from],$A71,tbl_chests[legalized],W$1,tbl_chests[datetime],"&gt;="&amp;TODAY()-WEEKDAY(TODAY(),2)+1,tbl_chests[datetime],"&lt;"&amp;TODAY()-WEEKDAY(TODAY(),2)+8)))</f>
        <v>0</v>
      </c>
      <c r="X71" s="36">
        <f ca="1">IF($A71="","",IF(X$1="","",COUNTIFS(tbl_chests[from],$A71,tbl_chests[legalized],X$1,tbl_chests[datetime],"&gt;="&amp;TODAY()-WEEKDAY(TODAY(),2)+1,tbl_chests[datetime],"&lt;"&amp;TODAY()-WEEKDAY(TODAY(),2)+8)))</f>
        <v>0</v>
      </c>
      <c r="Y71" s="36">
        <f ca="1">IF($A71="","",IF(Y$1="","",COUNTIFS(tbl_chests[from],$A71,tbl_chests[legalized],Y$1,tbl_chests[datetime],"&gt;="&amp;TODAY()-WEEKDAY(TODAY(),2)+1,tbl_chests[datetime],"&lt;"&amp;TODAY()-WEEKDAY(TODAY(),2)+8)))</f>
        <v>0</v>
      </c>
      <c r="Z71" s="36">
        <f ca="1">IF($A71="","",IF(Z$1="","",COUNTIFS(tbl_chests[from],$A71,tbl_chests[legalized],Z$1,tbl_chests[datetime],"&gt;="&amp;TODAY()-WEEKDAY(TODAY(),2)+1,tbl_chests[datetime],"&lt;"&amp;TODAY()-WEEKDAY(TODAY(),2)+8)))</f>
        <v>0</v>
      </c>
      <c r="AA71" s="36">
        <f ca="1">IF($A71="","",IF(AA$1="","",COUNTIFS(tbl_chests[from],$A71,tbl_chests[legalized],AA$1,tbl_chests[datetime],"&gt;="&amp;TODAY()-WEEKDAY(TODAY(),2)+1,tbl_chests[datetime],"&lt;"&amp;TODAY()-WEEKDAY(TODAY(),2)+8)))</f>
        <v>0</v>
      </c>
      <c r="AB71" s="36">
        <f ca="1">IF($A71="","",IF(AB$1="","",COUNTIFS(tbl_chests[from],$A71,tbl_chests[legalized],AB$1,tbl_chests[datetime],"&gt;="&amp;TODAY()-WEEKDAY(TODAY(),2)+1,tbl_chests[datetime],"&lt;"&amp;TODAY()-WEEKDAY(TODAY(),2)+8)))</f>
        <v>0</v>
      </c>
      <c r="AC71" s="36">
        <f ca="1">IF($A71="","",IF(AC$1="","",COUNTIFS(tbl_chests[from],$A71,tbl_chests[legalized],AC$1,tbl_chests[datetime],"&gt;="&amp;TODAY()-WEEKDAY(TODAY(),2)+1,tbl_chests[datetime],"&lt;"&amp;TODAY()-WEEKDAY(TODAY(),2)+8)))</f>
        <v>0</v>
      </c>
      <c r="AD71" s="36">
        <f ca="1">IF($A71="","",IF(AD$1="","",COUNTIFS(tbl_chests[from],$A71,tbl_chests[legalized],AD$1,tbl_chests[datetime],"&gt;="&amp;TODAY()-WEEKDAY(TODAY(),2)+1,tbl_chests[datetime],"&lt;"&amp;TODAY()-WEEKDAY(TODAY(),2)+8)))</f>
        <v>0</v>
      </c>
      <c r="AE71" s="36">
        <f ca="1">IF($A71="","",IF(AE$1="","",COUNTIFS(tbl_chests[from],$A71,tbl_chests[legalized],AE$1,tbl_chests[datetime],"&gt;="&amp;TODAY()-WEEKDAY(TODAY(),2)+1,tbl_chests[datetime],"&lt;"&amp;TODAY()-WEEKDAY(TODAY(),2)+8)))</f>
        <v>0</v>
      </c>
      <c r="AF71" s="36">
        <f ca="1">IF($A71="","",IF(AF$1="","",COUNTIFS(tbl_chests[from],$A71,tbl_chests[legalized],AF$1,tbl_chests[datetime],"&gt;="&amp;TODAY()-WEEKDAY(TODAY(),2)+1,tbl_chests[datetime],"&lt;"&amp;TODAY()-WEEKDAY(TODAY(),2)+8)))</f>
        <v>0</v>
      </c>
      <c r="AG71" s="36">
        <f ca="1">IF($A71="","",IF(AG$1="","",COUNTIFS(tbl_chests[from],$A71,tbl_chests[legalized],AG$1,tbl_chests[datetime],"&gt;="&amp;TODAY()-WEEKDAY(TODAY(),2)+1,tbl_chests[datetime],"&lt;"&amp;TODAY()-WEEKDAY(TODAY(),2)+8)))</f>
        <v>0</v>
      </c>
      <c r="AH71" s="36">
        <f ca="1">IF($A71="","",IF(AH$1="","",COUNTIFS(tbl_chests[from],$A71,tbl_chests[legalized],AH$1,tbl_chests[datetime],"&gt;="&amp;TODAY()-WEEKDAY(TODAY(),2)+1,tbl_chests[datetime],"&lt;"&amp;TODAY()-WEEKDAY(TODAY(),2)+8)))</f>
        <v>0</v>
      </c>
      <c r="AI71" s="36">
        <f ca="1">IF($A71="","",IF(AI$1="","",COUNTIFS(tbl_chests[from],$A71,tbl_chests[legalized],AI$1,tbl_chests[datetime],"&gt;="&amp;TODAY()-WEEKDAY(TODAY(),2)+1,tbl_chests[datetime],"&lt;"&amp;TODAY()-WEEKDAY(TODAY(),2)+8)))</f>
        <v>0</v>
      </c>
      <c r="AJ71" s="36">
        <f ca="1">IF($A71="","",IF(AJ$1="","",COUNTIFS(tbl_chests[from],$A71,tbl_chests[legalized],AJ$1,tbl_chests[datetime],"&gt;="&amp;TODAY()-WEEKDAY(TODAY(),2)+1,tbl_chests[datetime],"&lt;"&amp;TODAY()-WEEKDAY(TODAY(),2)+8)))</f>
        <v>0</v>
      </c>
      <c r="AK71" s="36">
        <f ca="1">IF($A71="","",IF(AK$1="","",COUNTIFS(tbl_chests[from],$A71,tbl_chests[legalized],AK$1,tbl_chests[datetime],"&gt;="&amp;TODAY()-WEEKDAY(TODAY(),2)+1,tbl_chests[datetime],"&lt;"&amp;TODAY()-WEEKDAY(TODAY(),2)+8)))</f>
        <v>0</v>
      </c>
      <c r="AL71" s="36">
        <f ca="1">IF($A71="","",IF(AL$1="","",COUNTIFS(tbl_chests[from],$A71,tbl_chests[legalized],AL$1,tbl_chests[datetime],"&gt;="&amp;TODAY()-WEEKDAY(TODAY(),2)+1,tbl_chests[datetime],"&lt;"&amp;TODAY()-WEEKDAY(TODAY(),2)+8)))</f>
        <v>0</v>
      </c>
      <c r="AM71" s="37">
        <f ca="1">IF($A71="","",IF(AM$1="","",COUNTIFS(tbl_chests[from],$A71,tbl_chests[legalized],AM$1,tbl_chests[datetime],"&gt;="&amp;TODAY()-WEEKDAY(TODAY(),2)+1,tbl_chests[datetime],"&lt;"&amp;TODAY()-WEEKDAY(TODAY(),2)+8)))</f>
        <v>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 spans="1:67" ht="15.75" customHeight="1" x14ac:dyDescent="0.25">
      <c r="A72" s="34">
        <f>chests_counter!$H69</f>
        <v>0</v>
      </c>
      <c r="B72" s="35" cm="1">
        <f t="array" aca="1" ref="B72" ca="1">IF(A72&lt;&gt;"", SUMPRODUCT(($C$2:$AM$2&lt;&gt;0)*(C72:AM72&lt;&gt;0)*($C$2:$AM$2)*(C72:AM72)), "")</f>
        <v>0</v>
      </c>
      <c r="C72" s="36">
        <f ca="1">IF($A72="","",IF(C$1="","",COUNTIFS(tbl_chests[from],$A72,tbl_chests[legalized],C$1,tbl_chests[datetime],"&gt;="&amp;TODAY()-WEEKDAY(TODAY(),2)+1,tbl_chests[datetime],"&lt;"&amp;TODAY()-WEEKDAY(TODAY(),2)+8)))</f>
        <v>0</v>
      </c>
      <c r="D72" s="36">
        <f ca="1">IF($A72="","",IF(D$1="","",COUNTIFS(tbl_chests[from],$A72,tbl_chests[legalized],D$1,tbl_chests[datetime],"&gt;="&amp;TODAY()-WEEKDAY(TODAY(),2)+1,tbl_chests[datetime],"&lt;"&amp;TODAY()-WEEKDAY(TODAY(),2)+8)))</f>
        <v>0</v>
      </c>
      <c r="E72" s="36">
        <f ca="1">IF($A72="","",IF(E$1="","",COUNTIFS(tbl_chests[from],$A72,tbl_chests[legalized],E$1,tbl_chests[datetime],"&gt;="&amp;TODAY()-WEEKDAY(TODAY(),2)+1,tbl_chests[datetime],"&lt;"&amp;TODAY()-WEEKDAY(TODAY(),2)+8)))</f>
        <v>0</v>
      </c>
      <c r="F72" s="36">
        <f ca="1">IF($A72="","",IF(F$1="","",COUNTIFS(tbl_chests[from],$A72,tbl_chests[legalized],F$1,tbl_chests[datetime],"&gt;="&amp;TODAY()-WEEKDAY(TODAY(),2)+1,tbl_chests[datetime],"&lt;"&amp;TODAY()-WEEKDAY(TODAY(),2)+8)))</f>
        <v>0</v>
      </c>
      <c r="G72" s="36">
        <f ca="1">IF($A72="","",IF(G$1="","",COUNTIFS(tbl_chests[from],$A72,tbl_chests[legalized],G$1,tbl_chests[datetime],"&gt;="&amp;TODAY()-WEEKDAY(TODAY(),2)+1,tbl_chests[datetime],"&lt;"&amp;TODAY()-WEEKDAY(TODAY(),2)+8)))</f>
        <v>0</v>
      </c>
      <c r="H72" s="36">
        <f ca="1">IF($A72="","",IF(H$1="","",COUNTIFS(tbl_chests[from],$A72,tbl_chests[legalized],H$1,tbl_chests[datetime],"&gt;="&amp;TODAY()-WEEKDAY(TODAY(),2)+1,tbl_chests[datetime],"&lt;"&amp;TODAY()-WEEKDAY(TODAY(),2)+8)))</f>
        <v>0</v>
      </c>
      <c r="I72" s="36">
        <f ca="1">IF($A72="","",IF(I$1="","",COUNTIFS(tbl_chests[from],$A72,tbl_chests[legalized],I$1,tbl_chests[datetime],"&gt;="&amp;TODAY()-WEEKDAY(TODAY(),2)+1,tbl_chests[datetime],"&lt;"&amp;TODAY()-WEEKDAY(TODAY(),2)+8)))</f>
        <v>0</v>
      </c>
      <c r="J72" s="36">
        <f ca="1">IF($A72="","",IF(J$1="","",COUNTIFS(tbl_chests[from],$A72,tbl_chests[legalized],J$1,tbl_chests[datetime],"&gt;="&amp;TODAY()-WEEKDAY(TODAY(),2)+1,tbl_chests[datetime],"&lt;"&amp;TODAY()-WEEKDAY(TODAY(),2)+8)))</f>
        <v>0</v>
      </c>
      <c r="K72" s="36">
        <f ca="1">IF($A72="","",IF(K$1="","",COUNTIFS(tbl_chests[from],$A72,tbl_chests[legalized],K$1,tbl_chests[datetime],"&gt;="&amp;TODAY()-WEEKDAY(TODAY(),2)+1,tbl_chests[datetime],"&lt;"&amp;TODAY()-WEEKDAY(TODAY(),2)+8)))</f>
        <v>0</v>
      </c>
      <c r="L72" s="36">
        <f ca="1">IF($A72="","",IF(L$1="","",COUNTIFS(tbl_chests[from],$A72,tbl_chests[legalized],L$1,tbl_chests[datetime],"&gt;="&amp;TODAY()-WEEKDAY(TODAY(),2)+1,tbl_chests[datetime],"&lt;"&amp;TODAY()-WEEKDAY(TODAY(),2)+8)))</f>
        <v>0</v>
      </c>
      <c r="M72" s="36">
        <f ca="1">IF($A72="","",IF(M$1="","",COUNTIFS(tbl_chests[from],$A72,tbl_chests[legalized],M$1,tbl_chests[datetime],"&gt;="&amp;TODAY()-WEEKDAY(TODAY(),2)+1,tbl_chests[datetime],"&lt;"&amp;TODAY()-WEEKDAY(TODAY(),2)+8)))</f>
        <v>0</v>
      </c>
      <c r="N72" s="36">
        <f ca="1">IF($A72="","",IF(N$1="","",COUNTIFS(tbl_chests[from],$A72,tbl_chests[legalized],N$1,tbl_chests[datetime],"&gt;="&amp;TODAY()-WEEKDAY(TODAY(),2)+1,tbl_chests[datetime],"&lt;"&amp;TODAY()-WEEKDAY(TODAY(),2)+8)))</f>
        <v>0</v>
      </c>
      <c r="O72" s="36">
        <f ca="1">IF($A72="","",IF(O$1="","",COUNTIFS(tbl_chests[from],$A72,tbl_chests[legalized],O$1,tbl_chests[datetime],"&gt;="&amp;TODAY()-WEEKDAY(TODAY(),2)+1,tbl_chests[datetime],"&lt;"&amp;TODAY()-WEEKDAY(TODAY(),2)+8)))</f>
        <v>0</v>
      </c>
      <c r="P72" s="36">
        <f ca="1">IF($A72="","",IF(P$1="","",COUNTIFS(tbl_chests[from],$A72,tbl_chests[legalized],P$1,tbl_chests[datetime],"&gt;="&amp;TODAY()-WEEKDAY(TODAY(),2)+1,tbl_chests[datetime],"&lt;"&amp;TODAY()-WEEKDAY(TODAY(),2)+8)))</f>
        <v>0</v>
      </c>
      <c r="Q72" s="36">
        <f ca="1">IF($A72="","",IF(Q$1="","",COUNTIFS(tbl_chests[from],$A72,tbl_chests[legalized],Q$1,tbl_chests[datetime],"&gt;="&amp;TODAY()-WEEKDAY(TODAY(),2)+1,tbl_chests[datetime],"&lt;"&amp;TODAY()-WEEKDAY(TODAY(),2)+8)))</f>
        <v>0</v>
      </c>
      <c r="R72" s="36">
        <f ca="1">IF($A72="","",IF(R$1="","",COUNTIFS(tbl_chests[from],$A72,tbl_chests[legalized],R$1,tbl_chests[datetime],"&gt;="&amp;TODAY()-WEEKDAY(TODAY(),2)+1,tbl_chests[datetime],"&lt;"&amp;TODAY()-WEEKDAY(TODAY(),2)+8)))</f>
        <v>0</v>
      </c>
      <c r="S72" s="36">
        <f ca="1">IF($A72="","",IF(S$1="","",COUNTIFS(tbl_chests[from],$A72,tbl_chests[legalized],S$1,tbl_chests[datetime],"&gt;="&amp;TODAY()-WEEKDAY(TODAY(),2)+1,tbl_chests[datetime],"&lt;"&amp;TODAY()-WEEKDAY(TODAY(),2)+8)))</f>
        <v>0</v>
      </c>
      <c r="T72" s="36">
        <f ca="1">IF($A72="","",IF(T$1="","",COUNTIFS(tbl_chests[from],$A72,tbl_chests[legalized],T$1,tbl_chests[datetime],"&gt;="&amp;TODAY()-WEEKDAY(TODAY(),2)+1,tbl_chests[datetime],"&lt;"&amp;TODAY()-WEEKDAY(TODAY(),2)+8)))</f>
        <v>0</v>
      </c>
      <c r="U72" s="36">
        <f ca="1">IF($A72="","",IF(U$1="","",COUNTIFS(tbl_chests[from],$A72,tbl_chests[legalized],U$1,tbl_chests[datetime],"&gt;="&amp;TODAY()-WEEKDAY(TODAY(),2)+1,tbl_chests[datetime],"&lt;"&amp;TODAY()-WEEKDAY(TODAY(),2)+8)))</f>
        <v>0</v>
      </c>
      <c r="V72" s="36">
        <f ca="1">IF($A72="","",IF(V$1="","",COUNTIFS(tbl_chests[from],$A72,tbl_chests[legalized],V$1,tbl_chests[datetime],"&gt;="&amp;TODAY()-WEEKDAY(TODAY(),2)+1,tbl_chests[datetime],"&lt;"&amp;TODAY()-WEEKDAY(TODAY(),2)+8)))</f>
        <v>0</v>
      </c>
      <c r="W72" s="36">
        <f ca="1">IF($A72="","",IF(W$1="","",COUNTIFS(tbl_chests[from],$A72,tbl_chests[legalized],W$1,tbl_chests[datetime],"&gt;="&amp;TODAY()-WEEKDAY(TODAY(),2)+1,tbl_chests[datetime],"&lt;"&amp;TODAY()-WEEKDAY(TODAY(),2)+8)))</f>
        <v>0</v>
      </c>
      <c r="X72" s="36">
        <f ca="1">IF($A72="","",IF(X$1="","",COUNTIFS(tbl_chests[from],$A72,tbl_chests[legalized],X$1,tbl_chests[datetime],"&gt;="&amp;TODAY()-WEEKDAY(TODAY(),2)+1,tbl_chests[datetime],"&lt;"&amp;TODAY()-WEEKDAY(TODAY(),2)+8)))</f>
        <v>0</v>
      </c>
      <c r="Y72" s="36">
        <f ca="1">IF($A72="","",IF(Y$1="","",COUNTIFS(tbl_chests[from],$A72,tbl_chests[legalized],Y$1,tbl_chests[datetime],"&gt;="&amp;TODAY()-WEEKDAY(TODAY(),2)+1,tbl_chests[datetime],"&lt;"&amp;TODAY()-WEEKDAY(TODAY(),2)+8)))</f>
        <v>0</v>
      </c>
      <c r="Z72" s="36">
        <f ca="1">IF($A72="","",IF(Z$1="","",COUNTIFS(tbl_chests[from],$A72,tbl_chests[legalized],Z$1,tbl_chests[datetime],"&gt;="&amp;TODAY()-WEEKDAY(TODAY(),2)+1,tbl_chests[datetime],"&lt;"&amp;TODAY()-WEEKDAY(TODAY(),2)+8)))</f>
        <v>0</v>
      </c>
      <c r="AA72" s="36">
        <f ca="1">IF($A72="","",IF(AA$1="","",COUNTIFS(tbl_chests[from],$A72,tbl_chests[legalized],AA$1,tbl_chests[datetime],"&gt;="&amp;TODAY()-WEEKDAY(TODAY(),2)+1,tbl_chests[datetime],"&lt;"&amp;TODAY()-WEEKDAY(TODAY(),2)+8)))</f>
        <v>0</v>
      </c>
      <c r="AB72" s="36">
        <f ca="1">IF($A72="","",IF(AB$1="","",COUNTIFS(tbl_chests[from],$A72,tbl_chests[legalized],AB$1,tbl_chests[datetime],"&gt;="&amp;TODAY()-WEEKDAY(TODAY(),2)+1,tbl_chests[datetime],"&lt;"&amp;TODAY()-WEEKDAY(TODAY(),2)+8)))</f>
        <v>0</v>
      </c>
      <c r="AC72" s="36">
        <f ca="1">IF($A72="","",IF(AC$1="","",COUNTIFS(tbl_chests[from],$A72,tbl_chests[legalized],AC$1,tbl_chests[datetime],"&gt;="&amp;TODAY()-WEEKDAY(TODAY(),2)+1,tbl_chests[datetime],"&lt;"&amp;TODAY()-WEEKDAY(TODAY(),2)+8)))</f>
        <v>0</v>
      </c>
      <c r="AD72" s="36">
        <f ca="1">IF($A72="","",IF(AD$1="","",COUNTIFS(tbl_chests[from],$A72,tbl_chests[legalized],AD$1,tbl_chests[datetime],"&gt;="&amp;TODAY()-WEEKDAY(TODAY(),2)+1,tbl_chests[datetime],"&lt;"&amp;TODAY()-WEEKDAY(TODAY(),2)+8)))</f>
        <v>0</v>
      </c>
      <c r="AE72" s="36">
        <f ca="1">IF($A72="","",IF(AE$1="","",COUNTIFS(tbl_chests[from],$A72,tbl_chests[legalized],AE$1,tbl_chests[datetime],"&gt;="&amp;TODAY()-WEEKDAY(TODAY(),2)+1,tbl_chests[datetime],"&lt;"&amp;TODAY()-WEEKDAY(TODAY(),2)+8)))</f>
        <v>0</v>
      </c>
      <c r="AF72" s="36">
        <f ca="1">IF($A72="","",IF(AF$1="","",COUNTIFS(tbl_chests[from],$A72,tbl_chests[legalized],AF$1,tbl_chests[datetime],"&gt;="&amp;TODAY()-WEEKDAY(TODAY(),2)+1,tbl_chests[datetime],"&lt;"&amp;TODAY()-WEEKDAY(TODAY(),2)+8)))</f>
        <v>0</v>
      </c>
      <c r="AG72" s="36">
        <f ca="1">IF($A72="","",IF(AG$1="","",COUNTIFS(tbl_chests[from],$A72,tbl_chests[legalized],AG$1,tbl_chests[datetime],"&gt;="&amp;TODAY()-WEEKDAY(TODAY(),2)+1,tbl_chests[datetime],"&lt;"&amp;TODAY()-WEEKDAY(TODAY(),2)+8)))</f>
        <v>0</v>
      </c>
      <c r="AH72" s="36">
        <f ca="1">IF($A72="","",IF(AH$1="","",COUNTIFS(tbl_chests[from],$A72,tbl_chests[legalized],AH$1,tbl_chests[datetime],"&gt;="&amp;TODAY()-WEEKDAY(TODAY(),2)+1,tbl_chests[datetime],"&lt;"&amp;TODAY()-WEEKDAY(TODAY(),2)+8)))</f>
        <v>0</v>
      </c>
      <c r="AI72" s="36">
        <f ca="1">IF($A72="","",IF(AI$1="","",COUNTIFS(tbl_chests[from],$A72,tbl_chests[legalized],AI$1,tbl_chests[datetime],"&gt;="&amp;TODAY()-WEEKDAY(TODAY(),2)+1,tbl_chests[datetime],"&lt;"&amp;TODAY()-WEEKDAY(TODAY(),2)+8)))</f>
        <v>0</v>
      </c>
      <c r="AJ72" s="36">
        <f ca="1">IF($A72="","",IF(AJ$1="","",COUNTIFS(tbl_chests[from],$A72,tbl_chests[legalized],AJ$1,tbl_chests[datetime],"&gt;="&amp;TODAY()-WEEKDAY(TODAY(),2)+1,tbl_chests[datetime],"&lt;"&amp;TODAY()-WEEKDAY(TODAY(),2)+8)))</f>
        <v>0</v>
      </c>
      <c r="AK72" s="36">
        <f ca="1">IF($A72="","",IF(AK$1="","",COUNTIFS(tbl_chests[from],$A72,tbl_chests[legalized],AK$1,tbl_chests[datetime],"&gt;="&amp;TODAY()-WEEKDAY(TODAY(),2)+1,tbl_chests[datetime],"&lt;"&amp;TODAY()-WEEKDAY(TODAY(),2)+8)))</f>
        <v>0</v>
      </c>
      <c r="AL72" s="36">
        <f ca="1">IF($A72="","",IF(AL$1="","",COUNTIFS(tbl_chests[from],$A72,tbl_chests[legalized],AL$1,tbl_chests[datetime],"&gt;="&amp;TODAY()-WEEKDAY(TODAY(),2)+1,tbl_chests[datetime],"&lt;"&amp;TODAY()-WEEKDAY(TODAY(),2)+8)))</f>
        <v>0</v>
      </c>
      <c r="AM72" s="37">
        <f ca="1">IF($A72="","",IF(AM$1="","",COUNTIFS(tbl_chests[from],$A72,tbl_chests[legalized],AM$1,tbl_chests[datetime],"&gt;="&amp;TODAY()-WEEKDAY(TODAY(),2)+1,tbl_chests[datetime],"&lt;"&amp;TODAY()-WEEKDAY(TODAY(),2)+8)))</f>
        <v>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 spans="1:67" ht="15.75" customHeight="1" x14ac:dyDescent="0.25">
      <c r="A73" s="34">
        <f>chests_counter!$H70</f>
        <v>0</v>
      </c>
      <c r="B73" s="35" cm="1">
        <f t="array" aca="1" ref="B73" ca="1">IF(A73&lt;&gt;"", SUMPRODUCT(($C$2:$AM$2&lt;&gt;0)*(C73:AM73&lt;&gt;0)*($C$2:$AM$2)*(C73:AM73)), "")</f>
        <v>0</v>
      </c>
      <c r="C73" s="36">
        <f ca="1">IF($A73="","",IF(C$1="","",COUNTIFS(tbl_chests[from],$A73,tbl_chests[legalized],C$1,tbl_chests[datetime],"&gt;="&amp;TODAY()-WEEKDAY(TODAY(),2)+1,tbl_chests[datetime],"&lt;"&amp;TODAY()-WEEKDAY(TODAY(),2)+8)))</f>
        <v>0</v>
      </c>
      <c r="D73" s="36">
        <f ca="1">IF($A73="","",IF(D$1="","",COUNTIFS(tbl_chests[from],$A73,tbl_chests[legalized],D$1,tbl_chests[datetime],"&gt;="&amp;TODAY()-WEEKDAY(TODAY(),2)+1,tbl_chests[datetime],"&lt;"&amp;TODAY()-WEEKDAY(TODAY(),2)+8)))</f>
        <v>0</v>
      </c>
      <c r="E73" s="36">
        <f ca="1">IF($A73="","",IF(E$1="","",COUNTIFS(tbl_chests[from],$A73,tbl_chests[legalized],E$1,tbl_chests[datetime],"&gt;="&amp;TODAY()-WEEKDAY(TODAY(),2)+1,tbl_chests[datetime],"&lt;"&amp;TODAY()-WEEKDAY(TODAY(),2)+8)))</f>
        <v>0</v>
      </c>
      <c r="F73" s="36">
        <f ca="1">IF($A73="","",IF(F$1="","",COUNTIFS(tbl_chests[from],$A73,tbl_chests[legalized],F$1,tbl_chests[datetime],"&gt;="&amp;TODAY()-WEEKDAY(TODAY(),2)+1,tbl_chests[datetime],"&lt;"&amp;TODAY()-WEEKDAY(TODAY(),2)+8)))</f>
        <v>0</v>
      </c>
      <c r="G73" s="36">
        <f ca="1">IF($A73="","",IF(G$1="","",COUNTIFS(tbl_chests[from],$A73,tbl_chests[legalized],G$1,tbl_chests[datetime],"&gt;="&amp;TODAY()-WEEKDAY(TODAY(),2)+1,tbl_chests[datetime],"&lt;"&amp;TODAY()-WEEKDAY(TODAY(),2)+8)))</f>
        <v>0</v>
      </c>
      <c r="H73" s="36">
        <f ca="1">IF($A73="","",IF(H$1="","",COUNTIFS(tbl_chests[from],$A73,tbl_chests[legalized],H$1,tbl_chests[datetime],"&gt;="&amp;TODAY()-WEEKDAY(TODAY(),2)+1,tbl_chests[datetime],"&lt;"&amp;TODAY()-WEEKDAY(TODAY(),2)+8)))</f>
        <v>0</v>
      </c>
      <c r="I73" s="36">
        <f ca="1">IF($A73="","",IF(I$1="","",COUNTIFS(tbl_chests[from],$A73,tbl_chests[legalized],I$1,tbl_chests[datetime],"&gt;="&amp;TODAY()-WEEKDAY(TODAY(),2)+1,tbl_chests[datetime],"&lt;"&amp;TODAY()-WEEKDAY(TODAY(),2)+8)))</f>
        <v>0</v>
      </c>
      <c r="J73" s="36">
        <f ca="1">IF($A73="","",IF(J$1="","",COUNTIFS(tbl_chests[from],$A73,tbl_chests[legalized],J$1,tbl_chests[datetime],"&gt;="&amp;TODAY()-WEEKDAY(TODAY(),2)+1,tbl_chests[datetime],"&lt;"&amp;TODAY()-WEEKDAY(TODAY(),2)+8)))</f>
        <v>0</v>
      </c>
      <c r="K73" s="36">
        <f ca="1">IF($A73="","",IF(K$1="","",COUNTIFS(tbl_chests[from],$A73,tbl_chests[legalized],K$1,tbl_chests[datetime],"&gt;="&amp;TODAY()-WEEKDAY(TODAY(),2)+1,tbl_chests[datetime],"&lt;"&amp;TODAY()-WEEKDAY(TODAY(),2)+8)))</f>
        <v>0</v>
      </c>
      <c r="L73" s="36">
        <f ca="1">IF($A73="","",IF(L$1="","",COUNTIFS(tbl_chests[from],$A73,tbl_chests[legalized],L$1,tbl_chests[datetime],"&gt;="&amp;TODAY()-WEEKDAY(TODAY(),2)+1,tbl_chests[datetime],"&lt;"&amp;TODAY()-WEEKDAY(TODAY(),2)+8)))</f>
        <v>0</v>
      </c>
      <c r="M73" s="36">
        <f ca="1">IF($A73="","",IF(M$1="","",COUNTIFS(tbl_chests[from],$A73,tbl_chests[legalized],M$1,tbl_chests[datetime],"&gt;="&amp;TODAY()-WEEKDAY(TODAY(),2)+1,tbl_chests[datetime],"&lt;"&amp;TODAY()-WEEKDAY(TODAY(),2)+8)))</f>
        <v>0</v>
      </c>
      <c r="N73" s="36">
        <f ca="1">IF($A73="","",IF(N$1="","",COUNTIFS(tbl_chests[from],$A73,tbl_chests[legalized],N$1,tbl_chests[datetime],"&gt;="&amp;TODAY()-WEEKDAY(TODAY(),2)+1,tbl_chests[datetime],"&lt;"&amp;TODAY()-WEEKDAY(TODAY(),2)+8)))</f>
        <v>0</v>
      </c>
      <c r="O73" s="36">
        <f ca="1">IF($A73="","",IF(O$1="","",COUNTIFS(tbl_chests[from],$A73,tbl_chests[legalized],O$1,tbl_chests[datetime],"&gt;="&amp;TODAY()-WEEKDAY(TODAY(),2)+1,tbl_chests[datetime],"&lt;"&amp;TODAY()-WEEKDAY(TODAY(),2)+8)))</f>
        <v>0</v>
      </c>
      <c r="P73" s="36">
        <f ca="1">IF($A73="","",IF(P$1="","",COUNTIFS(tbl_chests[from],$A73,tbl_chests[legalized],P$1,tbl_chests[datetime],"&gt;="&amp;TODAY()-WEEKDAY(TODAY(),2)+1,tbl_chests[datetime],"&lt;"&amp;TODAY()-WEEKDAY(TODAY(),2)+8)))</f>
        <v>0</v>
      </c>
      <c r="Q73" s="36">
        <f ca="1">IF($A73="","",IF(Q$1="","",COUNTIFS(tbl_chests[from],$A73,tbl_chests[legalized],Q$1,tbl_chests[datetime],"&gt;="&amp;TODAY()-WEEKDAY(TODAY(),2)+1,tbl_chests[datetime],"&lt;"&amp;TODAY()-WEEKDAY(TODAY(),2)+8)))</f>
        <v>0</v>
      </c>
      <c r="R73" s="36">
        <f ca="1">IF($A73="","",IF(R$1="","",COUNTIFS(tbl_chests[from],$A73,tbl_chests[legalized],R$1,tbl_chests[datetime],"&gt;="&amp;TODAY()-WEEKDAY(TODAY(),2)+1,tbl_chests[datetime],"&lt;"&amp;TODAY()-WEEKDAY(TODAY(),2)+8)))</f>
        <v>0</v>
      </c>
      <c r="S73" s="36">
        <f ca="1">IF($A73="","",IF(S$1="","",COUNTIFS(tbl_chests[from],$A73,tbl_chests[legalized],S$1,tbl_chests[datetime],"&gt;="&amp;TODAY()-WEEKDAY(TODAY(),2)+1,tbl_chests[datetime],"&lt;"&amp;TODAY()-WEEKDAY(TODAY(),2)+8)))</f>
        <v>0</v>
      </c>
      <c r="T73" s="36">
        <f ca="1">IF($A73="","",IF(T$1="","",COUNTIFS(tbl_chests[from],$A73,tbl_chests[legalized],T$1,tbl_chests[datetime],"&gt;="&amp;TODAY()-WEEKDAY(TODAY(),2)+1,tbl_chests[datetime],"&lt;"&amp;TODAY()-WEEKDAY(TODAY(),2)+8)))</f>
        <v>0</v>
      </c>
      <c r="U73" s="36">
        <f ca="1">IF($A73="","",IF(U$1="","",COUNTIFS(tbl_chests[from],$A73,tbl_chests[legalized],U$1,tbl_chests[datetime],"&gt;="&amp;TODAY()-WEEKDAY(TODAY(),2)+1,tbl_chests[datetime],"&lt;"&amp;TODAY()-WEEKDAY(TODAY(),2)+8)))</f>
        <v>0</v>
      </c>
      <c r="V73" s="36">
        <f ca="1">IF($A73="","",IF(V$1="","",COUNTIFS(tbl_chests[from],$A73,tbl_chests[legalized],V$1,tbl_chests[datetime],"&gt;="&amp;TODAY()-WEEKDAY(TODAY(),2)+1,tbl_chests[datetime],"&lt;"&amp;TODAY()-WEEKDAY(TODAY(),2)+8)))</f>
        <v>0</v>
      </c>
      <c r="W73" s="36">
        <f ca="1">IF($A73="","",IF(W$1="","",COUNTIFS(tbl_chests[from],$A73,tbl_chests[legalized],W$1,tbl_chests[datetime],"&gt;="&amp;TODAY()-WEEKDAY(TODAY(),2)+1,tbl_chests[datetime],"&lt;"&amp;TODAY()-WEEKDAY(TODAY(),2)+8)))</f>
        <v>0</v>
      </c>
      <c r="X73" s="36">
        <f ca="1">IF($A73="","",IF(X$1="","",COUNTIFS(tbl_chests[from],$A73,tbl_chests[legalized],X$1,tbl_chests[datetime],"&gt;="&amp;TODAY()-WEEKDAY(TODAY(),2)+1,tbl_chests[datetime],"&lt;"&amp;TODAY()-WEEKDAY(TODAY(),2)+8)))</f>
        <v>0</v>
      </c>
      <c r="Y73" s="36">
        <f ca="1">IF($A73="","",IF(Y$1="","",COUNTIFS(tbl_chests[from],$A73,tbl_chests[legalized],Y$1,tbl_chests[datetime],"&gt;="&amp;TODAY()-WEEKDAY(TODAY(),2)+1,tbl_chests[datetime],"&lt;"&amp;TODAY()-WEEKDAY(TODAY(),2)+8)))</f>
        <v>0</v>
      </c>
      <c r="Z73" s="36">
        <f ca="1">IF($A73="","",IF(Z$1="","",COUNTIFS(tbl_chests[from],$A73,tbl_chests[legalized],Z$1,tbl_chests[datetime],"&gt;="&amp;TODAY()-WEEKDAY(TODAY(),2)+1,tbl_chests[datetime],"&lt;"&amp;TODAY()-WEEKDAY(TODAY(),2)+8)))</f>
        <v>0</v>
      </c>
      <c r="AA73" s="36">
        <f ca="1">IF($A73="","",IF(AA$1="","",COUNTIFS(tbl_chests[from],$A73,tbl_chests[legalized],AA$1,tbl_chests[datetime],"&gt;="&amp;TODAY()-WEEKDAY(TODAY(),2)+1,tbl_chests[datetime],"&lt;"&amp;TODAY()-WEEKDAY(TODAY(),2)+8)))</f>
        <v>0</v>
      </c>
      <c r="AB73" s="36">
        <f ca="1">IF($A73="","",IF(AB$1="","",COUNTIFS(tbl_chests[from],$A73,tbl_chests[legalized],AB$1,tbl_chests[datetime],"&gt;="&amp;TODAY()-WEEKDAY(TODAY(),2)+1,tbl_chests[datetime],"&lt;"&amp;TODAY()-WEEKDAY(TODAY(),2)+8)))</f>
        <v>0</v>
      </c>
      <c r="AC73" s="36">
        <f ca="1">IF($A73="","",IF(AC$1="","",COUNTIFS(tbl_chests[from],$A73,tbl_chests[legalized],AC$1,tbl_chests[datetime],"&gt;="&amp;TODAY()-WEEKDAY(TODAY(),2)+1,tbl_chests[datetime],"&lt;"&amp;TODAY()-WEEKDAY(TODAY(),2)+8)))</f>
        <v>0</v>
      </c>
      <c r="AD73" s="36">
        <f ca="1">IF($A73="","",IF(AD$1="","",COUNTIFS(tbl_chests[from],$A73,tbl_chests[legalized],AD$1,tbl_chests[datetime],"&gt;="&amp;TODAY()-WEEKDAY(TODAY(),2)+1,tbl_chests[datetime],"&lt;"&amp;TODAY()-WEEKDAY(TODAY(),2)+8)))</f>
        <v>0</v>
      </c>
      <c r="AE73" s="36">
        <f ca="1">IF($A73="","",IF(AE$1="","",COUNTIFS(tbl_chests[from],$A73,tbl_chests[legalized],AE$1,tbl_chests[datetime],"&gt;="&amp;TODAY()-WEEKDAY(TODAY(),2)+1,tbl_chests[datetime],"&lt;"&amp;TODAY()-WEEKDAY(TODAY(),2)+8)))</f>
        <v>0</v>
      </c>
      <c r="AF73" s="36">
        <f ca="1">IF($A73="","",IF(AF$1="","",COUNTIFS(tbl_chests[from],$A73,tbl_chests[legalized],AF$1,tbl_chests[datetime],"&gt;="&amp;TODAY()-WEEKDAY(TODAY(),2)+1,tbl_chests[datetime],"&lt;"&amp;TODAY()-WEEKDAY(TODAY(),2)+8)))</f>
        <v>0</v>
      </c>
      <c r="AG73" s="36">
        <f ca="1">IF($A73="","",IF(AG$1="","",COUNTIFS(tbl_chests[from],$A73,tbl_chests[legalized],AG$1,tbl_chests[datetime],"&gt;="&amp;TODAY()-WEEKDAY(TODAY(),2)+1,tbl_chests[datetime],"&lt;"&amp;TODAY()-WEEKDAY(TODAY(),2)+8)))</f>
        <v>0</v>
      </c>
      <c r="AH73" s="36">
        <f ca="1">IF($A73="","",IF(AH$1="","",COUNTIFS(tbl_chests[from],$A73,tbl_chests[legalized],AH$1,tbl_chests[datetime],"&gt;="&amp;TODAY()-WEEKDAY(TODAY(),2)+1,tbl_chests[datetime],"&lt;"&amp;TODAY()-WEEKDAY(TODAY(),2)+8)))</f>
        <v>0</v>
      </c>
      <c r="AI73" s="36">
        <f ca="1">IF($A73="","",IF(AI$1="","",COUNTIFS(tbl_chests[from],$A73,tbl_chests[legalized],AI$1,tbl_chests[datetime],"&gt;="&amp;TODAY()-WEEKDAY(TODAY(),2)+1,tbl_chests[datetime],"&lt;"&amp;TODAY()-WEEKDAY(TODAY(),2)+8)))</f>
        <v>0</v>
      </c>
      <c r="AJ73" s="36">
        <f ca="1">IF($A73="","",IF(AJ$1="","",COUNTIFS(tbl_chests[from],$A73,tbl_chests[legalized],AJ$1,tbl_chests[datetime],"&gt;="&amp;TODAY()-WEEKDAY(TODAY(),2)+1,tbl_chests[datetime],"&lt;"&amp;TODAY()-WEEKDAY(TODAY(),2)+8)))</f>
        <v>0</v>
      </c>
      <c r="AK73" s="36">
        <f ca="1">IF($A73="","",IF(AK$1="","",COUNTIFS(tbl_chests[from],$A73,tbl_chests[legalized],AK$1,tbl_chests[datetime],"&gt;="&amp;TODAY()-WEEKDAY(TODAY(),2)+1,tbl_chests[datetime],"&lt;"&amp;TODAY()-WEEKDAY(TODAY(),2)+8)))</f>
        <v>0</v>
      </c>
      <c r="AL73" s="36">
        <f ca="1">IF($A73="","",IF(AL$1="","",COUNTIFS(tbl_chests[from],$A73,tbl_chests[legalized],AL$1,tbl_chests[datetime],"&gt;="&amp;TODAY()-WEEKDAY(TODAY(),2)+1,tbl_chests[datetime],"&lt;"&amp;TODAY()-WEEKDAY(TODAY(),2)+8)))</f>
        <v>0</v>
      </c>
      <c r="AM73" s="37">
        <f ca="1">IF($A73="","",IF(AM$1="","",COUNTIFS(tbl_chests[from],$A73,tbl_chests[legalized],AM$1,tbl_chests[datetime],"&gt;="&amp;TODAY()-WEEKDAY(TODAY(),2)+1,tbl_chests[datetime],"&lt;"&amp;TODAY()-WEEKDAY(TODAY(),2)+8)))</f>
        <v>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 t="str">
        <f>IF($A73 = "","",IF(BF$1 = "","",COUNTIFS(#REF!,$A73,#REF!,BF$1)))</f>
        <v/>
      </c>
      <c r="BG73" s="5" t="str">
        <f>IF($A73 = "","",IF(BG$1 = "","",COUNTIFS(#REF!,$A73,#REF!,BG$1)))</f>
        <v/>
      </c>
      <c r="BH73" s="5" t="str">
        <f>IF($A73 = "","",IF(BH$1 = "","",COUNTIFS(#REF!,$A73,#REF!,BH$1)))</f>
        <v/>
      </c>
      <c r="BI73" s="5" t="str">
        <f>IF($A73 = "","",IF(BI$1 = "","",COUNTIFS(#REF!,$A73,#REF!,BI$1)))</f>
        <v/>
      </c>
      <c r="BJ73" s="5" t="str">
        <f>IF($A73 = "","",IF(BJ$1 = "","",COUNTIFS(#REF!,$A73,#REF!,BJ$1)))</f>
        <v/>
      </c>
      <c r="BK73" s="5" t="str">
        <f>IF($A73 = "","",IF(BK$1 = "","",COUNTIFS(#REF!,$A73,#REF!,BK$1)))</f>
        <v/>
      </c>
      <c r="BL73" s="5" t="str">
        <f>IF($A73 = "","",IF(BL$1 = "","",COUNTIFS(#REF!,$A73,#REF!,BL$1)))</f>
        <v/>
      </c>
      <c r="BM73" s="5" t="str">
        <f>IF($A73 = "","",IF(BM$1 = "","",COUNTIFS(#REF!,$A73,#REF!,BM$1)))</f>
        <v/>
      </c>
      <c r="BN73" s="5" t="str">
        <f>IF($A73 = "","",IF(BN$1 = "","",COUNTIFS(#REF!,$A73,#REF!,BN$1)))</f>
        <v/>
      </c>
      <c r="BO73" s="5" t="str">
        <f>IF($A73 = "","",IF(BO$1 = "","",COUNTIFS(#REF!,$A73,#REF!,BO$1)))</f>
        <v/>
      </c>
    </row>
    <row r="74" spans="1:67" ht="15.75" customHeight="1" x14ac:dyDescent="0.25">
      <c r="A74" s="34">
        <f>chests_counter!$H71</f>
        <v>0</v>
      </c>
      <c r="B74" s="35" cm="1">
        <f t="array" aca="1" ref="B74" ca="1">IF(A74&lt;&gt;"", SUMPRODUCT(($C$2:$AM$2&lt;&gt;0)*(C74:AM74&lt;&gt;0)*($C$2:$AM$2)*(C74:AM74)), "")</f>
        <v>0</v>
      </c>
      <c r="C74" s="36">
        <f ca="1">IF($A74="","",IF(C$1="","",COUNTIFS(tbl_chests[from],$A74,tbl_chests[legalized],C$1,tbl_chests[datetime],"&gt;="&amp;TODAY()-WEEKDAY(TODAY(),2)+1,tbl_chests[datetime],"&lt;"&amp;TODAY()-WEEKDAY(TODAY(),2)+8)))</f>
        <v>0</v>
      </c>
      <c r="D74" s="36">
        <f ca="1">IF($A74="","",IF(D$1="","",COUNTIFS(tbl_chests[from],$A74,tbl_chests[legalized],D$1,tbl_chests[datetime],"&gt;="&amp;TODAY()-WEEKDAY(TODAY(),2)+1,tbl_chests[datetime],"&lt;"&amp;TODAY()-WEEKDAY(TODAY(),2)+8)))</f>
        <v>0</v>
      </c>
      <c r="E74" s="36">
        <f ca="1">IF($A74="","",IF(E$1="","",COUNTIFS(tbl_chests[from],$A74,tbl_chests[legalized],E$1,tbl_chests[datetime],"&gt;="&amp;TODAY()-WEEKDAY(TODAY(),2)+1,tbl_chests[datetime],"&lt;"&amp;TODAY()-WEEKDAY(TODAY(),2)+8)))</f>
        <v>0</v>
      </c>
      <c r="F74" s="36">
        <f ca="1">IF($A74="","",IF(F$1="","",COUNTIFS(tbl_chests[from],$A74,tbl_chests[legalized],F$1,tbl_chests[datetime],"&gt;="&amp;TODAY()-WEEKDAY(TODAY(),2)+1,tbl_chests[datetime],"&lt;"&amp;TODAY()-WEEKDAY(TODAY(),2)+8)))</f>
        <v>0</v>
      </c>
      <c r="G74" s="36">
        <f ca="1">IF($A74="","",IF(G$1="","",COUNTIFS(tbl_chests[from],$A74,tbl_chests[legalized],G$1,tbl_chests[datetime],"&gt;="&amp;TODAY()-WEEKDAY(TODAY(),2)+1,tbl_chests[datetime],"&lt;"&amp;TODAY()-WEEKDAY(TODAY(),2)+8)))</f>
        <v>0</v>
      </c>
      <c r="H74" s="36">
        <f ca="1">IF($A74="","",IF(H$1="","",COUNTIFS(tbl_chests[from],$A74,tbl_chests[legalized],H$1,tbl_chests[datetime],"&gt;="&amp;TODAY()-WEEKDAY(TODAY(),2)+1,tbl_chests[datetime],"&lt;"&amp;TODAY()-WEEKDAY(TODAY(),2)+8)))</f>
        <v>0</v>
      </c>
      <c r="I74" s="36">
        <f ca="1">IF($A74="","",IF(I$1="","",COUNTIFS(tbl_chests[from],$A74,tbl_chests[legalized],I$1,tbl_chests[datetime],"&gt;="&amp;TODAY()-WEEKDAY(TODAY(),2)+1,tbl_chests[datetime],"&lt;"&amp;TODAY()-WEEKDAY(TODAY(),2)+8)))</f>
        <v>0</v>
      </c>
      <c r="J74" s="36">
        <f ca="1">IF($A74="","",IF(J$1="","",COUNTIFS(tbl_chests[from],$A74,tbl_chests[legalized],J$1,tbl_chests[datetime],"&gt;="&amp;TODAY()-WEEKDAY(TODAY(),2)+1,tbl_chests[datetime],"&lt;"&amp;TODAY()-WEEKDAY(TODAY(),2)+8)))</f>
        <v>0</v>
      </c>
      <c r="K74" s="36">
        <f ca="1">IF($A74="","",IF(K$1="","",COUNTIFS(tbl_chests[from],$A74,tbl_chests[legalized],K$1,tbl_chests[datetime],"&gt;="&amp;TODAY()-WEEKDAY(TODAY(),2)+1,tbl_chests[datetime],"&lt;"&amp;TODAY()-WEEKDAY(TODAY(),2)+8)))</f>
        <v>0</v>
      </c>
      <c r="L74" s="36">
        <f ca="1">IF($A74="","",IF(L$1="","",COUNTIFS(tbl_chests[from],$A74,tbl_chests[legalized],L$1,tbl_chests[datetime],"&gt;="&amp;TODAY()-WEEKDAY(TODAY(),2)+1,tbl_chests[datetime],"&lt;"&amp;TODAY()-WEEKDAY(TODAY(),2)+8)))</f>
        <v>0</v>
      </c>
      <c r="M74" s="36">
        <f ca="1">IF($A74="","",IF(M$1="","",COUNTIFS(tbl_chests[from],$A74,tbl_chests[legalized],M$1,tbl_chests[datetime],"&gt;="&amp;TODAY()-WEEKDAY(TODAY(),2)+1,tbl_chests[datetime],"&lt;"&amp;TODAY()-WEEKDAY(TODAY(),2)+8)))</f>
        <v>0</v>
      </c>
      <c r="N74" s="36">
        <f ca="1">IF($A74="","",IF(N$1="","",COUNTIFS(tbl_chests[from],$A74,tbl_chests[legalized],N$1,tbl_chests[datetime],"&gt;="&amp;TODAY()-WEEKDAY(TODAY(),2)+1,tbl_chests[datetime],"&lt;"&amp;TODAY()-WEEKDAY(TODAY(),2)+8)))</f>
        <v>0</v>
      </c>
      <c r="O74" s="36">
        <f ca="1">IF($A74="","",IF(O$1="","",COUNTIFS(tbl_chests[from],$A74,tbl_chests[legalized],O$1,tbl_chests[datetime],"&gt;="&amp;TODAY()-WEEKDAY(TODAY(),2)+1,tbl_chests[datetime],"&lt;"&amp;TODAY()-WEEKDAY(TODAY(),2)+8)))</f>
        <v>0</v>
      </c>
      <c r="P74" s="36">
        <f ca="1">IF($A74="","",IF(P$1="","",COUNTIFS(tbl_chests[from],$A74,tbl_chests[legalized],P$1,tbl_chests[datetime],"&gt;="&amp;TODAY()-WEEKDAY(TODAY(),2)+1,tbl_chests[datetime],"&lt;"&amp;TODAY()-WEEKDAY(TODAY(),2)+8)))</f>
        <v>0</v>
      </c>
      <c r="Q74" s="36">
        <f ca="1">IF($A74="","",IF(Q$1="","",COUNTIFS(tbl_chests[from],$A74,tbl_chests[legalized],Q$1,tbl_chests[datetime],"&gt;="&amp;TODAY()-WEEKDAY(TODAY(),2)+1,tbl_chests[datetime],"&lt;"&amp;TODAY()-WEEKDAY(TODAY(),2)+8)))</f>
        <v>0</v>
      </c>
      <c r="R74" s="36">
        <f ca="1">IF($A74="","",IF(R$1="","",COUNTIFS(tbl_chests[from],$A74,tbl_chests[legalized],R$1,tbl_chests[datetime],"&gt;="&amp;TODAY()-WEEKDAY(TODAY(),2)+1,tbl_chests[datetime],"&lt;"&amp;TODAY()-WEEKDAY(TODAY(),2)+8)))</f>
        <v>0</v>
      </c>
      <c r="S74" s="36">
        <f ca="1">IF($A74="","",IF(S$1="","",COUNTIFS(tbl_chests[from],$A74,tbl_chests[legalized],S$1,tbl_chests[datetime],"&gt;="&amp;TODAY()-WEEKDAY(TODAY(),2)+1,tbl_chests[datetime],"&lt;"&amp;TODAY()-WEEKDAY(TODAY(),2)+8)))</f>
        <v>0</v>
      </c>
      <c r="T74" s="36">
        <f ca="1">IF($A74="","",IF(T$1="","",COUNTIFS(tbl_chests[from],$A74,tbl_chests[legalized],T$1,tbl_chests[datetime],"&gt;="&amp;TODAY()-WEEKDAY(TODAY(),2)+1,tbl_chests[datetime],"&lt;"&amp;TODAY()-WEEKDAY(TODAY(),2)+8)))</f>
        <v>0</v>
      </c>
      <c r="U74" s="36">
        <f ca="1">IF($A74="","",IF(U$1="","",COUNTIFS(tbl_chests[from],$A74,tbl_chests[legalized],U$1,tbl_chests[datetime],"&gt;="&amp;TODAY()-WEEKDAY(TODAY(),2)+1,tbl_chests[datetime],"&lt;"&amp;TODAY()-WEEKDAY(TODAY(),2)+8)))</f>
        <v>0</v>
      </c>
      <c r="V74" s="36">
        <f ca="1">IF($A74="","",IF(V$1="","",COUNTIFS(tbl_chests[from],$A74,tbl_chests[legalized],V$1,tbl_chests[datetime],"&gt;="&amp;TODAY()-WEEKDAY(TODAY(),2)+1,tbl_chests[datetime],"&lt;"&amp;TODAY()-WEEKDAY(TODAY(),2)+8)))</f>
        <v>0</v>
      </c>
      <c r="W74" s="36">
        <f ca="1">IF($A74="","",IF(W$1="","",COUNTIFS(tbl_chests[from],$A74,tbl_chests[legalized],W$1,tbl_chests[datetime],"&gt;="&amp;TODAY()-WEEKDAY(TODAY(),2)+1,tbl_chests[datetime],"&lt;"&amp;TODAY()-WEEKDAY(TODAY(),2)+8)))</f>
        <v>0</v>
      </c>
      <c r="X74" s="36">
        <f ca="1">IF($A74="","",IF(X$1="","",COUNTIFS(tbl_chests[from],$A74,tbl_chests[legalized],X$1,tbl_chests[datetime],"&gt;="&amp;TODAY()-WEEKDAY(TODAY(),2)+1,tbl_chests[datetime],"&lt;"&amp;TODAY()-WEEKDAY(TODAY(),2)+8)))</f>
        <v>0</v>
      </c>
      <c r="Y74" s="36">
        <f ca="1">IF($A74="","",IF(Y$1="","",COUNTIFS(tbl_chests[from],$A74,tbl_chests[legalized],Y$1,tbl_chests[datetime],"&gt;="&amp;TODAY()-WEEKDAY(TODAY(),2)+1,tbl_chests[datetime],"&lt;"&amp;TODAY()-WEEKDAY(TODAY(),2)+8)))</f>
        <v>0</v>
      </c>
      <c r="Z74" s="36">
        <f ca="1">IF($A74="","",IF(Z$1="","",COUNTIFS(tbl_chests[from],$A74,tbl_chests[legalized],Z$1,tbl_chests[datetime],"&gt;="&amp;TODAY()-WEEKDAY(TODAY(),2)+1,tbl_chests[datetime],"&lt;"&amp;TODAY()-WEEKDAY(TODAY(),2)+8)))</f>
        <v>0</v>
      </c>
      <c r="AA74" s="36">
        <f ca="1">IF($A74="","",IF(AA$1="","",COUNTIFS(tbl_chests[from],$A74,tbl_chests[legalized],AA$1,tbl_chests[datetime],"&gt;="&amp;TODAY()-WEEKDAY(TODAY(),2)+1,tbl_chests[datetime],"&lt;"&amp;TODAY()-WEEKDAY(TODAY(),2)+8)))</f>
        <v>0</v>
      </c>
      <c r="AB74" s="36">
        <f ca="1">IF($A74="","",IF(AB$1="","",COUNTIFS(tbl_chests[from],$A74,tbl_chests[legalized],AB$1,tbl_chests[datetime],"&gt;="&amp;TODAY()-WEEKDAY(TODAY(),2)+1,tbl_chests[datetime],"&lt;"&amp;TODAY()-WEEKDAY(TODAY(),2)+8)))</f>
        <v>0</v>
      </c>
      <c r="AC74" s="36">
        <f ca="1">IF($A74="","",IF(AC$1="","",COUNTIFS(tbl_chests[from],$A74,tbl_chests[legalized],AC$1,tbl_chests[datetime],"&gt;="&amp;TODAY()-WEEKDAY(TODAY(),2)+1,tbl_chests[datetime],"&lt;"&amp;TODAY()-WEEKDAY(TODAY(),2)+8)))</f>
        <v>0</v>
      </c>
      <c r="AD74" s="36">
        <f ca="1">IF($A74="","",IF(AD$1="","",COUNTIFS(tbl_chests[from],$A74,tbl_chests[legalized],AD$1,tbl_chests[datetime],"&gt;="&amp;TODAY()-WEEKDAY(TODAY(),2)+1,tbl_chests[datetime],"&lt;"&amp;TODAY()-WEEKDAY(TODAY(),2)+8)))</f>
        <v>0</v>
      </c>
      <c r="AE74" s="36">
        <f ca="1">IF($A74="","",IF(AE$1="","",COUNTIFS(tbl_chests[from],$A74,tbl_chests[legalized],AE$1,tbl_chests[datetime],"&gt;="&amp;TODAY()-WEEKDAY(TODAY(),2)+1,tbl_chests[datetime],"&lt;"&amp;TODAY()-WEEKDAY(TODAY(),2)+8)))</f>
        <v>0</v>
      </c>
      <c r="AF74" s="36">
        <f ca="1">IF($A74="","",IF(AF$1="","",COUNTIFS(tbl_chests[from],$A74,tbl_chests[legalized],AF$1,tbl_chests[datetime],"&gt;="&amp;TODAY()-WEEKDAY(TODAY(),2)+1,tbl_chests[datetime],"&lt;"&amp;TODAY()-WEEKDAY(TODAY(),2)+8)))</f>
        <v>0</v>
      </c>
      <c r="AG74" s="36">
        <f ca="1">IF($A74="","",IF(AG$1="","",COUNTIFS(tbl_chests[from],$A74,tbl_chests[legalized],AG$1,tbl_chests[datetime],"&gt;="&amp;TODAY()-WEEKDAY(TODAY(),2)+1,tbl_chests[datetime],"&lt;"&amp;TODAY()-WEEKDAY(TODAY(),2)+8)))</f>
        <v>0</v>
      </c>
      <c r="AH74" s="36">
        <f ca="1">IF($A74="","",IF(AH$1="","",COUNTIFS(tbl_chests[from],$A74,tbl_chests[legalized],AH$1,tbl_chests[datetime],"&gt;="&amp;TODAY()-WEEKDAY(TODAY(),2)+1,tbl_chests[datetime],"&lt;"&amp;TODAY()-WEEKDAY(TODAY(),2)+8)))</f>
        <v>0</v>
      </c>
      <c r="AI74" s="36">
        <f ca="1">IF($A74="","",IF(AI$1="","",COUNTIFS(tbl_chests[from],$A74,tbl_chests[legalized],AI$1,tbl_chests[datetime],"&gt;="&amp;TODAY()-WEEKDAY(TODAY(),2)+1,tbl_chests[datetime],"&lt;"&amp;TODAY()-WEEKDAY(TODAY(),2)+8)))</f>
        <v>0</v>
      </c>
      <c r="AJ74" s="36">
        <f ca="1">IF($A74="","",IF(AJ$1="","",COUNTIFS(tbl_chests[from],$A74,tbl_chests[legalized],AJ$1,tbl_chests[datetime],"&gt;="&amp;TODAY()-WEEKDAY(TODAY(),2)+1,tbl_chests[datetime],"&lt;"&amp;TODAY()-WEEKDAY(TODAY(),2)+8)))</f>
        <v>0</v>
      </c>
      <c r="AK74" s="36">
        <f ca="1">IF($A74="","",IF(AK$1="","",COUNTIFS(tbl_chests[from],$A74,tbl_chests[legalized],AK$1,tbl_chests[datetime],"&gt;="&amp;TODAY()-WEEKDAY(TODAY(),2)+1,tbl_chests[datetime],"&lt;"&amp;TODAY()-WEEKDAY(TODAY(),2)+8)))</f>
        <v>0</v>
      </c>
      <c r="AL74" s="36">
        <f ca="1">IF($A74="","",IF(AL$1="","",COUNTIFS(tbl_chests[from],$A74,tbl_chests[legalized],AL$1,tbl_chests[datetime],"&gt;="&amp;TODAY()-WEEKDAY(TODAY(),2)+1,tbl_chests[datetime],"&lt;"&amp;TODAY()-WEEKDAY(TODAY(),2)+8)))</f>
        <v>0</v>
      </c>
      <c r="AM74" s="37">
        <f ca="1">IF($A74="","",IF(AM$1="","",COUNTIFS(tbl_chests[from],$A74,tbl_chests[legalized],AM$1,tbl_chests[datetime],"&gt;="&amp;TODAY()-WEEKDAY(TODAY(),2)+1,tbl_chests[datetime],"&lt;"&amp;TODAY()-WEEKDAY(TODAY(),2)+8)))</f>
        <v>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 spans="1:67" ht="15.75" customHeight="1" x14ac:dyDescent="0.25">
      <c r="A75" s="34">
        <f>chests_counter!$H72</f>
        <v>0</v>
      </c>
      <c r="B75" s="35" cm="1">
        <f t="array" aca="1" ref="B75" ca="1">IF(A75&lt;&gt;"", SUMPRODUCT(($C$2:$AM$2&lt;&gt;0)*(C75:AM75&lt;&gt;0)*($C$2:$AM$2)*(C75:AM75)), "")</f>
        <v>0</v>
      </c>
      <c r="C75" s="36">
        <f ca="1">IF($A75="","",IF(C$1="","",COUNTIFS(tbl_chests[from],$A75,tbl_chests[legalized],C$1,tbl_chests[datetime],"&gt;="&amp;TODAY()-WEEKDAY(TODAY(),2)+1,tbl_chests[datetime],"&lt;"&amp;TODAY()-WEEKDAY(TODAY(),2)+8)))</f>
        <v>0</v>
      </c>
      <c r="D75" s="36">
        <f ca="1">IF($A75="","",IF(D$1="","",COUNTIFS(tbl_chests[from],$A75,tbl_chests[legalized],D$1,tbl_chests[datetime],"&gt;="&amp;TODAY()-WEEKDAY(TODAY(),2)+1,tbl_chests[datetime],"&lt;"&amp;TODAY()-WEEKDAY(TODAY(),2)+8)))</f>
        <v>0</v>
      </c>
      <c r="E75" s="36">
        <f ca="1">IF($A75="","",IF(E$1="","",COUNTIFS(tbl_chests[from],$A75,tbl_chests[legalized],E$1,tbl_chests[datetime],"&gt;="&amp;TODAY()-WEEKDAY(TODAY(),2)+1,tbl_chests[datetime],"&lt;"&amp;TODAY()-WEEKDAY(TODAY(),2)+8)))</f>
        <v>0</v>
      </c>
      <c r="F75" s="36">
        <f ca="1">IF($A75="","",IF(F$1="","",COUNTIFS(tbl_chests[from],$A75,tbl_chests[legalized],F$1,tbl_chests[datetime],"&gt;="&amp;TODAY()-WEEKDAY(TODAY(),2)+1,tbl_chests[datetime],"&lt;"&amp;TODAY()-WEEKDAY(TODAY(),2)+8)))</f>
        <v>0</v>
      </c>
      <c r="G75" s="36">
        <f ca="1">IF($A75="","",IF(G$1="","",COUNTIFS(tbl_chests[from],$A75,tbl_chests[legalized],G$1,tbl_chests[datetime],"&gt;="&amp;TODAY()-WEEKDAY(TODAY(),2)+1,tbl_chests[datetime],"&lt;"&amp;TODAY()-WEEKDAY(TODAY(),2)+8)))</f>
        <v>0</v>
      </c>
      <c r="H75" s="36">
        <f ca="1">IF($A75="","",IF(H$1="","",COUNTIFS(tbl_chests[from],$A75,tbl_chests[legalized],H$1,tbl_chests[datetime],"&gt;="&amp;TODAY()-WEEKDAY(TODAY(),2)+1,tbl_chests[datetime],"&lt;"&amp;TODAY()-WEEKDAY(TODAY(),2)+8)))</f>
        <v>0</v>
      </c>
      <c r="I75" s="36">
        <f ca="1">IF($A75="","",IF(I$1="","",COUNTIFS(tbl_chests[from],$A75,tbl_chests[legalized],I$1,tbl_chests[datetime],"&gt;="&amp;TODAY()-WEEKDAY(TODAY(),2)+1,tbl_chests[datetime],"&lt;"&amp;TODAY()-WEEKDAY(TODAY(),2)+8)))</f>
        <v>0</v>
      </c>
      <c r="J75" s="36">
        <f ca="1">IF($A75="","",IF(J$1="","",COUNTIFS(tbl_chests[from],$A75,tbl_chests[legalized],J$1,tbl_chests[datetime],"&gt;="&amp;TODAY()-WEEKDAY(TODAY(),2)+1,tbl_chests[datetime],"&lt;"&amp;TODAY()-WEEKDAY(TODAY(),2)+8)))</f>
        <v>0</v>
      </c>
      <c r="K75" s="36">
        <f ca="1">IF($A75="","",IF(K$1="","",COUNTIFS(tbl_chests[from],$A75,tbl_chests[legalized],K$1,tbl_chests[datetime],"&gt;="&amp;TODAY()-WEEKDAY(TODAY(),2)+1,tbl_chests[datetime],"&lt;"&amp;TODAY()-WEEKDAY(TODAY(),2)+8)))</f>
        <v>0</v>
      </c>
      <c r="L75" s="36">
        <f ca="1">IF($A75="","",IF(L$1="","",COUNTIFS(tbl_chests[from],$A75,tbl_chests[legalized],L$1,tbl_chests[datetime],"&gt;="&amp;TODAY()-WEEKDAY(TODAY(),2)+1,tbl_chests[datetime],"&lt;"&amp;TODAY()-WEEKDAY(TODAY(),2)+8)))</f>
        <v>0</v>
      </c>
      <c r="M75" s="36">
        <f ca="1">IF($A75="","",IF(M$1="","",COUNTIFS(tbl_chests[from],$A75,tbl_chests[legalized],M$1,tbl_chests[datetime],"&gt;="&amp;TODAY()-WEEKDAY(TODAY(),2)+1,tbl_chests[datetime],"&lt;"&amp;TODAY()-WEEKDAY(TODAY(),2)+8)))</f>
        <v>0</v>
      </c>
      <c r="N75" s="36">
        <f ca="1">IF($A75="","",IF(N$1="","",COUNTIFS(tbl_chests[from],$A75,tbl_chests[legalized],N$1,tbl_chests[datetime],"&gt;="&amp;TODAY()-WEEKDAY(TODAY(),2)+1,tbl_chests[datetime],"&lt;"&amp;TODAY()-WEEKDAY(TODAY(),2)+8)))</f>
        <v>0</v>
      </c>
      <c r="O75" s="36">
        <f ca="1">IF($A75="","",IF(O$1="","",COUNTIFS(tbl_chests[from],$A75,tbl_chests[legalized],O$1,tbl_chests[datetime],"&gt;="&amp;TODAY()-WEEKDAY(TODAY(),2)+1,tbl_chests[datetime],"&lt;"&amp;TODAY()-WEEKDAY(TODAY(),2)+8)))</f>
        <v>0</v>
      </c>
      <c r="P75" s="36">
        <f ca="1">IF($A75="","",IF(P$1="","",COUNTIFS(tbl_chests[from],$A75,tbl_chests[legalized],P$1,tbl_chests[datetime],"&gt;="&amp;TODAY()-WEEKDAY(TODAY(),2)+1,tbl_chests[datetime],"&lt;"&amp;TODAY()-WEEKDAY(TODAY(),2)+8)))</f>
        <v>0</v>
      </c>
      <c r="Q75" s="36">
        <f ca="1">IF($A75="","",IF(Q$1="","",COUNTIFS(tbl_chests[from],$A75,tbl_chests[legalized],Q$1,tbl_chests[datetime],"&gt;="&amp;TODAY()-WEEKDAY(TODAY(),2)+1,tbl_chests[datetime],"&lt;"&amp;TODAY()-WEEKDAY(TODAY(),2)+8)))</f>
        <v>0</v>
      </c>
      <c r="R75" s="36">
        <f ca="1">IF($A75="","",IF(R$1="","",COUNTIFS(tbl_chests[from],$A75,tbl_chests[legalized],R$1,tbl_chests[datetime],"&gt;="&amp;TODAY()-WEEKDAY(TODAY(),2)+1,tbl_chests[datetime],"&lt;"&amp;TODAY()-WEEKDAY(TODAY(),2)+8)))</f>
        <v>0</v>
      </c>
      <c r="S75" s="36">
        <f ca="1">IF($A75="","",IF(S$1="","",COUNTIFS(tbl_chests[from],$A75,tbl_chests[legalized],S$1,tbl_chests[datetime],"&gt;="&amp;TODAY()-WEEKDAY(TODAY(),2)+1,tbl_chests[datetime],"&lt;"&amp;TODAY()-WEEKDAY(TODAY(),2)+8)))</f>
        <v>0</v>
      </c>
      <c r="T75" s="36">
        <f ca="1">IF($A75="","",IF(T$1="","",COUNTIFS(tbl_chests[from],$A75,tbl_chests[legalized],T$1,tbl_chests[datetime],"&gt;="&amp;TODAY()-WEEKDAY(TODAY(),2)+1,tbl_chests[datetime],"&lt;"&amp;TODAY()-WEEKDAY(TODAY(),2)+8)))</f>
        <v>0</v>
      </c>
      <c r="U75" s="36">
        <f ca="1">IF($A75="","",IF(U$1="","",COUNTIFS(tbl_chests[from],$A75,tbl_chests[legalized],U$1,tbl_chests[datetime],"&gt;="&amp;TODAY()-WEEKDAY(TODAY(),2)+1,tbl_chests[datetime],"&lt;"&amp;TODAY()-WEEKDAY(TODAY(),2)+8)))</f>
        <v>0</v>
      </c>
      <c r="V75" s="36">
        <f ca="1">IF($A75="","",IF(V$1="","",COUNTIFS(tbl_chests[from],$A75,tbl_chests[legalized],V$1,tbl_chests[datetime],"&gt;="&amp;TODAY()-WEEKDAY(TODAY(),2)+1,tbl_chests[datetime],"&lt;"&amp;TODAY()-WEEKDAY(TODAY(),2)+8)))</f>
        <v>0</v>
      </c>
      <c r="W75" s="36">
        <f ca="1">IF($A75="","",IF(W$1="","",COUNTIFS(tbl_chests[from],$A75,tbl_chests[legalized],W$1,tbl_chests[datetime],"&gt;="&amp;TODAY()-WEEKDAY(TODAY(),2)+1,tbl_chests[datetime],"&lt;"&amp;TODAY()-WEEKDAY(TODAY(),2)+8)))</f>
        <v>0</v>
      </c>
      <c r="X75" s="36">
        <f ca="1">IF($A75="","",IF(X$1="","",COUNTIFS(tbl_chests[from],$A75,tbl_chests[legalized],X$1,tbl_chests[datetime],"&gt;="&amp;TODAY()-WEEKDAY(TODAY(),2)+1,tbl_chests[datetime],"&lt;"&amp;TODAY()-WEEKDAY(TODAY(),2)+8)))</f>
        <v>0</v>
      </c>
      <c r="Y75" s="36">
        <f ca="1">IF($A75="","",IF(Y$1="","",COUNTIFS(tbl_chests[from],$A75,tbl_chests[legalized],Y$1,tbl_chests[datetime],"&gt;="&amp;TODAY()-WEEKDAY(TODAY(),2)+1,tbl_chests[datetime],"&lt;"&amp;TODAY()-WEEKDAY(TODAY(),2)+8)))</f>
        <v>0</v>
      </c>
      <c r="Z75" s="36">
        <f ca="1">IF($A75="","",IF(Z$1="","",COUNTIFS(tbl_chests[from],$A75,tbl_chests[legalized],Z$1,tbl_chests[datetime],"&gt;="&amp;TODAY()-WEEKDAY(TODAY(),2)+1,tbl_chests[datetime],"&lt;"&amp;TODAY()-WEEKDAY(TODAY(),2)+8)))</f>
        <v>0</v>
      </c>
      <c r="AA75" s="36">
        <f ca="1">IF($A75="","",IF(AA$1="","",COUNTIFS(tbl_chests[from],$A75,tbl_chests[legalized],AA$1,tbl_chests[datetime],"&gt;="&amp;TODAY()-WEEKDAY(TODAY(),2)+1,tbl_chests[datetime],"&lt;"&amp;TODAY()-WEEKDAY(TODAY(),2)+8)))</f>
        <v>0</v>
      </c>
      <c r="AB75" s="36">
        <f ca="1">IF($A75="","",IF(AB$1="","",COUNTIFS(tbl_chests[from],$A75,tbl_chests[legalized],AB$1,tbl_chests[datetime],"&gt;="&amp;TODAY()-WEEKDAY(TODAY(),2)+1,tbl_chests[datetime],"&lt;"&amp;TODAY()-WEEKDAY(TODAY(),2)+8)))</f>
        <v>0</v>
      </c>
      <c r="AC75" s="36">
        <f ca="1">IF($A75="","",IF(AC$1="","",COUNTIFS(tbl_chests[from],$A75,tbl_chests[legalized],AC$1,tbl_chests[datetime],"&gt;="&amp;TODAY()-WEEKDAY(TODAY(),2)+1,tbl_chests[datetime],"&lt;"&amp;TODAY()-WEEKDAY(TODAY(),2)+8)))</f>
        <v>0</v>
      </c>
      <c r="AD75" s="36">
        <f ca="1">IF($A75="","",IF(AD$1="","",COUNTIFS(tbl_chests[from],$A75,tbl_chests[legalized],AD$1,tbl_chests[datetime],"&gt;="&amp;TODAY()-WEEKDAY(TODAY(),2)+1,tbl_chests[datetime],"&lt;"&amp;TODAY()-WEEKDAY(TODAY(),2)+8)))</f>
        <v>0</v>
      </c>
      <c r="AE75" s="36">
        <f ca="1">IF($A75="","",IF(AE$1="","",COUNTIFS(tbl_chests[from],$A75,tbl_chests[legalized],AE$1,tbl_chests[datetime],"&gt;="&amp;TODAY()-WEEKDAY(TODAY(),2)+1,tbl_chests[datetime],"&lt;"&amp;TODAY()-WEEKDAY(TODAY(),2)+8)))</f>
        <v>0</v>
      </c>
      <c r="AF75" s="36">
        <f ca="1">IF($A75="","",IF(AF$1="","",COUNTIFS(tbl_chests[from],$A75,tbl_chests[legalized],AF$1,tbl_chests[datetime],"&gt;="&amp;TODAY()-WEEKDAY(TODAY(),2)+1,tbl_chests[datetime],"&lt;"&amp;TODAY()-WEEKDAY(TODAY(),2)+8)))</f>
        <v>0</v>
      </c>
      <c r="AG75" s="36">
        <f ca="1">IF($A75="","",IF(AG$1="","",COUNTIFS(tbl_chests[from],$A75,tbl_chests[legalized],AG$1,tbl_chests[datetime],"&gt;="&amp;TODAY()-WEEKDAY(TODAY(),2)+1,tbl_chests[datetime],"&lt;"&amp;TODAY()-WEEKDAY(TODAY(),2)+8)))</f>
        <v>0</v>
      </c>
      <c r="AH75" s="36">
        <f ca="1">IF($A75="","",IF(AH$1="","",COUNTIFS(tbl_chests[from],$A75,tbl_chests[legalized],AH$1,tbl_chests[datetime],"&gt;="&amp;TODAY()-WEEKDAY(TODAY(),2)+1,tbl_chests[datetime],"&lt;"&amp;TODAY()-WEEKDAY(TODAY(),2)+8)))</f>
        <v>0</v>
      </c>
      <c r="AI75" s="36">
        <f ca="1">IF($A75="","",IF(AI$1="","",COUNTIFS(tbl_chests[from],$A75,tbl_chests[legalized],AI$1,tbl_chests[datetime],"&gt;="&amp;TODAY()-WEEKDAY(TODAY(),2)+1,tbl_chests[datetime],"&lt;"&amp;TODAY()-WEEKDAY(TODAY(),2)+8)))</f>
        <v>0</v>
      </c>
      <c r="AJ75" s="36">
        <f ca="1">IF($A75="","",IF(AJ$1="","",COUNTIFS(tbl_chests[from],$A75,tbl_chests[legalized],AJ$1,tbl_chests[datetime],"&gt;="&amp;TODAY()-WEEKDAY(TODAY(),2)+1,tbl_chests[datetime],"&lt;"&amp;TODAY()-WEEKDAY(TODAY(),2)+8)))</f>
        <v>0</v>
      </c>
      <c r="AK75" s="36">
        <f ca="1">IF($A75="","",IF(AK$1="","",COUNTIFS(tbl_chests[from],$A75,tbl_chests[legalized],AK$1,tbl_chests[datetime],"&gt;="&amp;TODAY()-WEEKDAY(TODAY(),2)+1,tbl_chests[datetime],"&lt;"&amp;TODAY()-WEEKDAY(TODAY(),2)+8)))</f>
        <v>0</v>
      </c>
      <c r="AL75" s="36">
        <f ca="1">IF($A75="","",IF(AL$1="","",COUNTIFS(tbl_chests[from],$A75,tbl_chests[legalized],AL$1,tbl_chests[datetime],"&gt;="&amp;TODAY()-WEEKDAY(TODAY(),2)+1,tbl_chests[datetime],"&lt;"&amp;TODAY()-WEEKDAY(TODAY(),2)+8)))</f>
        <v>0</v>
      </c>
      <c r="AM75" s="37">
        <f ca="1">IF($A75="","",IF(AM$1="","",COUNTIFS(tbl_chests[from],$A75,tbl_chests[legalized],AM$1,tbl_chests[datetime],"&gt;="&amp;TODAY()-WEEKDAY(TODAY(),2)+1,tbl_chests[datetime],"&lt;"&amp;TODAY()-WEEKDAY(TODAY(),2)+8)))</f>
        <v>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 spans="1:67" ht="15.75" customHeight="1" x14ac:dyDescent="0.25">
      <c r="A76" s="34">
        <f>chests_counter!$H73</f>
        <v>0</v>
      </c>
      <c r="B76" s="35" cm="1">
        <f t="array" aca="1" ref="B76" ca="1">IF(A76&lt;&gt;"", SUMPRODUCT(($C$2:$AM$2&lt;&gt;0)*(C76:AM76&lt;&gt;0)*($C$2:$AM$2)*(C76:AM76)), "")</f>
        <v>0</v>
      </c>
      <c r="C76" s="36">
        <f ca="1">IF($A76="","",IF(C$1="","",COUNTIFS(tbl_chests[from],$A76,tbl_chests[legalized],C$1,tbl_chests[datetime],"&gt;="&amp;TODAY()-WEEKDAY(TODAY(),2)+1,tbl_chests[datetime],"&lt;"&amp;TODAY()-WEEKDAY(TODAY(),2)+8)))</f>
        <v>0</v>
      </c>
      <c r="D76" s="36">
        <f ca="1">IF($A76="","",IF(D$1="","",COUNTIFS(tbl_chests[from],$A76,tbl_chests[legalized],D$1,tbl_chests[datetime],"&gt;="&amp;TODAY()-WEEKDAY(TODAY(),2)+1,tbl_chests[datetime],"&lt;"&amp;TODAY()-WEEKDAY(TODAY(),2)+8)))</f>
        <v>0</v>
      </c>
      <c r="E76" s="36">
        <f ca="1">IF($A76="","",IF(E$1="","",COUNTIFS(tbl_chests[from],$A76,tbl_chests[legalized],E$1,tbl_chests[datetime],"&gt;="&amp;TODAY()-WEEKDAY(TODAY(),2)+1,tbl_chests[datetime],"&lt;"&amp;TODAY()-WEEKDAY(TODAY(),2)+8)))</f>
        <v>0</v>
      </c>
      <c r="F76" s="36">
        <f ca="1">IF($A76="","",IF(F$1="","",COUNTIFS(tbl_chests[from],$A76,tbl_chests[legalized],F$1,tbl_chests[datetime],"&gt;="&amp;TODAY()-WEEKDAY(TODAY(),2)+1,tbl_chests[datetime],"&lt;"&amp;TODAY()-WEEKDAY(TODAY(),2)+8)))</f>
        <v>0</v>
      </c>
      <c r="G76" s="36">
        <f ca="1">IF($A76="","",IF(G$1="","",COUNTIFS(tbl_chests[from],$A76,tbl_chests[legalized],G$1,tbl_chests[datetime],"&gt;="&amp;TODAY()-WEEKDAY(TODAY(),2)+1,tbl_chests[datetime],"&lt;"&amp;TODAY()-WEEKDAY(TODAY(),2)+8)))</f>
        <v>0</v>
      </c>
      <c r="H76" s="36">
        <f ca="1">IF($A76="","",IF(H$1="","",COUNTIFS(tbl_chests[from],$A76,tbl_chests[legalized],H$1,tbl_chests[datetime],"&gt;="&amp;TODAY()-WEEKDAY(TODAY(),2)+1,tbl_chests[datetime],"&lt;"&amp;TODAY()-WEEKDAY(TODAY(),2)+8)))</f>
        <v>0</v>
      </c>
      <c r="I76" s="36">
        <f ca="1">IF($A76="","",IF(I$1="","",COUNTIFS(tbl_chests[from],$A76,tbl_chests[legalized],I$1,tbl_chests[datetime],"&gt;="&amp;TODAY()-WEEKDAY(TODAY(),2)+1,tbl_chests[datetime],"&lt;"&amp;TODAY()-WEEKDAY(TODAY(),2)+8)))</f>
        <v>0</v>
      </c>
      <c r="J76" s="36">
        <f ca="1">IF($A76="","",IF(J$1="","",COUNTIFS(tbl_chests[from],$A76,tbl_chests[legalized],J$1,tbl_chests[datetime],"&gt;="&amp;TODAY()-WEEKDAY(TODAY(),2)+1,tbl_chests[datetime],"&lt;"&amp;TODAY()-WEEKDAY(TODAY(),2)+8)))</f>
        <v>0</v>
      </c>
      <c r="K76" s="36">
        <f ca="1">IF($A76="","",IF(K$1="","",COUNTIFS(tbl_chests[from],$A76,tbl_chests[legalized],K$1,tbl_chests[datetime],"&gt;="&amp;TODAY()-WEEKDAY(TODAY(),2)+1,tbl_chests[datetime],"&lt;"&amp;TODAY()-WEEKDAY(TODAY(),2)+8)))</f>
        <v>0</v>
      </c>
      <c r="L76" s="36">
        <f ca="1">IF($A76="","",IF(L$1="","",COUNTIFS(tbl_chests[from],$A76,tbl_chests[legalized],L$1,tbl_chests[datetime],"&gt;="&amp;TODAY()-WEEKDAY(TODAY(),2)+1,tbl_chests[datetime],"&lt;"&amp;TODAY()-WEEKDAY(TODAY(),2)+8)))</f>
        <v>0</v>
      </c>
      <c r="M76" s="36">
        <f ca="1">IF($A76="","",IF(M$1="","",COUNTIFS(tbl_chests[from],$A76,tbl_chests[legalized],M$1,tbl_chests[datetime],"&gt;="&amp;TODAY()-WEEKDAY(TODAY(),2)+1,tbl_chests[datetime],"&lt;"&amp;TODAY()-WEEKDAY(TODAY(),2)+8)))</f>
        <v>0</v>
      </c>
      <c r="N76" s="36">
        <f ca="1">IF($A76="","",IF(N$1="","",COUNTIFS(tbl_chests[from],$A76,tbl_chests[legalized],N$1,tbl_chests[datetime],"&gt;="&amp;TODAY()-WEEKDAY(TODAY(),2)+1,tbl_chests[datetime],"&lt;"&amp;TODAY()-WEEKDAY(TODAY(),2)+8)))</f>
        <v>0</v>
      </c>
      <c r="O76" s="36">
        <f ca="1">IF($A76="","",IF(O$1="","",COUNTIFS(tbl_chests[from],$A76,tbl_chests[legalized],O$1,tbl_chests[datetime],"&gt;="&amp;TODAY()-WEEKDAY(TODAY(),2)+1,tbl_chests[datetime],"&lt;"&amp;TODAY()-WEEKDAY(TODAY(),2)+8)))</f>
        <v>0</v>
      </c>
      <c r="P76" s="36">
        <f ca="1">IF($A76="","",IF(P$1="","",COUNTIFS(tbl_chests[from],$A76,tbl_chests[legalized],P$1,tbl_chests[datetime],"&gt;="&amp;TODAY()-WEEKDAY(TODAY(),2)+1,tbl_chests[datetime],"&lt;"&amp;TODAY()-WEEKDAY(TODAY(),2)+8)))</f>
        <v>0</v>
      </c>
      <c r="Q76" s="36">
        <f ca="1">IF($A76="","",IF(Q$1="","",COUNTIFS(tbl_chests[from],$A76,tbl_chests[legalized],Q$1,tbl_chests[datetime],"&gt;="&amp;TODAY()-WEEKDAY(TODAY(),2)+1,tbl_chests[datetime],"&lt;"&amp;TODAY()-WEEKDAY(TODAY(),2)+8)))</f>
        <v>0</v>
      </c>
      <c r="R76" s="36">
        <f ca="1">IF($A76="","",IF(R$1="","",COUNTIFS(tbl_chests[from],$A76,tbl_chests[legalized],R$1,tbl_chests[datetime],"&gt;="&amp;TODAY()-WEEKDAY(TODAY(),2)+1,tbl_chests[datetime],"&lt;"&amp;TODAY()-WEEKDAY(TODAY(),2)+8)))</f>
        <v>0</v>
      </c>
      <c r="S76" s="36">
        <f ca="1">IF($A76="","",IF(S$1="","",COUNTIFS(tbl_chests[from],$A76,tbl_chests[legalized],S$1,tbl_chests[datetime],"&gt;="&amp;TODAY()-WEEKDAY(TODAY(),2)+1,tbl_chests[datetime],"&lt;"&amp;TODAY()-WEEKDAY(TODAY(),2)+8)))</f>
        <v>0</v>
      </c>
      <c r="T76" s="36">
        <f ca="1">IF($A76="","",IF(T$1="","",COUNTIFS(tbl_chests[from],$A76,tbl_chests[legalized],T$1,tbl_chests[datetime],"&gt;="&amp;TODAY()-WEEKDAY(TODAY(),2)+1,tbl_chests[datetime],"&lt;"&amp;TODAY()-WEEKDAY(TODAY(),2)+8)))</f>
        <v>0</v>
      </c>
      <c r="U76" s="36">
        <f ca="1">IF($A76="","",IF(U$1="","",COUNTIFS(tbl_chests[from],$A76,tbl_chests[legalized],U$1,tbl_chests[datetime],"&gt;="&amp;TODAY()-WEEKDAY(TODAY(),2)+1,tbl_chests[datetime],"&lt;"&amp;TODAY()-WEEKDAY(TODAY(),2)+8)))</f>
        <v>0</v>
      </c>
      <c r="V76" s="36">
        <f ca="1">IF($A76="","",IF(V$1="","",COUNTIFS(tbl_chests[from],$A76,tbl_chests[legalized],V$1,tbl_chests[datetime],"&gt;="&amp;TODAY()-WEEKDAY(TODAY(),2)+1,tbl_chests[datetime],"&lt;"&amp;TODAY()-WEEKDAY(TODAY(),2)+8)))</f>
        <v>0</v>
      </c>
      <c r="W76" s="36">
        <f ca="1">IF($A76="","",IF(W$1="","",COUNTIFS(tbl_chests[from],$A76,tbl_chests[legalized],W$1,tbl_chests[datetime],"&gt;="&amp;TODAY()-WEEKDAY(TODAY(),2)+1,tbl_chests[datetime],"&lt;"&amp;TODAY()-WEEKDAY(TODAY(),2)+8)))</f>
        <v>0</v>
      </c>
      <c r="X76" s="36">
        <f ca="1">IF($A76="","",IF(X$1="","",COUNTIFS(tbl_chests[from],$A76,tbl_chests[legalized],X$1,tbl_chests[datetime],"&gt;="&amp;TODAY()-WEEKDAY(TODAY(),2)+1,tbl_chests[datetime],"&lt;"&amp;TODAY()-WEEKDAY(TODAY(),2)+8)))</f>
        <v>0</v>
      </c>
      <c r="Y76" s="36">
        <f ca="1">IF($A76="","",IF(Y$1="","",COUNTIFS(tbl_chests[from],$A76,tbl_chests[legalized],Y$1,tbl_chests[datetime],"&gt;="&amp;TODAY()-WEEKDAY(TODAY(),2)+1,tbl_chests[datetime],"&lt;"&amp;TODAY()-WEEKDAY(TODAY(),2)+8)))</f>
        <v>0</v>
      </c>
      <c r="Z76" s="36">
        <f ca="1">IF($A76="","",IF(Z$1="","",COUNTIFS(tbl_chests[from],$A76,tbl_chests[legalized],Z$1,tbl_chests[datetime],"&gt;="&amp;TODAY()-WEEKDAY(TODAY(),2)+1,tbl_chests[datetime],"&lt;"&amp;TODAY()-WEEKDAY(TODAY(),2)+8)))</f>
        <v>0</v>
      </c>
      <c r="AA76" s="36">
        <f ca="1">IF($A76="","",IF(AA$1="","",COUNTIFS(tbl_chests[from],$A76,tbl_chests[legalized],AA$1,tbl_chests[datetime],"&gt;="&amp;TODAY()-WEEKDAY(TODAY(),2)+1,tbl_chests[datetime],"&lt;"&amp;TODAY()-WEEKDAY(TODAY(),2)+8)))</f>
        <v>0</v>
      </c>
      <c r="AB76" s="36">
        <f ca="1">IF($A76="","",IF(AB$1="","",COUNTIFS(tbl_chests[from],$A76,tbl_chests[legalized],AB$1,tbl_chests[datetime],"&gt;="&amp;TODAY()-WEEKDAY(TODAY(),2)+1,tbl_chests[datetime],"&lt;"&amp;TODAY()-WEEKDAY(TODAY(),2)+8)))</f>
        <v>0</v>
      </c>
      <c r="AC76" s="36">
        <f ca="1">IF($A76="","",IF(AC$1="","",COUNTIFS(tbl_chests[from],$A76,tbl_chests[legalized],AC$1,tbl_chests[datetime],"&gt;="&amp;TODAY()-WEEKDAY(TODAY(),2)+1,tbl_chests[datetime],"&lt;"&amp;TODAY()-WEEKDAY(TODAY(),2)+8)))</f>
        <v>0</v>
      </c>
      <c r="AD76" s="36">
        <f ca="1">IF($A76="","",IF(AD$1="","",COUNTIFS(tbl_chests[from],$A76,tbl_chests[legalized],AD$1,tbl_chests[datetime],"&gt;="&amp;TODAY()-WEEKDAY(TODAY(),2)+1,tbl_chests[datetime],"&lt;"&amp;TODAY()-WEEKDAY(TODAY(),2)+8)))</f>
        <v>0</v>
      </c>
      <c r="AE76" s="36">
        <f ca="1">IF($A76="","",IF(AE$1="","",COUNTIFS(tbl_chests[from],$A76,tbl_chests[legalized],AE$1,tbl_chests[datetime],"&gt;="&amp;TODAY()-WEEKDAY(TODAY(),2)+1,tbl_chests[datetime],"&lt;"&amp;TODAY()-WEEKDAY(TODAY(),2)+8)))</f>
        <v>0</v>
      </c>
      <c r="AF76" s="36">
        <f ca="1">IF($A76="","",IF(AF$1="","",COUNTIFS(tbl_chests[from],$A76,tbl_chests[legalized],AF$1,tbl_chests[datetime],"&gt;="&amp;TODAY()-WEEKDAY(TODAY(),2)+1,tbl_chests[datetime],"&lt;"&amp;TODAY()-WEEKDAY(TODAY(),2)+8)))</f>
        <v>0</v>
      </c>
      <c r="AG76" s="36">
        <f ca="1">IF($A76="","",IF(AG$1="","",COUNTIFS(tbl_chests[from],$A76,tbl_chests[legalized],AG$1,tbl_chests[datetime],"&gt;="&amp;TODAY()-WEEKDAY(TODAY(),2)+1,tbl_chests[datetime],"&lt;"&amp;TODAY()-WEEKDAY(TODAY(),2)+8)))</f>
        <v>0</v>
      </c>
      <c r="AH76" s="36">
        <f ca="1">IF($A76="","",IF(AH$1="","",COUNTIFS(tbl_chests[from],$A76,tbl_chests[legalized],AH$1,tbl_chests[datetime],"&gt;="&amp;TODAY()-WEEKDAY(TODAY(),2)+1,tbl_chests[datetime],"&lt;"&amp;TODAY()-WEEKDAY(TODAY(),2)+8)))</f>
        <v>0</v>
      </c>
      <c r="AI76" s="36">
        <f ca="1">IF($A76="","",IF(AI$1="","",COUNTIFS(tbl_chests[from],$A76,tbl_chests[legalized],AI$1,tbl_chests[datetime],"&gt;="&amp;TODAY()-WEEKDAY(TODAY(),2)+1,tbl_chests[datetime],"&lt;"&amp;TODAY()-WEEKDAY(TODAY(),2)+8)))</f>
        <v>0</v>
      </c>
      <c r="AJ76" s="36">
        <f ca="1">IF($A76="","",IF(AJ$1="","",COUNTIFS(tbl_chests[from],$A76,tbl_chests[legalized],AJ$1,tbl_chests[datetime],"&gt;="&amp;TODAY()-WEEKDAY(TODAY(),2)+1,tbl_chests[datetime],"&lt;"&amp;TODAY()-WEEKDAY(TODAY(),2)+8)))</f>
        <v>0</v>
      </c>
      <c r="AK76" s="36">
        <f ca="1">IF($A76="","",IF(AK$1="","",COUNTIFS(tbl_chests[from],$A76,tbl_chests[legalized],AK$1,tbl_chests[datetime],"&gt;="&amp;TODAY()-WEEKDAY(TODAY(),2)+1,tbl_chests[datetime],"&lt;"&amp;TODAY()-WEEKDAY(TODAY(),2)+8)))</f>
        <v>0</v>
      </c>
      <c r="AL76" s="36">
        <f ca="1">IF($A76="","",IF(AL$1="","",COUNTIFS(tbl_chests[from],$A76,tbl_chests[legalized],AL$1,tbl_chests[datetime],"&gt;="&amp;TODAY()-WEEKDAY(TODAY(),2)+1,tbl_chests[datetime],"&lt;"&amp;TODAY()-WEEKDAY(TODAY(),2)+8)))</f>
        <v>0</v>
      </c>
      <c r="AM76" s="37">
        <f ca="1">IF($A76="","",IF(AM$1="","",COUNTIFS(tbl_chests[from],$A76,tbl_chests[legalized],AM$1,tbl_chests[datetime],"&gt;="&amp;TODAY()-WEEKDAY(TODAY(),2)+1,tbl_chests[datetime],"&lt;"&amp;TODAY()-WEEKDAY(TODAY(),2)+8)))</f>
        <v>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67" ht="15.75" customHeight="1" x14ac:dyDescent="0.25">
      <c r="A77" s="34">
        <f>chests_counter!$H74</f>
        <v>0</v>
      </c>
      <c r="B77" s="35" cm="1">
        <f t="array" aca="1" ref="B77" ca="1">IF(A77&lt;&gt;"", SUMPRODUCT(($C$2:$AM$2&lt;&gt;0)*(C77:AM77&lt;&gt;0)*($C$2:$AM$2)*(C77:AM77)), "")</f>
        <v>0</v>
      </c>
      <c r="C77" s="36">
        <f ca="1">IF($A77="","",IF(C$1="","",COUNTIFS(tbl_chests[from],$A77,tbl_chests[legalized],C$1,tbl_chests[datetime],"&gt;="&amp;TODAY()-WEEKDAY(TODAY(),2)+1,tbl_chests[datetime],"&lt;"&amp;TODAY()-WEEKDAY(TODAY(),2)+8)))</f>
        <v>0</v>
      </c>
      <c r="D77" s="36">
        <f ca="1">IF($A77="","",IF(D$1="","",COUNTIFS(tbl_chests[from],$A77,tbl_chests[legalized],D$1,tbl_chests[datetime],"&gt;="&amp;TODAY()-WEEKDAY(TODAY(),2)+1,tbl_chests[datetime],"&lt;"&amp;TODAY()-WEEKDAY(TODAY(),2)+8)))</f>
        <v>0</v>
      </c>
      <c r="E77" s="36">
        <f ca="1">IF($A77="","",IF(E$1="","",COUNTIFS(tbl_chests[from],$A77,tbl_chests[legalized],E$1,tbl_chests[datetime],"&gt;="&amp;TODAY()-WEEKDAY(TODAY(),2)+1,tbl_chests[datetime],"&lt;"&amp;TODAY()-WEEKDAY(TODAY(),2)+8)))</f>
        <v>0</v>
      </c>
      <c r="F77" s="36">
        <f ca="1">IF($A77="","",IF(F$1="","",COUNTIFS(tbl_chests[from],$A77,tbl_chests[legalized],F$1,tbl_chests[datetime],"&gt;="&amp;TODAY()-WEEKDAY(TODAY(),2)+1,tbl_chests[datetime],"&lt;"&amp;TODAY()-WEEKDAY(TODAY(),2)+8)))</f>
        <v>0</v>
      </c>
      <c r="G77" s="36">
        <f ca="1">IF($A77="","",IF(G$1="","",COUNTIFS(tbl_chests[from],$A77,tbl_chests[legalized],G$1,tbl_chests[datetime],"&gt;="&amp;TODAY()-WEEKDAY(TODAY(),2)+1,tbl_chests[datetime],"&lt;"&amp;TODAY()-WEEKDAY(TODAY(),2)+8)))</f>
        <v>0</v>
      </c>
      <c r="H77" s="36">
        <f ca="1">IF($A77="","",IF(H$1="","",COUNTIFS(tbl_chests[from],$A77,tbl_chests[legalized],H$1,tbl_chests[datetime],"&gt;="&amp;TODAY()-WEEKDAY(TODAY(),2)+1,tbl_chests[datetime],"&lt;"&amp;TODAY()-WEEKDAY(TODAY(),2)+8)))</f>
        <v>0</v>
      </c>
      <c r="I77" s="36">
        <f ca="1">IF($A77="","",IF(I$1="","",COUNTIFS(tbl_chests[from],$A77,tbl_chests[legalized],I$1,tbl_chests[datetime],"&gt;="&amp;TODAY()-WEEKDAY(TODAY(),2)+1,tbl_chests[datetime],"&lt;"&amp;TODAY()-WEEKDAY(TODAY(),2)+8)))</f>
        <v>0</v>
      </c>
      <c r="J77" s="36">
        <f ca="1">IF($A77="","",IF(J$1="","",COUNTIFS(tbl_chests[from],$A77,tbl_chests[legalized],J$1,tbl_chests[datetime],"&gt;="&amp;TODAY()-WEEKDAY(TODAY(),2)+1,tbl_chests[datetime],"&lt;"&amp;TODAY()-WEEKDAY(TODAY(),2)+8)))</f>
        <v>0</v>
      </c>
      <c r="K77" s="36">
        <f ca="1">IF($A77="","",IF(K$1="","",COUNTIFS(tbl_chests[from],$A77,tbl_chests[legalized],K$1,tbl_chests[datetime],"&gt;="&amp;TODAY()-WEEKDAY(TODAY(),2)+1,tbl_chests[datetime],"&lt;"&amp;TODAY()-WEEKDAY(TODAY(),2)+8)))</f>
        <v>0</v>
      </c>
      <c r="L77" s="36">
        <f ca="1">IF($A77="","",IF(L$1="","",COUNTIFS(tbl_chests[from],$A77,tbl_chests[legalized],L$1,tbl_chests[datetime],"&gt;="&amp;TODAY()-WEEKDAY(TODAY(),2)+1,tbl_chests[datetime],"&lt;"&amp;TODAY()-WEEKDAY(TODAY(),2)+8)))</f>
        <v>0</v>
      </c>
      <c r="M77" s="36">
        <f ca="1">IF($A77="","",IF(M$1="","",COUNTIFS(tbl_chests[from],$A77,tbl_chests[legalized],M$1,tbl_chests[datetime],"&gt;="&amp;TODAY()-WEEKDAY(TODAY(),2)+1,tbl_chests[datetime],"&lt;"&amp;TODAY()-WEEKDAY(TODAY(),2)+8)))</f>
        <v>0</v>
      </c>
      <c r="N77" s="36">
        <f ca="1">IF($A77="","",IF(N$1="","",COUNTIFS(tbl_chests[from],$A77,tbl_chests[legalized],N$1,tbl_chests[datetime],"&gt;="&amp;TODAY()-WEEKDAY(TODAY(),2)+1,tbl_chests[datetime],"&lt;"&amp;TODAY()-WEEKDAY(TODAY(),2)+8)))</f>
        <v>0</v>
      </c>
      <c r="O77" s="36">
        <f ca="1">IF($A77="","",IF(O$1="","",COUNTIFS(tbl_chests[from],$A77,tbl_chests[legalized],O$1,tbl_chests[datetime],"&gt;="&amp;TODAY()-WEEKDAY(TODAY(),2)+1,tbl_chests[datetime],"&lt;"&amp;TODAY()-WEEKDAY(TODAY(),2)+8)))</f>
        <v>0</v>
      </c>
      <c r="P77" s="36">
        <f ca="1">IF($A77="","",IF(P$1="","",COUNTIFS(tbl_chests[from],$A77,tbl_chests[legalized],P$1,tbl_chests[datetime],"&gt;="&amp;TODAY()-WEEKDAY(TODAY(),2)+1,tbl_chests[datetime],"&lt;"&amp;TODAY()-WEEKDAY(TODAY(),2)+8)))</f>
        <v>0</v>
      </c>
      <c r="Q77" s="36">
        <f ca="1">IF($A77="","",IF(Q$1="","",COUNTIFS(tbl_chests[from],$A77,tbl_chests[legalized],Q$1,tbl_chests[datetime],"&gt;="&amp;TODAY()-WEEKDAY(TODAY(),2)+1,tbl_chests[datetime],"&lt;"&amp;TODAY()-WEEKDAY(TODAY(),2)+8)))</f>
        <v>0</v>
      </c>
      <c r="R77" s="36">
        <f ca="1">IF($A77="","",IF(R$1="","",COUNTIFS(tbl_chests[from],$A77,tbl_chests[legalized],R$1,tbl_chests[datetime],"&gt;="&amp;TODAY()-WEEKDAY(TODAY(),2)+1,tbl_chests[datetime],"&lt;"&amp;TODAY()-WEEKDAY(TODAY(),2)+8)))</f>
        <v>0</v>
      </c>
      <c r="S77" s="36">
        <f ca="1">IF($A77="","",IF(S$1="","",COUNTIFS(tbl_chests[from],$A77,tbl_chests[legalized],S$1,tbl_chests[datetime],"&gt;="&amp;TODAY()-WEEKDAY(TODAY(),2)+1,tbl_chests[datetime],"&lt;"&amp;TODAY()-WEEKDAY(TODAY(),2)+8)))</f>
        <v>0</v>
      </c>
      <c r="T77" s="36">
        <f ca="1">IF($A77="","",IF(T$1="","",COUNTIFS(tbl_chests[from],$A77,tbl_chests[legalized],T$1,tbl_chests[datetime],"&gt;="&amp;TODAY()-WEEKDAY(TODAY(),2)+1,tbl_chests[datetime],"&lt;"&amp;TODAY()-WEEKDAY(TODAY(),2)+8)))</f>
        <v>0</v>
      </c>
      <c r="U77" s="36">
        <f ca="1">IF($A77="","",IF(U$1="","",COUNTIFS(tbl_chests[from],$A77,tbl_chests[legalized],U$1,tbl_chests[datetime],"&gt;="&amp;TODAY()-WEEKDAY(TODAY(),2)+1,tbl_chests[datetime],"&lt;"&amp;TODAY()-WEEKDAY(TODAY(),2)+8)))</f>
        <v>0</v>
      </c>
      <c r="V77" s="36">
        <f ca="1">IF($A77="","",IF(V$1="","",COUNTIFS(tbl_chests[from],$A77,tbl_chests[legalized],V$1,tbl_chests[datetime],"&gt;="&amp;TODAY()-WEEKDAY(TODAY(),2)+1,tbl_chests[datetime],"&lt;"&amp;TODAY()-WEEKDAY(TODAY(),2)+8)))</f>
        <v>0</v>
      </c>
      <c r="W77" s="36">
        <f ca="1">IF($A77="","",IF(W$1="","",COUNTIFS(tbl_chests[from],$A77,tbl_chests[legalized],W$1,tbl_chests[datetime],"&gt;="&amp;TODAY()-WEEKDAY(TODAY(),2)+1,tbl_chests[datetime],"&lt;"&amp;TODAY()-WEEKDAY(TODAY(),2)+8)))</f>
        <v>0</v>
      </c>
      <c r="X77" s="36">
        <f ca="1">IF($A77="","",IF(X$1="","",COUNTIFS(tbl_chests[from],$A77,tbl_chests[legalized],X$1,tbl_chests[datetime],"&gt;="&amp;TODAY()-WEEKDAY(TODAY(),2)+1,tbl_chests[datetime],"&lt;"&amp;TODAY()-WEEKDAY(TODAY(),2)+8)))</f>
        <v>0</v>
      </c>
      <c r="Y77" s="36">
        <f ca="1">IF($A77="","",IF(Y$1="","",COUNTIFS(tbl_chests[from],$A77,tbl_chests[legalized],Y$1,tbl_chests[datetime],"&gt;="&amp;TODAY()-WEEKDAY(TODAY(),2)+1,tbl_chests[datetime],"&lt;"&amp;TODAY()-WEEKDAY(TODAY(),2)+8)))</f>
        <v>0</v>
      </c>
      <c r="Z77" s="36">
        <f ca="1">IF($A77="","",IF(Z$1="","",COUNTIFS(tbl_chests[from],$A77,tbl_chests[legalized],Z$1,tbl_chests[datetime],"&gt;="&amp;TODAY()-WEEKDAY(TODAY(),2)+1,tbl_chests[datetime],"&lt;"&amp;TODAY()-WEEKDAY(TODAY(),2)+8)))</f>
        <v>0</v>
      </c>
      <c r="AA77" s="36">
        <f ca="1">IF($A77="","",IF(AA$1="","",COUNTIFS(tbl_chests[from],$A77,tbl_chests[legalized],AA$1,tbl_chests[datetime],"&gt;="&amp;TODAY()-WEEKDAY(TODAY(),2)+1,tbl_chests[datetime],"&lt;"&amp;TODAY()-WEEKDAY(TODAY(),2)+8)))</f>
        <v>0</v>
      </c>
      <c r="AB77" s="36">
        <f ca="1">IF($A77="","",IF(AB$1="","",COUNTIFS(tbl_chests[from],$A77,tbl_chests[legalized],AB$1,tbl_chests[datetime],"&gt;="&amp;TODAY()-WEEKDAY(TODAY(),2)+1,tbl_chests[datetime],"&lt;"&amp;TODAY()-WEEKDAY(TODAY(),2)+8)))</f>
        <v>0</v>
      </c>
      <c r="AC77" s="36">
        <f ca="1">IF($A77="","",IF(AC$1="","",COUNTIFS(tbl_chests[from],$A77,tbl_chests[legalized],AC$1,tbl_chests[datetime],"&gt;="&amp;TODAY()-WEEKDAY(TODAY(),2)+1,tbl_chests[datetime],"&lt;"&amp;TODAY()-WEEKDAY(TODAY(),2)+8)))</f>
        <v>0</v>
      </c>
      <c r="AD77" s="36">
        <f ca="1">IF($A77="","",IF(AD$1="","",COUNTIFS(tbl_chests[from],$A77,tbl_chests[legalized],AD$1,tbl_chests[datetime],"&gt;="&amp;TODAY()-WEEKDAY(TODAY(),2)+1,tbl_chests[datetime],"&lt;"&amp;TODAY()-WEEKDAY(TODAY(),2)+8)))</f>
        <v>0</v>
      </c>
      <c r="AE77" s="36">
        <f ca="1">IF($A77="","",IF(AE$1="","",COUNTIFS(tbl_chests[from],$A77,tbl_chests[legalized],AE$1,tbl_chests[datetime],"&gt;="&amp;TODAY()-WEEKDAY(TODAY(),2)+1,tbl_chests[datetime],"&lt;"&amp;TODAY()-WEEKDAY(TODAY(),2)+8)))</f>
        <v>0</v>
      </c>
      <c r="AF77" s="36">
        <f ca="1">IF($A77="","",IF(AF$1="","",COUNTIFS(tbl_chests[from],$A77,tbl_chests[legalized],AF$1,tbl_chests[datetime],"&gt;="&amp;TODAY()-WEEKDAY(TODAY(),2)+1,tbl_chests[datetime],"&lt;"&amp;TODAY()-WEEKDAY(TODAY(),2)+8)))</f>
        <v>0</v>
      </c>
      <c r="AG77" s="36">
        <f ca="1">IF($A77="","",IF(AG$1="","",COUNTIFS(tbl_chests[from],$A77,tbl_chests[legalized],AG$1,tbl_chests[datetime],"&gt;="&amp;TODAY()-WEEKDAY(TODAY(),2)+1,tbl_chests[datetime],"&lt;"&amp;TODAY()-WEEKDAY(TODAY(),2)+8)))</f>
        <v>0</v>
      </c>
      <c r="AH77" s="36">
        <f ca="1">IF($A77="","",IF(AH$1="","",COUNTIFS(tbl_chests[from],$A77,tbl_chests[legalized],AH$1,tbl_chests[datetime],"&gt;="&amp;TODAY()-WEEKDAY(TODAY(),2)+1,tbl_chests[datetime],"&lt;"&amp;TODAY()-WEEKDAY(TODAY(),2)+8)))</f>
        <v>0</v>
      </c>
      <c r="AI77" s="36">
        <f ca="1">IF($A77="","",IF(AI$1="","",COUNTIFS(tbl_chests[from],$A77,tbl_chests[legalized],AI$1,tbl_chests[datetime],"&gt;="&amp;TODAY()-WEEKDAY(TODAY(),2)+1,tbl_chests[datetime],"&lt;"&amp;TODAY()-WEEKDAY(TODAY(),2)+8)))</f>
        <v>0</v>
      </c>
      <c r="AJ77" s="36">
        <f ca="1">IF($A77="","",IF(AJ$1="","",COUNTIFS(tbl_chests[from],$A77,tbl_chests[legalized],AJ$1,tbl_chests[datetime],"&gt;="&amp;TODAY()-WEEKDAY(TODAY(),2)+1,tbl_chests[datetime],"&lt;"&amp;TODAY()-WEEKDAY(TODAY(),2)+8)))</f>
        <v>0</v>
      </c>
      <c r="AK77" s="36">
        <f ca="1">IF($A77="","",IF(AK$1="","",COUNTIFS(tbl_chests[from],$A77,tbl_chests[legalized],AK$1,tbl_chests[datetime],"&gt;="&amp;TODAY()-WEEKDAY(TODAY(),2)+1,tbl_chests[datetime],"&lt;"&amp;TODAY()-WEEKDAY(TODAY(),2)+8)))</f>
        <v>0</v>
      </c>
      <c r="AL77" s="36">
        <f ca="1">IF($A77="","",IF(AL$1="","",COUNTIFS(tbl_chests[from],$A77,tbl_chests[legalized],AL$1,tbl_chests[datetime],"&gt;="&amp;TODAY()-WEEKDAY(TODAY(),2)+1,tbl_chests[datetime],"&lt;"&amp;TODAY()-WEEKDAY(TODAY(),2)+8)))</f>
        <v>0</v>
      </c>
      <c r="AM77" s="37">
        <f ca="1">IF($A77="","",IF(AM$1="","",COUNTIFS(tbl_chests[from],$A77,tbl_chests[legalized],AM$1,tbl_chests[datetime],"&gt;="&amp;TODAY()-WEEKDAY(TODAY(),2)+1,tbl_chests[datetime],"&lt;"&amp;TODAY()-WEEKDAY(TODAY(),2)+8)))</f>
        <v>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 spans="1:67" ht="15.75" customHeight="1" x14ac:dyDescent="0.25">
      <c r="A78" s="34">
        <f>chests_counter!$H75</f>
        <v>0</v>
      </c>
      <c r="B78" s="35" cm="1">
        <f t="array" aca="1" ref="B78" ca="1">IF(A78&lt;&gt;"", SUMPRODUCT(($C$2:$AM$2&lt;&gt;0)*(C78:AM78&lt;&gt;0)*($C$2:$AM$2)*(C78:AM78)), "")</f>
        <v>0</v>
      </c>
      <c r="C78" s="36">
        <f ca="1">IF($A78="","",IF(C$1="","",COUNTIFS(tbl_chests[from],$A78,tbl_chests[legalized],C$1,tbl_chests[datetime],"&gt;="&amp;TODAY()-WEEKDAY(TODAY(),2)+1,tbl_chests[datetime],"&lt;"&amp;TODAY()-WEEKDAY(TODAY(),2)+8)))</f>
        <v>0</v>
      </c>
      <c r="D78" s="36">
        <f ca="1">IF($A78="","",IF(D$1="","",COUNTIFS(tbl_chests[from],$A78,tbl_chests[legalized],D$1,tbl_chests[datetime],"&gt;="&amp;TODAY()-WEEKDAY(TODAY(),2)+1,tbl_chests[datetime],"&lt;"&amp;TODAY()-WEEKDAY(TODAY(),2)+8)))</f>
        <v>0</v>
      </c>
      <c r="E78" s="36">
        <f ca="1">IF($A78="","",IF(E$1="","",COUNTIFS(tbl_chests[from],$A78,tbl_chests[legalized],E$1,tbl_chests[datetime],"&gt;="&amp;TODAY()-WEEKDAY(TODAY(),2)+1,tbl_chests[datetime],"&lt;"&amp;TODAY()-WEEKDAY(TODAY(),2)+8)))</f>
        <v>0</v>
      </c>
      <c r="F78" s="36">
        <f ca="1">IF($A78="","",IF(F$1="","",COUNTIFS(tbl_chests[from],$A78,tbl_chests[legalized],F$1,tbl_chests[datetime],"&gt;="&amp;TODAY()-WEEKDAY(TODAY(),2)+1,tbl_chests[datetime],"&lt;"&amp;TODAY()-WEEKDAY(TODAY(),2)+8)))</f>
        <v>0</v>
      </c>
      <c r="G78" s="36">
        <f ca="1">IF($A78="","",IF(G$1="","",COUNTIFS(tbl_chests[from],$A78,tbl_chests[legalized],G$1,tbl_chests[datetime],"&gt;="&amp;TODAY()-WEEKDAY(TODAY(),2)+1,tbl_chests[datetime],"&lt;"&amp;TODAY()-WEEKDAY(TODAY(),2)+8)))</f>
        <v>0</v>
      </c>
      <c r="H78" s="36">
        <f ca="1">IF($A78="","",IF(H$1="","",COUNTIFS(tbl_chests[from],$A78,tbl_chests[legalized],H$1,tbl_chests[datetime],"&gt;="&amp;TODAY()-WEEKDAY(TODAY(),2)+1,tbl_chests[datetime],"&lt;"&amp;TODAY()-WEEKDAY(TODAY(),2)+8)))</f>
        <v>0</v>
      </c>
      <c r="I78" s="36">
        <f ca="1">IF($A78="","",IF(I$1="","",COUNTIFS(tbl_chests[from],$A78,tbl_chests[legalized],I$1,tbl_chests[datetime],"&gt;="&amp;TODAY()-WEEKDAY(TODAY(),2)+1,tbl_chests[datetime],"&lt;"&amp;TODAY()-WEEKDAY(TODAY(),2)+8)))</f>
        <v>0</v>
      </c>
      <c r="J78" s="36">
        <f ca="1">IF($A78="","",IF(J$1="","",COUNTIFS(tbl_chests[from],$A78,tbl_chests[legalized],J$1,tbl_chests[datetime],"&gt;="&amp;TODAY()-WEEKDAY(TODAY(),2)+1,tbl_chests[datetime],"&lt;"&amp;TODAY()-WEEKDAY(TODAY(),2)+8)))</f>
        <v>0</v>
      </c>
      <c r="K78" s="36">
        <f ca="1">IF($A78="","",IF(K$1="","",COUNTIFS(tbl_chests[from],$A78,tbl_chests[legalized],K$1,tbl_chests[datetime],"&gt;="&amp;TODAY()-WEEKDAY(TODAY(),2)+1,tbl_chests[datetime],"&lt;"&amp;TODAY()-WEEKDAY(TODAY(),2)+8)))</f>
        <v>0</v>
      </c>
      <c r="L78" s="36">
        <f ca="1">IF($A78="","",IF(L$1="","",COUNTIFS(tbl_chests[from],$A78,tbl_chests[legalized],L$1,tbl_chests[datetime],"&gt;="&amp;TODAY()-WEEKDAY(TODAY(),2)+1,tbl_chests[datetime],"&lt;"&amp;TODAY()-WEEKDAY(TODAY(),2)+8)))</f>
        <v>0</v>
      </c>
      <c r="M78" s="36">
        <f ca="1">IF($A78="","",IF(M$1="","",COUNTIFS(tbl_chests[from],$A78,tbl_chests[legalized],M$1,tbl_chests[datetime],"&gt;="&amp;TODAY()-WEEKDAY(TODAY(),2)+1,tbl_chests[datetime],"&lt;"&amp;TODAY()-WEEKDAY(TODAY(),2)+8)))</f>
        <v>0</v>
      </c>
      <c r="N78" s="36">
        <f ca="1">IF($A78="","",IF(N$1="","",COUNTIFS(tbl_chests[from],$A78,tbl_chests[legalized],N$1,tbl_chests[datetime],"&gt;="&amp;TODAY()-WEEKDAY(TODAY(),2)+1,tbl_chests[datetime],"&lt;"&amp;TODAY()-WEEKDAY(TODAY(),2)+8)))</f>
        <v>0</v>
      </c>
      <c r="O78" s="36">
        <f ca="1">IF($A78="","",IF(O$1="","",COUNTIFS(tbl_chests[from],$A78,tbl_chests[legalized],O$1,tbl_chests[datetime],"&gt;="&amp;TODAY()-WEEKDAY(TODAY(),2)+1,tbl_chests[datetime],"&lt;"&amp;TODAY()-WEEKDAY(TODAY(),2)+8)))</f>
        <v>0</v>
      </c>
      <c r="P78" s="36">
        <f ca="1">IF($A78="","",IF(P$1="","",COUNTIFS(tbl_chests[from],$A78,tbl_chests[legalized],P$1,tbl_chests[datetime],"&gt;="&amp;TODAY()-WEEKDAY(TODAY(),2)+1,tbl_chests[datetime],"&lt;"&amp;TODAY()-WEEKDAY(TODAY(),2)+8)))</f>
        <v>0</v>
      </c>
      <c r="Q78" s="36">
        <f ca="1">IF($A78="","",IF(Q$1="","",COUNTIFS(tbl_chests[from],$A78,tbl_chests[legalized],Q$1,tbl_chests[datetime],"&gt;="&amp;TODAY()-WEEKDAY(TODAY(),2)+1,tbl_chests[datetime],"&lt;"&amp;TODAY()-WEEKDAY(TODAY(),2)+8)))</f>
        <v>0</v>
      </c>
      <c r="R78" s="36">
        <f ca="1">IF($A78="","",IF(R$1="","",COUNTIFS(tbl_chests[from],$A78,tbl_chests[legalized],R$1,tbl_chests[datetime],"&gt;="&amp;TODAY()-WEEKDAY(TODAY(),2)+1,tbl_chests[datetime],"&lt;"&amp;TODAY()-WEEKDAY(TODAY(),2)+8)))</f>
        <v>0</v>
      </c>
      <c r="S78" s="36">
        <f ca="1">IF($A78="","",IF(S$1="","",COUNTIFS(tbl_chests[from],$A78,tbl_chests[legalized],S$1,tbl_chests[datetime],"&gt;="&amp;TODAY()-WEEKDAY(TODAY(),2)+1,tbl_chests[datetime],"&lt;"&amp;TODAY()-WEEKDAY(TODAY(),2)+8)))</f>
        <v>0</v>
      </c>
      <c r="T78" s="36">
        <f ca="1">IF($A78="","",IF(T$1="","",COUNTIFS(tbl_chests[from],$A78,tbl_chests[legalized],T$1,tbl_chests[datetime],"&gt;="&amp;TODAY()-WEEKDAY(TODAY(),2)+1,tbl_chests[datetime],"&lt;"&amp;TODAY()-WEEKDAY(TODAY(),2)+8)))</f>
        <v>0</v>
      </c>
      <c r="U78" s="36">
        <f ca="1">IF($A78="","",IF(U$1="","",COUNTIFS(tbl_chests[from],$A78,tbl_chests[legalized],U$1,tbl_chests[datetime],"&gt;="&amp;TODAY()-WEEKDAY(TODAY(),2)+1,tbl_chests[datetime],"&lt;"&amp;TODAY()-WEEKDAY(TODAY(),2)+8)))</f>
        <v>0</v>
      </c>
      <c r="V78" s="36">
        <f ca="1">IF($A78="","",IF(V$1="","",COUNTIFS(tbl_chests[from],$A78,tbl_chests[legalized],V$1,tbl_chests[datetime],"&gt;="&amp;TODAY()-WEEKDAY(TODAY(),2)+1,tbl_chests[datetime],"&lt;"&amp;TODAY()-WEEKDAY(TODAY(),2)+8)))</f>
        <v>0</v>
      </c>
      <c r="W78" s="36">
        <f ca="1">IF($A78="","",IF(W$1="","",COUNTIFS(tbl_chests[from],$A78,tbl_chests[legalized],W$1,tbl_chests[datetime],"&gt;="&amp;TODAY()-WEEKDAY(TODAY(),2)+1,tbl_chests[datetime],"&lt;"&amp;TODAY()-WEEKDAY(TODAY(),2)+8)))</f>
        <v>0</v>
      </c>
      <c r="X78" s="36">
        <f ca="1">IF($A78="","",IF(X$1="","",COUNTIFS(tbl_chests[from],$A78,tbl_chests[legalized],X$1,tbl_chests[datetime],"&gt;="&amp;TODAY()-WEEKDAY(TODAY(),2)+1,tbl_chests[datetime],"&lt;"&amp;TODAY()-WEEKDAY(TODAY(),2)+8)))</f>
        <v>0</v>
      </c>
      <c r="Y78" s="36">
        <f ca="1">IF($A78="","",IF(Y$1="","",COUNTIFS(tbl_chests[from],$A78,tbl_chests[legalized],Y$1,tbl_chests[datetime],"&gt;="&amp;TODAY()-WEEKDAY(TODAY(),2)+1,tbl_chests[datetime],"&lt;"&amp;TODAY()-WEEKDAY(TODAY(),2)+8)))</f>
        <v>0</v>
      </c>
      <c r="Z78" s="36">
        <f ca="1">IF($A78="","",IF(Z$1="","",COUNTIFS(tbl_chests[from],$A78,tbl_chests[legalized],Z$1,tbl_chests[datetime],"&gt;="&amp;TODAY()-WEEKDAY(TODAY(),2)+1,tbl_chests[datetime],"&lt;"&amp;TODAY()-WEEKDAY(TODAY(),2)+8)))</f>
        <v>0</v>
      </c>
      <c r="AA78" s="36">
        <f ca="1">IF($A78="","",IF(AA$1="","",COUNTIFS(tbl_chests[from],$A78,tbl_chests[legalized],AA$1,tbl_chests[datetime],"&gt;="&amp;TODAY()-WEEKDAY(TODAY(),2)+1,tbl_chests[datetime],"&lt;"&amp;TODAY()-WEEKDAY(TODAY(),2)+8)))</f>
        <v>0</v>
      </c>
      <c r="AB78" s="36">
        <f ca="1">IF($A78="","",IF(AB$1="","",COUNTIFS(tbl_chests[from],$A78,tbl_chests[legalized],AB$1,tbl_chests[datetime],"&gt;="&amp;TODAY()-WEEKDAY(TODAY(),2)+1,tbl_chests[datetime],"&lt;"&amp;TODAY()-WEEKDAY(TODAY(),2)+8)))</f>
        <v>0</v>
      </c>
      <c r="AC78" s="36">
        <f ca="1">IF($A78="","",IF(AC$1="","",COUNTIFS(tbl_chests[from],$A78,tbl_chests[legalized],AC$1,tbl_chests[datetime],"&gt;="&amp;TODAY()-WEEKDAY(TODAY(),2)+1,tbl_chests[datetime],"&lt;"&amp;TODAY()-WEEKDAY(TODAY(),2)+8)))</f>
        <v>0</v>
      </c>
      <c r="AD78" s="36">
        <f ca="1">IF($A78="","",IF(AD$1="","",COUNTIFS(tbl_chests[from],$A78,tbl_chests[legalized],AD$1,tbl_chests[datetime],"&gt;="&amp;TODAY()-WEEKDAY(TODAY(),2)+1,tbl_chests[datetime],"&lt;"&amp;TODAY()-WEEKDAY(TODAY(),2)+8)))</f>
        <v>0</v>
      </c>
      <c r="AE78" s="36">
        <f ca="1">IF($A78="","",IF(AE$1="","",COUNTIFS(tbl_chests[from],$A78,tbl_chests[legalized],AE$1,tbl_chests[datetime],"&gt;="&amp;TODAY()-WEEKDAY(TODAY(),2)+1,tbl_chests[datetime],"&lt;"&amp;TODAY()-WEEKDAY(TODAY(),2)+8)))</f>
        <v>0</v>
      </c>
      <c r="AF78" s="36">
        <f ca="1">IF($A78="","",IF(AF$1="","",COUNTIFS(tbl_chests[from],$A78,tbl_chests[legalized],AF$1,tbl_chests[datetime],"&gt;="&amp;TODAY()-WEEKDAY(TODAY(),2)+1,tbl_chests[datetime],"&lt;"&amp;TODAY()-WEEKDAY(TODAY(),2)+8)))</f>
        <v>0</v>
      </c>
      <c r="AG78" s="36">
        <f ca="1">IF($A78="","",IF(AG$1="","",COUNTIFS(tbl_chests[from],$A78,tbl_chests[legalized],AG$1,tbl_chests[datetime],"&gt;="&amp;TODAY()-WEEKDAY(TODAY(),2)+1,tbl_chests[datetime],"&lt;"&amp;TODAY()-WEEKDAY(TODAY(),2)+8)))</f>
        <v>0</v>
      </c>
      <c r="AH78" s="36">
        <f ca="1">IF($A78="","",IF(AH$1="","",COUNTIFS(tbl_chests[from],$A78,tbl_chests[legalized],AH$1,tbl_chests[datetime],"&gt;="&amp;TODAY()-WEEKDAY(TODAY(),2)+1,tbl_chests[datetime],"&lt;"&amp;TODAY()-WEEKDAY(TODAY(),2)+8)))</f>
        <v>0</v>
      </c>
      <c r="AI78" s="36">
        <f ca="1">IF($A78="","",IF(AI$1="","",COUNTIFS(tbl_chests[from],$A78,tbl_chests[legalized],AI$1,tbl_chests[datetime],"&gt;="&amp;TODAY()-WEEKDAY(TODAY(),2)+1,tbl_chests[datetime],"&lt;"&amp;TODAY()-WEEKDAY(TODAY(),2)+8)))</f>
        <v>0</v>
      </c>
      <c r="AJ78" s="36">
        <f ca="1">IF($A78="","",IF(AJ$1="","",COUNTIFS(tbl_chests[from],$A78,tbl_chests[legalized],AJ$1,tbl_chests[datetime],"&gt;="&amp;TODAY()-WEEKDAY(TODAY(),2)+1,tbl_chests[datetime],"&lt;"&amp;TODAY()-WEEKDAY(TODAY(),2)+8)))</f>
        <v>0</v>
      </c>
      <c r="AK78" s="36">
        <f ca="1">IF($A78="","",IF(AK$1="","",COUNTIFS(tbl_chests[from],$A78,tbl_chests[legalized],AK$1,tbl_chests[datetime],"&gt;="&amp;TODAY()-WEEKDAY(TODAY(),2)+1,tbl_chests[datetime],"&lt;"&amp;TODAY()-WEEKDAY(TODAY(),2)+8)))</f>
        <v>0</v>
      </c>
      <c r="AL78" s="36">
        <f ca="1">IF($A78="","",IF(AL$1="","",COUNTIFS(tbl_chests[from],$A78,tbl_chests[legalized],AL$1,tbl_chests[datetime],"&gt;="&amp;TODAY()-WEEKDAY(TODAY(),2)+1,tbl_chests[datetime],"&lt;"&amp;TODAY()-WEEKDAY(TODAY(),2)+8)))</f>
        <v>0</v>
      </c>
      <c r="AM78" s="37">
        <f ca="1">IF($A78="","",IF(AM$1="","",COUNTIFS(tbl_chests[from],$A78,tbl_chests[legalized],AM$1,tbl_chests[datetime],"&gt;="&amp;TODAY()-WEEKDAY(TODAY(),2)+1,tbl_chests[datetime],"&lt;"&amp;TODAY()-WEEKDAY(TODAY(),2)+8)))</f>
        <v>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 spans="1:67" ht="15.75" customHeight="1" x14ac:dyDescent="0.25">
      <c r="A79" s="34">
        <f>chests_counter!$H76</f>
        <v>0</v>
      </c>
      <c r="B79" s="35" cm="1">
        <f t="array" aca="1" ref="B79" ca="1">IF(A79&lt;&gt;"", SUMPRODUCT(($C$2:$AM$2&lt;&gt;0)*(C79:AM79&lt;&gt;0)*($C$2:$AM$2)*(C79:AM79)), "")</f>
        <v>0</v>
      </c>
      <c r="C79" s="36">
        <f ca="1">IF($A79="","",IF(C$1="","",COUNTIFS(tbl_chests[from],$A79,tbl_chests[legalized],C$1,tbl_chests[datetime],"&gt;="&amp;TODAY()-WEEKDAY(TODAY(),2)+1,tbl_chests[datetime],"&lt;"&amp;TODAY()-WEEKDAY(TODAY(),2)+8)))</f>
        <v>0</v>
      </c>
      <c r="D79" s="36">
        <f ca="1">IF($A79="","",IF(D$1="","",COUNTIFS(tbl_chests[from],$A79,tbl_chests[legalized],D$1,tbl_chests[datetime],"&gt;="&amp;TODAY()-WEEKDAY(TODAY(),2)+1,tbl_chests[datetime],"&lt;"&amp;TODAY()-WEEKDAY(TODAY(),2)+8)))</f>
        <v>0</v>
      </c>
      <c r="E79" s="36">
        <f ca="1">IF($A79="","",IF(E$1="","",COUNTIFS(tbl_chests[from],$A79,tbl_chests[legalized],E$1,tbl_chests[datetime],"&gt;="&amp;TODAY()-WEEKDAY(TODAY(),2)+1,tbl_chests[datetime],"&lt;"&amp;TODAY()-WEEKDAY(TODAY(),2)+8)))</f>
        <v>0</v>
      </c>
      <c r="F79" s="36">
        <f ca="1">IF($A79="","",IF(F$1="","",COUNTIFS(tbl_chests[from],$A79,tbl_chests[legalized],F$1,tbl_chests[datetime],"&gt;="&amp;TODAY()-WEEKDAY(TODAY(),2)+1,tbl_chests[datetime],"&lt;"&amp;TODAY()-WEEKDAY(TODAY(),2)+8)))</f>
        <v>0</v>
      </c>
      <c r="G79" s="36">
        <f ca="1">IF($A79="","",IF(G$1="","",COUNTIFS(tbl_chests[from],$A79,tbl_chests[legalized],G$1,tbl_chests[datetime],"&gt;="&amp;TODAY()-WEEKDAY(TODAY(),2)+1,tbl_chests[datetime],"&lt;"&amp;TODAY()-WEEKDAY(TODAY(),2)+8)))</f>
        <v>0</v>
      </c>
      <c r="H79" s="36">
        <f ca="1">IF($A79="","",IF(H$1="","",COUNTIFS(tbl_chests[from],$A79,tbl_chests[legalized],H$1,tbl_chests[datetime],"&gt;="&amp;TODAY()-WEEKDAY(TODAY(),2)+1,tbl_chests[datetime],"&lt;"&amp;TODAY()-WEEKDAY(TODAY(),2)+8)))</f>
        <v>0</v>
      </c>
      <c r="I79" s="36">
        <f ca="1">IF($A79="","",IF(I$1="","",COUNTIFS(tbl_chests[from],$A79,tbl_chests[legalized],I$1,tbl_chests[datetime],"&gt;="&amp;TODAY()-WEEKDAY(TODAY(),2)+1,tbl_chests[datetime],"&lt;"&amp;TODAY()-WEEKDAY(TODAY(),2)+8)))</f>
        <v>0</v>
      </c>
      <c r="J79" s="36">
        <f ca="1">IF($A79="","",IF(J$1="","",COUNTIFS(tbl_chests[from],$A79,tbl_chests[legalized],J$1,tbl_chests[datetime],"&gt;="&amp;TODAY()-WEEKDAY(TODAY(),2)+1,tbl_chests[datetime],"&lt;"&amp;TODAY()-WEEKDAY(TODAY(),2)+8)))</f>
        <v>0</v>
      </c>
      <c r="K79" s="36">
        <f ca="1">IF($A79="","",IF(K$1="","",COUNTIFS(tbl_chests[from],$A79,tbl_chests[legalized],K$1,tbl_chests[datetime],"&gt;="&amp;TODAY()-WEEKDAY(TODAY(),2)+1,tbl_chests[datetime],"&lt;"&amp;TODAY()-WEEKDAY(TODAY(),2)+8)))</f>
        <v>0</v>
      </c>
      <c r="L79" s="36">
        <f ca="1">IF($A79="","",IF(L$1="","",COUNTIFS(tbl_chests[from],$A79,tbl_chests[legalized],L$1,tbl_chests[datetime],"&gt;="&amp;TODAY()-WEEKDAY(TODAY(),2)+1,tbl_chests[datetime],"&lt;"&amp;TODAY()-WEEKDAY(TODAY(),2)+8)))</f>
        <v>0</v>
      </c>
      <c r="M79" s="36">
        <f ca="1">IF($A79="","",IF(M$1="","",COUNTIFS(tbl_chests[from],$A79,tbl_chests[legalized],M$1,tbl_chests[datetime],"&gt;="&amp;TODAY()-WEEKDAY(TODAY(),2)+1,tbl_chests[datetime],"&lt;"&amp;TODAY()-WEEKDAY(TODAY(),2)+8)))</f>
        <v>0</v>
      </c>
      <c r="N79" s="36">
        <f ca="1">IF($A79="","",IF(N$1="","",COUNTIFS(tbl_chests[from],$A79,tbl_chests[legalized],N$1,tbl_chests[datetime],"&gt;="&amp;TODAY()-WEEKDAY(TODAY(),2)+1,tbl_chests[datetime],"&lt;"&amp;TODAY()-WEEKDAY(TODAY(),2)+8)))</f>
        <v>0</v>
      </c>
      <c r="O79" s="36">
        <f ca="1">IF($A79="","",IF(O$1="","",COUNTIFS(tbl_chests[from],$A79,tbl_chests[legalized],O$1,tbl_chests[datetime],"&gt;="&amp;TODAY()-WEEKDAY(TODAY(),2)+1,tbl_chests[datetime],"&lt;"&amp;TODAY()-WEEKDAY(TODAY(),2)+8)))</f>
        <v>0</v>
      </c>
      <c r="P79" s="36">
        <f ca="1">IF($A79="","",IF(P$1="","",COUNTIFS(tbl_chests[from],$A79,tbl_chests[legalized],P$1,tbl_chests[datetime],"&gt;="&amp;TODAY()-WEEKDAY(TODAY(),2)+1,tbl_chests[datetime],"&lt;"&amp;TODAY()-WEEKDAY(TODAY(),2)+8)))</f>
        <v>0</v>
      </c>
      <c r="Q79" s="36">
        <f ca="1">IF($A79="","",IF(Q$1="","",COUNTIFS(tbl_chests[from],$A79,tbl_chests[legalized],Q$1,tbl_chests[datetime],"&gt;="&amp;TODAY()-WEEKDAY(TODAY(),2)+1,tbl_chests[datetime],"&lt;"&amp;TODAY()-WEEKDAY(TODAY(),2)+8)))</f>
        <v>0</v>
      </c>
      <c r="R79" s="36">
        <f ca="1">IF($A79="","",IF(R$1="","",COUNTIFS(tbl_chests[from],$A79,tbl_chests[legalized],R$1,tbl_chests[datetime],"&gt;="&amp;TODAY()-WEEKDAY(TODAY(),2)+1,tbl_chests[datetime],"&lt;"&amp;TODAY()-WEEKDAY(TODAY(),2)+8)))</f>
        <v>0</v>
      </c>
      <c r="S79" s="36">
        <f ca="1">IF($A79="","",IF(S$1="","",COUNTIFS(tbl_chests[from],$A79,tbl_chests[legalized],S$1,tbl_chests[datetime],"&gt;="&amp;TODAY()-WEEKDAY(TODAY(),2)+1,tbl_chests[datetime],"&lt;"&amp;TODAY()-WEEKDAY(TODAY(),2)+8)))</f>
        <v>0</v>
      </c>
      <c r="T79" s="36">
        <f ca="1">IF($A79="","",IF(T$1="","",COUNTIFS(tbl_chests[from],$A79,tbl_chests[legalized],T$1,tbl_chests[datetime],"&gt;="&amp;TODAY()-WEEKDAY(TODAY(),2)+1,tbl_chests[datetime],"&lt;"&amp;TODAY()-WEEKDAY(TODAY(),2)+8)))</f>
        <v>0</v>
      </c>
      <c r="U79" s="36">
        <f ca="1">IF($A79="","",IF(U$1="","",COUNTIFS(tbl_chests[from],$A79,tbl_chests[legalized],U$1,tbl_chests[datetime],"&gt;="&amp;TODAY()-WEEKDAY(TODAY(),2)+1,tbl_chests[datetime],"&lt;"&amp;TODAY()-WEEKDAY(TODAY(),2)+8)))</f>
        <v>0</v>
      </c>
      <c r="V79" s="36">
        <f ca="1">IF($A79="","",IF(V$1="","",COUNTIFS(tbl_chests[from],$A79,tbl_chests[legalized],V$1,tbl_chests[datetime],"&gt;="&amp;TODAY()-WEEKDAY(TODAY(),2)+1,tbl_chests[datetime],"&lt;"&amp;TODAY()-WEEKDAY(TODAY(),2)+8)))</f>
        <v>0</v>
      </c>
      <c r="W79" s="36">
        <f ca="1">IF($A79="","",IF(W$1="","",COUNTIFS(tbl_chests[from],$A79,tbl_chests[legalized],W$1,tbl_chests[datetime],"&gt;="&amp;TODAY()-WEEKDAY(TODAY(),2)+1,tbl_chests[datetime],"&lt;"&amp;TODAY()-WEEKDAY(TODAY(),2)+8)))</f>
        <v>0</v>
      </c>
      <c r="X79" s="36">
        <f ca="1">IF($A79="","",IF(X$1="","",COUNTIFS(tbl_chests[from],$A79,tbl_chests[legalized],X$1,tbl_chests[datetime],"&gt;="&amp;TODAY()-WEEKDAY(TODAY(),2)+1,tbl_chests[datetime],"&lt;"&amp;TODAY()-WEEKDAY(TODAY(),2)+8)))</f>
        <v>0</v>
      </c>
      <c r="Y79" s="36">
        <f ca="1">IF($A79="","",IF(Y$1="","",COUNTIFS(tbl_chests[from],$A79,tbl_chests[legalized],Y$1,tbl_chests[datetime],"&gt;="&amp;TODAY()-WEEKDAY(TODAY(),2)+1,tbl_chests[datetime],"&lt;"&amp;TODAY()-WEEKDAY(TODAY(),2)+8)))</f>
        <v>0</v>
      </c>
      <c r="Z79" s="36">
        <f ca="1">IF($A79="","",IF(Z$1="","",COUNTIFS(tbl_chests[from],$A79,tbl_chests[legalized],Z$1,tbl_chests[datetime],"&gt;="&amp;TODAY()-WEEKDAY(TODAY(),2)+1,tbl_chests[datetime],"&lt;"&amp;TODAY()-WEEKDAY(TODAY(),2)+8)))</f>
        <v>0</v>
      </c>
      <c r="AA79" s="36">
        <f ca="1">IF($A79="","",IF(AA$1="","",COUNTIFS(tbl_chests[from],$A79,tbl_chests[legalized],AA$1,tbl_chests[datetime],"&gt;="&amp;TODAY()-WEEKDAY(TODAY(),2)+1,tbl_chests[datetime],"&lt;"&amp;TODAY()-WEEKDAY(TODAY(),2)+8)))</f>
        <v>0</v>
      </c>
      <c r="AB79" s="36">
        <f ca="1">IF($A79="","",IF(AB$1="","",COUNTIFS(tbl_chests[from],$A79,tbl_chests[legalized],AB$1,tbl_chests[datetime],"&gt;="&amp;TODAY()-WEEKDAY(TODAY(),2)+1,tbl_chests[datetime],"&lt;"&amp;TODAY()-WEEKDAY(TODAY(),2)+8)))</f>
        <v>0</v>
      </c>
      <c r="AC79" s="36">
        <f ca="1">IF($A79="","",IF(AC$1="","",COUNTIFS(tbl_chests[from],$A79,tbl_chests[legalized],AC$1,tbl_chests[datetime],"&gt;="&amp;TODAY()-WEEKDAY(TODAY(),2)+1,tbl_chests[datetime],"&lt;"&amp;TODAY()-WEEKDAY(TODAY(),2)+8)))</f>
        <v>0</v>
      </c>
      <c r="AD79" s="36">
        <f ca="1">IF($A79="","",IF(AD$1="","",COUNTIFS(tbl_chests[from],$A79,tbl_chests[legalized],AD$1,tbl_chests[datetime],"&gt;="&amp;TODAY()-WEEKDAY(TODAY(),2)+1,tbl_chests[datetime],"&lt;"&amp;TODAY()-WEEKDAY(TODAY(),2)+8)))</f>
        <v>0</v>
      </c>
      <c r="AE79" s="36">
        <f ca="1">IF($A79="","",IF(AE$1="","",COUNTIFS(tbl_chests[from],$A79,tbl_chests[legalized],AE$1,tbl_chests[datetime],"&gt;="&amp;TODAY()-WEEKDAY(TODAY(),2)+1,tbl_chests[datetime],"&lt;"&amp;TODAY()-WEEKDAY(TODAY(),2)+8)))</f>
        <v>0</v>
      </c>
      <c r="AF79" s="36">
        <f ca="1">IF($A79="","",IF(AF$1="","",COUNTIFS(tbl_chests[from],$A79,tbl_chests[legalized],AF$1,tbl_chests[datetime],"&gt;="&amp;TODAY()-WEEKDAY(TODAY(),2)+1,tbl_chests[datetime],"&lt;"&amp;TODAY()-WEEKDAY(TODAY(),2)+8)))</f>
        <v>0</v>
      </c>
      <c r="AG79" s="36">
        <f ca="1">IF($A79="","",IF(AG$1="","",COUNTIFS(tbl_chests[from],$A79,tbl_chests[legalized],AG$1,tbl_chests[datetime],"&gt;="&amp;TODAY()-WEEKDAY(TODAY(),2)+1,tbl_chests[datetime],"&lt;"&amp;TODAY()-WEEKDAY(TODAY(),2)+8)))</f>
        <v>0</v>
      </c>
      <c r="AH79" s="36">
        <f ca="1">IF($A79="","",IF(AH$1="","",COUNTIFS(tbl_chests[from],$A79,tbl_chests[legalized],AH$1,tbl_chests[datetime],"&gt;="&amp;TODAY()-WEEKDAY(TODAY(),2)+1,tbl_chests[datetime],"&lt;"&amp;TODAY()-WEEKDAY(TODAY(),2)+8)))</f>
        <v>0</v>
      </c>
      <c r="AI79" s="36">
        <f ca="1">IF($A79="","",IF(AI$1="","",COUNTIFS(tbl_chests[from],$A79,tbl_chests[legalized],AI$1,tbl_chests[datetime],"&gt;="&amp;TODAY()-WEEKDAY(TODAY(),2)+1,tbl_chests[datetime],"&lt;"&amp;TODAY()-WEEKDAY(TODAY(),2)+8)))</f>
        <v>0</v>
      </c>
      <c r="AJ79" s="36">
        <f ca="1">IF($A79="","",IF(AJ$1="","",COUNTIFS(tbl_chests[from],$A79,tbl_chests[legalized],AJ$1,tbl_chests[datetime],"&gt;="&amp;TODAY()-WEEKDAY(TODAY(),2)+1,tbl_chests[datetime],"&lt;"&amp;TODAY()-WEEKDAY(TODAY(),2)+8)))</f>
        <v>0</v>
      </c>
      <c r="AK79" s="36">
        <f ca="1">IF($A79="","",IF(AK$1="","",COUNTIFS(tbl_chests[from],$A79,tbl_chests[legalized],AK$1,tbl_chests[datetime],"&gt;="&amp;TODAY()-WEEKDAY(TODAY(),2)+1,tbl_chests[datetime],"&lt;"&amp;TODAY()-WEEKDAY(TODAY(),2)+8)))</f>
        <v>0</v>
      </c>
      <c r="AL79" s="36">
        <f ca="1">IF($A79="","",IF(AL$1="","",COUNTIFS(tbl_chests[from],$A79,tbl_chests[legalized],AL$1,tbl_chests[datetime],"&gt;="&amp;TODAY()-WEEKDAY(TODAY(),2)+1,tbl_chests[datetime],"&lt;"&amp;TODAY()-WEEKDAY(TODAY(),2)+8)))</f>
        <v>0</v>
      </c>
      <c r="AM79" s="37">
        <f ca="1">IF($A79="","",IF(AM$1="","",COUNTIFS(tbl_chests[from],$A79,tbl_chests[legalized],AM$1,tbl_chests[datetime],"&gt;="&amp;TODAY()-WEEKDAY(TODAY(),2)+1,tbl_chests[datetime],"&lt;"&amp;TODAY()-WEEKDAY(TODAY(),2)+8)))</f>
        <v>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 spans="1:67" ht="15.75" customHeight="1" x14ac:dyDescent="0.25">
      <c r="A80" s="34">
        <f>chests_counter!$H77</f>
        <v>0</v>
      </c>
      <c r="B80" s="35" cm="1">
        <f t="array" aca="1" ref="B80" ca="1">IF(A80&lt;&gt;"", SUMPRODUCT(($C$2:$AM$2&lt;&gt;0)*(C80:AM80&lt;&gt;0)*($C$2:$AM$2)*(C80:AM80)), "")</f>
        <v>0</v>
      </c>
      <c r="C80" s="36">
        <f ca="1">IF($A80="","",IF(C$1="","",COUNTIFS(tbl_chests[from],$A80,tbl_chests[legalized],C$1,tbl_chests[datetime],"&gt;="&amp;TODAY()-WEEKDAY(TODAY(),2)+1,tbl_chests[datetime],"&lt;"&amp;TODAY()-WEEKDAY(TODAY(),2)+8)))</f>
        <v>0</v>
      </c>
      <c r="D80" s="36">
        <f ca="1">IF($A80="","",IF(D$1="","",COUNTIFS(tbl_chests[from],$A80,tbl_chests[legalized],D$1,tbl_chests[datetime],"&gt;="&amp;TODAY()-WEEKDAY(TODAY(),2)+1,tbl_chests[datetime],"&lt;"&amp;TODAY()-WEEKDAY(TODAY(),2)+8)))</f>
        <v>0</v>
      </c>
      <c r="E80" s="36">
        <f ca="1">IF($A80="","",IF(E$1="","",COUNTIFS(tbl_chests[from],$A80,tbl_chests[legalized],E$1,tbl_chests[datetime],"&gt;="&amp;TODAY()-WEEKDAY(TODAY(),2)+1,tbl_chests[datetime],"&lt;"&amp;TODAY()-WEEKDAY(TODAY(),2)+8)))</f>
        <v>0</v>
      </c>
      <c r="F80" s="36">
        <f ca="1">IF($A80="","",IF(F$1="","",COUNTIFS(tbl_chests[from],$A80,tbl_chests[legalized],F$1,tbl_chests[datetime],"&gt;="&amp;TODAY()-WEEKDAY(TODAY(),2)+1,tbl_chests[datetime],"&lt;"&amp;TODAY()-WEEKDAY(TODAY(),2)+8)))</f>
        <v>0</v>
      </c>
      <c r="G80" s="36">
        <f ca="1">IF($A80="","",IF(G$1="","",COUNTIFS(tbl_chests[from],$A80,tbl_chests[legalized],G$1,tbl_chests[datetime],"&gt;="&amp;TODAY()-WEEKDAY(TODAY(),2)+1,tbl_chests[datetime],"&lt;"&amp;TODAY()-WEEKDAY(TODAY(),2)+8)))</f>
        <v>0</v>
      </c>
      <c r="H80" s="36">
        <f ca="1">IF($A80="","",IF(H$1="","",COUNTIFS(tbl_chests[from],$A80,tbl_chests[legalized],H$1,tbl_chests[datetime],"&gt;="&amp;TODAY()-WEEKDAY(TODAY(),2)+1,tbl_chests[datetime],"&lt;"&amp;TODAY()-WEEKDAY(TODAY(),2)+8)))</f>
        <v>0</v>
      </c>
      <c r="I80" s="36">
        <f ca="1">IF($A80="","",IF(I$1="","",COUNTIFS(tbl_chests[from],$A80,tbl_chests[legalized],I$1,tbl_chests[datetime],"&gt;="&amp;TODAY()-WEEKDAY(TODAY(),2)+1,tbl_chests[datetime],"&lt;"&amp;TODAY()-WEEKDAY(TODAY(),2)+8)))</f>
        <v>0</v>
      </c>
      <c r="J80" s="36">
        <f ca="1">IF($A80="","",IF(J$1="","",COUNTIFS(tbl_chests[from],$A80,tbl_chests[legalized],J$1,tbl_chests[datetime],"&gt;="&amp;TODAY()-WEEKDAY(TODAY(),2)+1,tbl_chests[datetime],"&lt;"&amp;TODAY()-WEEKDAY(TODAY(),2)+8)))</f>
        <v>0</v>
      </c>
      <c r="K80" s="36">
        <f ca="1">IF($A80="","",IF(K$1="","",COUNTIFS(tbl_chests[from],$A80,tbl_chests[legalized],K$1,tbl_chests[datetime],"&gt;="&amp;TODAY()-WEEKDAY(TODAY(),2)+1,tbl_chests[datetime],"&lt;"&amp;TODAY()-WEEKDAY(TODAY(),2)+8)))</f>
        <v>0</v>
      </c>
      <c r="L80" s="36">
        <f ca="1">IF($A80="","",IF(L$1="","",COUNTIFS(tbl_chests[from],$A80,tbl_chests[legalized],L$1,tbl_chests[datetime],"&gt;="&amp;TODAY()-WEEKDAY(TODAY(),2)+1,tbl_chests[datetime],"&lt;"&amp;TODAY()-WEEKDAY(TODAY(),2)+8)))</f>
        <v>0</v>
      </c>
      <c r="M80" s="36">
        <f ca="1">IF($A80="","",IF(M$1="","",COUNTIFS(tbl_chests[from],$A80,tbl_chests[legalized],M$1,tbl_chests[datetime],"&gt;="&amp;TODAY()-WEEKDAY(TODAY(),2)+1,tbl_chests[datetime],"&lt;"&amp;TODAY()-WEEKDAY(TODAY(),2)+8)))</f>
        <v>0</v>
      </c>
      <c r="N80" s="36">
        <f ca="1">IF($A80="","",IF(N$1="","",COUNTIFS(tbl_chests[from],$A80,tbl_chests[legalized],N$1,tbl_chests[datetime],"&gt;="&amp;TODAY()-WEEKDAY(TODAY(),2)+1,tbl_chests[datetime],"&lt;"&amp;TODAY()-WEEKDAY(TODAY(),2)+8)))</f>
        <v>0</v>
      </c>
      <c r="O80" s="36">
        <f ca="1">IF($A80="","",IF(O$1="","",COUNTIFS(tbl_chests[from],$A80,tbl_chests[legalized],O$1,tbl_chests[datetime],"&gt;="&amp;TODAY()-WEEKDAY(TODAY(),2)+1,tbl_chests[datetime],"&lt;"&amp;TODAY()-WEEKDAY(TODAY(),2)+8)))</f>
        <v>0</v>
      </c>
      <c r="P80" s="36">
        <f ca="1">IF($A80="","",IF(P$1="","",COUNTIFS(tbl_chests[from],$A80,tbl_chests[legalized],P$1,tbl_chests[datetime],"&gt;="&amp;TODAY()-WEEKDAY(TODAY(),2)+1,tbl_chests[datetime],"&lt;"&amp;TODAY()-WEEKDAY(TODAY(),2)+8)))</f>
        <v>0</v>
      </c>
      <c r="Q80" s="36">
        <f ca="1">IF($A80="","",IF(Q$1="","",COUNTIFS(tbl_chests[from],$A80,tbl_chests[legalized],Q$1,tbl_chests[datetime],"&gt;="&amp;TODAY()-WEEKDAY(TODAY(),2)+1,tbl_chests[datetime],"&lt;"&amp;TODAY()-WEEKDAY(TODAY(),2)+8)))</f>
        <v>0</v>
      </c>
      <c r="R80" s="36">
        <f ca="1">IF($A80="","",IF(R$1="","",COUNTIFS(tbl_chests[from],$A80,tbl_chests[legalized],R$1,tbl_chests[datetime],"&gt;="&amp;TODAY()-WEEKDAY(TODAY(),2)+1,tbl_chests[datetime],"&lt;"&amp;TODAY()-WEEKDAY(TODAY(),2)+8)))</f>
        <v>0</v>
      </c>
      <c r="S80" s="36">
        <f ca="1">IF($A80="","",IF(S$1="","",COUNTIFS(tbl_chests[from],$A80,tbl_chests[legalized],S$1,tbl_chests[datetime],"&gt;="&amp;TODAY()-WEEKDAY(TODAY(),2)+1,tbl_chests[datetime],"&lt;"&amp;TODAY()-WEEKDAY(TODAY(),2)+8)))</f>
        <v>0</v>
      </c>
      <c r="T80" s="36">
        <f ca="1">IF($A80="","",IF(T$1="","",COUNTIFS(tbl_chests[from],$A80,tbl_chests[legalized],T$1,tbl_chests[datetime],"&gt;="&amp;TODAY()-WEEKDAY(TODAY(),2)+1,tbl_chests[datetime],"&lt;"&amp;TODAY()-WEEKDAY(TODAY(),2)+8)))</f>
        <v>0</v>
      </c>
      <c r="U80" s="36">
        <f ca="1">IF($A80="","",IF(U$1="","",COUNTIFS(tbl_chests[from],$A80,tbl_chests[legalized],U$1,tbl_chests[datetime],"&gt;="&amp;TODAY()-WEEKDAY(TODAY(),2)+1,tbl_chests[datetime],"&lt;"&amp;TODAY()-WEEKDAY(TODAY(),2)+8)))</f>
        <v>0</v>
      </c>
      <c r="V80" s="36">
        <f ca="1">IF($A80="","",IF(V$1="","",COUNTIFS(tbl_chests[from],$A80,tbl_chests[legalized],V$1,tbl_chests[datetime],"&gt;="&amp;TODAY()-WEEKDAY(TODAY(),2)+1,tbl_chests[datetime],"&lt;"&amp;TODAY()-WEEKDAY(TODAY(),2)+8)))</f>
        <v>0</v>
      </c>
      <c r="W80" s="36">
        <f ca="1">IF($A80="","",IF(W$1="","",COUNTIFS(tbl_chests[from],$A80,tbl_chests[legalized],W$1,tbl_chests[datetime],"&gt;="&amp;TODAY()-WEEKDAY(TODAY(),2)+1,tbl_chests[datetime],"&lt;"&amp;TODAY()-WEEKDAY(TODAY(),2)+8)))</f>
        <v>0</v>
      </c>
      <c r="X80" s="36">
        <f ca="1">IF($A80="","",IF(X$1="","",COUNTIFS(tbl_chests[from],$A80,tbl_chests[legalized],X$1,tbl_chests[datetime],"&gt;="&amp;TODAY()-WEEKDAY(TODAY(),2)+1,tbl_chests[datetime],"&lt;"&amp;TODAY()-WEEKDAY(TODAY(),2)+8)))</f>
        <v>0</v>
      </c>
      <c r="Y80" s="36">
        <f ca="1">IF($A80="","",IF(Y$1="","",COUNTIFS(tbl_chests[from],$A80,tbl_chests[legalized],Y$1,tbl_chests[datetime],"&gt;="&amp;TODAY()-WEEKDAY(TODAY(),2)+1,tbl_chests[datetime],"&lt;"&amp;TODAY()-WEEKDAY(TODAY(),2)+8)))</f>
        <v>0</v>
      </c>
      <c r="Z80" s="36">
        <f ca="1">IF($A80="","",IF(Z$1="","",COUNTIFS(tbl_chests[from],$A80,tbl_chests[legalized],Z$1,tbl_chests[datetime],"&gt;="&amp;TODAY()-WEEKDAY(TODAY(),2)+1,tbl_chests[datetime],"&lt;"&amp;TODAY()-WEEKDAY(TODAY(),2)+8)))</f>
        <v>0</v>
      </c>
      <c r="AA80" s="36">
        <f ca="1">IF($A80="","",IF(AA$1="","",COUNTIFS(tbl_chests[from],$A80,tbl_chests[legalized],AA$1,tbl_chests[datetime],"&gt;="&amp;TODAY()-WEEKDAY(TODAY(),2)+1,tbl_chests[datetime],"&lt;"&amp;TODAY()-WEEKDAY(TODAY(),2)+8)))</f>
        <v>0</v>
      </c>
      <c r="AB80" s="36">
        <f ca="1">IF($A80="","",IF(AB$1="","",COUNTIFS(tbl_chests[from],$A80,tbl_chests[legalized],AB$1,tbl_chests[datetime],"&gt;="&amp;TODAY()-WEEKDAY(TODAY(),2)+1,tbl_chests[datetime],"&lt;"&amp;TODAY()-WEEKDAY(TODAY(),2)+8)))</f>
        <v>0</v>
      </c>
      <c r="AC80" s="36">
        <f ca="1">IF($A80="","",IF(AC$1="","",COUNTIFS(tbl_chests[from],$A80,tbl_chests[legalized],AC$1,tbl_chests[datetime],"&gt;="&amp;TODAY()-WEEKDAY(TODAY(),2)+1,tbl_chests[datetime],"&lt;"&amp;TODAY()-WEEKDAY(TODAY(),2)+8)))</f>
        <v>0</v>
      </c>
      <c r="AD80" s="36">
        <f ca="1">IF($A80="","",IF(AD$1="","",COUNTIFS(tbl_chests[from],$A80,tbl_chests[legalized],AD$1,tbl_chests[datetime],"&gt;="&amp;TODAY()-WEEKDAY(TODAY(),2)+1,tbl_chests[datetime],"&lt;"&amp;TODAY()-WEEKDAY(TODAY(),2)+8)))</f>
        <v>0</v>
      </c>
      <c r="AE80" s="36">
        <f ca="1">IF($A80="","",IF(AE$1="","",COUNTIFS(tbl_chests[from],$A80,tbl_chests[legalized],AE$1,tbl_chests[datetime],"&gt;="&amp;TODAY()-WEEKDAY(TODAY(),2)+1,tbl_chests[datetime],"&lt;"&amp;TODAY()-WEEKDAY(TODAY(),2)+8)))</f>
        <v>0</v>
      </c>
      <c r="AF80" s="36">
        <f ca="1">IF($A80="","",IF(AF$1="","",COUNTIFS(tbl_chests[from],$A80,tbl_chests[legalized],AF$1,tbl_chests[datetime],"&gt;="&amp;TODAY()-WEEKDAY(TODAY(),2)+1,tbl_chests[datetime],"&lt;"&amp;TODAY()-WEEKDAY(TODAY(),2)+8)))</f>
        <v>0</v>
      </c>
      <c r="AG80" s="36">
        <f ca="1">IF($A80="","",IF(AG$1="","",COUNTIFS(tbl_chests[from],$A80,tbl_chests[legalized],AG$1,tbl_chests[datetime],"&gt;="&amp;TODAY()-WEEKDAY(TODAY(),2)+1,tbl_chests[datetime],"&lt;"&amp;TODAY()-WEEKDAY(TODAY(),2)+8)))</f>
        <v>0</v>
      </c>
      <c r="AH80" s="36">
        <f ca="1">IF($A80="","",IF(AH$1="","",COUNTIFS(tbl_chests[from],$A80,tbl_chests[legalized],AH$1,tbl_chests[datetime],"&gt;="&amp;TODAY()-WEEKDAY(TODAY(),2)+1,tbl_chests[datetime],"&lt;"&amp;TODAY()-WEEKDAY(TODAY(),2)+8)))</f>
        <v>0</v>
      </c>
      <c r="AI80" s="36">
        <f ca="1">IF($A80="","",IF(AI$1="","",COUNTIFS(tbl_chests[from],$A80,tbl_chests[legalized],AI$1,tbl_chests[datetime],"&gt;="&amp;TODAY()-WEEKDAY(TODAY(),2)+1,tbl_chests[datetime],"&lt;"&amp;TODAY()-WEEKDAY(TODAY(),2)+8)))</f>
        <v>0</v>
      </c>
      <c r="AJ80" s="36">
        <f ca="1">IF($A80="","",IF(AJ$1="","",COUNTIFS(tbl_chests[from],$A80,tbl_chests[legalized],AJ$1,tbl_chests[datetime],"&gt;="&amp;TODAY()-WEEKDAY(TODAY(),2)+1,tbl_chests[datetime],"&lt;"&amp;TODAY()-WEEKDAY(TODAY(),2)+8)))</f>
        <v>0</v>
      </c>
      <c r="AK80" s="36">
        <f ca="1">IF($A80="","",IF(AK$1="","",COUNTIFS(tbl_chests[from],$A80,tbl_chests[legalized],AK$1,tbl_chests[datetime],"&gt;="&amp;TODAY()-WEEKDAY(TODAY(),2)+1,tbl_chests[datetime],"&lt;"&amp;TODAY()-WEEKDAY(TODAY(),2)+8)))</f>
        <v>0</v>
      </c>
      <c r="AL80" s="36">
        <f ca="1">IF($A80="","",IF(AL$1="","",COUNTIFS(tbl_chests[from],$A80,tbl_chests[legalized],AL$1,tbl_chests[datetime],"&gt;="&amp;TODAY()-WEEKDAY(TODAY(),2)+1,tbl_chests[datetime],"&lt;"&amp;TODAY()-WEEKDAY(TODAY(),2)+8)))</f>
        <v>0</v>
      </c>
      <c r="AM80" s="37">
        <f ca="1">IF($A80="","",IF(AM$1="","",COUNTIFS(tbl_chests[from],$A80,tbl_chests[legalized],AM$1,tbl_chests[datetime],"&gt;="&amp;TODAY()-WEEKDAY(TODAY(),2)+1,tbl_chests[datetime],"&lt;"&amp;TODAY()-WEEKDAY(TODAY(),2)+8)))</f>
        <v>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 spans="1:67" ht="15.75" customHeight="1" x14ac:dyDescent="0.25">
      <c r="A81" s="34">
        <f>chests_counter!$H78</f>
        <v>0</v>
      </c>
      <c r="B81" s="35" cm="1">
        <f t="array" aca="1" ref="B81" ca="1">IF(A81&lt;&gt;"", SUMPRODUCT(($C$2:$AM$2&lt;&gt;0)*(C81:AM81&lt;&gt;0)*($C$2:$AM$2)*(C81:AM81)), "")</f>
        <v>0</v>
      </c>
      <c r="C81" s="36">
        <f ca="1">IF($A81="","",IF(C$1="","",COUNTIFS(tbl_chests[from],$A81,tbl_chests[legalized],C$1,tbl_chests[datetime],"&gt;="&amp;TODAY()-WEEKDAY(TODAY(),2)+1,tbl_chests[datetime],"&lt;"&amp;TODAY()-WEEKDAY(TODAY(),2)+8)))</f>
        <v>0</v>
      </c>
      <c r="D81" s="36">
        <f ca="1">IF($A81="","",IF(D$1="","",COUNTIFS(tbl_chests[from],$A81,tbl_chests[legalized],D$1,tbl_chests[datetime],"&gt;="&amp;TODAY()-WEEKDAY(TODAY(),2)+1,tbl_chests[datetime],"&lt;"&amp;TODAY()-WEEKDAY(TODAY(),2)+8)))</f>
        <v>0</v>
      </c>
      <c r="E81" s="36">
        <f ca="1">IF($A81="","",IF(E$1="","",COUNTIFS(tbl_chests[from],$A81,tbl_chests[legalized],E$1,tbl_chests[datetime],"&gt;="&amp;TODAY()-WEEKDAY(TODAY(),2)+1,tbl_chests[datetime],"&lt;"&amp;TODAY()-WEEKDAY(TODAY(),2)+8)))</f>
        <v>0</v>
      </c>
      <c r="F81" s="36">
        <f ca="1">IF($A81="","",IF(F$1="","",COUNTIFS(tbl_chests[from],$A81,tbl_chests[legalized],F$1,tbl_chests[datetime],"&gt;="&amp;TODAY()-WEEKDAY(TODAY(),2)+1,tbl_chests[datetime],"&lt;"&amp;TODAY()-WEEKDAY(TODAY(),2)+8)))</f>
        <v>0</v>
      </c>
      <c r="G81" s="36">
        <f ca="1">IF($A81="","",IF(G$1="","",COUNTIFS(tbl_chests[from],$A81,tbl_chests[legalized],G$1,tbl_chests[datetime],"&gt;="&amp;TODAY()-WEEKDAY(TODAY(),2)+1,tbl_chests[datetime],"&lt;"&amp;TODAY()-WEEKDAY(TODAY(),2)+8)))</f>
        <v>0</v>
      </c>
      <c r="H81" s="36">
        <f ca="1">IF($A81="","",IF(H$1="","",COUNTIFS(tbl_chests[from],$A81,tbl_chests[legalized],H$1,tbl_chests[datetime],"&gt;="&amp;TODAY()-WEEKDAY(TODAY(),2)+1,tbl_chests[datetime],"&lt;"&amp;TODAY()-WEEKDAY(TODAY(),2)+8)))</f>
        <v>0</v>
      </c>
      <c r="I81" s="36">
        <f ca="1">IF($A81="","",IF(I$1="","",COUNTIFS(tbl_chests[from],$A81,tbl_chests[legalized],I$1,tbl_chests[datetime],"&gt;="&amp;TODAY()-WEEKDAY(TODAY(),2)+1,tbl_chests[datetime],"&lt;"&amp;TODAY()-WEEKDAY(TODAY(),2)+8)))</f>
        <v>0</v>
      </c>
      <c r="J81" s="36">
        <f ca="1">IF($A81="","",IF(J$1="","",COUNTIFS(tbl_chests[from],$A81,tbl_chests[legalized],J$1,tbl_chests[datetime],"&gt;="&amp;TODAY()-WEEKDAY(TODAY(),2)+1,tbl_chests[datetime],"&lt;"&amp;TODAY()-WEEKDAY(TODAY(),2)+8)))</f>
        <v>0</v>
      </c>
      <c r="K81" s="36">
        <f ca="1">IF($A81="","",IF(K$1="","",COUNTIFS(tbl_chests[from],$A81,tbl_chests[legalized],K$1,tbl_chests[datetime],"&gt;="&amp;TODAY()-WEEKDAY(TODAY(),2)+1,tbl_chests[datetime],"&lt;"&amp;TODAY()-WEEKDAY(TODAY(),2)+8)))</f>
        <v>0</v>
      </c>
      <c r="L81" s="36">
        <f ca="1">IF($A81="","",IF(L$1="","",COUNTIFS(tbl_chests[from],$A81,tbl_chests[legalized],L$1,tbl_chests[datetime],"&gt;="&amp;TODAY()-WEEKDAY(TODAY(),2)+1,tbl_chests[datetime],"&lt;"&amp;TODAY()-WEEKDAY(TODAY(),2)+8)))</f>
        <v>0</v>
      </c>
      <c r="M81" s="36">
        <f ca="1">IF($A81="","",IF(M$1="","",COUNTIFS(tbl_chests[from],$A81,tbl_chests[legalized],M$1,tbl_chests[datetime],"&gt;="&amp;TODAY()-WEEKDAY(TODAY(),2)+1,tbl_chests[datetime],"&lt;"&amp;TODAY()-WEEKDAY(TODAY(),2)+8)))</f>
        <v>0</v>
      </c>
      <c r="N81" s="36">
        <f ca="1">IF($A81="","",IF(N$1="","",COUNTIFS(tbl_chests[from],$A81,tbl_chests[legalized],N$1,tbl_chests[datetime],"&gt;="&amp;TODAY()-WEEKDAY(TODAY(),2)+1,tbl_chests[datetime],"&lt;"&amp;TODAY()-WEEKDAY(TODAY(),2)+8)))</f>
        <v>0</v>
      </c>
      <c r="O81" s="36">
        <f ca="1">IF($A81="","",IF(O$1="","",COUNTIFS(tbl_chests[from],$A81,tbl_chests[legalized],O$1,tbl_chests[datetime],"&gt;="&amp;TODAY()-WEEKDAY(TODAY(),2)+1,tbl_chests[datetime],"&lt;"&amp;TODAY()-WEEKDAY(TODAY(),2)+8)))</f>
        <v>0</v>
      </c>
      <c r="P81" s="36">
        <f ca="1">IF($A81="","",IF(P$1="","",COUNTIFS(tbl_chests[from],$A81,tbl_chests[legalized],P$1,tbl_chests[datetime],"&gt;="&amp;TODAY()-WEEKDAY(TODAY(),2)+1,tbl_chests[datetime],"&lt;"&amp;TODAY()-WEEKDAY(TODAY(),2)+8)))</f>
        <v>0</v>
      </c>
      <c r="Q81" s="36">
        <f ca="1">IF($A81="","",IF(Q$1="","",COUNTIFS(tbl_chests[from],$A81,tbl_chests[legalized],Q$1,tbl_chests[datetime],"&gt;="&amp;TODAY()-WEEKDAY(TODAY(),2)+1,tbl_chests[datetime],"&lt;"&amp;TODAY()-WEEKDAY(TODAY(),2)+8)))</f>
        <v>0</v>
      </c>
      <c r="R81" s="36">
        <f ca="1">IF($A81="","",IF(R$1="","",COUNTIFS(tbl_chests[from],$A81,tbl_chests[legalized],R$1,tbl_chests[datetime],"&gt;="&amp;TODAY()-WEEKDAY(TODAY(),2)+1,tbl_chests[datetime],"&lt;"&amp;TODAY()-WEEKDAY(TODAY(),2)+8)))</f>
        <v>0</v>
      </c>
      <c r="S81" s="36">
        <f ca="1">IF($A81="","",IF(S$1="","",COUNTIFS(tbl_chests[from],$A81,tbl_chests[legalized],S$1,tbl_chests[datetime],"&gt;="&amp;TODAY()-WEEKDAY(TODAY(),2)+1,tbl_chests[datetime],"&lt;"&amp;TODAY()-WEEKDAY(TODAY(),2)+8)))</f>
        <v>0</v>
      </c>
      <c r="T81" s="36">
        <f ca="1">IF($A81="","",IF(T$1="","",COUNTIFS(tbl_chests[from],$A81,tbl_chests[legalized],T$1,tbl_chests[datetime],"&gt;="&amp;TODAY()-WEEKDAY(TODAY(),2)+1,tbl_chests[datetime],"&lt;"&amp;TODAY()-WEEKDAY(TODAY(),2)+8)))</f>
        <v>0</v>
      </c>
      <c r="U81" s="36">
        <f ca="1">IF($A81="","",IF(U$1="","",COUNTIFS(tbl_chests[from],$A81,tbl_chests[legalized],U$1,tbl_chests[datetime],"&gt;="&amp;TODAY()-WEEKDAY(TODAY(),2)+1,tbl_chests[datetime],"&lt;"&amp;TODAY()-WEEKDAY(TODAY(),2)+8)))</f>
        <v>0</v>
      </c>
      <c r="V81" s="36">
        <f ca="1">IF($A81="","",IF(V$1="","",COUNTIFS(tbl_chests[from],$A81,tbl_chests[legalized],V$1,tbl_chests[datetime],"&gt;="&amp;TODAY()-WEEKDAY(TODAY(),2)+1,tbl_chests[datetime],"&lt;"&amp;TODAY()-WEEKDAY(TODAY(),2)+8)))</f>
        <v>0</v>
      </c>
      <c r="W81" s="36">
        <f ca="1">IF($A81="","",IF(W$1="","",COUNTIFS(tbl_chests[from],$A81,tbl_chests[legalized],W$1,tbl_chests[datetime],"&gt;="&amp;TODAY()-WEEKDAY(TODAY(),2)+1,tbl_chests[datetime],"&lt;"&amp;TODAY()-WEEKDAY(TODAY(),2)+8)))</f>
        <v>0</v>
      </c>
      <c r="X81" s="36">
        <f ca="1">IF($A81="","",IF(X$1="","",COUNTIFS(tbl_chests[from],$A81,tbl_chests[legalized],X$1,tbl_chests[datetime],"&gt;="&amp;TODAY()-WEEKDAY(TODAY(),2)+1,tbl_chests[datetime],"&lt;"&amp;TODAY()-WEEKDAY(TODAY(),2)+8)))</f>
        <v>0</v>
      </c>
      <c r="Y81" s="36">
        <f ca="1">IF($A81="","",IF(Y$1="","",COUNTIFS(tbl_chests[from],$A81,tbl_chests[legalized],Y$1,tbl_chests[datetime],"&gt;="&amp;TODAY()-WEEKDAY(TODAY(),2)+1,tbl_chests[datetime],"&lt;"&amp;TODAY()-WEEKDAY(TODAY(),2)+8)))</f>
        <v>0</v>
      </c>
      <c r="Z81" s="36">
        <f ca="1">IF($A81="","",IF(Z$1="","",COUNTIFS(tbl_chests[from],$A81,tbl_chests[legalized],Z$1,tbl_chests[datetime],"&gt;="&amp;TODAY()-WEEKDAY(TODAY(),2)+1,tbl_chests[datetime],"&lt;"&amp;TODAY()-WEEKDAY(TODAY(),2)+8)))</f>
        <v>0</v>
      </c>
      <c r="AA81" s="36">
        <f ca="1">IF($A81="","",IF(AA$1="","",COUNTIFS(tbl_chests[from],$A81,tbl_chests[legalized],AA$1,tbl_chests[datetime],"&gt;="&amp;TODAY()-WEEKDAY(TODAY(),2)+1,tbl_chests[datetime],"&lt;"&amp;TODAY()-WEEKDAY(TODAY(),2)+8)))</f>
        <v>0</v>
      </c>
      <c r="AB81" s="36">
        <f ca="1">IF($A81="","",IF(AB$1="","",COUNTIFS(tbl_chests[from],$A81,tbl_chests[legalized],AB$1,tbl_chests[datetime],"&gt;="&amp;TODAY()-WEEKDAY(TODAY(),2)+1,tbl_chests[datetime],"&lt;"&amp;TODAY()-WEEKDAY(TODAY(),2)+8)))</f>
        <v>0</v>
      </c>
      <c r="AC81" s="36">
        <f ca="1">IF($A81="","",IF(AC$1="","",COUNTIFS(tbl_chests[from],$A81,tbl_chests[legalized],AC$1,tbl_chests[datetime],"&gt;="&amp;TODAY()-WEEKDAY(TODAY(),2)+1,tbl_chests[datetime],"&lt;"&amp;TODAY()-WEEKDAY(TODAY(),2)+8)))</f>
        <v>0</v>
      </c>
      <c r="AD81" s="36">
        <f ca="1">IF($A81="","",IF(AD$1="","",COUNTIFS(tbl_chests[from],$A81,tbl_chests[legalized],AD$1,tbl_chests[datetime],"&gt;="&amp;TODAY()-WEEKDAY(TODAY(),2)+1,tbl_chests[datetime],"&lt;"&amp;TODAY()-WEEKDAY(TODAY(),2)+8)))</f>
        <v>0</v>
      </c>
      <c r="AE81" s="36">
        <f ca="1">IF($A81="","",IF(AE$1="","",COUNTIFS(tbl_chests[from],$A81,tbl_chests[legalized],AE$1,tbl_chests[datetime],"&gt;="&amp;TODAY()-WEEKDAY(TODAY(),2)+1,tbl_chests[datetime],"&lt;"&amp;TODAY()-WEEKDAY(TODAY(),2)+8)))</f>
        <v>0</v>
      </c>
      <c r="AF81" s="36">
        <f ca="1">IF($A81="","",IF(AF$1="","",COUNTIFS(tbl_chests[from],$A81,tbl_chests[legalized],AF$1,tbl_chests[datetime],"&gt;="&amp;TODAY()-WEEKDAY(TODAY(),2)+1,tbl_chests[datetime],"&lt;"&amp;TODAY()-WEEKDAY(TODAY(),2)+8)))</f>
        <v>0</v>
      </c>
      <c r="AG81" s="36">
        <f ca="1">IF($A81="","",IF(AG$1="","",COUNTIFS(tbl_chests[from],$A81,tbl_chests[legalized],AG$1,tbl_chests[datetime],"&gt;="&amp;TODAY()-WEEKDAY(TODAY(),2)+1,tbl_chests[datetime],"&lt;"&amp;TODAY()-WEEKDAY(TODAY(),2)+8)))</f>
        <v>0</v>
      </c>
      <c r="AH81" s="36">
        <f ca="1">IF($A81="","",IF(AH$1="","",COUNTIFS(tbl_chests[from],$A81,tbl_chests[legalized],AH$1,tbl_chests[datetime],"&gt;="&amp;TODAY()-WEEKDAY(TODAY(),2)+1,tbl_chests[datetime],"&lt;"&amp;TODAY()-WEEKDAY(TODAY(),2)+8)))</f>
        <v>0</v>
      </c>
      <c r="AI81" s="36">
        <f ca="1">IF($A81="","",IF(AI$1="","",COUNTIFS(tbl_chests[from],$A81,tbl_chests[legalized],AI$1,tbl_chests[datetime],"&gt;="&amp;TODAY()-WEEKDAY(TODAY(),2)+1,tbl_chests[datetime],"&lt;"&amp;TODAY()-WEEKDAY(TODAY(),2)+8)))</f>
        <v>0</v>
      </c>
      <c r="AJ81" s="36">
        <f ca="1">IF($A81="","",IF(AJ$1="","",COUNTIFS(tbl_chests[from],$A81,tbl_chests[legalized],AJ$1,tbl_chests[datetime],"&gt;="&amp;TODAY()-WEEKDAY(TODAY(),2)+1,tbl_chests[datetime],"&lt;"&amp;TODAY()-WEEKDAY(TODAY(),2)+8)))</f>
        <v>0</v>
      </c>
      <c r="AK81" s="36">
        <f ca="1">IF($A81="","",IF(AK$1="","",COUNTIFS(tbl_chests[from],$A81,tbl_chests[legalized],AK$1,tbl_chests[datetime],"&gt;="&amp;TODAY()-WEEKDAY(TODAY(),2)+1,tbl_chests[datetime],"&lt;"&amp;TODAY()-WEEKDAY(TODAY(),2)+8)))</f>
        <v>0</v>
      </c>
      <c r="AL81" s="36">
        <f ca="1">IF($A81="","",IF(AL$1="","",COUNTIFS(tbl_chests[from],$A81,tbl_chests[legalized],AL$1,tbl_chests[datetime],"&gt;="&amp;TODAY()-WEEKDAY(TODAY(),2)+1,tbl_chests[datetime],"&lt;"&amp;TODAY()-WEEKDAY(TODAY(),2)+8)))</f>
        <v>0</v>
      </c>
      <c r="AM81" s="37">
        <f ca="1">IF($A81="","",IF(AM$1="","",COUNTIFS(tbl_chests[from],$A81,tbl_chests[legalized],AM$1,tbl_chests[datetime],"&gt;="&amp;TODAY()-WEEKDAY(TODAY(),2)+1,tbl_chests[datetime],"&lt;"&amp;TODAY()-WEEKDAY(TODAY(),2)+8)))</f>
        <v>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 spans="1:67" ht="15.75" customHeight="1" x14ac:dyDescent="0.25">
      <c r="A82" s="34">
        <f>chests_counter!$H79</f>
        <v>0</v>
      </c>
      <c r="B82" s="35" cm="1">
        <f t="array" aca="1" ref="B82" ca="1">IF(A82&lt;&gt;"", SUMPRODUCT(($C$2:$AM$2&lt;&gt;0)*(C82:AM82&lt;&gt;0)*($C$2:$AM$2)*(C82:AM82)), "")</f>
        <v>0</v>
      </c>
      <c r="C82" s="36">
        <f ca="1">IF($A82="","",IF(C$1="","",COUNTIFS(tbl_chests[from],$A82,tbl_chests[legalized],C$1,tbl_chests[datetime],"&gt;="&amp;TODAY()-WEEKDAY(TODAY(),2)+1,tbl_chests[datetime],"&lt;"&amp;TODAY()-WEEKDAY(TODAY(),2)+8)))</f>
        <v>0</v>
      </c>
      <c r="D82" s="36">
        <f ca="1">IF($A82="","",IF(D$1="","",COUNTIFS(tbl_chests[from],$A82,tbl_chests[legalized],D$1,tbl_chests[datetime],"&gt;="&amp;TODAY()-WEEKDAY(TODAY(),2)+1,tbl_chests[datetime],"&lt;"&amp;TODAY()-WEEKDAY(TODAY(),2)+8)))</f>
        <v>0</v>
      </c>
      <c r="E82" s="36">
        <f ca="1">IF($A82="","",IF(E$1="","",COUNTIFS(tbl_chests[from],$A82,tbl_chests[legalized],E$1,tbl_chests[datetime],"&gt;="&amp;TODAY()-WEEKDAY(TODAY(),2)+1,tbl_chests[datetime],"&lt;"&amp;TODAY()-WEEKDAY(TODAY(),2)+8)))</f>
        <v>0</v>
      </c>
      <c r="F82" s="36">
        <f ca="1">IF($A82="","",IF(F$1="","",COUNTIFS(tbl_chests[from],$A82,tbl_chests[legalized],F$1,tbl_chests[datetime],"&gt;="&amp;TODAY()-WEEKDAY(TODAY(),2)+1,tbl_chests[datetime],"&lt;"&amp;TODAY()-WEEKDAY(TODAY(),2)+8)))</f>
        <v>0</v>
      </c>
      <c r="G82" s="36">
        <f ca="1">IF($A82="","",IF(G$1="","",COUNTIFS(tbl_chests[from],$A82,tbl_chests[legalized],G$1,tbl_chests[datetime],"&gt;="&amp;TODAY()-WEEKDAY(TODAY(),2)+1,tbl_chests[datetime],"&lt;"&amp;TODAY()-WEEKDAY(TODAY(),2)+8)))</f>
        <v>0</v>
      </c>
      <c r="H82" s="36">
        <f ca="1">IF($A82="","",IF(H$1="","",COUNTIFS(tbl_chests[from],$A82,tbl_chests[legalized],H$1,tbl_chests[datetime],"&gt;="&amp;TODAY()-WEEKDAY(TODAY(),2)+1,tbl_chests[datetime],"&lt;"&amp;TODAY()-WEEKDAY(TODAY(),2)+8)))</f>
        <v>0</v>
      </c>
      <c r="I82" s="36">
        <f ca="1">IF($A82="","",IF(I$1="","",COUNTIFS(tbl_chests[from],$A82,tbl_chests[legalized],I$1,tbl_chests[datetime],"&gt;="&amp;TODAY()-WEEKDAY(TODAY(),2)+1,tbl_chests[datetime],"&lt;"&amp;TODAY()-WEEKDAY(TODAY(),2)+8)))</f>
        <v>0</v>
      </c>
      <c r="J82" s="36">
        <f ca="1">IF($A82="","",IF(J$1="","",COUNTIFS(tbl_chests[from],$A82,tbl_chests[legalized],J$1,tbl_chests[datetime],"&gt;="&amp;TODAY()-WEEKDAY(TODAY(),2)+1,tbl_chests[datetime],"&lt;"&amp;TODAY()-WEEKDAY(TODAY(),2)+8)))</f>
        <v>0</v>
      </c>
      <c r="K82" s="36">
        <f ca="1">IF($A82="","",IF(K$1="","",COUNTIFS(tbl_chests[from],$A82,tbl_chests[legalized],K$1,tbl_chests[datetime],"&gt;="&amp;TODAY()-WEEKDAY(TODAY(),2)+1,tbl_chests[datetime],"&lt;"&amp;TODAY()-WEEKDAY(TODAY(),2)+8)))</f>
        <v>0</v>
      </c>
      <c r="L82" s="36">
        <f ca="1">IF($A82="","",IF(L$1="","",COUNTIFS(tbl_chests[from],$A82,tbl_chests[legalized],L$1,tbl_chests[datetime],"&gt;="&amp;TODAY()-WEEKDAY(TODAY(),2)+1,tbl_chests[datetime],"&lt;"&amp;TODAY()-WEEKDAY(TODAY(),2)+8)))</f>
        <v>0</v>
      </c>
      <c r="M82" s="36">
        <f ca="1">IF($A82="","",IF(M$1="","",COUNTIFS(tbl_chests[from],$A82,tbl_chests[legalized],M$1,tbl_chests[datetime],"&gt;="&amp;TODAY()-WEEKDAY(TODAY(),2)+1,tbl_chests[datetime],"&lt;"&amp;TODAY()-WEEKDAY(TODAY(),2)+8)))</f>
        <v>0</v>
      </c>
      <c r="N82" s="36">
        <f ca="1">IF($A82="","",IF(N$1="","",COUNTIFS(tbl_chests[from],$A82,tbl_chests[legalized],N$1,tbl_chests[datetime],"&gt;="&amp;TODAY()-WEEKDAY(TODAY(),2)+1,tbl_chests[datetime],"&lt;"&amp;TODAY()-WEEKDAY(TODAY(),2)+8)))</f>
        <v>0</v>
      </c>
      <c r="O82" s="36">
        <f ca="1">IF($A82="","",IF(O$1="","",COUNTIFS(tbl_chests[from],$A82,tbl_chests[legalized],O$1,tbl_chests[datetime],"&gt;="&amp;TODAY()-WEEKDAY(TODAY(),2)+1,tbl_chests[datetime],"&lt;"&amp;TODAY()-WEEKDAY(TODAY(),2)+8)))</f>
        <v>0</v>
      </c>
      <c r="P82" s="36">
        <f ca="1">IF($A82="","",IF(P$1="","",COUNTIFS(tbl_chests[from],$A82,tbl_chests[legalized],P$1,tbl_chests[datetime],"&gt;="&amp;TODAY()-WEEKDAY(TODAY(),2)+1,tbl_chests[datetime],"&lt;"&amp;TODAY()-WEEKDAY(TODAY(),2)+8)))</f>
        <v>0</v>
      </c>
      <c r="Q82" s="36">
        <f ca="1">IF($A82="","",IF(Q$1="","",COUNTIFS(tbl_chests[from],$A82,tbl_chests[legalized],Q$1,tbl_chests[datetime],"&gt;="&amp;TODAY()-WEEKDAY(TODAY(),2)+1,tbl_chests[datetime],"&lt;"&amp;TODAY()-WEEKDAY(TODAY(),2)+8)))</f>
        <v>0</v>
      </c>
      <c r="R82" s="36">
        <f ca="1">IF($A82="","",IF(R$1="","",COUNTIFS(tbl_chests[from],$A82,tbl_chests[legalized],R$1,tbl_chests[datetime],"&gt;="&amp;TODAY()-WEEKDAY(TODAY(),2)+1,tbl_chests[datetime],"&lt;"&amp;TODAY()-WEEKDAY(TODAY(),2)+8)))</f>
        <v>0</v>
      </c>
      <c r="S82" s="36">
        <f ca="1">IF($A82="","",IF(S$1="","",COUNTIFS(tbl_chests[from],$A82,tbl_chests[legalized],S$1,tbl_chests[datetime],"&gt;="&amp;TODAY()-WEEKDAY(TODAY(),2)+1,tbl_chests[datetime],"&lt;"&amp;TODAY()-WEEKDAY(TODAY(),2)+8)))</f>
        <v>0</v>
      </c>
      <c r="T82" s="36">
        <f ca="1">IF($A82="","",IF(T$1="","",COUNTIFS(tbl_chests[from],$A82,tbl_chests[legalized],T$1,tbl_chests[datetime],"&gt;="&amp;TODAY()-WEEKDAY(TODAY(),2)+1,tbl_chests[datetime],"&lt;"&amp;TODAY()-WEEKDAY(TODAY(),2)+8)))</f>
        <v>0</v>
      </c>
      <c r="U82" s="36">
        <f ca="1">IF($A82="","",IF(U$1="","",COUNTIFS(tbl_chests[from],$A82,tbl_chests[legalized],U$1,tbl_chests[datetime],"&gt;="&amp;TODAY()-WEEKDAY(TODAY(),2)+1,tbl_chests[datetime],"&lt;"&amp;TODAY()-WEEKDAY(TODAY(),2)+8)))</f>
        <v>0</v>
      </c>
      <c r="V82" s="36">
        <f ca="1">IF($A82="","",IF(V$1="","",COUNTIFS(tbl_chests[from],$A82,tbl_chests[legalized],V$1,tbl_chests[datetime],"&gt;="&amp;TODAY()-WEEKDAY(TODAY(),2)+1,tbl_chests[datetime],"&lt;"&amp;TODAY()-WEEKDAY(TODAY(),2)+8)))</f>
        <v>0</v>
      </c>
      <c r="W82" s="36">
        <f ca="1">IF($A82="","",IF(W$1="","",COUNTIFS(tbl_chests[from],$A82,tbl_chests[legalized],W$1,tbl_chests[datetime],"&gt;="&amp;TODAY()-WEEKDAY(TODAY(),2)+1,tbl_chests[datetime],"&lt;"&amp;TODAY()-WEEKDAY(TODAY(),2)+8)))</f>
        <v>0</v>
      </c>
      <c r="X82" s="36">
        <f ca="1">IF($A82="","",IF(X$1="","",COUNTIFS(tbl_chests[from],$A82,tbl_chests[legalized],X$1,tbl_chests[datetime],"&gt;="&amp;TODAY()-WEEKDAY(TODAY(),2)+1,tbl_chests[datetime],"&lt;"&amp;TODAY()-WEEKDAY(TODAY(),2)+8)))</f>
        <v>0</v>
      </c>
      <c r="Y82" s="36">
        <f ca="1">IF($A82="","",IF(Y$1="","",COUNTIFS(tbl_chests[from],$A82,tbl_chests[legalized],Y$1,tbl_chests[datetime],"&gt;="&amp;TODAY()-WEEKDAY(TODAY(),2)+1,tbl_chests[datetime],"&lt;"&amp;TODAY()-WEEKDAY(TODAY(),2)+8)))</f>
        <v>0</v>
      </c>
      <c r="Z82" s="36">
        <f ca="1">IF($A82="","",IF(Z$1="","",COUNTIFS(tbl_chests[from],$A82,tbl_chests[legalized],Z$1,tbl_chests[datetime],"&gt;="&amp;TODAY()-WEEKDAY(TODAY(),2)+1,tbl_chests[datetime],"&lt;"&amp;TODAY()-WEEKDAY(TODAY(),2)+8)))</f>
        <v>0</v>
      </c>
      <c r="AA82" s="36">
        <f ca="1">IF($A82="","",IF(AA$1="","",COUNTIFS(tbl_chests[from],$A82,tbl_chests[legalized],AA$1,tbl_chests[datetime],"&gt;="&amp;TODAY()-WEEKDAY(TODAY(),2)+1,tbl_chests[datetime],"&lt;"&amp;TODAY()-WEEKDAY(TODAY(),2)+8)))</f>
        <v>0</v>
      </c>
      <c r="AB82" s="36">
        <f ca="1">IF($A82="","",IF(AB$1="","",COUNTIFS(tbl_chests[from],$A82,tbl_chests[legalized],AB$1,tbl_chests[datetime],"&gt;="&amp;TODAY()-WEEKDAY(TODAY(),2)+1,tbl_chests[datetime],"&lt;"&amp;TODAY()-WEEKDAY(TODAY(),2)+8)))</f>
        <v>0</v>
      </c>
      <c r="AC82" s="36">
        <f ca="1">IF($A82="","",IF(AC$1="","",COUNTIFS(tbl_chests[from],$A82,tbl_chests[legalized],AC$1,tbl_chests[datetime],"&gt;="&amp;TODAY()-WEEKDAY(TODAY(),2)+1,tbl_chests[datetime],"&lt;"&amp;TODAY()-WEEKDAY(TODAY(),2)+8)))</f>
        <v>0</v>
      </c>
      <c r="AD82" s="36">
        <f ca="1">IF($A82="","",IF(AD$1="","",COUNTIFS(tbl_chests[from],$A82,tbl_chests[legalized],AD$1,tbl_chests[datetime],"&gt;="&amp;TODAY()-WEEKDAY(TODAY(),2)+1,tbl_chests[datetime],"&lt;"&amp;TODAY()-WEEKDAY(TODAY(),2)+8)))</f>
        <v>0</v>
      </c>
      <c r="AE82" s="36">
        <f ca="1">IF($A82="","",IF(AE$1="","",COUNTIFS(tbl_chests[from],$A82,tbl_chests[legalized],AE$1,tbl_chests[datetime],"&gt;="&amp;TODAY()-WEEKDAY(TODAY(),2)+1,tbl_chests[datetime],"&lt;"&amp;TODAY()-WEEKDAY(TODAY(),2)+8)))</f>
        <v>0</v>
      </c>
      <c r="AF82" s="36">
        <f ca="1">IF($A82="","",IF(AF$1="","",COUNTIFS(tbl_chests[from],$A82,tbl_chests[legalized],AF$1,tbl_chests[datetime],"&gt;="&amp;TODAY()-WEEKDAY(TODAY(),2)+1,tbl_chests[datetime],"&lt;"&amp;TODAY()-WEEKDAY(TODAY(),2)+8)))</f>
        <v>0</v>
      </c>
      <c r="AG82" s="36">
        <f ca="1">IF($A82="","",IF(AG$1="","",COUNTIFS(tbl_chests[from],$A82,tbl_chests[legalized],AG$1,tbl_chests[datetime],"&gt;="&amp;TODAY()-WEEKDAY(TODAY(),2)+1,tbl_chests[datetime],"&lt;"&amp;TODAY()-WEEKDAY(TODAY(),2)+8)))</f>
        <v>0</v>
      </c>
      <c r="AH82" s="36">
        <f ca="1">IF($A82="","",IF(AH$1="","",COUNTIFS(tbl_chests[from],$A82,tbl_chests[legalized],AH$1,tbl_chests[datetime],"&gt;="&amp;TODAY()-WEEKDAY(TODAY(),2)+1,tbl_chests[datetime],"&lt;"&amp;TODAY()-WEEKDAY(TODAY(),2)+8)))</f>
        <v>0</v>
      </c>
      <c r="AI82" s="36">
        <f ca="1">IF($A82="","",IF(AI$1="","",COUNTIFS(tbl_chests[from],$A82,tbl_chests[legalized],AI$1,tbl_chests[datetime],"&gt;="&amp;TODAY()-WEEKDAY(TODAY(),2)+1,tbl_chests[datetime],"&lt;"&amp;TODAY()-WEEKDAY(TODAY(),2)+8)))</f>
        <v>0</v>
      </c>
      <c r="AJ82" s="36">
        <f ca="1">IF($A82="","",IF(AJ$1="","",COUNTIFS(tbl_chests[from],$A82,tbl_chests[legalized],AJ$1,tbl_chests[datetime],"&gt;="&amp;TODAY()-WEEKDAY(TODAY(),2)+1,tbl_chests[datetime],"&lt;"&amp;TODAY()-WEEKDAY(TODAY(),2)+8)))</f>
        <v>0</v>
      </c>
      <c r="AK82" s="36">
        <f ca="1">IF($A82="","",IF(AK$1="","",COUNTIFS(tbl_chests[from],$A82,tbl_chests[legalized],AK$1,tbl_chests[datetime],"&gt;="&amp;TODAY()-WEEKDAY(TODAY(),2)+1,tbl_chests[datetime],"&lt;"&amp;TODAY()-WEEKDAY(TODAY(),2)+8)))</f>
        <v>0</v>
      </c>
      <c r="AL82" s="36">
        <f ca="1">IF($A82="","",IF(AL$1="","",COUNTIFS(tbl_chests[from],$A82,tbl_chests[legalized],AL$1,tbl_chests[datetime],"&gt;="&amp;TODAY()-WEEKDAY(TODAY(),2)+1,tbl_chests[datetime],"&lt;"&amp;TODAY()-WEEKDAY(TODAY(),2)+8)))</f>
        <v>0</v>
      </c>
      <c r="AM82" s="37">
        <f ca="1">IF($A82="","",IF(AM$1="","",COUNTIFS(tbl_chests[from],$A82,tbl_chests[legalized],AM$1,tbl_chests[datetime],"&gt;="&amp;TODAY()-WEEKDAY(TODAY(),2)+1,tbl_chests[datetime],"&lt;"&amp;TODAY()-WEEKDAY(TODAY(),2)+8)))</f>
        <v>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 spans="1:67" ht="15.75" customHeight="1" x14ac:dyDescent="0.25">
      <c r="A83" s="34">
        <f>chests_counter!$H80</f>
        <v>0</v>
      </c>
      <c r="B83" s="35" cm="1">
        <f t="array" aca="1" ref="B83" ca="1">IF(A83&lt;&gt;"", SUMPRODUCT(($C$2:$AM$2&lt;&gt;0)*(C83:AM83&lt;&gt;0)*($C$2:$AM$2)*(C83:AM83)), "")</f>
        <v>0</v>
      </c>
      <c r="C83" s="36">
        <f ca="1">IF($A83="","",IF(C$1="","",COUNTIFS(tbl_chests[from],$A83,tbl_chests[legalized],C$1,tbl_chests[datetime],"&gt;="&amp;TODAY()-WEEKDAY(TODAY(),2)+1,tbl_chests[datetime],"&lt;"&amp;TODAY()-WEEKDAY(TODAY(),2)+8)))</f>
        <v>0</v>
      </c>
      <c r="D83" s="36">
        <f ca="1">IF($A83="","",IF(D$1="","",COUNTIFS(tbl_chests[from],$A83,tbl_chests[legalized],D$1,tbl_chests[datetime],"&gt;="&amp;TODAY()-WEEKDAY(TODAY(),2)+1,tbl_chests[datetime],"&lt;"&amp;TODAY()-WEEKDAY(TODAY(),2)+8)))</f>
        <v>0</v>
      </c>
      <c r="E83" s="36">
        <f ca="1">IF($A83="","",IF(E$1="","",COUNTIFS(tbl_chests[from],$A83,tbl_chests[legalized],E$1,tbl_chests[datetime],"&gt;="&amp;TODAY()-WEEKDAY(TODAY(),2)+1,tbl_chests[datetime],"&lt;"&amp;TODAY()-WEEKDAY(TODAY(),2)+8)))</f>
        <v>0</v>
      </c>
      <c r="F83" s="36">
        <f ca="1">IF($A83="","",IF(F$1="","",COUNTIFS(tbl_chests[from],$A83,tbl_chests[legalized],F$1,tbl_chests[datetime],"&gt;="&amp;TODAY()-WEEKDAY(TODAY(),2)+1,tbl_chests[datetime],"&lt;"&amp;TODAY()-WEEKDAY(TODAY(),2)+8)))</f>
        <v>0</v>
      </c>
      <c r="G83" s="36">
        <f ca="1">IF($A83="","",IF(G$1="","",COUNTIFS(tbl_chests[from],$A83,tbl_chests[legalized],G$1,tbl_chests[datetime],"&gt;="&amp;TODAY()-WEEKDAY(TODAY(),2)+1,tbl_chests[datetime],"&lt;"&amp;TODAY()-WEEKDAY(TODAY(),2)+8)))</f>
        <v>0</v>
      </c>
      <c r="H83" s="36">
        <f ca="1">IF($A83="","",IF(H$1="","",COUNTIFS(tbl_chests[from],$A83,tbl_chests[legalized],H$1,tbl_chests[datetime],"&gt;="&amp;TODAY()-WEEKDAY(TODAY(),2)+1,tbl_chests[datetime],"&lt;"&amp;TODAY()-WEEKDAY(TODAY(),2)+8)))</f>
        <v>0</v>
      </c>
      <c r="I83" s="36">
        <f ca="1">IF($A83="","",IF(I$1="","",COUNTIFS(tbl_chests[from],$A83,tbl_chests[legalized],I$1,tbl_chests[datetime],"&gt;="&amp;TODAY()-WEEKDAY(TODAY(),2)+1,tbl_chests[datetime],"&lt;"&amp;TODAY()-WEEKDAY(TODAY(),2)+8)))</f>
        <v>0</v>
      </c>
      <c r="J83" s="36">
        <f ca="1">IF($A83="","",IF(J$1="","",COUNTIFS(tbl_chests[from],$A83,tbl_chests[legalized],J$1,tbl_chests[datetime],"&gt;="&amp;TODAY()-WEEKDAY(TODAY(),2)+1,tbl_chests[datetime],"&lt;"&amp;TODAY()-WEEKDAY(TODAY(),2)+8)))</f>
        <v>0</v>
      </c>
      <c r="K83" s="36">
        <f ca="1">IF($A83="","",IF(K$1="","",COUNTIFS(tbl_chests[from],$A83,tbl_chests[legalized],K$1,tbl_chests[datetime],"&gt;="&amp;TODAY()-WEEKDAY(TODAY(),2)+1,tbl_chests[datetime],"&lt;"&amp;TODAY()-WEEKDAY(TODAY(),2)+8)))</f>
        <v>0</v>
      </c>
      <c r="L83" s="36">
        <f ca="1">IF($A83="","",IF(L$1="","",COUNTIFS(tbl_chests[from],$A83,tbl_chests[legalized],L$1,tbl_chests[datetime],"&gt;="&amp;TODAY()-WEEKDAY(TODAY(),2)+1,tbl_chests[datetime],"&lt;"&amp;TODAY()-WEEKDAY(TODAY(),2)+8)))</f>
        <v>0</v>
      </c>
      <c r="M83" s="36">
        <f ca="1">IF($A83="","",IF(M$1="","",COUNTIFS(tbl_chests[from],$A83,tbl_chests[legalized],M$1,tbl_chests[datetime],"&gt;="&amp;TODAY()-WEEKDAY(TODAY(),2)+1,tbl_chests[datetime],"&lt;"&amp;TODAY()-WEEKDAY(TODAY(),2)+8)))</f>
        <v>0</v>
      </c>
      <c r="N83" s="36">
        <f ca="1">IF($A83="","",IF(N$1="","",COUNTIFS(tbl_chests[from],$A83,tbl_chests[legalized],N$1,tbl_chests[datetime],"&gt;="&amp;TODAY()-WEEKDAY(TODAY(),2)+1,tbl_chests[datetime],"&lt;"&amp;TODAY()-WEEKDAY(TODAY(),2)+8)))</f>
        <v>0</v>
      </c>
      <c r="O83" s="36">
        <f ca="1">IF($A83="","",IF(O$1="","",COUNTIFS(tbl_chests[from],$A83,tbl_chests[legalized],O$1,tbl_chests[datetime],"&gt;="&amp;TODAY()-WEEKDAY(TODAY(),2)+1,tbl_chests[datetime],"&lt;"&amp;TODAY()-WEEKDAY(TODAY(),2)+8)))</f>
        <v>0</v>
      </c>
      <c r="P83" s="36">
        <f ca="1">IF($A83="","",IF(P$1="","",COUNTIFS(tbl_chests[from],$A83,tbl_chests[legalized],P$1,tbl_chests[datetime],"&gt;="&amp;TODAY()-WEEKDAY(TODAY(),2)+1,tbl_chests[datetime],"&lt;"&amp;TODAY()-WEEKDAY(TODAY(),2)+8)))</f>
        <v>0</v>
      </c>
      <c r="Q83" s="36">
        <f ca="1">IF($A83="","",IF(Q$1="","",COUNTIFS(tbl_chests[from],$A83,tbl_chests[legalized],Q$1,tbl_chests[datetime],"&gt;="&amp;TODAY()-WEEKDAY(TODAY(),2)+1,tbl_chests[datetime],"&lt;"&amp;TODAY()-WEEKDAY(TODAY(),2)+8)))</f>
        <v>0</v>
      </c>
      <c r="R83" s="36">
        <f ca="1">IF($A83="","",IF(R$1="","",COUNTIFS(tbl_chests[from],$A83,tbl_chests[legalized],R$1,tbl_chests[datetime],"&gt;="&amp;TODAY()-WEEKDAY(TODAY(),2)+1,tbl_chests[datetime],"&lt;"&amp;TODAY()-WEEKDAY(TODAY(),2)+8)))</f>
        <v>0</v>
      </c>
      <c r="S83" s="36">
        <f ca="1">IF($A83="","",IF(S$1="","",COUNTIFS(tbl_chests[from],$A83,tbl_chests[legalized],S$1,tbl_chests[datetime],"&gt;="&amp;TODAY()-WEEKDAY(TODAY(),2)+1,tbl_chests[datetime],"&lt;"&amp;TODAY()-WEEKDAY(TODAY(),2)+8)))</f>
        <v>0</v>
      </c>
      <c r="T83" s="36">
        <f ca="1">IF($A83="","",IF(T$1="","",COUNTIFS(tbl_chests[from],$A83,tbl_chests[legalized],T$1,tbl_chests[datetime],"&gt;="&amp;TODAY()-WEEKDAY(TODAY(),2)+1,tbl_chests[datetime],"&lt;"&amp;TODAY()-WEEKDAY(TODAY(),2)+8)))</f>
        <v>0</v>
      </c>
      <c r="U83" s="36">
        <f ca="1">IF($A83="","",IF(U$1="","",COUNTIFS(tbl_chests[from],$A83,tbl_chests[legalized],U$1,tbl_chests[datetime],"&gt;="&amp;TODAY()-WEEKDAY(TODAY(),2)+1,tbl_chests[datetime],"&lt;"&amp;TODAY()-WEEKDAY(TODAY(),2)+8)))</f>
        <v>0</v>
      </c>
      <c r="V83" s="36">
        <f ca="1">IF($A83="","",IF(V$1="","",COUNTIFS(tbl_chests[from],$A83,tbl_chests[legalized],V$1,tbl_chests[datetime],"&gt;="&amp;TODAY()-WEEKDAY(TODAY(),2)+1,tbl_chests[datetime],"&lt;"&amp;TODAY()-WEEKDAY(TODAY(),2)+8)))</f>
        <v>0</v>
      </c>
      <c r="W83" s="36">
        <f ca="1">IF($A83="","",IF(W$1="","",COUNTIFS(tbl_chests[from],$A83,tbl_chests[legalized],W$1,tbl_chests[datetime],"&gt;="&amp;TODAY()-WEEKDAY(TODAY(),2)+1,tbl_chests[datetime],"&lt;"&amp;TODAY()-WEEKDAY(TODAY(),2)+8)))</f>
        <v>0</v>
      </c>
      <c r="X83" s="36">
        <f ca="1">IF($A83="","",IF(X$1="","",COUNTIFS(tbl_chests[from],$A83,tbl_chests[legalized],X$1,tbl_chests[datetime],"&gt;="&amp;TODAY()-WEEKDAY(TODAY(),2)+1,tbl_chests[datetime],"&lt;"&amp;TODAY()-WEEKDAY(TODAY(),2)+8)))</f>
        <v>0</v>
      </c>
      <c r="Y83" s="36">
        <f ca="1">IF($A83="","",IF(Y$1="","",COUNTIFS(tbl_chests[from],$A83,tbl_chests[legalized],Y$1,tbl_chests[datetime],"&gt;="&amp;TODAY()-WEEKDAY(TODAY(),2)+1,tbl_chests[datetime],"&lt;"&amp;TODAY()-WEEKDAY(TODAY(),2)+8)))</f>
        <v>0</v>
      </c>
      <c r="Z83" s="36">
        <f ca="1">IF($A83="","",IF(Z$1="","",COUNTIFS(tbl_chests[from],$A83,tbl_chests[legalized],Z$1,tbl_chests[datetime],"&gt;="&amp;TODAY()-WEEKDAY(TODAY(),2)+1,tbl_chests[datetime],"&lt;"&amp;TODAY()-WEEKDAY(TODAY(),2)+8)))</f>
        <v>0</v>
      </c>
      <c r="AA83" s="36">
        <f ca="1">IF($A83="","",IF(AA$1="","",COUNTIFS(tbl_chests[from],$A83,tbl_chests[legalized],AA$1,tbl_chests[datetime],"&gt;="&amp;TODAY()-WEEKDAY(TODAY(),2)+1,tbl_chests[datetime],"&lt;"&amp;TODAY()-WEEKDAY(TODAY(),2)+8)))</f>
        <v>0</v>
      </c>
      <c r="AB83" s="36">
        <f ca="1">IF($A83="","",IF(AB$1="","",COUNTIFS(tbl_chests[from],$A83,tbl_chests[legalized],AB$1,tbl_chests[datetime],"&gt;="&amp;TODAY()-WEEKDAY(TODAY(),2)+1,tbl_chests[datetime],"&lt;"&amp;TODAY()-WEEKDAY(TODAY(),2)+8)))</f>
        <v>0</v>
      </c>
      <c r="AC83" s="36">
        <f ca="1">IF($A83="","",IF(AC$1="","",COUNTIFS(tbl_chests[from],$A83,tbl_chests[legalized],AC$1,tbl_chests[datetime],"&gt;="&amp;TODAY()-WEEKDAY(TODAY(),2)+1,tbl_chests[datetime],"&lt;"&amp;TODAY()-WEEKDAY(TODAY(),2)+8)))</f>
        <v>0</v>
      </c>
      <c r="AD83" s="36">
        <f ca="1">IF($A83="","",IF(AD$1="","",COUNTIFS(tbl_chests[from],$A83,tbl_chests[legalized],AD$1,tbl_chests[datetime],"&gt;="&amp;TODAY()-WEEKDAY(TODAY(),2)+1,tbl_chests[datetime],"&lt;"&amp;TODAY()-WEEKDAY(TODAY(),2)+8)))</f>
        <v>0</v>
      </c>
      <c r="AE83" s="36">
        <f ca="1">IF($A83="","",IF(AE$1="","",COUNTIFS(tbl_chests[from],$A83,tbl_chests[legalized],AE$1,tbl_chests[datetime],"&gt;="&amp;TODAY()-WEEKDAY(TODAY(),2)+1,tbl_chests[datetime],"&lt;"&amp;TODAY()-WEEKDAY(TODAY(),2)+8)))</f>
        <v>0</v>
      </c>
      <c r="AF83" s="36">
        <f ca="1">IF($A83="","",IF(AF$1="","",COUNTIFS(tbl_chests[from],$A83,tbl_chests[legalized],AF$1,tbl_chests[datetime],"&gt;="&amp;TODAY()-WEEKDAY(TODAY(),2)+1,tbl_chests[datetime],"&lt;"&amp;TODAY()-WEEKDAY(TODAY(),2)+8)))</f>
        <v>0</v>
      </c>
      <c r="AG83" s="36">
        <f ca="1">IF($A83="","",IF(AG$1="","",COUNTIFS(tbl_chests[from],$A83,tbl_chests[legalized],AG$1,tbl_chests[datetime],"&gt;="&amp;TODAY()-WEEKDAY(TODAY(),2)+1,tbl_chests[datetime],"&lt;"&amp;TODAY()-WEEKDAY(TODAY(),2)+8)))</f>
        <v>0</v>
      </c>
      <c r="AH83" s="36">
        <f ca="1">IF($A83="","",IF(AH$1="","",COUNTIFS(tbl_chests[from],$A83,tbl_chests[legalized],AH$1,tbl_chests[datetime],"&gt;="&amp;TODAY()-WEEKDAY(TODAY(),2)+1,tbl_chests[datetime],"&lt;"&amp;TODAY()-WEEKDAY(TODAY(),2)+8)))</f>
        <v>0</v>
      </c>
      <c r="AI83" s="36">
        <f ca="1">IF($A83="","",IF(AI$1="","",COUNTIFS(tbl_chests[from],$A83,tbl_chests[legalized],AI$1,tbl_chests[datetime],"&gt;="&amp;TODAY()-WEEKDAY(TODAY(),2)+1,tbl_chests[datetime],"&lt;"&amp;TODAY()-WEEKDAY(TODAY(),2)+8)))</f>
        <v>0</v>
      </c>
      <c r="AJ83" s="36">
        <f ca="1">IF($A83="","",IF(AJ$1="","",COUNTIFS(tbl_chests[from],$A83,tbl_chests[legalized],AJ$1,tbl_chests[datetime],"&gt;="&amp;TODAY()-WEEKDAY(TODAY(),2)+1,tbl_chests[datetime],"&lt;"&amp;TODAY()-WEEKDAY(TODAY(),2)+8)))</f>
        <v>0</v>
      </c>
      <c r="AK83" s="36">
        <f ca="1">IF($A83="","",IF(AK$1="","",COUNTIFS(tbl_chests[from],$A83,tbl_chests[legalized],AK$1,tbl_chests[datetime],"&gt;="&amp;TODAY()-WEEKDAY(TODAY(),2)+1,tbl_chests[datetime],"&lt;"&amp;TODAY()-WEEKDAY(TODAY(),2)+8)))</f>
        <v>0</v>
      </c>
      <c r="AL83" s="36">
        <f ca="1">IF($A83="","",IF(AL$1="","",COUNTIFS(tbl_chests[from],$A83,tbl_chests[legalized],AL$1,tbl_chests[datetime],"&gt;="&amp;TODAY()-WEEKDAY(TODAY(),2)+1,tbl_chests[datetime],"&lt;"&amp;TODAY()-WEEKDAY(TODAY(),2)+8)))</f>
        <v>0</v>
      </c>
      <c r="AM83" s="37">
        <f ca="1">IF($A83="","",IF(AM$1="","",COUNTIFS(tbl_chests[from],$A83,tbl_chests[legalized],AM$1,tbl_chests[datetime],"&gt;="&amp;TODAY()-WEEKDAY(TODAY(),2)+1,tbl_chests[datetime],"&lt;"&amp;TODAY()-WEEKDAY(TODAY(),2)+8)))</f>
        <v>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 spans="1:67" ht="15.75" customHeight="1" x14ac:dyDescent="0.25">
      <c r="A84" s="34">
        <f>chests_counter!$H81</f>
        <v>0</v>
      </c>
      <c r="B84" s="35" cm="1">
        <f t="array" aca="1" ref="B84" ca="1">IF(A84&lt;&gt;"", SUMPRODUCT(($C$2:$AM$2&lt;&gt;0)*(C84:AM84&lt;&gt;0)*($C$2:$AM$2)*(C84:AM84)), "")</f>
        <v>0</v>
      </c>
      <c r="C84" s="36">
        <f ca="1">IF($A84="","",IF(C$1="","",COUNTIFS(tbl_chests[from],$A84,tbl_chests[legalized],C$1,tbl_chests[datetime],"&gt;="&amp;TODAY()-WEEKDAY(TODAY(),2)+1,tbl_chests[datetime],"&lt;"&amp;TODAY()-WEEKDAY(TODAY(),2)+8)))</f>
        <v>0</v>
      </c>
      <c r="D84" s="36">
        <f ca="1">IF($A84="","",IF(D$1="","",COUNTIFS(tbl_chests[from],$A84,tbl_chests[legalized],D$1,tbl_chests[datetime],"&gt;="&amp;TODAY()-WEEKDAY(TODAY(),2)+1,tbl_chests[datetime],"&lt;"&amp;TODAY()-WEEKDAY(TODAY(),2)+8)))</f>
        <v>0</v>
      </c>
      <c r="E84" s="36">
        <f ca="1">IF($A84="","",IF(E$1="","",COUNTIFS(tbl_chests[from],$A84,tbl_chests[legalized],E$1,tbl_chests[datetime],"&gt;="&amp;TODAY()-WEEKDAY(TODAY(),2)+1,tbl_chests[datetime],"&lt;"&amp;TODAY()-WEEKDAY(TODAY(),2)+8)))</f>
        <v>0</v>
      </c>
      <c r="F84" s="36">
        <f ca="1">IF($A84="","",IF(F$1="","",COUNTIFS(tbl_chests[from],$A84,tbl_chests[legalized],F$1,tbl_chests[datetime],"&gt;="&amp;TODAY()-WEEKDAY(TODAY(),2)+1,tbl_chests[datetime],"&lt;"&amp;TODAY()-WEEKDAY(TODAY(),2)+8)))</f>
        <v>0</v>
      </c>
      <c r="G84" s="36">
        <f ca="1">IF($A84="","",IF(G$1="","",COUNTIFS(tbl_chests[from],$A84,tbl_chests[legalized],G$1,tbl_chests[datetime],"&gt;="&amp;TODAY()-WEEKDAY(TODAY(),2)+1,tbl_chests[datetime],"&lt;"&amp;TODAY()-WEEKDAY(TODAY(),2)+8)))</f>
        <v>0</v>
      </c>
      <c r="H84" s="36">
        <f ca="1">IF($A84="","",IF(H$1="","",COUNTIFS(tbl_chests[from],$A84,tbl_chests[legalized],H$1,tbl_chests[datetime],"&gt;="&amp;TODAY()-WEEKDAY(TODAY(),2)+1,tbl_chests[datetime],"&lt;"&amp;TODAY()-WEEKDAY(TODAY(),2)+8)))</f>
        <v>0</v>
      </c>
      <c r="I84" s="36">
        <f ca="1">IF($A84="","",IF(I$1="","",COUNTIFS(tbl_chests[from],$A84,tbl_chests[legalized],I$1,tbl_chests[datetime],"&gt;="&amp;TODAY()-WEEKDAY(TODAY(),2)+1,tbl_chests[datetime],"&lt;"&amp;TODAY()-WEEKDAY(TODAY(),2)+8)))</f>
        <v>0</v>
      </c>
      <c r="J84" s="36">
        <f ca="1">IF($A84="","",IF(J$1="","",COUNTIFS(tbl_chests[from],$A84,tbl_chests[legalized],J$1,tbl_chests[datetime],"&gt;="&amp;TODAY()-WEEKDAY(TODAY(),2)+1,tbl_chests[datetime],"&lt;"&amp;TODAY()-WEEKDAY(TODAY(),2)+8)))</f>
        <v>0</v>
      </c>
      <c r="K84" s="36">
        <f ca="1">IF($A84="","",IF(K$1="","",COUNTIFS(tbl_chests[from],$A84,tbl_chests[legalized],K$1,tbl_chests[datetime],"&gt;="&amp;TODAY()-WEEKDAY(TODAY(),2)+1,tbl_chests[datetime],"&lt;"&amp;TODAY()-WEEKDAY(TODAY(),2)+8)))</f>
        <v>0</v>
      </c>
      <c r="L84" s="36">
        <f ca="1">IF($A84="","",IF(L$1="","",COUNTIFS(tbl_chests[from],$A84,tbl_chests[legalized],L$1,tbl_chests[datetime],"&gt;="&amp;TODAY()-WEEKDAY(TODAY(),2)+1,tbl_chests[datetime],"&lt;"&amp;TODAY()-WEEKDAY(TODAY(),2)+8)))</f>
        <v>0</v>
      </c>
      <c r="M84" s="36">
        <f ca="1">IF($A84="","",IF(M$1="","",COUNTIFS(tbl_chests[from],$A84,tbl_chests[legalized],M$1,tbl_chests[datetime],"&gt;="&amp;TODAY()-WEEKDAY(TODAY(),2)+1,tbl_chests[datetime],"&lt;"&amp;TODAY()-WEEKDAY(TODAY(),2)+8)))</f>
        <v>0</v>
      </c>
      <c r="N84" s="36">
        <f ca="1">IF($A84="","",IF(N$1="","",COUNTIFS(tbl_chests[from],$A84,tbl_chests[legalized],N$1,tbl_chests[datetime],"&gt;="&amp;TODAY()-WEEKDAY(TODAY(),2)+1,tbl_chests[datetime],"&lt;"&amp;TODAY()-WEEKDAY(TODAY(),2)+8)))</f>
        <v>0</v>
      </c>
      <c r="O84" s="36">
        <f ca="1">IF($A84="","",IF(O$1="","",COUNTIFS(tbl_chests[from],$A84,tbl_chests[legalized],O$1,tbl_chests[datetime],"&gt;="&amp;TODAY()-WEEKDAY(TODAY(),2)+1,tbl_chests[datetime],"&lt;"&amp;TODAY()-WEEKDAY(TODAY(),2)+8)))</f>
        <v>0</v>
      </c>
      <c r="P84" s="36">
        <f ca="1">IF($A84="","",IF(P$1="","",COUNTIFS(tbl_chests[from],$A84,tbl_chests[legalized],P$1,tbl_chests[datetime],"&gt;="&amp;TODAY()-WEEKDAY(TODAY(),2)+1,tbl_chests[datetime],"&lt;"&amp;TODAY()-WEEKDAY(TODAY(),2)+8)))</f>
        <v>0</v>
      </c>
      <c r="Q84" s="36">
        <f ca="1">IF($A84="","",IF(Q$1="","",COUNTIFS(tbl_chests[from],$A84,tbl_chests[legalized],Q$1,tbl_chests[datetime],"&gt;="&amp;TODAY()-WEEKDAY(TODAY(),2)+1,tbl_chests[datetime],"&lt;"&amp;TODAY()-WEEKDAY(TODAY(),2)+8)))</f>
        <v>0</v>
      </c>
      <c r="R84" s="36">
        <f ca="1">IF($A84="","",IF(R$1="","",COUNTIFS(tbl_chests[from],$A84,tbl_chests[legalized],R$1,tbl_chests[datetime],"&gt;="&amp;TODAY()-WEEKDAY(TODAY(),2)+1,tbl_chests[datetime],"&lt;"&amp;TODAY()-WEEKDAY(TODAY(),2)+8)))</f>
        <v>0</v>
      </c>
      <c r="S84" s="36">
        <f ca="1">IF($A84="","",IF(S$1="","",COUNTIFS(tbl_chests[from],$A84,tbl_chests[legalized],S$1,tbl_chests[datetime],"&gt;="&amp;TODAY()-WEEKDAY(TODAY(),2)+1,tbl_chests[datetime],"&lt;"&amp;TODAY()-WEEKDAY(TODAY(),2)+8)))</f>
        <v>0</v>
      </c>
      <c r="T84" s="36">
        <f ca="1">IF($A84="","",IF(T$1="","",COUNTIFS(tbl_chests[from],$A84,tbl_chests[legalized],T$1,tbl_chests[datetime],"&gt;="&amp;TODAY()-WEEKDAY(TODAY(),2)+1,tbl_chests[datetime],"&lt;"&amp;TODAY()-WEEKDAY(TODAY(),2)+8)))</f>
        <v>0</v>
      </c>
      <c r="U84" s="36">
        <f ca="1">IF($A84="","",IF(U$1="","",COUNTIFS(tbl_chests[from],$A84,tbl_chests[legalized],U$1,tbl_chests[datetime],"&gt;="&amp;TODAY()-WEEKDAY(TODAY(),2)+1,tbl_chests[datetime],"&lt;"&amp;TODAY()-WEEKDAY(TODAY(),2)+8)))</f>
        <v>0</v>
      </c>
      <c r="V84" s="36">
        <f ca="1">IF($A84="","",IF(V$1="","",COUNTIFS(tbl_chests[from],$A84,tbl_chests[legalized],V$1,tbl_chests[datetime],"&gt;="&amp;TODAY()-WEEKDAY(TODAY(),2)+1,tbl_chests[datetime],"&lt;"&amp;TODAY()-WEEKDAY(TODAY(),2)+8)))</f>
        <v>0</v>
      </c>
      <c r="W84" s="36">
        <f ca="1">IF($A84="","",IF(W$1="","",COUNTIFS(tbl_chests[from],$A84,tbl_chests[legalized],W$1,tbl_chests[datetime],"&gt;="&amp;TODAY()-WEEKDAY(TODAY(),2)+1,tbl_chests[datetime],"&lt;"&amp;TODAY()-WEEKDAY(TODAY(),2)+8)))</f>
        <v>0</v>
      </c>
      <c r="X84" s="36">
        <f ca="1">IF($A84="","",IF(X$1="","",COUNTIFS(tbl_chests[from],$A84,tbl_chests[legalized],X$1,tbl_chests[datetime],"&gt;="&amp;TODAY()-WEEKDAY(TODAY(),2)+1,tbl_chests[datetime],"&lt;"&amp;TODAY()-WEEKDAY(TODAY(),2)+8)))</f>
        <v>0</v>
      </c>
      <c r="Y84" s="36">
        <f ca="1">IF($A84="","",IF(Y$1="","",COUNTIFS(tbl_chests[from],$A84,tbl_chests[legalized],Y$1,tbl_chests[datetime],"&gt;="&amp;TODAY()-WEEKDAY(TODAY(),2)+1,tbl_chests[datetime],"&lt;"&amp;TODAY()-WEEKDAY(TODAY(),2)+8)))</f>
        <v>0</v>
      </c>
      <c r="Z84" s="36">
        <f ca="1">IF($A84="","",IF(Z$1="","",COUNTIFS(tbl_chests[from],$A84,tbl_chests[legalized],Z$1,tbl_chests[datetime],"&gt;="&amp;TODAY()-WEEKDAY(TODAY(),2)+1,tbl_chests[datetime],"&lt;"&amp;TODAY()-WEEKDAY(TODAY(),2)+8)))</f>
        <v>0</v>
      </c>
      <c r="AA84" s="36">
        <f ca="1">IF($A84="","",IF(AA$1="","",COUNTIFS(tbl_chests[from],$A84,tbl_chests[legalized],AA$1,tbl_chests[datetime],"&gt;="&amp;TODAY()-WEEKDAY(TODAY(),2)+1,tbl_chests[datetime],"&lt;"&amp;TODAY()-WEEKDAY(TODAY(),2)+8)))</f>
        <v>0</v>
      </c>
      <c r="AB84" s="36">
        <f ca="1">IF($A84="","",IF(AB$1="","",COUNTIFS(tbl_chests[from],$A84,tbl_chests[legalized],AB$1,tbl_chests[datetime],"&gt;="&amp;TODAY()-WEEKDAY(TODAY(),2)+1,tbl_chests[datetime],"&lt;"&amp;TODAY()-WEEKDAY(TODAY(),2)+8)))</f>
        <v>0</v>
      </c>
      <c r="AC84" s="36">
        <f ca="1">IF($A84="","",IF(AC$1="","",COUNTIFS(tbl_chests[from],$A84,tbl_chests[legalized],AC$1,tbl_chests[datetime],"&gt;="&amp;TODAY()-WEEKDAY(TODAY(),2)+1,tbl_chests[datetime],"&lt;"&amp;TODAY()-WEEKDAY(TODAY(),2)+8)))</f>
        <v>0</v>
      </c>
      <c r="AD84" s="36">
        <f ca="1">IF($A84="","",IF(AD$1="","",COUNTIFS(tbl_chests[from],$A84,tbl_chests[legalized],AD$1,tbl_chests[datetime],"&gt;="&amp;TODAY()-WEEKDAY(TODAY(),2)+1,tbl_chests[datetime],"&lt;"&amp;TODAY()-WEEKDAY(TODAY(),2)+8)))</f>
        <v>0</v>
      </c>
      <c r="AE84" s="36">
        <f ca="1">IF($A84="","",IF(AE$1="","",COUNTIFS(tbl_chests[from],$A84,tbl_chests[legalized],AE$1,tbl_chests[datetime],"&gt;="&amp;TODAY()-WEEKDAY(TODAY(),2)+1,tbl_chests[datetime],"&lt;"&amp;TODAY()-WEEKDAY(TODAY(),2)+8)))</f>
        <v>0</v>
      </c>
      <c r="AF84" s="36">
        <f ca="1">IF($A84="","",IF(AF$1="","",COUNTIFS(tbl_chests[from],$A84,tbl_chests[legalized],AF$1,tbl_chests[datetime],"&gt;="&amp;TODAY()-WEEKDAY(TODAY(),2)+1,tbl_chests[datetime],"&lt;"&amp;TODAY()-WEEKDAY(TODAY(),2)+8)))</f>
        <v>0</v>
      </c>
      <c r="AG84" s="36">
        <f ca="1">IF($A84="","",IF(AG$1="","",COUNTIFS(tbl_chests[from],$A84,tbl_chests[legalized],AG$1,tbl_chests[datetime],"&gt;="&amp;TODAY()-WEEKDAY(TODAY(),2)+1,tbl_chests[datetime],"&lt;"&amp;TODAY()-WEEKDAY(TODAY(),2)+8)))</f>
        <v>0</v>
      </c>
      <c r="AH84" s="36">
        <f ca="1">IF($A84="","",IF(AH$1="","",COUNTIFS(tbl_chests[from],$A84,tbl_chests[legalized],AH$1,tbl_chests[datetime],"&gt;="&amp;TODAY()-WEEKDAY(TODAY(),2)+1,tbl_chests[datetime],"&lt;"&amp;TODAY()-WEEKDAY(TODAY(),2)+8)))</f>
        <v>0</v>
      </c>
      <c r="AI84" s="36">
        <f ca="1">IF($A84="","",IF(AI$1="","",COUNTIFS(tbl_chests[from],$A84,tbl_chests[legalized],AI$1,tbl_chests[datetime],"&gt;="&amp;TODAY()-WEEKDAY(TODAY(),2)+1,tbl_chests[datetime],"&lt;"&amp;TODAY()-WEEKDAY(TODAY(),2)+8)))</f>
        <v>0</v>
      </c>
      <c r="AJ84" s="36">
        <f ca="1">IF($A84="","",IF(AJ$1="","",COUNTIFS(tbl_chests[from],$A84,tbl_chests[legalized],AJ$1,tbl_chests[datetime],"&gt;="&amp;TODAY()-WEEKDAY(TODAY(),2)+1,tbl_chests[datetime],"&lt;"&amp;TODAY()-WEEKDAY(TODAY(),2)+8)))</f>
        <v>0</v>
      </c>
      <c r="AK84" s="36">
        <f ca="1">IF($A84="","",IF(AK$1="","",COUNTIFS(tbl_chests[from],$A84,tbl_chests[legalized],AK$1,tbl_chests[datetime],"&gt;="&amp;TODAY()-WEEKDAY(TODAY(),2)+1,tbl_chests[datetime],"&lt;"&amp;TODAY()-WEEKDAY(TODAY(),2)+8)))</f>
        <v>0</v>
      </c>
      <c r="AL84" s="36">
        <f ca="1">IF($A84="","",IF(AL$1="","",COUNTIFS(tbl_chests[from],$A84,tbl_chests[legalized],AL$1,tbl_chests[datetime],"&gt;="&amp;TODAY()-WEEKDAY(TODAY(),2)+1,tbl_chests[datetime],"&lt;"&amp;TODAY()-WEEKDAY(TODAY(),2)+8)))</f>
        <v>0</v>
      </c>
      <c r="AM84" s="37">
        <f ca="1">IF($A84="","",IF(AM$1="","",COUNTIFS(tbl_chests[from],$A84,tbl_chests[legalized],AM$1,tbl_chests[datetime],"&gt;="&amp;TODAY()-WEEKDAY(TODAY(),2)+1,tbl_chests[datetime],"&lt;"&amp;TODAY()-WEEKDAY(TODAY(),2)+8)))</f>
        <v>0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 spans="1:67" ht="15.75" customHeight="1" x14ac:dyDescent="0.25">
      <c r="A85" s="34">
        <f>chests_counter!$H82</f>
        <v>0</v>
      </c>
      <c r="B85" s="35" cm="1">
        <f t="array" aca="1" ref="B85" ca="1">IF(A85&lt;&gt;"", SUMPRODUCT(($C$2:$AM$2&lt;&gt;0)*(C85:AM85&lt;&gt;0)*($C$2:$AM$2)*(C85:AM85)), "")</f>
        <v>0</v>
      </c>
      <c r="C85" s="36">
        <f ca="1">IF($A85="","",IF(C$1="","",COUNTIFS(tbl_chests[from],$A85,tbl_chests[legalized],C$1,tbl_chests[datetime],"&gt;="&amp;TODAY()-WEEKDAY(TODAY(),2)+1,tbl_chests[datetime],"&lt;"&amp;TODAY()-WEEKDAY(TODAY(),2)+8)))</f>
        <v>0</v>
      </c>
      <c r="D85" s="36">
        <f ca="1">IF($A85="","",IF(D$1="","",COUNTIFS(tbl_chests[from],$A85,tbl_chests[legalized],D$1,tbl_chests[datetime],"&gt;="&amp;TODAY()-WEEKDAY(TODAY(),2)+1,tbl_chests[datetime],"&lt;"&amp;TODAY()-WEEKDAY(TODAY(),2)+8)))</f>
        <v>0</v>
      </c>
      <c r="E85" s="36">
        <f ca="1">IF($A85="","",IF(E$1="","",COUNTIFS(tbl_chests[from],$A85,tbl_chests[legalized],E$1,tbl_chests[datetime],"&gt;="&amp;TODAY()-WEEKDAY(TODAY(),2)+1,tbl_chests[datetime],"&lt;"&amp;TODAY()-WEEKDAY(TODAY(),2)+8)))</f>
        <v>0</v>
      </c>
      <c r="F85" s="36">
        <f ca="1">IF($A85="","",IF(F$1="","",COUNTIFS(tbl_chests[from],$A85,tbl_chests[legalized],F$1,tbl_chests[datetime],"&gt;="&amp;TODAY()-WEEKDAY(TODAY(),2)+1,tbl_chests[datetime],"&lt;"&amp;TODAY()-WEEKDAY(TODAY(),2)+8)))</f>
        <v>0</v>
      </c>
      <c r="G85" s="36">
        <f ca="1">IF($A85="","",IF(G$1="","",COUNTIFS(tbl_chests[from],$A85,tbl_chests[legalized],G$1,tbl_chests[datetime],"&gt;="&amp;TODAY()-WEEKDAY(TODAY(),2)+1,tbl_chests[datetime],"&lt;"&amp;TODAY()-WEEKDAY(TODAY(),2)+8)))</f>
        <v>0</v>
      </c>
      <c r="H85" s="36">
        <f ca="1">IF($A85="","",IF(H$1="","",COUNTIFS(tbl_chests[from],$A85,tbl_chests[legalized],H$1,tbl_chests[datetime],"&gt;="&amp;TODAY()-WEEKDAY(TODAY(),2)+1,tbl_chests[datetime],"&lt;"&amp;TODAY()-WEEKDAY(TODAY(),2)+8)))</f>
        <v>0</v>
      </c>
      <c r="I85" s="36">
        <f ca="1">IF($A85="","",IF(I$1="","",COUNTIFS(tbl_chests[from],$A85,tbl_chests[legalized],I$1,tbl_chests[datetime],"&gt;="&amp;TODAY()-WEEKDAY(TODAY(),2)+1,tbl_chests[datetime],"&lt;"&amp;TODAY()-WEEKDAY(TODAY(),2)+8)))</f>
        <v>0</v>
      </c>
      <c r="J85" s="36">
        <f ca="1">IF($A85="","",IF(J$1="","",COUNTIFS(tbl_chests[from],$A85,tbl_chests[legalized],J$1,tbl_chests[datetime],"&gt;="&amp;TODAY()-WEEKDAY(TODAY(),2)+1,tbl_chests[datetime],"&lt;"&amp;TODAY()-WEEKDAY(TODAY(),2)+8)))</f>
        <v>0</v>
      </c>
      <c r="K85" s="36">
        <f ca="1">IF($A85="","",IF(K$1="","",COUNTIFS(tbl_chests[from],$A85,tbl_chests[legalized],K$1,tbl_chests[datetime],"&gt;="&amp;TODAY()-WEEKDAY(TODAY(),2)+1,tbl_chests[datetime],"&lt;"&amp;TODAY()-WEEKDAY(TODAY(),2)+8)))</f>
        <v>0</v>
      </c>
      <c r="L85" s="36">
        <f ca="1">IF($A85="","",IF(L$1="","",COUNTIFS(tbl_chests[from],$A85,tbl_chests[legalized],L$1,tbl_chests[datetime],"&gt;="&amp;TODAY()-WEEKDAY(TODAY(),2)+1,tbl_chests[datetime],"&lt;"&amp;TODAY()-WEEKDAY(TODAY(),2)+8)))</f>
        <v>0</v>
      </c>
      <c r="M85" s="36">
        <f ca="1">IF($A85="","",IF(M$1="","",COUNTIFS(tbl_chests[from],$A85,tbl_chests[legalized],M$1,tbl_chests[datetime],"&gt;="&amp;TODAY()-WEEKDAY(TODAY(),2)+1,tbl_chests[datetime],"&lt;"&amp;TODAY()-WEEKDAY(TODAY(),2)+8)))</f>
        <v>0</v>
      </c>
      <c r="N85" s="36">
        <f ca="1">IF($A85="","",IF(N$1="","",COUNTIFS(tbl_chests[from],$A85,tbl_chests[legalized],N$1,tbl_chests[datetime],"&gt;="&amp;TODAY()-WEEKDAY(TODAY(),2)+1,tbl_chests[datetime],"&lt;"&amp;TODAY()-WEEKDAY(TODAY(),2)+8)))</f>
        <v>0</v>
      </c>
      <c r="O85" s="36">
        <f ca="1">IF($A85="","",IF(O$1="","",COUNTIFS(tbl_chests[from],$A85,tbl_chests[legalized],O$1,tbl_chests[datetime],"&gt;="&amp;TODAY()-WEEKDAY(TODAY(),2)+1,tbl_chests[datetime],"&lt;"&amp;TODAY()-WEEKDAY(TODAY(),2)+8)))</f>
        <v>0</v>
      </c>
      <c r="P85" s="36">
        <f ca="1">IF($A85="","",IF(P$1="","",COUNTIFS(tbl_chests[from],$A85,tbl_chests[legalized],P$1,tbl_chests[datetime],"&gt;="&amp;TODAY()-WEEKDAY(TODAY(),2)+1,tbl_chests[datetime],"&lt;"&amp;TODAY()-WEEKDAY(TODAY(),2)+8)))</f>
        <v>0</v>
      </c>
      <c r="Q85" s="36">
        <f ca="1">IF($A85="","",IF(Q$1="","",COUNTIFS(tbl_chests[from],$A85,tbl_chests[legalized],Q$1,tbl_chests[datetime],"&gt;="&amp;TODAY()-WEEKDAY(TODAY(),2)+1,tbl_chests[datetime],"&lt;"&amp;TODAY()-WEEKDAY(TODAY(),2)+8)))</f>
        <v>0</v>
      </c>
      <c r="R85" s="36">
        <f ca="1">IF($A85="","",IF(R$1="","",COUNTIFS(tbl_chests[from],$A85,tbl_chests[legalized],R$1,tbl_chests[datetime],"&gt;="&amp;TODAY()-WEEKDAY(TODAY(),2)+1,tbl_chests[datetime],"&lt;"&amp;TODAY()-WEEKDAY(TODAY(),2)+8)))</f>
        <v>0</v>
      </c>
      <c r="S85" s="36">
        <f ca="1">IF($A85="","",IF(S$1="","",COUNTIFS(tbl_chests[from],$A85,tbl_chests[legalized],S$1,tbl_chests[datetime],"&gt;="&amp;TODAY()-WEEKDAY(TODAY(),2)+1,tbl_chests[datetime],"&lt;"&amp;TODAY()-WEEKDAY(TODAY(),2)+8)))</f>
        <v>0</v>
      </c>
      <c r="T85" s="36">
        <f ca="1">IF($A85="","",IF(T$1="","",COUNTIFS(tbl_chests[from],$A85,tbl_chests[legalized],T$1,tbl_chests[datetime],"&gt;="&amp;TODAY()-WEEKDAY(TODAY(),2)+1,tbl_chests[datetime],"&lt;"&amp;TODAY()-WEEKDAY(TODAY(),2)+8)))</f>
        <v>0</v>
      </c>
      <c r="U85" s="36">
        <f ca="1">IF($A85="","",IF(U$1="","",COUNTIFS(tbl_chests[from],$A85,tbl_chests[legalized],U$1,tbl_chests[datetime],"&gt;="&amp;TODAY()-WEEKDAY(TODAY(),2)+1,tbl_chests[datetime],"&lt;"&amp;TODAY()-WEEKDAY(TODAY(),2)+8)))</f>
        <v>0</v>
      </c>
      <c r="V85" s="36">
        <f ca="1">IF($A85="","",IF(V$1="","",COUNTIFS(tbl_chests[from],$A85,tbl_chests[legalized],V$1,tbl_chests[datetime],"&gt;="&amp;TODAY()-WEEKDAY(TODAY(),2)+1,tbl_chests[datetime],"&lt;"&amp;TODAY()-WEEKDAY(TODAY(),2)+8)))</f>
        <v>0</v>
      </c>
      <c r="W85" s="36">
        <f ca="1">IF($A85="","",IF(W$1="","",COUNTIFS(tbl_chests[from],$A85,tbl_chests[legalized],W$1,tbl_chests[datetime],"&gt;="&amp;TODAY()-WEEKDAY(TODAY(),2)+1,tbl_chests[datetime],"&lt;"&amp;TODAY()-WEEKDAY(TODAY(),2)+8)))</f>
        <v>0</v>
      </c>
      <c r="X85" s="36">
        <f ca="1">IF($A85="","",IF(X$1="","",COUNTIFS(tbl_chests[from],$A85,tbl_chests[legalized],X$1,tbl_chests[datetime],"&gt;="&amp;TODAY()-WEEKDAY(TODAY(),2)+1,tbl_chests[datetime],"&lt;"&amp;TODAY()-WEEKDAY(TODAY(),2)+8)))</f>
        <v>0</v>
      </c>
      <c r="Y85" s="36">
        <f ca="1">IF($A85="","",IF(Y$1="","",COUNTIFS(tbl_chests[from],$A85,tbl_chests[legalized],Y$1,tbl_chests[datetime],"&gt;="&amp;TODAY()-WEEKDAY(TODAY(),2)+1,tbl_chests[datetime],"&lt;"&amp;TODAY()-WEEKDAY(TODAY(),2)+8)))</f>
        <v>0</v>
      </c>
      <c r="Z85" s="36">
        <f ca="1">IF($A85="","",IF(Z$1="","",COUNTIFS(tbl_chests[from],$A85,tbl_chests[legalized],Z$1,tbl_chests[datetime],"&gt;="&amp;TODAY()-WEEKDAY(TODAY(),2)+1,tbl_chests[datetime],"&lt;"&amp;TODAY()-WEEKDAY(TODAY(),2)+8)))</f>
        <v>0</v>
      </c>
      <c r="AA85" s="36">
        <f ca="1">IF($A85="","",IF(AA$1="","",COUNTIFS(tbl_chests[from],$A85,tbl_chests[legalized],AA$1,tbl_chests[datetime],"&gt;="&amp;TODAY()-WEEKDAY(TODAY(),2)+1,tbl_chests[datetime],"&lt;"&amp;TODAY()-WEEKDAY(TODAY(),2)+8)))</f>
        <v>0</v>
      </c>
      <c r="AB85" s="36">
        <f ca="1">IF($A85="","",IF(AB$1="","",COUNTIFS(tbl_chests[from],$A85,tbl_chests[legalized],AB$1,tbl_chests[datetime],"&gt;="&amp;TODAY()-WEEKDAY(TODAY(),2)+1,tbl_chests[datetime],"&lt;"&amp;TODAY()-WEEKDAY(TODAY(),2)+8)))</f>
        <v>0</v>
      </c>
      <c r="AC85" s="36">
        <f ca="1">IF($A85="","",IF(AC$1="","",COUNTIFS(tbl_chests[from],$A85,tbl_chests[legalized],AC$1,tbl_chests[datetime],"&gt;="&amp;TODAY()-WEEKDAY(TODAY(),2)+1,tbl_chests[datetime],"&lt;"&amp;TODAY()-WEEKDAY(TODAY(),2)+8)))</f>
        <v>0</v>
      </c>
      <c r="AD85" s="36">
        <f ca="1">IF($A85="","",IF(AD$1="","",COUNTIFS(tbl_chests[from],$A85,tbl_chests[legalized],AD$1,tbl_chests[datetime],"&gt;="&amp;TODAY()-WEEKDAY(TODAY(),2)+1,tbl_chests[datetime],"&lt;"&amp;TODAY()-WEEKDAY(TODAY(),2)+8)))</f>
        <v>0</v>
      </c>
      <c r="AE85" s="36">
        <f ca="1">IF($A85="","",IF(AE$1="","",COUNTIFS(tbl_chests[from],$A85,tbl_chests[legalized],AE$1,tbl_chests[datetime],"&gt;="&amp;TODAY()-WEEKDAY(TODAY(),2)+1,tbl_chests[datetime],"&lt;"&amp;TODAY()-WEEKDAY(TODAY(),2)+8)))</f>
        <v>0</v>
      </c>
      <c r="AF85" s="36">
        <f ca="1">IF($A85="","",IF(AF$1="","",COUNTIFS(tbl_chests[from],$A85,tbl_chests[legalized],AF$1,tbl_chests[datetime],"&gt;="&amp;TODAY()-WEEKDAY(TODAY(),2)+1,tbl_chests[datetime],"&lt;"&amp;TODAY()-WEEKDAY(TODAY(),2)+8)))</f>
        <v>0</v>
      </c>
      <c r="AG85" s="36">
        <f ca="1">IF($A85="","",IF(AG$1="","",COUNTIFS(tbl_chests[from],$A85,tbl_chests[legalized],AG$1,tbl_chests[datetime],"&gt;="&amp;TODAY()-WEEKDAY(TODAY(),2)+1,tbl_chests[datetime],"&lt;"&amp;TODAY()-WEEKDAY(TODAY(),2)+8)))</f>
        <v>0</v>
      </c>
      <c r="AH85" s="36">
        <f ca="1">IF($A85="","",IF(AH$1="","",COUNTIFS(tbl_chests[from],$A85,tbl_chests[legalized],AH$1,tbl_chests[datetime],"&gt;="&amp;TODAY()-WEEKDAY(TODAY(),2)+1,tbl_chests[datetime],"&lt;"&amp;TODAY()-WEEKDAY(TODAY(),2)+8)))</f>
        <v>0</v>
      </c>
      <c r="AI85" s="36">
        <f ca="1">IF($A85="","",IF(AI$1="","",COUNTIFS(tbl_chests[from],$A85,tbl_chests[legalized],AI$1,tbl_chests[datetime],"&gt;="&amp;TODAY()-WEEKDAY(TODAY(),2)+1,tbl_chests[datetime],"&lt;"&amp;TODAY()-WEEKDAY(TODAY(),2)+8)))</f>
        <v>0</v>
      </c>
      <c r="AJ85" s="36">
        <f ca="1">IF($A85="","",IF(AJ$1="","",COUNTIFS(tbl_chests[from],$A85,tbl_chests[legalized],AJ$1,tbl_chests[datetime],"&gt;="&amp;TODAY()-WEEKDAY(TODAY(),2)+1,tbl_chests[datetime],"&lt;"&amp;TODAY()-WEEKDAY(TODAY(),2)+8)))</f>
        <v>0</v>
      </c>
      <c r="AK85" s="36">
        <f ca="1">IF($A85="","",IF(AK$1="","",COUNTIFS(tbl_chests[from],$A85,tbl_chests[legalized],AK$1,tbl_chests[datetime],"&gt;="&amp;TODAY()-WEEKDAY(TODAY(),2)+1,tbl_chests[datetime],"&lt;"&amp;TODAY()-WEEKDAY(TODAY(),2)+8)))</f>
        <v>0</v>
      </c>
      <c r="AL85" s="36">
        <f ca="1">IF($A85="","",IF(AL$1="","",COUNTIFS(tbl_chests[from],$A85,tbl_chests[legalized],AL$1,tbl_chests[datetime],"&gt;="&amp;TODAY()-WEEKDAY(TODAY(),2)+1,tbl_chests[datetime],"&lt;"&amp;TODAY()-WEEKDAY(TODAY(),2)+8)))</f>
        <v>0</v>
      </c>
      <c r="AM85" s="37">
        <f ca="1">IF($A85="","",IF(AM$1="","",COUNTIFS(tbl_chests[from],$A85,tbl_chests[legalized],AM$1,tbl_chests[datetime],"&gt;="&amp;TODAY()-WEEKDAY(TODAY(),2)+1,tbl_chests[datetime],"&lt;"&amp;TODAY()-WEEKDAY(TODAY(),2)+8)))</f>
        <v>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 spans="1:67" ht="15.75" customHeight="1" x14ac:dyDescent="0.25">
      <c r="A86" s="34">
        <f>chests_counter!$H83</f>
        <v>0</v>
      </c>
      <c r="B86" s="35" cm="1">
        <f t="array" aca="1" ref="B86" ca="1">IF(A86&lt;&gt;"", SUMPRODUCT(($C$2:$AM$2&lt;&gt;0)*(C86:AM86&lt;&gt;0)*($C$2:$AM$2)*(C86:AM86)), "")</f>
        <v>0</v>
      </c>
      <c r="C86" s="36">
        <f ca="1">IF($A86="","",IF(C$1="","",COUNTIFS(tbl_chests[from],$A86,tbl_chests[legalized],C$1,tbl_chests[datetime],"&gt;="&amp;TODAY()-WEEKDAY(TODAY(),2)+1,tbl_chests[datetime],"&lt;"&amp;TODAY()-WEEKDAY(TODAY(),2)+8)))</f>
        <v>0</v>
      </c>
      <c r="D86" s="36">
        <f ca="1">IF($A86="","",IF(D$1="","",COUNTIFS(tbl_chests[from],$A86,tbl_chests[legalized],D$1,tbl_chests[datetime],"&gt;="&amp;TODAY()-WEEKDAY(TODAY(),2)+1,tbl_chests[datetime],"&lt;"&amp;TODAY()-WEEKDAY(TODAY(),2)+8)))</f>
        <v>0</v>
      </c>
      <c r="E86" s="36">
        <f ca="1">IF($A86="","",IF(E$1="","",COUNTIFS(tbl_chests[from],$A86,tbl_chests[legalized],E$1,tbl_chests[datetime],"&gt;="&amp;TODAY()-WEEKDAY(TODAY(),2)+1,tbl_chests[datetime],"&lt;"&amp;TODAY()-WEEKDAY(TODAY(),2)+8)))</f>
        <v>0</v>
      </c>
      <c r="F86" s="36">
        <f ca="1">IF($A86="","",IF(F$1="","",COUNTIFS(tbl_chests[from],$A86,tbl_chests[legalized],F$1,tbl_chests[datetime],"&gt;="&amp;TODAY()-WEEKDAY(TODAY(),2)+1,tbl_chests[datetime],"&lt;"&amp;TODAY()-WEEKDAY(TODAY(),2)+8)))</f>
        <v>0</v>
      </c>
      <c r="G86" s="36">
        <f ca="1">IF($A86="","",IF(G$1="","",COUNTIFS(tbl_chests[from],$A86,tbl_chests[legalized],G$1,tbl_chests[datetime],"&gt;="&amp;TODAY()-WEEKDAY(TODAY(),2)+1,tbl_chests[datetime],"&lt;"&amp;TODAY()-WEEKDAY(TODAY(),2)+8)))</f>
        <v>0</v>
      </c>
      <c r="H86" s="36">
        <f ca="1">IF($A86="","",IF(H$1="","",COUNTIFS(tbl_chests[from],$A86,tbl_chests[legalized],H$1,tbl_chests[datetime],"&gt;="&amp;TODAY()-WEEKDAY(TODAY(),2)+1,tbl_chests[datetime],"&lt;"&amp;TODAY()-WEEKDAY(TODAY(),2)+8)))</f>
        <v>0</v>
      </c>
      <c r="I86" s="36">
        <f ca="1">IF($A86="","",IF(I$1="","",COUNTIFS(tbl_chests[from],$A86,tbl_chests[legalized],I$1,tbl_chests[datetime],"&gt;="&amp;TODAY()-WEEKDAY(TODAY(),2)+1,tbl_chests[datetime],"&lt;"&amp;TODAY()-WEEKDAY(TODAY(),2)+8)))</f>
        <v>0</v>
      </c>
      <c r="J86" s="36">
        <f ca="1">IF($A86="","",IF(J$1="","",COUNTIFS(tbl_chests[from],$A86,tbl_chests[legalized],J$1,tbl_chests[datetime],"&gt;="&amp;TODAY()-WEEKDAY(TODAY(),2)+1,tbl_chests[datetime],"&lt;"&amp;TODAY()-WEEKDAY(TODAY(),2)+8)))</f>
        <v>0</v>
      </c>
      <c r="K86" s="36">
        <f ca="1">IF($A86="","",IF(K$1="","",COUNTIFS(tbl_chests[from],$A86,tbl_chests[legalized],K$1,tbl_chests[datetime],"&gt;="&amp;TODAY()-WEEKDAY(TODAY(),2)+1,tbl_chests[datetime],"&lt;"&amp;TODAY()-WEEKDAY(TODAY(),2)+8)))</f>
        <v>0</v>
      </c>
      <c r="L86" s="36">
        <f ca="1">IF($A86="","",IF(L$1="","",COUNTIFS(tbl_chests[from],$A86,tbl_chests[legalized],L$1,tbl_chests[datetime],"&gt;="&amp;TODAY()-WEEKDAY(TODAY(),2)+1,tbl_chests[datetime],"&lt;"&amp;TODAY()-WEEKDAY(TODAY(),2)+8)))</f>
        <v>0</v>
      </c>
      <c r="M86" s="36">
        <f ca="1">IF($A86="","",IF(M$1="","",COUNTIFS(tbl_chests[from],$A86,tbl_chests[legalized],M$1,tbl_chests[datetime],"&gt;="&amp;TODAY()-WEEKDAY(TODAY(),2)+1,tbl_chests[datetime],"&lt;"&amp;TODAY()-WEEKDAY(TODAY(),2)+8)))</f>
        <v>0</v>
      </c>
      <c r="N86" s="36">
        <f ca="1">IF($A86="","",IF(N$1="","",COUNTIFS(tbl_chests[from],$A86,tbl_chests[legalized],N$1,tbl_chests[datetime],"&gt;="&amp;TODAY()-WEEKDAY(TODAY(),2)+1,tbl_chests[datetime],"&lt;"&amp;TODAY()-WEEKDAY(TODAY(),2)+8)))</f>
        <v>0</v>
      </c>
      <c r="O86" s="36">
        <f ca="1">IF($A86="","",IF(O$1="","",COUNTIFS(tbl_chests[from],$A86,tbl_chests[legalized],O$1,tbl_chests[datetime],"&gt;="&amp;TODAY()-WEEKDAY(TODAY(),2)+1,tbl_chests[datetime],"&lt;"&amp;TODAY()-WEEKDAY(TODAY(),2)+8)))</f>
        <v>0</v>
      </c>
      <c r="P86" s="36">
        <f ca="1">IF($A86="","",IF(P$1="","",COUNTIFS(tbl_chests[from],$A86,tbl_chests[legalized],P$1,tbl_chests[datetime],"&gt;="&amp;TODAY()-WEEKDAY(TODAY(),2)+1,tbl_chests[datetime],"&lt;"&amp;TODAY()-WEEKDAY(TODAY(),2)+8)))</f>
        <v>0</v>
      </c>
      <c r="Q86" s="36">
        <f ca="1">IF($A86="","",IF(Q$1="","",COUNTIFS(tbl_chests[from],$A86,tbl_chests[legalized],Q$1,tbl_chests[datetime],"&gt;="&amp;TODAY()-WEEKDAY(TODAY(),2)+1,tbl_chests[datetime],"&lt;"&amp;TODAY()-WEEKDAY(TODAY(),2)+8)))</f>
        <v>0</v>
      </c>
      <c r="R86" s="36">
        <f ca="1">IF($A86="","",IF(R$1="","",COUNTIFS(tbl_chests[from],$A86,tbl_chests[legalized],R$1,tbl_chests[datetime],"&gt;="&amp;TODAY()-WEEKDAY(TODAY(),2)+1,tbl_chests[datetime],"&lt;"&amp;TODAY()-WEEKDAY(TODAY(),2)+8)))</f>
        <v>0</v>
      </c>
      <c r="S86" s="36">
        <f ca="1">IF($A86="","",IF(S$1="","",COUNTIFS(tbl_chests[from],$A86,tbl_chests[legalized],S$1,tbl_chests[datetime],"&gt;="&amp;TODAY()-WEEKDAY(TODAY(),2)+1,tbl_chests[datetime],"&lt;"&amp;TODAY()-WEEKDAY(TODAY(),2)+8)))</f>
        <v>0</v>
      </c>
      <c r="T86" s="36">
        <f ca="1">IF($A86="","",IF(T$1="","",COUNTIFS(tbl_chests[from],$A86,tbl_chests[legalized],T$1,tbl_chests[datetime],"&gt;="&amp;TODAY()-WEEKDAY(TODAY(),2)+1,tbl_chests[datetime],"&lt;"&amp;TODAY()-WEEKDAY(TODAY(),2)+8)))</f>
        <v>0</v>
      </c>
      <c r="U86" s="36">
        <f ca="1">IF($A86="","",IF(U$1="","",COUNTIFS(tbl_chests[from],$A86,tbl_chests[legalized],U$1,tbl_chests[datetime],"&gt;="&amp;TODAY()-WEEKDAY(TODAY(),2)+1,tbl_chests[datetime],"&lt;"&amp;TODAY()-WEEKDAY(TODAY(),2)+8)))</f>
        <v>0</v>
      </c>
      <c r="V86" s="36">
        <f ca="1">IF($A86="","",IF(V$1="","",COUNTIFS(tbl_chests[from],$A86,tbl_chests[legalized],V$1,tbl_chests[datetime],"&gt;="&amp;TODAY()-WEEKDAY(TODAY(),2)+1,tbl_chests[datetime],"&lt;"&amp;TODAY()-WEEKDAY(TODAY(),2)+8)))</f>
        <v>0</v>
      </c>
      <c r="W86" s="36">
        <f ca="1">IF($A86="","",IF(W$1="","",COUNTIFS(tbl_chests[from],$A86,tbl_chests[legalized],W$1,tbl_chests[datetime],"&gt;="&amp;TODAY()-WEEKDAY(TODAY(),2)+1,tbl_chests[datetime],"&lt;"&amp;TODAY()-WEEKDAY(TODAY(),2)+8)))</f>
        <v>0</v>
      </c>
      <c r="X86" s="36">
        <f ca="1">IF($A86="","",IF(X$1="","",COUNTIFS(tbl_chests[from],$A86,tbl_chests[legalized],X$1,tbl_chests[datetime],"&gt;="&amp;TODAY()-WEEKDAY(TODAY(),2)+1,tbl_chests[datetime],"&lt;"&amp;TODAY()-WEEKDAY(TODAY(),2)+8)))</f>
        <v>0</v>
      </c>
      <c r="Y86" s="36">
        <f ca="1">IF($A86="","",IF(Y$1="","",COUNTIFS(tbl_chests[from],$A86,tbl_chests[legalized],Y$1,tbl_chests[datetime],"&gt;="&amp;TODAY()-WEEKDAY(TODAY(),2)+1,tbl_chests[datetime],"&lt;"&amp;TODAY()-WEEKDAY(TODAY(),2)+8)))</f>
        <v>0</v>
      </c>
      <c r="Z86" s="36">
        <f ca="1">IF($A86="","",IF(Z$1="","",COUNTIFS(tbl_chests[from],$A86,tbl_chests[legalized],Z$1,tbl_chests[datetime],"&gt;="&amp;TODAY()-WEEKDAY(TODAY(),2)+1,tbl_chests[datetime],"&lt;"&amp;TODAY()-WEEKDAY(TODAY(),2)+8)))</f>
        <v>0</v>
      </c>
      <c r="AA86" s="36">
        <f ca="1">IF($A86="","",IF(AA$1="","",COUNTIFS(tbl_chests[from],$A86,tbl_chests[legalized],AA$1,tbl_chests[datetime],"&gt;="&amp;TODAY()-WEEKDAY(TODAY(),2)+1,tbl_chests[datetime],"&lt;"&amp;TODAY()-WEEKDAY(TODAY(),2)+8)))</f>
        <v>0</v>
      </c>
      <c r="AB86" s="36">
        <f ca="1">IF($A86="","",IF(AB$1="","",COUNTIFS(tbl_chests[from],$A86,tbl_chests[legalized],AB$1,tbl_chests[datetime],"&gt;="&amp;TODAY()-WEEKDAY(TODAY(),2)+1,tbl_chests[datetime],"&lt;"&amp;TODAY()-WEEKDAY(TODAY(),2)+8)))</f>
        <v>0</v>
      </c>
      <c r="AC86" s="36">
        <f ca="1">IF($A86="","",IF(AC$1="","",COUNTIFS(tbl_chests[from],$A86,tbl_chests[legalized],AC$1,tbl_chests[datetime],"&gt;="&amp;TODAY()-WEEKDAY(TODAY(),2)+1,tbl_chests[datetime],"&lt;"&amp;TODAY()-WEEKDAY(TODAY(),2)+8)))</f>
        <v>0</v>
      </c>
      <c r="AD86" s="36">
        <f ca="1">IF($A86="","",IF(AD$1="","",COUNTIFS(tbl_chests[from],$A86,tbl_chests[legalized],AD$1,tbl_chests[datetime],"&gt;="&amp;TODAY()-WEEKDAY(TODAY(),2)+1,tbl_chests[datetime],"&lt;"&amp;TODAY()-WEEKDAY(TODAY(),2)+8)))</f>
        <v>0</v>
      </c>
      <c r="AE86" s="36">
        <f ca="1">IF($A86="","",IF(AE$1="","",COUNTIFS(tbl_chests[from],$A86,tbl_chests[legalized],AE$1,tbl_chests[datetime],"&gt;="&amp;TODAY()-WEEKDAY(TODAY(),2)+1,tbl_chests[datetime],"&lt;"&amp;TODAY()-WEEKDAY(TODAY(),2)+8)))</f>
        <v>0</v>
      </c>
      <c r="AF86" s="36">
        <f ca="1">IF($A86="","",IF(AF$1="","",COUNTIFS(tbl_chests[from],$A86,tbl_chests[legalized],AF$1,tbl_chests[datetime],"&gt;="&amp;TODAY()-WEEKDAY(TODAY(),2)+1,tbl_chests[datetime],"&lt;"&amp;TODAY()-WEEKDAY(TODAY(),2)+8)))</f>
        <v>0</v>
      </c>
      <c r="AG86" s="36">
        <f ca="1">IF($A86="","",IF(AG$1="","",COUNTIFS(tbl_chests[from],$A86,tbl_chests[legalized],AG$1,tbl_chests[datetime],"&gt;="&amp;TODAY()-WEEKDAY(TODAY(),2)+1,tbl_chests[datetime],"&lt;"&amp;TODAY()-WEEKDAY(TODAY(),2)+8)))</f>
        <v>0</v>
      </c>
      <c r="AH86" s="36">
        <f ca="1">IF($A86="","",IF(AH$1="","",COUNTIFS(tbl_chests[from],$A86,tbl_chests[legalized],AH$1,tbl_chests[datetime],"&gt;="&amp;TODAY()-WEEKDAY(TODAY(),2)+1,tbl_chests[datetime],"&lt;"&amp;TODAY()-WEEKDAY(TODAY(),2)+8)))</f>
        <v>0</v>
      </c>
      <c r="AI86" s="36">
        <f ca="1">IF($A86="","",IF(AI$1="","",COUNTIFS(tbl_chests[from],$A86,tbl_chests[legalized],AI$1,tbl_chests[datetime],"&gt;="&amp;TODAY()-WEEKDAY(TODAY(),2)+1,tbl_chests[datetime],"&lt;"&amp;TODAY()-WEEKDAY(TODAY(),2)+8)))</f>
        <v>0</v>
      </c>
      <c r="AJ86" s="36">
        <f ca="1">IF($A86="","",IF(AJ$1="","",COUNTIFS(tbl_chests[from],$A86,tbl_chests[legalized],AJ$1,tbl_chests[datetime],"&gt;="&amp;TODAY()-WEEKDAY(TODAY(),2)+1,tbl_chests[datetime],"&lt;"&amp;TODAY()-WEEKDAY(TODAY(),2)+8)))</f>
        <v>0</v>
      </c>
      <c r="AK86" s="36">
        <f ca="1">IF($A86="","",IF(AK$1="","",COUNTIFS(tbl_chests[from],$A86,tbl_chests[legalized],AK$1,tbl_chests[datetime],"&gt;="&amp;TODAY()-WEEKDAY(TODAY(),2)+1,tbl_chests[datetime],"&lt;"&amp;TODAY()-WEEKDAY(TODAY(),2)+8)))</f>
        <v>0</v>
      </c>
      <c r="AL86" s="36">
        <f ca="1">IF($A86="","",IF(AL$1="","",COUNTIFS(tbl_chests[from],$A86,tbl_chests[legalized],AL$1,tbl_chests[datetime],"&gt;="&amp;TODAY()-WEEKDAY(TODAY(),2)+1,tbl_chests[datetime],"&lt;"&amp;TODAY()-WEEKDAY(TODAY(),2)+8)))</f>
        <v>0</v>
      </c>
      <c r="AM86" s="37">
        <f ca="1">IF($A86="","",IF(AM$1="","",COUNTIFS(tbl_chests[from],$A86,tbl_chests[legalized],AM$1,tbl_chests[datetime],"&gt;="&amp;TODAY()-WEEKDAY(TODAY(),2)+1,tbl_chests[datetime],"&lt;"&amp;TODAY()-WEEKDAY(TODAY(),2)+8)))</f>
        <v>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 spans="1:67" ht="15.75" customHeight="1" x14ac:dyDescent="0.25">
      <c r="A87" s="34">
        <f>chests_counter!$H84</f>
        <v>0</v>
      </c>
      <c r="B87" s="35" cm="1">
        <f t="array" aca="1" ref="B87" ca="1">IF(A87&lt;&gt;"", SUMPRODUCT(($C$2:$AM$2&lt;&gt;0)*(C87:AM87&lt;&gt;0)*($C$2:$AM$2)*(C87:AM87)), "")</f>
        <v>0</v>
      </c>
      <c r="C87" s="36">
        <f ca="1">IF($A87="","",IF(C$1="","",COUNTIFS(tbl_chests[from],$A87,tbl_chests[legalized],C$1,tbl_chests[datetime],"&gt;="&amp;TODAY()-WEEKDAY(TODAY(),2)+1,tbl_chests[datetime],"&lt;"&amp;TODAY()-WEEKDAY(TODAY(),2)+8)))</f>
        <v>0</v>
      </c>
      <c r="D87" s="36">
        <f ca="1">IF($A87="","",IF(D$1="","",COUNTIFS(tbl_chests[from],$A87,tbl_chests[legalized],D$1,tbl_chests[datetime],"&gt;="&amp;TODAY()-WEEKDAY(TODAY(),2)+1,tbl_chests[datetime],"&lt;"&amp;TODAY()-WEEKDAY(TODAY(),2)+8)))</f>
        <v>0</v>
      </c>
      <c r="E87" s="36">
        <f ca="1">IF($A87="","",IF(E$1="","",COUNTIFS(tbl_chests[from],$A87,tbl_chests[legalized],E$1,tbl_chests[datetime],"&gt;="&amp;TODAY()-WEEKDAY(TODAY(),2)+1,tbl_chests[datetime],"&lt;"&amp;TODAY()-WEEKDAY(TODAY(),2)+8)))</f>
        <v>0</v>
      </c>
      <c r="F87" s="36">
        <f ca="1">IF($A87="","",IF(F$1="","",COUNTIFS(tbl_chests[from],$A87,tbl_chests[legalized],F$1,tbl_chests[datetime],"&gt;="&amp;TODAY()-WEEKDAY(TODAY(),2)+1,tbl_chests[datetime],"&lt;"&amp;TODAY()-WEEKDAY(TODAY(),2)+8)))</f>
        <v>0</v>
      </c>
      <c r="G87" s="36">
        <f ca="1">IF($A87="","",IF(G$1="","",COUNTIFS(tbl_chests[from],$A87,tbl_chests[legalized],G$1,tbl_chests[datetime],"&gt;="&amp;TODAY()-WEEKDAY(TODAY(),2)+1,tbl_chests[datetime],"&lt;"&amp;TODAY()-WEEKDAY(TODAY(),2)+8)))</f>
        <v>0</v>
      </c>
      <c r="H87" s="36">
        <f ca="1">IF($A87="","",IF(H$1="","",COUNTIFS(tbl_chests[from],$A87,tbl_chests[legalized],H$1,tbl_chests[datetime],"&gt;="&amp;TODAY()-WEEKDAY(TODAY(),2)+1,tbl_chests[datetime],"&lt;"&amp;TODAY()-WEEKDAY(TODAY(),2)+8)))</f>
        <v>0</v>
      </c>
      <c r="I87" s="36">
        <f ca="1">IF($A87="","",IF(I$1="","",COUNTIFS(tbl_chests[from],$A87,tbl_chests[legalized],I$1,tbl_chests[datetime],"&gt;="&amp;TODAY()-WEEKDAY(TODAY(),2)+1,tbl_chests[datetime],"&lt;"&amp;TODAY()-WEEKDAY(TODAY(),2)+8)))</f>
        <v>0</v>
      </c>
      <c r="J87" s="36">
        <f ca="1">IF($A87="","",IF(J$1="","",COUNTIFS(tbl_chests[from],$A87,tbl_chests[legalized],J$1,tbl_chests[datetime],"&gt;="&amp;TODAY()-WEEKDAY(TODAY(),2)+1,tbl_chests[datetime],"&lt;"&amp;TODAY()-WEEKDAY(TODAY(),2)+8)))</f>
        <v>0</v>
      </c>
      <c r="K87" s="36">
        <f ca="1">IF($A87="","",IF(K$1="","",COUNTIFS(tbl_chests[from],$A87,tbl_chests[legalized],K$1,tbl_chests[datetime],"&gt;="&amp;TODAY()-WEEKDAY(TODAY(),2)+1,tbl_chests[datetime],"&lt;"&amp;TODAY()-WEEKDAY(TODAY(),2)+8)))</f>
        <v>0</v>
      </c>
      <c r="L87" s="36">
        <f ca="1">IF($A87="","",IF(L$1="","",COUNTIFS(tbl_chests[from],$A87,tbl_chests[legalized],L$1,tbl_chests[datetime],"&gt;="&amp;TODAY()-WEEKDAY(TODAY(),2)+1,tbl_chests[datetime],"&lt;"&amp;TODAY()-WEEKDAY(TODAY(),2)+8)))</f>
        <v>0</v>
      </c>
      <c r="M87" s="36">
        <f ca="1">IF($A87="","",IF(M$1="","",COUNTIFS(tbl_chests[from],$A87,tbl_chests[legalized],M$1,tbl_chests[datetime],"&gt;="&amp;TODAY()-WEEKDAY(TODAY(),2)+1,tbl_chests[datetime],"&lt;"&amp;TODAY()-WEEKDAY(TODAY(),2)+8)))</f>
        <v>0</v>
      </c>
      <c r="N87" s="36">
        <f ca="1">IF($A87="","",IF(N$1="","",COUNTIFS(tbl_chests[from],$A87,tbl_chests[legalized],N$1,tbl_chests[datetime],"&gt;="&amp;TODAY()-WEEKDAY(TODAY(),2)+1,tbl_chests[datetime],"&lt;"&amp;TODAY()-WEEKDAY(TODAY(),2)+8)))</f>
        <v>0</v>
      </c>
      <c r="O87" s="36">
        <f ca="1">IF($A87="","",IF(O$1="","",COUNTIFS(tbl_chests[from],$A87,tbl_chests[legalized],O$1,tbl_chests[datetime],"&gt;="&amp;TODAY()-WEEKDAY(TODAY(),2)+1,tbl_chests[datetime],"&lt;"&amp;TODAY()-WEEKDAY(TODAY(),2)+8)))</f>
        <v>0</v>
      </c>
      <c r="P87" s="36">
        <f ca="1">IF($A87="","",IF(P$1="","",COUNTIFS(tbl_chests[from],$A87,tbl_chests[legalized],P$1,tbl_chests[datetime],"&gt;="&amp;TODAY()-WEEKDAY(TODAY(),2)+1,tbl_chests[datetime],"&lt;"&amp;TODAY()-WEEKDAY(TODAY(),2)+8)))</f>
        <v>0</v>
      </c>
      <c r="Q87" s="36">
        <f ca="1">IF($A87="","",IF(Q$1="","",COUNTIFS(tbl_chests[from],$A87,tbl_chests[legalized],Q$1,tbl_chests[datetime],"&gt;="&amp;TODAY()-WEEKDAY(TODAY(),2)+1,tbl_chests[datetime],"&lt;"&amp;TODAY()-WEEKDAY(TODAY(),2)+8)))</f>
        <v>0</v>
      </c>
      <c r="R87" s="36">
        <f ca="1">IF($A87="","",IF(R$1="","",COUNTIFS(tbl_chests[from],$A87,tbl_chests[legalized],R$1,tbl_chests[datetime],"&gt;="&amp;TODAY()-WEEKDAY(TODAY(),2)+1,tbl_chests[datetime],"&lt;"&amp;TODAY()-WEEKDAY(TODAY(),2)+8)))</f>
        <v>0</v>
      </c>
      <c r="S87" s="36">
        <f ca="1">IF($A87="","",IF(S$1="","",COUNTIFS(tbl_chests[from],$A87,tbl_chests[legalized],S$1,tbl_chests[datetime],"&gt;="&amp;TODAY()-WEEKDAY(TODAY(),2)+1,tbl_chests[datetime],"&lt;"&amp;TODAY()-WEEKDAY(TODAY(),2)+8)))</f>
        <v>0</v>
      </c>
      <c r="T87" s="36">
        <f ca="1">IF($A87="","",IF(T$1="","",COUNTIFS(tbl_chests[from],$A87,tbl_chests[legalized],T$1,tbl_chests[datetime],"&gt;="&amp;TODAY()-WEEKDAY(TODAY(),2)+1,tbl_chests[datetime],"&lt;"&amp;TODAY()-WEEKDAY(TODAY(),2)+8)))</f>
        <v>0</v>
      </c>
      <c r="U87" s="36">
        <f ca="1">IF($A87="","",IF(U$1="","",COUNTIFS(tbl_chests[from],$A87,tbl_chests[legalized],U$1,tbl_chests[datetime],"&gt;="&amp;TODAY()-WEEKDAY(TODAY(),2)+1,tbl_chests[datetime],"&lt;"&amp;TODAY()-WEEKDAY(TODAY(),2)+8)))</f>
        <v>0</v>
      </c>
      <c r="V87" s="36">
        <f ca="1">IF($A87="","",IF(V$1="","",COUNTIFS(tbl_chests[from],$A87,tbl_chests[legalized],V$1,tbl_chests[datetime],"&gt;="&amp;TODAY()-WEEKDAY(TODAY(),2)+1,tbl_chests[datetime],"&lt;"&amp;TODAY()-WEEKDAY(TODAY(),2)+8)))</f>
        <v>0</v>
      </c>
      <c r="W87" s="36">
        <f ca="1">IF($A87="","",IF(W$1="","",COUNTIFS(tbl_chests[from],$A87,tbl_chests[legalized],W$1,tbl_chests[datetime],"&gt;="&amp;TODAY()-WEEKDAY(TODAY(),2)+1,tbl_chests[datetime],"&lt;"&amp;TODAY()-WEEKDAY(TODAY(),2)+8)))</f>
        <v>0</v>
      </c>
      <c r="X87" s="36">
        <f ca="1">IF($A87="","",IF(X$1="","",COUNTIFS(tbl_chests[from],$A87,tbl_chests[legalized],X$1,tbl_chests[datetime],"&gt;="&amp;TODAY()-WEEKDAY(TODAY(),2)+1,tbl_chests[datetime],"&lt;"&amp;TODAY()-WEEKDAY(TODAY(),2)+8)))</f>
        <v>0</v>
      </c>
      <c r="Y87" s="36">
        <f ca="1">IF($A87="","",IF(Y$1="","",COUNTIFS(tbl_chests[from],$A87,tbl_chests[legalized],Y$1,tbl_chests[datetime],"&gt;="&amp;TODAY()-WEEKDAY(TODAY(),2)+1,tbl_chests[datetime],"&lt;"&amp;TODAY()-WEEKDAY(TODAY(),2)+8)))</f>
        <v>0</v>
      </c>
      <c r="Z87" s="36">
        <f ca="1">IF($A87="","",IF(Z$1="","",COUNTIFS(tbl_chests[from],$A87,tbl_chests[legalized],Z$1,tbl_chests[datetime],"&gt;="&amp;TODAY()-WEEKDAY(TODAY(),2)+1,tbl_chests[datetime],"&lt;"&amp;TODAY()-WEEKDAY(TODAY(),2)+8)))</f>
        <v>0</v>
      </c>
      <c r="AA87" s="36">
        <f ca="1">IF($A87="","",IF(AA$1="","",COUNTIFS(tbl_chests[from],$A87,tbl_chests[legalized],AA$1,tbl_chests[datetime],"&gt;="&amp;TODAY()-WEEKDAY(TODAY(),2)+1,tbl_chests[datetime],"&lt;"&amp;TODAY()-WEEKDAY(TODAY(),2)+8)))</f>
        <v>0</v>
      </c>
      <c r="AB87" s="36">
        <f ca="1">IF($A87="","",IF(AB$1="","",COUNTIFS(tbl_chests[from],$A87,tbl_chests[legalized],AB$1,tbl_chests[datetime],"&gt;="&amp;TODAY()-WEEKDAY(TODAY(),2)+1,tbl_chests[datetime],"&lt;"&amp;TODAY()-WEEKDAY(TODAY(),2)+8)))</f>
        <v>0</v>
      </c>
      <c r="AC87" s="36">
        <f ca="1">IF($A87="","",IF(AC$1="","",COUNTIFS(tbl_chests[from],$A87,tbl_chests[legalized],AC$1,tbl_chests[datetime],"&gt;="&amp;TODAY()-WEEKDAY(TODAY(),2)+1,tbl_chests[datetime],"&lt;"&amp;TODAY()-WEEKDAY(TODAY(),2)+8)))</f>
        <v>0</v>
      </c>
      <c r="AD87" s="36">
        <f ca="1">IF($A87="","",IF(AD$1="","",COUNTIFS(tbl_chests[from],$A87,tbl_chests[legalized],AD$1,tbl_chests[datetime],"&gt;="&amp;TODAY()-WEEKDAY(TODAY(),2)+1,tbl_chests[datetime],"&lt;"&amp;TODAY()-WEEKDAY(TODAY(),2)+8)))</f>
        <v>0</v>
      </c>
      <c r="AE87" s="36">
        <f ca="1">IF($A87="","",IF(AE$1="","",COUNTIFS(tbl_chests[from],$A87,tbl_chests[legalized],AE$1,tbl_chests[datetime],"&gt;="&amp;TODAY()-WEEKDAY(TODAY(),2)+1,tbl_chests[datetime],"&lt;"&amp;TODAY()-WEEKDAY(TODAY(),2)+8)))</f>
        <v>0</v>
      </c>
      <c r="AF87" s="36">
        <f ca="1">IF($A87="","",IF(AF$1="","",COUNTIFS(tbl_chests[from],$A87,tbl_chests[legalized],AF$1,tbl_chests[datetime],"&gt;="&amp;TODAY()-WEEKDAY(TODAY(),2)+1,tbl_chests[datetime],"&lt;"&amp;TODAY()-WEEKDAY(TODAY(),2)+8)))</f>
        <v>0</v>
      </c>
      <c r="AG87" s="36">
        <f ca="1">IF($A87="","",IF(AG$1="","",COUNTIFS(tbl_chests[from],$A87,tbl_chests[legalized],AG$1,tbl_chests[datetime],"&gt;="&amp;TODAY()-WEEKDAY(TODAY(),2)+1,tbl_chests[datetime],"&lt;"&amp;TODAY()-WEEKDAY(TODAY(),2)+8)))</f>
        <v>0</v>
      </c>
      <c r="AH87" s="36">
        <f ca="1">IF($A87="","",IF(AH$1="","",COUNTIFS(tbl_chests[from],$A87,tbl_chests[legalized],AH$1,tbl_chests[datetime],"&gt;="&amp;TODAY()-WEEKDAY(TODAY(),2)+1,tbl_chests[datetime],"&lt;"&amp;TODAY()-WEEKDAY(TODAY(),2)+8)))</f>
        <v>0</v>
      </c>
      <c r="AI87" s="36">
        <f ca="1">IF($A87="","",IF(AI$1="","",COUNTIFS(tbl_chests[from],$A87,tbl_chests[legalized],AI$1,tbl_chests[datetime],"&gt;="&amp;TODAY()-WEEKDAY(TODAY(),2)+1,tbl_chests[datetime],"&lt;"&amp;TODAY()-WEEKDAY(TODAY(),2)+8)))</f>
        <v>0</v>
      </c>
      <c r="AJ87" s="36">
        <f ca="1">IF($A87="","",IF(AJ$1="","",COUNTIFS(tbl_chests[from],$A87,tbl_chests[legalized],AJ$1,tbl_chests[datetime],"&gt;="&amp;TODAY()-WEEKDAY(TODAY(),2)+1,tbl_chests[datetime],"&lt;"&amp;TODAY()-WEEKDAY(TODAY(),2)+8)))</f>
        <v>0</v>
      </c>
      <c r="AK87" s="36">
        <f ca="1">IF($A87="","",IF(AK$1="","",COUNTIFS(tbl_chests[from],$A87,tbl_chests[legalized],AK$1,tbl_chests[datetime],"&gt;="&amp;TODAY()-WEEKDAY(TODAY(),2)+1,tbl_chests[datetime],"&lt;"&amp;TODAY()-WEEKDAY(TODAY(),2)+8)))</f>
        <v>0</v>
      </c>
      <c r="AL87" s="36">
        <f ca="1">IF($A87="","",IF(AL$1="","",COUNTIFS(tbl_chests[from],$A87,tbl_chests[legalized],AL$1,tbl_chests[datetime],"&gt;="&amp;TODAY()-WEEKDAY(TODAY(),2)+1,tbl_chests[datetime],"&lt;"&amp;TODAY()-WEEKDAY(TODAY(),2)+8)))</f>
        <v>0</v>
      </c>
      <c r="AM87" s="37">
        <f ca="1">IF($A87="","",IF(AM$1="","",COUNTIFS(tbl_chests[from],$A87,tbl_chests[legalized],AM$1,tbl_chests[datetime],"&gt;="&amp;TODAY()-WEEKDAY(TODAY(),2)+1,tbl_chests[datetime],"&lt;"&amp;TODAY()-WEEKDAY(TODAY(),2)+8)))</f>
        <v>0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 spans="1:67" ht="15.75" customHeight="1" x14ac:dyDescent="0.25">
      <c r="A88" s="34">
        <f>chests_counter!$H85</f>
        <v>0</v>
      </c>
      <c r="B88" s="35" cm="1">
        <f t="array" aca="1" ref="B88" ca="1">IF(A88&lt;&gt;"", SUMPRODUCT(($C$2:$AM$2&lt;&gt;0)*(C88:AM88&lt;&gt;0)*($C$2:$AM$2)*(C88:AM88)), "")</f>
        <v>0</v>
      </c>
      <c r="C88" s="36">
        <f ca="1">IF($A88="","",IF(C$1="","",COUNTIFS(tbl_chests[from],$A88,tbl_chests[legalized],C$1,tbl_chests[datetime],"&gt;="&amp;TODAY()-WEEKDAY(TODAY(),2)+1,tbl_chests[datetime],"&lt;"&amp;TODAY()-WEEKDAY(TODAY(),2)+8)))</f>
        <v>0</v>
      </c>
      <c r="D88" s="36">
        <f ca="1">IF($A88="","",IF(D$1="","",COUNTIFS(tbl_chests[from],$A88,tbl_chests[legalized],D$1,tbl_chests[datetime],"&gt;="&amp;TODAY()-WEEKDAY(TODAY(),2)+1,tbl_chests[datetime],"&lt;"&amp;TODAY()-WEEKDAY(TODAY(),2)+8)))</f>
        <v>0</v>
      </c>
      <c r="E88" s="36">
        <f ca="1">IF($A88="","",IF(E$1="","",COUNTIFS(tbl_chests[from],$A88,tbl_chests[legalized],E$1,tbl_chests[datetime],"&gt;="&amp;TODAY()-WEEKDAY(TODAY(),2)+1,tbl_chests[datetime],"&lt;"&amp;TODAY()-WEEKDAY(TODAY(),2)+8)))</f>
        <v>0</v>
      </c>
      <c r="F88" s="36">
        <f ca="1">IF($A88="","",IF(F$1="","",COUNTIFS(tbl_chests[from],$A88,tbl_chests[legalized],F$1,tbl_chests[datetime],"&gt;="&amp;TODAY()-WEEKDAY(TODAY(),2)+1,tbl_chests[datetime],"&lt;"&amp;TODAY()-WEEKDAY(TODAY(),2)+8)))</f>
        <v>0</v>
      </c>
      <c r="G88" s="36">
        <f ca="1">IF($A88="","",IF(G$1="","",COUNTIFS(tbl_chests[from],$A88,tbl_chests[legalized],G$1,tbl_chests[datetime],"&gt;="&amp;TODAY()-WEEKDAY(TODAY(),2)+1,tbl_chests[datetime],"&lt;"&amp;TODAY()-WEEKDAY(TODAY(),2)+8)))</f>
        <v>0</v>
      </c>
      <c r="H88" s="36">
        <f ca="1">IF($A88="","",IF(H$1="","",COUNTIFS(tbl_chests[from],$A88,tbl_chests[legalized],H$1,tbl_chests[datetime],"&gt;="&amp;TODAY()-WEEKDAY(TODAY(),2)+1,tbl_chests[datetime],"&lt;"&amp;TODAY()-WEEKDAY(TODAY(),2)+8)))</f>
        <v>0</v>
      </c>
      <c r="I88" s="36">
        <f ca="1">IF($A88="","",IF(I$1="","",COUNTIFS(tbl_chests[from],$A88,tbl_chests[legalized],I$1,tbl_chests[datetime],"&gt;="&amp;TODAY()-WEEKDAY(TODAY(),2)+1,tbl_chests[datetime],"&lt;"&amp;TODAY()-WEEKDAY(TODAY(),2)+8)))</f>
        <v>0</v>
      </c>
      <c r="J88" s="36">
        <f ca="1">IF($A88="","",IF(J$1="","",COUNTIFS(tbl_chests[from],$A88,tbl_chests[legalized],J$1,tbl_chests[datetime],"&gt;="&amp;TODAY()-WEEKDAY(TODAY(),2)+1,tbl_chests[datetime],"&lt;"&amp;TODAY()-WEEKDAY(TODAY(),2)+8)))</f>
        <v>0</v>
      </c>
      <c r="K88" s="36">
        <f ca="1">IF($A88="","",IF(K$1="","",COUNTIFS(tbl_chests[from],$A88,tbl_chests[legalized],K$1,tbl_chests[datetime],"&gt;="&amp;TODAY()-WEEKDAY(TODAY(),2)+1,tbl_chests[datetime],"&lt;"&amp;TODAY()-WEEKDAY(TODAY(),2)+8)))</f>
        <v>0</v>
      </c>
      <c r="L88" s="36">
        <f ca="1">IF($A88="","",IF(L$1="","",COUNTIFS(tbl_chests[from],$A88,tbl_chests[legalized],L$1,tbl_chests[datetime],"&gt;="&amp;TODAY()-WEEKDAY(TODAY(),2)+1,tbl_chests[datetime],"&lt;"&amp;TODAY()-WEEKDAY(TODAY(),2)+8)))</f>
        <v>0</v>
      </c>
      <c r="M88" s="36">
        <f ca="1">IF($A88="","",IF(M$1="","",COUNTIFS(tbl_chests[from],$A88,tbl_chests[legalized],M$1,tbl_chests[datetime],"&gt;="&amp;TODAY()-WEEKDAY(TODAY(),2)+1,tbl_chests[datetime],"&lt;"&amp;TODAY()-WEEKDAY(TODAY(),2)+8)))</f>
        <v>0</v>
      </c>
      <c r="N88" s="36">
        <f ca="1">IF($A88="","",IF(N$1="","",COUNTIFS(tbl_chests[from],$A88,tbl_chests[legalized],N$1,tbl_chests[datetime],"&gt;="&amp;TODAY()-WEEKDAY(TODAY(),2)+1,tbl_chests[datetime],"&lt;"&amp;TODAY()-WEEKDAY(TODAY(),2)+8)))</f>
        <v>0</v>
      </c>
      <c r="O88" s="36">
        <f ca="1">IF($A88="","",IF(O$1="","",COUNTIFS(tbl_chests[from],$A88,tbl_chests[legalized],O$1,tbl_chests[datetime],"&gt;="&amp;TODAY()-WEEKDAY(TODAY(),2)+1,tbl_chests[datetime],"&lt;"&amp;TODAY()-WEEKDAY(TODAY(),2)+8)))</f>
        <v>0</v>
      </c>
      <c r="P88" s="36">
        <f ca="1">IF($A88="","",IF(P$1="","",COUNTIFS(tbl_chests[from],$A88,tbl_chests[legalized],P$1,tbl_chests[datetime],"&gt;="&amp;TODAY()-WEEKDAY(TODAY(),2)+1,tbl_chests[datetime],"&lt;"&amp;TODAY()-WEEKDAY(TODAY(),2)+8)))</f>
        <v>0</v>
      </c>
      <c r="Q88" s="36">
        <f ca="1">IF($A88="","",IF(Q$1="","",COUNTIFS(tbl_chests[from],$A88,tbl_chests[legalized],Q$1,tbl_chests[datetime],"&gt;="&amp;TODAY()-WEEKDAY(TODAY(),2)+1,tbl_chests[datetime],"&lt;"&amp;TODAY()-WEEKDAY(TODAY(),2)+8)))</f>
        <v>0</v>
      </c>
      <c r="R88" s="36">
        <f ca="1">IF($A88="","",IF(R$1="","",COUNTIFS(tbl_chests[from],$A88,tbl_chests[legalized],R$1,tbl_chests[datetime],"&gt;="&amp;TODAY()-WEEKDAY(TODAY(),2)+1,tbl_chests[datetime],"&lt;"&amp;TODAY()-WEEKDAY(TODAY(),2)+8)))</f>
        <v>0</v>
      </c>
      <c r="S88" s="36">
        <f ca="1">IF($A88="","",IF(S$1="","",COUNTIFS(tbl_chests[from],$A88,tbl_chests[legalized],S$1,tbl_chests[datetime],"&gt;="&amp;TODAY()-WEEKDAY(TODAY(),2)+1,tbl_chests[datetime],"&lt;"&amp;TODAY()-WEEKDAY(TODAY(),2)+8)))</f>
        <v>0</v>
      </c>
      <c r="T88" s="36">
        <f ca="1">IF($A88="","",IF(T$1="","",COUNTIFS(tbl_chests[from],$A88,tbl_chests[legalized],T$1,tbl_chests[datetime],"&gt;="&amp;TODAY()-WEEKDAY(TODAY(),2)+1,tbl_chests[datetime],"&lt;"&amp;TODAY()-WEEKDAY(TODAY(),2)+8)))</f>
        <v>0</v>
      </c>
      <c r="U88" s="36">
        <f ca="1">IF($A88="","",IF(U$1="","",COUNTIFS(tbl_chests[from],$A88,tbl_chests[legalized],U$1,tbl_chests[datetime],"&gt;="&amp;TODAY()-WEEKDAY(TODAY(),2)+1,tbl_chests[datetime],"&lt;"&amp;TODAY()-WEEKDAY(TODAY(),2)+8)))</f>
        <v>0</v>
      </c>
      <c r="V88" s="36">
        <f ca="1">IF($A88="","",IF(V$1="","",COUNTIFS(tbl_chests[from],$A88,tbl_chests[legalized],V$1,tbl_chests[datetime],"&gt;="&amp;TODAY()-WEEKDAY(TODAY(),2)+1,tbl_chests[datetime],"&lt;"&amp;TODAY()-WEEKDAY(TODAY(),2)+8)))</f>
        <v>0</v>
      </c>
      <c r="W88" s="36">
        <f ca="1">IF($A88="","",IF(W$1="","",COUNTIFS(tbl_chests[from],$A88,tbl_chests[legalized],W$1,tbl_chests[datetime],"&gt;="&amp;TODAY()-WEEKDAY(TODAY(),2)+1,tbl_chests[datetime],"&lt;"&amp;TODAY()-WEEKDAY(TODAY(),2)+8)))</f>
        <v>0</v>
      </c>
      <c r="X88" s="36">
        <f ca="1">IF($A88="","",IF(X$1="","",COUNTIFS(tbl_chests[from],$A88,tbl_chests[legalized],X$1,tbl_chests[datetime],"&gt;="&amp;TODAY()-WEEKDAY(TODAY(),2)+1,tbl_chests[datetime],"&lt;"&amp;TODAY()-WEEKDAY(TODAY(),2)+8)))</f>
        <v>0</v>
      </c>
      <c r="Y88" s="36">
        <f ca="1">IF($A88="","",IF(Y$1="","",COUNTIFS(tbl_chests[from],$A88,tbl_chests[legalized],Y$1,tbl_chests[datetime],"&gt;="&amp;TODAY()-WEEKDAY(TODAY(),2)+1,tbl_chests[datetime],"&lt;"&amp;TODAY()-WEEKDAY(TODAY(),2)+8)))</f>
        <v>0</v>
      </c>
      <c r="Z88" s="36">
        <f ca="1">IF($A88="","",IF(Z$1="","",COUNTIFS(tbl_chests[from],$A88,tbl_chests[legalized],Z$1,tbl_chests[datetime],"&gt;="&amp;TODAY()-WEEKDAY(TODAY(),2)+1,tbl_chests[datetime],"&lt;"&amp;TODAY()-WEEKDAY(TODAY(),2)+8)))</f>
        <v>0</v>
      </c>
      <c r="AA88" s="36">
        <f ca="1">IF($A88="","",IF(AA$1="","",COUNTIFS(tbl_chests[from],$A88,tbl_chests[legalized],AA$1,tbl_chests[datetime],"&gt;="&amp;TODAY()-WEEKDAY(TODAY(),2)+1,tbl_chests[datetime],"&lt;"&amp;TODAY()-WEEKDAY(TODAY(),2)+8)))</f>
        <v>0</v>
      </c>
      <c r="AB88" s="36">
        <f ca="1">IF($A88="","",IF(AB$1="","",COUNTIFS(tbl_chests[from],$A88,tbl_chests[legalized],AB$1,tbl_chests[datetime],"&gt;="&amp;TODAY()-WEEKDAY(TODAY(),2)+1,tbl_chests[datetime],"&lt;"&amp;TODAY()-WEEKDAY(TODAY(),2)+8)))</f>
        <v>0</v>
      </c>
      <c r="AC88" s="36">
        <f ca="1">IF($A88="","",IF(AC$1="","",COUNTIFS(tbl_chests[from],$A88,tbl_chests[legalized],AC$1,tbl_chests[datetime],"&gt;="&amp;TODAY()-WEEKDAY(TODAY(),2)+1,tbl_chests[datetime],"&lt;"&amp;TODAY()-WEEKDAY(TODAY(),2)+8)))</f>
        <v>0</v>
      </c>
      <c r="AD88" s="36">
        <f ca="1">IF($A88="","",IF(AD$1="","",COUNTIFS(tbl_chests[from],$A88,tbl_chests[legalized],AD$1,tbl_chests[datetime],"&gt;="&amp;TODAY()-WEEKDAY(TODAY(),2)+1,tbl_chests[datetime],"&lt;"&amp;TODAY()-WEEKDAY(TODAY(),2)+8)))</f>
        <v>0</v>
      </c>
      <c r="AE88" s="36">
        <f ca="1">IF($A88="","",IF(AE$1="","",COUNTIFS(tbl_chests[from],$A88,tbl_chests[legalized],AE$1,tbl_chests[datetime],"&gt;="&amp;TODAY()-WEEKDAY(TODAY(),2)+1,tbl_chests[datetime],"&lt;"&amp;TODAY()-WEEKDAY(TODAY(),2)+8)))</f>
        <v>0</v>
      </c>
      <c r="AF88" s="36">
        <f ca="1">IF($A88="","",IF(AF$1="","",COUNTIFS(tbl_chests[from],$A88,tbl_chests[legalized],AF$1,tbl_chests[datetime],"&gt;="&amp;TODAY()-WEEKDAY(TODAY(),2)+1,tbl_chests[datetime],"&lt;"&amp;TODAY()-WEEKDAY(TODAY(),2)+8)))</f>
        <v>0</v>
      </c>
      <c r="AG88" s="36">
        <f ca="1">IF($A88="","",IF(AG$1="","",COUNTIFS(tbl_chests[from],$A88,tbl_chests[legalized],AG$1,tbl_chests[datetime],"&gt;="&amp;TODAY()-WEEKDAY(TODAY(),2)+1,tbl_chests[datetime],"&lt;"&amp;TODAY()-WEEKDAY(TODAY(),2)+8)))</f>
        <v>0</v>
      </c>
      <c r="AH88" s="36">
        <f ca="1">IF($A88="","",IF(AH$1="","",COUNTIFS(tbl_chests[from],$A88,tbl_chests[legalized],AH$1,tbl_chests[datetime],"&gt;="&amp;TODAY()-WEEKDAY(TODAY(),2)+1,tbl_chests[datetime],"&lt;"&amp;TODAY()-WEEKDAY(TODAY(),2)+8)))</f>
        <v>0</v>
      </c>
      <c r="AI88" s="36">
        <f ca="1">IF($A88="","",IF(AI$1="","",COUNTIFS(tbl_chests[from],$A88,tbl_chests[legalized],AI$1,tbl_chests[datetime],"&gt;="&amp;TODAY()-WEEKDAY(TODAY(),2)+1,tbl_chests[datetime],"&lt;"&amp;TODAY()-WEEKDAY(TODAY(),2)+8)))</f>
        <v>0</v>
      </c>
      <c r="AJ88" s="36">
        <f ca="1">IF($A88="","",IF(AJ$1="","",COUNTIFS(tbl_chests[from],$A88,tbl_chests[legalized],AJ$1,tbl_chests[datetime],"&gt;="&amp;TODAY()-WEEKDAY(TODAY(),2)+1,tbl_chests[datetime],"&lt;"&amp;TODAY()-WEEKDAY(TODAY(),2)+8)))</f>
        <v>0</v>
      </c>
      <c r="AK88" s="36">
        <f ca="1">IF($A88="","",IF(AK$1="","",COUNTIFS(tbl_chests[from],$A88,tbl_chests[legalized],AK$1,tbl_chests[datetime],"&gt;="&amp;TODAY()-WEEKDAY(TODAY(),2)+1,tbl_chests[datetime],"&lt;"&amp;TODAY()-WEEKDAY(TODAY(),2)+8)))</f>
        <v>0</v>
      </c>
      <c r="AL88" s="36">
        <f ca="1">IF($A88="","",IF(AL$1="","",COUNTIFS(tbl_chests[from],$A88,tbl_chests[legalized],AL$1,tbl_chests[datetime],"&gt;="&amp;TODAY()-WEEKDAY(TODAY(),2)+1,tbl_chests[datetime],"&lt;"&amp;TODAY()-WEEKDAY(TODAY(),2)+8)))</f>
        <v>0</v>
      </c>
      <c r="AM88" s="37">
        <f ca="1">IF($A88="","",IF(AM$1="","",COUNTIFS(tbl_chests[from],$A88,tbl_chests[legalized],AM$1,tbl_chests[datetime],"&gt;="&amp;TODAY()-WEEKDAY(TODAY(),2)+1,tbl_chests[datetime],"&lt;"&amp;TODAY()-WEEKDAY(TODAY(),2)+8)))</f>
        <v>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 spans="1:67" ht="15.75" customHeight="1" x14ac:dyDescent="0.25">
      <c r="A89" s="34">
        <f>chests_counter!$H86</f>
        <v>0</v>
      </c>
      <c r="B89" s="35" cm="1">
        <f t="array" aca="1" ref="B89" ca="1">IF(A89&lt;&gt;"", SUMPRODUCT(($C$2:$AM$2&lt;&gt;0)*(C89:AM89&lt;&gt;0)*($C$2:$AM$2)*(C89:AM89)), "")</f>
        <v>0</v>
      </c>
      <c r="C89" s="36">
        <f ca="1">IF($A89="","",IF(C$1="","",COUNTIFS(tbl_chests[from],$A89,tbl_chests[legalized],C$1,tbl_chests[datetime],"&gt;="&amp;TODAY()-WEEKDAY(TODAY(),2)+1,tbl_chests[datetime],"&lt;"&amp;TODAY()-WEEKDAY(TODAY(),2)+8)))</f>
        <v>0</v>
      </c>
      <c r="D89" s="36">
        <f ca="1">IF($A89="","",IF(D$1="","",COUNTIFS(tbl_chests[from],$A89,tbl_chests[legalized],D$1,tbl_chests[datetime],"&gt;="&amp;TODAY()-WEEKDAY(TODAY(),2)+1,tbl_chests[datetime],"&lt;"&amp;TODAY()-WEEKDAY(TODAY(),2)+8)))</f>
        <v>0</v>
      </c>
      <c r="E89" s="36">
        <f ca="1">IF($A89="","",IF(E$1="","",COUNTIFS(tbl_chests[from],$A89,tbl_chests[legalized],E$1,tbl_chests[datetime],"&gt;="&amp;TODAY()-WEEKDAY(TODAY(),2)+1,tbl_chests[datetime],"&lt;"&amp;TODAY()-WEEKDAY(TODAY(),2)+8)))</f>
        <v>0</v>
      </c>
      <c r="F89" s="36">
        <f ca="1">IF($A89="","",IF(F$1="","",COUNTIFS(tbl_chests[from],$A89,tbl_chests[legalized],F$1,tbl_chests[datetime],"&gt;="&amp;TODAY()-WEEKDAY(TODAY(),2)+1,tbl_chests[datetime],"&lt;"&amp;TODAY()-WEEKDAY(TODAY(),2)+8)))</f>
        <v>0</v>
      </c>
      <c r="G89" s="36">
        <f ca="1">IF($A89="","",IF(G$1="","",COUNTIFS(tbl_chests[from],$A89,tbl_chests[legalized],G$1,tbl_chests[datetime],"&gt;="&amp;TODAY()-WEEKDAY(TODAY(),2)+1,tbl_chests[datetime],"&lt;"&amp;TODAY()-WEEKDAY(TODAY(),2)+8)))</f>
        <v>0</v>
      </c>
      <c r="H89" s="36">
        <f ca="1">IF($A89="","",IF(H$1="","",COUNTIFS(tbl_chests[from],$A89,tbl_chests[legalized],H$1,tbl_chests[datetime],"&gt;="&amp;TODAY()-WEEKDAY(TODAY(),2)+1,tbl_chests[datetime],"&lt;"&amp;TODAY()-WEEKDAY(TODAY(),2)+8)))</f>
        <v>0</v>
      </c>
      <c r="I89" s="36">
        <f ca="1">IF($A89="","",IF(I$1="","",COUNTIFS(tbl_chests[from],$A89,tbl_chests[legalized],I$1,tbl_chests[datetime],"&gt;="&amp;TODAY()-WEEKDAY(TODAY(),2)+1,tbl_chests[datetime],"&lt;"&amp;TODAY()-WEEKDAY(TODAY(),2)+8)))</f>
        <v>0</v>
      </c>
      <c r="J89" s="36">
        <f ca="1">IF($A89="","",IF(J$1="","",COUNTIFS(tbl_chests[from],$A89,tbl_chests[legalized],J$1,tbl_chests[datetime],"&gt;="&amp;TODAY()-WEEKDAY(TODAY(),2)+1,tbl_chests[datetime],"&lt;"&amp;TODAY()-WEEKDAY(TODAY(),2)+8)))</f>
        <v>0</v>
      </c>
      <c r="K89" s="36">
        <f ca="1">IF($A89="","",IF(K$1="","",COUNTIFS(tbl_chests[from],$A89,tbl_chests[legalized],K$1,tbl_chests[datetime],"&gt;="&amp;TODAY()-WEEKDAY(TODAY(),2)+1,tbl_chests[datetime],"&lt;"&amp;TODAY()-WEEKDAY(TODAY(),2)+8)))</f>
        <v>0</v>
      </c>
      <c r="L89" s="36">
        <f ca="1">IF($A89="","",IF(L$1="","",COUNTIFS(tbl_chests[from],$A89,tbl_chests[legalized],L$1,tbl_chests[datetime],"&gt;="&amp;TODAY()-WEEKDAY(TODAY(),2)+1,tbl_chests[datetime],"&lt;"&amp;TODAY()-WEEKDAY(TODAY(),2)+8)))</f>
        <v>0</v>
      </c>
      <c r="M89" s="36">
        <f ca="1">IF($A89="","",IF(M$1="","",COUNTIFS(tbl_chests[from],$A89,tbl_chests[legalized],M$1,tbl_chests[datetime],"&gt;="&amp;TODAY()-WEEKDAY(TODAY(),2)+1,tbl_chests[datetime],"&lt;"&amp;TODAY()-WEEKDAY(TODAY(),2)+8)))</f>
        <v>0</v>
      </c>
      <c r="N89" s="36">
        <f ca="1">IF($A89="","",IF(N$1="","",COUNTIFS(tbl_chests[from],$A89,tbl_chests[legalized],N$1,tbl_chests[datetime],"&gt;="&amp;TODAY()-WEEKDAY(TODAY(),2)+1,tbl_chests[datetime],"&lt;"&amp;TODAY()-WEEKDAY(TODAY(),2)+8)))</f>
        <v>0</v>
      </c>
      <c r="O89" s="36">
        <f ca="1">IF($A89="","",IF(O$1="","",COUNTIFS(tbl_chests[from],$A89,tbl_chests[legalized],O$1,tbl_chests[datetime],"&gt;="&amp;TODAY()-WEEKDAY(TODAY(),2)+1,tbl_chests[datetime],"&lt;"&amp;TODAY()-WEEKDAY(TODAY(),2)+8)))</f>
        <v>0</v>
      </c>
      <c r="P89" s="36">
        <f ca="1">IF($A89="","",IF(P$1="","",COUNTIFS(tbl_chests[from],$A89,tbl_chests[legalized],P$1,tbl_chests[datetime],"&gt;="&amp;TODAY()-WEEKDAY(TODAY(),2)+1,tbl_chests[datetime],"&lt;"&amp;TODAY()-WEEKDAY(TODAY(),2)+8)))</f>
        <v>0</v>
      </c>
      <c r="Q89" s="36">
        <f ca="1">IF($A89="","",IF(Q$1="","",COUNTIFS(tbl_chests[from],$A89,tbl_chests[legalized],Q$1,tbl_chests[datetime],"&gt;="&amp;TODAY()-WEEKDAY(TODAY(),2)+1,tbl_chests[datetime],"&lt;"&amp;TODAY()-WEEKDAY(TODAY(),2)+8)))</f>
        <v>0</v>
      </c>
      <c r="R89" s="36">
        <f ca="1">IF($A89="","",IF(R$1="","",COUNTIFS(tbl_chests[from],$A89,tbl_chests[legalized],R$1,tbl_chests[datetime],"&gt;="&amp;TODAY()-WEEKDAY(TODAY(),2)+1,tbl_chests[datetime],"&lt;"&amp;TODAY()-WEEKDAY(TODAY(),2)+8)))</f>
        <v>0</v>
      </c>
      <c r="S89" s="36">
        <f ca="1">IF($A89="","",IF(S$1="","",COUNTIFS(tbl_chests[from],$A89,tbl_chests[legalized],S$1,tbl_chests[datetime],"&gt;="&amp;TODAY()-WEEKDAY(TODAY(),2)+1,tbl_chests[datetime],"&lt;"&amp;TODAY()-WEEKDAY(TODAY(),2)+8)))</f>
        <v>0</v>
      </c>
      <c r="T89" s="36">
        <f ca="1">IF($A89="","",IF(T$1="","",COUNTIFS(tbl_chests[from],$A89,tbl_chests[legalized],T$1,tbl_chests[datetime],"&gt;="&amp;TODAY()-WEEKDAY(TODAY(),2)+1,tbl_chests[datetime],"&lt;"&amp;TODAY()-WEEKDAY(TODAY(),2)+8)))</f>
        <v>0</v>
      </c>
      <c r="U89" s="36">
        <f ca="1">IF($A89="","",IF(U$1="","",COUNTIFS(tbl_chests[from],$A89,tbl_chests[legalized],U$1,tbl_chests[datetime],"&gt;="&amp;TODAY()-WEEKDAY(TODAY(),2)+1,tbl_chests[datetime],"&lt;"&amp;TODAY()-WEEKDAY(TODAY(),2)+8)))</f>
        <v>0</v>
      </c>
      <c r="V89" s="36">
        <f ca="1">IF($A89="","",IF(V$1="","",COUNTIFS(tbl_chests[from],$A89,tbl_chests[legalized],V$1,tbl_chests[datetime],"&gt;="&amp;TODAY()-WEEKDAY(TODAY(),2)+1,tbl_chests[datetime],"&lt;"&amp;TODAY()-WEEKDAY(TODAY(),2)+8)))</f>
        <v>0</v>
      </c>
      <c r="W89" s="36">
        <f ca="1">IF($A89="","",IF(W$1="","",COUNTIFS(tbl_chests[from],$A89,tbl_chests[legalized],W$1,tbl_chests[datetime],"&gt;="&amp;TODAY()-WEEKDAY(TODAY(),2)+1,tbl_chests[datetime],"&lt;"&amp;TODAY()-WEEKDAY(TODAY(),2)+8)))</f>
        <v>0</v>
      </c>
      <c r="X89" s="36">
        <f ca="1">IF($A89="","",IF(X$1="","",COUNTIFS(tbl_chests[from],$A89,tbl_chests[legalized],X$1,tbl_chests[datetime],"&gt;="&amp;TODAY()-WEEKDAY(TODAY(),2)+1,tbl_chests[datetime],"&lt;"&amp;TODAY()-WEEKDAY(TODAY(),2)+8)))</f>
        <v>0</v>
      </c>
      <c r="Y89" s="36">
        <f ca="1">IF($A89="","",IF(Y$1="","",COUNTIFS(tbl_chests[from],$A89,tbl_chests[legalized],Y$1,tbl_chests[datetime],"&gt;="&amp;TODAY()-WEEKDAY(TODAY(),2)+1,tbl_chests[datetime],"&lt;"&amp;TODAY()-WEEKDAY(TODAY(),2)+8)))</f>
        <v>0</v>
      </c>
      <c r="Z89" s="36">
        <f ca="1">IF($A89="","",IF(Z$1="","",COUNTIFS(tbl_chests[from],$A89,tbl_chests[legalized],Z$1,tbl_chests[datetime],"&gt;="&amp;TODAY()-WEEKDAY(TODAY(),2)+1,tbl_chests[datetime],"&lt;"&amp;TODAY()-WEEKDAY(TODAY(),2)+8)))</f>
        <v>0</v>
      </c>
      <c r="AA89" s="36">
        <f ca="1">IF($A89="","",IF(AA$1="","",COUNTIFS(tbl_chests[from],$A89,tbl_chests[legalized],AA$1,tbl_chests[datetime],"&gt;="&amp;TODAY()-WEEKDAY(TODAY(),2)+1,tbl_chests[datetime],"&lt;"&amp;TODAY()-WEEKDAY(TODAY(),2)+8)))</f>
        <v>0</v>
      </c>
      <c r="AB89" s="36">
        <f ca="1">IF($A89="","",IF(AB$1="","",COUNTIFS(tbl_chests[from],$A89,tbl_chests[legalized],AB$1,tbl_chests[datetime],"&gt;="&amp;TODAY()-WEEKDAY(TODAY(),2)+1,tbl_chests[datetime],"&lt;"&amp;TODAY()-WEEKDAY(TODAY(),2)+8)))</f>
        <v>0</v>
      </c>
      <c r="AC89" s="36">
        <f ca="1">IF($A89="","",IF(AC$1="","",COUNTIFS(tbl_chests[from],$A89,tbl_chests[legalized],AC$1,tbl_chests[datetime],"&gt;="&amp;TODAY()-WEEKDAY(TODAY(),2)+1,tbl_chests[datetime],"&lt;"&amp;TODAY()-WEEKDAY(TODAY(),2)+8)))</f>
        <v>0</v>
      </c>
      <c r="AD89" s="36">
        <f ca="1">IF($A89="","",IF(AD$1="","",COUNTIFS(tbl_chests[from],$A89,tbl_chests[legalized],AD$1,tbl_chests[datetime],"&gt;="&amp;TODAY()-WEEKDAY(TODAY(),2)+1,tbl_chests[datetime],"&lt;"&amp;TODAY()-WEEKDAY(TODAY(),2)+8)))</f>
        <v>0</v>
      </c>
      <c r="AE89" s="36">
        <f ca="1">IF($A89="","",IF(AE$1="","",COUNTIFS(tbl_chests[from],$A89,tbl_chests[legalized],AE$1,tbl_chests[datetime],"&gt;="&amp;TODAY()-WEEKDAY(TODAY(),2)+1,tbl_chests[datetime],"&lt;"&amp;TODAY()-WEEKDAY(TODAY(),2)+8)))</f>
        <v>0</v>
      </c>
      <c r="AF89" s="36">
        <f ca="1">IF($A89="","",IF(AF$1="","",COUNTIFS(tbl_chests[from],$A89,tbl_chests[legalized],AF$1,tbl_chests[datetime],"&gt;="&amp;TODAY()-WEEKDAY(TODAY(),2)+1,tbl_chests[datetime],"&lt;"&amp;TODAY()-WEEKDAY(TODAY(),2)+8)))</f>
        <v>0</v>
      </c>
      <c r="AG89" s="36">
        <f ca="1">IF($A89="","",IF(AG$1="","",COUNTIFS(tbl_chests[from],$A89,tbl_chests[legalized],AG$1,tbl_chests[datetime],"&gt;="&amp;TODAY()-WEEKDAY(TODAY(),2)+1,tbl_chests[datetime],"&lt;"&amp;TODAY()-WEEKDAY(TODAY(),2)+8)))</f>
        <v>0</v>
      </c>
      <c r="AH89" s="36">
        <f ca="1">IF($A89="","",IF(AH$1="","",COUNTIFS(tbl_chests[from],$A89,tbl_chests[legalized],AH$1,tbl_chests[datetime],"&gt;="&amp;TODAY()-WEEKDAY(TODAY(),2)+1,tbl_chests[datetime],"&lt;"&amp;TODAY()-WEEKDAY(TODAY(),2)+8)))</f>
        <v>0</v>
      </c>
      <c r="AI89" s="36">
        <f ca="1">IF($A89="","",IF(AI$1="","",COUNTIFS(tbl_chests[from],$A89,tbl_chests[legalized],AI$1,tbl_chests[datetime],"&gt;="&amp;TODAY()-WEEKDAY(TODAY(),2)+1,tbl_chests[datetime],"&lt;"&amp;TODAY()-WEEKDAY(TODAY(),2)+8)))</f>
        <v>0</v>
      </c>
      <c r="AJ89" s="36">
        <f ca="1">IF($A89="","",IF(AJ$1="","",COUNTIFS(tbl_chests[from],$A89,tbl_chests[legalized],AJ$1,tbl_chests[datetime],"&gt;="&amp;TODAY()-WEEKDAY(TODAY(),2)+1,tbl_chests[datetime],"&lt;"&amp;TODAY()-WEEKDAY(TODAY(),2)+8)))</f>
        <v>0</v>
      </c>
      <c r="AK89" s="36">
        <f ca="1">IF($A89="","",IF(AK$1="","",COUNTIFS(tbl_chests[from],$A89,tbl_chests[legalized],AK$1,tbl_chests[datetime],"&gt;="&amp;TODAY()-WEEKDAY(TODAY(),2)+1,tbl_chests[datetime],"&lt;"&amp;TODAY()-WEEKDAY(TODAY(),2)+8)))</f>
        <v>0</v>
      </c>
      <c r="AL89" s="36">
        <f ca="1">IF($A89="","",IF(AL$1="","",COUNTIFS(tbl_chests[from],$A89,tbl_chests[legalized],AL$1,tbl_chests[datetime],"&gt;="&amp;TODAY()-WEEKDAY(TODAY(),2)+1,tbl_chests[datetime],"&lt;"&amp;TODAY()-WEEKDAY(TODAY(),2)+8)))</f>
        <v>0</v>
      </c>
      <c r="AM89" s="37">
        <f ca="1">IF($A89="","",IF(AM$1="","",COUNTIFS(tbl_chests[from],$A89,tbl_chests[legalized],AM$1,tbl_chests[datetime],"&gt;="&amp;TODAY()-WEEKDAY(TODAY(),2)+1,tbl_chests[datetime],"&lt;"&amp;TODAY()-WEEKDAY(TODAY(),2)+8)))</f>
        <v>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 spans="1:67" ht="15.75" customHeight="1" x14ac:dyDescent="0.25">
      <c r="A90" s="34">
        <f>chests_counter!$H87</f>
        <v>0</v>
      </c>
      <c r="B90" s="35" cm="1">
        <f t="array" aca="1" ref="B90" ca="1">IF(A90&lt;&gt;"", SUMPRODUCT(($C$2:$AM$2&lt;&gt;0)*(C90:AM90&lt;&gt;0)*($C$2:$AM$2)*(C90:AM90)), "")</f>
        <v>0</v>
      </c>
      <c r="C90" s="36">
        <f ca="1">IF($A90="","",IF(C$1="","",COUNTIFS(tbl_chests[from],$A90,tbl_chests[legalized],C$1,tbl_chests[datetime],"&gt;="&amp;TODAY()-WEEKDAY(TODAY(),2)+1,tbl_chests[datetime],"&lt;"&amp;TODAY()-WEEKDAY(TODAY(),2)+8)))</f>
        <v>0</v>
      </c>
      <c r="D90" s="36">
        <f ca="1">IF($A90="","",IF(D$1="","",COUNTIFS(tbl_chests[from],$A90,tbl_chests[legalized],D$1,tbl_chests[datetime],"&gt;="&amp;TODAY()-WEEKDAY(TODAY(),2)+1,tbl_chests[datetime],"&lt;"&amp;TODAY()-WEEKDAY(TODAY(),2)+8)))</f>
        <v>0</v>
      </c>
      <c r="E90" s="36">
        <f ca="1">IF($A90="","",IF(E$1="","",COUNTIFS(tbl_chests[from],$A90,tbl_chests[legalized],E$1,tbl_chests[datetime],"&gt;="&amp;TODAY()-WEEKDAY(TODAY(),2)+1,tbl_chests[datetime],"&lt;"&amp;TODAY()-WEEKDAY(TODAY(),2)+8)))</f>
        <v>0</v>
      </c>
      <c r="F90" s="36">
        <f ca="1">IF($A90="","",IF(F$1="","",COUNTIFS(tbl_chests[from],$A90,tbl_chests[legalized],F$1,tbl_chests[datetime],"&gt;="&amp;TODAY()-WEEKDAY(TODAY(),2)+1,tbl_chests[datetime],"&lt;"&amp;TODAY()-WEEKDAY(TODAY(),2)+8)))</f>
        <v>0</v>
      </c>
      <c r="G90" s="36">
        <f ca="1">IF($A90="","",IF(G$1="","",COUNTIFS(tbl_chests[from],$A90,tbl_chests[legalized],G$1,tbl_chests[datetime],"&gt;="&amp;TODAY()-WEEKDAY(TODAY(),2)+1,tbl_chests[datetime],"&lt;"&amp;TODAY()-WEEKDAY(TODAY(),2)+8)))</f>
        <v>0</v>
      </c>
      <c r="H90" s="36">
        <f ca="1">IF($A90="","",IF(H$1="","",COUNTIFS(tbl_chests[from],$A90,tbl_chests[legalized],H$1,tbl_chests[datetime],"&gt;="&amp;TODAY()-WEEKDAY(TODAY(),2)+1,tbl_chests[datetime],"&lt;"&amp;TODAY()-WEEKDAY(TODAY(),2)+8)))</f>
        <v>0</v>
      </c>
      <c r="I90" s="36">
        <f ca="1">IF($A90="","",IF(I$1="","",COUNTIFS(tbl_chests[from],$A90,tbl_chests[legalized],I$1,tbl_chests[datetime],"&gt;="&amp;TODAY()-WEEKDAY(TODAY(),2)+1,tbl_chests[datetime],"&lt;"&amp;TODAY()-WEEKDAY(TODAY(),2)+8)))</f>
        <v>0</v>
      </c>
      <c r="J90" s="36">
        <f ca="1">IF($A90="","",IF(J$1="","",COUNTIFS(tbl_chests[from],$A90,tbl_chests[legalized],J$1,tbl_chests[datetime],"&gt;="&amp;TODAY()-WEEKDAY(TODAY(),2)+1,tbl_chests[datetime],"&lt;"&amp;TODAY()-WEEKDAY(TODAY(),2)+8)))</f>
        <v>0</v>
      </c>
      <c r="K90" s="36">
        <f ca="1">IF($A90="","",IF(K$1="","",COUNTIFS(tbl_chests[from],$A90,tbl_chests[legalized],K$1,tbl_chests[datetime],"&gt;="&amp;TODAY()-WEEKDAY(TODAY(),2)+1,tbl_chests[datetime],"&lt;"&amp;TODAY()-WEEKDAY(TODAY(),2)+8)))</f>
        <v>0</v>
      </c>
      <c r="L90" s="36">
        <f ca="1">IF($A90="","",IF(L$1="","",COUNTIFS(tbl_chests[from],$A90,tbl_chests[legalized],L$1,tbl_chests[datetime],"&gt;="&amp;TODAY()-WEEKDAY(TODAY(),2)+1,tbl_chests[datetime],"&lt;"&amp;TODAY()-WEEKDAY(TODAY(),2)+8)))</f>
        <v>0</v>
      </c>
      <c r="M90" s="36">
        <f ca="1">IF($A90="","",IF(M$1="","",COUNTIFS(tbl_chests[from],$A90,tbl_chests[legalized],M$1,tbl_chests[datetime],"&gt;="&amp;TODAY()-WEEKDAY(TODAY(),2)+1,tbl_chests[datetime],"&lt;"&amp;TODAY()-WEEKDAY(TODAY(),2)+8)))</f>
        <v>0</v>
      </c>
      <c r="N90" s="36">
        <f ca="1">IF($A90="","",IF(N$1="","",COUNTIFS(tbl_chests[from],$A90,tbl_chests[legalized],N$1,tbl_chests[datetime],"&gt;="&amp;TODAY()-WEEKDAY(TODAY(),2)+1,tbl_chests[datetime],"&lt;"&amp;TODAY()-WEEKDAY(TODAY(),2)+8)))</f>
        <v>0</v>
      </c>
      <c r="O90" s="36">
        <f ca="1">IF($A90="","",IF(O$1="","",COUNTIFS(tbl_chests[from],$A90,tbl_chests[legalized],O$1,tbl_chests[datetime],"&gt;="&amp;TODAY()-WEEKDAY(TODAY(),2)+1,tbl_chests[datetime],"&lt;"&amp;TODAY()-WEEKDAY(TODAY(),2)+8)))</f>
        <v>0</v>
      </c>
      <c r="P90" s="36">
        <f ca="1">IF($A90="","",IF(P$1="","",COUNTIFS(tbl_chests[from],$A90,tbl_chests[legalized],P$1,tbl_chests[datetime],"&gt;="&amp;TODAY()-WEEKDAY(TODAY(),2)+1,tbl_chests[datetime],"&lt;"&amp;TODAY()-WEEKDAY(TODAY(),2)+8)))</f>
        <v>0</v>
      </c>
      <c r="Q90" s="36">
        <f ca="1">IF($A90="","",IF(Q$1="","",COUNTIFS(tbl_chests[from],$A90,tbl_chests[legalized],Q$1,tbl_chests[datetime],"&gt;="&amp;TODAY()-WEEKDAY(TODAY(),2)+1,tbl_chests[datetime],"&lt;"&amp;TODAY()-WEEKDAY(TODAY(),2)+8)))</f>
        <v>0</v>
      </c>
      <c r="R90" s="36">
        <f ca="1">IF($A90="","",IF(R$1="","",COUNTIFS(tbl_chests[from],$A90,tbl_chests[legalized],R$1,tbl_chests[datetime],"&gt;="&amp;TODAY()-WEEKDAY(TODAY(),2)+1,tbl_chests[datetime],"&lt;"&amp;TODAY()-WEEKDAY(TODAY(),2)+8)))</f>
        <v>0</v>
      </c>
      <c r="S90" s="36">
        <f ca="1">IF($A90="","",IF(S$1="","",COUNTIFS(tbl_chests[from],$A90,tbl_chests[legalized],S$1,tbl_chests[datetime],"&gt;="&amp;TODAY()-WEEKDAY(TODAY(),2)+1,tbl_chests[datetime],"&lt;"&amp;TODAY()-WEEKDAY(TODAY(),2)+8)))</f>
        <v>0</v>
      </c>
      <c r="T90" s="36">
        <f ca="1">IF($A90="","",IF(T$1="","",COUNTIFS(tbl_chests[from],$A90,tbl_chests[legalized],T$1,tbl_chests[datetime],"&gt;="&amp;TODAY()-WEEKDAY(TODAY(),2)+1,tbl_chests[datetime],"&lt;"&amp;TODAY()-WEEKDAY(TODAY(),2)+8)))</f>
        <v>0</v>
      </c>
      <c r="U90" s="36">
        <f ca="1">IF($A90="","",IF(U$1="","",COUNTIFS(tbl_chests[from],$A90,tbl_chests[legalized],U$1,tbl_chests[datetime],"&gt;="&amp;TODAY()-WEEKDAY(TODAY(),2)+1,tbl_chests[datetime],"&lt;"&amp;TODAY()-WEEKDAY(TODAY(),2)+8)))</f>
        <v>0</v>
      </c>
      <c r="V90" s="36">
        <f ca="1">IF($A90="","",IF(V$1="","",COUNTIFS(tbl_chests[from],$A90,tbl_chests[legalized],V$1,tbl_chests[datetime],"&gt;="&amp;TODAY()-WEEKDAY(TODAY(),2)+1,tbl_chests[datetime],"&lt;"&amp;TODAY()-WEEKDAY(TODAY(),2)+8)))</f>
        <v>0</v>
      </c>
      <c r="W90" s="36">
        <f ca="1">IF($A90="","",IF(W$1="","",COUNTIFS(tbl_chests[from],$A90,tbl_chests[legalized],W$1,tbl_chests[datetime],"&gt;="&amp;TODAY()-WEEKDAY(TODAY(),2)+1,tbl_chests[datetime],"&lt;"&amp;TODAY()-WEEKDAY(TODAY(),2)+8)))</f>
        <v>0</v>
      </c>
      <c r="X90" s="36">
        <f ca="1">IF($A90="","",IF(X$1="","",COUNTIFS(tbl_chests[from],$A90,tbl_chests[legalized],X$1,tbl_chests[datetime],"&gt;="&amp;TODAY()-WEEKDAY(TODAY(),2)+1,tbl_chests[datetime],"&lt;"&amp;TODAY()-WEEKDAY(TODAY(),2)+8)))</f>
        <v>0</v>
      </c>
      <c r="Y90" s="36">
        <f ca="1">IF($A90="","",IF(Y$1="","",COUNTIFS(tbl_chests[from],$A90,tbl_chests[legalized],Y$1,tbl_chests[datetime],"&gt;="&amp;TODAY()-WEEKDAY(TODAY(),2)+1,tbl_chests[datetime],"&lt;"&amp;TODAY()-WEEKDAY(TODAY(),2)+8)))</f>
        <v>0</v>
      </c>
      <c r="Z90" s="36">
        <f ca="1">IF($A90="","",IF(Z$1="","",COUNTIFS(tbl_chests[from],$A90,tbl_chests[legalized],Z$1,tbl_chests[datetime],"&gt;="&amp;TODAY()-WEEKDAY(TODAY(),2)+1,tbl_chests[datetime],"&lt;"&amp;TODAY()-WEEKDAY(TODAY(),2)+8)))</f>
        <v>0</v>
      </c>
      <c r="AA90" s="36">
        <f ca="1">IF($A90="","",IF(AA$1="","",COUNTIFS(tbl_chests[from],$A90,tbl_chests[legalized],AA$1,tbl_chests[datetime],"&gt;="&amp;TODAY()-WEEKDAY(TODAY(),2)+1,tbl_chests[datetime],"&lt;"&amp;TODAY()-WEEKDAY(TODAY(),2)+8)))</f>
        <v>0</v>
      </c>
      <c r="AB90" s="36">
        <f ca="1">IF($A90="","",IF(AB$1="","",COUNTIFS(tbl_chests[from],$A90,tbl_chests[legalized],AB$1,tbl_chests[datetime],"&gt;="&amp;TODAY()-WEEKDAY(TODAY(),2)+1,tbl_chests[datetime],"&lt;"&amp;TODAY()-WEEKDAY(TODAY(),2)+8)))</f>
        <v>0</v>
      </c>
      <c r="AC90" s="36">
        <f ca="1">IF($A90="","",IF(AC$1="","",COUNTIFS(tbl_chests[from],$A90,tbl_chests[legalized],AC$1,tbl_chests[datetime],"&gt;="&amp;TODAY()-WEEKDAY(TODAY(),2)+1,tbl_chests[datetime],"&lt;"&amp;TODAY()-WEEKDAY(TODAY(),2)+8)))</f>
        <v>0</v>
      </c>
      <c r="AD90" s="36">
        <f ca="1">IF($A90="","",IF(AD$1="","",COUNTIFS(tbl_chests[from],$A90,tbl_chests[legalized],AD$1,tbl_chests[datetime],"&gt;="&amp;TODAY()-WEEKDAY(TODAY(),2)+1,tbl_chests[datetime],"&lt;"&amp;TODAY()-WEEKDAY(TODAY(),2)+8)))</f>
        <v>0</v>
      </c>
      <c r="AE90" s="36">
        <f ca="1">IF($A90="","",IF(AE$1="","",COUNTIFS(tbl_chests[from],$A90,tbl_chests[legalized],AE$1,tbl_chests[datetime],"&gt;="&amp;TODAY()-WEEKDAY(TODAY(),2)+1,tbl_chests[datetime],"&lt;"&amp;TODAY()-WEEKDAY(TODAY(),2)+8)))</f>
        <v>0</v>
      </c>
      <c r="AF90" s="36">
        <f ca="1">IF($A90="","",IF(AF$1="","",COUNTIFS(tbl_chests[from],$A90,tbl_chests[legalized],AF$1,tbl_chests[datetime],"&gt;="&amp;TODAY()-WEEKDAY(TODAY(),2)+1,tbl_chests[datetime],"&lt;"&amp;TODAY()-WEEKDAY(TODAY(),2)+8)))</f>
        <v>0</v>
      </c>
      <c r="AG90" s="36">
        <f ca="1">IF($A90="","",IF(AG$1="","",COUNTIFS(tbl_chests[from],$A90,tbl_chests[legalized],AG$1,tbl_chests[datetime],"&gt;="&amp;TODAY()-WEEKDAY(TODAY(),2)+1,tbl_chests[datetime],"&lt;"&amp;TODAY()-WEEKDAY(TODAY(),2)+8)))</f>
        <v>0</v>
      </c>
      <c r="AH90" s="36">
        <f ca="1">IF($A90="","",IF(AH$1="","",COUNTIFS(tbl_chests[from],$A90,tbl_chests[legalized],AH$1,tbl_chests[datetime],"&gt;="&amp;TODAY()-WEEKDAY(TODAY(),2)+1,tbl_chests[datetime],"&lt;"&amp;TODAY()-WEEKDAY(TODAY(),2)+8)))</f>
        <v>0</v>
      </c>
      <c r="AI90" s="36">
        <f ca="1">IF($A90="","",IF(AI$1="","",COUNTIFS(tbl_chests[from],$A90,tbl_chests[legalized],AI$1,tbl_chests[datetime],"&gt;="&amp;TODAY()-WEEKDAY(TODAY(),2)+1,tbl_chests[datetime],"&lt;"&amp;TODAY()-WEEKDAY(TODAY(),2)+8)))</f>
        <v>0</v>
      </c>
      <c r="AJ90" s="36">
        <f ca="1">IF($A90="","",IF(AJ$1="","",COUNTIFS(tbl_chests[from],$A90,tbl_chests[legalized],AJ$1,tbl_chests[datetime],"&gt;="&amp;TODAY()-WEEKDAY(TODAY(),2)+1,tbl_chests[datetime],"&lt;"&amp;TODAY()-WEEKDAY(TODAY(),2)+8)))</f>
        <v>0</v>
      </c>
      <c r="AK90" s="36">
        <f ca="1">IF($A90="","",IF(AK$1="","",COUNTIFS(tbl_chests[from],$A90,tbl_chests[legalized],AK$1,tbl_chests[datetime],"&gt;="&amp;TODAY()-WEEKDAY(TODAY(),2)+1,tbl_chests[datetime],"&lt;"&amp;TODAY()-WEEKDAY(TODAY(),2)+8)))</f>
        <v>0</v>
      </c>
      <c r="AL90" s="36">
        <f ca="1">IF($A90="","",IF(AL$1="","",COUNTIFS(tbl_chests[from],$A90,tbl_chests[legalized],AL$1,tbl_chests[datetime],"&gt;="&amp;TODAY()-WEEKDAY(TODAY(),2)+1,tbl_chests[datetime],"&lt;"&amp;TODAY()-WEEKDAY(TODAY(),2)+8)))</f>
        <v>0</v>
      </c>
      <c r="AM90" s="37">
        <f ca="1">IF($A90="","",IF(AM$1="","",COUNTIFS(tbl_chests[from],$A90,tbl_chests[legalized],AM$1,tbl_chests[datetime],"&gt;="&amp;TODAY()-WEEKDAY(TODAY(),2)+1,tbl_chests[datetime],"&lt;"&amp;TODAY()-WEEKDAY(TODAY(),2)+8)))</f>
        <v>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 spans="1:67" ht="15.75" customHeight="1" x14ac:dyDescent="0.25">
      <c r="A91" s="34">
        <f>chests_counter!$H88</f>
        <v>0</v>
      </c>
      <c r="B91" s="35" cm="1">
        <f t="array" aca="1" ref="B91" ca="1">IF(A91&lt;&gt;"", SUMPRODUCT(($C$2:$AM$2&lt;&gt;0)*(C91:AM91&lt;&gt;0)*($C$2:$AM$2)*(C91:AM91)), "")</f>
        <v>0</v>
      </c>
      <c r="C91" s="36">
        <f ca="1">IF($A91="","",IF(C$1="","",COUNTIFS(tbl_chests[from],$A91,tbl_chests[legalized],C$1,tbl_chests[datetime],"&gt;="&amp;TODAY()-WEEKDAY(TODAY(),2)+1,tbl_chests[datetime],"&lt;"&amp;TODAY()-WEEKDAY(TODAY(),2)+8)))</f>
        <v>0</v>
      </c>
      <c r="D91" s="36">
        <f ca="1">IF($A91="","",IF(D$1="","",COUNTIFS(tbl_chests[from],$A91,tbl_chests[legalized],D$1,tbl_chests[datetime],"&gt;="&amp;TODAY()-WEEKDAY(TODAY(),2)+1,tbl_chests[datetime],"&lt;"&amp;TODAY()-WEEKDAY(TODAY(),2)+8)))</f>
        <v>0</v>
      </c>
      <c r="E91" s="36">
        <f ca="1">IF($A91="","",IF(E$1="","",COUNTIFS(tbl_chests[from],$A91,tbl_chests[legalized],E$1,tbl_chests[datetime],"&gt;="&amp;TODAY()-WEEKDAY(TODAY(),2)+1,tbl_chests[datetime],"&lt;"&amp;TODAY()-WEEKDAY(TODAY(),2)+8)))</f>
        <v>0</v>
      </c>
      <c r="F91" s="36">
        <f ca="1">IF($A91="","",IF(F$1="","",COUNTIFS(tbl_chests[from],$A91,tbl_chests[legalized],F$1,tbl_chests[datetime],"&gt;="&amp;TODAY()-WEEKDAY(TODAY(),2)+1,tbl_chests[datetime],"&lt;"&amp;TODAY()-WEEKDAY(TODAY(),2)+8)))</f>
        <v>0</v>
      </c>
      <c r="G91" s="36">
        <f ca="1">IF($A91="","",IF(G$1="","",COUNTIFS(tbl_chests[from],$A91,tbl_chests[legalized],G$1,tbl_chests[datetime],"&gt;="&amp;TODAY()-WEEKDAY(TODAY(),2)+1,tbl_chests[datetime],"&lt;"&amp;TODAY()-WEEKDAY(TODAY(),2)+8)))</f>
        <v>0</v>
      </c>
      <c r="H91" s="36">
        <f ca="1">IF($A91="","",IF(H$1="","",COUNTIFS(tbl_chests[from],$A91,tbl_chests[legalized],H$1,tbl_chests[datetime],"&gt;="&amp;TODAY()-WEEKDAY(TODAY(),2)+1,tbl_chests[datetime],"&lt;"&amp;TODAY()-WEEKDAY(TODAY(),2)+8)))</f>
        <v>0</v>
      </c>
      <c r="I91" s="36">
        <f ca="1">IF($A91="","",IF(I$1="","",COUNTIFS(tbl_chests[from],$A91,tbl_chests[legalized],I$1,tbl_chests[datetime],"&gt;="&amp;TODAY()-WEEKDAY(TODAY(),2)+1,tbl_chests[datetime],"&lt;"&amp;TODAY()-WEEKDAY(TODAY(),2)+8)))</f>
        <v>0</v>
      </c>
      <c r="J91" s="36">
        <f ca="1">IF($A91="","",IF(J$1="","",COUNTIFS(tbl_chests[from],$A91,tbl_chests[legalized],J$1,tbl_chests[datetime],"&gt;="&amp;TODAY()-WEEKDAY(TODAY(),2)+1,tbl_chests[datetime],"&lt;"&amp;TODAY()-WEEKDAY(TODAY(),2)+8)))</f>
        <v>0</v>
      </c>
      <c r="K91" s="36">
        <f ca="1">IF($A91="","",IF(K$1="","",COUNTIFS(tbl_chests[from],$A91,tbl_chests[legalized],K$1,tbl_chests[datetime],"&gt;="&amp;TODAY()-WEEKDAY(TODAY(),2)+1,tbl_chests[datetime],"&lt;"&amp;TODAY()-WEEKDAY(TODAY(),2)+8)))</f>
        <v>0</v>
      </c>
      <c r="L91" s="36">
        <f ca="1">IF($A91="","",IF(L$1="","",COUNTIFS(tbl_chests[from],$A91,tbl_chests[legalized],L$1,tbl_chests[datetime],"&gt;="&amp;TODAY()-WEEKDAY(TODAY(),2)+1,tbl_chests[datetime],"&lt;"&amp;TODAY()-WEEKDAY(TODAY(),2)+8)))</f>
        <v>0</v>
      </c>
      <c r="M91" s="36">
        <f ca="1">IF($A91="","",IF(M$1="","",COUNTIFS(tbl_chests[from],$A91,tbl_chests[legalized],M$1,tbl_chests[datetime],"&gt;="&amp;TODAY()-WEEKDAY(TODAY(),2)+1,tbl_chests[datetime],"&lt;"&amp;TODAY()-WEEKDAY(TODAY(),2)+8)))</f>
        <v>0</v>
      </c>
      <c r="N91" s="36">
        <f ca="1">IF($A91="","",IF(N$1="","",COUNTIFS(tbl_chests[from],$A91,tbl_chests[legalized],N$1,tbl_chests[datetime],"&gt;="&amp;TODAY()-WEEKDAY(TODAY(),2)+1,tbl_chests[datetime],"&lt;"&amp;TODAY()-WEEKDAY(TODAY(),2)+8)))</f>
        <v>0</v>
      </c>
      <c r="O91" s="36">
        <f ca="1">IF($A91="","",IF(O$1="","",COUNTIFS(tbl_chests[from],$A91,tbl_chests[legalized],O$1,tbl_chests[datetime],"&gt;="&amp;TODAY()-WEEKDAY(TODAY(),2)+1,tbl_chests[datetime],"&lt;"&amp;TODAY()-WEEKDAY(TODAY(),2)+8)))</f>
        <v>0</v>
      </c>
      <c r="P91" s="36">
        <f ca="1">IF($A91="","",IF(P$1="","",COUNTIFS(tbl_chests[from],$A91,tbl_chests[legalized],P$1,tbl_chests[datetime],"&gt;="&amp;TODAY()-WEEKDAY(TODAY(),2)+1,tbl_chests[datetime],"&lt;"&amp;TODAY()-WEEKDAY(TODAY(),2)+8)))</f>
        <v>0</v>
      </c>
      <c r="Q91" s="36">
        <f ca="1">IF($A91="","",IF(Q$1="","",COUNTIFS(tbl_chests[from],$A91,tbl_chests[legalized],Q$1,tbl_chests[datetime],"&gt;="&amp;TODAY()-WEEKDAY(TODAY(),2)+1,tbl_chests[datetime],"&lt;"&amp;TODAY()-WEEKDAY(TODAY(),2)+8)))</f>
        <v>0</v>
      </c>
      <c r="R91" s="36">
        <f ca="1">IF($A91="","",IF(R$1="","",COUNTIFS(tbl_chests[from],$A91,tbl_chests[legalized],R$1,tbl_chests[datetime],"&gt;="&amp;TODAY()-WEEKDAY(TODAY(),2)+1,tbl_chests[datetime],"&lt;"&amp;TODAY()-WEEKDAY(TODAY(),2)+8)))</f>
        <v>0</v>
      </c>
      <c r="S91" s="36">
        <f ca="1">IF($A91="","",IF(S$1="","",COUNTIFS(tbl_chests[from],$A91,tbl_chests[legalized],S$1,tbl_chests[datetime],"&gt;="&amp;TODAY()-WEEKDAY(TODAY(),2)+1,tbl_chests[datetime],"&lt;"&amp;TODAY()-WEEKDAY(TODAY(),2)+8)))</f>
        <v>0</v>
      </c>
      <c r="T91" s="36">
        <f ca="1">IF($A91="","",IF(T$1="","",COUNTIFS(tbl_chests[from],$A91,tbl_chests[legalized],T$1,tbl_chests[datetime],"&gt;="&amp;TODAY()-WEEKDAY(TODAY(),2)+1,tbl_chests[datetime],"&lt;"&amp;TODAY()-WEEKDAY(TODAY(),2)+8)))</f>
        <v>0</v>
      </c>
      <c r="U91" s="36">
        <f ca="1">IF($A91="","",IF(U$1="","",COUNTIFS(tbl_chests[from],$A91,tbl_chests[legalized],U$1,tbl_chests[datetime],"&gt;="&amp;TODAY()-WEEKDAY(TODAY(),2)+1,tbl_chests[datetime],"&lt;"&amp;TODAY()-WEEKDAY(TODAY(),2)+8)))</f>
        <v>0</v>
      </c>
      <c r="V91" s="36">
        <f ca="1">IF($A91="","",IF(V$1="","",COUNTIFS(tbl_chests[from],$A91,tbl_chests[legalized],V$1,tbl_chests[datetime],"&gt;="&amp;TODAY()-WEEKDAY(TODAY(),2)+1,tbl_chests[datetime],"&lt;"&amp;TODAY()-WEEKDAY(TODAY(),2)+8)))</f>
        <v>0</v>
      </c>
      <c r="W91" s="36">
        <f ca="1">IF($A91="","",IF(W$1="","",COUNTIFS(tbl_chests[from],$A91,tbl_chests[legalized],W$1,tbl_chests[datetime],"&gt;="&amp;TODAY()-WEEKDAY(TODAY(),2)+1,tbl_chests[datetime],"&lt;"&amp;TODAY()-WEEKDAY(TODAY(),2)+8)))</f>
        <v>0</v>
      </c>
      <c r="X91" s="36">
        <f ca="1">IF($A91="","",IF(X$1="","",COUNTIFS(tbl_chests[from],$A91,tbl_chests[legalized],X$1,tbl_chests[datetime],"&gt;="&amp;TODAY()-WEEKDAY(TODAY(),2)+1,tbl_chests[datetime],"&lt;"&amp;TODAY()-WEEKDAY(TODAY(),2)+8)))</f>
        <v>0</v>
      </c>
      <c r="Y91" s="36">
        <f ca="1">IF($A91="","",IF(Y$1="","",COUNTIFS(tbl_chests[from],$A91,tbl_chests[legalized],Y$1,tbl_chests[datetime],"&gt;="&amp;TODAY()-WEEKDAY(TODAY(),2)+1,tbl_chests[datetime],"&lt;"&amp;TODAY()-WEEKDAY(TODAY(),2)+8)))</f>
        <v>0</v>
      </c>
      <c r="Z91" s="36">
        <f ca="1">IF($A91="","",IF(Z$1="","",COUNTIFS(tbl_chests[from],$A91,tbl_chests[legalized],Z$1,tbl_chests[datetime],"&gt;="&amp;TODAY()-WEEKDAY(TODAY(),2)+1,tbl_chests[datetime],"&lt;"&amp;TODAY()-WEEKDAY(TODAY(),2)+8)))</f>
        <v>0</v>
      </c>
      <c r="AA91" s="36">
        <f ca="1">IF($A91="","",IF(AA$1="","",COUNTIFS(tbl_chests[from],$A91,tbl_chests[legalized],AA$1,tbl_chests[datetime],"&gt;="&amp;TODAY()-WEEKDAY(TODAY(),2)+1,tbl_chests[datetime],"&lt;"&amp;TODAY()-WEEKDAY(TODAY(),2)+8)))</f>
        <v>0</v>
      </c>
      <c r="AB91" s="36">
        <f ca="1">IF($A91="","",IF(AB$1="","",COUNTIFS(tbl_chests[from],$A91,tbl_chests[legalized],AB$1,tbl_chests[datetime],"&gt;="&amp;TODAY()-WEEKDAY(TODAY(),2)+1,tbl_chests[datetime],"&lt;"&amp;TODAY()-WEEKDAY(TODAY(),2)+8)))</f>
        <v>0</v>
      </c>
      <c r="AC91" s="36">
        <f ca="1">IF($A91="","",IF(AC$1="","",COUNTIFS(tbl_chests[from],$A91,tbl_chests[legalized],AC$1,tbl_chests[datetime],"&gt;="&amp;TODAY()-WEEKDAY(TODAY(),2)+1,tbl_chests[datetime],"&lt;"&amp;TODAY()-WEEKDAY(TODAY(),2)+8)))</f>
        <v>0</v>
      </c>
      <c r="AD91" s="36">
        <f ca="1">IF($A91="","",IF(AD$1="","",COUNTIFS(tbl_chests[from],$A91,tbl_chests[legalized],AD$1,tbl_chests[datetime],"&gt;="&amp;TODAY()-WEEKDAY(TODAY(),2)+1,tbl_chests[datetime],"&lt;"&amp;TODAY()-WEEKDAY(TODAY(),2)+8)))</f>
        <v>0</v>
      </c>
      <c r="AE91" s="36">
        <f ca="1">IF($A91="","",IF(AE$1="","",COUNTIFS(tbl_chests[from],$A91,tbl_chests[legalized],AE$1,tbl_chests[datetime],"&gt;="&amp;TODAY()-WEEKDAY(TODAY(),2)+1,tbl_chests[datetime],"&lt;"&amp;TODAY()-WEEKDAY(TODAY(),2)+8)))</f>
        <v>0</v>
      </c>
      <c r="AF91" s="36">
        <f ca="1">IF($A91="","",IF(AF$1="","",COUNTIFS(tbl_chests[from],$A91,tbl_chests[legalized],AF$1,tbl_chests[datetime],"&gt;="&amp;TODAY()-WEEKDAY(TODAY(),2)+1,tbl_chests[datetime],"&lt;"&amp;TODAY()-WEEKDAY(TODAY(),2)+8)))</f>
        <v>0</v>
      </c>
      <c r="AG91" s="36">
        <f ca="1">IF($A91="","",IF(AG$1="","",COUNTIFS(tbl_chests[from],$A91,tbl_chests[legalized],AG$1,tbl_chests[datetime],"&gt;="&amp;TODAY()-WEEKDAY(TODAY(),2)+1,tbl_chests[datetime],"&lt;"&amp;TODAY()-WEEKDAY(TODAY(),2)+8)))</f>
        <v>0</v>
      </c>
      <c r="AH91" s="36">
        <f ca="1">IF($A91="","",IF(AH$1="","",COUNTIFS(tbl_chests[from],$A91,tbl_chests[legalized],AH$1,tbl_chests[datetime],"&gt;="&amp;TODAY()-WEEKDAY(TODAY(),2)+1,tbl_chests[datetime],"&lt;"&amp;TODAY()-WEEKDAY(TODAY(),2)+8)))</f>
        <v>0</v>
      </c>
      <c r="AI91" s="36">
        <f ca="1">IF($A91="","",IF(AI$1="","",COUNTIFS(tbl_chests[from],$A91,tbl_chests[legalized],AI$1,tbl_chests[datetime],"&gt;="&amp;TODAY()-WEEKDAY(TODAY(),2)+1,tbl_chests[datetime],"&lt;"&amp;TODAY()-WEEKDAY(TODAY(),2)+8)))</f>
        <v>0</v>
      </c>
      <c r="AJ91" s="36">
        <f ca="1">IF($A91="","",IF(AJ$1="","",COUNTIFS(tbl_chests[from],$A91,tbl_chests[legalized],AJ$1,tbl_chests[datetime],"&gt;="&amp;TODAY()-WEEKDAY(TODAY(),2)+1,tbl_chests[datetime],"&lt;"&amp;TODAY()-WEEKDAY(TODAY(),2)+8)))</f>
        <v>0</v>
      </c>
      <c r="AK91" s="36">
        <f ca="1">IF($A91="","",IF(AK$1="","",COUNTIFS(tbl_chests[from],$A91,tbl_chests[legalized],AK$1,tbl_chests[datetime],"&gt;="&amp;TODAY()-WEEKDAY(TODAY(),2)+1,tbl_chests[datetime],"&lt;"&amp;TODAY()-WEEKDAY(TODAY(),2)+8)))</f>
        <v>0</v>
      </c>
      <c r="AL91" s="36">
        <f ca="1">IF($A91="","",IF(AL$1="","",COUNTIFS(tbl_chests[from],$A91,tbl_chests[legalized],AL$1,tbl_chests[datetime],"&gt;="&amp;TODAY()-WEEKDAY(TODAY(),2)+1,tbl_chests[datetime],"&lt;"&amp;TODAY()-WEEKDAY(TODAY(),2)+8)))</f>
        <v>0</v>
      </c>
      <c r="AM91" s="37">
        <f ca="1">IF($A91="","",IF(AM$1="","",COUNTIFS(tbl_chests[from],$A91,tbl_chests[legalized],AM$1,tbl_chests[datetime],"&gt;="&amp;TODAY()-WEEKDAY(TODAY(),2)+1,tbl_chests[datetime],"&lt;"&amp;TODAY()-WEEKDAY(TODAY(),2)+8)))</f>
        <v>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 spans="1:67" ht="15.75" customHeight="1" x14ac:dyDescent="0.25">
      <c r="A92" s="34">
        <f>chests_counter!$H89</f>
        <v>0</v>
      </c>
      <c r="B92" s="35" cm="1">
        <f t="array" aca="1" ref="B92" ca="1">IF(A92&lt;&gt;"", SUMPRODUCT(($C$2:$AM$2&lt;&gt;0)*(C92:AM92&lt;&gt;0)*($C$2:$AM$2)*(C92:AM92)), "")</f>
        <v>0</v>
      </c>
      <c r="C92" s="36">
        <f ca="1">IF($A92="","",IF(C$1="","",COUNTIFS(tbl_chests[from],$A92,tbl_chests[legalized],C$1,tbl_chests[datetime],"&gt;="&amp;TODAY()-WEEKDAY(TODAY(),2)+1,tbl_chests[datetime],"&lt;"&amp;TODAY()-WEEKDAY(TODAY(),2)+8)))</f>
        <v>0</v>
      </c>
      <c r="D92" s="36">
        <f ca="1">IF($A92="","",IF(D$1="","",COUNTIFS(tbl_chests[from],$A92,tbl_chests[legalized],D$1,tbl_chests[datetime],"&gt;="&amp;TODAY()-WEEKDAY(TODAY(),2)+1,tbl_chests[datetime],"&lt;"&amp;TODAY()-WEEKDAY(TODAY(),2)+8)))</f>
        <v>0</v>
      </c>
      <c r="E92" s="36">
        <f ca="1">IF($A92="","",IF(E$1="","",COUNTIFS(tbl_chests[from],$A92,tbl_chests[legalized],E$1,tbl_chests[datetime],"&gt;="&amp;TODAY()-WEEKDAY(TODAY(),2)+1,tbl_chests[datetime],"&lt;"&amp;TODAY()-WEEKDAY(TODAY(),2)+8)))</f>
        <v>0</v>
      </c>
      <c r="F92" s="36">
        <f ca="1">IF($A92="","",IF(F$1="","",COUNTIFS(tbl_chests[from],$A92,tbl_chests[legalized],F$1,tbl_chests[datetime],"&gt;="&amp;TODAY()-WEEKDAY(TODAY(),2)+1,tbl_chests[datetime],"&lt;"&amp;TODAY()-WEEKDAY(TODAY(),2)+8)))</f>
        <v>0</v>
      </c>
      <c r="G92" s="36">
        <f ca="1">IF($A92="","",IF(G$1="","",COUNTIFS(tbl_chests[from],$A92,tbl_chests[legalized],G$1,tbl_chests[datetime],"&gt;="&amp;TODAY()-WEEKDAY(TODAY(),2)+1,tbl_chests[datetime],"&lt;"&amp;TODAY()-WEEKDAY(TODAY(),2)+8)))</f>
        <v>0</v>
      </c>
      <c r="H92" s="36">
        <f ca="1">IF($A92="","",IF(H$1="","",COUNTIFS(tbl_chests[from],$A92,tbl_chests[legalized],H$1,tbl_chests[datetime],"&gt;="&amp;TODAY()-WEEKDAY(TODAY(),2)+1,tbl_chests[datetime],"&lt;"&amp;TODAY()-WEEKDAY(TODAY(),2)+8)))</f>
        <v>0</v>
      </c>
      <c r="I92" s="36">
        <f ca="1">IF($A92="","",IF(I$1="","",COUNTIFS(tbl_chests[from],$A92,tbl_chests[legalized],I$1,tbl_chests[datetime],"&gt;="&amp;TODAY()-WEEKDAY(TODAY(),2)+1,tbl_chests[datetime],"&lt;"&amp;TODAY()-WEEKDAY(TODAY(),2)+8)))</f>
        <v>0</v>
      </c>
      <c r="J92" s="36">
        <f ca="1">IF($A92="","",IF(J$1="","",COUNTIFS(tbl_chests[from],$A92,tbl_chests[legalized],J$1,tbl_chests[datetime],"&gt;="&amp;TODAY()-WEEKDAY(TODAY(),2)+1,tbl_chests[datetime],"&lt;"&amp;TODAY()-WEEKDAY(TODAY(),2)+8)))</f>
        <v>0</v>
      </c>
      <c r="K92" s="36">
        <f ca="1">IF($A92="","",IF(K$1="","",COUNTIFS(tbl_chests[from],$A92,tbl_chests[legalized],K$1,tbl_chests[datetime],"&gt;="&amp;TODAY()-WEEKDAY(TODAY(),2)+1,tbl_chests[datetime],"&lt;"&amp;TODAY()-WEEKDAY(TODAY(),2)+8)))</f>
        <v>0</v>
      </c>
      <c r="L92" s="36">
        <f ca="1">IF($A92="","",IF(L$1="","",COUNTIFS(tbl_chests[from],$A92,tbl_chests[legalized],L$1,tbl_chests[datetime],"&gt;="&amp;TODAY()-WEEKDAY(TODAY(),2)+1,tbl_chests[datetime],"&lt;"&amp;TODAY()-WEEKDAY(TODAY(),2)+8)))</f>
        <v>0</v>
      </c>
      <c r="M92" s="36">
        <f ca="1">IF($A92="","",IF(M$1="","",COUNTIFS(tbl_chests[from],$A92,tbl_chests[legalized],M$1,tbl_chests[datetime],"&gt;="&amp;TODAY()-WEEKDAY(TODAY(),2)+1,tbl_chests[datetime],"&lt;"&amp;TODAY()-WEEKDAY(TODAY(),2)+8)))</f>
        <v>0</v>
      </c>
      <c r="N92" s="36">
        <f ca="1">IF($A92="","",IF(N$1="","",COUNTIFS(tbl_chests[from],$A92,tbl_chests[legalized],N$1,tbl_chests[datetime],"&gt;="&amp;TODAY()-WEEKDAY(TODAY(),2)+1,tbl_chests[datetime],"&lt;"&amp;TODAY()-WEEKDAY(TODAY(),2)+8)))</f>
        <v>0</v>
      </c>
      <c r="O92" s="36">
        <f ca="1">IF($A92="","",IF(O$1="","",COUNTIFS(tbl_chests[from],$A92,tbl_chests[legalized],O$1,tbl_chests[datetime],"&gt;="&amp;TODAY()-WEEKDAY(TODAY(),2)+1,tbl_chests[datetime],"&lt;"&amp;TODAY()-WEEKDAY(TODAY(),2)+8)))</f>
        <v>0</v>
      </c>
      <c r="P92" s="36">
        <f ca="1">IF($A92="","",IF(P$1="","",COUNTIFS(tbl_chests[from],$A92,tbl_chests[legalized],P$1,tbl_chests[datetime],"&gt;="&amp;TODAY()-WEEKDAY(TODAY(),2)+1,tbl_chests[datetime],"&lt;"&amp;TODAY()-WEEKDAY(TODAY(),2)+8)))</f>
        <v>0</v>
      </c>
      <c r="Q92" s="36">
        <f ca="1">IF($A92="","",IF(Q$1="","",COUNTIFS(tbl_chests[from],$A92,tbl_chests[legalized],Q$1,tbl_chests[datetime],"&gt;="&amp;TODAY()-WEEKDAY(TODAY(),2)+1,tbl_chests[datetime],"&lt;"&amp;TODAY()-WEEKDAY(TODAY(),2)+8)))</f>
        <v>0</v>
      </c>
      <c r="R92" s="36">
        <f ca="1">IF($A92="","",IF(R$1="","",COUNTIFS(tbl_chests[from],$A92,tbl_chests[legalized],R$1,tbl_chests[datetime],"&gt;="&amp;TODAY()-WEEKDAY(TODAY(),2)+1,tbl_chests[datetime],"&lt;"&amp;TODAY()-WEEKDAY(TODAY(),2)+8)))</f>
        <v>0</v>
      </c>
      <c r="S92" s="36">
        <f ca="1">IF($A92="","",IF(S$1="","",COUNTIFS(tbl_chests[from],$A92,tbl_chests[legalized],S$1,tbl_chests[datetime],"&gt;="&amp;TODAY()-WEEKDAY(TODAY(),2)+1,tbl_chests[datetime],"&lt;"&amp;TODAY()-WEEKDAY(TODAY(),2)+8)))</f>
        <v>0</v>
      </c>
      <c r="T92" s="36">
        <f ca="1">IF($A92="","",IF(T$1="","",COUNTIFS(tbl_chests[from],$A92,tbl_chests[legalized],T$1,tbl_chests[datetime],"&gt;="&amp;TODAY()-WEEKDAY(TODAY(),2)+1,tbl_chests[datetime],"&lt;"&amp;TODAY()-WEEKDAY(TODAY(),2)+8)))</f>
        <v>0</v>
      </c>
      <c r="U92" s="36">
        <f ca="1">IF($A92="","",IF(U$1="","",COUNTIFS(tbl_chests[from],$A92,tbl_chests[legalized],U$1,tbl_chests[datetime],"&gt;="&amp;TODAY()-WEEKDAY(TODAY(),2)+1,tbl_chests[datetime],"&lt;"&amp;TODAY()-WEEKDAY(TODAY(),2)+8)))</f>
        <v>0</v>
      </c>
      <c r="V92" s="36">
        <f ca="1">IF($A92="","",IF(V$1="","",COUNTIFS(tbl_chests[from],$A92,tbl_chests[legalized],V$1,tbl_chests[datetime],"&gt;="&amp;TODAY()-WEEKDAY(TODAY(),2)+1,tbl_chests[datetime],"&lt;"&amp;TODAY()-WEEKDAY(TODAY(),2)+8)))</f>
        <v>0</v>
      </c>
      <c r="W92" s="36">
        <f ca="1">IF($A92="","",IF(W$1="","",COUNTIFS(tbl_chests[from],$A92,tbl_chests[legalized],W$1,tbl_chests[datetime],"&gt;="&amp;TODAY()-WEEKDAY(TODAY(),2)+1,tbl_chests[datetime],"&lt;"&amp;TODAY()-WEEKDAY(TODAY(),2)+8)))</f>
        <v>0</v>
      </c>
      <c r="X92" s="36">
        <f ca="1">IF($A92="","",IF(X$1="","",COUNTIFS(tbl_chests[from],$A92,tbl_chests[legalized],X$1,tbl_chests[datetime],"&gt;="&amp;TODAY()-WEEKDAY(TODAY(),2)+1,tbl_chests[datetime],"&lt;"&amp;TODAY()-WEEKDAY(TODAY(),2)+8)))</f>
        <v>0</v>
      </c>
      <c r="Y92" s="36">
        <f ca="1">IF($A92="","",IF(Y$1="","",COUNTIFS(tbl_chests[from],$A92,tbl_chests[legalized],Y$1,tbl_chests[datetime],"&gt;="&amp;TODAY()-WEEKDAY(TODAY(),2)+1,tbl_chests[datetime],"&lt;"&amp;TODAY()-WEEKDAY(TODAY(),2)+8)))</f>
        <v>0</v>
      </c>
      <c r="Z92" s="36">
        <f ca="1">IF($A92="","",IF(Z$1="","",COUNTIFS(tbl_chests[from],$A92,tbl_chests[legalized],Z$1,tbl_chests[datetime],"&gt;="&amp;TODAY()-WEEKDAY(TODAY(),2)+1,tbl_chests[datetime],"&lt;"&amp;TODAY()-WEEKDAY(TODAY(),2)+8)))</f>
        <v>0</v>
      </c>
      <c r="AA92" s="36">
        <f ca="1">IF($A92="","",IF(AA$1="","",COUNTIFS(tbl_chests[from],$A92,tbl_chests[legalized],AA$1,tbl_chests[datetime],"&gt;="&amp;TODAY()-WEEKDAY(TODAY(),2)+1,tbl_chests[datetime],"&lt;"&amp;TODAY()-WEEKDAY(TODAY(),2)+8)))</f>
        <v>0</v>
      </c>
      <c r="AB92" s="36">
        <f ca="1">IF($A92="","",IF(AB$1="","",COUNTIFS(tbl_chests[from],$A92,tbl_chests[legalized],AB$1,tbl_chests[datetime],"&gt;="&amp;TODAY()-WEEKDAY(TODAY(),2)+1,tbl_chests[datetime],"&lt;"&amp;TODAY()-WEEKDAY(TODAY(),2)+8)))</f>
        <v>0</v>
      </c>
      <c r="AC92" s="36">
        <f ca="1">IF($A92="","",IF(AC$1="","",COUNTIFS(tbl_chests[from],$A92,tbl_chests[legalized],AC$1,tbl_chests[datetime],"&gt;="&amp;TODAY()-WEEKDAY(TODAY(),2)+1,tbl_chests[datetime],"&lt;"&amp;TODAY()-WEEKDAY(TODAY(),2)+8)))</f>
        <v>0</v>
      </c>
      <c r="AD92" s="36">
        <f ca="1">IF($A92="","",IF(AD$1="","",COUNTIFS(tbl_chests[from],$A92,tbl_chests[legalized],AD$1,tbl_chests[datetime],"&gt;="&amp;TODAY()-WEEKDAY(TODAY(),2)+1,tbl_chests[datetime],"&lt;"&amp;TODAY()-WEEKDAY(TODAY(),2)+8)))</f>
        <v>0</v>
      </c>
      <c r="AE92" s="36">
        <f ca="1">IF($A92="","",IF(AE$1="","",COUNTIFS(tbl_chests[from],$A92,tbl_chests[legalized],AE$1,tbl_chests[datetime],"&gt;="&amp;TODAY()-WEEKDAY(TODAY(),2)+1,tbl_chests[datetime],"&lt;"&amp;TODAY()-WEEKDAY(TODAY(),2)+8)))</f>
        <v>0</v>
      </c>
      <c r="AF92" s="36">
        <f ca="1">IF($A92="","",IF(AF$1="","",COUNTIFS(tbl_chests[from],$A92,tbl_chests[legalized],AF$1,tbl_chests[datetime],"&gt;="&amp;TODAY()-WEEKDAY(TODAY(),2)+1,tbl_chests[datetime],"&lt;"&amp;TODAY()-WEEKDAY(TODAY(),2)+8)))</f>
        <v>0</v>
      </c>
      <c r="AG92" s="36">
        <f ca="1">IF($A92="","",IF(AG$1="","",COUNTIFS(tbl_chests[from],$A92,tbl_chests[legalized],AG$1,tbl_chests[datetime],"&gt;="&amp;TODAY()-WEEKDAY(TODAY(),2)+1,tbl_chests[datetime],"&lt;"&amp;TODAY()-WEEKDAY(TODAY(),2)+8)))</f>
        <v>0</v>
      </c>
      <c r="AH92" s="36">
        <f ca="1">IF($A92="","",IF(AH$1="","",COUNTIFS(tbl_chests[from],$A92,tbl_chests[legalized],AH$1,tbl_chests[datetime],"&gt;="&amp;TODAY()-WEEKDAY(TODAY(),2)+1,tbl_chests[datetime],"&lt;"&amp;TODAY()-WEEKDAY(TODAY(),2)+8)))</f>
        <v>0</v>
      </c>
      <c r="AI92" s="36">
        <f ca="1">IF($A92="","",IF(AI$1="","",COUNTIFS(tbl_chests[from],$A92,tbl_chests[legalized],AI$1,tbl_chests[datetime],"&gt;="&amp;TODAY()-WEEKDAY(TODAY(),2)+1,tbl_chests[datetime],"&lt;"&amp;TODAY()-WEEKDAY(TODAY(),2)+8)))</f>
        <v>0</v>
      </c>
      <c r="AJ92" s="36">
        <f ca="1">IF($A92="","",IF(AJ$1="","",COUNTIFS(tbl_chests[from],$A92,tbl_chests[legalized],AJ$1,tbl_chests[datetime],"&gt;="&amp;TODAY()-WEEKDAY(TODAY(),2)+1,tbl_chests[datetime],"&lt;"&amp;TODAY()-WEEKDAY(TODAY(),2)+8)))</f>
        <v>0</v>
      </c>
      <c r="AK92" s="36">
        <f ca="1">IF($A92="","",IF(AK$1="","",COUNTIFS(tbl_chests[from],$A92,tbl_chests[legalized],AK$1,tbl_chests[datetime],"&gt;="&amp;TODAY()-WEEKDAY(TODAY(),2)+1,tbl_chests[datetime],"&lt;"&amp;TODAY()-WEEKDAY(TODAY(),2)+8)))</f>
        <v>0</v>
      </c>
      <c r="AL92" s="36">
        <f ca="1">IF($A92="","",IF(AL$1="","",COUNTIFS(tbl_chests[from],$A92,tbl_chests[legalized],AL$1,tbl_chests[datetime],"&gt;="&amp;TODAY()-WEEKDAY(TODAY(),2)+1,tbl_chests[datetime],"&lt;"&amp;TODAY()-WEEKDAY(TODAY(),2)+8)))</f>
        <v>0</v>
      </c>
      <c r="AM92" s="37">
        <f ca="1">IF($A92="","",IF(AM$1="","",COUNTIFS(tbl_chests[from],$A92,tbl_chests[legalized],AM$1,tbl_chests[datetime],"&gt;="&amp;TODAY()-WEEKDAY(TODAY(),2)+1,tbl_chests[datetime],"&lt;"&amp;TODAY()-WEEKDAY(TODAY(),2)+8)))</f>
        <v>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 spans="1:67" ht="15.75" customHeight="1" x14ac:dyDescent="0.25">
      <c r="A93" s="34">
        <f>chests_counter!$H90</f>
        <v>0</v>
      </c>
      <c r="B93" s="35" cm="1">
        <f t="array" aca="1" ref="B93" ca="1">IF(A93&lt;&gt;"", SUMPRODUCT(($C$2:$AM$2&lt;&gt;0)*(C93:AM93&lt;&gt;0)*($C$2:$AM$2)*(C93:AM93)), "")</f>
        <v>0</v>
      </c>
      <c r="C93" s="36">
        <f ca="1">IF($A93="","",IF(C$1="","",COUNTIFS(tbl_chests[from],$A93,tbl_chests[legalized],C$1,tbl_chests[datetime],"&gt;="&amp;TODAY()-WEEKDAY(TODAY(),2)+1,tbl_chests[datetime],"&lt;"&amp;TODAY()-WEEKDAY(TODAY(),2)+8)))</f>
        <v>0</v>
      </c>
      <c r="D93" s="36">
        <f ca="1">IF($A93="","",IF(D$1="","",COUNTIFS(tbl_chests[from],$A93,tbl_chests[legalized],D$1,tbl_chests[datetime],"&gt;="&amp;TODAY()-WEEKDAY(TODAY(),2)+1,tbl_chests[datetime],"&lt;"&amp;TODAY()-WEEKDAY(TODAY(),2)+8)))</f>
        <v>0</v>
      </c>
      <c r="E93" s="36">
        <f ca="1">IF($A93="","",IF(E$1="","",COUNTIFS(tbl_chests[from],$A93,tbl_chests[legalized],E$1,tbl_chests[datetime],"&gt;="&amp;TODAY()-WEEKDAY(TODAY(),2)+1,tbl_chests[datetime],"&lt;"&amp;TODAY()-WEEKDAY(TODAY(),2)+8)))</f>
        <v>0</v>
      </c>
      <c r="F93" s="36">
        <f ca="1">IF($A93="","",IF(F$1="","",COUNTIFS(tbl_chests[from],$A93,tbl_chests[legalized],F$1,tbl_chests[datetime],"&gt;="&amp;TODAY()-WEEKDAY(TODAY(),2)+1,tbl_chests[datetime],"&lt;"&amp;TODAY()-WEEKDAY(TODAY(),2)+8)))</f>
        <v>0</v>
      </c>
      <c r="G93" s="36">
        <f ca="1">IF($A93="","",IF(G$1="","",COUNTIFS(tbl_chests[from],$A93,tbl_chests[legalized],G$1,tbl_chests[datetime],"&gt;="&amp;TODAY()-WEEKDAY(TODAY(),2)+1,tbl_chests[datetime],"&lt;"&amp;TODAY()-WEEKDAY(TODAY(),2)+8)))</f>
        <v>0</v>
      </c>
      <c r="H93" s="36">
        <f ca="1">IF($A93="","",IF(H$1="","",COUNTIFS(tbl_chests[from],$A93,tbl_chests[legalized],H$1,tbl_chests[datetime],"&gt;="&amp;TODAY()-WEEKDAY(TODAY(),2)+1,tbl_chests[datetime],"&lt;"&amp;TODAY()-WEEKDAY(TODAY(),2)+8)))</f>
        <v>0</v>
      </c>
      <c r="I93" s="36">
        <f ca="1">IF($A93="","",IF(I$1="","",COUNTIFS(tbl_chests[from],$A93,tbl_chests[legalized],I$1,tbl_chests[datetime],"&gt;="&amp;TODAY()-WEEKDAY(TODAY(),2)+1,tbl_chests[datetime],"&lt;"&amp;TODAY()-WEEKDAY(TODAY(),2)+8)))</f>
        <v>0</v>
      </c>
      <c r="J93" s="36">
        <f ca="1">IF($A93="","",IF(J$1="","",COUNTIFS(tbl_chests[from],$A93,tbl_chests[legalized],J$1,tbl_chests[datetime],"&gt;="&amp;TODAY()-WEEKDAY(TODAY(),2)+1,tbl_chests[datetime],"&lt;"&amp;TODAY()-WEEKDAY(TODAY(),2)+8)))</f>
        <v>0</v>
      </c>
      <c r="K93" s="36">
        <f ca="1">IF($A93="","",IF(K$1="","",COUNTIFS(tbl_chests[from],$A93,tbl_chests[legalized],K$1,tbl_chests[datetime],"&gt;="&amp;TODAY()-WEEKDAY(TODAY(),2)+1,tbl_chests[datetime],"&lt;"&amp;TODAY()-WEEKDAY(TODAY(),2)+8)))</f>
        <v>0</v>
      </c>
      <c r="L93" s="36">
        <f ca="1">IF($A93="","",IF(L$1="","",COUNTIFS(tbl_chests[from],$A93,tbl_chests[legalized],L$1,tbl_chests[datetime],"&gt;="&amp;TODAY()-WEEKDAY(TODAY(),2)+1,tbl_chests[datetime],"&lt;"&amp;TODAY()-WEEKDAY(TODAY(),2)+8)))</f>
        <v>0</v>
      </c>
      <c r="M93" s="36">
        <f ca="1">IF($A93="","",IF(M$1="","",COUNTIFS(tbl_chests[from],$A93,tbl_chests[legalized],M$1,tbl_chests[datetime],"&gt;="&amp;TODAY()-WEEKDAY(TODAY(),2)+1,tbl_chests[datetime],"&lt;"&amp;TODAY()-WEEKDAY(TODAY(),2)+8)))</f>
        <v>0</v>
      </c>
      <c r="N93" s="36">
        <f ca="1">IF($A93="","",IF(N$1="","",COUNTIFS(tbl_chests[from],$A93,tbl_chests[legalized],N$1,tbl_chests[datetime],"&gt;="&amp;TODAY()-WEEKDAY(TODAY(),2)+1,tbl_chests[datetime],"&lt;"&amp;TODAY()-WEEKDAY(TODAY(),2)+8)))</f>
        <v>0</v>
      </c>
      <c r="O93" s="36">
        <f ca="1">IF($A93="","",IF(O$1="","",COUNTIFS(tbl_chests[from],$A93,tbl_chests[legalized],O$1,tbl_chests[datetime],"&gt;="&amp;TODAY()-WEEKDAY(TODAY(),2)+1,tbl_chests[datetime],"&lt;"&amp;TODAY()-WEEKDAY(TODAY(),2)+8)))</f>
        <v>0</v>
      </c>
      <c r="P93" s="36">
        <f ca="1">IF($A93="","",IF(P$1="","",COUNTIFS(tbl_chests[from],$A93,tbl_chests[legalized],P$1,tbl_chests[datetime],"&gt;="&amp;TODAY()-WEEKDAY(TODAY(),2)+1,tbl_chests[datetime],"&lt;"&amp;TODAY()-WEEKDAY(TODAY(),2)+8)))</f>
        <v>0</v>
      </c>
      <c r="Q93" s="36">
        <f ca="1">IF($A93="","",IF(Q$1="","",COUNTIFS(tbl_chests[from],$A93,tbl_chests[legalized],Q$1,tbl_chests[datetime],"&gt;="&amp;TODAY()-WEEKDAY(TODAY(),2)+1,tbl_chests[datetime],"&lt;"&amp;TODAY()-WEEKDAY(TODAY(),2)+8)))</f>
        <v>0</v>
      </c>
      <c r="R93" s="36">
        <f ca="1">IF($A93="","",IF(R$1="","",COUNTIFS(tbl_chests[from],$A93,tbl_chests[legalized],R$1,tbl_chests[datetime],"&gt;="&amp;TODAY()-WEEKDAY(TODAY(),2)+1,tbl_chests[datetime],"&lt;"&amp;TODAY()-WEEKDAY(TODAY(),2)+8)))</f>
        <v>0</v>
      </c>
      <c r="S93" s="36">
        <f ca="1">IF($A93="","",IF(S$1="","",COUNTIFS(tbl_chests[from],$A93,tbl_chests[legalized],S$1,tbl_chests[datetime],"&gt;="&amp;TODAY()-WEEKDAY(TODAY(),2)+1,tbl_chests[datetime],"&lt;"&amp;TODAY()-WEEKDAY(TODAY(),2)+8)))</f>
        <v>0</v>
      </c>
      <c r="T93" s="36">
        <f ca="1">IF($A93="","",IF(T$1="","",COUNTIFS(tbl_chests[from],$A93,tbl_chests[legalized],T$1,tbl_chests[datetime],"&gt;="&amp;TODAY()-WEEKDAY(TODAY(),2)+1,tbl_chests[datetime],"&lt;"&amp;TODAY()-WEEKDAY(TODAY(),2)+8)))</f>
        <v>0</v>
      </c>
      <c r="U93" s="36">
        <f ca="1">IF($A93="","",IF(U$1="","",COUNTIFS(tbl_chests[from],$A93,tbl_chests[legalized],U$1,tbl_chests[datetime],"&gt;="&amp;TODAY()-WEEKDAY(TODAY(),2)+1,tbl_chests[datetime],"&lt;"&amp;TODAY()-WEEKDAY(TODAY(),2)+8)))</f>
        <v>0</v>
      </c>
      <c r="V93" s="36">
        <f ca="1">IF($A93="","",IF(V$1="","",COUNTIFS(tbl_chests[from],$A93,tbl_chests[legalized],V$1,tbl_chests[datetime],"&gt;="&amp;TODAY()-WEEKDAY(TODAY(),2)+1,tbl_chests[datetime],"&lt;"&amp;TODAY()-WEEKDAY(TODAY(),2)+8)))</f>
        <v>0</v>
      </c>
      <c r="W93" s="36">
        <f ca="1">IF($A93="","",IF(W$1="","",COUNTIFS(tbl_chests[from],$A93,tbl_chests[legalized],W$1,tbl_chests[datetime],"&gt;="&amp;TODAY()-WEEKDAY(TODAY(),2)+1,tbl_chests[datetime],"&lt;"&amp;TODAY()-WEEKDAY(TODAY(),2)+8)))</f>
        <v>0</v>
      </c>
      <c r="X93" s="36">
        <f ca="1">IF($A93="","",IF(X$1="","",COUNTIFS(tbl_chests[from],$A93,tbl_chests[legalized],X$1,tbl_chests[datetime],"&gt;="&amp;TODAY()-WEEKDAY(TODAY(),2)+1,tbl_chests[datetime],"&lt;"&amp;TODAY()-WEEKDAY(TODAY(),2)+8)))</f>
        <v>0</v>
      </c>
      <c r="Y93" s="36">
        <f ca="1">IF($A93="","",IF(Y$1="","",COUNTIFS(tbl_chests[from],$A93,tbl_chests[legalized],Y$1,tbl_chests[datetime],"&gt;="&amp;TODAY()-WEEKDAY(TODAY(),2)+1,tbl_chests[datetime],"&lt;"&amp;TODAY()-WEEKDAY(TODAY(),2)+8)))</f>
        <v>0</v>
      </c>
      <c r="Z93" s="36">
        <f ca="1">IF($A93="","",IF(Z$1="","",COUNTIFS(tbl_chests[from],$A93,tbl_chests[legalized],Z$1,tbl_chests[datetime],"&gt;="&amp;TODAY()-WEEKDAY(TODAY(),2)+1,tbl_chests[datetime],"&lt;"&amp;TODAY()-WEEKDAY(TODAY(),2)+8)))</f>
        <v>0</v>
      </c>
      <c r="AA93" s="36">
        <f ca="1">IF($A93="","",IF(AA$1="","",COUNTIFS(tbl_chests[from],$A93,tbl_chests[legalized],AA$1,tbl_chests[datetime],"&gt;="&amp;TODAY()-WEEKDAY(TODAY(),2)+1,tbl_chests[datetime],"&lt;"&amp;TODAY()-WEEKDAY(TODAY(),2)+8)))</f>
        <v>0</v>
      </c>
      <c r="AB93" s="36">
        <f ca="1">IF($A93="","",IF(AB$1="","",COUNTIFS(tbl_chests[from],$A93,tbl_chests[legalized],AB$1,tbl_chests[datetime],"&gt;="&amp;TODAY()-WEEKDAY(TODAY(),2)+1,tbl_chests[datetime],"&lt;"&amp;TODAY()-WEEKDAY(TODAY(),2)+8)))</f>
        <v>0</v>
      </c>
      <c r="AC93" s="36">
        <f ca="1">IF($A93="","",IF(AC$1="","",COUNTIFS(tbl_chests[from],$A93,tbl_chests[legalized],AC$1,tbl_chests[datetime],"&gt;="&amp;TODAY()-WEEKDAY(TODAY(),2)+1,tbl_chests[datetime],"&lt;"&amp;TODAY()-WEEKDAY(TODAY(),2)+8)))</f>
        <v>0</v>
      </c>
      <c r="AD93" s="36">
        <f ca="1">IF($A93="","",IF(AD$1="","",COUNTIFS(tbl_chests[from],$A93,tbl_chests[legalized],AD$1,tbl_chests[datetime],"&gt;="&amp;TODAY()-WEEKDAY(TODAY(),2)+1,tbl_chests[datetime],"&lt;"&amp;TODAY()-WEEKDAY(TODAY(),2)+8)))</f>
        <v>0</v>
      </c>
      <c r="AE93" s="36">
        <f ca="1">IF($A93="","",IF(AE$1="","",COUNTIFS(tbl_chests[from],$A93,tbl_chests[legalized],AE$1,tbl_chests[datetime],"&gt;="&amp;TODAY()-WEEKDAY(TODAY(),2)+1,tbl_chests[datetime],"&lt;"&amp;TODAY()-WEEKDAY(TODAY(),2)+8)))</f>
        <v>0</v>
      </c>
      <c r="AF93" s="36">
        <f ca="1">IF($A93="","",IF(AF$1="","",COUNTIFS(tbl_chests[from],$A93,tbl_chests[legalized],AF$1,tbl_chests[datetime],"&gt;="&amp;TODAY()-WEEKDAY(TODAY(),2)+1,tbl_chests[datetime],"&lt;"&amp;TODAY()-WEEKDAY(TODAY(),2)+8)))</f>
        <v>0</v>
      </c>
      <c r="AG93" s="36">
        <f ca="1">IF($A93="","",IF(AG$1="","",COUNTIFS(tbl_chests[from],$A93,tbl_chests[legalized],AG$1,tbl_chests[datetime],"&gt;="&amp;TODAY()-WEEKDAY(TODAY(),2)+1,tbl_chests[datetime],"&lt;"&amp;TODAY()-WEEKDAY(TODAY(),2)+8)))</f>
        <v>0</v>
      </c>
      <c r="AH93" s="36">
        <f ca="1">IF($A93="","",IF(AH$1="","",COUNTIFS(tbl_chests[from],$A93,tbl_chests[legalized],AH$1,tbl_chests[datetime],"&gt;="&amp;TODAY()-WEEKDAY(TODAY(),2)+1,tbl_chests[datetime],"&lt;"&amp;TODAY()-WEEKDAY(TODAY(),2)+8)))</f>
        <v>0</v>
      </c>
      <c r="AI93" s="36">
        <f ca="1">IF($A93="","",IF(AI$1="","",COUNTIFS(tbl_chests[from],$A93,tbl_chests[legalized],AI$1,tbl_chests[datetime],"&gt;="&amp;TODAY()-WEEKDAY(TODAY(),2)+1,tbl_chests[datetime],"&lt;"&amp;TODAY()-WEEKDAY(TODAY(),2)+8)))</f>
        <v>0</v>
      </c>
      <c r="AJ93" s="36">
        <f ca="1">IF($A93="","",IF(AJ$1="","",COUNTIFS(tbl_chests[from],$A93,tbl_chests[legalized],AJ$1,tbl_chests[datetime],"&gt;="&amp;TODAY()-WEEKDAY(TODAY(),2)+1,tbl_chests[datetime],"&lt;"&amp;TODAY()-WEEKDAY(TODAY(),2)+8)))</f>
        <v>0</v>
      </c>
      <c r="AK93" s="36">
        <f ca="1">IF($A93="","",IF(AK$1="","",COUNTIFS(tbl_chests[from],$A93,tbl_chests[legalized],AK$1,tbl_chests[datetime],"&gt;="&amp;TODAY()-WEEKDAY(TODAY(),2)+1,tbl_chests[datetime],"&lt;"&amp;TODAY()-WEEKDAY(TODAY(),2)+8)))</f>
        <v>0</v>
      </c>
      <c r="AL93" s="36">
        <f ca="1">IF($A93="","",IF(AL$1="","",COUNTIFS(tbl_chests[from],$A93,tbl_chests[legalized],AL$1,tbl_chests[datetime],"&gt;="&amp;TODAY()-WEEKDAY(TODAY(),2)+1,tbl_chests[datetime],"&lt;"&amp;TODAY()-WEEKDAY(TODAY(),2)+8)))</f>
        <v>0</v>
      </c>
      <c r="AM93" s="37">
        <f ca="1">IF($A93="","",IF(AM$1="","",COUNTIFS(tbl_chests[from],$A93,tbl_chests[legalized],AM$1,tbl_chests[datetime],"&gt;="&amp;TODAY()-WEEKDAY(TODAY(),2)+1,tbl_chests[datetime],"&lt;"&amp;TODAY()-WEEKDAY(TODAY(),2)+8)))</f>
        <v>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 spans="1:67" ht="15.75" customHeight="1" x14ac:dyDescent="0.25">
      <c r="A94" s="34">
        <f>chests_counter!$H91</f>
        <v>0</v>
      </c>
      <c r="B94" s="35" cm="1">
        <f t="array" aca="1" ref="B94" ca="1">IF(A94&lt;&gt;"", SUMPRODUCT(($C$2:$AM$2&lt;&gt;0)*(C94:AM94&lt;&gt;0)*($C$2:$AM$2)*(C94:AM94)), "")</f>
        <v>0</v>
      </c>
      <c r="C94" s="36">
        <f ca="1">IF($A94="","",IF(C$1="","",COUNTIFS(tbl_chests[from],$A94,tbl_chests[legalized],C$1,tbl_chests[datetime],"&gt;="&amp;TODAY()-WEEKDAY(TODAY(),2)+1,tbl_chests[datetime],"&lt;"&amp;TODAY()-WEEKDAY(TODAY(),2)+8)))</f>
        <v>0</v>
      </c>
      <c r="D94" s="36">
        <f ca="1">IF($A94="","",IF(D$1="","",COUNTIFS(tbl_chests[from],$A94,tbl_chests[legalized],D$1,tbl_chests[datetime],"&gt;="&amp;TODAY()-WEEKDAY(TODAY(),2)+1,tbl_chests[datetime],"&lt;"&amp;TODAY()-WEEKDAY(TODAY(),2)+8)))</f>
        <v>0</v>
      </c>
      <c r="E94" s="36">
        <f ca="1">IF($A94="","",IF(E$1="","",COUNTIFS(tbl_chests[from],$A94,tbl_chests[legalized],E$1,tbl_chests[datetime],"&gt;="&amp;TODAY()-WEEKDAY(TODAY(),2)+1,tbl_chests[datetime],"&lt;"&amp;TODAY()-WEEKDAY(TODAY(),2)+8)))</f>
        <v>0</v>
      </c>
      <c r="F94" s="36">
        <f ca="1">IF($A94="","",IF(F$1="","",COUNTIFS(tbl_chests[from],$A94,tbl_chests[legalized],F$1,tbl_chests[datetime],"&gt;="&amp;TODAY()-WEEKDAY(TODAY(),2)+1,tbl_chests[datetime],"&lt;"&amp;TODAY()-WEEKDAY(TODAY(),2)+8)))</f>
        <v>0</v>
      </c>
      <c r="G94" s="36">
        <f ca="1">IF($A94="","",IF(G$1="","",COUNTIFS(tbl_chests[from],$A94,tbl_chests[legalized],G$1,tbl_chests[datetime],"&gt;="&amp;TODAY()-WEEKDAY(TODAY(),2)+1,tbl_chests[datetime],"&lt;"&amp;TODAY()-WEEKDAY(TODAY(),2)+8)))</f>
        <v>0</v>
      </c>
      <c r="H94" s="36">
        <f ca="1">IF($A94="","",IF(H$1="","",COUNTIFS(tbl_chests[from],$A94,tbl_chests[legalized],H$1,tbl_chests[datetime],"&gt;="&amp;TODAY()-WEEKDAY(TODAY(),2)+1,tbl_chests[datetime],"&lt;"&amp;TODAY()-WEEKDAY(TODAY(),2)+8)))</f>
        <v>0</v>
      </c>
      <c r="I94" s="36">
        <f ca="1">IF($A94="","",IF(I$1="","",COUNTIFS(tbl_chests[from],$A94,tbl_chests[legalized],I$1,tbl_chests[datetime],"&gt;="&amp;TODAY()-WEEKDAY(TODAY(),2)+1,tbl_chests[datetime],"&lt;"&amp;TODAY()-WEEKDAY(TODAY(),2)+8)))</f>
        <v>0</v>
      </c>
      <c r="J94" s="36">
        <f ca="1">IF($A94="","",IF(J$1="","",COUNTIFS(tbl_chests[from],$A94,tbl_chests[legalized],J$1,tbl_chests[datetime],"&gt;="&amp;TODAY()-WEEKDAY(TODAY(),2)+1,tbl_chests[datetime],"&lt;"&amp;TODAY()-WEEKDAY(TODAY(),2)+8)))</f>
        <v>0</v>
      </c>
      <c r="K94" s="36">
        <f ca="1">IF($A94="","",IF(K$1="","",COUNTIFS(tbl_chests[from],$A94,tbl_chests[legalized],K$1,tbl_chests[datetime],"&gt;="&amp;TODAY()-WEEKDAY(TODAY(),2)+1,tbl_chests[datetime],"&lt;"&amp;TODAY()-WEEKDAY(TODAY(),2)+8)))</f>
        <v>0</v>
      </c>
      <c r="L94" s="36">
        <f ca="1">IF($A94="","",IF(L$1="","",COUNTIFS(tbl_chests[from],$A94,tbl_chests[legalized],L$1,tbl_chests[datetime],"&gt;="&amp;TODAY()-WEEKDAY(TODAY(),2)+1,tbl_chests[datetime],"&lt;"&amp;TODAY()-WEEKDAY(TODAY(),2)+8)))</f>
        <v>0</v>
      </c>
      <c r="M94" s="36">
        <f ca="1">IF($A94="","",IF(M$1="","",COUNTIFS(tbl_chests[from],$A94,tbl_chests[legalized],M$1,tbl_chests[datetime],"&gt;="&amp;TODAY()-WEEKDAY(TODAY(),2)+1,tbl_chests[datetime],"&lt;"&amp;TODAY()-WEEKDAY(TODAY(),2)+8)))</f>
        <v>0</v>
      </c>
      <c r="N94" s="36">
        <f ca="1">IF($A94="","",IF(N$1="","",COUNTIFS(tbl_chests[from],$A94,tbl_chests[legalized],N$1,tbl_chests[datetime],"&gt;="&amp;TODAY()-WEEKDAY(TODAY(),2)+1,tbl_chests[datetime],"&lt;"&amp;TODAY()-WEEKDAY(TODAY(),2)+8)))</f>
        <v>0</v>
      </c>
      <c r="O94" s="36">
        <f ca="1">IF($A94="","",IF(O$1="","",COUNTIFS(tbl_chests[from],$A94,tbl_chests[legalized],O$1,tbl_chests[datetime],"&gt;="&amp;TODAY()-WEEKDAY(TODAY(),2)+1,tbl_chests[datetime],"&lt;"&amp;TODAY()-WEEKDAY(TODAY(),2)+8)))</f>
        <v>0</v>
      </c>
      <c r="P94" s="36">
        <f ca="1">IF($A94="","",IF(P$1="","",COUNTIFS(tbl_chests[from],$A94,tbl_chests[legalized],P$1,tbl_chests[datetime],"&gt;="&amp;TODAY()-WEEKDAY(TODAY(),2)+1,tbl_chests[datetime],"&lt;"&amp;TODAY()-WEEKDAY(TODAY(),2)+8)))</f>
        <v>0</v>
      </c>
      <c r="Q94" s="36">
        <f ca="1">IF($A94="","",IF(Q$1="","",COUNTIFS(tbl_chests[from],$A94,tbl_chests[legalized],Q$1,tbl_chests[datetime],"&gt;="&amp;TODAY()-WEEKDAY(TODAY(),2)+1,tbl_chests[datetime],"&lt;"&amp;TODAY()-WEEKDAY(TODAY(),2)+8)))</f>
        <v>0</v>
      </c>
      <c r="R94" s="36">
        <f ca="1">IF($A94="","",IF(R$1="","",COUNTIFS(tbl_chests[from],$A94,tbl_chests[legalized],R$1,tbl_chests[datetime],"&gt;="&amp;TODAY()-WEEKDAY(TODAY(),2)+1,tbl_chests[datetime],"&lt;"&amp;TODAY()-WEEKDAY(TODAY(),2)+8)))</f>
        <v>0</v>
      </c>
      <c r="S94" s="36">
        <f ca="1">IF($A94="","",IF(S$1="","",COUNTIFS(tbl_chests[from],$A94,tbl_chests[legalized],S$1,tbl_chests[datetime],"&gt;="&amp;TODAY()-WEEKDAY(TODAY(),2)+1,tbl_chests[datetime],"&lt;"&amp;TODAY()-WEEKDAY(TODAY(),2)+8)))</f>
        <v>0</v>
      </c>
      <c r="T94" s="36">
        <f ca="1">IF($A94="","",IF(T$1="","",COUNTIFS(tbl_chests[from],$A94,tbl_chests[legalized],T$1,tbl_chests[datetime],"&gt;="&amp;TODAY()-WEEKDAY(TODAY(),2)+1,tbl_chests[datetime],"&lt;"&amp;TODAY()-WEEKDAY(TODAY(),2)+8)))</f>
        <v>0</v>
      </c>
      <c r="U94" s="36">
        <f ca="1">IF($A94="","",IF(U$1="","",COUNTIFS(tbl_chests[from],$A94,tbl_chests[legalized],U$1,tbl_chests[datetime],"&gt;="&amp;TODAY()-WEEKDAY(TODAY(),2)+1,tbl_chests[datetime],"&lt;"&amp;TODAY()-WEEKDAY(TODAY(),2)+8)))</f>
        <v>0</v>
      </c>
      <c r="V94" s="36">
        <f ca="1">IF($A94="","",IF(V$1="","",COUNTIFS(tbl_chests[from],$A94,tbl_chests[legalized],V$1,tbl_chests[datetime],"&gt;="&amp;TODAY()-WEEKDAY(TODAY(),2)+1,tbl_chests[datetime],"&lt;"&amp;TODAY()-WEEKDAY(TODAY(),2)+8)))</f>
        <v>0</v>
      </c>
      <c r="W94" s="36">
        <f ca="1">IF($A94="","",IF(W$1="","",COUNTIFS(tbl_chests[from],$A94,tbl_chests[legalized],W$1,tbl_chests[datetime],"&gt;="&amp;TODAY()-WEEKDAY(TODAY(),2)+1,tbl_chests[datetime],"&lt;"&amp;TODAY()-WEEKDAY(TODAY(),2)+8)))</f>
        <v>0</v>
      </c>
      <c r="X94" s="36">
        <f ca="1">IF($A94="","",IF(X$1="","",COUNTIFS(tbl_chests[from],$A94,tbl_chests[legalized],X$1,tbl_chests[datetime],"&gt;="&amp;TODAY()-WEEKDAY(TODAY(),2)+1,tbl_chests[datetime],"&lt;"&amp;TODAY()-WEEKDAY(TODAY(),2)+8)))</f>
        <v>0</v>
      </c>
      <c r="Y94" s="36">
        <f ca="1">IF($A94="","",IF(Y$1="","",COUNTIFS(tbl_chests[from],$A94,tbl_chests[legalized],Y$1,tbl_chests[datetime],"&gt;="&amp;TODAY()-WEEKDAY(TODAY(),2)+1,tbl_chests[datetime],"&lt;"&amp;TODAY()-WEEKDAY(TODAY(),2)+8)))</f>
        <v>0</v>
      </c>
      <c r="Z94" s="36">
        <f ca="1">IF($A94="","",IF(Z$1="","",COUNTIFS(tbl_chests[from],$A94,tbl_chests[legalized],Z$1,tbl_chests[datetime],"&gt;="&amp;TODAY()-WEEKDAY(TODAY(),2)+1,tbl_chests[datetime],"&lt;"&amp;TODAY()-WEEKDAY(TODAY(),2)+8)))</f>
        <v>0</v>
      </c>
      <c r="AA94" s="36">
        <f ca="1">IF($A94="","",IF(AA$1="","",COUNTIFS(tbl_chests[from],$A94,tbl_chests[legalized],AA$1,tbl_chests[datetime],"&gt;="&amp;TODAY()-WEEKDAY(TODAY(),2)+1,tbl_chests[datetime],"&lt;"&amp;TODAY()-WEEKDAY(TODAY(),2)+8)))</f>
        <v>0</v>
      </c>
      <c r="AB94" s="36">
        <f ca="1">IF($A94="","",IF(AB$1="","",COUNTIFS(tbl_chests[from],$A94,tbl_chests[legalized],AB$1,tbl_chests[datetime],"&gt;="&amp;TODAY()-WEEKDAY(TODAY(),2)+1,tbl_chests[datetime],"&lt;"&amp;TODAY()-WEEKDAY(TODAY(),2)+8)))</f>
        <v>0</v>
      </c>
      <c r="AC94" s="36">
        <f ca="1">IF($A94="","",IF(AC$1="","",COUNTIFS(tbl_chests[from],$A94,tbl_chests[legalized],AC$1,tbl_chests[datetime],"&gt;="&amp;TODAY()-WEEKDAY(TODAY(),2)+1,tbl_chests[datetime],"&lt;"&amp;TODAY()-WEEKDAY(TODAY(),2)+8)))</f>
        <v>0</v>
      </c>
      <c r="AD94" s="36">
        <f ca="1">IF($A94="","",IF(AD$1="","",COUNTIFS(tbl_chests[from],$A94,tbl_chests[legalized],AD$1,tbl_chests[datetime],"&gt;="&amp;TODAY()-WEEKDAY(TODAY(),2)+1,tbl_chests[datetime],"&lt;"&amp;TODAY()-WEEKDAY(TODAY(),2)+8)))</f>
        <v>0</v>
      </c>
      <c r="AE94" s="36">
        <f ca="1">IF($A94="","",IF(AE$1="","",COUNTIFS(tbl_chests[from],$A94,tbl_chests[legalized],AE$1,tbl_chests[datetime],"&gt;="&amp;TODAY()-WEEKDAY(TODAY(),2)+1,tbl_chests[datetime],"&lt;"&amp;TODAY()-WEEKDAY(TODAY(),2)+8)))</f>
        <v>0</v>
      </c>
      <c r="AF94" s="36">
        <f ca="1">IF($A94="","",IF(AF$1="","",COUNTIFS(tbl_chests[from],$A94,tbl_chests[legalized],AF$1,tbl_chests[datetime],"&gt;="&amp;TODAY()-WEEKDAY(TODAY(),2)+1,tbl_chests[datetime],"&lt;"&amp;TODAY()-WEEKDAY(TODAY(),2)+8)))</f>
        <v>0</v>
      </c>
      <c r="AG94" s="36">
        <f ca="1">IF($A94="","",IF(AG$1="","",COUNTIFS(tbl_chests[from],$A94,tbl_chests[legalized],AG$1,tbl_chests[datetime],"&gt;="&amp;TODAY()-WEEKDAY(TODAY(),2)+1,tbl_chests[datetime],"&lt;"&amp;TODAY()-WEEKDAY(TODAY(),2)+8)))</f>
        <v>0</v>
      </c>
      <c r="AH94" s="36">
        <f ca="1">IF($A94="","",IF(AH$1="","",COUNTIFS(tbl_chests[from],$A94,tbl_chests[legalized],AH$1,tbl_chests[datetime],"&gt;="&amp;TODAY()-WEEKDAY(TODAY(),2)+1,tbl_chests[datetime],"&lt;"&amp;TODAY()-WEEKDAY(TODAY(),2)+8)))</f>
        <v>0</v>
      </c>
      <c r="AI94" s="36">
        <f ca="1">IF($A94="","",IF(AI$1="","",COUNTIFS(tbl_chests[from],$A94,tbl_chests[legalized],AI$1,tbl_chests[datetime],"&gt;="&amp;TODAY()-WEEKDAY(TODAY(),2)+1,tbl_chests[datetime],"&lt;"&amp;TODAY()-WEEKDAY(TODAY(),2)+8)))</f>
        <v>0</v>
      </c>
      <c r="AJ94" s="36">
        <f ca="1">IF($A94="","",IF(AJ$1="","",COUNTIFS(tbl_chests[from],$A94,tbl_chests[legalized],AJ$1,tbl_chests[datetime],"&gt;="&amp;TODAY()-WEEKDAY(TODAY(),2)+1,tbl_chests[datetime],"&lt;"&amp;TODAY()-WEEKDAY(TODAY(),2)+8)))</f>
        <v>0</v>
      </c>
      <c r="AK94" s="36">
        <f ca="1">IF($A94="","",IF(AK$1="","",COUNTIFS(tbl_chests[from],$A94,tbl_chests[legalized],AK$1,tbl_chests[datetime],"&gt;="&amp;TODAY()-WEEKDAY(TODAY(),2)+1,tbl_chests[datetime],"&lt;"&amp;TODAY()-WEEKDAY(TODAY(),2)+8)))</f>
        <v>0</v>
      </c>
      <c r="AL94" s="36">
        <f ca="1">IF($A94="","",IF(AL$1="","",COUNTIFS(tbl_chests[from],$A94,tbl_chests[legalized],AL$1,tbl_chests[datetime],"&gt;="&amp;TODAY()-WEEKDAY(TODAY(),2)+1,tbl_chests[datetime],"&lt;"&amp;TODAY()-WEEKDAY(TODAY(),2)+8)))</f>
        <v>0</v>
      </c>
      <c r="AM94" s="37">
        <f ca="1">IF($A94="","",IF(AM$1="","",COUNTIFS(tbl_chests[from],$A94,tbl_chests[legalized],AM$1,tbl_chests[datetime],"&gt;="&amp;TODAY()-WEEKDAY(TODAY(),2)+1,tbl_chests[datetime],"&lt;"&amp;TODAY()-WEEKDAY(TODAY(),2)+8)))</f>
        <v>0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 spans="1:67" ht="15.75" customHeight="1" x14ac:dyDescent="0.25">
      <c r="A95" s="34">
        <f>chests_counter!$H92</f>
        <v>0</v>
      </c>
      <c r="B95" s="35" cm="1">
        <f t="array" aca="1" ref="B95" ca="1">IF(A95&lt;&gt;"", SUMPRODUCT(($C$2:$AM$2&lt;&gt;0)*(C95:AM95&lt;&gt;0)*($C$2:$AM$2)*(C95:AM95)), "")</f>
        <v>0</v>
      </c>
      <c r="C95" s="36">
        <f ca="1">IF($A95="","",IF(C$1="","",COUNTIFS(tbl_chests[from],$A95,tbl_chests[legalized],C$1,tbl_chests[datetime],"&gt;="&amp;TODAY()-WEEKDAY(TODAY(),2)+1,tbl_chests[datetime],"&lt;"&amp;TODAY()-WEEKDAY(TODAY(),2)+8)))</f>
        <v>0</v>
      </c>
      <c r="D95" s="36">
        <f ca="1">IF($A95="","",IF(D$1="","",COUNTIFS(tbl_chests[from],$A95,tbl_chests[legalized],D$1,tbl_chests[datetime],"&gt;="&amp;TODAY()-WEEKDAY(TODAY(),2)+1,tbl_chests[datetime],"&lt;"&amp;TODAY()-WEEKDAY(TODAY(),2)+8)))</f>
        <v>0</v>
      </c>
      <c r="E95" s="36">
        <f ca="1">IF($A95="","",IF(E$1="","",COUNTIFS(tbl_chests[from],$A95,tbl_chests[legalized],E$1,tbl_chests[datetime],"&gt;="&amp;TODAY()-WEEKDAY(TODAY(),2)+1,tbl_chests[datetime],"&lt;"&amp;TODAY()-WEEKDAY(TODAY(),2)+8)))</f>
        <v>0</v>
      </c>
      <c r="F95" s="36">
        <f ca="1">IF($A95="","",IF(F$1="","",COUNTIFS(tbl_chests[from],$A95,tbl_chests[legalized],F$1,tbl_chests[datetime],"&gt;="&amp;TODAY()-WEEKDAY(TODAY(),2)+1,tbl_chests[datetime],"&lt;"&amp;TODAY()-WEEKDAY(TODAY(),2)+8)))</f>
        <v>0</v>
      </c>
      <c r="G95" s="36">
        <f ca="1">IF($A95="","",IF(G$1="","",COUNTIFS(tbl_chests[from],$A95,tbl_chests[legalized],G$1,tbl_chests[datetime],"&gt;="&amp;TODAY()-WEEKDAY(TODAY(),2)+1,tbl_chests[datetime],"&lt;"&amp;TODAY()-WEEKDAY(TODAY(),2)+8)))</f>
        <v>0</v>
      </c>
      <c r="H95" s="36">
        <f ca="1">IF($A95="","",IF(H$1="","",COUNTIFS(tbl_chests[from],$A95,tbl_chests[legalized],H$1,tbl_chests[datetime],"&gt;="&amp;TODAY()-WEEKDAY(TODAY(),2)+1,tbl_chests[datetime],"&lt;"&amp;TODAY()-WEEKDAY(TODAY(),2)+8)))</f>
        <v>0</v>
      </c>
      <c r="I95" s="36">
        <f ca="1">IF($A95="","",IF(I$1="","",COUNTIFS(tbl_chests[from],$A95,tbl_chests[legalized],I$1,tbl_chests[datetime],"&gt;="&amp;TODAY()-WEEKDAY(TODAY(),2)+1,tbl_chests[datetime],"&lt;"&amp;TODAY()-WEEKDAY(TODAY(),2)+8)))</f>
        <v>0</v>
      </c>
      <c r="J95" s="36">
        <f ca="1">IF($A95="","",IF(J$1="","",COUNTIFS(tbl_chests[from],$A95,tbl_chests[legalized],J$1,tbl_chests[datetime],"&gt;="&amp;TODAY()-WEEKDAY(TODAY(),2)+1,tbl_chests[datetime],"&lt;"&amp;TODAY()-WEEKDAY(TODAY(),2)+8)))</f>
        <v>0</v>
      </c>
      <c r="K95" s="36">
        <f ca="1">IF($A95="","",IF(K$1="","",COUNTIFS(tbl_chests[from],$A95,tbl_chests[legalized],K$1,tbl_chests[datetime],"&gt;="&amp;TODAY()-WEEKDAY(TODAY(),2)+1,tbl_chests[datetime],"&lt;"&amp;TODAY()-WEEKDAY(TODAY(),2)+8)))</f>
        <v>0</v>
      </c>
      <c r="L95" s="36">
        <f ca="1">IF($A95="","",IF(L$1="","",COUNTIFS(tbl_chests[from],$A95,tbl_chests[legalized],L$1,tbl_chests[datetime],"&gt;="&amp;TODAY()-WEEKDAY(TODAY(),2)+1,tbl_chests[datetime],"&lt;"&amp;TODAY()-WEEKDAY(TODAY(),2)+8)))</f>
        <v>0</v>
      </c>
      <c r="M95" s="36">
        <f ca="1">IF($A95="","",IF(M$1="","",COUNTIFS(tbl_chests[from],$A95,tbl_chests[legalized],M$1,tbl_chests[datetime],"&gt;="&amp;TODAY()-WEEKDAY(TODAY(),2)+1,tbl_chests[datetime],"&lt;"&amp;TODAY()-WEEKDAY(TODAY(),2)+8)))</f>
        <v>0</v>
      </c>
      <c r="N95" s="36">
        <f ca="1">IF($A95="","",IF(N$1="","",COUNTIFS(tbl_chests[from],$A95,tbl_chests[legalized],N$1,tbl_chests[datetime],"&gt;="&amp;TODAY()-WEEKDAY(TODAY(),2)+1,tbl_chests[datetime],"&lt;"&amp;TODAY()-WEEKDAY(TODAY(),2)+8)))</f>
        <v>0</v>
      </c>
      <c r="O95" s="36">
        <f ca="1">IF($A95="","",IF(O$1="","",COUNTIFS(tbl_chests[from],$A95,tbl_chests[legalized],O$1,tbl_chests[datetime],"&gt;="&amp;TODAY()-WEEKDAY(TODAY(),2)+1,tbl_chests[datetime],"&lt;"&amp;TODAY()-WEEKDAY(TODAY(),2)+8)))</f>
        <v>0</v>
      </c>
      <c r="P95" s="36">
        <f ca="1">IF($A95="","",IF(P$1="","",COUNTIFS(tbl_chests[from],$A95,tbl_chests[legalized],P$1,tbl_chests[datetime],"&gt;="&amp;TODAY()-WEEKDAY(TODAY(),2)+1,tbl_chests[datetime],"&lt;"&amp;TODAY()-WEEKDAY(TODAY(),2)+8)))</f>
        <v>0</v>
      </c>
      <c r="Q95" s="36">
        <f ca="1">IF($A95="","",IF(Q$1="","",COUNTIFS(tbl_chests[from],$A95,tbl_chests[legalized],Q$1,tbl_chests[datetime],"&gt;="&amp;TODAY()-WEEKDAY(TODAY(),2)+1,tbl_chests[datetime],"&lt;"&amp;TODAY()-WEEKDAY(TODAY(),2)+8)))</f>
        <v>0</v>
      </c>
      <c r="R95" s="36">
        <f ca="1">IF($A95="","",IF(R$1="","",COUNTIFS(tbl_chests[from],$A95,tbl_chests[legalized],R$1,tbl_chests[datetime],"&gt;="&amp;TODAY()-WEEKDAY(TODAY(),2)+1,tbl_chests[datetime],"&lt;"&amp;TODAY()-WEEKDAY(TODAY(),2)+8)))</f>
        <v>0</v>
      </c>
      <c r="S95" s="36">
        <f ca="1">IF($A95="","",IF(S$1="","",COUNTIFS(tbl_chests[from],$A95,tbl_chests[legalized],S$1,tbl_chests[datetime],"&gt;="&amp;TODAY()-WEEKDAY(TODAY(),2)+1,tbl_chests[datetime],"&lt;"&amp;TODAY()-WEEKDAY(TODAY(),2)+8)))</f>
        <v>0</v>
      </c>
      <c r="T95" s="36">
        <f ca="1">IF($A95="","",IF(T$1="","",COUNTIFS(tbl_chests[from],$A95,tbl_chests[legalized],T$1,tbl_chests[datetime],"&gt;="&amp;TODAY()-WEEKDAY(TODAY(),2)+1,tbl_chests[datetime],"&lt;"&amp;TODAY()-WEEKDAY(TODAY(),2)+8)))</f>
        <v>0</v>
      </c>
      <c r="U95" s="36">
        <f ca="1">IF($A95="","",IF(U$1="","",COUNTIFS(tbl_chests[from],$A95,tbl_chests[legalized],U$1,tbl_chests[datetime],"&gt;="&amp;TODAY()-WEEKDAY(TODAY(),2)+1,tbl_chests[datetime],"&lt;"&amp;TODAY()-WEEKDAY(TODAY(),2)+8)))</f>
        <v>0</v>
      </c>
      <c r="V95" s="36">
        <f ca="1">IF($A95="","",IF(V$1="","",COUNTIFS(tbl_chests[from],$A95,tbl_chests[legalized],V$1,tbl_chests[datetime],"&gt;="&amp;TODAY()-WEEKDAY(TODAY(),2)+1,tbl_chests[datetime],"&lt;"&amp;TODAY()-WEEKDAY(TODAY(),2)+8)))</f>
        <v>0</v>
      </c>
      <c r="W95" s="36">
        <f ca="1">IF($A95="","",IF(W$1="","",COUNTIFS(tbl_chests[from],$A95,tbl_chests[legalized],W$1,tbl_chests[datetime],"&gt;="&amp;TODAY()-WEEKDAY(TODAY(),2)+1,tbl_chests[datetime],"&lt;"&amp;TODAY()-WEEKDAY(TODAY(),2)+8)))</f>
        <v>0</v>
      </c>
      <c r="X95" s="36">
        <f ca="1">IF($A95="","",IF(X$1="","",COUNTIFS(tbl_chests[from],$A95,tbl_chests[legalized],X$1,tbl_chests[datetime],"&gt;="&amp;TODAY()-WEEKDAY(TODAY(),2)+1,tbl_chests[datetime],"&lt;"&amp;TODAY()-WEEKDAY(TODAY(),2)+8)))</f>
        <v>0</v>
      </c>
      <c r="Y95" s="36">
        <f ca="1">IF($A95="","",IF(Y$1="","",COUNTIFS(tbl_chests[from],$A95,tbl_chests[legalized],Y$1,tbl_chests[datetime],"&gt;="&amp;TODAY()-WEEKDAY(TODAY(),2)+1,tbl_chests[datetime],"&lt;"&amp;TODAY()-WEEKDAY(TODAY(),2)+8)))</f>
        <v>0</v>
      </c>
      <c r="Z95" s="36">
        <f ca="1">IF($A95="","",IF(Z$1="","",COUNTIFS(tbl_chests[from],$A95,tbl_chests[legalized],Z$1,tbl_chests[datetime],"&gt;="&amp;TODAY()-WEEKDAY(TODAY(),2)+1,tbl_chests[datetime],"&lt;"&amp;TODAY()-WEEKDAY(TODAY(),2)+8)))</f>
        <v>0</v>
      </c>
      <c r="AA95" s="36">
        <f ca="1">IF($A95="","",IF(AA$1="","",COUNTIFS(tbl_chests[from],$A95,tbl_chests[legalized],AA$1,tbl_chests[datetime],"&gt;="&amp;TODAY()-WEEKDAY(TODAY(),2)+1,tbl_chests[datetime],"&lt;"&amp;TODAY()-WEEKDAY(TODAY(),2)+8)))</f>
        <v>0</v>
      </c>
      <c r="AB95" s="36">
        <f ca="1">IF($A95="","",IF(AB$1="","",COUNTIFS(tbl_chests[from],$A95,tbl_chests[legalized],AB$1,tbl_chests[datetime],"&gt;="&amp;TODAY()-WEEKDAY(TODAY(),2)+1,tbl_chests[datetime],"&lt;"&amp;TODAY()-WEEKDAY(TODAY(),2)+8)))</f>
        <v>0</v>
      </c>
      <c r="AC95" s="36">
        <f ca="1">IF($A95="","",IF(AC$1="","",COUNTIFS(tbl_chests[from],$A95,tbl_chests[legalized],AC$1,tbl_chests[datetime],"&gt;="&amp;TODAY()-WEEKDAY(TODAY(),2)+1,tbl_chests[datetime],"&lt;"&amp;TODAY()-WEEKDAY(TODAY(),2)+8)))</f>
        <v>0</v>
      </c>
      <c r="AD95" s="36">
        <f ca="1">IF($A95="","",IF(AD$1="","",COUNTIFS(tbl_chests[from],$A95,tbl_chests[legalized],AD$1,tbl_chests[datetime],"&gt;="&amp;TODAY()-WEEKDAY(TODAY(),2)+1,tbl_chests[datetime],"&lt;"&amp;TODAY()-WEEKDAY(TODAY(),2)+8)))</f>
        <v>0</v>
      </c>
      <c r="AE95" s="36">
        <f ca="1">IF($A95="","",IF(AE$1="","",COUNTIFS(tbl_chests[from],$A95,tbl_chests[legalized],AE$1,tbl_chests[datetime],"&gt;="&amp;TODAY()-WEEKDAY(TODAY(),2)+1,tbl_chests[datetime],"&lt;"&amp;TODAY()-WEEKDAY(TODAY(),2)+8)))</f>
        <v>0</v>
      </c>
      <c r="AF95" s="36">
        <f ca="1">IF($A95="","",IF(AF$1="","",COUNTIFS(tbl_chests[from],$A95,tbl_chests[legalized],AF$1,tbl_chests[datetime],"&gt;="&amp;TODAY()-WEEKDAY(TODAY(),2)+1,tbl_chests[datetime],"&lt;"&amp;TODAY()-WEEKDAY(TODAY(),2)+8)))</f>
        <v>0</v>
      </c>
      <c r="AG95" s="36">
        <f ca="1">IF($A95="","",IF(AG$1="","",COUNTIFS(tbl_chests[from],$A95,tbl_chests[legalized],AG$1,tbl_chests[datetime],"&gt;="&amp;TODAY()-WEEKDAY(TODAY(),2)+1,tbl_chests[datetime],"&lt;"&amp;TODAY()-WEEKDAY(TODAY(),2)+8)))</f>
        <v>0</v>
      </c>
      <c r="AH95" s="36">
        <f ca="1">IF($A95="","",IF(AH$1="","",COUNTIFS(tbl_chests[from],$A95,tbl_chests[legalized],AH$1,tbl_chests[datetime],"&gt;="&amp;TODAY()-WEEKDAY(TODAY(),2)+1,tbl_chests[datetime],"&lt;"&amp;TODAY()-WEEKDAY(TODAY(),2)+8)))</f>
        <v>0</v>
      </c>
      <c r="AI95" s="36">
        <f ca="1">IF($A95="","",IF(AI$1="","",COUNTIFS(tbl_chests[from],$A95,tbl_chests[legalized],AI$1,tbl_chests[datetime],"&gt;="&amp;TODAY()-WEEKDAY(TODAY(),2)+1,tbl_chests[datetime],"&lt;"&amp;TODAY()-WEEKDAY(TODAY(),2)+8)))</f>
        <v>0</v>
      </c>
      <c r="AJ95" s="36">
        <f ca="1">IF($A95="","",IF(AJ$1="","",COUNTIFS(tbl_chests[from],$A95,tbl_chests[legalized],AJ$1,tbl_chests[datetime],"&gt;="&amp;TODAY()-WEEKDAY(TODAY(),2)+1,tbl_chests[datetime],"&lt;"&amp;TODAY()-WEEKDAY(TODAY(),2)+8)))</f>
        <v>0</v>
      </c>
      <c r="AK95" s="36">
        <f ca="1">IF($A95="","",IF(AK$1="","",COUNTIFS(tbl_chests[from],$A95,tbl_chests[legalized],AK$1,tbl_chests[datetime],"&gt;="&amp;TODAY()-WEEKDAY(TODAY(),2)+1,tbl_chests[datetime],"&lt;"&amp;TODAY()-WEEKDAY(TODAY(),2)+8)))</f>
        <v>0</v>
      </c>
      <c r="AL95" s="36">
        <f ca="1">IF($A95="","",IF(AL$1="","",COUNTIFS(tbl_chests[from],$A95,tbl_chests[legalized],AL$1,tbl_chests[datetime],"&gt;="&amp;TODAY()-WEEKDAY(TODAY(),2)+1,tbl_chests[datetime],"&lt;"&amp;TODAY()-WEEKDAY(TODAY(),2)+8)))</f>
        <v>0</v>
      </c>
      <c r="AM95" s="37">
        <f ca="1">IF($A95="","",IF(AM$1="","",COUNTIFS(tbl_chests[from],$A95,tbl_chests[legalized],AM$1,tbl_chests[datetime],"&gt;="&amp;TODAY()-WEEKDAY(TODAY(),2)+1,tbl_chests[datetime],"&lt;"&amp;TODAY()-WEEKDAY(TODAY(),2)+8)))</f>
        <v>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 spans="1:67" ht="15.75" customHeight="1" x14ac:dyDescent="0.25">
      <c r="A96" s="34">
        <f>chests_counter!$H93</f>
        <v>0</v>
      </c>
      <c r="B96" s="35" cm="1">
        <f t="array" aca="1" ref="B96" ca="1">IF(A96&lt;&gt;"", SUMPRODUCT(($C$2:$AM$2&lt;&gt;0)*(C96:AM96&lt;&gt;0)*($C$2:$AM$2)*(C96:AM96)), "")</f>
        <v>0</v>
      </c>
      <c r="C96" s="36">
        <f ca="1">IF($A96="","",IF(C$1="","",COUNTIFS(tbl_chests[from],$A96,tbl_chests[legalized],C$1,tbl_chests[datetime],"&gt;="&amp;TODAY()-WEEKDAY(TODAY(),2)+1,tbl_chests[datetime],"&lt;"&amp;TODAY()-WEEKDAY(TODAY(),2)+8)))</f>
        <v>0</v>
      </c>
      <c r="D96" s="36">
        <f ca="1">IF($A96="","",IF(D$1="","",COUNTIFS(tbl_chests[from],$A96,tbl_chests[legalized],D$1,tbl_chests[datetime],"&gt;="&amp;TODAY()-WEEKDAY(TODAY(),2)+1,tbl_chests[datetime],"&lt;"&amp;TODAY()-WEEKDAY(TODAY(),2)+8)))</f>
        <v>0</v>
      </c>
      <c r="E96" s="36">
        <f ca="1">IF($A96="","",IF(E$1="","",COUNTIFS(tbl_chests[from],$A96,tbl_chests[legalized],E$1,tbl_chests[datetime],"&gt;="&amp;TODAY()-WEEKDAY(TODAY(),2)+1,tbl_chests[datetime],"&lt;"&amp;TODAY()-WEEKDAY(TODAY(),2)+8)))</f>
        <v>0</v>
      </c>
      <c r="F96" s="36">
        <f ca="1">IF($A96="","",IF(F$1="","",COUNTIFS(tbl_chests[from],$A96,tbl_chests[legalized],F$1,tbl_chests[datetime],"&gt;="&amp;TODAY()-WEEKDAY(TODAY(),2)+1,tbl_chests[datetime],"&lt;"&amp;TODAY()-WEEKDAY(TODAY(),2)+8)))</f>
        <v>0</v>
      </c>
      <c r="G96" s="36">
        <f ca="1">IF($A96="","",IF(G$1="","",COUNTIFS(tbl_chests[from],$A96,tbl_chests[legalized],G$1,tbl_chests[datetime],"&gt;="&amp;TODAY()-WEEKDAY(TODAY(),2)+1,tbl_chests[datetime],"&lt;"&amp;TODAY()-WEEKDAY(TODAY(),2)+8)))</f>
        <v>0</v>
      </c>
      <c r="H96" s="36">
        <f ca="1">IF($A96="","",IF(H$1="","",COUNTIFS(tbl_chests[from],$A96,tbl_chests[legalized],H$1,tbl_chests[datetime],"&gt;="&amp;TODAY()-WEEKDAY(TODAY(),2)+1,tbl_chests[datetime],"&lt;"&amp;TODAY()-WEEKDAY(TODAY(),2)+8)))</f>
        <v>0</v>
      </c>
      <c r="I96" s="36">
        <f ca="1">IF($A96="","",IF(I$1="","",COUNTIFS(tbl_chests[from],$A96,tbl_chests[legalized],I$1,tbl_chests[datetime],"&gt;="&amp;TODAY()-WEEKDAY(TODAY(),2)+1,tbl_chests[datetime],"&lt;"&amp;TODAY()-WEEKDAY(TODAY(),2)+8)))</f>
        <v>0</v>
      </c>
      <c r="J96" s="36">
        <f ca="1">IF($A96="","",IF(J$1="","",COUNTIFS(tbl_chests[from],$A96,tbl_chests[legalized],J$1,tbl_chests[datetime],"&gt;="&amp;TODAY()-WEEKDAY(TODAY(),2)+1,tbl_chests[datetime],"&lt;"&amp;TODAY()-WEEKDAY(TODAY(),2)+8)))</f>
        <v>0</v>
      </c>
      <c r="K96" s="36">
        <f ca="1">IF($A96="","",IF(K$1="","",COUNTIFS(tbl_chests[from],$A96,tbl_chests[legalized],K$1,tbl_chests[datetime],"&gt;="&amp;TODAY()-WEEKDAY(TODAY(),2)+1,tbl_chests[datetime],"&lt;"&amp;TODAY()-WEEKDAY(TODAY(),2)+8)))</f>
        <v>0</v>
      </c>
      <c r="L96" s="36">
        <f ca="1">IF($A96="","",IF(L$1="","",COUNTIFS(tbl_chests[from],$A96,tbl_chests[legalized],L$1,tbl_chests[datetime],"&gt;="&amp;TODAY()-WEEKDAY(TODAY(),2)+1,tbl_chests[datetime],"&lt;"&amp;TODAY()-WEEKDAY(TODAY(),2)+8)))</f>
        <v>0</v>
      </c>
      <c r="M96" s="36">
        <f ca="1">IF($A96="","",IF(M$1="","",COUNTIFS(tbl_chests[from],$A96,tbl_chests[legalized],M$1,tbl_chests[datetime],"&gt;="&amp;TODAY()-WEEKDAY(TODAY(),2)+1,tbl_chests[datetime],"&lt;"&amp;TODAY()-WEEKDAY(TODAY(),2)+8)))</f>
        <v>0</v>
      </c>
      <c r="N96" s="36">
        <f ca="1">IF($A96="","",IF(N$1="","",COUNTIFS(tbl_chests[from],$A96,tbl_chests[legalized],N$1,tbl_chests[datetime],"&gt;="&amp;TODAY()-WEEKDAY(TODAY(),2)+1,tbl_chests[datetime],"&lt;"&amp;TODAY()-WEEKDAY(TODAY(),2)+8)))</f>
        <v>0</v>
      </c>
      <c r="O96" s="36">
        <f ca="1">IF($A96="","",IF(O$1="","",COUNTIFS(tbl_chests[from],$A96,tbl_chests[legalized],O$1,tbl_chests[datetime],"&gt;="&amp;TODAY()-WEEKDAY(TODAY(),2)+1,tbl_chests[datetime],"&lt;"&amp;TODAY()-WEEKDAY(TODAY(),2)+8)))</f>
        <v>0</v>
      </c>
      <c r="P96" s="36">
        <f ca="1">IF($A96="","",IF(P$1="","",COUNTIFS(tbl_chests[from],$A96,tbl_chests[legalized],P$1,tbl_chests[datetime],"&gt;="&amp;TODAY()-WEEKDAY(TODAY(),2)+1,tbl_chests[datetime],"&lt;"&amp;TODAY()-WEEKDAY(TODAY(),2)+8)))</f>
        <v>0</v>
      </c>
      <c r="Q96" s="36">
        <f ca="1">IF($A96="","",IF(Q$1="","",COUNTIFS(tbl_chests[from],$A96,tbl_chests[legalized],Q$1,tbl_chests[datetime],"&gt;="&amp;TODAY()-WEEKDAY(TODAY(),2)+1,tbl_chests[datetime],"&lt;"&amp;TODAY()-WEEKDAY(TODAY(),2)+8)))</f>
        <v>0</v>
      </c>
      <c r="R96" s="36">
        <f ca="1">IF($A96="","",IF(R$1="","",COUNTIFS(tbl_chests[from],$A96,tbl_chests[legalized],R$1,tbl_chests[datetime],"&gt;="&amp;TODAY()-WEEKDAY(TODAY(),2)+1,tbl_chests[datetime],"&lt;"&amp;TODAY()-WEEKDAY(TODAY(),2)+8)))</f>
        <v>0</v>
      </c>
      <c r="S96" s="36">
        <f ca="1">IF($A96="","",IF(S$1="","",COUNTIFS(tbl_chests[from],$A96,tbl_chests[legalized],S$1,tbl_chests[datetime],"&gt;="&amp;TODAY()-WEEKDAY(TODAY(),2)+1,tbl_chests[datetime],"&lt;"&amp;TODAY()-WEEKDAY(TODAY(),2)+8)))</f>
        <v>0</v>
      </c>
      <c r="T96" s="36">
        <f ca="1">IF($A96="","",IF(T$1="","",COUNTIFS(tbl_chests[from],$A96,tbl_chests[legalized],T$1,tbl_chests[datetime],"&gt;="&amp;TODAY()-WEEKDAY(TODAY(),2)+1,tbl_chests[datetime],"&lt;"&amp;TODAY()-WEEKDAY(TODAY(),2)+8)))</f>
        <v>0</v>
      </c>
      <c r="U96" s="36">
        <f ca="1">IF($A96="","",IF(U$1="","",COUNTIFS(tbl_chests[from],$A96,tbl_chests[legalized],U$1,tbl_chests[datetime],"&gt;="&amp;TODAY()-WEEKDAY(TODAY(),2)+1,tbl_chests[datetime],"&lt;"&amp;TODAY()-WEEKDAY(TODAY(),2)+8)))</f>
        <v>0</v>
      </c>
      <c r="V96" s="36">
        <f ca="1">IF($A96="","",IF(V$1="","",COUNTIFS(tbl_chests[from],$A96,tbl_chests[legalized],V$1,tbl_chests[datetime],"&gt;="&amp;TODAY()-WEEKDAY(TODAY(),2)+1,tbl_chests[datetime],"&lt;"&amp;TODAY()-WEEKDAY(TODAY(),2)+8)))</f>
        <v>0</v>
      </c>
      <c r="W96" s="36">
        <f ca="1">IF($A96="","",IF(W$1="","",COUNTIFS(tbl_chests[from],$A96,tbl_chests[legalized],W$1,tbl_chests[datetime],"&gt;="&amp;TODAY()-WEEKDAY(TODAY(),2)+1,tbl_chests[datetime],"&lt;"&amp;TODAY()-WEEKDAY(TODAY(),2)+8)))</f>
        <v>0</v>
      </c>
      <c r="X96" s="36">
        <f ca="1">IF($A96="","",IF(X$1="","",COUNTIFS(tbl_chests[from],$A96,tbl_chests[legalized],X$1,tbl_chests[datetime],"&gt;="&amp;TODAY()-WEEKDAY(TODAY(),2)+1,tbl_chests[datetime],"&lt;"&amp;TODAY()-WEEKDAY(TODAY(),2)+8)))</f>
        <v>0</v>
      </c>
      <c r="Y96" s="36">
        <f ca="1">IF($A96="","",IF(Y$1="","",COUNTIFS(tbl_chests[from],$A96,tbl_chests[legalized],Y$1,tbl_chests[datetime],"&gt;="&amp;TODAY()-WEEKDAY(TODAY(),2)+1,tbl_chests[datetime],"&lt;"&amp;TODAY()-WEEKDAY(TODAY(),2)+8)))</f>
        <v>0</v>
      </c>
      <c r="Z96" s="36">
        <f ca="1">IF($A96="","",IF(Z$1="","",COUNTIFS(tbl_chests[from],$A96,tbl_chests[legalized],Z$1,tbl_chests[datetime],"&gt;="&amp;TODAY()-WEEKDAY(TODAY(),2)+1,tbl_chests[datetime],"&lt;"&amp;TODAY()-WEEKDAY(TODAY(),2)+8)))</f>
        <v>0</v>
      </c>
      <c r="AA96" s="36">
        <f ca="1">IF($A96="","",IF(AA$1="","",COUNTIFS(tbl_chests[from],$A96,tbl_chests[legalized],AA$1,tbl_chests[datetime],"&gt;="&amp;TODAY()-WEEKDAY(TODAY(),2)+1,tbl_chests[datetime],"&lt;"&amp;TODAY()-WEEKDAY(TODAY(),2)+8)))</f>
        <v>0</v>
      </c>
      <c r="AB96" s="36">
        <f ca="1">IF($A96="","",IF(AB$1="","",COUNTIFS(tbl_chests[from],$A96,tbl_chests[legalized],AB$1,tbl_chests[datetime],"&gt;="&amp;TODAY()-WEEKDAY(TODAY(),2)+1,tbl_chests[datetime],"&lt;"&amp;TODAY()-WEEKDAY(TODAY(),2)+8)))</f>
        <v>0</v>
      </c>
      <c r="AC96" s="36">
        <f ca="1">IF($A96="","",IF(AC$1="","",COUNTIFS(tbl_chests[from],$A96,tbl_chests[legalized],AC$1,tbl_chests[datetime],"&gt;="&amp;TODAY()-WEEKDAY(TODAY(),2)+1,tbl_chests[datetime],"&lt;"&amp;TODAY()-WEEKDAY(TODAY(),2)+8)))</f>
        <v>0</v>
      </c>
      <c r="AD96" s="36">
        <f ca="1">IF($A96="","",IF(AD$1="","",COUNTIFS(tbl_chests[from],$A96,tbl_chests[legalized],AD$1,tbl_chests[datetime],"&gt;="&amp;TODAY()-WEEKDAY(TODAY(),2)+1,tbl_chests[datetime],"&lt;"&amp;TODAY()-WEEKDAY(TODAY(),2)+8)))</f>
        <v>0</v>
      </c>
      <c r="AE96" s="36">
        <f ca="1">IF($A96="","",IF(AE$1="","",COUNTIFS(tbl_chests[from],$A96,tbl_chests[legalized],AE$1,tbl_chests[datetime],"&gt;="&amp;TODAY()-WEEKDAY(TODAY(),2)+1,tbl_chests[datetime],"&lt;"&amp;TODAY()-WEEKDAY(TODAY(),2)+8)))</f>
        <v>0</v>
      </c>
      <c r="AF96" s="36">
        <f ca="1">IF($A96="","",IF(AF$1="","",COUNTIFS(tbl_chests[from],$A96,tbl_chests[legalized],AF$1,tbl_chests[datetime],"&gt;="&amp;TODAY()-WEEKDAY(TODAY(),2)+1,tbl_chests[datetime],"&lt;"&amp;TODAY()-WEEKDAY(TODAY(),2)+8)))</f>
        <v>0</v>
      </c>
      <c r="AG96" s="36">
        <f ca="1">IF($A96="","",IF(AG$1="","",COUNTIFS(tbl_chests[from],$A96,tbl_chests[legalized],AG$1,tbl_chests[datetime],"&gt;="&amp;TODAY()-WEEKDAY(TODAY(),2)+1,tbl_chests[datetime],"&lt;"&amp;TODAY()-WEEKDAY(TODAY(),2)+8)))</f>
        <v>0</v>
      </c>
      <c r="AH96" s="36">
        <f ca="1">IF($A96="","",IF(AH$1="","",COUNTIFS(tbl_chests[from],$A96,tbl_chests[legalized],AH$1,tbl_chests[datetime],"&gt;="&amp;TODAY()-WEEKDAY(TODAY(),2)+1,tbl_chests[datetime],"&lt;"&amp;TODAY()-WEEKDAY(TODAY(),2)+8)))</f>
        <v>0</v>
      </c>
      <c r="AI96" s="36">
        <f ca="1">IF($A96="","",IF(AI$1="","",COUNTIFS(tbl_chests[from],$A96,tbl_chests[legalized],AI$1,tbl_chests[datetime],"&gt;="&amp;TODAY()-WEEKDAY(TODAY(),2)+1,tbl_chests[datetime],"&lt;"&amp;TODAY()-WEEKDAY(TODAY(),2)+8)))</f>
        <v>0</v>
      </c>
      <c r="AJ96" s="36">
        <f ca="1">IF($A96="","",IF(AJ$1="","",COUNTIFS(tbl_chests[from],$A96,tbl_chests[legalized],AJ$1,tbl_chests[datetime],"&gt;="&amp;TODAY()-WEEKDAY(TODAY(),2)+1,tbl_chests[datetime],"&lt;"&amp;TODAY()-WEEKDAY(TODAY(),2)+8)))</f>
        <v>0</v>
      </c>
      <c r="AK96" s="36">
        <f ca="1">IF($A96="","",IF(AK$1="","",COUNTIFS(tbl_chests[from],$A96,tbl_chests[legalized],AK$1,tbl_chests[datetime],"&gt;="&amp;TODAY()-WEEKDAY(TODAY(),2)+1,tbl_chests[datetime],"&lt;"&amp;TODAY()-WEEKDAY(TODAY(),2)+8)))</f>
        <v>0</v>
      </c>
      <c r="AL96" s="36">
        <f ca="1">IF($A96="","",IF(AL$1="","",COUNTIFS(tbl_chests[from],$A96,tbl_chests[legalized],AL$1,tbl_chests[datetime],"&gt;="&amp;TODAY()-WEEKDAY(TODAY(),2)+1,tbl_chests[datetime],"&lt;"&amp;TODAY()-WEEKDAY(TODAY(),2)+8)))</f>
        <v>0</v>
      </c>
      <c r="AM96" s="37">
        <f ca="1">IF($A96="","",IF(AM$1="","",COUNTIFS(tbl_chests[from],$A96,tbl_chests[legalized],AM$1,tbl_chests[datetime],"&gt;="&amp;TODAY()-WEEKDAY(TODAY(),2)+1,tbl_chests[datetime],"&lt;"&amp;TODAY()-WEEKDAY(TODAY(),2)+8)))</f>
        <v>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 spans="1:67" ht="15.75" customHeight="1" x14ac:dyDescent="0.25">
      <c r="A97" s="34">
        <f>chests_counter!$H94</f>
        <v>0</v>
      </c>
      <c r="B97" s="35" cm="1">
        <f t="array" aca="1" ref="B97" ca="1">IF(A97&lt;&gt;"", SUMPRODUCT(($C$2:$AM$2&lt;&gt;0)*(C97:AM97&lt;&gt;0)*($C$2:$AM$2)*(C97:AM97)), "")</f>
        <v>0</v>
      </c>
      <c r="C97" s="36">
        <f ca="1">IF($A97="","",IF(C$1="","",COUNTIFS(tbl_chests[from],$A97,tbl_chests[legalized],C$1,tbl_chests[datetime],"&gt;="&amp;TODAY()-WEEKDAY(TODAY(),2)+1,tbl_chests[datetime],"&lt;"&amp;TODAY()-WEEKDAY(TODAY(),2)+8)))</f>
        <v>0</v>
      </c>
      <c r="D97" s="36">
        <f ca="1">IF($A97="","",IF(D$1="","",COUNTIFS(tbl_chests[from],$A97,tbl_chests[legalized],D$1,tbl_chests[datetime],"&gt;="&amp;TODAY()-WEEKDAY(TODAY(),2)+1,tbl_chests[datetime],"&lt;"&amp;TODAY()-WEEKDAY(TODAY(),2)+8)))</f>
        <v>0</v>
      </c>
      <c r="E97" s="36">
        <f ca="1">IF($A97="","",IF(E$1="","",COUNTIFS(tbl_chests[from],$A97,tbl_chests[legalized],E$1,tbl_chests[datetime],"&gt;="&amp;TODAY()-WEEKDAY(TODAY(),2)+1,tbl_chests[datetime],"&lt;"&amp;TODAY()-WEEKDAY(TODAY(),2)+8)))</f>
        <v>0</v>
      </c>
      <c r="F97" s="36">
        <f ca="1">IF($A97="","",IF(F$1="","",COUNTIFS(tbl_chests[from],$A97,tbl_chests[legalized],F$1,tbl_chests[datetime],"&gt;="&amp;TODAY()-WEEKDAY(TODAY(),2)+1,tbl_chests[datetime],"&lt;"&amp;TODAY()-WEEKDAY(TODAY(),2)+8)))</f>
        <v>0</v>
      </c>
      <c r="G97" s="36">
        <f ca="1">IF($A97="","",IF(G$1="","",COUNTIFS(tbl_chests[from],$A97,tbl_chests[legalized],G$1,tbl_chests[datetime],"&gt;="&amp;TODAY()-WEEKDAY(TODAY(),2)+1,tbl_chests[datetime],"&lt;"&amp;TODAY()-WEEKDAY(TODAY(),2)+8)))</f>
        <v>0</v>
      </c>
      <c r="H97" s="36">
        <f ca="1">IF($A97="","",IF(H$1="","",COUNTIFS(tbl_chests[from],$A97,tbl_chests[legalized],H$1,tbl_chests[datetime],"&gt;="&amp;TODAY()-WEEKDAY(TODAY(),2)+1,tbl_chests[datetime],"&lt;"&amp;TODAY()-WEEKDAY(TODAY(),2)+8)))</f>
        <v>0</v>
      </c>
      <c r="I97" s="36">
        <f ca="1">IF($A97="","",IF(I$1="","",COUNTIFS(tbl_chests[from],$A97,tbl_chests[legalized],I$1,tbl_chests[datetime],"&gt;="&amp;TODAY()-WEEKDAY(TODAY(),2)+1,tbl_chests[datetime],"&lt;"&amp;TODAY()-WEEKDAY(TODAY(),2)+8)))</f>
        <v>0</v>
      </c>
      <c r="J97" s="36">
        <f ca="1">IF($A97="","",IF(J$1="","",COUNTIFS(tbl_chests[from],$A97,tbl_chests[legalized],J$1,tbl_chests[datetime],"&gt;="&amp;TODAY()-WEEKDAY(TODAY(),2)+1,tbl_chests[datetime],"&lt;"&amp;TODAY()-WEEKDAY(TODAY(),2)+8)))</f>
        <v>0</v>
      </c>
      <c r="K97" s="36">
        <f ca="1">IF($A97="","",IF(K$1="","",COUNTIFS(tbl_chests[from],$A97,tbl_chests[legalized],K$1,tbl_chests[datetime],"&gt;="&amp;TODAY()-WEEKDAY(TODAY(),2)+1,tbl_chests[datetime],"&lt;"&amp;TODAY()-WEEKDAY(TODAY(),2)+8)))</f>
        <v>0</v>
      </c>
      <c r="L97" s="36">
        <f ca="1">IF($A97="","",IF(L$1="","",COUNTIFS(tbl_chests[from],$A97,tbl_chests[legalized],L$1,tbl_chests[datetime],"&gt;="&amp;TODAY()-WEEKDAY(TODAY(),2)+1,tbl_chests[datetime],"&lt;"&amp;TODAY()-WEEKDAY(TODAY(),2)+8)))</f>
        <v>0</v>
      </c>
      <c r="M97" s="36">
        <f ca="1">IF($A97="","",IF(M$1="","",COUNTIFS(tbl_chests[from],$A97,tbl_chests[legalized],M$1,tbl_chests[datetime],"&gt;="&amp;TODAY()-WEEKDAY(TODAY(),2)+1,tbl_chests[datetime],"&lt;"&amp;TODAY()-WEEKDAY(TODAY(),2)+8)))</f>
        <v>0</v>
      </c>
      <c r="N97" s="36">
        <f ca="1">IF($A97="","",IF(N$1="","",COUNTIFS(tbl_chests[from],$A97,tbl_chests[legalized],N$1,tbl_chests[datetime],"&gt;="&amp;TODAY()-WEEKDAY(TODAY(),2)+1,tbl_chests[datetime],"&lt;"&amp;TODAY()-WEEKDAY(TODAY(),2)+8)))</f>
        <v>0</v>
      </c>
      <c r="O97" s="36">
        <f ca="1">IF($A97="","",IF(O$1="","",COUNTIFS(tbl_chests[from],$A97,tbl_chests[legalized],O$1,tbl_chests[datetime],"&gt;="&amp;TODAY()-WEEKDAY(TODAY(),2)+1,tbl_chests[datetime],"&lt;"&amp;TODAY()-WEEKDAY(TODAY(),2)+8)))</f>
        <v>0</v>
      </c>
      <c r="P97" s="36">
        <f ca="1">IF($A97="","",IF(P$1="","",COUNTIFS(tbl_chests[from],$A97,tbl_chests[legalized],P$1,tbl_chests[datetime],"&gt;="&amp;TODAY()-WEEKDAY(TODAY(),2)+1,tbl_chests[datetime],"&lt;"&amp;TODAY()-WEEKDAY(TODAY(),2)+8)))</f>
        <v>0</v>
      </c>
      <c r="Q97" s="36">
        <f ca="1">IF($A97="","",IF(Q$1="","",COUNTIFS(tbl_chests[from],$A97,tbl_chests[legalized],Q$1,tbl_chests[datetime],"&gt;="&amp;TODAY()-WEEKDAY(TODAY(),2)+1,tbl_chests[datetime],"&lt;"&amp;TODAY()-WEEKDAY(TODAY(),2)+8)))</f>
        <v>0</v>
      </c>
      <c r="R97" s="36">
        <f ca="1">IF($A97="","",IF(R$1="","",COUNTIFS(tbl_chests[from],$A97,tbl_chests[legalized],R$1,tbl_chests[datetime],"&gt;="&amp;TODAY()-WEEKDAY(TODAY(),2)+1,tbl_chests[datetime],"&lt;"&amp;TODAY()-WEEKDAY(TODAY(),2)+8)))</f>
        <v>0</v>
      </c>
      <c r="S97" s="36">
        <f ca="1">IF($A97="","",IF(S$1="","",COUNTIFS(tbl_chests[from],$A97,tbl_chests[legalized],S$1,tbl_chests[datetime],"&gt;="&amp;TODAY()-WEEKDAY(TODAY(),2)+1,tbl_chests[datetime],"&lt;"&amp;TODAY()-WEEKDAY(TODAY(),2)+8)))</f>
        <v>0</v>
      </c>
      <c r="T97" s="36">
        <f ca="1">IF($A97="","",IF(T$1="","",COUNTIFS(tbl_chests[from],$A97,tbl_chests[legalized],T$1,tbl_chests[datetime],"&gt;="&amp;TODAY()-WEEKDAY(TODAY(),2)+1,tbl_chests[datetime],"&lt;"&amp;TODAY()-WEEKDAY(TODAY(),2)+8)))</f>
        <v>0</v>
      </c>
      <c r="U97" s="36">
        <f ca="1">IF($A97="","",IF(U$1="","",COUNTIFS(tbl_chests[from],$A97,tbl_chests[legalized],U$1,tbl_chests[datetime],"&gt;="&amp;TODAY()-WEEKDAY(TODAY(),2)+1,tbl_chests[datetime],"&lt;"&amp;TODAY()-WEEKDAY(TODAY(),2)+8)))</f>
        <v>0</v>
      </c>
      <c r="V97" s="36">
        <f ca="1">IF($A97="","",IF(V$1="","",COUNTIFS(tbl_chests[from],$A97,tbl_chests[legalized],V$1,tbl_chests[datetime],"&gt;="&amp;TODAY()-WEEKDAY(TODAY(),2)+1,tbl_chests[datetime],"&lt;"&amp;TODAY()-WEEKDAY(TODAY(),2)+8)))</f>
        <v>0</v>
      </c>
      <c r="W97" s="36">
        <f ca="1">IF($A97="","",IF(W$1="","",COUNTIFS(tbl_chests[from],$A97,tbl_chests[legalized],W$1,tbl_chests[datetime],"&gt;="&amp;TODAY()-WEEKDAY(TODAY(),2)+1,tbl_chests[datetime],"&lt;"&amp;TODAY()-WEEKDAY(TODAY(),2)+8)))</f>
        <v>0</v>
      </c>
      <c r="X97" s="36">
        <f ca="1">IF($A97="","",IF(X$1="","",COUNTIFS(tbl_chests[from],$A97,tbl_chests[legalized],X$1,tbl_chests[datetime],"&gt;="&amp;TODAY()-WEEKDAY(TODAY(),2)+1,tbl_chests[datetime],"&lt;"&amp;TODAY()-WEEKDAY(TODAY(),2)+8)))</f>
        <v>0</v>
      </c>
      <c r="Y97" s="36">
        <f ca="1">IF($A97="","",IF(Y$1="","",COUNTIFS(tbl_chests[from],$A97,tbl_chests[legalized],Y$1,tbl_chests[datetime],"&gt;="&amp;TODAY()-WEEKDAY(TODAY(),2)+1,tbl_chests[datetime],"&lt;"&amp;TODAY()-WEEKDAY(TODAY(),2)+8)))</f>
        <v>0</v>
      </c>
      <c r="Z97" s="36">
        <f ca="1">IF($A97="","",IF(Z$1="","",COUNTIFS(tbl_chests[from],$A97,tbl_chests[legalized],Z$1,tbl_chests[datetime],"&gt;="&amp;TODAY()-WEEKDAY(TODAY(),2)+1,tbl_chests[datetime],"&lt;"&amp;TODAY()-WEEKDAY(TODAY(),2)+8)))</f>
        <v>0</v>
      </c>
      <c r="AA97" s="36">
        <f ca="1">IF($A97="","",IF(AA$1="","",COUNTIFS(tbl_chests[from],$A97,tbl_chests[legalized],AA$1,tbl_chests[datetime],"&gt;="&amp;TODAY()-WEEKDAY(TODAY(),2)+1,tbl_chests[datetime],"&lt;"&amp;TODAY()-WEEKDAY(TODAY(),2)+8)))</f>
        <v>0</v>
      </c>
      <c r="AB97" s="36">
        <f ca="1">IF($A97="","",IF(AB$1="","",COUNTIFS(tbl_chests[from],$A97,tbl_chests[legalized],AB$1,tbl_chests[datetime],"&gt;="&amp;TODAY()-WEEKDAY(TODAY(),2)+1,tbl_chests[datetime],"&lt;"&amp;TODAY()-WEEKDAY(TODAY(),2)+8)))</f>
        <v>0</v>
      </c>
      <c r="AC97" s="36">
        <f ca="1">IF($A97="","",IF(AC$1="","",COUNTIFS(tbl_chests[from],$A97,tbl_chests[legalized],AC$1,tbl_chests[datetime],"&gt;="&amp;TODAY()-WEEKDAY(TODAY(),2)+1,tbl_chests[datetime],"&lt;"&amp;TODAY()-WEEKDAY(TODAY(),2)+8)))</f>
        <v>0</v>
      </c>
      <c r="AD97" s="36">
        <f ca="1">IF($A97="","",IF(AD$1="","",COUNTIFS(tbl_chests[from],$A97,tbl_chests[legalized],AD$1,tbl_chests[datetime],"&gt;="&amp;TODAY()-WEEKDAY(TODAY(),2)+1,tbl_chests[datetime],"&lt;"&amp;TODAY()-WEEKDAY(TODAY(),2)+8)))</f>
        <v>0</v>
      </c>
      <c r="AE97" s="36">
        <f ca="1">IF($A97="","",IF(AE$1="","",COUNTIFS(tbl_chests[from],$A97,tbl_chests[legalized],AE$1,tbl_chests[datetime],"&gt;="&amp;TODAY()-WEEKDAY(TODAY(),2)+1,tbl_chests[datetime],"&lt;"&amp;TODAY()-WEEKDAY(TODAY(),2)+8)))</f>
        <v>0</v>
      </c>
      <c r="AF97" s="36">
        <f ca="1">IF($A97="","",IF(AF$1="","",COUNTIFS(tbl_chests[from],$A97,tbl_chests[legalized],AF$1,tbl_chests[datetime],"&gt;="&amp;TODAY()-WEEKDAY(TODAY(),2)+1,tbl_chests[datetime],"&lt;"&amp;TODAY()-WEEKDAY(TODAY(),2)+8)))</f>
        <v>0</v>
      </c>
      <c r="AG97" s="36">
        <f ca="1">IF($A97="","",IF(AG$1="","",COUNTIFS(tbl_chests[from],$A97,tbl_chests[legalized],AG$1,tbl_chests[datetime],"&gt;="&amp;TODAY()-WEEKDAY(TODAY(),2)+1,tbl_chests[datetime],"&lt;"&amp;TODAY()-WEEKDAY(TODAY(),2)+8)))</f>
        <v>0</v>
      </c>
      <c r="AH97" s="36">
        <f ca="1">IF($A97="","",IF(AH$1="","",COUNTIFS(tbl_chests[from],$A97,tbl_chests[legalized],AH$1,tbl_chests[datetime],"&gt;="&amp;TODAY()-WEEKDAY(TODAY(),2)+1,tbl_chests[datetime],"&lt;"&amp;TODAY()-WEEKDAY(TODAY(),2)+8)))</f>
        <v>0</v>
      </c>
      <c r="AI97" s="36">
        <f ca="1">IF($A97="","",IF(AI$1="","",COUNTIFS(tbl_chests[from],$A97,tbl_chests[legalized],AI$1,tbl_chests[datetime],"&gt;="&amp;TODAY()-WEEKDAY(TODAY(),2)+1,tbl_chests[datetime],"&lt;"&amp;TODAY()-WEEKDAY(TODAY(),2)+8)))</f>
        <v>0</v>
      </c>
      <c r="AJ97" s="36">
        <f ca="1">IF($A97="","",IF(AJ$1="","",COUNTIFS(tbl_chests[from],$A97,tbl_chests[legalized],AJ$1,tbl_chests[datetime],"&gt;="&amp;TODAY()-WEEKDAY(TODAY(),2)+1,tbl_chests[datetime],"&lt;"&amp;TODAY()-WEEKDAY(TODAY(),2)+8)))</f>
        <v>0</v>
      </c>
      <c r="AK97" s="36">
        <f ca="1">IF($A97="","",IF(AK$1="","",COUNTIFS(tbl_chests[from],$A97,tbl_chests[legalized],AK$1,tbl_chests[datetime],"&gt;="&amp;TODAY()-WEEKDAY(TODAY(),2)+1,tbl_chests[datetime],"&lt;"&amp;TODAY()-WEEKDAY(TODAY(),2)+8)))</f>
        <v>0</v>
      </c>
      <c r="AL97" s="36">
        <f ca="1">IF($A97="","",IF(AL$1="","",COUNTIFS(tbl_chests[from],$A97,tbl_chests[legalized],AL$1,tbl_chests[datetime],"&gt;="&amp;TODAY()-WEEKDAY(TODAY(),2)+1,tbl_chests[datetime],"&lt;"&amp;TODAY()-WEEKDAY(TODAY(),2)+8)))</f>
        <v>0</v>
      </c>
      <c r="AM97" s="37">
        <f ca="1">IF($A97="","",IF(AM$1="","",COUNTIFS(tbl_chests[from],$A97,tbl_chests[legalized],AM$1,tbl_chests[datetime],"&gt;="&amp;TODAY()-WEEKDAY(TODAY(),2)+1,tbl_chests[datetime],"&lt;"&amp;TODAY()-WEEKDAY(TODAY(),2)+8)))</f>
        <v>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 spans="1:67" ht="15.75" customHeight="1" x14ac:dyDescent="0.25">
      <c r="A98" s="34">
        <f>chests_counter!$H95</f>
        <v>0</v>
      </c>
      <c r="B98" s="35" cm="1">
        <f t="array" aca="1" ref="B98" ca="1">IF(A98&lt;&gt;"", SUMPRODUCT(($C$2:$AM$2&lt;&gt;0)*(C98:AM98&lt;&gt;0)*($C$2:$AM$2)*(C98:AM98)), "")</f>
        <v>0</v>
      </c>
      <c r="C98" s="36">
        <f ca="1">IF($A98="","",IF(C$1="","",COUNTIFS(tbl_chests[from],$A98,tbl_chests[legalized],C$1,tbl_chests[datetime],"&gt;="&amp;TODAY()-WEEKDAY(TODAY(),2)+1,tbl_chests[datetime],"&lt;"&amp;TODAY()-WEEKDAY(TODAY(),2)+8)))</f>
        <v>0</v>
      </c>
      <c r="D98" s="36">
        <f ca="1">IF($A98="","",IF(D$1="","",COUNTIFS(tbl_chests[from],$A98,tbl_chests[legalized],D$1,tbl_chests[datetime],"&gt;="&amp;TODAY()-WEEKDAY(TODAY(),2)+1,tbl_chests[datetime],"&lt;"&amp;TODAY()-WEEKDAY(TODAY(),2)+8)))</f>
        <v>0</v>
      </c>
      <c r="E98" s="36">
        <f ca="1">IF($A98="","",IF(E$1="","",COUNTIFS(tbl_chests[from],$A98,tbl_chests[legalized],E$1,tbl_chests[datetime],"&gt;="&amp;TODAY()-WEEKDAY(TODAY(),2)+1,tbl_chests[datetime],"&lt;"&amp;TODAY()-WEEKDAY(TODAY(),2)+8)))</f>
        <v>0</v>
      </c>
      <c r="F98" s="36">
        <f ca="1">IF($A98="","",IF(F$1="","",COUNTIFS(tbl_chests[from],$A98,tbl_chests[legalized],F$1,tbl_chests[datetime],"&gt;="&amp;TODAY()-WEEKDAY(TODAY(),2)+1,tbl_chests[datetime],"&lt;"&amp;TODAY()-WEEKDAY(TODAY(),2)+8)))</f>
        <v>0</v>
      </c>
      <c r="G98" s="36">
        <f ca="1">IF($A98="","",IF(G$1="","",COUNTIFS(tbl_chests[from],$A98,tbl_chests[legalized],G$1,tbl_chests[datetime],"&gt;="&amp;TODAY()-WEEKDAY(TODAY(),2)+1,tbl_chests[datetime],"&lt;"&amp;TODAY()-WEEKDAY(TODAY(),2)+8)))</f>
        <v>0</v>
      </c>
      <c r="H98" s="36">
        <f ca="1">IF($A98="","",IF(H$1="","",COUNTIFS(tbl_chests[from],$A98,tbl_chests[legalized],H$1,tbl_chests[datetime],"&gt;="&amp;TODAY()-WEEKDAY(TODAY(),2)+1,tbl_chests[datetime],"&lt;"&amp;TODAY()-WEEKDAY(TODAY(),2)+8)))</f>
        <v>0</v>
      </c>
      <c r="I98" s="36">
        <f ca="1">IF($A98="","",IF(I$1="","",COUNTIFS(tbl_chests[from],$A98,tbl_chests[legalized],I$1,tbl_chests[datetime],"&gt;="&amp;TODAY()-WEEKDAY(TODAY(),2)+1,tbl_chests[datetime],"&lt;"&amp;TODAY()-WEEKDAY(TODAY(),2)+8)))</f>
        <v>0</v>
      </c>
      <c r="J98" s="36">
        <f ca="1">IF($A98="","",IF(J$1="","",COUNTIFS(tbl_chests[from],$A98,tbl_chests[legalized],J$1,tbl_chests[datetime],"&gt;="&amp;TODAY()-WEEKDAY(TODAY(),2)+1,tbl_chests[datetime],"&lt;"&amp;TODAY()-WEEKDAY(TODAY(),2)+8)))</f>
        <v>0</v>
      </c>
      <c r="K98" s="36">
        <f ca="1">IF($A98="","",IF(K$1="","",COUNTIFS(tbl_chests[from],$A98,tbl_chests[legalized],K$1,tbl_chests[datetime],"&gt;="&amp;TODAY()-WEEKDAY(TODAY(),2)+1,tbl_chests[datetime],"&lt;"&amp;TODAY()-WEEKDAY(TODAY(),2)+8)))</f>
        <v>0</v>
      </c>
      <c r="L98" s="36">
        <f ca="1">IF($A98="","",IF(L$1="","",COUNTIFS(tbl_chests[from],$A98,tbl_chests[legalized],L$1,tbl_chests[datetime],"&gt;="&amp;TODAY()-WEEKDAY(TODAY(),2)+1,tbl_chests[datetime],"&lt;"&amp;TODAY()-WEEKDAY(TODAY(),2)+8)))</f>
        <v>0</v>
      </c>
      <c r="M98" s="36">
        <f ca="1">IF($A98="","",IF(M$1="","",COUNTIFS(tbl_chests[from],$A98,tbl_chests[legalized],M$1,tbl_chests[datetime],"&gt;="&amp;TODAY()-WEEKDAY(TODAY(),2)+1,tbl_chests[datetime],"&lt;"&amp;TODAY()-WEEKDAY(TODAY(),2)+8)))</f>
        <v>0</v>
      </c>
      <c r="N98" s="36">
        <f ca="1">IF($A98="","",IF(N$1="","",COUNTIFS(tbl_chests[from],$A98,tbl_chests[legalized],N$1,tbl_chests[datetime],"&gt;="&amp;TODAY()-WEEKDAY(TODAY(),2)+1,tbl_chests[datetime],"&lt;"&amp;TODAY()-WEEKDAY(TODAY(),2)+8)))</f>
        <v>0</v>
      </c>
      <c r="O98" s="36">
        <f ca="1">IF($A98="","",IF(O$1="","",COUNTIFS(tbl_chests[from],$A98,tbl_chests[legalized],O$1,tbl_chests[datetime],"&gt;="&amp;TODAY()-WEEKDAY(TODAY(),2)+1,tbl_chests[datetime],"&lt;"&amp;TODAY()-WEEKDAY(TODAY(),2)+8)))</f>
        <v>0</v>
      </c>
      <c r="P98" s="36">
        <f ca="1">IF($A98="","",IF(P$1="","",COUNTIFS(tbl_chests[from],$A98,tbl_chests[legalized],P$1,tbl_chests[datetime],"&gt;="&amp;TODAY()-WEEKDAY(TODAY(),2)+1,tbl_chests[datetime],"&lt;"&amp;TODAY()-WEEKDAY(TODAY(),2)+8)))</f>
        <v>0</v>
      </c>
      <c r="Q98" s="36">
        <f ca="1">IF($A98="","",IF(Q$1="","",COUNTIFS(tbl_chests[from],$A98,tbl_chests[legalized],Q$1,tbl_chests[datetime],"&gt;="&amp;TODAY()-WEEKDAY(TODAY(),2)+1,tbl_chests[datetime],"&lt;"&amp;TODAY()-WEEKDAY(TODAY(),2)+8)))</f>
        <v>0</v>
      </c>
      <c r="R98" s="36">
        <f ca="1">IF($A98="","",IF(R$1="","",COUNTIFS(tbl_chests[from],$A98,tbl_chests[legalized],R$1,tbl_chests[datetime],"&gt;="&amp;TODAY()-WEEKDAY(TODAY(),2)+1,tbl_chests[datetime],"&lt;"&amp;TODAY()-WEEKDAY(TODAY(),2)+8)))</f>
        <v>0</v>
      </c>
      <c r="S98" s="36">
        <f ca="1">IF($A98="","",IF(S$1="","",COUNTIFS(tbl_chests[from],$A98,tbl_chests[legalized],S$1,tbl_chests[datetime],"&gt;="&amp;TODAY()-WEEKDAY(TODAY(),2)+1,tbl_chests[datetime],"&lt;"&amp;TODAY()-WEEKDAY(TODAY(),2)+8)))</f>
        <v>0</v>
      </c>
      <c r="T98" s="36">
        <f ca="1">IF($A98="","",IF(T$1="","",COUNTIFS(tbl_chests[from],$A98,tbl_chests[legalized],T$1,tbl_chests[datetime],"&gt;="&amp;TODAY()-WEEKDAY(TODAY(),2)+1,tbl_chests[datetime],"&lt;"&amp;TODAY()-WEEKDAY(TODAY(),2)+8)))</f>
        <v>0</v>
      </c>
      <c r="U98" s="36">
        <f ca="1">IF($A98="","",IF(U$1="","",COUNTIFS(tbl_chests[from],$A98,tbl_chests[legalized],U$1,tbl_chests[datetime],"&gt;="&amp;TODAY()-WEEKDAY(TODAY(),2)+1,tbl_chests[datetime],"&lt;"&amp;TODAY()-WEEKDAY(TODAY(),2)+8)))</f>
        <v>0</v>
      </c>
      <c r="V98" s="36">
        <f ca="1">IF($A98="","",IF(V$1="","",COUNTIFS(tbl_chests[from],$A98,tbl_chests[legalized],V$1,tbl_chests[datetime],"&gt;="&amp;TODAY()-WEEKDAY(TODAY(),2)+1,tbl_chests[datetime],"&lt;"&amp;TODAY()-WEEKDAY(TODAY(),2)+8)))</f>
        <v>0</v>
      </c>
      <c r="W98" s="36">
        <f ca="1">IF($A98="","",IF(W$1="","",COUNTIFS(tbl_chests[from],$A98,tbl_chests[legalized],W$1,tbl_chests[datetime],"&gt;="&amp;TODAY()-WEEKDAY(TODAY(),2)+1,tbl_chests[datetime],"&lt;"&amp;TODAY()-WEEKDAY(TODAY(),2)+8)))</f>
        <v>0</v>
      </c>
      <c r="X98" s="36">
        <f ca="1">IF($A98="","",IF(X$1="","",COUNTIFS(tbl_chests[from],$A98,tbl_chests[legalized],X$1,tbl_chests[datetime],"&gt;="&amp;TODAY()-WEEKDAY(TODAY(),2)+1,tbl_chests[datetime],"&lt;"&amp;TODAY()-WEEKDAY(TODAY(),2)+8)))</f>
        <v>0</v>
      </c>
      <c r="Y98" s="36">
        <f ca="1">IF($A98="","",IF(Y$1="","",COUNTIFS(tbl_chests[from],$A98,tbl_chests[legalized],Y$1,tbl_chests[datetime],"&gt;="&amp;TODAY()-WEEKDAY(TODAY(),2)+1,tbl_chests[datetime],"&lt;"&amp;TODAY()-WEEKDAY(TODAY(),2)+8)))</f>
        <v>0</v>
      </c>
      <c r="Z98" s="36">
        <f ca="1">IF($A98="","",IF(Z$1="","",COUNTIFS(tbl_chests[from],$A98,tbl_chests[legalized],Z$1,tbl_chests[datetime],"&gt;="&amp;TODAY()-WEEKDAY(TODAY(),2)+1,tbl_chests[datetime],"&lt;"&amp;TODAY()-WEEKDAY(TODAY(),2)+8)))</f>
        <v>0</v>
      </c>
      <c r="AA98" s="36">
        <f ca="1">IF($A98="","",IF(AA$1="","",COUNTIFS(tbl_chests[from],$A98,tbl_chests[legalized],AA$1,tbl_chests[datetime],"&gt;="&amp;TODAY()-WEEKDAY(TODAY(),2)+1,tbl_chests[datetime],"&lt;"&amp;TODAY()-WEEKDAY(TODAY(),2)+8)))</f>
        <v>0</v>
      </c>
      <c r="AB98" s="36">
        <f ca="1">IF($A98="","",IF(AB$1="","",COUNTIFS(tbl_chests[from],$A98,tbl_chests[legalized],AB$1,tbl_chests[datetime],"&gt;="&amp;TODAY()-WEEKDAY(TODAY(),2)+1,tbl_chests[datetime],"&lt;"&amp;TODAY()-WEEKDAY(TODAY(),2)+8)))</f>
        <v>0</v>
      </c>
      <c r="AC98" s="36">
        <f ca="1">IF($A98="","",IF(AC$1="","",COUNTIFS(tbl_chests[from],$A98,tbl_chests[legalized],AC$1,tbl_chests[datetime],"&gt;="&amp;TODAY()-WEEKDAY(TODAY(),2)+1,tbl_chests[datetime],"&lt;"&amp;TODAY()-WEEKDAY(TODAY(),2)+8)))</f>
        <v>0</v>
      </c>
      <c r="AD98" s="36">
        <f ca="1">IF($A98="","",IF(AD$1="","",COUNTIFS(tbl_chests[from],$A98,tbl_chests[legalized],AD$1,tbl_chests[datetime],"&gt;="&amp;TODAY()-WEEKDAY(TODAY(),2)+1,tbl_chests[datetime],"&lt;"&amp;TODAY()-WEEKDAY(TODAY(),2)+8)))</f>
        <v>0</v>
      </c>
      <c r="AE98" s="36">
        <f ca="1">IF($A98="","",IF(AE$1="","",COUNTIFS(tbl_chests[from],$A98,tbl_chests[legalized],AE$1,tbl_chests[datetime],"&gt;="&amp;TODAY()-WEEKDAY(TODAY(),2)+1,tbl_chests[datetime],"&lt;"&amp;TODAY()-WEEKDAY(TODAY(),2)+8)))</f>
        <v>0</v>
      </c>
      <c r="AF98" s="36">
        <f ca="1">IF($A98="","",IF(AF$1="","",COUNTIFS(tbl_chests[from],$A98,tbl_chests[legalized],AF$1,tbl_chests[datetime],"&gt;="&amp;TODAY()-WEEKDAY(TODAY(),2)+1,tbl_chests[datetime],"&lt;"&amp;TODAY()-WEEKDAY(TODAY(),2)+8)))</f>
        <v>0</v>
      </c>
      <c r="AG98" s="36">
        <f ca="1">IF($A98="","",IF(AG$1="","",COUNTIFS(tbl_chests[from],$A98,tbl_chests[legalized],AG$1,tbl_chests[datetime],"&gt;="&amp;TODAY()-WEEKDAY(TODAY(),2)+1,tbl_chests[datetime],"&lt;"&amp;TODAY()-WEEKDAY(TODAY(),2)+8)))</f>
        <v>0</v>
      </c>
      <c r="AH98" s="36">
        <f ca="1">IF($A98="","",IF(AH$1="","",COUNTIFS(tbl_chests[from],$A98,tbl_chests[legalized],AH$1,tbl_chests[datetime],"&gt;="&amp;TODAY()-WEEKDAY(TODAY(),2)+1,tbl_chests[datetime],"&lt;"&amp;TODAY()-WEEKDAY(TODAY(),2)+8)))</f>
        <v>0</v>
      </c>
      <c r="AI98" s="36">
        <f ca="1">IF($A98="","",IF(AI$1="","",COUNTIFS(tbl_chests[from],$A98,tbl_chests[legalized],AI$1,tbl_chests[datetime],"&gt;="&amp;TODAY()-WEEKDAY(TODAY(),2)+1,tbl_chests[datetime],"&lt;"&amp;TODAY()-WEEKDAY(TODAY(),2)+8)))</f>
        <v>0</v>
      </c>
      <c r="AJ98" s="36">
        <f ca="1">IF($A98="","",IF(AJ$1="","",COUNTIFS(tbl_chests[from],$A98,tbl_chests[legalized],AJ$1,tbl_chests[datetime],"&gt;="&amp;TODAY()-WEEKDAY(TODAY(),2)+1,tbl_chests[datetime],"&lt;"&amp;TODAY()-WEEKDAY(TODAY(),2)+8)))</f>
        <v>0</v>
      </c>
      <c r="AK98" s="36">
        <f ca="1">IF($A98="","",IF(AK$1="","",COUNTIFS(tbl_chests[from],$A98,tbl_chests[legalized],AK$1,tbl_chests[datetime],"&gt;="&amp;TODAY()-WEEKDAY(TODAY(),2)+1,tbl_chests[datetime],"&lt;"&amp;TODAY()-WEEKDAY(TODAY(),2)+8)))</f>
        <v>0</v>
      </c>
      <c r="AL98" s="36">
        <f ca="1">IF($A98="","",IF(AL$1="","",COUNTIFS(tbl_chests[from],$A98,tbl_chests[legalized],AL$1,tbl_chests[datetime],"&gt;="&amp;TODAY()-WEEKDAY(TODAY(),2)+1,tbl_chests[datetime],"&lt;"&amp;TODAY()-WEEKDAY(TODAY(),2)+8)))</f>
        <v>0</v>
      </c>
      <c r="AM98" s="37">
        <f ca="1">IF($A98="","",IF(AM$1="","",COUNTIFS(tbl_chests[from],$A98,tbl_chests[legalized],AM$1,tbl_chests[datetime],"&gt;="&amp;TODAY()-WEEKDAY(TODAY(),2)+1,tbl_chests[datetime],"&lt;"&amp;TODAY()-WEEKDAY(TODAY(),2)+8)))</f>
        <v>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 spans="1:67" ht="15.75" customHeight="1" x14ac:dyDescent="0.25">
      <c r="A99" s="34">
        <f>chests_counter!$H96</f>
        <v>0</v>
      </c>
      <c r="B99" s="35" cm="1">
        <f t="array" aca="1" ref="B99" ca="1">IF(A99&lt;&gt;"", SUMPRODUCT(($C$2:$AM$2&lt;&gt;0)*(C99:AM99&lt;&gt;0)*($C$2:$AM$2)*(C99:AM99)), "")</f>
        <v>0</v>
      </c>
      <c r="C99" s="36">
        <f ca="1">IF($A99="","",IF(C$1="","",COUNTIFS(tbl_chests[from],$A99,tbl_chests[legalized],C$1,tbl_chests[datetime],"&gt;="&amp;TODAY()-WEEKDAY(TODAY(),2)+1,tbl_chests[datetime],"&lt;"&amp;TODAY()-WEEKDAY(TODAY(),2)+8)))</f>
        <v>0</v>
      </c>
      <c r="D99" s="36">
        <f ca="1">IF($A99="","",IF(D$1="","",COUNTIFS(tbl_chests[from],$A99,tbl_chests[legalized],D$1,tbl_chests[datetime],"&gt;="&amp;TODAY()-WEEKDAY(TODAY(),2)+1,tbl_chests[datetime],"&lt;"&amp;TODAY()-WEEKDAY(TODAY(),2)+8)))</f>
        <v>0</v>
      </c>
      <c r="E99" s="36">
        <f ca="1">IF($A99="","",IF(E$1="","",COUNTIFS(tbl_chests[from],$A99,tbl_chests[legalized],E$1,tbl_chests[datetime],"&gt;="&amp;TODAY()-WEEKDAY(TODAY(),2)+1,tbl_chests[datetime],"&lt;"&amp;TODAY()-WEEKDAY(TODAY(),2)+8)))</f>
        <v>0</v>
      </c>
      <c r="F99" s="36">
        <f ca="1">IF($A99="","",IF(F$1="","",COUNTIFS(tbl_chests[from],$A99,tbl_chests[legalized],F$1,tbl_chests[datetime],"&gt;="&amp;TODAY()-WEEKDAY(TODAY(),2)+1,tbl_chests[datetime],"&lt;"&amp;TODAY()-WEEKDAY(TODAY(),2)+8)))</f>
        <v>0</v>
      </c>
      <c r="G99" s="36">
        <f ca="1">IF($A99="","",IF(G$1="","",COUNTIFS(tbl_chests[from],$A99,tbl_chests[legalized],G$1,tbl_chests[datetime],"&gt;="&amp;TODAY()-WEEKDAY(TODAY(),2)+1,tbl_chests[datetime],"&lt;"&amp;TODAY()-WEEKDAY(TODAY(),2)+8)))</f>
        <v>0</v>
      </c>
      <c r="H99" s="36">
        <f ca="1">IF($A99="","",IF(H$1="","",COUNTIFS(tbl_chests[from],$A99,tbl_chests[legalized],H$1,tbl_chests[datetime],"&gt;="&amp;TODAY()-WEEKDAY(TODAY(),2)+1,tbl_chests[datetime],"&lt;"&amp;TODAY()-WEEKDAY(TODAY(),2)+8)))</f>
        <v>0</v>
      </c>
      <c r="I99" s="36">
        <f ca="1">IF($A99="","",IF(I$1="","",COUNTIFS(tbl_chests[from],$A99,tbl_chests[legalized],I$1,tbl_chests[datetime],"&gt;="&amp;TODAY()-WEEKDAY(TODAY(),2)+1,tbl_chests[datetime],"&lt;"&amp;TODAY()-WEEKDAY(TODAY(),2)+8)))</f>
        <v>0</v>
      </c>
      <c r="J99" s="36">
        <f ca="1">IF($A99="","",IF(J$1="","",COUNTIFS(tbl_chests[from],$A99,tbl_chests[legalized],J$1,tbl_chests[datetime],"&gt;="&amp;TODAY()-WEEKDAY(TODAY(),2)+1,tbl_chests[datetime],"&lt;"&amp;TODAY()-WEEKDAY(TODAY(),2)+8)))</f>
        <v>0</v>
      </c>
      <c r="K99" s="36">
        <f ca="1">IF($A99="","",IF(K$1="","",COUNTIFS(tbl_chests[from],$A99,tbl_chests[legalized],K$1,tbl_chests[datetime],"&gt;="&amp;TODAY()-WEEKDAY(TODAY(),2)+1,tbl_chests[datetime],"&lt;"&amp;TODAY()-WEEKDAY(TODAY(),2)+8)))</f>
        <v>0</v>
      </c>
      <c r="L99" s="36">
        <f ca="1">IF($A99="","",IF(L$1="","",COUNTIFS(tbl_chests[from],$A99,tbl_chests[legalized],L$1,tbl_chests[datetime],"&gt;="&amp;TODAY()-WEEKDAY(TODAY(),2)+1,tbl_chests[datetime],"&lt;"&amp;TODAY()-WEEKDAY(TODAY(),2)+8)))</f>
        <v>0</v>
      </c>
      <c r="M99" s="36">
        <f ca="1">IF($A99="","",IF(M$1="","",COUNTIFS(tbl_chests[from],$A99,tbl_chests[legalized],M$1,tbl_chests[datetime],"&gt;="&amp;TODAY()-WEEKDAY(TODAY(),2)+1,tbl_chests[datetime],"&lt;"&amp;TODAY()-WEEKDAY(TODAY(),2)+8)))</f>
        <v>0</v>
      </c>
      <c r="N99" s="36">
        <f ca="1">IF($A99="","",IF(N$1="","",COUNTIFS(tbl_chests[from],$A99,tbl_chests[legalized],N$1,tbl_chests[datetime],"&gt;="&amp;TODAY()-WEEKDAY(TODAY(),2)+1,tbl_chests[datetime],"&lt;"&amp;TODAY()-WEEKDAY(TODAY(),2)+8)))</f>
        <v>0</v>
      </c>
      <c r="O99" s="36">
        <f ca="1">IF($A99="","",IF(O$1="","",COUNTIFS(tbl_chests[from],$A99,tbl_chests[legalized],O$1,tbl_chests[datetime],"&gt;="&amp;TODAY()-WEEKDAY(TODAY(),2)+1,tbl_chests[datetime],"&lt;"&amp;TODAY()-WEEKDAY(TODAY(),2)+8)))</f>
        <v>0</v>
      </c>
      <c r="P99" s="36">
        <f ca="1">IF($A99="","",IF(P$1="","",COUNTIFS(tbl_chests[from],$A99,tbl_chests[legalized],P$1,tbl_chests[datetime],"&gt;="&amp;TODAY()-WEEKDAY(TODAY(),2)+1,tbl_chests[datetime],"&lt;"&amp;TODAY()-WEEKDAY(TODAY(),2)+8)))</f>
        <v>0</v>
      </c>
      <c r="Q99" s="36">
        <f ca="1">IF($A99="","",IF(Q$1="","",COUNTIFS(tbl_chests[from],$A99,tbl_chests[legalized],Q$1,tbl_chests[datetime],"&gt;="&amp;TODAY()-WEEKDAY(TODAY(),2)+1,tbl_chests[datetime],"&lt;"&amp;TODAY()-WEEKDAY(TODAY(),2)+8)))</f>
        <v>0</v>
      </c>
      <c r="R99" s="36">
        <f ca="1">IF($A99="","",IF(R$1="","",COUNTIFS(tbl_chests[from],$A99,tbl_chests[legalized],R$1,tbl_chests[datetime],"&gt;="&amp;TODAY()-WEEKDAY(TODAY(),2)+1,tbl_chests[datetime],"&lt;"&amp;TODAY()-WEEKDAY(TODAY(),2)+8)))</f>
        <v>0</v>
      </c>
      <c r="S99" s="36">
        <f ca="1">IF($A99="","",IF(S$1="","",COUNTIFS(tbl_chests[from],$A99,tbl_chests[legalized],S$1,tbl_chests[datetime],"&gt;="&amp;TODAY()-WEEKDAY(TODAY(),2)+1,tbl_chests[datetime],"&lt;"&amp;TODAY()-WEEKDAY(TODAY(),2)+8)))</f>
        <v>0</v>
      </c>
      <c r="T99" s="36">
        <f ca="1">IF($A99="","",IF(T$1="","",COUNTIFS(tbl_chests[from],$A99,tbl_chests[legalized],T$1,tbl_chests[datetime],"&gt;="&amp;TODAY()-WEEKDAY(TODAY(),2)+1,tbl_chests[datetime],"&lt;"&amp;TODAY()-WEEKDAY(TODAY(),2)+8)))</f>
        <v>0</v>
      </c>
      <c r="U99" s="36">
        <f ca="1">IF($A99="","",IF(U$1="","",COUNTIFS(tbl_chests[from],$A99,tbl_chests[legalized],U$1,tbl_chests[datetime],"&gt;="&amp;TODAY()-WEEKDAY(TODAY(),2)+1,tbl_chests[datetime],"&lt;"&amp;TODAY()-WEEKDAY(TODAY(),2)+8)))</f>
        <v>0</v>
      </c>
      <c r="V99" s="36">
        <f ca="1">IF($A99="","",IF(V$1="","",COUNTIFS(tbl_chests[from],$A99,tbl_chests[legalized],V$1,tbl_chests[datetime],"&gt;="&amp;TODAY()-WEEKDAY(TODAY(),2)+1,tbl_chests[datetime],"&lt;"&amp;TODAY()-WEEKDAY(TODAY(),2)+8)))</f>
        <v>0</v>
      </c>
      <c r="W99" s="36">
        <f ca="1">IF($A99="","",IF(W$1="","",COUNTIFS(tbl_chests[from],$A99,tbl_chests[legalized],W$1,tbl_chests[datetime],"&gt;="&amp;TODAY()-WEEKDAY(TODAY(),2)+1,tbl_chests[datetime],"&lt;"&amp;TODAY()-WEEKDAY(TODAY(),2)+8)))</f>
        <v>0</v>
      </c>
      <c r="X99" s="36">
        <f ca="1">IF($A99="","",IF(X$1="","",COUNTIFS(tbl_chests[from],$A99,tbl_chests[legalized],X$1,tbl_chests[datetime],"&gt;="&amp;TODAY()-WEEKDAY(TODAY(),2)+1,tbl_chests[datetime],"&lt;"&amp;TODAY()-WEEKDAY(TODAY(),2)+8)))</f>
        <v>0</v>
      </c>
      <c r="Y99" s="36">
        <f ca="1">IF($A99="","",IF(Y$1="","",COUNTIFS(tbl_chests[from],$A99,tbl_chests[legalized],Y$1,tbl_chests[datetime],"&gt;="&amp;TODAY()-WEEKDAY(TODAY(),2)+1,tbl_chests[datetime],"&lt;"&amp;TODAY()-WEEKDAY(TODAY(),2)+8)))</f>
        <v>0</v>
      </c>
      <c r="Z99" s="36">
        <f ca="1">IF($A99="","",IF(Z$1="","",COUNTIFS(tbl_chests[from],$A99,tbl_chests[legalized],Z$1,tbl_chests[datetime],"&gt;="&amp;TODAY()-WEEKDAY(TODAY(),2)+1,tbl_chests[datetime],"&lt;"&amp;TODAY()-WEEKDAY(TODAY(),2)+8)))</f>
        <v>0</v>
      </c>
      <c r="AA99" s="36">
        <f ca="1">IF($A99="","",IF(AA$1="","",COUNTIFS(tbl_chests[from],$A99,tbl_chests[legalized],AA$1,tbl_chests[datetime],"&gt;="&amp;TODAY()-WEEKDAY(TODAY(),2)+1,tbl_chests[datetime],"&lt;"&amp;TODAY()-WEEKDAY(TODAY(),2)+8)))</f>
        <v>0</v>
      </c>
      <c r="AB99" s="36">
        <f ca="1">IF($A99="","",IF(AB$1="","",COUNTIFS(tbl_chests[from],$A99,tbl_chests[legalized],AB$1,tbl_chests[datetime],"&gt;="&amp;TODAY()-WEEKDAY(TODAY(),2)+1,tbl_chests[datetime],"&lt;"&amp;TODAY()-WEEKDAY(TODAY(),2)+8)))</f>
        <v>0</v>
      </c>
      <c r="AC99" s="36">
        <f ca="1">IF($A99="","",IF(AC$1="","",COUNTIFS(tbl_chests[from],$A99,tbl_chests[legalized],AC$1,tbl_chests[datetime],"&gt;="&amp;TODAY()-WEEKDAY(TODAY(),2)+1,tbl_chests[datetime],"&lt;"&amp;TODAY()-WEEKDAY(TODAY(),2)+8)))</f>
        <v>0</v>
      </c>
      <c r="AD99" s="36">
        <f ca="1">IF($A99="","",IF(AD$1="","",COUNTIFS(tbl_chests[from],$A99,tbl_chests[legalized],AD$1,tbl_chests[datetime],"&gt;="&amp;TODAY()-WEEKDAY(TODAY(),2)+1,tbl_chests[datetime],"&lt;"&amp;TODAY()-WEEKDAY(TODAY(),2)+8)))</f>
        <v>0</v>
      </c>
      <c r="AE99" s="36">
        <f ca="1">IF($A99="","",IF(AE$1="","",COUNTIFS(tbl_chests[from],$A99,tbl_chests[legalized],AE$1,tbl_chests[datetime],"&gt;="&amp;TODAY()-WEEKDAY(TODAY(),2)+1,tbl_chests[datetime],"&lt;"&amp;TODAY()-WEEKDAY(TODAY(),2)+8)))</f>
        <v>0</v>
      </c>
      <c r="AF99" s="36">
        <f ca="1">IF($A99="","",IF(AF$1="","",COUNTIFS(tbl_chests[from],$A99,tbl_chests[legalized],AF$1,tbl_chests[datetime],"&gt;="&amp;TODAY()-WEEKDAY(TODAY(),2)+1,tbl_chests[datetime],"&lt;"&amp;TODAY()-WEEKDAY(TODAY(),2)+8)))</f>
        <v>0</v>
      </c>
      <c r="AG99" s="36">
        <f ca="1">IF($A99="","",IF(AG$1="","",COUNTIFS(tbl_chests[from],$A99,tbl_chests[legalized],AG$1,tbl_chests[datetime],"&gt;="&amp;TODAY()-WEEKDAY(TODAY(),2)+1,tbl_chests[datetime],"&lt;"&amp;TODAY()-WEEKDAY(TODAY(),2)+8)))</f>
        <v>0</v>
      </c>
      <c r="AH99" s="36">
        <f ca="1">IF($A99="","",IF(AH$1="","",COUNTIFS(tbl_chests[from],$A99,tbl_chests[legalized],AH$1,tbl_chests[datetime],"&gt;="&amp;TODAY()-WEEKDAY(TODAY(),2)+1,tbl_chests[datetime],"&lt;"&amp;TODAY()-WEEKDAY(TODAY(),2)+8)))</f>
        <v>0</v>
      </c>
      <c r="AI99" s="36">
        <f ca="1">IF($A99="","",IF(AI$1="","",COUNTIFS(tbl_chests[from],$A99,tbl_chests[legalized],AI$1,tbl_chests[datetime],"&gt;="&amp;TODAY()-WEEKDAY(TODAY(),2)+1,tbl_chests[datetime],"&lt;"&amp;TODAY()-WEEKDAY(TODAY(),2)+8)))</f>
        <v>0</v>
      </c>
      <c r="AJ99" s="36">
        <f ca="1">IF($A99="","",IF(AJ$1="","",COUNTIFS(tbl_chests[from],$A99,tbl_chests[legalized],AJ$1,tbl_chests[datetime],"&gt;="&amp;TODAY()-WEEKDAY(TODAY(),2)+1,tbl_chests[datetime],"&lt;"&amp;TODAY()-WEEKDAY(TODAY(),2)+8)))</f>
        <v>0</v>
      </c>
      <c r="AK99" s="36">
        <f ca="1">IF($A99="","",IF(AK$1="","",COUNTIFS(tbl_chests[from],$A99,tbl_chests[legalized],AK$1,tbl_chests[datetime],"&gt;="&amp;TODAY()-WEEKDAY(TODAY(),2)+1,tbl_chests[datetime],"&lt;"&amp;TODAY()-WEEKDAY(TODAY(),2)+8)))</f>
        <v>0</v>
      </c>
      <c r="AL99" s="36">
        <f ca="1">IF($A99="","",IF(AL$1="","",COUNTIFS(tbl_chests[from],$A99,tbl_chests[legalized],AL$1,tbl_chests[datetime],"&gt;="&amp;TODAY()-WEEKDAY(TODAY(),2)+1,tbl_chests[datetime],"&lt;"&amp;TODAY()-WEEKDAY(TODAY(),2)+8)))</f>
        <v>0</v>
      </c>
      <c r="AM99" s="37">
        <f ca="1">IF($A99="","",IF(AM$1="","",COUNTIFS(tbl_chests[from],$A99,tbl_chests[legalized],AM$1,tbl_chests[datetime],"&gt;="&amp;TODAY()-WEEKDAY(TODAY(),2)+1,tbl_chests[datetime],"&lt;"&amp;TODAY()-WEEKDAY(TODAY(),2)+8)))</f>
        <v>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 spans="1:67" ht="15.75" customHeight="1" x14ac:dyDescent="0.25">
      <c r="A100" s="34">
        <f>chests_counter!$H97</f>
        <v>0</v>
      </c>
      <c r="B100" s="35" cm="1">
        <f t="array" aca="1" ref="B100" ca="1">IF(A100&lt;&gt;"", SUMPRODUCT(($C$2:$AM$2&lt;&gt;0)*(C100:AM100&lt;&gt;0)*($C$2:$AM$2)*(C100:AM100)), "")</f>
        <v>0</v>
      </c>
      <c r="C100" s="36">
        <f ca="1">IF($A100="","",IF(C$1="","",COUNTIFS(tbl_chests[from],$A100,tbl_chests[legalized],C$1,tbl_chests[datetime],"&gt;="&amp;TODAY()-WEEKDAY(TODAY(),2)+1,tbl_chests[datetime],"&lt;"&amp;TODAY()-WEEKDAY(TODAY(),2)+8)))</f>
        <v>0</v>
      </c>
      <c r="D100" s="36">
        <f ca="1">IF($A100="","",IF(D$1="","",COUNTIFS(tbl_chests[from],$A100,tbl_chests[legalized],D$1,tbl_chests[datetime],"&gt;="&amp;TODAY()-WEEKDAY(TODAY(),2)+1,tbl_chests[datetime],"&lt;"&amp;TODAY()-WEEKDAY(TODAY(),2)+8)))</f>
        <v>0</v>
      </c>
      <c r="E100" s="36">
        <f ca="1">IF($A100="","",IF(E$1="","",COUNTIFS(tbl_chests[from],$A100,tbl_chests[legalized],E$1,tbl_chests[datetime],"&gt;="&amp;TODAY()-WEEKDAY(TODAY(),2)+1,tbl_chests[datetime],"&lt;"&amp;TODAY()-WEEKDAY(TODAY(),2)+8)))</f>
        <v>0</v>
      </c>
      <c r="F100" s="36">
        <f ca="1">IF($A100="","",IF(F$1="","",COUNTIFS(tbl_chests[from],$A100,tbl_chests[legalized],F$1,tbl_chests[datetime],"&gt;="&amp;TODAY()-WEEKDAY(TODAY(),2)+1,tbl_chests[datetime],"&lt;"&amp;TODAY()-WEEKDAY(TODAY(),2)+8)))</f>
        <v>0</v>
      </c>
      <c r="G100" s="36">
        <f ca="1">IF($A100="","",IF(G$1="","",COUNTIFS(tbl_chests[from],$A100,tbl_chests[legalized],G$1,tbl_chests[datetime],"&gt;="&amp;TODAY()-WEEKDAY(TODAY(),2)+1,tbl_chests[datetime],"&lt;"&amp;TODAY()-WEEKDAY(TODAY(),2)+8)))</f>
        <v>0</v>
      </c>
      <c r="H100" s="36">
        <f ca="1">IF($A100="","",IF(H$1="","",COUNTIFS(tbl_chests[from],$A100,tbl_chests[legalized],H$1,tbl_chests[datetime],"&gt;="&amp;TODAY()-WEEKDAY(TODAY(),2)+1,tbl_chests[datetime],"&lt;"&amp;TODAY()-WEEKDAY(TODAY(),2)+8)))</f>
        <v>0</v>
      </c>
      <c r="I100" s="36">
        <f ca="1">IF($A100="","",IF(I$1="","",COUNTIFS(tbl_chests[from],$A100,tbl_chests[legalized],I$1,tbl_chests[datetime],"&gt;="&amp;TODAY()-WEEKDAY(TODAY(),2)+1,tbl_chests[datetime],"&lt;"&amp;TODAY()-WEEKDAY(TODAY(),2)+8)))</f>
        <v>0</v>
      </c>
      <c r="J100" s="36">
        <f ca="1">IF($A100="","",IF(J$1="","",COUNTIFS(tbl_chests[from],$A100,tbl_chests[legalized],J$1,tbl_chests[datetime],"&gt;="&amp;TODAY()-WEEKDAY(TODAY(),2)+1,tbl_chests[datetime],"&lt;"&amp;TODAY()-WEEKDAY(TODAY(),2)+8)))</f>
        <v>0</v>
      </c>
      <c r="K100" s="36">
        <f ca="1">IF($A100="","",IF(K$1="","",COUNTIFS(tbl_chests[from],$A100,tbl_chests[legalized],K$1,tbl_chests[datetime],"&gt;="&amp;TODAY()-WEEKDAY(TODAY(),2)+1,tbl_chests[datetime],"&lt;"&amp;TODAY()-WEEKDAY(TODAY(),2)+8)))</f>
        <v>0</v>
      </c>
      <c r="L100" s="36">
        <f ca="1">IF($A100="","",IF(L$1="","",COUNTIFS(tbl_chests[from],$A100,tbl_chests[legalized],L$1,tbl_chests[datetime],"&gt;="&amp;TODAY()-WEEKDAY(TODAY(),2)+1,tbl_chests[datetime],"&lt;"&amp;TODAY()-WEEKDAY(TODAY(),2)+8)))</f>
        <v>0</v>
      </c>
      <c r="M100" s="36">
        <f ca="1">IF($A100="","",IF(M$1="","",COUNTIFS(tbl_chests[from],$A100,tbl_chests[legalized],M$1,tbl_chests[datetime],"&gt;="&amp;TODAY()-WEEKDAY(TODAY(),2)+1,tbl_chests[datetime],"&lt;"&amp;TODAY()-WEEKDAY(TODAY(),2)+8)))</f>
        <v>0</v>
      </c>
      <c r="N100" s="36">
        <f ca="1">IF($A100="","",IF(N$1="","",COUNTIFS(tbl_chests[from],$A100,tbl_chests[legalized],N$1,tbl_chests[datetime],"&gt;="&amp;TODAY()-WEEKDAY(TODAY(),2)+1,tbl_chests[datetime],"&lt;"&amp;TODAY()-WEEKDAY(TODAY(),2)+8)))</f>
        <v>0</v>
      </c>
      <c r="O100" s="36">
        <f ca="1">IF($A100="","",IF(O$1="","",COUNTIFS(tbl_chests[from],$A100,tbl_chests[legalized],O$1,tbl_chests[datetime],"&gt;="&amp;TODAY()-WEEKDAY(TODAY(),2)+1,tbl_chests[datetime],"&lt;"&amp;TODAY()-WEEKDAY(TODAY(),2)+8)))</f>
        <v>0</v>
      </c>
      <c r="P100" s="36">
        <f ca="1">IF($A100="","",IF(P$1="","",COUNTIFS(tbl_chests[from],$A100,tbl_chests[legalized],P$1,tbl_chests[datetime],"&gt;="&amp;TODAY()-WEEKDAY(TODAY(),2)+1,tbl_chests[datetime],"&lt;"&amp;TODAY()-WEEKDAY(TODAY(),2)+8)))</f>
        <v>0</v>
      </c>
      <c r="Q100" s="36">
        <f ca="1">IF($A100="","",IF(Q$1="","",COUNTIFS(tbl_chests[from],$A100,tbl_chests[legalized],Q$1,tbl_chests[datetime],"&gt;="&amp;TODAY()-WEEKDAY(TODAY(),2)+1,tbl_chests[datetime],"&lt;"&amp;TODAY()-WEEKDAY(TODAY(),2)+8)))</f>
        <v>0</v>
      </c>
      <c r="R100" s="36">
        <f ca="1">IF($A100="","",IF(R$1="","",COUNTIFS(tbl_chests[from],$A100,tbl_chests[legalized],R$1,tbl_chests[datetime],"&gt;="&amp;TODAY()-WEEKDAY(TODAY(),2)+1,tbl_chests[datetime],"&lt;"&amp;TODAY()-WEEKDAY(TODAY(),2)+8)))</f>
        <v>0</v>
      </c>
      <c r="S100" s="36">
        <f ca="1">IF($A100="","",IF(S$1="","",COUNTIFS(tbl_chests[from],$A100,tbl_chests[legalized],S$1,tbl_chests[datetime],"&gt;="&amp;TODAY()-WEEKDAY(TODAY(),2)+1,tbl_chests[datetime],"&lt;"&amp;TODAY()-WEEKDAY(TODAY(),2)+8)))</f>
        <v>0</v>
      </c>
      <c r="T100" s="36">
        <f ca="1">IF($A100="","",IF(T$1="","",COUNTIFS(tbl_chests[from],$A100,tbl_chests[legalized],T$1,tbl_chests[datetime],"&gt;="&amp;TODAY()-WEEKDAY(TODAY(),2)+1,tbl_chests[datetime],"&lt;"&amp;TODAY()-WEEKDAY(TODAY(),2)+8)))</f>
        <v>0</v>
      </c>
      <c r="U100" s="36">
        <f ca="1">IF($A100="","",IF(U$1="","",COUNTIFS(tbl_chests[from],$A100,tbl_chests[legalized],U$1,tbl_chests[datetime],"&gt;="&amp;TODAY()-WEEKDAY(TODAY(),2)+1,tbl_chests[datetime],"&lt;"&amp;TODAY()-WEEKDAY(TODAY(),2)+8)))</f>
        <v>0</v>
      </c>
      <c r="V100" s="36">
        <f ca="1">IF($A100="","",IF(V$1="","",COUNTIFS(tbl_chests[from],$A100,tbl_chests[legalized],V$1,tbl_chests[datetime],"&gt;="&amp;TODAY()-WEEKDAY(TODAY(),2)+1,tbl_chests[datetime],"&lt;"&amp;TODAY()-WEEKDAY(TODAY(),2)+8)))</f>
        <v>0</v>
      </c>
      <c r="W100" s="36">
        <f ca="1">IF($A100="","",IF(W$1="","",COUNTIFS(tbl_chests[from],$A100,tbl_chests[legalized],W$1,tbl_chests[datetime],"&gt;="&amp;TODAY()-WEEKDAY(TODAY(),2)+1,tbl_chests[datetime],"&lt;"&amp;TODAY()-WEEKDAY(TODAY(),2)+8)))</f>
        <v>0</v>
      </c>
      <c r="X100" s="36">
        <f ca="1">IF($A100="","",IF(X$1="","",COUNTIFS(tbl_chests[from],$A100,tbl_chests[legalized],X$1,tbl_chests[datetime],"&gt;="&amp;TODAY()-WEEKDAY(TODAY(),2)+1,tbl_chests[datetime],"&lt;"&amp;TODAY()-WEEKDAY(TODAY(),2)+8)))</f>
        <v>0</v>
      </c>
      <c r="Y100" s="36">
        <f ca="1">IF($A100="","",IF(Y$1="","",COUNTIFS(tbl_chests[from],$A100,tbl_chests[legalized],Y$1,tbl_chests[datetime],"&gt;="&amp;TODAY()-WEEKDAY(TODAY(),2)+1,tbl_chests[datetime],"&lt;"&amp;TODAY()-WEEKDAY(TODAY(),2)+8)))</f>
        <v>0</v>
      </c>
      <c r="Z100" s="36">
        <f ca="1">IF($A100="","",IF(Z$1="","",COUNTIFS(tbl_chests[from],$A100,tbl_chests[legalized],Z$1,tbl_chests[datetime],"&gt;="&amp;TODAY()-WEEKDAY(TODAY(),2)+1,tbl_chests[datetime],"&lt;"&amp;TODAY()-WEEKDAY(TODAY(),2)+8)))</f>
        <v>0</v>
      </c>
      <c r="AA100" s="36">
        <f ca="1">IF($A100="","",IF(AA$1="","",COUNTIFS(tbl_chests[from],$A100,tbl_chests[legalized],AA$1,tbl_chests[datetime],"&gt;="&amp;TODAY()-WEEKDAY(TODAY(),2)+1,tbl_chests[datetime],"&lt;"&amp;TODAY()-WEEKDAY(TODAY(),2)+8)))</f>
        <v>0</v>
      </c>
      <c r="AB100" s="36">
        <f ca="1">IF($A100="","",IF(AB$1="","",COUNTIFS(tbl_chests[from],$A100,tbl_chests[legalized],AB$1,tbl_chests[datetime],"&gt;="&amp;TODAY()-WEEKDAY(TODAY(),2)+1,tbl_chests[datetime],"&lt;"&amp;TODAY()-WEEKDAY(TODAY(),2)+8)))</f>
        <v>0</v>
      </c>
      <c r="AC100" s="36">
        <f ca="1">IF($A100="","",IF(AC$1="","",COUNTIFS(tbl_chests[from],$A100,tbl_chests[legalized],AC$1,tbl_chests[datetime],"&gt;="&amp;TODAY()-WEEKDAY(TODAY(),2)+1,tbl_chests[datetime],"&lt;"&amp;TODAY()-WEEKDAY(TODAY(),2)+8)))</f>
        <v>0</v>
      </c>
      <c r="AD100" s="36">
        <f ca="1">IF($A100="","",IF(AD$1="","",COUNTIFS(tbl_chests[from],$A100,tbl_chests[legalized],AD$1,tbl_chests[datetime],"&gt;="&amp;TODAY()-WEEKDAY(TODAY(),2)+1,tbl_chests[datetime],"&lt;"&amp;TODAY()-WEEKDAY(TODAY(),2)+8)))</f>
        <v>0</v>
      </c>
      <c r="AE100" s="36">
        <f ca="1">IF($A100="","",IF(AE$1="","",COUNTIFS(tbl_chests[from],$A100,tbl_chests[legalized],AE$1,tbl_chests[datetime],"&gt;="&amp;TODAY()-WEEKDAY(TODAY(),2)+1,tbl_chests[datetime],"&lt;"&amp;TODAY()-WEEKDAY(TODAY(),2)+8)))</f>
        <v>0</v>
      </c>
      <c r="AF100" s="36">
        <f ca="1">IF($A100="","",IF(AF$1="","",COUNTIFS(tbl_chests[from],$A100,tbl_chests[legalized],AF$1,tbl_chests[datetime],"&gt;="&amp;TODAY()-WEEKDAY(TODAY(),2)+1,tbl_chests[datetime],"&lt;"&amp;TODAY()-WEEKDAY(TODAY(),2)+8)))</f>
        <v>0</v>
      </c>
      <c r="AG100" s="36">
        <f ca="1">IF($A100="","",IF(AG$1="","",COUNTIFS(tbl_chests[from],$A100,tbl_chests[legalized],AG$1,tbl_chests[datetime],"&gt;="&amp;TODAY()-WEEKDAY(TODAY(),2)+1,tbl_chests[datetime],"&lt;"&amp;TODAY()-WEEKDAY(TODAY(),2)+8)))</f>
        <v>0</v>
      </c>
      <c r="AH100" s="36">
        <f ca="1">IF($A100="","",IF(AH$1="","",COUNTIFS(tbl_chests[from],$A100,tbl_chests[legalized],AH$1,tbl_chests[datetime],"&gt;="&amp;TODAY()-WEEKDAY(TODAY(),2)+1,tbl_chests[datetime],"&lt;"&amp;TODAY()-WEEKDAY(TODAY(),2)+8)))</f>
        <v>0</v>
      </c>
      <c r="AI100" s="36">
        <f ca="1">IF($A100="","",IF(AI$1="","",COUNTIFS(tbl_chests[from],$A100,tbl_chests[legalized],AI$1,tbl_chests[datetime],"&gt;="&amp;TODAY()-WEEKDAY(TODAY(),2)+1,tbl_chests[datetime],"&lt;"&amp;TODAY()-WEEKDAY(TODAY(),2)+8)))</f>
        <v>0</v>
      </c>
      <c r="AJ100" s="36">
        <f ca="1">IF($A100="","",IF(AJ$1="","",COUNTIFS(tbl_chests[from],$A100,tbl_chests[legalized],AJ$1,tbl_chests[datetime],"&gt;="&amp;TODAY()-WEEKDAY(TODAY(),2)+1,tbl_chests[datetime],"&lt;"&amp;TODAY()-WEEKDAY(TODAY(),2)+8)))</f>
        <v>0</v>
      </c>
      <c r="AK100" s="36">
        <f ca="1">IF($A100="","",IF(AK$1="","",COUNTIFS(tbl_chests[from],$A100,tbl_chests[legalized],AK$1,tbl_chests[datetime],"&gt;="&amp;TODAY()-WEEKDAY(TODAY(),2)+1,tbl_chests[datetime],"&lt;"&amp;TODAY()-WEEKDAY(TODAY(),2)+8)))</f>
        <v>0</v>
      </c>
      <c r="AL100" s="36">
        <f ca="1">IF($A100="","",IF(AL$1="","",COUNTIFS(tbl_chests[from],$A100,tbl_chests[legalized],AL$1,tbl_chests[datetime],"&gt;="&amp;TODAY()-WEEKDAY(TODAY(),2)+1,tbl_chests[datetime],"&lt;"&amp;TODAY()-WEEKDAY(TODAY(),2)+8)))</f>
        <v>0</v>
      </c>
      <c r="AM100" s="37">
        <f ca="1">IF($A100="","",IF(AM$1="","",COUNTIFS(tbl_chests[from],$A100,tbl_chests[legalized],AM$1,tbl_chests[datetime],"&gt;="&amp;TODAY()-WEEKDAY(TODAY(),2)+1,tbl_chests[datetime],"&lt;"&amp;TODAY()-WEEKDAY(TODAY(),2)+8)))</f>
        <v>0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 spans="1:67" ht="15.75" customHeight="1" x14ac:dyDescent="0.25">
      <c r="A101" s="34">
        <f>chests_counter!$H98</f>
        <v>0</v>
      </c>
      <c r="B101" s="35" cm="1">
        <f t="array" aca="1" ref="B101" ca="1">IF(A101&lt;&gt;"", SUMPRODUCT(($C$2:$AM$2&lt;&gt;0)*(C101:AM101&lt;&gt;0)*($C$2:$AM$2)*(C101:AM101)), "")</f>
        <v>0</v>
      </c>
      <c r="C101" s="36">
        <f ca="1">IF($A101="","",IF(C$1="","",COUNTIFS(tbl_chests[from],$A101,tbl_chests[legalized],C$1,tbl_chests[datetime],"&gt;="&amp;TODAY()-WEEKDAY(TODAY(),2)+1,tbl_chests[datetime],"&lt;"&amp;TODAY()-WEEKDAY(TODAY(),2)+8)))</f>
        <v>0</v>
      </c>
      <c r="D101" s="36">
        <f ca="1">IF($A101="","",IF(D$1="","",COUNTIFS(tbl_chests[from],$A101,tbl_chests[legalized],D$1,tbl_chests[datetime],"&gt;="&amp;TODAY()-WEEKDAY(TODAY(),2)+1,tbl_chests[datetime],"&lt;"&amp;TODAY()-WEEKDAY(TODAY(),2)+8)))</f>
        <v>0</v>
      </c>
      <c r="E101" s="36">
        <f ca="1">IF($A101="","",IF(E$1="","",COUNTIFS(tbl_chests[from],$A101,tbl_chests[legalized],E$1,tbl_chests[datetime],"&gt;="&amp;TODAY()-WEEKDAY(TODAY(),2)+1,tbl_chests[datetime],"&lt;"&amp;TODAY()-WEEKDAY(TODAY(),2)+8)))</f>
        <v>0</v>
      </c>
      <c r="F101" s="36">
        <f ca="1">IF($A101="","",IF(F$1="","",COUNTIFS(tbl_chests[from],$A101,tbl_chests[legalized],F$1,tbl_chests[datetime],"&gt;="&amp;TODAY()-WEEKDAY(TODAY(),2)+1,tbl_chests[datetime],"&lt;"&amp;TODAY()-WEEKDAY(TODAY(),2)+8)))</f>
        <v>0</v>
      </c>
      <c r="G101" s="36">
        <f ca="1">IF($A101="","",IF(G$1="","",COUNTIFS(tbl_chests[from],$A101,tbl_chests[legalized],G$1,tbl_chests[datetime],"&gt;="&amp;TODAY()-WEEKDAY(TODAY(),2)+1,tbl_chests[datetime],"&lt;"&amp;TODAY()-WEEKDAY(TODAY(),2)+8)))</f>
        <v>0</v>
      </c>
      <c r="H101" s="36">
        <f ca="1">IF($A101="","",IF(H$1="","",COUNTIFS(tbl_chests[from],$A101,tbl_chests[legalized],H$1,tbl_chests[datetime],"&gt;="&amp;TODAY()-WEEKDAY(TODAY(),2)+1,tbl_chests[datetime],"&lt;"&amp;TODAY()-WEEKDAY(TODAY(),2)+8)))</f>
        <v>0</v>
      </c>
      <c r="I101" s="36">
        <f ca="1">IF($A101="","",IF(I$1="","",COUNTIFS(tbl_chests[from],$A101,tbl_chests[legalized],I$1,tbl_chests[datetime],"&gt;="&amp;TODAY()-WEEKDAY(TODAY(),2)+1,tbl_chests[datetime],"&lt;"&amp;TODAY()-WEEKDAY(TODAY(),2)+8)))</f>
        <v>0</v>
      </c>
      <c r="J101" s="36">
        <f ca="1">IF($A101="","",IF(J$1="","",COUNTIFS(tbl_chests[from],$A101,tbl_chests[legalized],J$1,tbl_chests[datetime],"&gt;="&amp;TODAY()-WEEKDAY(TODAY(),2)+1,tbl_chests[datetime],"&lt;"&amp;TODAY()-WEEKDAY(TODAY(),2)+8)))</f>
        <v>0</v>
      </c>
      <c r="K101" s="36">
        <f ca="1">IF($A101="","",IF(K$1="","",COUNTIFS(tbl_chests[from],$A101,tbl_chests[legalized],K$1,tbl_chests[datetime],"&gt;="&amp;TODAY()-WEEKDAY(TODAY(),2)+1,tbl_chests[datetime],"&lt;"&amp;TODAY()-WEEKDAY(TODAY(),2)+8)))</f>
        <v>0</v>
      </c>
      <c r="L101" s="36">
        <f ca="1">IF($A101="","",IF(L$1="","",COUNTIFS(tbl_chests[from],$A101,tbl_chests[legalized],L$1,tbl_chests[datetime],"&gt;="&amp;TODAY()-WEEKDAY(TODAY(),2)+1,tbl_chests[datetime],"&lt;"&amp;TODAY()-WEEKDAY(TODAY(),2)+8)))</f>
        <v>0</v>
      </c>
      <c r="M101" s="36">
        <f ca="1">IF($A101="","",IF(M$1="","",COUNTIFS(tbl_chests[from],$A101,tbl_chests[legalized],M$1,tbl_chests[datetime],"&gt;="&amp;TODAY()-WEEKDAY(TODAY(),2)+1,tbl_chests[datetime],"&lt;"&amp;TODAY()-WEEKDAY(TODAY(),2)+8)))</f>
        <v>0</v>
      </c>
      <c r="N101" s="36">
        <f ca="1">IF($A101="","",IF(N$1="","",COUNTIFS(tbl_chests[from],$A101,tbl_chests[legalized],N$1,tbl_chests[datetime],"&gt;="&amp;TODAY()-WEEKDAY(TODAY(),2)+1,tbl_chests[datetime],"&lt;"&amp;TODAY()-WEEKDAY(TODAY(),2)+8)))</f>
        <v>0</v>
      </c>
      <c r="O101" s="36">
        <f ca="1">IF($A101="","",IF(O$1="","",COUNTIFS(tbl_chests[from],$A101,tbl_chests[legalized],O$1,tbl_chests[datetime],"&gt;="&amp;TODAY()-WEEKDAY(TODAY(),2)+1,tbl_chests[datetime],"&lt;"&amp;TODAY()-WEEKDAY(TODAY(),2)+8)))</f>
        <v>0</v>
      </c>
      <c r="P101" s="36">
        <f ca="1">IF($A101="","",IF(P$1="","",COUNTIFS(tbl_chests[from],$A101,tbl_chests[legalized],P$1,tbl_chests[datetime],"&gt;="&amp;TODAY()-WEEKDAY(TODAY(),2)+1,tbl_chests[datetime],"&lt;"&amp;TODAY()-WEEKDAY(TODAY(),2)+8)))</f>
        <v>0</v>
      </c>
      <c r="Q101" s="36">
        <f ca="1">IF($A101="","",IF(Q$1="","",COUNTIFS(tbl_chests[from],$A101,tbl_chests[legalized],Q$1,tbl_chests[datetime],"&gt;="&amp;TODAY()-WEEKDAY(TODAY(),2)+1,tbl_chests[datetime],"&lt;"&amp;TODAY()-WEEKDAY(TODAY(),2)+8)))</f>
        <v>0</v>
      </c>
      <c r="R101" s="36">
        <f ca="1">IF($A101="","",IF(R$1="","",COUNTIFS(tbl_chests[from],$A101,tbl_chests[legalized],R$1,tbl_chests[datetime],"&gt;="&amp;TODAY()-WEEKDAY(TODAY(),2)+1,tbl_chests[datetime],"&lt;"&amp;TODAY()-WEEKDAY(TODAY(),2)+8)))</f>
        <v>0</v>
      </c>
      <c r="S101" s="36">
        <f ca="1">IF($A101="","",IF(S$1="","",COUNTIFS(tbl_chests[from],$A101,tbl_chests[legalized],S$1,tbl_chests[datetime],"&gt;="&amp;TODAY()-WEEKDAY(TODAY(),2)+1,tbl_chests[datetime],"&lt;"&amp;TODAY()-WEEKDAY(TODAY(),2)+8)))</f>
        <v>0</v>
      </c>
      <c r="T101" s="36">
        <f ca="1">IF($A101="","",IF(T$1="","",COUNTIFS(tbl_chests[from],$A101,tbl_chests[legalized],T$1,tbl_chests[datetime],"&gt;="&amp;TODAY()-WEEKDAY(TODAY(),2)+1,tbl_chests[datetime],"&lt;"&amp;TODAY()-WEEKDAY(TODAY(),2)+8)))</f>
        <v>0</v>
      </c>
      <c r="U101" s="36">
        <f ca="1">IF($A101="","",IF(U$1="","",COUNTIFS(tbl_chests[from],$A101,tbl_chests[legalized],U$1,tbl_chests[datetime],"&gt;="&amp;TODAY()-WEEKDAY(TODAY(),2)+1,tbl_chests[datetime],"&lt;"&amp;TODAY()-WEEKDAY(TODAY(),2)+8)))</f>
        <v>0</v>
      </c>
      <c r="V101" s="36">
        <f ca="1">IF($A101="","",IF(V$1="","",COUNTIFS(tbl_chests[from],$A101,tbl_chests[legalized],V$1,tbl_chests[datetime],"&gt;="&amp;TODAY()-WEEKDAY(TODAY(),2)+1,tbl_chests[datetime],"&lt;"&amp;TODAY()-WEEKDAY(TODAY(),2)+8)))</f>
        <v>0</v>
      </c>
      <c r="W101" s="36">
        <f ca="1">IF($A101="","",IF(W$1="","",COUNTIFS(tbl_chests[from],$A101,tbl_chests[legalized],W$1,tbl_chests[datetime],"&gt;="&amp;TODAY()-WEEKDAY(TODAY(),2)+1,tbl_chests[datetime],"&lt;"&amp;TODAY()-WEEKDAY(TODAY(),2)+8)))</f>
        <v>0</v>
      </c>
      <c r="X101" s="36">
        <f ca="1">IF($A101="","",IF(X$1="","",COUNTIFS(tbl_chests[from],$A101,tbl_chests[legalized],X$1,tbl_chests[datetime],"&gt;="&amp;TODAY()-WEEKDAY(TODAY(),2)+1,tbl_chests[datetime],"&lt;"&amp;TODAY()-WEEKDAY(TODAY(),2)+8)))</f>
        <v>0</v>
      </c>
      <c r="Y101" s="36">
        <f ca="1">IF($A101="","",IF(Y$1="","",COUNTIFS(tbl_chests[from],$A101,tbl_chests[legalized],Y$1,tbl_chests[datetime],"&gt;="&amp;TODAY()-WEEKDAY(TODAY(),2)+1,tbl_chests[datetime],"&lt;"&amp;TODAY()-WEEKDAY(TODAY(),2)+8)))</f>
        <v>0</v>
      </c>
      <c r="Z101" s="36">
        <f ca="1">IF($A101="","",IF(Z$1="","",COUNTIFS(tbl_chests[from],$A101,tbl_chests[legalized],Z$1,tbl_chests[datetime],"&gt;="&amp;TODAY()-WEEKDAY(TODAY(),2)+1,tbl_chests[datetime],"&lt;"&amp;TODAY()-WEEKDAY(TODAY(),2)+8)))</f>
        <v>0</v>
      </c>
      <c r="AA101" s="36">
        <f ca="1">IF($A101="","",IF(AA$1="","",COUNTIFS(tbl_chests[from],$A101,tbl_chests[legalized],AA$1,tbl_chests[datetime],"&gt;="&amp;TODAY()-WEEKDAY(TODAY(),2)+1,tbl_chests[datetime],"&lt;"&amp;TODAY()-WEEKDAY(TODAY(),2)+8)))</f>
        <v>0</v>
      </c>
      <c r="AB101" s="36">
        <f ca="1">IF($A101="","",IF(AB$1="","",COUNTIFS(tbl_chests[from],$A101,tbl_chests[legalized],AB$1,tbl_chests[datetime],"&gt;="&amp;TODAY()-WEEKDAY(TODAY(),2)+1,tbl_chests[datetime],"&lt;"&amp;TODAY()-WEEKDAY(TODAY(),2)+8)))</f>
        <v>0</v>
      </c>
      <c r="AC101" s="36">
        <f ca="1">IF($A101="","",IF(AC$1="","",COUNTIFS(tbl_chests[from],$A101,tbl_chests[legalized],AC$1,tbl_chests[datetime],"&gt;="&amp;TODAY()-WEEKDAY(TODAY(),2)+1,tbl_chests[datetime],"&lt;"&amp;TODAY()-WEEKDAY(TODAY(),2)+8)))</f>
        <v>0</v>
      </c>
      <c r="AD101" s="36">
        <f ca="1">IF($A101="","",IF(AD$1="","",COUNTIFS(tbl_chests[from],$A101,tbl_chests[legalized],AD$1,tbl_chests[datetime],"&gt;="&amp;TODAY()-WEEKDAY(TODAY(),2)+1,tbl_chests[datetime],"&lt;"&amp;TODAY()-WEEKDAY(TODAY(),2)+8)))</f>
        <v>0</v>
      </c>
      <c r="AE101" s="36">
        <f ca="1">IF($A101="","",IF(AE$1="","",COUNTIFS(tbl_chests[from],$A101,tbl_chests[legalized],AE$1,tbl_chests[datetime],"&gt;="&amp;TODAY()-WEEKDAY(TODAY(),2)+1,tbl_chests[datetime],"&lt;"&amp;TODAY()-WEEKDAY(TODAY(),2)+8)))</f>
        <v>0</v>
      </c>
      <c r="AF101" s="36">
        <f ca="1">IF($A101="","",IF(AF$1="","",COUNTIFS(tbl_chests[from],$A101,tbl_chests[legalized],AF$1,tbl_chests[datetime],"&gt;="&amp;TODAY()-WEEKDAY(TODAY(),2)+1,tbl_chests[datetime],"&lt;"&amp;TODAY()-WEEKDAY(TODAY(),2)+8)))</f>
        <v>0</v>
      </c>
      <c r="AG101" s="36">
        <f ca="1">IF($A101="","",IF(AG$1="","",COUNTIFS(tbl_chests[from],$A101,tbl_chests[legalized],AG$1,tbl_chests[datetime],"&gt;="&amp;TODAY()-WEEKDAY(TODAY(),2)+1,tbl_chests[datetime],"&lt;"&amp;TODAY()-WEEKDAY(TODAY(),2)+8)))</f>
        <v>0</v>
      </c>
      <c r="AH101" s="36">
        <f ca="1">IF($A101="","",IF(AH$1="","",COUNTIFS(tbl_chests[from],$A101,tbl_chests[legalized],AH$1,tbl_chests[datetime],"&gt;="&amp;TODAY()-WEEKDAY(TODAY(),2)+1,tbl_chests[datetime],"&lt;"&amp;TODAY()-WEEKDAY(TODAY(),2)+8)))</f>
        <v>0</v>
      </c>
      <c r="AI101" s="36">
        <f ca="1">IF($A101="","",IF(AI$1="","",COUNTIFS(tbl_chests[from],$A101,tbl_chests[legalized],AI$1,tbl_chests[datetime],"&gt;="&amp;TODAY()-WEEKDAY(TODAY(),2)+1,tbl_chests[datetime],"&lt;"&amp;TODAY()-WEEKDAY(TODAY(),2)+8)))</f>
        <v>0</v>
      </c>
      <c r="AJ101" s="36">
        <f ca="1">IF($A101="","",IF(AJ$1="","",COUNTIFS(tbl_chests[from],$A101,tbl_chests[legalized],AJ$1,tbl_chests[datetime],"&gt;="&amp;TODAY()-WEEKDAY(TODAY(),2)+1,tbl_chests[datetime],"&lt;"&amp;TODAY()-WEEKDAY(TODAY(),2)+8)))</f>
        <v>0</v>
      </c>
      <c r="AK101" s="36">
        <f ca="1">IF($A101="","",IF(AK$1="","",COUNTIFS(tbl_chests[from],$A101,tbl_chests[legalized],AK$1,tbl_chests[datetime],"&gt;="&amp;TODAY()-WEEKDAY(TODAY(),2)+1,tbl_chests[datetime],"&lt;"&amp;TODAY()-WEEKDAY(TODAY(),2)+8)))</f>
        <v>0</v>
      </c>
      <c r="AL101" s="36">
        <f ca="1">IF($A101="","",IF(AL$1="","",COUNTIFS(tbl_chests[from],$A101,tbl_chests[legalized],AL$1,tbl_chests[datetime],"&gt;="&amp;TODAY()-WEEKDAY(TODAY(),2)+1,tbl_chests[datetime],"&lt;"&amp;TODAY()-WEEKDAY(TODAY(),2)+8)))</f>
        <v>0</v>
      </c>
      <c r="AM101" s="37">
        <f ca="1">IF($A101="","",IF(AM$1="","",COUNTIFS(tbl_chests[from],$A101,tbl_chests[legalized],AM$1,tbl_chests[datetime],"&gt;="&amp;TODAY()-WEEKDAY(TODAY(),2)+1,tbl_chests[datetime],"&lt;"&amp;TODAY()-WEEKDAY(TODAY(),2)+8)))</f>
        <v>0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 spans="1:67" ht="15.75" customHeight="1" x14ac:dyDescent="0.25">
      <c r="A102" s="34">
        <f>chests_counter!$H99</f>
        <v>0</v>
      </c>
      <c r="B102" s="35" cm="1">
        <f t="array" aca="1" ref="B102" ca="1">IF(A102&lt;&gt;"", SUMPRODUCT(($C$2:$AM$2&lt;&gt;0)*(C102:AM102&lt;&gt;0)*($C$2:$AM$2)*(C102:AM102)), "")</f>
        <v>0</v>
      </c>
      <c r="C102" s="36">
        <f ca="1">IF($A102="","",IF(C$1="","",COUNTIFS(tbl_chests[from],$A102,tbl_chests[legalized],C$1,tbl_chests[datetime],"&gt;="&amp;TODAY()-WEEKDAY(TODAY(),2)+1,tbl_chests[datetime],"&lt;"&amp;TODAY()-WEEKDAY(TODAY(),2)+8)))</f>
        <v>0</v>
      </c>
      <c r="D102" s="36">
        <f ca="1">IF($A102="","",IF(D$1="","",COUNTIFS(tbl_chests[from],$A102,tbl_chests[legalized],D$1,tbl_chests[datetime],"&gt;="&amp;TODAY()-WEEKDAY(TODAY(),2)+1,tbl_chests[datetime],"&lt;"&amp;TODAY()-WEEKDAY(TODAY(),2)+8)))</f>
        <v>0</v>
      </c>
      <c r="E102" s="36">
        <f ca="1">IF($A102="","",IF(E$1="","",COUNTIFS(tbl_chests[from],$A102,tbl_chests[legalized],E$1,tbl_chests[datetime],"&gt;="&amp;TODAY()-WEEKDAY(TODAY(),2)+1,tbl_chests[datetime],"&lt;"&amp;TODAY()-WEEKDAY(TODAY(),2)+8)))</f>
        <v>0</v>
      </c>
      <c r="F102" s="36">
        <f ca="1">IF($A102="","",IF(F$1="","",COUNTIFS(tbl_chests[from],$A102,tbl_chests[legalized],F$1,tbl_chests[datetime],"&gt;="&amp;TODAY()-WEEKDAY(TODAY(),2)+1,tbl_chests[datetime],"&lt;"&amp;TODAY()-WEEKDAY(TODAY(),2)+8)))</f>
        <v>0</v>
      </c>
      <c r="G102" s="36">
        <f ca="1">IF($A102="","",IF(G$1="","",COUNTIFS(tbl_chests[from],$A102,tbl_chests[legalized],G$1,tbl_chests[datetime],"&gt;="&amp;TODAY()-WEEKDAY(TODAY(),2)+1,tbl_chests[datetime],"&lt;"&amp;TODAY()-WEEKDAY(TODAY(),2)+8)))</f>
        <v>0</v>
      </c>
      <c r="H102" s="36">
        <f ca="1">IF($A102="","",IF(H$1="","",COUNTIFS(tbl_chests[from],$A102,tbl_chests[legalized],H$1,tbl_chests[datetime],"&gt;="&amp;TODAY()-WEEKDAY(TODAY(),2)+1,tbl_chests[datetime],"&lt;"&amp;TODAY()-WEEKDAY(TODAY(),2)+8)))</f>
        <v>0</v>
      </c>
      <c r="I102" s="36">
        <f ca="1">IF($A102="","",IF(I$1="","",COUNTIFS(tbl_chests[from],$A102,tbl_chests[legalized],I$1,tbl_chests[datetime],"&gt;="&amp;TODAY()-WEEKDAY(TODAY(),2)+1,tbl_chests[datetime],"&lt;"&amp;TODAY()-WEEKDAY(TODAY(),2)+8)))</f>
        <v>0</v>
      </c>
      <c r="J102" s="36">
        <f ca="1">IF($A102="","",IF(J$1="","",COUNTIFS(tbl_chests[from],$A102,tbl_chests[legalized],J$1,tbl_chests[datetime],"&gt;="&amp;TODAY()-WEEKDAY(TODAY(),2)+1,tbl_chests[datetime],"&lt;"&amp;TODAY()-WEEKDAY(TODAY(),2)+8)))</f>
        <v>0</v>
      </c>
      <c r="K102" s="36">
        <f ca="1">IF($A102="","",IF(K$1="","",COUNTIFS(tbl_chests[from],$A102,tbl_chests[legalized],K$1,tbl_chests[datetime],"&gt;="&amp;TODAY()-WEEKDAY(TODAY(),2)+1,tbl_chests[datetime],"&lt;"&amp;TODAY()-WEEKDAY(TODAY(),2)+8)))</f>
        <v>0</v>
      </c>
      <c r="L102" s="36">
        <f ca="1">IF($A102="","",IF(L$1="","",COUNTIFS(tbl_chests[from],$A102,tbl_chests[legalized],L$1,tbl_chests[datetime],"&gt;="&amp;TODAY()-WEEKDAY(TODAY(),2)+1,tbl_chests[datetime],"&lt;"&amp;TODAY()-WEEKDAY(TODAY(),2)+8)))</f>
        <v>0</v>
      </c>
      <c r="M102" s="36">
        <f ca="1">IF($A102="","",IF(M$1="","",COUNTIFS(tbl_chests[from],$A102,tbl_chests[legalized],M$1,tbl_chests[datetime],"&gt;="&amp;TODAY()-WEEKDAY(TODAY(),2)+1,tbl_chests[datetime],"&lt;"&amp;TODAY()-WEEKDAY(TODAY(),2)+8)))</f>
        <v>0</v>
      </c>
      <c r="N102" s="36">
        <f ca="1">IF($A102="","",IF(N$1="","",COUNTIFS(tbl_chests[from],$A102,tbl_chests[legalized],N$1,tbl_chests[datetime],"&gt;="&amp;TODAY()-WEEKDAY(TODAY(),2)+1,tbl_chests[datetime],"&lt;"&amp;TODAY()-WEEKDAY(TODAY(),2)+8)))</f>
        <v>0</v>
      </c>
      <c r="O102" s="36">
        <f ca="1">IF($A102="","",IF(O$1="","",COUNTIFS(tbl_chests[from],$A102,tbl_chests[legalized],O$1,tbl_chests[datetime],"&gt;="&amp;TODAY()-WEEKDAY(TODAY(),2)+1,tbl_chests[datetime],"&lt;"&amp;TODAY()-WEEKDAY(TODAY(),2)+8)))</f>
        <v>0</v>
      </c>
      <c r="P102" s="36">
        <f ca="1">IF($A102="","",IF(P$1="","",COUNTIFS(tbl_chests[from],$A102,tbl_chests[legalized],P$1,tbl_chests[datetime],"&gt;="&amp;TODAY()-WEEKDAY(TODAY(),2)+1,tbl_chests[datetime],"&lt;"&amp;TODAY()-WEEKDAY(TODAY(),2)+8)))</f>
        <v>0</v>
      </c>
      <c r="Q102" s="36">
        <f ca="1">IF($A102="","",IF(Q$1="","",COUNTIFS(tbl_chests[from],$A102,tbl_chests[legalized],Q$1,tbl_chests[datetime],"&gt;="&amp;TODAY()-WEEKDAY(TODAY(),2)+1,tbl_chests[datetime],"&lt;"&amp;TODAY()-WEEKDAY(TODAY(),2)+8)))</f>
        <v>0</v>
      </c>
      <c r="R102" s="36">
        <f ca="1">IF($A102="","",IF(R$1="","",COUNTIFS(tbl_chests[from],$A102,tbl_chests[legalized],R$1,tbl_chests[datetime],"&gt;="&amp;TODAY()-WEEKDAY(TODAY(),2)+1,tbl_chests[datetime],"&lt;"&amp;TODAY()-WEEKDAY(TODAY(),2)+8)))</f>
        <v>0</v>
      </c>
      <c r="S102" s="36">
        <f ca="1">IF($A102="","",IF(S$1="","",COUNTIFS(tbl_chests[from],$A102,tbl_chests[legalized],S$1,tbl_chests[datetime],"&gt;="&amp;TODAY()-WEEKDAY(TODAY(),2)+1,tbl_chests[datetime],"&lt;"&amp;TODAY()-WEEKDAY(TODAY(),2)+8)))</f>
        <v>0</v>
      </c>
      <c r="T102" s="36">
        <f ca="1">IF($A102="","",IF(T$1="","",COUNTIFS(tbl_chests[from],$A102,tbl_chests[legalized],T$1,tbl_chests[datetime],"&gt;="&amp;TODAY()-WEEKDAY(TODAY(),2)+1,tbl_chests[datetime],"&lt;"&amp;TODAY()-WEEKDAY(TODAY(),2)+8)))</f>
        <v>0</v>
      </c>
      <c r="U102" s="36">
        <f ca="1">IF($A102="","",IF(U$1="","",COUNTIFS(tbl_chests[from],$A102,tbl_chests[legalized],U$1,tbl_chests[datetime],"&gt;="&amp;TODAY()-WEEKDAY(TODAY(),2)+1,tbl_chests[datetime],"&lt;"&amp;TODAY()-WEEKDAY(TODAY(),2)+8)))</f>
        <v>0</v>
      </c>
      <c r="V102" s="36">
        <f ca="1">IF($A102="","",IF(V$1="","",COUNTIFS(tbl_chests[from],$A102,tbl_chests[legalized],V$1,tbl_chests[datetime],"&gt;="&amp;TODAY()-WEEKDAY(TODAY(),2)+1,tbl_chests[datetime],"&lt;"&amp;TODAY()-WEEKDAY(TODAY(),2)+8)))</f>
        <v>0</v>
      </c>
      <c r="W102" s="36">
        <f ca="1">IF($A102="","",IF(W$1="","",COUNTIFS(tbl_chests[from],$A102,tbl_chests[legalized],W$1,tbl_chests[datetime],"&gt;="&amp;TODAY()-WEEKDAY(TODAY(),2)+1,tbl_chests[datetime],"&lt;"&amp;TODAY()-WEEKDAY(TODAY(),2)+8)))</f>
        <v>0</v>
      </c>
      <c r="X102" s="36">
        <f ca="1">IF($A102="","",IF(X$1="","",COUNTIFS(tbl_chests[from],$A102,tbl_chests[legalized],X$1,tbl_chests[datetime],"&gt;="&amp;TODAY()-WEEKDAY(TODAY(),2)+1,tbl_chests[datetime],"&lt;"&amp;TODAY()-WEEKDAY(TODAY(),2)+8)))</f>
        <v>0</v>
      </c>
      <c r="Y102" s="36">
        <f ca="1">IF($A102="","",IF(Y$1="","",COUNTIFS(tbl_chests[from],$A102,tbl_chests[legalized],Y$1,tbl_chests[datetime],"&gt;="&amp;TODAY()-WEEKDAY(TODAY(),2)+1,tbl_chests[datetime],"&lt;"&amp;TODAY()-WEEKDAY(TODAY(),2)+8)))</f>
        <v>0</v>
      </c>
      <c r="Z102" s="36">
        <f ca="1">IF($A102="","",IF(Z$1="","",COUNTIFS(tbl_chests[from],$A102,tbl_chests[legalized],Z$1,tbl_chests[datetime],"&gt;="&amp;TODAY()-WEEKDAY(TODAY(),2)+1,tbl_chests[datetime],"&lt;"&amp;TODAY()-WEEKDAY(TODAY(),2)+8)))</f>
        <v>0</v>
      </c>
      <c r="AA102" s="36">
        <f ca="1">IF($A102="","",IF(AA$1="","",COUNTIFS(tbl_chests[from],$A102,tbl_chests[legalized],AA$1,tbl_chests[datetime],"&gt;="&amp;TODAY()-WEEKDAY(TODAY(),2)+1,tbl_chests[datetime],"&lt;"&amp;TODAY()-WEEKDAY(TODAY(),2)+8)))</f>
        <v>0</v>
      </c>
      <c r="AB102" s="36">
        <f ca="1">IF($A102="","",IF(AB$1="","",COUNTIFS(tbl_chests[from],$A102,tbl_chests[legalized],AB$1,tbl_chests[datetime],"&gt;="&amp;TODAY()-WEEKDAY(TODAY(),2)+1,tbl_chests[datetime],"&lt;"&amp;TODAY()-WEEKDAY(TODAY(),2)+8)))</f>
        <v>0</v>
      </c>
      <c r="AC102" s="36">
        <f ca="1">IF($A102="","",IF(AC$1="","",COUNTIFS(tbl_chests[from],$A102,tbl_chests[legalized],AC$1,tbl_chests[datetime],"&gt;="&amp;TODAY()-WEEKDAY(TODAY(),2)+1,tbl_chests[datetime],"&lt;"&amp;TODAY()-WEEKDAY(TODAY(),2)+8)))</f>
        <v>0</v>
      </c>
      <c r="AD102" s="36">
        <f ca="1">IF($A102="","",IF(AD$1="","",COUNTIFS(tbl_chests[from],$A102,tbl_chests[legalized],AD$1,tbl_chests[datetime],"&gt;="&amp;TODAY()-WEEKDAY(TODAY(),2)+1,tbl_chests[datetime],"&lt;"&amp;TODAY()-WEEKDAY(TODAY(),2)+8)))</f>
        <v>0</v>
      </c>
      <c r="AE102" s="36">
        <f ca="1">IF($A102="","",IF(AE$1="","",COUNTIFS(tbl_chests[from],$A102,tbl_chests[legalized],AE$1,tbl_chests[datetime],"&gt;="&amp;TODAY()-WEEKDAY(TODAY(),2)+1,tbl_chests[datetime],"&lt;"&amp;TODAY()-WEEKDAY(TODAY(),2)+8)))</f>
        <v>0</v>
      </c>
      <c r="AF102" s="36">
        <f ca="1">IF($A102="","",IF(AF$1="","",COUNTIFS(tbl_chests[from],$A102,tbl_chests[legalized],AF$1,tbl_chests[datetime],"&gt;="&amp;TODAY()-WEEKDAY(TODAY(),2)+1,tbl_chests[datetime],"&lt;"&amp;TODAY()-WEEKDAY(TODAY(),2)+8)))</f>
        <v>0</v>
      </c>
      <c r="AG102" s="36">
        <f ca="1">IF($A102="","",IF(AG$1="","",COUNTIFS(tbl_chests[from],$A102,tbl_chests[legalized],AG$1,tbl_chests[datetime],"&gt;="&amp;TODAY()-WEEKDAY(TODAY(),2)+1,tbl_chests[datetime],"&lt;"&amp;TODAY()-WEEKDAY(TODAY(),2)+8)))</f>
        <v>0</v>
      </c>
      <c r="AH102" s="36">
        <f ca="1">IF($A102="","",IF(AH$1="","",COUNTIFS(tbl_chests[from],$A102,tbl_chests[legalized],AH$1,tbl_chests[datetime],"&gt;="&amp;TODAY()-WEEKDAY(TODAY(),2)+1,tbl_chests[datetime],"&lt;"&amp;TODAY()-WEEKDAY(TODAY(),2)+8)))</f>
        <v>0</v>
      </c>
      <c r="AI102" s="36">
        <f ca="1">IF($A102="","",IF(AI$1="","",COUNTIFS(tbl_chests[from],$A102,tbl_chests[legalized],AI$1,tbl_chests[datetime],"&gt;="&amp;TODAY()-WEEKDAY(TODAY(),2)+1,tbl_chests[datetime],"&lt;"&amp;TODAY()-WEEKDAY(TODAY(),2)+8)))</f>
        <v>0</v>
      </c>
      <c r="AJ102" s="36">
        <f ca="1">IF($A102="","",IF(AJ$1="","",COUNTIFS(tbl_chests[from],$A102,tbl_chests[legalized],AJ$1,tbl_chests[datetime],"&gt;="&amp;TODAY()-WEEKDAY(TODAY(),2)+1,tbl_chests[datetime],"&lt;"&amp;TODAY()-WEEKDAY(TODAY(),2)+8)))</f>
        <v>0</v>
      </c>
      <c r="AK102" s="36">
        <f ca="1">IF($A102="","",IF(AK$1="","",COUNTIFS(tbl_chests[from],$A102,tbl_chests[legalized],AK$1,tbl_chests[datetime],"&gt;="&amp;TODAY()-WEEKDAY(TODAY(),2)+1,tbl_chests[datetime],"&lt;"&amp;TODAY()-WEEKDAY(TODAY(),2)+8)))</f>
        <v>0</v>
      </c>
      <c r="AL102" s="36">
        <f ca="1">IF($A102="","",IF(AL$1="","",COUNTIFS(tbl_chests[from],$A102,tbl_chests[legalized],AL$1,tbl_chests[datetime],"&gt;="&amp;TODAY()-WEEKDAY(TODAY(),2)+1,tbl_chests[datetime],"&lt;"&amp;TODAY()-WEEKDAY(TODAY(),2)+8)))</f>
        <v>0</v>
      </c>
      <c r="AM102" s="37">
        <f ca="1">IF($A102="","",IF(AM$1="","",COUNTIFS(tbl_chests[from],$A102,tbl_chests[legalized],AM$1,tbl_chests[datetime],"&gt;="&amp;TODAY()-WEEKDAY(TODAY(),2)+1,tbl_chests[datetime],"&lt;"&amp;TODAY()-WEEKDAY(TODAY(),2)+8)))</f>
        <v>0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 spans="1:67" ht="15.75" customHeight="1" x14ac:dyDescent="0.25">
      <c r="A103" s="34">
        <f>chests_counter!$H100</f>
        <v>0</v>
      </c>
      <c r="B103" s="35" cm="1">
        <f t="array" aca="1" ref="B103" ca="1">IF(A103&lt;&gt;"", SUMPRODUCT(($C$2:$AM$2&lt;&gt;0)*(C103:AM103&lt;&gt;0)*($C$2:$AM$2)*(C103:AM103)), "")</f>
        <v>0</v>
      </c>
      <c r="C103" s="36">
        <f ca="1">IF($A103="","",IF(C$1="","",COUNTIFS(tbl_chests[from],$A103,tbl_chests[legalized],C$1,tbl_chests[datetime],"&gt;="&amp;TODAY()-WEEKDAY(TODAY(),2)+1,tbl_chests[datetime],"&lt;"&amp;TODAY()-WEEKDAY(TODAY(),2)+8)))</f>
        <v>0</v>
      </c>
      <c r="D103" s="36">
        <f ca="1">IF($A103="","",IF(D$1="","",COUNTIFS(tbl_chests[from],$A103,tbl_chests[legalized],D$1,tbl_chests[datetime],"&gt;="&amp;TODAY()-WEEKDAY(TODAY(),2)+1,tbl_chests[datetime],"&lt;"&amp;TODAY()-WEEKDAY(TODAY(),2)+8)))</f>
        <v>0</v>
      </c>
      <c r="E103" s="36">
        <f ca="1">IF($A103="","",IF(E$1="","",COUNTIFS(tbl_chests[from],$A103,tbl_chests[legalized],E$1,tbl_chests[datetime],"&gt;="&amp;TODAY()-WEEKDAY(TODAY(),2)+1,tbl_chests[datetime],"&lt;"&amp;TODAY()-WEEKDAY(TODAY(),2)+8)))</f>
        <v>0</v>
      </c>
      <c r="F103" s="36">
        <f ca="1">IF($A103="","",IF(F$1="","",COUNTIFS(tbl_chests[from],$A103,tbl_chests[legalized],F$1,tbl_chests[datetime],"&gt;="&amp;TODAY()-WEEKDAY(TODAY(),2)+1,tbl_chests[datetime],"&lt;"&amp;TODAY()-WEEKDAY(TODAY(),2)+8)))</f>
        <v>0</v>
      </c>
      <c r="G103" s="36">
        <f ca="1">IF($A103="","",IF(G$1="","",COUNTIFS(tbl_chests[from],$A103,tbl_chests[legalized],G$1,tbl_chests[datetime],"&gt;="&amp;TODAY()-WEEKDAY(TODAY(),2)+1,tbl_chests[datetime],"&lt;"&amp;TODAY()-WEEKDAY(TODAY(),2)+8)))</f>
        <v>0</v>
      </c>
      <c r="H103" s="36">
        <f ca="1">IF($A103="","",IF(H$1="","",COUNTIFS(tbl_chests[from],$A103,tbl_chests[legalized],H$1,tbl_chests[datetime],"&gt;="&amp;TODAY()-WEEKDAY(TODAY(),2)+1,tbl_chests[datetime],"&lt;"&amp;TODAY()-WEEKDAY(TODAY(),2)+8)))</f>
        <v>0</v>
      </c>
      <c r="I103" s="36">
        <f ca="1">IF($A103="","",IF(I$1="","",COUNTIFS(tbl_chests[from],$A103,tbl_chests[legalized],I$1,tbl_chests[datetime],"&gt;="&amp;TODAY()-WEEKDAY(TODAY(),2)+1,tbl_chests[datetime],"&lt;"&amp;TODAY()-WEEKDAY(TODAY(),2)+8)))</f>
        <v>0</v>
      </c>
      <c r="J103" s="36">
        <f ca="1">IF($A103="","",IF(J$1="","",COUNTIFS(tbl_chests[from],$A103,tbl_chests[legalized],J$1,tbl_chests[datetime],"&gt;="&amp;TODAY()-WEEKDAY(TODAY(),2)+1,tbl_chests[datetime],"&lt;"&amp;TODAY()-WEEKDAY(TODAY(),2)+8)))</f>
        <v>0</v>
      </c>
      <c r="K103" s="36">
        <f ca="1">IF($A103="","",IF(K$1="","",COUNTIFS(tbl_chests[from],$A103,tbl_chests[legalized],K$1,tbl_chests[datetime],"&gt;="&amp;TODAY()-WEEKDAY(TODAY(),2)+1,tbl_chests[datetime],"&lt;"&amp;TODAY()-WEEKDAY(TODAY(),2)+8)))</f>
        <v>0</v>
      </c>
      <c r="L103" s="36">
        <f ca="1">IF($A103="","",IF(L$1="","",COUNTIFS(tbl_chests[from],$A103,tbl_chests[legalized],L$1,tbl_chests[datetime],"&gt;="&amp;TODAY()-WEEKDAY(TODAY(),2)+1,tbl_chests[datetime],"&lt;"&amp;TODAY()-WEEKDAY(TODAY(),2)+8)))</f>
        <v>0</v>
      </c>
      <c r="M103" s="36">
        <f ca="1">IF($A103="","",IF(M$1="","",COUNTIFS(tbl_chests[from],$A103,tbl_chests[legalized],M$1,tbl_chests[datetime],"&gt;="&amp;TODAY()-WEEKDAY(TODAY(),2)+1,tbl_chests[datetime],"&lt;"&amp;TODAY()-WEEKDAY(TODAY(),2)+8)))</f>
        <v>0</v>
      </c>
      <c r="N103" s="36">
        <f ca="1">IF($A103="","",IF(N$1="","",COUNTIFS(tbl_chests[from],$A103,tbl_chests[legalized],N$1,tbl_chests[datetime],"&gt;="&amp;TODAY()-WEEKDAY(TODAY(),2)+1,tbl_chests[datetime],"&lt;"&amp;TODAY()-WEEKDAY(TODAY(),2)+8)))</f>
        <v>0</v>
      </c>
      <c r="O103" s="36">
        <f ca="1">IF($A103="","",IF(O$1="","",COUNTIFS(tbl_chests[from],$A103,tbl_chests[legalized],O$1,tbl_chests[datetime],"&gt;="&amp;TODAY()-WEEKDAY(TODAY(),2)+1,tbl_chests[datetime],"&lt;"&amp;TODAY()-WEEKDAY(TODAY(),2)+8)))</f>
        <v>0</v>
      </c>
      <c r="P103" s="36">
        <f ca="1">IF($A103="","",IF(P$1="","",COUNTIFS(tbl_chests[from],$A103,tbl_chests[legalized],P$1,tbl_chests[datetime],"&gt;="&amp;TODAY()-WEEKDAY(TODAY(),2)+1,tbl_chests[datetime],"&lt;"&amp;TODAY()-WEEKDAY(TODAY(),2)+8)))</f>
        <v>0</v>
      </c>
      <c r="Q103" s="36">
        <f ca="1">IF($A103="","",IF(Q$1="","",COUNTIFS(tbl_chests[from],$A103,tbl_chests[legalized],Q$1,tbl_chests[datetime],"&gt;="&amp;TODAY()-WEEKDAY(TODAY(),2)+1,tbl_chests[datetime],"&lt;"&amp;TODAY()-WEEKDAY(TODAY(),2)+8)))</f>
        <v>0</v>
      </c>
      <c r="R103" s="36">
        <f ca="1">IF($A103="","",IF(R$1="","",COUNTIFS(tbl_chests[from],$A103,tbl_chests[legalized],R$1,tbl_chests[datetime],"&gt;="&amp;TODAY()-WEEKDAY(TODAY(),2)+1,tbl_chests[datetime],"&lt;"&amp;TODAY()-WEEKDAY(TODAY(),2)+8)))</f>
        <v>0</v>
      </c>
      <c r="S103" s="36">
        <f ca="1">IF($A103="","",IF(S$1="","",COUNTIFS(tbl_chests[from],$A103,tbl_chests[legalized],S$1,tbl_chests[datetime],"&gt;="&amp;TODAY()-WEEKDAY(TODAY(),2)+1,tbl_chests[datetime],"&lt;"&amp;TODAY()-WEEKDAY(TODAY(),2)+8)))</f>
        <v>0</v>
      </c>
      <c r="T103" s="36">
        <f ca="1">IF($A103="","",IF(T$1="","",COUNTIFS(tbl_chests[from],$A103,tbl_chests[legalized],T$1,tbl_chests[datetime],"&gt;="&amp;TODAY()-WEEKDAY(TODAY(),2)+1,tbl_chests[datetime],"&lt;"&amp;TODAY()-WEEKDAY(TODAY(),2)+8)))</f>
        <v>0</v>
      </c>
      <c r="U103" s="36">
        <f ca="1">IF($A103="","",IF(U$1="","",COUNTIFS(tbl_chests[from],$A103,tbl_chests[legalized],U$1,tbl_chests[datetime],"&gt;="&amp;TODAY()-WEEKDAY(TODAY(),2)+1,tbl_chests[datetime],"&lt;"&amp;TODAY()-WEEKDAY(TODAY(),2)+8)))</f>
        <v>0</v>
      </c>
      <c r="V103" s="36">
        <f ca="1">IF($A103="","",IF(V$1="","",COUNTIFS(tbl_chests[from],$A103,tbl_chests[legalized],V$1,tbl_chests[datetime],"&gt;="&amp;TODAY()-WEEKDAY(TODAY(),2)+1,tbl_chests[datetime],"&lt;"&amp;TODAY()-WEEKDAY(TODAY(),2)+8)))</f>
        <v>0</v>
      </c>
      <c r="W103" s="36">
        <f ca="1">IF($A103="","",IF(W$1="","",COUNTIFS(tbl_chests[from],$A103,tbl_chests[legalized],W$1,tbl_chests[datetime],"&gt;="&amp;TODAY()-WEEKDAY(TODAY(),2)+1,tbl_chests[datetime],"&lt;"&amp;TODAY()-WEEKDAY(TODAY(),2)+8)))</f>
        <v>0</v>
      </c>
      <c r="X103" s="36">
        <f ca="1">IF($A103="","",IF(X$1="","",COUNTIFS(tbl_chests[from],$A103,tbl_chests[legalized],X$1,tbl_chests[datetime],"&gt;="&amp;TODAY()-WEEKDAY(TODAY(),2)+1,tbl_chests[datetime],"&lt;"&amp;TODAY()-WEEKDAY(TODAY(),2)+8)))</f>
        <v>0</v>
      </c>
      <c r="Y103" s="36">
        <f ca="1">IF($A103="","",IF(Y$1="","",COUNTIFS(tbl_chests[from],$A103,tbl_chests[legalized],Y$1,tbl_chests[datetime],"&gt;="&amp;TODAY()-WEEKDAY(TODAY(),2)+1,tbl_chests[datetime],"&lt;"&amp;TODAY()-WEEKDAY(TODAY(),2)+8)))</f>
        <v>0</v>
      </c>
      <c r="Z103" s="36">
        <f ca="1">IF($A103="","",IF(Z$1="","",COUNTIFS(tbl_chests[from],$A103,tbl_chests[legalized],Z$1,tbl_chests[datetime],"&gt;="&amp;TODAY()-WEEKDAY(TODAY(),2)+1,tbl_chests[datetime],"&lt;"&amp;TODAY()-WEEKDAY(TODAY(),2)+8)))</f>
        <v>0</v>
      </c>
      <c r="AA103" s="36">
        <f ca="1">IF($A103="","",IF(AA$1="","",COUNTIFS(tbl_chests[from],$A103,tbl_chests[legalized],AA$1,tbl_chests[datetime],"&gt;="&amp;TODAY()-WEEKDAY(TODAY(),2)+1,tbl_chests[datetime],"&lt;"&amp;TODAY()-WEEKDAY(TODAY(),2)+8)))</f>
        <v>0</v>
      </c>
      <c r="AB103" s="36">
        <f ca="1">IF($A103="","",IF(AB$1="","",COUNTIFS(tbl_chests[from],$A103,tbl_chests[legalized],AB$1,tbl_chests[datetime],"&gt;="&amp;TODAY()-WEEKDAY(TODAY(),2)+1,tbl_chests[datetime],"&lt;"&amp;TODAY()-WEEKDAY(TODAY(),2)+8)))</f>
        <v>0</v>
      </c>
      <c r="AC103" s="36">
        <f ca="1">IF($A103="","",IF(AC$1="","",COUNTIFS(tbl_chests[from],$A103,tbl_chests[legalized],AC$1,tbl_chests[datetime],"&gt;="&amp;TODAY()-WEEKDAY(TODAY(),2)+1,tbl_chests[datetime],"&lt;"&amp;TODAY()-WEEKDAY(TODAY(),2)+8)))</f>
        <v>0</v>
      </c>
      <c r="AD103" s="36">
        <f ca="1">IF($A103="","",IF(AD$1="","",COUNTIFS(tbl_chests[from],$A103,tbl_chests[legalized],AD$1,tbl_chests[datetime],"&gt;="&amp;TODAY()-WEEKDAY(TODAY(),2)+1,tbl_chests[datetime],"&lt;"&amp;TODAY()-WEEKDAY(TODAY(),2)+8)))</f>
        <v>0</v>
      </c>
      <c r="AE103" s="36">
        <f ca="1">IF($A103="","",IF(AE$1="","",COUNTIFS(tbl_chests[from],$A103,tbl_chests[legalized],AE$1,tbl_chests[datetime],"&gt;="&amp;TODAY()-WEEKDAY(TODAY(),2)+1,tbl_chests[datetime],"&lt;"&amp;TODAY()-WEEKDAY(TODAY(),2)+8)))</f>
        <v>0</v>
      </c>
      <c r="AF103" s="36">
        <f ca="1">IF($A103="","",IF(AF$1="","",COUNTIFS(tbl_chests[from],$A103,tbl_chests[legalized],AF$1,tbl_chests[datetime],"&gt;="&amp;TODAY()-WEEKDAY(TODAY(),2)+1,tbl_chests[datetime],"&lt;"&amp;TODAY()-WEEKDAY(TODAY(),2)+8)))</f>
        <v>0</v>
      </c>
      <c r="AG103" s="36">
        <f ca="1">IF($A103="","",IF(AG$1="","",COUNTIFS(tbl_chests[from],$A103,tbl_chests[legalized],AG$1,tbl_chests[datetime],"&gt;="&amp;TODAY()-WEEKDAY(TODAY(),2)+1,tbl_chests[datetime],"&lt;"&amp;TODAY()-WEEKDAY(TODAY(),2)+8)))</f>
        <v>0</v>
      </c>
      <c r="AH103" s="36">
        <f ca="1">IF($A103="","",IF(AH$1="","",COUNTIFS(tbl_chests[from],$A103,tbl_chests[legalized],AH$1,tbl_chests[datetime],"&gt;="&amp;TODAY()-WEEKDAY(TODAY(),2)+1,tbl_chests[datetime],"&lt;"&amp;TODAY()-WEEKDAY(TODAY(),2)+8)))</f>
        <v>0</v>
      </c>
      <c r="AI103" s="36">
        <f ca="1">IF($A103="","",IF(AI$1="","",COUNTIFS(tbl_chests[from],$A103,tbl_chests[legalized],AI$1,tbl_chests[datetime],"&gt;="&amp;TODAY()-WEEKDAY(TODAY(),2)+1,tbl_chests[datetime],"&lt;"&amp;TODAY()-WEEKDAY(TODAY(),2)+8)))</f>
        <v>0</v>
      </c>
      <c r="AJ103" s="36">
        <f ca="1">IF($A103="","",IF(AJ$1="","",COUNTIFS(tbl_chests[from],$A103,tbl_chests[legalized],AJ$1,tbl_chests[datetime],"&gt;="&amp;TODAY()-WEEKDAY(TODAY(),2)+1,tbl_chests[datetime],"&lt;"&amp;TODAY()-WEEKDAY(TODAY(),2)+8)))</f>
        <v>0</v>
      </c>
      <c r="AK103" s="36">
        <f ca="1">IF($A103="","",IF(AK$1="","",COUNTIFS(tbl_chests[from],$A103,tbl_chests[legalized],AK$1,tbl_chests[datetime],"&gt;="&amp;TODAY()-WEEKDAY(TODAY(),2)+1,tbl_chests[datetime],"&lt;"&amp;TODAY()-WEEKDAY(TODAY(),2)+8)))</f>
        <v>0</v>
      </c>
      <c r="AL103" s="36">
        <f ca="1">IF($A103="","",IF(AL$1="","",COUNTIFS(tbl_chests[from],$A103,tbl_chests[legalized],AL$1,tbl_chests[datetime],"&gt;="&amp;TODAY()-WEEKDAY(TODAY(),2)+1,tbl_chests[datetime],"&lt;"&amp;TODAY()-WEEKDAY(TODAY(),2)+8)))</f>
        <v>0</v>
      </c>
      <c r="AM103" s="37">
        <f ca="1">IF($A103="","",IF(AM$1="","",COUNTIFS(tbl_chests[from],$A103,tbl_chests[legalized],AM$1,tbl_chests[datetime],"&gt;="&amp;TODAY()-WEEKDAY(TODAY(),2)+1,tbl_chests[datetime],"&lt;"&amp;TODAY()-WEEKDAY(TODAY(),2)+8)))</f>
        <v>0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 spans="1:67" ht="15.75" customHeight="1" x14ac:dyDescent="0.25">
      <c r="A104" s="34">
        <f>chests_counter!$H101</f>
        <v>0</v>
      </c>
      <c r="B104" s="35" cm="1">
        <f t="array" aca="1" ref="B104" ca="1">IF(A104&lt;&gt;"", SUMPRODUCT(($C$2:$AM$2&lt;&gt;0)*(C104:AM104&lt;&gt;0)*($C$2:$AM$2)*(C104:AM104)), "")</f>
        <v>0</v>
      </c>
      <c r="C104" s="36">
        <f ca="1">IF($A104="","",IF(C$1="","",COUNTIFS(tbl_chests[from],$A104,tbl_chests[legalized],C$1,tbl_chests[datetime],"&gt;="&amp;TODAY()-WEEKDAY(TODAY(),2)+1,tbl_chests[datetime],"&lt;"&amp;TODAY()-WEEKDAY(TODAY(),2)+8)))</f>
        <v>0</v>
      </c>
      <c r="D104" s="36">
        <f ca="1">IF($A104="","",IF(D$1="","",COUNTIFS(tbl_chests[from],$A104,tbl_chests[legalized],D$1,tbl_chests[datetime],"&gt;="&amp;TODAY()-WEEKDAY(TODAY(),2)+1,tbl_chests[datetime],"&lt;"&amp;TODAY()-WEEKDAY(TODAY(),2)+8)))</f>
        <v>0</v>
      </c>
      <c r="E104" s="36">
        <f ca="1">IF($A104="","",IF(E$1="","",COUNTIFS(tbl_chests[from],$A104,tbl_chests[legalized],E$1,tbl_chests[datetime],"&gt;="&amp;TODAY()-WEEKDAY(TODAY(),2)+1,tbl_chests[datetime],"&lt;"&amp;TODAY()-WEEKDAY(TODAY(),2)+8)))</f>
        <v>0</v>
      </c>
      <c r="F104" s="36">
        <f ca="1">IF($A104="","",IF(F$1="","",COUNTIFS(tbl_chests[from],$A104,tbl_chests[legalized],F$1,tbl_chests[datetime],"&gt;="&amp;TODAY()-WEEKDAY(TODAY(),2)+1,tbl_chests[datetime],"&lt;"&amp;TODAY()-WEEKDAY(TODAY(),2)+8)))</f>
        <v>0</v>
      </c>
      <c r="G104" s="36">
        <f ca="1">IF($A104="","",IF(G$1="","",COUNTIFS(tbl_chests[from],$A104,tbl_chests[legalized],G$1,tbl_chests[datetime],"&gt;="&amp;TODAY()-WEEKDAY(TODAY(),2)+1,tbl_chests[datetime],"&lt;"&amp;TODAY()-WEEKDAY(TODAY(),2)+8)))</f>
        <v>0</v>
      </c>
      <c r="H104" s="36">
        <f ca="1">IF($A104="","",IF(H$1="","",COUNTIFS(tbl_chests[from],$A104,tbl_chests[legalized],H$1,tbl_chests[datetime],"&gt;="&amp;TODAY()-WEEKDAY(TODAY(),2)+1,tbl_chests[datetime],"&lt;"&amp;TODAY()-WEEKDAY(TODAY(),2)+8)))</f>
        <v>0</v>
      </c>
      <c r="I104" s="36">
        <f ca="1">IF($A104="","",IF(I$1="","",COUNTIFS(tbl_chests[from],$A104,tbl_chests[legalized],I$1,tbl_chests[datetime],"&gt;="&amp;TODAY()-WEEKDAY(TODAY(),2)+1,tbl_chests[datetime],"&lt;"&amp;TODAY()-WEEKDAY(TODAY(),2)+8)))</f>
        <v>0</v>
      </c>
      <c r="J104" s="36">
        <f ca="1">IF($A104="","",IF(J$1="","",COUNTIFS(tbl_chests[from],$A104,tbl_chests[legalized],J$1,tbl_chests[datetime],"&gt;="&amp;TODAY()-WEEKDAY(TODAY(),2)+1,tbl_chests[datetime],"&lt;"&amp;TODAY()-WEEKDAY(TODAY(),2)+8)))</f>
        <v>0</v>
      </c>
      <c r="K104" s="36">
        <f ca="1">IF($A104="","",IF(K$1="","",COUNTIFS(tbl_chests[from],$A104,tbl_chests[legalized],K$1,tbl_chests[datetime],"&gt;="&amp;TODAY()-WEEKDAY(TODAY(),2)+1,tbl_chests[datetime],"&lt;"&amp;TODAY()-WEEKDAY(TODAY(),2)+8)))</f>
        <v>0</v>
      </c>
      <c r="L104" s="36">
        <f ca="1">IF($A104="","",IF(L$1="","",COUNTIFS(tbl_chests[from],$A104,tbl_chests[legalized],L$1,tbl_chests[datetime],"&gt;="&amp;TODAY()-WEEKDAY(TODAY(),2)+1,tbl_chests[datetime],"&lt;"&amp;TODAY()-WEEKDAY(TODAY(),2)+8)))</f>
        <v>0</v>
      </c>
      <c r="M104" s="36">
        <f ca="1">IF($A104="","",IF(M$1="","",COUNTIFS(tbl_chests[from],$A104,tbl_chests[legalized],M$1,tbl_chests[datetime],"&gt;="&amp;TODAY()-WEEKDAY(TODAY(),2)+1,tbl_chests[datetime],"&lt;"&amp;TODAY()-WEEKDAY(TODAY(),2)+8)))</f>
        <v>0</v>
      </c>
      <c r="N104" s="36">
        <f ca="1">IF($A104="","",IF(N$1="","",COUNTIFS(tbl_chests[from],$A104,tbl_chests[legalized],N$1,tbl_chests[datetime],"&gt;="&amp;TODAY()-WEEKDAY(TODAY(),2)+1,tbl_chests[datetime],"&lt;"&amp;TODAY()-WEEKDAY(TODAY(),2)+8)))</f>
        <v>0</v>
      </c>
      <c r="O104" s="36">
        <f ca="1">IF($A104="","",IF(O$1="","",COUNTIFS(tbl_chests[from],$A104,tbl_chests[legalized],O$1,tbl_chests[datetime],"&gt;="&amp;TODAY()-WEEKDAY(TODAY(),2)+1,tbl_chests[datetime],"&lt;"&amp;TODAY()-WEEKDAY(TODAY(),2)+8)))</f>
        <v>0</v>
      </c>
      <c r="P104" s="36">
        <f ca="1">IF($A104="","",IF(P$1="","",COUNTIFS(tbl_chests[from],$A104,tbl_chests[legalized],P$1,tbl_chests[datetime],"&gt;="&amp;TODAY()-WEEKDAY(TODAY(),2)+1,tbl_chests[datetime],"&lt;"&amp;TODAY()-WEEKDAY(TODAY(),2)+8)))</f>
        <v>0</v>
      </c>
      <c r="Q104" s="36">
        <f ca="1">IF($A104="","",IF(Q$1="","",COUNTIFS(tbl_chests[from],$A104,tbl_chests[legalized],Q$1,tbl_chests[datetime],"&gt;="&amp;TODAY()-WEEKDAY(TODAY(),2)+1,tbl_chests[datetime],"&lt;"&amp;TODAY()-WEEKDAY(TODAY(),2)+8)))</f>
        <v>0</v>
      </c>
      <c r="R104" s="36">
        <f ca="1">IF($A104="","",IF(R$1="","",COUNTIFS(tbl_chests[from],$A104,tbl_chests[legalized],R$1,tbl_chests[datetime],"&gt;="&amp;TODAY()-WEEKDAY(TODAY(),2)+1,tbl_chests[datetime],"&lt;"&amp;TODAY()-WEEKDAY(TODAY(),2)+8)))</f>
        <v>0</v>
      </c>
      <c r="S104" s="36">
        <f ca="1">IF($A104="","",IF(S$1="","",COUNTIFS(tbl_chests[from],$A104,tbl_chests[legalized],S$1,tbl_chests[datetime],"&gt;="&amp;TODAY()-WEEKDAY(TODAY(),2)+1,tbl_chests[datetime],"&lt;"&amp;TODAY()-WEEKDAY(TODAY(),2)+8)))</f>
        <v>0</v>
      </c>
      <c r="T104" s="36">
        <f ca="1">IF($A104="","",IF(T$1="","",COUNTIFS(tbl_chests[from],$A104,tbl_chests[legalized],T$1,tbl_chests[datetime],"&gt;="&amp;TODAY()-WEEKDAY(TODAY(),2)+1,tbl_chests[datetime],"&lt;"&amp;TODAY()-WEEKDAY(TODAY(),2)+8)))</f>
        <v>0</v>
      </c>
      <c r="U104" s="36">
        <f ca="1">IF($A104="","",IF(U$1="","",COUNTIFS(tbl_chests[from],$A104,tbl_chests[legalized],U$1,tbl_chests[datetime],"&gt;="&amp;TODAY()-WEEKDAY(TODAY(),2)+1,tbl_chests[datetime],"&lt;"&amp;TODAY()-WEEKDAY(TODAY(),2)+8)))</f>
        <v>0</v>
      </c>
      <c r="V104" s="36">
        <f ca="1">IF($A104="","",IF(V$1="","",COUNTIFS(tbl_chests[from],$A104,tbl_chests[legalized],V$1,tbl_chests[datetime],"&gt;="&amp;TODAY()-WEEKDAY(TODAY(),2)+1,tbl_chests[datetime],"&lt;"&amp;TODAY()-WEEKDAY(TODAY(),2)+8)))</f>
        <v>0</v>
      </c>
      <c r="W104" s="36">
        <f ca="1">IF($A104="","",IF(W$1="","",COUNTIFS(tbl_chests[from],$A104,tbl_chests[legalized],W$1,tbl_chests[datetime],"&gt;="&amp;TODAY()-WEEKDAY(TODAY(),2)+1,tbl_chests[datetime],"&lt;"&amp;TODAY()-WEEKDAY(TODAY(),2)+8)))</f>
        <v>0</v>
      </c>
      <c r="X104" s="36">
        <f ca="1">IF($A104="","",IF(X$1="","",COUNTIFS(tbl_chests[from],$A104,tbl_chests[legalized],X$1,tbl_chests[datetime],"&gt;="&amp;TODAY()-WEEKDAY(TODAY(),2)+1,tbl_chests[datetime],"&lt;"&amp;TODAY()-WEEKDAY(TODAY(),2)+8)))</f>
        <v>0</v>
      </c>
      <c r="Y104" s="36">
        <f ca="1">IF($A104="","",IF(Y$1="","",COUNTIFS(tbl_chests[from],$A104,tbl_chests[legalized],Y$1,tbl_chests[datetime],"&gt;="&amp;TODAY()-WEEKDAY(TODAY(),2)+1,tbl_chests[datetime],"&lt;"&amp;TODAY()-WEEKDAY(TODAY(),2)+8)))</f>
        <v>0</v>
      </c>
      <c r="Z104" s="36">
        <f ca="1">IF($A104="","",IF(Z$1="","",COUNTIFS(tbl_chests[from],$A104,tbl_chests[legalized],Z$1,tbl_chests[datetime],"&gt;="&amp;TODAY()-WEEKDAY(TODAY(),2)+1,tbl_chests[datetime],"&lt;"&amp;TODAY()-WEEKDAY(TODAY(),2)+8)))</f>
        <v>0</v>
      </c>
      <c r="AA104" s="36">
        <f ca="1">IF($A104="","",IF(AA$1="","",COUNTIFS(tbl_chests[from],$A104,tbl_chests[legalized],AA$1,tbl_chests[datetime],"&gt;="&amp;TODAY()-WEEKDAY(TODAY(),2)+1,tbl_chests[datetime],"&lt;"&amp;TODAY()-WEEKDAY(TODAY(),2)+8)))</f>
        <v>0</v>
      </c>
      <c r="AB104" s="36">
        <f ca="1">IF($A104="","",IF(AB$1="","",COUNTIFS(tbl_chests[from],$A104,tbl_chests[legalized],AB$1,tbl_chests[datetime],"&gt;="&amp;TODAY()-WEEKDAY(TODAY(),2)+1,tbl_chests[datetime],"&lt;"&amp;TODAY()-WEEKDAY(TODAY(),2)+8)))</f>
        <v>0</v>
      </c>
      <c r="AC104" s="36">
        <f ca="1">IF($A104="","",IF(AC$1="","",COUNTIFS(tbl_chests[from],$A104,tbl_chests[legalized],AC$1,tbl_chests[datetime],"&gt;="&amp;TODAY()-WEEKDAY(TODAY(),2)+1,tbl_chests[datetime],"&lt;"&amp;TODAY()-WEEKDAY(TODAY(),2)+8)))</f>
        <v>0</v>
      </c>
      <c r="AD104" s="36">
        <f ca="1">IF($A104="","",IF(AD$1="","",COUNTIFS(tbl_chests[from],$A104,tbl_chests[legalized],AD$1,tbl_chests[datetime],"&gt;="&amp;TODAY()-WEEKDAY(TODAY(),2)+1,tbl_chests[datetime],"&lt;"&amp;TODAY()-WEEKDAY(TODAY(),2)+8)))</f>
        <v>0</v>
      </c>
      <c r="AE104" s="36">
        <f ca="1">IF($A104="","",IF(AE$1="","",COUNTIFS(tbl_chests[from],$A104,tbl_chests[legalized],AE$1,tbl_chests[datetime],"&gt;="&amp;TODAY()-WEEKDAY(TODAY(),2)+1,tbl_chests[datetime],"&lt;"&amp;TODAY()-WEEKDAY(TODAY(),2)+8)))</f>
        <v>0</v>
      </c>
      <c r="AF104" s="36">
        <f ca="1">IF($A104="","",IF(AF$1="","",COUNTIFS(tbl_chests[from],$A104,tbl_chests[legalized],AF$1,tbl_chests[datetime],"&gt;="&amp;TODAY()-WEEKDAY(TODAY(),2)+1,tbl_chests[datetime],"&lt;"&amp;TODAY()-WEEKDAY(TODAY(),2)+8)))</f>
        <v>0</v>
      </c>
      <c r="AG104" s="36">
        <f ca="1">IF($A104="","",IF(AG$1="","",COUNTIFS(tbl_chests[from],$A104,tbl_chests[legalized],AG$1,tbl_chests[datetime],"&gt;="&amp;TODAY()-WEEKDAY(TODAY(),2)+1,tbl_chests[datetime],"&lt;"&amp;TODAY()-WEEKDAY(TODAY(),2)+8)))</f>
        <v>0</v>
      </c>
      <c r="AH104" s="36">
        <f ca="1">IF($A104="","",IF(AH$1="","",COUNTIFS(tbl_chests[from],$A104,tbl_chests[legalized],AH$1,tbl_chests[datetime],"&gt;="&amp;TODAY()-WEEKDAY(TODAY(),2)+1,tbl_chests[datetime],"&lt;"&amp;TODAY()-WEEKDAY(TODAY(),2)+8)))</f>
        <v>0</v>
      </c>
      <c r="AI104" s="36">
        <f ca="1">IF($A104="","",IF(AI$1="","",COUNTIFS(tbl_chests[from],$A104,tbl_chests[legalized],AI$1,tbl_chests[datetime],"&gt;="&amp;TODAY()-WEEKDAY(TODAY(),2)+1,tbl_chests[datetime],"&lt;"&amp;TODAY()-WEEKDAY(TODAY(),2)+8)))</f>
        <v>0</v>
      </c>
      <c r="AJ104" s="36">
        <f ca="1">IF($A104="","",IF(AJ$1="","",COUNTIFS(tbl_chests[from],$A104,tbl_chests[legalized],AJ$1,tbl_chests[datetime],"&gt;="&amp;TODAY()-WEEKDAY(TODAY(),2)+1,tbl_chests[datetime],"&lt;"&amp;TODAY()-WEEKDAY(TODAY(),2)+8)))</f>
        <v>0</v>
      </c>
      <c r="AK104" s="36">
        <f ca="1">IF($A104="","",IF(AK$1="","",COUNTIFS(tbl_chests[from],$A104,tbl_chests[legalized],AK$1,tbl_chests[datetime],"&gt;="&amp;TODAY()-WEEKDAY(TODAY(),2)+1,tbl_chests[datetime],"&lt;"&amp;TODAY()-WEEKDAY(TODAY(),2)+8)))</f>
        <v>0</v>
      </c>
      <c r="AL104" s="36">
        <f ca="1">IF($A104="","",IF(AL$1="","",COUNTIFS(tbl_chests[from],$A104,tbl_chests[legalized],AL$1,tbl_chests[datetime],"&gt;="&amp;TODAY()-WEEKDAY(TODAY(),2)+1,tbl_chests[datetime],"&lt;"&amp;TODAY()-WEEKDAY(TODAY(),2)+8)))</f>
        <v>0</v>
      </c>
      <c r="AM104" s="37">
        <f ca="1">IF($A104="","",IF(AM$1="","",COUNTIFS(tbl_chests[from],$A104,tbl_chests[legalized],AM$1,tbl_chests[datetime],"&gt;="&amp;TODAY()-WEEKDAY(TODAY(),2)+1,tbl_chests[datetime],"&lt;"&amp;TODAY()-WEEKDAY(TODAY(),2)+8)))</f>
        <v>0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 spans="1:67" ht="15.75" customHeight="1" x14ac:dyDescent="0.25">
      <c r="A105" s="34">
        <f>chests_counter!$H102</f>
        <v>0</v>
      </c>
      <c r="B105" s="35" cm="1">
        <f t="array" aca="1" ref="B105" ca="1">IF(A105&lt;&gt;"", SUMPRODUCT(($C$2:$AM$2&lt;&gt;0)*(C105:AM105&lt;&gt;0)*($C$2:$AM$2)*(C105:AM105)), "")</f>
        <v>0</v>
      </c>
      <c r="C105" s="36">
        <f ca="1">IF($A105="","",IF(C$1="","",COUNTIFS(tbl_chests[from],$A105,tbl_chests[legalized],C$1,tbl_chests[datetime],"&gt;="&amp;TODAY()-WEEKDAY(TODAY(),2)+1,tbl_chests[datetime],"&lt;"&amp;TODAY()-WEEKDAY(TODAY(),2)+8)))</f>
        <v>0</v>
      </c>
      <c r="D105" s="36">
        <f ca="1">IF($A105="","",IF(D$1="","",COUNTIFS(tbl_chests[from],$A105,tbl_chests[legalized],D$1,tbl_chests[datetime],"&gt;="&amp;TODAY()-WEEKDAY(TODAY(),2)+1,tbl_chests[datetime],"&lt;"&amp;TODAY()-WEEKDAY(TODAY(),2)+8)))</f>
        <v>0</v>
      </c>
      <c r="E105" s="36">
        <f ca="1">IF($A105="","",IF(E$1="","",COUNTIFS(tbl_chests[from],$A105,tbl_chests[legalized],E$1,tbl_chests[datetime],"&gt;="&amp;TODAY()-WEEKDAY(TODAY(),2)+1,tbl_chests[datetime],"&lt;"&amp;TODAY()-WEEKDAY(TODAY(),2)+8)))</f>
        <v>0</v>
      </c>
      <c r="F105" s="36">
        <f ca="1">IF($A105="","",IF(F$1="","",COUNTIFS(tbl_chests[from],$A105,tbl_chests[legalized],F$1,tbl_chests[datetime],"&gt;="&amp;TODAY()-WEEKDAY(TODAY(),2)+1,tbl_chests[datetime],"&lt;"&amp;TODAY()-WEEKDAY(TODAY(),2)+8)))</f>
        <v>0</v>
      </c>
      <c r="G105" s="36">
        <f ca="1">IF($A105="","",IF(G$1="","",COUNTIFS(tbl_chests[from],$A105,tbl_chests[legalized],G$1,tbl_chests[datetime],"&gt;="&amp;TODAY()-WEEKDAY(TODAY(),2)+1,tbl_chests[datetime],"&lt;"&amp;TODAY()-WEEKDAY(TODAY(),2)+8)))</f>
        <v>0</v>
      </c>
      <c r="H105" s="36">
        <f ca="1">IF($A105="","",IF(H$1="","",COUNTIFS(tbl_chests[from],$A105,tbl_chests[legalized],H$1,tbl_chests[datetime],"&gt;="&amp;TODAY()-WEEKDAY(TODAY(),2)+1,tbl_chests[datetime],"&lt;"&amp;TODAY()-WEEKDAY(TODAY(),2)+8)))</f>
        <v>0</v>
      </c>
      <c r="I105" s="36">
        <f ca="1">IF($A105="","",IF(I$1="","",COUNTIFS(tbl_chests[from],$A105,tbl_chests[legalized],I$1,tbl_chests[datetime],"&gt;="&amp;TODAY()-WEEKDAY(TODAY(),2)+1,tbl_chests[datetime],"&lt;"&amp;TODAY()-WEEKDAY(TODAY(),2)+8)))</f>
        <v>0</v>
      </c>
      <c r="J105" s="36">
        <f ca="1">IF($A105="","",IF(J$1="","",COUNTIFS(tbl_chests[from],$A105,tbl_chests[legalized],J$1,tbl_chests[datetime],"&gt;="&amp;TODAY()-WEEKDAY(TODAY(),2)+1,tbl_chests[datetime],"&lt;"&amp;TODAY()-WEEKDAY(TODAY(),2)+8)))</f>
        <v>0</v>
      </c>
      <c r="K105" s="36">
        <f ca="1">IF($A105="","",IF(K$1="","",COUNTIFS(tbl_chests[from],$A105,tbl_chests[legalized],K$1,tbl_chests[datetime],"&gt;="&amp;TODAY()-WEEKDAY(TODAY(),2)+1,tbl_chests[datetime],"&lt;"&amp;TODAY()-WEEKDAY(TODAY(),2)+8)))</f>
        <v>0</v>
      </c>
      <c r="L105" s="36">
        <f ca="1">IF($A105="","",IF(L$1="","",COUNTIFS(tbl_chests[from],$A105,tbl_chests[legalized],L$1,tbl_chests[datetime],"&gt;="&amp;TODAY()-WEEKDAY(TODAY(),2)+1,tbl_chests[datetime],"&lt;"&amp;TODAY()-WEEKDAY(TODAY(),2)+8)))</f>
        <v>0</v>
      </c>
      <c r="M105" s="36">
        <f ca="1">IF($A105="","",IF(M$1="","",COUNTIFS(tbl_chests[from],$A105,tbl_chests[legalized],M$1,tbl_chests[datetime],"&gt;="&amp;TODAY()-WEEKDAY(TODAY(),2)+1,tbl_chests[datetime],"&lt;"&amp;TODAY()-WEEKDAY(TODAY(),2)+8)))</f>
        <v>0</v>
      </c>
      <c r="N105" s="36">
        <f ca="1">IF($A105="","",IF(N$1="","",COUNTIFS(tbl_chests[from],$A105,tbl_chests[legalized],N$1,tbl_chests[datetime],"&gt;="&amp;TODAY()-WEEKDAY(TODAY(),2)+1,tbl_chests[datetime],"&lt;"&amp;TODAY()-WEEKDAY(TODAY(),2)+8)))</f>
        <v>0</v>
      </c>
      <c r="O105" s="36">
        <f ca="1">IF($A105="","",IF(O$1="","",COUNTIFS(tbl_chests[from],$A105,tbl_chests[legalized],O$1,tbl_chests[datetime],"&gt;="&amp;TODAY()-WEEKDAY(TODAY(),2)+1,tbl_chests[datetime],"&lt;"&amp;TODAY()-WEEKDAY(TODAY(),2)+8)))</f>
        <v>0</v>
      </c>
      <c r="P105" s="36">
        <f ca="1">IF($A105="","",IF(P$1="","",COUNTIFS(tbl_chests[from],$A105,tbl_chests[legalized],P$1,tbl_chests[datetime],"&gt;="&amp;TODAY()-WEEKDAY(TODAY(),2)+1,tbl_chests[datetime],"&lt;"&amp;TODAY()-WEEKDAY(TODAY(),2)+8)))</f>
        <v>0</v>
      </c>
      <c r="Q105" s="36">
        <f ca="1">IF($A105="","",IF(Q$1="","",COUNTIFS(tbl_chests[from],$A105,tbl_chests[legalized],Q$1,tbl_chests[datetime],"&gt;="&amp;TODAY()-WEEKDAY(TODAY(),2)+1,tbl_chests[datetime],"&lt;"&amp;TODAY()-WEEKDAY(TODAY(),2)+8)))</f>
        <v>0</v>
      </c>
      <c r="R105" s="36">
        <f ca="1">IF($A105="","",IF(R$1="","",COUNTIFS(tbl_chests[from],$A105,tbl_chests[legalized],R$1,tbl_chests[datetime],"&gt;="&amp;TODAY()-WEEKDAY(TODAY(),2)+1,tbl_chests[datetime],"&lt;"&amp;TODAY()-WEEKDAY(TODAY(),2)+8)))</f>
        <v>0</v>
      </c>
      <c r="S105" s="36">
        <f ca="1">IF($A105="","",IF(S$1="","",COUNTIFS(tbl_chests[from],$A105,tbl_chests[legalized],S$1,tbl_chests[datetime],"&gt;="&amp;TODAY()-WEEKDAY(TODAY(),2)+1,tbl_chests[datetime],"&lt;"&amp;TODAY()-WEEKDAY(TODAY(),2)+8)))</f>
        <v>0</v>
      </c>
      <c r="T105" s="36">
        <f ca="1">IF($A105="","",IF(T$1="","",COUNTIFS(tbl_chests[from],$A105,tbl_chests[legalized],T$1,tbl_chests[datetime],"&gt;="&amp;TODAY()-WEEKDAY(TODAY(),2)+1,tbl_chests[datetime],"&lt;"&amp;TODAY()-WEEKDAY(TODAY(),2)+8)))</f>
        <v>0</v>
      </c>
      <c r="U105" s="36">
        <f ca="1">IF($A105="","",IF(U$1="","",COUNTIFS(tbl_chests[from],$A105,tbl_chests[legalized],U$1,tbl_chests[datetime],"&gt;="&amp;TODAY()-WEEKDAY(TODAY(),2)+1,tbl_chests[datetime],"&lt;"&amp;TODAY()-WEEKDAY(TODAY(),2)+8)))</f>
        <v>0</v>
      </c>
      <c r="V105" s="36">
        <f ca="1">IF($A105="","",IF(V$1="","",COUNTIFS(tbl_chests[from],$A105,tbl_chests[legalized],V$1,tbl_chests[datetime],"&gt;="&amp;TODAY()-WEEKDAY(TODAY(),2)+1,tbl_chests[datetime],"&lt;"&amp;TODAY()-WEEKDAY(TODAY(),2)+8)))</f>
        <v>0</v>
      </c>
      <c r="W105" s="36">
        <f ca="1">IF($A105="","",IF(W$1="","",COUNTIFS(tbl_chests[from],$A105,tbl_chests[legalized],W$1,tbl_chests[datetime],"&gt;="&amp;TODAY()-WEEKDAY(TODAY(),2)+1,tbl_chests[datetime],"&lt;"&amp;TODAY()-WEEKDAY(TODAY(),2)+8)))</f>
        <v>0</v>
      </c>
      <c r="X105" s="36">
        <f ca="1">IF($A105="","",IF(X$1="","",COUNTIFS(tbl_chests[from],$A105,tbl_chests[legalized],X$1,tbl_chests[datetime],"&gt;="&amp;TODAY()-WEEKDAY(TODAY(),2)+1,tbl_chests[datetime],"&lt;"&amp;TODAY()-WEEKDAY(TODAY(),2)+8)))</f>
        <v>0</v>
      </c>
      <c r="Y105" s="36">
        <f ca="1">IF($A105="","",IF(Y$1="","",COUNTIFS(tbl_chests[from],$A105,tbl_chests[legalized],Y$1,tbl_chests[datetime],"&gt;="&amp;TODAY()-WEEKDAY(TODAY(),2)+1,tbl_chests[datetime],"&lt;"&amp;TODAY()-WEEKDAY(TODAY(),2)+8)))</f>
        <v>0</v>
      </c>
      <c r="Z105" s="36">
        <f ca="1">IF($A105="","",IF(Z$1="","",COUNTIFS(tbl_chests[from],$A105,tbl_chests[legalized],Z$1,tbl_chests[datetime],"&gt;="&amp;TODAY()-WEEKDAY(TODAY(),2)+1,tbl_chests[datetime],"&lt;"&amp;TODAY()-WEEKDAY(TODAY(),2)+8)))</f>
        <v>0</v>
      </c>
      <c r="AA105" s="36">
        <f ca="1">IF($A105="","",IF(AA$1="","",COUNTIFS(tbl_chests[from],$A105,tbl_chests[legalized],AA$1,tbl_chests[datetime],"&gt;="&amp;TODAY()-WEEKDAY(TODAY(),2)+1,tbl_chests[datetime],"&lt;"&amp;TODAY()-WEEKDAY(TODAY(),2)+8)))</f>
        <v>0</v>
      </c>
      <c r="AB105" s="36">
        <f ca="1">IF($A105="","",IF(AB$1="","",COUNTIFS(tbl_chests[from],$A105,tbl_chests[legalized],AB$1,tbl_chests[datetime],"&gt;="&amp;TODAY()-WEEKDAY(TODAY(),2)+1,tbl_chests[datetime],"&lt;"&amp;TODAY()-WEEKDAY(TODAY(),2)+8)))</f>
        <v>0</v>
      </c>
      <c r="AC105" s="36">
        <f ca="1">IF($A105="","",IF(AC$1="","",COUNTIFS(tbl_chests[from],$A105,tbl_chests[legalized],AC$1,tbl_chests[datetime],"&gt;="&amp;TODAY()-WEEKDAY(TODAY(),2)+1,tbl_chests[datetime],"&lt;"&amp;TODAY()-WEEKDAY(TODAY(),2)+8)))</f>
        <v>0</v>
      </c>
      <c r="AD105" s="36">
        <f ca="1">IF($A105="","",IF(AD$1="","",COUNTIFS(tbl_chests[from],$A105,tbl_chests[legalized],AD$1,tbl_chests[datetime],"&gt;="&amp;TODAY()-WEEKDAY(TODAY(),2)+1,tbl_chests[datetime],"&lt;"&amp;TODAY()-WEEKDAY(TODAY(),2)+8)))</f>
        <v>0</v>
      </c>
      <c r="AE105" s="36">
        <f ca="1">IF($A105="","",IF(AE$1="","",COUNTIFS(tbl_chests[from],$A105,tbl_chests[legalized],AE$1,tbl_chests[datetime],"&gt;="&amp;TODAY()-WEEKDAY(TODAY(),2)+1,tbl_chests[datetime],"&lt;"&amp;TODAY()-WEEKDAY(TODAY(),2)+8)))</f>
        <v>0</v>
      </c>
      <c r="AF105" s="36">
        <f ca="1">IF($A105="","",IF(AF$1="","",COUNTIFS(tbl_chests[from],$A105,tbl_chests[legalized],AF$1,tbl_chests[datetime],"&gt;="&amp;TODAY()-WEEKDAY(TODAY(),2)+1,tbl_chests[datetime],"&lt;"&amp;TODAY()-WEEKDAY(TODAY(),2)+8)))</f>
        <v>0</v>
      </c>
      <c r="AG105" s="36">
        <f ca="1">IF($A105="","",IF(AG$1="","",COUNTIFS(tbl_chests[from],$A105,tbl_chests[legalized],AG$1,tbl_chests[datetime],"&gt;="&amp;TODAY()-WEEKDAY(TODAY(),2)+1,tbl_chests[datetime],"&lt;"&amp;TODAY()-WEEKDAY(TODAY(),2)+8)))</f>
        <v>0</v>
      </c>
      <c r="AH105" s="36">
        <f ca="1">IF($A105="","",IF(AH$1="","",COUNTIFS(tbl_chests[from],$A105,tbl_chests[legalized],AH$1,tbl_chests[datetime],"&gt;="&amp;TODAY()-WEEKDAY(TODAY(),2)+1,tbl_chests[datetime],"&lt;"&amp;TODAY()-WEEKDAY(TODAY(),2)+8)))</f>
        <v>0</v>
      </c>
      <c r="AI105" s="36">
        <f ca="1">IF($A105="","",IF(AI$1="","",COUNTIFS(tbl_chests[from],$A105,tbl_chests[legalized],AI$1,tbl_chests[datetime],"&gt;="&amp;TODAY()-WEEKDAY(TODAY(),2)+1,tbl_chests[datetime],"&lt;"&amp;TODAY()-WEEKDAY(TODAY(),2)+8)))</f>
        <v>0</v>
      </c>
      <c r="AJ105" s="36">
        <f ca="1">IF($A105="","",IF(AJ$1="","",COUNTIFS(tbl_chests[from],$A105,tbl_chests[legalized],AJ$1,tbl_chests[datetime],"&gt;="&amp;TODAY()-WEEKDAY(TODAY(),2)+1,tbl_chests[datetime],"&lt;"&amp;TODAY()-WEEKDAY(TODAY(),2)+8)))</f>
        <v>0</v>
      </c>
      <c r="AK105" s="36">
        <f ca="1">IF($A105="","",IF(AK$1="","",COUNTIFS(tbl_chests[from],$A105,tbl_chests[legalized],AK$1,tbl_chests[datetime],"&gt;="&amp;TODAY()-WEEKDAY(TODAY(),2)+1,tbl_chests[datetime],"&lt;"&amp;TODAY()-WEEKDAY(TODAY(),2)+8)))</f>
        <v>0</v>
      </c>
      <c r="AL105" s="36">
        <f ca="1">IF($A105="","",IF(AL$1="","",COUNTIFS(tbl_chests[from],$A105,tbl_chests[legalized],AL$1,tbl_chests[datetime],"&gt;="&amp;TODAY()-WEEKDAY(TODAY(),2)+1,tbl_chests[datetime],"&lt;"&amp;TODAY()-WEEKDAY(TODAY(),2)+8)))</f>
        <v>0</v>
      </c>
      <c r="AM105" s="37">
        <f ca="1">IF($A105="","",IF(AM$1="","",COUNTIFS(tbl_chests[from],$A105,tbl_chests[legalized],AM$1,tbl_chests[datetime],"&gt;="&amp;TODAY()-WEEKDAY(TODAY(),2)+1,tbl_chests[datetime],"&lt;"&amp;TODAY()-WEEKDAY(TODAY(),2)+8)))</f>
        <v>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 spans="1:67" ht="15.75" customHeight="1" x14ac:dyDescent="0.25">
      <c r="A106" s="34">
        <f>chests_counter!$H103</f>
        <v>0</v>
      </c>
      <c r="B106" s="35" cm="1">
        <f t="array" aca="1" ref="B106" ca="1">IF(A106&lt;&gt;"", SUMPRODUCT(($C$2:$AM$2&lt;&gt;0)*(C106:AM106&lt;&gt;0)*($C$2:$AM$2)*(C106:AM106)), "")</f>
        <v>0</v>
      </c>
      <c r="C106" s="36">
        <f ca="1">IF($A106="","",IF(C$1="","",COUNTIFS(tbl_chests[from],$A106,tbl_chests[legalized],C$1,tbl_chests[datetime],"&gt;="&amp;TODAY()-WEEKDAY(TODAY(),2)+1,tbl_chests[datetime],"&lt;"&amp;TODAY()-WEEKDAY(TODAY(),2)+8)))</f>
        <v>0</v>
      </c>
      <c r="D106" s="36">
        <f ca="1">IF($A106="","",IF(D$1="","",COUNTIFS(tbl_chests[from],$A106,tbl_chests[legalized],D$1,tbl_chests[datetime],"&gt;="&amp;TODAY()-WEEKDAY(TODAY(),2)+1,tbl_chests[datetime],"&lt;"&amp;TODAY()-WEEKDAY(TODAY(),2)+8)))</f>
        <v>0</v>
      </c>
      <c r="E106" s="36">
        <f ca="1">IF($A106="","",IF(E$1="","",COUNTIFS(tbl_chests[from],$A106,tbl_chests[legalized],E$1,tbl_chests[datetime],"&gt;="&amp;TODAY()-WEEKDAY(TODAY(),2)+1,tbl_chests[datetime],"&lt;"&amp;TODAY()-WEEKDAY(TODAY(),2)+8)))</f>
        <v>0</v>
      </c>
      <c r="F106" s="36">
        <f ca="1">IF($A106="","",IF(F$1="","",COUNTIFS(tbl_chests[from],$A106,tbl_chests[legalized],F$1,tbl_chests[datetime],"&gt;="&amp;TODAY()-WEEKDAY(TODAY(),2)+1,tbl_chests[datetime],"&lt;"&amp;TODAY()-WEEKDAY(TODAY(),2)+8)))</f>
        <v>0</v>
      </c>
      <c r="G106" s="36">
        <f ca="1">IF($A106="","",IF(G$1="","",COUNTIFS(tbl_chests[from],$A106,tbl_chests[legalized],G$1,tbl_chests[datetime],"&gt;="&amp;TODAY()-WEEKDAY(TODAY(),2)+1,tbl_chests[datetime],"&lt;"&amp;TODAY()-WEEKDAY(TODAY(),2)+8)))</f>
        <v>0</v>
      </c>
      <c r="H106" s="36">
        <f ca="1">IF($A106="","",IF(H$1="","",COUNTIFS(tbl_chests[from],$A106,tbl_chests[legalized],H$1,tbl_chests[datetime],"&gt;="&amp;TODAY()-WEEKDAY(TODAY(),2)+1,tbl_chests[datetime],"&lt;"&amp;TODAY()-WEEKDAY(TODAY(),2)+8)))</f>
        <v>0</v>
      </c>
      <c r="I106" s="36">
        <f ca="1">IF($A106="","",IF(I$1="","",COUNTIFS(tbl_chests[from],$A106,tbl_chests[legalized],I$1,tbl_chests[datetime],"&gt;="&amp;TODAY()-WEEKDAY(TODAY(),2)+1,tbl_chests[datetime],"&lt;"&amp;TODAY()-WEEKDAY(TODAY(),2)+8)))</f>
        <v>0</v>
      </c>
      <c r="J106" s="36">
        <f ca="1">IF($A106="","",IF(J$1="","",COUNTIFS(tbl_chests[from],$A106,tbl_chests[legalized],J$1,tbl_chests[datetime],"&gt;="&amp;TODAY()-WEEKDAY(TODAY(),2)+1,tbl_chests[datetime],"&lt;"&amp;TODAY()-WEEKDAY(TODAY(),2)+8)))</f>
        <v>0</v>
      </c>
      <c r="K106" s="36">
        <f ca="1">IF($A106="","",IF(K$1="","",COUNTIFS(tbl_chests[from],$A106,tbl_chests[legalized],K$1,tbl_chests[datetime],"&gt;="&amp;TODAY()-WEEKDAY(TODAY(),2)+1,tbl_chests[datetime],"&lt;"&amp;TODAY()-WEEKDAY(TODAY(),2)+8)))</f>
        <v>0</v>
      </c>
      <c r="L106" s="36">
        <f ca="1">IF($A106="","",IF(L$1="","",COUNTIFS(tbl_chests[from],$A106,tbl_chests[legalized],L$1,tbl_chests[datetime],"&gt;="&amp;TODAY()-WEEKDAY(TODAY(),2)+1,tbl_chests[datetime],"&lt;"&amp;TODAY()-WEEKDAY(TODAY(),2)+8)))</f>
        <v>0</v>
      </c>
      <c r="M106" s="36">
        <f ca="1">IF($A106="","",IF(M$1="","",COUNTIFS(tbl_chests[from],$A106,tbl_chests[legalized],M$1,tbl_chests[datetime],"&gt;="&amp;TODAY()-WEEKDAY(TODAY(),2)+1,tbl_chests[datetime],"&lt;"&amp;TODAY()-WEEKDAY(TODAY(),2)+8)))</f>
        <v>0</v>
      </c>
      <c r="N106" s="36">
        <f ca="1">IF($A106="","",IF(N$1="","",COUNTIFS(tbl_chests[from],$A106,tbl_chests[legalized],N$1,tbl_chests[datetime],"&gt;="&amp;TODAY()-WEEKDAY(TODAY(),2)+1,tbl_chests[datetime],"&lt;"&amp;TODAY()-WEEKDAY(TODAY(),2)+8)))</f>
        <v>0</v>
      </c>
      <c r="O106" s="36">
        <f ca="1">IF($A106="","",IF(O$1="","",COUNTIFS(tbl_chests[from],$A106,tbl_chests[legalized],O$1,tbl_chests[datetime],"&gt;="&amp;TODAY()-WEEKDAY(TODAY(),2)+1,tbl_chests[datetime],"&lt;"&amp;TODAY()-WEEKDAY(TODAY(),2)+8)))</f>
        <v>0</v>
      </c>
      <c r="P106" s="36">
        <f ca="1">IF($A106="","",IF(P$1="","",COUNTIFS(tbl_chests[from],$A106,tbl_chests[legalized],P$1,tbl_chests[datetime],"&gt;="&amp;TODAY()-WEEKDAY(TODAY(),2)+1,tbl_chests[datetime],"&lt;"&amp;TODAY()-WEEKDAY(TODAY(),2)+8)))</f>
        <v>0</v>
      </c>
      <c r="Q106" s="36">
        <f ca="1">IF($A106="","",IF(Q$1="","",COUNTIFS(tbl_chests[from],$A106,tbl_chests[legalized],Q$1,tbl_chests[datetime],"&gt;="&amp;TODAY()-WEEKDAY(TODAY(),2)+1,tbl_chests[datetime],"&lt;"&amp;TODAY()-WEEKDAY(TODAY(),2)+8)))</f>
        <v>0</v>
      </c>
      <c r="R106" s="36">
        <f ca="1">IF($A106="","",IF(R$1="","",COUNTIFS(tbl_chests[from],$A106,tbl_chests[legalized],R$1,tbl_chests[datetime],"&gt;="&amp;TODAY()-WEEKDAY(TODAY(),2)+1,tbl_chests[datetime],"&lt;"&amp;TODAY()-WEEKDAY(TODAY(),2)+8)))</f>
        <v>0</v>
      </c>
      <c r="S106" s="36">
        <f ca="1">IF($A106="","",IF(S$1="","",COUNTIFS(tbl_chests[from],$A106,tbl_chests[legalized],S$1,tbl_chests[datetime],"&gt;="&amp;TODAY()-WEEKDAY(TODAY(),2)+1,tbl_chests[datetime],"&lt;"&amp;TODAY()-WEEKDAY(TODAY(),2)+8)))</f>
        <v>0</v>
      </c>
      <c r="T106" s="36">
        <f ca="1">IF($A106="","",IF(T$1="","",COUNTIFS(tbl_chests[from],$A106,tbl_chests[legalized],T$1,tbl_chests[datetime],"&gt;="&amp;TODAY()-WEEKDAY(TODAY(),2)+1,tbl_chests[datetime],"&lt;"&amp;TODAY()-WEEKDAY(TODAY(),2)+8)))</f>
        <v>0</v>
      </c>
      <c r="U106" s="36">
        <f ca="1">IF($A106="","",IF(U$1="","",COUNTIFS(tbl_chests[from],$A106,tbl_chests[legalized],U$1,tbl_chests[datetime],"&gt;="&amp;TODAY()-WEEKDAY(TODAY(),2)+1,tbl_chests[datetime],"&lt;"&amp;TODAY()-WEEKDAY(TODAY(),2)+8)))</f>
        <v>0</v>
      </c>
      <c r="V106" s="36">
        <f ca="1">IF($A106="","",IF(V$1="","",COUNTIFS(tbl_chests[from],$A106,tbl_chests[legalized],V$1,tbl_chests[datetime],"&gt;="&amp;TODAY()-WEEKDAY(TODAY(),2)+1,tbl_chests[datetime],"&lt;"&amp;TODAY()-WEEKDAY(TODAY(),2)+8)))</f>
        <v>0</v>
      </c>
      <c r="W106" s="36">
        <f ca="1">IF($A106="","",IF(W$1="","",COUNTIFS(tbl_chests[from],$A106,tbl_chests[legalized],W$1,tbl_chests[datetime],"&gt;="&amp;TODAY()-WEEKDAY(TODAY(),2)+1,tbl_chests[datetime],"&lt;"&amp;TODAY()-WEEKDAY(TODAY(),2)+8)))</f>
        <v>0</v>
      </c>
      <c r="X106" s="36">
        <f ca="1">IF($A106="","",IF(X$1="","",COUNTIFS(tbl_chests[from],$A106,tbl_chests[legalized],X$1,tbl_chests[datetime],"&gt;="&amp;TODAY()-WEEKDAY(TODAY(),2)+1,tbl_chests[datetime],"&lt;"&amp;TODAY()-WEEKDAY(TODAY(),2)+8)))</f>
        <v>0</v>
      </c>
      <c r="Y106" s="36">
        <f ca="1">IF($A106="","",IF(Y$1="","",COUNTIFS(tbl_chests[from],$A106,tbl_chests[legalized],Y$1,tbl_chests[datetime],"&gt;="&amp;TODAY()-WEEKDAY(TODAY(),2)+1,tbl_chests[datetime],"&lt;"&amp;TODAY()-WEEKDAY(TODAY(),2)+8)))</f>
        <v>0</v>
      </c>
      <c r="Z106" s="36">
        <f ca="1">IF($A106="","",IF(Z$1="","",COUNTIFS(tbl_chests[from],$A106,tbl_chests[legalized],Z$1,tbl_chests[datetime],"&gt;="&amp;TODAY()-WEEKDAY(TODAY(),2)+1,tbl_chests[datetime],"&lt;"&amp;TODAY()-WEEKDAY(TODAY(),2)+8)))</f>
        <v>0</v>
      </c>
      <c r="AA106" s="36">
        <f ca="1">IF($A106="","",IF(AA$1="","",COUNTIFS(tbl_chests[from],$A106,tbl_chests[legalized],AA$1,tbl_chests[datetime],"&gt;="&amp;TODAY()-WEEKDAY(TODAY(),2)+1,tbl_chests[datetime],"&lt;"&amp;TODAY()-WEEKDAY(TODAY(),2)+8)))</f>
        <v>0</v>
      </c>
      <c r="AB106" s="36">
        <f ca="1">IF($A106="","",IF(AB$1="","",COUNTIFS(tbl_chests[from],$A106,tbl_chests[legalized],AB$1,tbl_chests[datetime],"&gt;="&amp;TODAY()-WEEKDAY(TODAY(),2)+1,tbl_chests[datetime],"&lt;"&amp;TODAY()-WEEKDAY(TODAY(),2)+8)))</f>
        <v>0</v>
      </c>
      <c r="AC106" s="36">
        <f ca="1">IF($A106="","",IF(AC$1="","",COUNTIFS(tbl_chests[from],$A106,tbl_chests[legalized],AC$1,tbl_chests[datetime],"&gt;="&amp;TODAY()-WEEKDAY(TODAY(),2)+1,tbl_chests[datetime],"&lt;"&amp;TODAY()-WEEKDAY(TODAY(),2)+8)))</f>
        <v>0</v>
      </c>
      <c r="AD106" s="36">
        <f ca="1">IF($A106="","",IF(AD$1="","",COUNTIFS(tbl_chests[from],$A106,tbl_chests[legalized],AD$1,tbl_chests[datetime],"&gt;="&amp;TODAY()-WEEKDAY(TODAY(),2)+1,tbl_chests[datetime],"&lt;"&amp;TODAY()-WEEKDAY(TODAY(),2)+8)))</f>
        <v>0</v>
      </c>
      <c r="AE106" s="36">
        <f ca="1">IF($A106="","",IF(AE$1="","",COUNTIFS(tbl_chests[from],$A106,tbl_chests[legalized],AE$1,tbl_chests[datetime],"&gt;="&amp;TODAY()-WEEKDAY(TODAY(),2)+1,tbl_chests[datetime],"&lt;"&amp;TODAY()-WEEKDAY(TODAY(),2)+8)))</f>
        <v>0</v>
      </c>
      <c r="AF106" s="36">
        <f ca="1">IF($A106="","",IF(AF$1="","",COUNTIFS(tbl_chests[from],$A106,tbl_chests[legalized],AF$1,tbl_chests[datetime],"&gt;="&amp;TODAY()-WEEKDAY(TODAY(),2)+1,tbl_chests[datetime],"&lt;"&amp;TODAY()-WEEKDAY(TODAY(),2)+8)))</f>
        <v>0</v>
      </c>
      <c r="AG106" s="36">
        <f ca="1">IF($A106="","",IF(AG$1="","",COUNTIFS(tbl_chests[from],$A106,tbl_chests[legalized],AG$1,tbl_chests[datetime],"&gt;="&amp;TODAY()-WEEKDAY(TODAY(),2)+1,tbl_chests[datetime],"&lt;"&amp;TODAY()-WEEKDAY(TODAY(),2)+8)))</f>
        <v>0</v>
      </c>
      <c r="AH106" s="36">
        <f ca="1">IF($A106="","",IF(AH$1="","",COUNTIFS(tbl_chests[from],$A106,tbl_chests[legalized],AH$1,tbl_chests[datetime],"&gt;="&amp;TODAY()-WEEKDAY(TODAY(),2)+1,tbl_chests[datetime],"&lt;"&amp;TODAY()-WEEKDAY(TODAY(),2)+8)))</f>
        <v>0</v>
      </c>
      <c r="AI106" s="36">
        <f ca="1">IF($A106="","",IF(AI$1="","",COUNTIFS(tbl_chests[from],$A106,tbl_chests[legalized],AI$1,tbl_chests[datetime],"&gt;="&amp;TODAY()-WEEKDAY(TODAY(),2)+1,tbl_chests[datetime],"&lt;"&amp;TODAY()-WEEKDAY(TODAY(),2)+8)))</f>
        <v>0</v>
      </c>
      <c r="AJ106" s="36">
        <f ca="1">IF($A106="","",IF(AJ$1="","",COUNTIFS(tbl_chests[from],$A106,tbl_chests[legalized],AJ$1,tbl_chests[datetime],"&gt;="&amp;TODAY()-WEEKDAY(TODAY(),2)+1,tbl_chests[datetime],"&lt;"&amp;TODAY()-WEEKDAY(TODAY(),2)+8)))</f>
        <v>0</v>
      </c>
      <c r="AK106" s="36">
        <f ca="1">IF($A106="","",IF(AK$1="","",COUNTIFS(tbl_chests[from],$A106,tbl_chests[legalized],AK$1,tbl_chests[datetime],"&gt;="&amp;TODAY()-WEEKDAY(TODAY(),2)+1,tbl_chests[datetime],"&lt;"&amp;TODAY()-WEEKDAY(TODAY(),2)+8)))</f>
        <v>0</v>
      </c>
      <c r="AL106" s="36">
        <f ca="1">IF($A106="","",IF(AL$1="","",COUNTIFS(tbl_chests[from],$A106,tbl_chests[legalized],AL$1,tbl_chests[datetime],"&gt;="&amp;TODAY()-WEEKDAY(TODAY(),2)+1,tbl_chests[datetime],"&lt;"&amp;TODAY()-WEEKDAY(TODAY(),2)+8)))</f>
        <v>0</v>
      </c>
      <c r="AM106" s="37">
        <f ca="1">IF($A106="","",IF(AM$1="","",COUNTIFS(tbl_chests[from],$A106,tbl_chests[legalized],AM$1,tbl_chests[datetime],"&gt;="&amp;TODAY()-WEEKDAY(TODAY(),2)+1,tbl_chests[datetime],"&lt;"&amp;TODAY()-WEEKDAY(TODAY(),2)+8)))</f>
        <v>0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 spans="1:67" ht="15.75" customHeight="1" x14ac:dyDescent="0.25">
      <c r="A107" s="34">
        <f>chests_counter!$H104</f>
        <v>0</v>
      </c>
      <c r="B107" s="35" cm="1">
        <f t="array" aca="1" ref="B107" ca="1">IF(A107&lt;&gt;"", SUMPRODUCT(($C$2:$AM$2&lt;&gt;0)*(C107:AM107&lt;&gt;0)*($C$2:$AM$2)*(C107:AM107)), "")</f>
        <v>0</v>
      </c>
      <c r="C107" s="36">
        <f ca="1">IF($A107="","",IF(C$1="","",COUNTIFS(tbl_chests[from],$A107,tbl_chests[legalized],C$1,tbl_chests[datetime],"&gt;="&amp;TODAY()-WEEKDAY(TODAY(),2)+1,tbl_chests[datetime],"&lt;"&amp;TODAY()-WEEKDAY(TODAY(),2)+8)))</f>
        <v>0</v>
      </c>
      <c r="D107" s="36">
        <f ca="1">IF($A107="","",IF(D$1="","",COUNTIFS(tbl_chests[from],$A107,tbl_chests[legalized],D$1,tbl_chests[datetime],"&gt;="&amp;TODAY()-WEEKDAY(TODAY(),2)+1,tbl_chests[datetime],"&lt;"&amp;TODAY()-WEEKDAY(TODAY(),2)+8)))</f>
        <v>0</v>
      </c>
      <c r="E107" s="36">
        <f ca="1">IF($A107="","",IF(E$1="","",COUNTIFS(tbl_chests[from],$A107,tbl_chests[legalized],E$1,tbl_chests[datetime],"&gt;="&amp;TODAY()-WEEKDAY(TODAY(),2)+1,tbl_chests[datetime],"&lt;"&amp;TODAY()-WEEKDAY(TODAY(),2)+8)))</f>
        <v>0</v>
      </c>
      <c r="F107" s="36">
        <f ca="1">IF($A107="","",IF(F$1="","",COUNTIFS(tbl_chests[from],$A107,tbl_chests[legalized],F$1,tbl_chests[datetime],"&gt;="&amp;TODAY()-WEEKDAY(TODAY(),2)+1,tbl_chests[datetime],"&lt;"&amp;TODAY()-WEEKDAY(TODAY(),2)+8)))</f>
        <v>0</v>
      </c>
      <c r="G107" s="36">
        <f ca="1">IF($A107="","",IF(G$1="","",COUNTIFS(tbl_chests[from],$A107,tbl_chests[legalized],G$1,tbl_chests[datetime],"&gt;="&amp;TODAY()-WEEKDAY(TODAY(),2)+1,tbl_chests[datetime],"&lt;"&amp;TODAY()-WEEKDAY(TODAY(),2)+8)))</f>
        <v>0</v>
      </c>
      <c r="H107" s="36">
        <f ca="1">IF($A107="","",IF(H$1="","",COUNTIFS(tbl_chests[from],$A107,tbl_chests[legalized],H$1,tbl_chests[datetime],"&gt;="&amp;TODAY()-WEEKDAY(TODAY(),2)+1,tbl_chests[datetime],"&lt;"&amp;TODAY()-WEEKDAY(TODAY(),2)+8)))</f>
        <v>0</v>
      </c>
      <c r="I107" s="36">
        <f ca="1">IF($A107="","",IF(I$1="","",COUNTIFS(tbl_chests[from],$A107,tbl_chests[legalized],I$1,tbl_chests[datetime],"&gt;="&amp;TODAY()-WEEKDAY(TODAY(),2)+1,tbl_chests[datetime],"&lt;"&amp;TODAY()-WEEKDAY(TODAY(),2)+8)))</f>
        <v>0</v>
      </c>
      <c r="J107" s="36">
        <f ca="1">IF($A107="","",IF(J$1="","",COUNTIFS(tbl_chests[from],$A107,tbl_chests[legalized],J$1,tbl_chests[datetime],"&gt;="&amp;TODAY()-WEEKDAY(TODAY(),2)+1,tbl_chests[datetime],"&lt;"&amp;TODAY()-WEEKDAY(TODAY(),2)+8)))</f>
        <v>0</v>
      </c>
      <c r="K107" s="36">
        <f ca="1">IF($A107="","",IF(K$1="","",COUNTIFS(tbl_chests[from],$A107,tbl_chests[legalized],K$1,tbl_chests[datetime],"&gt;="&amp;TODAY()-WEEKDAY(TODAY(),2)+1,tbl_chests[datetime],"&lt;"&amp;TODAY()-WEEKDAY(TODAY(),2)+8)))</f>
        <v>0</v>
      </c>
      <c r="L107" s="36">
        <f ca="1">IF($A107="","",IF(L$1="","",COUNTIFS(tbl_chests[from],$A107,tbl_chests[legalized],L$1,tbl_chests[datetime],"&gt;="&amp;TODAY()-WEEKDAY(TODAY(),2)+1,tbl_chests[datetime],"&lt;"&amp;TODAY()-WEEKDAY(TODAY(),2)+8)))</f>
        <v>0</v>
      </c>
      <c r="M107" s="36">
        <f ca="1">IF($A107="","",IF(M$1="","",COUNTIFS(tbl_chests[from],$A107,tbl_chests[legalized],M$1,tbl_chests[datetime],"&gt;="&amp;TODAY()-WEEKDAY(TODAY(),2)+1,tbl_chests[datetime],"&lt;"&amp;TODAY()-WEEKDAY(TODAY(),2)+8)))</f>
        <v>0</v>
      </c>
      <c r="N107" s="36">
        <f ca="1">IF($A107="","",IF(N$1="","",COUNTIFS(tbl_chests[from],$A107,tbl_chests[legalized],N$1,tbl_chests[datetime],"&gt;="&amp;TODAY()-WEEKDAY(TODAY(),2)+1,tbl_chests[datetime],"&lt;"&amp;TODAY()-WEEKDAY(TODAY(),2)+8)))</f>
        <v>0</v>
      </c>
      <c r="O107" s="36">
        <f ca="1">IF($A107="","",IF(O$1="","",COUNTIFS(tbl_chests[from],$A107,tbl_chests[legalized],O$1,tbl_chests[datetime],"&gt;="&amp;TODAY()-WEEKDAY(TODAY(),2)+1,tbl_chests[datetime],"&lt;"&amp;TODAY()-WEEKDAY(TODAY(),2)+8)))</f>
        <v>0</v>
      </c>
      <c r="P107" s="36">
        <f ca="1">IF($A107="","",IF(P$1="","",COUNTIFS(tbl_chests[from],$A107,tbl_chests[legalized],P$1,tbl_chests[datetime],"&gt;="&amp;TODAY()-WEEKDAY(TODAY(),2)+1,tbl_chests[datetime],"&lt;"&amp;TODAY()-WEEKDAY(TODAY(),2)+8)))</f>
        <v>0</v>
      </c>
      <c r="Q107" s="36">
        <f ca="1">IF($A107="","",IF(Q$1="","",COUNTIFS(tbl_chests[from],$A107,tbl_chests[legalized],Q$1,tbl_chests[datetime],"&gt;="&amp;TODAY()-WEEKDAY(TODAY(),2)+1,tbl_chests[datetime],"&lt;"&amp;TODAY()-WEEKDAY(TODAY(),2)+8)))</f>
        <v>0</v>
      </c>
      <c r="R107" s="36">
        <f ca="1">IF($A107="","",IF(R$1="","",COUNTIFS(tbl_chests[from],$A107,tbl_chests[legalized],R$1,tbl_chests[datetime],"&gt;="&amp;TODAY()-WEEKDAY(TODAY(),2)+1,tbl_chests[datetime],"&lt;"&amp;TODAY()-WEEKDAY(TODAY(),2)+8)))</f>
        <v>0</v>
      </c>
      <c r="S107" s="36">
        <f ca="1">IF($A107="","",IF(S$1="","",COUNTIFS(tbl_chests[from],$A107,tbl_chests[legalized],S$1,tbl_chests[datetime],"&gt;="&amp;TODAY()-WEEKDAY(TODAY(),2)+1,tbl_chests[datetime],"&lt;"&amp;TODAY()-WEEKDAY(TODAY(),2)+8)))</f>
        <v>0</v>
      </c>
      <c r="T107" s="36">
        <f ca="1">IF($A107="","",IF(T$1="","",COUNTIFS(tbl_chests[from],$A107,tbl_chests[legalized],T$1,tbl_chests[datetime],"&gt;="&amp;TODAY()-WEEKDAY(TODAY(),2)+1,tbl_chests[datetime],"&lt;"&amp;TODAY()-WEEKDAY(TODAY(),2)+8)))</f>
        <v>0</v>
      </c>
      <c r="U107" s="36">
        <f ca="1">IF($A107="","",IF(U$1="","",COUNTIFS(tbl_chests[from],$A107,tbl_chests[legalized],U$1,tbl_chests[datetime],"&gt;="&amp;TODAY()-WEEKDAY(TODAY(),2)+1,tbl_chests[datetime],"&lt;"&amp;TODAY()-WEEKDAY(TODAY(),2)+8)))</f>
        <v>0</v>
      </c>
      <c r="V107" s="36">
        <f ca="1">IF($A107="","",IF(V$1="","",COUNTIFS(tbl_chests[from],$A107,tbl_chests[legalized],V$1,tbl_chests[datetime],"&gt;="&amp;TODAY()-WEEKDAY(TODAY(),2)+1,tbl_chests[datetime],"&lt;"&amp;TODAY()-WEEKDAY(TODAY(),2)+8)))</f>
        <v>0</v>
      </c>
      <c r="W107" s="36">
        <f ca="1">IF($A107="","",IF(W$1="","",COUNTIFS(tbl_chests[from],$A107,tbl_chests[legalized],W$1,tbl_chests[datetime],"&gt;="&amp;TODAY()-WEEKDAY(TODAY(),2)+1,tbl_chests[datetime],"&lt;"&amp;TODAY()-WEEKDAY(TODAY(),2)+8)))</f>
        <v>0</v>
      </c>
      <c r="X107" s="36">
        <f ca="1">IF($A107="","",IF(X$1="","",COUNTIFS(tbl_chests[from],$A107,tbl_chests[legalized],X$1,tbl_chests[datetime],"&gt;="&amp;TODAY()-WEEKDAY(TODAY(),2)+1,tbl_chests[datetime],"&lt;"&amp;TODAY()-WEEKDAY(TODAY(),2)+8)))</f>
        <v>0</v>
      </c>
      <c r="Y107" s="36">
        <f ca="1">IF($A107="","",IF(Y$1="","",COUNTIFS(tbl_chests[from],$A107,tbl_chests[legalized],Y$1,tbl_chests[datetime],"&gt;="&amp;TODAY()-WEEKDAY(TODAY(),2)+1,tbl_chests[datetime],"&lt;"&amp;TODAY()-WEEKDAY(TODAY(),2)+8)))</f>
        <v>0</v>
      </c>
      <c r="Z107" s="36">
        <f ca="1">IF($A107="","",IF(Z$1="","",COUNTIFS(tbl_chests[from],$A107,tbl_chests[legalized],Z$1,tbl_chests[datetime],"&gt;="&amp;TODAY()-WEEKDAY(TODAY(),2)+1,tbl_chests[datetime],"&lt;"&amp;TODAY()-WEEKDAY(TODAY(),2)+8)))</f>
        <v>0</v>
      </c>
      <c r="AA107" s="36">
        <f ca="1">IF($A107="","",IF(AA$1="","",COUNTIFS(tbl_chests[from],$A107,tbl_chests[legalized],AA$1,tbl_chests[datetime],"&gt;="&amp;TODAY()-WEEKDAY(TODAY(),2)+1,tbl_chests[datetime],"&lt;"&amp;TODAY()-WEEKDAY(TODAY(),2)+8)))</f>
        <v>0</v>
      </c>
      <c r="AB107" s="36">
        <f ca="1">IF($A107="","",IF(AB$1="","",COUNTIFS(tbl_chests[from],$A107,tbl_chests[legalized],AB$1,tbl_chests[datetime],"&gt;="&amp;TODAY()-WEEKDAY(TODAY(),2)+1,tbl_chests[datetime],"&lt;"&amp;TODAY()-WEEKDAY(TODAY(),2)+8)))</f>
        <v>0</v>
      </c>
      <c r="AC107" s="36">
        <f ca="1">IF($A107="","",IF(AC$1="","",COUNTIFS(tbl_chests[from],$A107,tbl_chests[legalized],AC$1,tbl_chests[datetime],"&gt;="&amp;TODAY()-WEEKDAY(TODAY(),2)+1,tbl_chests[datetime],"&lt;"&amp;TODAY()-WEEKDAY(TODAY(),2)+8)))</f>
        <v>0</v>
      </c>
      <c r="AD107" s="36">
        <f ca="1">IF($A107="","",IF(AD$1="","",COUNTIFS(tbl_chests[from],$A107,tbl_chests[legalized],AD$1,tbl_chests[datetime],"&gt;="&amp;TODAY()-WEEKDAY(TODAY(),2)+1,tbl_chests[datetime],"&lt;"&amp;TODAY()-WEEKDAY(TODAY(),2)+8)))</f>
        <v>0</v>
      </c>
      <c r="AE107" s="36">
        <f ca="1">IF($A107="","",IF(AE$1="","",COUNTIFS(tbl_chests[from],$A107,tbl_chests[legalized],AE$1,tbl_chests[datetime],"&gt;="&amp;TODAY()-WEEKDAY(TODAY(),2)+1,tbl_chests[datetime],"&lt;"&amp;TODAY()-WEEKDAY(TODAY(),2)+8)))</f>
        <v>0</v>
      </c>
      <c r="AF107" s="36">
        <f ca="1">IF($A107="","",IF(AF$1="","",COUNTIFS(tbl_chests[from],$A107,tbl_chests[legalized],AF$1,tbl_chests[datetime],"&gt;="&amp;TODAY()-WEEKDAY(TODAY(),2)+1,tbl_chests[datetime],"&lt;"&amp;TODAY()-WEEKDAY(TODAY(),2)+8)))</f>
        <v>0</v>
      </c>
      <c r="AG107" s="36">
        <f ca="1">IF($A107="","",IF(AG$1="","",COUNTIFS(tbl_chests[from],$A107,tbl_chests[legalized],AG$1,tbl_chests[datetime],"&gt;="&amp;TODAY()-WEEKDAY(TODAY(),2)+1,tbl_chests[datetime],"&lt;"&amp;TODAY()-WEEKDAY(TODAY(),2)+8)))</f>
        <v>0</v>
      </c>
      <c r="AH107" s="36">
        <f ca="1">IF($A107="","",IF(AH$1="","",COUNTIFS(tbl_chests[from],$A107,tbl_chests[legalized],AH$1,tbl_chests[datetime],"&gt;="&amp;TODAY()-WEEKDAY(TODAY(),2)+1,tbl_chests[datetime],"&lt;"&amp;TODAY()-WEEKDAY(TODAY(),2)+8)))</f>
        <v>0</v>
      </c>
      <c r="AI107" s="36">
        <f ca="1">IF($A107="","",IF(AI$1="","",COUNTIFS(tbl_chests[from],$A107,tbl_chests[legalized],AI$1,tbl_chests[datetime],"&gt;="&amp;TODAY()-WEEKDAY(TODAY(),2)+1,tbl_chests[datetime],"&lt;"&amp;TODAY()-WEEKDAY(TODAY(),2)+8)))</f>
        <v>0</v>
      </c>
      <c r="AJ107" s="36">
        <f ca="1">IF($A107="","",IF(AJ$1="","",COUNTIFS(tbl_chests[from],$A107,tbl_chests[legalized],AJ$1,tbl_chests[datetime],"&gt;="&amp;TODAY()-WEEKDAY(TODAY(),2)+1,tbl_chests[datetime],"&lt;"&amp;TODAY()-WEEKDAY(TODAY(),2)+8)))</f>
        <v>0</v>
      </c>
      <c r="AK107" s="36">
        <f ca="1">IF($A107="","",IF(AK$1="","",COUNTIFS(tbl_chests[from],$A107,tbl_chests[legalized],AK$1,tbl_chests[datetime],"&gt;="&amp;TODAY()-WEEKDAY(TODAY(),2)+1,tbl_chests[datetime],"&lt;"&amp;TODAY()-WEEKDAY(TODAY(),2)+8)))</f>
        <v>0</v>
      </c>
      <c r="AL107" s="36">
        <f ca="1">IF($A107="","",IF(AL$1="","",COUNTIFS(tbl_chests[from],$A107,tbl_chests[legalized],AL$1,tbl_chests[datetime],"&gt;="&amp;TODAY()-WEEKDAY(TODAY(),2)+1,tbl_chests[datetime],"&lt;"&amp;TODAY()-WEEKDAY(TODAY(),2)+8)))</f>
        <v>0</v>
      </c>
      <c r="AM107" s="37">
        <f ca="1">IF($A107="","",IF(AM$1="","",COUNTIFS(tbl_chests[from],$A107,tbl_chests[legalized],AM$1,tbl_chests[datetime],"&gt;="&amp;TODAY()-WEEKDAY(TODAY(),2)+1,tbl_chests[datetime],"&lt;"&amp;TODAY()-WEEKDAY(TODAY(),2)+8)))</f>
        <v>0</v>
      </c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 spans="1:67" ht="15.75" customHeight="1" x14ac:dyDescent="0.25">
      <c r="A108" s="34">
        <f>chests_counter!$H105</f>
        <v>0</v>
      </c>
      <c r="B108" s="35" cm="1">
        <f t="array" aca="1" ref="B108" ca="1">IF(A108&lt;&gt;"", SUMPRODUCT(($C$2:$AM$2&lt;&gt;0)*(C108:AM108&lt;&gt;0)*($C$2:$AM$2)*(C108:AM108)), "")</f>
        <v>0</v>
      </c>
      <c r="C108" s="36">
        <f ca="1">IF($A108="","",IF(C$1="","",COUNTIFS(tbl_chests[from],$A108,tbl_chests[legalized],C$1,tbl_chests[datetime],"&gt;="&amp;TODAY()-WEEKDAY(TODAY(),2)+1,tbl_chests[datetime],"&lt;"&amp;TODAY()-WEEKDAY(TODAY(),2)+8)))</f>
        <v>0</v>
      </c>
      <c r="D108" s="36">
        <f ca="1">IF($A108="","",IF(D$1="","",COUNTIFS(tbl_chests[from],$A108,tbl_chests[legalized],D$1,tbl_chests[datetime],"&gt;="&amp;TODAY()-WEEKDAY(TODAY(),2)+1,tbl_chests[datetime],"&lt;"&amp;TODAY()-WEEKDAY(TODAY(),2)+8)))</f>
        <v>0</v>
      </c>
      <c r="E108" s="36">
        <f ca="1">IF($A108="","",IF(E$1="","",COUNTIFS(tbl_chests[from],$A108,tbl_chests[legalized],E$1,tbl_chests[datetime],"&gt;="&amp;TODAY()-WEEKDAY(TODAY(),2)+1,tbl_chests[datetime],"&lt;"&amp;TODAY()-WEEKDAY(TODAY(),2)+8)))</f>
        <v>0</v>
      </c>
      <c r="F108" s="36">
        <f ca="1">IF($A108="","",IF(F$1="","",COUNTIFS(tbl_chests[from],$A108,tbl_chests[legalized],F$1,tbl_chests[datetime],"&gt;="&amp;TODAY()-WEEKDAY(TODAY(),2)+1,tbl_chests[datetime],"&lt;"&amp;TODAY()-WEEKDAY(TODAY(),2)+8)))</f>
        <v>0</v>
      </c>
      <c r="G108" s="36">
        <f ca="1">IF($A108="","",IF(G$1="","",COUNTIFS(tbl_chests[from],$A108,tbl_chests[legalized],G$1,tbl_chests[datetime],"&gt;="&amp;TODAY()-WEEKDAY(TODAY(),2)+1,tbl_chests[datetime],"&lt;"&amp;TODAY()-WEEKDAY(TODAY(),2)+8)))</f>
        <v>0</v>
      </c>
      <c r="H108" s="36">
        <f ca="1">IF($A108="","",IF(H$1="","",COUNTIFS(tbl_chests[from],$A108,tbl_chests[legalized],H$1,tbl_chests[datetime],"&gt;="&amp;TODAY()-WEEKDAY(TODAY(),2)+1,tbl_chests[datetime],"&lt;"&amp;TODAY()-WEEKDAY(TODAY(),2)+8)))</f>
        <v>0</v>
      </c>
      <c r="I108" s="36">
        <f ca="1">IF($A108="","",IF(I$1="","",COUNTIFS(tbl_chests[from],$A108,tbl_chests[legalized],I$1,tbl_chests[datetime],"&gt;="&amp;TODAY()-WEEKDAY(TODAY(),2)+1,tbl_chests[datetime],"&lt;"&amp;TODAY()-WEEKDAY(TODAY(),2)+8)))</f>
        <v>0</v>
      </c>
      <c r="J108" s="36">
        <f ca="1">IF($A108="","",IF(J$1="","",COUNTIFS(tbl_chests[from],$A108,tbl_chests[legalized],J$1,tbl_chests[datetime],"&gt;="&amp;TODAY()-WEEKDAY(TODAY(),2)+1,tbl_chests[datetime],"&lt;"&amp;TODAY()-WEEKDAY(TODAY(),2)+8)))</f>
        <v>0</v>
      </c>
      <c r="K108" s="36">
        <f ca="1">IF($A108="","",IF(K$1="","",COUNTIFS(tbl_chests[from],$A108,tbl_chests[legalized],K$1,tbl_chests[datetime],"&gt;="&amp;TODAY()-WEEKDAY(TODAY(),2)+1,tbl_chests[datetime],"&lt;"&amp;TODAY()-WEEKDAY(TODAY(),2)+8)))</f>
        <v>0</v>
      </c>
      <c r="L108" s="36">
        <f ca="1">IF($A108="","",IF(L$1="","",COUNTIFS(tbl_chests[from],$A108,tbl_chests[legalized],L$1,tbl_chests[datetime],"&gt;="&amp;TODAY()-WEEKDAY(TODAY(),2)+1,tbl_chests[datetime],"&lt;"&amp;TODAY()-WEEKDAY(TODAY(),2)+8)))</f>
        <v>0</v>
      </c>
      <c r="M108" s="36">
        <f ca="1">IF($A108="","",IF(M$1="","",COUNTIFS(tbl_chests[from],$A108,tbl_chests[legalized],M$1,tbl_chests[datetime],"&gt;="&amp;TODAY()-WEEKDAY(TODAY(),2)+1,tbl_chests[datetime],"&lt;"&amp;TODAY()-WEEKDAY(TODAY(),2)+8)))</f>
        <v>0</v>
      </c>
      <c r="N108" s="36">
        <f ca="1">IF($A108="","",IF(N$1="","",COUNTIFS(tbl_chests[from],$A108,tbl_chests[legalized],N$1,tbl_chests[datetime],"&gt;="&amp;TODAY()-WEEKDAY(TODAY(),2)+1,tbl_chests[datetime],"&lt;"&amp;TODAY()-WEEKDAY(TODAY(),2)+8)))</f>
        <v>0</v>
      </c>
      <c r="O108" s="36">
        <f ca="1">IF($A108="","",IF(O$1="","",COUNTIFS(tbl_chests[from],$A108,tbl_chests[legalized],O$1,tbl_chests[datetime],"&gt;="&amp;TODAY()-WEEKDAY(TODAY(),2)+1,tbl_chests[datetime],"&lt;"&amp;TODAY()-WEEKDAY(TODAY(),2)+8)))</f>
        <v>0</v>
      </c>
      <c r="P108" s="36">
        <f ca="1">IF($A108="","",IF(P$1="","",COUNTIFS(tbl_chests[from],$A108,tbl_chests[legalized],P$1,tbl_chests[datetime],"&gt;="&amp;TODAY()-WEEKDAY(TODAY(),2)+1,tbl_chests[datetime],"&lt;"&amp;TODAY()-WEEKDAY(TODAY(),2)+8)))</f>
        <v>0</v>
      </c>
      <c r="Q108" s="36">
        <f ca="1">IF($A108="","",IF(Q$1="","",COUNTIFS(tbl_chests[from],$A108,tbl_chests[legalized],Q$1,tbl_chests[datetime],"&gt;="&amp;TODAY()-WEEKDAY(TODAY(),2)+1,tbl_chests[datetime],"&lt;"&amp;TODAY()-WEEKDAY(TODAY(),2)+8)))</f>
        <v>0</v>
      </c>
      <c r="R108" s="36">
        <f ca="1">IF($A108="","",IF(R$1="","",COUNTIFS(tbl_chests[from],$A108,tbl_chests[legalized],R$1,tbl_chests[datetime],"&gt;="&amp;TODAY()-WEEKDAY(TODAY(),2)+1,tbl_chests[datetime],"&lt;"&amp;TODAY()-WEEKDAY(TODAY(),2)+8)))</f>
        <v>0</v>
      </c>
      <c r="S108" s="36">
        <f ca="1">IF($A108="","",IF(S$1="","",COUNTIFS(tbl_chests[from],$A108,tbl_chests[legalized],S$1,tbl_chests[datetime],"&gt;="&amp;TODAY()-WEEKDAY(TODAY(),2)+1,tbl_chests[datetime],"&lt;"&amp;TODAY()-WEEKDAY(TODAY(),2)+8)))</f>
        <v>0</v>
      </c>
      <c r="T108" s="36">
        <f ca="1">IF($A108="","",IF(T$1="","",COUNTIFS(tbl_chests[from],$A108,tbl_chests[legalized],T$1,tbl_chests[datetime],"&gt;="&amp;TODAY()-WEEKDAY(TODAY(),2)+1,tbl_chests[datetime],"&lt;"&amp;TODAY()-WEEKDAY(TODAY(),2)+8)))</f>
        <v>0</v>
      </c>
      <c r="U108" s="36">
        <f ca="1">IF($A108="","",IF(U$1="","",COUNTIFS(tbl_chests[from],$A108,tbl_chests[legalized],U$1,tbl_chests[datetime],"&gt;="&amp;TODAY()-WEEKDAY(TODAY(),2)+1,tbl_chests[datetime],"&lt;"&amp;TODAY()-WEEKDAY(TODAY(),2)+8)))</f>
        <v>0</v>
      </c>
      <c r="V108" s="36">
        <f ca="1">IF($A108="","",IF(V$1="","",COUNTIFS(tbl_chests[from],$A108,tbl_chests[legalized],V$1,tbl_chests[datetime],"&gt;="&amp;TODAY()-WEEKDAY(TODAY(),2)+1,tbl_chests[datetime],"&lt;"&amp;TODAY()-WEEKDAY(TODAY(),2)+8)))</f>
        <v>0</v>
      </c>
      <c r="W108" s="36">
        <f ca="1">IF($A108="","",IF(W$1="","",COUNTIFS(tbl_chests[from],$A108,tbl_chests[legalized],W$1,tbl_chests[datetime],"&gt;="&amp;TODAY()-WEEKDAY(TODAY(),2)+1,tbl_chests[datetime],"&lt;"&amp;TODAY()-WEEKDAY(TODAY(),2)+8)))</f>
        <v>0</v>
      </c>
      <c r="X108" s="36">
        <f ca="1">IF($A108="","",IF(X$1="","",COUNTIFS(tbl_chests[from],$A108,tbl_chests[legalized],X$1,tbl_chests[datetime],"&gt;="&amp;TODAY()-WEEKDAY(TODAY(),2)+1,tbl_chests[datetime],"&lt;"&amp;TODAY()-WEEKDAY(TODAY(),2)+8)))</f>
        <v>0</v>
      </c>
      <c r="Y108" s="36">
        <f ca="1">IF($A108="","",IF(Y$1="","",COUNTIFS(tbl_chests[from],$A108,tbl_chests[legalized],Y$1,tbl_chests[datetime],"&gt;="&amp;TODAY()-WEEKDAY(TODAY(),2)+1,tbl_chests[datetime],"&lt;"&amp;TODAY()-WEEKDAY(TODAY(),2)+8)))</f>
        <v>0</v>
      </c>
      <c r="Z108" s="36">
        <f ca="1">IF($A108="","",IF(Z$1="","",COUNTIFS(tbl_chests[from],$A108,tbl_chests[legalized],Z$1,tbl_chests[datetime],"&gt;="&amp;TODAY()-WEEKDAY(TODAY(),2)+1,tbl_chests[datetime],"&lt;"&amp;TODAY()-WEEKDAY(TODAY(),2)+8)))</f>
        <v>0</v>
      </c>
      <c r="AA108" s="36">
        <f ca="1">IF($A108="","",IF(AA$1="","",COUNTIFS(tbl_chests[from],$A108,tbl_chests[legalized],AA$1,tbl_chests[datetime],"&gt;="&amp;TODAY()-WEEKDAY(TODAY(),2)+1,tbl_chests[datetime],"&lt;"&amp;TODAY()-WEEKDAY(TODAY(),2)+8)))</f>
        <v>0</v>
      </c>
      <c r="AB108" s="36">
        <f ca="1">IF($A108="","",IF(AB$1="","",COUNTIFS(tbl_chests[from],$A108,tbl_chests[legalized],AB$1,tbl_chests[datetime],"&gt;="&amp;TODAY()-WEEKDAY(TODAY(),2)+1,tbl_chests[datetime],"&lt;"&amp;TODAY()-WEEKDAY(TODAY(),2)+8)))</f>
        <v>0</v>
      </c>
      <c r="AC108" s="36">
        <f ca="1">IF($A108="","",IF(AC$1="","",COUNTIFS(tbl_chests[from],$A108,tbl_chests[legalized],AC$1,tbl_chests[datetime],"&gt;="&amp;TODAY()-WEEKDAY(TODAY(),2)+1,tbl_chests[datetime],"&lt;"&amp;TODAY()-WEEKDAY(TODAY(),2)+8)))</f>
        <v>0</v>
      </c>
      <c r="AD108" s="36">
        <f ca="1">IF($A108="","",IF(AD$1="","",COUNTIFS(tbl_chests[from],$A108,tbl_chests[legalized],AD$1,tbl_chests[datetime],"&gt;="&amp;TODAY()-WEEKDAY(TODAY(),2)+1,tbl_chests[datetime],"&lt;"&amp;TODAY()-WEEKDAY(TODAY(),2)+8)))</f>
        <v>0</v>
      </c>
      <c r="AE108" s="36">
        <f ca="1">IF($A108="","",IF(AE$1="","",COUNTIFS(tbl_chests[from],$A108,tbl_chests[legalized],AE$1,tbl_chests[datetime],"&gt;="&amp;TODAY()-WEEKDAY(TODAY(),2)+1,tbl_chests[datetime],"&lt;"&amp;TODAY()-WEEKDAY(TODAY(),2)+8)))</f>
        <v>0</v>
      </c>
      <c r="AF108" s="36">
        <f ca="1">IF($A108="","",IF(AF$1="","",COUNTIFS(tbl_chests[from],$A108,tbl_chests[legalized],AF$1,tbl_chests[datetime],"&gt;="&amp;TODAY()-WEEKDAY(TODAY(),2)+1,tbl_chests[datetime],"&lt;"&amp;TODAY()-WEEKDAY(TODAY(),2)+8)))</f>
        <v>0</v>
      </c>
      <c r="AG108" s="36">
        <f ca="1">IF($A108="","",IF(AG$1="","",COUNTIFS(tbl_chests[from],$A108,tbl_chests[legalized],AG$1,tbl_chests[datetime],"&gt;="&amp;TODAY()-WEEKDAY(TODAY(),2)+1,tbl_chests[datetime],"&lt;"&amp;TODAY()-WEEKDAY(TODAY(),2)+8)))</f>
        <v>0</v>
      </c>
      <c r="AH108" s="36">
        <f ca="1">IF($A108="","",IF(AH$1="","",COUNTIFS(tbl_chests[from],$A108,tbl_chests[legalized],AH$1,tbl_chests[datetime],"&gt;="&amp;TODAY()-WEEKDAY(TODAY(),2)+1,tbl_chests[datetime],"&lt;"&amp;TODAY()-WEEKDAY(TODAY(),2)+8)))</f>
        <v>0</v>
      </c>
      <c r="AI108" s="36">
        <f ca="1">IF($A108="","",IF(AI$1="","",COUNTIFS(tbl_chests[from],$A108,tbl_chests[legalized],AI$1,tbl_chests[datetime],"&gt;="&amp;TODAY()-WEEKDAY(TODAY(),2)+1,tbl_chests[datetime],"&lt;"&amp;TODAY()-WEEKDAY(TODAY(),2)+8)))</f>
        <v>0</v>
      </c>
      <c r="AJ108" s="36">
        <f ca="1">IF($A108="","",IF(AJ$1="","",COUNTIFS(tbl_chests[from],$A108,tbl_chests[legalized],AJ$1,tbl_chests[datetime],"&gt;="&amp;TODAY()-WEEKDAY(TODAY(),2)+1,tbl_chests[datetime],"&lt;"&amp;TODAY()-WEEKDAY(TODAY(),2)+8)))</f>
        <v>0</v>
      </c>
      <c r="AK108" s="36">
        <f ca="1">IF($A108="","",IF(AK$1="","",COUNTIFS(tbl_chests[from],$A108,tbl_chests[legalized],AK$1,tbl_chests[datetime],"&gt;="&amp;TODAY()-WEEKDAY(TODAY(),2)+1,tbl_chests[datetime],"&lt;"&amp;TODAY()-WEEKDAY(TODAY(),2)+8)))</f>
        <v>0</v>
      </c>
      <c r="AL108" s="36">
        <f ca="1">IF($A108="","",IF(AL$1="","",COUNTIFS(tbl_chests[from],$A108,tbl_chests[legalized],AL$1,tbl_chests[datetime],"&gt;="&amp;TODAY()-WEEKDAY(TODAY(),2)+1,tbl_chests[datetime],"&lt;"&amp;TODAY()-WEEKDAY(TODAY(),2)+8)))</f>
        <v>0</v>
      </c>
      <c r="AM108" s="37">
        <f ca="1">IF($A108="","",IF(AM$1="","",COUNTIFS(tbl_chests[from],$A108,tbl_chests[legalized],AM$1,tbl_chests[datetime],"&gt;="&amp;TODAY()-WEEKDAY(TODAY(),2)+1,tbl_chests[datetime],"&lt;"&amp;TODAY()-WEEKDAY(TODAY(),2)+8)))</f>
        <v>0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 spans="1:67" ht="15.75" customHeight="1" x14ac:dyDescent="0.25">
      <c r="A109" s="34">
        <f>chests_counter!$H106</f>
        <v>0</v>
      </c>
      <c r="B109" s="35" cm="1">
        <f t="array" aca="1" ref="B109" ca="1">IF(A109&lt;&gt;"", SUMPRODUCT(($C$2:$AM$2&lt;&gt;0)*(C109:AM109&lt;&gt;0)*($C$2:$AM$2)*(C109:AM109)), "")</f>
        <v>0</v>
      </c>
      <c r="C109" s="36">
        <f ca="1">IF($A109="","",IF(C$1="","",COUNTIFS(tbl_chests[from],$A109,tbl_chests[legalized],C$1,tbl_chests[datetime],"&gt;="&amp;TODAY()-WEEKDAY(TODAY(),2)+1,tbl_chests[datetime],"&lt;"&amp;TODAY()-WEEKDAY(TODAY(),2)+8)))</f>
        <v>0</v>
      </c>
      <c r="D109" s="36">
        <f ca="1">IF($A109="","",IF(D$1="","",COUNTIFS(tbl_chests[from],$A109,tbl_chests[legalized],D$1,tbl_chests[datetime],"&gt;="&amp;TODAY()-WEEKDAY(TODAY(),2)+1,tbl_chests[datetime],"&lt;"&amp;TODAY()-WEEKDAY(TODAY(),2)+8)))</f>
        <v>0</v>
      </c>
      <c r="E109" s="36">
        <f ca="1">IF($A109="","",IF(E$1="","",COUNTIFS(tbl_chests[from],$A109,tbl_chests[legalized],E$1,tbl_chests[datetime],"&gt;="&amp;TODAY()-WEEKDAY(TODAY(),2)+1,tbl_chests[datetime],"&lt;"&amp;TODAY()-WEEKDAY(TODAY(),2)+8)))</f>
        <v>0</v>
      </c>
      <c r="F109" s="36">
        <f ca="1">IF($A109="","",IF(F$1="","",COUNTIFS(tbl_chests[from],$A109,tbl_chests[legalized],F$1,tbl_chests[datetime],"&gt;="&amp;TODAY()-WEEKDAY(TODAY(),2)+1,tbl_chests[datetime],"&lt;"&amp;TODAY()-WEEKDAY(TODAY(),2)+8)))</f>
        <v>0</v>
      </c>
      <c r="G109" s="36">
        <f ca="1">IF($A109="","",IF(G$1="","",COUNTIFS(tbl_chests[from],$A109,tbl_chests[legalized],G$1,tbl_chests[datetime],"&gt;="&amp;TODAY()-WEEKDAY(TODAY(),2)+1,tbl_chests[datetime],"&lt;"&amp;TODAY()-WEEKDAY(TODAY(),2)+8)))</f>
        <v>0</v>
      </c>
      <c r="H109" s="36">
        <f ca="1">IF($A109="","",IF(H$1="","",COUNTIFS(tbl_chests[from],$A109,tbl_chests[legalized],H$1,tbl_chests[datetime],"&gt;="&amp;TODAY()-WEEKDAY(TODAY(),2)+1,tbl_chests[datetime],"&lt;"&amp;TODAY()-WEEKDAY(TODAY(),2)+8)))</f>
        <v>0</v>
      </c>
      <c r="I109" s="36">
        <f ca="1">IF($A109="","",IF(I$1="","",COUNTIFS(tbl_chests[from],$A109,tbl_chests[legalized],I$1,tbl_chests[datetime],"&gt;="&amp;TODAY()-WEEKDAY(TODAY(),2)+1,tbl_chests[datetime],"&lt;"&amp;TODAY()-WEEKDAY(TODAY(),2)+8)))</f>
        <v>0</v>
      </c>
      <c r="J109" s="36">
        <f ca="1">IF($A109="","",IF(J$1="","",COUNTIFS(tbl_chests[from],$A109,tbl_chests[legalized],J$1,tbl_chests[datetime],"&gt;="&amp;TODAY()-WEEKDAY(TODAY(),2)+1,tbl_chests[datetime],"&lt;"&amp;TODAY()-WEEKDAY(TODAY(),2)+8)))</f>
        <v>0</v>
      </c>
      <c r="K109" s="36">
        <f ca="1">IF($A109="","",IF(K$1="","",COUNTIFS(tbl_chests[from],$A109,tbl_chests[legalized],K$1,tbl_chests[datetime],"&gt;="&amp;TODAY()-WEEKDAY(TODAY(),2)+1,tbl_chests[datetime],"&lt;"&amp;TODAY()-WEEKDAY(TODAY(),2)+8)))</f>
        <v>0</v>
      </c>
      <c r="L109" s="36">
        <f ca="1">IF($A109="","",IF(L$1="","",COUNTIFS(tbl_chests[from],$A109,tbl_chests[legalized],L$1,tbl_chests[datetime],"&gt;="&amp;TODAY()-WEEKDAY(TODAY(),2)+1,tbl_chests[datetime],"&lt;"&amp;TODAY()-WEEKDAY(TODAY(),2)+8)))</f>
        <v>0</v>
      </c>
      <c r="M109" s="36">
        <f ca="1">IF($A109="","",IF(M$1="","",COUNTIFS(tbl_chests[from],$A109,tbl_chests[legalized],M$1,tbl_chests[datetime],"&gt;="&amp;TODAY()-WEEKDAY(TODAY(),2)+1,tbl_chests[datetime],"&lt;"&amp;TODAY()-WEEKDAY(TODAY(),2)+8)))</f>
        <v>0</v>
      </c>
      <c r="N109" s="36">
        <f ca="1">IF($A109="","",IF(N$1="","",COUNTIFS(tbl_chests[from],$A109,tbl_chests[legalized],N$1,tbl_chests[datetime],"&gt;="&amp;TODAY()-WEEKDAY(TODAY(),2)+1,tbl_chests[datetime],"&lt;"&amp;TODAY()-WEEKDAY(TODAY(),2)+8)))</f>
        <v>0</v>
      </c>
      <c r="O109" s="36">
        <f ca="1">IF($A109="","",IF(O$1="","",COUNTIFS(tbl_chests[from],$A109,tbl_chests[legalized],O$1,tbl_chests[datetime],"&gt;="&amp;TODAY()-WEEKDAY(TODAY(),2)+1,tbl_chests[datetime],"&lt;"&amp;TODAY()-WEEKDAY(TODAY(),2)+8)))</f>
        <v>0</v>
      </c>
      <c r="P109" s="36">
        <f ca="1">IF($A109="","",IF(P$1="","",COUNTIFS(tbl_chests[from],$A109,tbl_chests[legalized],P$1,tbl_chests[datetime],"&gt;="&amp;TODAY()-WEEKDAY(TODAY(),2)+1,tbl_chests[datetime],"&lt;"&amp;TODAY()-WEEKDAY(TODAY(),2)+8)))</f>
        <v>0</v>
      </c>
      <c r="Q109" s="36">
        <f ca="1">IF($A109="","",IF(Q$1="","",COUNTIFS(tbl_chests[from],$A109,tbl_chests[legalized],Q$1,tbl_chests[datetime],"&gt;="&amp;TODAY()-WEEKDAY(TODAY(),2)+1,tbl_chests[datetime],"&lt;"&amp;TODAY()-WEEKDAY(TODAY(),2)+8)))</f>
        <v>0</v>
      </c>
      <c r="R109" s="36">
        <f ca="1">IF($A109="","",IF(R$1="","",COUNTIFS(tbl_chests[from],$A109,tbl_chests[legalized],R$1,tbl_chests[datetime],"&gt;="&amp;TODAY()-WEEKDAY(TODAY(),2)+1,tbl_chests[datetime],"&lt;"&amp;TODAY()-WEEKDAY(TODAY(),2)+8)))</f>
        <v>0</v>
      </c>
      <c r="S109" s="36">
        <f ca="1">IF($A109="","",IF(S$1="","",COUNTIFS(tbl_chests[from],$A109,tbl_chests[legalized],S$1,tbl_chests[datetime],"&gt;="&amp;TODAY()-WEEKDAY(TODAY(),2)+1,tbl_chests[datetime],"&lt;"&amp;TODAY()-WEEKDAY(TODAY(),2)+8)))</f>
        <v>0</v>
      </c>
      <c r="T109" s="36">
        <f ca="1">IF($A109="","",IF(T$1="","",COUNTIFS(tbl_chests[from],$A109,tbl_chests[legalized],T$1,tbl_chests[datetime],"&gt;="&amp;TODAY()-WEEKDAY(TODAY(),2)+1,tbl_chests[datetime],"&lt;"&amp;TODAY()-WEEKDAY(TODAY(),2)+8)))</f>
        <v>0</v>
      </c>
      <c r="U109" s="36">
        <f ca="1">IF($A109="","",IF(U$1="","",COUNTIFS(tbl_chests[from],$A109,tbl_chests[legalized],U$1,tbl_chests[datetime],"&gt;="&amp;TODAY()-WEEKDAY(TODAY(),2)+1,tbl_chests[datetime],"&lt;"&amp;TODAY()-WEEKDAY(TODAY(),2)+8)))</f>
        <v>0</v>
      </c>
      <c r="V109" s="36">
        <f ca="1">IF($A109="","",IF(V$1="","",COUNTIFS(tbl_chests[from],$A109,tbl_chests[legalized],V$1,tbl_chests[datetime],"&gt;="&amp;TODAY()-WEEKDAY(TODAY(),2)+1,tbl_chests[datetime],"&lt;"&amp;TODAY()-WEEKDAY(TODAY(),2)+8)))</f>
        <v>0</v>
      </c>
      <c r="W109" s="36">
        <f ca="1">IF($A109="","",IF(W$1="","",COUNTIFS(tbl_chests[from],$A109,tbl_chests[legalized],W$1,tbl_chests[datetime],"&gt;="&amp;TODAY()-WEEKDAY(TODAY(),2)+1,tbl_chests[datetime],"&lt;"&amp;TODAY()-WEEKDAY(TODAY(),2)+8)))</f>
        <v>0</v>
      </c>
      <c r="X109" s="36">
        <f ca="1">IF($A109="","",IF(X$1="","",COUNTIFS(tbl_chests[from],$A109,tbl_chests[legalized],X$1,tbl_chests[datetime],"&gt;="&amp;TODAY()-WEEKDAY(TODAY(),2)+1,tbl_chests[datetime],"&lt;"&amp;TODAY()-WEEKDAY(TODAY(),2)+8)))</f>
        <v>0</v>
      </c>
      <c r="Y109" s="36">
        <f ca="1">IF($A109="","",IF(Y$1="","",COUNTIFS(tbl_chests[from],$A109,tbl_chests[legalized],Y$1,tbl_chests[datetime],"&gt;="&amp;TODAY()-WEEKDAY(TODAY(),2)+1,tbl_chests[datetime],"&lt;"&amp;TODAY()-WEEKDAY(TODAY(),2)+8)))</f>
        <v>0</v>
      </c>
      <c r="Z109" s="36">
        <f ca="1">IF($A109="","",IF(Z$1="","",COUNTIFS(tbl_chests[from],$A109,tbl_chests[legalized],Z$1,tbl_chests[datetime],"&gt;="&amp;TODAY()-WEEKDAY(TODAY(),2)+1,tbl_chests[datetime],"&lt;"&amp;TODAY()-WEEKDAY(TODAY(),2)+8)))</f>
        <v>0</v>
      </c>
      <c r="AA109" s="36">
        <f ca="1">IF($A109="","",IF(AA$1="","",COUNTIFS(tbl_chests[from],$A109,tbl_chests[legalized],AA$1,tbl_chests[datetime],"&gt;="&amp;TODAY()-WEEKDAY(TODAY(),2)+1,tbl_chests[datetime],"&lt;"&amp;TODAY()-WEEKDAY(TODAY(),2)+8)))</f>
        <v>0</v>
      </c>
      <c r="AB109" s="36">
        <f ca="1">IF($A109="","",IF(AB$1="","",COUNTIFS(tbl_chests[from],$A109,tbl_chests[legalized],AB$1,tbl_chests[datetime],"&gt;="&amp;TODAY()-WEEKDAY(TODAY(),2)+1,tbl_chests[datetime],"&lt;"&amp;TODAY()-WEEKDAY(TODAY(),2)+8)))</f>
        <v>0</v>
      </c>
      <c r="AC109" s="36">
        <f ca="1">IF($A109="","",IF(AC$1="","",COUNTIFS(tbl_chests[from],$A109,tbl_chests[legalized],AC$1,tbl_chests[datetime],"&gt;="&amp;TODAY()-WEEKDAY(TODAY(),2)+1,tbl_chests[datetime],"&lt;"&amp;TODAY()-WEEKDAY(TODAY(),2)+8)))</f>
        <v>0</v>
      </c>
      <c r="AD109" s="36">
        <f ca="1">IF($A109="","",IF(AD$1="","",COUNTIFS(tbl_chests[from],$A109,tbl_chests[legalized],AD$1,tbl_chests[datetime],"&gt;="&amp;TODAY()-WEEKDAY(TODAY(),2)+1,tbl_chests[datetime],"&lt;"&amp;TODAY()-WEEKDAY(TODAY(),2)+8)))</f>
        <v>0</v>
      </c>
      <c r="AE109" s="36">
        <f ca="1">IF($A109="","",IF(AE$1="","",COUNTIFS(tbl_chests[from],$A109,tbl_chests[legalized],AE$1,tbl_chests[datetime],"&gt;="&amp;TODAY()-WEEKDAY(TODAY(),2)+1,tbl_chests[datetime],"&lt;"&amp;TODAY()-WEEKDAY(TODAY(),2)+8)))</f>
        <v>0</v>
      </c>
      <c r="AF109" s="36">
        <f ca="1">IF($A109="","",IF(AF$1="","",COUNTIFS(tbl_chests[from],$A109,tbl_chests[legalized],AF$1,tbl_chests[datetime],"&gt;="&amp;TODAY()-WEEKDAY(TODAY(),2)+1,tbl_chests[datetime],"&lt;"&amp;TODAY()-WEEKDAY(TODAY(),2)+8)))</f>
        <v>0</v>
      </c>
      <c r="AG109" s="36">
        <f ca="1">IF($A109="","",IF(AG$1="","",COUNTIFS(tbl_chests[from],$A109,tbl_chests[legalized],AG$1,tbl_chests[datetime],"&gt;="&amp;TODAY()-WEEKDAY(TODAY(),2)+1,tbl_chests[datetime],"&lt;"&amp;TODAY()-WEEKDAY(TODAY(),2)+8)))</f>
        <v>0</v>
      </c>
      <c r="AH109" s="36">
        <f ca="1">IF($A109="","",IF(AH$1="","",COUNTIFS(tbl_chests[from],$A109,tbl_chests[legalized],AH$1,tbl_chests[datetime],"&gt;="&amp;TODAY()-WEEKDAY(TODAY(),2)+1,tbl_chests[datetime],"&lt;"&amp;TODAY()-WEEKDAY(TODAY(),2)+8)))</f>
        <v>0</v>
      </c>
      <c r="AI109" s="36">
        <f ca="1">IF($A109="","",IF(AI$1="","",COUNTIFS(tbl_chests[from],$A109,tbl_chests[legalized],AI$1,tbl_chests[datetime],"&gt;="&amp;TODAY()-WEEKDAY(TODAY(),2)+1,tbl_chests[datetime],"&lt;"&amp;TODAY()-WEEKDAY(TODAY(),2)+8)))</f>
        <v>0</v>
      </c>
      <c r="AJ109" s="36">
        <f ca="1">IF($A109="","",IF(AJ$1="","",COUNTIFS(tbl_chests[from],$A109,tbl_chests[legalized],AJ$1,tbl_chests[datetime],"&gt;="&amp;TODAY()-WEEKDAY(TODAY(),2)+1,tbl_chests[datetime],"&lt;"&amp;TODAY()-WEEKDAY(TODAY(),2)+8)))</f>
        <v>0</v>
      </c>
      <c r="AK109" s="36">
        <f ca="1">IF($A109="","",IF(AK$1="","",COUNTIFS(tbl_chests[from],$A109,tbl_chests[legalized],AK$1,tbl_chests[datetime],"&gt;="&amp;TODAY()-WEEKDAY(TODAY(),2)+1,tbl_chests[datetime],"&lt;"&amp;TODAY()-WEEKDAY(TODAY(),2)+8)))</f>
        <v>0</v>
      </c>
      <c r="AL109" s="36">
        <f ca="1">IF($A109="","",IF(AL$1="","",COUNTIFS(tbl_chests[from],$A109,tbl_chests[legalized],AL$1,tbl_chests[datetime],"&gt;="&amp;TODAY()-WEEKDAY(TODAY(),2)+1,tbl_chests[datetime],"&lt;"&amp;TODAY()-WEEKDAY(TODAY(),2)+8)))</f>
        <v>0</v>
      </c>
      <c r="AM109" s="37">
        <f ca="1">IF($A109="","",IF(AM$1="","",COUNTIFS(tbl_chests[from],$A109,tbl_chests[legalized],AM$1,tbl_chests[datetime],"&gt;="&amp;TODAY()-WEEKDAY(TODAY(),2)+1,tbl_chests[datetime],"&lt;"&amp;TODAY()-WEEKDAY(TODAY(),2)+8)))</f>
        <v>0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 ht="15.75" customHeight="1" x14ac:dyDescent="0.25">
      <c r="A110" s="34">
        <f>chests_counter!$H107</f>
        <v>0</v>
      </c>
      <c r="B110" s="35" cm="1">
        <f t="array" aca="1" ref="B110" ca="1">IF(A110&lt;&gt;"", SUMPRODUCT(($C$2:$AM$2&lt;&gt;0)*(C110:AM110&lt;&gt;0)*($C$2:$AM$2)*(C110:AM110)), "")</f>
        <v>0</v>
      </c>
      <c r="C110" s="36">
        <f ca="1">IF($A110="","",IF(C$1="","",COUNTIFS(tbl_chests[from],$A110,tbl_chests[legalized],C$1,tbl_chests[datetime],"&gt;="&amp;TODAY()-WEEKDAY(TODAY(),2)+1,tbl_chests[datetime],"&lt;"&amp;TODAY()-WEEKDAY(TODAY(),2)+8)))</f>
        <v>0</v>
      </c>
      <c r="D110" s="36">
        <f ca="1">IF($A110="","",IF(D$1="","",COUNTIFS(tbl_chests[from],$A110,tbl_chests[legalized],D$1,tbl_chests[datetime],"&gt;="&amp;TODAY()-WEEKDAY(TODAY(),2)+1,tbl_chests[datetime],"&lt;"&amp;TODAY()-WEEKDAY(TODAY(),2)+8)))</f>
        <v>0</v>
      </c>
      <c r="E110" s="36">
        <f ca="1">IF($A110="","",IF(E$1="","",COUNTIFS(tbl_chests[from],$A110,tbl_chests[legalized],E$1,tbl_chests[datetime],"&gt;="&amp;TODAY()-WEEKDAY(TODAY(),2)+1,tbl_chests[datetime],"&lt;"&amp;TODAY()-WEEKDAY(TODAY(),2)+8)))</f>
        <v>0</v>
      </c>
      <c r="F110" s="36">
        <f ca="1">IF($A110="","",IF(F$1="","",COUNTIFS(tbl_chests[from],$A110,tbl_chests[legalized],F$1,tbl_chests[datetime],"&gt;="&amp;TODAY()-WEEKDAY(TODAY(),2)+1,tbl_chests[datetime],"&lt;"&amp;TODAY()-WEEKDAY(TODAY(),2)+8)))</f>
        <v>0</v>
      </c>
      <c r="G110" s="36">
        <f ca="1">IF($A110="","",IF(G$1="","",COUNTIFS(tbl_chests[from],$A110,tbl_chests[legalized],G$1,tbl_chests[datetime],"&gt;="&amp;TODAY()-WEEKDAY(TODAY(),2)+1,tbl_chests[datetime],"&lt;"&amp;TODAY()-WEEKDAY(TODAY(),2)+8)))</f>
        <v>0</v>
      </c>
      <c r="H110" s="36">
        <f ca="1">IF($A110="","",IF(H$1="","",COUNTIFS(tbl_chests[from],$A110,tbl_chests[legalized],H$1,tbl_chests[datetime],"&gt;="&amp;TODAY()-WEEKDAY(TODAY(),2)+1,tbl_chests[datetime],"&lt;"&amp;TODAY()-WEEKDAY(TODAY(),2)+8)))</f>
        <v>0</v>
      </c>
      <c r="I110" s="36">
        <f ca="1">IF($A110="","",IF(I$1="","",COUNTIFS(tbl_chests[from],$A110,tbl_chests[legalized],I$1,tbl_chests[datetime],"&gt;="&amp;TODAY()-WEEKDAY(TODAY(),2)+1,tbl_chests[datetime],"&lt;"&amp;TODAY()-WEEKDAY(TODAY(),2)+8)))</f>
        <v>0</v>
      </c>
      <c r="J110" s="36">
        <f ca="1">IF($A110="","",IF(J$1="","",COUNTIFS(tbl_chests[from],$A110,tbl_chests[legalized],J$1,tbl_chests[datetime],"&gt;="&amp;TODAY()-WEEKDAY(TODAY(),2)+1,tbl_chests[datetime],"&lt;"&amp;TODAY()-WEEKDAY(TODAY(),2)+8)))</f>
        <v>0</v>
      </c>
      <c r="K110" s="36">
        <f ca="1">IF($A110="","",IF(K$1="","",COUNTIFS(tbl_chests[from],$A110,tbl_chests[legalized],K$1,tbl_chests[datetime],"&gt;="&amp;TODAY()-WEEKDAY(TODAY(),2)+1,tbl_chests[datetime],"&lt;"&amp;TODAY()-WEEKDAY(TODAY(),2)+8)))</f>
        <v>0</v>
      </c>
      <c r="L110" s="36">
        <f ca="1">IF($A110="","",IF(L$1="","",COUNTIFS(tbl_chests[from],$A110,tbl_chests[legalized],L$1,tbl_chests[datetime],"&gt;="&amp;TODAY()-WEEKDAY(TODAY(),2)+1,tbl_chests[datetime],"&lt;"&amp;TODAY()-WEEKDAY(TODAY(),2)+8)))</f>
        <v>0</v>
      </c>
      <c r="M110" s="36">
        <f ca="1">IF($A110="","",IF(M$1="","",COUNTIFS(tbl_chests[from],$A110,tbl_chests[legalized],M$1,tbl_chests[datetime],"&gt;="&amp;TODAY()-WEEKDAY(TODAY(),2)+1,tbl_chests[datetime],"&lt;"&amp;TODAY()-WEEKDAY(TODAY(),2)+8)))</f>
        <v>0</v>
      </c>
      <c r="N110" s="36">
        <f ca="1">IF($A110="","",IF(N$1="","",COUNTIFS(tbl_chests[from],$A110,tbl_chests[legalized],N$1,tbl_chests[datetime],"&gt;="&amp;TODAY()-WEEKDAY(TODAY(),2)+1,tbl_chests[datetime],"&lt;"&amp;TODAY()-WEEKDAY(TODAY(),2)+8)))</f>
        <v>0</v>
      </c>
      <c r="O110" s="36">
        <f ca="1">IF($A110="","",IF(O$1="","",COUNTIFS(tbl_chests[from],$A110,tbl_chests[legalized],O$1,tbl_chests[datetime],"&gt;="&amp;TODAY()-WEEKDAY(TODAY(),2)+1,tbl_chests[datetime],"&lt;"&amp;TODAY()-WEEKDAY(TODAY(),2)+8)))</f>
        <v>0</v>
      </c>
      <c r="P110" s="36">
        <f ca="1">IF($A110="","",IF(P$1="","",COUNTIFS(tbl_chests[from],$A110,tbl_chests[legalized],P$1,tbl_chests[datetime],"&gt;="&amp;TODAY()-WEEKDAY(TODAY(),2)+1,tbl_chests[datetime],"&lt;"&amp;TODAY()-WEEKDAY(TODAY(),2)+8)))</f>
        <v>0</v>
      </c>
      <c r="Q110" s="36">
        <f ca="1">IF($A110="","",IF(Q$1="","",COUNTIFS(tbl_chests[from],$A110,tbl_chests[legalized],Q$1,tbl_chests[datetime],"&gt;="&amp;TODAY()-WEEKDAY(TODAY(),2)+1,tbl_chests[datetime],"&lt;"&amp;TODAY()-WEEKDAY(TODAY(),2)+8)))</f>
        <v>0</v>
      </c>
      <c r="R110" s="36">
        <f ca="1">IF($A110="","",IF(R$1="","",COUNTIFS(tbl_chests[from],$A110,tbl_chests[legalized],R$1,tbl_chests[datetime],"&gt;="&amp;TODAY()-WEEKDAY(TODAY(),2)+1,tbl_chests[datetime],"&lt;"&amp;TODAY()-WEEKDAY(TODAY(),2)+8)))</f>
        <v>0</v>
      </c>
      <c r="S110" s="36">
        <f ca="1">IF($A110="","",IF(S$1="","",COUNTIFS(tbl_chests[from],$A110,tbl_chests[legalized],S$1,tbl_chests[datetime],"&gt;="&amp;TODAY()-WEEKDAY(TODAY(),2)+1,tbl_chests[datetime],"&lt;"&amp;TODAY()-WEEKDAY(TODAY(),2)+8)))</f>
        <v>0</v>
      </c>
      <c r="T110" s="36">
        <f ca="1">IF($A110="","",IF(T$1="","",COUNTIFS(tbl_chests[from],$A110,tbl_chests[legalized],T$1,tbl_chests[datetime],"&gt;="&amp;TODAY()-WEEKDAY(TODAY(),2)+1,tbl_chests[datetime],"&lt;"&amp;TODAY()-WEEKDAY(TODAY(),2)+8)))</f>
        <v>0</v>
      </c>
      <c r="U110" s="36">
        <f ca="1">IF($A110="","",IF(U$1="","",COUNTIFS(tbl_chests[from],$A110,tbl_chests[legalized],U$1,tbl_chests[datetime],"&gt;="&amp;TODAY()-WEEKDAY(TODAY(),2)+1,tbl_chests[datetime],"&lt;"&amp;TODAY()-WEEKDAY(TODAY(),2)+8)))</f>
        <v>0</v>
      </c>
      <c r="V110" s="36">
        <f ca="1">IF($A110="","",IF(V$1="","",COUNTIFS(tbl_chests[from],$A110,tbl_chests[legalized],V$1,tbl_chests[datetime],"&gt;="&amp;TODAY()-WEEKDAY(TODAY(),2)+1,tbl_chests[datetime],"&lt;"&amp;TODAY()-WEEKDAY(TODAY(),2)+8)))</f>
        <v>0</v>
      </c>
      <c r="W110" s="36">
        <f ca="1">IF($A110="","",IF(W$1="","",COUNTIFS(tbl_chests[from],$A110,tbl_chests[legalized],W$1,tbl_chests[datetime],"&gt;="&amp;TODAY()-WEEKDAY(TODAY(),2)+1,tbl_chests[datetime],"&lt;"&amp;TODAY()-WEEKDAY(TODAY(),2)+8)))</f>
        <v>0</v>
      </c>
      <c r="X110" s="36">
        <f ca="1">IF($A110="","",IF(X$1="","",COUNTIFS(tbl_chests[from],$A110,tbl_chests[legalized],X$1,tbl_chests[datetime],"&gt;="&amp;TODAY()-WEEKDAY(TODAY(),2)+1,tbl_chests[datetime],"&lt;"&amp;TODAY()-WEEKDAY(TODAY(),2)+8)))</f>
        <v>0</v>
      </c>
      <c r="Y110" s="36">
        <f ca="1">IF($A110="","",IF(Y$1="","",COUNTIFS(tbl_chests[from],$A110,tbl_chests[legalized],Y$1,tbl_chests[datetime],"&gt;="&amp;TODAY()-WEEKDAY(TODAY(),2)+1,tbl_chests[datetime],"&lt;"&amp;TODAY()-WEEKDAY(TODAY(),2)+8)))</f>
        <v>0</v>
      </c>
      <c r="Z110" s="36">
        <f ca="1">IF($A110="","",IF(Z$1="","",COUNTIFS(tbl_chests[from],$A110,tbl_chests[legalized],Z$1,tbl_chests[datetime],"&gt;="&amp;TODAY()-WEEKDAY(TODAY(),2)+1,tbl_chests[datetime],"&lt;"&amp;TODAY()-WEEKDAY(TODAY(),2)+8)))</f>
        <v>0</v>
      </c>
      <c r="AA110" s="36">
        <f ca="1">IF($A110="","",IF(AA$1="","",COUNTIFS(tbl_chests[from],$A110,tbl_chests[legalized],AA$1,tbl_chests[datetime],"&gt;="&amp;TODAY()-WEEKDAY(TODAY(),2)+1,tbl_chests[datetime],"&lt;"&amp;TODAY()-WEEKDAY(TODAY(),2)+8)))</f>
        <v>0</v>
      </c>
      <c r="AB110" s="36">
        <f ca="1">IF($A110="","",IF(AB$1="","",COUNTIFS(tbl_chests[from],$A110,tbl_chests[legalized],AB$1,tbl_chests[datetime],"&gt;="&amp;TODAY()-WEEKDAY(TODAY(),2)+1,tbl_chests[datetime],"&lt;"&amp;TODAY()-WEEKDAY(TODAY(),2)+8)))</f>
        <v>0</v>
      </c>
      <c r="AC110" s="36">
        <f ca="1">IF($A110="","",IF(AC$1="","",COUNTIFS(tbl_chests[from],$A110,tbl_chests[legalized],AC$1,tbl_chests[datetime],"&gt;="&amp;TODAY()-WEEKDAY(TODAY(),2)+1,tbl_chests[datetime],"&lt;"&amp;TODAY()-WEEKDAY(TODAY(),2)+8)))</f>
        <v>0</v>
      </c>
      <c r="AD110" s="36">
        <f ca="1">IF($A110="","",IF(AD$1="","",COUNTIFS(tbl_chests[from],$A110,tbl_chests[legalized],AD$1,tbl_chests[datetime],"&gt;="&amp;TODAY()-WEEKDAY(TODAY(),2)+1,tbl_chests[datetime],"&lt;"&amp;TODAY()-WEEKDAY(TODAY(),2)+8)))</f>
        <v>0</v>
      </c>
      <c r="AE110" s="36">
        <f ca="1">IF($A110="","",IF(AE$1="","",COUNTIFS(tbl_chests[from],$A110,tbl_chests[legalized],AE$1,tbl_chests[datetime],"&gt;="&amp;TODAY()-WEEKDAY(TODAY(),2)+1,tbl_chests[datetime],"&lt;"&amp;TODAY()-WEEKDAY(TODAY(),2)+8)))</f>
        <v>0</v>
      </c>
      <c r="AF110" s="36">
        <f ca="1">IF($A110="","",IF(AF$1="","",COUNTIFS(tbl_chests[from],$A110,tbl_chests[legalized],AF$1,tbl_chests[datetime],"&gt;="&amp;TODAY()-WEEKDAY(TODAY(),2)+1,tbl_chests[datetime],"&lt;"&amp;TODAY()-WEEKDAY(TODAY(),2)+8)))</f>
        <v>0</v>
      </c>
      <c r="AG110" s="36">
        <f ca="1">IF($A110="","",IF(AG$1="","",COUNTIFS(tbl_chests[from],$A110,tbl_chests[legalized],AG$1,tbl_chests[datetime],"&gt;="&amp;TODAY()-WEEKDAY(TODAY(),2)+1,tbl_chests[datetime],"&lt;"&amp;TODAY()-WEEKDAY(TODAY(),2)+8)))</f>
        <v>0</v>
      </c>
      <c r="AH110" s="36">
        <f ca="1">IF($A110="","",IF(AH$1="","",COUNTIFS(tbl_chests[from],$A110,tbl_chests[legalized],AH$1,tbl_chests[datetime],"&gt;="&amp;TODAY()-WEEKDAY(TODAY(),2)+1,tbl_chests[datetime],"&lt;"&amp;TODAY()-WEEKDAY(TODAY(),2)+8)))</f>
        <v>0</v>
      </c>
      <c r="AI110" s="36">
        <f ca="1">IF($A110="","",IF(AI$1="","",COUNTIFS(tbl_chests[from],$A110,tbl_chests[legalized],AI$1,tbl_chests[datetime],"&gt;="&amp;TODAY()-WEEKDAY(TODAY(),2)+1,tbl_chests[datetime],"&lt;"&amp;TODAY()-WEEKDAY(TODAY(),2)+8)))</f>
        <v>0</v>
      </c>
      <c r="AJ110" s="36">
        <f ca="1">IF($A110="","",IF(AJ$1="","",COUNTIFS(tbl_chests[from],$A110,tbl_chests[legalized],AJ$1,tbl_chests[datetime],"&gt;="&amp;TODAY()-WEEKDAY(TODAY(),2)+1,tbl_chests[datetime],"&lt;"&amp;TODAY()-WEEKDAY(TODAY(),2)+8)))</f>
        <v>0</v>
      </c>
      <c r="AK110" s="36">
        <f ca="1">IF($A110="","",IF(AK$1="","",COUNTIFS(tbl_chests[from],$A110,tbl_chests[legalized],AK$1,tbl_chests[datetime],"&gt;="&amp;TODAY()-WEEKDAY(TODAY(),2)+1,tbl_chests[datetime],"&lt;"&amp;TODAY()-WEEKDAY(TODAY(),2)+8)))</f>
        <v>0</v>
      </c>
      <c r="AL110" s="36">
        <f ca="1">IF($A110="","",IF(AL$1="","",COUNTIFS(tbl_chests[from],$A110,tbl_chests[legalized],AL$1,tbl_chests[datetime],"&gt;="&amp;TODAY()-WEEKDAY(TODAY(),2)+1,tbl_chests[datetime],"&lt;"&amp;TODAY()-WEEKDAY(TODAY(),2)+8)))</f>
        <v>0</v>
      </c>
      <c r="AM110" s="37">
        <f ca="1">IF($A110="","",IF(AM$1="","",COUNTIFS(tbl_chests[from],$A110,tbl_chests[legalized],AM$1,tbl_chests[datetime],"&gt;="&amp;TODAY()-WEEKDAY(TODAY(),2)+1,tbl_chests[datetime],"&lt;"&amp;TODAY()-WEEKDAY(TODAY(),2)+8)))</f>
        <v>0</v>
      </c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 ht="15.75" customHeight="1" x14ac:dyDescent="0.25">
      <c r="A111" s="34">
        <f>chests_counter!$H108</f>
        <v>0</v>
      </c>
      <c r="B111" s="35" cm="1">
        <f t="array" aca="1" ref="B111" ca="1">IF(A111&lt;&gt;"", SUMPRODUCT(($C$2:$AM$2&lt;&gt;0)*(C111:AM111&lt;&gt;0)*($C$2:$AM$2)*(C111:AM111)), "")</f>
        <v>0</v>
      </c>
      <c r="C111" s="36">
        <f ca="1">IF($A111="","",IF(C$1="","",COUNTIFS(tbl_chests[from],$A111,tbl_chests[legalized],C$1,tbl_chests[datetime],"&gt;="&amp;TODAY()-WEEKDAY(TODAY(),2)+1,tbl_chests[datetime],"&lt;"&amp;TODAY()-WEEKDAY(TODAY(),2)+8)))</f>
        <v>0</v>
      </c>
      <c r="D111" s="36">
        <f ca="1">IF($A111="","",IF(D$1="","",COUNTIFS(tbl_chests[from],$A111,tbl_chests[legalized],D$1,tbl_chests[datetime],"&gt;="&amp;TODAY()-WEEKDAY(TODAY(),2)+1,tbl_chests[datetime],"&lt;"&amp;TODAY()-WEEKDAY(TODAY(),2)+8)))</f>
        <v>0</v>
      </c>
      <c r="E111" s="36">
        <f ca="1">IF($A111="","",IF(E$1="","",COUNTIFS(tbl_chests[from],$A111,tbl_chests[legalized],E$1,tbl_chests[datetime],"&gt;="&amp;TODAY()-WEEKDAY(TODAY(),2)+1,tbl_chests[datetime],"&lt;"&amp;TODAY()-WEEKDAY(TODAY(),2)+8)))</f>
        <v>0</v>
      </c>
      <c r="F111" s="36">
        <f ca="1">IF($A111="","",IF(F$1="","",COUNTIFS(tbl_chests[from],$A111,tbl_chests[legalized],F$1,tbl_chests[datetime],"&gt;="&amp;TODAY()-WEEKDAY(TODAY(),2)+1,tbl_chests[datetime],"&lt;"&amp;TODAY()-WEEKDAY(TODAY(),2)+8)))</f>
        <v>0</v>
      </c>
      <c r="G111" s="36">
        <f ca="1">IF($A111="","",IF(G$1="","",COUNTIFS(tbl_chests[from],$A111,tbl_chests[legalized],G$1,tbl_chests[datetime],"&gt;="&amp;TODAY()-WEEKDAY(TODAY(),2)+1,tbl_chests[datetime],"&lt;"&amp;TODAY()-WEEKDAY(TODAY(),2)+8)))</f>
        <v>0</v>
      </c>
      <c r="H111" s="36">
        <f ca="1">IF($A111="","",IF(H$1="","",COUNTIFS(tbl_chests[from],$A111,tbl_chests[legalized],H$1,tbl_chests[datetime],"&gt;="&amp;TODAY()-WEEKDAY(TODAY(),2)+1,tbl_chests[datetime],"&lt;"&amp;TODAY()-WEEKDAY(TODAY(),2)+8)))</f>
        <v>0</v>
      </c>
      <c r="I111" s="36">
        <f ca="1">IF($A111="","",IF(I$1="","",COUNTIFS(tbl_chests[from],$A111,tbl_chests[legalized],I$1,tbl_chests[datetime],"&gt;="&amp;TODAY()-WEEKDAY(TODAY(),2)+1,tbl_chests[datetime],"&lt;"&amp;TODAY()-WEEKDAY(TODAY(),2)+8)))</f>
        <v>0</v>
      </c>
      <c r="J111" s="36">
        <f ca="1">IF($A111="","",IF(J$1="","",COUNTIFS(tbl_chests[from],$A111,tbl_chests[legalized],J$1,tbl_chests[datetime],"&gt;="&amp;TODAY()-WEEKDAY(TODAY(),2)+1,tbl_chests[datetime],"&lt;"&amp;TODAY()-WEEKDAY(TODAY(),2)+8)))</f>
        <v>0</v>
      </c>
      <c r="K111" s="36">
        <f ca="1">IF($A111="","",IF(K$1="","",COUNTIFS(tbl_chests[from],$A111,tbl_chests[legalized],K$1,tbl_chests[datetime],"&gt;="&amp;TODAY()-WEEKDAY(TODAY(),2)+1,tbl_chests[datetime],"&lt;"&amp;TODAY()-WEEKDAY(TODAY(),2)+8)))</f>
        <v>0</v>
      </c>
      <c r="L111" s="36">
        <f ca="1">IF($A111="","",IF(L$1="","",COUNTIFS(tbl_chests[from],$A111,tbl_chests[legalized],L$1,tbl_chests[datetime],"&gt;="&amp;TODAY()-WEEKDAY(TODAY(),2)+1,tbl_chests[datetime],"&lt;"&amp;TODAY()-WEEKDAY(TODAY(),2)+8)))</f>
        <v>0</v>
      </c>
      <c r="M111" s="36">
        <f ca="1">IF($A111="","",IF(M$1="","",COUNTIFS(tbl_chests[from],$A111,tbl_chests[legalized],M$1,tbl_chests[datetime],"&gt;="&amp;TODAY()-WEEKDAY(TODAY(),2)+1,tbl_chests[datetime],"&lt;"&amp;TODAY()-WEEKDAY(TODAY(),2)+8)))</f>
        <v>0</v>
      </c>
      <c r="N111" s="36">
        <f ca="1">IF($A111="","",IF(N$1="","",COUNTIFS(tbl_chests[from],$A111,tbl_chests[legalized],N$1,tbl_chests[datetime],"&gt;="&amp;TODAY()-WEEKDAY(TODAY(),2)+1,tbl_chests[datetime],"&lt;"&amp;TODAY()-WEEKDAY(TODAY(),2)+8)))</f>
        <v>0</v>
      </c>
      <c r="O111" s="36">
        <f ca="1">IF($A111="","",IF(O$1="","",COUNTIFS(tbl_chests[from],$A111,tbl_chests[legalized],O$1,tbl_chests[datetime],"&gt;="&amp;TODAY()-WEEKDAY(TODAY(),2)+1,tbl_chests[datetime],"&lt;"&amp;TODAY()-WEEKDAY(TODAY(),2)+8)))</f>
        <v>0</v>
      </c>
      <c r="P111" s="36">
        <f ca="1">IF($A111="","",IF(P$1="","",COUNTIFS(tbl_chests[from],$A111,tbl_chests[legalized],P$1,tbl_chests[datetime],"&gt;="&amp;TODAY()-WEEKDAY(TODAY(),2)+1,tbl_chests[datetime],"&lt;"&amp;TODAY()-WEEKDAY(TODAY(),2)+8)))</f>
        <v>0</v>
      </c>
      <c r="Q111" s="36">
        <f ca="1">IF($A111="","",IF(Q$1="","",COUNTIFS(tbl_chests[from],$A111,tbl_chests[legalized],Q$1,tbl_chests[datetime],"&gt;="&amp;TODAY()-WEEKDAY(TODAY(),2)+1,tbl_chests[datetime],"&lt;"&amp;TODAY()-WEEKDAY(TODAY(),2)+8)))</f>
        <v>0</v>
      </c>
      <c r="R111" s="36">
        <f ca="1">IF($A111="","",IF(R$1="","",COUNTIFS(tbl_chests[from],$A111,tbl_chests[legalized],R$1,tbl_chests[datetime],"&gt;="&amp;TODAY()-WEEKDAY(TODAY(),2)+1,tbl_chests[datetime],"&lt;"&amp;TODAY()-WEEKDAY(TODAY(),2)+8)))</f>
        <v>0</v>
      </c>
      <c r="S111" s="36">
        <f ca="1">IF($A111="","",IF(S$1="","",COUNTIFS(tbl_chests[from],$A111,tbl_chests[legalized],S$1,tbl_chests[datetime],"&gt;="&amp;TODAY()-WEEKDAY(TODAY(),2)+1,tbl_chests[datetime],"&lt;"&amp;TODAY()-WEEKDAY(TODAY(),2)+8)))</f>
        <v>0</v>
      </c>
      <c r="T111" s="36">
        <f ca="1">IF($A111="","",IF(T$1="","",COUNTIFS(tbl_chests[from],$A111,tbl_chests[legalized],T$1,tbl_chests[datetime],"&gt;="&amp;TODAY()-WEEKDAY(TODAY(),2)+1,tbl_chests[datetime],"&lt;"&amp;TODAY()-WEEKDAY(TODAY(),2)+8)))</f>
        <v>0</v>
      </c>
      <c r="U111" s="36">
        <f ca="1">IF($A111="","",IF(U$1="","",COUNTIFS(tbl_chests[from],$A111,tbl_chests[legalized],U$1,tbl_chests[datetime],"&gt;="&amp;TODAY()-WEEKDAY(TODAY(),2)+1,tbl_chests[datetime],"&lt;"&amp;TODAY()-WEEKDAY(TODAY(),2)+8)))</f>
        <v>0</v>
      </c>
      <c r="V111" s="36">
        <f ca="1">IF($A111="","",IF(V$1="","",COUNTIFS(tbl_chests[from],$A111,tbl_chests[legalized],V$1,tbl_chests[datetime],"&gt;="&amp;TODAY()-WEEKDAY(TODAY(),2)+1,tbl_chests[datetime],"&lt;"&amp;TODAY()-WEEKDAY(TODAY(),2)+8)))</f>
        <v>0</v>
      </c>
      <c r="W111" s="36">
        <f ca="1">IF($A111="","",IF(W$1="","",COUNTIFS(tbl_chests[from],$A111,tbl_chests[legalized],W$1,tbl_chests[datetime],"&gt;="&amp;TODAY()-WEEKDAY(TODAY(),2)+1,tbl_chests[datetime],"&lt;"&amp;TODAY()-WEEKDAY(TODAY(),2)+8)))</f>
        <v>0</v>
      </c>
      <c r="X111" s="36">
        <f ca="1">IF($A111="","",IF(X$1="","",COUNTIFS(tbl_chests[from],$A111,tbl_chests[legalized],X$1,tbl_chests[datetime],"&gt;="&amp;TODAY()-WEEKDAY(TODAY(),2)+1,tbl_chests[datetime],"&lt;"&amp;TODAY()-WEEKDAY(TODAY(),2)+8)))</f>
        <v>0</v>
      </c>
      <c r="Y111" s="36">
        <f ca="1">IF($A111="","",IF(Y$1="","",COUNTIFS(tbl_chests[from],$A111,tbl_chests[legalized],Y$1,tbl_chests[datetime],"&gt;="&amp;TODAY()-WEEKDAY(TODAY(),2)+1,tbl_chests[datetime],"&lt;"&amp;TODAY()-WEEKDAY(TODAY(),2)+8)))</f>
        <v>0</v>
      </c>
      <c r="Z111" s="36">
        <f ca="1">IF($A111="","",IF(Z$1="","",COUNTIFS(tbl_chests[from],$A111,tbl_chests[legalized],Z$1,tbl_chests[datetime],"&gt;="&amp;TODAY()-WEEKDAY(TODAY(),2)+1,tbl_chests[datetime],"&lt;"&amp;TODAY()-WEEKDAY(TODAY(),2)+8)))</f>
        <v>0</v>
      </c>
      <c r="AA111" s="36">
        <f ca="1">IF($A111="","",IF(AA$1="","",COUNTIFS(tbl_chests[from],$A111,tbl_chests[legalized],AA$1,tbl_chests[datetime],"&gt;="&amp;TODAY()-WEEKDAY(TODAY(),2)+1,tbl_chests[datetime],"&lt;"&amp;TODAY()-WEEKDAY(TODAY(),2)+8)))</f>
        <v>0</v>
      </c>
      <c r="AB111" s="36">
        <f ca="1">IF($A111="","",IF(AB$1="","",COUNTIFS(tbl_chests[from],$A111,tbl_chests[legalized],AB$1,tbl_chests[datetime],"&gt;="&amp;TODAY()-WEEKDAY(TODAY(),2)+1,tbl_chests[datetime],"&lt;"&amp;TODAY()-WEEKDAY(TODAY(),2)+8)))</f>
        <v>0</v>
      </c>
      <c r="AC111" s="36">
        <f ca="1">IF($A111="","",IF(AC$1="","",COUNTIFS(tbl_chests[from],$A111,tbl_chests[legalized],AC$1,tbl_chests[datetime],"&gt;="&amp;TODAY()-WEEKDAY(TODAY(),2)+1,tbl_chests[datetime],"&lt;"&amp;TODAY()-WEEKDAY(TODAY(),2)+8)))</f>
        <v>0</v>
      </c>
      <c r="AD111" s="36">
        <f ca="1">IF($A111="","",IF(AD$1="","",COUNTIFS(tbl_chests[from],$A111,tbl_chests[legalized],AD$1,tbl_chests[datetime],"&gt;="&amp;TODAY()-WEEKDAY(TODAY(),2)+1,tbl_chests[datetime],"&lt;"&amp;TODAY()-WEEKDAY(TODAY(),2)+8)))</f>
        <v>0</v>
      </c>
      <c r="AE111" s="36">
        <f ca="1">IF($A111="","",IF(AE$1="","",COUNTIFS(tbl_chests[from],$A111,tbl_chests[legalized],AE$1,tbl_chests[datetime],"&gt;="&amp;TODAY()-WEEKDAY(TODAY(),2)+1,tbl_chests[datetime],"&lt;"&amp;TODAY()-WEEKDAY(TODAY(),2)+8)))</f>
        <v>0</v>
      </c>
      <c r="AF111" s="36">
        <f ca="1">IF($A111="","",IF(AF$1="","",COUNTIFS(tbl_chests[from],$A111,tbl_chests[legalized],AF$1,tbl_chests[datetime],"&gt;="&amp;TODAY()-WEEKDAY(TODAY(),2)+1,tbl_chests[datetime],"&lt;"&amp;TODAY()-WEEKDAY(TODAY(),2)+8)))</f>
        <v>0</v>
      </c>
      <c r="AG111" s="36">
        <f ca="1">IF($A111="","",IF(AG$1="","",COUNTIFS(tbl_chests[from],$A111,tbl_chests[legalized],AG$1,tbl_chests[datetime],"&gt;="&amp;TODAY()-WEEKDAY(TODAY(),2)+1,tbl_chests[datetime],"&lt;"&amp;TODAY()-WEEKDAY(TODAY(),2)+8)))</f>
        <v>0</v>
      </c>
      <c r="AH111" s="36">
        <f ca="1">IF($A111="","",IF(AH$1="","",COUNTIFS(tbl_chests[from],$A111,tbl_chests[legalized],AH$1,tbl_chests[datetime],"&gt;="&amp;TODAY()-WEEKDAY(TODAY(),2)+1,tbl_chests[datetime],"&lt;"&amp;TODAY()-WEEKDAY(TODAY(),2)+8)))</f>
        <v>0</v>
      </c>
      <c r="AI111" s="36">
        <f ca="1">IF($A111="","",IF(AI$1="","",COUNTIFS(tbl_chests[from],$A111,tbl_chests[legalized],AI$1,tbl_chests[datetime],"&gt;="&amp;TODAY()-WEEKDAY(TODAY(),2)+1,tbl_chests[datetime],"&lt;"&amp;TODAY()-WEEKDAY(TODAY(),2)+8)))</f>
        <v>0</v>
      </c>
      <c r="AJ111" s="36">
        <f ca="1">IF($A111="","",IF(AJ$1="","",COUNTIFS(tbl_chests[from],$A111,tbl_chests[legalized],AJ$1,tbl_chests[datetime],"&gt;="&amp;TODAY()-WEEKDAY(TODAY(),2)+1,tbl_chests[datetime],"&lt;"&amp;TODAY()-WEEKDAY(TODAY(),2)+8)))</f>
        <v>0</v>
      </c>
      <c r="AK111" s="36">
        <f ca="1">IF($A111="","",IF(AK$1="","",COUNTIFS(tbl_chests[from],$A111,tbl_chests[legalized],AK$1,tbl_chests[datetime],"&gt;="&amp;TODAY()-WEEKDAY(TODAY(),2)+1,tbl_chests[datetime],"&lt;"&amp;TODAY()-WEEKDAY(TODAY(),2)+8)))</f>
        <v>0</v>
      </c>
      <c r="AL111" s="36">
        <f ca="1">IF($A111="","",IF(AL$1="","",COUNTIFS(tbl_chests[from],$A111,tbl_chests[legalized],AL$1,tbl_chests[datetime],"&gt;="&amp;TODAY()-WEEKDAY(TODAY(),2)+1,tbl_chests[datetime],"&lt;"&amp;TODAY()-WEEKDAY(TODAY(),2)+8)))</f>
        <v>0</v>
      </c>
      <c r="AM111" s="37">
        <f ca="1">IF($A111="","",IF(AM$1="","",COUNTIFS(tbl_chests[from],$A111,tbl_chests[legalized],AM$1,tbl_chests[datetime],"&gt;="&amp;TODAY()-WEEKDAY(TODAY(),2)+1,tbl_chests[datetime],"&lt;"&amp;TODAY()-WEEKDAY(TODAY(),2)+8)))</f>
        <v>0</v>
      </c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 ht="15.75" customHeight="1" x14ac:dyDescent="0.25">
      <c r="A112" s="34">
        <f>chests_counter!$H109</f>
        <v>0</v>
      </c>
      <c r="B112" s="35" cm="1">
        <f t="array" aca="1" ref="B112" ca="1">IF(A112&lt;&gt;"", SUMPRODUCT(($C$2:$AM$2&lt;&gt;0)*(C112:AM112&lt;&gt;0)*($C$2:$AM$2)*(C112:AM112)), "")</f>
        <v>0</v>
      </c>
      <c r="C112" s="36">
        <f ca="1">IF($A112="","",IF(C$1="","",COUNTIFS(tbl_chests[from],$A112,tbl_chests[legalized],C$1,tbl_chests[datetime],"&gt;="&amp;TODAY()-WEEKDAY(TODAY(),2)+1,tbl_chests[datetime],"&lt;"&amp;TODAY()-WEEKDAY(TODAY(),2)+8)))</f>
        <v>0</v>
      </c>
      <c r="D112" s="36">
        <f ca="1">IF($A112="","",IF(D$1="","",COUNTIFS(tbl_chests[from],$A112,tbl_chests[legalized],D$1,tbl_chests[datetime],"&gt;="&amp;TODAY()-WEEKDAY(TODAY(),2)+1,tbl_chests[datetime],"&lt;"&amp;TODAY()-WEEKDAY(TODAY(),2)+8)))</f>
        <v>0</v>
      </c>
      <c r="E112" s="36">
        <f ca="1">IF($A112="","",IF(E$1="","",COUNTIFS(tbl_chests[from],$A112,tbl_chests[legalized],E$1,tbl_chests[datetime],"&gt;="&amp;TODAY()-WEEKDAY(TODAY(),2)+1,tbl_chests[datetime],"&lt;"&amp;TODAY()-WEEKDAY(TODAY(),2)+8)))</f>
        <v>0</v>
      </c>
      <c r="F112" s="36">
        <f ca="1">IF($A112="","",IF(F$1="","",COUNTIFS(tbl_chests[from],$A112,tbl_chests[legalized],F$1,tbl_chests[datetime],"&gt;="&amp;TODAY()-WEEKDAY(TODAY(),2)+1,tbl_chests[datetime],"&lt;"&amp;TODAY()-WEEKDAY(TODAY(),2)+8)))</f>
        <v>0</v>
      </c>
      <c r="G112" s="36">
        <f ca="1">IF($A112="","",IF(G$1="","",COUNTIFS(tbl_chests[from],$A112,tbl_chests[legalized],G$1,tbl_chests[datetime],"&gt;="&amp;TODAY()-WEEKDAY(TODAY(),2)+1,tbl_chests[datetime],"&lt;"&amp;TODAY()-WEEKDAY(TODAY(),2)+8)))</f>
        <v>0</v>
      </c>
      <c r="H112" s="36">
        <f ca="1">IF($A112="","",IF(H$1="","",COUNTIFS(tbl_chests[from],$A112,tbl_chests[legalized],H$1,tbl_chests[datetime],"&gt;="&amp;TODAY()-WEEKDAY(TODAY(),2)+1,tbl_chests[datetime],"&lt;"&amp;TODAY()-WEEKDAY(TODAY(),2)+8)))</f>
        <v>0</v>
      </c>
      <c r="I112" s="36">
        <f ca="1">IF($A112="","",IF(I$1="","",COUNTIFS(tbl_chests[from],$A112,tbl_chests[legalized],I$1,tbl_chests[datetime],"&gt;="&amp;TODAY()-WEEKDAY(TODAY(),2)+1,tbl_chests[datetime],"&lt;"&amp;TODAY()-WEEKDAY(TODAY(),2)+8)))</f>
        <v>0</v>
      </c>
      <c r="J112" s="36">
        <f ca="1">IF($A112="","",IF(J$1="","",COUNTIFS(tbl_chests[from],$A112,tbl_chests[legalized],J$1,tbl_chests[datetime],"&gt;="&amp;TODAY()-WEEKDAY(TODAY(),2)+1,tbl_chests[datetime],"&lt;"&amp;TODAY()-WEEKDAY(TODAY(),2)+8)))</f>
        <v>0</v>
      </c>
      <c r="K112" s="36">
        <f ca="1">IF($A112="","",IF(K$1="","",COUNTIFS(tbl_chests[from],$A112,tbl_chests[legalized],K$1,tbl_chests[datetime],"&gt;="&amp;TODAY()-WEEKDAY(TODAY(),2)+1,tbl_chests[datetime],"&lt;"&amp;TODAY()-WEEKDAY(TODAY(),2)+8)))</f>
        <v>0</v>
      </c>
      <c r="L112" s="36">
        <f ca="1">IF($A112="","",IF(L$1="","",COUNTIFS(tbl_chests[from],$A112,tbl_chests[legalized],L$1,tbl_chests[datetime],"&gt;="&amp;TODAY()-WEEKDAY(TODAY(),2)+1,tbl_chests[datetime],"&lt;"&amp;TODAY()-WEEKDAY(TODAY(),2)+8)))</f>
        <v>0</v>
      </c>
      <c r="M112" s="36">
        <f ca="1">IF($A112="","",IF(M$1="","",COUNTIFS(tbl_chests[from],$A112,tbl_chests[legalized],M$1,tbl_chests[datetime],"&gt;="&amp;TODAY()-WEEKDAY(TODAY(),2)+1,tbl_chests[datetime],"&lt;"&amp;TODAY()-WEEKDAY(TODAY(),2)+8)))</f>
        <v>0</v>
      </c>
      <c r="N112" s="36">
        <f ca="1">IF($A112="","",IF(N$1="","",COUNTIFS(tbl_chests[from],$A112,tbl_chests[legalized],N$1,tbl_chests[datetime],"&gt;="&amp;TODAY()-WEEKDAY(TODAY(),2)+1,tbl_chests[datetime],"&lt;"&amp;TODAY()-WEEKDAY(TODAY(),2)+8)))</f>
        <v>0</v>
      </c>
      <c r="O112" s="36">
        <f ca="1">IF($A112="","",IF(O$1="","",COUNTIFS(tbl_chests[from],$A112,tbl_chests[legalized],O$1,tbl_chests[datetime],"&gt;="&amp;TODAY()-WEEKDAY(TODAY(),2)+1,tbl_chests[datetime],"&lt;"&amp;TODAY()-WEEKDAY(TODAY(),2)+8)))</f>
        <v>0</v>
      </c>
      <c r="P112" s="36">
        <f ca="1">IF($A112="","",IF(P$1="","",COUNTIFS(tbl_chests[from],$A112,tbl_chests[legalized],P$1,tbl_chests[datetime],"&gt;="&amp;TODAY()-WEEKDAY(TODAY(),2)+1,tbl_chests[datetime],"&lt;"&amp;TODAY()-WEEKDAY(TODAY(),2)+8)))</f>
        <v>0</v>
      </c>
      <c r="Q112" s="36">
        <f ca="1">IF($A112="","",IF(Q$1="","",COUNTIFS(tbl_chests[from],$A112,tbl_chests[legalized],Q$1,tbl_chests[datetime],"&gt;="&amp;TODAY()-WEEKDAY(TODAY(),2)+1,tbl_chests[datetime],"&lt;"&amp;TODAY()-WEEKDAY(TODAY(),2)+8)))</f>
        <v>0</v>
      </c>
      <c r="R112" s="36">
        <f ca="1">IF($A112="","",IF(R$1="","",COUNTIFS(tbl_chests[from],$A112,tbl_chests[legalized],R$1,tbl_chests[datetime],"&gt;="&amp;TODAY()-WEEKDAY(TODAY(),2)+1,tbl_chests[datetime],"&lt;"&amp;TODAY()-WEEKDAY(TODAY(),2)+8)))</f>
        <v>0</v>
      </c>
      <c r="S112" s="36">
        <f ca="1">IF($A112="","",IF(S$1="","",COUNTIFS(tbl_chests[from],$A112,tbl_chests[legalized],S$1,tbl_chests[datetime],"&gt;="&amp;TODAY()-WEEKDAY(TODAY(),2)+1,tbl_chests[datetime],"&lt;"&amp;TODAY()-WEEKDAY(TODAY(),2)+8)))</f>
        <v>0</v>
      </c>
      <c r="T112" s="36">
        <f ca="1">IF($A112="","",IF(T$1="","",COUNTIFS(tbl_chests[from],$A112,tbl_chests[legalized],T$1,tbl_chests[datetime],"&gt;="&amp;TODAY()-WEEKDAY(TODAY(),2)+1,tbl_chests[datetime],"&lt;"&amp;TODAY()-WEEKDAY(TODAY(),2)+8)))</f>
        <v>0</v>
      </c>
      <c r="U112" s="36">
        <f ca="1">IF($A112="","",IF(U$1="","",COUNTIFS(tbl_chests[from],$A112,tbl_chests[legalized],U$1,tbl_chests[datetime],"&gt;="&amp;TODAY()-WEEKDAY(TODAY(),2)+1,tbl_chests[datetime],"&lt;"&amp;TODAY()-WEEKDAY(TODAY(),2)+8)))</f>
        <v>0</v>
      </c>
      <c r="V112" s="36">
        <f ca="1">IF($A112="","",IF(V$1="","",COUNTIFS(tbl_chests[from],$A112,tbl_chests[legalized],V$1,tbl_chests[datetime],"&gt;="&amp;TODAY()-WEEKDAY(TODAY(),2)+1,tbl_chests[datetime],"&lt;"&amp;TODAY()-WEEKDAY(TODAY(),2)+8)))</f>
        <v>0</v>
      </c>
      <c r="W112" s="36">
        <f ca="1">IF($A112="","",IF(W$1="","",COUNTIFS(tbl_chests[from],$A112,tbl_chests[legalized],W$1,tbl_chests[datetime],"&gt;="&amp;TODAY()-WEEKDAY(TODAY(),2)+1,tbl_chests[datetime],"&lt;"&amp;TODAY()-WEEKDAY(TODAY(),2)+8)))</f>
        <v>0</v>
      </c>
      <c r="X112" s="36">
        <f ca="1">IF($A112="","",IF(X$1="","",COUNTIFS(tbl_chests[from],$A112,tbl_chests[legalized],X$1,tbl_chests[datetime],"&gt;="&amp;TODAY()-WEEKDAY(TODAY(),2)+1,tbl_chests[datetime],"&lt;"&amp;TODAY()-WEEKDAY(TODAY(),2)+8)))</f>
        <v>0</v>
      </c>
      <c r="Y112" s="36">
        <f ca="1">IF($A112="","",IF(Y$1="","",COUNTIFS(tbl_chests[from],$A112,tbl_chests[legalized],Y$1,tbl_chests[datetime],"&gt;="&amp;TODAY()-WEEKDAY(TODAY(),2)+1,tbl_chests[datetime],"&lt;"&amp;TODAY()-WEEKDAY(TODAY(),2)+8)))</f>
        <v>0</v>
      </c>
      <c r="Z112" s="36">
        <f ca="1">IF($A112="","",IF(Z$1="","",COUNTIFS(tbl_chests[from],$A112,tbl_chests[legalized],Z$1,tbl_chests[datetime],"&gt;="&amp;TODAY()-WEEKDAY(TODAY(),2)+1,tbl_chests[datetime],"&lt;"&amp;TODAY()-WEEKDAY(TODAY(),2)+8)))</f>
        <v>0</v>
      </c>
      <c r="AA112" s="36">
        <f ca="1">IF($A112="","",IF(AA$1="","",COUNTIFS(tbl_chests[from],$A112,tbl_chests[legalized],AA$1,tbl_chests[datetime],"&gt;="&amp;TODAY()-WEEKDAY(TODAY(),2)+1,tbl_chests[datetime],"&lt;"&amp;TODAY()-WEEKDAY(TODAY(),2)+8)))</f>
        <v>0</v>
      </c>
      <c r="AB112" s="36">
        <f ca="1">IF($A112="","",IF(AB$1="","",COUNTIFS(tbl_chests[from],$A112,tbl_chests[legalized],AB$1,tbl_chests[datetime],"&gt;="&amp;TODAY()-WEEKDAY(TODAY(),2)+1,tbl_chests[datetime],"&lt;"&amp;TODAY()-WEEKDAY(TODAY(),2)+8)))</f>
        <v>0</v>
      </c>
      <c r="AC112" s="36">
        <f ca="1">IF($A112="","",IF(AC$1="","",COUNTIFS(tbl_chests[from],$A112,tbl_chests[legalized],AC$1,tbl_chests[datetime],"&gt;="&amp;TODAY()-WEEKDAY(TODAY(),2)+1,tbl_chests[datetime],"&lt;"&amp;TODAY()-WEEKDAY(TODAY(),2)+8)))</f>
        <v>0</v>
      </c>
      <c r="AD112" s="36">
        <f ca="1">IF($A112="","",IF(AD$1="","",COUNTIFS(tbl_chests[from],$A112,tbl_chests[legalized],AD$1,tbl_chests[datetime],"&gt;="&amp;TODAY()-WEEKDAY(TODAY(),2)+1,tbl_chests[datetime],"&lt;"&amp;TODAY()-WEEKDAY(TODAY(),2)+8)))</f>
        <v>0</v>
      </c>
      <c r="AE112" s="36">
        <f ca="1">IF($A112="","",IF(AE$1="","",COUNTIFS(tbl_chests[from],$A112,tbl_chests[legalized],AE$1,tbl_chests[datetime],"&gt;="&amp;TODAY()-WEEKDAY(TODAY(),2)+1,tbl_chests[datetime],"&lt;"&amp;TODAY()-WEEKDAY(TODAY(),2)+8)))</f>
        <v>0</v>
      </c>
      <c r="AF112" s="36">
        <f ca="1">IF($A112="","",IF(AF$1="","",COUNTIFS(tbl_chests[from],$A112,tbl_chests[legalized],AF$1,tbl_chests[datetime],"&gt;="&amp;TODAY()-WEEKDAY(TODAY(),2)+1,tbl_chests[datetime],"&lt;"&amp;TODAY()-WEEKDAY(TODAY(),2)+8)))</f>
        <v>0</v>
      </c>
      <c r="AG112" s="36">
        <f ca="1">IF($A112="","",IF(AG$1="","",COUNTIFS(tbl_chests[from],$A112,tbl_chests[legalized],AG$1,tbl_chests[datetime],"&gt;="&amp;TODAY()-WEEKDAY(TODAY(),2)+1,tbl_chests[datetime],"&lt;"&amp;TODAY()-WEEKDAY(TODAY(),2)+8)))</f>
        <v>0</v>
      </c>
      <c r="AH112" s="36">
        <f ca="1">IF($A112="","",IF(AH$1="","",COUNTIFS(tbl_chests[from],$A112,tbl_chests[legalized],AH$1,tbl_chests[datetime],"&gt;="&amp;TODAY()-WEEKDAY(TODAY(),2)+1,tbl_chests[datetime],"&lt;"&amp;TODAY()-WEEKDAY(TODAY(),2)+8)))</f>
        <v>0</v>
      </c>
      <c r="AI112" s="36">
        <f ca="1">IF($A112="","",IF(AI$1="","",COUNTIFS(tbl_chests[from],$A112,tbl_chests[legalized],AI$1,tbl_chests[datetime],"&gt;="&amp;TODAY()-WEEKDAY(TODAY(),2)+1,tbl_chests[datetime],"&lt;"&amp;TODAY()-WEEKDAY(TODAY(),2)+8)))</f>
        <v>0</v>
      </c>
      <c r="AJ112" s="36">
        <f ca="1">IF($A112="","",IF(AJ$1="","",COUNTIFS(tbl_chests[from],$A112,tbl_chests[legalized],AJ$1,tbl_chests[datetime],"&gt;="&amp;TODAY()-WEEKDAY(TODAY(),2)+1,tbl_chests[datetime],"&lt;"&amp;TODAY()-WEEKDAY(TODAY(),2)+8)))</f>
        <v>0</v>
      </c>
      <c r="AK112" s="36">
        <f ca="1">IF($A112="","",IF(AK$1="","",COUNTIFS(tbl_chests[from],$A112,tbl_chests[legalized],AK$1,tbl_chests[datetime],"&gt;="&amp;TODAY()-WEEKDAY(TODAY(),2)+1,tbl_chests[datetime],"&lt;"&amp;TODAY()-WEEKDAY(TODAY(),2)+8)))</f>
        <v>0</v>
      </c>
      <c r="AL112" s="36">
        <f ca="1">IF($A112="","",IF(AL$1="","",COUNTIFS(tbl_chests[from],$A112,tbl_chests[legalized],AL$1,tbl_chests[datetime],"&gt;="&amp;TODAY()-WEEKDAY(TODAY(),2)+1,tbl_chests[datetime],"&lt;"&amp;TODAY()-WEEKDAY(TODAY(),2)+8)))</f>
        <v>0</v>
      </c>
      <c r="AM112" s="37">
        <f ca="1">IF($A112="","",IF(AM$1="","",COUNTIFS(tbl_chests[from],$A112,tbl_chests[legalized],AM$1,tbl_chests[datetime],"&gt;="&amp;TODAY()-WEEKDAY(TODAY(),2)+1,tbl_chests[datetime],"&lt;"&amp;TODAY()-WEEKDAY(TODAY(),2)+8)))</f>
        <v>0</v>
      </c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 ht="15.75" customHeight="1" x14ac:dyDescent="0.25">
      <c r="A113" s="34">
        <f>chests_counter!$H110</f>
        <v>0</v>
      </c>
      <c r="B113" s="35" cm="1">
        <f t="array" aca="1" ref="B113" ca="1">IF(A113&lt;&gt;"", SUMPRODUCT(($C$2:$AM$2&lt;&gt;0)*(C113:AM113&lt;&gt;0)*($C$2:$AM$2)*(C113:AM113)), "")</f>
        <v>0</v>
      </c>
      <c r="C113" s="36">
        <f ca="1">IF($A113="","",IF(C$1="","",COUNTIFS(tbl_chests[from],$A113,tbl_chests[legalized],C$1,tbl_chests[datetime],"&gt;="&amp;TODAY()-WEEKDAY(TODAY(),2)+1,tbl_chests[datetime],"&lt;"&amp;TODAY()-WEEKDAY(TODAY(),2)+8)))</f>
        <v>0</v>
      </c>
      <c r="D113" s="36">
        <f ca="1">IF($A113="","",IF(D$1="","",COUNTIFS(tbl_chests[from],$A113,tbl_chests[legalized],D$1,tbl_chests[datetime],"&gt;="&amp;TODAY()-WEEKDAY(TODAY(),2)+1,tbl_chests[datetime],"&lt;"&amp;TODAY()-WEEKDAY(TODAY(),2)+8)))</f>
        <v>0</v>
      </c>
      <c r="E113" s="36">
        <f ca="1">IF($A113="","",IF(E$1="","",COUNTIFS(tbl_chests[from],$A113,tbl_chests[legalized],E$1,tbl_chests[datetime],"&gt;="&amp;TODAY()-WEEKDAY(TODAY(),2)+1,tbl_chests[datetime],"&lt;"&amp;TODAY()-WEEKDAY(TODAY(),2)+8)))</f>
        <v>0</v>
      </c>
      <c r="F113" s="36">
        <f ca="1">IF($A113="","",IF(F$1="","",COUNTIFS(tbl_chests[from],$A113,tbl_chests[legalized],F$1,tbl_chests[datetime],"&gt;="&amp;TODAY()-WEEKDAY(TODAY(),2)+1,tbl_chests[datetime],"&lt;"&amp;TODAY()-WEEKDAY(TODAY(),2)+8)))</f>
        <v>0</v>
      </c>
      <c r="G113" s="36">
        <f ca="1">IF($A113="","",IF(G$1="","",COUNTIFS(tbl_chests[from],$A113,tbl_chests[legalized],G$1,tbl_chests[datetime],"&gt;="&amp;TODAY()-WEEKDAY(TODAY(),2)+1,tbl_chests[datetime],"&lt;"&amp;TODAY()-WEEKDAY(TODAY(),2)+8)))</f>
        <v>0</v>
      </c>
      <c r="H113" s="36">
        <f ca="1">IF($A113="","",IF(H$1="","",COUNTIFS(tbl_chests[from],$A113,tbl_chests[legalized],H$1,tbl_chests[datetime],"&gt;="&amp;TODAY()-WEEKDAY(TODAY(),2)+1,tbl_chests[datetime],"&lt;"&amp;TODAY()-WEEKDAY(TODAY(),2)+8)))</f>
        <v>0</v>
      </c>
      <c r="I113" s="36">
        <f ca="1">IF($A113="","",IF(I$1="","",COUNTIFS(tbl_chests[from],$A113,tbl_chests[legalized],I$1,tbl_chests[datetime],"&gt;="&amp;TODAY()-WEEKDAY(TODAY(),2)+1,tbl_chests[datetime],"&lt;"&amp;TODAY()-WEEKDAY(TODAY(),2)+8)))</f>
        <v>0</v>
      </c>
      <c r="J113" s="36">
        <f ca="1">IF($A113="","",IF(J$1="","",COUNTIFS(tbl_chests[from],$A113,tbl_chests[legalized],J$1,tbl_chests[datetime],"&gt;="&amp;TODAY()-WEEKDAY(TODAY(),2)+1,tbl_chests[datetime],"&lt;"&amp;TODAY()-WEEKDAY(TODAY(),2)+8)))</f>
        <v>0</v>
      </c>
      <c r="K113" s="36">
        <f ca="1">IF($A113="","",IF(K$1="","",COUNTIFS(tbl_chests[from],$A113,tbl_chests[legalized],K$1,tbl_chests[datetime],"&gt;="&amp;TODAY()-WEEKDAY(TODAY(),2)+1,tbl_chests[datetime],"&lt;"&amp;TODAY()-WEEKDAY(TODAY(),2)+8)))</f>
        <v>0</v>
      </c>
      <c r="L113" s="36">
        <f ca="1">IF($A113="","",IF(L$1="","",COUNTIFS(tbl_chests[from],$A113,tbl_chests[legalized],L$1,tbl_chests[datetime],"&gt;="&amp;TODAY()-WEEKDAY(TODAY(),2)+1,tbl_chests[datetime],"&lt;"&amp;TODAY()-WEEKDAY(TODAY(),2)+8)))</f>
        <v>0</v>
      </c>
      <c r="M113" s="36">
        <f ca="1">IF($A113="","",IF(M$1="","",COUNTIFS(tbl_chests[from],$A113,tbl_chests[legalized],M$1,tbl_chests[datetime],"&gt;="&amp;TODAY()-WEEKDAY(TODAY(),2)+1,tbl_chests[datetime],"&lt;"&amp;TODAY()-WEEKDAY(TODAY(),2)+8)))</f>
        <v>0</v>
      </c>
      <c r="N113" s="36">
        <f ca="1">IF($A113="","",IF(N$1="","",COUNTIFS(tbl_chests[from],$A113,tbl_chests[legalized],N$1,tbl_chests[datetime],"&gt;="&amp;TODAY()-WEEKDAY(TODAY(),2)+1,tbl_chests[datetime],"&lt;"&amp;TODAY()-WEEKDAY(TODAY(),2)+8)))</f>
        <v>0</v>
      </c>
      <c r="O113" s="36">
        <f ca="1">IF($A113="","",IF(O$1="","",COUNTIFS(tbl_chests[from],$A113,tbl_chests[legalized],O$1,tbl_chests[datetime],"&gt;="&amp;TODAY()-WEEKDAY(TODAY(),2)+1,tbl_chests[datetime],"&lt;"&amp;TODAY()-WEEKDAY(TODAY(),2)+8)))</f>
        <v>0</v>
      </c>
      <c r="P113" s="36">
        <f ca="1">IF($A113="","",IF(P$1="","",COUNTIFS(tbl_chests[from],$A113,tbl_chests[legalized],P$1,tbl_chests[datetime],"&gt;="&amp;TODAY()-WEEKDAY(TODAY(),2)+1,tbl_chests[datetime],"&lt;"&amp;TODAY()-WEEKDAY(TODAY(),2)+8)))</f>
        <v>0</v>
      </c>
      <c r="Q113" s="36">
        <f ca="1">IF($A113="","",IF(Q$1="","",COUNTIFS(tbl_chests[from],$A113,tbl_chests[legalized],Q$1,tbl_chests[datetime],"&gt;="&amp;TODAY()-WEEKDAY(TODAY(),2)+1,tbl_chests[datetime],"&lt;"&amp;TODAY()-WEEKDAY(TODAY(),2)+8)))</f>
        <v>0</v>
      </c>
      <c r="R113" s="36">
        <f ca="1">IF($A113="","",IF(R$1="","",COUNTIFS(tbl_chests[from],$A113,tbl_chests[legalized],R$1,tbl_chests[datetime],"&gt;="&amp;TODAY()-WEEKDAY(TODAY(),2)+1,tbl_chests[datetime],"&lt;"&amp;TODAY()-WEEKDAY(TODAY(),2)+8)))</f>
        <v>0</v>
      </c>
      <c r="S113" s="36">
        <f ca="1">IF($A113="","",IF(S$1="","",COUNTIFS(tbl_chests[from],$A113,tbl_chests[legalized],S$1,tbl_chests[datetime],"&gt;="&amp;TODAY()-WEEKDAY(TODAY(),2)+1,tbl_chests[datetime],"&lt;"&amp;TODAY()-WEEKDAY(TODAY(),2)+8)))</f>
        <v>0</v>
      </c>
      <c r="T113" s="36">
        <f ca="1">IF($A113="","",IF(T$1="","",COUNTIFS(tbl_chests[from],$A113,tbl_chests[legalized],T$1,tbl_chests[datetime],"&gt;="&amp;TODAY()-WEEKDAY(TODAY(),2)+1,tbl_chests[datetime],"&lt;"&amp;TODAY()-WEEKDAY(TODAY(),2)+8)))</f>
        <v>0</v>
      </c>
      <c r="U113" s="36">
        <f ca="1">IF($A113="","",IF(U$1="","",COUNTIFS(tbl_chests[from],$A113,tbl_chests[legalized],U$1,tbl_chests[datetime],"&gt;="&amp;TODAY()-WEEKDAY(TODAY(),2)+1,tbl_chests[datetime],"&lt;"&amp;TODAY()-WEEKDAY(TODAY(),2)+8)))</f>
        <v>0</v>
      </c>
      <c r="V113" s="36">
        <f ca="1">IF($A113="","",IF(V$1="","",COUNTIFS(tbl_chests[from],$A113,tbl_chests[legalized],V$1,tbl_chests[datetime],"&gt;="&amp;TODAY()-WEEKDAY(TODAY(),2)+1,tbl_chests[datetime],"&lt;"&amp;TODAY()-WEEKDAY(TODAY(),2)+8)))</f>
        <v>0</v>
      </c>
      <c r="W113" s="36">
        <f ca="1">IF($A113="","",IF(W$1="","",COUNTIFS(tbl_chests[from],$A113,tbl_chests[legalized],W$1,tbl_chests[datetime],"&gt;="&amp;TODAY()-WEEKDAY(TODAY(),2)+1,tbl_chests[datetime],"&lt;"&amp;TODAY()-WEEKDAY(TODAY(),2)+8)))</f>
        <v>0</v>
      </c>
      <c r="X113" s="36">
        <f ca="1">IF($A113="","",IF(X$1="","",COUNTIFS(tbl_chests[from],$A113,tbl_chests[legalized],X$1,tbl_chests[datetime],"&gt;="&amp;TODAY()-WEEKDAY(TODAY(),2)+1,tbl_chests[datetime],"&lt;"&amp;TODAY()-WEEKDAY(TODAY(),2)+8)))</f>
        <v>0</v>
      </c>
      <c r="Y113" s="36">
        <f ca="1">IF($A113="","",IF(Y$1="","",COUNTIFS(tbl_chests[from],$A113,tbl_chests[legalized],Y$1,tbl_chests[datetime],"&gt;="&amp;TODAY()-WEEKDAY(TODAY(),2)+1,tbl_chests[datetime],"&lt;"&amp;TODAY()-WEEKDAY(TODAY(),2)+8)))</f>
        <v>0</v>
      </c>
      <c r="Z113" s="36">
        <f ca="1">IF($A113="","",IF(Z$1="","",COUNTIFS(tbl_chests[from],$A113,tbl_chests[legalized],Z$1,tbl_chests[datetime],"&gt;="&amp;TODAY()-WEEKDAY(TODAY(),2)+1,tbl_chests[datetime],"&lt;"&amp;TODAY()-WEEKDAY(TODAY(),2)+8)))</f>
        <v>0</v>
      </c>
      <c r="AA113" s="36">
        <f ca="1">IF($A113="","",IF(AA$1="","",COUNTIFS(tbl_chests[from],$A113,tbl_chests[legalized],AA$1,tbl_chests[datetime],"&gt;="&amp;TODAY()-WEEKDAY(TODAY(),2)+1,tbl_chests[datetime],"&lt;"&amp;TODAY()-WEEKDAY(TODAY(),2)+8)))</f>
        <v>0</v>
      </c>
      <c r="AB113" s="36">
        <f ca="1">IF($A113="","",IF(AB$1="","",COUNTIFS(tbl_chests[from],$A113,tbl_chests[legalized],AB$1,tbl_chests[datetime],"&gt;="&amp;TODAY()-WEEKDAY(TODAY(),2)+1,tbl_chests[datetime],"&lt;"&amp;TODAY()-WEEKDAY(TODAY(),2)+8)))</f>
        <v>0</v>
      </c>
      <c r="AC113" s="36">
        <f ca="1">IF($A113="","",IF(AC$1="","",COUNTIFS(tbl_chests[from],$A113,tbl_chests[legalized],AC$1,tbl_chests[datetime],"&gt;="&amp;TODAY()-WEEKDAY(TODAY(),2)+1,tbl_chests[datetime],"&lt;"&amp;TODAY()-WEEKDAY(TODAY(),2)+8)))</f>
        <v>0</v>
      </c>
      <c r="AD113" s="36">
        <f ca="1">IF($A113="","",IF(AD$1="","",COUNTIFS(tbl_chests[from],$A113,tbl_chests[legalized],AD$1,tbl_chests[datetime],"&gt;="&amp;TODAY()-WEEKDAY(TODAY(),2)+1,tbl_chests[datetime],"&lt;"&amp;TODAY()-WEEKDAY(TODAY(),2)+8)))</f>
        <v>0</v>
      </c>
      <c r="AE113" s="36">
        <f ca="1">IF($A113="","",IF(AE$1="","",COUNTIFS(tbl_chests[from],$A113,tbl_chests[legalized],AE$1,tbl_chests[datetime],"&gt;="&amp;TODAY()-WEEKDAY(TODAY(),2)+1,tbl_chests[datetime],"&lt;"&amp;TODAY()-WEEKDAY(TODAY(),2)+8)))</f>
        <v>0</v>
      </c>
      <c r="AF113" s="36">
        <f ca="1">IF($A113="","",IF(AF$1="","",COUNTIFS(tbl_chests[from],$A113,tbl_chests[legalized],AF$1,tbl_chests[datetime],"&gt;="&amp;TODAY()-WEEKDAY(TODAY(),2)+1,tbl_chests[datetime],"&lt;"&amp;TODAY()-WEEKDAY(TODAY(),2)+8)))</f>
        <v>0</v>
      </c>
      <c r="AG113" s="36">
        <f ca="1">IF($A113="","",IF(AG$1="","",COUNTIFS(tbl_chests[from],$A113,tbl_chests[legalized],AG$1,tbl_chests[datetime],"&gt;="&amp;TODAY()-WEEKDAY(TODAY(),2)+1,tbl_chests[datetime],"&lt;"&amp;TODAY()-WEEKDAY(TODAY(),2)+8)))</f>
        <v>0</v>
      </c>
      <c r="AH113" s="36">
        <f ca="1">IF($A113="","",IF(AH$1="","",COUNTIFS(tbl_chests[from],$A113,tbl_chests[legalized],AH$1,tbl_chests[datetime],"&gt;="&amp;TODAY()-WEEKDAY(TODAY(),2)+1,tbl_chests[datetime],"&lt;"&amp;TODAY()-WEEKDAY(TODAY(),2)+8)))</f>
        <v>0</v>
      </c>
      <c r="AI113" s="36">
        <f ca="1">IF($A113="","",IF(AI$1="","",COUNTIFS(tbl_chests[from],$A113,tbl_chests[legalized],AI$1,tbl_chests[datetime],"&gt;="&amp;TODAY()-WEEKDAY(TODAY(),2)+1,tbl_chests[datetime],"&lt;"&amp;TODAY()-WEEKDAY(TODAY(),2)+8)))</f>
        <v>0</v>
      </c>
      <c r="AJ113" s="36">
        <f ca="1">IF($A113="","",IF(AJ$1="","",COUNTIFS(tbl_chests[from],$A113,tbl_chests[legalized],AJ$1,tbl_chests[datetime],"&gt;="&amp;TODAY()-WEEKDAY(TODAY(),2)+1,tbl_chests[datetime],"&lt;"&amp;TODAY()-WEEKDAY(TODAY(),2)+8)))</f>
        <v>0</v>
      </c>
      <c r="AK113" s="36">
        <f ca="1">IF($A113="","",IF(AK$1="","",COUNTIFS(tbl_chests[from],$A113,tbl_chests[legalized],AK$1,tbl_chests[datetime],"&gt;="&amp;TODAY()-WEEKDAY(TODAY(),2)+1,tbl_chests[datetime],"&lt;"&amp;TODAY()-WEEKDAY(TODAY(),2)+8)))</f>
        <v>0</v>
      </c>
      <c r="AL113" s="36">
        <f ca="1">IF($A113="","",IF(AL$1="","",COUNTIFS(tbl_chests[from],$A113,tbl_chests[legalized],AL$1,tbl_chests[datetime],"&gt;="&amp;TODAY()-WEEKDAY(TODAY(),2)+1,tbl_chests[datetime],"&lt;"&amp;TODAY()-WEEKDAY(TODAY(),2)+8)))</f>
        <v>0</v>
      </c>
      <c r="AM113" s="37">
        <f ca="1">IF($A113="","",IF(AM$1="","",COUNTIFS(tbl_chests[from],$A113,tbl_chests[legalized],AM$1,tbl_chests[datetime],"&gt;="&amp;TODAY()-WEEKDAY(TODAY(),2)+1,tbl_chests[datetime],"&lt;"&amp;TODAY()-WEEKDAY(TODAY(),2)+8)))</f>
        <v>0</v>
      </c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 ht="15.75" customHeight="1" x14ac:dyDescent="0.25">
      <c r="A114" s="34">
        <f>chests_counter!$H111</f>
        <v>0</v>
      </c>
      <c r="B114" s="35" cm="1">
        <f t="array" aca="1" ref="B114" ca="1">IF(A114&lt;&gt;"", SUMPRODUCT(($C$2:$AM$2&lt;&gt;0)*(C114:AM114&lt;&gt;0)*($C$2:$AM$2)*(C114:AM114)), "")</f>
        <v>0</v>
      </c>
      <c r="C114" s="36">
        <f ca="1">IF($A114="","",IF(C$1="","",COUNTIFS(tbl_chests[from],$A114,tbl_chests[legalized],C$1,tbl_chests[datetime],"&gt;="&amp;TODAY()-WEEKDAY(TODAY(),2)+1,tbl_chests[datetime],"&lt;"&amp;TODAY()-WEEKDAY(TODAY(),2)+8)))</f>
        <v>0</v>
      </c>
      <c r="D114" s="36">
        <f ca="1">IF($A114="","",IF(D$1="","",COUNTIFS(tbl_chests[from],$A114,tbl_chests[legalized],D$1,tbl_chests[datetime],"&gt;="&amp;TODAY()-WEEKDAY(TODAY(),2)+1,tbl_chests[datetime],"&lt;"&amp;TODAY()-WEEKDAY(TODAY(),2)+8)))</f>
        <v>0</v>
      </c>
      <c r="E114" s="36">
        <f ca="1">IF($A114="","",IF(E$1="","",COUNTIFS(tbl_chests[from],$A114,tbl_chests[legalized],E$1,tbl_chests[datetime],"&gt;="&amp;TODAY()-WEEKDAY(TODAY(),2)+1,tbl_chests[datetime],"&lt;"&amp;TODAY()-WEEKDAY(TODAY(),2)+8)))</f>
        <v>0</v>
      </c>
      <c r="F114" s="36">
        <f ca="1">IF($A114="","",IF(F$1="","",COUNTIFS(tbl_chests[from],$A114,tbl_chests[legalized],F$1,tbl_chests[datetime],"&gt;="&amp;TODAY()-WEEKDAY(TODAY(),2)+1,tbl_chests[datetime],"&lt;"&amp;TODAY()-WEEKDAY(TODAY(),2)+8)))</f>
        <v>0</v>
      </c>
      <c r="G114" s="36">
        <f ca="1">IF($A114="","",IF(G$1="","",COUNTIFS(tbl_chests[from],$A114,tbl_chests[legalized],G$1,tbl_chests[datetime],"&gt;="&amp;TODAY()-WEEKDAY(TODAY(),2)+1,tbl_chests[datetime],"&lt;"&amp;TODAY()-WEEKDAY(TODAY(),2)+8)))</f>
        <v>0</v>
      </c>
      <c r="H114" s="36">
        <f ca="1">IF($A114="","",IF(H$1="","",COUNTIFS(tbl_chests[from],$A114,tbl_chests[legalized],H$1,tbl_chests[datetime],"&gt;="&amp;TODAY()-WEEKDAY(TODAY(),2)+1,tbl_chests[datetime],"&lt;"&amp;TODAY()-WEEKDAY(TODAY(),2)+8)))</f>
        <v>0</v>
      </c>
      <c r="I114" s="36">
        <f ca="1">IF($A114="","",IF(I$1="","",COUNTIFS(tbl_chests[from],$A114,tbl_chests[legalized],I$1,tbl_chests[datetime],"&gt;="&amp;TODAY()-WEEKDAY(TODAY(),2)+1,tbl_chests[datetime],"&lt;"&amp;TODAY()-WEEKDAY(TODAY(),2)+8)))</f>
        <v>0</v>
      </c>
      <c r="J114" s="36">
        <f ca="1">IF($A114="","",IF(J$1="","",COUNTIFS(tbl_chests[from],$A114,tbl_chests[legalized],J$1,tbl_chests[datetime],"&gt;="&amp;TODAY()-WEEKDAY(TODAY(),2)+1,tbl_chests[datetime],"&lt;"&amp;TODAY()-WEEKDAY(TODAY(),2)+8)))</f>
        <v>0</v>
      </c>
      <c r="K114" s="36">
        <f ca="1">IF($A114="","",IF(K$1="","",COUNTIFS(tbl_chests[from],$A114,tbl_chests[legalized],K$1,tbl_chests[datetime],"&gt;="&amp;TODAY()-WEEKDAY(TODAY(),2)+1,tbl_chests[datetime],"&lt;"&amp;TODAY()-WEEKDAY(TODAY(),2)+8)))</f>
        <v>0</v>
      </c>
      <c r="L114" s="36">
        <f ca="1">IF($A114="","",IF(L$1="","",COUNTIFS(tbl_chests[from],$A114,tbl_chests[legalized],L$1,tbl_chests[datetime],"&gt;="&amp;TODAY()-WEEKDAY(TODAY(),2)+1,tbl_chests[datetime],"&lt;"&amp;TODAY()-WEEKDAY(TODAY(),2)+8)))</f>
        <v>0</v>
      </c>
      <c r="M114" s="36">
        <f ca="1">IF($A114="","",IF(M$1="","",COUNTIFS(tbl_chests[from],$A114,tbl_chests[legalized],M$1,tbl_chests[datetime],"&gt;="&amp;TODAY()-WEEKDAY(TODAY(),2)+1,tbl_chests[datetime],"&lt;"&amp;TODAY()-WEEKDAY(TODAY(),2)+8)))</f>
        <v>0</v>
      </c>
      <c r="N114" s="36">
        <f ca="1">IF($A114="","",IF(N$1="","",COUNTIFS(tbl_chests[from],$A114,tbl_chests[legalized],N$1,tbl_chests[datetime],"&gt;="&amp;TODAY()-WEEKDAY(TODAY(),2)+1,tbl_chests[datetime],"&lt;"&amp;TODAY()-WEEKDAY(TODAY(),2)+8)))</f>
        <v>0</v>
      </c>
      <c r="O114" s="36">
        <f ca="1">IF($A114="","",IF(O$1="","",COUNTIFS(tbl_chests[from],$A114,tbl_chests[legalized],O$1,tbl_chests[datetime],"&gt;="&amp;TODAY()-WEEKDAY(TODAY(),2)+1,tbl_chests[datetime],"&lt;"&amp;TODAY()-WEEKDAY(TODAY(),2)+8)))</f>
        <v>0</v>
      </c>
      <c r="P114" s="36">
        <f ca="1">IF($A114="","",IF(P$1="","",COUNTIFS(tbl_chests[from],$A114,tbl_chests[legalized],P$1,tbl_chests[datetime],"&gt;="&amp;TODAY()-WEEKDAY(TODAY(),2)+1,tbl_chests[datetime],"&lt;"&amp;TODAY()-WEEKDAY(TODAY(),2)+8)))</f>
        <v>0</v>
      </c>
      <c r="Q114" s="36">
        <f ca="1">IF($A114="","",IF(Q$1="","",COUNTIFS(tbl_chests[from],$A114,tbl_chests[legalized],Q$1,tbl_chests[datetime],"&gt;="&amp;TODAY()-WEEKDAY(TODAY(),2)+1,tbl_chests[datetime],"&lt;"&amp;TODAY()-WEEKDAY(TODAY(),2)+8)))</f>
        <v>0</v>
      </c>
      <c r="R114" s="36">
        <f ca="1">IF($A114="","",IF(R$1="","",COUNTIFS(tbl_chests[from],$A114,tbl_chests[legalized],R$1,tbl_chests[datetime],"&gt;="&amp;TODAY()-WEEKDAY(TODAY(),2)+1,tbl_chests[datetime],"&lt;"&amp;TODAY()-WEEKDAY(TODAY(),2)+8)))</f>
        <v>0</v>
      </c>
      <c r="S114" s="36">
        <f ca="1">IF($A114="","",IF(S$1="","",COUNTIFS(tbl_chests[from],$A114,tbl_chests[legalized],S$1,tbl_chests[datetime],"&gt;="&amp;TODAY()-WEEKDAY(TODAY(),2)+1,tbl_chests[datetime],"&lt;"&amp;TODAY()-WEEKDAY(TODAY(),2)+8)))</f>
        <v>0</v>
      </c>
      <c r="T114" s="36">
        <f ca="1">IF($A114="","",IF(T$1="","",COUNTIFS(tbl_chests[from],$A114,tbl_chests[legalized],T$1,tbl_chests[datetime],"&gt;="&amp;TODAY()-WEEKDAY(TODAY(),2)+1,tbl_chests[datetime],"&lt;"&amp;TODAY()-WEEKDAY(TODAY(),2)+8)))</f>
        <v>0</v>
      </c>
      <c r="U114" s="36">
        <f ca="1">IF($A114="","",IF(U$1="","",COUNTIFS(tbl_chests[from],$A114,tbl_chests[legalized],U$1,tbl_chests[datetime],"&gt;="&amp;TODAY()-WEEKDAY(TODAY(),2)+1,tbl_chests[datetime],"&lt;"&amp;TODAY()-WEEKDAY(TODAY(),2)+8)))</f>
        <v>0</v>
      </c>
      <c r="V114" s="36">
        <f ca="1">IF($A114="","",IF(V$1="","",COUNTIFS(tbl_chests[from],$A114,tbl_chests[legalized],V$1,tbl_chests[datetime],"&gt;="&amp;TODAY()-WEEKDAY(TODAY(),2)+1,tbl_chests[datetime],"&lt;"&amp;TODAY()-WEEKDAY(TODAY(),2)+8)))</f>
        <v>0</v>
      </c>
      <c r="W114" s="36">
        <f ca="1">IF($A114="","",IF(W$1="","",COUNTIFS(tbl_chests[from],$A114,tbl_chests[legalized],W$1,tbl_chests[datetime],"&gt;="&amp;TODAY()-WEEKDAY(TODAY(),2)+1,tbl_chests[datetime],"&lt;"&amp;TODAY()-WEEKDAY(TODAY(),2)+8)))</f>
        <v>0</v>
      </c>
      <c r="X114" s="36">
        <f ca="1">IF($A114="","",IF(X$1="","",COUNTIFS(tbl_chests[from],$A114,tbl_chests[legalized],X$1,tbl_chests[datetime],"&gt;="&amp;TODAY()-WEEKDAY(TODAY(),2)+1,tbl_chests[datetime],"&lt;"&amp;TODAY()-WEEKDAY(TODAY(),2)+8)))</f>
        <v>0</v>
      </c>
      <c r="Y114" s="36">
        <f ca="1">IF($A114="","",IF(Y$1="","",COUNTIFS(tbl_chests[from],$A114,tbl_chests[legalized],Y$1,tbl_chests[datetime],"&gt;="&amp;TODAY()-WEEKDAY(TODAY(),2)+1,tbl_chests[datetime],"&lt;"&amp;TODAY()-WEEKDAY(TODAY(),2)+8)))</f>
        <v>0</v>
      </c>
      <c r="Z114" s="36">
        <f ca="1">IF($A114="","",IF(Z$1="","",COUNTIFS(tbl_chests[from],$A114,tbl_chests[legalized],Z$1,tbl_chests[datetime],"&gt;="&amp;TODAY()-WEEKDAY(TODAY(),2)+1,tbl_chests[datetime],"&lt;"&amp;TODAY()-WEEKDAY(TODAY(),2)+8)))</f>
        <v>0</v>
      </c>
      <c r="AA114" s="36">
        <f ca="1">IF($A114="","",IF(AA$1="","",COUNTIFS(tbl_chests[from],$A114,tbl_chests[legalized],AA$1,tbl_chests[datetime],"&gt;="&amp;TODAY()-WEEKDAY(TODAY(),2)+1,tbl_chests[datetime],"&lt;"&amp;TODAY()-WEEKDAY(TODAY(),2)+8)))</f>
        <v>0</v>
      </c>
      <c r="AB114" s="36">
        <f ca="1">IF($A114="","",IF(AB$1="","",COUNTIFS(tbl_chests[from],$A114,tbl_chests[legalized],AB$1,tbl_chests[datetime],"&gt;="&amp;TODAY()-WEEKDAY(TODAY(),2)+1,tbl_chests[datetime],"&lt;"&amp;TODAY()-WEEKDAY(TODAY(),2)+8)))</f>
        <v>0</v>
      </c>
      <c r="AC114" s="36">
        <f ca="1">IF($A114="","",IF(AC$1="","",COUNTIFS(tbl_chests[from],$A114,tbl_chests[legalized],AC$1,tbl_chests[datetime],"&gt;="&amp;TODAY()-WEEKDAY(TODAY(),2)+1,tbl_chests[datetime],"&lt;"&amp;TODAY()-WEEKDAY(TODAY(),2)+8)))</f>
        <v>0</v>
      </c>
      <c r="AD114" s="36">
        <f ca="1">IF($A114="","",IF(AD$1="","",COUNTIFS(tbl_chests[from],$A114,tbl_chests[legalized],AD$1,tbl_chests[datetime],"&gt;="&amp;TODAY()-WEEKDAY(TODAY(),2)+1,tbl_chests[datetime],"&lt;"&amp;TODAY()-WEEKDAY(TODAY(),2)+8)))</f>
        <v>0</v>
      </c>
      <c r="AE114" s="36">
        <f ca="1">IF($A114="","",IF(AE$1="","",COUNTIFS(tbl_chests[from],$A114,tbl_chests[legalized],AE$1,tbl_chests[datetime],"&gt;="&amp;TODAY()-WEEKDAY(TODAY(),2)+1,tbl_chests[datetime],"&lt;"&amp;TODAY()-WEEKDAY(TODAY(),2)+8)))</f>
        <v>0</v>
      </c>
      <c r="AF114" s="36">
        <f ca="1">IF($A114="","",IF(AF$1="","",COUNTIFS(tbl_chests[from],$A114,tbl_chests[legalized],AF$1,tbl_chests[datetime],"&gt;="&amp;TODAY()-WEEKDAY(TODAY(),2)+1,tbl_chests[datetime],"&lt;"&amp;TODAY()-WEEKDAY(TODAY(),2)+8)))</f>
        <v>0</v>
      </c>
      <c r="AG114" s="36">
        <f ca="1">IF($A114="","",IF(AG$1="","",COUNTIFS(tbl_chests[from],$A114,tbl_chests[legalized],AG$1,tbl_chests[datetime],"&gt;="&amp;TODAY()-WEEKDAY(TODAY(),2)+1,tbl_chests[datetime],"&lt;"&amp;TODAY()-WEEKDAY(TODAY(),2)+8)))</f>
        <v>0</v>
      </c>
      <c r="AH114" s="36">
        <f ca="1">IF($A114="","",IF(AH$1="","",COUNTIFS(tbl_chests[from],$A114,tbl_chests[legalized],AH$1,tbl_chests[datetime],"&gt;="&amp;TODAY()-WEEKDAY(TODAY(),2)+1,tbl_chests[datetime],"&lt;"&amp;TODAY()-WEEKDAY(TODAY(),2)+8)))</f>
        <v>0</v>
      </c>
      <c r="AI114" s="36">
        <f ca="1">IF($A114="","",IF(AI$1="","",COUNTIFS(tbl_chests[from],$A114,tbl_chests[legalized],AI$1,tbl_chests[datetime],"&gt;="&amp;TODAY()-WEEKDAY(TODAY(),2)+1,tbl_chests[datetime],"&lt;"&amp;TODAY()-WEEKDAY(TODAY(),2)+8)))</f>
        <v>0</v>
      </c>
      <c r="AJ114" s="36">
        <f ca="1">IF($A114="","",IF(AJ$1="","",COUNTIFS(tbl_chests[from],$A114,tbl_chests[legalized],AJ$1,tbl_chests[datetime],"&gt;="&amp;TODAY()-WEEKDAY(TODAY(),2)+1,tbl_chests[datetime],"&lt;"&amp;TODAY()-WEEKDAY(TODAY(),2)+8)))</f>
        <v>0</v>
      </c>
      <c r="AK114" s="36">
        <f ca="1">IF($A114="","",IF(AK$1="","",COUNTIFS(tbl_chests[from],$A114,tbl_chests[legalized],AK$1,tbl_chests[datetime],"&gt;="&amp;TODAY()-WEEKDAY(TODAY(),2)+1,tbl_chests[datetime],"&lt;"&amp;TODAY()-WEEKDAY(TODAY(),2)+8)))</f>
        <v>0</v>
      </c>
      <c r="AL114" s="36">
        <f ca="1">IF($A114="","",IF(AL$1="","",COUNTIFS(tbl_chests[from],$A114,tbl_chests[legalized],AL$1,tbl_chests[datetime],"&gt;="&amp;TODAY()-WEEKDAY(TODAY(),2)+1,tbl_chests[datetime],"&lt;"&amp;TODAY()-WEEKDAY(TODAY(),2)+8)))</f>
        <v>0</v>
      </c>
      <c r="AM114" s="37">
        <f ca="1">IF($A114="","",IF(AM$1="","",COUNTIFS(tbl_chests[from],$A114,tbl_chests[legalized],AM$1,tbl_chests[datetime],"&gt;="&amp;TODAY()-WEEKDAY(TODAY(),2)+1,tbl_chests[datetime],"&lt;"&amp;TODAY()-WEEKDAY(TODAY(),2)+8)))</f>
        <v>0</v>
      </c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 spans="1:67" ht="15.75" customHeight="1" x14ac:dyDescent="0.25">
      <c r="A115" s="34">
        <f>chests_counter!$H112</f>
        <v>0</v>
      </c>
      <c r="B115" s="35" cm="1">
        <f t="array" aca="1" ref="B115" ca="1">IF(A115&lt;&gt;"", SUMPRODUCT(($C$2:$AM$2&lt;&gt;0)*(C115:AM115&lt;&gt;0)*($C$2:$AM$2)*(C115:AM115)), "")</f>
        <v>0</v>
      </c>
      <c r="C115" s="36">
        <f ca="1">IF($A115="","",IF(C$1="","",COUNTIFS(tbl_chests[from],$A115,tbl_chests[legalized],C$1,tbl_chests[datetime],"&gt;="&amp;TODAY()-WEEKDAY(TODAY(),2)+1,tbl_chests[datetime],"&lt;"&amp;TODAY()-WEEKDAY(TODAY(),2)+8)))</f>
        <v>0</v>
      </c>
      <c r="D115" s="36">
        <f ca="1">IF($A115="","",IF(D$1="","",COUNTIFS(tbl_chests[from],$A115,tbl_chests[legalized],D$1,tbl_chests[datetime],"&gt;="&amp;TODAY()-WEEKDAY(TODAY(),2)+1,tbl_chests[datetime],"&lt;"&amp;TODAY()-WEEKDAY(TODAY(),2)+8)))</f>
        <v>0</v>
      </c>
      <c r="E115" s="36">
        <f ca="1">IF($A115="","",IF(E$1="","",COUNTIFS(tbl_chests[from],$A115,tbl_chests[legalized],E$1,tbl_chests[datetime],"&gt;="&amp;TODAY()-WEEKDAY(TODAY(),2)+1,tbl_chests[datetime],"&lt;"&amp;TODAY()-WEEKDAY(TODAY(),2)+8)))</f>
        <v>0</v>
      </c>
      <c r="F115" s="36">
        <f ca="1">IF($A115="","",IF(F$1="","",COUNTIFS(tbl_chests[from],$A115,tbl_chests[legalized],F$1,tbl_chests[datetime],"&gt;="&amp;TODAY()-WEEKDAY(TODAY(),2)+1,tbl_chests[datetime],"&lt;"&amp;TODAY()-WEEKDAY(TODAY(),2)+8)))</f>
        <v>0</v>
      </c>
      <c r="G115" s="36">
        <f ca="1">IF($A115="","",IF(G$1="","",COUNTIFS(tbl_chests[from],$A115,tbl_chests[legalized],G$1,tbl_chests[datetime],"&gt;="&amp;TODAY()-WEEKDAY(TODAY(),2)+1,tbl_chests[datetime],"&lt;"&amp;TODAY()-WEEKDAY(TODAY(),2)+8)))</f>
        <v>0</v>
      </c>
      <c r="H115" s="36">
        <f ca="1">IF($A115="","",IF(H$1="","",COUNTIFS(tbl_chests[from],$A115,tbl_chests[legalized],H$1,tbl_chests[datetime],"&gt;="&amp;TODAY()-WEEKDAY(TODAY(),2)+1,tbl_chests[datetime],"&lt;"&amp;TODAY()-WEEKDAY(TODAY(),2)+8)))</f>
        <v>0</v>
      </c>
      <c r="I115" s="36">
        <f ca="1">IF($A115="","",IF(I$1="","",COUNTIFS(tbl_chests[from],$A115,tbl_chests[legalized],I$1,tbl_chests[datetime],"&gt;="&amp;TODAY()-WEEKDAY(TODAY(),2)+1,tbl_chests[datetime],"&lt;"&amp;TODAY()-WEEKDAY(TODAY(),2)+8)))</f>
        <v>0</v>
      </c>
      <c r="J115" s="36">
        <f ca="1">IF($A115="","",IF(J$1="","",COUNTIFS(tbl_chests[from],$A115,tbl_chests[legalized],J$1,tbl_chests[datetime],"&gt;="&amp;TODAY()-WEEKDAY(TODAY(),2)+1,tbl_chests[datetime],"&lt;"&amp;TODAY()-WEEKDAY(TODAY(),2)+8)))</f>
        <v>0</v>
      </c>
      <c r="K115" s="36">
        <f ca="1">IF($A115="","",IF(K$1="","",COUNTIFS(tbl_chests[from],$A115,tbl_chests[legalized],K$1,tbl_chests[datetime],"&gt;="&amp;TODAY()-WEEKDAY(TODAY(),2)+1,tbl_chests[datetime],"&lt;"&amp;TODAY()-WEEKDAY(TODAY(),2)+8)))</f>
        <v>0</v>
      </c>
      <c r="L115" s="36">
        <f ca="1">IF($A115="","",IF(L$1="","",COUNTIFS(tbl_chests[from],$A115,tbl_chests[legalized],L$1,tbl_chests[datetime],"&gt;="&amp;TODAY()-WEEKDAY(TODAY(),2)+1,tbl_chests[datetime],"&lt;"&amp;TODAY()-WEEKDAY(TODAY(),2)+8)))</f>
        <v>0</v>
      </c>
      <c r="M115" s="36">
        <f ca="1">IF($A115="","",IF(M$1="","",COUNTIFS(tbl_chests[from],$A115,tbl_chests[legalized],M$1,tbl_chests[datetime],"&gt;="&amp;TODAY()-WEEKDAY(TODAY(),2)+1,tbl_chests[datetime],"&lt;"&amp;TODAY()-WEEKDAY(TODAY(),2)+8)))</f>
        <v>0</v>
      </c>
      <c r="N115" s="36">
        <f ca="1">IF($A115="","",IF(N$1="","",COUNTIFS(tbl_chests[from],$A115,tbl_chests[legalized],N$1,tbl_chests[datetime],"&gt;="&amp;TODAY()-WEEKDAY(TODAY(),2)+1,tbl_chests[datetime],"&lt;"&amp;TODAY()-WEEKDAY(TODAY(),2)+8)))</f>
        <v>0</v>
      </c>
      <c r="O115" s="36">
        <f ca="1">IF($A115="","",IF(O$1="","",COUNTIFS(tbl_chests[from],$A115,tbl_chests[legalized],O$1,tbl_chests[datetime],"&gt;="&amp;TODAY()-WEEKDAY(TODAY(),2)+1,tbl_chests[datetime],"&lt;"&amp;TODAY()-WEEKDAY(TODAY(),2)+8)))</f>
        <v>0</v>
      </c>
      <c r="P115" s="36">
        <f ca="1">IF($A115="","",IF(P$1="","",COUNTIFS(tbl_chests[from],$A115,tbl_chests[legalized],P$1,tbl_chests[datetime],"&gt;="&amp;TODAY()-WEEKDAY(TODAY(),2)+1,tbl_chests[datetime],"&lt;"&amp;TODAY()-WEEKDAY(TODAY(),2)+8)))</f>
        <v>0</v>
      </c>
      <c r="Q115" s="36">
        <f ca="1">IF($A115="","",IF(Q$1="","",COUNTIFS(tbl_chests[from],$A115,tbl_chests[legalized],Q$1,tbl_chests[datetime],"&gt;="&amp;TODAY()-WEEKDAY(TODAY(),2)+1,tbl_chests[datetime],"&lt;"&amp;TODAY()-WEEKDAY(TODAY(),2)+8)))</f>
        <v>0</v>
      </c>
      <c r="R115" s="36">
        <f ca="1">IF($A115="","",IF(R$1="","",COUNTIFS(tbl_chests[from],$A115,tbl_chests[legalized],R$1,tbl_chests[datetime],"&gt;="&amp;TODAY()-WEEKDAY(TODAY(),2)+1,tbl_chests[datetime],"&lt;"&amp;TODAY()-WEEKDAY(TODAY(),2)+8)))</f>
        <v>0</v>
      </c>
      <c r="S115" s="36">
        <f ca="1">IF($A115="","",IF(S$1="","",COUNTIFS(tbl_chests[from],$A115,tbl_chests[legalized],S$1,tbl_chests[datetime],"&gt;="&amp;TODAY()-WEEKDAY(TODAY(),2)+1,tbl_chests[datetime],"&lt;"&amp;TODAY()-WEEKDAY(TODAY(),2)+8)))</f>
        <v>0</v>
      </c>
      <c r="T115" s="36">
        <f ca="1">IF($A115="","",IF(T$1="","",COUNTIFS(tbl_chests[from],$A115,tbl_chests[legalized],T$1,tbl_chests[datetime],"&gt;="&amp;TODAY()-WEEKDAY(TODAY(),2)+1,tbl_chests[datetime],"&lt;"&amp;TODAY()-WEEKDAY(TODAY(),2)+8)))</f>
        <v>0</v>
      </c>
      <c r="U115" s="36">
        <f ca="1">IF($A115="","",IF(U$1="","",COUNTIFS(tbl_chests[from],$A115,tbl_chests[legalized],U$1,tbl_chests[datetime],"&gt;="&amp;TODAY()-WEEKDAY(TODAY(),2)+1,tbl_chests[datetime],"&lt;"&amp;TODAY()-WEEKDAY(TODAY(),2)+8)))</f>
        <v>0</v>
      </c>
      <c r="V115" s="36">
        <f ca="1">IF($A115="","",IF(V$1="","",COUNTIFS(tbl_chests[from],$A115,tbl_chests[legalized],V$1,tbl_chests[datetime],"&gt;="&amp;TODAY()-WEEKDAY(TODAY(),2)+1,tbl_chests[datetime],"&lt;"&amp;TODAY()-WEEKDAY(TODAY(),2)+8)))</f>
        <v>0</v>
      </c>
      <c r="W115" s="36">
        <f ca="1">IF($A115="","",IF(W$1="","",COUNTIFS(tbl_chests[from],$A115,tbl_chests[legalized],W$1,tbl_chests[datetime],"&gt;="&amp;TODAY()-WEEKDAY(TODAY(),2)+1,tbl_chests[datetime],"&lt;"&amp;TODAY()-WEEKDAY(TODAY(),2)+8)))</f>
        <v>0</v>
      </c>
      <c r="X115" s="36">
        <f ca="1">IF($A115="","",IF(X$1="","",COUNTIFS(tbl_chests[from],$A115,tbl_chests[legalized],X$1,tbl_chests[datetime],"&gt;="&amp;TODAY()-WEEKDAY(TODAY(),2)+1,tbl_chests[datetime],"&lt;"&amp;TODAY()-WEEKDAY(TODAY(),2)+8)))</f>
        <v>0</v>
      </c>
      <c r="Y115" s="36">
        <f ca="1">IF($A115="","",IF(Y$1="","",COUNTIFS(tbl_chests[from],$A115,tbl_chests[legalized],Y$1,tbl_chests[datetime],"&gt;="&amp;TODAY()-WEEKDAY(TODAY(),2)+1,tbl_chests[datetime],"&lt;"&amp;TODAY()-WEEKDAY(TODAY(),2)+8)))</f>
        <v>0</v>
      </c>
      <c r="Z115" s="36">
        <f ca="1">IF($A115="","",IF(Z$1="","",COUNTIFS(tbl_chests[from],$A115,tbl_chests[legalized],Z$1,tbl_chests[datetime],"&gt;="&amp;TODAY()-WEEKDAY(TODAY(),2)+1,tbl_chests[datetime],"&lt;"&amp;TODAY()-WEEKDAY(TODAY(),2)+8)))</f>
        <v>0</v>
      </c>
      <c r="AA115" s="36">
        <f ca="1">IF($A115="","",IF(AA$1="","",COUNTIFS(tbl_chests[from],$A115,tbl_chests[legalized],AA$1,tbl_chests[datetime],"&gt;="&amp;TODAY()-WEEKDAY(TODAY(),2)+1,tbl_chests[datetime],"&lt;"&amp;TODAY()-WEEKDAY(TODAY(),2)+8)))</f>
        <v>0</v>
      </c>
      <c r="AB115" s="36">
        <f ca="1">IF($A115="","",IF(AB$1="","",COUNTIFS(tbl_chests[from],$A115,tbl_chests[legalized],AB$1,tbl_chests[datetime],"&gt;="&amp;TODAY()-WEEKDAY(TODAY(),2)+1,tbl_chests[datetime],"&lt;"&amp;TODAY()-WEEKDAY(TODAY(),2)+8)))</f>
        <v>0</v>
      </c>
      <c r="AC115" s="36">
        <f ca="1">IF($A115="","",IF(AC$1="","",COUNTIFS(tbl_chests[from],$A115,tbl_chests[legalized],AC$1,tbl_chests[datetime],"&gt;="&amp;TODAY()-WEEKDAY(TODAY(),2)+1,tbl_chests[datetime],"&lt;"&amp;TODAY()-WEEKDAY(TODAY(),2)+8)))</f>
        <v>0</v>
      </c>
      <c r="AD115" s="36">
        <f ca="1">IF($A115="","",IF(AD$1="","",COUNTIFS(tbl_chests[from],$A115,tbl_chests[legalized],AD$1,tbl_chests[datetime],"&gt;="&amp;TODAY()-WEEKDAY(TODAY(),2)+1,tbl_chests[datetime],"&lt;"&amp;TODAY()-WEEKDAY(TODAY(),2)+8)))</f>
        <v>0</v>
      </c>
      <c r="AE115" s="36">
        <f ca="1">IF($A115="","",IF(AE$1="","",COUNTIFS(tbl_chests[from],$A115,tbl_chests[legalized],AE$1,tbl_chests[datetime],"&gt;="&amp;TODAY()-WEEKDAY(TODAY(),2)+1,tbl_chests[datetime],"&lt;"&amp;TODAY()-WEEKDAY(TODAY(),2)+8)))</f>
        <v>0</v>
      </c>
      <c r="AF115" s="36">
        <f ca="1">IF($A115="","",IF(AF$1="","",COUNTIFS(tbl_chests[from],$A115,tbl_chests[legalized],AF$1,tbl_chests[datetime],"&gt;="&amp;TODAY()-WEEKDAY(TODAY(),2)+1,tbl_chests[datetime],"&lt;"&amp;TODAY()-WEEKDAY(TODAY(),2)+8)))</f>
        <v>0</v>
      </c>
      <c r="AG115" s="36">
        <f ca="1">IF($A115="","",IF(AG$1="","",COUNTIFS(tbl_chests[from],$A115,tbl_chests[legalized],AG$1,tbl_chests[datetime],"&gt;="&amp;TODAY()-WEEKDAY(TODAY(),2)+1,tbl_chests[datetime],"&lt;"&amp;TODAY()-WEEKDAY(TODAY(),2)+8)))</f>
        <v>0</v>
      </c>
      <c r="AH115" s="36">
        <f ca="1">IF($A115="","",IF(AH$1="","",COUNTIFS(tbl_chests[from],$A115,tbl_chests[legalized],AH$1,tbl_chests[datetime],"&gt;="&amp;TODAY()-WEEKDAY(TODAY(),2)+1,tbl_chests[datetime],"&lt;"&amp;TODAY()-WEEKDAY(TODAY(),2)+8)))</f>
        <v>0</v>
      </c>
      <c r="AI115" s="36">
        <f ca="1">IF($A115="","",IF(AI$1="","",COUNTIFS(tbl_chests[from],$A115,tbl_chests[legalized],AI$1,tbl_chests[datetime],"&gt;="&amp;TODAY()-WEEKDAY(TODAY(),2)+1,tbl_chests[datetime],"&lt;"&amp;TODAY()-WEEKDAY(TODAY(),2)+8)))</f>
        <v>0</v>
      </c>
      <c r="AJ115" s="36">
        <f ca="1">IF($A115="","",IF(AJ$1="","",COUNTIFS(tbl_chests[from],$A115,tbl_chests[legalized],AJ$1,tbl_chests[datetime],"&gt;="&amp;TODAY()-WEEKDAY(TODAY(),2)+1,tbl_chests[datetime],"&lt;"&amp;TODAY()-WEEKDAY(TODAY(),2)+8)))</f>
        <v>0</v>
      </c>
      <c r="AK115" s="36">
        <f ca="1">IF($A115="","",IF(AK$1="","",COUNTIFS(tbl_chests[from],$A115,tbl_chests[legalized],AK$1,tbl_chests[datetime],"&gt;="&amp;TODAY()-WEEKDAY(TODAY(),2)+1,tbl_chests[datetime],"&lt;"&amp;TODAY()-WEEKDAY(TODAY(),2)+8)))</f>
        <v>0</v>
      </c>
      <c r="AL115" s="36">
        <f ca="1">IF($A115="","",IF(AL$1="","",COUNTIFS(tbl_chests[from],$A115,tbl_chests[legalized],AL$1,tbl_chests[datetime],"&gt;="&amp;TODAY()-WEEKDAY(TODAY(),2)+1,tbl_chests[datetime],"&lt;"&amp;TODAY()-WEEKDAY(TODAY(),2)+8)))</f>
        <v>0</v>
      </c>
      <c r="AM115" s="37">
        <f ca="1">IF($A115="","",IF(AM$1="","",COUNTIFS(tbl_chests[from],$A115,tbl_chests[legalized],AM$1,tbl_chests[datetime],"&gt;="&amp;TODAY()-WEEKDAY(TODAY(),2)+1,tbl_chests[datetime],"&lt;"&amp;TODAY()-WEEKDAY(TODAY(),2)+8)))</f>
        <v>0</v>
      </c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 spans="1:67" ht="15.75" customHeight="1" x14ac:dyDescent="0.25">
      <c r="A116" s="34">
        <f>chests_counter!$H113</f>
        <v>0</v>
      </c>
      <c r="B116" s="35" cm="1">
        <f t="array" aca="1" ref="B116" ca="1">IF(A116&lt;&gt;"", SUMPRODUCT(($C$2:$AM$2&lt;&gt;0)*(C116:AM116&lt;&gt;0)*($C$2:$AM$2)*(C116:AM116)), "")</f>
        <v>0</v>
      </c>
      <c r="C116" s="36">
        <f ca="1">IF($A116="","",IF(C$1="","",COUNTIFS(tbl_chests[from],$A116,tbl_chests[legalized],C$1,tbl_chests[datetime],"&gt;="&amp;TODAY()-WEEKDAY(TODAY(),2)+1,tbl_chests[datetime],"&lt;"&amp;TODAY()-WEEKDAY(TODAY(),2)+8)))</f>
        <v>0</v>
      </c>
      <c r="D116" s="36">
        <f ca="1">IF($A116="","",IF(D$1="","",COUNTIFS(tbl_chests[from],$A116,tbl_chests[legalized],D$1,tbl_chests[datetime],"&gt;="&amp;TODAY()-WEEKDAY(TODAY(),2)+1,tbl_chests[datetime],"&lt;"&amp;TODAY()-WEEKDAY(TODAY(),2)+8)))</f>
        <v>0</v>
      </c>
      <c r="E116" s="36">
        <f ca="1">IF($A116="","",IF(E$1="","",COUNTIFS(tbl_chests[from],$A116,tbl_chests[legalized],E$1,tbl_chests[datetime],"&gt;="&amp;TODAY()-WEEKDAY(TODAY(),2)+1,tbl_chests[datetime],"&lt;"&amp;TODAY()-WEEKDAY(TODAY(),2)+8)))</f>
        <v>0</v>
      </c>
      <c r="F116" s="36">
        <f ca="1">IF($A116="","",IF(F$1="","",COUNTIFS(tbl_chests[from],$A116,tbl_chests[legalized],F$1,tbl_chests[datetime],"&gt;="&amp;TODAY()-WEEKDAY(TODAY(),2)+1,tbl_chests[datetime],"&lt;"&amp;TODAY()-WEEKDAY(TODAY(),2)+8)))</f>
        <v>0</v>
      </c>
      <c r="G116" s="36">
        <f ca="1">IF($A116="","",IF(G$1="","",COUNTIFS(tbl_chests[from],$A116,tbl_chests[legalized],G$1,tbl_chests[datetime],"&gt;="&amp;TODAY()-WEEKDAY(TODAY(),2)+1,tbl_chests[datetime],"&lt;"&amp;TODAY()-WEEKDAY(TODAY(),2)+8)))</f>
        <v>0</v>
      </c>
      <c r="H116" s="36">
        <f ca="1">IF($A116="","",IF(H$1="","",COUNTIFS(tbl_chests[from],$A116,tbl_chests[legalized],H$1,tbl_chests[datetime],"&gt;="&amp;TODAY()-WEEKDAY(TODAY(),2)+1,tbl_chests[datetime],"&lt;"&amp;TODAY()-WEEKDAY(TODAY(),2)+8)))</f>
        <v>0</v>
      </c>
      <c r="I116" s="36">
        <f ca="1">IF($A116="","",IF(I$1="","",COUNTIFS(tbl_chests[from],$A116,tbl_chests[legalized],I$1,tbl_chests[datetime],"&gt;="&amp;TODAY()-WEEKDAY(TODAY(),2)+1,tbl_chests[datetime],"&lt;"&amp;TODAY()-WEEKDAY(TODAY(),2)+8)))</f>
        <v>0</v>
      </c>
      <c r="J116" s="36">
        <f ca="1">IF($A116="","",IF(J$1="","",COUNTIFS(tbl_chests[from],$A116,tbl_chests[legalized],J$1,tbl_chests[datetime],"&gt;="&amp;TODAY()-WEEKDAY(TODAY(),2)+1,tbl_chests[datetime],"&lt;"&amp;TODAY()-WEEKDAY(TODAY(),2)+8)))</f>
        <v>0</v>
      </c>
      <c r="K116" s="36">
        <f ca="1">IF($A116="","",IF(K$1="","",COUNTIFS(tbl_chests[from],$A116,tbl_chests[legalized],K$1,tbl_chests[datetime],"&gt;="&amp;TODAY()-WEEKDAY(TODAY(),2)+1,tbl_chests[datetime],"&lt;"&amp;TODAY()-WEEKDAY(TODAY(),2)+8)))</f>
        <v>0</v>
      </c>
      <c r="L116" s="36">
        <f ca="1">IF($A116="","",IF(L$1="","",COUNTIFS(tbl_chests[from],$A116,tbl_chests[legalized],L$1,tbl_chests[datetime],"&gt;="&amp;TODAY()-WEEKDAY(TODAY(),2)+1,tbl_chests[datetime],"&lt;"&amp;TODAY()-WEEKDAY(TODAY(),2)+8)))</f>
        <v>0</v>
      </c>
      <c r="M116" s="36">
        <f ca="1">IF($A116="","",IF(M$1="","",COUNTIFS(tbl_chests[from],$A116,tbl_chests[legalized],M$1,tbl_chests[datetime],"&gt;="&amp;TODAY()-WEEKDAY(TODAY(),2)+1,tbl_chests[datetime],"&lt;"&amp;TODAY()-WEEKDAY(TODAY(),2)+8)))</f>
        <v>0</v>
      </c>
      <c r="N116" s="36">
        <f ca="1">IF($A116="","",IF(N$1="","",COUNTIFS(tbl_chests[from],$A116,tbl_chests[legalized],N$1,tbl_chests[datetime],"&gt;="&amp;TODAY()-WEEKDAY(TODAY(),2)+1,tbl_chests[datetime],"&lt;"&amp;TODAY()-WEEKDAY(TODAY(),2)+8)))</f>
        <v>0</v>
      </c>
      <c r="O116" s="36">
        <f ca="1">IF($A116="","",IF(O$1="","",COUNTIFS(tbl_chests[from],$A116,tbl_chests[legalized],O$1,tbl_chests[datetime],"&gt;="&amp;TODAY()-WEEKDAY(TODAY(),2)+1,tbl_chests[datetime],"&lt;"&amp;TODAY()-WEEKDAY(TODAY(),2)+8)))</f>
        <v>0</v>
      </c>
      <c r="P116" s="36">
        <f ca="1">IF($A116="","",IF(P$1="","",COUNTIFS(tbl_chests[from],$A116,tbl_chests[legalized],P$1,tbl_chests[datetime],"&gt;="&amp;TODAY()-WEEKDAY(TODAY(),2)+1,tbl_chests[datetime],"&lt;"&amp;TODAY()-WEEKDAY(TODAY(),2)+8)))</f>
        <v>0</v>
      </c>
      <c r="Q116" s="36">
        <f ca="1">IF($A116="","",IF(Q$1="","",COUNTIFS(tbl_chests[from],$A116,tbl_chests[legalized],Q$1,tbl_chests[datetime],"&gt;="&amp;TODAY()-WEEKDAY(TODAY(),2)+1,tbl_chests[datetime],"&lt;"&amp;TODAY()-WEEKDAY(TODAY(),2)+8)))</f>
        <v>0</v>
      </c>
      <c r="R116" s="36">
        <f ca="1">IF($A116="","",IF(R$1="","",COUNTIFS(tbl_chests[from],$A116,tbl_chests[legalized],R$1,tbl_chests[datetime],"&gt;="&amp;TODAY()-WEEKDAY(TODAY(),2)+1,tbl_chests[datetime],"&lt;"&amp;TODAY()-WEEKDAY(TODAY(),2)+8)))</f>
        <v>0</v>
      </c>
      <c r="S116" s="36">
        <f ca="1">IF($A116="","",IF(S$1="","",COUNTIFS(tbl_chests[from],$A116,tbl_chests[legalized],S$1,tbl_chests[datetime],"&gt;="&amp;TODAY()-WEEKDAY(TODAY(),2)+1,tbl_chests[datetime],"&lt;"&amp;TODAY()-WEEKDAY(TODAY(),2)+8)))</f>
        <v>0</v>
      </c>
      <c r="T116" s="36">
        <f ca="1">IF($A116="","",IF(T$1="","",COUNTIFS(tbl_chests[from],$A116,tbl_chests[legalized],T$1,tbl_chests[datetime],"&gt;="&amp;TODAY()-WEEKDAY(TODAY(),2)+1,tbl_chests[datetime],"&lt;"&amp;TODAY()-WEEKDAY(TODAY(),2)+8)))</f>
        <v>0</v>
      </c>
      <c r="U116" s="36">
        <f ca="1">IF($A116="","",IF(U$1="","",COUNTIFS(tbl_chests[from],$A116,tbl_chests[legalized],U$1,tbl_chests[datetime],"&gt;="&amp;TODAY()-WEEKDAY(TODAY(),2)+1,tbl_chests[datetime],"&lt;"&amp;TODAY()-WEEKDAY(TODAY(),2)+8)))</f>
        <v>0</v>
      </c>
      <c r="V116" s="36">
        <f ca="1">IF($A116="","",IF(V$1="","",COUNTIFS(tbl_chests[from],$A116,tbl_chests[legalized],V$1,tbl_chests[datetime],"&gt;="&amp;TODAY()-WEEKDAY(TODAY(),2)+1,tbl_chests[datetime],"&lt;"&amp;TODAY()-WEEKDAY(TODAY(),2)+8)))</f>
        <v>0</v>
      </c>
      <c r="W116" s="36">
        <f ca="1">IF($A116="","",IF(W$1="","",COUNTIFS(tbl_chests[from],$A116,tbl_chests[legalized],W$1,tbl_chests[datetime],"&gt;="&amp;TODAY()-WEEKDAY(TODAY(),2)+1,tbl_chests[datetime],"&lt;"&amp;TODAY()-WEEKDAY(TODAY(),2)+8)))</f>
        <v>0</v>
      </c>
      <c r="X116" s="36">
        <f ca="1">IF($A116="","",IF(X$1="","",COUNTIFS(tbl_chests[from],$A116,tbl_chests[legalized],X$1,tbl_chests[datetime],"&gt;="&amp;TODAY()-WEEKDAY(TODAY(),2)+1,tbl_chests[datetime],"&lt;"&amp;TODAY()-WEEKDAY(TODAY(),2)+8)))</f>
        <v>0</v>
      </c>
      <c r="Y116" s="36">
        <f ca="1">IF($A116="","",IF(Y$1="","",COUNTIFS(tbl_chests[from],$A116,tbl_chests[legalized],Y$1,tbl_chests[datetime],"&gt;="&amp;TODAY()-WEEKDAY(TODAY(),2)+1,tbl_chests[datetime],"&lt;"&amp;TODAY()-WEEKDAY(TODAY(),2)+8)))</f>
        <v>0</v>
      </c>
      <c r="Z116" s="36">
        <f ca="1">IF($A116="","",IF(Z$1="","",COUNTIFS(tbl_chests[from],$A116,tbl_chests[legalized],Z$1,tbl_chests[datetime],"&gt;="&amp;TODAY()-WEEKDAY(TODAY(),2)+1,tbl_chests[datetime],"&lt;"&amp;TODAY()-WEEKDAY(TODAY(),2)+8)))</f>
        <v>0</v>
      </c>
      <c r="AA116" s="36">
        <f ca="1">IF($A116="","",IF(AA$1="","",COUNTIFS(tbl_chests[from],$A116,tbl_chests[legalized],AA$1,tbl_chests[datetime],"&gt;="&amp;TODAY()-WEEKDAY(TODAY(),2)+1,tbl_chests[datetime],"&lt;"&amp;TODAY()-WEEKDAY(TODAY(),2)+8)))</f>
        <v>0</v>
      </c>
      <c r="AB116" s="36">
        <f ca="1">IF($A116="","",IF(AB$1="","",COUNTIFS(tbl_chests[from],$A116,tbl_chests[legalized],AB$1,tbl_chests[datetime],"&gt;="&amp;TODAY()-WEEKDAY(TODAY(),2)+1,tbl_chests[datetime],"&lt;"&amp;TODAY()-WEEKDAY(TODAY(),2)+8)))</f>
        <v>0</v>
      </c>
      <c r="AC116" s="36">
        <f ca="1">IF($A116="","",IF(AC$1="","",COUNTIFS(tbl_chests[from],$A116,tbl_chests[legalized],AC$1,tbl_chests[datetime],"&gt;="&amp;TODAY()-WEEKDAY(TODAY(),2)+1,tbl_chests[datetime],"&lt;"&amp;TODAY()-WEEKDAY(TODAY(),2)+8)))</f>
        <v>0</v>
      </c>
      <c r="AD116" s="36">
        <f ca="1">IF($A116="","",IF(AD$1="","",COUNTIFS(tbl_chests[from],$A116,tbl_chests[legalized],AD$1,tbl_chests[datetime],"&gt;="&amp;TODAY()-WEEKDAY(TODAY(),2)+1,tbl_chests[datetime],"&lt;"&amp;TODAY()-WEEKDAY(TODAY(),2)+8)))</f>
        <v>0</v>
      </c>
      <c r="AE116" s="36">
        <f ca="1">IF($A116="","",IF(AE$1="","",COUNTIFS(tbl_chests[from],$A116,tbl_chests[legalized],AE$1,tbl_chests[datetime],"&gt;="&amp;TODAY()-WEEKDAY(TODAY(),2)+1,tbl_chests[datetime],"&lt;"&amp;TODAY()-WEEKDAY(TODAY(),2)+8)))</f>
        <v>0</v>
      </c>
      <c r="AF116" s="36">
        <f ca="1">IF($A116="","",IF(AF$1="","",COUNTIFS(tbl_chests[from],$A116,tbl_chests[legalized],AF$1,tbl_chests[datetime],"&gt;="&amp;TODAY()-WEEKDAY(TODAY(),2)+1,tbl_chests[datetime],"&lt;"&amp;TODAY()-WEEKDAY(TODAY(),2)+8)))</f>
        <v>0</v>
      </c>
      <c r="AG116" s="36">
        <f ca="1">IF($A116="","",IF(AG$1="","",COUNTIFS(tbl_chests[from],$A116,tbl_chests[legalized],AG$1,tbl_chests[datetime],"&gt;="&amp;TODAY()-WEEKDAY(TODAY(),2)+1,tbl_chests[datetime],"&lt;"&amp;TODAY()-WEEKDAY(TODAY(),2)+8)))</f>
        <v>0</v>
      </c>
      <c r="AH116" s="36">
        <f ca="1">IF($A116="","",IF(AH$1="","",COUNTIFS(tbl_chests[from],$A116,tbl_chests[legalized],AH$1,tbl_chests[datetime],"&gt;="&amp;TODAY()-WEEKDAY(TODAY(),2)+1,tbl_chests[datetime],"&lt;"&amp;TODAY()-WEEKDAY(TODAY(),2)+8)))</f>
        <v>0</v>
      </c>
      <c r="AI116" s="36">
        <f ca="1">IF($A116="","",IF(AI$1="","",COUNTIFS(tbl_chests[from],$A116,tbl_chests[legalized],AI$1,tbl_chests[datetime],"&gt;="&amp;TODAY()-WEEKDAY(TODAY(),2)+1,tbl_chests[datetime],"&lt;"&amp;TODAY()-WEEKDAY(TODAY(),2)+8)))</f>
        <v>0</v>
      </c>
      <c r="AJ116" s="36">
        <f ca="1">IF($A116="","",IF(AJ$1="","",COUNTIFS(tbl_chests[from],$A116,tbl_chests[legalized],AJ$1,tbl_chests[datetime],"&gt;="&amp;TODAY()-WEEKDAY(TODAY(),2)+1,tbl_chests[datetime],"&lt;"&amp;TODAY()-WEEKDAY(TODAY(),2)+8)))</f>
        <v>0</v>
      </c>
      <c r="AK116" s="36">
        <f ca="1">IF($A116="","",IF(AK$1="","",COUNTIFS(tbl_chests[from],$A116,tbl_chests[legalized],AK$1,tbl_chests[datetime],"&gt;="&amp;TODAY()-WEEKDAY(TODAY(),2)+1,tbl_chests[datetime],"&lt;"&amp;TODAY()-WEEKDAY(TODAY(),2)+8)))</f>
        <v>0</v>
      </c>
      <c r="AL116" s="36">
        <f ca="1">IF($A116="","",IF(AL$1="","",COUNTIFS(tbl_chests[from],$A116,tbl_chests[legalized],AL$1,tbl_chests[datetime],"&gt;="&amp;TODAY()-WEEKDAY(TODAY(),2)+1,tbl_chests[datetime],"&lt;"&amp;TODAY()-WEEKDAY(TODAY(),2)+8)))</f>
        <v>0</v>
      </c>
      <c r="AM116" s="37">
        <f ca="1">IF($A116="","",IF(AM$1="","",COUNTIFS(tbl_chests[from],$A116,tbl_chests[legalized],AM$1,tbl_chests[datetime],"&gt;="&amp;TODAY()-WEEKDAY(TODAY(),2)+1,tbl_chests[datetime],"&lt;"&amp;TODAY()-WEEKDAY(TODAY(),2)+8)))</f>
        <v>0</v>
      </c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 spans="1:67" ht="15.75" customHeight="1" x14ac:dyDescent="0.25">
      <c r="A117" s="34">
        <f>chests_counter!$H114</f>
        <v>0</v>
      </c>
      <c r="B117" s="35" cm="1">
        <f t="array" aca="1" ref="B117" ca="1">IF(A117&lt;&gt;"", SUMPRODUCT(($C$2:$AM$2&lt;&gt;0)*(C117:AM117&lt;&gt;0)*($C$2:$AM$2)*(C117:AM117)), "")</f>
        <v>0</v>
      </c>
      <c r="C117" s="36">
        <f ca="1">IF($A117="","",IF(C$1="","",COUNTIFS(tbl_chests[from],$A117,tbl_chests[legalized],C$1,tbl_chests[datetime],"&gt;="&amp;TODAY()-WEEKDAY(TODAY(),2)+1,tbl_chests[datetime],"&lt;"&amp;TODAY()-WEEKDAY(TODAY(),2)+8)))</f>
        <v>0</v>
      </c>
      <c r="D117" s="36">
        <f ca="1">IF($A117="","",IF(D$1="","",COUNTIFS(tbl_chests[from],$A117,tbl_chests[legalized],D$1,tbl_chests[datetime],"&gt;="&amp;TODAY()-WEEKDAY(TODAY(),2)+1,tbl_chests[datetime],"&lt;"&amp;TODAY()-WEEKDAY(TODAY(),2)+8)))</f>
        <v>0</v>
      </c>
      <c r="E117" s="36">
        <f ca="1">IF($A117="","",IF(E$1="","",COUNTIFS(tbl_chests[from],$A117,tbl_chests[legalized],E$1,tbl_chests[datetime],"&gt;="&amp;TODAY()-WEEKDAY(TODAY(),2)+1,tbl_chests[datetime],"&lt;"&amp;TODAY()-WEEKDAY(TODAY(),2)+8)))</f>
        <v>0</v>
      </c>
      <c r="F117" s="36">
        <f ca="1">IF($A117="","",IF(F$1="","",COUNTIFS(tbl_chests[from],$A117,tbl_chests[legalized],F$1,tbl_chests[datetime],"&gt;="&amp;TODAY()-WEEKDAY(TODAY(),2)+1,tbl_chests[datetime],"&lt;"&amp;TODAY()-WEEKDAY(TODAY(),2)+8)))</f>
        <v>0</v>
      </c>
      <c r="G117" s="36">
        <f ca="1">IF($A117="","",IF(G$1="","",COUNTIFS(tbl_chests[from],$A117,tbl_chests[legalized],G$1,tbl_chests[datetime],"&gt;="&amp;TODAY()-WEEKDAY(TODAY(),2)+1,tbl_chests[datetime],"&lt;"&amp;TODAY()-WEEKDAY(TODAY(),2)+8)))</f>
        <v>0</v>
      </c>
      <c r="H117" s="36">
        <f ca="1">IF($A117="","",IF(H$1="","",COUNTIFS(tbl_chests[from],$A117,tbl_chests[legalized],H$1,tbl_chests[datetime],"&gt;="&amp;TODAY()-WEEKDAY(TODAY(),2)+1,tbl_chests[datetime],"&lt;"&amp;TODAY()-WEEKDAY(TODAY(),2)+8)))</f>
        <v>0</v>
      </c>
      <c r="I117" s="36">
        <f ca="1">IF($A117="","",IF(I$1="","",COUNTIFS(tbl_chests[from],$A117,tbl_chests[legalized],I$1,tbl_chests[datetime],"&gt;="&amp;TODAY()-WEEKDAY(TODAY(),2)+1,tbl_chests[datetime],"&lt;"&amp;TODAY()-WEEKDAY(TODAY(),2)+8)))</f>
        <v>0</v>
      </c>
      <c r="J117" s="36">
        <f ca="1">IF($A117="","",IF(J$1="","",COUNTIFS(tbl_chests[from],$A117,tbl_chests[legalized],J$1,tbl_chests[datetime],"&gt;="&amp;TODAY()-WEEKDAY(TODAY(),2)+1,tbl_chests[datetime],"&lt;"&amp;TODAY()-WEEKDAY(TODAY(),2)+8)))</f>
        <v>0</v>
      </c>
      <c r="K117" s="36">
        <f ca="1">IF($A117="","",IF(K$1="","",COUNTIFS(tbl_chests[from],$A117,tbl_chests[legalized],K$1,tbl_chests[datetime],"&gt;="&amp;TODAY()-WEEKDAY(TODAY(),2)+1,tbl_chests[datetime],"&lt;"&amp;TODAY()-WEEKDAY(TODAY(),2)+8)))</f>
        <v>0</v>
      </c>
      <c r="L117" s="36">
        <f ca="1">IF($A117="","",IF(L$1="","",COUNTIFS(tbl_chests[from],$A117,tbl_chests[legalized],L$1,tbl_chests[datetime],"&gt;="&amp;TODAY()-WEEKDAY(TODAY(),2)+1,tbl_chests[datetime],"&lt;"&amp;TODAY()-WEEKDAY(TODAY(),2)+8)))</f>
        <v>0</v>
      </c>
      <c r="M117" s="36">
        <f ca="1">IF($A117="","",IF(M$1="","",COUNTIFS(tbl_chests[from],$A117,tbl_chests[legalized],M$1,tbl_chests[datetime],"&gt;="&amp;TODAY()-WEEKDAY(TODAY(),2)+1,tbl_chests[datetime],"&lt;"&amp;TODAY()-WEEKDAY(TODAY(),2)+8)))</f>
        <v>0</v>
      </c>
      <c r="N117" s="36">
        <f ca="1">IF($A117="","",IF(N$1="","",COUNTIFS(tbl_chests[from],$A117,tbl_chests[legalized],N$1,tbl_chests[datetime],"&gt;="&amp;TODAY()-WEEKDAY(TODAY(),2)+1,tbl_chests[datetime],"&lt;"&amp;TODAY()-WEEKDAY(TODAY(),2)+8)))</f>
        <v>0</v>
      </c>
      <c r="O117" s="36">
        <f ca="1">IF($A117="","",IF(O$1="","",COUNTIFS(tbl_chests[from],$A117,tbl_chests[legalized],O$1,tbl_chests[datetime],"&gt;="&amp;TODAY()-WEEKDAY(TODAY(),2)+1,tbl_chests[datetime],"&lt;"&amp;TODAY()-WEEKDAY(TODAY(),2)+8)))</f>
        <v>0</v>
      </c>
      <c r="P117" s="36">
        <f ca="1">IF($A117="","",IF(P$1="","",COUNTIFS(tbl_chests[from],$A117,tbl_chests[legalized],P$1,tbl_chests[datetime],"&gt;="&amp;TODAY()-WEEKDAY(TODAY(),2)+1,tbl_chests[datetime],"&lt;"&amp;TODAY()-WEEKDAY(TODAY(),2)+8)))</f>
        <v>0</v>
      </c>
      <c r="Q117" s="36">
        <f ca="1">IF($A117="","",IF(Q$1="","",COUNTIFS(tbl_chests[from],$A117,tbl_chests[legalized],Q$1,tbl_chests[datetime],"&gt;="&amp;TODAY()-WEEKDAY(TODAY(),2)+1,tbl_chests[datetime],"&lt;"&amp;TODAY()-WEEKDAY(TODAY(),2)+8)))</f>
        <v>0</v>
      </c>
      <c r="R117" s="36">
        <f ca="1">IF($A117="","",IF(R$1="","",COUNTIFS(tbl_chests[from],$A117,tbl_chests[legalized],R$1,tbl_chests[datetime],"&gt;="&amp;TODAY()-WEEKDAY(TODAY(),2)+1,tbl_chests[datetime],"&lt;"&amp;TODAY()-WEEKDAY(TODAY(),2)+8)))</f>
        <v>0</v>
      </c>
      <c r="S117" s="36">
        <f ca="1">IF($A117="","",IF(S$1="","",COUNTIFS(tbl_chests[from],$A117,tbl_chests[legalized],S$1,tbl_chests[datetime],"&gt;="&amp;TODAY()-WEEKDAY(TODAY(),2)+1,tbl_chests[datetime],"&lt;"&amp;TODAY()-WEEKDAY(TODAY(),2)+8)))</f>
        <v>0</v>
      </c>
      <c r="T117" s="36">
        <f ca="1">IF($A117="","",IF(T$1="","",COUNTIFS(tbl_chests[from],$A117,tbl_chests[legalized],T$1,tbl_chests[datetime],"&gt;="&amp;TODAY()-WEEKDAY(TODAY(),2)+1,tbl_chests[datetime],"&lt;"&amp;TODAY()-WEEKDAY(TODAY(),2)+8)))</f>
        <v>0</v>
      </c>
      <c r="U117" s="36">
        <f ca="1">IF($A117="","",IF(U$1="","",COUNTIFS(tbl_chests[from],$A117,tbl_chests[legalized],U$1,tbl_chests[datetime],"&gt;="&amp;TODAY()-WEEKDAY(TODAY(),2)+1,tbl_chests[datetime],"&lt;"&amp;TODAY()-WEEKDAY(TODAY(),2)+8)))</f>
        <v>0</v>
      </c>
      <c r="V117" s="36">
        <f ca="1">IF($A117="","",IF(V$1="","",COUNTIFS(tbl_chests[from],$A117,tbl_chests[legalized],V$1,tbl_chests[datetime],"&gt;="&amp;TODAY()-WEEKDAY(TODAY(),2)+1,tbl_chests[datetime],"&lt;"&amp;TODAY()-WEEKDAY(TODAY(),2)+8)))</f>
        <v>0</v>
      </c>
      <c r="W117" s="36">
        <f ca="1">IF($A117="","",IF(W$1="","",COUNTIFS(tbl_chests[from],$A117,tbl_chests[legalized],W$1,tbl_chests[datetime],"&gt;="&amp;TODAY()-WEEKDAY(TODAY(),2)+1,tbl_chests[datetime],"&lt;"&amp;TODAY()-WEEKDAY(TODAY(),2)+8)))</f>
        <v>0</v>
      </c>
      <c r="X117" s="36">
        <f ca="1">IF($A117="","",IF(X$1="","",COUNTIFS(tbl_chests[from],$A117,tbl_chests[legalized],X$1,tbl_chests[datetime],"&gt;="&amp;TODAY()-WEEKDAY(TODAY(),2)+1,tbl_chests[datetime],"&lt;"&amp;TODAY()-WEEKDAY(TODAY(),2)+8)))</f>
        <v>0</v>
      </c>
      <c r="Y117" s="36">
        <f ca="1">IF($A117="","",IF(Y$1="","",COUNTIFS(tbl_chests[from],$A117,tbl_chests[legalized],Y$1,tbl_chests[datetime],"&gt;="&amp;TODAY()-WEEKDAY(TODAY(),2)+1,tbl_chests[datetime],"&lt;"&amp;TODAY()-WEEKDAY(TODAY(),2)+8)))</f>
        <v>0</v>
      </c>
      <c r="Z117" s="36">
        <f ca="1">IF($A117="","",IF(Z$1="","",COUNTIFS(tbl_chests[from],$A117,tbl_chests[legalized],Z$1,tbl_chests[datetime],"&gt;="&amp;TODAY()-WEEKDAY(TODAY(),2)+1,tbl_chests[datetime],"&lt;"&amp;TODAY()-WEEKDAY(TODAY(),2)+8)))</f>
        <v>0</v>
      </c>
      <c r="AA117" s="36">
        <f ca="1">IF($A117="","",IF(AA$1="","",COUNTIFS(tbl_chests[from],$A117,tbl_chests[legalized],AA$1,tbl_chests[datetime],"&gt;="&amp;TODAY()-WEEKDAY(TODAY(),2)+1,tbl_chests[datetime],"&lt;"&amp;TODAY()-WEEKDAY(TODAY(),2)+8)))</f>
        <v>0</v>
      </c>
      <c r="AB117" s="36">
        <f ca="1">IF($A117="","",IF(AB$1="","",COUNTIFS(tbl_chests[from],$A117,tbl_chests[legalized],AB$1,tbl_chests[datetime],"&gt;="&amp;TODAY()-WEEKDAY(TODAY(),2)+1,tbl_chests[datetime],"&lt;"&amp;TODAY()-WEEKDAY(TODAY(),2)+8)))</f>
        <v>0</v>
      </c>
      <c r="AC117" s="36">
        <f ca="1">IF($A117="","",IF(AC$1="","",COUNTIFS(tbl_chests[from],$A117,tbl_chests[legalized],AC$1,tbl_chests[datetime],"&gt;="&amp;TODAY()-WEEKDAY(TODAY(),2)+1,tbl_chests[datetime],"&lt;"&amp;TODAY()-WEEKDAY(TODAY(),2)+8)))</f>
        <v>0</v>
      </c>
      <c r="AD117" s="36">
        <f ca="1">IF($A117="","",IF(AD$1="","",COUNTIFS(tbl_chests[from],$A117,tbl_chests[legalized],AD$1,tbl_chests[datetime],"&gt;="&amp;TODAY()-WEEKDAY(TODAY(),2)+1,tbl_chests[datetime],"&lt;"&amp;TODAY()-WEEKDAY(TODAY(),2)+8)))</f>
        <v>0</v>
      </c>
      <c r="AE117" s="36">
        <f ca="1">IF($A117="","",IF(AE$1="","",COUNTIFS(tbl_chests[from],$A117,tbl_chests[legalized],AE$1,tbl_chests[datetime],"&gt;="&amp;TODAY()-WEEKDAY(TODAY(),2)+1,tbl_chests[datetime],"&lt;"&amp;TODAY()-WEEKDAY(TODAY(),2)+8)))</f>
        <v>0</v>
      </c>
      <c r="AF117" s="36">
        <f ca="1">IF($A117="","",IF(AF$1="","",COUNTIFS(tbl_chests[from],$A117,tbl_chests[legalized],AF$1,tbl_chests[datetime],"&gt;="&amp;TODAY()-WEEKDAY(TODAY(),2)+1,tbl_chests[datetime],"&lt;"&amp;TODAY()-WEEKDAY(TODAY(),2)+8)))</f>
        <v>0</v>
      </c>
      <c r="AG117" s="36">
        <f ca="1">IF($A117="","",IF(AG$1="","",COUNTIFS(tbl_chests[from],$A117,tbl_chests[legalized],AG$1,tbl_chests[datetime],"&gt;="&amp;TODAY()-WEEKDAY(TODAY(),2)+1,tbl_chests[datetime],"&lt;"&amp;TODAY()-WEEKDAY(TODAY(),2)+8)))</f>
        <v>0</v>
      </c>
      <c r="AH117" s="36">
        <f ca="1">IF($A117="","",IF(AH$1="","",COUNTIFS(tbl_chests[from],$A117,tbl_chests[legalized],AH$1,tbl_chests[datetime],"&gt;="&amp;TODAY()-WEEKDAY(TODAY(),2)+1,tbl_chests[datetime],"&lt;"&amp;TODAY()-WEEKDAY(TODAY(),2)+8)))</f>
        <v>0</v>
      </c>
      <c r="AI117" s="36">
        <f ca="1">IF($A117="","",IF(AI$1="","",COUNTIFS(tbl_chests[from],$A117,tbl_chests[legalized],AI$1,tbl_chests[datetime],"&gt;="&amp;TODAY()-WEEKDAY(TODAY(),2)+1,tbl_chests[datetime],"&lt;"&amp;TODAY()-WEEKDAY(TODAY(),2)+8)))</f>
        <v>0</v>
      </c>
      <c r="AJ117" s="36">
        <f ca="1">IF($A117="","",IF(AJ$1="","",COUNTIFS(tbl_chests[from],$A117,tbl_chests[legalized],AJ$1,tbl_chests[datetime],"&gt;="&amp;TODAY()-WEEKDAY(TODAY(),2)+1,tbl_chests[datetime],"&lt;"&amp;TODAY()-WEEKDAY(TODAY(),2)+8)))</f>
        <v>0</v>
      </c>
      <c r="AK117" s="36">
        <f ca="1">IF($A117="","",IF(AK$1="","",COUNTIFS(tbl_chests[from],$A117,tbl_chests[legalized],AK$1,tbl_chests[datetime],"&gt;="&amp;TODAY()-WEEKDAY(TODAY(),2)+1,tbl_chests[datetime],"&lt;"&amp;TODAY()-WEEKDAY(TODAY(),2)+8)))</f>
        <v>0</v>
      </c>
      <c r="AL117" s="36">
        <f ca="1">IF($A117="","",IF(AL$1="","",COUNTIFS(tbl_chests[from],$A117,tbl_chests[legalized],AL$1,tbl_chests[datetime],"&gt;="&amp;TODAY()-WEEKDAY(TODAY(),2)+1,tbl_chests[datetime],"&lt;"&amp;TODAY()-WEEKDAY(TODAY(),2)+8)))</f>
        <v>0</v>
      </c>
      <c r="AM117" s="37">
        <f ca="1">IF($A117="","",IF(AM$1="","",COUNTIFS(tbl_chests[from],$A117,tbl_chests[legalized],AM$1,tbl_chests[datetime],"&gt;="&amp;TODAY()-WEEKDAY(TODAY(),2)+1,tbl_chests[datetime],"&lt;"&amp;TODAY()-WEEKDAY(TODAY(),2)+8)))</f>
        <v>0</v>
      </c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 spans="1:67" ht="15.75" customHeight="1" x14ac:dyDescent="0.25">
      <c r="A118" s="34">
        <f>chests_counter!$H115</f>
        <v>0</v>
      </c>
      <c r="B118" s="35" cm="1">
        <f t="array" aca="1" ref="B118" ca="1">IF(A118&lt;&gt;"", SUMPRODUCT(($C$2:$AM$2&lt;&gt;0)*(C118:AM118&lt;&gt;0)*($C$2:$AM$2)*(C118:AM118)), "")</f>
        <v>0</v>
      </c>
      <c r="C118" s="36">
        <f ca="1">IF($A118="","",IF(C$1="","",COUNTIFS(tbl_chests[from],$A118,tbl_chests[legalized],C$1,tbl_chests[datetime],"&gt;="&amp;TODAY()-WEEKDAY(TODAY(),2)+1,tbl_chests[datetime],"&lt;"&amp;TODAY()-WEEKDAY(TODAY(),2)+8)))</f>
        <v>0</v>
      </c>
      <c r="D118" s="36">
        <f ca="1">IF($A118="","",IF(D$1="","",COUNTIFS(tbl_chests[from],$A118,tbl_chests[legalized],D$1,tbl_chests[datetime],"&gt;="&amp;TODAY()-WEEKDAY(TODAY(),2)+1,tbl_chests[datetime],"&lt;"&amp;TODAY()-WEEKDAY(TODAY(),2)+8)))</f>
        <v>0</v>
      </c>
      <c r="E118" s="36">
        <f ca="1">IF($A118="","",IF(E$1="","",COUNTIFS(tbl_chests[from],$A118,tbl_chests[legalized],E$1,tbl_chests[datetime],"&gt;="&amp;TODAY()-WEEKDAY(TODAY(),2)+1,tbl_chests[datetime],"&lt;"&amp;TODAY()-WEEKDAY(TODAY(),2)+8)))</f>
        <v>0</v>
      </c>
      <c r="F118" s="36">
        <f ca="1">IF($A118="","",IF(F$1="","",COUNTIFS(tbl_chests[from],$A118,tbl_chests[legalized],F$1,tbl_chests[datetime],"&gt;="&amp;TODAY()-WEEKDAY(TODAY(),2)+1,tbl_chests[datetime],"&lt;"&amp;TODAY()-WEEKDAY(TODAY(),2)+8)))</f>
        <v>0</v>
      </c>
      <c r="G118" s="36">
        <f ca="1">IF($A118="","",IF(G$1="","",COUNTIFS(tbl_chests[from],$A118,tbl_chests[legalized],G$1,tbl_chests[datetime],"&gt;="&amp;TODAY()-WEEKDAY(TODAY(),2)+1,tbl_chests[datetime],"&lt;"&amp;TODAY()-WEEKDAY(TODAY(),2)+8)))</f>
        <v>0</v>
      </c>
      <c r="H118" s="36">
        <f ca="1">IF($A118="","",IF(H$1="","",COUNTIFS(tbl_chests[from],$A118,tbl_chests[legalized],H$1,tbl_chests[datetime],"&gt;="&amp;TODAY()-WEEKDAY(TODAY(),2)+1,tbl_chests[datetime],"&lt;"&amp;TODAY()-WEEKDAY(TODAY(),2)+8)))</f>
        <v>0</v>
      </c>
      <c r="I118" s="36">
        <f ca="1">IF($A118="","",IF(I$1="","",COUNTIFS(tbl_chests[from],$A118,tbl_chests[legalized],I$1,tbl_chests[datetime],"&gt;="&amp;TODAY()-WEEKDAY(TODAY(),2)+1,tbl_chests[datetime],"&lt;"&amp;TODAY()-WEEKDAY(TODAY(),2)+8)))</f>
        <v>0</v>
      </c>
      <c r="J118" s="36">
        <f ca="1">IF($A118="","",IF(J$1="","",COUNTIFS(tbl_chests[from],$A118,tbl_chests[legalized],J$1,tbl_chests[datetime],"&gt;="&amp;TODAY()-WEEKDAY(TODAY(),2)+1,tbl_chests[datetime],"&lt;"&amp;TODAY()-WEEKDAY(TODAY(),2)+8)))</f>
        <v>0</v>
      </c>
      <c r="K118" s="36">
        <f ca="1">IF($A118="","",IF(K$1="","",COUNTIFS(tbl_chests[from],$A118,tbl_chests[legalized],K$1,tbl_chests[datetime],"&gt;="&amp;TODAY()-WEEKDAY(TODAY(),2)+1,tbl_chests[datetime],"&lt;"&amp;TODAY()-WEEKDAY(TODAY(),2)+8)))</f>
        <v>0</v>
      </c>
      <c r="L118" s="36">
        <f ca="1">IF($A118="","",IF(L$1="","",COUNTIFS(tbl_chests[from],$A118,tbl_chests[legalized],L$1,tbl_chests[datetime],"&gt;="&amp;TODAY()-WEEKDAY(TODAY(),2)+1,tbl_chests[datetime],"&lt;"&amp;TODAY()-WEEKDAY(TODAY(),2)+8)))</f>
        <v>0</v>
      </c>
      <c r="M118" s="36">
        <f ca="1">IF($A118="","",IF(M$1="","",COUNTIFS(tbl_chests[from],$A118,tbl_chests[legalized],M$1,tbl_chests[datetime],"&gt;="&amp;TODAY()-WEEKDAY(TODAY(),2)+1,tbl_chests[datetime],"&lt;"&amp;TODAY()-WEEKDAY(TODAY(),2)+8)))</f>
        <v>0</v>
      </c>
      <c r="N118" s="36">
        <f ca="1">IF($A118="","",IF(N$1="","",COUNTIFS(tbl_chests[from],$A118,tbl_chests[legalized],N$1,tbl_chests[datetime],"&gt;="&amp;TODAY()-WEEKDAY(TODAY(),2)+1,tbl_chests[datetime],"&lt;"&amp;TODAY()-WEEKDAY(TODAY(),2)+8)))</f>
        <v>0</v>
      </c>
      <c r="O118" s="36">
        <f ca="1">IF($A118="","",IF(O$1="","",COUNTIFS(tbl_chests[from],$A118,tbl_chests[legalized],O$1,tbl_chests[datetime],"&gt;="&amp;TODAY()-WEEKDAY(TODAY(),2)+1,tbl_chests[datetime],"&lt;"&amp;TODAY()-WEEKDAY(TODAY(),2)+8)))</f>
        <v>0</v>
      </c>
      <c r="P118" s="36">
        <f ca="1">IF($A118="","",IF(P$1="","",COUNTIFS(tbl_chests[from],$A118,tbl_chests[legalized],P$1,tbl_chests[datetime],"&gt;="&amp;TODAY()-WEEKDAY(TODAY(),2)+1,tbl_chests[datetime],"&lt;"&amp;TODAY()-WEEKDAY(TODAY(),2)+8)))</f>
        <v>0</v>
      </c>
      <c r="Q118" s="36">
        <f ca="1">IF($A118="","",IF(Q$1="","",COUNTIFS(tbl_chests[from],$A118,tbl_chests[legalized],Q$1,tbl_chests[datetime],"&gt;="&amp;TODAY()-WEEKDAY(TODAY(),2)+1,tbl_chests[datetime],"&lt;"&amp;TODAY()-WEEKDAY(TODAY(),2)+8)))</f>
        <v>0</v>
      </c>
      <c r="R118" s="36">
        <f ca="1">IF($A118="","",IF(R$1="","",COUNTIFS(tbl_chests[from],$A118,tbl_chests[legalized],R$1,tbl_chests[datetime],"&gt;="&amp;TODAY()-WEEKDAY(TODAY(),2)+1,tbl_chests[datetime],"&lt;"&amp;TODAY()-WEEKDAY(TODAY(),2)+8)))</f>
        <v>0</v>
      </c>
      <c r="S118" s="36">
        <f ca="1">IF($A118="","",IF(S$1="","",COUNTIFS(tbl_chests[from],$A118,tbl_chests[legalized],S$1,tbl_chests[datetime],"&gt;="&amp;TODAY()-WEEKDAY(TODAY(),2)+1,tbl_chests[datetime],"&lt;"&amp;TODAY()-WEEKDAY(TODAY(),2)+8)))</f>
        <v>0</v>
      </c>
      <c r="T118" s="36">
        <f ca="1">IF($A118="","",IF(T$1="","",COUNTIFS(tbl_chests[from],$A118,tbl_chests[legalized],T$1,tbl_chests[datetime],"&gt;="&amp;TODAY()-WEEKDAY(TODAY(),2)+1,tbl_chests[datetime],"&lt;"&amp;TODAY()-WEEKDAY(TODAY(),2)+8)))</f>
        <v>0</v>
      </c>
      <c r="U118" s="36">
        <f ca="1">IF($A118="","",IF(U$1="","",COUNTIFS(tbl_chests[from],$A118,tbl_chests[legalized],U$1,tbl_chests[datetime],"&gt;="&amp;TODAY()-WEEKDAY(TODAY(),2)+1,tbl_chests[datetime],"&lt;"&amp;TODAY()-WEEKDAY(TODAY(),2)+8)))</f>
        <v>0</v>
      </c>
      <c r="V118" s="36">
        <f ca="1">IF($A118="","",IF(V$1="","",COUNTIFS(tbl_chests[from],$A118,tbl_chests[legalized],V$1,tbl_chests[datetime],"&gt;="&amp;TODAY()-WEEKDAY(TODAY(),2)+1,tbl_chests[datetime],"&lt;"&amp;TODAY()-WEEKDAY(TODAY(),2)+8)))</f>
        <v>0</v>
      </c>
      <c r="W118" s="36">
        <f ca="1">IF($A118="","",IF(W$1="","",COUNTIFS(tbl_chests[from],$A118,tbl_chests[legalized],W$1,tbl_chests[datetime],"&gt;="&amp;TODAY()-WEEKDAY(TODAY(),2)+1,tbl_chests[datetime],"&lt;"&amp;TODAY()-WEEKDAY(TODAY(),2)+8)))</f>
        <v>0</v>
      </c>
      <c r="X118" s="36">
        <f ca="1">IF($A118="","",IF(X$1="","",COUNTIFS(tbl_chests[from],$A118,tbl_chests[legalized],X$1,tbl_chests[datetime],"&gt;="&amp;TODAY()-WEEKDAY(TODAY(),2)+1,tbl_chests[datetime],"&lt;"&amp;TODAY()-WEEKDAY(TODAY(),2)+8)))</f>
        <v>0</v>
      </c>
      <c r="Y118" s="36">
        <f ca="1">IF($A118="","",IF(Y$1="","",COUNTIFS(tbl_chests[from],$A118,tbl_chests[legalized],Y$1,tbl_chests[datetime],"&gt;="&amp;TODAY()-WEEKDAY(TODAY(),2)+1,tbl_chests[datetime],"&lt;"&amp;TODAY()-WEEKDAY(TODAY(),2)+8)))</f>
        <v>0</v>
      </c>
      <c r="Z118" s="36">
        <f ca="1">IF($A118="","",IF(Z$1="","",COUNTIFS(tbl_chests[from],$A118,tbl_chests[legalized],Z$1,tbl_chests[datetime],"&gt;="&amp;TODAY()-WEEKDAY(TODAY(),2)+1,tbl_chests[datetime],"&lt;"&amp;TODAY()-WEEKDAY(TODAY(),2)+8)))</f>
        <v>0</v>
      </c>
      <c r="AA118" s="36">
        <f ca="1">IF($A118="","",IF(AA$1="","",COUNTIFS(tbl_chests[from],$A118,tbl_chests[legalized],AA$1,tbl_chests[datetime],"&gt;="&amp;TODAY()-WEEKDAY(TODAY(),2)+1,tbl_chests[datetime],"&lt;"&amp;TODAY()-WEEKDAY(TODAY(),2)+8)))</f>
        <v>0</v>
      </c>
      <c r="AB118" s="36">
        <f ca="1">IF($A118="","",IF(AB$1="","",COUNTIFS(tbl_chests[from],$A118,tbl_chests[legalized],AB$1,tbl_chests[datetime],"&gt;="&amp;TODAY()-WEEKDAY(TODAY(),2)+1,tbl_chests[datetime],"&lt;"&amp;TODAY()-WEEKDAY(TODAY(),2)+8)))</f>
        <v>0</v>
      </c>
      <c r="AC118" s="36">
        <f ca="1">IF($A118="","",IF(AC$1="","",COUNTIFS(tbl_chests[from],$A118,tbl_chests[legalized],AC$1,tbl_chests[datetime],"&gt;="&amp;TODAY()-WEEKDAY(TODAY(),2)+1,tbl_chests[datetime],"&lt;"&amp;TODAY()-WEEKDAY(TODAY(),2)+8)))</f>
        <v>0</v>
      </c>
      <c r="AD118" s="36">
        <f ca="1">IF($A118="","",IF(AD$1="","",COUNTIFS(tbl_chests[from],$A118,tbl_chests[legalized],AD$1,tbl_chests[datetime],"&gt;="&amp;TODAY()-WEEKDAY(TODAY(),2)+1,tbl_chests[datetime],"&lt;"&amp;TODAY()-WEEKDAY(TODAY(),2)+8)))</f>
        <v>0</v>
      </c>
      <c r="AE118" s="36">
        <f ca="1">IF($A118="","",IF(AE$1="","",COUNTIFS(tbl_chests[from],$A118,tbl_chests[legalized],AE$1,tbl_chests[datetime],"&gt;="&amp;TODAY()-WEEKDAY(TODAY(),2)+1,tbl_chests[datetime],"&lt;"&amp;TODAY()-WEEKDAY(TODAY(),2)+8)))</f>
        <v>0</v>
      </c>
      <c r="AF118" s="36">
        <f ca="1">IF($A118="","",IF(AF$1="","",COUNTIFS(tbl_chests[from],$A118,tbl_chests[legalized],AF$1,tbl_chests[datetime],"&gt;="&amp;TODAY()-WEEKDAY(TODAY(),2)+1,tbl_chests[datetime],"&lt;"&amp;TODAY()-WEEKDAY(TODAY(),2)+8)))</f>
        <v>0</v>
      </c>
      <c r="AG118" s="36">
        <f ca="1">IF($A118="","",IF(AG$1="","",COUNTIFS(tbl_chests[from],$A118,tbl_chests[legalized],AG$1,tbl_chests[datetime],"&gt;="&amp;TODAY()-WEEKDAY(TODAY(),2)+1,tbl_chests[datetime],"&lt;"&amp;TODAY()-WEEKDAY(TODAY(),2)+8)))</f>
        <v>0</v>
      </c>
      <c r="AH118" s="36">
        <f ca="1">IF($A118="","",IF(AH$1="","",COUNTIFS(tbl_chests[from],$A118,tbl_chests[legalized],AH$1,tbl_chests[datetime],"&gt;="&amp;TODAY()-WEEKDAY(TODAY(),2)+1,tbl_chests[datetime],"&lt;"&amp;TODAY()-WEEKDAY(TODAY(),2)+8)))</f>
        <v>0</v>
      </c>
      <c r="AI118" s="36">
        <f ca="1">IF($A118="","",IF(AI$1="","",COUNTIFS(tbl_chests[from],$A118,tbl_chests[legalized],AI$1,tbl_chests[datetime],"&gt;="&amp;TODAY()-WEEKDAY(TODAY(),2)+1,tbl_chests[datetime],"&lt;"&amp;TODAY()-WEEKDAY(TODAY(),2)+8)))</f>
        <v>0</v>
      </c>
      <c r="AJ118" s="36">
        <f ca="1">IF($A118="","",IF(AJ$1="","",COUNTIFS(tbl_chests[from],$A118,tbl_chests[legalized],AJ$1,tbl_chests[datetime],"&gt;="&amp;TODAY()-WEEKDAY(TODAY(),2)+1,tbl_chests[datetime],"&lt;"&amp;TODAY()-WEEKDAY(TODAY(),2)+8)))</f>
        <v>0</v>
      </c>
      <c r="AK118" s="36">
        <f ca="1">IF($A118="","",IF(AK$1="","",COUNTIFS(tbl_chests[from],$A118,tbl_chests[legalized],AK$1,tbl_chests[datetime],"&gt;="&amp;TODAY()-WEEKDAY(TODAY(),2)+1,tbl_chests[datetime],"&lt;"&amp;TODAY()-WEEKDAY(TODAY(),2)+8)))</f>
        <v>0</v>
      </c>
      <c r="AL118" s="36">
        <f ca="1">IF($A118="","",IF(AL$1="","",COUNTIFS(tbl_chests[from],$A118,tbl_chests[legalized],AL$1,tbl_chests[datetime],"&gt;="&amp;TODAY()-WEEKDAY(TODAY(),2)+1,tbl_chests[datetime],"&lt;"&amp;TODAY()-WEEKDAY(TODAY(),2)+8)))</f>
        <v>0</v>
      </c>
      <c r="AM118" s="37">
        <f ca="1">IF($A118="","",IF(AM$1="","",COUNTIFS(tbl_chests[from],$A118,tbl_chests[legalized],AM$1,tbl_chests[datetime],"&gt;="&amp;TODAY()-WEEKDAY(TODAY(),2)+1,tbl_chests[datetime],"&lt;"&amp;TODAY()-WEEKDAY(TODAY(),2)+8)))</f>
        <v>0</v>
      </c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 spans="1:67" ht="15.75" customHeight="1" x14ac:dyDescent="0.25">
      <c r="A119" s="34">
        <f>chests_counter!$H116</f>
        <v>0</v>
      </c>
      <c r="B119" s="35" cm="1">
        <f t="array" aca="1" ref="B119" ca="1">IF(A119&lt;&gt;"", SUMPRODUCT(($C$2:$AM$2&lt;&gt;0)*(C119:AM119&lt;&gt;0)*($C$2:$AM$2)*(C119:AM119)), "")</f>
        <v>0</v>
      </c>
      <c r="C119" s="36">
        <f ca="1">IF($A119="","",IF(C$1="","",COUNTIFS(tbl_chests[from],$A119,tbl_chests[legalized],C$1,tbl_chests[datetime],"&gt;="&amp;TODAY()-WEEKDAY(TODAY(),2)+1,tbl_chests[datetime],"&lt;"&amp;TODAY()-WEEKDAY(TODAY(),2)+8)))</f>
        <v>0</v>
      </c>
      <c r="D119" s="36">
        <f ca="1">IF($A119="","",IF(D$1="","",COUNTIFS(tbl_chests[from],$A119,tbl_chests[legalized],D$1,tbl_chests[datetime],"&gt;="&amp;TODAY()-WEEKDAY(TODAY(),2)+1,tbl_chests[datetime],"&lt;"&amp;TODAY()-WEEKDAY(TODAY(),2)+8)))</f>
        <v>0</v>
      </c>
      <c r="E119" s="36">
        <f ca="1">IF($A119="","",IF(E$1="","",COUNTIFS(tbl_chests[from],$A119,tbl_chests[legalized],E$1,tbl_chests[datetime],"&gt;="&amp;TODAY()-WEEKDAY(TODAY(),2)+1,tbl_chests[datetime],"&lt;"&amp;TODAY()-WEEKDAY(TODAY(),2)+8)))</f>
        <v>0</v>
      </c>
      <c r="F119" s="36">
        <f ca="1">IF($A119="","",IF(F$1="","",COUNTIFS(tbl_chests[from],$A119,tbl_chests[legalized],F$1,tbl_chests[datetime],"&gt;="&amp;TODAY()-WEEKDAY(TODAY(),2)+1,tbl_chests[datetime],"&lt;"&amp;TODAY()-WEEKDAY(TODAY(),2)+8)))</f>
        <v>0</v>
      </c>
      <c r="G119" s="36">
        <f ca="1">IF($A119="","",IF(G$1="","",COUNTIFS(tbl_chests[from],$A119,tbl_chests[legalized],G$1,tbl_chests[datetime],"&gt;="&amp;TODAY()-WEEKDAY(TODAY(),2)+1,tbl_chests[datetime],"&lt;"&amp;TODAY()-WEEKDAY(TODAY(),2)+8)))</f>
        <v>0</v>
      </c>
      <c r="H119" s="36">
        <f ca="1">IF($A119="","",IF(H$1="","",COUNTIFS(tbl_chests[from],$A119,tbl_chests[legalized],H$1,tbl_chests[datetime],"&gt;="&amp;TODAY()-WEEKDAY(TODAY(),2)+1,tbl_chests[datetime],"&lt;"&amp;TODAY()-WEEKDAY(TODAY(),2)+8)))</f>
        <v>0</v>
      </c>
      <c r="I119" s="36">
        <f ca="1">IF($A119="","",IF(I$1="","",COUNTIFS(tbl_chests[from],$A119,tbl_chests[legalized],I$1,tbl_chests[datetime],"&gt;="&amp;TODAY()-WEEKDAY(TODAY(),2)+1,tbl_chests[datetime],"&lt;"&amp;TODAY()-WEEKDAY(TODAY(),2)+8)))</f>
        <v>0</v>
      </c>
      <c r="J119" s="36">
        <f ca="1">IF($A119="","",IF(J$1="","",COUNTIFS(tbl_chests[from],$A119,tbl_chests[legalized],J$1,tbl_chests[datetime],"&gt;="&amp;TODAY()-WEEKDAY(TODAY(),2)+1,tbl_chests[datetime],"&lt;"&amp;TODAY()-WEEKDAY(TODAY(),2)+8)))</f>
        <v>0</v>
      </c>
      <c r="K119" s="36">
        <f ca="1">IF($A119="","",IF(K$1="","",COUNTIFS(tbl_chests[from],$A119,tbl_chests[legalized],K$1,tbl_chests[datetime],"&gt;="&amp;TODAY()-WEEKDAY(TODAY(),2)+1,tbl_chests[datetime],"&lt;"&amp;TODAY()-WEEKDAY(TODAY(),2)+8)))</f>
        <v>0</v>
      </c>
      <c r="L119" s="36">
        <f ca="1">IF($A119="","",IF(L$1="","",COUNTIFS(tbl_chests[from],$A119,tbl_chests[legalized],L$1,tbl_chests[datetime],"&gt;="&amp;TODAY()-WEEKDAY(TODAY(),2)+1,tbl_chests[datetime],"&lt;"&amp;TODAY()-WEEKDAY(TODAY(),2)+8)))</f>
        <v>0</v>
      </c>
      <c r="M119" s="36">
        <f ca="1">IF($A119="","",IF(M$1="","",COUNTIFS(tbl_chests[from],$A119,tbl_chests[legalized],M$1,tbl_chests[datetime],"&gt;="&amp;TODAY()-WEEKDAY(TODAY(),2)+1,tbl_chests[datetime],"&lt;"&amp;TODAY()-WEEKDAY(TODAY(),2)+8)))</f>
        <v>0</v>
      </c>
      <c r="N119" s="36">
        <f ca="1">IF($A119="","",IF(N$1="","",COUNTIFS(tbl_chests[from],$A119,tbl_chests[legalized],N$1,tbl_chests[datetime],"&gt;="&amp;TODAY()-WEEKDAY(TODAY(),2)+1,tbl_chests[datetime],"&lt;"&amp;TODAY()-WEEKDAY(TODAY(),2)+8)))</f>
        <v>0</v>
      </c>
      <c r="O119" s="36">
        <f ca="1">IF($A119="","",IF(O$1="","",COUNTIFS(tbl_chests[from],$A119,tbl_chests[legalized],O$1,tbl_chests[datetime],"&gt;="&amp;TODAY()-WEEKDAY(TODAY(),2)+1,tbl_chests[datetime],"&lt;"&amp;TODAY()-WEEKDAY(TODAY(),2)+8)))</f>
        <v>0</v>
      </c>
      <c r="P119" s="36">
        <f ca="1">IF($A119="","",IF(P$1="","",COUNTIFS(tbl_chests[from],$A119,tbl_chests[legalized],P$1,tbl_chests[datetime],"&gt;="&amp;TODAY()-WEEKDAY(TODAY(),2)+1,tbl_chests[datetime],"&lt;"&amp;TODAY()-WEEKDAY(TODAY(),2)+8)))</f>
        <v>0</v>
      </c>
      <c r="Q119" s="36">
        <f ca="1">IF($A119="","",IF(Q$1="","",COUNTIFS(tbl_chests[from],$A119,tbl_chests[legalized],Q$1,tbl_chests[datetime],"&gt;="&amp;TODAY()-WEEKDAY(TODAY(),2)+1,tbl_chests[datetime],"&lt;"&amp;TODAY()-WEEKDAY(TODAY(),2)+8)))</f>
        <v>0</v>
      </c>
      <c r="R119" s="36">
        <f ca="1">IF($A119="","",IF(R$1="","",COUNTIFS(tbl_chests[from],$A119,tbl_chests[legalized],R$1,tbl_chests[datetime],"&gt;="&amp;TODAY()-WEEKDAY(TODAY(),2)+1,tbl_chests[datetime],"&lt;"&amp;TODAY()-WEEKDAY(TODAY(),2)+8)))</f>
        <v>0</v>
      </c>
      <c r="S119" s="36">
        <f ca="1">IF($A119="","",IF(S$1="","",COUNTIFS(tbl_chests[from],$A119,tbl_chests[legalized],S$1,tbl_chests[datetime],"&gt;="&amp;TODAY()-WEEKDAY(TODAY(),2)+1,tbl_chests[datetime],"&lt;"&amp;TODAY()-WEEKDAY(TODAY(),2)+8)))</f>
        <v>0</v>
      </c>
      <c r="T119" s="36">
        <f ca="1">IF($A119="","",IF(T$1="","",COUNTIFS(tbl_chests[from],$A119,tbl_chests[legalized],T$1,tbl_chests[datetime],"&gt;="&amp;TODAY()-WEEKDAY(TODAY(),2)+1,tbl_chests[datetime],"&lt;"&amp;TODAY()-WEEKDAY(TODAY(),2)+8)))</f>
        <v>0</v>
      </c>
      <c r="U119" s="36">
        <f ca="1">IF($A119="","",IF(U$1="","",COUNTIFS(tbl_chests[from],$A119,tbl_chests[legalized],U$1,tbl_chests[datetime],"&gt;="&amp;TODAY()-WEEKDAY(TODAY(),2)+1,tbl_chests[datetime],"&lt;"&amp;TODAY()-WEEKDAY(TODAY(),2)+8)))</f>
        <v>0</v>
      </c>
      <c r="V119" s="36">
        <f ca="1">IF($A119="","",IF(V$1="","",COUNTIFS(tbl_chests[from],$A119,tbl_chests[legalized],V$1,tbl_chests[datetime],"&gt;="&amp;TODAY()-WEEKDAY(TODAY(),2)+1,tbl_chests[datetime],"&lt;"&amp;TODAY()-WEEKDAY(TODAY(),2)+8)))</f>
        <v>0</v>
      </c>
      <c r="W119" s="36">
        <f ca="1">IF($A119="","",IF(W$1="","",COUNTIFS(tbl_chests[from],$A119,tbl_chests[legalized],W$1,tbl_chests[datetime],"&gt;="&amp;TODAY()-WEEKDAY(TODAY(),2)+1,tbl_chests[datetime],"&lt;"&amp;TODAY()-WEEKDAY(TODAY(),2)+8)))</f>
        <v>0</v>
      </c>
      <c r="X119" s="36">
        <f ca="1">IF($A119="","",IF(X$1="","",COUNTIFS(tbl_chests[from],$A119,tbl_chests[legalized],X$1,tbl_chests[datetime],"&gt;="&amp;TODAY()-WEEKDAY(TODAY(),2)+1,tbl_chests[datetime],"&lt;"&amp;TODAY()-WEEKDAY(TODAY(),2)+8)))</f>
        <v>0</v>
      </c>
      <c r="Y119" s="36">
        <f ca="1">IF($A119="","",IF(Y$1="","",COUNTIFS(tbl_chests[from],$A119,tbl_chests[legalized],Y$1,tbl_chests[datetime],"&gt;="&amp;TODAY()-WEEKDAY(TODAY(),2)+1,tbl_chests[datetime],"&lt;"&amp;TODAY()-WEEKDAY(TODAY(),2)+8)))</f>
        <v>0</v>
      </c>
      <c r="Z119" s="36">
        <f ca="1">IF($A119="","",IF(Z$1="","",COUNTIFS(tbl_chests[from],$A119,tbl_chests[legalized],Z$1,tbl_chests[datetime],"&gt;="&amp;TODAY()-WEEKDAY(TODAY(),2)+1,tbl_chests[datetime],"&lt;"&amp;TODAY()-WEEKDAY(TODAY(),2)+8)))</f>
        <v>0</v>
      </c>
      <c r="AA119" s="36">
        <f ca="1">IF($A119="","",IF(AA$1="","",COUNTIFS(tbl_chests[from],$A119,tbl_chests[legalized],AA$1,tbl_chests[datetime],"&gt;="&amp;TODAY()-WEEKDAY(TODAY(),2)+1,tbl_chests[datetime],"&lt;"&amp;TODAY()-WEEKDAY(TODAY(),2)+8)))</f>
        <v>0</v>
      </c>
      <c r="AB119" s="36">
        <f ca="1">IF($A119="","",IF(AB$1="","",COUNTIFS(tbl_chests[from],$A119,tbl_chests[legalized],AB$1,tbl_chests[datetime],"&gt;="&amp;TODAY()-WEEKDAY(TODAY(),2)+1,tbl_chests[datetime],"&lt;"&amp;TODAY()-WEEKDAY(TODAY(),2)+8)))</f>
        <v>0</v>
      </c>
      <c r="AC119" s="36">
        <f ca="1">IF($A119="","",IF(AC$1="","",COUNTIFS(tbl_chests[from],$A119,tbl_chests[legalized],AC$1,tbl_chests[datetime],"&gt;="&amp;TODAY()-WEEKDAY(TODAY(),2)+1,tbl_chests[datetime],"&lt;"&amp;TODAY()-WEEKDAY(TODAY(),2)+8)))</f>
        <v>0</v>
      </c>
      <c r="AD119" s="36">
        <f ca="1">IF($A119="","",IF(AD$1="","",COUNTIFS(tbl_chests[from],$A119,tbl_chests[legalized],AD$1,tbl_chests[datetime],"&gt;="&amp;TODAY()-WEEKDAY(TODAY(),2)+1,tbl_chests[datetime],"&lt;"&amp;TODAY()-WEEKDAY(TODAY(),2)+8)))</f>
        <v>0</v>
      </c>
      <c r="AE119" s="36">
        <f ca="1">IF($A119="","",IF(AE$1="","",COUNTIFS(tbl_chests[from],$A119,tbl_chests[legalized],AE$1,tbl_chests[datetime],"&gt;="&amp;TODAY()-WEEKDAY(TODAY(),2)+1,tbl_chests[datetime],"&lt;"&amp;TODAY()-WEEKDAY(TODAY(),2)+8)))</f>
        <v>0</v>
      </c>
      <c r="AF119" s="36">
        <f ca="1">IF($A119="","",IF(AF$1="","",COUNTIFS(tbl_chests[from],$A119,tbl_chests[legalized],AF$1,tbl_chests[datetime],"&gt;="&amp;TODAY()-WEEKDAY(TODAY(),2)+1,tbl_chests[datetime],"&lt;"&amp;TODAY()-WEEKDAY(TODAY(),2)+8)))</f>
        <v>0</v>
      </c>
      <c r="AG119" s="36">
        <f ca="1">IF($A119="","",IF(AG$1="","",COUNTIFS(tbl_chests[from],$A119,tbl_chests[legalized],AG$1,tbl_chests[datetime],"&gt;="&amp;TODAY()-WEEKDAY(TODAY(),2)+1,tbl_chests[datetime],"&lt;"&amp;TODAY()-WEEKDAY(TODAY(),2)+8)))</f>
        <v>0</v>
      </c>
      <c r="AH119" s="36">
        <f ca="1">IF($A119="","",IF(AH$1="","",COUNTIFS(tbl_chests[from],$A119,tbl_chests[legalized],AH$1,tbl_chests[datetime],"&gt;="&amp;TODAY()-WEEKDAY(TODAY(),2)+1,tbl_chests[datetime],"&lt;"&amp;TODAY()-WEEKDAY(TODAY(),2)+8)))</f>
        <v>0</v>
      </c>
      <c r="AI119" s="36">
        <f ca="1">IF($A119="","",IF(AI$1="","",COUNTIFS(tbl_chests[from],$A119,tbl_chests[legalized],AI$1,tbl_chests[datetime],"&gt;="&amp;TODAY()-WEEKDAY(TODAY(),2)+1,tbl_chests[datetime],"&lt;"&amp;TODAY()-WEEKDAY(TODAY(),2)+8)))</f>
        <v>0</v>
      </c>
      <c r="AJ119" s="36">
        <f ca="1">IF($A119="","",IF(AJ$1="","",COUNTIFS(tbl_chests[from],$A119,tbl_chests[legalized],AJ$1,tbl_chests[datetime],"&gt;="&amp;TODAY()-WEEKDAY(TODAY(),2)+1,tbl_chests[datetime],"&lt;"&amp;TODAY()-WEEKDAY(TODAY(),2)+8)))</f>
        <v>0</v>
      </c>
      <c r="AK119" s="36">
        <f ca="1">IF($A119="","",IF(AK$1="","",COUNTIFS(tbl_chests[from],$A119,tbl_chests[legalized],AK$1,tbl_chests[datetime],"&gt;="&amp;TODAY()-WEEKDAY(TODAY(),2)+1,tbl_chests[datetime],"&lt;"&amp;TODAY()-WEEKDAY(TODAY(),2)+8)))</f>
        <v>0</v>
      </c>
      <c r="AL119" s="36">
        <f ca="1">IF($A119="","",IF(AL$1="","",COUNTIFS(tbl_chests[from],$A119,tbl_chests[legalized],AL$1,tbl_chests[datetime],"&gt;="&amp;TODAY()-WEEKDAY(TODAY(),2)+1,tbl_chests[datetime],"&lt;"&amp;TODAY()-WEEKDAY(TODAY(),2)+8)))</f>
        <v>0</v>
      </c>
      <c r="AM119" s="37">
        <f ca="1">IF($A119="","",IF(AM$1="","",COUNTIFS(tbl_chests[from],$A119,tbl_chests[legalized],AM$1,tbl_chests[datetime],"&gt;="&amp;TODAY()-WEEKDAY(TODAY(),2)+1,tbl_chests[datetime],"&lt;"&amp;TODAY()-WEEKDAY(TODAY(),2)+8)))</f>
        <v>0</v>
      </c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 spans="1:67" ht="15.75" customHeight="1" x14ac:dyDescent="0.25">
      <c r="A120" s="34">
        <f>chests_counter!$H117</f>
        <v>0</v>
      </c>
      <c r="B120" s="35" cm="1">
        <f t="array" aca="1" ref="B120" ca="1">IF(A120&lt;&gt;"", SUMPRODUCT(($C$2:$AM$2&lt;&gt;0)*(C120:AM120&lt;&gt;0)*($C$2:$AM$2)*(C120:AM120)), "")</f>
        <v>0</v>
      </c>
      <c r="C120" s="36">
        <f ca="1">IF($A120="","",IF(C$1="","",COUNTIFS(tbl_chests[from],$A120,tbl_chests[legalized],C$1,tbl_chests[datetime],"&gt;="&amp;TODAY()-WEEKDAY(TODAY(),2)+1,tbl_chests[datetime],"&lt;"&amp;TODAY()-WEEKDAY(TODAY(),2)+8)))</f>
        <v>0</v>
      </c>
      <c r="D120" s="36">
        <f ca="1">IF($A120="","",IF(D$1="","",COUNTIFS(tbl_chests[from],$A120,tbl_chests[legalized],D$1,tbl_chests[datetime],"&gt;="&amp;TODAY()-WEEKDAY(TODAY(),2)+1,tbl_chests[datetime],"&lt;"&amp;TODAY()-WEEKDAY(TODAY(),2)+8)))</f>
        <v>0</v>
      </c>
      <c r="E120" s="36">
        <f ca="1">IF($A120="","",IF(E$1="","",COUNTIFS(tbl_chests[from],$A120,tbl_chests[legalized],E$1,tbl_chests[datetime],"&gt;="&amp;TODAY()-WEEKDAY(TODAY(),2)+1,tbl_chests[datetime],"&lt;"&amp;TODAY()-WEEKDAY(TODAY(),2)+8)))</f>
        <v>0</v>
      </c>
      <c r="F120" s="36">
        <f ca="1">IF($A120="","",IF(F$1="","",COUNTIFS(tbl_chests[from],$A120,tbl_chests[legalized],F$1,tbl_chests[datetime],"&gt;="&amp;TODAY()-WEEKDAY(TODAY(),2)+1,tbl_chests[datetime],"&lt;"&amp;TODAY()-WEEKDAY(TODAY(),2)+8)))</f>
        <v>0</v>
      </c>
      <c r="G120" s="36">
        <f ca="1">IF($A120="","",IF(G$1="","",COUNTIFS(tbl_chests[from],$A120,tbl_chests[legalized],G$1,tbl_chests[datetime],"&gt;="&amp;TODAY()-WEEKDAY(TODAY(),2)+1,tbl_chests[datetime],"&lt;"&amp;TODAY()-WEEKDAY(TODAY(),2)+8)))</f>
        <v>0</v>
      </c>
      <c r="H120" s="36">
        <f ca="1">IF($A120="","",IF(H$1="","",COUNTIFS(tbl_chests[from],$A120,tbl_chests[legalized],H$1,tbl_chests[datetime],"&gt;="&amp;TODAY()-WEEKDAY(TODAY(),2)+1,tbl_chests[datetime],"&lt;"&amp;TODAY()-WEEKDAY(TODAY(),2)+8)))</f>
        <v>0</v>
      </c>
      <c r="I120" s="36">
        <f ca="1">IF($A120="","",IF(I$1="","",COUNTIFS(tbl_chests[from],$A120,tbl_chests[legalized],I$1,tbl_chests[datetime],"&gt;="&amp;TODAY()-WEEKDAY(TODAY(),2)+1,tbl_chests[datetime],"&lt;"&amp;TODAY()-WEEKDAY(TODAY(),2)+8)))</f>
        <v>0</v>
      </c>
      <c r="J120" s="36">
        <f ca="1">IF($A120="","",IF(J$1="","",COUNTIFS(tbl_chests[from],$A120,tbl_chests[legalized],J$1,tbl_chests[datetime],"&gt;="&amp;TODAY()-WEEKDAY(TODAY(),2)+1,tbl_chests[datetime],"&lt;"&amp;TODAY()-WEEKDAY(TODAY(),2)+8)))</f>
        <v>0</v>
      </c>
      <c r="K120" s="36">
        <f ca="1">IF($A120="","",IF(K$1="","",COUNTIFS(tbl_chests[from],$A120,tbl_chests[legalized],K$1,tbl_chests[datetime],"&gt;="&amp;TODAY()-WEEKDAY(TODAY(),2)+1,tbl_chests[datetime],"&lt;"&amp;TODAY()-WEEKDAY(TODAY(),2)+8)))</f>
        <v>0</v>
      </c>
      <c r="L120" s="36">
        <f ca="1">IF($A120="","",IF(L$1="","",COUNTIFS(tbl_chests[from],$A120,tbl_chests[legalized],L$1,tbl_chests[datetime],"&gt;="&amp;TODAY()-WEEKDAY(TODAY(),2)+1,tbl_chests[datetime],"&lt;"&amp;TODAY()-WEEKDAY(TODAY(),2)+8)))</f>
        <v>0</v>
      </c>
      <c r="M120" s="36">
        <f ca="1">IF($A120="","",IF(M$1="","",COUNTIFS(tbl_chests[from],$A120,tbl_chests[legalized],M$1,tbl_chests[datetime],"&gt;="&amp;TODAY()-WEEKDAY(TODAY(),2)+1,tbl_chests[datetime],"&lt;"&amp;TODAY()-WEEKDAY(TODAY(),2)+8)))</f>
        <v>0</v>
      </c>
      <c r="N120" s="36">
        <f ca="1">IF($A120="","",IF(N$1="","",COUNTIFS(tbl_chests[from],$A120,tbl_chests[legalized],N$1,tbl_chests[datetime],"&gt;="&amp;TODAY()-WEEKDAY(TODAY(),2)+1,tbl_chests[datetime],"&lt;"&amp;TODAY()-WEEKDAY(TODAY(),2)+8)))</f>
        <v>0</v>
      </c>
      <c r="O120" s="36">
        <f ca="1">IF($A120="","",IF(O$1="","",COUNTIFS(tbl_chests[from],$A120,tbl_chests[legalized],O$1,tbl_chests[datetime],"&gt;="&amp;TODAY()-WEEKDAY(TODAY(),2)+1,tbl_chests[datetime],"&lt;"&amp;TODAY()-WEEKDAY(TODAY(),2)+8)))</f>
        <v>0</v>
      </c>
      <c r="P120" s="36">
        <f ca="1">IF($A120="","",IF(P$1="","",COUNTIFS(tbl_chests[from],$A120,tbl_chests[legalized],P$1,tbl_chests[datetime],"&gt;="&amp;TODAY()-WEEKDAY(TODAY(),2)+1,tbl_chests[datetime],"&lt;"&amp;TODAY()-WEEKDAY(TODAY(),2)+8)))</f>
        <v>0</v>
      </c>
      <c r="Q120" s="36">
        <f ca="1">IF($A120="","",IF(Q$1="","",COUNTIFS(tbl_chests[from],$A120,tbl_chests[legalized],Q$1,tbl_chests[datetime],"&gt;="&amp;TODAY()-WEEKDAY(TODAY(),2)+1,tbl_chests[datetime],"&lt;"&amp;TODAY()-WEEKDAY(TODAY(),2)+8)))</f>
        <v>0</v>
      </c>
      <c r="R120" s="36">
        <f ca="1">IF($A120="","",IF(R$1="","",COUNTIFS(tbl_chests[from],$A120,tbl_chests[legalized],R$1,tbl_chests[datetime],"&gt;="&amp;TODAY()-WEEKDAY(TODAY(),2)+1,tbl_chests[datetime],"&lt;"&amp;TODAY()-WEEKDAY(TODAY(),2)+8)))</f>
        <v>0</v>
      </c>
      <c r="S120" s="36">
        <f ca="1">IF($A120="","",IF(S$1="","",COUNTIFS(tbl_chests[from],$A120,tbl_chests[legalized],S$1,tbl_chests[datetime],"&gt;="&amp;TODAY()-WEEKDAY(TODAY(),2)+1,tbl_chests[datetime],"&lt;"&amp;TODAY()-WEEKDAY(TODAY(),2)+8)))</f>
        <v>0</v>
      </c>
      <c r="T120" s="36">
        <f ca="1">IF($A120="","",IF(T$1="","",COUNTIFS(tbl_chests[from],$A120,tbl_chests[legalized],T$1,tbl_chests[datetime],"&gt;="&amp;TODAY()-WEEKDAY(TODAY(),2)+1,tbl_chests[datetime],"&lt;"&amp;TODAY()-WEEKDAY(TODAY(),2)+8)))</f>
        <v>0</v>
      </c>
      <c r="U120" s="36">
        <f ca="1">IF($A120="","",IF(U$1="","",COUNTIFS(tbl_chests[from],$A120,tbl_chests[legalized],U$1,tbl_chests[datetime],"&gt;="&amp;TODAY()-WEEKDAY(TODAY(),2)+1,tbl_chests[datetime],"&lt;"&amp;TODAY()-WEEKDAY(TODAY(),2)+8)))</f>
        <v>0</v>
      </c>
      <c r="V120" s="36">
        <f ca="1">IF($A120="","",IF(V$1="","",COUNTIFS(tbl_chests[from],$A120,tbl_chests[legalized],V$1,tbl_chests[datetime],"&gt;="&amp;TODAY()-WEEKDAY(TODAY(),2)+1,tbl_chests[datetime],"&lt;"&amp;TODAY()-WEEKDAY(TODAY(),2)+8)))</f>
        <v>0</v>
      </c>
      <c r="W120" s="36">
        <f ca="1">IF($A120="","",IF(W$1="","",COUNTIFS(tbl_chests[from],$A120,tbl_chests[legalized],W$1,tbl_chests[datetime],"&gt;="&amp;TODAY()-WEEKDAY(TODAY(),2)+1,tbl_chests[datetime],"&lt;"&amp;TODAY()-WEEKDAY(TODAY(),2)+8)))</f>
        <v>0</v>
      </c>
      <c r="X120" s="36">
        <f ca="1">IF($A120="","",IF(X$1="","",COUNTIFS(tbl_chests[from],$A120,tbl_chests[legalized],X$1,tbl_chests[datetime],"&gt;="&amp;TODAY()-WEEKDAY(TODAY(),2)+1,tbl_chests[datetime],"&lt;"&amp;TODAY()-WEEKDAY(TODAY(),2)+8)))</f>
        <v>0</v>
      </c>
      <c r="Y120" s="36">
        <f ca="1">IF($A120="","",IF(Y$1="","",COUNTIFS(tbl_chests[from],$A120,tbl_chests[legalized],Y$1,tbl_chests[datetime],"&gt;="&amp;TODAY()-WEEKDAY(TODAY(),2)+1,tbl_chests[datetime],"&lt;"&amp;TODAY()-WEEKDAY(TODAY(),2)+8)))</f>
        <v>0</v>
      </c>
      <c r="Z120" s="36">
        <f ca="1">IF($A120="","",IF(Z$1="","",COUNTIFS(tbl_chests[from],$A120,tbl_chests[legalized],Z$1,tbl_chests[datetime],"&gt;="&amp;TODAY()-WEEKDAY(TODAY(),2)+1,tbl_chests[datetime],"&lt;"&amp;TODAY()-WEEKDAY(TODAY(),2)+8)))</f>
        <v>0</v>
      </c>
      <c r="AA120" s="36">
        <f ca="1">IF($A120="","",IF(AA$1="","",COUNTIFS(tbl_chests[from],$A120,tbl_chests[legalized],AA$1,tbl_chests[datetime],"&gt;="&amp;TODAY()-WEEKDAY(TODAY(),2)+1,tbl_chests[datetime],"&lt;"&amp;TODAY()-WEEKDAY(TODAY(),2)+8)))</f>
        <v>0</v>
      </c>
      <c r="AB120" s="36">
        <f ca="1">IF($A120="","",IF(AB$1="","",COUNTIFS(tbl_chests[from],$A120,tbl_chests[legalized],AB$1,tbl_chests[datetime],"&gt;="&amp;TODAY()-WEEKDAY(TODAY(),2)+1,tbl_chests[datetime],"&lt;"&amp;TODAY()-WEEKDAY(TODAY(),2)+8)))</f>
        <v>0</v>
      </c>
      <c r="AC120" s="36">
        <f ca="1">IF($A120="","",IF(AC$1="","",COUNTIFS(tbl_chests[from],$A120,tbl_chests[legalized],AC$1,tbl_chests[datetime],"&gt;="&amp;TODAY()-WEEKDAY(TODAY(),2)+1,tbl_chests[datetime],"&lt;"&amp;TODAY()-WEEKDAY(TODAY(),2)+8)))</f>
        <v>0</v>
      </c>
      <c r="AD120" s="36">
        <f ca="1">IF($A120="","",IF(AD$1="","",COUNTIFS(tbl_chests[from],$A120,tbl_chests[legalized],AD$1,tbl_chests[datetime],"&gt;="&amp;TODAY()-WEEKDAY(TODAY(),2)+1,tbl_chests[datetime],"&lt;"&amp;TODAY()-WEEKDAY(TODAY(),2)+8)))</f>
        <v>0</v>
      </c>
      <c r="AE120" s="36">
        <f ca="1">IF($A120="","",IF(AE$1="","",COUNTIFS(tbl_chests[from],$A120,tbl_chests[legalized],AE$1,tbl_chests[datetime],"&gt;="&amp;TODAY()-WEEKDAY(TODAY(),2)+1,tbl_chests[datetime],"&lt;"&amp;TODAY()-WEEKDAY(TODAY(),2)+8)))</f>
        <v>0</v>
      </c>
      <c r="AF120" s="36">
        <f ca="1">IF($A120="","",IF(AF$1="","",COUNTIFS(tbl_chests[from],$A120,tbl_chests[legalized],AF$1,tbl_chests[datetime],"&gt;="&amp;TODAY()-WEEKDAY(TODAY(),2)+1,tbl_chests[datetime],"&lt;"&amp;TODAY()-WEEKDAY(TODAY(),2)+8)))</f>
        <v>0</v>
      </c>
      <c r="AG120" s="36">
        <f ca="1">IF($A120="","",IF(AG$1="","",COUNTIFS(tbl_chests[from],$A120,tbl_chests[legalized],AG$1,tbl_chests[datetime],"&gt;="&amp;TODAY()-WEEKDAY(TODAY(),2)+1,tbl_chests[datetime],"&lt;"&amp;TODAY()-WEEKDAY(TODAY(),2)+8)))</f>
        <v>0</v>
      </c>
      <c r="AH120" s="36">
        <f ca="1">IF($A120="","",IF(AH$1="","",COUNTIFS(tbl_chests[from],$A120,tbl_chests[legalized],AH$1,tbl_chests[datetime],"&gt;="&amp;TODAY()-WEEKDAY(TODAY(),2)+1,tbl_chests[datetime],"&lt;"&amp;TODAY()-WEEKDAY(TODAY(),2)+8)))</f>
        <v>0</v>
      </c>
      <c r="AI120" s="36">
        <f ca="1">IF($A120="","",IF(AI$1="","",COUNTIFS(tbl_chests[from],$A120,tbl_chests[legalized],AI$1,tbl_chests[datetime],"&gt;="&amp;TODAY()-WEEKDAY(TODAY(),2)+1,tbl_chests[datetime],"&lt;"&amp;TODAY()-WEEKDAY(TODAY(),2)+8)))</f>
        <v>0</v>
      </c>
      <c r="AJ120" s="36">
        <f ca="1">IF($A120="","",IF(AJ$1="","",COUNTIFS(tbl_chests[from],$A120,tbl_chests[legalized],AJ$1,tbl_chests[datetime],"&gt;="&amp;TODAY()-WEEKDAY(TODAY(),2)+1,tbl_chests[datetime],"&lt;"&amp;TODAY()-WEEKDAY(TODAY(),2)+8)))</f>
        <v>0</v>
      </c>
      <c r="AK120" s="36">
        <f ca="1">IF($A120="","",IF(AK$1="","",COUNTIFS(tbl_chests[from],$A120,tbl_chests[legalized],AK$1,tbl_chests[datetime],"&gt;="&amp;TODAY()-WEEKDAY(TODAY(),2)+1,tbl_chests[datetime],"&lt;"&amp;TODAY()-WEEKDAY(TODAY(),2)+8)))</f>
        <v>0</v>
      </c>
      <c r="AL120" s="36">
        <f ca="1">IF($A120="","",IF(AL$1="","",COUNTIFS(tbl_chests[from],$A120,tbl_chests[legalized],AL$1,tbl_chests[datetime],"&gt;="&amp;TODAY()-WEEKDAY(TODAY(),2)+1,tbl_chests[datetime],"&lt;"&amp;TODAY()-WEEKDAY(TODAY(),2)+8)))</f>
        <v>0</v>
      </c>
      <c r="AM120" s="37">
        <f ca="1">IF($A120="","",IF(AM$1="","",COUNTIFS(tbl_chests[from],$A120,tbl_chests[legalized],AM$1,tbl_chests[datetime],"&gt;="&amp;TODAY()-WEEKDAY(TODAY(),2)+1,tbl_chests[datetime],"&lt;"&amp;TODAY()-WEEKDAY(TODAY(),2)+8)))</f>
        <v>0</v>
      </c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 spans="1:67" ht="15.75" customHeight="1" x14ac:dyDescent="0.25">
      <c r="A121" s="34">
        <f>chests_counter!$H118</f>
        <v>0</v>
      </c>
      <c r="B121" s="35" cm="1">
        <f t="array" aca="1" ref="B121" ca="1">IF(A121&lt;&gt;"", SUMPRODUCT(($C$2:$AM$2&lt;&gt;0)*(C121:AM121&lt;&gt;0)*($C$2:$AM$2)*(C121:AM121)), "")</f>
        <v>0</v>
      </c>
      <c r="C121" s="36">
        <f ca="1">IF($A121="","",IF(C$1="","",COUNTIFS(tbl_chests[from],$A121,tbl_chests[legalized],C$1,tbl_chests[datetime],"&gt;="&amp;TODAY()-WEEKDAY(TODAY(),2)+1,tbl_chests[datetime],"&lt;"&amp;TODAY()-WEEKDAY(TODAY(),2)+8)))</f>
        <v>0</v>
      </c>
      <c r="D121" s="36">
        <f ca="1">IF($A121="","",IF(D$1="","",COUNTIFS(tbl_chests[from],$A121,tbl_chests[legalized],D$1,tbl_chests[datetime],"&gt;="&amp;TODAY()-WEEKDAY(TODAY(),2)+1,tbl_chests[datetime],"&lt;"&amp;TODAY()-WEEKDAY(TODAY(),2)+8)))</f>
        <v>0</v>
      </c>
      <c r="E121" s="36">
        <f ca="1">IF($A121="","",IF(E$1="","",COUNTIFS(tbl_chests[from],$A121,tbl_chests[legalized],E$1,tbl_chests[datetime],"&gt;="&amp;TODAY()-WEEKDAY(TODAY(),2)+1,tbl_chests[datetime],"&lt;"&amp;TODAY()-WEEKDAY(TODAY(),2)+8)))</f>
        <v>0</v>
      </c>
      <c r="F121" s="36">
        <f ca="1">IF($A121="","",IF(F$1="","",COUNTIFS(tbl_chests[from],$A121,tbl_chests[legalized],F$1,tbl_chests[datetime],"&gt;="&amp;TODAY()-WEEKDAY(TODAY(),2)+1,tbl_chests[datetime],"&lt;"&amp;TODAY()-WEEKDAY(TODAY(),2)+8)))</f>
        <v>0</v>
      </c>
      <c r="G121" s="36">
        <f ca="1">IF($A121="","",IF(G$1="","",COUNTIFS(tbl_chests[from],$A121,tbl_chests[legalized],G$1,tbl_chests[datetime],"&gt;="&amp;TODAY()-WEEKDAY(TODAY(),2)+1,tbl_chests[datetime],"&lt;"&amp;TODAY()-WEEKDAY(TODAY(),2)+8)))</f>
        <v>0</v>
      </c>
      <c r="H121" s="36">
        <f ca="1">IF($A121="","",IF(H$1="","",COUNTIFS(tbl_chests[from],$A121,tbl_chests[legalized],H$1,tbl_chests[datetime],"&gt;="&amp;TODAY()-WEEKDAY(TODAY(),2)+1,tbl_chests[datetime],"&lt;"&amp;TODAY()-WEEKDAY(TODAY(),2)+8)))</f>
        <v>0</v>
      </c>
      <c r="I121" s="36">
        <f ca="1">IF($A121="","",IF(I$1="","",COUNTIFS(tbl_chests[from],$A121,tbl_chests[legalized],I$1,tbl_chests[datetime],"&gt;="&amp;TODAY()-WEEKDAY(TODAY(),2)+1,tbl_chests[datetime],"&lt;"&amp;TODAY()-WEEKDAY(TODAY(),2)+8)))</f>
        <v>0</v>
      </c>
      <c r="J121" s="36">
        <f ca="1">IF($A121="","",IF(J$1="","",COUNTIFS(tbl_chests[from],$A121,tbl_chests[legalized],J$1,tbl_chests[datetime],"&gt;="&amp;TODAY()-WEEKDAY(TODAY(),2)+1,tbl_chests[datetime],"&lt;"&amp;TODAY()-WEEKDAY(TODAY(),2)+8)))</f>
        <v>0</v>
      </c>
      <c r="K121" s="36">
        <f ca="1">IF($A121="","",IF(K$1="","",COUNTIFS(tbl_chests[from],$A121,tbl_chests[legalized],K$1,tbl_chests[datetime],"&gt;="&amp;TODAY()-WEEKDAY(TODAY(),2)+1,tbl_chests[datetime],"&lt;"&amp;TODAY()-WEEKDAY(TODAY(),2)+8)))</f>
        <v>0</v>
      </c>
      <c r="L121" s="36">
        <f ca="1">IF($A121="","",IF(L$1="","",COUNTIFS(tbl_chests[from],$A121,tbl_chests[legalized],L$1,tbl_chests[datetime],"&gt;="&amp;TODAY()-WEEKDAY(TODAY(),2)+1,tbl_chests[datetime],"&lt;"&amp;TODAY()-WEEKDAY(TODAY(),2)+8)))</f>
        <v>0</v>
      </c>
      <c r="M121" s="36">
        <f ca="1">IF($A121="","",IF(M$1="","",COUNTIFS(tbl_chests[from],$A121,tbl_chests[legalized],M$1,tbl_chests[datetime],"&gt;="&amp;TODAY()-WEEKDAY(TODAY(),2)+1,tbl_chests[datetime],"&lt;"&amp;TODAY()-WEEKDAY(TODAY(),2)+8)))</f>
        <v>0</v>
      </c>
      <c r="N121" s="36">
        <f ca="1">IF($A121="","",IF(N$1="","",COUNTIFS(tbl_chests[from],$A121,tbl_chests[legalized],N$1,tbl_chests[datetime],"&gt;="&amp;TODAY()-WEEKDAY(TODAY(),2)+1,tbl_chests[datetime],"&lt;"&amp;TODAY()-WEEKDAY(TODAY(),2)+8)))</f>
        <v>0</v>
      </c>
      <c r="O121" s="36">
        <f ca="1">IF($A121="","",IF(O$1="","",COUNTIFS(tbl_chests[from],$A121,tbl_chests[legalized],O$1,tbl_chests[datetime],"&gt;="&amp;TODAY()-WEEKDAY(TODAY(),2)+1,tbl_chests[datetime],"&lt;"&amp;TODAY()-WEEKDAY(TODAY(),2)+8)))</f>
        <v>0</v>
      </c>
      <c r="P121" s="36">
        <f ca="1">IF($A121="","",IF(P$1="","",COUNTIFS(tbl_chests[from],$A121,tbl_chests[legalized],P$1,tbl_chests[datetime],"&gt;="&amp;TODAY()-WEEKDAY(TODAY(),2)+1,tbl_chests[datetime],"&lt;"&amp;TODAY()-WEEKDAY(TODAY(),2)+8)))</f>
        <v>0</v>
      </c>
      <c r="Q121" s="36">
        <f ca="1">IF($A121="","",IF(Q$1="","",COUNTIFS(tbl_chests[from],$A121,tbl_chests[legalized],Q$1,tbl_chests[datetime],"&gt;="&amp;TODAY()-WEEKDAY(TODAY(),2)+1,tbl_chests[datetime],"&lt;"&amp;TODAY()-WEEKDAY(TODAY(),2)+8)))</f>
        <v>0</v>
      </c>
      <c r="R121" s="36">
        <f ca="1">IF($A121="","",IF(R$1="","",COUNTIFS(tbl_chests[from],$A121,tbl_chests[legalized],R$1,tbl_chests[datetime],"&gt;="&amp;TODAY()-WEEKDAY(TODAY(),2)+1,tbl_chests[datetime],"&lt;"&amp;TODAY()-WEEKDAY(TODAY(),2)+8)))</f>
        <v>0</v>
      </c>
      <c r="S121" s="36">
        <f ca="1">IF($A121="","",IF(S$1="","",COUNTIFS(tbl_chests[from],$A121,tbl_chests[legalized],S$1,tbl_chests[datetime],"&gt;="&amp;TODAY()-WEEKDAY(TODAY(),2)+1,tbl_chests[datetime],"&lt;"&amp;TODAY()-WEEKDAY(TODAY(),2)+8)))</f>
        <v>0</v>
      </c>
      <c r="T121" s="36">
        <f ca="1">IF($A121="","",IF(T$1="","",COUNTIFS(tbl_chests[from],$A121,tbl_chests[legalized],T$1,tbl_chests[datetime],"&gt;="&amp;TODAY()-WEEKDAY(TODAY(),2)+1,tbl_chests[datetime],"&lt;"&amp;TODAY()-WEEKDAY(TODAY(),2)+8)))</f>
        <v>0</v>
      </c>
      <c r="U121" s="36">
        <f ca="1">IF($A121="","",IF(U$1="","",COUNTIFS(tbl_chests[from],$A121,tbl_chests[legalized],U$1,tbl_chests[datetime],"&gt;="&amp;TODAY()-WEEKDAY(TODAY(),2)+1,tbl_chests[datetime],"&lt;"&amp;TODAY()-WEEKDAY(TODAY(),2)+8)))</f>
        <v>0</v>
      </c>
      <c r="V121" s="36">
        <f ca="1">IF($A121="","",IF(V$1="","",COUNTIFS(tbl_chests[from],$A121,tbl_chests[legalized],V$1,tbl_chests[datetime],"&gt;="&amp;TODAY()-WEEKDAY(TODAY(),2)+1,tbl_chests[datetime],"&lt;"&amp;TODAY()-WEEKDAY(TODAY(),2)+8)))</f>
        <v>0</v>
      </c>
      <c r="W121" s="36">
        <f ca="1">IF($A121="","",IF(W$1="","",COUNTIFS(tbl_chests[from],$A121,tbl_chests[legalized],W$1,tbl_chests[datetime],"&gt;="&amp;TODAY()-WEEKDAY(TODAY(),2)+1,tbl_chests[datetime],"&lt;"&amp;TODAY()-WEEKDAY(TODAY(),2)+8)))</f>
        <v>0</v>
      </c>
      <c r="X121" s="36">
        <f ca="1">IF($A121="","",IF(X$1="","",COUNTIFS(tbl_chests[from],$A121,tbl_chests[legalized],X$1,tbl_chests[datetime],"&gt;="&amp;TODAY()-WEEKDAY(TODAY(),2)+1,tbl_chests[datetime],"&lt;"&amp;TODAY()-WEEKDAY(TODAY(),2)+8)))</f>
        <v>0</v>
      </c>
      <c r="Y121" s="36">
        <f ca="1">IF($A121="","",IF(Y$1="","",COUNTIFS(tbl_chests[from],$A121,tbl_chests[legalized],Y$1,tbl_chests[datetime],"&gt;="&amp;TODAY()-WEEKDAY(TODAY(),2)+1,tbl_chests[datetime],"&lt;"&amp;TODAY()-WEEKDAY(TODAY(),2)+8)))</f>
        <v>0</v>
      </c>
      <c r="Z121" s="36">
        <f ca="1">IF($A121="","",IF(Z$1="","",COUNTIFS(tbl_chests[from],$A121,tbl_chests[legalized],Z$1,tbl_chests[datetime],"&gt;="&amp;TODAY()-WEEKDAY(TODAY(),2)+1,tbl_chests[datetime],"&lt;"&amp;TODAY()-WEEKDAY(TODAY(),2)+8)))</f>
        <v>0</v>
      </c>
      <c r="AA121" s="36">
        <f ca="1">IF($A121="","",IF(AA$1="","",COUNTIFS(tbl_chests[from],$A121,tbl_chests[legalized],AA$1,tbl_chests[datetime],"&gt;="&amp;TODAY()-WEEKDAY(TODAY(),2)+1,tbl_chests[datetime],"&lt;"&amp;TODAY()-WEEKDAY(TODAY(),2)+8)))</f>
        <v>0</v>
      </c>
      <c r="AB121" s="36">
        <f ca="1">IF($A121="","",IF(AB$1="","",COUNTIFS(tbl_chests[from],$A121,tbl_chests[legalized],AB$1,tbl_chests[datetime],"&gt;="&amp;TODAY()-WEEKDAY(TODAY(),2)+1,tbl_chests[datetime],"&lt;"&amp;TODAY()-WEEKDAY(TODAY(),2)+8)))</f>
        <v>0</v>
      </c>
      <c r="AC121" s="36">
        <f ca="1">IF($A121="","",IF(AC$1="","",COUNTIFS(tbl_chests[from],$A121,tbl_chests[legalized],AC$1,tbl_chests[datetime],"&gt;="&amp;TODAY()-WEEKDAY(TODAY(),2)+1,tbl_chests[datetime],"&lt;"&amp;TODAY()-WEEKDAY(TODAY(),2)+8)))</f>
        <v>0</v>
      </c>
      <c r="AD121" s="36">
        <f ca="1">IF($A121="","",IF(AD$1="","",COUNTIFS(tbl_chests[from],$A121,tbl_chests[legalized],AD$1,tbl_chests[datetime],"&gt;="&amp;TODAY()-WEEKDAY(TODAY(),2)+1,tbl_chests[datetime],"&lt;"&amp;TODAY()-WEEKDAY(TODAY(),2)+8)))</f>
        <v>0</v>
      </c>
      <c r="AE121" s="36">
        <f ca="1">IF($A121="","",IF(AE$1="","",COUNTIFS(tbl_chests[from],$A121,tbl_chests[legalized],AE$1,tbl_chests[datetime],"&gt;="&amp;TODAY()-WEEKDAY(TODAY(),2)+1,tbl_chests[datetime],"&lt;"&amp;TODAY()-WEEKDAY(TODAY(),2)+8)))</f>
        <v>0</v>
      </c>
      <c r="AF121" s="36">
        <f ca="1">IF($A121="","",IF(AF$1="","",COUNTIFS(tbl_chests[from],$A121,tbl_chests[legalized],AF$1,tbl_chests[datetime],"&gt;="&amp;TODAY()-WEEKDAY(TODAY(),2)+1,tbl_chests[datetime],"&lt;"&amp;TODAY()-WEEKDAY(TODAY(),2)+8)))</f>
        <v>0</v>
      </c>
      <c r="AG121" s="36">
        <f ca="1">IF($A121="","",IF(AG$1="","",COUNTIFS(tbl_chests[from],$A121,tbl_chests[legalized],AG$1,tbl_chests[datetime],"&gt;="&amp;TODAY()-WEEKDAY(TODAY(),2)+1,tbl_chests[datetime],"&lt;"&amp;TODAY()-WEEKDAY(TODAY(),2)+8)))</f>
        <v>0</v>
      </c>
      <c r="AH121" s="36">
        <f ca="1">IF($A121="","",IF(AH$1="","",COUNTIFS(tbl_chests[from],$A121,tbl_chests[legalized],AH$1,tbl_chests[datetime],"&gt;="&amp;TODAY()-WEEKDAY(TODAY(),2)+1,tbl_chests[datetime],"&lt;"&amp;TODAY()-WEEKDAY(TODAY(),2)+8)))</f>
        <v>0</v>
      </c>
      <c r="AI121" s="36">
        <f ca="1">IF($A121="","",IF(AI$1="","",COUNTIFS(tbl_chests[from],$A121,tbl_chests[legalized],AI$1,tbl_chests[datetime],"&gt;="&amp;TODAY()-WEEKDAY(TODAY(),2)+1,tbl_chests[datetime],"&lt;"&amp;TODAY()-WEEKDAY(TODAY(),2)+8)))</f>
        <v>0</v>
      </c>
      <c r="AJ121" s="36">
        <f ca="1">IF($A121="","",IF(AJ$1="","",COUNTIFS(tbl_chests[from],$A121,tbl_chests[legalized],AJ$1,tbl_chests[datetime],"&gt;="&amp;TODAY()-WEEKDAY(TODAY(),2)+1,tbl_chests[datetime],"&lt;"&amp;TODAY()-WEEKDAY(TODAY(),2)+8)))</f>
        <v>0</v>
      </c>
      <c r="AK121" s="36">
        <f ca="1">IF($A121="","",IF(AK$1="","",COUNTIFS(tbl_chests[from],$A121,tbl_chests[legalized],AK$1,tbl_chests[datetime],"&gt;="&amp;TODAY()-WEEKDAY(TODAY(),2)+1,tbl_chests[datetime],"&lt;"&amp;TODAY()-WEEKDAY(TODAY(),2)+8)))</f>
        <v>0</v>
      </c>
      <c r="AL121" s="36">
        <f ca="1">IF($A121="","",IF(AL$1="","",COUNTIFS(tbl_chests[from],$A121,tbl_chests[legalized],AL$1,tbl_chests[datetime],"&gt;="&amp;TODAY()-WEEKDAY(TODAY(),2)+1,tbl_chests[datetime],"&lt;"&amp;TODAY()-WEEKDAY(TODAY(),2)+8)))</f>
        <v>0</v>
      </c>
      <c r="AM121" s="37">
        <f ca="1">IF($A121="","",IF(AM$1="","",COUNTIFS(tbl_chests[from],$A121,tbl_chests[legalized],AM$1,tbl_chests[datetime],"&gt;="&amp;TODAY()-WEEKDAY(TODAY(),2)+1,tbl_chests[datetime],"&lt;"&amp;TODAY()-WEEKDAY(TODAY(),2)+8)))</f>
        <v>0</v>
      </c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 spans="1:67" ht="15.75" customHeight="1" x14ac:dyDescent="0.25">
      <c r="A122" s="34">
        <f>chests_counter!$H119</f>
        <v>0</v>
      </c>
      <c r="B122" s="35" cm="1">
        <f t="array" aca="1" ref="B122" ca="1">IF(A122&lt;&gt;"", SUMPRODUCT(($C$2:$AM$2&lt;&gt;0)*(C122:AM122&lt;&gt;0)*($C$2:$AM$2)*(C122:AM122)), "")</f>
        <v>0</v>
      </c>
      <c r="C122" s="36">
        <f ca="1">IF($A122="","",IF(C$1="","",COUNTIFS(tbl_chests[from],$A122,tbl_chests[legalized],C$1,tbl_chests[datetime],"&gt;="&amp;TODAY()-WEEKDAY(TODAY(),2)+1,tbl_chests[datetime],"&lt;"&amp;TODAY()-WEEKDAY(TODAY(),2)+8)))</f>
        <v>0</v>
      </c>
      <c r="D122" s="36">
        <f ca="1">IF($A122="","",IF(D$1="","",COUNTIFS(tbl_chests[from],$A122,tbl_chests[legalized],D$1,tbl_chests[datetime],"&gt;="&amp;TODAY()-WEEKDAY(TODAY(),2)+1,tbl_chests[datetime],"&lt;"&amp;TODAY()-WEEKDAY(TODAY(),2)+8)))</f>
        <v>0</v>
      </c>
      <c r="E122" s="36">
        <f ca="1">IF($A122="","",IF(E$1="","",COUNTIFS(tbl_chests[from],$A122,tbl_chests[legalized],E$1,tbl_chests[datetime],"&gt;="&amp;TODAY()-WEEKDAY(TODAY(),2)+1,tbl_chests[datetime],"&lt;"&amp;TODAY()-WEEKDAY(TODAY(),2)+8)))</f>
        <v>0</v>
      </c>
      <c r="F122" s="36">
        <f ca="1">IF($A122="","",IF(F$1="","",COUNTIFS(tbl_chests[from],$A122,tbl_chests[legalized],F$1,tbl_chests[datetime],"&gt;="&amp;TODAY()-WEEKDAY(TODAY(),2)+1,tbl_chests[datetime],"&lt;"&amp;TODAY()-WEEKDAY(TODAY(),2)+8)))</f>
        <v>0</v>
      </c>
      <c r="G122" s="36">
        <f ca="1">IF($A122="","",IF(G$1="","",COUNTIFS(tbl_chests[from],$A122,tbl_chests[legalized],G$1,tbl_chests[datetime],"&gt;="&amp;TODAY()-WEEKDAY(TODAY(),2)+1,tbl_chests[datetime],"&lt;"&amp;TODAY()-WEEKDAY(TODAY(),2)+8)))</f>
        <v>0</v>
      </c>
      <c r="H122" s="36">
        <f ca="1">IF($A122="","",IF(H$1="","",COUNTIFS(tbl_chests[from],$A122,tbl_chests[legalized],H$1,tbl_chests[datetime],"&gt;="&amp;TODAY()-WEEKDAY(TODAY(),2)+1,tbl_chests[datetime],"&lt;"&amp;TODAY()-WEEKDAY(TODAY(),2)+8)))</f>
        <v>0</v>
      </c>
      <c r="I122" s="36">
        <f ca="1">IF($A122="","",IF(I$1="","",COUNTIFS(tbl_chests[from],$A122,tbl_chests[legalized],I$1,tbl_chests[datetime],"&gt;="&amp;TODAY()-WEEKDAY(TODAY(),2)+1,tbl_chests[datetime],"&lt;"&amp;TODAY()-WEEKDAY(TODAY(),2)+8)))</f>
        <v>0</v>
      </c>
      <c r="J122" s="36">
        <f ca="1">IF($A122="","",IF(J$1="","",COUNTIFS(tbl_chests[from],$A122,tbl_chests[legalized],J$1,tbl_chests[datetime],"&gt;="&amp;TODAY()-WEEKDAY(TODAY(),2)+1,tbl_chests[datetime],"&lt;"&amp;TODAY()-WEEKDAY(TODAY(),2)+8)))</f>
        <v>0</v>
      </c>
      <c r="K122" s="36">
        <f ca="1">IF($A122="","",IF(K$1="","",COUNTIFS(tbl_chests[from],$A122,tbl_chests[legalized],K$1,tbl_chests[datetime],"&gt;="&amp;TODAY()-WEEKDAY(TODAY(),2)+1,tbl_chests[datetime],"&lt;"&amp;TODAY()-WEEKDAY(TODAY(),2)+8)))</f>
        <v>0</v>
      </c>
      <c r="L122" s="36">
        <f ca="1">IF($A122="","",IF(L$1="","",COUNTIFS(tbl_chests[from],$A122,tbl_chests[legalized],L$1,tbl_chests[datetime],"&gt;="&amp;TODAY()-WEEKDAY(TODAY(),2)+1,tbl_chests[datetime],"&lt;"&amp;TODAY()-WEEKDAY(TODAY(),2)+8)))</f>
        <v>0</v>
      </c>
      <c r="M122" s="36">
        <f ca="1">IF($A122="","",IF(M$1="","",COUNTIFS(tbl_chests[from],$A122,tbl_chests[legalized],M$1,tbl_chests[datetime],"&gt;="&amp;TODAY()-WEEKDAY(TODAY(),2)+1,tbl_chests[datetime],"&lt;"&amp;TODAY()-WEEKDAY(TODAY(),2)+8)))</f>
        <v>0</v>
      </c>
      <c r="N122" s="36">
        <f ca="1">IF($A122="","",IF(N$1="","",COUNTIFS(tbl_chests[from],$A122,tbl_chests[legalized],N$1,tbl_chests[datetime],"&gt;="&amp;TODAY()-WEEKDAY(TODAY(),2)+1,tbl_chests[datetime],"&lt;"&amp;TODAY()-WEEKDAY(TODAY(),2)+8)))</f>
        <v>0</v>
      </c>
      <c r="O122" s="36">
        <f ca="1">IF($A122="","",IF(O$1="","",COUNTIFS(tbl_chests[from],$A122,tbl_chests[legalized],O$1,tbl_chests[datetime],"&gt;="&amp;TODAY()-WEEKDAY(TODAY(),2)+1,tbl_chests[datetime],"&lt;"&amp;TODAY()-WEEKDAY(TODAY(),2)+8)))</f>
        <v>0</v>
      </c>
      <c r="P122" s="36">
        <f ca="1">IF($A122="","",IF(P$1="","",COUNTIFS(tbl_chests[from],$A122,tbl_chests[legalized],P$1,tbl_chests[datetime],"&gt;="&amp;TODAY()-WEEKDAY(TODAY(),2)+1,tbl_chests[datetime],"&lt;"&amp;TODAY()-WEEKDAY(TODAY(),2)+8)))</f>
        <v>0</v>
      </c>
      <c r="Q122" s="36">
        <f ca="1">IF($A122="","",IF(Q$1="","",COUNTIFS(tbl_chests[from],$A122,tbl_chests[legalized],Q$1,tbl_chests[datetime],"&gt;="&amp;TODAY()-WEEKDAY(TODAY(),2)+1,tbl_chests[datetime],"&lt;"&amp;TODAY()-WEEKDAY(TODAY(),2)+8)))</f>
        <v>0</v>
      </c>
      <c r="R122" s="36">
        <f ca="1">IF($A122="","",IF(R$1="","",COUNTIFS(tbl_chests[from],$A122,tbl_chests[legalized],R$1,tbl_chests[datetime],"&gt;="&amp;TODAY()-WEEKDAY(TODAY(),2)+1,tbl_chests[datetime],"&lt;"&amp;TODAY()-WEEKDAY(TODAY(),2)+8)))</f>
        <v>0</v>
      </c>
      <c r="S122" s="36">
        <f ca="1">IF($A122="","",IF(S$1="","",COUNTIFS(tbl_chests[from],$A122,tbl_chests[legalized],S$1,tbl_chests[datetime],"&gt;="&amp;TODAY()-WEEKDAY(TODAY(),2)+1,tbl_chests[datetime],"&lt;"&amp;TODAY()-WEEKDAY(TODAY(),2)+8)))</f>
        <v>0</v>
      </c>
      <c r="T122" s="36">
        <f ca="1">IF($A122="","",IF(T$1="","",COUNTIFS(tbl_chests[from],$A122,tbl_chests[legalized],T$1,tbl_chests[datetime],"&gt;="&amp;TODAY()-WEEKDAY(TODAY(),2)+1,tbl_chests[datetime],"&lt;"&amp;TODAY()-WEEKDAY(TODAY(),2)+8)))</f>
        <v>0</v>
      </c>
      <c r="U122" s="36">
        <f ca="1">IF($A122="","",IF(U$1="","",COUNTIFS(tbl_chests[from],$A122,tbl_chests[legalized],U$1,tbl_chests[datetime],"&gt;="&amp;TODAY()-WEEKDAY(TODAY(),2)+1,tbl_chests[datetime],"&lt;"&amp;TODAY()-WEEKDAY(TODAY(),2)+8)))</f>
        <v>0</v>
      </c>
      <c r="V122" s="36">
        <f ca="1">IF($A122="","",IF(V$1="","",COUNTIFS(tbl_chests[from],$A122,tbl_chests[legalized],V$1,tbl_chests[datetime],"&gt;="&amp;TODAY()-WEEKDAY(TODAY(),2)+1,tbl_chests[datetime],"&lt;"&amp;TODAY()-WEEKDAY(TODAY(),2)+8)))</f>
        <v>0</v>
      </c>
      <c r="W122" s="36">
        <f ca="1">IF($A122="","",IF(W$1="","",COUNTIFS(tbl_chests[from],$A122,tbl_chests[legalized],W$1,tbl_chests[datetime],"&gt;="&amp;TODAY()-WEEKDAY(TODAY(),2)+1,tbl_chests[datetime],"&lt;"&amp;TODAY()-WEEKDAY(TODAY(),2)+8)))</f>
        <v>0</v>
      </c>
      <c r="X122" s="36">
        <f ca="1">IF($A122="","",IF(X$1="","",COUNTIFS(tbl_chests[from],$A122,tbl_chests[legalized],X$1,tbl_chests[datetime],"&gt;="&amp;TODAY()-WEEKDAY(TODAY(),2)+1,tbl_chests[datetime],"&lt;"&amp;TODAY()-WEEKDAY(TODAY(),2)+8)))</f>
        <v>0</v>
      </c>
      <c r="Y122" s="36">
        <f ca="1">IF($A122="","",IF(Y$1="","",COUNTIFS(tbl_chests[from],$A122,tbl_chests[legalized],Y$1,tbl_chests[datetime],"&gt;="&amp;TODAY()-WEEKDAY(TODAY(),2)+1,tbl_chests[datetime],"&lt;"&amp;TODAY()-WEEKDAY(TODAY(),2)+8)))</f>
        <v>0</v>
      </c>
      <c r="Z122" s="36">
        <f ca="1">IF($A122="","",IF(Z$1="","",COUNTIFS(tbl_chests[from],$A122,tbl_chests[legalized],Z$1,tbl_chests[datetime],"&gt;="&amp;TODAY()-WEEKDAY(TODAY(),2)+1,tbl_chests[datetime],"&lt;"&amp;TODAY()-WEEKDAY(TODAY(),2)+8)))</f>
        <v>0</v>
      </c>
      <c r="AA122" s="36">
        <f ca="1">IF($A122="","",IF(AA$1="","",COUNTIFS(tbl_chests[from],$A122,tbl_chests[legalized],AA$1,tbl_chests[datetime],"&gt;="&amp;TODAY()-WEEKDAY(TODAY(),2)+1,tbl_chests[datetime],"&lt;"&amp;TODAY()-WEEKDAY(TODAY(),2)+8)))</f>
        <v>0</v>
      </c>
      <c r="AB122" s="36">
        <f ca="1">IF($A122="","",IF(AB$1="","",COUNTIFS(tbl_chests[from],$A122,tbl_chests[legalized],AB$1,tbl_chests[datetime],"&gt;="&amp;TODAY()-WEEKDAY(TODAY(),2)+1,tbl_chests[datetime],"&lt;"&amp;TODAY()-WEEKDAY(TODAY(),2)+8)))</f>
        <v>0</v>
      </c>
      <c r="AC122" s="36">
        <f ca="1">IF($A122="","",IF(AC$1="","",COUNTIFS(tbl_chests[from],$A122,tbl_chests[legalized],AC$1,tbl_chests[datetime],"&gt;="&amp;TODAY()-WEEKDAY(TODAY(),2)+1,tbl_chests[datetime],"&lt;"&amp;TODAY()-WEEKDAY(TODAY(),2)+8)))</f>
        <v>0</v>
      </c>
      <c r="AD122" s="36">
        <f ca="1">IF($A122="","",IF(AD$1="","",COUNTIFS(tbl_chests[from],$A122,tbl_chests[legalized],AD$1,tbl_chests[datetime],"&gt;="&amp;TODAY()-WEEKDAY(TODAY(),2)+1,tbl_chests[datetime],"&lt;"&amp;TODAY()-WEEKDAY(TODAY(),2)+8)))</f>
        <v>0</v>
      </c>
      <c r="AE122" s="36">
        <f ca="1">IF($A122="","",IF(AE$1="","",COUNTIFS(tbl_chests[from],$A122,tbl_chests[legalized],AE$1,tbl_chests[datetime],"&gt;="&amp;TODAY()-WEEKDAY(TODAY(),2)+1,tbl_chests[datetime],"&lt;"&amp;TODAY()-WEEKDAY(TODAY(),2)+8)))</f>
        <v>0</v>
      </c>
      <c r="AF122" s="36">
        <f ca="1">IF($A122="","",IF(AF$1="","",COUNTIFS(tbl_chests[from],$A122,tbl_chests[legalized],AF$1,tbl_chests[datetime],"&gt;="&amp;TODAY()-WEEKDAY(TODAY(),2)+1,tbl_chests[datetime],"&lt;"&amp;TODAY()-WEEKDAY(TODAY(),2)+8)))</f>
        <v>0</v>
      </c>
      <c r="AG122" s="36">
        <f ca="1">IF($A122="","",IF(AG$1="","",COUNTIFS(tbl_chests[from],$A122,tbl_chests[legalized],AG$1,tbl_chests[datetime],"&gt;="&amp;TODAY()-WEEKDAY(TODAY(),2)+1,tbl_chests[datetime],"&lt;"&amp;TODAY()-WEEKDAY(TODAY(),2)+8)))</f>
        <v>0</v>
      </c>
      <c r="AH122" s="36">
        <f ca="1">IF($A122="","",IF(AH$1="","",COUNTIFS(tbl_chests[from],$A122,tbl_chests[legalized],AH$1,tbl_chests[datetime],"&gt;="&amp;TODAY()-WEEKDAY(TODAY(),2)+1,tbl_chests[datetime],"&lt;"&amp;TODAY()-WEEKDAY(TODAY(),2)+8)))</f>
        <v>0</v>
      </c>
      <c r="AI122" s="36">
        <f ca="1">IF($A122="","",IF(AI$1="","",COUNTIFS(tbl_chests[from],$A122,tbl_chests[legalized],AI$1,tbl_chests[datetime],"&gt;="&amp;TODAY()-WEEKDAY(TODAY(),2)+1,tbl_chests[datetime],"&lt;"&amp;TODAY()-WEEKDAY(TODAY(),2)+8)))</f>
        <v>0</v>
      </c>
      <c r="AJ122" s="36">
        <f ca="1">IF($A122="","",IF(AJ$1="","",COUNTIFS(tbl_chests[from],$A122,tbl_chests[legalized],AJ$1,tbl_chests[datetime],"&gt;="&amp;TODAY()-WEEKDAY(TODAY(),2)+1,tbl_chests[datetime],"&lt;"&amp;TODAY()-WEEKDAY(TODAY(),2)+8)))</f>
        <v>0</v>
      </c>
      <c r="AK122" s="36">
        <f ca="1">IF($A122="","",IF(AK$1="","",COUNTIFS(tbl_chests[from],$A122,tbl_chests[legalized],AK$1,tbl_chests[datetime],"&gt;="&amp;TODAY()-WEEKDAY(TODAY(),2)+1,tbl_chests[datetime],"&lt;"&amp;TODAY()-WEEKDAY(TODAY(),2)+8)))</f>
        <v>0</v>
      </c>
      <c r="AL122" s="36">
        <f ca="1">IF($A122="","",IF(AL$1="","",COUNTIFS(tbl_chests[from],$A122,tbl_chests[legalized],AL$1,tbl_chests[datetime],"&gt;="&amp;TODAY()-WEEKDAY(TODAY(),2)+1,tbl_chests[datetime],"&lt;"&amp;TODAY()-WEEKDAY(TODAY(),2)+8)))</f>
        <v>0</v>
      </c>
      <c r="AM122" s="37">
        <f ca="1">IF($A122="","",IF(AM$1="","",COUNTIFS(tbl_chests[from],$A122,tbl_chests[legalized],AM$1,tbl_chests[datetime],"&gt;="&amp;TODAY()-WEEKDAY(TODAY(),2)+1,tbl_chests[datetime],"&lt;"&amp;TODAY()-WEEKDAY(TODAY(),2)+8)))</f>
        <v>0</v>
      </c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 spans="1:67" ht="15.75" customHeight="1" x14ac:dyDescent="0.25">
      <c r="A123" s="34">
        <f>chests_counter!$H120</f>
        <v>0</v>
      </c>
      <c r="B123" s="35" cm="1">
        <f t="array" aca="1" ref="B123" ca="1">IF(A123&lt;&gt;"", SUMPRODUCT(($C$2:$AM$2&lt;&gt;0)*(C123:AM123&lt;&gt;0)*($C$2:$AM$2)*(C123:AM123)), "")</f>
        <v>0</v>
      </c>
      <c r="C123" s="36">
        <f ca="1">IF($A123="","",IF(C$1="","",COUNTIFS(tbl_chests[from],$A123,tbl_chests[legalized],C$1,tbl_chests[datetime],"&gt;="&amp;TODAY()-WEEKDAY(TODAY(),2)+1,tbl_chests[datetime],"&lt;"&amp;TODAY()-WEEKDAY(TODAY(),2)+8)))</f>
        <v>0</v>
      </c>
      <c r="D123" s="36">
        <f ca="1">IF($A123="","",IF(D$1="","",COUNTIFS(tbl_chests[from],$A123,tbl_chests[legalized],D$1,tbl_chests[datetime],"&gt;="&amp;TODAY()-WEEKDAY(TODAY(),2)+1,tbl_chests[datetime],"&lt;"&amp;TODAY()-WEEKDAY(TODAY(),2)+8)))</f>
        <v>0</v>
      </c>
      <c r="E123" s="36">
        <f ca="1">IF($A123="","",IF(E$1="","",COUNTIFS(tbl_chests[from],$A123,tbl_chests[legalized],E$1,tbl_chests[datetime],"&gt;="&amp;TODAY()-WEEKDAY(TODAY(),2)+1,tbl_chests[datetime],"&lt;"&amp;TODAY()-WEEKDAY(TODAY(),2)+8)))</f>
        <v>0</v>
      </c>
      <c r="F123" s="36">
        <f ca="1">IF($A123="","",IF(F$1="","",COUNTIFS(tbl_chests[from],$A123,tbl_chests[legalized],F$1,tbl_chests[datetime],"&gt;="&amp;TODAY()-WEEKDAY(TODAY(),2)+1,tbl_chests[datetime],"&lt;"&amp;TODAY()-WEEKDAY(TODAY(),2)+8)))</f>
        <v>0</v>
      </c>
      <c r="G123" s="36">
        <f ca="1">IF($A123="","",IF(G$1="","",COUNTIFS(tbl_chests[from],$A123,tbl_chests[legalized],G$1,tbl_chests[datetime],"&gt;="&amp;TODAY()-WEEKDAY(TODAY(),2)+1,tbl_chests[datetime],"&lt;"&amp;TODAY()-WEEKDAY(TODAY(),2)+8)))</f>
        <v>0</v>
      </c>
      <c r="H123" s="36">
        <f ca="1">IF($A123="","",IF(H$1="","",COUNTIFS(tbl_chests[from],$A123,tbl_chests[legalized],H$1,tbl_chests[datetime],"&gt;="&amp;TODAY()-WEEKDAY(TODAY(),2)+1,tbl_chests[datetime],"&lt;"&amp;TODAY()-WEEKDAY(TODAY(),2)+8)))</f>
        <v>0</v>
      </c>
      <c r="I123" s="36">
        <f ca="1">IF($A123="","",IF(I$1="","",COUNTIFS(tbl_chests[from],$A123,tbl_chests[legalized],I$1,tbl_chests[datetime],"&gt;="&amp;TODAY()-WEEKDAY(TODAY(),2)+1,tbl_chests[datetime],"&lt;"&amp;TODAY()-WEEKDAY(TODAY(),2)+8)))</f>
        <v>0</v>
      </c>
      <c r="J123" s="36">
        <f ca="1">IF($A123="","",IF(J$1="","",COUNTIFS(tbl_chests[from],$A123,tbl_chests[legalized],J$1,tbl_chests[datetime],"&gt;="&amp;TODAY()-WEEKDAY(TODAY(),2)+1,tbl_chests[datetime],"&lt;"&amp;TODAY()-WEEKDAY(TODAY(),2)+8)))</f>
        <v>0</v>
      </c>
      <c r="K123" s="36">
        <f ca="1">IF($A123="","",IF(K$1="","",COUNTIFS(tbl_chests[from],$A123,tbl_chests[legalized],K$1,tbl_chests[datetime],"&gt;="&amp;TODAY()-WEEKDAY(TODAY(),2)+1,tbl_chests[datetime],"&lt;"&amp;TODAY()-WEEKDAY(TODAY(),2)+8)))</f>
        <v>0</v>
      </c>
      <c r="L123" s="36">
        <f ca="1">IF($A123="","",IF(L$1="","",COUNTIFS(tbl_chests[from],$A123,tbl_chests[legalized],L$1,tbl_chests[datetime],"&gt;="&amp;TODAY()-WEEKDAY(TODAY(),2)+1,tbl_chests[datetime],"&lt;"&amp;TODAY()-WEEKDAY(TODAY(),2)+8)))</f>
        <v>0</v>
      </c>
      <c r="M123" s="36">
        <f ca="1">IF($A123="","",IF(M$1="","",COUNTIFS(tbl_chests[from],$A123,tbl_chests[legalized],M$1,tbl_chests[datetime],"&gt;="&amp;TODAY()-WEEKDAY(TODAY(),2)+1,tbl_chests[datetime],"&lt;"&amp;TODAY()-WEEKDAY(TODAY(),2)+8)))</f>
        <v>0</v>
      </c>
      <c r="N123" s="36">
        <f ca="1">IF($A123="","",IF(N$1="","",COUNTIFS(tbl_chests[from],$A123,tbl_chests[legalized],N$1,tbl_chests[datetime],"&gt;="&amp;TODAY()-WEEKDAY(TODAY(),2)+1,tbl_chests[datetime],"&lt;"&amp;TODAY()-WEEKDAY(TODAY(),2)+8)))</f>
        <v>0</v>
      </c>
      <c r="O123" s="36">
        <f ca="1">IF($A123="","",IF(O$1="","",COUNTIFS(tbl_chests[from],$A123,tbl_chests[legalized],O$1,tbl_chests[datetime],"&gt;="&amp;TODAY()-WEEKDAY(TODAY(),2)+1,tbl_chests[datetime],"&lt;"&amp;TODAY()-WEEKDAY(TODAY(),2)+8)))</f>
        <v>0</v>
      </c>
      <c r="P123" s="36">
        <f ca="1">IF($A123="","",IF(P$1="","",COUNTIFS(tbl_chests[from],$A123,tbl_chests[legalized],P$1,tbl_chests[datetime],"&gt;="&amp;TODAY()-WEEKDAY(TODAY(),2)+1,tbl_chests[datetime],"&lt;"&amp;TODAY()-WEEKDAY(TODAY(),2)+8)))</f>
        <v>0</v>
      </c>
      <c r="Q123" s="36">
        <f ca="1">IF($A123="","",IF(Q$1="","",COUNTIFS(tbl_chests[from],$A123,tbl_chests[legalized],Q$1,tbl_chests[datetime],"&gt;="&amp;TODAY()-WEEKDAY(TODAY(),2)+1,tbl_chests[datetime],"&lt;"&amp;TODAY()-WEEKDAY(TODAY(),2)+8)))</f>
        <v>0</v>
      </c>
      <c r="R123" s="36">
        <f ca="1">IF($A123="","",IF(R$1="","",COUNTIFS(tbl_chests[from],$A123,tbl_chests[legalized],R$1,tbl_chests[datetime],"&gt;="&amp;TODAY()-WEEKDAY(TODAY(),2)+1,tbl_chests[datetime],"&lt;"&amp;TODAY()-WEEKDAY(TODAY(),2)+8)))</f>
        <v>0</v>
      </c>
      <c r="S123" s="36">
        <f ca="1">IF($A123="","",IF(S$1="","",COUNTIFS(tbl_chests[from],$A123,tbl_chests[legalized],S$1,tbl_chests[datetime],"&gt;="&amp;TODAY()-WEEKDAY(TODAY(),2)+1,tbl_chests[datetime],"&lt;"&amp;TODAY()-WEEKDAY(TODAY(),2)+8)))</f>
        <v>0</v>
      </c>
      <c r="T123" s="36">
        <f ca="1">IF($A123="","",IF(T$1="","",COUNTIFS(tbl_chests[from],$A123,tbl_chests[legalized],T$1,tbl_chests[datetime],"&gt;="&amp;TODAY()-WEEKDAY(TODAY(),2)+1,tbl_chests[datetime],"&lt;"&amp;TODAY()-WEEKDAY(TODAY(),2)+8)))</f>
        <v>0</v>
      </c>
      <c r="U123" s="36">
        <f ca="1">IF($A123="","",IF(U$1="","",COUNTIFS(tbl_chests[from],$A123,tbl_chests[legalized],U$1,tbl_chests[datetime],"&gt;="&amp;TODAY()-WEEKDAY(TODAY(),2)+1,tbl_chests[datetime],"&lt;"&amp;TODAY()-WEEKDAY(TODAY(),2)+8)))</f>
        <v>0</v>
      </c>
      <c r="V123" s="36">
        <f ca="1">IF($A123="","",IF(V$1="","",COUNTIFS(tbl_chests[from],$A123,tbl_chests[legalized],V$1,tbl_chests[datetime],"&gt;="&amp;TODAY()-WEEKDAY(TODAY(),2)+1,tbl_chests[datetime],"&lt;"&amp;TODAY()-WEEKDAY(TODAY(),2)+8)))</f>
        <v>0</v>
      </c>
      <c r="W123" s="36">
        <f ca="1">IF($A123="","",IF(W$1="","",COUNTIFS(tbl_chests[from],$A123,tbl_chests[legalized],W$1,tbl_chests[datetime],"&gt;="&amp;TODAY()-WEEKDAY(TODAY(),2)+1,tbl_chests[datetime],"&lt;"&amp;TODAY()-WEEKDAY(TODAY(),2)+8)))</f>
        <v>0</v>
      </c>
      <c r="X123" s="36">
        <f ca="1">IF($A123="","",IF(X$1="","",COUNTIFS(tbl_chests[from],$A123,tbl_chests[legalized],X$1,tbl_chests[datetime],"&gt;="&amp;TODAY()-WEEKDAY(TODAY(),2)+1,tbl_chests[datetime],"&lt;"&amp;TODAY()-WEEKDAY(TODAY(),2)+8)))</f>
        <v>0</v>
      </c>
      <c r="Y123" s="36">
        <f ca="1">IF($A123="","",IF(Y$1="","",COUNTIFS(tbl_chests[from],$A123,tbl_chests[legalized],Y$1,tbl_chests[datetime],"&gt;="&amp;TODAY()-WEEKDAY(TODAY(),2)+1,tbl_chests[datetime],"&lt;"&amp;TODAY()-WEEKDAY(TODAY(),2)+8)))</f>
        <v>0</v>
      </c>
      <c r="Z123" s="36">
        <f ca="1">IF($A123="","",IF(Z$1="","",COUNTIFS(tbl_chests[from],$A123,tbl_chests[legalized],Z$1,tbl_chests[datetime],"&gt;="&amp;TODAY()-WEEKDAY(TODAY(),2)+1,tbl_chests[datetime],"&lt;"&amp;TODAY()-WEEKDAY(TODAY(),2)+8)))</f>
        <v>0</v>
      </c>
      <c r="AA123" s="36">
        <f ca="1">IF($A123="","",IF(AA$1="","",COUNTIFS(tbl_chests[from],$A123,tbl_chests[legalized],AA$1,tbl_chests[datetime],"&gt;="&amp;TODAY()-WEEKDAY(TODAY(),2)+1,tbl_chests[datetime],"&lt;"&amp;TODAY()-WEEKDAY(TODAY(),2)+8)))</f>
        <v>0</v>
      </c>
      <c r="AB123" s="36">
        <f ca="1">IF($A123="","",IF(AB$1="","",COUNTIFS(tbl_chests[from],$A123,tbl_chests[legalized],AB$1,tbl_chests[datetime],"&gt;="&amp;TODAY()-WEEKDAY(TODAY(),2)+1,tbl_chests[datetime],"&lt;"&amp;TODAY()-WEEKDAY(TODAY(),2)+8)))</f>
        <v>0</v>
      </c>
      <c r="AC123" s="36">
        <f ca="1">IF($A123="","",IF(AC$1="","",COUNTIFS(tbl_chests[from],$A123,tbl_chests[legalized],AC$1,tbl_chests[datetime],"&gt;="&amp;TODAY()-WEEKDAY(TODAY(),2)+1,tbl_chests[datetime],"&lt;"&amp;TODAY()-WEEKDAY(TODAY(),2)+8)))</f>
        <v>0</v>
      </c>
      <c r="AD123" s="36">
        <f ca="1">IF($A123="","",IF(AD$1="","",COUNTIFS(tbl_chests[from],$A123,tbl_chests[legalized],AD$1,tbl_chests[datetime],"&gt;="&amp;TODAY()-WEEKDAY(TODAY(),2)+1,tbl_chests[datetime],"&lt;"&amp;TODAY()-WEEKDAY(TODAY(),2)+8)))</f>
        <v>0</v>
      </c>
      <c r="AE123" s="36">
        <f ca="1">IF($A123="","",IF(AE$1="","",COUNTIFS(tbl_chests[from],$A123,tbl_chests[legalized],AE$1,tbl_chests[datetime],"&gt;="&amp;TODAY()-WEEKDAY(TODAY(),2)+1,tbl_chests[datetime],"&lt;"&amp;TODAY()-WEEKDAY(TODAY(),2)+8)))</f>
        <v>0</v>
      </c>
      <c r="AF123" s="36">
        <f ca="1">IF($A123="","",IF(AF$1="","",COUNTIFS(tbl_chests[from],$A123,tbl_chests[legalized],AF$1,tbl_chests[datetime],"&gt;="&amp;TODAY()-WEEKDAY(TODAY(),2)+1,tbl_chests[datetime],"&lt;"&amp;TODAY()-WEEKDAY(TODAY(),2)+8)))</f>
        <v>0</v>
      </c>
      <c r="AG123" s="36">
        <f ca="1">IF($A123="","",IF(AG$1="","",COUNTIFS(tbl_chests[from],$A123,tbl_chests[legalized],AG$1,tbl_chests[datetime],"&gt;="&amp;TODAY()-WEEKDAY(TODAY(),2)+1,tbl_chests[datetime],"&lt;"&amp;TODAY()-WEEKDAY(TODAY(),2)+8)))</f>
        <v>0</v>
      </c>
      <c r="AH123" s="36">
        <f ca="1">IF($A123="","",IF(AH$1="","",COUNTIFS(tbl_chests[from],$A123,tbl_chests[legalized],AH$1,tbl_chests[datetime],"&gt;="&amp;TODAY()-WEEKDAY(TODAY(),2)+1,tbl_chests[datetime],"&lt;"&amp;TODAY()-WEEKDAY(TODAY(),2)+8)))</f>
        <v>0</v>
      </c>
      <c r="AI123" s="36">
        <f ca="1">IF($A123="","",IF(AI$1="","",COUNTIFS(tbl_chests[from],$A123,tbl_chests[legalized],AI$1,tbl_chests[datetime],"&gt;="&amp;TODAY()-WEEKDAY(TODAY(),2)+1,tbl_chests[datetime],"&lt;"&amp;TODAY()-WEEKDAY(TODAY(),2)+8)))</f>
        <v>0</v>
      </c>
      <c r="AJ123" s="36">
        <f ca="1">IF($A123="","",IF(AJ$1="","",COUNTIFS(tbl_chests[from],$A123,tbl_chests[legalized],AJ$1,tbl_chests[datetime],"&gt;="&amp;TODAY()-WEEKDAY(TODAY(),2)+1,tbl_chests[datetime],"&lt;"&amp;TODAY()-WEEKDAY(TODAY(),2)+8)))</f>
        <v>0</v>
      </c>
      <c r="AK123" s="36">
        <f ca="1">IF($A123="","",IF(AK$1="","",COUNTIFS(tbl_chests[from],$A123,tbl_chests[legalized],AK$1,tbl_chests[datetime],"&gt;="&amp;TODAY()-WEEKDAY(TODAY(),2)+1,tbl_chests[datetime],"&lt;"&amp;TODAY()-WEEKDAY(TODAY(),2)+8)))</f>
        <v>0</v>
      </c>
      <c r="AL123" s="36">
        <f ca="1">IF($A123="","",IF(AL$1="","",COUNTIFS(tbl_chests[from],$A123,tbl_chests[legalized],AL$1,tbl_chests[datetime],"&gt;="&amp;TODAY()-WEEKDAY(TODAY(),2)+1,tbl_chests[datetime],"&lt;"&amp;TODAY()-WEEKDAY(TODAY(),2)+8)))</f>
        <v>0</v>
      </c>
      <c r="AM123" s="37">
        <f ca="1">IF($A123="","",IF(AM$1="","",COUNTIFS(tbl_chests[from],$A123,tbl_chests[legalized],AM$1,tbl_chests[datetime],"&gt;="&amp;TODAY()-WEEKDAY(TODAY(),2)+1,tbl_chests[datetime],"&lt;"&amp;TODAY()-WEEKDAY(TODAY(),2)+8)))</f>
        <v>0</v>
      </c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 spans="1:67" ht="15.75" customHeight="1" x14ac:dyDescent="0.25">
      <c r="A124" s="34">
        <f>chests_counter!$H121</f>
        <v>0</v>
      </c>
      <c r="B124" s="35" cm="1">
        <f t="array" aca="1" ref="B124" ca="1">IF(A124&lt;&gt;"", SUMPRODUCT(($C$2:$AM$2&lt;&gt;0)*(C124:AM124&lt;&gt;0)*($C$2:$AM$2)*(C124:AM124)), "")</f>
        <v>0</v>
      </c>
      <c r="C124" s="36">
        <f ca="1">IF($A124="","",IF(C$1="","",COUNTIFS(tbl_chests[from],$A124,tbl_chests[legalized],C$1,tbl_chests[datetime],"&gt;="&amp;TODAY()-WEEKDAY(TODAY(),2)+1,tbl_chests[datetime],"&lt;"&amp;TODAY()-WEEKDAY(TODAY(),2)+8)))</f>
        <v>0</v>
      </c>
      <c r="D124" s="36">
        <f ca="1">IF($A124="","",IF(D$1="","",COUNTIFS(tbl_chests[from],$A124,tbl_chests[legalized],D$1,tbl_chests[datetime],"&gt;="&amp;TODAY()-WEEKDAY(TODAY(),2)+1,tbl_chests[datetime],"&lt;"&amp;TODAY()-WEEKDAY(TODAY(),2)+8)))</f>
        <v>0</v>
      </c>
      <c r="E124" s="36">
        <f ca="1">IF($A124="","",IF(E$1="","",COUNTIFS(tbl_chests[from],$A124,tbl_chests[legalized],E$1,tbl_chests[datetime],"&gt;="&amp;TODAY()-WEEKDAY(TODAY(),2)+1,tbl_chests[datetime],"&lt;"&amp;TODAY()-WEEKDAY(TODAY(),2)+8)))</f>
        <v>0</v>
      </c>
      <c r="F124" s="36">
        <f ca="1">IF($A124="","",IF(F$1="","",COUNTIFS(tbl_chests[from],$A124,tbl_chests[legalized],F$1,tbl_chests[datetime],"&gt;="&amp;TODAY()-WEEKDAY(TODAY(),2)+1,tbl_chests[datetime],"&lt;"&amp;TODAY()-WEEKDAY(TODAY(),2)+8)))</f>
        <v>0</v>
      </c>
      <c r="G124" s="36">
        <f ca="1">IF($A124="","",IF(G$1="","",COUNTIFS(tbl_chests[from],$A124,tbl_chests[legalized],G$1,tbl_chests[datetime],"&gt;="&amp;TODAY()-WEEKDAY(TODAY(),2)+1,tbl_chests[datetime],"&lt;"&amp;TODAY()-WEEKDAY(TODAY(),2)+8)))</f>
        <v>0</v>
      </c>
      <c r="H124" s="36">
        <f ca="1">IF($A124="","",IF(H$1="","",COUNTIFS(tbl_chests[from],$A124,tbl_chests[legalized],H$1,tbl_chests[datetime],"&gt;="&amp;TODAY()-WEEKDAY(TODAY(),2)+1,tbl_chests[datetime],"&lt;"&amp;TODAY()-WEEKDAY(TODAY(),2)+8)))</f>
        <v>0</v>
      </c>
      <c r="I124" s="36">
        <f ca="1">IF($A124="","",IF(I$1="","",COUNTIFS(tbl_chests[from],$A124,tbl_chests[legalized],I$1,tbl_chests[datetime],"&gt;="&amp;TODAY()-WEEKDAY(TODAY(),2)+1,tbl_chests[datetime],"&lt;"&amp;TODAY()-WEEKDAY(TODAY(),2)+8)))</f>
        <v>0</v>
      </c>
      <c r="J124" s="36">
        <f ca="1">IF($A124="","",IF(J$1="","",COUNTIFS(tbl_chests[from],$A124,tbl_chests[legalized],J$1,tbl_chests[datetime],"&gt;="&amp;TODAY()-WEEKDAY(TODAY(),2)+1,tbl_chests[datetime],"&lt;"&amp;TODAY()-WEEKDAY(TODAY(),2)+8)))</f>
        <v>0</v>
      </c>
      <c r="K124" s="36">
        <f ca="1">IF($A124="","",IF(K$1="","",COUNTIFS(tbl_chests[from],$A124,tbl_chests[legalized],K$1,tbl_chests[datetime],"&gt;="&amp;TODAY()-WEEKDAY(TODAY(),2)+1,tbl_chests[datetime],"&lt;"&amp;TODAY()-WEEKDAY(TODAY(),2)+8)))</f>
        <v>0</v>
      </c>
      <c r="L124" s="36">
        <f ca="1">IF($A124="","",IF(L$1="","",COUNTIFS(tbl_chests[from],$A124,tbl_chests[legalized],L$1,tbl_chests[datetime],"&gt;="&amp;TODAY()-WEEKDAY(TODAY(),2)+1,tbl_chests[datetime],"&lt;"&amp;TODAY()-WEEKDAY(TODAY(),2)+8)))</f>
        <v>0</v>
      </c>
      <c r="M124" s="36">
        <f ca="1">IF($A124="","",IF(M$1="","",COUNTIFS(tbl_chests[from],$A124,tbl_chests[legalized],M$1,tbl_chests[datetime],"&gt;="&amp;TODAY()-WEEKDAY(TODAY(),2)+1,tbl_chests[datetime],"&lt;"&amp;TODAY()-WEEKDAY(TODAY(),2)+8)))</f>
        <v>0</v>
      </c>
      <c r="N124" s="36">
        <f ca="1">IF($A124="","",IF(N$1="","",COUNTIFS(tbl_chests[from],$A124,tbl_chests[legalized],N$1,tbl_chests[datetime],"&gt;="&amp;TODAY()-WEEKDAY(TODAY(),2)+1,tbl_chests[datetime],"&lt;"&amp;TODAY()-WEEKDAY(TODAY(),2)+8)))</f>
        <v>0</v>
      </c>
      <c r="O124" s="36">
        <f ca="1">IF($A124="","",IF(O$1="","",COUNTIFS(tbl_chests[from],$A124,tbl_chests[legalized],O$1,tbl_chests[datetime],"&gt;="&amp;TODAY()-WEEKDAY(TODAY(),2)+1,tbl_chests[datetime],"&lt;"&amp;TODAY()-WEEKDAY(TODAY(),2)+8)))</f>
        <v>0</v>
      </c>
      <c r="P124" s="36">
        <f ca="1">IF($A124="","",IF(P$1="","",COUNTIFS(tbl_chests[from],$A124,tbl_chests[legalized],P$1,tbl_chests[datetime],"&gt;="&amp;TODAY()-WEEKDAY(TODAY(),2)+1,tbl_chests[datetime],"&lt;"&amp;TODAY()-WEEKDAY(TODAY(),2)+8)))</f>
        <v>0</v>
      </c>
      <c r="Q124" s="36">
        <f ca="1">IF($A124="","",IF(Q$1="","",COUNTIFS(tbl_chests[from],$A124,tbl_chests[legalized],Q$1,tbl_chests[datetime],"&gt;="&amp;TODAY()-WEEKDAY(TODAY(),2)+1,tbl_chests[datetime],"&lt;"&amp;TODAY()-WEEKDAY(TODAY(),2)+8)))</f>
        <v>0</v>
      </c>
      <c r="R124" s="36">
        <f ca="1">IF($A124="","",IF(R$1="","",COUNTIFS(tbl_chests[from],$A124,tbl_chests[legalized],R$1,tbl_chests[datetime],"&gt;="&amp;TODAY()-WEEKDAY(TODAY(),2)+1,tbl_chests[datetime],"&lt;"&amp;TODAY()-WEEKDAY(TODAY(),2)+8)))</f>
        <v>0</v>
      </c>
      <c r="S124" s="36">
        <f ca="1">IF($A124="","",IF(S$1="","",COUNTIFS(tbl_chests[from],$A124,tbl_chests[legalized],S$1,tbl_chests[datetime],"&gt;="&amp;TODAY()-WEEKDAY(TODAY(),2)+1,tbl_chests[datetime],"&lt;"&amp;TODAY()-WEEKDAY(TODAY(),2)+8)))</f>
        <v>0</v>
      </c>
      <c r="T124" s="36">
        <f ca="1">IF($A124="","",IF(T$1="","",COUNTIFS(tbl_chests[from],$A124,tbl_chests[legalized],T$1,tbl_chests[datetime],"&gt;="&amp;TODAY()-WEEKDAY(TODAY(),2)+1,tbl_chests[datetime],"&lt;"&amp;TODAY()-WEEKDAY(TODAY(),2)+8)))</f>
        <v>0</v>
      </c>
      <c r="U124" s="36">
        <f ca="1">IF($A124="","",IF(U$1="","",COUNTIFS(tbl_chests[from],$A124,tbl_chests[legalized],U$1,tbl_chests[datetime],"&gt;="&amp;TODAY()-WEEKDAY(TODAY(),2)+1,tbl_chests[datetime],"&lt;"&amp;TODAY()-WEEKDAY(TODAY(),2)+8)))</f>
        <v>0</v>
      </c>
      <c r="V124" s="36">
        <f ca="1">IF($A124="","",IF(V$1="","",COUNTIFS(tbl_chests[from],$A124,tbl_chests[legalized],V$1,tbl_chests[datetime],"&gt;="&amp;TODAY()-WEEKDAY(TODAY(),2)+1,tbl_chests[datetime],"&lt;"&amp;TODAY()-WEEKDAY(TODAY(),2)+8)))</f>
        <v>0</v>
      </c>
      <c r="W124" s="36">
        <f ca="1">IF($A124="","",IF(W$1="","",COUNTIFS(tbl_chests[from],$A124,tbl_chests[legalized],W$1,tbl_chests[datetime],"&gt;="&amp;TODAY()-WEEKDAY(TODAY(),2)+1,tbl_chests[datetime],"&lt;"&amp;TODAY()-WEEKDAY(TODAY(),2)+8)))</f>
        <v>0</v>
      </c>
      <c r="X124" s="36">
        <f ca="1">IF($A124="","",IF(X$1="","",COUNTIFS(tbl_chests[from],$A124,tbl_chests[legalized],X$1,tbl_chests[datetime],"&gt;="&amp;TODAY()-WEEKDAY(TODAY(),2)+1,tbl_chests[datetime],"&lt;"&amp;TODAY()-WEEKDAY(TODAY(),2)+8)))</f>
        <v>0</v>
      </c>
      <c r="Y124" s="36">
        <f ca="1">IF($A124="","",IF(Y$1="","",COUNTIFS(tbl_chests[from],$A124,tbl_chests[legalized],Y$1,tbl_chests[datetime],"&gt;="&amp;TODAY()-WEEKDAY(TODAY(),2)+1,tbl_chests[datetime],"&lt;"&amp;TODAY()-WEEKDAY(TODAY(),2)+8)))</f>
        <v>0</v>
      </c>
      <c r="Z124" s="36">
        <f ca="1">IF($A124="","",IF(Z$1="","",COUNTIFS(tbl_chests[from],$A124,tbl_chests[legalized],Z$1,tbl_chests[datetime],"&gt;="&amp;TODAY()-WEEKDAY(TODAY(),2)+1,tbl_chests[datetime],"&lt;"&amp;TODAY()-WEEKDAY(TODAY(),2)+8)))</f>
        <v>0</v>
      </c>
      <c r="AA124" s="36">
        <f ca="1">IF($A124="","",IF(AA$1="","",COUNTIFS(tbl_chests[from],$A124,tbl_chests[legalized],AA$1,tbl_chests[datetime],"&gt;="&amp;TODAY()-WEEKDAY(TODAY(),2)+1,tbl_chests[datetime],"&lt;"&amp;TODAY()-WEEKDAY(TODAY(),2)+8)))</f>
        <v>0</v>
      </c>
      <c r="AB124" s="36">
        <f ca="1">IF($A124="","",IF(AB$1="","",COUNTIFS(tbl_chests[from],$A124,tbl_chests[legalized],AB$1,tbl_chests[datetime],"&gt;="&amp;TODAY()-WEEKDAY(TODAY(),2)+1,tbl_chests[datetime],"&lt;"&amp;TODAY()-WEEKDAY(TODAY(),2)+8)))</f>
        <v>0</v>
      </c>
      <c r="AC124" s="36">
        <f ca="1">IF($A124="","",IF(AC$1="","",COUNTIFS(tbl_chests[from],$A124,tbl_chests[legalized],AC$1,tbl_chests[datetime],"&gt;="&amp;TODAY()-WEEKDAY(TODAY(),2)+1,tbl_chests[datetime],"&lt;"&amp;TODAY()-WEEKDAY(TODAY(),2)+8)))</f>
        <v>0</v>
      </c>
      <c r="AD124" s="36">
        <f ca="1">IF($A124="","",IF(AD$1="","",COUNTIFS(tbl_chests[from],$A124,tbl_chests[legalized],AD$1,tbl_chests[datetime],"&gt;="&amp;TODAY()-WEEKDAY(TODAY(),2)+1,tbl_chests[datetime],"&lt;"&amp;TODAY()-WEEKDAY(TODAY(),2)+8)))</f>
        <v>0</v>
      </c>
      <c r="AE124" s="36">
        <f ca="1">IF($A124="","",IF(AE$1="","",COUNTIFS(tbl_chests[from],$A124,tbl_chests[legalized],AE$1,tbl_chests[datetime],"&gt;="&amp;TODAY()-WEEKDAY(TODAY(),2)+1,tbl_chests[datetime],"&lt;"&amp;TODAY()-WEEKDAY(TODAY(),2)+8)))</f>
        <v>0</v>
      </c>
      <c r="AF124" s="36">
        <f ca="1">IF($A124="","",IF(AF$1="","",COUNTIFS(tbl_chests[from],$A124,tbl_chests[legalized],AF$1,tbl_chests[datetime],"&gt;="&amp;TODAY()-WEEKDAY(TODAY(),2)+1,tbl_chests[datetime],"&lt;"&amp;TODAY()-WEEKDAY(TODAY(),2)+8)))</f>
        <v>0</v>
      </c>
      <c r="AG124" s="36">
        <f ca="1">IF($A124="","",IF(AG$1="","",COUNTIFS(tbl_chests[from],$A124,tbl_chests[legalized],AG$1,tbl_chests[datetime],"&gt;="&amp;TODAY()-WEEKDAY(TODAY(),2)+1,tbl_chests[datetime],"&lt;"&amp;TODAY()-WEEKDAY(TODAY(),2)+8)))</f>
        <v>0</v>
      </c>
      <c r="AH124" s="36">
        <f ca="1">IF($A124="","",IF(AH$1="","",COUNTIFS(tbl_chests[from],$A124,tbl_chests[legalized],AH$1,tbl_chests[datetime],"&gt;="&amp;TODAY()-WEEKDAY(TODAY(),2)+1,tbl_chests[datetime],"&lt;"&amp;TODAY()-WEEKDAY(TODAY(),2)+8)))</f>
        <v>0</v>
      </c>
      <c r="AI124" s="36">
        <f ca="1">IF($A124="","",IF(AI$1="","",COUNTIFS(tbl_chests[from],$A124,tbl_chests[legalized],AI$1,tbl_chests[datetime],"&gt;="&amp;TODAY()-WEEKDAY(TODAY(),2)+1,tbl_chests[datetime],"&lt;"&amp;TODAY()-WEEKDAY(TODAY(),2)+8)))</f>
        <v>0</v>
      </c>
      <c r="AJ124" s="36">
        <f ca="1">IF($A124="","",IF(AJ$1="","",COUNTIFS(tbl_chests[from],$A124,tbl_chests[legalized],AJ$1,tbl_chests[datetime],"&gt;="&amp;TODAY()-WEEKDAY(TODAY(),2)+1,tbl_chests[datetime],"&lt;"&amp;TODAY()-WEEKDAY(TODAY(),2)+8)))</f>
        <v>0</v>
      </c>
      <c r="AK124" s="36">
        <f ca="1">IF($A124="","",IF(AK$1="","",COUNTIFS(tbl_chests[from],$A124,tbl_chests[legalized],AK$1,tbl_chests[datetime],"&gt;="&amp;TODAY()-WEEKDAY(TODAY(),2)+1,tbl_chests[datetime],"&lt;"&amp;TODAY()-WEEKDAY(TODAY(),2)+8)))</f>
        <v>0</v>
      </c>
      <c r="AL124" s="36">
        <f ca="1">IF($A124="","",IF(AL$1="","",COUNTIFS(tbl_chests[from],$A124,tbl_chests[legalized],AL$1,tbl_chests[datetime],"&gt;="&amp;TODAY()-WEEKDAY(TODAY(),2)+1,tbl_chests[datetime],"&lt;"&amp;TODAY()-WEEKDAY(TODAY(),2)+8)))</f>
        <v>0</v>
      </c>
      <c r="AM124" s="37">
        <f ca="1">IF($A124="","",IF(AM$1="","",COUNTIFS(tbl_chests[from],$A124,tbl_chests[legalized],AM$1,tbl_chests[datetime],"&gt;="&amp;TODAY()-WEEKDAY(TODAY(),2)+1,tbl_chests[datetime],"&lt;"&amp;TODAY()-WEEKDAY(TODAY(),2)+8)))</f>
        <v>0</v>
      </c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 spans="1:67" ht="15.75" customHeight="1" x14ac:dyDescent="0.25">
      <c r="A125" s="34">
        <f>chests_counter!$H122</f>
        <v>0</v>
      </c>
      <c r="B125" s="35" cm="1">
        <f t="array" aca="1" ref="B125" ca="1">IF(A125&lt;&gt;"", SUMPRODUCT(($C$2:$AM$2&lt;&gt;0)*(C125:AM125&lt;&gt;0)*($C$2:$AM$2)*(C125:AM125)), "")</f>
        <v>0</v>
      </c>
      <c r="C125" s="36">
        <f ca="1">IF($A125="","",IF(C$1="","",COUNTIFS(tbl_chests[from],$A125,tbl_chests[legalized],C$1,tbl_chests[datetime],"&gt;="&amp;TODAY()-WEEKDAY(TODAY(),2)+1,tbl_chests[datetime],"&lt;"&amp;TODAY()-WEEKDAY(TODAY(),2)+8)))</f>
        <v>0</v>
      </c>
      <c r="D125" s="36">
        <f ca="1">IF($A125="","",IF(D$1="","",COUNTIFS(tbl_chests[from],$A125,tbl_chests[legalized],D$1,tbl_chests[datetime],"&gt;="&amp;TODAY()-WEEKDAY(TODAY(),2)+1,tbl_chests[datetime],"&lt;"&amp;TODAY()-WEEKDAY(TODAY(),2)+8)))</f>
        <v>0</v>
      </c>
      <c r="E125" s="36">
        <f ca="1">IF($A125="","",IF(E$1="","",COUNTIFS(tbl_chests[from],$A125,tbl_chests[legalized],E$1,tbl_chests[datetime],"&gt;="&amp;TODAY()-WEEKDAY(TODAY(),2)+1,tbl_chests[datetime],"&lt;"&amp;TODAY()-WEEKDAY(TODAY(),2)+8)))</f>
        <v>0</v>
      </c>
      <c r="F125" s="36">
        <f ca="1">IF($A125="","",IF(F$1="","",COUNTIFS(tbl_chests[from],$A125,tbl_chests[legalized],F$1,tbl_chests[datetime],"&gt;="&amp;TODAY()-WEEKDAY(TODAY(),2)+1,tbl_chests[datetime],"&lt;"&amp;TODAY()-WEEKDAY(TODAY(),2)+8)))</f>
        <v>0</v>
      </c>
      <c r="G125" s="36">
        <f ca="1">IF($A125="","",IF(G$1="","",COUNTIFS(tbl_chests[from],$A125,tbl_chests[legalized],G$1,tbl_chests[datetime],"&gt;="&amp;TODAY()-WEEKDAY(TODAY(),2)+1,tbl_chests[datetime],"&lt;"&amp;TODAY()-WEEKDAY(TODAY(),2)+8)))</f>
        <v>0</v>
      </c>
      <c r="H125" s="36">
        <f ca="1">IF($A125="","",IF(H$1="","",COUNTIFS(tbl_chests[from],$A125,tbl_chests[legalized],H$1,tbl_chests[datetime],"&gt;="&amp;TODAY()-WEEKDAY(TODAY(),2)+1,tbl_chests[datetime],"&lt;"&amp;TODAY()-WEEKDAY(TODAY(),2)+8)))</f>
        <v>0</v>
      </c>
      <c r="I125" s="36">
        <f ca="1">IF($A125="","",IF(I$1="","",COUNTIFS(tbl_chests[from],$A125,tbl_chests[legalized],I$1,tbl_chests[datetime],"&gt;="&amp;TODAY()-WEEKDAY(TODAY(),2)+1,tbl_chests[datetime],"&lt;"&amp;TODAY()-WEEKDAY(TODAY(),2)+8)))</f>
        <v>0</v>
      </c>
      <c r="J125" s="36">
        <f ca="1">IF($A125="","",IF(J$1="","",COUNTIFS(tbl_chests[from],$A125,tbl_chests[legalized],J$1,tbl_chests[datetime],"&gt;="&amp;TODAY()-WEEKDAY(TODAY(),2)+1,tbl_chests[datetime],"&lt;"&amp;TODAY()-WEEKDAY(TODAY(),2)+8)))</f>
        <v>0</v>
      </c>
      <c r="K125" s="36">
        <f ca="1">IF($A125="","",IF(K$1="","",COUNTIFS(tbl_chests[from],$A125,tbl_chests[legalized],K$1,tbl_chests[datetime],"&gt;="&amp;TODAY()-WEEKDAY(TODAY(),2)+1,tbl_chests[datetime],"&lt;"&amp;TODAY()-WEEKDAY(TODAY(),2)+8)))</f>
        <v>0</v>
      </c>
      <c r="L125" s="36">
        <f ca="1">IF($A125="","",IF(L$1="","",COUNTIFS(tbl_chests[from],$A125,tbl_chests[legalized],L$1,tbl_chests[datetime],"&gt;="&amp;TODAY()-WEEKDAY(TODAY(),2)+1,tbl_chests[datetime],"&lt;"&amp;TODAY()-WEEKDAY(TODAY(),2)+8)))</f>
        <v>0</v>
      </c>
      <c r="M125" s="36">
        <f ca="1">IF($A125="","",IF(M$1="","",COUNTIFS(tbl_chests[from],$A125,tbl_chests[legalized],M$1,tbl_chests[datetime],"&gt;="&amp;TODAY()-WEEKDAY(TODAY(),2)+1,tbl_chests[datetime],"&lt;"&amp;TODAY()-WEEKDAY(TODAY(),2)+8)))</f>
        <v>0</v>
      </c>
      <c r="N125" s="36">
        <f ca="1">IF($A125="","",IF(N$1="","",COUNTIFS(tbl_chests[from],$A125,tbl_chests[legalized],N$1,tbl_chests[datetime],"&gt;="&amp;TODAY()-WEEKDAY(TODAY(),2)+1,tbl_chests[datetime],"&lt;"&amp;TODAY()-WEEKDAY(TODAY(),2)+8)))</f>
        <v>0</v>
      </c>
      <c r="O125" s="36">
        <f ca="1">IF($A125="","",IF(O$1="","",COUNTIFS(tbl_chests[from],$A125,tbl_chests[legalized],O$1,tbl_chests[datetime],"&gt;="&amp;TODAY()-WEEKDAY(TODAY(),2)+1,tbl_chests[datetime],"&lt;"&amp;TODAY()-WEEKDAY(TODAY(),2)+8)))</f>
        <v>0</v>
      </c>
      <c r="P125" s="36">
        <f ca="1">IF($A125="","",IF(P$1="","",COUNTIFS(tbl_chests[from],$A125,tbl_chests[legalized],P$1,tbl_chests[datetime],"&gt;="&amp;TODAY()-WEEKDAY(TODAY(),2)+1,tbl_chests[datetime],"&lt;"&amp;TODAY()-WEEKDAY(TODAY(),2)+8)))</f>
        <v>0</v>
      </c>
      <c r="Q125" s="36">
        <f ca="1">IF($A125="","",IF(Q$1="","",COUNTIFS(tbl_chests[from],$A125,tbl_chests[legalized],Q$1,tbl_chests[datetime],"&gt;="&amp;TODAY()-WEEKDAY(TODAY(),2)+1,tbl_chests[datetime],"&lt;"&amp;TODAY()-WEEKDAY(TODAY(),2)+8)))</f>
        <v>0</v>
      </c>
      <c r="R125" s="36">
        <f ca="1">IF($A125="","",IF(R$1="","",COUNTIFS(tbl_chests[from],$A125,tbl_chests[legalized],R$1,tbl_chests[datetime],"&gt;="&amp;TODAY()-WEEKDAY(TODAY(),2)+1,tbl_chests[datetime],"&lt;"&amp;TODAY()-WEEKDAY(TODAY(),2)+8)))</f>
        <v>0</v>
      </c>
      <c r="S125" s="36">
        <f ca="1">IF($A125="","",IF(S$1="","",COUNTIFS(tbl_chests[from],$A125,tbl_chests[legalized],S$1,tbl_chests[datetime],"&gt;="&amp;TODAY()-WEEKDAY(TODAY(),2)+1,tbl_chests[datetime],"&lt;"&amp;TODAY()-WEEKDAY(TODAY(),2)+8)))</f>
        <v>0</v>
      </c>
      <c r="T125" s="36">
        <f ca="1">IF($A125="","",IF(T$1="","",COUNTIFS(tbl_chests[from],$A125,tbl_chests[legalized],T$1,tbl_chests[datetime],"&gt;="&amp;TODAY()-WEEKDAY(TODAY(),2)+1,tbl_chests[datetime],"&lt;"&amp;TODAY()-WEEKDAY(TODAY(),2)+8)))</f>
        <v>0</v>
      </c>
      <c r="U125" s="36">
        <f ca="1">IF($A125="","",IF(U$1="","",COUNTIFS(tbl_chests[from],$A125,tbl_chests[legalized],U$1,tbl_chests[datetime],"&gt;="&amp;TODAY()-WEEKDAY(TODAY(),2)+1,tbl_chests[datetime],"&lt;"&amp;TODAY()-WEEKDAY(TODAY(),2)+8)))</f>
        <v>0</v>
      </c>
      <c r="V125" s="36">
        <f ca="1">IF($A125="","",IF(V$1="","",COUNTIFS(tbl_chests[from],$A125,tbl_chests[legalized],V$1,tbl_chests[datetime],"&gt;="&amp;TODAY()-WEEKDAY(TODAY(),2)+1,tbl_chests[datetime],"&lt;"&amp;TODAY()-WEEKDAY(TODAY(),2)+8)))</f>
        <v>0</v>
      </c>
      <c r="W125" s="36">
        <f ca="1">IF($A125="","",IF(W$1="","",COUNTIFS(tbl_chests[from],$A125,tbl_chests[legalized],W$1,tbl_chests[datetime],"&gt;="&amp;TODAY()-WEEKDAY(TODAY(),2)+1,tbl_chests[datetime],"&lt;"&amp;TODAY()-WEEKDAY(TODAY(),2)+8)))</f>
        <v>0</v>
      </c>
      <c r="X125" s="36">
        <f ca="1">IF($A125="","",IF(X$1="","",COUNTIFS(tbl_chests[from],$A125,tbl_chests[legalized],X$1,tbl_chests[datetime],"&gt;="&amp;TODAY()-WEEKDAY(TODAY(),2)+1,tbl_chests[datetime],"&lt;"&amp;TODAY()-WEEKDAY(TODAY(),2)+8)))</f>
        <v>0</v>
      </c>
      <c r="Y125" s="36">
        <f ca="1">IF($A125="","",IF(Y$1="","",COUNTIFS(tbl_chests[from],$A125,tbl_chests[legalized],Y$1,tbl_chests[datetime],"&gt;="&amp;TODAY()-WEEKDAY(TODAY(),2)+1,tbl_chests[datetime],"&lt;"&amp;TODAY()-WEEKDAY(TODAY(),2)+8)))</f>
        <v>0</v>
      </c>
      <c r="Z125" s="36">
        <f ca="1">IF($A125="","",IF(Z$1="","",COUNTIFS(tbl_chests[from],$A125,tbl_chests[legalized],Z$1,tbl_chests[datetime],"&gt;="&amp;TODAY()-WEEKDAY(TODAY(),2)+1,tbl_chests[datetime],"&lt;"&amp;TODAY()-WEEKDAY(TODAY(),2)+8)))</f>
        <v>0</v>
      </c>
      <c r="AA125" s="36">
        <f ca="1">IF($A125="","",IF(AA$1="","",COUNTIFS(tbl_chests[from],$A125,tbl_chests[legalized],AA$1,tbl_chests[datetime],"&gt;="&amp;TODAY()-WEEKDAY(TODAY(),2)+1,tbl_chests[datetime],"&lt;"&amp;TODAY()-WEEKDAY(TODAY(),2)+8)))</f>
        <v>0</v>
      </c>
      <c r="AB125" s="36">
        <f ca="1">IF($A125="","",IF(AB$1="","",COUNTIFS(tbl_chests[from],$A125,tbl_chests[legalized],AB$1,tbl_chests[datetime],"&gt;="&amp;TODAY()-WEEKDAY(TODAY(),2)+1,tbl_chests[datetime],"&lt;"&amp;TODAY()-WEEKDAY(TODAY(),2)+8)))</f>
        <v>0</v>
      </c>
      <c r="AC125" s="36">
        <f ca="1">IF($A125="","",IF(AC$1="","",COUNTIFS(tbl_chests[from],$A125,tbl_chests[legalized],AC$1,tbl_chests[datetime],"&gt;="&amp;TODAY()-WEEKDAY(TODAY(),2)+1,tbl_chests[datetime],"&lt;"&amp;TODAY()-WEEKDAY(TODAY(),2)+8)))</f>
        <v>0</v>
      </c>
      <c r="AD125" s="36">
        <f ca="1">IF($A125="","",IF(AD$1="","",COUNTIFS(tbl_chests[from],$A125,tbl_chests[legalized],AD$1,tbl_chests[datetime],"&gt;="&amp;TODAY()-WEEKDAY(TODAY(),2)+1,tbl_chests[datetime],"&lt;"&amp;TODAY()-WEEKDAY(TODAY(),2)+8)))</f>
        <v>0</v>
      </c>
      <c r="AE125" s="36">
        <f ca="1">IF($A125="","",IF(AE$1="","",COUNTIFS(tbl_chests[from],$A125,tbl_chests[legalized],AE$1,tbl_chests[datetime],"&gt;="&amp;TODAY()-WEEKDAY(TODAY(),2)+1,tbl_chests[datetime],"&lt;"&amp;TODAY()-WEEKDAY(TODAY(),2)+8)))</f>
        <v>0</v>
      </c>
      <c r="AF125" s="36">
        <f ca="1">IF($A125="","",IF(AF$1="","",COUNTIFS(tbl_chests[from],$A125,tbl_chests[legalized],AF$1,tbl_chests[datetime],"&gt;="&amp;TODAY()-WEEKDAY(TODAY(),2)+1,tbl_chests[datetime],"&lt;"&amp;TODAY()-WEEKDAY(TODAY(),2)+8)))</f>
        <v>0</v>
      </c>
      <c r="AG125" s="36">
        <f ca="1">IF($A125="","",IF(AG$1="","",COUNTIFS(tbl_chests[from],$A125,tbl_chests[legalized],AG$1,tbl_chests[datetime],"&gt;="&amp;TODAY()-WEEKDAY(TODAY(),2)+1,tbl_chests[datetime],"&lt;"&amp;TODAY()-WEEKDAY(TODAY(),2)+8)))</f>
        <v>0</v>
      </c>
      <c r="AH125" s="36">
        <f ca="1">IF($A125="","",IF(AH$1="","",COUNTIFS(tbl_chests[from],$A125,tbl_chests[legalized],AH$1,tbl_chests[datetime],"&gt;="&amp;TODAY()-WEEKDAY(TODAY(),2)+1,tbl_chests[datetime],"&lt;"&amp;TODAY()-WEEKDAY(TODAY(),2)+8)))</f>
        <v>0</v>
      </c>
      <c r="AI125" s="36">
        <f ca="1">IF($A125="","",IF(AI$1="","",COUNTIFS(tbl_chests[from],$A125,tbl_chests[legalized],AI$1,tbl_chests[datetime],"&gt;="&amp;TODAY()-WEEKDAY(TODAY(),2)+1,tbl_chests[datetime],"&lt;"&amp;TODAY()-WEEKDAY(TODAY(),2)+8)))</f>
        <v>0</v>
      </c>
      <c r="AJ125" s="36">
        <f ca="1">IF($A125="","",IF(AJ$1="","",COUNTIFS(tbl_chests[from],$A125,tbl_chests[legalized],AJ$1,tbl_chests[datetime],"&gt;="&amp;TODAY()-WEEKDAY(TODAY(),2)+1,tbl_chests[datetime],"&lt;"&amp;TODAY()-WEEKDAY(TODAY(),2)+8)))</f>
        <v>0</v>
      </c>
      <c r="AK125" s="36">
        <f ca="1">IF($A125="","",IF(AK$1="","",COUNTIFS(tbl_chests[from],$A125,tbl_chests[legalized],AK$1,tbl_chests[datetime],"&gt;="&amp;TODAY()-WEEKDAY(TODAY(),2)+1,tbl_chests[datetime],"&lt;"&amp;TODAY()-WEEKDAY(TODAY(),2)+8)))</f>
        <v>0</v>
      </c>
      <c r="AL125" s="36">
        <f ca="1">IF($A125="","",IF(AL$1="","",COUNTIFS(tbl_chests[from],$A125,tbl_chests[legalized],AL$1,tbl_chests[datetime],"&gt;="&amp;TODAY()-WEEKDAY(TODAY(),2)+1,tbl_chests[datetime],"&lt;"&amp;TODAY()-WEEKDAY(TODAY(),2)+8)))</f>
        <v>0</v>
      </c>
      <c r="AM125" s="37">
        <f ca="1">IF($A125="","",IF(AM$1="","",COUNTIFS(tbl_chests[from],$A125,tbl_chests[legalized],AM$1,tbl_chests[datetime],"&gt;="&amp;TODAY()-WEEKDAY(TODAY(),2)+1,tbl_chests[datetime],"&lt;"&amp;TODAY()-WEEKDAY(TODAY(),2)+8)))</f>
        <v>0</v>
      </c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 spans="1:67" ht="15.75" customHeight="1" x14ac:dyDescent="0.25">
      <c r="A126" s="34">
        <f>chests_counter!$H123</f>
        <v>0</v>
      </c>
      <c r="B126" s="35" cm="1">
        <f t="array" aca="1" ref="B126" ca="1">IF(A126&lt;&gt;"", SUMPRODUCT(($C$2:$AM$2&lt;&gt;0)*(C126:AM126&lt;&gt;0)*($C$2:$AM$2)*(C126:AM126)), "")</f>
        <v>0</v>
      </c>
      <c r="C126" s="36">
        <f ca="1">IF($A126="","",IF(C$1="","",COUNTIFS(tbl_chests[from],$A126,tbl_chests[legalized],C$1,tbl_chests[datetime],"&gt;="&amp;TODAY()-WEEKDAY(TODAY(),2)+1,tbl_chests[datetime],"&lt;"&amp;TODAY()-WEEKDAY(TODAY(),2)+8)))</f>
        <v>0</v>
      </c>
      <c r="D126" s="36">
        <f ca="1">IF($A126="","",IF(D$1="","",COUNTIFS(tbl_chests[from],$A126,tbl_chests[legalized],D$1,tbl_chests[datetime],"&gt;="&amp;TODAY()-WEEKDAY(TODAY(),2)+1,tbl_chests[datetime],"&lt;"&amp;TODAY()-WEEKDAY(TODAY(),2)+8)))</f>
        <v>0</v>
      </c>
      <c r="E126" s="36">
        <f ca="1">IF($A126="","",IF(E$1="","",COUNTIFS(tbl_chests[from],$A126,tbl_chests[legalized],E$1,tbl_chests[datetime],"&gt;="&amp;TODAY()-WEEKDAY(TODAY(),2)+1,tbl_chests[datetime],"&lt;"&amp;TODAY()-WEEKDAY(TODAY(),2)+8)))</f>
        <v>0</v>
      </c>
      <c r="F126" s="36">
        <f ca="1">IF($A126="","",IF(F$1="","",COUNTIFS(tbl_chests[from],$A126,tbl_chests[legalized],F$1,tbl_chests[datetime],"&gt;="&amp;TODAY()-WEEKDAY(TODAY(),2)+1,tbl_chests[datetime],"&lt;"&amp;TODAY()-WEEKDAY(TODAY(),2)+8)))</f>
        <v>0</v>
      </c>
      <c r="G126" s="36">
        <f ca="1">IF($A126="","",IF(G$1="","",COUNTIFS(tbl_chests[from],$A126,tbl_chests[legalized],G$1,tbl_chests[datetime],"&gt;="&amp;TODAY()-WEEKDAY(TODAY(),2)+1,tbl_chests[datetime],"&lt;"&amp;TODAY()-WEEKDAY(TODAY(),2)+8)))</f>
        <v>0</v>
      </c>
      <c r="H126" s="36">
        <f ca="1">IF($A126="","",IF(H$1="","",COUNTIFS(tbl_chests[from],$A126,tbl_chests[legalized],H$1,tbl_chests[datetime],"&gt;="&amp;TODAY()-WEEKDAY(TODAY(),2)+1,tbl_chests[datetime],"&lt;"&amp;TODAY()-WEEKDAY(TODAY(),2)+8)))</f>
        <v>0</v>
      </c>
      <c r="I126" s="36">
        <f ca="1">IF($A126="","",IF(I$1="","",COUNTIFS(tbl_chests[from],$A126,tbl_chests[legalized],I$1,tbl_chests[datetime],"&gt;="&amp;TODAY()-WEEKDAY(TODAY(),2)+1,tbl_chests[datetime],"&lt;"&amp;TODAY()-WEEKDAY(TODAY(),2)+8)))</f>
        <v>0</v>
      </c>
      <c r="J126" s="36">
        <f ca="1">IF($A126="","",IF(J$1="","",COUNTIFS(tbl_chests[from],$A126,tbl_chests[legalized],J$1,tbl_chests[datetime],"&gt;="&amp;TODAY()-WEEKDAY(TODAY(),2)+1,tbl_chests[datetime],"&lt;"&amp;TODAY()-WEEKDAY(TODAY(),2)+8)))</f>
        <v>0</v>
      </c>
      <c r="K126" s="36">
        <f ca="1">IF($A126="","",IF(K$1="","",COUNTIFS(tbl_chests[from],$A126,tbl_chests[legalized],K$1,tbl_chests[datetime],"&gt;="&amp;TODAY()-WEEKDAY(TODAY(),2)+1,tbl_chests[datetime],"&lt;"&amp;TODAY()-WEEKDAY(TODAY(),2)+8)))</f>
        <v>0</v>
      </c>
      <c r="L126" s="36">
        <f ca="1">IF($A126="","",IF(L$1="","",COUNTIFS(tbl_chests[from],$A126,tbl_chests[legalized],L$1,tbl_chests[datetime],"&gt;="&amp;TODAY()-WEEKDAY(TODAY(),2)+1,tbl_chests[datetime],"&lt;"&amp;TODAY()-WEEKDAY(TODAY(),2)+8)))</f>
        <v>0</v>
      </c>
      <c r="M126" s="36">
        <f ca="1">IF($A126="","",IF(M$1="","",COUNTIFS(tbl_chests[from],$A126,tbl_chests[legalized],M$1,tbl_chests[datetime],"&gt;="&amp;TODAY()-WEEKDAY(TODAY(),2)+1,tbl_chests[datetime],"&lt;"&amp;TODAY()-WEEKDAY(TODAY(),2)+8)))</f>
        <v>0</v>
      </c>
      <c r="N126" s="36">
        <f ca="1">IF($A126="","",IF(N$1="","",COUNTIFS(tbl_chests[from],$A126,tbl_chests[legalized],N$1,tbl_chests[datetime],"&gt;="&amp;TODAY()-WEEKDAY(TODAY(),2)+1,tbl_chests[datetime],"&lt;"&amp;TODAY()-WEEKDAY(TODAY(),2)+8)))</f>
        <v>0</v>
      </c>
      <c r="O126" s="36">
        <f ca="1">IF($A126="","",IF(O$1="","",COUNTIFS(tbl_chests[from],$A126,tbl_chests[legalized],O$1,tbl_chests[datetime],"&gt;="&amp;TODAY()-WEEKDAY(TODAY(),2)+1,tbl_chests[datetime],"&lt;"&amp;TODAY()-WEEKDAY(TODAY(),2)+8)))</f>
        <v>0</v>
      </c>
      <c r="P126" s="36">
        <f ca="1">IF($A126="","",IF(P$1="","",COUNTIFS(tbl_chests[from],$A126,tbl_chests[legalized],P$1,tbl_chests[datetime],"&gt;="&amp;TODAY()-WEEKDAY(TODAY(),2)+1,tbl_chests[datetime],"&lt;"&amp;TODAY()-WEEKDAY(TODAY(),2)+8)))</f>
        <v>0</v>
      </c>
      <c r="Q126" s="36">
        <f ca="1">IF($A126="","",IF(Q$1="","",COUNTIFS(tbl_chests[from],$A126,tbl_chests[legalized],Q$1,tbl_chests[datetime],"&gt;="&amp;TODAY()-WEEKDAY(TODAY(),2)+1,tbl_chests[datetime],"&lt;"&amp;TODAY()-WEEKDAY(TODAY(),2)+8)))</f>
        <v>0</v>
      </c>
      <c r="R126" s="36">
        <f ca="1">IF($A126="","",IF(R$1="","",COUNTIFS(tbl_chests[from],$A126,tbl_chests[legalized],R$1,tbl_chests[datetime],"&gt;="&amp;TODAY()-WEEKDAY(TODAY(),2)+1,tbl_chests[datetime],"&lt;"&amp;TODAY()-WEEKDAY(TODAY(),2)+8)))</f>
        <v>0</v>
      </c>
      <c r="S126" s="36">
        <f ca="1">IF($A126="","",IF(S$1="","",COUNTIFS(tbl_chests[from],$A126,tbl_chests[legalized],S$1,tbl_chests[datetime],"&gt;="&amp;TODAY()-WEEKDAY(TODAY(),2)+1,tbl_chests[datetime],"&lt;"&amp;TODAY()-WEEKDAY(TODAY(),2)+8)))</f>
        <v>0</v>
      </c>
      <c r="T126" s="36">
        <f ca="1">IF($A126="","",IF(T$1="","",COUNTIFS(tbl_chests[from],$A126,tbl_chests[legalized],T$1,tbl_chests[datetime],"&gt;="&amp;TODAY()-WEEKDAY(TODAY(),2)+1,tbl_chests[datetime],"&lt;"&amp;TODAY()-WEEKDAY(TODAY(),2)+8)))</f>
        <v>0</v>
      </c>
      <c r="U126" s="36">
        <f ca="1">IF($A126="","",IF(U$1="","",COUNTIFS(tbl_chests[from],$A126,tbl_chests[legalized],U$1,tbl_chests[datetime],"&gt;="&amp;TODAY()-WEEKDAY(TODAY(),2)+1,tbl_chests[datetime],"&lt;"&amp;TODAY()-WEEKDAY(TODAY(),2)+8)))</f>
        <v>0</v>
      </c>
      <c r="V126" s="36">
        <f ca="1">IF($A126="","",IF(V$1="","",COUNTIFS(tbl_chests[from],$A126,tbl_chests[legalized],V$1,tbl_chests[datetime],"&gt;="&amp;TODAY()-WEEKDAY(TODAY(),2)+1,tbl_chests[datetime],"&lt;"&amp;TODAY()-WEEKDAY(TODAY(),2)+8)))</f>
        <v>0</v>
      </c>
      <c r="W126" s="36">
        <f ca="1">IF($A126="","",IF(W$1="","",COUNTIFS(tbl_chests[from],$A126,tbl_chests[legalized],W$1,tbl_chests[datetime],"&gt;="&amp;TODAY()-WEEKDAY(TODAY(),2)+1,tbl_chests[datetime],"&lt;"&amp;TODAY()-WEEKDAY(TODAY(),2)+8)))</f>
        <v>0</v>
      </c>
      <c r="X126" s="36">
        <f ca="1">IF($A126="","",IF(X$1="","",COUNTIFS(tbl_chests[from],$A126,tbl_chests[legalized],X$1,tbl_chests[datetime],"&gt;="&amp;TODAY()-WEEKDAY(TODAY(),2)+1,tbl_chests[datetime],"&lt;"&amp;TODAY()-WEEKDAY(TODAY(),2)+8)))</f>
        <v>0</v>
      </c>
      <c r="Y126" s="36">
        <f ca="1">IF($A126="","",IF(Y$1="","",COUNTIFS(tbl_chests[from],$A126,tbl_chests[legalized],Y$1,tbl_chests[datetime],"&gt;="&amp;TODAY()-WEEKDAY(TODAY(),2)+1,tbl_chests[datetime],"&lt;"&amp;TODAY()-WEEKDAY(TODAY(),2)+8)))</f>
        <v>0</v>
      </c>
      <c r="Z126" s="36">
        <f ca="1">IF($A126="","",IF(Z$1="","",COUNTIFS(tbl_chests[from],$A126,tbl_chests[legalized],Z$1,tbl_chests[datetime],"&gt;="&amp;TODAY()-WEEKDAY(TODAY(),2)+1,tbl_chests[datetime],"&lt;"&amp;TODAY()-WEEKDAY(TODAY(),2)+8)))</f>
        <v>0</v>
      </c>
      <c r="AA126" s="36">
        <f ca="1">IF($A126="","",IF(AA$1="","",COUNTIFS(tbl_chests[from],$A126,tbl_chests[legalized],AA$1,tbl_chests[datetime],"&gt;="&amp;TODAY()-WEEKDAY(TODAY(),2)+1,tbl_chests[datetime],"&lt;"&amp;TODAY()-WEEKDAY(TODAY(),2)+8)))</f>
        <v>0</v>
      </c>
      <c r="AB126" s="36">
        <f ca="1">IF($A126="","",IF(AB$1="","",COUNTIFS(tbl_chests[from],$A126,tbl_chests[legalized],AB$1,tbl_chests[datetime],"&gt;="&amp;TODAY()-WEEKDAY(TODAY(),2)+1,tbl_chests[datetime],"&lt;"&amp;TODAY()-WEEKDAY(TODAY(),2)+8)))</f>
        <v>0</v>
      </c>
      <c r="AC126" s="36">
        <f ca="1">IF($A126="","",IF(AC$1="","",COUNTIFS(tbl_chests[from],$A126,tbl_chests[legalized],AC$1,tbl_chests[datetime],"&gt;="&amp;TODAY()-WEEKDAY(TODAY(),2)+1,tbl_chests[datetime],"&lt;"&amp;TODAY()-WEEKDAY(TODAY(),2)+8)))</f>
        <v>0</v>
      </c>
      <c r="AD126" s="36">
        <f ca="1">IF($A126="","",IF(AD$1="","",COUNTIFS(tbl_chests[from],$A126,tbl_chests[legalized],AD$1,tbl_chests[datetime],"&gt;="&amp;TODAY()-WEEKDAY(TODAY(),2)+1,tbl_chests[datetime],"&lt;"&amp;TODAY()-WEEKDAY(TODAY(),2)+8)))</f>
        <v>0</v>
      </c>
      <c r="AE126" s="36">
        <f ca="1">IF($A126="","",IF(AE$1="","",COUNTIFS(tbl_chests[from],$A126,tbl_chests[legalized],AE$1,tbl_chests[datetime],"&gt;="&amp;TODAY()-WEEKDAY(TODAY(),2)+1,tbl_chests[datetime],"&lt;"&amp;TODAY()-WEEKDAY(TODAY(),2)+8)))</f>
        <v>0</v>
      </c>
      <c r="AF126" s="36">
        <f ca="1">IF($A126="","",IF(AF$1="","",COUNTIFS(tbl_chests[from],$A126,tbl_chests[legalized],AF$1,tbl_chests[datetime],"&gt;="&amp;TODAY()-WEEKDAY(TODAY(),2)+1,tbl_chests[datetime],"&lt;"&amp;TODAY()-WEEKDAY(TODAY(),2)+8)))</f>
        <v>0</v>
      </c>
      <c r="AG126" s="36">
        <f ca="1">IF($A126="","",IF(AG$1="","",COUNTIFS(tbl_chests[from],$A126,tbl_chests[legalized],AG$1,tbl_chests[datetime],"&gt;="&amp;TODAY()-WEEKDAY(TODAY(),2)+1,tbl_chests[datetime],"&lt;"&amp;TODAY()-WEEKDAY(TODAY(),2)+8)))</f>
        <v>0</v>
      </c>
      <c r="AH126" s="36">
        <f ca="1">IF($A126="","",IF(AH$1="","",COUNTIFS(tbl_chests[from],$A126,tbl_chests[legalized],AH$1,tbl_chests[datetime],"&gt;="&amp;TODAY()-WEEKDAY(TODAY(),2)+1,tbl_chests[datetime],"&lt;"&amp;TODAY()-WEEKDAY(TODAY(),2)+8)))</f>
        <v>0</v>
      </c>
      <c r="AI126" s="36">
        <f ca="1">IF($A126="","",IF(AI$1="","",COUNTIFS(tbl_chests[from],$A126,tbl_chests[legalized],AI$1,tbl_chests[datetime],"&gt;="&amp;TODAY()-WEEKDAY(TODAY(),2)+1,tbl_chests[datetime],"&lt;"&amp;TODAY()-WEEKDAY(TODAY(),2)+8)))</f>
        <v>0</v>
      </c>
      <c r="AJ126" s="36">
        <f ca="1">IF($A126="","",IF(AJ$1="","",COUNTIFS(tbl_chests[from],$A126,tbl_chests[legalized],AJ$1,tbl_chests[datetime],"&gt;="&amp;TODAY()-WEEKDAY(TODAY(),2)+1,tbl_chests[datetime],"&lt;"&amp;TODAY()-WEEKDAY(TODAY(),2)+8)))</f>
        <v>0</v>
      </c>
      <c r="AK126" s="36">
        <f ca="1">IF($A126="","",IF(AK$1="","",COUNTIFS(tbl_chests[from],$A126,tbl_chests[legalized],AK$1,tbl_chests[datetime],"&gt;="&amp;TODAY()-WEEKDAY(TODAY(),2)+1,tbl_chests[datetime],"&lt;"&amp;TODAY()-WEEKDAY(TODAY(),2)+8)))</f>
        <v>0</v>
      </c>
      <c r="AL126" s="36">
        <f ca="1">IF($A126="","",IF(AL$1="","",COUNTIFS(tbl_chests[from],$A126,tbl_chests[legalized],AL$1,tbl_chests[datetime],"&gt;="&amp;TODAY()-WEEKDAY(TODAY(),2)+1,tbl_chests[datetime],"&lt;"&amp;TODAY()-WEEKDAY(TODAY(),2)+8)))</f>
        <v>0</v>
      </c>
      <c r="AM126" s="37">
        <f ca="1">IF($A126="","",IF(AM$1="","",COUNTIFS(tbl_chests[from],$A126,tbl_chests[legalized],AM$1,tbl_chests[datetime],"&gt;="&amp;TODAY()-WEEKDAY(TODAY(),2)+1,tbl_chests[datetime],"&lt;"&amp;TODAY()-WEEKDAY(TODAY(),2)+8)))</f>
        <v>0</v>
      </c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 spans="1:67" ht="15.75" customHeight="1" x14ac:dyDescent="0.25">
      <c r="A127" s="34">
        <f>chests_counter!$H124</f>
        <v>0</v>
      </c>
      <c r="B127" s="35" cm="1">
        <f t="array" aca="1" ref="B127" ca="1">IF(A127&lt;&gt;"", SUMPRODUCT(($C$2:$AM$2&lt;&gt;0)*(C127:AM127&lt;&gt;0)*($C$2:$AM$2)*(C127:AM127)), "")</f>
        <v>0</v>
      </c>
      <c r="C127" s="36">
        <f ca="1">IF($A127="","",IF(C$1="","",COUNTIFS(tbl_chests[from],$A127,tbl_chests[legalized],C$1,tbl_chests[datetime],"&gt;="&amp;TODAY()-WEEKDAY(TODAY(),2)+1,tbl_chests[datetime],"&lt;"&amp;TODAY()-WEEKDAY(TODAY(),2)+8)))</f>
        <v>0</v>
      </c>
      <c r="D127" s="36">
        <f ca="1">IF($A127="","",IF(D$1="","",COUNTIFS(tbl_chests[from],$A127,tbl_chests[legalized],D$1,tbl_chests[datetime],"&gt;="&amp;TODAY()-WEEKDAY(TODAY(),2)+1,tbl_chests[datetime],"&lt;"&amp;TODAY()-WEEKDAY(TODAY(),2)+8)))</f>
        <v>0</v>
      </c>
      <c r="E127" s="36">
        <f ca="1">IF($A127="","",IF(E$1="","",COUNTIFS(tbl_chests[from],$A127,tbl_chests[legalized],E$1,tbl_chests[datetime],"&gt;="&amp;TODAY()-WEEKDAY(TODAY(),2)+1,tbl_chests[datetime],"&lt;"&amp;TODAY()-WEEKDAY(TODAY(),2)+8)))</f>
        <v>0</v>
      </c>
      <c r="F127" s="36">
        <f ca="1">IF($A127="","",IF(F$1="","",COUNTIFS(tbl_chests[from],$A127,tbl_chests[legalized],F$1,tbl_chests[datetime],"&gt;="&amp;TODAY()-WEEKDAY(TODAY(),2)+1,tbl_chests[datetime],"&lt;"&amp;TODAY()-WEEKDAY(TODAY(),2)+8)))</f>
        <v>0</v>
      </c>
      <c r="G127" s="36">
        <f ca="1">IF($A127="","",IF(G$1="","",COUNTIFS(tbl_chests[from],$A127,tbl_chests[legalized],G$1,tbl_chests[datetime],"&gt;="&amp;TODAY()-WEEKDAY(TODAY(),2)+1,tbl_chests[datetime],"&lt;"&amp;TODAY()-WEEKDAY(TODAY(),2)+8)))</f>
        <v>0</v>
      </c>
      <c r="H127" s="36">
        <f ca="1">IF($A127="","",IF(H$1="","",COUNTIFS(tbl_chests[from],$A127,tbl_chests[legalized],H$1,tbl_chests[datetime],"&gt;="&amp;TODAY()-WEEKDAY(TODAY(),2)+1,tbl_chests[datetime],"&lt;"&amp;TODAY()-WEEKDAY(TODAY(),2)+8)))</f>
        <v>0</v>
      </c>
      <c r="I127" s="36">
        <f ca="1">IF($A127="","",IF(I$1="","",COUNTIFS(tbl_chests[from],$A127,tbl_chests[legalized],I$1,tbl_chests[datetime],"&gt;="&amp;TODAY()-WEEKDAY(TODAY(),2)+1,tbl_chests[datetime],"&lt;"&amp;TODAY()-WEEKDAY(TODAY(),2)+8)))</f>
        <v>0</v>
      </c>
      <c r="J127" s="36">
        <f ca="1">IF($A127="","",IF(J$1="","",COUNTIFS(tbl_chests[from],$A127,tbl_chests[legalized],J$1,tbl_chests[datetime],"&gt;="&amp;TODAY()-WEEKDAY(TODAY(),2)+1,tbl_chests[datetime],"&lt;"&amp;TODAY()-WEEKDAY(TODAY(),2)+8)))</f>
        <v>0</v>
      </c>
      <c r="K127" s="36">
        <f ca="1">IF($A127="","",IF(K$1="","",COUNTIFS(tbl_chests[from],$A127,tbl_chests[legalized],K$1,tbl_chests[datetime],"&gt;="&amp;TODAY()-WEEKDAY(TODAY(),2)+1,tbl_chests[datetime],"&lt;"&amp;TODAY()-WEEKDAY(TODAY(),2)+8)))</f>
        <v>0</v>
      </c>
      <c r="L127" s="36">
        <f ca="1">IF($A127="","",IF(L$1="","",COUNTIFS(tbl_chests[from],$A127,tbl_chests[legalized],L$1,tbl_chests[datetime],"&gt;="&amp;TODAY()-WEEKDAY(TODAY(),2)+1,tbl_chests[datetime],"&lt;"&amp;TODAY()-WEEKDAY(TODAY(),2)+8)))</f>
        <v>0</v>
      </c>
      <c r="M127" s="36">
        <f ca="1">IF($A127="","",IF(M$1="","",COUNTIFS(tbl_chests[from],$A127,tbl_chests[legalized],M$1,tbl_chests[datetime],"&gt;="&amp;TODAY()-WEEKDAY(TODAY(),2)+1,tbl_chests[datetime],"&lt;"&amp;TODAY()-WEEKDAY(TODAY(),2)+8)))</f>
        <v>0</v>
      </c>
      <c r="N127" s="36">
        <f ca="1">IF($A127="","",IF(N$1="","",COUNTIFS(tbl_chests[from],$A127,tbl_chests[legalized],N$1,tbl_chests[datetime],"&gt;="&amp;TODAY()-WEEKDAY(TODAY(),2)+1,tbl_chests[datetime],"&lt;"&amp;TODAY()-WEEKDAY(TODAY(),2)+8)))</f>
        <v>0</v>
      </c>
      <c r="O127" s="36">
        <f ca="1">IF($A127="","",IF(O$1="","",COUNTIFS(tbl_chests[from],$A127,tbl_chests[legalized],O$1,tbl_chests[datetime],"&gt;="&amp;TODAY()-WEEKDAY(TODAY(),2)+1,tbl_chests[datetime],"&lt;"&amp;TODAY()-WEEKDAY(TODAY(),2)+8)))</f>
        <v>0</v>
      </c>
      <c r="P127" s="36">
        <f ca="1">IF($A127="","",IF(P$1="","",COUNTIFS(tbl_chests[from],$A127,tbl_chests[legalized],P$1,tbl_chests[datetime],"&gt;="&amp;TODAY()-WEEKDAY(TODAY(),2)+1,tbl_chests[datetime],"&lt;"&amp;TODAY()-WEEKDAY(TODAY(),2)+8)))</f>
        <v>0</v>
      </c>
      <c r="Q127" s="36">
        <f ca="1">IF($A127="","",IF(Q$1="","",COUNTIFS(tbl_chests[from],$A127,tbl_chests[legalized],Q$1,tbl_chests[datetime],"&gt;="&amp;TODAY()-WEEKDAY(TODAY(),2)+1,tbl_chests[datetime],"&lt;"&amp;TODAY()-WEEKDAY(TODAY(),2)+8)))</f>
        <v>0</v>
      </c>
      <c r="R127" s="36">
        <f ca="1">IF($A127="","",IF(R$1="","",COUNTIFS(tbl_chests[from],$A127,tbl_chests[legalized],R$1,tbl_chests[datetime],"&gt;="&amp;TODAY()-WEEKDAY(TODAY(),2)+1,tbl_chests[datetime],"&lt;"&amp;TODAY()-WEEKDAY(TODAY(),2)+8)))</f>
        <v>0</v>
      </c>
      <c r="S127" s="36">
        <f ca="1">IF($A127="","",IF(S$1="","",COUNTIFS(tbl_chests[from],$A127,tbl_chests[legalized],S$1,tbl_chests[datetime],"&gt;="&amp;TODAY()-WEEKDAY(TODAY(),2)+1,tbl_chests[datetime],"&lt;"&amp;TODAY()-WEEKDAY(TODAY(),2)+8)))</f>
        <v>0</v>
      </c>
      <c r="T127" s="36">
        <f ca="1">IF($A127="","",IF(T$1="","",COUNTIFS(tbl_chests[from],$A127,tbl_chests[legalized],T$1,tbl_chests[datetime],"&gt;="&amp;TODAY()-WEEKDAY(TODAY(),2)+1,tbl_chests[datetime],"&lt;"&amp;TODAY()-WEEKDAY(TODAY(),2)+8)))</f>
        <v>0</v>
      </c>
      <c r="U127" s="36">
        <f ca="1">IF($A127="","",IF(U$1="","",COUNTIFS(tbl_chests[from],$A127,tbl_chests[legalized],U$1,tbl_chests[datetime],"&gt;="&amp;TODAY()-WEEKDAY(TODAY(),2)+1,tbl_chests[datetime],"&lt;"&amp;TODAY()-WEEKDAY(TODAY(),2)+8)))</f>
        <v>0</v>
      </c>
      <c r="V127" s="36">
        <f ca="1">IF($A127="","",IF(V$1="","",COUNTIFS(tbl_chests[from],$A127,tbl_chests[legalized],V$1,tbl_chests[datetime],"&gt;="&amp;TODAY()-WEEKDAY(TODAY(),2)+1,tbl_chests[datetime],"&lt;"&amp;TODAY()-WEEKDAY(TODAY(),2)+8)))</f>
        <v>0</v>
      </c>
      <c r="W127" s="36">
        <f ca="1">IF($A127="","",IF(W$1="","",COUNTIFS(tbl_chests[from],$A127,tbl_chests[legalized],W$1,tbl_chests[datetime],"&gt;="&amp;TODAY()-WEEKDAY(TODAY(),2)+1,tbl_chests[datetime],"&lt;"&amp;TODAY()-WEEKDAY(TODAY(),2)+8)))</f>
        <v>0</v>
      </c>
      <c r="X127" s="36">
        <f ca="1">IF($A127="","",IF(X$1="","",COUNTIFS(tbl_chests[from],$A127,tbl_chests[legalized],X$1,tbl_chests[datetime],"&gt;="&amp;TODAY()-WEEKDAY(TODAY(),2)+1,tbl_chests[datetime],"&lt;"&amp;TODAY()-WEEKDAY(TODAY(),2)+8)))</f>
        <v>0</v>
      </c>
      <c r="Y127" s="36">
        <f ca="1">IF($A127="","",IF(Y$1="","",COUNTIFS(tbl_chests[from],$A127,tbl_chests[legalized],Y$1,tbl_chests[datetime],"&gt;="&amp;TODAY()-WEEKDAY(TODAY(),2)+1,tbl_chests[datetime],"&lt;"&amp;TODAY()-WEEKDAY(TODAY(),2)+8)))</f>
        <v>0</v>
      </c>
      <c r="Z127" s="36">
        <f ca="1">IF($A127="","",IF(Z$1="","",COUNTIFS(tbl_chests[from],$A127,tbl_chests[legalized],Z$1,tbl_chests[datetime],"&gt;="&amp;TODAY()-WEEKDAY(TODAY(),2)+1,tbl_chests[datetime],"&lt;"&amp;TODAY()-WEEKDAY(TODAY(),2)+8)))</f>
        <v>0</v>
      </c>
      <c r="AA127" s="36">
        <f ca="1">IF($A127="","",IF(AA$1="","",COUNTIFS(tbl_chests[from],$A127,tbl_chests[legalized],AA$1,tbl_chests[datetime],"&gt;="&amp;TODAY()-WEEKDAY(TODAY(),2)+1,tbl_chests[datetime],"&lt;"&amp;TODAY()-WEEKDAY(TODAY(),2)+8)))</f>
        <v>0</v>
      </c>
      <c r="AB127" s="36">
        <f ca="1">IF($A127="","",IF(AB$1="","",COUNTIFS(tbl_chests[from],$A127,tbl_chests[legalized],AB$1,tbl_chests[datetime],"&gt;="&amp;TODAY()-WEEKDAY(TODAY(),2)+1,tbl_chests[datetime],"&lt;"&amp;TODAY()-WEEKDAY(TODAY(),2)+8)))</f>
        <v>0</v>
      </c>
      <c r="AC127" s="36">
        <f ca="1">IF($A127="","",IF(AC$1="","",COUNTIFS(tbl_chests[from],$A127,tbl_chests[legalized],AC$1,tbl_chests[datetime],"&gt;="&amp;TODAY()-WEEKDAY(TODAY(),2)+1,tbl_chests[datetime],"&lt;"&amp;TODAY()-WEEKDAY(TODAY(),2)+8)))</f>
        <v>0</v>
      </c>
      <c r="AD127" s="36">
        <f ca="1">IF($A127="","",IF(AD$1="","",COUNTIFS(tbl_chests[from],$A127,tbl_chests[legalized],AD$1,tbl_chests[datetime],"&gt;="&amp;TODAY()-WEEKDAY(TODAY(),2)+1,tbl_chests[datetime],"&lt;"&amp;TODAY()-WEEKDAY(TODAY(),2)+8)))</f>
        <v>0</v>
      </c>
      <c r="AE127" s="36">
        <f ca="1">IF($A127="","",IF(AE$1="","",COUNTIFS(tbl_chests[from],$A127,tbl_chests[legalized],AE$1,tbl_chests[datetime],"&gt;="&amp;TODAY()-WEEKDAY(TODAY(),2)+1,tbl_chests[datetime],"&lt;"&amp;TODAY()-WEEKDAY(TODAY(),2)+8)))</f>
        <v>0</v>
      </c>
      <c r="AF127" s="36">
        <f ca="1">IF($A127="","",IF(AF$1="","",COUNTIFS(tbl_chests[from],$A127,tbl_chests[legalized],AF$1,tbl_chests[datetime],"&gt;="&amp;TODAY()-WEEKDAY(TODAY(),2)+1,tbl_chests[datetime],"&lt;"&amp;TODAY()-WEEKDAY(TODAY(),2)+8)))</f>
        <v>0</v>
      </c>
      <c r="AG127" s="36">
        <f ca="1">IF($A127="","",IF(AG$1="","",COUNTIFS(tbl_chests[from],$A127,tbl_chests[legalized],AG$1,tbl_chests[datetime],"&gt;="&amp;TODAY()-WEEKDAY(TODAY(),2)+1,tbl_chests[datetime],"&lt;"&amp;TODAY()-WEEKDAY(TODAY(),2)+8)))</f>
        <v>0</v>
      </c>
      <c r="AH127" s="36">
        <f ca="1">IF($A127="","",IF(AH$1="","",COUNTIFS(tbl_chests[from],$A127,tbl_chests[legalized],AH$1,tbl_chests[datetime],"&gt;="&amp;TODAY()-WEEKDAY(TODAY(),2)+1,tbl_chests[datetime],"&lt;"&amp;TODAY()-WEEKDAY(TODAY(),2)+8)))</f>
        <v>0</v>
      </c>
      <c r="AI127" s="36">
        <f ca="1">IF($A127="","",IF(AI$1="","",COUNTIFS(tbl_chests[from],$A127,tbl_chests[legalized],AI$1,tbl_chests[datetime],"&gt;="&amp;TODAY()-WEEKDAY(TODAY(),2)+1,tbl_chests[datetime],"&lt;"&amp;TODAY()-WEEKDAY(TODAY(),2)+8)))</f>
        <v>0</v>
      </c>
      <c r="AJ127" s="36">
        <f ca="1">IF($A127="","",IF(AJ$1="","",COUNTIFS(tbl_chests[from],$A127,tbl_chests[legalized],AJ$1,tbl_chests[datetime],"&gt;="&amp;TODAY()-WEEKDAY(TODAY(),2)+1,tbl_chests[datetime],"&lt;"&amp;TODAY()-WEEKDAY(TODAY(),2)+8)))</f>
        <v>0</v>
      </c>
      <c r="AK127" s="36">
        <f ca="1">IF($A127="","",IF(AK$1="","",COUNTIFS(tbl_chests[from],$A127,tbl_chests[legalized],AK$1,tbl_chests[datetime],"&gt;="&amp;TODAY()-WEEKDAY(TODAY(),2)+1,tbl_chests[datetime],"&lt;"&amp;TODAY()-WEEKDAY(TODAY(),2)+8)))</f>
        <v>0</v>
      </c>
      <c r="AL127" s="36">
        <f ca="1">IF($A127="","",IF(AL$1="","",COUNTIFS(tbl_chests[from],$A127,tbl_chests[legalized],AL$1,tbl_chests[datetime],"&gt;="&amp;TODAY()-WEEKDAY(TODAY(),2)+1,tbl_chests[datetime],"&lt;"&amp;TODAY()-WEEKDAY(TODAY(),2)+8)))</f>
        <v>0</v>
      </c>
      <c r="AM127" s="37">
        <f ca="1">IF($A127="","",IF(AM$1="","",COUNTIFS(tbl_chests[from],$A127,tbl_chests[legalized],AM$1,tbl_chests[datetime],"&gt;="&amp;TODAY()-WEEKDAY(TODAY(),2)+1,tbl_chests[datetime],"&lt;"&amp;TODAY()-WEEKDAY(TODAY(),2)+8)))</f>
        <v>0</v>
      </c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 spans="1:67" ht="15.75" customHeight="1" x14ac:dyDescent="0.25">
      <c r="A128" s="34">
        <f>chests_counter!$H125</f>
        <v>0</v>
      </c>
      <c r="B128" s="35" cm="1">
        <f t="array" aca="1" ref="B128" ca="1">IF(A128&lt;&gt;"", SUMPRODUCT(($C$2:$AM$2&lt;&gt;0)*(C128:AM128&lt;&gt;0)*($C$2:$AM$2)*(C128:AM128)), "")</f>
        <v>0</v>
      </c>
      <c r="C128" s="36">
        <f ca="1">IF($A128="","",IF(C$1="","",COUNTIFS(tbl_chests[from],$A128,tbl_chests[legalized],C$1,tbl_chests[datetime],"&gt;="&amp;TODAY()-WEEKDAY(TODAY(),2)+1,tbl_chests[datetime],"&lt;"&amp;TODAY()-WEEKDAY(TODAY(),2)+8)))</f>
        <v>0</v>
      </c>
      <c r="D128" s="36">
        <f ca="1">IF($A128="","",IF(D$1="","",COUNTIFS(tbl_chests[from],$A128,tbl_chests[legalized],D$1,tbl_chests[datetime],"&gt;="&amp;TODAY()-WEEKDAY(TODAY(),2)+1,tbl_chests[datetime],"&lt;"&amp;TODAY()-WEEKDAY(TODAY(),2)+8)))</f>
        <v>0</v>
      </c>
      <c r="E128" s="36">
        <f ca="1">IF($A128="","",IF(E$1="","",COUNTIFS(tbl_chests[from],$A128,tbl_chests[legalized],E$1,tbl_chests[datetime],"&gt;="&amp;TODAY()-WEEKDAY(TODAY(),2)+1,tbl_chests[datetime],"&lt;"&amp;TODAY()-WEEKDAY(TODAY(),2)+8)))</f>
        <v>0</v>
      </c>
      <c r="F128" s="36">
        <f ca="1">IF($A128="","",IF(F$1="","",COUNTIFS(tbl_chests[from],$A128,tbl_chests[legalized],F$1,tbl_chests[datetime],"&gt;="&amp;TODAY()-WEEKDAY(TODAY(),2)+1,tbl_chests[datetime],"&lt;"&amp;TODAY()-WEEKDAY(TODAY(),2)+8)))</f>
        <v>0</v>
      </c>
      <c r="G128" s="36">
        <f ca="1">IF($A128="","",IF(G$1="","",COUNTIFS(tbl_chests[from],$A128,tbl_chests[legalized],G$1,tbl_chests[datetime],"&gt;="&amp;TODAY()-WEEKDAY(TODAY(),2)+1,tbl_chests[datetime],"&lt;"&amp;TODAY()-WEEKDAY(TODAY(),2)+8)))</f>
        <v>0</v>
      </c>
      <c r="H128" s="36">
        <f ca="1">IF($A128="","",IF(H$1="","",COUNTIFS(tbl_chests[from],$A128,tbl_chests[legalized],H$1,tbl_chests[datetime],"&gt;="&amp;TODAY()-WEEKDAY(TODAY(),2)+1,tbl_chests[datetime],"&lt;"&amp;TODAY()-WEEKDAY(TODAY(),2)+8)))</f>
        <v>0</v>
      </c>
      <c r="I128" s="36">
        <f ca="1">IF($A128="","",IF(I$1="","",COUNTIFS(tbl_chests[from],$A128,tbl_chests[legalized],I$1,tbl_chests[datetime],"&gt;="&amp;TODAY()-WEEKDAY(TODAY(),2)+1,tbl_chests[datetime],"&lt;"&amp;TODAY()-WEEKDAY(TODAY(),2)+8)))</f>
        <v>0</v>
      </c>
      <c r="J128" s="36">
        <f ca="1">IF($A128="","",IF(J$1="","",COUNTIFS(tbl_chests[from],$A128,tbl_chests[legalized],J$1,tbl_chests[datetime],"&gt;="&amp;TODAY()-WEEKDAY(TODAY(),2)+1,tbl_chests[datetime],"&lt;"&amp;TODAY()-WEEKDAY(TODAY(),2)+8)))</f>
        <v>0</v>
      </c>
      <c r="K128" s="36">
        <f ca="1">IF($A128="","",IF(K$1="","",COUNTIFS(tbl_chests[from],$A128,tbl_chests[legalized],K$1,tbl_chests[datetime],"&gt;="&amp;TODAY()-WEEKDAY(TODAY(),2)+1,tbl_chests[datetime],"&lt;"&amp;TODAY()-WEEKDAY(TODAY(),2)+8)))</f>
        <v>0</v>
      </c>
      <c r="L128" s="36">
        <f ca="1">IF($A128="","",IF(L$1="","",COUNTIFS(tbl_chests[from],$A128,tbl_chests[legalized],L$1,tbl_chests[datetime],"&gt;="&amp;TODAY()-WEEKDAY(TODAY(),2)+1,tbl_chests[datetime],"&lt;"&amp;TODAY()-WEEKDAY(TODAY(),2)+8)))</f>
        <v>0</v>
      </c>
      <c r="M128" s="36">
        <f ca="1">IF($A128="","",IF(M$1="","",COUNTIFS(tbl_chests[from],$A128,tbl_chests[legalized],M$1,tbl_chests[datetime],"&gt;="&amp;TODAY()-WEEKDAY(TODAY(),2)+1,tbl_chests[datetime],"&lt;"&amp;TODAY()-WEEKDAY(TODAY(),2)+8)))</f>
        <v>0</v>
      </c>
      <c r="N128" s="36">
        <f ca="1">IF($A128="","",IF(N$1="","",COUNTIFS(tbl_chests[from],$A128,tbl_chests[legalized],N$1,tbl_chests[datetime],"&gt;="&amp;TODAY()-WEEKDAY(TODAY(),2)+1,tbl_chests[datetime],"&lt;"&amp;TODAY()-WEEKDAY(TODAY(),2)+8)))</f>
        <v>0</v>
      </c>
      <c r="O128" s="36">
        <f ca="1">IF($A128="","",IF(O$1="","",COUNTIFS(tbl_chests[from],$A128,tbl_chests[legalized],O$1,tbl_chests[datetime],"&gt;="&amp;TODAY()-WEEKDAY(TODAY(),2)+1,tbl_chests[datetime],"&lt;"&amp;TODAY()-WEEKDAY(TODAY(),2)+8)))</f>
        <v>0</v>
      </c>
      <c r="P128" s="36">
        <f ca="1">IF($A128="","",IF(P$1="","",COUNTIFS(tbl_chests[from],$A128,tbl_chests[legalized],P$1,tbl_chests[datetime],"&gt;="&amp;TODAY()-WEEKDAY(TODAY(),2)+1,tbl_chests[datetime],"&lt;"&amp;TODAY()-WEEKDAY(TODAY(),2)+8)))</f>
        <v>0</v>
      </c>
      <c r="Q128" s="36">
        <f ca="1">IF($A128="","",IF(Q$1="","",COUNTIFS(tbl_chests[from],$A128,tbl_chests[legalized],Q$1,tbl_chests[datetime],"&gt;="&amp;TODAY()-WEEKDAY(TODAY(),2)+1,tbl_chests[datetime],"&lt;"&amp;TODAY()-WEEKDAY(TODAY(),2)+8)))</f>
        <v>0</v>
      </c>
      <c r="R128" s="36">
        <f ca="1">IF($A128="","",IF(R$1="","",COUNTIFS(tbl_chests[from],$A128,tbl_chests[legalized],R$1,tbl_chests[datetime],"&gt;="&amp;TODAY()-WEEKDAY(TODAY(),2)+1,tbl_chests[datetime],"&lt;"&amp;TODAY()-WEEKDAY(TODAY(),2)+8)))</f>
        <v>0</v>
      </c>
      <c r="S128" s="36">
        <f ca="1">IF($A128="","",IF(S$1="","",COUNTIFS(tbl_chests[from],$A128,tbl_chests[legalized],S$1,tbl_chests[datetime],"&gt;="&amp;TODAY()-WEEKDAY(TODAY(),2)+1,tbl_chests[datetime],"&lt;"&amp;TODAY()-WEEKDAY(TODAY(),2)+8)))</f>
        <v>0</v>
      </c>
      <c r="T128" s="36">
        <f ca="1">IF($A128="","",IF(T$1="","",COUNTIFS(tbl_chests[from],$A128,tbl_chests[legalized],T$1,tbl_chests[datetime],"&gt;="&amp;TODAY()-WEEKDAY(TODAY(),2)+1,tbl_chests[datetime],"&lt;"&amp;TODAY()-WEEKDAY(TODAY(),2)+8)))</f>
        <v>0</v>
      </c>
      <c r="U128" s="36">
        <f ca="1">IF($A128="","",IF(U$1="","",COUNTIFS(tbl_chests[from],$A128,tbl_chests[legalized],U$1,tbl_chests[datetime],"&gt;="&amp;TODAY()-WEEKDAY(TODAY(),2)+1,tbl_chests[datetime],"&lt;"&amp;TODAY()-WEEKDAY(TODAY(),2)+8)))</f>
        <v>0</v>
      </c>
      <c r="V128" s="36">
        <f ca="1">IF($A128="","",IF(V$1="","",COUNTIFS(tbl_chests[from],$A128,tbl_chests[legalized],V$1,tbl_chests[datetime],"&gt;="&amp;TODAY()-WEEKDAY(TODAY(),2)+1,tbl_chests[datetime],"&lt;"&amp;TODAY()-WEEKDAY(TODAY(),2)+8)))</f>
        <v>0</v>
      </c>
      <c r="W128" s="36">
        <f ca="1">IF($A128="","",IF(W$1="","",COUNTIFS(tbl_chests[from],$A128,tbl_chests[legalized],W$1,tbl_chests[datetime],"&gt;="&amp;TODAY()-WEEKDAY(TODAY(),2)+1,tbl_chests[datetime],"&lt;"&amp;TODAY()-WEEKDAY(TODAY(),2)+8)))</f>
        <v>0</v>
      </c>
      <c r="X128" s="36">
        <f ca="1">IF($A128="","",IF(X$1="","",COUNTIFS(tbl_chests[from],$A128,tbl_chests[legalized],X$1,tbl_chests[datetime],"&gt;="&amp;TODAY()-WEEKDAY(TODAY(),2)+1,tbl_chests[datetime],"&lt;"&amp;TODAY()-WEEKDAY(TODAY(),2)+8)))</f>
        <v>0</v>
      </c>
      <c r="Y128" s="36">
        <f ca="1">IF($A128="","",IF(Y$1="","",COUNTIFS(tbl_chests[from],$A128,tbl_chests[legalized],Y$1,tbl_chests[datetime],"&gt;="&amp;TODAY()-WEEKDAY(TODAY(),2)+1,tbl_chests[datetime],"&lt;"&amp;TODAY()-WEEKDAY(TODAY(),2)+8)))</f>
        <v>0</v>
      </c>
      <c r="Z128" s="36">
        <f ca="1">IF($A128="","",IF(Z$1="","",COUNTIFS(tbl_chests[from],$A128,tbl_chests[legalized],Z$1,tbl_chests[datetime],"&gt;="&amp;TODAY()-WEEKDAY(TODAY(),2)+1,tbl_chests[datetime],"&lt;"&amp;TODAY()-WEEKDAY(TODAY(),2)+8)))</f>
        <v>0</v>
      </c>
      <c r="AA128" s="36">
        <f ca="1">IF($A128="","",IF(AA$1="","",COUNTIFS(tbl_chests[from],$A128,tbl_chests[legalized],AA$1,tbl_chests[datetime],"&gt;="&amp;TODAY()-WEEKDAY(TODAY(),2)+1,tbl_chests[datetime],"&lt;"&amp;TODAY()-WEEKDAY(TODAY(),2)+8)))</f>
        <v>0</v>
      </c>
      <c r="AB128" s="36">
        <f ca="1">IF($A128="","",IF(AB$1="","",COUNTIFS(tbl_chests[from],$A128,tbl_chests[legalized],AB$1,tbl_chests[datetime],"&gt;="&amp;TODAY()-WEEKDAY(TODAY(),2)+1,tbl_chests[datetime],"&lt;"&amp;TODAY()-WEEKDAY(TODAY(),2)+8)))</f>
        <v>0</v>
      </c>
      <c r="AC128" s="36">
        <f ca="1">IF($A128="","",IF(AC$1="","",COUNTIFS(tbl_chests[from],$A128,tbl_chests[legalized],AC$1,tbl_chests[datetime],"&gt;="&amp;TODAY()-WEEKDAY(TODAY(),2)+1,tbl_chests[datetime],"&lt;"&amp;TODAY()-WEEKDAY(TODAY(),2)+8)))</f>
        <v>0</v>
      </c>
      <c r="AD128" s="36">
        <f ca="1">IF($A128="","",IF(AD$1="","",COUNTIFS(tbl_chests[from],$A128,tbl_chests[legalized],AD$1,tbl_chests[datetime],"&gt;="&amp;TODAY()-WEEKDAY(TODAY(),2)+1,tbl_chests[datetime],"&lt;"&amp;TODAY()-WEEKDAY(TODAY(),2)+8)))</f>
        <v>0</v>
      </c>
      <c r="AE128" s="36">
        <f ca="1">IF($A128="","",IF(AE$1="","",COUNTIFS(tbl_chests[from],$A128,tbl_chests[legalized],AE$1,tbl_chests[datetime],"&gt;="&amp;TODAY()-WEEKDAY(TODAY(),2)+1,tbl_chests[datetime],"&lt;"&amp;TODAY()-WEEKDAY(TODAY(),2)+8)))</f>
        <v>0</v>
      </c>
      <c r="AF128" s="36">
        <f ca="1">IF($A128="","",IF(AF$1="","",COUNTIFS(tbl_chests[from],$A128,tbl_chests[legalized],AF$1,tbl_chests[datetime],"&gt;="&amp;TODAY()-WEEKDAY(TODAY(),2)+1,tbl_chests[datetime],"&lt;"&amp;TODAY()-WEEKDAY(TODAY(),2)+8)))</f>
        <v>0</v>
      </c>
      <c r="AG128" s="36">
        <f ca="1">IF($A128="","",IF(AG$1="","",COUNTIFS(tbl_chests[from],$A128,tbl_chests[legalized],AG$1,tbl_chests[datetime],"&gt;="&amp;TODAY()-WEEKDAY(TODAY(),2)+1,tbl_chests[datetime],"&lt;"&amp;TODAY()-WEEKDAY(TODAY(),2)+8)))</f>
        <v>0</v>
      </c>
      <c r="AH128" s="36">
        <f ca="1">IF($A128="","",IF(AH$1="","",COUNTIFS(tbl_chests[from],$A128,tbl_chests[legalized],AH$1,tbl_chests[datetime],"&gt;="&amp;TODAY()-WEEKDAY(TODAY(),2)+1,tbl_chests[datetime],"&lt;"&amp;TODAY()-WEEKDAY(TODAY(),2)+8)))</f>
        <v>0</v>
      </c>
      <c r="AI128" s="36">
        <f ca="1">IF($A128="","",IF(AI$1="","",COUNTIFS(tbl_chests[from],$A128,tbl_chests[legalized],AI$1,tbl_chests[datetime],"&gt;="&amp;TODAY()-WEEKDAY(TODAY(),2)+1,tbl_chests[datetime],"&lt;"&amp;TODAY()-WEEKDAY(TODAY(),2)+8)))</f>
        <v>0</v>
      </c>
      <c r="AJ128" s="36">
        <f ca="1">IF($A128="","",IF(AJ$1="","",COUNTIFS(tbl_chests[from],$A128,tbl_chests[legalized],AJ$1,tbl_chests[datetime],"&gt;="&amp;TODAY()-WEEKDAY(TODAY(),2)+1,tbl_chests[datetime],"&lt;"&amp;TODAY()-WEEKDAY(TODAY(),2)+8)))</f>
        <v>0</v>
      </c>
      <c r="AK128" s="36">
        <f ca="1">IF($A128="","",IF(AK$1="","",COUNTIFS(tbl_chests[from],$A128,tbl_chests[legalized],AK$1,tbl_chests[datetime],"&gt;="&amp;TODAY()-WEEKDAY(TODAY(),2)+1,tbl_chests[datetime],"&lt;"&amp;TODAY()-WEEKDAY(TODAY(),2)+8)))</f>
        <v>0</v>
      </c>
      <c r="AL128" s="36">
        <f ca="1">IF($A128="","",IF(AL$1="","",COUNTIFS(tbl_chests[from],$A128,tbl_chests[legalized],AL$1,tbl_chests[datetime],"&gt;="&amp;TODAY()-WEEKDAY(TODAY(),2)+1,tbl_chests[datetime],"&lt;"&amp;TODAY()-WEEKDAY(TODAY(),2)+8)))</f>
        <v>0</v>
      </c>
      <c r="AM128" s="37">
        <f ca="1">IF($A128="","",IF(AM$1="","",COUNTIFS(tbl_chests[from],$A128,tbl_chests[legalized],AM$1,tbl_chests[datetime],"&gt;="&amp;TODAY()-WEEKDAY(TODAY(),2)+1,tbl_chests[datetime],"&lt;"&amp;TODAY()-WEEKDAY(TODAY(),2)+8)))</f>
        <v>0</v>
      </c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 spans="1:67" ht="15.75" customHeight="1" x14ac:dyDescent="0.25">
      <c r="A129" s="34">
        <f>chests_counter!$H126</f>
        <v>0</v>
      </c>
      <c r="B129" s="35" cm="1">
        <f t="array" aca="1" ref="B129" ca="1">IF(A129&lt;&gt;"", SUMPRODUCT(($C$2:$AM$2&lt;&gt;0)*(C129:AM129&lt;&gt;0)*($C$2:$AM$2)*(C129:AM129)), "")</f>
        <v>0</v>
      </c>
      <c r="C129" s="36">
        <f ca="1">IF($A129="","",IF(C$1="","",COUNTIFS(tbl_chests[from],$A129,tbl_chests[legalized],C$1,tbl_chests[datetime],"&gt;="&amp;TODAY()-WEEKDAY(TODAY(),2)+1,tbl_chests[datetime],"&lt;"&amp;TODAY()-WEEKDAY(TODAY(),2)+8)))</f>
        <v>0</v>
      </c>
      <c r="D129" s="36">
        <f ca="1">IF($A129="","",IF(D$1="","",COUNTIFS(tbl_chests[from],$A129,tbl_chests[legalized],D$1,tbl_chests[datetime],"&gt;="&amp;TODAY()-WEEKDAY(TODAY(),2)+1,tbl_chests[datetime],"&lt;"&amp;TODAY()-WEEKDAY(TODAY(),2)+8)))</f>
        <v>0</v>
      </c>
      <c r="E129" s="36">
        <f ca="1">IF($A129="","",IF(E$1="","",COUNTIFS(tbl_chests[from],$A129,tbl_chests[legalized],E$1,tbl_chests[datetime],"&gt;="&amp;TODAY()-WEEKDAY(TODAY(),2)+1,tbl_chests[datetime],"&lt;"&amp;TODAY()-WEEKDAY(TODAY(),2)+8)))</f>
        <v>0</v>
      </c>
      <c r="F129" s="36">
        <f ca="1">IF($A129="","",IF(F$1="","",COUNTIFS(tbl_chests[from],$A129,tbl_chests[legalized],F$1,tbl_chests[datetime],"&gt;="&amp;TODAY()-WEEKDAY(TODAY(),2)+1,tbl_chests[datetime],"&lt;"&amp;TODAY()-WEEKDAY(TODAY(),2)+8)))</f>
        <v>0</v>
      </c>
      <c r="G129" s="36">
        <f ca="1">IF($A129="","",IF(G$1="","",COUNTIFS(tbl_chests[from],$A129,tbl_chests[legalized],G$1,tbl_chests[datetime],"&gt;="&amp;TODAY()-WEEKDAY(TODAY(),2)+1,tbl_chests[datetime],"&lt;"&amp;TODAY()-WEEKDAY(TODAY(),2)+8)))</f>
        <v>0</v>
      </c>
      <c r="H129" s="36">
        <f ca="1">IF($A129="","",IF(H$1="","",COUNTIFS(tbl_chests[from],$A129,tbl_chests[legalized],H$1,tbl_chests[datetime],"&gt;="&amp;TODAY()-WEEKDAY(TODAY(),2)+1,tbl_chests[datetime],"&lt;"&amp;TODAY()-WEEKDAY(TODAY(),2)+8)))</f>
        <v>0</v>
      </c>
      <c r="I129" s="36">
        <f ca="1">IF($A129="","",IF(I$1="","",COUNTIFS(tbl_chests[from],$A129,tbl_chests[legalized],I$1,tbl_chests[datetime],"&gt;="&amp;TODAY()-WEEKDAY(TODAY(),2)+1,tbl_chests[datetime],"&lt;"&amp;TODAY()-WEEKDAY(TODAY(),2)+8)))</f>
        <v>0</v>
      </c>
      <c r="J129" s="36">
        <f ca="1">IF($A129="","",IF(J$1="","",COUNTIFS(tbl_chests[from],$A129,tbl_chests[legalized],J$1,tbl_chests[datetime],"&gt;="&amp;TODAY()-WEEKDAY(TODAY(),2)+1,tbl_chests[datetime],"&lt;"&amp;TODAY()-WEEKDAY(TODAY(),2)+8)))</f>
        <v>0</v>
      </c>
      <c r="K129" s="36">
        <f ca="1">IF($A129="","",IF(K$1="","",COUNTIFS(tbl_chests[from],$A129,tbl_chests[legalized],K$1,tbl_chests[datetime],"&gt;="&amp;TODAY()-WEEKDAY(TODAY(),2)+1,tbl_chests[datetime],"&lt;"&amp;TODAY()-WEEKDAY(TODAY(),2)+8)))</f>
        <v>0</v>
      </c>
      <c r="L129" s="36">
        <f ca="1">IF($A129="","",IF(L$1="","",COUNTIFS(tbl_chests[from],$A129,tbl_chests[legalized],L$1,tbl_chests[datetime],"&gt;="&amp;TODAY()-WEEKDAY(TODAY(),2)+1,tbl_chests[datetime],"&lt;"&amp;TODAY()-WEEKDAY(TODAY(),2)+8)))</f>
        <v>0</v>
      </c>
      <c r="M129" s="36">
        <f ca="1">IF($A129="","",IF(M$1="","",COUNTIFS(tbl_chests[from],$A129,tbl_chests[legalized],M$1,tbl_chests[datetime],"&gt;="&amp;TODAY()-WEEKDAY(TODAY(),2)+1,tbl_chests[datetime],"&lt;"&amp;TODAY()-WEEKDAY(TODAY(),2)+8)))</f>
        <v>0</v>
      </c>
      <c r="N129" s="36">
        <f ca="1">IF($A129="","",IF(N$1="","",COUNTIFS(tbl_chests[from],$A129,tbl_chests[legalized],N$1,tbl_chests[datetime],"&gt;="&amp;TODAY()-WEEKDAY(TODAY(),2)+1,tbl_chests[datetime],"&lt;"&amp;TODAY()-WEEKDAY(TODAY(),2)+8)))</f>
        <v>0</v>
      </c>
      <c r="O129" s="36">
        <f ca="1">IF($A129="","",IF(O$1="","",COUNTIFS(tbl_chests[from],$A129,tbl_chests[legalized],O$1,tbl_chests[datetime],"&gt;="&amp;TODAY()-WEEKDAY(TODAY(),2)+1,tbl_chests[datetime],"&lt;"&amp;TODAY()-WEEKDAY(TODAY(),2)+8)))</f>
        <v>0</v>
      </c>
      <c r="P129" s="36">
        <f ca="1">IF($A129="","",IF(P$1="","",COUNTIFS(tbl_chests[from],$A129,tbl_chests[legalized],P$1,tbl_chests[datetime],"&gt;="&amp;TODAY()-WEEKDAY(TODAY(),2)+1,tbl_chests[datetime],"&lt;"&amp;TODAY()-WEEKDAY(TODAY(),2)+8)))</f>
        <v>0</v>
      </c>
      <c r="Q129" s="36">
        <f ca="1">IF($A129="","",IF(Q$1="","",COUNTIFS(tbl_chests[from],$A129,tbl_chests[legalized],Q$1,tbl_chests[datetime],"&gt;="&amp;TODAY()-WEEKDAY(TODAY(),2)+1,tbl_chests[datetime],"&lt;"&amp;TODAY()-WEEKDAY(TODAY(),2)+8)))</f>
        <v>0</v>
      </c>
      <c r="R129" s="36">
        <f ca="1">IF($A129="","",IF(R$1="","",COUNTIFS(tbl_chests[from],$A129,tbl_chests[legalized],R$1,tbl_chests[datetime],"&gt;="&amp;TODAY()-WEEKDAY(TODAY(),2)+1,tbl_chests[datetime],"&lt;"&amp;TODAY()-WEEKDAY(TODAY(),2)+8)))</f>
        <v>0</v>
      </c>
      <c r="S129" s="36">
        <f ca="1">IF($A129="","",IF(S$1="","",COUNTIFS(tbl_chests[from],$A129,tbl_chests[legalized],S$1,tbl_chests[datetime],"&gt;="&amp;TODAY()-WEEKDAY(TODAY(),2)+1,tbl_chests[datetime],"&lt;"&amp;TODAY()-WEEKDAY(TODAY(),2)+8)))</f>
        <v>0</v>
      </c>
      <c r="T129" s="36">
        <f ca="1">IF($A129="","",IF(T$1="","",COUNTIFS(tbl_chests[from],$A129,tbl_chests[legalized],T$1,tbl_chests[datetime],"&gt;="&amp;TODAY()-WEEKDAY(TODAY(),2)+1,tbl_chests[datetime],"&lt;"&amp;TODAY()-WEEKDAY(TODAY(),2)+8)))</f>
        <v>0</v>
      </c>
      <c r="U129" s="36">
        <f ca="1">IF($A129="","",IF(U$1="","",COUNTIFS(tbl_chests[from],$A129,tbl_chests[legalized],U$1,tbl_chests[datetime],"&gt;="&amp;TODAY()-WEEKDAY(TODAY(),2)+1,tbl_chests[datetime],"&lt;"&amp;TODAY()-WEEKDAY(TODAY(),2)+8)))</f>
        <v>0</v>
      </c>
      <c r="V129" s="36">
        <f ca="1">IF($A129="","",IF(V$1="","",COUNTIFS(tbl_chests[from],$A129,tbl_chests[legalized],V$1,tbl_chests[datetime],"&gt;="&amp;TODAY()-WEEKDAY(TODAY(),2)+1,tbl_chests[datetime],"&lt;"&amp;TODAY()-WEEKDAY(TODAY(),2)+8)))</f>
        <v>0</v>
      </c>
      <c r="W129" s="36">
        <f ca="1">IF($A129="","",IF(W$1="","",COUNTIFS(tbl_chests[from],$A129,tbl_chests[legalized],W$1,tbl_chests[datetime],"&gt;="&amp;TODAY()-WEEKDAY(TODAY(),2)+1,tbl_chests[datetime],"&lt;"&amp;TODAY()-WEEKDAY(TODAY(),2)+8)))</f>
        <v>0</v>
      </c>
      <c r="X129" s="36">
        <f ca="1">IF($A129="","",IF(X$1="","",COUNTIFS(tbl_chests[from],$A129,tbl_chests[legalized],X$1,tbl_chests[datetime],"&gt;="&amp;TODAY()-WEEKDAY(TODAY(),2)+1,tbl_chests[datetime],"&lt;"&amp;TODAY()-WEEKDAY(TODAY(),2)+8)))</f>
        <v>0</v>
      </c>
      <c r="Y129" s="36">
        <f ca="1">IF($A129="","",IF(Y$1="","",COUNTIFS(tbl_chests[from],$A129,tbl_chests[legalized],Y$1,tbl_chests[datetime],"&gt;="&amp;TODAY()-WEEKDAY(TODAY(),2)+1,tbl_chests[datetime],"&lt;"&amp;TODAY()-WEEKDAY(TODAY(),2)+8)))</f>
        <v>0</v>
      </c>
      <c r="Z129" s="36">
        <f ca="1">IF($A129="","",IF(Z$1="","",COUNTIFS(tbl_chests[from],$A129,tbl_chests[legalized],Z$1,tbl_chests[datetime],"&gt;="&amp;TODAY()-WEEKDAY(TODAY(),2)+1,tbl_chests[datetime],"&lt;"&amp;TODAY()-WEEKDAY(TODAY(),2)+8)))</f>
        <v>0</v>
      </c>
      <c r="AA129" s="36">
        <f ca="1">IF($A129="","",IF(AA$1="","",COUNTIFS(tbl_chests[from],$A129,tbl_chests[legalized],AA$1,tbl_chests[datetime],"&gt;="&amp;TODAY()-WEEKDAY(TODAY(),2)+1,tbl_chests[datetime],"&lt;"&amp;TODAY()-WEEKDAY(TODAY(),2)+8)))</f>
        <v>0</v>
      </c>
      <c r="AB129" s="36">
        <f ca="1">IF($A129="","",IF(AB$1="","",COUNTIFS(tbl_chests[from],$A129,tbl_chests[legalized],AB$1,tbl_chests[datetime],"&gt;="&amp;TODAY()-WEEKDAY(TODAY(),2)+1,tbl_chests[datetime],"&lt;"&amp;TODAY()-WEEKDAY(TODAY(),2)+8)))</f>
        <v>0</v>
      </c>
      <c r="AC129" s="36">
        <f ca="1">IF($A129="","",IF(AC$1="","",COUNTIFS(tbl_chests[from],$A129,tbl_chests[legalized],AC$1,tbl_chests[datetime],"&gt;="&amp;TODAY()-WEEKDAY(TODAY(),2)+1,tbl_chests[datetime],"&lt;"&amp;TODAY()-WEEKDAY(TODAY(),2)+8)))</f>
        <v>0</v>
      </c>
      <c r="AD129" s="36">
        <f ca="1">IF($A129="","",IF(AD$1="","",COUNTIFS(tbl_chests[from],$A129,tbl_chests[legalized],AD$1,tbl_chests[datetime],"&gt;="&amp;TODAY()-WEEKDAY(TODAY(),2)+1,tbl_chests[datetime],"&lt;"&amp;TODAY()-WEEKDAY(TODAY(),2)+8)))</f>
        <v>0</v>
      </c>
      <c r="AE129" s="36">
        <f ca="1">IF($A129="","",IF(AE$1="","",COUNTIFS(tbl_chests[from],$A129,tbl_chests[legalized],AE$1,tbl_chests[datetime],"&gt;="&amp;TODAY()-WEEKDAY(TODAY(),2)+1,tbl_chests[datetime],"&lt;"&amp;TODAY()-WEEKDAY(TODAY(),2)+8)))</f>
        <v>0</v>
      </c>
      <c r="AF129" s="36">
        <f ca="1">IF($A129="","",IF(AF$1="","",COUNTIFS(tbl_chests[from],$A129,tbl_chests[legalized],AF$1,tbl_chests[datetime],"&gt;="&amp;TODAY()-WEEKDAY(TODAY(),2)+1,tbl_chests[datetime],"&lt;"&amp;TODAY()-WEEKDAY(TODAY(),2)+8)))</f>
        <v>0</v>
      </c>
      <c r="AG129" s="36">
        <f ca="1">IF($A129="","",IF(AG$1="","",COUNTIFS(tbl_chests[from],$A129,tbl_chests[legalized],AG$1,tbl_chests[datetime],"&gt;="&amp;TODAY()-WEEKDAY(TODAY(),2)+1,tbl_chests[datetime],"&lt;"&amp;TODAY()-WEEKDAY(TODAY(),2)+8)))</f>
        <v>0</v>
      </c>
      <c r="AH129" s="36">
        <f ca="1">IF($A129="","",IF(AH$1="","",COUNTIFS(tbl_chests[from],$A129,tbl_chests[legalized],AH$1,tbl_chests[datetime],"&gt;="&amp;TODAY()-WEEKDAY(TODAY(),2)+1,tbl_chests[datetime],"&lt;"&amp;TODAY()-WEEKDAY(TODAY(),2)+8)))</f>
        <v>0</v>
      </c>
      <c r="AI129" s="36">
        <f ca="1">IF($A129="","",IF(AI$1="","",COUNTIFS(tbl_chests[from],$A129,tbl_chests[legalized],AI$1,tbl_chests[datetime],"&gt;="&amp;TODAY()-WEEKDAY(TODAY(),2)+1,tbl_chests[datetime],"&lt;"&amp;TODAY()-WEEKDAY(TODAY(),2)+8)))</f>
        <v>0</v>
      </c>
      <c r="AJ129" s="36">
        <f ca="1">IF($A129="","",IF(AJ$1="","",COUNTIFS(tbl_chests[from],$A129,tbl_chests[legalized],AJ$1,tbl_chests[datetime],"&gt;="&amp;TODAY()-WEEKDAY(TODAY(),2)+1,tbl_chests[datetime],"&lt;"&amp;TODAY()-WEEKDAY(TODAY(),2)+8)))</f>
        <v>0</v>
      </c>
      <c r="AK129" s="36">
        <f ca="1">IF($A129="","",IF(AK$1="","",COUNTIFS(tbl_chests[from],$A129,tbl_chests[legalized],AK$1,tbl_chests[datetime],"&gt;="&amp;TODAY()-WEEKDAY(TODAY(),2)+1,tbl_chests[datetime],"&lt;"&amp;TODAY()-WEEKDAY(TODAY(),2)+8)))</f>
        <v>0</v>
      </c>
      <c r="AL129" s="36">
        <f ca="1">IF($A129="","",IF(AL$1="","",COUNTIFS(tbl_chests[from],$A129,tbl_chests[legalized],AL$1,tbl_chests[datetime],"&gt;="&amp;TODAY()-WEEKDAY(TODAY(),2)+1,tbl_chests[datetime],"&lt;"&amp;TODAY()-WEEKDAY(TODAY(),2)+8)))</f>
        <v>0</v>
      </c>
      <c r="AM129" s="37">
        <f ca="1">IF($A129="","",IF(AM$1="","",COUNTIFS(tbl_chests[from],$A129,tbl_chests[legalized],AM$1,tbl_chests[datetime],"&gt;="&amp;TODAY()-WEEKDAY(TODAY(),2)+1,tbl_chests[datetime],"&lt;"&amp;TODAY()-WEEKDAY(TODAY(),2)+8)))</f>
        <v>0</v>
      </c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 spans="1:67" ht="15.75" customHeight="1" x14ac:dyDescent="0.25">
      <c r="A130" s="34">
        <f>chests_counter!$H127</f>
        <v>0</v>
      </c>
      <c r="B130" s="35" cm="1">
        <f t="array" aca="1" ref="B130" ca="1">IF(A130&lt;&gt;"", SUMPRODUCT(($C$2:$AM$2&lt;&gt;0)*(C130:AM130&lt;&gt;0)*($C$2:$AM$2)*(C130:AM130)), "")</f>
        <v>0</v>
      </c>
      <c r="C130" s="36">
        <f ca="1">IF($A130="","",IF(C$1="","",COUNTIFS(tbl_chests[from],$A130,tbl_chests[legalized],C$1,tbl_chests[datetime],"&gt;="&amp;TODAY()-WEEKDAY(TODAY(),2)+1,tbl_chests[datetime],"&lt;"&amp;TODAY()-WEEKDAY(TODAY(),2)+8)))</f>
        <v>0</v>
      </c>
      <c r="D130" s="36">
        <f ca="1">IF($A130="","",IF(D$1="","",COUNTIFS(tbl_chests[from],$A130,tbl_chests[legalized],D$1,tbl_chests[datetime],"&gt;="&amp;TODAY()-WEEKDAY(TODAY(),2)+1,tbl_chests[datetime],"&lt;"&amp;TODAY()-WEEKDAY(TODAY(),2)+8)))</f>
        <v>0</v>
      </c>
      <c r="E130" s="36">
        <f ca="1">IF($A130="","",IF(E$1="","",COUNTIFS(tbl_chests[from],$A130,tbl_chests[legalized],E$1,tbl_chests[datetime],"&gt;="&amp;TODAY()-WEEKDAY(TODAY(),2)+1,tbl_chests[datetime],"&lt;"&amp;TODAY()-WEEKDAY(TODAY(),2)+8)))</f>
        <v>0</v>
      </c>
      <c r="F130" s="36">
        <f ca="1">IF($A130="","",IF(F$1="","",COUNTIFS(tbl_chests[from],$A130,tbl_chests[legalized],F$1,tbl_chests[datetime],"&gt;="&amp;TODAY()-WEEKDAY(TODAY(),2)+1,tbl_chests[datetime],"&lt;"&amp;TODAY()-WEEKDAY(TODAY(),2)+8)))</f>
        <v>0</v>
      </c>
      <c r="G130" s="36">
        <f ca="1">IF($A130="","",IF(G$1="","",COUNTIFS(tbl_chests[from],$A130,tbl_chests[legalized],G$1,tbl_chests[datetime],"&gt;="&amp;TODAY()-WEEKDAY(TODAY(),2)+1,tbl_chests[datetime],"&lt;"&amp;TODAY()-WEEKDAY(TODAY(),2)+8)))</f>
        <v>0</v>
      </c>
      <c r="H130" s="36">
        <f ca="1">IF($A130="","",IF(H$1="","",COUNTIFS(tbl_chests[from],$A130,tbl_chests[legalized],H$1,tbl_chests[datetime],"&gt;="&amp;TODAY()-WEEKDAY(TODAY(),2)+1,tbl_chests[datetime],"&lt;"&amp;TODAY()-WEEKDAY(TODAY(),2)+8)))</f>
        <v>0</v>
      </c>
      <c r="I130" s="36">
        <f ca="1">IF($A130="","",IF(I$1="","",COUNTIFS(tbl_chests[from],$A130,tbl_chests[legalized],I$1,tbl_chests[datetime],"&gt;="&amp;TODAY()-WEEKDAY(TODAY(),2)+1,tbl_chests[datetime],"&lt;"&amp;TODAY()-WEEKDAY(TODAY(),2)+8)))</f>
        <v>0</v>
      </c>
      <c r="J130" s="36">
        <f ca="1">IF($A130="","",IF(J$1="","",COUNTIFS(tbl_chests[from],$A130,tbl_chests[legalized],J$1,tbl_chests[datetime],"&gt;="&amp;TODAY()-WEEKDAY(TODAY(),2)+1,tbl_chests[datetime],"&lt;"&amp;TODAY()-WEEKDAY(TODAY(),2)+8)))</f>
        <v>0</v>
      </c>
      <c r="K130" s="36">
        <f ca="1">IF($A130="","",IF(K$1="","",COUNTIFS(tbl_chests[from],$A130,tbl_chests[legalized],K$1,tbl_chests[datetime],"&gt;="&amp;TODAY()-WEEKDAY(TODAY(),2)+1,tbl_chests[datetime],"&lt;"&amp;TODAY()-WEEKDAY(TODAY(),2)+8)))</f>
        <v>0</v>
      </c>
      <c r="L130" s="36">
        <f ca="1">IF($A130="","",IF(L$1="","",COUNTIFS(tbl_chests[from],$A130,tbl_chests[legalized],L$1,tbl_chests[datetime],"&gt;="&amp;TODAY()-WEEKDAY(TODAY(),2)+1,tbl_chests[datetime],"&lt;"&amp;TODAY()-WEEKDAY(TODAY(),2)+8)))</f>
        <v>0</v>
      </c>
      <c r="M130" s="36">
        <f ca="1">IF($A130="","",IF(M$1="","",COUNTIFS(tbl_chests[from],$A130,tbl_chests[legalized],M$1,tbl_chests[datetime],"&gt;="&amp;TODAY()-WEEKDAY(TODAY(),2)+1,tbl_chests[datetime],"&lt;"&amp;TODAY()-WEEKDAY(TODAY(),2)+8)))</f>
        <v>0</v>
      </c>
      <c r="N130" s="36">
        <f ca="1">IF($A130="","",IF(N$1="","",COUNTIFS(tbl_chests[from],$A130,tbl_chests[legalized],N$1,tbl_chests[datetime],"&gt;="&amp;TODAY()-WEEKDAY(TODAY(),2)+1,tbl_chests[datetime],"&lt;"&amp;TODAY()-WEEKDAY(TODAY(),2)+8)))</f>
        <v>0</v>
      </c>
      <c r="O130" s="36">
        <f ca="1">IF($A130="","",IF(O$1="","",COUNTIFS(tbl_chests[from],$A130,tbl_chests[legalized],O$1,tbl_chests[datetime],"&gt;="&amp;TODAY()-WEEKDAY(TODAY(),2)+1,tbl_chests[datetime],"&lt;"&amp;TODAY()-WEEKDAY(TODAY(),2)+8)))</f>
        <v>0</v>
      </c>
      <c r="P130" s="36">
        <f ca="1">IF($A130="","",IF(P$1="","",COUNTIFS(tbl_chests[from],$A130,tbl_chests[legalized],P$1,tbl_chests[datetime],"&gt;="&amp;TODAY()-WEEKDAY(TODAY(),2)+1,tbl_chests[datetime],"&lt;"&amp;TODAY()-WEEKDAY(TODAY(),2)+8)))</f>
        <v>0</v>
      </c>
      <c r="Q130" s="36">
        <f ca="1">IF($A130="","",IF(Q$1="","",COUNTIFS(tbl_chests[from],$A130,tbl_chests[legalized],Q$1,tbl_chests[datetime],"&gt;="&amp;TODAY()-WEEKDAY(TODAY(),2)+1,tbl_chests[datetime],"&lt;"&amp;TODAY()-WEEKDAY(TODAY(),2)+8)))</f>
        <v>0</v>
      </c>
      <c r="R130" s="36">
        <f ca="1">IF($A130="","",IF(R$1="","",COUNTIFS(tbl_chests[from],$A130,tbl_chests[legalized],R$1,tbl_chests[datetime],"&gt;="&amp;TODAY()-WEEKDAY(TODAY(),2)+1,tbl_chests[datetime],"&lt;"&amp;TODAY()-WEEKDAY(TODAY(),2)+8)))</f>
        <v>0</v>
      </c>
      <c r="S130" s="36">
        <f ca="1">IF($A130="","",IF(S$1="","",COUNTIFS(tbl_chests[from],$A130,tbl_chests[legalized],S$1,tbl_chests[datetime],"&gt;="&amp;TODAY()-WEEKDAY(TODAY(),2)+1,tbl_chests[datetime],"&lt;"&amp;TODAY()-WEEKDAY(TODAY(),2)+8)))</f>
        <v>0</v>
      </c>
      <c r="T130" s="36">
        <f ca="1">IF($A130="","",IF(T$1="","",COUNTIFS(tbl_chests[from],$A130,tbl_chests[legalized],T$1,tbl_chests[datetime],"&gt;="&amp;TODAY()-WEEKDAY(TODAY(),2)+1,tbl_chests[datetime],"&lt;"&amp;TODAY()-WEEKDAY(TODAY(),2)+8)))</f>
        <v>0</v>
      </c>
      <c r="U130" s="36">
        <f ca="1">IF($A130="","",IF(U$1="","",COUNTIFS(tbl_chests[from],$A130,tbl_chests[legalized],U$1,tbl_chests[datetime],"&gt;="&amp;TODAY()-WEEKDAY(TODAY(),2)+1,tbl_chests[datetime],"&lt;"&amp;TODAY()-WEEKDAY(TODAY(),2)+8)))</f>
        <v>0</v>
      </c>
      <c r="V130" s="36">
        <f ca="1">IF($A130="","",IF(V$1="","",COUNTIFS(tbl_chests[from],$A130,tbl_chests[legalized],V$1,tbl_chests[datetime],"&gt;="&amp;TODAY()-WEEKDAY(TODAY(),2)+1,tbl_chests[datetime],"&lt;"&amp;TODAY()-WEEKDAY(TODAY(),2)+8)))</f>
        <v>0</v>
      </c>
      <c r="W130" s="36">
        <f ca="1">IF($A130="","",IF(W$1="","",COUNTIFS(tbl_chests[from],$A130,tbl_chests[legalized],W$1,tbl_chests[datetime],"&gt;="&amp;TODAY()-WEEKDAY(TODAY(),2)+1,tbl_chests[datetime],"&lt;"&amp;TODAY()-WEEKDAY(TODAY(),2)+8)))</f>
        <v>0</v>
      </c>
      <c r="X130" s="36">
        <f ca="1">IF($A130="","",IF(X$1="","",COUNTIFS(tbl_chests[from],$A130,tbl_chests[legalized],X$1,tbl_chests[datetime],"&gt;="&amp;TODAY()-WEEKDAY(TODAY(),2)+1,tbl_chests[datetime],"&lt;"&amp;TODAY()-WEEKDAY(TODAY(),2)+8)))</f>
        <v>0</v>
      </c>
      <c r="Y130" s="36">
        <f ca="1">IF($A130="","",IF(Y$1="","",COUNTIFS(tbl_chests[from],$A130,tbl_chests[legalized],Y$1,tbl_chests[datetime],"&gt;="&amp;TODAY()-WEEKDAY(TODAY(),2)+1,tbl_chests[datetime],"&lt;"&amp;TODAY()-WEEKDAY(TODAY(),2)+8)))</f>
        <v>0</v>
      </c>
      <c r="Z130" s="36">
        <f ca="1">IF($A130="","",IF(Z$1="","",COUNTIFS(tbl_chests[from],$A130,tbl_chests[legalized],Z$1,tbl_chests[datetime],"&gt;="&amp;TODAY()-WEEKDAY(TODAY(),2)+1,tbl_chests[datetime],"&lt;"&amp;TODAY()-WEEKDAY(TODAY(),2)+8)))</f>
        <v>0</v>
      </c>
      <c r="AA130" s="36">
        <f ca="1">IF($A130="","",IF(AA$1="","",COUNTIFS(tbl_chests[from],$A130,tbl_chests[legalized],AA$1,tbl_chests[datetime],"&gt;="&amp;TODAY()-WEEKDAY(TODAY(),2)+1,tbl_chests[datetime],"&lt;"&amp;TODAY()-WEEKDAY(TODAY(),2)+8)))</f>
        <v>0</v>
      </c>
      <c r="AB130" s="36">
        <f ca="1">IF($A130="","",IF(AB$1="","",COUNTIFS(tbl_chests[from],$A130,tbl_chests[legalized],AB$1,tbl_chests[datetime],"&gt;="&amp;TODAY()-WEEKDAY(TODAY(),2)+1,tbl_chests[datetime],"&lt;"&amp;TODAY()-WEEKDAY(TODAY(),2)+8)))</f>
        <v>0</v>
      </c>
      <c r="AC130" s="36">
        <f ca="1">IF($A130="","",IF(AC$1="","",COUNTIFS(tbl_chests[from],$A130,tbl_chests[legalized],AC$1,tbl_chests[datetime],"&gt;="&amp;TODAY()-WEEKDAY(TODAY(),2)+1,tbl_chests[datetime],"&lt;"&amp;TODAY()-WEEKDAY(TODAY(),2)+8)))</f>
        <v>0</v>
      </c>
      <c r="AD130" s="36">
        <f ca="1">IF($A130="","",IF(AD$1="","",COUNTIFS(tbl_chests[from],$A130,tbl_chests[legalized],AD$1,tbl_chests[datetime],"&gt;="&amp;TODAY()-WEEKDAY(TODAY(),2)+1,tbl_chests[datetime],"&lt;"&amp;TODAY()-WEEKDAY(TODAY(),2)+8)))</f>
        <v>0</v>
      </c>
      <c r="AE130" s="36">
        <f ca="1">IF($A130="","",IF(AE$1="","",COUNTIFS(tbl_chests[from],$A130,tbl_chests[legalized],AE$1,tbl_chests[datetime],"&gt;="&amp;TODAY()-WEEKDAY(TODAY(),2)+1,tbl_chests[datetime],"&lt;"&amp;TODAY()-WEEKDAY(TODAY(),2)+8)))</f>
        <v>0</v>
      </c>
      <c r="AF130" s="36">
        <f ca="1">IF($A130="","",IF(AF$1="","",COUNTIFS(tbl_chests[from],$A130,tbl_chests[legalized],AF$1,tbl_chests[datetime],"&gt;="&amp;TODAY()-WEEKDAY(TODAY(),2)+1,tbl_chests[datetime],"&lt;"&amp;TODAY()-WEEKDAY(TODAY(),2)+8)))</f>
        <v>0</v>
      </c>
      <c r="AG130" s="36">
        <f ca="1">IF($A130="","",IF(AG$1="","",COUNTIFS(tbl_chests[from],$A130,tbl_chests[legalized],AG$1,tbl_chests[datetime],"&gt;="&amp;TODAY()-WEEKDAY(TODAY(),2)+1,tbl_chests[datetime],"&lt;"&amp;TODAY()-WEEKDAY(TODAY(),2)+8)))</f>
        <v>0</v>
      </c>
      <c r="AH130" s="36">
        <f ca="1">IF($A130="","",IF(AH$1="","",COUNTIFS(tbl_chests[from],$A130,tbl_chests[legalized],AH$1,tbl_chests[datetime],"&gt;="&amp;TODAY()-WEEKDAY(TODAY(),2)+1,tbl_chests[datetime],"&lt;"&amp;TODAY()-WEEKDAY(TODAY(),2)+8)))</f>
        <v>0</v>
      </c>
      <c r="AI130" s="36">
        <f ca="1">IF($A130="","",IF(AI$1="","",COUNTIFS(tbl_chests[from],$A130,tbl_chests[legalized],AI$1,tbl_chests[datetime],"&gt;="&amp;TODAY()-WEEKDAY(TODAY(),2)+1,tbl_chests[datetime],"&lt;"&amp;TODAY()-WEEKDAY(TODAY(),2)+8)))</f>
        <v>0</v>
      </c>
      <c r="AJ130" s="36">
        <f ca="1">IF($A130="","",IF(AJ$1="","",COUNTIFS(tbl_chests[from],$A130,tbl_chests[legalized],AJ$1,tbl_chests[datetime],"&gt;="&amp;TODAY()-WEEKDAY(TODAY(),2)+1,tbl_chests[datetime],"&lt;"&amp;TODAY()-WEEKDAY(TODAY(),2)+8)))</f>
        <v>0</v>
      </c>
      <c r="AK130" s="36">
        <f ca="1">IF($A130="","",IF(AK$1="","",COUNTIFS(tbl_chests[from],$A130,tbl_chests[legalized],AK$1,tbl_chests[datetime],"&gt;="&amp;TODAY()-WEEKDAY(TODAY(),2)+1,tbl_chests[datetime],"&lt;"&amp;TODAY()-WEEKDAY(TODAY(),2)+8)))</f>
        <v>0</v>
      </c>
      <c r="AL130" s="36">
        <f ca="1">IF($A130="","",IF(AL$1="","",COUNTIFS(tbl_chests[from],$A130,tbl_chests[legalized],AL$1,tbl_chests[datetime],"&gt;="&amp;TODAY()-WEEKDAY(TODAY(),2)+1,tbl_chests[datetime],"&lt;"&amp;TODAY()-WEEKDAY(TODAY(),2)+8)))</f>
        <v>0</v>
      </c>
      <c r="AM130" s="37">
        <f ca="1">IF($A130="","",IF(AM$1="","",COUNTIFS(tbl_chests[from],$A130,tbl_chests[legalized],AM$1,tbl_chests[datetime],"&gt;="&amp;TODAY()-WEEKDAY(TODAY(),2)+1,tbl_chests[datetime],"&lt;"&amp;TODAY()-WEEKDAY(TODAY(),2)+8)))</f>
        <v>0</v>
      </c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 spans="1:67" ht="15.75" customHeight="1" x14ac:dyDescent="0.25">
      <c r="A131" s="34">
        <f>chests_counter!$H128</f>
        <v>0</v>
      </c>
      <c r="B131" s="35" cm="1">
        <f t="array" aca="1" ref="B131" ca="1">IF(A131&lt;&gt;"", SUMPRODUCT(($C$2:$AM$2&lt;&gt;0)*(C131:AM131&lt;&gt;0)*($C$2:$AM$2)*(C131:AM131)), "")</f>
        <v>0</v>
      </c>
      <c r="C131" s="36">
        <f ca="1">IF($A131="","",IF(C$1="","",COUNTIFS(tbl_chests[from],$A131,tbl_chests[legalized],C$1,tbl_chests[datetime],"&gt;="&amp;TODAY()-WEEKDAY(TODAY(),2)+1,tbl_chests[datetime],"&lt;"&amp;TODAY()-WEEKDAY(TODAY(),2)+8)))</f>
        <v>0</v>
      </c>
      <c r="D131" s="36">
        <f ca="1">IF($A131="","",IF(D$1="","",COUNTIFS(tbl_chests[from],$A131,tbl_chests[legalized],D$1,tbl_chests[datetime],"&gt;="&amp;TODAY()-WEEKDAY(TODAY(),2)+1,tbl_chests[datetime],"&lt;"&amp;TODAY()-WEEKDAY(TODAY(),2)+8)))</f>
        <v>0</v>
      </c>
      <c r="E131" s="36">
        <f ca="1">IF($A131="","",IF(E$1="","",COUNTIFS(tbl_chests[from],$A131,tbl_chests[legalized],E$1,tbl_chests[datetime],"&gt;="&amp;TODAY()-WEEKDAY(TODAY(),2)+1,tbl_chests[datetime],"&lt;"&amp;TODAY()-WEEKDAY(TODAY(),2)+8)))</f>
        <v>0</v>
      </c>
      <c r="F131" s="36">
        <f ca="1">IF($A131="","",IF(F$1="","",COUNTIFS(tbl_chests[from],$A131,tbl_chests[legalized],F$1,tbl_chests[datetime],"&gt;="&amp;TODAY()-WEEKDAY(TODAY(),2)+1,tbl_chests[datetime],"&lt;"&amp;TODAY()-WEEKDAY(TODAY(),2)+8)))</f>
        <v>0</v>
      </c>
      <c r="G131" s="36">
        <f ca="1">IF($A131="","",IF(G$1="","",COUNTIFS(tbl_chests[from],$A131,tbl_chests[legalized],G$1,tbl_chests[datetime],"&gt;="&amp;TODAY()-WEEKDAY(TODAY(),2)+1,tbl_chests[datetime],"&lt;"&amp;TODAY()-WEEKDAY(TODAY(),2)+8)))</f>
        <v>0</v>
      </c>
      <c r="H131" s="36">
        <f ca="1">IF($A131="","",IF(H$1="","",COUNTIFS(tbl_chests[from],$A131,tbl_chests[legalized],H$1,tbl_chests[datetime],"&gt;="&amp;TODAY()-WEEKDAY(TODAY(),2)+1,tbl_chests[datetime],"&lt;"&amp;TODAY()-WEEKDAY(TODAY(),2)+8)))</f>
        <v>0</v>
      </c>
      <c r="I131" s="36">
        <f ca="1">IF($A131="","",IF(I$1="","",COUNTIFS(tbl_chests[from],$A131,tbl_chests[legalized],I$1,tbl_chests[datetime],"&gt;="&amp;TODAY()-WEEKDAY(TODAY(),2)+1,tbl_chests[datetime],"&lt;"&amp;TODAY()-WEEKDAY(TODAY(),2)+8)))</f>
        <v>0</v>
      </c>
      <c r="J131" s="36">
        <f ca="1">IF($A131="","",IF(J$1="","",COUNTIFS(tbl_chests[from],$A131,tbl_chests[legalized],J$1,tbl_chests[datetime],"&gt;="&amp;TODAY()-WEEKDAY(TODAY(),2)+1,tbl_chests[datetime],"&lt;"&amp;TODAY()-WEEKDAY(TODAY(),2)+8)))</f>
        <v>0</v>
      </c>
      <c r="K131" s="36">
        <f ca="1">IF($A131="","",IF(K$1="","",COUNTIFS(tbl_chests[from],$A131,tbl_chests[legalized],K$1,tbl_chests[datetime],"&gt;="&amp;TODAY()-WEEKDAY(TODAY(),2)+1,tbl_chests[datetime],"&lt;"&amp;TODAY()-WEEKDAY(TODAY(),2)+8)))</f>
        <v>0</v>
      </c>
      <c r="L131" s="36">
        <f ca="1">IF($A131="","",IF(L$1="","",COUNTIFS(tbl_chests[from],$A131,tbl_chests[legalized],L$1,tbl_chests[datetime],"&gt;="&amp;TODAY()-WEEKDAY(TODAY(),2)+1,tbl_chests[datetime],"&lt;"&amp;TODAY()-WEEKDAY(TODAY(),2)+8)))</f>
        <v>0</v>
      </c>
      <c r="M131" s="36">
        <f ca="1">IF($A131="","",IF(M$1="","",COUNTIFS(tbl_chests[from],$A131,tbl_chests[legalized],M$1,tbl_chests[datetime],"&gt;="&amp;TODAY()-WEEKDAY(TODAY(),2)+1,tbl_chests[datetime],"&lt;"&amp;TODAY()-WEEKDAY(TODAY(),2)+8)))</f>
        <v>0</v>
      </c>
      <c r="N131" s="36">
        <f ca="1">IF($A131="","",IF(N$1="","",COUNTIFS(tbl_chests[from],$A131,tbl_chests[legalized],N$1,tbl_chests[datetime],"&gt;="&amp;TODAY()-WEEKDAY(TODAY(),2)+1,tbl_chests[datetime],"&lt;"&amp;TODAY()-WEEKDAY(TODAY(),2)+8)))</f>
        <v>0</v>
      </c>
      <c r="O131" s="36">
        <f ca="1">IF($A131="","",IF(O$1="","",COUNTIFS(tbl_chests[from],$A131,tbl_chests[legalized],O$1,tbl_chests[datetime],"&gt;="&amp;TODAY()-WEEKDAY(TODAY(),2)+1,tbl_chests[datetime],"&lt;"&amp;TODAY()-WEEKDAY(TODAY(),2)+8)))</f>
        <v>0</v>
      </c>
      <c r="P131" s="36">
        <f ca="1">IF($A131="","",IF(P$1="","",COUNTIFS(tbl_chests[from],$A131,tbl_chests[legalized],P$1,tbl_chests[datetime],"&gt;="&amp;TODAY()-WEEKDAY(TODAY(),2)+1,tbl_chests[datetime],"&lt;"&amp;TODAY()-WEEKDAY(TODAY(),2)+8)))</f>
        <v>0</v>
      </c>
      <c r="Q131" s="36">
        <f ca="1">IF($A131="","",IF(Q$1="","",COUNTIFS(tbl_chests[from],$A131,tbl_chests[legalized],Q$1,tbl_chests[datetime],"&gt;="&amp;TODAY()-WEEKDAY(TODAY(),2)+1,tbl_chests[datetime],"&lt;"&amp;TODAY()-WEEKDAY(TODAY(),2)+8)))</f>
        <v>0</v>
      </c>
      <c r="R131" s="36">
        <f ca="1">IF($A131="","",IF(R$1="","",COUNTIFS(tbl_chests[from],$A131,tbl_chests[legalized],R$1,tbl_chests[datetime],"&gt;="&amp;TODAY()-WEEKDAY(TODAY(),2)+1,tbl_chests[datetime],"&lt;"&amp;TODAY()-WEEKDAY(TODAY(),2)+8)))</f>
        <v>0</v>
      </c>
      <c r="S131" s="36">
        <f ca="1">IF($A131="","",IF(S$1="","",COUNTIFS(tbl_chests[from],$A131,tbl_chests[legalized],S$1,tbl_chests[datetime],"&gt;="&amp;TODAY()-WEEKDAY(TODAY(),2)+1,tbl_chests[datetime],"&lt;"&amp;TODAY()-WEEKDAY(TODAY(),2)+8)))</f>
        <v>0</v>
      </c>
      <c r="T131" s="36">
        <f ca="1">IF($A131="","",IF(T$1="","",COUNTIFS(tbl_chests[from],$A131,tbl_chests[legalized],T$1,tbl_chests[datetime],"&gt;="&amp;TODAY()-WEEKDAY(TODAY(),2)+1,tbl_chests[datetime],"&lt;"&amp;TODAY()-WEEKDAY(TODAY(),2)+8)))</f>
        <v>0</v>
      </c>
      <c r="U131" s="36">
        <f ca="1">IF($A131="","",IF(U$1="","",COUNTIFS(tbl_chests[from],$A131,tbl_chests[legalized],U$1,tbl_chests[datetime],"&gt;="&amp;TODAY()-WEEKDAY(TODAY(),2)+1,tbl_chests[datetime],"&lt;"&amp;TODAY()-WEEKDAY(TODAY(),2)+8)))</f>
        <v>0</v>
      </c>
      <c r="V131" s="36">
        <f ca="1">IF($A131="","",IF(V$1="","",COUNTIFS(tbl_chests[from],$A131,tbl_chests[legalized],V$1,tbl_chests[datetime],"&gt;="&amp;TODAY()-WEEKDAY(TODAY(),2)+1,tbl_chests[datetime],"&lt;"&amp;TODAY()-WEEKDAY(TODAY(),2)+8)))</f>
        <v>0</v>
      </c>
      <c r="W131" s="36">
        <f ca="1">IF($A131="","",IF(W$1="","",COUNTIFS(tbl_chests[from],$A131,tbl_chests[legalized],W$1,tbl_chests[datetime],"&gt;="&amp;TODAY()-WEEKDAY(TODAY(),2)+1,tbl_chests[datetime],"&lt;"&amp;TODAY()-WEEKDAY(TODAY(),2)+8)))</f>
        <v>0</v>
      </c>
      <c r="X131" s="36">
        <f ca="1">IF($A131="","",IF(X$1="","",COUNTIFS(tbl_chests[from],$A131,tbl_chests[legalized],X$1,tbl_chests[datetime],"&gt;="&amp;TODAY()-WEEKDAY(TODAY(),2)+1,tbl_chests[datetime],"&lt;"&amp;TODAY()-WEEKDAY(TODAY(),2)+8)))</f>
        <v>0</v>
      </c>
      <c r="Y131" s="36">
        <f ca="1">IF($A131="","",IF(Y$1="","",COUNTIFS(tbl_chests[from],$A131,tbl_chests[legalized],Y$1,tbl_chests[datetime],"&gt;="&amp;TODAY()-WEEKDAY(TODAY(),2)+1,tbl_chests[datetime],"&lt;"&amp;TODAY()-WEEKDAY(TODAY(),2)+8)))</f>
        <v>0</v>
      </c>
      <c r="Z131" s="36">
        <f ca="1">IF($A131="","",IF(Z$1="","",COUNTIFS(tbl_chests[from],$A131,tbl_chests[legalized],Z$1,tbl_chests[datetime],"&gt;="&amp;TODAY()-WEEKDAY(TODAY(),2)+1,tbl_chests[datetime],"&lt;"&amp;TODAY()-WEEKDAY(TODAY(),2)+8)))</f>
        <v>0</v>
      </c>
      <c r="AA131" s="36">
        <f ca="1">IF($A131="","",IF(AA$1="","",COUNTIFS(tbl_chests[from],$A131,tbl_chests[legalized],AA$1,tbl_chests[datetime],"&gt;="&amp;TODAY()-WEEKDAY(TODAY(),2)+1,tbl_chests[datetime],"&lt;"&amp;TODAY()-WEEKDAY(TODAY(),2)+8)))</f>
        <v>0</v>
      </c>
      <c r="AB131" s="36">
        <f ca="1">IF($A131="","",IF(AB$1="","",COUNTIFS(tbl_chests[from],$A131,tbl_chests[legalized],AB$1,tbl_chests[datetime],"&gt;="&amp;TODAY()-WEEKDAY(TODAY(),2)+1,tbl_chests[datetime],"&lt;"&amp;TODAY()-WEEKDAY(TODAY(),2)+8)))</f>
        <v>0</v>
      </c>
      <c r="AC131" s="36">
        <f ca="1">IF($A131="","",IF(AC$1="","",COUNTIFS(tbl_chests[from],$A131,tbl_chests[legalized],AC$1,tbl_chests[datetime],"&gt;="&amp;TODAY()-WEEKDAY(TODAY(),2)+1,tbl_chests[datetime],"&lt;"&amp;TODAY()-WEEKDAY(TODAY(),2)+8)))</f>
        <v>0</v>
      </c>
      <c r="AD131" s="36">
        <f ca="1">IF($A131="","",IF(AD$1="","",COUNTIFS(tbl_chests[from],$A131,tbl_chests[legalized],AD$1,tbl_chests[datetime],"&gt;="&amp;TODAY()-WEEKDAY(TODAY(),2)+1,tbl_chests[datetime],"&lt;"&amp;TODAY()-WEEKDAY(TODAY(),2)+8)))</f>
        <v>0</v>
      </c>
      <c r="AE131" s="36">
        <f ca="1">IF($A131="","",IF(AE$1="","",COUNTIFS(tbl_chests[from],$A131,tbl_chests[legalized],AE$1,tbl_chests[datetime],"&gt;="&amp;TODAY()-WEEKDAY(TODAY(),2)+1,tbl_chests[datetime],"&lt;"&amp;TODAY()-WEEKDAY(TODAY(),2)+8)))</f>
        <v>0</v>
      </c>
      <c r="AF131" s="36">
        <f ca="1">IF($A131="","",IF(AF$1="","",COUNTIFS(tbl_chests[from],$A131,tbl_chests[legalized],AF$1,tbl_chests[datetime],"&gt;="&amp;TODAY()-WEEKDAY(TODAY(),2)+1,tbl_chests[datetime],"&lt;"&amp;TODAY()-WEEKDAY(TODAY(),2)+8)))</f>
        <v>0</v>
      </c>
      <c r="AG131" s="36">
        <f ca="1">IF($A131="","",IF(AG$1="","",COUNTIFS(tbl_chests[from],$A131,tbl_chests[legalized],AG$1,tbl_chests[datetime],"&gt;="&amp;TODAY()-WEEKDAY(TODAY(),2)+1,tbl_chests[datetime],"&lt;"&amp;TODAY()-WEEKDAY(TODAY(),2)+8)))</f>
        <v>0</v>
      </c>
      <c r="AH131" s="36">
        <f ca="1">IF($A131="","",IF(AH$1="","",COUNTIFS(tbl_chests[from],$A131,tbl_chests[legalized],AH$1,tbl_chests[datetime],"&gt;="&amp;TODAY()-WEEKDAY(TODAY(),2)+1,tbl_chests[datetime],"&lt;"&amp;TODAY()-WEEKDAY(TODAY(),2)+8)))</f>
        <v>0</v>
      </c>
      <c r="AI131" s="36">
        <f ca="1">IF($A131="","",IF(AI$1="","",COUNTIFS(tbl_chests[from],$A131,tbl_chests[legalized],AI$1,tbl_chests[datetime],"&gt;="&amp;TODAY()-WEEKDAY(TODAY(),2)+1,tbl_chests[datetime],"&lt;"&amp;TODAY()-WEEKDAY(TODAY(),2)+8)))</f>
        <v>0</v>
      </c>
      <c r="AJ131" s="36">
        <f ca="1">IF($A131="","",IF(AJ$1="","",COUNTIFS(tbl_chests[from],$A131,tbl_chests[legalized],AJ$1,tbl_chests[datetime],"&gt;="&amp;TODAY()-WEEKDAY(TODAY(),2)+1,tbl_chests[datetime],"&lt;"&amp;TODAY()-WEEKDAY(TODAY(),2)+8)))</f>
        <v>0</v>
      </c>
      <c r="AK131" s="36">
        <f ca="1">IF($A131="","",IF(AK$1="","",COUNTIFS(tbl_chests[from],$A131,tbl_chests[legalized],AK$1,tbl_chests[datetime],"&gt;="&amp;TODAY()-WEEKDAY(TODAY(),2)+1,tbl_chests[datetime],"&lt;"&amp;TODAY()-WEEKDAY(TODAY(),2)+8)))</f>
        <v>0</v>
      </c>
      <c r="AL131" s="36">
        <f ca="1">IF($A131="","",IF(AL$1="","",COUNTIFS(tbl_chests[from],$A131,tbl_chests[legalized],AL$1,tbl_chests[datetime],"&gt;="&amp;TODAY()-WEEKDAY(TODAY(),2)+1,tbl_chests[datetime],"&lt;"&amp;TODAY()-WEEKDAY(TODAY(),2)+8)))</f>
        <v>0</v>
      </c>
      <c r="AM131" s="37">
        <f ca="1">IF($A131="","",IF(AM$1="","",COUNTIFS(tbl_chests[from],$A131,tbl_chests[legalized],AM$1,tbl_chests[datetime],"&gt;="&amp;TODAY()-WEEKDAY(TODAY(),2)+1,tbl_chests[datetime],"&lt;"&amp;TODAY()-WEEKDAY(TODAY(),2)+8)))</f>
        <v>0</v>
      </c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 spans="1:67" ht="15.75" customHeight="1" x14ac:dyDescent="0.25">
      <c r="A132" s="34">
        <f>chests_counter!$H129</f>
        <v>0</v>
      </c>
      <c r="B132" s="35" cm="1">
        <f t="array" aca="1" ref="B132" ca="1">IF(A132&lt;&gt;"", SUMPRODUCT(($C$2:$AM$2&lt;&gt;0)*(C132:AM132&lt;&gt;0)*($C$2:$AM$2)*(C132:AM132)), "")</f>
        <v>0</v>
      </c>
      <c r="C132" s="36">
        <f ca="1">IF($A132="","",IF(C$1="","",COUNTIFS(tbl_chests[from],$A132,tbl_chests[legalized],C$1,tbl_chests[datetime],"&gt;="&amp;TODAY()-WEEKDAY(TODAY(),2)+1,tbl_chests[datetime],"&lt;"&amp;TODAY()-WEEKDAY(TODAY(),2)+8)))</f>
        <v>0</v>
      </c>
      <c r="D132" s="36">
        <f ca="1">IF($A132="","",IF(D$1="","",COUNTIFS(tbl_chests[from],$A132,tbl_chests[legalized],D$1,tbl_chests[datetime],"&gt;="&amp;TODAY()-WEEKDAY(TODAY(),2)+1,tbl_chests[datetime],"&lt;"&amp;TODAY()-WEEKDAY(TODAY(),2)+8)))</f>
        <v>0</v>
      </c>
      <c r="E132" s="36">
        <f ca="1">IF($A132="","",IF(E$1="","",COUNTIFS(tbl_chests[from],$A132,tbl_chests[legalized],E$1,tbl_chests[datetime],"&gt;="&amp;TODAY()-WEEKDAY(TODAY(),2)+1,tbl_chests[datetime],"&lt;"&amp;TODAY()-WEEKDAY(TODAY(),2)+8)))</f>
        <v>0</v>
      </c>
      <c r="F132" s="36">
        <f ca="1">IF($A132="","",IF(F$1="","",COUNTIFS(tbl_chests[from],$A132,tbl_chests[legalized],F$1,tbl_chests[datetime],"&gt;="&amp;TODAY()-WEEKDAY(TODAY(),2)+1,tbl_chests[datetime],"&lt;"&amp;TODAY()-WEEKDAY(TODAY(),2)+8)))</f>
        <v>0</v>
      </c>
      <c r="G132" s="36">
        <f ca="1">IF($A132="","",IF(G$1="","",COUNTIFS(tbl_chests[from],$A132,tbl_chests[legalized],G$1,tbl_chests[datetime],"&gt;="&amp;TODAY()-WEEKDAY(TODAY(),2)+1,tbl_chests[datetime],"&lt;"&amp;TODAY()-WEEKDAY(TODAY(),2)+8)))</f>
        <v>0</v>
      </c>
      <c r="H132" s="36">
        <f ca="1">IF($A132="","",IF(H$1="","",COUNTIFS(tbl_chests[from],$A132,tbl_chests[legalized],H$1,tbl_chests[datetime],"&gt;="&amp;TODAY()-WEEKDAY(TODAY(),2)+1,tbl_chests[datetime],"&lt;"&amp;TODAY()-WEEKDAY(TODAY(),2)+8)))</f>
        <v>0</v>
      </c>
      <c r="I132" s="36">
        <f ca="1">IF($A132="","",IF(I$1="","",COUNTIFS(tbl_chests[from],$A132,tbl_chests[legalized],I$1,tbl_chests[datetime],"&gt;="&amp;TODAY()-WEEKDAY(TODAY(),2)+1,tbl_chests[datetime],"&lt;"&amp;TODAY()-WEEKDAY(TODAY(),2)+8)))</f>
        <v>0</v>
      </c>
      <c r="J132" s="36">
        <f ca="1">IF($A132="","",IF(J$1="","",COUNTIFS(tbl_chests[from],$A132,tbl_chests[legalized],J$1,tbl_chests[datetime],"&gt;="&amp;TODAY()-WEEKDAY(TODAY(),2)+1,tbl_chests[datetime],"&lt;"&amp;TODAY()-WEEKDAY(TODAY(),2)+8)))</f>
        <v>0</v>
      </c>
      <c r="K132" s="36">
        <f ca="1">IF($A132="","",IF(K$1="","",COUNTIFS(tbl_chests[from],$A132,tbl_chests[legalized],K$1,tbl_chests[datetime],"&gt;="&amp;TODAY()-WEEKDAY(TODAY(),2)+1,tbl_chests[datetime],"&lt;"&amp;TODAY()-WEEKDAY(TODAY(),2)+8)))</f>
        <v>0</v>
      </c>
      <c r="L132" s="36">
        <f ca="1">IF($A132="","",IF(L$1="","",COUNTIFS(tbl_chests[from],$A132,tbl_chests[legalized],L$1,tbl_chests[datetime],"&gt;="&amp;TODAY()-WEEKDAY(TODAY(),2)+1,tbl_chests[datetime],"&lt;"&amp;TODAY()-WEEKDAY(TODAY(),2)+8)))</f>
        <v>0</v>
      </c>
      <c r="M132" s="36">
        <f ca="1">IF($A132="","",IF(M$1="","",COUNTIFS(tbl_chests[from],$A132,tbl_chests[legalized],M$1,tbl_chests[datetime],"&gt;="&amp;TODAY()-WEEKDAY(TODAY(),2)+1,tbl_chests[datetime],"&lt;"&amp;TODAY()-WEEKDAY(TODAY(),2)+8)))</f>
        <v>0</v>
      </c>
      <c r="N132" s="36">
        <f ca="1">IF($A132="","",IF(N$1="","",COUNTIFS(tbl_chests[from],$A132,tbl_chests[legalized],N$1,tbl_chests[datetime],"&gt;="&amp;TODAY()-WEEKDAY(TODAY(),2)+1,tbl_chests[datetime],"&lt;"&amp;TODAY()-WEEKDAY(TODAY(),2)+8)))</f>
        <v>0</v>
      </c>
      <c r="O132" s="36">
        <f ca="1">IF($A132="","",IF(O$1="","",COUNTIFS(tbl_chests[from],$A132,tbl_chests[legalized],O$1,tbl_chests[datetime],"&gt;="&amp;TODAY()-WEEKDAY(TODAY(),2)+1,tbl_chests[datetime],"&lt;"&amp;TODAY()-WEEKDAY(TODAY(),2)+8)))</f>
        <v>0</v>
      </c>
      <c r="P132" s="36">
        <f ca="1">IF($A132="","",IF(P$1="","",COUNTIFS(tbl_chests[from],$A132,tbl_chests[legalized],P$1,tbl_chests[datetime],"&gt;="&amp;TODAY()-WEEKDAY(TODAY(),2)+1,tbl_chests[datetime],"&lt;"&amp;TODAY()-WEEKDAY(TODAY(),2)+8)))</f>
        <v>0</v>
      </c>
      <c r="Q132" s="36">
        <f ca="1">IF($A132="","",IF(Q$1="","",COUNTIFS(tbl_chests[from],$A132,tbl_chests[legalized],Q$1,tbl_chests[datetime],"&gt;="&amp;TODAY()-WEEKDAY(TODAY(),2)+1,tbl_chests[datetime],"&lt;"&amp;TODAY()-WEEKDAY(TODAY(),2)+8)))</f>
        <v>0</v>
      </c>
      <c r="R132" s="36">
        <f ca="1">IF($A132="","",IF(R$1="","",COUNTIFS(tbl_chests[from],$A132,tbl_chests[legalized],R$1,tbl_chests[datetime],"&gt;="&amp;TODAY()-WEEKDAY(TODAY(),2)+1,tbl_chests[datetime],"&lt;"&amp;TODAY()-WEEKDAY(TODAY(),2)+8)))</f>
        <v>0</v>
      </c>
      <c r="S132" s="36">
        <f ca="1">IF($A132="","",IF(S$1="","",COUNTIFS(tbl_chests[from],$A132,tbl_chests[legalized],S$1,tbl_chests[datetime],"&gt;="&amp;TODAY()-WEEKDAY(TODAY(),2)+1,tbl_chests[datetime],"&lt;"&amp;TODAY()-WEEKDAY(TODAY(),2)+8)))</f>
        <v>0</v>
      </c>
      <c r="T132" s="36">
        <f ca="1">IF($A132="","",IF(T$1="","",COUNTIFS(tbl_chests[from],$A132,tbl_chests[legalized],T$1,tbl_chests[datetime],"&gt;="&amp;TODAY()-WEEKDAY(TODAY(),2)+1,tbl_chests[datetime],"&lt;"&amp;TODAY()-WEEKDAY(TODAY(),2)+8)))</f>
        <v>0</v>
      </c>
      <c r="U132" s="36">
        <f ca="1">IF($A132="","",IF(U$1="","",COUNTIFS(tbl_chests[from],$A132,tbl_chests[legalized],U$1,tbl_chests[datetime],"&gt;="&amp;TODAY()-WEEKDAY(TODAY(),2)+1,tbl_chests[datetime],"&lt;"&amp;TODAY()-WEEKDAY(TODAY(),2)+8)))</f>
        <v>0</v>
      </c>
      <c r="V132" s="36">
        <f ca="1">IF($A132="","",IF(V$1="","",COUNTIFS(tbl_chests[from],$A132,tbl_chests[legalized],V$1,tbl_chests[datetime],"&gt;="&amp;TODAY()-WEEKDAY(TODAY(),2)+1,tbl_chests[datetime],"&lt;"&amp;TODAY()-WEEKDAY(TODAY(),2)+8)))</f>
        <v>0</v>
      </c>
      <c r="W132" s="36">
        <f ca="1">IF($A132="","",IF(W$1="","",COUNTIFS(tbl_chests[from],$A132,tbl_chests[legalized],W$1,tbl_chests[datetime],"&gt;="&amp;TODAY()-WEEKDAY(TODAY(),2)+1,tbl_chests[datetime],"&lt;"&amp;TODAY()-WEEKDAY(TODAY(),2)+8)))</f>
        <v>0</v>
      </c>
      <c r="X132" s="36">
        <f ca="1">IF($A132="","",IF(X$1="","",COUNTIFS(tbl_chests[from],$A132,tbl_chests[legalized],X$1,tbl_chests[datetime],"&gt;="&amp;TODAY()-WEEKDAY(TODAY(),2)+1,tbl_chests[datetime],"&lt;"&amp;TODAY()-WEEKDAY(TODAY(),2)+8)))</f>
        <v>0</v>
      </c>
      <c r="Y132" s="36">
        <f ca="1">IF($A132="","",IF(Y$1="","",COUNTIFS(tbl_chests[from],$A132,tbl_chests[legalized],Y$1,tbl_chests[datetime],"&gt;="&amp;TODAY()-WEEKDAY(TODAY(),2)+1,tbl_chests[datetime],"&lt;"&amp;TODAY()-WEEKDAY(TODAY(),2)+8)))</f>
        <v>0</v>
      </c>
      <c r="Z132" s="36">
        <f ca="1">IF($A132="","",IF(Z$1="","",COUNTIFS(tbl_chests[from],$A132,tbl_chests[legalized],Z$1,tbl_chests[datetime],"&gt;="&amp;TODAY()-WEEKDAY(TODAY(),2)+1,tbl_chests[datetime],"&lt;"&amp;TODAY()-WEEKDAY(TODAY(),2)+8)))</f>
        <v>0</v>
      </c>
      <c r="AA132" s="36">
        <f ca="1">IF($A132="","",IF(AA$1="","",COUNTIFS(tbl_chests[from],$A132,tbl_chests[legalized],AA$1,tbl_chests[datetime],"&gt;="&amp;TODAY()-WEEKDAY(TODAY(),2)+1,tbl_chests[datetime],"&lt;"&amp;TODAY()-WEEKDAY(TODAY(),2)+8)))</f>
        <v>0</v>
      </c>
      <c r="AB132" s="36">
        <f ca="1">IF($A132="","",IF(AB$1="","",COUNTIFS(tbl_chests[from],$A132,tbl_chests[legalized],AB$1,tbl_chests[datetime],"&gt;="&amp;TODAY()-WEEKDAY(TODAY(),2)+1,tbl_chests[datetime],"&lt;"&amp;TODAY()-WEEKDAY(TODAY(),2)+8)))</f>
        <v>0</v>
      </c>
      <c r="AC132" s="36">
        <f ca="1">IF($A132="","",IF(AC$1="","",COUNTIFS(tbl_chests[from],$A132,tbl_chests[legalized],AC$1,tbl_chests[datetime],"&gt;="&amp;TODAY()-WEEKDAY(TODAY(),2)+1,tbl_chests[datetime],"&lt;"&amp;TODAY()-WEEKDAY(TODAY(),2)+8)))</f>
        <v>0</v>
      </c>
      <c r="AD132" s="36">
        <f ca="1">IF($A132="","",IF(AD$1="","",COUNTIFS(tbl_chests[from],$A132,tbl_chests[legalized],AD$1,tbl_chests[datetime],"&gt;="&amp;TODAY()-WEEKDAY(TODAY(),2)+1,tbl_chests[datetime],"&lt;"&amp;TODAY()-WEEKDAY(TODAY(),2)+8)))</f>
        <v>0</v>
      </c>
      <c r="AE132" s="36">
        <f ca="1">IF($A132="","",IF(AE$1="","",COUNTIFS(tbl_chests[from],$A132,tbl_chests[legalized],AE$1,tbl_chests[datetime],"&gt;="&amp;TODAY()-WEEKDAY(TODAY(),2)+1,tbl_chests[datetime],"&lt;"&amp;TODAY()-WEEKDAY(TODAY(),2)+8)))</f>
        <v>0</v>
      </c>
      <c r="AF132" s="36">
        <f ca="1">IF($A132="","",IF(AF$1="","",COUNTIFS(tbl_chests[from],$A132,tbl_chests[legalized],AF$1,tbl_chests[datetime],"&gt;="&amp;TODAY()-WEEKDAY(TODAY(),2)+1,tbl_chests[datetime],"&lt;"&amp;TODAY()-WEEKDAY(TODAY(),2)+8)))</f>
        <v>0</v>
      </c>
      <c r="AG132" s="36">
        <f ca="1">IF($A132="","",IF(AG$1="","",COUNTIFS(tbl_chests[from],$A132,tbl_chests[legalized],AG$1,tbl_chests[datetime],"&gt;="&amp;TODAY()-WEEKDAY(TODAY(),2)+1,tbl_chests[datetime],"&lt;"&amp;TODAY()-WEEKDAY(TODAY(),2)+8)))</f>
        <v>0</v>
      </c>
      <c r="AH132" s="36">
        <f ca="1">IF($A132="","",IF(AH$1="","",COUNTIFS(tbl_chests[from],$A132,tbl_chests[legalized],AH$1,tbl_chests[datetime],"&gt;="&amp;TODAY()-WEEKDAY(TODAY(),2)+1,tbl_chests[datetime],"&lt;"&amp;TODAY()-WEEKDAY(TODAY(),2)+8)))</f>
        <v>0</v>
      </c>
      <c r="AI132" s="36">
        <f ca="1">IF($A132="","",IF(AI$1="","",COUNTIFS(tbl_chests[from],$A132,tbl_chests[legalized],AI$1,tbl_chests[datetime],"&gt;="&amp;TODAY()-WEEKDAY(TODAY(),2)+1,tbl_chests[datetime],"&lt;"&amp;TODAY()-WEEKDAY(TODAY(),2)+8)))</f>
        <v>0</v>
      </c>
      <c r="AJ132" s="36">
        <f ca="1">IF($A132="","",IF(AJ$1="","",COUNTIFS(tbl_chests[from],$A132,tbl_chests[legalized],AJ$1,tbl_chests[datetime],"&gt;="&amp;TODAY()-WEEKDAY(TODAY(),2)+1,tbl_chests[datetime],"&lt;"&amp;TODAY()-WEEKDAY(TODAY(),2)+8)))</f>
        <v>0</v>
      </c>
      <c r="AK132" s="36">
        <f ca="1">IF($A132="","",IF(AK$1="","",COUNTIFS(tbl_chests[from],$A132,tbl_chests[legalized],AK$1,tbl_chests[datetime],"&gt;="&amp;TODAY()-WEEKDAY(TODAY(),2)+1,tbl_chests[datetime],"&lt;"&amp;TODAY()-WEEKDAY(TODAY(),2)+8)))</f>
        <v>0</v>
      </c>
      <c r="AL132" s="36">
        <f ca="1">IF($A132="","",IF(AL$1="","",COUNTIFS(tbl_chests[from],$A132,tbl_chests[legalized],AL$1,tbl_chests[datetime],"&gt;="&amp;TODAY()-WEEKDAY(TODAY(),2)+1,tbl_chests[datetime],"&lt;"&amp;TODAY()-WEEKDAY(TODAY(),2)+8)))</f>
        <v>0</v>
      </c>
      <c r="AM132" s="37">
        <f ca="1">IF($A132="","",IF(AM$1="","",COUNTIFS(tbl_chests[from],$A132,tbl_chests[legalized],AM$1,tbl_chests[datetime],"&gt;="&amp;TODAY()-WEEKDAY(TODAY(),2)+1,tbl_chests[datetime],"&lt;"&amp;TODAY()-WEEKDAY(TODAY(),2)+8)))</f>
        <v>0</v>
      </c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 spans="1:67" ht="15.75" customHeight="1" x14ac:dyDescent="0.25">
      <c r="A133" s="34">
        <f>chests_counter!$H130</f>
        <v>0</v>
      </c>
      <c r="B133" s="35" cm="1">
        <f t="array" aca="1" ref="B133" ca="1">IF(A133&lt;&gt;"", SUMPRODUCT(($C$2:$AM$2&lt;&gt;0)*(C133:AM133&lt;&gt;0)*($C$2:$AM$2)*(C133:AM133)), "")</f>
        <v>0</v>
      </c>
      <c r="C133" s="36">
        <f ca="1">IF($A133="","",IF(C$1="","",COUNTIFS(tbl_chests[from],$A133,tbl_chests[legalized],C$1,tbl_chests[datetime],"&gt;="&amp;TODAY()-WEEKDAY(TODAY(),2)+1,tbl_chests[datetime],"&lt;"&amp;TODAY()-WEEKDAY(TODAY(),2)+8)))</f>
        <v>0</v>
      </c>
      <c r="D133" s="36">
        <f ca="1">IF($A133="","",IF(D$1="","",COUNTIFS(tbl_chests[from],$A133,tbl_chests[legalized],D$1,tbl_chests[datetime],"&gt;="&amp;TODAY()-WEEKDAY(TODAY(),2)+1,tbl_chests[datetime],"&lt;"&amp;TODAY()-WEEKDAY(TODAY(),2)+8)))</f>
        <v>0</v>
      </c>
      <c r="E133" s="36">
        <f ca="1">IF($A133="","",IF(E$1="","",COUNTIFS(tbl_chests[from],$A133,tbl_chests[legalized],E$1,tbl_chests[datetime],"&gt;="&amp;TODAY()-WEEKDAY(TODAY(),2)+1,tbl_chests[datetime],"&lt;"&amp;TODAY()-WEEKDAY(TODAY(),2)+8)))</f>
        <v>0</v>
      </c>
      <c r="F133" s="36">
        <f ca="1">IF($A133="","",IF(F$1="","",COUNTIFS(tbl_chests[from],$A133,tbl_chests[legalized],F$1,tbl_chests[datetime],"&gt;="&amp;TODAY()-WEEKDAY(TODAY(),2)+1,tbl_chests[datetime],"&lt;"&amp;TODAY()-WEEKDAY(TODAY(),2)+8)))</f>
        <v>0</v>
      </c>
      <c r="G133" s="36">
        <f ca="1">IF($A133="","",IF(G$1="","",COUNTIFS(tbl_chests[from],$A133,tbl_chests[legalized],G$1,tbl_chests[datetime],"&gt;="&amp;TODAY()-WEEKDAY(TODAY(),2)+1,tbl_chests[datetime],"&lt;"&amp;TODAY()-WEEKDAY(TODAY(),2)+8)))</f>
        <v>0</v>
      </c>
      <c r="H133" s="36">
        <f ca="1">IF($A133="","",IF(H$1="","",COUNTIFS(tbl_chests[from],$A133,tbl_chests[legalized],H$1,tbl_chests[datetime],"&gt;="&amp;TODAY()-WEEKDAY(TODAY(),2)+1,tbl_chests[datetime],"&lt;"&amp;TODAY()-WEEKDAY(TODAY(),2)+8)))</f>
        <v>0</v>
      </c>
      <c r="I133" s="36">
        <f ca="1">IF($A133="","",IF(I$1="","",COUNTIFS(tbl_chests[from],$A133,tbl_chests[legalized],I$1,tbl_chests[datetime],"&gt;="&amp;TODAY()-WEEKDAY(TODAY(),2)+1,tbl_chests[datetime],"&lt;"&amp;TODAY()-WEEKDAY(TODAY(),2)+8)))</f>
        <v>0</v>
      </c>
      <c r="J133" s="36">
        <f ca="1">IF($A133="","",IF(J$1="","",COUNTIFS(tbl_chests[from],$A133,tbl_chests[legalized],J$1,tbl_chests[datetime],"&gt;="&amp;TODAY()-WEEKDAY(TODAY(),2)+1,tbl_chests[datetime],"&lt;"&amp;TODAY()-WEEKDAY(TODAY(),2)+8)))</f>
        <v>0</v>
      </c>
      <c r="K133" s="36">
        <f ca="1">IF($A133="","",IF(K$1="","",COUNTIFS(tbl_chests[from],$A133,tbl_chests[legalized],K$1,tbl_chests[datetime],"&gt;="&amp;TODAY()-WEEKDAY(TODAY(),2)+1,tbl_chests[datetime],"&lt;"&amp;TODAY()-WEEKDAY(TODAY(),2)+8)))</f>
        <v>0</v>
      </c>
      <c r="L133" s="36">
        <f ca="1">IF($A133="","",IF(L$1="","",COUNTIFS(tbl_chests[from],$A133,tbl_chests[legalized],L$1,tbl_chests[datetime],"&gt;="&amp;TODAY()-WEEKDAY(TODAY(),2)+1,tbl_chests[datetime],"&lt;"&amp;TODAY()-WEEKDAY(TODAY(),2)+8)))</f>
        <v>0</v>
      </c>
      <c r="M133" s="36">
        <f ca="1">IF($A133="","",IF(M$1="","",COUNTIFS(tbl_chests[from],$A133,tbl_chests[legalized],M$1,tbl_chests[datetime],"&gt;="&amp;TODAY()-WEEKDAY(TODAY(),2)+1,tbl_chests[datetime],"&lt;"&amp;TODAY()-WEEKDAY(TODAY(),2)+8)))</f>
        <v>0</v>
      </c>
      <c r="N133" s="36">
        <f ca="1">IF($A133="","",IF(N$1="","",COUNTIFS(tbl_chests[from],$A133,tbl_chests[legalized],N$1,tbl_chests[datetime],"&gt;="&amp;TODAY()-WEEKDAY(TODAY(),2)+1,tbl_chests[datetime],"&lt;"&amp;TODAY()-WEEKDAY(TODAY(),2)+8)))</f>
        <v>0</v>
      </c>
      <c r="O133" s="36">
        <f ca="1">IF($A133="","",IF(O$1="","",COUNTIFS(tbl_chests[from],$A133,tbl_chests[legalized],O$1,tbl_chests[datetime],"&gt;="&amp;TODAY()-WEEKDAY(TODAY(),2)+1,tbl_chests[datetime],"&lt;"&amp;TODAY()-WEEKDAY(TODAY(),2)+8)))</f>
        <v>0</v>
      </c>
      <c r="P133" s="36">
        <f ca="1">IF($A133="","",IF(P$1="","",COUNTIFS(tbl_chests[from],$A133,tbl_chests[legalized],P$1,tbl_chests[datetime],"&gt;="&amp;TODAY()-WEEKDAY(TODAY(),2)+1,tbl_chests[datetime],"&lt;"&amp;TODAY()-WEEKDAY(TODAY(),2)+8)))</f>
        <v>0</v>
      </c>
      <c r="Q133" s="36">
        <f ca="1">IF($A133="","",IF(Q$1="","",COUNTIFS(tbl_chests[from],$A133,tbl_chests[legalized],Q$1,tbl_chests[datetime],"&gt;="&amp;TODAY()-WEEKDAY(TODAY(),2)+1,tbl_chests[datetime],"&lt;"&amp;TODAY()-WEEKDAY(TODAY(),2)+8)))</f>
        <v>0</v>
      </c>
      <c r="R133" s="36">
        <f ca="1">IF($A133="","",IF(R$1="","",COUNTIFS(tbl_chests[from],$A133,tbl_chests[legalized],R$1,tbl_chests[datetime],"&gt;="&amp;TODAY()-WEEKDAY(TODAY(),2)+1,tbl_chests[datetime],"&lt;"&amp;TODAY()-WEEKDAY(TODAY(),2)+8)))</f>
        <v>0</v>
      </c>
      <c r="S133" s="36">
        <f ca="1">IF($A133="","",IF(S$1="","",COUNTIFS(tbl_chests[from],$A133,tbl_chests[legalized],S$1,tbl_chests[datetime],"&gt;="&amp;TODAY()-WEEKDAY(TODAY(),2)+1,tbl_chests[datetime],"&lt;"&amp;TODAY()-WEEKDAY(TODAY(),2)+8)))</f>
        <v>0</v>
      </c>
      <c r="T133" s="36">
        <f ca="1">IF($A133="","",IF(T$1="","",COUNTIFS(tbl_chests[from],$A133,tbl_chests[legalized],T$1,tbl_chests[datetime],"&gt;="&amp;TODAY()-WEEKDAY(TODAY(),2)+1,tbl_chests[datetime],"&lt;"&amp;TODAY()-WEEKDAY(TODAY(),2)+8)))</f>
        <v>0</v>
      </c>
      <c r="U133" s="36">
        <f ca="1">IF($A133="","",IF(U$1="","",COUNTIFS(tbl_chests[from],$A133,tbl_chests[legalized],U$1,tbl_chests[datetime],"&gt;="&amp;TODAY()-WEEKDAY(TODAY(),2)+1,tbl_chests[datetime],"&lt;"&amp;TODAY()-WEEKDAY(TODAY(),2)+8)))</f>
        <v>0</v>
      </c>
      <c r="V133" s="36">
        <f ca="1">IF($A133="","",IF(V$1="","",COUNTIFS(tbl_chests[from],$A133,tbl_chests[legalized],V$1,tbl_chests[datetime],"&gt;="&amp;TODAY()-WEEKDAY(TODAY(),2)+1,tbl_chests[datetime],"&lt;"&amp;TODAY()-WEEKDAY(TODAY(),2)+8)))</f>
        <v>0</v>
      </c>
      <c r="W133" s="36">
        <f ca="1">IF($A133="","",IF(W$1="","",COUNTIFS(tbl_chests[from],$A133,tbl_chests[legalized],W$1,tbl_chests[datetime],"&gt;="&amp;TODAY()-WEEKDAY(TODAY(),2)+1,tbl_chests[datetime],"&lt;"&amp;TODAY()-WEEKDAY(TODAY(),2)+8)))</f>
        <v>0</v>
      </c>
      <c r="X133" s="36">
        <f ca="1">IF($A133="","",IF(X$1="","",COUNTIFS(tbl_chests[from],$A133,tbl_chests[legalized],X$1,tbl_chests[datetime],"&gt;="&amp;TODAY()-WEEKDAY(TODAY(),2)+1,tbl_chests[datetime],"&lt;"&amp;TODAY()-WEEKDAY(TODAY(),2)+8)))</f>
        <v>0</v>
      </c>
      <c r="Y133" s="36">
        <f ca="1">IF($A133="","",IF(Y$1="","",COUNTIFS(tbl_chests[from],$A133,tbl_chests[legalized],Y$1,tbl_chests[datetime],"&gt;="&amp;TODAY()-WEEKDAY(TODAY(),2)+1,tbl_chests[datetime],"&lt;"&amp;TODAY()-WEEKDAY(TODAY(),2)+8)))</f>
        <v>0</v>
      </c>
      <c r="Z133" s="36">
        <f ca="1">IF($A133="","",IF(Z$1="","",COUNTIFS(tbl_chests[from],$A133,tbl_chests[legalized],Z$1,tbl_chests[datetime],"&gt;="&amp;TODAY()-WEEKDAY(TODAY(),2)+1,tbl_chests[datetime],"&lt;"&amp;TODAY()-WEEKDAY(TODAY(),2)+8)))</f>
        <v>0</v>
      </c>
      <c r="AA133" s="36">
        <f ca="1">IF($A133="","",IF(AA$1="","",COUNTIFS(tbl_chests[from],$A133,tbl_chests[legalized],AA$1,tbl_chests[datetime],"&gt;="&amp;TODAY()-WEEKDAY(TODAY(),2)+1,tbl_chests[datetime],"&lt;"&amp;TODAY()-WEEKDAY(TODAY(),2)+8)))</f>
        <v>0</v>
      </c>
      <c r="AB133" s="36">
        <f ca="1">IF($A133="","",IF(AB$1="","",COUNTIFS(tbl_chests[from],$A133,tbl_chests[legalized],AB$1,tbl_chests[datetime],"&gt;="&amp;TODAY()-WEEKDAY(TODAY(),2)+1,tbl_chests[datetime],"&lt;"&amp;TODAY()-WEEKDAY(TODAY(),2)+8)))</f>
        <v>0</v>
      </c>
      <c r="AC133" s="36">
        <f ca="1">IF($A133="","",IF(AC$1="","",COUNTIFS(tbl_chests[from],$A133,tbl_chests[legalized],AC$1,tbl_chests[datetime],"&gt;="&amp;TODAY()-WEEKDAY(TODAY(),2)+1,tbl_chests[datetime],"&lt;"&amp;TODAY()-WEEKDAY(TODAY(),2)+8)))</f>
        <v>0</v>
      </c>
      <c r="AD133" s="36">
        <f ca="1">IF($A133="","",IF(AD$1="","",COUNTIFS(tbl_chests[from],$A133,tbl_chests[legalized],AD$1,tbl_chests[datetime],"&gt;="&amp;TODAY()-WEEKDAY(TODAY(),2)+1,tbl_chests[datetime],"&lt;"&amp;TODAY()-WEEKDAY(TODAY(),2)+8)))</f>
        <v>0</v>
      </c>
      <c r="AE133" s="36">
        <f ca="1">IF($A133="","",IF(AE$1="","",COUNTIFS(tbl_chests[from],$A133,tbl_chests[legalized],AE$1,tbl_chests[datetime],"&gt;="&amp;TODAY()-WEEKDAY(TODAY(),2)+1,tbl_chests[datetime],"&lt;"&amp;TODAY()-WEEKDAY(TODAY(),2)+8)))</f>
        <v>0</v>
      </c>
      <c r="AF133" s="36">
        <f ca="1">IF($A133="","",IF(AF$1="","",COUNTIFS(tbl_chests[from],$A133,tbl_chests[legalized],AF$1,tbl_chests[datetime],"&gt;="&amp;TODAY()-WEEKDAY(TODAY(),2)+1,tbl_chests[datetime],"&lt;"&amp;TODAY()-WEEKDAY(TODAY(),2)+8)))</f>
        <v>0</v>
      </c>
      <c r="AG133" s="36">
        <f ca="1">IF($A133="","",IF(AG$1="","",COUNTIFS(tbl_chests[from],$A133,tbl_chests[legalized],AG$1,tbl_chests[datetime],"&gt;="&amp;TODAY()-WEEKDAY(TODAY(),2)+1,tbl_chests[datetime],"&lt;"&amp;TODAY()-WEEKDAY(TODAY(),2)+8)))</f>
        <v>0</v>
      </c>
      <c r="AH133" s="36">
        <f ca="1">IF($A133="","",IF(AH$1="","",COUNTIFS(tbl_chests[from],$A133,tbl_chests[legalized],AH$1,tbl_chests[datetime],"&gt;="&amp;TODAY()-WEEKDAY(TODAY(),2)+1,tbl_chests[datetime],"&lt;"&amp;TODAY()-WEEKDAY(TODAY(),2)+8)))</f>
        <v>0</v>
      </c>
      <c r="AI133" s="36">
        <f ca="1">IF($A133="","",IF(AI$1="","",COUNTIFS(tbl_chests[from],$A133,tbl_chests[legalized],AI$1,tbl_chests[datetime],"&gt;="&amp;TODAY()-WEEKDAY(TODAY(),2)+1,tbl_chests[datetime],"&lt;"&amp;TODAY()-WEEKDAY(TODAY(),2)+8)))</f>
        <v>0</v>
      </c>
      <c r="AJ133" s="36">
        <f ca="1">IF($A133="","",IF(AJ$1="","",COUNTIFS(tbl_chests[from],$A133,tbl_chests[legalized],AJ$1,tbl_chests[datetime],"&gt;="&amp;TODAY()-WEEKDAY(TODAY(),2)+1,tbl_chests[datetime],"&lt;"&amp;TODAY()-WEEKDAY(TODAY(),2)+8)))</f>
        <v>0</v>
      </c>
      <c r="AK133" s="36">
        <f ca="1">IF($A133="","",IF(AK$1="","",COUNTIFS(tbl_chests[from],$A133,tbl_chests[legalized],AK$1,tbl_chests[datetime],"&gt;="&amp;TODAY()-WEEKDAY(TODAY(),2)+1,tbl_chests[datetime],"&lt;"&amp;TODAY()-WEEKDAY(TODAY(),2)+8)))</f>
        <v>0</v>
      </c>
      <c r="AL133" s="36">
        <f ca="1">IF($A133="","",IF(AL$1="","",COUNTIFS(tbl_chests[from],$A133,tbl_chests[legalized],AL$1,tbl_chests[datetime],"&gt;="&amp;TODAY()-WEEKDAY(TODAY(),2)+1,tbl_chests[datetime],"&lt;"&amp;TODAY()-WEEKDAY(TODAY(),2)+8)))</f>
        <v>0</v>
      </c>
      <c r="AM133" s="37">
        <f ca="1">IF($A133="","",IF(AM$1="","",COUNTIFS(tbl_chests[from],$A133,tbl_chests[legalized],AM$1,tbl_chests[datetime],"&gt;="&amp;TODAY()-WEEKDAY(TODAY(),2)+1,tbl_chests[datetime],"&lt;"&amp;TODAY()-WEEKDAY(TODAY(),2)+8)))</f>
        <v>0</v>
      </c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 spans="1:67" ht="15.75" customHeight="1" x14ac:dyDescent="0.25">
      <c r="A134" s="34">
        <f>chests_counter!$H131</f>
        <v>0</v>
      </c>
      <c r="B134" s="35" cm="1">
        <f t="array" aca="1" ref="B134" ca="1">IF(A134&lt;&gt;"", SUMPRODUCT(($C$2:$AM$2&lt;&gt;0)*(C134:AM134&lt;&gt;0)*($C$2:$AM$2)*(C134:AM134)), "")</f>
        <v>0</v>
      </c>
      <c r="C134" s="36">
        <f ca="1">IF($A134="","",IF(C$1="","",COUNTIFS(tbl_chests[from],$A134,tbl_chests[legalized],C$1,tbl_chests[datetime],"&gt;="&amp;TODAY()-WEEKDAY(TODAY(),2)+1,tbl_chests[datetime],"&lt;"&amp;TODAY()-WEEKDAY(TODAY(),2)+8)))</f>
        <v>0</v>
      </c>
      <c r="D134" s="36">
        <f ca="1">IF($A134="","",IF(D$1="","",COUNTIFS(tbl_chests[from],$A134,tbl_chests[legalized],D$1,tbl_chests[datetime],"&gt;="&amp;TODAY()-WEEKDAY(TODAY(),2)+1,tbl_chests[datetime],"&lt;"&amp;TODAY()-WEEKDAY(TODAY(),2)+8)))</f>
        <v>0</v>
      </c>
      <c r="E134" s="36">
        <f ca="1">IF($A134="","",IF(E$1="","",COUNTIFS(tbl_chests[from],$A134,tbl_chests[legalized],E$1,tbl_chests[datetime],"&gt;="&amp;TODAY()-WEEKDAY(TODAY(),2)+1,tbl_chests[datetime],"&lt;"&amp;TODAY()-WEEKDAY(TODAY(),2)+8)))</f>
        <v>0</v>
      </c>
      <c r="F134" s="36">
        <f ca="1">IF($A134="","",IF(F$1="","",COUNTIFS(tbl_chests[from],$A134,tbl_chests[legalized],F$1,tbl_chests[datetime],"&gt;="&amp;TODAY()-WEEKDAY(TODAY(),2)+1,tbl_chests[datetime],"&lt;"&amp;TODAY()-WEEKDAY(TODAY(),2)+8)))</f>
        <v>0</v>
      </c>
      <c r="G134" s="36">
        <f ca="1">IF($A134="","",IF(G$1="","",COUNTIFS(tbl_chests[from],$A134,tbl_chests[legalized],G$1,tbl_chests[datetime],"&gt;="&amp;TODAY()-WEEKDAY(TODAY(),2)+1,tbl_chests[datetime],"&lt;"&amp;TODAY()-WEEKDAY(TODAY(),2)+8)))</f>
        <v>0</v>
      </c>
      <c r="H134" s="36">
        <f ca="1">IF($A134="","",IF(H$1="","",COUNTIFS(tbl_chests[from],$A134,tbl_chests[legalized],H$1,tbl_chests[datetime],"&gt;="&amp;TODAY()-WEEKDAY(TODAY(),2)+1,tbl_chests[datetime],"&lt;"&amp;TODAY()-WEEKDAY(TODAY(),2)+8)))</f>
        <v>0</v>
      </c>
      <c r="I134" s="36">
        <f ca="1">IF($A134="","",IF(I$1="","",COUNTIFS(tbl_chests[from],$A134,tbl_chests[legalized],I$1,tbl_chests[datetime],"&gt;="&amp;TODAY()-WEEKDAY(TODAY(),2)+1,tbl_chests[datetime],"&lt;"&amp;TODAY()-WEEKDAY(TODAY(),2)+8)))</f>
        <v>0</v>
      </c>
      <c r="J134" s="36">
        <f ca="1">IF($A134="","",IF(J$1="","",COUNTIFS(tbl_chests[from],$A134,tbl_chests[legalized],J$1,tbl_chests[datetime],"&gt;="&amp;TODAY()-WEEKDAY(TODAY(),2)+1,tbl_chests[datetime],"&lt;"&amp;TODAY()-WEEKDAY(TODAY(),2)+8)))</f>
        <v>0</v>
      </c>
      <c r="K134" s="36">
        <f ca="1">IF($A134="","",IF(K$1="","",COUNTIFS(tbl_chests[from],$A134,tbl_chests[legalized],K$1,tbl_chests[datetime],"&gt;="&amp;TODAY()-WEEKDAY(TODAY(),2)+1,tbl_chests[datetime],"&lt;"&amp;TODAY()-WEEKDAY(TODAY(),2)+8)))</f>
        <v>0</v>
      </c>
      <c r="L134" s="36">
        <f ca="1">IF($A134="","",IF(L$1="","",COUNTIFS(tbl_chests[from],$A134,tbl_chests[legalized],L$1,tbl_chests[datetime],"&gt;="&amp;TODAY()-WEEKDAY(TODAY(),2)+1,tbl_chests[datetime],"&lt;"&amp;TODAY()-WEEKDAY(TODAY(),2)+8)))</f>
        <v>0</v>
      </c>
      <c r="M134" s="36">
        <f ca="1">IF($A134="","",IF(M$1="","",COUNTIFS(tbl_chests[from],$A134,tbl_chests[legalized],M$1,tbl_chests[datetime],"&gt;="&amp;TODAY()-WEEKDAY(TODAY(),2)+1,tbl_chests[datetime],"&lt;"&amp;TODAY()-WEEKDAY(TODAY(),2)+8)))</f>
        <v>0</v>
      </c>
      <c r="N134" s="36">
        <f ca="1">IF($A134="","",IF(N$1="","",COUNTIFS(tbl_chests[from],$A134,tbl_chests[legalized],N$1,tbl_chests[datetime],"&gt;="&amp;TODAY()-WEEKDAY(TODAY(),2)+1,tbl_chests[datetime],"&lt;"&amp;TODAY()-WEEKDAY(TODAY(),2)+8)))</f>
        <v>0</v>
      </c>
      <c r="O134" s="36">
        <f ca="1">IF($A134="","",IF(O$1="","",COUNTIFS(tbl_chests[from],$A134,tbl_chests[legalized],O$1,tbl_chests[datetime],"&gt;="&amp;TODAY()-WEEKDAY(TODAY(),2)+1,tbl_chests[datetime],"&lt;"&amp;TODAY()-WEEKDAY(TODAY(),2)+8)))</f>
        <v>0</v>
      </c>
      <c r="P134" s="36">
        <f ca="1">IF($A134="","",IF(P$1="","",COUNTIFS(tbl_chests[from],$A134,tbl_chests[legalized],P$1,tbl_chests[datetime],"&gt;="&amp;TODAY()-WEEKDAY(TODAY(),2)+1,tbl_chests[datetime],"&lt;"&amp;TODAY()-WEEKDAY(TODAY(),2)+8)))</f>
        <v>0</v>
      </c>
      <c r="Q134" s="36">
        <f ca="1">IF($A134="","",IF(Q$1="","",COUNTIFS(tbl_chests[from],$A134,tbl_chests[legalized],Q$1,tbl_chests[datetime],"&gt;="&amp;TODAY()-WEEKDAY(TODAY(),2)+1,tbl_chests[datetime],"&lt;"&amp;TODAY()-WEEKDAY(TODAY(),2)+8)))</f>
        <v>0</v>
      </c>
      <c r="R134" s="36">
        <f ca="1">IF($A134="","",IF(R$1="","",COUNTIFS(tbl_chests[from],$A134,tbl_chests[legalized],R$1,tbl_chests[datetime],"&gt;="&amp;TODAY()-WEEKDAY(TODAY(),2)+1,tbl_chests[datetime],"&lt;"&amp;TODAY()-WEEKDAY(TODAY(),2)+8)))</f>
        <v>0</v>
      </c>
      <c r="S134" s="36">
        <f ca="1">IF($A134="","",IF(S$1="","",COUNTIFS(tbl_chests[from],$A134,tbl_chests[legalized],S$1,tbl_chests[datetime],"&gt;="&amp;TODAY()-WEEKDAY(TODAY(),2)+1,tbl_chests[datetime],"&lt;"&amp;TODAY()-WEEKDAY(TODAY(),2)+8)))</f>
        <v>0</v>
      </c>
      <c r="T134" s="36">
        <f ca="1">IF($A134="","",IF(T$1="","",COUNTIFS(tbl_chests[from],$A134,tbl_chests[legalized],T$1,tbl_chests[datetime],"&gt;="&amp;TODAY()-WEEKDAY(TODAY(),2)+1,tbl_chests[datetime],"&lt;"&amp;TODAY()-WEEKDAY(TODAY(),2)+8)))</f>
        <v>0</v>
      </c>
      <c r="U134" s="36">
        <f ca="1">IF($A134="","",IF(U$1="","",COUNTIFS(tbl_chests[from],$A134,tbl_chests[legalized],U$1,tbl_chests[datetime],"&gt;="&amp;TODAY()-WEEKDAY(TODAY(),2)+1,tbl_chests[datetime],"&lt;"&amp;TODAY()-WEEKDAY(TODAY(),2)+8)))</f>
        <v>0</v>
      </c>
      <c r="V134" s="36">
        <f ca="1">IF($A134="","",IF(V$1="","",COUNTIFS(tbl_chests[from],$A134,tbl_chests[legalized],V$1,tbl_chests[datetime],"&gt;="&amp;TODAY()-WEEKDAY(TODAY(),2)+1,tbl_chests[datetime],"&lt;"&amp;TODAY()-WEEKDAY(TODAY(),2)+8)))</f>
        <v>0</v>
      </c>
      <c r="W134" s="36">
        <f ca="1">IF($A134="","",IF(W$1="","",COUNTIFS(tbl_chests[from],$A134,tbl_chests[legalized],W$1,tbl_chests[datetime],"&gt;="&amp;TODAY()-WEEKDAY(TODAY(),2)+1,tbl_chests[datetime],"&lt;"&amp;TODAY()-WEEKDAY(TODAY(),2)+8)))</f>
        <v>0</v>
      </c>
      <c r="X134" s="36">
        <f ca="1">IF($A134="","",IF(X$1="","",COUNTIFS(tbl_chests[from],$A134,tbl_chests[legalized],X$1,tbl_chests[datetime],"&gt;="&amp;TODAY()-WEEKDAY(TODAY(),2)+1,tbl_chests[datetime],"&lt;"&amp;TODAY()-WEEKDAY(TODAY(),2)+8)))</f>
        <v>0</v>
      </c>
      <c r="Y134" s="36">
        <f ca="1">IF($A134="","",IF(Y$1="","",COUNTIFS(tbl_chests[from],$A134,tbl_chests[legalized],Y$1,tbl_chests[datetime],"&gt;="&amp;TODAY()-WEEKDAY(TODAY(),2)+1,tbl_chests[datetime],"&lt;"&amp;TODAY()-WEEKDAY(TODAY(),2)+8)))</f>
        <v>0</v>
      </c>
      <c r="Z134" s="36">
        <f ca="1">IF($A134="","",IF(Z$1="","",COUNTIFS(tbl_chests[from],$A134,tbl_chests[legalized],Z$1,tbl_chests[datetime],"&gt;="&amp;TODAY()-WEEKDAY(TODAY(),2)+1,tbl_chests[datetime],"&lt;"&amp;TODAY()-WEEKDAY(TODAY(),2)+8)))</f>
        <v>0</v>
      </c>
      <c r="AA134" s="36">
        <f ca="1">IF($A134="","",IF(AA$1="","",COUNTIFS(tbl_chests[from],$A134,tbl_chests[legalized],AA$1,tbl_chests[datetime],"&gt;="&amp;TODAY()-WEEKDAY(TODAY(),2)+1,tbl_chests[datetime],"&lt;"&amp;TODAY()-WEEKDAY(TODAY(),2)+8)))</f>
        <v>0</v>
      </c>
      <c r="AB134" s="36">
        <f ca="1">IF($A134="","",IF(AB$1="","",COUNTIFS(tbl_chests[from],$A134,tbl_chests[legalized],AB$1,tbl_chests[datetime],"&gt;="&amp;TODAY()-WEEKDAY(TODAY(),2)+1,tbl_chests[datetime],"&lt;"&amp;TODAY()-WEEKDAY(TODAY(),2)+8)))</f>
        <v>0</v>
      </c>
      <c r="AC134" s="36">
        <f ca="1">IF($A134="","",IF(AC$1="","",COUNTIFS(tbl_chests[from],$A134,tbl_chests[legalized],AC$1,tbl_chests[datetime],"&gt;="&amp;TODAY()-WEEKDAY(TODAY(),2)+1,tbl_chests[datetime],"&lt;"&amp;TODAY()-WEEKDAY(TODAY(),2)+8)))</f>
        <v>0</v>
      </c>
      <c r="AD134" s="36">
        <f ca="1">IF($A134="","",IF(AD$1="","",COUNTIFS(tbl_chests[from],$A134,tbl_chests[legalized],AD$1,tbl_chests[datetime],"&gt;="&amp;TODAY()-WEEKDAY(TODAY(),2)+1,tbl_chests[datetime],"&lt;"&amp;TODAY()-WEEKDAY(TODAY(),2)+8)))</f>
        <v>0</v>
      </c>
      <c r="AE134" s="36">
        <f ca="1">IF($A134="","",IF(AE$1="","",COUNTIFS(tbl_chests[from],$A134,tbl_chests[legalized],AE$1,tbl_chests[datetime],"&gt;="&amp;TODAY()-WEEKDAY(TODAY(),2)+1,tbl_chests[datetime],"&lt;"&amp;TODAY()-WEEKDAY(TODAY(),2)+8)))</f>
        <v>0</v>
      </c>
      <c r="AF134" s="36">
        <f ca="1">IF($A134="","",IF(AF$1="","",COUNTIFS(tbl_chests[from],$A134,tbl_chests[legalized],AF$1,tbl_chests[datetime],"&gt;="&amp;TODAY()-WEEKDAY(TODAY(),2)+1,tbl_chests[datetime],"&lt;"&amp;TODAY()-WEEKDAY(TODAY(),2)+8)))</f>
        <v>0</v>
      </c>
      <c r="AG134" s="36">
        <f ca="1">IF($A134="","",IF(AG$1="","",COUNTIFS(tbl_chests[from],$A134,tbl_chests[legalized],AG$1,tbl_chests[datetime],"&gt;="&amp;TODAY()-WEEKDAY(TODAY(),2)+1,tbl_chests[datetime],"&lt;"&amp;TODAY()-WEEKDAY(TODAY(),2)+8)))</f>
        <v>0</v>
      </c>
      <c r="AH134" s="36">
        <f ca="1">IF($A134="","",IF(AH$1="","",COUNTIFS(tbl_chests[from],$A134,tbl_chests[legalized],AH$1,tbl_chests[datetime],"&gt;="&amp;TODAY()-WEEKDAY(TODAY(),2)+1,tbl_chests[datetime],"&lt;"&amp;TODAY()-WEEKDAY(TODAY(),2)+8)))</f>
        <v>0</v>
      </c>
      <c r="AI134" s="36">
        <f ca="1">IF($A134="","",IF(AI$1="","",COUNTIFS(tbl_chests[from],$A134,tbl_chests[legalized],AI$1,tbl_chests[datetime],"&gt;="&amp;TODAY()-WEEKDAY(TODAY(),2)+1,tbl_chests[datetime],"&lt;"&amp;TODAY()-WEEKDAY(TODAY(),2)+8)))</f>
        <v>0</v>
      </c>
      <c r="AJ134" s="36">
        <f ca="1">IF($A134="","",IF(AJ$1="","",COUNTIFS(tbl_chests[from],$A134,tbl_chests[legalized],AJ$1,tbl_chests[datetime],"&gt;="&amp;TODAY()-WEEKDAY(TODAY(),2)+1,tbl_chests[datetime],"&lt;"&amp;TODAY()-WEEKDAY(TODAY(),2)+8)))</f>
        <v>0</v>
      </c>
      <c r="AK134" s="36">
        <f ca="1">IF($A134="","",IF(AK$1="","",COUNTIFS(tbl_chests[from],$A134,tbl_chests[legalized],AK$1,tbl_chests[datetime],"&gt;="&amp;TODAY()-WEEKDAY(TODAY(),2)+1,tbl_chests[datetime],"&lt;"&amp;TODAY()-WEEKDAY(TODAY(),2)+8)))</f>
        <v>0</v>
      </c>
      <c r="AL134" s="36">
        <f ca="1">IF($A134="","",IF(AL$1="","",COUNTIFS(tbl_chests[from],$A134,tbl_chests[legalized],AL$1,tbl_chests[datetime],"&gt;="&amp;TODAY()-WEEKDAY(TODAY(),2)+1,tbl_chests[datetime],"&lt;"&amp;TODAY()-WEEKDAY(TODAY(),2)+8)))</f>
        <v>0</v>
      </c>
      <c r="AM134" s="37">
        <f ca="1">IF($A134="","",IF(AM$1="","",COUNTIFS(tbl_chests[from],$A134,tbl_chests[legalized],AM$1,tbl_chests[datetime],"&gt;="&amp;TODAY()-WEEKDAY(TODAY(),2)+1,tbl_chests[datetime],"&lt;"&amp;TODAY()-WEEKDAY(TODAY(),2)+8)))</f>
        <v>0</v>
      </c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 spans="1:67" ht="15.75" customHeight="1" x14ac:dyDescent="0.25">
      <c r="A135" s="34">
        <f>chests_counter!$H132</f>
        <v>0</v>
      </c>
      <c r="B135" s="35" cm="1">
        <f t="array" aca="1" ref="B135" ca="1">IF(A135&lt;&gt;"", SUMPRODUCT(($C$2:$AM$2&lt;&gt;0)*(C135:AM135&lt;&gt;0)*($C$2:$AM$2)*(C135:AM135)), "")</f>
        <v>0</v>
      </c>
      <c r="C135" s="36">
        <f ca="1">IF($A135="","",IF(C$1="","",COUNTIFS(tbl_chests[from],$A135,tbl_chests[legalized],C$1,tbl_chests[datetime],"&gt;="&amp;TODAY()-WEEKDAY(TODAY(),2)+1,tbl_chests[datetime],"&lt;"&amp;TODAY()-WEEKDAY(TODAY(),2)+8)))</f>
        <v>0</v>
      </c>
      <c r="D135" s="36">
        <f ca="1">IF($A135="","",IF(D$1="","",COUNTIFS(tbl_chests[from],$A135,tbl_chests[legalized],D$1,tbl_chests[datetime],"&gt;="&amp;TODAY()-WEEKDAY(TODAY(),2)+1,tbl_chests[datetime],"&lt;"&amp;TODAY()-WEEKDAY(TODAY(),2)+8)))</f>
        <v>0</v>
      </c>
      <c r="E135" s="36">
        <f ca="1">IF($A135="","",IF(E$1="","",COUNTIFS(tbl_chests[from],$A135,tbl_chests[legalized],E$1,tbl_chests[datetime],"&gt;="&amp;TODAY()-WEEKDAY(TODAY(),2)+1,tbl_chests[datetime],"&lt;"&amp;TODAY()-WEEKDAY(TODAY(),2)+8)))</f>
        <v>0</v>
      </c>
      <c r="F135" s="36">
        <f ca="1">IF($A135="","",IF(F$1="","",COUNTIFS(tbl_chests[from],$A135,tbl_chests[legalized],F$1,tbl_chests[datetime],"&gt;="&amp;TODAY()-WEEKDAY(TODAY(),2)+1,tbl_chests[datetime],"&lt;"&amp;TODAY()-WEEKDAY(TODAY(),2)+8)))</f>
        <v>0</v>
      </c>
      <c r="G135" s="36">
        <f ca="1">IF($A135="","",IF(G$1="","",COUNTIFS(tbl_chests[from],$A135,tbl_chests[legalized],G$1,tbl_chests[datetime],"&gt;="&amp;TODAY()-WEEKDAY(TODAY(),2)+1,tbl_chests[datetime],"&lt;"&amp;TODAY()-WEEKDAY(TODAY(),2)+8)))</f>
        <v>0</v>
      </c>
      <c r="H135" s="36">
        <f ca="1">IF($A135="","",IF(H$1="","",COUNTIFS(tbl_chests[from],$A135,tbl_chests[legalized],H$1,tbl_chests[datetime],"&gt;="&amp;TODAY()-WEEKDAY(TODAY(),2)+1,tbl_chests[datetime],"&lt;"&amp;TODAY()-WEEKDAY(TODAY(),2)+8)))</f>
        <v>0</v>
      </c>
      <c r="I135" s="36">
        <f ca="1">IF($A135="","",IF(I$1="","",COUNTIFS(tbl_chests[from],$A135,tbl_chests[legalized],I$1,tbl_chests[datetime],"&gt;="&amp;TODAY()-WEEKDAY(TODAY(),2)+1,tbl_chests[datetime],"&lt;"&amp;TODAY()-WEEKDAY(TODAY(),2)+8)))</f>
        <v>0</v>
      </c>
      <c r="J135" s="36">
        <f ca="1">IF($A135="","",IF(J$1="","",COUNTIFS(tbl_chests[from],$A135,tbl_chests[legalized],J$1,tbl_chests[datetime],"&gt;="&amp;TODAY()-WEEKDAY(TODAY(),2)+1,tbl_chests[datetime],"&lt;"&amp;TODAY()-WEEKDAY(TODAY(),2)+8)))</f>
        <v>0</v>
      </c>
      <c r="K135" s="36">
        <f ca="1">IF($A135="","",IF(K$1="","",COUNTIFS(tbl_chests[from],$A135,tbl_chests[legalized],K$1,tbl_chests[datetime],"&gt;="&amp;TODAY()-WEEKDAY(TODAY(),2)+1,tbl_chests[datetime],"&lt;"&amp;TODAY()-WEEKDAY(TODAY(),2)+8)))</f>
        <v>0</v>
      </c>
      <c r="L135" s="36">
        <f ca="1">IF($A135="","",IF(L$1="","",COUNTIFS(tbl_chests[from],$A135,tbl_chests[legalized],L$1,tbl_chests[datetime],"&gt;="&amp;TODAY()-WEEKDAY(TODAY(),2)+1,tbl_chests[datetime],"&lt;"&amp;TODAY()-WEEKDAY(TODAY(),2)+8)))</f>
        <v>0</v>
      </c>
      <c r="M135" s="36">
        <f ca="1">IF($A135="","",IF(M$1="","",COUNTIFS(tbl_chests[from],$A135,tbl_chests[legalized],M$1,tbl_chests[datetime],"&gt;="&amp;TODAY()-WEEKDAY(TODAY(),2)+1,tbl_chests[datetime],"&lt;"&amp;TODAY()-WEEKDAY(TODAY(),2)+8)))</f>
        <v>0</v>
      </c>
      <c r="N135" s="36">
        <f ca="1">IF($A135="","",IF(N$1="","",COUNTIFS(tbl_chests[from],$A135,tbl_chests[legalized],N$1,tbl_chests[datetime],"&gt;="&amp;TODAY()-WEEKDAY(TODAY(),2)+1,tbl_chests[datetime],"&lt;"&amp;TODAY()-WEEKDAY(TODAY(),2)+8)))</f>
        <v>0</v>
      </c>
      <c r="O135" s="36">
        <f ca="1">IF($A135="","",IF(O$1="","",COUNTIFS(tbl_chests[from],$A135,tbl_chests[legalized],O$1,tbl_chests[datetime],"&gt;="&amp;TODAY()-WEEKDAY(TODAY(),2)+1,tbl_chests[datetime],"&lt;"&amp;TODAY()-WEEKDAY(TODAY(),2)+8)))</f>
        <v>0</v>
      </c>
      <c r="P135" s="36">
        <f ca="1">IF($A135="","",IF(P$1="","",COUNTIFS(tbl_chests[from],$A135,tbl_chests[legalized],P$1,tbl_chests[datetime],"&gt;="&amp;TODAY()-WEEKDAY(TODAY(),2)+1,tbl_chests[datetime],"&lt;"&amp;TODAY()-WEEKDAY(TODAY(),2)+8)))</f>
        <v>0</v>
      </c>
      <c r="Q135" s="36">
        <f ca="1">IF($A135="","",IF(Q$1="","",COUNTIFS(tbl_chests[from],$A135,tbl_chests[legalized],Q$1,tbl_chests[datetime],"&gt;="&amp;TODAY()-WEEKDAY(TODAY(),2)+1,tbl_chests[datetime],"&lt;"&amp;TODAY()-WEEKDAY(TODAY(),2)+8)))</f>
        <v>0</v>
      </c>
      <c r="R135" s="36">
        <f ca="1">IF($A135="","",IF(R$1="","",COUNTIFS(tbl_chests[from],$A135,tbl_chests[legalized],R$1,tbl_chests[datetime],"&gt;="&amp;TODAY()-WEEKDAY(TODAY(),2)+1,tbl_chests[datetime],"&lt;"&amp;TODAY()-WEEKDAY(TODAY(),2)+8)))</f>
        <v>0</v>
      </c>
      <c r="S135" s="36">
        <f ca="1">IF($A135="","",IF(S$1="","",COUNTIFS(tbl_chests[from],$A135,tbl_chests[legalized],S$1,tbl_chests[datetime],"&gt;="&amp;TODAY()-WEEKDAY(TODAY(),2)+1,tbl_chests[datetime],"&lt;"&amp;TODAY()-WEEKDAY(TODAY(),2)+8)))</f>
        <v>0</v>
      </c>
      <c r="T135" s="36">
        <f ca="1">IF($A135="","",IF(T$1="","",COUNTIFS(tbl_chests[from],$A135,tbl_chests[legalized],T$1,tbl_chests[datetime],"&gt;="&amp;TODAY()-WEEKDAY(TODAY(),2)+1,tbl_chests[datetime],"&lt;"&amp;TODAY()-WEEKDAY(TODAY(),2)+8)))</f>
        <v>0</v>
      </c>
      <c r="U135" s="36">
        <f ca="1">IF($A135="","",IF(U$1="","",COUNTIFS(tbl_chests[from],$A135,tbl_chests[legalized],U$1,tbl_chests[datetime],"&gt;="&amp;TODAY()-WEEKDAY(TODAY(),2)+1,tbl_chests[datetime],"&lt;"&amp;TODAY()-WEEKDAY(TODAY(),2)+8)))</f>
        <v>0</v>
      </c>
      <c r="V135" s="36">
        <f ca="1">IF($A135="","",IF(V$1="","",COUNTIFS(tbl_chests[from],$A135,tbl_chests[legalized],V$1,tbl_chests[datetime],"&gt;="&amp;TODAY()-WEEKDAY(TODAY(),2)+1,tbl_chests[datetime],"&lt;"&amp;TODAY()-WEEKDAY(TODAY(),2)+8)))</f>
        <v>0</v>
      </c>
      <c r="W135" s="36">
        <f ca="1">IF($A135="","",IF(W$1="","",COUNTIFS(tbl_chests[from],$A135,tbl_chests[legalized],W$1,tbl_chests[datetime],"&gt;="&amp;TODAY()-WEEKDAY(TODAY(),2)+1,tbl_chests[datetime],"&lt;"&amp;TODAY()-WEEKDAY(TODAY(),2)+8)))</f>
        <v>0</v>
      </c>
      <c r="X135" s="36">
        <f ca="1">IF($A135="","",IF(X$1="","",COUNTIFS(tbl_chests[from],$A135,tbl_chests[legalized],X$1,tbl_chests[datetime],"&gt;="&amp;TODAY()-WEEKDAY(TODAY(),2)+1,tbl_chests[datetime],"&lt;"&amp;TODAY()-WEEKDAY(TODAY(),2)+8)))</f>
        <v>0</v>
      </c>
      <c r="Y135" s="36">
        <f ca="1">IF($A135="","",IF(Y$1="","",COUNTIFS(tbl_chests[from],$A135,tbl_chests[legalized],Y$1,tbl_chests[datetime],"&gt;="&amp;TODAY()-WEEKDAY(TODAY(),2)+1,tbl_chests[datetime],"&lt;"&amp;TODAY()-WEEKDAY(TODAY(),2)+8)))</f>
        <v>0</v>
      </c>
      <c r="Z135" s="36">
        <f ca="1">IF($A135="","",IF(Z$1="","",COUNTIFS(tbl_chests[from],$A135,tbl_chests[legalized],Z$1,tbl_chests[datetime],"&gt;="&amp;TODAY()-WEEKDAY(TODAY(),2)+1,tbl_chests[datetime],"&lt;"&amp;TODAY()-WEEKDAY(TODAY(),2)+8)))</f>
        <v>0</v>
      </c>
      <c r="AA135" s="36">
        <f ca="1">IF($A135="","",IF(AA$1="","",COUNTIFS(tbl_chests[from],$A135,tbl_chests[legalized],AA$1,tbl_chests[datetime],"&gt;="&amp;TODAY()-WEEKDAY(TODAY(),2)+1,tbl_chests[datetime],"&lt;"&amp;TODAY()-WEEKDAY(TODAY(),2)+8)))</f>
        <v>0</v>
      </c>
      <c r="AB135" s="36">
        <f ca="1">IF($A135="","",IF(AB$1="","",COUNTIFS(tbl_chests[from],$A135,tbl_chests[legalized],AB$1,tbl_chests[datetime],"&gt;="&amp;TODAY()-WEEKDAY(TODAY(),2)+1,tbl_chests[datetime],"&lt;"&amp;TODAY()-WEEKDAY(TODAY(),2)+8)))</f>
        <v>0</v>
      </c>
      <c r="AC135" s="36">
        <f ca="1">IF($A135="","",IF(AC$1="","",COUNTIFS(tbl_chests[from],$A135,tbl_chests[legalized],AC$1,tbl_chests[datetime],"&gt;="&amp;TODAY()-WEEKDAY(TODAY(),2)+1,tbl_chests[datetime],"&lt;"&amp;TODAY()-WEEKDAY(TODAY(),2)+8)))</f>
        <v>0</v>
      </c>
      <c r="AD135" s="36">
        <f ca="1">IF($A135="","",IF(AD$1="","",COUNTIFS(tbl_chests[from],$A135,tbl_chests[legalized],AD$1,tbl_chests[datetime],"&gt;="&amp;TODAY()-WEEKDAY(TODAY(),2)+1,tbl_chests[datetime],"&lt;"&amp;TODAY()-WEEKDAY(TODAY(),2)+8)))</f>
        <v>0</v>
      </c>
      <c r="AE135" s="36">
        <f ca="1">IF($A135="","",IF(AE$1="","",COUNTIFS(tbl_chests[from],$A135,tbl_chests[legalized],AE$1,tbl_chests[datetime],"&gt;="&amp;TODAY()-WEEKDAY(TODAY(),2)+1,tbl_chests[datetime],"&lt;"&amp;TODAY()-WEEKDAY(TODAY(),2)+8)))</f>
        <v>0</v>
      </c>
      <c r="AF135" s="36">
        <f ca="1">IF($A135="","",IF(AF$1="","",COUNTIFS(tbl_chests[from],$A135,tbl_chests[legalized],AF$1,tbl_chests[datetime],"&gt;="&amp;TODAY()-WEEKDAY(TODAY(),2)+1,tbl_chests[datetime],"&lt;"&amp;TODAY()-WEEKDAY(TODAY(),2)+8)))</f>
        <v>0</v>
      </c>
      <c r="AG135" s="36">
        <f ca="1">IF($A135="","",IF(AG$1="","",COUNTIFS(tbl_chests[from],$A135,tbl_chests[legalized],AG$1,tbl_chests[datetime],"&gt;="&amp;TODAY()-WEEKDAY(TODAY(),2)+1,tbl_chests[datetime],"&lt;"&amp;TODAY()-WEEKDAY(TODAY(),2)+8)))</f>
        <v>0</v>
      </c>
      <c r="AH135" s="36">
        <f ca="1">IF($A135="","",IF(AH$1="","",COUNTIFS(tbl_chests[from],$A135,tbl_chests[legalized],AH$1,tbl_chests[datetime],"&gt;="&amp;TODAY()-WEEKDAY(TODAY(),2)+1,tbl_chests[datetime],"&lt;"&amp;TODAY()-WEEKDAY(TODAY(),2)+8)))</f>
        <v>0</v>
      </c>
      <c r="AI135" s="36">
        <f ca="1">IF($A135="","",IF(AI$1="","",COUNTIFS(tbl_chests[from],$A135,tbl_chests[legalized],AI$1,tbl_chests[datetime],"&gt;="&amp;TODAY()-WEEKDAY(TODAY(),2)+1,tbl_chests[datetime],"&lt;"&amp;TODAY()-WEEKDAY(TODAY(),2)+8)))</f>
        <v>0</v>
      </c>
      <c r="AJ135" s="36">
        <f ca="1">IF($A135="","",IF(AJ$1="","",COUNTIFS(tbl_chests[from],$A135,tbl_chests[legalized],AJ$1,tbl_chests[datetime],"&gt;="&amp;TODAY()-WEEKDAY(TODAY(),2)+1,tbl_chests[datetime],"&lt;"&amp;TODAY()-WEEKDAY(TODAY(),2)+8)))</f>
        <v>0</v>
      </c>
      <c r="AK135" s="36">
        <f ca="1">IF($A135="","",IF(AK$1="","",COUNTIFS(tbl_chests[from],$A135,tbl_chests[legalized],AK$1,tbl_chests[datetime],"&gt;="&amp;TODAY()-WEEKDAY(TODAY(),2)+1,tbl_chests[datetime],"&lt;"&amp;TODAY()-WEEKDAY(TODAY(),2)+8)))</f>
        <v>0</v>
      </c>
      <c r="AL135" s="36">
        <f ca="1">IF($A135="","",IF(AL$1="","",COUNTIFS(tbl_chests[from],$A135,tbl_chests[legalized],AL$1,tbl_chests[datetime],"&gt;="&amp;TODAY()-WEEKDAY(TODAY(),2)+1,tbl_chests[datetime],"&lt;"&amp;TODAY()-WEEKDAY(TODAY(),2)+8)))</f>
        <v>0</v>
      </c>
      <c r="AM135" s="37">
        <f ca="1">IF($A135="","",IF(AM$1="","",COUNTIFS(tbl_chests[from],$A135,tbl_chests[legalized],AM$1,tbl_chests[datetime],"&gt;="&amp;TODAY()-WEEKDAY(TODAY(),2)+1,tbl_chests[datetime],"&lt;"&amp;TODAY()-WEEKDAY(TODAY(),2)+8)))</f>
        <v>0</v>
      </c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 spans="1:67" ht="15.75" customHeight="1" thickBot="1" x14ac:dyDescent="0.3">
      <c r="A136" s="38">
        <f>chests_counter!$H133</f>
        <v>0</v>
      </c>
      <c r="B136" s="39" cm="1">
        <f t="array" aca="1" ref="B136" ca="1">IF(A136&lt;&gt;"", SUMPRODUCT(($C$2:$AM$2&lt;&gt;0)*(C136:AM136&lt;&gt;0)*($C$2:$AM$2)*(C136:AM136)), "")</f>
        <v>0</v>
      </c>
      <c r="C136" s="40">
        <f ca="1">IF($A136="","",IF(C$1="","",COUNTIFS(tbl_chests[from],$A136,tbl_chests[legalized],C$1,tbl_chests[datetime],"&gt;="&amp;TODAY()-WEEKDAY(TODAY(),2)+1,tbl_chests[datetime],"&lt;"&amp;TODAY()-WEEKDAY(TODAY(),2)+8)))</f>
        <v>0</v>
      </c>
      <c r="D136" s="40">
        <f ca="1">IF($A136="","",IF(D$1="","",COUNTIFS(tbl_chests[from],$A136,tbl_chests[legalized],D$1,tbl_chests[datetime],"&gt;="&amp;TODAY()-WEEKDAY(TODAY(),2)+1,tbl_chests[datetime],"&lt;"&amp;TODAY()-WEEKDAY(TODAY(),2)+8)))</f>
        <v>0</v>
      </c>
      <c r="E136" s="40">
        <f ca="1">IF($A136="","",IF(E$1="","",COUNTIFS(tbl_chests[from],$A136,tbl_chests[legalized],E$1,tbl_chests[datetime],"&gt;="&amp;TODAY()-WEEKDAY(TODAY(),2)+1,tbl_chests[datetime],"&lt;"&amp;TODAY()-WEEKDAY(TODAY(),2)+8)))</f>
        <v>0</v>
      </c>
      <c r="F136" s="40">
        <f ca="1">IF($A136="","",IF(F$1="","",COUNTIFS(tbl_chests[from],$A136,tbl_chests[legalized],F$1,tbl_chests[datetime],"&gt;="&amp;TODAY()-WEEKDAY(TODAY(),2)+1,tbl_chests[datetime],"&lt;"&amp;TODAY()-WEEKDAY(TODAY(),2)+8)))</f>
        <v>0</v>
      </c>
      <c r="G136" s="40">
        <f ca="1">IF($A136="","",IF(G$1="","",COUNTIFS(tbl_chests[from],$A136,tbl_chests[legalized],G$1,tbl_chests[datetime],"&gt;="&amp;TODAY()-WEEKDAY(TODAY(),2)+1,tbl_chests[datetime],"&lt;"&amp;TODAY()-WEEKDAY(TODAY(),2)+8)))</f>
        <v>0</v>
      </c>
      <c r="H136" s="40">
        <f ca="1">IF($A136="","",IF(H$1="","",COUNTIFS(tbl_chests[from],$A136,tbl_chests[legalized],H$1,tbl_chests[datetime],"&gt;="&amp;TODAY()-WEEKDAY(TODAY(),2)+1,tbl_chests[datetime],"&lt;"&amp;TODAY()-WEEKDAY(TODAY(),2)+8)))</f>
        <v>0</v>
      </c>
      <c r="I136" s="40">
        <f ca="1">IF($A136="","",IF(I$1="","",COUNTIFS(tbl_chests[from],$A136,tbl_chests[legalized],I$1,tbl_chests[datetime],"&gt;="&amp;TODAY()-WEEKDAY(TODAY(),2)+1,tbl_chests[datetime],"&lt;"&amp;TODAY()-WEEKDAY(TODAY(),2)+8)))</f>
        <v>0</v>
      </c>
      <c r="J136" s="40">
        <f ca="1">IF($A136="","",IF(J$1="","",COUNTIFS(tbl_chests[from],$A136,tbl_chests[legalized],J$1,tbl_chests[datetime],"&gt;="&amp;TODAY()-WEEKDAY(TODAY(),2)+1,tbl_chests[datetime],"&lt;"&amp;TODAY()-WEEKDAY(TODAY(),2)+8)))</f>
        <v>0</v>
      </c>
      <c r="K136" s="40">
        <f ca="1">IF($A136="","",IF(K$1="","",COUNTIFS(tbl_chests[from],$A136,tbl_chests[legalized],K$1,tbl_chests[datetime],"&gt;="&amp;TODAY()-WEEKDAY(TODAY(),2)+1,tbl_chests[datetime],"&lt;"&amp;TODAY()-WEEKDAY(TODAY(),2)+8)))</f>
        <v>0</v>
      </c>
      <c r="L136" s="40">
        <f ca="1">IF($A136="","",IF(L$1="","",COUNTIFS(tbl_chests[from],$A136,tbl_chests[legalized],L$1,tbl_chests[datetime],"&gt;="&amp;TODAY()-WEEKDAY(TODAY(),2)+1,tbl_chests[datetime],"&lt;"&amp;TODAY()-WEEKDAY(TODAY(),2)+8)))</f>
        <v>0</v>
      </c>
      <c r="M136" s="40">
        <f ca="1">IF($A136="","",IF(M$1="","",COUNTIFS(tbl_chests[from],$A136,tbl_chests[legalized],M$1,tbl_chests[datetime],"&gt;="&amp;TODAY()-WEEKDAY(TODAY(),2)+1,tbl_chests[datetime],"&lt;"&amp;TODAY()-WEEKDAY(TODAY(),2)+8)))</f>
        <v>0</v>
      </c>
      <c r="N136" s="40">
        <f ca="1">IF($A136="","",IF(N$1="","",COUNTIFS(tbl_chests[from],$A136,tbl_chests[legalized],N$1,tbl_chests[datetime],"&gt;="&amp;TODAY()-WEEKDAY(TODAY(),2)+1,tbl_chests[datetime],"&lt;"&amp;TODAY()-WEEKDAY(TODAY(),2)+8)))</f>
        <v>0</v>
      </c>
      <c r="O136" s="40">
        <f ca="1">IF($A136="","",IF(O$1="","",COUNTIFS(tbl_chests[from],$A136,tbl_chests[legalized],O$1,tbl_chests[datetime],"&gt;="&amp;TODAY()-WEEKDAY(TODAY(),2)+1,tbl_chests[datetime],"&lt;"&amp;TODAY()-WEEKDAY(TODAY(),2)+8)))</f>
        <v>0</v>
      </c>
      <c r="P136" s="40">
        <f ca="1">IF($A136="","",IF(P$1="","",COUNTIFS(tbl_chests[from],$A136,tbl_chests[legalized],P$1,tbl_chests[datetime],"&gt;="&amp;TODAY()-WEEKDAY(TODAY(),2)+1,tbl_chests[datetime],"&lt;"&amp;TODAY()-WEEKDAY(TODAY(),2)+8)))</f>
        <v>0</v>
      </c>
      <c r="Q136" s="40">
        <f ca="1">IF($A136="","",IF(Q$1="","",COUNTIFS(tbl_chests[from],$A136,tbl_chests[legalized],Q$1,tbl_chests[datetime],"&gt;="&amp;TODAY()-WEEKDAY(TODAY(),2)+1,tbl_chests[datetime],"&lt;"&amp;TODAY()-WEEKDAY(TODAY(),2)+8)))</f>
        <v>0</v>
      </c>
      <c r="R136" s="40">
        <f ca="1">IF($A136="","",IF(R$1="","",COUNTIFS(tbl_chests[from],$A136,tbl_chests[legalized],R$1,tbl_chests[datetime],"&gt;="&amp;TODAY()-WEEKDAY(TODAY(),2)+1,tbl_chests[datetime],"&lt;"&amp;TODAY()-WEEKDAY(TODAY(),2)+8)))</f>
        <v>0</v>
      </c>
      <c r="S136" s="40">
        <f ca="1">IF($A136="","",IF(S$1="","",COUNTIFS(tbl_chests[from],$A136,tbl_chests[legalized],S$1,tbl_chests[datetime],"&gt;="&amp;TODAY()-WEEKDAY(TODAY(),2)+1,tbl_chests[datetime],"&lt;"&amp;TODAY()-WEEKDAY(TODAY(),2)+8)))</f>
        <v>0</v>
      </c>
      <c r="T136" s="40">
        <f ca="1">IF($A136="","",IF(T$1="","",COUNTIFS(tbl_chests[from],$A136,tbl_chests[legalized],T$1,tbl_chests[datetime],"&gt;="&amp;TODAY()-WEEKDAY(TODAY(),2)+1,tbl_chests[datetime],"&lt;"&amp;TODAY()-WEEKDAY(TODAY(),2)+8)))</f>
        <v>0</v>
      </c>
      <c r="U136" s="40">
        <f ca="1">IF($A136="","",IF(U$1="","",COUNTIFS(tbl_chests[from],$A136,tbl_chests[legalized],U$1,tbl_chests[datetime],"&gt;="&amp;TODAY()-WEEKDAY(TODAY(),2)+1,tbl_chests[datetime],"&lt;"&amp;TODAY()-WEEKDAY(TODAY(),2)+8)))</f>
        <v>0</v>
      </c>
      <c r="V136" s="40">
        <f ca="1">IF($A136="","",IF(V$1="","",COUNTIFS(tbl_chests[from],$A136,tbl_chests[legalized],V$1,tbl_chests[datetime],"&gt;="&amp;TODAY()-WEEKDAY(TODAY(),2)+1,tbl_chests[datetime],"&lt;"&amp;TODAY()-WEEKDAY(TODAY(),2)+8)))</f>
        <v>0</v>
      </c>
      <c r="W136" s="40">
        <f ca="1">IF($A136="","",IF(W$1="","",COUNTIFS(tbl_chests[from],$A136,tbl_chests[legalized],W$1,tbl_chests[datetime],"&gt;="&amp;TODAY()-WEEKDAY(TODAY(),2)+1,tbl_chests[datetime],"&lt;"&amp;TODAY()-WEEKDAY(TODAY(),2)+8)))</f>
        <v>0</v>
      </c>
      <c r="X136" s="40">
        <f ca="1">IF($A136="","",IF(X$1="","",COUNTIFS(tbl_chests[from],$A136,tbl_chests[legalized],X$1,tbl_chests[datetime],"&gt;="&amp;TODAY()-WEEKDAY(TODAY(),2)+1,tbl_chests[datetime],"&lt;"&amp;TODAY()-WEEKDAY(TODAY(),2)+8)))</f>
        <v>0</v>
      </c>
      <c r="Y136" s="40">
        <f ca="1">IF($A136="","",IF(Y$1="","",COUNTIFS(tbl_chests[from],$A136,tbl_chests[legalized],Y$1,tbl_chests[datetime],"&gt;="&amp;TODAY()-WEEKDAY(TODAY(),2)+1,tbl_chests[datetime],"&lt;"&amp;TODAY()-WEEKDAY(TODAY(),2)+8)))</f>
        <v>0</v>
      </c>
      <c r="Z136" s="40">
        <f ca="1">IF($A136="","",IF(Z$1="","",COUNTIFS(tbl_chests[from],$A136,tbl_chests[legalized],Z$1,tbl_chests[datetime],"&gt;="&amp;TODAY()-WEEKDAY(TODAY(),2)+1,tbl_chests[datetime],"&lt;"&amp;TODAY()-WEEKDAY(TODAY(),2)+8)))</f>
        <v>0</v>
      </c>
      <c r="AA136" s="40">
        <f ca="1">IF($A136="","",IF(AA$1="","",COUNTIFS(tbl_chests[from],$A136,tbl_chests[legalized],AA$1,tbl_chests[datetime],"&gt;="&amp;TODAY()-WEEKDAY(TODAY(),2)+1,tbl_chests[datetime],"&lt;"&amp;TODAY()-WEEKDAY(TODAY(),2)+8)))</f>
        <v>0</v>
      </c>
      <c r="AB136" s="40">
        <f ca="1">IF($A136="","",IF(AB$1="","",COUNTIFS(tbl_chests[from],$A136,tbl_chests[legalized],AB$1,tbl_chests[datetime],"&gt;="&amp;TODAY()-WEEKDAY(TODAY(),2)+1,tbl_chests[datetime],"&lt;"&amp;TODAY()-WEEKDAY(TODAY(),2)+8)))</f>
        <v>0</v>
      </c>
      <c r="AC136" s="40">
        <f ca="1">IF($A136="","",IF(AC$1="","",COUNTIFS(tbl_chests[from],$A136,tbl_chests[legalized],AC$1,tbl_chests[datetime],"&gt;="&amp;TODAY()-WEEKDAY(TODAY(),2)+1,tbl_chests[datetime],"&lt;"&amp;TODAY()-WEEKDAY(TODAY(),2)+8)))</f>
        <v>0</v>
      </c>
      <c r="AD136" s="40">
        <f ca="1">IF($A136="","",IF(AD$1="","",COUNTIFS(tbl_chests[from],$A136,tbl_chests[legalized],AD$1,tbl_chests[datetime],"&gt;="&amp;TODAY()-WEEKDAY(TODAY(),2)+1,tbl_chests[datetime],"&lt;"&amp;TODAY()-WEEKDAY(TODAY(),2)+8)))</f>
        <v>0</v>
      </c>
      <c r="AE136" s="40">
        <f ca="1">IF($A136="","",IF(AE$1="","",COUNTIFS(tbl_chests[from],$A136,tbl_chests[legalized],AE$1,tbl_chests[datetime],"&gt;="&amp;TODAY()-WEEKDAY(TODAY(),2)+1,tbl_chests[datetime],"&lt;"&amp;TODAY()-WEEKDAY(TODAY(),2)+8)))</f>
        <v>0</v>
      </c>
      <c r="AF136" s="40">
        <f ca="1">IF($A136="","",IF(AF$1="","",COUNTIFS(tbl_chests[from],$A136,tbl_chests[legalized],AF$1,tbl_chests[datetime],"&gt;="&amp;TODAY()-WEEKDAY(TODAY(),2)+1,tbl_chests[datetime],"&lt;"&amp;TODAY()-WEEKDAY(TODAY(),2)+8)))</f>
        <v>0</v>
      </c>
      <c r="AG136" s="40">
        <f ca="1">IF($A136="","",IF(AG$1="","",COUNTIFS(tbl_chests[from],$A136,tbl_chests[legalized],AG$1,tbl_chests[datetime],"&gt;="&amp;TODAY()-WEEKDAY(TODAY(),2)+1,tbl_chests[datetime],"&lt;"&amp;TODAY()-WEEKDAY(TODAY(),2)+8)))</f>
        <v>0</v>
      </c>
      <c r="AH136" s="40">
        <f ca="1">IF($A136="","",IF(AH$1="","",COUNTIFS(tbl_chests[from],$A136,tbl_chests[legalized],AH$1,tbl_chests[datetime],"&gt;="&amp;TODAY()-WEEKDAY(TODAY(),2)+1,tbl_chests[datetime],"&lt;"&amp;TODAY()-WEEKDAY(TODAY(),2)+8)))</f>
        <v>0</v>
      </c>
      <c r="AI136" s="40">
        <f ca="1">IF($A136="","",IF(AI$1="","",COUNTIFS(tbl_chests[from],$A136,tbl_chests[legalized],AI$1,tbl_chests[datetime],"&gt;="&amp;TODAY()-WEEKDAY(TODAY(),2)+1,tbl_chests[datetime],"&lt;"&amp;TODAY()-WEEKDAY(TODAY(),2)+8)))</f>
        <v>0</v>
      </c>
      <c r="AJ136" s="40">
        <f ca="1">IF($A136="","",IF(AJ$1="","",COUNTIFS(tbl_chests[from],$A136,tbl_chests[legalized],AJ$1,tbl_chests[datetime],"&gt;="&amp;TODAY()-WEEKDAY(TODAY(),2)+1,tbl_chests[datetime],"&lt;"&amp;TODAY()-WEEKDAY(TODAY(),2)+8)))</f>
        <v>0</v>
      </c>
      <c r="AK136" s="40">
        <f ca="1">IF($A136="","",IF(AK$1="","",COUNTIFS(tbl_chests[from],$A136,tbl_chests[legalized],AK$1,tbl_chests[datetime],"&gt;="&amp;TODAY()-WEEKDAY(TODAY(),2)+1,tbl_chests[datetime],"&lt;"&amp;TODAY()-WEEKDAY(TODAY(),2)+8)))</f>
        <v>0</v>
      </c>
      <c r="AL136" s="40">
        <f ca="1">IF($A136="","",IF(AL$1="","",COUNTIFS(tbl_chests[from],$A136,tbl_chests[legalized],AL$1,tbl_chests[datetime],"&gt;="&amp;TODAY()-WEEKDAY(TODAY(),2)+1,tbl_chests[datetime],"&lt;"&amp;TODAY()-WEEKDAY(TODAY(),2)+8)))</f>
        <v>0</v>
      </c>
      <c r="AM136" s="41">
        <f ca="1">IF($A136="","",IF(AM$1="","",COUNTIFS(tbl_chests[from],$A136,tbl_chests[legalized],AM$1,tbl_chests[datetime],"&gt;="&amp;TODAY()-WEEKDAY(TODAY(),2)+1,tbl_chests[datetime],"&lt;"&amp;TODAY()-WEEKDAY(TODAY(),2)+8)))</f>
        <v>0</v>
      </c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 spans="1:67" ht="15.75" customHeight="1" x14ac:dyDescent="0.25">
      <c r="A137" s="5"/>
      <c r="B137" s="5"/>
      <c r="C137" s="6" t="str">
        <f>IF($A137 = "","",IF(C$1 = "","",COUNTIFS(#REF!,$A137,#REF!,C$1)))</f>
        <v/>
      </c>
      <c r="D137" s="6" t="str">
        <f>IF($A137 = "","",IF(D$1 = "","",COUNTIFS(#REF!,$A137,#REF!,D$1)))</f>
        <v/>
      </c>
      <c r="E137" s="6" t="str">
        <f>IF($A137 = "","",IF(E$1 = "","",COUNTIFS(#REF!,$A137,#REF!,E$1)))</f>
        <v/>
      </c>
      <c r="F137" s="6" t="str">
        <f>IF($A137 = "","",IF(F$1 = "","",COUNTIFS(#REF!,$A137,#REF!,F$1)))</f>
        <v/>
      </c>
      <c r="G137" s="6" t="str">
        <f>IF($A137 = "","",IF(G$1 = "","",COUNTIFS(#REF!,$A137,#REF!,G$1)))</f>
        <v/>
      </c>
      <c r="H137" s="6" t="str">
        <f>IF($A137 = "","",IF(H$1 = "","",COUNTIFS(#REF!,$A137,#REF!,H$1)))</f>
        <v/>
      </c>
      <c r="I137" s="6" t="str">
        <f>IF($A137 = "","",IF(I$1 = "","",COUNTIFS(#REF!,$A137,#REF!,I$1)))</f>
        <v/>
      </c>
      <c r="J137" s="6" t="str">
        <f>IF($A137 = "","",IF(J$1 = "","",COUNTIFS(#REF!,$A137,#REF!,J$1)))</f>
        <v/>
      </c>
      <c r="K137" s="6" t="str">
        <f>IF($A137 = "","",IF(K$1 = "","",COUNTIFS(#REF!,$A137,#REF!,K$1)))</f>
        <v/>
      </c>
      <c r="L137" s="6" t="str">
        <f>IF($A137 = "","",IF(L$1 = "","",COUNTIFS(#REF!,$A137,#REF!,L$1)))</f>
        <v/>
      </c>
      <c r="M137" s="6" t="str">
        <f>IF($A137 = "","",IF(M$1 = "","",COUNTIFS(#REF!,$A137,#REF!,M$1)))</f>
        <v/>
      </c>
      <c r="N137" s="6" t="str">
        <f>IF($A137 = "","",IF(N$1 = "","",COUNTIFS(#REF!,$A137,#REF!,N$1)))</f>
        <v/>
      </c>
      <c r="O137" s="6" t="str">
        <f>IF($A137 = "","",IF(O$1 = "","",COUNTIFS(#REF!,$A137,#REF!,O$1)))</f>
        <v/>
      </c>
      <c r="P137" s="6" t="str">
        <f>IF($A137 = "","",IF(P$1 = "","",COUNTIFS(#REF!,$A137,#REF!,P$1)))</f>
        <v/>
      </c>
      <c r="Q137" s="6" t="str">
        <f>IF($A137 = "","",IF(Q$1 = "","",COUNTIFS(#REF!,$A137,#REF!,Q$1)))</f>
        <v/>
      </c>
      <c r="R137" s="6" t="str">
        <f>IF($A137 = "","",IF(R$1 = "","",COUNTIFS(#REF!,$A137,#REF!,R$1)))</f>
        <v/>
      </c>
      <c r="S137" s="6" t="str">
        <f>IF($A137 = "","",IF(S$1 = "","",COUNTIFS(#REF!,$A137,#REF!,S$1)))</f>
        <v/>
      </c>
      <c r="T137" s="6" t="str">
        <f>IF($A137 = "","",IF(T$1 = "","",COUNTIFS(#REF!,$A137,#REF!,T$1)))</f>
        <v/>
      </c>
      <c r="U137" s="6" t="str">
        <f>IF($A137 = "","",IF(U$1 = "","",COUNTIFS(#REF!,$A137,#REF!,U$1)))</f>
        <v/>
      </c>
      <c r="V137" s="6" t="str">
        <f>IF($A137 = "","",IF(V$1 = "","",COUNTIFS(#REF!,$A137,#REF!,V$1)))</f>
        <v/>
      </c>
      <c r="W137" s="6" t="str">
        <f>IF($A137 = "","",IF(W$1 = "","",COUNTIFS(#REF!,$A137,#REF!,W$1)))</f>
        <v/>
      </c>
      <c r="X137" s="6" t="str">
        <f>IF($A137 = "","",IF(X$1 = "","",COUNTIFS(#REF!,$A137,#REF!,X$1)))</f>
        <v/>
      </c>
      <c r="Y137" s="6" t="str">
        <f>IF($A137 = "","",IF(Y$1 = "","",COUNTIFS(#REF!,$A137,#REF!,Y$1)))</f>
        <v/>
      </c>
      <c r="Z137" s="6" t="str">
        <f>IF($A137 = "","",IF(Z$1 = "","",COUNTIFS(#REF!,$A137,#REF!,Z$1)))</f>
        <v/>
      </c>
      <c r="AA137" s="6" t="str">
        <f>IF($A137 = "","",IF(AA$1 = "","",COUNTIFS(#REF!,$A137,#REF!,AA$1)))</f>
        <v/>
      </c>
      <c r="AB137" s="6" t="str">
        <f>IF($A137 = "","",IF(AB$1 = "","",COUNTIFS(#REF!,$A137,#REF!,AB$1)))</f>
        <v/>
      </c>
      <c r="AC137" s="6" t="str">
        <f>IF($A137 = "","",IF(AC$1 = "","",COUNTIFS(#REF!,$A137,#REF!,AC$1)))</f>
        <v/>
      </c>
      <c r="AD137" s="6" t="str">
        <f>IF($A137 = "","",IF(AD$1 = "","",COUNTIFS(#REF!,$A137,#REF!,AD$1)))</f>
        <v/>
      </c>
      <c r="AE137" s="6" t="str">
        <f>IF($A137 = "","",IF(AE$1 = "","",COUNTIFS(#REF!,$A137,#REF!,AE$1)))</f>
        <v/>
      </c>
      <c r="AF137" s="6" t="str">
        <f>IF($A137 = "","",IF(AF$1 = "","",COUNTIFS(#REF!,$A137,#REF!,AF$1)))</f>
        <v/>
      </c>
      <c r="AG137" s="6" t="str">
        <f>IF($A137 = "","",IF(AG$1 = "","",COUNTIFS(#REF!,$A137,#REF!,AG$1)))</f>
        <v/>
      </c>
      <c r="AH137" s="6" t="str">
        <f>IF($A137 = "","",IF(AH$1 = "","",COUNTIFS(#REF!,$A137,#REF!,AH$1)))</f>
        <v/>
      </c>
      <c r="AI137" s="6" t="str">
        <f>IF($A137 = "","",IF(AI$1 = "","",COUNTIFS(#REF!,$A137,#REF!,AI$1)))</f>
        <v/>
      </c>
      <c r="AJ137" s="6" t="str">
        <f>IF($A137 = "","",IF(AJ$1 = "","",COUNTIFS(#REF!,$A137,#REF!,AJ$1)))</f>
        <v/>
      </c>
      <c r="AK137" s="6" t="str">
        <f>IF($A137 = "","",IF(AK$1 = "","",COUNTIFS(#REF!,$A137,#REF!,AK$1)))</f>
        <v/>
      </c>
      <c r="AL137" s="6" t="str">
        <f>IF($A137 = "","",IF(AL$1 = "","",COUNTIFS(#REF!,$A137,#REF!,AL$1)))</f>
        <v/>
      </c>
      <c r="AM137" s="6" t="str">
        <f>IF($A137 = "","",IF(AM$1 = "","",COUNTIFS(#REF!,$A137,#REF!,AM$1)))</f>
        <v/>
      </c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 spans="1:67" ht="15.75" customHeight="1" x14ac:dyDescent="0.25">
      <c r="A138" s="5"/>
      <c r="B138" s="5"/>
      <c r="C138" s="6" t="str">
        <f>IF($A138 = "","",IF(C$1 = "","",COUNTIFS(#REF!,$A138,#REF!,C$1)))</f>
        <v/>
      </c>
      <c r="D138" s="6" t="str">
        <f>IF($A138 = "","",IF(D$1 = "","",COUNTIFS(#REF!,$A138,#REF!,D$1)))</f>
        <v/>
      </c>
      <c r="E138" s="6" t="str">
        <f>IF($A138 = "","",IF(E$1 = "","",COUNTIFS(#REF!,$A138,#REF!,E$1)))</f>
        <v/>
      </c>
      <c r="F138" s="6" t="str">
        <f>IF($A138 = "","",IF(F$1 = "","",COUNTIFS(#REF!,$A138,#REF!,F$1)))</f>
        <v/>
      </c>
      <c r="G138" s="6" t="str">
        <f>IF($A138 = "","",IF(G$1 = "","",COUNTIFS(#REF!,$A138,#REF!,G$1)))</f>
        <v/>
      </c>
      <c r="H138" s="6" t="str">
        <f>IF($A138 = "","",IF(H$1 = "","",COUNTIFS(#REF!,$A138,#REF!,H$1)))</f>
        <v/>
      </c>
      <c r="I138" s="6" t="str">
        <f>IF($A138 = "","",IF(I$1 = "","",COUNTIFS(#REF!,$A138,#REF!,I$1)))</f>
        <v/>
      </c>
      <c r="J138" s="6" t="str">
        <f>IF($A138 = "","",IF(J$1 = "","",COUNTIFS(#REF!,$A138,#REF!,J$1)))</f>
        <v/>
      </c>
      <c r="K138" s="6" t="str">
        <f>IF($A138 = "","",IF(K$1 = "","",COUNTIFS(#REF!,$A138,#REF!,K$1)))</f>
        <v/>
      </c>
      <c r="L138" s="6" t="str">
        <f>IF($A138 = "","",IF(L$1 = "","",COUNTIFS(#REF!,$A138,#REF!,L$1)))</f>
        <v/>
      </c>
      <c r="M138" s="6" t="str">
        <f>IF($A138 = "","",IF(M$1 = "","",COUNTIFS(#REF!,$A138,#REF!,M$1)))</f>
        <v/>
      </c>
      <c r="N138" s="6" t="str">
        <f>IF($A138 = "","",IF(N$1 = "","",COUNTIFS(#REF!,$A138,#REF!,N$1)))</f>
        <v/>
      </c>
      <c r="O138" s="6" t="str">
        <f>IF($A138 = "","",IF(O$1 = "","",COUNTIFS(#REF!,$A138,#REF!,O$1)))</f>
        <v/>
      </c>
      <c r="P138" s="6" t="str">
        <f>IF($A138 = "","",IF(P$1 = "","",COUNTIFS(#REF!,$A138,#REF!,P$1)))</f>
        <v/>
      </c>
      <c r="Q138" s="6" t="str">
        <f>IF($A138 = "","",IF(Q$1 = "","",COUNTIFS(#REF!,$A138,#REF!,Q$1)))</f>
        <v/>
      </c>
      <c r="R138" s="6" t="str">
        <f>IF($A138 = "","",IF(R$1 = "","",COUNTIFS(#REF!,$A138,#REF!,R$1)))</f>
        <v/>
      </c>
      <c r="S138" s="6" t="str">
        <f>IF($A138 = "","",IF(S$1 = "","",COUNTIFS(#REF!,$A138,#REF!,S$1)))</f>
        <v/>
      </c>
      <c r="T138" s="6" t="str">
        <f>IF($A138 = "","",IF(T$1 = "","",COUNTIFS(#REF!,$A138,#REF!,T$1)))</f>
        <v/>
      </c>
      <c r="U138" s="6" t="str">
        <f>IF($A138 = "","",IF(U$1 = "","",COUNTIFS(#REF!,$A138,#REF!,U$1)))</f>
        <v/>
      </c>
      <c r="V138" s="6" t="str">
        <f>IF($A138 = "","",IF(V$1 = "","",COUNTIFS(#REF!,$A138,#REF!,V$1)))</f>
        <v/>
      </c>
      <c r="W138" s="6" t="str">
        <f>IF($A138 = "","",IF(W$1 = "","",COUNTIFS(#REF!,$A138,#REF!,W$1)))</f>
        <v/>
      </c>
      <c r="X138" s="6" t="str">
        <f>IF($A138 = "","",IF(X$1 = "","",COUNTIFS(#REF!,$A138,#REF!,X$1)))</f>
        <v/>
      </c>
      <c r="Y138" s="6" t="str">
        <f>IF($A138 = "","",IF(Y$1 = "","",COUNTIFS(#REF!,$A138,#REF!,Y$1)))</f>
        <v/>
      </c>
      <c r="Z138" s="6" t="str">
        <f>IF($A138 = "","",IF(Z$1 = "","",COUNTIFS(#REF!,$A138,#REF!,Z$1)))</f>
        <v/>
      </c>
      <c r="AA138" s="6" t="str">
        <f>IF($A138 = "","",IF(AA$1 = "","",COUNTIFS(#REF!,$A138,#REF!,AA$1)))</f>
        <v/>
      </c>
      <c r="AB138" s="6" t="str">
        <f>IF($A138 = "","",IF(AB$1 = "","",COUNTIFS(#REF!,$A138,#REF!,AB$1)))</f>
        <v/>
      </c>
      <c r="AC138" s="6" t="str">
        <f>IF($A138 = "","",IF(AC$1 = "","",COUNTIFS(#REF!,$A138,#REF!,AC$1)))</f>
        <v/>
      </c>
      <c r="AD138" s="6" t="str">
        <f>IF($A138 = "","",IF(AD$1 = "","",COUNTIFS(#REF!,$A138,#REF!,AD$1)))</f>
        <v/>
      </c>
      <c r="AE138" s="6" t="str">
        <f>IF($A138 = "","",IF(AE$1 = "","",COUNTIFS(#REF!,$A138,#REF!,AE$1)))</f>
        <v/>
      </c>
      <c r="AF138" s="6" t="str">
        <f>IF($A138 = "","",IF(AF$1 = "","",COUNTIFS(#REF!,$A138,#REF!,AF$1)))</f>
        <v/>
      </c>
      <c r="AG138" s="6" t="str">
        <f>IF($A138 = "","",IF(AG$1 = "","",COUNTIFS(#REF!,$A138,#REF!,AG$1)))</f>
        <v/>
      </c>
      <c r="AH138" s="6" t="str">
        <f>IF($A138 = "","",IF(AH$1 = "","",COUNTIFS(#REF!,$A138,#REF!,AH$1)))</f>
        <v/>
      </c>
      <c r="AI138" s="6" t="str">
        <f>IF($A138 = "","",IF(AI$1 = "","",COUNTIFS(#REF!,$A138,#REF!,AI$1)))</f>
        <v/>
      </c>
      <c r="AJ138" s="6" t="str">
        <f>IF($A138 = "","",IF(AJ$1 = "","",COUNTIFS(#REF!,$A138,#REF!,AJ$1)))</f>
        <v/>
      </c>
      <c r="AK138" s="6" t="str">
        <f>IF($A138 = "","",IF(AK$1 = "","",COUNTIFS(#REF!,$A138,#REF!,AK$1)))</f>
        <v/>
      </c>
      <c r="AL138" s="6" t="str">
        <f>IF($A138 = "","",IF(AL$1 = "","",COUNTIFS(#REF!,$A138,#REF!,AL$1)))</f>
        <v/>
      </c>
      <c r="AM138" s="6" t="str">
        <f>IF($A138 = "","",IF(AM$1 = "","",COUNTIFS(#REF!,$A138,#REF!,AM$1)))</f>
        <v/>
      </c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 spans="1:67" ht="15.75" customHeight="1" x14ac:dyDescent="0.25">
      <c r="A139" s="5"/>
      <c r="B139" s="5"/>
      <c r="C139" s="6" t="str">
        <f>IF($A139 = "","",IF(C$1 = "","",COUNTIFS(#REF!,$A139,#REF!,C$1)))</f>
        <v/>
      </c>
      <c r="D139" s="6" t="str">
        <f>IF($A139 = "","",IF(D$1 = "","",COUNTIFS(#REF!,$A139,#REF!,D$1)))</f>
        <v/>
      </c>
      <c r="E139" s="6" t="str">
        <f>IF($A139 = "","",IF(E$1 = "","",COUNTIFS(#REF!,$A139,#REF!,E$1)))</f>
        <v/>
      </c>
      <c r="F139" s="6" t="str">
        <f>IF($A139 = "","",IF(F$1 = "","",COUNTIFS(#REF!,$A139,#REF!,F$1)))</f>
        <v/>
      </c>
      <c r="G139" s="6" t="str">
        <f>IF($A139 = "","",IF(G$1 = "","",COUNTIFS(#REF!,$A139,#REF!,G$1)))</f>
        <v/>
      </c>
      <c r="H139" s="6" t="str">
        <f>IF($A139 = "","",IF(H$1 = "","",COUNTIFS(#REF!,$A139,#REF!,H$1)))</f>
        <v/>
      </c>
      <c r="I139" s="6" t="str">
        <f>IF($A139 = "","",IF(I$1 = "","",COUNTIFS(#REF!,$A139,#REF!,I$1)))</f>
        <v/>
      </c>
      <c r="J139" s="6" t="str">
        <f>IF($A139 = "","",IF(J$1 = "","",COUNTIFS(#REF!,$A139,#REF!,J$1)))</f>
        <v/>
      </c>
      <c r="K139" s="6" t="str">
        <f>IF($A139 = "","",IF(K$1 = "","",COUNTIFS(#REF!,$A139,#REF!,K$1)))</f>
        <v/>
      </c>
      <c r="L139" s="6" t="str">
        <f>IF($A139 = "","",IF(L$1 = "","",COUNTIFS(#REF!,$A139,#REF!,L$1)))</f>
        <v/>
      </c>
      <c r="M139" s="6" t="str">
        <f>IF($A139 = "","",IF(M$1 = "","",COUNTIFS(#REF!,$A139,#REF!,M$1)))</f>
        <v/>
      </c>
      <c r="N139" s="6" t="str">
        <f>IF($A139 = "","",IF(N$1 = "","",COUNTIFS(#REF!,$A139,#REF!,N$1)))</f>
        <v/>
      </c>
      <c r="O139" s="6" t="str">
        <f>IF($A139 = "","",IF(O$1 = "","",COUNTIFS(#REF!,$A139,#REF!,O$1)))</f>
        <v/>
      </c>
      <c r="P139" s="6" t="str">
        <f>IF($A139 = "","",IF(P$1 = "","",COUNTIFS(#REF!,$A139,#REF!,P$1)))</f>
        <v/>
      </c>
      <c r="Q139" s="6" t="str">
        <f>IF($A139 = "","",IF(Q$1 = "","",COUNTIFS(#REF!,$A139,#REF!,Q$1)))</f>
        <v/>
      </c>
      <c r="R139" s="6" t="str">
        <f>IF($A139 = "","",IF(R$1 = "","",COUNTIFS(#REF!,$A139,#REF!,R$1)))</f>
        <v/>
      </c>
      <c r="S139" s="6" t="str">
        <f>IF($A139 = "","",IF(S$1 = "","",COUNTIFS(#REF!,$A139,#REF!,S$1)))</f>
        <v/>
      </c>
      <c r="T139" s="6" t="str">
        <f>IF($A139 = "","",IF(T$1 = "","",COUNTIFS(#REF!,$A139,#REF!,T$1)))</f>
        <v/>
      </c>
      <c r="U139" s="6" t="str">
        <f>IF($A139 = "","",IF(U$1 = "","",COUNTIFS(#REF!,$A139,#REF!,U$1)))</f>
        <v/>
      </c>
      <c r="V139" s="6" t="str">
        <f>IF($A139 = "","",IF(V$1 = "","",COUNTIFS(#REF!,$A139,#REF!,V$1)))</f>
        <v/>
      </c>
      <c r="W139" s="6" t="str">
        <f>IF($A139 = "","",IF(W$1 = "","",COUNTIFS(#REF!,$A139,#REF!,W$1)))</f>
        <v/>
      </c>
      <c r="X139" s="6" t="str">
        <f>IF($A139 = "","",IF(X$1 = "","",COUNTIFS(#REF!,$A139,#REF!,X$1)))</f>
        <v/>
      </c>
      <c r="Y139" s="6" t="str">
        <f>IF($A139 = "","",IF(Y$1 = "","",COUNTIFS(#REF!,$A139,#REF!,Y$1)))</f>
        <v/>
      </c>
      <c r="Z139" s="6" t="str">
        <f>IF($A139 = "","",IF(Z$1 = "","",COUNTIFS(#REF!,$A139,#REF!,Z$1)))</f>
        <v/>
      </c>
      <c r="AA139" s="6" t="str">
        <f>IF($A139 = "","",IF(AA$1 = "","",COUNTIFS(#REF!,$A139,#REF!,AA$1)))</f>
        <v/>
      </c>
      <c r="AB139" s="6" t="str">
        <f>IF($A139 = "","",IF(AB$1 = "","",COUNTIFS(#REF!,$A139,#REF!,AB$1)))</f>
        <v/>
      </c>
      <c r="AC139" s="6" t="str">
        <f>IF($A139 = "","",IF(AC$1 = "","",COUNTIFS(#REF!,$A139,#REF!,AC$1)))</f>
        <v/>
      </c>
      <c r="AD139" s="6" t="str">
        <f>IF($A139 = "","",IF(AD$1 = "","",COUNTIFS(#REF!,$A139,#REF!,AD$1)))</f>
        <v/>
      </c>
      <c r="AE139" s="6" t="str">
        <f>IF($A139 = "","",IF(AE$1 = "","",COUNTIFS(#REF!,$A139,#REF!,AE$1)))</f>
        <v/>
      </c>
      <c r="AF139" s="6" t="str">
        <f>IF($A139 = "","",IF(AF$1 = "","",COUNTIFS(#REF!,$A139,#REF!,AF$1)))</f>
        <v/>
      </c>
      <c r="AG139" s="6" t="str">
        <f>IF($A139 = "","",IF(AG$1 = "","",COUNTIFS(#REF!,$A139,#REF!,AG$1)))</f>
        <v/>
      </c>
      <c r="AH139" s="6" t="str">
        <f>IF($A139 = "","",IF(AH$1 = "","",COUNTIFS(#REF!,$A139,#REF!,AH$1)))</f>
        <v/>
      </c>
      <c r="AI139" s="6" t="str">
        <f>IF($A139 = "","",IF(AI$1 = "","",COUNTIFS(#REF!,$A139,#REF!,AI$1)))</f>
        <v/>
      </c>
      <c r="AJ139" s="6" t="str">
        <f>IF($A139 = "","",IF(AJ$1 = "","",COUNTIFS(#REF!,$A139,#REF!,AJ$1)))</f>
        <v/>
      </c>
      <c r="AK139" s="6" t="str">
        <f>IF($A139 = "","",IF(AK$1 = "","",COUNTIFS(#REF!,$A139,#REF!,AK$1)))</f>
        <v/>
      </c>
      <c r="AL139" s="6" t="str">
        <f>IF($A139 = "","",IF(AL$1 = "","",COUNTIFS(#REF!,$A139,#REF!,AL$1)))</f>
        <v/>
      </c>
      <c r="AM139" s="6" t="str">
        <f>IF($A139 = "","",IF(AM$1 = "","",COUNTIFS(#REF!,$A139,#REF!,AM$1)))</f>
        <v/>
      </c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 spans="1:67" ht="15.75" customHeight="1" x14ac:dyDescent="0.25">
      <c r="A140" s="5"/>
      <c r="B140" s="5"/>
      <c r="C140" s="6" t="str">
        <f>IF($A140 = "","",IF(C$1 = "","",COUNTIFS(#REF!,$A140,#REF!,C$1)))</f>
        <v/>
      </c>
      <c r="D140" s="6" t="str">
        <f>IF($A140 = "","",IF(D$1 = "","",COUNTIFS(#REF!,$A140,#REF!,D$1)))</f>
        <v/>
      </c>
      <c r="E140" s="6" t="str">
        <f>IF($A140 = "","",IF(E$1 = "","",COUNTIFS(#REF!,$A140,#REF!,E$1)))</f>
        <v/>
      </c>
      <c r="F140" s="6" t="str">
        <f>IF($A140 = "","",IF(F$1 = "","",COUNTIFS(#REF!,$A140,#REF!,F$1)))</f>
        <v/>
      </c>
      <c r="G140" s="6" t="str">
        <f>IF($A140 = "","",IF(G$1 = "","",COUNTIFS(#REF!,$A140,#REF!,G$1)))</f>
        <v/>
      </c>
      <c r="H140" s="6" t="str">
        <f>IF($A140 = "","",IF(H$1 = "","",COUNTIFS(#REF!,$A140,#REF!,H$1)))</f>
        <v/>
      </c>
      <c r="I140" s="6" t="str">
        <f>IF($A140 = "","",IF(I$1 = "","",COUNTIFS(#REF!,$A140,#REF!,I$1)))</f>
        <v/>
      </c>
      <c r="J140" s="6" t="str">
        <f>IF($A140 = "","",IF(J$1 = "","",COUNTIFS(#REF!,$A140,#REF!,J$1)))</f>
        <v/>
      </c>
      <c r="K140" s="6" t="str">
        <f>IF($A140 = "","",IF(K$1 = "","",COUNTIFS(#REF!,$A140,#REF!,K$1)))</f>
        <v/>
      </c>
      <c r="L140" s="6" t="str">
        <f>IF($A140 = "","",IF(L$1 = "","",COUNTIFS(#REF!,$A140,#REF!,L$1)))</f>
        <v/>
      </c>
      <c r="M140" s="6" t="str">
        <f>IF($A140 = "","",IF(M$1 = "","",COUNTIFS(#REF!,$A140,#REF!,M$1)))</f>
        <v/>
      </c>
      <c r="N140" s="6" t="str">
        <f>IF($A140 = "","",IF(N$1 = "","",COUNTIFS(#REF!,$A140,#REF!,N$1)))</f>
        <v/>
      </c>
      <c r="O140" s="6" t="str">
        <f>IF($A140 = "","",IF(O$1 = "","",COUNTIFS(#REF!,$A140,#REF!,O$1)))</f>
        <v/>
      </c>
      <c r="P140" s="6" t="str">
        <f>IF($A140 = "","",IF(P$1 = "","",COUNTIFS(#REF!,$A140,#REF!,P$1)))</f>
        <v/>
      </c>
      <c r="Q140" s="6" t="str">
        <f>IF($A140 = "","",IF(Q$1 = "","",COUNTIFS(#REF!,$A140,#REF!,Q$1)))</f>
        <v/>
      </c>
      <c r="R140" s="6" t="str">
        <f>IF($A140 = "","",IF(R$1 = "","",COUNTIFS(#REF!,$A140,#REF!,R$1)))</f>
        <v/>
      </c>
      <c r="S140" s="6" t="str">
        <f>IF($A140 = "","",IF(S$1 = "","",COUNTIFS(#REF!,$A140,#REF!,S$1)))</f>
        <v/>
      </c>
      <c r="T140" s="6" t="str">
        <f>IF($A140 = "","",IF(T$1 = "","",COUNTIFS(#REF!,$A140,#REF!,T$1)))</f>
        <v/>
      </c>
      <c r="U140" s="6" t="str">
        <f>IF($A140 = "","",IF(U$1 = "","",COUNTIFS(#REF!,$A140,#REF!,U$1)))</f>
        <v/>
      </c>
      <c r="V140" s="6" t="str">
        <f>IF($A140 = "","",IF(V$1 = "","",COUNTIFS(#REF!,$A140,#REF!,V$1)))</f>
        <v/>
      </c>
      <c r="W140" s="6" t="str">
        <f>IF($A140 = "","",IF(W$1 = "","",COUNTIFS(#REF!,$A140,#REF!,W$1)))</f>
        <v/>
      </c>
      <c r="X140" s="6" t="str">
        <f>IF($A140 = "","",IF(X$1 = "","",COUNTIFS(#REF!,$A140,#REF!,X$1)))</f>
        <v/>
      </c>
      <c r="Y140" s="6" t="str">
        <f>IF($A140 = "","",IF(Y$1 = "","",COUNTIFS(#REF!,$A140,#REF!,Y$1)))</f>
        <v/>
      </c>
      <c r="Z140" s="6" t="str">
        <f>IF($A140 = "","",IF(Z$1 = "","",COUNTIFS(#REF!,$A140,#REF!,Z$1)))</f>
        <v/>
      </c>
      <c r="AA140" s="6" t="str">
        <f>IF($A140 = "","",IF(AA$1 = "","",COUNTIFS(#REF!,$A140,#REF!,AA$1)))</f>
        <v/>
      </c>
      <c r="AB140" s="6" t="str">
        <f>IF($A140 = "","",IF(AB$1 = "","",COUNTIFS(#REF!,$A140,#REF!,AB$1)))</f>
        <v/>
      </c>
      <c r="AC140" s="6" t="str">
        <f>IF($A140 = "","",IF(AC$1 = "","",COUNTIFS(#REF!,$A140,#REF!,AC$1)))</f>
        <v/>
      </c>
      <c r="AD140" s="6" t="str">
        <f>IF($A140 = "","",IF(AD$1 = "","",COUNTIFS(#REF!,$A140,#REF!,AD$1)))</f>
        <v/>
      </c>
      <c r="AE140" s="6" t="str">
        <f>IF($A140 = "","",IF(AE$1 = "","",COUNTIFS(#REF!,$A140,#REF!,AE$1)))</f>
        <v/>
      </c>
      <c r="AF140" s="6" t="str">
        <f>IF($A140 = "","",IF(AF$1 = "","",COUNTIFS(#REF!,$A140,#REF!,AF$1)))</f>
        <v/>
      </c>
      <c r="AG140" s="6" t="str">
        <f>IF($A140 = "","",IF(AG$1 = "","",COUNTIFS(#REF!,$A140,#REF!,AG$1)))</f>
        <v/>
      </c>
      <c r="AH140" s="6" t="str">
        <f>IF($A140 = "","",IF(AH$1 = "","",COUNTIFS(#REF!,$A140,#REF!,AH$1)))</f>
        <v/>
      </c>
      <c r="AI140" s="6" t="str">
        <f>IF($A140 = "","",IF(AI$1 = "","",COUNTIFS(#REF!,$A140,#REF!,AI$1)))</f>
        <v/>
      </c>
      <c r="AJ140" s="6" t="str">
        <f>IF($A140 = "","",IF(AJ$1 = "","",COUNTIFS(#REF!,$A140,#REF!,AJ$1)))</f>
        <v/>
      </c>
      <c r="AK140" s="6" t="str">
        <f>IF($A140 = "","",IF(AK$1 = "","",COUNTIFS(#REF!,$A140,#REF!,AK$1)))</f>
        <v/>
      </c>
      <c r="AL140" s="6" t="str">
        <f>IF($A140 = "","",IF(AL$1 = "","",COUNTIFS(#REF!,$A140,#REF!,AL$1)))</f>
        <v/>
      </c>
      <c r="AM140" s="6" t="str">
        <f>IF($A140 = "","",IF(AM$1 = "","",COUNTIFS(#REF!,$A140,#REF!,AM$1)))</f>
        <v/>
      </c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 spans="1:67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 spans="1:67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 spans="1:67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 spans="1:67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 spans="1:67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 spans="1:67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1:67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 spans="1:67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 spans="1:67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 spans="1:67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 spans="1:67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 spans="1:67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 spans="1:67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 spans="1:67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 spans="1:67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 spans="1:67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 spans="1:67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 spans="1:67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 spans="1:67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 spans="1:67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</row>
    <row r="161" spans="1:67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 spans="1:67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 spans="1:67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</row>
    <row r="164" spans="1:67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 spans="1:67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 spans="1:67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 spans="1:67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 spans="1:67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 spans="1:67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 spans="1:67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</row>
    <row r="171" spans="1:67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</row>
    <row r="172" spans="1:67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 spans="1:67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</row>
    <row r="174" spans="1:67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1:67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 spans="1:67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</row>
    <row r="177" spans="1:67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 spans="1:67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</row>
    <row r="179" spans="1:67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</row>
    <row r="180" spans="1:67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 spans="1:67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</row>
    <row r="182" spans="1:67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 spans="1:67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</row>
    <row r="184" spans="1:67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 spans="1:67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</row>
    <row r="186" spans="1:67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 spans="1:67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</row>
    <row r="188" spans="1:67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 spans="1:67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</row>
    <row r="190" spans="1:67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 spans="1:67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</row>
    <row r="192" spans="1:67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 spans="1:67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</row>
    <row r="194" spans="1:67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 spans="1:67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</row>
    <row r="196" spans="1:67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 spans="1:67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</row>
    <row r="198" spans="1:67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 spans="1:67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</row>
    <row r="200" spans="1:67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 spans="1:67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</row>
    <row r="202" spans="1:67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1:67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 spans="1:67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</row>
    <row r="205" spans="1:67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</row>
    <row r="206" spans="1:67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 spans="1:67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</row>
    <row r="208" spans="1:67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</row>
    <row r="209" spans="1:67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 spans="1:67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</row>
    <row r="211" spans="1:67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 spans="1:67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 spans="1:67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</row>
    <row r="214" spans="1:67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 spans="1:67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</row>
    <row r="216" spans="1:67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 spans="1:67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</row>
    <row r="218" spans="1:67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 spans="1:67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 spans="1:67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</row>
    <row r="221" spans="1:67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 spans="1:67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 spans="1:67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</row>
    <row r="224" spans="1:67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 spans="1:67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</row>
    <row r="226" spans="1:67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</row>
    <row r="227" spans="1:67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 spans="1:67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</row>
    <row r="229" spans="1:67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</row>
    <row r="230" spans="1:67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 spans="1:67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 spans="1:67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 spans="1:67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 spans="1:67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 spans="1:67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 spans="1:67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</row>
    <row r="237" spans="1:67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 spans="1:67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</row>
    <row r="239" spans="1:67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</row>
    <row r="240" spans="1:67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</row>
    <row r="241" spans="1:67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</row>
    <row r="242" spans="1:67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</row>
    <row r="243" spans="1:67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</row>
    <row r="244" spans="1:67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</row>
    <row r="245" spans="1:67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</row>
    <row r="246" spans="1:67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</row>
    <row r="247" spans="1:67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</row>
    <row r="248" spans="1:67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</row>
    <row r="249" spans="1:67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</row>
    <row r="250" spans="1:67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</row>
    <row r="251" spans="1:67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</row>
    <row r="252" spans="1:67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</row>
    <row r="253" spans="1:67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</row>
    <row r="254" spans="1:67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</row>
    <row r="255" spans="1:67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</row>
    <row r="256" spans="1:67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</row>
    <row r="257" spans="1:67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</row>
    <row r="258" spans="1:67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</row>
    <row r="259" spans="1:67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</row>
    <row r="260" spans="1:67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</row>
    <row r="261" spans="1:67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</row>
    <row r="262" spans="1:67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</row>
    <row r="263" spans="1:67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</row>
    <row r="264" spans="1:67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</row>
    <row r="265" spans="1:67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</row>
    <row r="266" spans="1:67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</row>
    <row r="267" spans="1:67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</row>
    <row r="268" spans="1:67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</row>
    <row r="269" spans="1:67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</row>
    <row r="270" spans="1:67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 spans="1:67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 spans="1:67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 spans="1:67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 spans="1:67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 spans="1:67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 spans="1:67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 spans="1:67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 spans="1:67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 spans="1:67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</row>
    <row r="280" spans="1:67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</row>
    <row r="281" spans="1:67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</row>
    <row r="282" spans="1:67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</row>
    <row r="283" spans="1:67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</row>
    <row r="284" spans="1:67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</row>
    <row r="285" spans="1:67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</row>
    <row r="286" spans="1:67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</row>
    <row r="287" spans="1:67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</row>
    <row r="288" spans="1:67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</row>
    <row r="289" spans="1:67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</row>
    <row r="290" spans="1:67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</row>
    <row r="291" spans="1:67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</row>
    <row r="292" spans="1:67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</row>
    <row r="293" spans="1:67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</row>
    <row r="294" spans="1:67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</row>
    <row r="295" spans="1:67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 spans="1:67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 spans="1:67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 spans="1:67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 spans="1:67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 spans="1:67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 spans="1:67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 spans="1:67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 spans="1:67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 spans="1:67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 spans="1:67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 spans="1:67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 spans="1:67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 spans="1:67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 spans="1:67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 spans="1:67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 spans="1:67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 spans="1:67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 spans="1:67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 spans="1:67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 spans="1:67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 spans="1:67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 spans="1:67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 spans="1:67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 spans="1:67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</row>
    <row r="320" spans="1:67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</row>
    <row r="321" spans="1:67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</row>
    <row r="322" spans="1:67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</row>
    <row r="323" spans="1:67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</row>
    <row r="324" spans="1:67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</row>
    <row r="325" spans="1:67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</row>
    <row r="326" spans="1:67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</row>
    <row r="327" spans="1:67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</row>
    <row r="328" spans="1:67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 spans="1:67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 spans="1:67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 spans="1:67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</row>
    <row r="332" spans="1:67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</row>
    <row r="333" spans="1:67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</row>
    <row r="334" spans="1:67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</row>
    <row r="335" spans="1:67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</row>
    <row r="336" spans="1:67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</row>
    <row r="337" spans="1:67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</row>
    <row r="338" spans="1:67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</row>
    <row r="339" spans="1:67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 spans="1:67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</row>
    <row r="341" spans="1:67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 spans="1:67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</row>
    <row r="343" spans="1:67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 spans="1:67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</row>
    <row r="345" spans="1:67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 spans="1:67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</row>
    <row r="347" spans="1:67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</row>
    <row r="348" spans="1:67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</row>
    <row r="349" spans="1:67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</row>
    <row r="350" spans="1:67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</row>
    <row r="351" spans="1:67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</row>
    <row r="352" spans="1:67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</row>
    <row r="353" spans="1:67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</row>
    <row r="354" spans="1:67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</row>
    <row r="355" spans="1:67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</row>
    <row r="356" spans="1:67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</row>
    <row r="357" spans="1:67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</row>
    <row r="358" spans="1:67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</row>
    <row r="359" spans="1:67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</row>
    <row r="360" spans="1:67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</row>
    <row r="361" spans="1:67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</row>
    <row r="362" spans="1:67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</row>
    <row r="363" spans="1:67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</row>
    <row r="364" spans="1:67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</row>
    <row r="365" spans="1:67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</row>
    <row r="366" spans="1:67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</row>
    <row r="367" spans="1:67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</row>
    <row r="368" spans="1:67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</row>
    <row r="369" spans="1:67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</row>
    <row r="370" spans="1:67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</row>
    <row r="371" spans="1:67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</row>
    <row r="372" spans="1:67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</row>
    <row r="373" spans="1:67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 spans="1:67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</row>
    <row r="375" spans="1:67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 spans="1:67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</row>
    <row r="377" spans="1:67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</row>
    <row r="378" spans="1:67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</row>
    <row r="379" spans="1:67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</row>
    <row r="380" spans="1:67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</row>
    <row r="381" spans="1:67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</row>
    <row r="382" spans="1:67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</row>
    <row r="383" spans="1:67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</row>
    <row r="384" spans="1:67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</row>
    <row r="385" spans="1:67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</row>
    <row r="386" spans="1:67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</row>
    <row r="387" spans="1:67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</row>
    <row r="388" spans="1:67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</row>
    <row r="389" spans="1:67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</row>
    <row r="390" spans="1:67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 spans="1:67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</row>
    <row r="392" spans="1:67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</row>
    <row r="393" spans="1:67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</row>
    <row r="394" spans="1:67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</row>
    <row r="395" spans="1:67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</row>
    <row r="396" spans="1:67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</row>
    <row r="397" spans="1:67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</row>
    <row r="398" spans="1:67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</row>
    <row r="399" spans="1:67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</row>
    <row r="400" spans="1:67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</row>
    <row r="401" spans="1:67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</row>
    <row r="402" spans="1:67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</row>
    <row r="403" spans="1:67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</row>
    <row r="404" spans="1:67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</row>
    <row r="405" spans="1:67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</row>
    <row r="406" spans="1:67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 spans="1:67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 spans="1:67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 spans="1:67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 spans="1:67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</row>
    <row r="411" spans="1:67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 spans="1:67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</row>
    <row r="413" spans="1:67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 spans="1:67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 spans="1:67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</row>
    <row r="416" spans="1:67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</row>
    <row r="417" spans="1:67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</row>
    <row r="418" spans="1:67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</row>
    <row r="419" spans="1:67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</row>
    <row r="420" spans="1:67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</row>
    <row r="421" spans="1:67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</row>
    <row r="422" spans="1:67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</row>
    <row r="423" spans="1:67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</row>
    <row r="424" spans="1:67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 spans="1:67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</row>
    <row r="426" spans="1:67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</row>
    <row r="427" spans="1:67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</row>
    <row r="428" spans="1:67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</row>
    <row r="429" spans="1:67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</row>
    <row r="430" spans="1:67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</row>
    <row r="431" spans="1:67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</row>
    <row r="432" spans="1:67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</row>
    <row r="433" spans="1:67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</row>
    <row r="434" spans="1:67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</row>
    <row r="435" spans="1:67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</row>
    <row r="436" spans="1:67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</row>
    <row r="437" spans="1:67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</row>
    <row r="438" spans="1:67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</row>
    <row r="439" spans="1:67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</row>
    <row r="440" spans="1:67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</row>
    <row r="441" spans="1:67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</row>
    <row r="442" spans="1:67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</row>
    <row r="443" spans="1:67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</row>
    <row r="444" spans="1:67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</row>
    <row r="445" spans="1:67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</row>
    <row r="446" spans="1:67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</row>
    <row r="447" spans="1:67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</row>
    <row r="448" spans="1:67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</row>
    <row r="449" spans="1:67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</row>
    <row r="450" spans="1:67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</row>
    <row r="451" spans="1:67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</row>
    <row r="452" spans="1:67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</row>
    <row r="453" spans="1:67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</row>
    <row r="454" spans="1:67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</row>
    <row r="455" spans="1:67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</row>
    <row r="456" spans="1:67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</row>
    <row r="457" spans="1:67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</row>
    <row r="458" spans="1:67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</row>
    <row r="459" spans="1:67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</row>
    <row r="460" spans="1:67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</row>
    <row r="461" spans="1:67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</row>
    <row r="462" spans="1:67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</row>
    <row r="463" spans="1:67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 spans="1:67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</row>
    <row r="465" spans="1:67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</row>
    <row r="466" spans="1:67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</row>
    <row r="467" spans="1:67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</row>
    <row r="468" spans="1:67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</row>
    <row r="469" spans="1:67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</row>
    <row r="470" spans="1:67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</row>
    <row r="471" spans="1:67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</row>
    <row r="472" spans="1:67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</row>
    <row r="473" spans="1:67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</row>
    <row r="474" spans="1:67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</row>
    <row r="475" spans="1:67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</row>
    <row r="476" spans="1:67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</row>
    <row r="477" spans="1:67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</row>
    <row r="478" spans="1:67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</row>
    <row r="479" spans="1:67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</row>
    <row r="480" spans="1:67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</row>
    <row r="481" spans="1:67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</row>
    <row r="482" spans="1:67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</row>
    <row r="483" spans="1:67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</row>
    <row r="484" spans="1:67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</row>
    <row r="485" spans="1:67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</row>
    <row r="486" spans="1:67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</row>
    <row r="487" spans="1:67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</row>
    <row r="488" spans="1:67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</row>
    <row r="489" spans="1:67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</row>
    <row r="490" spans="1:67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</row>
    <row r="491" spans="1:67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</row>
    <row r="492" spans="1:67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</row>
    <row r="493" spans="1:67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</row>
    <row r="494" spans="1:67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</row>
    <row r="495" spans="1:67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</row>
    <row r="496" spans="1:67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</row>
    <row r="497" spans="1:67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</row>
    <row r="498" spans="1:67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</row>
    <row r="499" spans="1:67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 spans="1:67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</row>
    <row r="501" spans="1:67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</row>
    <row r="502" spans="1:67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</row>
    <row r="503" spans="1:67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</row>
    <row r="504" spans="1:67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</row>
    <row r="505" spans="1:67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</row>
    <row r="506" spans="1:67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</row>
    <row r="507" spans="1:67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</row>
    <row r="508" spans="1:67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</row>
    <row r="509" spans="1:67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</row>
    <row r="510" spans="1:67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</row>
    <row r="511" spans="1:67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</row>
    <row r="512" spans="1:67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</row>
    <row r="513" spans="1:67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</row>
    <row r="514" spans="1:67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</row>
    <row r="515" spans="1:67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</row>
    <row r="516" spans="1:67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</row>
    <row r="517" spans="1:67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</row>
    <row r="518" spans="1:67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</row>
    <row r="519" spans="1:67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</row>
    <row r="520" spans="1:67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</row>
    <row r="521" spans="1:67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</row>
    <row r="522" spans="1:67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</row>
    <row r="523" spans="1:67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</row>
    <row r="524" spans="1:67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</row>
    <row r="525" spans="1:67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</row>
    <row r="526" spans="1:67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</row>
    <row r="527" spans="1:67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</row>
    <row r="528" spans="1:67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</row>
    <row r="529" spans="1:67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</row>
    <row r="530" spans="1:67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</row>
    <row r="531" spans="1:67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</row>
    <row r="532" spans="1:67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</row>
    <row r="533" spans="1:67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</row>
    <row r="534" spans="1:67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</row>
    <row r="535" spans="1:67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 spans="1:67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</row>
    <row r="537" spans="1:67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</row>
    <row r="538" spans="1:67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</row>
    <row r="539" spans="1:67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</row>
    <row r="540" spans="1:67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</row>
    <row r="541" spans="1:67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</row>
    <row r="542" spans="1:67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</row>
    <row r="543" spans="1:67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</row>
    <row r="544" spans="1:67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</row>
    <row r="545" spans="1:67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</row>
    <row r="546" spans="1:67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</row>
    <row r="547" spans="1:67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</row>
    <row r="548" spans="1:67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</row>
    <row r="549" spans="1:67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</row>
    <row r="550" spans="1:67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</row>
    <row r="551" spans="1:67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</row>
    <row r="552" spans="1:67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</row>
    <row r="553" spans="1:67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</row>
    <row r="554" spans="1:67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</row>
    <row r="555" spans="1:67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</row>
    <row r="556" spans="1:67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</row>
    <row r="557" spans="1:67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</row>
    <row r="558" spans="1:67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</row>
    <row r="559" spans="1:67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</row>
    <row r="560" spans="1:67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</row>
    <row r="561" spans="1:67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</row>
    <row r="562" spans="1:67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</row>
    <row r="563" spans="1:67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</row>
    <row r="564" spans="1:67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</row>
    <row r="565" spans="1:67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 spans="1:67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</row>
    <row r="567" spans="1:67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</row>
    <row r="568" spans="1:67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</row>
    <row r="569" spans="1:67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 spans="1:67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 spans="1:67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</row>
    <row r="572" spans="1:67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</row>
    <row r="573" spans="1:67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</row>
    <row r="574" spans="1:67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</row>
    <row r="575" spans="1:67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 spans="1:67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</row>
    <row r="577" spans="1:67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</row>
    <row r="578" spans="1:67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</row>
    <row r="579" spans="1:67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</row>
    <row r="580" spans="1:67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</row>
    <row r="581" spans="1:67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 spans="1:67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</row>
    <row r="583" spans="1:67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</row>
    <row r="584" spans="1:67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</row>
    <row r="585" spans="1:67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</row>
    <row r="586" spans="1:67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</row>
    <row r="587" spans="1:67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</row>
    <row r="588" spans="1:67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</row>
    <row r="589" spans="1:67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</row>
    <row r="590" spans="1:67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</row>
    <row r="591" spans="1:67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</row>
    <row r="592" spans="1:67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</row>
    <row r="593" spans="1:67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</row>
    <row r="594" spans="1:67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</row>
    <row r="595" spans="1:67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</row>
    <row r="596" spans="1:67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</row>
    <row r="597" spans="1:67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</row>
    <row r="598" spans="1:67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</row>
    <row r="599" spans="1:67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</row>
    <row r="600" spans="1:67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</row>
    <row r="601" spans="1:67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</row>
    <row r="602" spans="1:67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</row>
    <row r="603" spans="1:67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</row>
    <row r="604" spans="1:67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</row>
    <row r="605" spans="1:67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</row>
    <row r="606" spans="1:67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</row>
    <row r="607" spans="1:67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</row>
    <row r="608" spans="1:67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</row>
    <row r="609" spans="1:67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</row>
    <row r="610" spans="1:67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</row>
    <row r="611" spans="1:67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</row>
    <row r="612" spans="1:67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</row>
    <row r="613" spans="1:67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</row>
    <row r="614" spans="1:67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</row>
    <row r="615" spans="1:67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</row>
    <row r="616" spans="1:67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</row>
    <row r="617" spans="1:67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</row>
    <row r="618" spans="1:67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</row>
    <row r="619" spans="1:67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</row>
    <row r="620" spans="1:67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</row>
    <row r="621" spans="1:67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 spans="1:67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</row>
    <row r="623" spans="1:67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</row>
    <row r="624" spans="1:67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</row>
    <row r="625" spans="1:67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</row>
    <row r="626" spans="1:67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</row>
    <row r="627" spans="1:67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</row>
    <row r="628" spans="1:67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</row>
    <row r="629" spans="1:67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</row>
    <row r="630" spans="1:67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</row>
    <row r="631" spans="1:67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</row>
    <row r="632" spans="1:67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</row>
    <row r="633" spans="1:67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</row>
    <row r="634" spans="1:67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</row>
    <row r="635" spans="1:67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</row>
    <row r="636" spans="1:67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</row>
    <row r="637" spans="1:67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</row>
    <row r="638" spans="1:67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</row>
    <row r="639" spans="1:67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</row>
    <row r="640" spans="1:67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</row>
    <row r="641" spans="1:67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</row>
    <row r="642" spans="1:67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</row>
    <row r="643" spans="1:67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</row>
    <row r="644" spans="1:67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</row>
    <row r="645" spans="1:67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</row>
    <row r="646" spans="1:67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</row>
    <row r="647" spans="1:67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</row>
    <row r="648" spans="1:67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</row>
    <row r="649" spans="1:67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</row>
    <row r="650" spans="1:67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</row>
    <row r="651" spans="1:67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</row>
    <row r="652" spans="1:67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</row>
    <row r="653" spans="1:67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</row>
    <row r="654" spans="1:67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</row>
    <row r="655" spans="1:67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</row>
    <row r="656" spans="1:67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</row>
    <row r="657" spans="1:67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</row>
    <row r="658" spans="1:67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</row>
    <row r="659" spans="1:67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</row>
    <row r="660" spans="1:67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</row>
    <row r="661" spans="1:67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</row>
    <row r="662" spans="1:67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</row>
    <row r="663" spans="1:67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</row>
    <row r="664" spans="1:67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</row>
    <row r="665" spans="1:67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</row>
    <row r="666" spans="1:67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</row>
    <row r="667" spans="1:67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 spans="1:67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</row>
    <row r="669" spans="1:67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</row>
    <row r="670" spans="1:67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</row>
    <row r="671" spans="1:67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</row>
    <row r="672" spans="1:67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</row>
    <row r="673" spans="1:67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</row>
    <row r="674" spans="1:67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</row>
    <row r="675" spans="1:67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</row>
    <row r="676" spans="1:67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</row>
    <row r="677" spans="1:67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</row>
    <row r="678" spans="1:67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</row>
    <row r="679" spans="1:67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</row>
    <row r="680" spans="1:67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</row>
    <row r="681" spans="1:67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</row>
    <row r="682" spans="1:67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</row>
    <row r="683" spans="1:67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</row>
    <row r="684" spans="1:67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</row>
    <row r="685" spans="1:67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</row>
    <row r="686" spans="1:67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</row>
    <row r="687" spans="1:67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</row>
    <row r="688" spans="1:67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</row>
    <row r="689" spans="1:67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</row>
    <row r="690" spans="1:67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</row>
    <row r="691" spans="1:67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</row>
    <row r="692" spans="1:67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</row>
    <row r="693" spans="1:67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</row>
    <row r="694" spans="1:67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</row>
    <row r="695" spans="1:67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</row>
    <row r="696" spans="1:67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</row>
    <row r="697" spans="1:67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</row>
    <row r="698" spans="1:67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</row>
    <row r="699" spans="1:67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</row>
    <row r="700" spans="1:67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</row>
    <row r="701" spans="1:67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</row>
    <row r="702" spans="1:67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</row>
    <row r="703" spans="1:67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</row>
    <row r="704" spans="1:67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</row>
    <row r="705" spans="1:67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</row>
    <row r="706" spans="1:67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</row>
    <row r="707" spans="1:67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 spans="1:67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</row>
    <row r="709" spans="1:67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</row>
    <row r="710" spans="1:67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</row>
    <row r="711" spans="1:67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</row>
    <row r="712" spans="1:67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</row>
    <row r="713" spans="1:67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</row>
    <row r="714" spans="1:67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</row>
    <row r="715" spans="1:67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</row>
    <row r="716" spans="1:67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</row>
    <row r="717" spans="1:67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</row>
    <row r="718" spans="1:67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</row>
    <row r="719" spans="1:67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</row>
    <row r="720" spans="1:67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</row>
    <row r="721" spans="1:67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</row>
    <row r="722" spans="1:67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</row>
    <row r="723" spans="1:67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</row>
    <row r="724" spans="1:67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</row>
    <row r="725" spans="1:67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</row>
    <row r="726" spans="1:67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</row>
    <row r="727" spans="1:67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</row>
    <row r="728" spans="1:67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</row>
    <row r="729" spans="1:67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</row>
    <row r="730" spans="1:67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</row>
    <row r="731" spans="1:67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</row>
    <row r="732" spans="1:67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</row>
    <row r="733" spans="1:67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</row>
    <row r="734" spans="1:67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</row>
    <row r="735" spans="1:67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</row>
    <row r="736" spans="1:67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</row>
    <row r="737" spans="1:67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</row>
    <row r="738" spans="1:67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</row>
    <row r="739" spans="1:67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</row>
    <row r="740" spans="1:67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</row>
    <row r="741" spans="1:67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</row>
    <row r="742" spans="1:67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</row>
    <row r="743" spans="1:67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</row>
    <row r="744" spans="1:67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</row>
    <row r="745" spans="1:67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</row>
    <row r="746" spans="1:67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</row>
    <row r="747" spans="1:67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</row>
    <row r="748" spans="1:67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</row>
    <row r="749" spans="1:67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</row>
    <row r="750" spans="1:67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</row>
    <row r="751" spans="1:67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</row>
    <row r="752" spans="1:67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</row>
    <row r="753" spans="1:67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</row>
    <row r="754" spans="1:67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</row>
    <row r="755" spans="1:67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</row>
    <row r="756" spans="1:67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</row>
    <row r="757" spans="1:67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</row>
    <row r="758" spans="1:67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</row>
    <row r="759" spans="1:67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</row>
    <row r="760" spans="1:67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</row>
    <row r="761" spans="1:67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</row>
    <row r="762" spans="1:67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</row>
    <row r="763" spans="1:67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</row>
    <row r="764" spans="1:67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</row>
    <row r="765" spans="1:67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</row>
    <row r="766" spans="1:67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</row>
    <row r="767" spans="1:67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</row>
    <row r="768" spans="1:67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</row>
    <row r="769" spans="1:67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</row>
    <row r="770" spans="1:67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</row>
    <row r="771" spans="1:67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</row>
    <row r="772" spans="1:67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</row>
    <row r="773" spans="1:67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</row>
    <row r="774" spans="1:67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</row>
    <row r="775" spans="1:67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</row>
    <row r="776" spans="1:67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</row>
    <row r="777" spans="1:67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</row>
    <row r="778" spans="1:67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</row>
    <row r="779" spans="1:67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</row>
    <row r="780" spans="1:67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</row>
    <row r="781" spans="1:67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</row>
    <row r="782" spans="1:67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</row>
    <row r="783" spans="1:67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</row>
    <row r="784" spans="1:67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</row>
    <row r="785" spans="1:67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</row>
    <row r="786" spans="1:67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</row>
    <row r="787" spans="1:67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</row>
    <row r="788" spans="1:67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</row>
    <row r="789" spans="1:67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</row>
    <row r="790" spans="1:67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</row>
    <row r="791" spans="1:67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</row>
    <row r="792" spans="1:67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</row>
    <row r="793" spans="1:67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</row>
    <row r="794" spans="1:67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</row>
    <row r="795" spans="1:67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</row>
    <row r="796" spans="1:67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</row>
    <row r="797" spans="1:67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</row>
    <row r="798" spans="1:67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</row>
    <row r="799" spans="1:67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</row>
    <row r="800" spans="1:67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</row>
    <row r="801" spans="1:67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</row>
    <row r="802" spans="1:67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</row>
    <row r="803" spans="1:67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</row>
    <row r="804" spans="1:67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</row>
    <row r="805" spans="1:67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</row>
    <row r="806" spans="1:67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</row>
    <row r="807" spans="1:67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</row>
    <row r="808" spans="1:67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</row>
    <row r="809" spans="1:67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</row>
    <row r="810" spans="1:67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</row>
    <row r="811" spans="1:67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</row>
    <row r="812" spans="1:67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</row>
    <row r="813" spans="1:67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</row>
    <row r="814" spans="1:67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</row>
    <row r="815" spans="1:67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</row>
    <row r="816" spans="1:67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</row>
    <row r="817" spans="1:67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</row>
    <row r="818" spans="1:67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</row>
    <row r="819" spans="1:67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</row>
    <row r="820" spans="1:67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</row>
    <row r="821" spans="1:67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</row>
    <row r="822" spans="1:67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</row>
    <row r="823" spans="1:67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</row>
    <row r="824" spans="1:67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</row>
    <row r="825" spans="1:67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</row>
    <row r="826" spans="1:67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</row>
    <row r="827" spans="1:67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</row>
    <row r="828" spans="1:67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</row>
    <row r="829" spans="1:67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</row>
    <row r="830" spans="1:67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</row>
    <row r="831" spans="1:67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</row>
    <row r="832" spans="1:67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</row>
    <row r="833" spans="1:67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</row>
    <row r="834" spans="1:67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</row>
    <row r="835" spans="1:67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</row>
    <row r="836" spans="1:67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</row>
    <row r="837" spans="1:67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</row>
    <row r="838" spans="1:67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</row>
    <row r="839" spans="1:67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</row>
    <row r="840" spans="1:67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</row>
    <row r="841" spans="1:67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</row>
    <row r="842" spans="1:67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</row>
    <row r="843" spans="1:67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</row>
    <row r="844" spans="1:67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</row>
    <row r="845" spans="1:67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</row>
    <row r="846" spans="1:67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</row>
    <row r="847" spans="1:67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</row>
    <row r="848" spans="1:67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</row>
    <row r="849" spans="1:67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</row>
    <row r="850" spans="1:67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</row>
    <row r="851" spans="1:67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</row>
    <row r="852" spans="1:67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</row>
    <row r="853" spans="1:67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</row>
    <row r="854" spans="1:67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</row>
    <row r="855" spans="1:67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</row>
    <row r="856" spans="1:67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</row>
    <row r="857" spans="1:67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</row>
    <row r="858" spans="1:67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</row>
    <row r="859" spans="1:67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</row>
    <row r="860" spans="1:67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</row>
    <row r="861" spans="1:67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</row>
    <row r="862" spans="1:67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</row>
    <row r="863" spans="1:67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</row>
    <row r="864" spans="1:67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</row>
    <row r="865" spans="1:67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</row>
    <row r="866" spans="1:67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</row>
    <row r="867" spans="1:67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</row>
    <row r="868" spans="1:67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</row>
    <row r="869" spans="1:67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</row>
    <row r="870" spans="1:67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</row>
    <row r="871" spans="1:67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</row>
    <row r="872" spans="1:67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</row>
    <row r="873" spans="1:67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</row>
    <row r="874" spans="1:67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</row>
    <row r="875" spans="1:67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</row>
    <row r="876" spans="1:67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</row>
    <row r="877" spans="1:67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</row>
    <row r="878" spans="1:67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</row>
    <row r="879" spans="1:67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</row>
    <row r="880" spans="1:67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</row>
    <row r="881" spans="1:67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</row>
    <row r="882" spans="1:67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</row>
    <row r="883" spans="1:67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</row>
    <row r="884" spans="1:67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</row>
    <row r="885" spans="1:67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</row>
    <row r="886" spans="1:67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</row>
    <row r="887" spans="1:67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</row>
    <row r="888" spans="1:67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</row>
    <row r="889" spans="1:67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</row>
    <row r="890" spans="1:67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</row>
    <row r="891" spans="1:67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</row>
    <row r="892" spans="1:67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</row>
    <row r="893" spans="1:67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</row>
    <row r="894" spans="1:67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</row>
    <row r="895" spans="1:67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</row>
    <row r="896" spans="1:67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</row>
    <row r="897" spans="1:67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</row>
    <row r="898" spans="1:67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</row>
    <row r="899" spans="1:67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</row>
    <row r="900" spans="1:67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</row>
    <row r="901" spans="1:67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</row>
    <row r="902" spans="1:67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</row>
    <row r="903" spans="1:67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</row>
    <row r="904" spans="1:67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</row>
    <row r="905" spans="1:67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</row>
    <row r="906" spans="1:67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</row>
    <row r="907" spans="1:67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</row>
    <row r="908" spans="1:67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</row>
    <row r="909" spans="1:67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</row>
    <row r="910" spans="1:67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</row>
    <row r="911" spans="1:67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</row>
    <row r="912" spans="1:67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</row>
    <row r="913" spans="1:67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</row>
    <row r="914" spans="1:67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</row>
    <row r="915" spans="1:67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</row>
    <row r="916" spans="1:67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</row>
    <row r="917" spans="1:67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</row>
    <row r="918" spans="1:67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</row>
    <row r="919" spans="1:67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</row>
    <row r="920" spans="1:67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</row>
    <row r="921" spans="1:67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</row>
    <row r="922" spans="1:67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</row>
    <row r="923" spans="1:67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</row>
    <row r="924" spans="1:67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</row>
    <row r="925" spans="1:67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</row>
    <row r="926" spans="1:67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</row>
    <row r="927" spans="1:67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</row>
    <row r="928" spans="1:67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</row>
    <row r="929" spans="1:67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</row>
    <row r="930" spans="1:67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</row>
    <row r="931" spans="1:67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</row>
    <row r="932" spans="1:67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</row>
    <row r="933" spans="1:67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</row>
    <row r="934" spans="1:67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</row>
    <row r="935" spans="1:67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</row>
    <row r="936" spans="1:67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</row>
    <row r="937" spans="1:67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</row>
    <row r="938" spans="1:67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</row>
    <row r="939" spans="1:67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</row>
    <row r="940" spans="1:67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</row>
    <row r="941" spans="1:67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</row>
    <row r="942" spans="1:67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</row>
    <row r="943" spans="1:67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</row>
    <row r="944" spans="1:67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</row>
    <row r="945" spans="1:67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</row>
    <row r="946" spans="1:67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</row>
    <row r="947" spans="1:67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</row>
    <row r="948" spans="1:67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</row>
    <row r="949" spans="1:67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</row>
    <row r="950" spans="1:67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</row>
    <row r="951" spans="1:67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</row>
    <row r="952" spans="1:67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</row>
    <row r="953" spans="1:67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</row>
    <row r="954" spans="1:67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</row>
    <row r="955" spans="1:67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</row>
    <row r="956" spans="1:67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</row>
    <row r="957" spans="1:67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</row>
    <row r="958" spans="1:67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</row>
    <row r="959" spans="1:67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</row>
    <row r="960" spans="1:67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</row>
    <row r="961" spans="1:67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</row>
    <row r="962" spans="1:67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</row>
    <row r="963" spans="1:67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</row>
    <row r="964" spans="1:67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</row>
    <row r="965" spans="1:67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</row>
    <row r="966" spans="1:67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</row>
    <row r="967" spans="1:67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</row>
    <row r="968" spans="1:67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</row>
    <row r="969" spans="1:67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</row>
    <row r="970" spans="1:67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</row>
    <row r="971" spans="1:67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</row>
    <row r="972" spans="1:67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</row>
    <row r="973" spans="1:67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</row>
    <row r="974" spans="1:67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</row>
    <row r="975" spans="1:67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</row>
    <row r="976" spans="1:67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</row>
    <row r="977" spans="1:67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</row>
    <row r="978" spans="1:67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</row>
    <row r="979" spans="1:67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</row>
    <row r="980" spans="1:67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</row>
    <row r="981" spans="1:67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</row>
    <row r="982" spans="1:67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</row>
    <row r="983" spans="1:67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</row>
    <row r="984" spans="1:67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</row>
    <row r="985" spans="1:67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</row>
    <row r="986" spans="1:67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</row>
    <row r="987" spans="1:67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</row>
    <row r="988" spans="1:67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</row>
    <row r="989" spans="1:67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</row>
    <row r="990" spans="1:67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</row>
    <row r="991" spans="1:67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</row>
    <row r="992" spans="1:67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</row>
    <row r="993" spans="1:67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</row>
    <row r="994" spans="1:67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</row>
    <row r="995" spans="1:67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</row>
    <row r="996" spans="1:67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</row>
    <row r="997" spans="1:67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</row>
    <row r="998" spans="1:67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</row>
    <row r="999" spans="1:67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</row>
    <row r="1000" spans="1:67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</row>
  </sheetData>
  <mergeCells count="4">
    <mergeCell ref="A2:B2"/>
    <mergeCell ref="C3:G3"/>
    <mergeCell ref="H3:J3"/>
    <mergeCell ref="A1:B1"/>
  </mergeCells>
  <conditionalFormatting sqref="B5:B136">
    <cfRule type="colorScale" priority="3">
      <colorScale>
        <cfvo type="num" val="$B$3"/>
        <cfvo type="num" val="$B$3"/>
        <color rgb="FFFF4F4F"/>
        <color rgb="FF00B050"/>
      </colorScale>
    </cfRule>
  </conditionalFormatting>
  <conditionalFormatting sqref="C5:AM140">
    <cfRule type="cellIs" dxfId="0" priority="2" operator="greaterThan">
      <formula>0</formula>
    </cfRule>
  </conditionalFormatting>
  <conditionalFormatting sqref="AB5:AB140">
    <cfRule type="colorScale" priority="1">
      <colorScale>
        <cfvo type="num" val="0"/>
        <cfvo type="num" val="5"/>
        <color rgb="FFFF0000"/>
        <color rgb="FF00B050"/>
      </colorScale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4512-FFD9-42C2-91B8-EA8B7E60CFCA}">
  <dimension ref="A1:R862"/>
  <sheetViews>
    <sheetView topLeftCell="A823" zoomScale="130" zoomScaleNormal="130" workbookViewId="0">
      <selection activeCell="C836" sqref="C836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10.140625" bestFit="1" customWidth="1"/>
    <col min="4" max="4" width="13.28515625" bestFit="1" customWidth="1"/>
    <col min="5" max="5" width="15.140625" style="70" bestFit="1" customWidth="1"/>
    <col min="6" max="6" width="16.140625" style="70" bestFit="1" customWidth="1"/>
    <col min="7" max="7" width="17.140625" style="70" bestFit="1" customWidth="1"/>
    <col min="9" max="9" width="20.42578125" bestFit="1" customWidth="1"/>
    <col min="10" max="10" width="16.28515625" bestFit="1" customWidth="1"/>
    <col min="11" max="11" width="12.5703125" bestFit="1" customWidth="1"/>
    <col min="12" max="15" width="12" bestFit="1" customWidth="1"/>
    <col min="16" max="16" width="10.85546875" bestFit="1" customWidth="1"/>
    <col min="17" max="17" width="12" bestFit="1" customWidth="1"/>
    <col min="18" max="19" width="13.7109375" bestFit="1" customWidth="1"/>
    <col min="20" max="20" width="19.7109375" bestFit="1" customWidth="1"/>
    <col min="21" max="21" width="20.5703125" bestFit="1" customWidth="1"/>
    <col min="22" max="22" width="19.7109375" bestFit="1" customWidth="1"/>
    <col min="23" max="23" width="20.5703125" bestFit="1" customWidth="1"/>
    <col min="24" max="24" width="19.7109375" bestFit="1" customWidth="1"/>
    <col min="25" max="25" width="20.5703125" bestFit="1" customWidth="1"/>
    <col min="26" max="26" width="19.7109375" bestFit="1" customWidth="1"/>
    <col min="27" max="27" width="20.5703125" bestFit="1" customWidth="1"/>
    <col min="28" max="28" width="24.7109375" bestFit="1" customWidth="1"/>
    <col min="29" max="29" width="25.7109375" bestFit="1" customWidth="1"/>
  </cols>
  <sheetData>
    <row r="1" spans="1:18" x14ac:dyDescent="0.25">
      <c r="A1" t="s">
        <v>272</v>
      </c>
      <c r="B1" t="s">
        <v>273</v>
      </c>
      <c r="C1" t="s">
        <v>274</v>
      </c>
      <c r="D1" t="s">
        <v>275</v>
      </c>
      <c r="E1" s="70" t="s">
        <v>836</v>
      </c>
      <c r="F1" s="70" t="s">
        <v>839</v>
      </c>
      <c r="G1" s="70" t="s">
        <v>837</v>
      </c>
      <c r="I1" s="71" t="s">
        <v>838</v>
      </c>
      <c r="J1" s="71" t="s">
        <v>270</v>
      </c>
      <c r="K1" s="70"/>
      <c r="L1" s="70"/>
      <c r="M1" s="70"/>
      <c r="N1" s="70"/>
      <c r="O1" s="70"/>
      <c r="P1" s="70"/>
      <c r="Q1" s="70"/>
      <c r="R1" s="70"/>
    </row>
    <row r="2" spans="1:18" x14ac:dyDescent="0.25">
      <c r="A2" s="69">
        <v>46146</v>
      </c>
      <c r="B2" t="s">
        <v>246</v>
      </c>
      <c r="C2" t="s">
        <v>276</v>
      </c>
      <c r="D2" t="s">
        <v>277</v>
      </c>
      <c r="E2" s="70">
        <v>2717000</v>
      </c>
      <c r="I2" s="71" t="s">
        <v>249</v>
      </c>
      <c r="J2" s="70"/>
      <c r="K2" s="70" t="s">
        <v>349</v>
      </c>
      <c r="L2" s="70" t="s">
        <v>285</v>
      </c>
      <c r="M2" s="70" t="s">
        <v>301</v>
      </c>
      <c r="N2" s="70" t="s">
        <v>277</v>
      </c>
      <c r="O2" s="70" t="s">
        <v>286</v>
      </c>
      <c r="P2" s="70" t="s">
        <v>299</v>
      </c>
      <c r="Q2" s="70" t="s">
        <v>279</v>
      </c>
      <c r="R2" s="70" t="s">
        <v>248</v>
      </c>
    </row>
    <row r="3" spans="1:18" x14ac:dyDescent="0.25">
      <c r="A3" s="69">
        <v>46146</v>
      </c>
      <c r="B3" t="s">
        <v>266</v>
      </c>
      <c r="C3" t="s">
        <v>278</v>
      </c>
      <c r="D3" t="s">
        <v>277</v>
      </c>
      <c r="E3" s="70">
        <v>1000000</v>
      </c>
      <c r="I3" s="72" t="s">
        <v>259</v>
      </c>
      <c r="J3" s="70"/>
      <c r="K3" s="70"/>
      <c r="L3" s="70">
        <v>1494607</v>
      </c>
      <c r="M3" s="70">
        <v>395670</v>
      </c>
      <c r="N3" s="70"/>
      <c r="O3" s="70">
        <v>1045008</v>
      </c>
      <c r="P3" s="70">
        <v>1063155</v>
      </c>
      <c r="Q3" s="70"/>
      <c r="R3" s="70">
        <v>3998440</v>
      </c>
    </row>
    <row r="4" spans="1:18" x14ac:dyDescent="0.25">
      <c r="A4" s="69">
        <v>46146</v>
      </c>
      <c r="B4" t="s">
        <v>246</v>
      </c>
      <c r="C4" t="s">
        <v>276</v>
      </c>
      <c r="D4" t="s">
        <v>279</v>
      </c>
      <c r="E4" s="70">
        <v>2717000</v>
      </c>
      <c r="I4" s="72" t="s">
        <v>221</v>
      </c>
      <c r="J4" s="70"/>
      <c r="K4" s="70"/>
      <c r="L4" s="70"/>
      <c r="M4" s="70"/>
      <c r="N4" s="70"/>
      <c r="O4" s="70">
        <v>270</v>
      </c>
      <c r="P4" s="70"/>
      <c r="Q4" s="70"/>
      <c r="R4" s="70">
        <v>270</v>
      </c>
    </row>
    <row r="5" spans="1:18" x14ac:dyDescent="0.25">
      <c r="A5" s="69">
        <v>46146</v>
      </c>
      <c r="B5" t="s">
        <v>280</v>
      </c>
      <c r="C5" t="s">
        <v>281</v>
      </c>
      <c r="D5" t="s">
        <v>282</v>
      </c>
      <c r="F5" s="70">
        <v>7</v>
      </c>
      <c r="G5" s="70">
        <v>168</v>
      </c>
      <c r="I5" s="72" t="s">
        <v>262</v>
      </c>
      <c r="J5" s="70"/>
      <c r="K5" s="70"/>
      <c r="L5" s="70"/>
      <c r="M5" s="70"/>
      <c r="N5" s="70"/>
      <c r="O5" s="70">
        <v>205</v>
      </c>
      <c r="P5" s="70"/>
      <c r="Q5" s="70"/>
      <c r="R5" s="70">
        <v>205</v>
      </c>
    </row>
    <row r="6" spans="1:18" x14ac:dyDescent="0.25">
      <c r="A6" s="69">
        <v>46146</v>
      </c>
      <c r="B6" t="s">
        <v>283</v>
      </c>
      <c r="C6" t="s">
        <v>284</v>
      </c>
      <c r="D6" t="s">
        <v>285</v>
      </c>
      <c r="E6" s="70">
        <v>1872000</v>
      </c>
      <c r="I6" s="72" t="s">
        <v>269</v>
      </c>
      <c r="J6" s="70"/>
      <c r="K6" s="70"/>
      <c r="L6" s="70">
        <v>3758479</v>
      </c>
      <c r="M6" s="70"/>
      <c r="N6" s="70">
        <v>6448479</v>
      </c>
      <c r="O6" s="70">
        <v>6647023</v>
      </c>
      <c r="P6" s="70"/>
      <c r="Q6" s="70">
        <v>2898337</v>
      </c>
      <c r="R6" s="70">
        <v>19752318</v>
      </c>
    </row>
    <row r="7" spans="1:18" x14ac:dyDescent="0.25">
      <c r="A7" s="69">
        <v>46146</v>
      </c>
      <c r="B7" t="s">
        <v>283</v>
      </c>
      <c r="C7" t="s">
        <v>284</v>
      </c>
      <c r="D7" t="s">
        <v>285</v>
      </c>
      <c r="E7" s="70">
        <v>1872000</v>
      </c>
      <c r="I7" s="72" t="s">
        <v>164</v>
      </c>
      <c r="J7" s="70"/>
      <c r="K7" s="70"/>
      <c r="L7" s="70">
        <v>4110624</v>
      </c>
      <c r="M7" s="70">
        <v>1890000</v>
      </c>
      <c r="N7" s="70"/>
      <c r="O7" s="70">
        <v>5810214</v>
      </c>
      <c r="P7" s="70"/>
      <c r="Q7" s="70">
        <v>5805791</v>
      </c>
      <c r="R7" s="70">
        <v>17616629</v>
      </c>
    </row>
    <row r="8" spans="1:18" x14ac:dyDescent="0.25">
      <c r="A8" s="69">
        <v>46146</v>
      </c>
      <c r="B8" t="s">
        <v>283</v>
      </c>
      <c r="C8" t="s">
        <v>284</v>
      </c>
      <c r="D8" t="s">
        <v>286</v>
      </c>
      <c r="E8" s="70">
        <v>1872000</v>
      </c>
      <c r="I8" s="72" t="s">
        <v>251</v>
      </c>
      <c r="J8" s="70"/>
      <c r="K8" s="70"/>
      <c r="L8" s="70">
        <v>647917</v>
      </c>
      <c r="M8" s="70">
        <v>109648</v>
      </c>
      <c r="N8" s="70">
        <v>200</v>
      </c>
      <c r="O8" s="70">
        <v>693389</v>
      </c>
      <c r="P8" s="70">
        <v>200</v>
      </c>
      <c r="Q8" s="70">
        <v>203907</v>
      </c>
      <c r="R8" s="70">
        <v>1655261</v>
      </c>
    </row>
    <row r="9" spans="1:18" x14ac:dyDescent="0.25">
      <c r="A9" s="69">
        <v>46146</v>
      </c>
      <c r="B9" t="s">
        <v>162</v>
      </c>
      <c r="C9" t="s">
        <v>287</v>
      </c>
      <c r="D9" t="s">
        <v>282</v>
      </c>
      <c r="F9" s="70">
        <v>12</v>
      </c>
      <c r="G9" s="70">
        <v>280</v>
      </c>
      <c r="I9" s="72" t="s">
        <v>169</v>
      </c>
      <c r="J9" s="70"/>
      <c r="K9" s="70"/>
      <c r="L9" s="70">
        <v>3050000</v>
      </c>
      <c r="M9" s="70"/>
      <c r="N9" s="70">
        <v>350000</v>
      </c>
      <c r="O9" s="70">
        <v>7439030</v>
      </c>
      <c r="P9" s="70"/>
      <c r="Q9" s="70">
        <v>750000</v>
      </c>
      <c r="R9" s="70">
        <v>11589030</v>
      </c>
    </row>
    <row r="10" spans="1:18" x14ac:dyDescent="0.25">
      <c r="A10" s="69">
        <v>46146</v>
      </c>
      <c r="B10" t="s">
        <v>152</v>
      </c>
      <c r="C10" t="s">
        <v>288</v>
      </c>
      <c r="D10" t="s">
        <v>282</v>
      </c>
      <c r="F10" s="70">
        <v>13</v>
      </c>
      <c r="G10" s="70">
        <v>315</v>
      </c>
      <c r="I10" s="72" t="s">
        <v>254</v>
      </c>
      <c r="J10" s="70">
        <v>1353</v>
      </c>
      <c r="K10" s="70"/>
      <c r="L10" s="70">
        <v>5166</v>
      </c>
      <c r="M10" s="70"/>
      <c r="N10" s="70">
        <v>8862000</v>
      </c>
      <c r="O10" s="70">
        <v>9114551</v>
      </c>
      <c r="P10" s="70"/>
      <c r="Q10" s="70"/>
      <c r="R10" s="70">
        <v>17983070</v>
      </c>
    </row>
    <row r="11" spans="1:18" x14ac:dyDescent="0.25">
      <c r="A11" s="69">
        <v>46146</v>
      </c>
      <c r="B11" t="s">
        <v>162</v>
      </c>
      <c r="C11" t="s">
        <v>289</v>
      </c>
      <c r="D11" t="s">
        <v>285</v>
      </c>
      <c r="E11" s="70">
        <v>18400000</v>
      </c>
      <c r="I11" s="72" t="s">
        <v>759</v>
      </c>
      <c r="J11" s="70"/>
      <c r="K11" s="70"/>
      <c r="L11" s="70"/>
      <c r="M11" s="70"/>
      <c r="N11" s="70"/>
      <c r="O11" s="70">
        <v>7686000</v>
      </c>
      <c r="P11" s="70"/>
      <c r="Q11" s="70"/>
      <c r="R11" s="70">
        <v>7686000</v>
      </c>
    </row>
    <row r="12" spans="1:18" x14ac:dyDescent="0.25">
      <c r="A12" s="69">
        <v>46146</v>
      </c>
      <c r="B12" t="s">
        <v>191</v>
      </c>
      <c r="C12" t="s">
        <v>290</v>
      </c>
      <c r="D12" t="s">
        <v>277</v>
      </c>
      <c r="E12" s="70">
        <v>4587518</v>
      </c>
      <c r="I12" s="72" t="s">
        <v>245</v>
      </c>
      <c r="J12" s="70">
        <v>1880</v>
      </c>
      <c r="K12" s="70">
        <v>1250</v>
      </c>
      <c r="L12" s="70">
        <v>3130</v>
      </c>
      <c r="M12" s="70"/>
      <c r="N12" s="70">
        <v>2743000</v>
      </c>
      <c r="O12" s="70">
        <v>3021474</v>
      </c>
      <c r="P12" s="70"/>
      <c r="Q12" s="70"/>
      <c r="R12" s="70">
        <v>5770734</v>
      </c>
    </row>
    <row r="13" spans="1:18" x14ac:dyDescent="0.25">
      <c r="A13" s="69">
        <v>46146</v>
      </c>
      <c r="B13" t="s">
        <v>291</v>
      </c>
      <c r="C13" t="s">
        <v>292</v>
      </c>
      <c r="D13" t="s">
        <v>285</v>
      </c>
      <c r="E13" s="70">
        <v>1248000</v>
      </c>
      <c r="I13" s="72" t="s">
        <v>153</v>
      </c>
      <c r="J13" s="70"/>
      <c r="K13" s="70"/>
      <c r="L13" s="70">
        <v>1274</v>
      </c>
      <c r="M13" s="70"/>
      <c r="N13" s="70"/>
      <c r="O13" s="70">
        <v>251274</v>
      </c>
      <c r="P13" s="70"/>
      <c r="Q13" s="70"/>
      <c r="R13" s="70">
        <v>252548</v>
      </c>
    </row>
    <row r="14" spans="1:18" x14ac:dyDescent="0.25">
      <c r="A14" s="69">
        <v>46146</v>
      </c>
      <c r="B14" t="s">
        <v>233</v>
      </c>
      <c r="C14" t="s">
        <v>293</v>
      </c>
      <c r="D14" t="s">
        <v>285</v>
      </c>
      <c r="E14" s="70">
        <v>848000</v>
      </c>
      <c r="I14" s="72" t="s">
        <v>157</v>
      </c>
      <c r="J14" s="70"/>
      <c r="K14" s="70"/>
      <c r="L14" s="70">
        <v>7735854</v>
      </c>
      <c r="M14" s="70">
        <v>2788741</v>
      </c>
      <c r="N14" s="70">
        <v>458003</v>
      </c>
      <c r="O14" s="70">
        <v>7637383</v>
      </c>
      <c r="P14" s="70">
        <v>3304379</v>
      </c>
      <c r="Q14" s="70">
        <v>1840999</v>
      </c>
      <c r="R14" s="70">
        <v>23765359</v>
      </c>
    </row>
    <row r="15" spans="1:18" x14ac:dyDescent="0.25">
      <c r="A15" s="69">
        <v>46146</v>
      </c>
      <c r="B15" t="s">
        <v>269</v>
      </c>
      <c r="C15" t="s">
        <v>294</v>
      </c>
      <c r="D15" t="s">
        <v>279</v>
      </c>
      <c r="E15" s="70">
        <v>2690000</v>
      </c>
      <c r="I15" s="72" t="s">
        <v>166</v>
      </c>
      <c r="J15" s="70"/>
      <c r="K15" s="70"/>
      <c r="L15" s="70">
        <v>989</v>
      </c>
      <c r="M15" s="70"/>
      <c r="N15" s="70"/>
      <c r="O15" s="70">
        <v>1746</v>
      </c>
      <c r="P15" s="70"/>
      <c r="Q15" s="70"/>
      <c r="R15" s="70">
        <v>2735</v>
      </c>
    </row>
    <row r="16" spans="1:18" x14ac:dyDescent="0.25">
      <c r="A16" s="69">
        <v>46146</v>
      </c>
      <c r="B16" t="s">
        <v>253</v>
      </c>
      <c r="C16" t="s">
        <v>295</v>
      </c>
      <c r="D16" t="s">
        <v>286</v>
      </c>
      <c r="E16" s="70">
        <v>4428000</v>
      </c>
      <c r="I16" s="72" t="s">
        <v>204</v>
      </c>
      <c r="J16" s="70">
        <v>10000</v>
      </c>
      <c r="K16" s="70">
        <v>10000</v>
      </c>
      <c r="L16" s="70">
        <v>3408000</v>
      </c>
      <c r="M16" s="70"/>
      <c r="N16" s="70"/>
      <c r="O16" s="70">
        <v>3668979</v>
      </c>
      <c r="P16" s="70"/>
      <c r="Q16" s="70"/>
      <c r="R16" s="70">
        <v>7096979</v>
      </c>
    </row>
    <row r="17" spans="1:18" x14ac:dyDescent="0.25">
      <c r="A17" s="69">
        <v>46146</v>
      </c>
      <c r="B17" t="s">
        <v>266</v>
      </c>
      <c r="C17" t="s">
        <v>278</v>
      </c>
      <c r="D17" t="s">
        <v>286</v>
      </c>
      <c r="E17" s="70">
        <v>1000000</v>
      </c>
      <c r="I17" s="72" t="s">
        <v>152</v>
      </c>
      <c r="J17" s="70"/>
      <c r="K17" s="70">
        <v>15000</v>
      </c>
      <c r="L17" s="70">
        <v>22215946</v>
      </c>
      <c r="M17" s="70">
        <v>9418186</v>
      </c>
      <c r="N17" s="70"/>
      <c r="O17" s="70">
        <v>363669</v>
      </c>
      <c r="P17" s="70"/>
      <c r="Q17" s="70"/>
      <c r="R17" s="70">
        <v>32012801</v>
      </c>
    </row>
    <row r="18" spans="1:18" x14ac:dyDescent="0.25">
      <c r="A18" s="69">
        <v>46146</v>
      </c>
      <c r="B18" t="s">
        <v>246</v>
      </c>
      <c r="C18" t="s">
        <v>276</v>
      </c>
      <c r="D18" t="s">
        <v>285</v>
      </c>
      <c r="E18" s="70">
        <v>2717000</v>
      </c>
      <c r="I18" s="72" t="s">
        <v>552</v>
      </c>
      <c r="J18" s="70"/>
      <c r="K18" s="70"/>
      <c r="L18" s="70">
        <v>10750364</v>
      </c>
      <c r="M18" s="70">
        <v>3450469</v>
      </c>
      <c r="N18" s="70"/>
      <c r="O18" s="70">
        <v>9789441</v>
      </c>
      <c r="P18" s="70"/>
      <c r="Q18" s="70">
        <v>2070000</v>
      </c>
      <c r="R18" s="70">
        <v>26060274</v>
      </c>
    </row>
    <row r="19" spans="1:18" x14ac:dyDescent="0.25">
      <c r="A19" s="69">
        <v>46146</v>
      </c>
      <c r="B19" t="s">
        <v>283</v>
      </c>
      <c r="C19" t="s">
        <v>284</v>
      </c>
      <c r="D19" t="s">
        <v>286</v>
      </c>
      <c r="E19" s="70">
        <v>1872000</v>
      </c>
      <c r="I19" s="72" t="s">
        <v>622</v>
      </c>
      <c r="J19" s="70">
        <v>20000</v>
      </c>
      <c r="K19" s="70"/>
      <c r="L19" s="70"/>
      <c r="M19" s="70"/>
      <c r="N19" s="70"/>
      <c r="O19" s="70">
        <v>250000</v>
      </c>
      <c r="P19" s="70"/>
      <c r="Q19" s="70"/>
      <c r="R19" s="70">
        <v>270000</v>
      </c>
    </row>
    <row r="20" spans="1:18" x14ac:dyDescent="0.25">
      <c r="A20" s="69">
        <v>46146</v>
      </c>
      <c r="B20" t="s">
        <v>162</v>
      </c>
      <c r="C20" t="s">
        <v>289</v>
      </c>
      <c r="D20" t="s">
        <v>277</v>
      </c>
      <c r="E20" s="70">
        <v>18400000</v>
      </c>
      <c r="I20" s="72" t="s">
        <v>252</v>
      </c>
      <c r="J20" s="70"/>
      <c r="K20" s="70"/>
      <c r="L20" s="70"/>
      <c r="M20" s="70"/>
      <c r="N20" s="70"/>
      <c r="O20" s="70">
        <v>3744000</v>
      </c>
      <c r="P20" s="70"/>
      <c r="Q20" s="70"/>
      <c r="R20" s="70">
        <v>3744000</v>
      </c>
    </row>
    <row r="21" spans="1:18" x14ac:dyDescent="0.25">
      <c r="A21" s="69">
        <v>46146</v>
      </c>
      <c r="B21" t="s">
        <v>191</v>
      </c>
      <c r="C21" t="s">
        <v>290</v>
      </c>
      <c r="D21" t="s">
        <v>285</v>
      </c>
      <c r="E21" s="70">
        <v>4587518</v>
      </c>
      <c r="I21" s="72" t="s">
        <v>165</v>
      </c>
      <c r="J21" s="70">
        <v>700000</v>
      </c>
      <c r="K21" s="70"/>
      <c r="L21" s="70">
        <v>3004055</v>
      </c>
      <c r="M21" s="70">
        <v>850000</v>
      </c>
      <c r="N21" s="70">
        <v>50000</v>
      </c>
      <c r="O21" s="70">
        <v>2454055</v>
      </c>
      <c r="P21" s="70"/>
      <c r="Q21" s="70">
        <v>50000</v>
      </c>
      <c r="R21" s="70">
        <v>7108110</v>
      </c>
    </row>
    <row r="22" spans="1:18" x14ac:dyDescent="0.25">
      <c r="A22" s="69">
        <v>46146</v>
      </c>
      <c r="B22" t="s">
        <v>269</v>
      </c>
      <c r="C22" t="s">
        <v>294</v>
      </c>
      <c r="D22" t="s">
        <v>277</v>
      </c>
      <c r="E22" s="70">
        <v>2690000</v>
      </c>
      <c r="I22" s="72" t="s">
        <v>247</v>
      </c>
      <c r="J22" s="70"/>
      <c r="K22" s="70"/>
      <c r="L22" s="70">
        <v>22464000</v>
      </c>
      <c r="M22" s="70"/>
      <c r="N22" s="70">
        <v>22464000</v>
      </c>
      <c r="O22" s="70">
        <v>22482842</v>
      </c>
      <c r="P22" s="70"/>
      <c r="Q22" s="70"/>
      <c r="R22" s="70">
        <v>67410842</v>
      </c>
    </row>
    <row r="23" spans="1:18" x14ac:dyDescent="0.25">
      <c r="A23" s="69">
        <v>46146</v>
      </c>
      <c r="B23" t="s">
        <v>163</v>
      </c>
      <c r="C23" t="s">
        <v>296</v>
      </c>
      <c r="D23" t="s">
        <v>285</v>
      </c>
      <c r="E23" s="70">
        <v>2026</v>
      </c>
      <c r="I23" s="72" t="s">
        <v>191</v>
      </c>
      <c r="J23" s="70">
        <v>2717000</v>
      </c>
      <c r="K23" s="70"/>
      <c r="L23" s="70">
        <v>49826599</v>
      </c>
      <c r="M23" s="70">
        <v>13287390</v>
      </c>
      <c r="N23" s="70">
        <v>37191518</v>
      </c>
      <c r="O23" s="70">
        <v>67888259</v>
      </c>
      <c r="P23" s="70"/>
      <c r="Q23" s="70">
        <v>21528588</v>
      </c>
      <c r="R23" s="70">
        <v>192439354</v>
      </c>
    </row>
    <row r="24" spans="1:18" x14ac:dyDescent="0.25">
      <c r="A24" s="69">
        <v>46146</v>
      </c>
      <c r="B24" t="s">
        <v>191</v>
      </c>
      <c r="C24" t="s">
        <v>290</v>
      </c>
      <c r="D24" t="s">
        <v>286</v>
      </c>
      <c r="E24" s="70">
        <v>4587518</v>
      </c>
      <c r="I24" s="72" t="s">
        <v>790</v>
      </c>
      <c r="J24" s="70"/>
      <c r="K24" s="70"/>
      <c r="L24" s="70"/>
      <c r="M24" s="70"/>
      <c r="N24" s="70"/>
      <c r="O24" s="70">
        <v>152</v>
      </c>
      <c r="P24" s="70"/>
      <c r="Q24" s="70"/>
      <c r="R24" s="70">
        <v>152</v>
      </c>
    </row>
    <row r="25" spans="1:18" x14ac:dyDescent="0.25">
      <c r="A25" s="69">
        <v>46146</v>
      </c>
      <c r="B25" t="s">
        <v>269</v>
      </c>
      <c r="C25" t="s">
        <v>294</v>
      </c>
      <c r="D25" t="s">
        <v>286</v>
      </c>
      <c r="E25" s="70">
        <v>2690000</v>
      </c>
      <c r="I25" s="72" t="s">
        <v>159</v>
      </c>
      <c r="J25" s="70"/>
      <c r="K25" s="70"/>
      <c r="L25" s="70">
        <v>6472134</v>
      </c>
      <c r="M25" s="70">
        <v>5881256</v>
      </c>
      <c r="N25" s="70"/>
      <c r="O25" s="70">
        <v>4290741</v>
      </c>
      <c r="P25" s="70"/>
      <c r="Q25" s="70">
        <v>4290741</v>
      </c>
      <c r="R25" s="70">
        <v>20934872</v>
      </c>
    </row>
    <row r="26" spans="1:18" x14ac:dyDescent="0.25">
      <c r="A26" s="69">
        <v>46146</v>
      </c>
      <c r="B26" t="s">
        <v>163</v>
      </c>
      <c r="C26" t="s">
        <v>297</v>
      </c>
      <c r="D26" t="s">
        <v>286</v>
      </c>
      <c r="E26" s="70">
        <v>2926000</v>
      </c>
      <c r="I26" s="72" t="s">
        <v>199</v>
      </c>
      <c r="J26" s="70"/>
      <c r="K26" s="70"/>
      <c r="L26" s="70">
        <v>278</v>
      </c>
      <c r="M26" s="70"/>
      <c r="N26" s="70"/>
      <c r="O26" s="70">
        <v>1000850</v>
      </c>
      <c r="P26" s="70"/>
      <c r="Q26" s="70"/>
      <c r="R26" s="70">
        <v>1001128</v>
      </c>
    </row>
    <row r="27" spans="1:18" x14ac:dyDescent="0.25">
      <c r="A27" s="69">
        <v>46146</v>
      </c>
      <c r="B27" t="s">
        <v>163</v>
      </c>
      <c r="C27" t="s">
        <v>297</v>
      </c>
      <c r="D27" t="s">
        <v>279</v>
      </c>
      <c r="E27" s="70">
        <v>2926000</v>
      </c>
      <c r="I27" s="72" t="s">
        <v>167</v>
      </c>
      <c r="J27" s="70"/>
      <c r="K27" s="70"/>
      <c r="L27" s="70"/>
      <c r="M27" s="70"/>
      <c r="N27" s="70"/>
      <c r="O27" s="70">
        <v>250000</v>
      </c>
      <c r="P27" s="70"/>
      <c r="Q27" s="70"/>
      <c r="R27" s="70">
        <v>250000</v>
      </c>
    </row>
    <row r="28" spans="1:18" x14ac:dyDescent="0.25">
      <c r="A28" s="69">
        <v>46146</v>
      </c>
      <c r="B28" t="s">
        <v>246</v>
      </c>
      <c r="C28" t="s">
        <v>298</v>
      </c>
      <c r="D28" t="s">
        <v>299</v>
      </c>
      <c r="E28" s="70">
        <v>8229000</v>
      </c>
      <c r="I28" s="72" t="s">
        <v>231</v>
      </c>
      <c r="J28" s="70"/>
      <c r="K28" s="70"/>
      <c r="L28" s="70">
        <v>36826209</v>
      </c>
      <c r="M28" s="70">
        <v>14335807</v>
      </c>
      <c r="N28" s="70">
        <v>2912000</v>
      </c>
      <c r="O28" s="70">
        <v>10561611</v>
      </c>
      <c r="P28" s="70"/>
      <c r="Q28" s="70">
        <v>13846748</v>
      </c>
      <c r="R28" s="70">
        <v>78482375</v>
      </c>
    </row>
    <row r="29" spans="1:18" x14ac:dyDescent="0.25">
      <c r="A29" s="69">
        <v>46146</v>
      </c>
      <c r="B29" t="s">
        <v>202</v>
      </c>
      <c r="C29" t="s">
        <v>300</v>
      </c>
      <c r="D29" t="s">
        <v>285</v>
      </c>
      <c r="E29" s="70">
        <v>1890000</v>
      </c>
      <c r="I29" s="72" t="s">
        <v>763</v>
      </c>
      <c r="J29" s="70"/>
      <c r="K29" s="70"/>
      <c r="L29" s="70">
        <v>7620000</v>
      </c>
      <c r="M29" s="70">
        <v>7620000</v>
      </c>
      <c r="N29" s="70"/>
      <c r="O29" s="70">
        <v>250000</v>
      </c>
      <c r="P29" s="70"/>
      <c r="Q29" s="70"/>
      <c r="R29" s="70">
        <v>15490000</v>
      </c>
    </row>
    <row r="30" spans="1:18" x14ac:dyDescent="0.25">
      <c r="A30" s="69">
        <v>46146</v>
      </c>
      <c r="B30" t="s">
        <v>253</v>
      </c>
      <c r="C30" t="s">
        <v>295</v>
      </c>
      <c r="D30" t="s">
        <v>285</v>
      </c>
      <c r="E30" s="70">
        <v>4428000</v>
      </c>
      <c r="I30" s="72" t="s">
        <v>283</v>
      </c>
      <c r="J30" s="70"/>
      <c r="K30" s="70"/>
      <c r="L30" s="70">
        <v>3744000</v>
      </c>
      <c r="M30" s="70"/>
      <c r="N30" s="70"/>
      <c r="O30" s="70">
        <v>3744000</v>
      </c>
      <c r="P30" s="70"/>
      <c r="Q30" s="70"/>
      <c r="R30" s="70">
        <v>7488000</v>
      </c>
    </row>
    <row r="31" spans="1:18" x14ac:dyDescent="0.25">
      <c r="A31" s="69">
        <v>46146</v>
      </c>
      <c r="B31" t="s">
        <v>163</v>
      </c>
      <c r="C31" t="s">
        <v>297</v>
      </c>
      <c r="D31" t="s">
        <v>285</v>
      </c>
      <c r="E31" s="70">
        <v>2926000</v>
      </c>
      <c r="I31" s="72" t="s">
        <v>233</v>
      </c>
      <c r="J31" s="70"/>
      <c r="K31" s="70"/>
      <c r="L31" s="70">
        <v>2385891</v>
      </c>
      <c r="M31" s="70"/>
      <c r="N31" s="70"/>
      <c r="O31" s="70"/>
      <c r="P31" s="70"/>
      <c r="Q31" s="70"/>
      <c r="R31" s="70">
        <v>2385891</v>
      </c>
    </row>
    <row r="32" spans="1:18" x14ac:dyDescent="0.25">
      <c r="A32" s="69">
        <v>46146</v>
      </c>
      <c r="B32" t="s">
        <v>246</v>
      </c>
      <c r="C32" t="s">
        <v>298</v>
      </c>
      <c r="D32" t="s">
        <v>285</v>
      </c>
      <c r="E32" s="70">
        <v>8229000</v>
      </c>
      <c r="I32" s="72" t="s">
        <v>555</v>
      </c>
      <c r="J32" s="70"/>
      <c r="K32" s="70"/>
      <c r="L32" s="70">
        <v>2935496</v>
      </c>
      <c r="M32" s="70"/>
      <c r="N32" s="70">
        <v>1908000</v>
      </c>
      <c r="O32" s="70">
        <v>1386678</v>
      </c>
      <c r="P32" s="70"/>
      <c r="Q32" s="70">
        <v>1386246</v>
      </c>
      <c r="R32" s="70">
        <v>7616420</v>
      </c>
    </row>
    <row r="33" spans="1:18" x14ac:dyDescent="0.25">
      <c r="A33" s="69">
        <v>46146</v>
      </c>
      <c r="B33" t="s">
        <v>202</v>
      </c>
      <c r="C33" t="s">
        <v>300</v>
      </c>
      <c r="D33" t="s">
        <v>301</v>
      </c>
      <c r="E33" s="70">
        <v>1890000</v>
      </c>
      <c r="I33" s="72" t="s">
        <v>613</v>
      </c>
      <c r="J33" s="70"/>
      <c r="K33" s="70">
        <v>6000</v>
      </c>
      <c r="L33" s="70">
        <v>10326000</v>
      </c>
      <c r="M33" s="70"/>
      <c r="N33" s="70">
        <v>28380000</v>
      </c>
      <c r="O33" s="70">
        <v>18381442</v>
      </c>
      <c r="P33" s="70"/>
      <c r="Q33" s="70"/>
      <c r="R33" s="70">
        <v>57093442</v>
      </c>
    </row>
    <row r="34" spans="1:18" x14ac:dyDescent="0.25">
      <c r="A34" s="69">
        <v>46146</v>
      </c>
      <c r="B34" t="s">
        <v>253</v>
      </c>
      <c r="C34" t="s">
        <v>302</v>
      </c>
      <c r="D34" t="s">
        <v>277</v>
      </c>
      <c r="E34" s="70">
        <v>948000</v>
      </c>
      <c r="I34" s="72" t="s">
        <v>243</v>
      </c>
      <c r="J34" s="70"/>
      <c r="K34" s="70"/>
      <c r="L34" s="70"/>
      <c r="M34" s="70"/>
      <c r="N34" s="70"/>
      <c r="O34" s="70">
        <v>1881000</v>
      </c>
      <c r="P34" s="70"/>
      <c r="Q34" s="70"/>
      <c r="R34" s="70">
        <v>1881000</v>
      </c>
    </row>
    <row r="35" spans="1:18" x14ac:dyDescent="0.25">
      <c r="A35" s="69">
        <v>46146</v>
      </c>
      <c r="B35" t="s">
        <v>202</v>
      </c>
      <c r="C35" t="s">
        <v>303</v>
      </c>
      <c r="D35" t="s">
        <v>286</v>
      </c>
      <c r="E35" s="70">
        <v>105856</v>
      </c>
      <c r="I35" s="72" t="s">
        <v>155</v>
      </c>
      <c r="J35" s="70"/>
      <c r="K35" s="70"/>
      <c r="L35" s="70">
        <v>6798895</v>
      </c>
      <c r="M35" s="70"/>
      <c r="N35" s="70">
        <v>5868000</v>
      </c>
      <c r="O35" s="70">
        <v>14506305</v>
      </c>
      <c r="P35" s="70">
        <v>1839410</v>
      </c>
      <c r="Q35" s="70"/>
      <c r="R35" s="70">
        <v>29012610</v>
      </c>
    </row>
    <row r="36" spans="1:18" x14ac:dyDescent="0.25">
      <c r="A36" s="69">
        <v>46146</v>
      </c>
      <c r="B36" t="s">
        <v>202</v>
      </c>
      <c r="C36" t="s">
        <v>300</v>
      </c>
      <c r="D36" t="s">
        <v>279</v>
      </c>
      <c r="E36" s="70">
        <v>1890000</v>
      </c>
      <c r="I36" s="72" t="s">
        <v>609</v>
      </c>
      <c r="J36" s="70">
        <v>20000</v>
      </c>
      <c r="K36" s="70">
        <v>20000</v>
      </c>
      <c r="L36" s="70"/>
      <c r="M36" s="70"/>
      <c r="N36" s="70"/>
      <c r="O36" s="70">
        <v>17395000</v>
      </c>
      <c r="P36" s="70"/>
      <c r="Q36" s="70">
        <v>17145000</v>
      </c>
      <c r="R36" s="70">
        <v>34580000</v>
      </c>
    </row>
    <row r="37" spans="1:18" x14ac:dyDescent="0.25">
      <c r="A37" s="69">
        <v>46146</v>
      </c>
      <c r="B37" t="s">
        <v>269</v>
      </c>
      <c r="C37" t="s">
        <v>304</v>
      </c>
      <c r="D37" t="s">
        <v>277</v>
      </c>
      <c r="E37" s="70">
        <v>3758479</v>
      </c>
      <c r="I37" s="72" t="s">
        <v>150</v>
      </c>
      <c r="J37" s="70"/>
      <c r="K37" s="70"/>
      <c r="L37" s="70"/>
      <c r="M37" s="70"/>
      <c r="N37" s="70"/>
      <c r="O37" s="70">
        <v>3770470</v>
      </c>
      <c r="P37" s="70"/>
      <c r="Q37" s="70"/>
      <c r="R37" s="70">
        <v>3770470</v>
      </c>
    </row>
    <row r="38" spans="1:18" x14ac:dyDescent="0.25">
      <c r="A38" s="69">
        <v>46146</v>
      </c>
      <c r="B38" t="s">
        <v>168</v>
      </c>
      <c r="C38" t="s">
        <v>305</v>
      </c>
      <c r="D38" t="s">
        <v>285</v>
      </c>
      <c r="E38" s="70">
        <v>2584672</v>
      </c>
      <c r="I38" s="72" t="s">
        <v>219</v>
      </c>
      <c r="J38" s="70"/>
      <c r="K38" s="70"/>
      <c r="L38" s="70">
        <v>2704000</v>
      </c>
      <c r="M38" s="70">
        <v>2704000</v>
      </c>
      <c r="N38" s="70"/>
      <c r="O38" s="70">
        <v>4204978</v>
      </c>
      <c r="P38" s="70"/>
      <c r="Q38" s="70"/>
      <c r="R38" s="70">
        <v>9612978</v>
      </c>
    </row>
    <row r="39" spans="1:18" x14ac:dyDescent="0.25">
      <c r="A39" s="69">
        <v>46146</v>
      </c>
      <c r="B39" t="s">
        <v>246</v>
      </c>
      <c r="C39" t="s">
        <v>298</v>
      </c>
      <c r="D39" t="s">
        <v>286</v>
      </c>
      <c r="E39" s="70">
        <v>8229000</v>
      </c>
      <c r="I39" s="72" t="s">
        <v>238</v>
      </c>
      <c r="J39" s="70">
        <v>10000</v>
      </c>
      <c r="K39" s="70">
        <v>10000</v>
      </c>
      <c r="L39" s="70">
        <v>10000</v>
      </c>
      <c r="M39" s="70"/>
      <c r="N39" s="70"/>
      <c r="O39" s="70">
        <v>502966</v>
      </c>
      <c r="P39" s="70"/>
      <c r="Q39" s="70"/>
      <c r="R39" s="70">
        <v>532966</v>
      </c>
    </row>
    <row r="40" spans="1:18" x14ac:dyDescent="0.25">
      <c r="A40" s="69">
        <v>46146</v>
      </c>
      <c r="B40" t="s">
        <v>202</v>
      </c>
      <c r="C40" t="s">
        <v>303</v>
      </c>
      <c r="D40" t="s">
        <v>285</v>
      </c>
      <c r="E40" s="70">
        <v>105856</v>
      </c>
      <c r="I40" s="72" t="s">
        <v>799</v>
      </c>
      <c r="J40" s="70"/>
      <c r="K40" s="70"/>
      <c r="L40" s="70">
        <v>330</v>
      </c>
      <c r="M40" s="70"/>
      <c r="N40" s="70"/>
      <c r="O40" s="70"/>
      <c r="P40" s="70"/>
      <c r="Q40" s="70"/>
      <c r="R40" s="70">
        <v>330</v>
      </c>
    </row>
    <row r="41" spans="1:18" x14ac:dyDescent="0.25">
      <c r="A41" s="69">
        <v>46146</v>
      </c>
      <c r="B41" t="s">
        <v>269</v>
      </c>
      <c r="C41" t="s">
        <v>304</v>
      </c>
      <c r="D41" t="s">
        <v>286</v>
      </c>
      <c r="E41" s="70">
        <v>3758479</v>
      </c>
      <c r="I41" s="72" t="s">
        <v>156</v>
      </c>
      <c r="J41" s="70"/>
      <c r="K41" s="70"/>
      <c r="L41" s="70">
        <v>250000</v>
      </c>
      <c r="M41" s="70"/>
      <c r="N41" s="70">
        <v>2153129</v>
      </c>
      <c r="O41" s="70">
        <v>3841037</v>
      </c>
      <c r="P41" s="70"/>
      <c r="Q41" s="70"/>
      <c r="R41" s="70">
        <v>6244166</v>
      </c>
    </row>
    <row r="42" spans="1:18" x14ac:dyDescent="0.25">
      <c r="A42" s="69">
        <v>46146</v>
      </c>
      <c r="B42" t="s">
        <v>168</v>
      </c>
      <c r="C42" t="s">
        <v>306</v>
      </c>
      <c r="D42" t="s">
        <v>286</v>
      </c>
      <c r="E42" s="70">
        <v>1150054</v>
      </c>
      <c r="I42" s="72" t="s">
        <v>161</v>
      </c>
      <c r="J42" s="70">
        <v>10000</v>
      </c>
      <c r="K42" s="70">
        <v>10000</v>
      </c>
      <c r="L42" s="70">
        <v>10411707</v>
      </c>
      <c r="M42" s="70">
        <v>198911</v>
      </c>
      <c r="N42" s="70"/>
      <c r="O42" s="70">
        <v>10307686</v>
      </c>
      <c r="P42" s="70"/>
      <c r="Q42" s="70"/>
      <c r="R42" s="70">
        <v>20938304</v>
      </c>
    </row>
    <row r="43" spans="1:18" x14ac:dyDescent="0.25">
      <c r="A43" s="69">
        <v>46146</v>
      </c>
      <c r="B43" t="s">
        <v>168</v>
      </c>
      <c r="C43" t="s">
        <v>307</v>
      </c>
      <c r="D43" t="s">
        <v>301</v>
      </c>
      <c r="E43" s="70">
        <v>706134</v>
      </c>
      <c r="I43" s="72" t="s">
        <v>250</v>
      </c>
      <c r="J43" s="70"/>
      <c r="K43" s="70"/>
      <c r="L43" s="70">
        <v>9647694</v>
      </c>
      <c r="M43" s="70">
        <v>7155006</v>
      </c>
      <c r="N43" s="70">
        <v>15565870</v>
      </c>
      <c r="O43" s="70">
        <v>27165751</v>
      </c>
      <c r="P43" s="70"/>
      <c r="Q43" s="70">
        <v>3602310</v>
      </c>
      <c r="R43" s="70">
        <v>63136631</v>
      </c>
    </row>
    <row r="44" spans="1:18" x14ac:dyDescent="0.25">
      <c r="A44" s="69">
        <v>46146</v>
      </c>
      <c r="B44" t="s">
        <v>168</v>
      </c>
      <c r="C44" t="s">
        <v>308</v>
      </c>
      <c r="D44" t="s">
        <v>285</v>
      </c>
      <c r="E44" s="70">
        <v>737452</v>
      </c>
      <c r="I44" s="72" t="s">
        <v>201</v>
      </c>
      <c r="J44" s="70"/>
      <c r="K44" s="70"/>
      <c r="L44" s="70"/>
      <c r="M44" s="70"/>
      <c r="N44" s="70"/>
      <c r="O44" s="70">
        <v>776406</v>
      </c>
      <c r="P44" s="70"/>
      <c r="Q44" s="70"/>
      <c r="R44" s="70">
        <v>776406</v>
      </c>
    </row>
    <row r="45" spans="1:18" x14ac:dyDescent="0.25">
      <c r="A45" s="69">
        <v>46146</v>
      </c>
      <c r="B45" t="s">
        <v>168</v>
      </c>
      <c r="C45" t="s">
        <v>309</v>
      </c>
      <c r="D45" t="s">
        <v>286</v>
      </c>
      <c r="E45" s="70">
        <v>823863</v>
      </c>
      <c r="I45" s="72" t="s">
        <v>234</v>
      </c>
      <c r="J45" s="70"/>
      <c r="K45" s="70"/>
      <c r="L45" s="70"/>
      <c r="M45" s="70"/>
      <c r="N45" s="70"/>
      <c r="O45" s="70">
        <v>2800</v>
      </c>
      <c r="P45" s="70"/>
      <c r="Q45" s="70"/>
      <c r="R45" s="70">
        <v>2800</v>
      </c>
    </row>
    <row r="46" spans="1:18" x14ac:dyDescent="0.25">
      <c r="A46" s="69">
        <v>46146</v>
      </c>
      <c r="B46" t="s">
        <v>269</v>
      </c>
      <c r="C46" t="s">
        <v>310</v>
      </c>
      <c r="D46" t="s">
        <v>279</v>
      </c>
      <c r="E46" s="70">
        <v>208337</v>
      </c>
      <c r="I46" s="72" t="s">
        <v>258</v>
      </c>
      <c r="J46" s="70"/>
      <c r="K46" s="70"/>
      <c r="L46" s="70">
        <v>2743018</v>
      </c>
      <c r="M46" s="70">
        <v>1007106</v>
      </c>
      <c r="N46" s="70">
        <v>6270000</v>
      </c>
      <c r="O46" s="70">
        <v>9013018</v>
      </c>
      <c r="P46" s="70"/>
      <c r="Q46" s="70">
        <v>403139</v>
      </c>
      <c r="R46" s="70">
        <v>19436281</v>
      </c>
    </row>
    <row r="47" spans="1:18" x14ac:dyDescent="0.25">
      <c r="A47" s="69">
        <v>46146</v>
      </c>
      <c r="B47" t="s">
        <v>269</v>
      </c>
      <c r="C47" t="s">
        <v>311</v>
      </c>
      <c r="D47" t="s">
        <v>286</v>
      </c>
      <c r="E47" s="70">
        <v>198544</v>
      </c>
      <c r="I47" s="72" t="s">
        <v>266</v>
      </c>
      <c r="J47" s="70"/>
      <c r="K47" s="70"/>
      <c r="L47" s="70">
        <v>1000000</v>
      </c>
      <c r="M47" s="70"/>
      <c r="N47" s="70">
        <v>1000000</v>
      </c>
      <c r="O47" s="70">
        <v>1404000</v>
      </c>
      <c r="P47" s="70">
        <v>1000000</v>
      </c>
      <c r="Q47" s="70"/>
      <c r="R47" s="70">
        <v>4404000</v>
      </c>
    </row>
    <row r="48" spans="1:18" x14ac:dyDescent="0.25">
      <c r="A48" s="69">
        <v>46146</v>
      </c>
      <c r="B48" t="s">
        <v>269</v>
      </c>
      <c r="C48" t="s">
        <v>304</v>
      </c>
      <c r="D48" t="s">
        <v>285</v>
      </c>
      <c r="E48" s="70">
        <v>3758479</v>
      </c>
      <c r="I48" s="72" t="s">
        <v>291</v>
      </c>
      <c r="J48" s="70"/>
      <c r="K48" s="70"/>
      <c r="L48" s="70">
        <v>1248000</v>
      </c>
      <c r="M48" s="70"/>
      <c r="N48" s="70"/>
      <c r="O48" s="70"/>
      <c r="P48" s="70"/>
      <c r="Q48" s="70"/>
      <c r="R48" s="70">
        <v>1248000</v>
      </c>
    </row>
    <row r="49" spans="1:18" x14ac:dyDescent="0.25">
      <c r="A49" s="69">
        <v>46146</v>
      </c>
      <c r="B49" t="s">
        <v>168</v>
      </c>
      <c r="C49" t="s">
        <v>305</v>
      </c>
      <c r="D49" t="s">
        <v>279</v>
      </c>
      <c r="E49" s="70">
        <v>2584672</v>
      </c>
      <c r="I49" s="72" t="s">
        <v>604</v>
      </c>
      <c r="J49" s="70"/>
      <c r="K49" s="70">
        <v>25000</v>
      </c>
      <c r="L49" s="70">
        <v>10909551</v>
      </c>
      <c r="M49" s="70">
        <v>4819622</v>
      </c>
      <c r="N49" s="70">
        <v>56000000</v>
      </c>
      <c r="O49" s="70">
        <v>66708723</v>
      </c>
      <c r="P49" s="70"/>
      <c r="Q49" s="70">
        <v>6055768</v>
      </c>
      <c r="R49" s="70">
        <v>144518664</v>
      </c>
    </row>
    <row r="50" spans="1:18" x14ac:dyDescent="0.25">
      <c r="A50" s="69">
        <v>46146</v>
      </c>
      <c r="B50" t="s">
        <v>168</v>
      </c>
      <c r="C50" t="s">
        <v>309</v>
      </c>
      <c r="D50" t="s">
        <v>279</v>
      </c>
      <c r="E50" s="70">
        <v>823863</v>
      </c>
      <c r="I50" s="72" t="s">
        <v>162</v>
      </c>
      <c r="J50" s="70">
        <v>10000</v>
      </c>
      <c r="K50" s="70">
        <v>10000</v>
      </c>
      <c r="L50" s="70">
        <v>40588921</v>
      </c>
      <c r="M50" s="70">
        <v>7409978</v>
      </c>
      <c r="N50" s="70">
        <v>57200000</v>
      </c>
      <c r="O50" s="70">
        <v>48406439</v>
      </c>
      <c r="P50" s="70"/>
      <c r="Q50" s="70">
        <v>18400000</v>
      </c>
      <c r="R50" s="70">
        <v>172025338</v>
      </c>
    </row>
    <row r="51" spans="1:18" x14ac:dyDescent="0.25">
      <c r="A51" s="69">
        <v>46146</v>
      </c>
      <c r="B51" t="s">
        <v>265</v>
      </c>
      <c r="C51" t="s">
        <v>312</v>
      </c>
      <c r="D51" t="s">
        <v>285</v>
      </c>
      <c r="E51" s="70">
        <v>1036</v>
      </c>
      <c r="I51" s="72" t="s">
        <v>598</v>
      </c>
      <c r="J51" s="70"/>
      <c r="K51" s="70"/>
      <c r="L51" s="70">
        <v>8416797</v>
      </c>
      <c r="M51" s="70">
        <v>5371003</v>
      </c>
      <c r="N51" s="70">
        <v>2413782</v>
      </c>
      <c r="O51" s="70">
        <v>8525610</v>
      </c>
      <c r="P51" s="70"/>
      <c r="Q51" s="70">
        <v>2063973</v>
      </c>
      <c r="R51" s="70">
        <v>26791165</v>
      </c>
    </row>
    <row r="52" spans="1:18" x14ac:dyDescent="0.25">
      <c r="A52" s="69">
        <v>46146</v>
      </c>
      <c r="B52" t="s">
        <v>268</v>
      </c>
      <c r="C52" t="s">
        <v>313</v>
      </c>
      <c r="D52" t="s">
        <v>285</v>
      </c>
      <c r="E52" s="70">
        <v>100000</v>
      </c>
      <c r="I52" s="72" t="s">
        <v>202</v>
      </c>
      <c r="J52" s="70"/>
      <c r="K52" s="70"/>
      <c r="L52" s="70">
        <v>5726422</v>
      </c>
      <c r="M52" s="70">
        <v>1890000</v>
      </c>
      <c r="N52" s="70">
        <v>1890000</v>
      </c>
      <c r="O52" s="70">
        <v>3776853</v>
      </c>
      <c r="P52" s="70">
        <v>1890000</v>
      </c>
      <c r="Q52" s="70">
        <v>1890000</v>
      </c>
      <c r="R52" s="70">
        <v>17063275</v>
      </c>
    </row>
    <row r="53" spans="1:18" x14ac:dyDescent="0.25">
      <c r="A53" s="69">
        <v>46146</v>
      </c>
      <c r="B53" t="s">
        <v>259</v>
      </c>
      <c r="C53" t="s">
        <v>314</v>
      </c>
      <c r="D53" t="s">
        <v>285</v>
      </c>
      <c r="E53" s="70">
        <v>431452</v>
      </c>
      <c r="I53" s="72" t="s">
        <v>794</v>
      </c>
      <c r="J53" s="70"/>
      <c r="K53" s="70"/>
      <c r="L53" s="70">
        <v>124</v>
      </c>
      <c r="M53" s="70"/>
      <c r="N53" s="70"/>
      <c r="O53" s="70"/>
      <c r="P53" s="70"/>
      <c r="Q53" s="70"/>
      <c r="R53" s="70">
        <v>124</v>
      </c>
    </row>
    <row r="54" spans="1:18" x14ac:dyDescent="0.25">
      <c r="A54" s="69">
        <v>46146</v>
      </c>
      <c r="B54" t="s">
        <v>258</v>
      </c>
      <c r="C54" t="s">
        <v>315</v>
      </c>
      <c r="D54" t="s">
        <v>277</v>
      </c>
      <c r="E54" s="70">
        <v>6270000</v>
      </c>
      <c r="I54" s="72" t="s">
        <v>242</v>
      </c>
      <c r="J54" s="70">
        <v>1250</v>
      </c>
      <c r="K54" s="70">
        <v>1250</v>
      </c>
      <c r="L54" s="70">
        <v>1250</v>
      </c>
      <c r="M54" s="70"/>
      <c r="N54" s="70"/>
      <c r="O54" s="70">
        <v>124</v>
      </c>
      <c r="P54" s="70"/>
      <c r="Q54" s="70"/>
      <c r="R54" s="70">
        <v>3874</v>
      </c>
    </row>
    <row r="55" spans="1:18" x14ac:dyDescent="0.25">
      <c r="A55" s="69">
        <v>46146</v>
      </c>
      <c r="B55" t="s">
        <v>259</v>
      </c>
      <c r="C55" t="s">
        <v>316</v>
      </c>
      <c r="D55" t="s">
        <v>299</v>
      </c>
      <c r="E55" s="70">
        <v>1063155</v>
      </c>
      <c r="I55" s="72" t="s">
        <v>194</v>
      </c>
      <c r="J55" s="70"/>
      <c r="K55" s="70"/>
      <c r="L55" s="70">
        <v>763</v>
      </c>
      <c r="M55" s="70"/>
      <c r="N55" s="70"/>
      <c r="O55" s="70">
        <v>1026169</v>
      </c>
      <c r="P55" s="70"/>
      <c r="Q55" s="70"/>
      <c r="R55" s="70">
        <v>1026932</v>
      </c>
    </row>
    <row r="56" spans="1:18" x14ac:dyDescent="0.25">
      <c r="A56" s="69">
        <v>46146</v>
      </c>
      <c r="B56" t="s">
        <v>259</v>
      </c>
      <c r="C56" t="s">
        <v>316</v>
      </c>
      <c r="D56" t="s">
        <v>285</v>
      </c>
      <c r="E56" s="70">
        <v>1063155</v>
      </c>
      <c r="I56" s="72" t="s">
        <v>717</v>
      </c>
      <c r="J56" s="70"/>
      <c r="K56" s="70"/>
      <c r="L56" s="70">
        <v>11607571</v>
      </c>
      <c r="M56" s="70">
        <v>1138634</v>
      </c>
      <c r="N56" s="70"/>
      <c r="O56" s="70">
        <v>9241795</v>
      </c>
      <c r="P56" s="70"/>
      <c r="Q56" s="70">
        <v>1225415</v>
      </c>
      <c r="R56" s="70">
        <v>23213415</v>
      </c>
    </row>
    <row r="57" spans="1:18" x14ac:dyDescent="0.25">
      <c r="A57" s="69">
        <v>46146</v>
      </c>
      <c r="B57" t="s">
        <v>258</v>
      </c>
      <c r="C57" t="s">
        <v>317</v>
      </c>
      <c r="D57" t="s">
        <v>301</v>
      </c>
      <c r="E57" s="70">
        <v>1007106</v>
      </c>
      <c r="I57" s="72" t="s">
        <v>229</v>
      </c>
      <c r="J57" s="70">
        <v>22500</v>
      </c>
      <c r="K57" s="70">
        <v>4500</v>
      </c>
      <c r="L57" s="70">
        <v>3000</v>
      </c>
      <c r="M57" s="70"/>
      <c r="N57" s="70"/>
      <c r="O57" s="70">
        <v>266830</v>
      </c>
      <c r="P57" s="70"/>
      <c r="Q57" s="70"/>
      <c r="R57" s="70">
        <v>296830</v>
      </c>
    </row>
    <row r="58" spans="1:18" x14ac:dyDescent="0.25">
      <c r="A58" s="69">
        <v>46146</v>
      </c>
      <c r="B58" t="s">
        <v>258</v>
      </c>
      <c r="C58" t="s">
        <v>318</v>
      </c>
      <c r="D58" t="s">
        <v>286</v>
      </c>
      <c r="E58" s="70">
        <v>2339879</v>
      </c>
      <c r="I58" s="72" t="s">
        <v>180</v>
      </c>
      <c r="J58" s="70"/>
      <c r="K58" s="70">
        <v>10000</v>
      </c>
      <c r="L58" s="70">
        <v>16026436</v>
      </c>
      <c r="M58" s="70">
        <v>5629252</v>
      </c>
      <c r="N58" s="70"/>
      <c r="O58" s="70">
        <v>10867212</v>
      </c>
      <c r="P58" s="70"/>
      <c r="Q58" s="70">
        <v>11391546</v>
      </c>
      <c r="R58" s="70">
        <v>43924446</v>
      </c>
    </row>
    <row r="59" spans="1:18" x14ac:dyDescent="0.25">
      <c r="A59" s="69">
        <v>46146</v>
      </c>
      <c r="B59" t="s">
        <v>212</v>
      </c>
      <c r="C59" t="s">
        <v>319</v>
      </c>
      <c r="D59" t="s">
        <v>279</v>
      </c>
      <c r="E59" s="70">
        <v>3290000</v>
      </c>
      <c r="I59" s="72" t="s">
        <v>205</v>
      </c>
      <c r="J59" s="70"/>
      <c r="K59" s="70"/>
      <c r="L59" s="70">
        <v>1063573</v>
      </c>
      <c r="M59" s="70"/>
      <c r="N59" s="70"/>
      <c r="O59" s="70">
        <v>10382082</v>
      </c>
      <c r="P59" s="70"/>
      <c r="Q59" s="70"/>
      <c r="R59" s="70">
        <v>11445655</v>
      </c>
    </row>
    <row r="60" spans="1:18" x14ac:dyDescent="0.25">
      <c r="A60" s="69">
        <v>46146</v>
      </c>
      <c r="B60" t="s">
        <v>258</v>
      </c>
      <c r="C60" t="s">
        <v>320</v>
      </c>
      <c r="D60" t="s">
        <v>285</v>
      </c>
      <c r="E60" s="70">
        <v>403139</v>
      </c>
      <c r="I60" s="72" t="s">
        <v>501</v>
      </c>
      <c r="J60" s="70"/>
      <c r="K60" s="70"/>
      <c r="L60" s="70">
        <v>14911565</v>
      </c>
      <c r="M60" s="70"/>
      <c r="N60" s="70"/>
      <c r="O60" s="70"/>
      <c r="P60" s="70"/>
      <c r="Q60" s="70"/>
      <c r="R60" s="70">
        <v>14911565</v>
      </c>
    </row>
    <row r="61" spans="1:18" x14ac:dyDescent="0.25">
      <c r="A61" s="69">
        <v>46146</v>
      </c>
      <c r="B61" t="s">
        <v>212</v>
      </c>
      <c r="C61" t="s">
        <v>319</v>
      </c>
      <c r="D61" t="s">
        <v>286</v>
      </c>
      <c r="E61" s="70">
        <v>3290000</v>
      </c>
      <c r="I61" s="72" t="s">
        <v>246</v>
      </c>
      <c r="J61" s="70"/>
      <c r="K61" s="70"/>
      <c r="L61" s="70">
        <v>31218150</v>
      </c>
      <c r="M61" s="70">
        <v>6455408</v>
      </c>
      <c r="N61" s="70">
        <v>16509166</v>
      </c>
      <c r="O61" s="70">
        <v>33524514</v>
      </c>
      <c r="P61" s="70">
        <v>8229000</v>
      </c>
      <c r="Q61" s="70">
        <v>11866452</v>
      </c>
      <c r="R61" s="70">
        <v>107802690</v>
      </c>
    </row>
    <row r="62" spans="1:18" x14ac:dyDescent="0.25">
      <c r="A62" s="69">
        <v>46146</v>
      </c>
      <c r="B62" t="s">
        <v>258</v>
      </c>
      <c r="C62" t="s">
        <v>315</v>
      </c>
      <c r="D62" t="s">
        <v>286</v>
      </c>
      <c r="E62" s="70">
        <v>6270000</v>
      </c>
      <c r="I62" s="72" t="s">
        <v>381</v>
      </c>
      <c r="J62" s="70"/>
      <c r="K62" s="70"/>
      <c r="L62" s="70">
        <v>531</v>
      </c>
      <c r="M62" s="70"/>
      <c r="N62" s="70"/>
      <c r="O62" s="70"/>
      <c r="P62" s="70"/>
      <c r="Q62" s="70"/>
      <c r="R62" s="70">
        <v>531</v>
      </c>
    </row>
    <row r="63" spans="1:18" x14ac:dyDescent="0.25">
      <c r="A63" s="69">
        <v>46146</v>
      </c>
      <c r="B63" t="s">
        <v>258</v>
      </c>
      <c r="C63" t="s">
        <v>318</v>
      </c>
      <c r="D63" t="s">
        <v>285</v>
      </c>
      <c r="E63" s="70">
        <v>2339879</v>
      </c>
      <c r="I63" s="72" t="s">
        <v>268</v>
      </c>
      <c r="J63" s="70"/>
      <c r="K63" s="70"/>
      <c r="L63" s="70">
        <v>100000</v>
      </c>
      <c r="M63" s="70"/>
      <c r="N63" s="70"/>
      <c r="O63" s="70"/>
      <c r="P63" s="70"/>
      <c r="Q63" s="70"/>
      <c r="R63" s="70">
        <v>100000</v>
      </c>
    </row>
    <row r="64" spans="1:18" x14ac:dyDescent="0.25">
      <c r="A64" s="69">
        <v>46146</v>
      </c>
      <c r="B64" t="s">
        <v>212</v>
      </c>
      <c r="C64" t="s">
        <v>319</v>
      </c>
      <c r="D64" t="s">
        <v>286</v>
      </c>
      <c r="E64" s="70">
        <v>3290000</v>
      </c>
      <c r="I64" s="72" t="s">
        <v>179</v>
      </c>
      <c r="J64" s="70">
        <v>1293</v>
      </c>
      <c r="K64" s="70"/>
      <c r="L64" s="70">
        <v>2251293</v>
      </c>
      <c r="M64" s="70"/>
      <c r="N64" s="70">
        <v>2250000</v>
      </c>
      <c r="O64" s="70">
        <v>2267263</v>
      </c>
      <c r="P64" s="70"/>
      <c r="Q64" s="70"/>
      <c r="R64" s="70">
        <v>6769849</v>
      </c>
    </row>
    <row r="65" spans="1:18" x14ac:dyDescent="0.25">
      <c r="A65" s="69">
        <v>46146</v>
      </c>
      <c r="B65" t="s">
        <v>258</v>
      </c>
      <c r="C65" t="s">
        <v>320</v>
      </c>
      <c r="D65" t="s">
        <v>279</v>
      </c>
      <c r="E65" s="70">
        <v>403139</v>
      </c>
      <c r="I65" s="72" t="s">
        <v>621</v>
      </c>
      <c r="J65" s="70"/>
      <c r="K65" s="70"/>
      <c r="L65" s="70"/>
      <c r="M65" s="70"/>
      <c r="N65" s="70"/>
      <c r="O65" s="70">
        <v>526650</v>
      </c>
      <c r="P65" s="70"/>
      <c r="Q65" s="70"/>
      <c r="R65" s="70">
        <v>526650</v>
      </c>
    </row>
    <row r="66" spans="1:18" x14ac:dyDescent="0.25">
      <c r="A66" s="69">
        <v>46146</v>
      </c>
      <c r="B66" t="s">
        <v>254</v>
      </c>
      <c r="C66" t="s">
        <v>321</v>
      </c>
      <c r="D66" t="s">
        <v>285</v>
      </c>
      <c r="E66" s="70">
        <v>1794</v>
      </c>
      <c r="I66" s="72" t="s">
        <v>265</v>
      </c>
      <c r="J66" s="70"/>
      <c r="K66" s="70"/>
      <c r="L66" s="70">
        <v>1036</v>
      </c>
      <c r="M66" s="70"/>
      <c r="N66" s="70"/>
      <c r="O66" s="70"/>
      <c r="P66" s="70"/>
      <c r="Q66" s="70"/>
      <c r="R66" s="70">
        <v>1036</v>
      </c>
    </row>
    <row r="67" spans="1:18" x14ac:dyDescent="0.25">
      <c r="A67" s="69">
        <v>46146</v>
      </c>
      <c r="B67" t="s">
        <v>246</v>
      </c>
      <c r="C67" t="s">
        <v>322</v>
      </c>
      <c r="D67" t="s">
        <v>277</v>
      </c>
      <c r="E67" s="70">
        <v>7481771</v>
      </c>
      <c r="I67" s="72" t="s">
        <v>222</v>
      </c>
      <c r="J67" s="70">
        <v>3130</v>
      </c>
      <c r="K67" s="70">
        <v>1250</v>
      </c>
      <c r="L67" s="70">
        <v>7614</v>
      </c>
      <c r="M67" s="70"/>
      <c r="N67" s="70"/>
      <c r="O67" s="70">
        <v>486186</v>
      </c>
      <c r="P67" s="70"/>
      <c r="Q67" s="70"/>
      <c r="R67" s="70">
        <v>498180</v>
      </c>
    </row>
    <row r="68" spans="1:18" x14ac:dyDescent="0.25">
      <c r="A68" s="69">
        <v>46146</v>
      </c>
      <c r="B68" t="s">
        <v>246</v>
      </c>
      <c r="C68" t="s">
        <v>323</v>
      </c>
      <c r="D68" t="s">
        <v>285</v>
      </c>
      <c r="E68" s="70">
        <v>1339713</v>
      </c>
      <c r="I68" s="72" t="s">
        <v>163</v>
      </c>
      <c r="J68" s="70"/>
      <c r="K68" s="70"/>
      <c r="L68" s="70">
        <v>10775370</v>
      </c>
      <c r="M68" s="70">
        <v>8272277</v>
      </c>
      <c r="N68" s="70">
        <v>4753147</v>
      </c>
      <c r="O68" s="70">
        <v>7698051</v>
      </c>
      <c r="P68" s="70">
        <v>2926000</v>
      </c>
      <c r="Q68" s="70">
        <v>11321963</v>
      </c>
      <c r="R68" s="70">
        <v>45746808</v>
      </c>
    </row>
    <row r="69" spans="1:18" x14ac:dyDescent="0.25">
      <c r="A69" s="69">
        <v>46146</v>
      </c>
      <c r="B69" t="s">
        <v>231</v>
      </c>
      <c r="C69" t="s">
        <v>324</v>
      </c>
      <c r="D69" t="s">
        <v>301</v>
      </c>
      <c r="E69" s="70">
        <v>3500000</v>
      </c>
      <c r="I69" s="72" t="s">
        <v>603</v>
      </c>
      <c r="J69" s="70">
        <v>10000</v>
      </c>
      <c r="K69" s="70">
        <v>10000</v>
      </c>
      <c r="L69" s="70"/>
      <c r="M69" s="70"/>
      <c r="N69" s="70"/>
      <c r="O69" s="70">
        <v>690000</v>
      </c>
      <c r="P69" s="70"/>
      <c r="Q69" s="70"/>
      <c r="R69" s="70">
        <v>710000</v>
      </c>
    </row>
    <row r="70" spans="1:18" x14ac:dyDescent="0.25">
      <c r="A70" s="69">
        <v>46146</v>
      </c>
      <c r="B70" t="s">
        <v>169</v>
      </c>
      <c r="C70" t="s">
        <v>325</v>
      </c>
      <c r="D70" t="s">
        <v>279</v>
      </c>
      <c r="E70" s="70">
        <v>400000</v>
      </c>
      <c r="I70" s="72" t="s">
        <v>236</v>
      </c>
      <c r="J70" s="70"/>
      <c r="K70" s="70"/>
      <c r="L70" s="70">
        <v>857</v>
      </c>
      <c r="M70" s="70"/>
      <c r="N70" s="70"/>
      <c r="O70" s="70">
        <v>1251955</v>
      </c>
      <c r="P70" s="70"/>
      <c r="Q70" s="70"/>
      <c r="R70" s="70">
        <v>1252812</v>
      </c>
    </row>
    <row r="71" spans="1:18" x14ac:dyDescent="0.25">
      <c r="A71" s="69">
        <v>46146</v>
      </c>
      <c r="B71" t="s">
        <v>212</v>
      </c>
      <c r="C71" t="s">
        <v>319</v>
      </c>
      <c r="D71" t="s">
        <v>285</v>
      </c>
      <c r="E71" s="70">
        <v>3290000</v>
      </c>
      <c r="I71" s="72" t="s">
        <v>244</v>
      </c>
      <c r="J71" s="70"/>
      <c r="K71" s="70"/>
      <c r="L71" s="70">
        <v>13403880</v>
      </c>
      <c r="M71" s="70"/>
      <c r="N71" s="70">
        <v>14307160</v>
      </c>
      <c r="O71" s="70">
        <v>20836576</v>
      </c>
      <c r="P71" s="70"/>
      <c r="Q71" s="70">
        <v>1890188</v>
      </c>
      <c r="R71" s="70">
        <v>50437804</v>
      </c>
    </row>
    <row r="72" spans="1:18" x14ac:dyDescent="0.25">
      <c r="A72" s="69">
        <v>46146</v>
      </c>
      <c r="B72" t="s">
        <v>258</v>
      </c>
      <c r="C72" t="s">
        <v>320</v>
      </c>
      <c r="D72" t="s">
        <v>286</v>
      </c>
      <c r="E72" s="70">
        <v>403139</v>
      </c>
      <c r="I72" s="72" t="s">
        <v>212</v>
      </c>
      <c r="J72" s="70"/>
      <c r="K72" s="70"/>
      <c r="L72" s="70">
        <v>3291880</v>
      </c>
      <c r="M72" s="70"/>
      <c r="N72" s="70"/>
      <c r="O72" s="70">
        <v>7090444</v>
      </c>
      <c r="P72" s="70"/>
      <c r="Q72" s="70">
        <v>3290000</v>
      </c>
      <c r="R72" s="70">
        <v>13672324</v>
      </c>
    </row>
    <row r="73" spans="1:18" x14ac:dyDescent="0.25">
      <c r="A73" s="69">
        <v>46146</v>
      </c>
      <c r="B73" t="s">
        <v>266</v>
      </c>
      <c r="C73" t="s">
        <v>278</v>
      </c>
      <c r="D73" t="s">
        <v>285</v>
      </c>
      <c r="E73" s="70">
        <v>1000000</v>
      </c>
      <c r="I73" s="72" t="s">
        <v>481</v>
      </c>
      <c r="J73" s="70"/>
      <c r="K73" s="70"/>
      <c r="L73" s="70">
        <v>249574</v>
      </c>
      <c r="M73" s="70"/>
      <c r="N73" s="70">
        <v>454995</v>
      </c>
      <c r="O73" s="70">
        <v>704569</v>
      </c>
      <c r="P73" s="70">
        <v>141587</v>
      </c>
      <c r="Q73" s="70"/>
      <c r="R73" s="70">
        <v>1550725</v>
      </c>
    </row>
    <row r="74" spans="1:18" x14ac:dyDescent="0.25">
      <c r="A74" s="69">
        <v>46146</v>
      </c>
      <c r="B74" t="s">
        <v>246</v>
      </c>
      <c r="C74" t="s">
        <v>322</v>
      </c>
      <c r="D74" t="s">
        <v>286</v>
      </c>
      <c r="E74" s="70">
        <v>7481771</v>
      </c>
      <c r="I74" s="72" t="s">
        <v>168</v>
      </c>
      <c r="J74" s="70"/>
      <c r="K74" s="70">
        <v>4500</v>
      </c>
      <c r="L74" s="70">
        <v>46065014</v>
      </c>
      <c r="M74" s="70">
        <v>8036299</v>
      </c>
      <c r="N74" s="70">
        <v>1732050</v>
      </c>
      <c r="O74" s="70">
        <v>42704618</v>
      </c>
      <c r="P74" s="70"/>
      <c r="Q74" s="70">
        <v>10325259</v>
      </c>
      <c r="R74" s="70">
        <v>108867740</v>
      </c>
    </row>
    <row r="75" spans="1:18" x14ac:dyDescent="0.25">
      <c r="A75" s="69">
        <v>46146</v>
      </c>
      <c r="B75" t="s">
        <v>246</v>
      </c>
      <c r="C75" t="s">
        <v>323</v>
      </c>
      <c r="D75" t="s">
        <v>286</v>
      </c>
      <c r="E75" s="70">
        <v>1339713</v>
      </c>
      <c r="I75" s="72" t="s">
        <v>253</v>
      </c>
      <c r="J75" s="70"/>
      <c r="K75" s="70"/>
      <c r="L75" s="70">
        <v>5352000</v>
      </c>
      <c r="M75" s="70"/>
      <c r="N75" s="70">
        <v>1792000</v>
      </c>
      <c r="O75" s="70">
        <v>6196000</v>
      </c>
      <c r="P75" s="70"/>
      <c r="Q75" s="70"/>
      <c r="R75" s="70">
        <v>13340000</v>
      </c>
    </row>
    <row r="76" spans="1:18" x14ac:dyDescent="0.25">
      <c r="A76" s="69">
        <v>46146</v>
      </c>
      <c r="B76" t="s">
        <v>169</v>
      </c>
      <c r="C76" t="s">
        <v>325</v>
      </c>
      <c r="D76" t="s">
        <v>285</v>
      </c>
      <c r="E76" s="70">
        <v>400000</v>
      </c>
      <c r="I76" s="72" t="s">
        <v>248</v>
      </c>
      <c r="J76" s="70">
        <v>3538406</v>
      </c>
      <c r="K76" s="70">
        <v>138750</v>
      </c>
      <c r="L76" s="70">
        <v>459573828</v>
      </c>
      <c r="M76" s="70">
        <v>120114663</v>
      </c>
      <c r="N76" s="70">
        <v>301926499</v>
      </c>
      <c r="O76" s="70">
        <v>577804366</v>
      </c>
      <c r="P76" s="70">
        <v>20393731</v>
      </c>
      <c r="Q76" s="70">
        <v>155542370</v>
      </c>
      <c r="R76" s="70">
        <v>1639032613</v>
      </c>
    </row>
    <row r="77" spans="1:18" x14ac:dyDescent="0.25">
      <c r="A77" s="69">
        <v>46146</v>
      </c>
      <c r="B77" t="s">
        <v>246</v>
      </c>
      <c r="C77" t="s">
        <v>326</v>
      </c>
      <c r="D77" t="s">
        <v>285</v>
      </c>
      <c r="E77" s="70">
        <v>2196908</v>
      </c>
    </row>
    <row r="78" spans="1:18" x14ac:dyDescent="0.25">
      <c r="A78" s="69">
        <v>46146</v>
      </c>
      <c r="B78" t="s">
        <v>169</v>
      </c>
      <c r="C78" t="s">
        <v>325</v>
      </c>
      <c r="D78" t="s">
        <v>286</v>
      </c>
      <c r="E78" s="70">
        <v>400000</v>
      </c>
    </row>
    <row r="79" spans="1:18" x14ac:dyDescent="0.25">
      <c r="A79" s="69">
        <v>46146</v>
      </c>
      <c r="B79" t="s">
        <v>246</v>
      </c>
      <c r="C79" t="s">
        <v>327</v>
      </c>
      <c r="D79" t="s">
        <v>301</v>
      </c>
      <c r="E79" s="70">
        <v>1108357</v>
      </c>
    </row>
    <row r="80" spans="1:18" x14ac:dyDescent="0.25">
      <c r="A80" s="69">
        <v>46146</v>
      </c>
      <c r="B80" t="s">
        <v>165</v>
      </c>
      <c r="C80" t="s">
        <v>328</v>
      </c>
      <c r="D80" t="s">
        <v>285</v>
      </c>
      <c r="E80" s="70">
        <v>50000</v>
      </c>
    </row>
    <row r="81" spans="1:5" x14ac:dyDescent="0.25">
      <c r="A81" s="69">
        <v>46146</v>
      </c>
      <c r="B81" t="s">
        <v>164</v>
      </c>
      <c r="C81" t="s">
        <v>329</v>
      </c>
      <c r="D81" t="s">
        <v>286</v>
      </c>
      <c r="E81" s="70">
        <v>3998821</v>
      </c>
    </row>
    <row r="82" spans="1:5" x14ac:dyDescent="0.25">
      <c r="A82" s="69">
        <v>46146</v>
      </c>
      <c r="B82" t="s">
        <v>231</v>
      </c>
      <c r="C82" t="s">
        <v>324</v>
      </c>
      <c r="D82" t="s">
        <v>285</v>
      </c>
      <c r="E82" s="70">
        <v>3500000</v>
      </c>
    </row>
    <row r="83" spans="1:5" x14ac:dyDescent="0.25">
      <c r="A83" s="69">
        <v>46146</v>
      </c>
      <c r="B83" t="s">
        <v>165</v>
      </c>
      <c r="C83" t="s">
        <v>328</v>
      </c>
      <c r="D83" t="s">
        <v>301</v>
      </c>
      <c r="E83" s="70">
        <v>50000</v>
      </c>
    </row>
    <row r="84" spans="1:5" x14ac:dyDescent="0.25">
      <c r="A84" s="69">
        <v>46146</v>
      </c>
      <c r="B84" t="s">
        <v>164</v>
      </c>
      <c r="C84" t="s">
        <v>329</v>
      </c>
      <c r="D84" t="s">
        <v>279</v>
      </c>
      <c r="E84" s="70">
        <v>3998821</v>
      </c>
    </row>
    <row r="85" spans="1:5" x14ac:dyDescent="0.25">
      <c r="A85" s="69">
        <v>46146</v>
      </c>
      <c r="B85" t="s">
        <v>266</v>
      </c>
      <c r="C85" t="s">
        <v>330</v>
      </c>
      <c r="D85" t="s">
        <v>286</v>
      </c>
      <c r="E85" s="70">
        <v>404000</v>
      </c>
    </row>
    <row r="86" spans="1:5" x14ac:dyDescent="0.25">
      <c r="A86" s="69">
        <v>46146</v>
      </c>
      <c r="B86" t="s">
        <v>165</v>
      </c>
      <c r="C86" t="s">
        <v>328</v>
      </c>
      <c r="D86" t="s">
        <v>286</v>
      </c>
      <c r="E86" s="70">
        <v>50000</v>
      </c>
    </row>
    <row r="87" spans="1:5" x14ac:dyDescent="0.25">
      <c r="A87" s="69">
        <v>46146</v>
      </c>
      <c r="B87" t="s">
        <v>165</v>
      </c>
      <c r="C87" t="s">
        <v>328</v>
      </c>
      <c r="D87" t="s">
        <v>286</v>
      </c>
      <c r="E87" s="70">
        <v>50000</v>
      </c>
    </row>
    <row r="88" spans="1:5" x14ac:dyDescent="0.25">
      <c r="A88" s="69">
        <v>46146</v>
      </c>
      <c r="B88" t="s">
        <v>254</v>
      </c>
      <c r="C88" t="s">
        <v>331</v>
      </c>
      <c r="D88" t="s">
        <v>286</v>
      </c>
      <c r="E88" s="70">
        <v>8862000</v>
      </c>
    </row>
    <row r="89" spans="1:5" x14ac:dyDescent="0.25">
      <c r="A89" s="69">
        <v>46146</v>
      </c>
      <c r="B89" t="s">
        <v>246</v>
      </c>
      <c r="C89" t="s">
        <v>327</v>
      </c>
      <c r="D89" t="s">
        <v>285</v>
      </c>
      <c r="E89" s="70">
        <v>1108357</v>
      </c>
    </row>
    <row r="90" spans="1:5" x14ac:dyDescent="0.25">
      <c r="A90" s="69">
        <v>46146</v>
      </c>
      <c r="B90" t="s">
        <v>266</v>
      </c>
      <c r="C90" t="s">
        <v>278</v>
      </c>
      <c r="D90" t="s">
        <v>299</v>
      </c>
      <c r="E90" s="70">
        <v>1000000</v>
      </c>
    </row>
    <row r="91" spans="1:5" x14ac:dyDescent="0.25">
      <c r="A91" s="69">
        <v>46146</v>
      </c>
      <c r="B91" t="s">
        <v>165</v>
      </c>
      <c r="C91" t="s">
        <v>328</v>
      </c>
      <c r="D91" t="s">
        <v>285</v>
      </c>
      <c r="E91" s="70">
        <v>50000</v>
      </c>
    </row>
    <row r="92" spans="1:5" x14ac:dyDescent="0.25">
      <c r="A92" s="69">
        <v>46146</v>
      </c>
      <c r="B92" t="s">
        <v>254</v>
      </c>
      <c r="C92" t="s">
        <v>331</v>
      </c>
      <c r="D92" t="s">
        <v>277</v>
      </c>
      <c r="E92" s="70">
        <v>8862000</v>
      </c>
    </row>
    <row r="93" spans="1:5" x14ac:dyDescent="0.25">
      <c r="A93" s="69">
        <v>46146</v>
      </c>
      <c r="B93" t="s">
        <v>163</v>
      </c>
      <c r="C93" t="s">
        <v>297</v>
      </c>
      <c r="D93" t="s">
        <v>301</v>
      </c>
      <c r="E93" s="70">
        <v>2926000</v>
      </c>
    </row>
    <row r="94" spans="1:5" x14ac:dyDescent="0.25">
      <c r="A94" s="69">
        <v>46146</v>
      </c>
      <c r="B94" t="s">
        <v>163</v>
      </c>
      <c r="C94" t="s">
        <v>297</v>
      </c>
      <c r="D94" t="s">
        <v>286</v>
      </c>
      <c r="E94" s="70">
        <v>2926000</v>
      </c>
    </row>
    <row r="95" spans="1:5" x14ac:dyDescent="0.25">
      <c r="A95" s="69">
        <v>46146</v>
      </c>
      <c r="B95" t="s">
        <v>157</v>
      </c>
      <c r="C95" t="s">
        <v>332</v>
      </c>
      <c r="D95" t="s">
        <v>286</v>
      </c>
      <c r="E95" s="70">
        <v>994541</v>
      </c>
    </row>
    <row r="96" spans="1:5" x14ac:dyDescent="0.25">
      <c r="A96" s="69">
        <v>46146</v>
      </c>
      <c r="B96" t="s">
        <v>251</v>
      </c>
      <c r="C96" t="s">
        <v>333</v>
      </c>
      <c r="D96" t="s">
        <v>285</v>
      </c>
      <c r="E96" s="70">
        <v>200</v>
      </c>
    </row>
    <row r="97" spans="1:5" x14ac:dyDescent="0.25">
      <c r="A97" s="69">
        <v>46146</v>
      </c>
      <c r="B97" t="s">
        <v>165</v>
      </c>
      <c r="C97" t="s">
        <v>328</v>
      </c>
      <c r="D97" t="s">
        <v>279</v>
      </c>
      <c r="E97" s="70">
        <v>50000</v>
      </c>
    </row>
    <row r="98" spans="1:5" x14ac:dyDescent="0.25">
      <c r="A98" s="69">
        <v>46146</v>
      </c>
      <c r="B98" t="s">
        <v>163</v>
      </c>
      <c r="C98" t="s">
        <v>297</v>
      </c>
      <c r="D98" t="s">
        <v>285</v>
      </c>
      <c r="E98" s="70">
        <v>2926000</v>
      </c>
    </row>
    <row r="99" spans="1:5" x14ac:dyDescent="0.25">
      <c r="A99" s="69">
        <v>46146</v>
      </c>
      <c r="B99" t="s">
        <v>157</v>
      </c>
      <c r="C99" t="s">
        <v>332</v>
      </c>
      <c r="D99" t="s">
        <v>285</v>
      </c>
      <c r="E99" s="70">
        <v>994541</v>
      </c>
    </row>
    <row r="100" spans="1:5" x14ac:dyDescent="0.25">
      <c r="A100" s="69">
        <v>46146</v>
      </c>
      <c r="B100" t="s">
        <v>251</v>
      </c>
      <c r="C100" t="s">
        <v>333</v>
      </c>
      <c r="D100" t="s">
        <v>285</v>
      </c>
      <c r="E100" s="70">
        <v>200</v>
      </c>
    </row>
    <row r="101" spans="1:5" x14ac:dyDescent="0.25">
      <c r="A101" s="69">
        <v>46146</v>
      </c>
      <c r="B101" t="s">
        <v>251</v>
      </c>
      <c r="C101" t="s">
        <v>333</v>
      </c>
      <c r="D101" t="s">
        <v>301</v>
      </c>
      <c r="E101" s="70">
        <v>200</v>
      </c>
    </row>
    <row r="102" spans="1:5" x14ac:dyDescent="0.25">
      <c r="A102" s="69">
        <v>46146</v>
      </c>
      <c r="B102" t="s">
        <v>251</v>
      </c>
      <c r="C102" t="s">
        <v>333</v>
      </c>
      <c r="D102" t="s">
        <v>286</v>
      </c>
      <c r="E102" s="70">
        <v>200</v>
      </c>
    </row>
    <row r="103" spans="1:5" x14ac:dyDescent="0.25">
      <c r="A103" s="69">
        <v>46146</v>
      </c>
      <c r="B103" t="s">
        <v>251</v>
      </c>
      <c r="C103" t="s">
        <v>333</v>
      </c>
      <c r="D103" t="s">
        <v>286</v>
      </c>
      <c r="E103" s="70">
        <v>200</v>
      </c>
    </row>
    <row r="104" spans="1:5" x14ac:dyDescent="0.25">
      <c r="A104" s="69">
        <v>46146</v>
      </c>
      <c r="B104" t="s">
        <v>231</v>
      </c>
      <c r="C104" t="s">
        <v>334</v>
      </c>
      <c r="D104" t="s">
        <v>285</v>
      </c>
      <c r="E104" s="70">
        <v>2912000</v>
      </c>
    </row>
    <row r="105" spans="1:5" x14ac:dyDescent="0.25">
      <c r="A105" s="69">
        <v>46146</v>
      </c>
      <c r="B105" t="s">
        <v>231</v>
      </c>
      <c r="C105" t="s">
        <v>334</v>
      </c>
      <c r="D105" t="s">
        <v>285</v>
      </c>
      <c r="E105" s="70">
        <v>2912000</v>
      </c>
    </row>
    <row r="106" spans="1:5" x14ac:dyDescent="0.25">
      <c r="A106" s="69">
        <v>46146</v>
      </c>
      <c r="B106" t="s">
        <v>163</v>
      </c>
      <c r="C106" t="s">
        <v>335</v>
      </c>
      <c r="D106" t="s">
        <v>285</v>
      </c>
      <c r="E106" s="70">
        <v>2920000</v>
      </c>
    </row>
    <row r="107" spans="1:5" x14ac:dyDescent="0.25">
      <c r="A107" s="69">
        <v>46146</v>
      </c>
      <c r="B107" t="s">
        <v>251</v>
      </c>
      <c r="C107" t="s">
        <v>333</v>
      </c>
      <c r="D107" t="s">
        <v>277</v>
      </c>
      <c r="E107" s="70">
        <v>200</v>
      </c>
    </row>
    <row r="108" spans="1:5" x14ac:dyDescent="0.25">
      <c r="A108" s="69">
        <v>46146</v>
      </c>
      <c r="B108" t="s">
        <v>251</v>
      </c>
      <c r="C108" t="s">
        <v>333</v>
      </c>
      <c r="D108" t="s">
        <v>279</v>
      </c>
      <c r="E108" s="70">
        <v>200</v>
      </c>
    </row>
    <row r="109" spans="1:5" x14ac:dyDescent="0.25">
      <c r="A109" s="69">
        <v>46146</v>
      </c>
      <c r="B109" t="s">
        <v>231</v>
      </c>
      <c r="C109" t="s">
        <v>334</v>
      </c>
      <c r="D109" t="s">
        <v>279</v>
      </c>
      <c r="E109" s="70">
        <v>2912000</v>
      </c>
    </row>
    <row r="110" spans="1:5" x14ac:dyDescent="0.25">
      <c r="A110" s="69">
        <v>46146</v>
      </c>
      <c r="B110" t="s">
        <v>254</v>
      </c>
      <c r="C110" t="s">
        <v>336</v>
      </c>
      <c r="D110" t="s">
        <v>285</v>
      </c>
      <c r="E110" s="70">
        <v>293</v>
      </c>
    </row>
    <row r="111" spans="1:5" x14ac:dyDescent="0.25">
      <c r="A111" s="69">
        <v>46146</v>
      </c>
      <c r="B111" t="s">
        <v>246</v>
      </c>
      <c r="C111" t="s">
        <v>337</v>
      </c>
      <c r="D111" t="s">
        <v>277</v>
      </c>
      <c r="E111" s="70">
        <v>2782000</v>
      </c>
    </row>
    <row r="112" spans="1:5" x14ac:dyDescent="0.25">
      <c r="A112" s="69">
        <v>46146</v>
      </c>
      <c r="B112" t="s">
        <v>159</v>
      </c>
      <c r="C112" t="s">
        <v>338</v>
      </c>
      <c r="D112" t="s">
        <v>301</v>
      </c>
      <c r="E112" s="70">
        <v>1011581</v>
      </c>
    </row>
    <row r="113" spans="1:7" x14ac:dyDescent="0.25">
      <c r="A113" s="69">
        <v>46146</v>
      </c>
      <c r="B113" t="s">
        <v>159</v>
      </c>
      <c r="C113" t="s">
        <v>339</v>
      </c>
      <c r="D113" t="s">
        <v>285</v>
      </c>
      <c r="E113" s="70">
        <v>1025449</v>
      </c>
    </row>
    <row r="114" spans="1:7" x14ac:dyDescent="0.25">
      <c r="A114" s="69">
        <v>46146</v>
      </c>
      <c r="B114" t="s">
        <v>159</v>
      </c>
      <c r="C114" t="s">
        <v>340</v>
      </c>
      <c r="D114" t="s">
        <v>286</v>
      </c>
      <c r="E114" s="70">
        <v>1023603</v>
      </c>
    </row>
    <row r="115" spans="1:7" x14ac:dyDescent="0.25">
      <c r="A115" s="69">
        <v>46146</v>
      </c>
      <c r="B115" t="s">
        <v>222</v>
      </c>
      <c r="C115" t="s">
        <v>341</v>
      </c>
      <c r="D115" t="s">
        <v>286</v>
      </c>
      <c r="E115" s="70">
        <v>29285</v>
      </c>
    </row>
    <row r="116" spans="1:7" x14ac:dyDescent="0.25">
      <c r="A116" s="69">
        <v>46146</v>
      </c>
      <c r="B116" t="s">
        <v>233</v>
      </c>
      <c r="C116" t="s">
        <v>342</v>
      </c>
      <c r="D116" t="s">
        <v>285</v>
      </c>
      <c r="E116" s="70">
        <v>1537891</v>
      </c>
    </row>
    <row r="117" spans="1:7" x14ac:dyDescent="0.25">
      <c r="A117" s="69">
        <v>46146</v>
      </c>
      <c r="B117" t="s">
        <v>222</v>
      </c>
      <c r="C117" t="s">
        <v>343</v>
      </c>
      <c r="D117" t="s">
        <v>344</v>
      </c>
      <c r="E117" s="70">
        <v>1880</v>
      </c>
    </row>
    <row r="118" spans="1:7" x14ac:dyDescent="0.25">
      <c r="A118" s="69">
        <v>46146</v>
      </c>
      <c r="B118" t="s">
        <v>159</v>
      </c>
      <c r="C118" t="s">
        <v>338</v>
      </c>
      <c r="D118" t="s">
        <v>285</v>
      </c>
      <c r="E118" s="70">
        <v>1011581</v>
      </c>
    </row>
    <row r="119" spans="1:7" x14ac:dyDescent="0.25">
      <c r="A119" s="69">
        <v>46146</v>
      </c>
      <c r="B119" t="s">
        <v>159</v>
      </c>
      <c r="C119" t="s">
        <v>340</v>
      </c>
      <c r="D119" t="s">
        <v>279</v>
      </c>
      <c r="E119" s="70">
        <v>1023603</v>
      </c>
    </row>
    <row r="120" spans="1:7" x14ac:dyDescent="0.25">
      <c r="A120" s="69">
        <v>46146</v>
      </c>
      <c r="B120" t="s">
        <v>222</v>
      </c>
      <c r="C120" t="s">
        <v>343</v>
      </c>
      <c r="D120" t="s">
        <v>285</v>
      </c>
      <c r="E120" s="70">
        <v>1880</v>
      </c>
    </row>
    <row r="121" spans="1:7" x14ac:dyDescent="0.25">
      <c r="A121" s="69">
        <v>46146</v>
      </c>
      <c r="B121" t="s">
        <v>254</v>
      </c>
      <c r="C121" t="s">
        <v>345</v>
      </c>
      <c r="D121" t="s">
        <v>344</v>
      </c>
      <c r="E121" s="70">
        <v>1353</v>
      </c>
    </row>
    <row r="122" spans="1:7" x14ac:dyDescent="0.25">
      <c r="A122" s="69">
        <v>46146</v>
      </c>
      <c r="B122" t="s">
        <v>245</v>
      </c>
      <c r="C122" t="s">
        <v>346</v>
      </c>
      <c r="D122" t="s">
        <v>285</v>
      </c>
      <c r="E122" s="70">
        <v>1250</v>
      </c>
    </row>
    <row r="123" spans="1:7" x14ac:dyDescent="0.25">
      <c r="A123" s="69">
        <v>46146</v>
      </c>
      <c r="B123" t="s">
        <v>253</v>
      </c>
      <c r="C123" t="s">
        <v>347</v>
      </c>
      <c r="D123" t="s">
        <v>285</v>
      </c>
      <c r="E123" s="70">
        <v>924000</v>
      </c>
    </row>
    <row r="124" spans="1:7" x14ac:dyDescent="0.25">
      <c r="A124" s="69">
        <v>46146</v>
      </c>
      <c r="B124" t="s">
        <v>253</v>
      </c>
      <c r="C124" t="s">
        <v>348</v>
      </c>
      <c r="D124" t="s">
        <v>282</v>
      </c>
      <c r="F124" s="70">
        <v>11</v>
      </c>
      <c r="G124" s="70">
        <v>255</v>
      </c>
    </row>
    <row r="125" spans="1:7" x14ac:dyDescent="0.25">
      <c r="A125" s="69">
        <v>46146</v>
      </c>
      <c r="B125" t="s">
        <v>254</v>
      </c>
      <c r="C125" t="s">
        <v>345</v>
      </c>
      <c r="D125" t="s">
        <v>285</v>
      </c>
      <c r="E125" s="70">
        <v>1353</v>
      </c>
    </row>
    <row r="126" spans="1:7" x14ac:dyDescent="0.25">
      <c r="A126" s="69">
        <v>46146</v>
      </c>
      <c r="B126" t="s">
        <v>245</v>
      </c>
      <c r="C126" t="s">
        <v>346</v>
      </c>
      <c r="D126" t="s">
        <v>349</v>
      </c>
      <c r="E126" s="70">
        <v>1250</v>
      </c>
    </row>
    <row r="127" spans="1:7" x14ac:dyDescent="0.25">
      <c r="A127" s="69">
        <v>46146</v>
      </c>
      <c r="B127" t="s">
        <v>253</v>
      </c>
      <c r="C127" t="s">
        <v>347</v>
      </c>
      <c r="D127" t="s">
        <v>286</v>
      </c>
      <c r="E127" s="70">
        <v>924000</v>
      </c>
    </row>
    <row r="128" spans="1:7" x14ac:dyDescent="0.25">
      <c r="A128" s="69">
        <v>46146</v>
      </c>
      <c r="B128" t="s">
        <v>259</v>
      </c>
      <c r="C128" t="s">
        <v>350</v>
      </c>
      <c r="D128" t="s">
        <v>282</v>
      </c>
      <c r="F128" s="70">
        <v>9</v>
      </c>
      <c r="G128" s="70">
        <v>225</v>
      </c>
    </row>
    <row r="129" spans="1:7" x14ac:dyDescent="0.25">
      <c r="A129" s="69">
        <v>46146</v>
      </c>
      <c r="B129" t="s">
        <v>162</v>
      </c>
      <c r="C129" t="s">
        <v>351</v>
      </c>
      <c r="D129" t="s">
        <v>282</v>
      </c>
      <c r="F129" s="70">
        <v>8</v>
      </c>
      <c r="G129" s="70">
        <v>189</v>
      </c>
    </row>
    <row r="130" spans="1:7" x14ac:dyDescent="0.25">
      <c r="A130" s="69">
        <v>46146</v>
      </c>
      <c r="B130" t="s">
        <v>194</v>
      </c>
      <c r="C130" t="s">
        <v>352</v>
      </c>
      <c r="D130" t="s">
        <v>282</v>
      </c>
      <c r="F130" s="70">
        <v>4</v>
      </c>
      <c r="G130" s="70">
        <v>90</v>
      </c>
    </row>
    <row r="131" spans="1:7" x14ac:dyDescent="0.25">
      <c r="A131" s="69">
        <v>46146</v>
      </c>
      <c r="B131" t="s">
        <v>199</v>
      </c>
      <c r="C131" t="s">
        <v>353</v>
      </c>
      <c r="D131" t="s">
        <v>282</v>
      </c>
      <c r="F131" s="70">
        <v>105</v>
      </c>
      <c r="G131" s="70">
        <v>2512</v>
      </c>
    </row>
    <row r="132" spans="1:7" x14ac:dyDescent="0.25">
      <c r="A132" s="69">
        <v>46146</v>
      </c>
      <c r="B132" t="s">
        <v>252</v>
      </c>
      <c r="C132" t="s">
        <v>354</v>
      </c>
      <c r="D132" t="s">
        <v>286</v>
      </c>
      <c r="E132" s="70">
        <v>3744000</v>
      </c>
    </row>
    <row r="133" spans="1:7" x14ac:dyDescent="0.25">
      <c r="A133" s="69">
        <v>46146</v>
      </c>
      <c r="B133" t="s">
        <v>244</v>
      </c>
      <c r="C133" t="s">
        <v>355</v>
      </c>
      <c r="D133" t="s">
        <v>282</v>
      </c>
      <c r="F133" s="70">
        <v>90</v>
      </c>
      <c r="G133" s="70">
        <v>2157</v>
      </c>
    </row>
    <row r="134" spans="1:7" x14ac:dyDescent="0.25">
      <c r="A134" s="69">
        <v>46146</v>
      </c>
      <c r="B134" t="s">
        <v>254</v>
      </c>
      <c r="C134" t="s">
        <v>356</v>
      </c>
      <c r="D134" t="s">
        <v>285</v>
      </c>
      <c r="E134" s="70">
        <v>1314</v>
      </c>
    </row>
    <row r="135" spans="1:7" x14ac:dyDescent="0.25">
      <c r="A135" s="69">
        <v>46146</v>
      </c>
      <c r="B135" t="s">
        <v>246</v>
      </c>
      <c r="C135" t="s">
        <v>357</v>
      </c>
      <c r="D135" t="s">
        <v>285</v>
      </c>
      <c r="E135" s="70">
        <v>1313573</v>
      </c>
    </row>
    <row r="136" spans="1:7" x14ac:dyDescent="0.25">
      <c r="A136" s="69">
        <v>46146</v>
      </c>
      <c r="B136" t="s">
        <v>246</v>
      </c>
      <c r="C136" t="s">
        <v>358</v>
      </c>
      <c r="D136" t="s">
        <v>285</v>
      </c>
      <c r="E136" s="70">
        <v>1076737</v>
      </c>
    </row>
    <row r="137" spans="1:7" x14ac:dyDescent="0.25">
      <c r="A137" s="69">
        <v>46146</v>
      </c>
      <c r="B137" t="s">
        <v>246</v>
      </c>
      <c r="C137" t="s">
        <v>358</v>
      </c>
      <c r="D137" t="s">
        <v>301</v>
      </c>
      <c r="E137" s="70">
        <v>1076737</v>
      </c>
    </row>
    <row r="138" spans="1:7" x14ac:dyDescent="0.25">
      <c r="A138" s="69">
        <v>46146</v>
      </c>
      <c r="B138" t="s">
        <v>246</v>
      </c>
      <c r="C138" t="s">
        <v>359</v>
      </c>
      <c r="D138" t="s">
        <v>286</v>
      </c>
      <c r="E138" s="70">
        <v>2175346</v>
      </c>
    </row>
    <row r="139" spans="1:7" x14ac:dyDescent="0.25">
      <c r="A139" s="69">
        <v>46146</v>
      </c>
      <c r="B139" t="s">
        <v>202</v>
      </c>
      <c r="C139" t="s">
        <v>300</v>
      </c>
      <c r="D139" t="s">
        <v>285</v>
      </c>
      <c r="E139" s="70">
        <v>1890000</v>
      </c>
    </row>
    <row r="140" spans="1:7" x14ac:dyDescent="0.25">
      <c r="A140" s="69">
        <v>46146</v>
      </c>
      <c r="B140" t="s">
        <v>199</v>
      </c>
      <c r="C140" t="s">
        <v>360</v>
      </c>
      <c r="D140" t="s">
        <v>282</v>
      </c>
      <c r="F140" s="70">
        <v>26</v>
      </c>
      <c r="G140" s="70">
        <v>624</v>
      </c>
    </row>
    <row r="141" spans="1:7" x14ac:dyDescent="0.25">
      <c r="A141" s="69">
        <v>46146</v>
      </c>
      <c r="B141" t="s">
        <v>231</v>
      </c>
      <c r="C141" t="s">
        <v>334</v>
      </c>
      <c r="D141" t="s">
        <v>286</v>
      </c>
      <c r="E141" s="70">
        <v>2912000</v>
      </c>
    </row>
    <row r="142" spans="1:7" x14ac:dyDescent="0.25">
      <c r="A142" s="69">
        <v>46146</v>
      </c>
      <c r="B142" t="s">
        <v>246</v>
      </c>
      <c r="C142" t="s">
        <v>359</v>
      </c>
      <c r="D142" t="s">
        <v>277</v>
      </c>
      <c r="E142" s="70">
        <v>2175346</v>
      </c>
    </row>
    <row r="143" spans="1:7" x14ac:dyDescent="0.25">
      <c r="A143" s="69">
        <v>46146</v>
      </c>
      <c r="B143" t="s">
        <v>202</v>
      </c>
      <c r="C143" t="s">
        <v>300</v>
      </c>
      <c r="D143" t="s">
        <v>277</v>
      </c>
      <c r="E143" s="70">
        <v>1890000</v>
      </c>
    </row>
    <row r="144" spans="1:7" x14ac:dyDescent="0.25">
      <c r="A144" s="69">
        <v>46146</v>
      </c>
      <c r="B144" t="s">
        <v>202</v>
      </c>
      <c r="C144" t="s">
        <v>361</v>
      </c>
      <c r="D144" t="s">
        <v>285</v>
      </c>
      <c r="E144" s="70">
        <v>100367</v>
      </c>
    </row>
    <row r="145" spans="1:7" x14ac:dyDescent="0.25">
      <c r="A145" s="69">
        <v>46146</v>
      </c>
      <c r="B145" t="s">
        <v>202</v>
      </c>
      <c r="C145" t="s">
        <v>362</v>
      </c>
      <c r="D145" t="s">
        <v>282</v>
      </c>
      <c r="F145" s="70">
        <v>1</v>
      </c>
      <c r="G145" s="70">
        <v>26</v>
      </c>
    </row>
    <row r="146" spans="1:7" x14ac:dyDescent="0.25">
      <c r="A146" s="69">
        <v>46146</v>
      </c>
      <c r="B146" t="s">
        <v>202</v>
      </c>
      <c r="C146" t="s">
        <v>300</v>
      </c>
      <c r="D146" t="s">
        <v>299</v>
      </c>
      <c r="E146" s="70">
        <v>1890000</v>
      </c>
    </row>
    <row r="147" spans="1:7" x14ac:dyDescent="0.25">
      <c r="A147" s="69">
        <v>46146</v>
      </c>
      <c r="B147" t="s">
        <v>231</v>
      </c>
      <c r="C147" t="s">
        <v>334</v>
      </c>
      <c r="D147" t="s">
        <v>277</v>
      </c>
      <c r="E147" s="70">
        <v>2912000</v>
      </c>
    </row>
    <row r="148" spans="1:7" x14ac:dyDescent="0.25">
      <c r="A148" s="69">
        <v>46146</v>
      </c>
      <c r="B148" t="s">
        <v>202</v>
      </c>
      <c r="C148" t="s">
        <v>361</v>
      </c>
      <c r="D148" t="s">
        <v>286</v>
      </c>
      <c r="E148" s="70">
        <v>100367</v>
      </c>
    </row>
    <row r="149" spans="1:7" x14ac:dyDescent="0.25">
      <c r="A149" s="69">
        <v>46146</v>
      </c>
      <c r="B149" t="s">
        <v>202</v>
      </c>
      <c r="C149" t="s">
        <v>300</v>
      </c>
      <c r="D149" t="s">
        <v>286</v>
      </c>
      <c r="E149" s="70">
        <v>1890000</v>
      </c>
    </row>
    <row r="150" spans="1:7" x14ac:dyDescent="0.25">
      <c r="A150" s="69">
        <v>46146</v>
      </c>
      <c r="B150" t="s">
        <v>231</v>
      </c>
      <c r="C150" t="s">
        <v>334</v>
      </c>
      <c r="D150" t="s">
        <v>301</v>
      </c>
      <c r="E150" s="70">
        <v>2912000</v>
      </c>
    </row>
    <row r="151" spans="1:7" x14ac:dyDescent="0.25">
      <c r="A151" s="69">
        <v>46146</v>
      </c>
      <c r="B151" t="s">
        <v>194</v>
      </c>
      <c r="C151" t="s">
        <v>363</v>
      </c>
      <c r="D151" t="s">
        <v>285</v>
      </c>
      <c r="E151" s="70">
        <v>763</v>
      </c>
    </row>
    <row r="152" spans="1:7" x14ac:dyDescent="0.25">
      <c r="A152" s="69">
        <v>46146</v>
      </c>
      <c r="B152" t="s">
        <v>231</v>
      </c>
      <c r="C152" t="s">
        <v>364</v>
      </c>
      <c r="D152" t="s">
        <v>285</v>
      </c>
      <c r="E152" s="70">
        <v>1883409</v>
      </c>
    </row>
    <row r="153" spans="1:7" x14ac:dyDescent="0.25">
      <c r="A153" s="69">
        <v>46146</v>
      </c>
      <c r="B153" t="s">
        <v>234</v>
      </c>
      <c r="C153" t="s">
        <v>365</v>
      </c>
      <c r="D153" t="s">
        <v>282</v>
      </c>
      <c r="F153" s="70">
        <v>12</v>
      </c>
      <c r="G153" s="70">
        <v>285</v>
      </c>
    </row>
    <row r="154" spans="1:7" x14ac:dyDescent="0.25">
      <c r="A154" s="69">
        <v>46146</v>
      </c>
      <c r="B154" t="s">
        <v>233</v>
      </c>
      <c r="C154" t="s">
        <v>366</v>
      </c>
      <c r="D154" t="s">
        <v>282</v>
      </c>
      <c r="F154" s="70">
        <v>3</v>
      </c>
      <c r="G154" s="70">
        <v>80</v>
      </c>
    </row>
    <row r="155" spans="1:7" x14ac:dyDescent="0.25">
      <c r="A155" s="69">
        <v>46146</v>
      </c>
      <c r="B155" t="s">
        <v>157</v>
      </c>
      <c r="C155" t="s">
        <v>367</v>
      </c>
      <c r="D155" t="s">
        <v>301</v>
      </c>
      <c r="E155" s="70">
        <v>2304851</v>
      </c>
    </row>
    <row r="156" spans="1:7" x14ac:dyDescent="0.25">
      <c r="A156" s="69">
        <v>46146</v>
      </c>
      <c r="B156" t="s">
        <v>157</v>
      </c>
      <c r="C156" t="s">
        <v>368</v>
      </c>
      <c r="D156" t="s">
        <v>286</v>
      </c>
      <c r="E156" s="70">
        <v>1041285</v>
      </c>
    </row>
    <row r="157" spans="1:7" x14ac:dyDescent="0.25">
      <c r="A157" s="69">
        <v>46146</v>
      </c>
      <c r="B157" t="s">
        <v>157</v>
      </c>
      <c r="C157" t="s">
        <v>368</v>
      </c>
      <c r="D157" t="s">
        <v>285</v>
      </c>
      <c r="E157" s="70">
        <v>1041285</v>
      </c>
    </row>
    <row r="158" spans="1:7" x14ac:dyDescent="0.25">
      <c r="A158" s="69">
        <v>46146</v>
      </c>
      <c r="B158" t="s">
        <v>157</v>
      </c>
      <c r="C158" t="s">
        <v>334</v>
      </c>
      <c r="D158" t="s">
        <v>286</v>
      </c>
      <c r="E158" s="70">
        <v>2912000</v>
      </c>
    </row>
    <row r="159" spans="1:7" x14ac:dyDescent="0.25">
      <c r="A159" s="69">
        <v>46146</v>
      </c>
      <c r="B159" t="s">
        <v>165</v>
      </c>
      <c r="C159" t="s">
        <v>369</v>
      </c>
      <c r="D159" t="s">
        <v>282</v>
      </c>
      <c r="F159" s="70">
        <v>19</v>
      </c>
      <c r="G159" s="70">
        <v>447</v>
      </c>
    </row>
    <row r="160" spans="1:7" x14ac:dyDescent="0.25">
      <c r="A160" s="69">
        <v>46146</v>
      </c>
      <c r="B160" t="s">
        <v>247</v>
      </c>
      <c r="C160" t="s">
        <v>370</v>
      </c>
      <c r="D160" t="s">
        <v>286</v>
      </c>
      <c r="E160" s="70">
        <v>755</v>
      </c>
    </row>
    <row r="161" spans="1:7" x14ac:dyDescent="0.25">
      <c r="A161" s="69">
        <v>46146</v>
      </c>
      <c r="B161" t="s">
        <v>236</v>
      </c>
      <c r="C161" t="s">
        <v>371</v>
      </c>
      <c r="D161" t="s">
        <v>286</v>
      </c>
      <c r="E161" s="70">
        <v>1098</v>
      </c>
    </row>
    <row r="162" spans="1:7" x14ac:dyDescent="0.25">
      <c r="A162" s="69">
        <v>46146</v>
      </c>
      <c r="B162" t="s">
        <v>164</v>
      </c>
      <c r="C162" t="s">
        <v>372</v>
      </c>
      <c r="D162" t="s">
        <v>286</v>
      </c>
      <c r="E162" s="70">
        <v>543</v>
      </c>
    </row>
    <row r="163" spans="1:7" x14ac:dyDescent="0.25">
      <c r="A163" s="69">
        <v>46146</v>
      </c>
      <c r="B163" t="s">
        <v>246</v>
      </c>
      <c r="C163" t="s">
        <v>373</v>
      </c>
      <c r="D163" t="s">
        <v>286</v>
      </c>
      <c r="E163" s="70">
        <v>531</v>
      </c>
    </row>
    <row r="164" spans="1:7" x14ac:dyDescent="0.25">
      <c r="A164" s="69">
        <v>46146</v>
      </c>
      <c r="B164" t="s">
        <v>194</v>
      </c>
      <c r="C164" t="s">
        <v>374</v>
      </c>
      <c r="D164" t="s">
        <v>286</v>
      </c>
      <c r="E164" s="70">
        <v>1273</v>
      </c>
    </row>
    <row r="165" spans="1:7" x14ac:dyDescent="0.25">
      <c r="A165" s="69">
        <v>46146</v>
      </c>
      <c r="B165" t="s">
        <v>186</v>
      </c>
      <c r="C165" t="s">
        <v>375</v>
      </c>
      <c r="D165" t="s">
        <v>282</v>
      </c>
      <c r="F165" s="70">
        <v>8</v>
      </c>
      <c r="G165" s="70">
        <v>201</v>
      </c>
    </row>
    <row r="166" spans="1:7" x14ac:dyDescent="0.25">
      <c r="A166" s="69">
        <v>46146</v>
      </c>
      <c r="B166" t="s">
        <v>231</v>
      </c>
      <c r="C166" t="s">
        <v>376</v>
      </c>
      <c r="D166" t="s">
        <v>285</v>
      </c>
      <c r="E166" s="70">
        <v>3276000</v>
      </c>
    </row>
    <row r="167" spans="1:7" x14ac:dyDescent="0.25">
      <c r="A167" s="69">
        <v>46146</v>
      </c>
      <c r="B167" t="s">
        <v>231</v>
      </c>
      <c r="C167" t="s">
        <v>377</v>
      </c>
      <c r="D167" t="s">
        <v>279</v>
      </c>
      <c r="E167" s="70">
        <v>8736000</v>
      </c>
    </row>
    <row r="168" spans="1:7" x14ac:dyDescent="0.25">
      <c r="A168" s="69">
        <v>46146</v>
      </c>
      <c r="B168" t="s">
        <v>231</v>
      </c>
      <c r="C168" t="s">
        <v>378</v>
      </c>
      <c r="D168" t="s">
        <v>301</v>
      </c>
      <c r="E168" s="70">
        <v>5474748</v>
      </c>
    </row>
    <row r="169" spans="1:7" x14ac:dyDescent="0.25">
      <c r="A169" s="69">
        <v>46146</v>
      </c>
      <c r="B169" t="s">
        <v>231</v>
      </c>
      <c r="C169" t="s">
        <v>379</v>
      </c>
      <c r="D169" t="s">
        <v>285</v>
      </c>
      <c r="E169" s="70">
        <v>4987071</v>
      </c>
    </row>
    <row r="170" spans="1:7" x14ac:dyDescent="0.25">
      <c r="A170" s="69">
        <v>46146</v>
      </c>
      <c r="B170" t="s">
        <v>194</v>
      </c>
      <c r="C170" t="s">
        <v>380</v>
      </c>
      <c r="D170" t="s">
        <v>282</v>
      </c>
      <c r="F170" s="70">
        <v>19</v>
      </c>
      <c r="G170" s="70">
        <v>465</v>
      </c>
    </row>
    <row r="171" spans="1:7" x14ac:dyDescent="0.25">
      <c r="A171" s="69">
        <v>46146</v>
      </c>
      <c r="B171" t="s">
        <v>381</v>
      </c>
      <c r="C171" t="s">
        <v>373</v>
      </c>
      <c r="D171" t="s">
        <v>285</v>
      </c>
      <c r="E171" s="70">
        <v>531</v>
      </c>
    </row>
    <row r="172" spans="1:7" x14ac:dyDescent="0.25">
      <c r="A172" s="69">
        <v>46146</v>
      </c>
      <c r="B172" t="s">
        <v>191</v>
      </c>
      <c r="C172" t="s">
        <v>382</v>
      </c>
      <c r="D172" t="s">
        <v>282</v>
      </c>
      <c r="F172" s="70">
        <v>8</v>
      </c>
      <c r="G172" s="70">
        <v>182</v>
      </c>
    </row>
    <row r="173" spans="1:7" x14ac:dyDescent="0.25">
      <c r="A173" s="69">
        <v>46146</v>
      </c>
      <c r="B173" t="s">
        <v>152</v>
      </c>
      <c r="C173" t="s">
        <v>383</v>
      </c>
      <c r="D173" t="s">
        <v>285</v>
      </c>
      <c r="E173" s="70">
        <v>17960</v>
      </c>
    </row>
    <row r="174" spans="1:7" x14ac:dyDescent="0.25">
      <c r="A174" s="69">
        <v>46146</v>
      </c>
      <c r="B174" t="s">
        <v>179</v>
      </c>
      <c r="C174" t="s">
        <v>384</v>
      </c>
      <c r="D174" t="s">
        <v>285</v>
      </c>
      <c r="E174" s="70">
        <v>1293</v>
      </c>
    </row>
    <row r="175" spans="1:7" x14ac:dyDescent="0.25">
      <c r="A175" s="69">
        <v>46146</v>
      </c>
      <c r="B175" t="s">
        <v>179</v>
      </c>
      <c r="C175" t="s">
        <v>385</v>
      </c>
      <c r="D175" t="s">
        <v>285</v>
      </c>
      <c r="E175" s="70">
        <v>2250000</v>
      </c>
    </row>
    <row r="176" spans="1:7" x14ac:dyDescent="0.25">
      <c r="A176" s="69">
        <v>46146</v>
      </c>
      <c r="B176" t="s">
        <v>168</v>
      </c>
      <c r="C176" t="s">
        <v>386</v>
      </c>
      <c r="D176" t="s">
        <v>285</v>
      </c>
      <c r="E176" s="70">
        <v>22144000</v>
      </c>
    </row>
    <row r="177" spans="1:5" x14ac:dyDescent="0.25">
      <c r="A177" s="69">
        <v>46146</v>
      </c>
      <c r="B177" t="s">
        <v>168</v>
      </c>
      <c r="C177" t="s">
        <v>387</v>
      </c>
      <c r="D177" t="s">
        <v>286</v>
      </c>
      <c r="E177" s="70">
        <v>2249036</v>
      </c>
    </row>
    <row r="178" spans="1:5" x14ac:dyDescent="0.25">
      <c r="A178" s="69">
        <v>46146</v>
      </c>
      <c r="B178" t="s">
        <v>168</v>
      </c>
      <c r="C178" t="s">
        <v>388</v>
      </c>
      <c r="D178" t="s">
        <v>301</v>
      </c>
      <c r="E178" s="70">
        <v>4952200</v>
      </c>
    </row>
    <row r="179" spans="1:5" x14ac:dyDescent="0.25">
      <c r="A179" s="69">
        <v>46146</v>
      </c>
      <c r="B179" t="s">
        <v>168</v>
      </c>
      <c r="C179" t="s">
        <v>389</v>
      </c>
      <c r="D179" t="s">
        <v>286</v>
      </c>
      <c r="E179" s="70">
        <v>4981467</v>
      </c>
    </row>
    <row r="180" spans="1:5" x14ac:dyDescent="0.25">
      <c r="A180" s="69">
        <v>46146</v>
      </c>
      <c r="B180" t="s">
        <v>168</v>
      </c>
      <c r="C180" t="s">
        <v>390</v>
      </c>
      <c r="D180" t="s">
        <v>285</v>
      </c>
      <c r="E180" s="70">
        <v>5045290</v>
      </c>
    </row>
    <row r="181" spans="1:5" x14ac:dyDescent="0.25">
      <c r="A181" s="69">
        <v>46146</v>
      </c>
      <c r="B181" t="s">
        <v>246</v>
      </c>
      <c r="C181" t="s">
        <v>391</v>
      </c>
      <c r="D181" t="s">
        <v>285</v>
      </c>
      <c r="E181" s="70">
        <v>2149046</v>
      </c>
    </row>
    <row r="182" spans="1:5" x14ac:dyDescent="0.25">
      <c r="A182" s="69">
        <v>46146</v>
      </c>
      <c r="B182" t="s">
        <v>179</v>
      </c>
      <c r="C182" t="s">
        <v>384</v>
      </c>
      <c r="D182" t="s">
        <v>344</v>
      </c>
      <c r="E182" s="70">
        <v>1293</v>
      </c>
    </row>
    <row r="183" spans="1:5" x14ac:dyDescent="0.25">
      <c r="A183" s="69">
        <v>46146</v>
      </c>
      <c r="B183" t="s">
        <v>168</v>
      </c>
      <c r="C183" t="s">
        <v>386</v>
      </c>
      <c r="D183" t="s">
        <v>286</v>
      </c>
      <c r="E183" s="70">
        <v>22144000</v>
      </c>
    </row>
    <row r="184" spans="1:5" x14ac:dyDescent="0.25">
      <c r="A184" s="69">
        <v>46146</v>
      </c>
      <c r="B184" t="s">
        <v>168</v>
      </c>
      <c r="C184" t="s">
        <v>388</v>
      </c>
      <c r="D184" t="s">
        <v>285</v>
      </c>
      <c r="E184" s="70">
        <v>4952200</v>
      </c>
    </row>
    <row r="185" spans="1:5" x14ac:dyDescent="0.25">
      <c r="A185" s="69">
        <v>46146</v>
      </c>
      <c r="B185" t="s">
        <v>168</v>
      </c>
      <c r="C185" t="s">
        <v>389</v>
      </c>
      <c r="D185" t="s">
        <v>279</v>
      </c>
      <c r="E185" s="70">
        <v>4981467</v>
      </c>
    </row>
    <row r="186" spans="1:5" x14ac:dyDescent="0.25">
      <c r="A186" s="69">
        <v>46146</v>
      </c>
      <c r="B186" t="s">
        <v>246</v>
      </c>
      <c r="C186" t="s">
        <v>391</v>
      </c>
      <c r="D186" t="s">
        <v>286</v>
      </c>
      <c r="E186" s="70">
        <v>2149046</v>
      </c>
    </row>
    <row r="187" spans="1:5" x14ac:dyDescent="0.25">
      <c r="A187" s="69">
        <v>46146</v>
      </c>
      <c r="B187" t="s">
        <v>229</v>
      </c>
      <c r="C187" t="s">
        <v>392</v>
      </c>
      <c r="D187" t="s">
        <v>285</v>
      </c>
      <c r="E187" s="70">
        <v>3000</v>
      </c>
    </row>
    <row r="188" spans="1:5" x14ac:dyDescent="0.25">
      <c r="A188" s="69">
        <v>46146</v>
      </c>
      <c r="B188" t="s">
        <v>221</v>
      </c>
      <c r="C188" t="s">
        <v>393</v>
      </c>
      <c r="D188" t="s">
        <v>286</v>
      </c>
      <c r="E188" s="70">
        <v>270</v>
      </c>
    </row>
    <row r="189" spans="1:5" x14ac:dyDescent="0.25">
      <c r="A189" s="69">
        <v>46146</v>
      </c>
      <c r="B189" t="s">
        <v>229</v>
      </c>
      <c r="C189" t="s">
        <v>392</v>
      </c>
      <c r="D189" t="s">
        <v>344</v>
      </c>
      <c r="E189" s="70">
        <v>3000</v>
      </c>
    </row>
    <row r="190" spans="1:5" x14ac:dyDescent="0.25">
      <c r="A190" s="69">
        <v>46146</v>
      </c>
      <c r="B190" t="s">
        <v>254</v>
      </c>
      <c r="C190" t="s">
        <v>394</v>
      </c>
      <c r="D190" t="s">
        <v>286</v>
      </c>
      <c r="E190" s="70">
        <v>250000</v>
      </c>
    </row>
    <row r="191" spans="1:5" x14ac:dyDescent="0.25">
      <c r="A191" s="69">
        <v>46146</v>
      </c>
      <c r="B191" t="s">
        <v>156</v>
      </c>
      <c r="C191" t="s">
        <v>395</v>
      </c>
      <c r="D191" t="s">
        <v>286</v>
      </c>
      <c r="E191" s="70">
        <v>254</v>
      </c>
    </row>
    <row r="192" spans="1:5" x14ac:dyDescent="0.25">
      <c r="A192" s="69">
        <v>46146</v>
      </c>
      <c r="B192" t="s">
        <v>245</v>
      </c>
      <c r="C192" t="s">
        <v>396</v>
      </c>
      <c r="D192" t="s">
        <v>286</v>
      </c>
      <c r="E192" s="70">
        <v>5230</v>
      </c>
    </row>
    <row r="193" spans="1:5" x14ac:dyDescent="0.25">
      <c r="A193" s="69">
        <v>46146</v>
      </c>
      <c r="B193" t="s">
        <v>247</v>
      </c>
      <c r="C193" t="s">
        <v>397</v>
      </c>
      <c r="D193" t="s">
        <v>286</v>
      </c>
      <c r="E193" s="70">
        <v>216</v>
      </c>
    </row>
    <row r="194" spans="1:5" x14ac:dyDescent="0.25">
      <c r="A194" s="69">
        <v>46146</v>
      </c>
      <c r="B194" t="s">
        <v>222</v>
      </c>
      <c r="C194" t="s">
        <v>398</v>
      </c>
      <c r="D194" t="s">
        <v>286</v>
      </c>
      <c r="E194" s="70">
        <v>1399</v>
      </c>
    </row>
    <row r="195" spans="1:5" x14ac:dyDescent="0.25">
      <c r="A195" s="69">
        <v>46146</v>
      </c>
      <c r="B195" t="s">
        <v>194</v>
      </c>
      <c r="C195" t="s">
        <v>399</v>
      </c>
      <c r="D195" t="s">
        <v>286</v>
      </c>
      <c r="E195" s="70">
        <v>1001146</v>
      </c>
    </row>
    <row r="196" spans="1:5" x14ac:dyDescent="0.25">
      <c r="A196" s="69">
        <v>46146</v>
      </c>
      <c r="B196" t="s">
        <v>163</v>
      </c>
      <c r="C196" t="s">
        <v>400</v>
      </c>
      <c r="D196" t="s">
        <v>286</v>
      </c>
      <c r="E196" s="70">
        <v>155</v>
      </c>
    </row>
    <row r="197" spans="1:5" x14ac:dyDescent="0.25">
      <c r="A197" s="69">
        <v>46146</v>
      </c>
      <c r="B197" t="s">
        <v>246</v>
      </c>
      <c r="C197" t="s">
        <v>401</v>
      </c>
      <c r="D197" t="s">
        <v>279</v>
      </c>
      <c r="E197" s="70">
        <v>1938527</v>
      </c>
    </row>
    <row r="198" spans="1:5" x14ac:dyDescent="0.25">
      <c r="A198" s="69">
        <v>46146</v>
      </c>
      <c r="B198" t="s">
        <v>246</v>
      </c>
      <c r="C198" t="s">
        <v>402</v>
      </c>
      <c r="D198" t="s">
        <v>286</v>
      </c>
      <c r="E198" s="70">
        <v>879393</v>
      </c>
    </row>
    <row r="199" spans="1:5" x14ac:dyDescent="0.25">
      <c r="A199" s="69">
        <v>46146</v>
      </c>
      <c r="B199" t="s">
        <v>157</v>
      </c>
      <c r="C199" t="s">
        <v>403</v>
      </c>
      <c r="D199" t="s">
        <v>286</v>
      </c>
      <c r="E199" s="70">
        <v>6055</v>
      </c>
    </row>
    <row r="200" spans="1:5" x14ac:dyDescent="0.25">
      <c r="A200" s="69">
        <v>46146</v>
      </c>
      <c r="B200" t="s">
        <v>164</v>
      </c>
      <c r="C200" t="s">
        <v>404</v>
      </c>
      <c r="D200" t="s">
        <v>286</v>
      </c>
      <c r="E200" s="70">
        <v>782</v>
      </c>
    </row>
    <row r="201" spans="1:5" x14ac:dyDescent="0.25">
      <c r="A201" s="69">
        <v>46146</v>
      </c>
      <c r="B201" t="s">
        <v>152</v>
      </c>
      <c r="C201" t="s">
        <v>405</v>
      </c>
      <c r="D201" t="s">
        <v>286</v>
      </c>
      <c r="E201" s="70">
        <v>5243</v>
      </c>
    </row>
    <row r="202" spans="1:5" x14ac:dyDescent="0.25">
      <c r="A202" s="69">
        <v>46146</v>
      </c>
      <c r="B202" t="s">
        <v>246</v>
      </c>
      <c r="C202" t="s">
        <v>401</v>
      </c>
      <c r="D202" t="s">
        <v>286</v>
      </c>
      <c r="E202" s="70">
        <v>1938527</v>
      </c>
    </row>
    <row r="203" spans="1:5" x14ac:dyDescent="0.25">
      <c r="A203" s="69">
        <v>46146</v>
      </c>
      <c r="B203" t="s">
        <v>231</v>
      </c>
      <c r="C203" t="s">
        <v>406</v>
      </c>
      <c r="D203" t="s">
        <v>286</v>
      </c>
      <c r="E203" s="70">
        <v>212</v>
      </c>
    </row>
    <row r="204" spans="1:5" x14ac:dyDescent="0.25">
      <c r="A204" s="69">
        <v>46146</v>
      </c>
      <c r="B204" t="s">
        <v>202</v>
      </c>
      <c r="C204" t="s">
        <v>407</v>
      </c>
      <c r="D204" t="s">
        <v>286</v>
      </c>
      <c r="E204" s="70">
        <v>523</v>
      </c>
    </row>
    <row r="205" spans="1:5" x14ac:dyDescent="0.25">
      <c r="A205" s="69">
        <v>46146</v>
      </c>
      <c r="B205" t="s">
        <v>199</v>
      </c>
      <c r="C205" t="s">
        <v>408</v>
      </c>
      <c r="D205" t="s">
        <v>285</v>
      </c>
      <c r="E205" s="70">
        <v>278</v>
      </c>
    </row>
    <row r="206" spans="1:5" x14ac:dyDescent="0.25">
      <c r="A206" s="69">
        <v>46146</v>
      </c>
      <c r="B206" t="s">
        <v>199</v>
      </c>
      <c r="C206" t="s">
        <v>409</v>
      </c>
      <c r="D206" t="s">
        <v>286</v>
      </c>
      <c r="E206" s="70">
        <v>850</v>
      </c>
    </row>
    <row r="207" spans="1:5" x14ac:dyDescent="0.25">
      <c r="A207" s="69">
        <v>46146</v>
      </c>
      <c r="B207" t="s">
        <v>250</v>
      </c>
      <c r="C207" t="s">
        <v>410</v>
      </c>
      <c r="D207" t="s">
        <v>286</v>
      </c>
      <c r="E207" s="70">
        <v>1153</v>
      </c>
    </row>
    <row r="208" spans="1:5" x14ac:dyDescent="0.25">
      <c r="A208" s="69">
        <v>46146</v>
      </c>
      <c r="B208" t="s">
        <v>250</v>
      </c>
      <c r="C208" t="s">
        <v>411</v>
      </c>
      <c r="D208" t="s">
        <v>285</v>
      </c>
      <c r="E208" s="70">
        <v>917</v>
      </c>
    </row>
    <row r="209" spans="1:5" x14ac:dyDescent="0.25">
      <c r="A209" s="69">
        <v>46146</v>
      </c>
      <c r="B209" t="s">
        <v>222</v>
      </c>
      <c r="C209" t="s">
        <v>412</v>
      </c>
      <c r="D209" t="s">
        <v>286</v>
      </c>
      <c r="E209" s="70">
        <v>9179</v>
      </c>
    </row>
    <row r="210" spans="1:5" x14ac:dyDescent="0.25">
      <c r="A210" s="69">
        <v>46146</v>
      </c>
      <c r="B210" t="s">
        <v>246</v>
      </c>
      <c r="C210" t="s">
        <v>413</v>
      </c>
      <c r="D210" t="s">
        <v>286</v>
      </c>
      <c r="E210" s="70">
        <v>748</v>
      </c>
    </row>
    <row r="211" spans="1:5" x14ac:dyDescent="0.25">
      <c r="A211" s="69">
        <v>46146</v>
      </c>
      <c r="B211" t="s">
        <v>205</v>
      </c>
      <c r="C211" t="s">
        <v>414</v>
      </c>
      <c r="D211" t="s">
        <v>286</v>
      </c>
      <c r="E211" s="70">
        <v>28223</v>
      </c>
    </row>
    <row r="212" spans="1:5" x14ac:dyDescent="0.25">
      <c r="A212" s="69">
        <v>46146</v>
      </c>
      <c r="B212" t="s">
        <v>201</v>
      </c>
      <c r="C212" t="s">
        <v>415</v>
      </c>
      <c r="D212" t="s">
        <v>286</v>
      </c>
      <c r="E212" s="70">
        <v>12487</v>
      </c>
    </row>
    <row r="213" spans="1:5" x14ac:dyDescent="0.25">
      <c r="A213" s="69">
        <v>46146</v>
      </c>
      <c r="B213" t="s">
        <v>168</v>
      </c>
      <c r="C213" t="s">
        <v>416</v>
      </c>
      <c r="D213" t="s">
        <v>286</v>
      </c>
      <c r="E213" s="70">
        <v>17429</v>
      </c>
    </row>
    <row r="214" spans="1:5" x14ac:dyDescent="0.25">
      <c r="A214" s="69">
        <v>46146</v>
      </c>
      <c r="B214" t="s">
        <v>152</v>
      </c>
      <c r="C214" t="s">
        <v>417</v>
      </c>
      <c r="D214" t="s">
        <v>286</v>
      </c>
      <c r="E214" s="70">
        <v>19841</v>
      </c>
    </row>
    <row r="215" spans="1:5" x14ac:dyDescent="0.25">
      <c r="A215" s="69">
        <v>46146</v>
      </c>
      <c r="B215" t="s">
        <v>157</v>
      </c>
      <c r="C215" t="s">
        <v>418</v>
      </c>
      <c r="D215" t="s">
        <v>286</v>
      </c>
      <c r="E215" s="70">
        <v>11651</v>
      </c>
    </row>
    <row r="216" spans="1:5" x14ac:dyDescent="0.25">
      <c r="A216" s="69">
        <v>46146</v>
      </c>
      <c r="B216" t="s">
        <v>205</v>
      </c>
      <c r="C216" t="s">
        <v>419</v>
      </c>
      <c r="D216" t="s">
        <v>286</v>
      </c>
      <c r="E216" s="70">
        <v>27828</v>
      </c>
    </row>
    <row r="217" spans="1:5" x14ac:dyDescent="0.25">
      <c r="A217" s="69">
        <v>46146</v>
      </c>
      <c r="B217" t="s">
        <v>168</v>
      </c>
      <c r="C217" t="s">
        <v>420</v>
      </c>
      <c r="D217" t="s">
        <v>286</v>
      </c>
      <c r="E217" s="70">
        <v>13147</v>
      </c>
    </row>
    <row r="218" spans="1:5" x14ac:dyDescent="0.25">
      <c r="A218" s="69">
        <v>46146</v>
      </c>
      <c r="B218" t="s">
        <v>246</v>
      </c>
      <c r="C218" t="s">
        <v>421</v>
      </c>
      <c r="D218" t="s">
        <v>286</v>
      </c>
      <c r="E218" s="70">
        <v>274</v>
      </c>
    </row>
    <row r="219" spans="1:5" x14ac:dyDescent="0.25">
      <c r="A219" s="69">
        <v>46146</v>
      </c>
      <c r="B219" t="s">
        <v>191</v>
      </c>
      <c r="C219" t="s">
        <v>422</v>
      </c>
      <c r="D219" t="s">
        <v>286</v>
      </c>
      <c r="E219" s="70">
        <v>228</v>
      </c>
    </row>
    <row r="220" spans="1:5" x14ac:dyDescent="0.25">
      <c r="A220" s="69">
        <v>46146</v>
      </c>
      <c r="B220" t="s">
        <v>164</v>
      </c>
      <c r="C220" t="s">
        <v>423</v>
      </c>
      <c r="D220" t="s">
        <v>286</v>
      </c>
      <c r="E220" s="70">
        <v>357</v>
      </c>
    </row>
    <row r="221" spans="1:5" x14ac:dyDescent="0.25">
      <c r="A221" s="69">
        <v>46146</v>
      </c>
      <c r="B221" t="s">
        <v>168</v>
      </c>
      <c r="C221" t="s">
        <v>424</v>
      </c>
      <c r="D221" t="s">
        <v>286</v>
      </c>
      <c r="E221" s="70">
        <v>3764</v>
      </c>
    </row>
    <row r="222" spans="1:5" x14ac:dyDescent="0.25">
      <c r="A222" s="69">
        <v>46146</v>
      </c>
      <c r="B222" t="s">
        <v>251</v>
      </c>
      <c r="C222" t="s">
        <v>425</v>
      </c>
      <c r="D222" t="s">
        <v>286</v>
      </c>
      <c r="E222" s="70">
        <v>313</v>
      </c>
    </row>
    <row r="223" spans="1:5" x14ac:dyDescent="0.25">
      <c r="A223" s="69">
        <v>46146</v>
      </c>
      <c r="B223" t="s">
        <v>247</v>
      </c>
      <c r="C223" t="s">
        <v>426</v>
      </c>
      <c r="D223" t="s">
        <v>286</v>
      </c>
      <c r="E223" s="70">
        <v>159</v>
      </c>
    </row>
    <row r="224" spans="1:5" x14ac:dyDescent="0.25">
      <c r="A224" s="69">
        <v>46146</v>
      </c>
      <c r="B224" t="s">
        <v>246</v>
      </c>
      <c r="C224" t="s">
        <v>427</v>
      </c>
      <c r="D224" t="s">
        <v>286</v>
      </c>
      <c r="E224" s="70">
        <v>434</v>
      </c>
    </row>
    <row r="225" spans="1:5" x14ac:dyDescent="0.25">
      <c r="A225" s="69">
        <v>46146</v>
      </c>
      <c r="B225" t="s">
        <v>157</v>
      </c>
      <c r="C225" t="s">
        <v>428</v>
      </c>
      <c r="D225" t="s">
        <v>286</v>
      </c>
      <c r="E225" s="70">
        <v>7768</v>
      </c>
    </row>
    <row r="226" spans="1:5" x14ac:dyDescent="0.25">
      <c r="A226" s="69">
        <v>46146</v>
      </c>
      <c r="B226" t="s">
        <v>250</v>
      </c>
      <c r="C226" t="s">
        <v>429</v>
      </c>
      <c r="D226" t="s">
        <v>286</v>
      </c>
      <c r="E226" s="70">
        <v>1715</v>
      </c>
    </row>
    <row r="227" spans="1:5" x14ac:dyDescent="0.25">
      <c r="A227" s="69">
        <v>46146</v>
      </c>
      <c r="B227" t="s">
        <v>153</v>
      </c>
      <c r="C227" t="s">
        <v>430</v>
      </c>
      <c r="D227" t="s">
        <v>285</v>
      </c>
      <c r="E227" s="70">
        <v>1095</v>
      </c>
    </row>
    <row r="228" spans="1:5" x14ac:dyDescent="0.25">
      <c r="A228" s="69">
        <v>46146</v>
      </c>
      <c r="B228" t="s">
        <v>162</v>
      </c>
      <c r="C228" t="s">
        <v>289</v>
      </c>
      <c r="D228" t="s">
        <v>279</v>
      </c>
      <c r="E228" s="70">
        <v>18400000</v>
      </c>
    </row>
    <row r="229" spans="1:5" x14ac:dyDescent="0.25">
      <c r="A229" s="69">
        <v>46146</v>
      </c>
      <c r="B229" t="s">
        <v>150</v>
      </c>
      <c r="C229" t="s">
        <v>431</v>
      </c>
      <c r="D229" t="s">
        <v>286</v>
      </c>
      <c r="E229" s="70">
        <v>483</v>
      </c>
    </row>
    <row r="230" spans="1:5" x14ac:dyDescent="0.25">
      <c r="A230" s="69">
        <v>46146</v>
      </c>
      <c r="B230" t="s">
        <v>194</v>
      </c>
      <c r="C230" t="s">
        <v>432</v>
      </c>
      <c r="D230" t="s">
        <v>286</v>
      </c>
      <c r="E230" s="70">
        <v>285</v>
      </c>
    </row>
    <row r="231" spans="1:5" x14ac:dyDescent="0.25">
      <c r="A231" s="69">
        <v>46146</v>
      </c>
      <c r="B231" t="s">
        <v>204</v>
      </c>
      <c r="C231" t="s">
        <v>433</v>
      </c>
      <c r="D231" t="s">
        <v>286</v>
      </c>
      <c r="E231" s="70">
        <v>979</v>
      </c>
    </row>
    <row r="232" spans="1:5" x14ac:dyDescent="0.25">
      <c r="A232" s="69">
        <v>46146</v>
      </c>
      <c r="B232" t="s">
        <v>179</v>
      </c>
      <c r="C232" t="s">
        <v>434</v>
      </c>
      <c r="D232" t="s">
        <v>286</v>
      </c>
      <c r="E232" s="70">
        <v>263</v>
      </c>
    </row>
    <row r="233" spans="1:5" x14ac:dyDescent="0.25">
      <c r="A233" s="69">
        <v>46146</v>
      </c>
      <c r="B233" t="s">
        <v>254</v>
      </c>
      <c r="C233" t="s">
        <v>435</v>
      </c>
      <c r="D233" t="s">
        <v>286</v>
      </c>
      <c r="E233" s="70">
        <v>221</v>
      </c>
    </row>
    <row r="234" spans="1:5" x14ac:dyDescent="0.25">
      <c r="A234" s="69">
        <v>46146</v>
      </c>
      <c r="B234" t="s">
        <v>246</v>
      </c>
      <c r="C234" t="s">
        <v>427</v>
      </c>
      <c r="D234" t="s">
        <v>285</v>
      </c>
      <c r="E234" s="70">
        <v>434</v>
      </c>
    </row>
    <row r="235" spans="1:5" x14ac:dyDescent="0.25">
      <c r="A235" s="69">
        <v>46146</v>
      </c>
      <c r="B235" t="s">
        <v>153</v>
      </c>
      <c r="C235" t="s">
        <v>430</v>
      </c>
      <c r="D235" t="s">
        <v>286</v>
      </c>
      <c r="E235" s="70">
        <v>1095</v>
      </c>
    </row>
    <row r="236" spans="1:5" x14ac:dyDescent="0.25">
      <c r="A236" s="69">
        <v>46146</v>
      </c>
      <c r="B236" t="s">
        <v>194</v>
      </c>
      <c r="C236" t="s">
        <v>436</v>
      </c>
      <c r="D236" t="s">
        <v>286</v>
      </c>
      <c r="E236" s="70">
        <v>724</v>
      </c>
    </row>
    <row r="237" spans="1:5" x14ac:dyDescent="0.25">
      <c r="A237" s="69">
        <v>46146</v>
      </c>
      <c r="B237" t="s">
        <v>157</v>
      </c>
      <c r="C237" t="s">
        <v>437</v>
      </c>
      <c r="D237" t="s">
        <v>286</v>
      </c>
      <c r="E237" s="70">
        <v>7814</v>
      </c>
    </row>
    <row r="238" spans="1:5" x14ac:dyDescent="0.25">
      <c r="A238" s="69">
        <v>46146</v>
      </c>
      <c r="B238" t="s">
        <v>168</v>
      </c>
      <c r="C238" t="s">
        <v>438</v>
      </c>
      <c r="D238" t="s">
        <v>286</v>
      </c>
      <c r="E238" s="70">
        <v>2310</v>
      </c>
    </row>
    <row r="239" spans="1:5" x14ac:dyDescent="0.25">
      <c r="A239" s="69">
        <v>46146</v>
      </c>
      <c r="B239" t="s">
        <v>250</v>
      </c>
      <c r="C239" t="s">
        <v>439</v>
      </c>
      <c r="D239" t="s">
        <v>286</v>
      </c>
      <c r="E239" s="70">
        <v>2420</v>
      </c>
    </row>
    <row r="240" spans="1:5" x14ac:dyDescent="0.25">
      <c r="A240" s="69">
        <v>46146</v>
      </c>
      <c r="B240" t="s">
        <v>163</v>
      </c>
      <c r="C240" t="s">
        <v>440</v>
      </c>
      <c r="D240" t="s">
        <v>286</v>
      </c>
      <c r="E240" s="70">
        <v>663</v>
      </c>
    </row>
    <row r="241" spans="1:5" x14ac:dyDescent="0.25">
      <c r="A241" s="69">
        <v>46146</v>
      </c>
      <c r="B241" t="s">
        <v>251</v>
      </c>
      <c r="C241" t="s">
        <v>441</v>
      </c>
      <c r="D241" t="s">
        <v>286</v>
      </c>
      <c r="E241" s="70">
        <v>166</v>
      </c>
    </row>
    <row r="242" spans="1:5" x14ac:dyDescent="0.25">
      <c r="A242" s="69">
        <v>46146</v>
      </c>
      <c r="B242" t="s">
        <v>231</v>
      </c>
      <c r="C242" t="s">
        <v>442</v>
      </c>
      <c r="D242" t="s">
        <v>286</v>
      </c>
      <c r="E242" s="70">
        <v>1855</v>
      </c>
    </row>
    <row r="243" spans="1:5" x14ac:dyDescent="0.25">
      <c r="A243" s="69">
        <v>46146</v>
      </c>
      <c r="B243" t="s">
        <v>153</v>
      </c>
      <c r="C243" t="s">
        <v>443</v>
      </c>
      <c r="D243" t="s">
        <v>286</v>
      </c>
      <c r="E243" s="70">
        <v>179</v>
      </c>
    </row>
    <row r="244" spans="1:5" x14ac:dyDescent="0.25">
      <c r="A244" s="69">
        <v>46146</v>
      </c>
      <c r="B244" t="s">
        <v>202</v>
      </c>
      <c r="C244" t="s">
        <v>444</v>
      </c>
      <c r="D244" t="s">
        <v>286</v>
      </c>
      <c r="E244" s="70">
        <v>201943</v>
      </c>
    </row>
    <row r="245" spans="1:5" x14ac:dyDescent="0.25">
      <c r="A245" s="69">
        <v>46146</v>
      </c>
      <c r="B245" t="s">
        <v>254</v>
      </c>
      <c r="C245" t="s">
        <v>445</v>
      </c>
      <c r="D245" t="s">
        <v>286</v>
      </c>
      <c r="E245" s="70">
        <v>496</v>
      </c>
    </row>
    <row r="246" spans="1:5" x14ac:dyDescent="0.25">
      <c r="A246" s="69">
        <v>46146</v>
      </c>
      <c r="B246" t="s">
        <v>251</v>
      </c>
      <c r="C246" t="s">
        <v>446</v>
      </c>
      <c r="D246" t="s">
        <v>286</v>
      </c>
      <c r="E246" s="70">
        <v>851</v>
      </c>
    </row>
    <row r="247" spans="1:5" x14ac:dyDescent="0.25">
      <c r="A247" s="69">
        <v>46146</v>
      </c>
      <c r="B247" t="s">
        <v>153</v>
      </c>
      <c r="C247" t="s">
        <v>443</v>
      </c>
      <c r="D247" t="s">
        <v>285</v>
      </c>
      <c r="E247" s="70">
        <v>179</v>
      </c>
    </row>
    <row r="248" spans="1:5" x14ac:dyDescent="0.25">
      <c r="A248" s="69">
        <v>46146</v>
      </c>
      <c r="B248" t="s">
        <v>254</v>
      </c>
      <c r="C248" t="s">
        <v>447</v>
      </c>
      <c r="D248" t="s">
        <v>286</v>
      </c>
      <c r="E248" s="70">
        <v>1834</v>
      </c>
    </row>
    <row r="249" spans="1:5" x14ac:dyDescent="0.25">
      <c r="A249" s="69">
        <v>46146</v>
      </c>
      <c r="B249" t="s">
        <v>168</v>
      </c>
      <c r="C249" t="s">
        <v>448</v>
      </c>
      <c r="D249" t="s">
        <v>286</v>
      </c>
      <c r="E249" s="70">
        <v>14849</v>
      </c>
    </row>
    <row r="250" spans="1:5" x14ac:dyDescent="0.25">
      <c r="A250" s="69">
        <v>46146</v>
      </c>
      <c r="B250" t="s">
        <v>163</v>
      </c>
      <c r="C250" t="s">
        <v>449</v>
      </c>
      <c r="D250" t="s">
        <v>286</v>
      </c>
      <c r="E250" s="70">
        <v>822</v>
      </c>
    </row>
    <row r="251" spans="1:5" x14ac:dyDescent="0.25">
      <c r="A251" s="69">
        <v>46146</v>
      </c>
      <c r="B251" t="s">
        <v>162</v>
      </c>
      <c r="C251" t="s">
        <v>450</v>
      </c>
      <c r="D251" t="s">
        <v>286</v>
      </c>
      <c r="E251" s="70">
        <v>6375</v>
      </c>
    </row>
    <row r="252" spans="1:5" x14ac:dyDescent="0.25">
      <c r="A252" s="69">
        <v>46146</v>
      </c>
      <c r="B252" t="s">
        <v>250</v>
      </c>
      <c r="C252" t="s">
        <v>451</v>
      </c>
      <c r="D252" t="s">
        <v>286</v>
      </c>
      <c r="E252" s="70">
        <v>4654</v>
      </c>
    </row>
    <row r="253" spans="1:5" x14ac:dyDescent="0.25">
      <c r="A253" s="69">
        <v>46146</v>
      </c>
      <c r="B253" t="s">
        <v>161</v>
      </c>
      <c r="C253" t="s">
        <v>452</v>
      </c>
      <c r="D253" t="s">
        <v>286</v>
      </c>
      <c r="E253" s="70">
        <v>253</v>
      </c>
    </row>
    <row r="254" spans="1:5" x14ac:dyDescent="0.25">
      <c r="A254" s="69">
        <v>46146</v>
      </c>
      <c r="B254" t="s">
        <v>245</v>
      </c>
      <c r="C254" t="s">
        <v>453</v>
      </c>
      <c r="D254" t="s">
        <v>286</v>
      </c>
      <c r="E254" s="70">
        <v>4019</v>
      </c>
    </row>
    <row r="255" spans="1:5" x14ac:dyDescent="0.25">
      <c r="A255" s="69">
        <v>46146</v>
      </c>
      <c r="B255" t="s">
        <v>155</v>
      </c>
      <c r="C255" t="s">
        <v>454</v>
      </c>
      <c r="D255" t="s">
        <v>286</v>
      </c>
      <c r="E255" s="70">
        <v>3049979</v>
      </c>
    </row>
    <row r="256" spans="1:5" x14ac:dyDescent="0.25">
      <c r="A256" s="69">
        <v>46146</v>
      </c>
      <c r="B256" t="s">
        <v>155</v>
      </c>
      <c r="C256" t="s">
        <v>454</v>
      </c>
      <c r="D256" t="s">
        <v>285</v>
      </c>
      <c r="E256" s="70">
        <v>3049979</v>
      </c>
    </row>
    <row r="257" spans="1:7" x14ac:dyDescent="0.25">
      <c r="A257" s="69">
        <v>46146</v>
      </c>
      <c r="B257" t="s">
        <v>251</v>
      </c>
      <c r="C257" t="s">
        <v>333</v>
      </c>
      <c r="D257" t="s">
        <v>299</v>
      </c>
      <c r="E257" s="70">
        <v>200</v>
      </c>
    </row>
    <row r="258" spans="1:7" x14ac:dyDescent="0.25">
      <c r="A258" s="69">
        <v>46146</v>
      </c>
      <c r="B258" t="s">
        <v>162</v>
      </c>
      <c r="C258" t="s">
        <v>455</v>
      </c>
      <c r="D258" t="s">
        <v>301</v>
      </c>
      <c r="E258" s="70">
        <v>7409978</v>
      </c>
    </row>
    <row r="259" spans="1:7" x14ac:dyDescent="0.25">
      <c r="A259" s="69">
        <v>46146</v>
      </c>
      <c r="B259" t="s">
        <v>162</v>
      </c>
      <c r="C259" t="s">
        <v>456</v>
      </c>
      <c r="D259" t="s">
        <v>285</v>
      </c>
      <c r="E259" s="70">
        <v>6957478</v>
      </c>
    </row>
    <row r="260" spans="1:7" x14ac:dyDescent="0.25">
      <c r="A260" s="69">
        <v>46146</v>
      </c>
      <c r="B260" t="s">
        <v>162</v>
      </c>
      <c r="C260" t="s">
        <v>457</v>
      </c>
      <c r="D260" t="s">
        <v>286</v>
      </c>
      <c r="E260" s="70">
        <v>7811465</v>
      </c>
    </row>
    <row r="261" spans="1:7" x14ac:dyDescent="0.25">
      <c r="A261" s="69">
        <v>46146</v>
      </c>
      <c r="B261" t="s">
        <v>162</v>
      </c>
      <c r="C261" t="s">
        <v>458</v>
      </c>
      <c r="D261" t="s">
        <v>277</v>
      </c>
      <c r="E261" s="70">
        <v>38800000</v>
      </c>
    </row>
    <row r="262" spans="1:7" x14ac:dyDescent="0.25">
      <c r="A262" s="69">
        <v>46146</v>
      </c>
      <c r="B262" t="s">
        <v>162</v>
      </c>
      <c r="C262" t="s">
        <v>457</v>
      </c>
      <c r="D262" t="s">
        <v>285</v>
      </c>
      <c r="E262" s="70">
        <v>7811465</v>
      </c>
    </row>
    <row r="263" spans="1:7" x14ac:dyDescent="0.25">
      <c r="A263" s="69">
        <v>46146</v>
      </c>
      <c r="B263" t="s">
        <v>162</v>
      </c>
      <c r="C263" t="s">
        <v>459</v>
      </c>
      <c r="D263" t="s">
        <v>282</v>
      </c>
      <c r="F263" s="70">
        <v>22</v>
      </c>
      <c r="G263" s="70">
        <v>520</v>
      </c>
    </row>
    <row r="264" spans="1:7" x14ac:dyDescent="0.25">
      <c r="A264" s="69">
        <v>46146</v>
      </c>
      <c r="B264" t="s">
        <v>191</v>
      </c>
      <c r="C264" t="s">
        <v>460</v>
      </c>
      <c r="D264" t="s">
        <v>285</v>
      </c>
      <c r="E264" s="70">
        <v>5434000</v>
      </c>
    </row>
    <row r="265" spans="1:7" x14ac:dyDescent="0.25">
      <c r="A265" s="69">
        <v>46146</v>
      </c>
      <c r="B265" t="s">
        <v>180</v>
      </c>
      <c r="C265" t="s">
        <v>394</v>
      </c>
      <c r="D265" t="s">
        <v>286</v>
      </c>
      <c r="E265" s="70">
        <v>250000</v>
      </c>
    </row>
    <row r="266" spans="1:7" x14ac:dyDescent="0.25">
      <c r="A266" s="69">
        <v>46146</v>
      </c>
      <c r="B266" t="s">
        <v>150</v>
      </c>
      <c r="C266" t="s">
        <v>461</v>
      </c>
      <c r="D266" t="s">
        <v>286</v>
      </c>
      <c r="E266" s="70">
        <v>2769000</v>
      </c>
    </row>
    <row r="267" spans="1:7" x14ac:dyDescent="0.25">
      <c r="A267" s="69">
        <v>46146</v>
      </c>
      <c r="B267" t="s">
        <v>162</v>
      </c>
      <c r="C267" t="s">
        <v>455</v>
      </c>
      <c r="D267" t="s">
        <v>285</v>
      </c>
      <c r="E267" s="70">
        <v>7409978</v>
      </c>
    </row>
    <row r="268" spans="1:7" x14ac:dyDescent="0.25">
      <c r="A268" s="69">
        <v>46146</v>
      </c>
      <c r="B268" t="s">
        <v>162</v>
      </c>
      <c r="C268" t="s">
        <v>458</v>
      </c>
      <c r="D268" t="s">
        <v>286</v>
      </c>
      <c r="E268" s="70">
        <v>38800000</v>
      </c>
    </row>
    <row r="269" spans="1:7" x14ac:dyDescent="0.25">
      <c r="A269" s="69">
        <v>46146</v>
      </c>
      <c r="B269" t="s">
        <v>191</v>
      </c>
      <c r="C269" t="s">
        <v>460</v>
      </c>
      <c r="D269" t="s">
        <v>286</v>
      </c>
      <c r="E269" s="70">
        <v>5434000</v>
      </c>
    </row>
    <row r="270" spans="1:7" x14ac:dyDescent="0.25">
      <c r="A270" s="69">
        <v>46146</v>
      </c>
      <c r="B270" t="s">
        <v>191</v>
      </c>
      <c r="C270" t="s">
        <v>462</v>
      </c>
      <c r="D270" t="s">
        <v>282</v>
      </c>
      <c r="F270" s="70">
        <v>6</v>
      </c>
      <c r="G270" s="70">
        <v>134</v>
      </c>
    </row>
    <row r="271" spans="1:7" x14ac:dyDescent="0.25">
      <c r="A271" s="69">
        <v>46146</v>
      </c>
      <c r="B271" t="s">
        <v>234</v>
      </c>
      <c r="C271" t="s">
        <v>463</v>
      </c>
      <c r="D271" t="s">
        <v>282</v>
      </c>
      <c r="F271" s="70">
        <v>50</v>
      </c>
      <c r="G271" s="70">
        <v>1205</v>
      </c>
    </row>
    <row r="272" spans="1:7" x14ac:dyDescent="0.25">
      <c r="A272" s="69">
        <v>46146</v>
      </c>
      <c r="B272" t="s">
        <v>233</v>
      </c>
      <c r="C272" t="s">
        <v>464</v>
      </c>
      <c r="D272" t="s">
        <v>282</v>
      </c>
      <c r="F272" s="70">
        <v>2</v>
      </c>
      <c r="G272" s="70">
        <v>54</v>
      </c>
    </row>
    <row r="273" spans="1:7" x14ac:dyDescent="0.25">
      <c r="A273" s="69">
        <v>46146</v>
      </c>
      <c r="B273" t="s">
        <v>152</v>
      </c>
      <c r="C273" t="s">
        <v>465</v>
      </c>
      <c r="D273" t="s">
        <v>282</v>
      </c>
      <c r="F273" s="70">
        <v>2</v>
      </c>
      <c r="G273" s="70">
        <v>47</v>
      </c>
    </row>
    <row r="274" spans="1:7" x14ac:dyDescent="0.25">
      <c r="A274" s="69">
        <v>46146</v>
      </c>
      <c r="B274" t="s">
        <v>204</v>
      </c>
      <c r="C274" t="s">
        <v>466</v>
      </c>
      <c r="D274" t="s">
        <v>282</v>
      </c>
      <c r="F274" s="70">
        <v>2</v>
      </c>
      <c r="G274" s="70">
        <v>46</v>
      </c>
    </row>
    <row r="275" spans="1:7" x14ac:dyDescent="0.25">
      <c r="A275" s="69">
        <v>46146</v>
      </c>
      <c r="B275" t="s">
        <v>247</v>
      </c>
      <c r="C275" t="s">
        <v>467</v>
      </c>
      <c r="D275" t="s">
        <v>286</v>
      </c>
      <c r="E275" s="70">
        <v>712</v>
      </c>
    </row>
    <row r="276" spans="1:7" x14ac:dyDescent="0.25">
      <c r="A276" s="69">
        <v>46146</v>
      </c>
      <c r="B276" t="s">
        <v>163</v>
      </c>
      <c r="C276" t="s">
        <v>468</v>
      </c>
      <c r="D276" t="s">
        <v>279</v>
      </c>
      <c r="E276" s="70">
        <v>5852000</v>
      </c>
    </row>
    <row r="277" spans="1:7" x14ac:dyDescent="0.25">
      <c r="A277" s="69">
        <v>46146</v>
      </c>
      <c r="B277" t="s">
        <v>253</v>
      </c>
      <c r="C277" t="s">
        <v>469</v>
      </c>
      <c r="D277" t="s">
        <v>286</v>
      </c>
      <c r="E277" s="70">
        <v>844000</v>
      </c>
    </row>
    <row r="278" spans="1:7" x14ac:dyDescent="0.25">
      <c r="A278" s="69">
        <v>46146</v>
      </c>
      <c r="B278" t="s">
        <v>253</v>
      </c>
      <c r="C278" t="s">
        <v>469</v>
      </c>
      <c r="D278" t="s">
        <v>277</v>
      </c>
      <c r="E278" s="70">
        <v>844000</v>
      </c>
    </row>
    <row r="279" spans="1:7" x14ac:dyDescent="0.25">
      <c r="A279" s="69">
        <v>46146</v>
      </c>
      <c r="B279" t="s">
        <v>155</v>
      </c>
      <c r="C279" t="s">
        <v>470</v>
      </c>
      <c r="D279" t="s">
        <v>286</v>
      </c>
      <c r="E279" s="70">
        <v>5868000</v>
      </c>
    </row>
    <row r="280" spans="1:7" x14ac:dyDescent="0.25">
      <c r="A280" s="69">
        <v>46146</v>
      </c>
      <c r="B280" t="s">
        <v>199</v>
      </c>
      <c r="C280" t="s">
        <v>394</v>
      </c>
      <c r="D280" t="s">
        <v>286</v>
      </c>
      <c r="E280" s="70">
        <v>250000</v>
      </c>
    </row>
    <row r="281" spans="1:7" x14ac:dyDescent="0.25">
      <c r="A281" s="69">
        <v>46146</v>
      </c>
      <c r="B281" t="s">
        <v>202</v>
      </c>
      <c r="C281" t="s">
        <v>471</v>
      </c>
      <c r="D281" t="s">
        <v>282</v>
      </c>
      <c r="F281" s="70">
        <v>55</v>
      </c>
      <c r="G281" s="70">
        <v>1329</v>
      </c>
    </row>
    <row r="282" spans="1:7" x14ac:dyDescent="0.25">
      <c r="A282" s="69">
        <v>46146</v>
      </c>
      <c r="B282" t="s">
        <v>162</v>
      </c>
      <c r="C282" t="s">
        <v>394</v>
      </c>
      <c r="D282" t="s">
        <v>286</v>
      </c>
      <c r="E282" s="70">
        <v>250000</v>
      </c>
    </row>
    <row r="283" spans="1:7" x14ac:dyDescent="0.25">
      <c r="A283" s="69">
        <v>46146</v>
      </c>
      <c r="B283" t="s">
        <v>212</v>
      </c>
      <c r="C283" t="s">
        <v>394</v>
      </c>
      <c r="D283" t="s">
        <v>286</v>
      </c>
      <c r="E283" s="70">
        <v>250000</v>
      </c>
    </row>
    <row r="284" spans="1:7" x14ac:dyDescent="0.25">
      <c r="A284" s="69">
        <v>46146</v>
      </c>
      <c r="B284" t="s">
        <v>254</v>
      </c>
      <c r="C284" t="s">
        <v>472</v>
      </c>
      <c r="D284" t="s">
        <v>285</v>
      </c>
      <c r="E284" s="70">
        <v>412</v>
      </c>
    </row>
    <row r="285" spans="1:7" x14ac:dyDescent="0.25">
      <c r="A285" s="69">
        <v>46146</v>
      </c>
      <c r="B285" t="s">
        <v>157</v>
      </c>
      <c r="C285" t="s">
        <v>394</v>
      </c>
      <c r="D285" t="s">
        <v>286</v>
      </c>
      <c r="E285" s="70">
        <v>250000</v>
      </c>
    </row>
    <row r="286" spans="1:7" x14ac:dyDescent="0.25">
      <c r="A286" s="69">
        <v>46146</v>
      </c>
      <c r="B286" t="s">
        <v>231</v>
      </c>
      <c r="C286" t="s">
        <v>473</v>
      </c>
      <c r="D286" t="s">
        <v>285</v>
      </c>
      <c r="E286" s="70">
        <v>5824000</v>
      </c>
    </row>
    <row r="287" spans="1:7" x14ac:dyDescent="0.25">
      <c r="A287" s="69">
        <v>46146</v>
      </c>
      <c r="B287" t="s">
        <v>155</v>
      </c>
      <c r="C287" t="s">
        <v>470</v>
      </c>
      <c r="D287" t="s">
        <v>277</v>
      </c>
      <c r="E287" s="70">
        <v>5868000</v>
      </c>
    </row>
    <row r="288" spans="1:7" x14ac:dyDescent="0.25">
      <c r="A288" s="69">
        <v>46146</v>
      </c>
      <c r="B288" t="s">
        <v>238</v>
      </c>
      <c r="C288" t="s">
        <v>394</v>
      </c>
      <c r="D288" t="s">
        <v>286</v>
      </c>
      <c r="E288" s="70">
        <v>250000</v>
      </c>
    </row>
    <row r="289" spans="1:7" x14ac:dyDescent="0.25">
      <c r="A289" s="69">
        <v>46146</v>
      </c>
      <c r="B289" t="s">
        <v>246</v>
      </c>
      <c r="C289" t="s">
        <v>474</v>
      </c>
      <c r="D289" t="s">
        <v>285</v>
      </c>
      <c r="E289" s="70">
        <v>1780659</v>
      </c>
    </row>
    <row r="290" spans="1:7" x14ac:dyDescent="0.25">
      <c r="A290" s="69">
        <v>46146</v>
      </c>
      <c r="B290" t="s">
        <v>246</v>
      </c>
      <c r="C290" t="s">
        <v>475</v>
      </c>
      <c r="D290" t="s">
        <v>301</v>
      </c>
      <c r="E290" s="70">
        <v>1039956</v>
      </c>
    </row>
    <row r="291" spans="1:7" x14ac:dyDescent="0.25">
      <c r="A291" s="69">
        <v>46146</v>
      </c>
      <c r="B291" t="s">
        <v>246</v>
      </c>
      <c r="C291" t="s">
        <v>476</v>
      </c>
      <c r="D291" t="s">
        <v>279</v>
      </c>
      <c r="E291" s="70">
        <v>2195092</v>
      </c>
    </row>
    <row r="292" spans="1:7" x14ac:dyDescent="0.25">
      <c r="A292" s="69">
        <v>46146</v>
      </c>
      <c r="B292" t="s">
        <v>205</v>
      </c>
      <c r="C292" t="s">
        <v>394</v>
      </c>
      <c r="D292" t="s">
        <v>286</v>
      </c>
      <c r="E292" s="70">
        <v>250000</v>
      </c>
    </row>
    <row r="293" spans="1:7" x14ac:dyDescent="0.25">
      <c r="A293" s="69">
        <v>46146</v>
      </c>
      <c r="B293" t="s">
        <v>246</v>
      </c>
      <c r="C293" t="s">
        <v>476</v>
      </c>
      <c r="D293" t="s">
        <v>286</v>
      </c>
      <c r="E293" s="70">
        <v>2195092</v>
      </c>
    </row>
    <row r="294" spans="1:7" x14ac:dyDescent="0.25">
      <c r="A294" s="69">
        <v>46146</v>
      </c>
      <c r="B294" t="s">
        <v>229</v>
      </c>
      <c r="C294" t="s">
        <v>394</v>
      </c>
      <c r="D294" t="s">
        <v>286</v>
      </c>
      <c r="E294" s="70">
        <v>250000</v>
      </c>
    </row>
    <row r="295" spans="1:7" x14ac:dyDescent="0.25">
      <c r="A295" s="69">
        <v>46146</v>
      </c>
      <c r="B295" t="s">
        <v>191</v>
      </c>
      <c r="C295" t="s">
        <v>477</v>
      </c>
      <c r="D295" t="s">
        <v>301</v>
      </c>
      <c r="E295" s="70">
        <v>725779</v>
      </c>
    </row>
    <row r="296" spans="1:7" x14ac:dyDescent="0.25">
      <c r="A296" s="69">
        <v>46146</v>
      </c>
      <c r="B296" t="s">
        <v>165</v>
      </c>
      <c r="C296" t="s">
        <v>394</v>
      </c>
      <c r="D296" t="s">
        <v>286</v>
      </c>
      <c r="E296" s="70">
        <v>250000</v>
      </c>
    </row>
    <row r="297" spans="1:7" x14ac:dyDescent="0.25">
      <c r="A297" s="69">
        <v>46146</v>
      </c>
      <c r="B297" t="s">
        <v>224</v>
      </c>
      <c r="C297" t="s">
        <v>478</v>
      </c>
      <c r="D297" t="s">
        <v>282</v>
      </c>
      <c r="F297" s="70">
        <v>117</v>
      </c>
      <c r="G297" s="70">
        <v>2811</v>
      </c>
    </row>
    <row r="298" spans="1:7" x14ac:dyDescent="0.25">
      <c r="A298" s="69">
        <v>46146</v>
      </c>
      <c r="B298" t="s">
        <v>204</v>
      </c>
      <c r="C298" t="s">
        <v>394</v>
      </c>
      <c r="D298" t="s">
        <v>286</v>
      </c>
      <c r="E298" s="70">
        <v>250000</v>
      </c>
    </row>
    <row r="299" spans="1:7" x14ac:dyDescent="0.25">
      <c r="A299" s="69">
        <v>46146</v>
      </c>
      <c r="B299" t="s">
        <v>246</v>
      </c>
      <c r="C299" t="s">
        <v>476</v>
      </c>
      <c r="D299" t="s">
        <v>285</v>
      </c>
      <c r="E299" s="70">
        <v>2195092</v>
      </c>
    </row>
    <row r="300" spans="1:7" x14ac:dyDescent="0.25">
      <c r="A300" s="69">
        <v>46146</v>
      </c>
      <c r="B300" t="s">
        <v>251</v>
      </c>
      <c r="C300" t="s">
        <v>479</v>
      </c>
      <c r="D300" t="s">
        <v>279</v>
      </c>
      <c r="E300" s="70">
        <v>210</v>
      </c>
    </row>
    <row r="301" spans="1:7" x14ac:dyDescent="0.25">
      <c r="A301" s="69">
        <v>46146</v>
      </c>
      <c r="B301" t="s">
        <v>251</v>
      </c>
      <c r="C301" t="s">
        <v>480</v>
      </c>
      <c r="D301" t="s">
        <v>285</v>
      </c>
      <c r="E301" s="70">
        <v>238162</v>
      </c>
    </row>
    <row r="302" spans="1:7" x14ac:dyDescent="0.25">
      <c r="A302" s="69">
        <v>46146</v>
      </c>
      <c r="B302" t="s">
        <v>481</v>
      </c>
      <c r="C302" t="s">
        <v>482</v>
      </c>
      <c r="D302" t="s">
        <v>286</v>
      </c>
      <c r="E302" s="70">
        <v>150546</v>
      </c>
    </row>
    <row r="303" spans="1:7" x14ac:dyDescent="0.25">
      <c r="A303" s="69">
        <v>46146</v>
      </c>
      <c r="B303" t="s">
        <v>251</v>
      </c>
      <c r="C303" t="s">
        <v>480</v>
      </c>
      <c r="D303" t="s">
        <v>286</v>
      </c>
      <c r="E303" s="70">
        <v>238162</v>
      </c>
    </row>
    <row r="304" spans="1:7" x14ac:dyDescent="0.25">
      <c r="A304" s="69">
        <v>46146</v>
      </c>
      <c r="B304" t="s">
        <v>251</v>
      </c>
      <c r="C304" t="s">
        <v>394</v>
      </c>
      <c r="D304" t="s">
        <v>286</v>
      </c>
      <c r="E304" s="70">
        <v>250000</v>
      </c>
    </row>
    <row r="305" spans="1:7" x14ac:dyDescent="0.25">
      <c r="A305" s="69">
        <v>46146</v>
      </c>
      <c r="B305" t="s">
        <v>219</v>
      </c>
      <c r="C305" t="s">
        <v>394</v>
      </c>
      <c r="D305" t="s">
        <v>286</v>
      </c>
      <c r="E305" s="70">
        <v>250000</v>
      </c>
    </row>
    <row r="306" spans="1:7" x14ac:dyDescent="0.25">
      <c r="A306" s="69">
        <v>46146</v>
      </c>
      <c r="B306" t="s">
        <v>245</v>
      </c>
      <c r="C306" t="s">
        <v>394</v>
      </c>
      <c r="D306" t="s">
        <v>286</v>
      </c>
      <c r="E306" s="70">
        <v>250000</v>
      </c>
    </row>
    <row r="307" spans="1:7" x14ac:dyDescent="0.25">
      <c r="A307" s="69">
        <v>46146</v>
      </c>
      <c r="B307" t="s">
        <v>161</v>
      </c>
      <c r="C307" t="s">
        <v>483</v>
      </c>
      <c r="D307" t="s">
        <v>301</v>
      </c>
      <c r="E307" s="70">
        <v>198911</v>
      </c>
    </row>
    <row r="308" spans="1:7" x14ac:dyDescent="0.25">
      <c r="A308" s="69">
        <v>46146</v>
      </c>
      <c r="B308" t="s">
        <v>161</v>
      </c>
      <c r="C308" t="s">
        <v>484</v>
      </c>
      <c r="D308" t="s">
        <v>286</v>
      </c>
      <c r="E308" s="70">
        <v>264926</v>
      </c>
    </row>
    <row r="309" spans="1:7" x14ac:dyDescent="0.25">
      <c r="A309" s="69">
        <v>46146</v>
      </c>
      <c r="B309" t="s">
        <v>161</v>
      </c>
      <c r="C309" t="s">
        <v>485</v>
      </c>
      <c r="D309" t="s">
        <v>285</v>
      </c>
      <c r="E309" s="70">
        <v>377200</v>
      </c>
    </row>
    <row r="310" spans="1:7" x14ac:dyDescent="0.25">
      <c r="A310" s="69">
        <v>46146</v>
      </c>
      <c r="B310" t="s">
        <v>481</v>
      </c>
      <c r="C310" t="s">
        <v>482</v>
      </c>
      <c r="D310" t="s">
        <v>277</v>
      </c>
      <c r="E310" s="70">
        <v>150546</v>
      </c>
    </row>
    <row r="311" spans="1:7" x14ac:dyDescent="0.25">
      <c r="A311" s="69">
        <v>46146</v>
      </c>
      <c r="B311" t="s">
        <v>201</v>
      </c>
      <c r="C311" t="s">
        <v>394</v>
      </c>
      <c r="D311" t="s">
        <v>286</v>
      </c>
      <c r="E311" s="70">
        <v>250000</v>
      </c>
    </row>
    <row r="312" spans="1:7" x14ac:dyDescent="0.25">
      <c r="A312" s="69">
        <v>46146</v>
      </c>
      <c r="B312" t="s">
        <v>159</v>
      </c>
      <c r="C312" t="s">
        <v>486</v>
      </c>
      <c r="D312" t="s">
        <v>301</v>
      </c>
      <c r="E312" s="70">
        <v>1595579</v>
      </c>
    </row>
    <row r="313" spans="1:7" x14ac:dyDescent="0.25">
      <c r="A313" s="69">
        <v>46146</v>
      </c>
      <c r="B313" t="s">
        <v>159</v>
      </c>
      <c r="C313" t="s">
        <v>487</v>
      </c>
      <c r="D313" t="s">
        <v>286</v>
      </c>
      <c r="E313" s="70">
        <v>1881000</v>
      </c>
    </row>
    <row r="314" spans="1:7" x14ac:dyDescent="0.25">
      <c r="A314" s="69">
        <v>46146</v>
      </c>
      <c r="B314" t="s">
        <v>153</v>
      </c>
      <c r="C314" t="s">
        <v>394</v>
      </c>
      <c r="D314" t="s">
        <v>286</v>
      </c>
      <c r="E314" s="70">
        <v>250000</v>
      </c>
    </row>
    <row r="315" spans="1:7" x14ac:dyDescent="0.25">
      <c r="A315" s="69">
        <v>46146</v>
      </c>
      <c r="B315" t="s">
        <v>159</v>
      </c>
      <c r="C315" t="s">
        <v>488</v>
      </c>
      <c r="D315" t="s">
        <v>285</v>
      </c>
      <c r="E315" s="70">
        <v>1523651</v>
      </c>
    </row>
    <row r="316" spans="1:7" x14ac:dyDescent="0.25">
      <c r="A316" s="69">
        <v>46146</v>
      </c>
      <c r="B316" t="s">
        <v>159</v>
      </c>
      <c r="C316" t="s">
        <v>487</v>
      </c>
      <c r="D316" t="s">
        <v>279</v>
      </c>
      <c r="E316" s="70">
        <v>1881000</v>
      </c>
    </row>
    <row r="317" spans="1:7" x14ac:dyDescent="0.25">
      <c r="A317" s="69">
        <v>46146</v>
      </c>
      <c r="B317" t="s">
        <v>163</v>
      </c>
      <c r="C317" t="s">
        <v>489</v>
      </c>
      <c r="D317" t="s">
        <v>301</v>
      </c>
      <c r="E317" s="70">
        <v>1860268</v>
      </c>
    </row>
    <row r="318" spans="1:7" x14ac:dyDescent="0.25">
      <c r="A318" s="69">
        <v>46146</v>
      </c>
      <c r="B318" t="s">
        <v>150</v>
      </c>
      <c r="C318" t="s">
        <v>278</v>
      </c>
      <c r="D318" t="s">
        <v>286</v>
      </c>
      <c r="E318" s="70">
        <v>1000000</v>
      </c>
    </row>
    <row r="319" spans="1:7" x14ac:dyDescent="0.25">
      <c r="A319" s="69">
        <v>46146</v>
      </c>
      <c r="B319" t="s">
        <v>186</v>
      </c>
      <c r="C319" t="s">
        <v>490</v>
      </c>
      <c r="D319" t="s">
        <v>282</v>
      </c>
      <c r="F319" s="70">
        <v>76</v>
      </c>
      <c r="G319" s="70">
        <v>1833</v>
      </c>
    </row>
    <row r="320" spans="1:7" x14ac:dyDescent="0.25">
      <c r="A320" s="69">
        <v>46146</v>
      </c>
      <c r="B320" t="s">
        <v>231</v>
      </c>
      <c r="C320" t="s">
        <v>334</v>
      </c>
      <c r="D320" t="s">
        <v>286</v>
      </c>
      <c r="E320" s="70">
        <v>2912000</v>
      </c>
    </row>
    <row r="321" spans="1:7" x14ac:dyDescent="0.25">
      <c r="A321" s="69">
        <v>46146</v>
      </c>
      <c r="B321" t="s">
        <v>246</v>
      </c>
      <c r="C321" t="s">
        <v>491</v>
      </c>
      <c r="D321" t="s">
        <v>279</v>
      </c>
      <c r="E321" s="70">
        <v>3679692</v>
      </c>
    </row>
    <row r="322" spans="1:7" x14ac:dyDescent="0.25">
      <c r="A322" s="69">
        <v>46146</v>
      </c>
      <c r="B322" t="s">
        <v>246</v>
      </c>
      <c r="C322" t="s">
        <v>492</v>
      </c>
      <c r="D322" t="s">
        <v>301</v>
      </c>
      <c r="E322" s="70">
        <v>1491188</v>
      </c>
    </row>
    <row r="323" spans="1:7" x14ac:dyDescent="0.25">
      <c r="A323" s="69">
        <v>46146</v>
      </c>
      <c r="B323" t="s">
        <v>250</v>
      </c>
      <c r="C323" t="s">
        <v>493</v>
      </c>
      <c r="D323" t="s">
        <v>286</v>
      </c>
      <c r="E323" s="70">
        <v>2389204</v>
      </c>
    </row>
    <row r="324" spans="1:7" x14ac:dyDescent="0.25">
      <c r="A324" s="69">
        <v>46146</v>
      </c>
      <c r="B324" t="s">
        <v>262</v>
      </c>
      <c r="C324" t="s">
        <v>494</v>
      </c>
      <c r="D324" t="s">
        <v>282</v>
      </c>
      <c r="F324" s="70">
        <v>22</v>
      </c>
      <c r="G324" s="70">
        <v>528</v>
      </c>
    </row>
    <row r="325" spans="1:7" x14ac:dyDescent="0.25">
      <c r="A325" s="69">
        <v>46146</v>
      </c>
      <c r="B325" t="s">
        <v>250</v>
      </c>
      <c r="C325" t="s">
        <v>495</v>
      </c>
      <c r="D325" t="s">
        <v>285</v>
      </c>
      <c r="E325" s="70">
        <v>301216</v>
      </c>
    </row>
    <row r="326" spans="1:7" x14ac:dyDescent="0.25">
      <c r="A326" s="69">
        <v>46146</v>
      </c>
      <c r="B326" t="s">
        <v>246</v>
      </c>
      <c r="C326" t="s">
        <v>491</v>
      </c>
      <c r="D326" t="s">
        <v>286</v>
      </c>
      <c r="E326" s="70">
        <v>3679692</v>
      </c>
    </row>
    <row r="327" spans="1:7" x14ac:dyDescent="0.25">
      <c r="A327" s="69">
        <v>46146</v>
      </c>
      <c r="B327" t="s">
        <v>250</v>
      </c>
      <c r="C327" t="s">
        <v>496</v>
      </c>
      <c r="D327" t="s">
        <v>285</v>
      </c>
      <c r="E327" s="70">
        <v>1021025</v>
      </c>
    </row>
    <row r="328" spans="1:7" x14ac:dyDescent="0.25">
      <c r="A328" s="69">
        <v>46146</v>
      </c>
      <c r="B328" t="s">
        <v>250</v>
      </c>
      <c r="C328" t="s">
        <v>497</v>
      </c>
      <c r="D328" t="s">
        <v>279</v>
      </c>
      <c r="E328" s="70">
        <v>512649</v>
      </c>
    </row>
    <row r="329" spans="1:7" x14ac:dyDescent="0.25">
      <c r="A329" s="69">
        <v>46146</v>
      </c>
      <c r="B329" t="s">
        <v>219</v>
      </c>
      <c r="C329" t="s">
        <v>498</v>
      </c>
      <c r="D329" t="s">
        <v>282</v>
      </c>
      <c r="F329" s="70">
        <v>6</v>
      </c>
      <c r="G329" s="70">
        <v>141</v>
      </c>
    </row>
    <row r="330" spans="1:7" x14ac:dyDescent="0.25">
      <c r="A330" s="69">
        <v>46146</v>
      </c>
      <c r="B330" t="s">
        <v>168</v>
      </c>
      <c r="C330" t="s">
        <v>499</v>
      </c>
      <c r="D330" t="s">
        <v>285</v>
      </c>
      <c r="E330" s="70">
        <v>2243080</v>
      </c>
    </row>
    <row r="331" spans="1:7" x14ac:dyDescent="0.25">
      <c r="A331" s="69">
        <v>46146</v>
      </c>
      <c r="B331" t="s">
        <v>168</v>
      </c>
      <c r="C331" t="s">
        <v>500</v>
      </c>
      <c r="D331" t="s">
        <v>285</v>
      </c>
      <c r="E331" s="70">
        <v>1384343</v>
      </c>
    </row>
    <row r="332" spans="1:7" x14ac:dyDescent="0.25">
      <c r="A332" s="69">
        <v>46146</v>
      </c>
      <c r="B332" t="s">
        <v>501</v>
      </c>
      <c r="C332" t="s">
        <v>502</v>
      </c>
      <c r="D332" t="s">
        <v>285</v>
      </c>
      <c r="E332" s="70">
        <v>14911565</v>
      </c>
    </row>
    <row r="333" spans="1:7" x14ac:dyDescent="0.25">
      <c r="A333" s="69">
        <v>46146</v>
      </c>
      <c r="B333" t="s">
        <v>250</v>
      </c>
      <c r="C333" t="s">
        <v>493</v>
      </c>
      <c r="D333" t="s">
        <v>277</v>
      </c>
      <c r="E333" s="70">
        <v>2389204</v>
      </c>
    </row>
    <row r="334" spans="1:7" x14ac:dyDescent="0.25">
      <c r="A334" s="69">
        <v>46146</v>
      </c>
      <c r="B334" t="s">
        <v>250</v>
      </c>
      <c r="C334" t="s">
        <v>496</v>
      </c>
      <c r="D334" t="s">
        <v>301</v>
      </c>
      <c r="E334" s="70">
        <v>1021025</v>
      </c>
    </row>
    <row r="335" spans="1:7" x14ac:dyDescent="0.25">
      <c r="A335" s="69">
        <v>46146</v>
      </c>
      <c r="B335" t="s">
        <v>250</v>
      </c>
      <c r="C335" t="s">
        <v>497</v>
      </c>
      <c r="D335" t="s">
        <v>286</v>
      </c>
      <c r="E335" s="70">
        <v>512649</v>
      </c>
    </row>
    <row r="336" spans="1:7" x14ac:dyDescent="0.25">
      <c r="A336" s="69">
        <v>46146</v>
      </c>
      <c r="B336" t="s">
        <v>168</v>
      </c>
      <c r="C336" t="s">
        <v>499</v>
      </c>
      <c r="D336" t="s">
        <v>286</v>
      </c>
      <c r="E336" s="70">
        <v>2243080</v>
      </c>
    </row>
    <row r="337" spans="1:7" x14ac:dyDescent="0.25">
      <c r="A337" s="69">
        <v>46146</v>
      </c>
      <c r="B337" t="s">
        <v>233</v>
      </c>
      <c r="C337" t="s">
        <v>503</v>
      </c>
      <c r="D337" t="s">
        <v>282</v>
      </c>
      <c r="F337" s="70">
        <v>35</v>
      </c>
      <c r="G337" s="70">
        <v>832</v>
      </c>
    </row>
    <row r="338" spans="1:7" x14ac:dyDescent="0.25">
      <c r="A338" s="69">
        <v>46146</v>
      </c>
      <c r="B338" t="s">
        <v>168</v>
      </c>
      <c r="C338" t="s">
        <v>504</v>
      </c>
      <c r="D338" t="s">
        <v>286</v>
      </c>
      <c r="E338" s="70">
        <v>303617</v>
      </c>
    </row>
    <row r="339" spans="1:7" x14ac:dyDescent="0.25">
      <c r="A339" s="69">
        <v>46146</v>
      </c>
      <c r="B339" t="s">
        <v>168</v>
      </c>
      <c r="C339" t="s">
        <v>505</v>
      </c>
      <c r="D339" t="s">
        <v>285</v>
      </c>
      <c r="E339" s="70">
        <v>981214</v>
      </c>
    </row>
    <row r="340" spans="1:7" x14ac:dyDescent="0.25">
      <c r="A340" s="69">
        <v>46146</v>
      </c>
      <c r="B340" t="s">
        <v>168</v>
      </c>
      <c r="C340" t="s">
        <v>506</v>
      </c>
      <c r="D340" t="s">
        <v>301</v>
      </c>
      <c r="E340" s="70">
        <v>404114</v>
      </c>
    </row>
    <row r="341" spans="1:7" x14ac:dyDescent="0.25">
      <c r="A341" s="69">
        <v>46146</v>
      </c>
      <c r="B341" t="s">
        <v>168</v>
      </c>
      <c r="C341" t="s">
        <v>500</v>
      </c>
      <c r="D341" t="s">
        <v>286</v>
      </c>
      <c r="E341" s="70">
        <v>1384343</v>
      </c>
    </row>
    <row r="342" spans="1:7" x14ac:dyDescent="0.25">
      <c r="A342" s="69">
        <v>46146</v>
      </c>
      <c r="B342" t="s">
        <v>168</v>
      </c>
      <c r="C342" t="s">
        <v>507</v>
      </c>
      <c r="D342" t="s">
        <v>282</v>
      </c>
      <c r="F342" s="70">
        <v>24</v>
      </c>
      <c r="G342" s="70">
        <v>576</v>
      </c>
    </row>
    <row r="343" spans="1:7" x14ac:dyDescent="0.25">
      <c r="A343" s="69">
        <v>46146</v>
      </c>
      <c r="B343" t="s">
        <v>152</v>
      </c>
      <c r="C343" t="s">
        <v>394</v>
      </c>
      <c r="D343" t="s">
        <v>286</v>
      </c>
      <c r="E343" s="70">
        <v>250000</v>
      </c>
    </row>
    <row r="344" spans="1:7" x14ac:dyDescent="0.25">
      <c r="A344" s="69">
        <v>46146</v>
      </c>
      <c r="B344" t="s">
        <v>156</v>
      </c>
      <c r="C344" t="s">
        <v>394</v>
      </c>
      <c r="D344" t="s">
        <v>286</v>
      </c>
      <c r="E344" s="70">
        <v>250000</v>
      </c>
    </row>
    <row r="345" spans="1:7" x14ac:dyDescent="0.25">
      <c r="A345" s="69">
        <v>46146</v>
      </c>
      <c r="B345" t="s">
        <v>202</v>
      </c>
      <c r="C345" t="s">
        <v>508</v>
      </c>
      <c r="D345" t="s">
        <v>282</v>
      </c>
      <c r="F345" s="70">
        <v>38</v>
      </c>
      <c r="G345" s="70">
        <v>920</v>
      </c>
    </row>
    <row r="346" spans="1:7" x14ac:dyDescent="0.25">
      <c r="A346" s="69">
        <v>46146</v>
      </c>
      <c r="B346" t="s">
        <v>250</v>
      </c>
      <c r="C346" t="s">
        <v>509</v>
      </c>
      <c r="D346" t="s">
        <v>285</v>
      </c>
      <c r="E346" s="70">
        <v>2026002</v>
      </c>
    </row>
    <row r="347" spans="1:7" x14ac:dyDescent="0.25">
      <c r="A347" s="69">
        <v>46146</v>
      </c>
      <c r="B347" t="s">
        <v>168</v>
      </c>
      <c r="C347" t="s">
        <v>504</v>
      </c>
      <c r="D347" t="s">
        <v>279</v>
      </c>
      <c r="E347" s="70">
        <v>303617</v>
      </c>
    </row>
    <row r="348" spans="1:7" x14ac:dyDescent="0.25">
      <c r="A348" s="69">
        <v>46146</v>
      </c>
      <c r="B348" t="s">
        <v>222</v>
      </c>
      <c r="C348" t="s">
        <v>394</v>
      </c>
      <c r="D348" t="s">
        <v>286</v>
      </c>
      <c r="E348" s="70">
        <v>250000</v>
      </c>
    </row>
    <row r="349" spans="1:7" x14ac:dyDescent="0.25">
      <c r="A349" s="69">
        <v>46146</v>
      </c>
      <c r="B349" t="s">
        <v>202</v>
      </c>
      <c r="C349" t="s">
        <v>394</v>
      </c>
      <c r="D349" t="s">
        <v>286</v>
      </c>
      <c r="E349" s="70">
        <v>250000</v>
      </c>
    </row>
    <row r="350" spans="1:7" x14ac:dyDescent="0.25">
      <c r="A350" s="69">
        <v>46146</v>
      </c>
      <c r="B350" t="s">
        <v>250</v>
      </c>
      <c r="C350" t="s">
        <v>510</v>
      </c>
      <c r="D350" t="s">
        <v>279</v>
      </c>
      <c r="E350" s="70">
        <v>2496000</v>
      </c>
    </row>
    <row r="351" spans="1:7" x14ac:dyDescent="0.25">
      <c r="A351" s="69">
        <v>46146</v>
      </c>
      <c r="B351" t="s">
        <v>250</v>
      </c>
      <c r="C351" t="s">
        <v>510</v>
      </c>
      <c r="D351" t="s">
        <v>286</v>
      </c>
      <c r="E351" s="70">
        <v>2496000</v>
      </c>
    </row>
    <row r="352" spans="1:7" x14ac:dyDescent="0.25">
      <c r="A352" s="69">
        <v>46146</v>
      </c>
      <c r="B352" t="s">
        <v>250</v>
      </c>
      <c r="C352" t="s">
        <v>511</v>
      </c>
      <c r="D352" t="s">
        <v>301</v>
      </c>
      <c r="E352" s="70">
        <v>2568000</v>
      </c>
    </row>
    <row r="353" spans="1:7" x14ac:dyDescent="0.25">
      <c r="A353" s="69">
        <v>46146</v>
      </c>
      <c r="B353" t="s">
        <v>250</v>
      </c>
      <c r="C353" t="s">
        <v>510</v>
      </c>
      <c r="D353" t="s">
        <v>277</v>
      </c>
      <c r="E353" s="70">
        <v>2496000</v>
      </c>
    </row>
    <row r="354" spans="1:7" x14ac:dyDescent="0.25">
      <c r="A354" s="69">
        <v>46146</v>
      </c>
      <c r="B354" t="s">
        <v>231</v>
      </c>
      <c r="C354" t="s">
        <v>394</v>
      </c>
      <c r="D354" t="s">
        <v>286</v>
      </c>
      <c r="E354" s="70">
        <v>250000</v>
      </c>
    </row>
    <row r="355" spans="1:7" x14ac:dyDescent="0.25">
      <c r="A355" s="69">
        <v>46146</v>
      </c>
      <c r="B355" t="s">
        <v>167</v>
      </c>
      <c r="C355" t="s">
        <v>394</v>
      </c>
      <c r="D355" t="s">
        <v>286</v>
      </c>
      <c r="E355" s="70">
        <v>250000</v>
      </c>
    </row>
    <row r="356" spans="1:7" x14ac:dyDescent="0.25">
      <c r="A356" s="69">
        <v>46146</v>
      </c>
      <c r="B356" t="s">
        <v>250</v>
      </c>
      <c r="C356" t="s">
        <v>394</v>
      </c>
      <c r="D356" t="s">
        <v>286</v>
      </c>
      <c r="E356" s="70">
        <v>250000</v>
      </c>
    </row>
    <row r="357" spans="1:7" x14ac:dyDescent="0.25">
      <c r="A357" s="69">
        <v>46146</v>
      </c>
      <c r="B357" t="s">
        <v>168</v>
      </c>
      <c r="C357" t="s">
        <v>394</v>
      </c>
      <c r="D357" t="s">
        <v>286</v>
      </c>
      <c r="E357" s="70">
        <v>250000</v>
      </c>
    </row>
    <row r="358" spans="1:7" x14ac:dyDescent="0.25">
      <c r="A358" s="69">
        <v>46146</v>
      </c>
      <c r="B358" t="s">
        <v>250</v>
      </c>
      <c r="C358" t="s">
        <v>510</v>
      </c>
      <c r="D358" t="s">
        <v>286</v>
      </c>
      <c r="E358" s="70">
        <v>2496000</v>
      </c>
    </row>
    <row r="359" spans="1:7" x14ac:dyDescent="0.25">
      <c r="A359" s="69">
        <v>46146</v>
      </c>
      <c r="B359" t="s">
        <v>222</v>
      </c>
      <c r="C359" t="s">
        <v>512</v>
      </c>
      <c r="D359" t="s">
        <v>282</v>
      </c>
      <c r="F359" s="70">
        <v>18</v>
      </c>
      <c r="G359" s="70">
        <v>442</v>
      </c>
    </row>
    <row r="360" spans="1:7" x14ac:dyDescent="0.25">
      <c r="A360" s="69">
        <v>46146</v>
      </c>
      <c r="B360" t="s">
        <v>242</v>
      </c>
      <c r="C360" t="s">
        <v>513</v>
      </c>
      <c r="D360" t="s">
        <v>282</v>
      </c>
      <c r="F360" s="70">
        <v>9</v>
      </c>
      <c r="G360" s="70">
        <v>215</v>
      </c>
    </row>
    <row r="361" spans="1:7" x14ac:dyDescent="0.25">
      <c r="A361" s="69">
        <v>46146</v>
      </c>
      <c r="B361" t="s">
        <v>246</v>
      </c>
      <c r="C361" t="s">
        <v>514</v>
      </c>
      <c r="D361" t="s">
        <v>285</v>
      </c>
      <c r="E361" s="70">
        <v>739082</v>
      </c>
    </row>
    <row r="362" spans="1:7" x14ac:dyDescent="0.25">
      <c r="A362" s="69">
        <v>46146</v>
      </c>
      <c r="B362" t="s">
        <v>246</v>
      </c>
      <c r="C362" t="s">
        <v>515</v>
      </c>
      <c r="D362" t="s">
        <v>285</v>
      </c>
      <c r="E362" s="70">
        <v>1616186</v>
      </c>
    </row>
    <row r="363" spans="1:7" x14ac:dyDescent="0.25">
      <c r="A363" s="69">
        <v>46146</v>
      </c>
      <c r="B363" t="s">
        <v>250</v>
      </c>
      <c r="C363" t="s">
        <v>394</v>
      </c>
      <c r="D363" t="s">
        <v>285</v>
      </c>
      <c r="E363" s="70">
        <v>250000</v>
      </c>
    </row>
    <row r="364" spans="1:7" x14ac:dyDescent="0.25">
      <c r="A364" s="69">
        <v>46146</v>
      </c>
      <c r="B364" t="s">
        <v>246</v>
      </c>
      <c r="C364" t="s">
        <v>514</v>
      </c>
      <c r="D364" t="s">
        <v>301</v>
      </c>
      <c r="E364" s="70">
        <v>739082</v>
      </c>
    </row>
    <row r="365" spans="1:7" x14ac:dyDescent="0.25">
      <c r="A365" s="69">
        <v>46146</v>
      </c>
      <c r="B365" t="s">
        <v>168</v>
      </c>
      <c r="C365" t="s">
        <v>516</v>
      </c>
      <c r="D365" t="s">
        <v>282</v>
      </c>
      <c r="F365" s="70">
        <v>103</v>
      </c>
      <c r="G365" s="70">
        <v>2468</v>
      </c>
    </row>
    <row r="366" spans="1:7" x14ac:dyDescent="0.25">
      <c r="A366" s="69">
        <v>46146</v>
      </c>
      <c r="B366" t="s">
        <v>191</v>
      </c>
      <c r="C366" t="s">
        <v>517</v>
      </c>
      <c r="D366" t="s">
        <v>277</v>
      </c>
      <c r="E366" s="70">
        <v>21736000</v>
      </c>
    </row>
    <row r="367" spans="1:7" x14ac:dyDescent="0.25">
      <c r="A367" s="69">
        <v>46146</v>
      </c>
      <c r="B367" t="s">
        <v>246</v>
      </c>
      <c r="C367" t="s">
        <v>518</v>
      </c>
      <c r="D367" t="s">
        <v>279</v>
      </c>
      <c r="E367" s="70">
        <v>1336141</v>
      </c>
    </row>
    <row r="368" spans="1:7" x14ac:dyDescent="0.25">
      <c r="A368" s="69">
        <v>46146</v>
      </c>
      <c r="B368" t="s">
        <v>246</v>
      </c>
      <c r="C368" t="s">
        <v>519</v>
      </c>
      <c r="D368" t="s">
        <v>285</v>
      </c>
      <c r="E368" s="70">
        <v>174920</v>
      </c>
    </row>
    <row r="369" spans="1:7" x14ac:dyDescent="0.25">
      <c r="A369" s="69">
        <v>46146</v>
      </c>
      <c r="B369" t="s">
        <v>242</v>
      </c>
      <c r="C369" t="s">
        <v>346</v>
      </c>
      <c r="D369" t="s">
        <v>285</v>
      </c>
      <c r="E369" s="70">
        <v>1250</v>
      </c>
    </row>
    <row r="370" spans="1:7" x14ac:dyDescent="0.25">
      <c r="A370" s="69">
        <v>46146</v>
      </c>
      <c r="B370" t="s">
        <v>191</v>
      </c>
      <c r="C370" t="s">
        <v>517</v>
      </c>
      <c r="D370" t="s">
        <v>286</v>
      </c>
      <c r="E370" s="70">
        <v>21736000</v>
      </c>
    </row>
    <row r="371" spans="1:7" x14ac:dyDescent="0.25">
      <c r="A371" s="69">
        <v>46146</v>
      </c>
      <c r="B371" t="s">
        <v>246</v>
      </c>
      <c r="C371" t="s">
        <v>518</v>
      </c>
      <c r="D371" t="s">
        <v>286</v>
      </c>
      <c r="E371" s="70">
        <v>1336141</v>
      </c>
    </row>
    <row r="372" spans="1:7" x14ac:dyDescent="0.25">
      <c r="A372" s="69">
        <v>46146</v>
      </c>
      <c r="B372" t="s">
        <v>242</v>
      </c>
      <c r="C372" t="s">
        <v>346</v>
      </c>
      <c r="D372" t="s">
        <v>349</v>
      </c>
      <c r="E372" s="70">
        <v>1250</v>
      </c>
    </row>
    <row r="373" spans="1:7" x14ac:dyDescent="0.25">
      <c r="A373" s="69">
        <v>46146</v>
      </c>
      <c r="B373" t="s">
        <v>191</v>
      </c>
      <c r="C373" t="s">
        <v>520</v>
      </c>
      <c r="D373" t="s">
        <v>282</v>
      </c>
      <c r="F373" s="70">
        <v>11</v>
      </c>
      <c r="G373" s="70">
        <v>274</v>
      </c>
    </row>
    <row r="374" spans="1:7" x14ac:dyDescent="0.25">
      <c r="A374" s="69">
        <v>46146</v>
      </c>
      <c r="B374" t="s">
        <v>191</v>
      </c>
      <c r="C374" t="s">
        <v>521</v>
      </c>
      <c r="D374" t="s">
        <v>301</v>
      </c>
      <c r="E374" s="70">
        <v>600244</v>
      </c>
    </row>
    <row r="375" spans="1:7" x14ac:dyDescent="0.25">
      <c r="A375" s="69">
        <v>46146</v>
      </c>
      <c r="B375" t="s">
        <v>191</v>
      </c>
      <c r="C375" t="s">
        <v>522</v>
      </c>
      <c r="D375" t="s">
        <v>285</v>
      </c>
      <c r="E375" s="70">
        <v>19306713</v>
      </c>
    </row>
    <row r="376" spans="1:7" x14ac:dyDescent="0.25">
      <c r="A376" s="69">
        <v>46146</v>
      </c>
      <c r="B376" t="s">
        <v>157</v>
      </c>
      <c r="C376" t="s">
        <v>523</v>
      </c>
      <c r="D376" t="s">
        <v>285</v>
      </c>
      <c r="E376" s="70">
        <v>395551</v>
      </c>
    </row>
    <row r="377" spans="1:7" x14ac:dyDescent="0.25">
      <c r="A377" s="69">
        <v>46146</v>
      </c>
      <c r="B377" t="s">
        <v>157</v>
      </c>
      <c r="C377" t="s">
        <v>524</v>
      </c>
      <c r="D377" t="s">
        <v>285</v>
      </c>
      <c r="E377" s="70">
        <v>597769</v>
      </c>
    </row>
    <row r="378" spans="1:7" x14ac:dyDescent="0.25">
      <c r="A378" s="69">
        <v>46146</v>
      </c>
      <c r="B378" t="s">
        <v>242</v>
      </c>
      <c r="C378" t="s">
        <v>346</v>
      </c>
      <c r="D378" t="s">
        <v>344</v>
      </c>
      <c r="E378" s="70">
        <v>1250</v>
      </c>
    </row>
    <row r="379" spans="1:7" x14ac:dyDescent="0.25">
      <c r="A379" s="69">
        <v>46146</v>
      </c>
      <c r="B379" t="s">
        <v>157</v>
      </c>
      <c r="C379" t="s">
        <v>523</v>
      </c>
      <c r="D379" t="s">
        <v>277</v>
      </c>
      <c r="E379" s="70">
        <v>395551</v>
      </c>
    </row>
    <row r="380" spans="1:7" x14ac:dyDescent="0.25">
      <c r="A380" s="69">
        <v>46146</v>
      </c>
      <c r="B380" t="s">
        <v>157</v>
      </c>
      <c r="C380" t="s">
        <v>525</v>
      </c>
      <c r="D380" t="s">
        <v>279</v>
      </c>
      <c r="E380" s="70">
        <v>918098</v>
      </c>
    </row>
    <row r="381" spans="1:7" x14ac:dyDescent="0.25">
      <c r="A381" s="69">
        <v>46146</v>
      </c>
      <c r="B381" t="s">
        <v>251</v>
      </c>
      <c r="C381" t="s">
        <v>526</v>
      </c>
      <c r="D381" t="s">
        <v>301</v>
      </c>
      <c r="E381" s="70">
        <v>109448</v>
      </c>
    </row>
    <row r="382" spans="1:7" x14ac:dyDescent="0.25">
      <c r="A382" s="69">
        <v>46146</v>
      </c>
      <c r="B382" t="s">
        <v>251</v>
      </c>
      <c r="C382" t="s">
        <v>527</v>
      </c>
      <c r="D382" t="s">
        <v>285</v>
      </c>
      <c r="E382" s="70">
        <v>205858</v>
      </c>
    </row>
    <row r="383" spans="1:7" x14ac:dyDescent="0.25">
      <c r="A383" s="69">
        <v>46146</v>
      </c>
      <c r="B383" t="s">
        <v>157</v>
      </c>
      <c r="C383" t="s">
        <v>528</v>
      </c>
      <c r="D383" t="s">
        <v>286</v>
      </c>
      <c r="E383" s="70">
        <v>194239</v>
      </c>
    </row>
    <row r="384" spans="1:7" x14ac:dyDescent="0.25">
      <c r="A384" s="69">
        <v>46146</v>
      </c>
      <c r="B384" t="s">
        <v>251</v>
      </c>
      <c r="C384" t="s">
        <v>529</v>
      </c>
      <c r="D384" t="s">
        <v>279</v>
      </c>
      <c r="E384" s="70">
        <v>203497</v>
      </c>
    </row>
    <row r="385" spans="1:5" x14ac:dyDescent="0.25">
      <c r="A385" s="69">
        <v>46146</v>
      </c>
      <c r="B385" t="s">
        <v>157</v>
      </c>
      <c r="C385" t="s">
        <v>523</v>
      </c>
      <c r="D385" t="s">
        <v>299</v>
      </c>
      <c r="E385" s="70">
        <v>395551</v>
      </c>
    </row>
    <row r="386" spans="1:5" x14ac:dyDescent="0.25">
      <c r="A386" s="69">
        <v>46146</v>
      </c>
      <c r="B386" t="s">
        <v>157</v>
      </c>
      <c r="C386" t="s">
        <v>525</v>
      </c>
      <c r="D386" t="s">
        <v>286</v>
      </c>
      <c r="E386" s="70">
        <v>918098</v>
      </c>
    </row>
    <row r="387" spans="1:5" x14ac:dyDescent="0.25">
      <c r="A387" s="69">
        <v>46146</v>
      </c>
      <c r="B387" t="s">
        <v>157</v>
      </c>
      <c r="C387" t="s">
        <v>528</v>
      </c>
      <c r="D387" t="s">
        <v>285</v>
      </c>
      <c r="E387" s="70">
        <v>194239</v>
      </c>
    </row>
    <row r="388" spans="1:5" x14ac:dyDescent="0.25">
      <c r="A388" s="69">
        <v>46146</v>
      </c>
      <c r="B388" t="s">
        <v>251</v>
      </c>
      <c r="C388" t="s">
        <v>529</v>
      </c>
      <c r="D388" t="s">
        <v>285</v>
      </c>
      <c r="E388" s="70">
        <v>203497</v>
      </c>
    </row>
    <row r="389" spans="1:5" x14ac:dyDescent="0.25">
      <c r="A389" s="69">
        <v>46146</v>
      </c>
      <c r="B389" t="s">
        <v>157</v>
      </c>
      <c r="C389" t="s">
        <v>530</v>
      </c>
      <c r="D389" t="s">
        <v>301</v>
      </c>
      <c r="E389" s="70">
        <v>136571</v>
      </c>
    </row>
    <row r="390" spans="1:5" x14ac:dyDescent="0.25">
      <c r="A390" s="69">
        <v>46146</v>
      </c>
      <c r="B390" t="s">
        <v>191</v>
      </c>
      <c r="C390" t="s">
        <v>531</v>
      </c>
      <c r="D390" t="s">
        <v>301</v>
      </c>
      <c r="E390" s="70">
        <v>10868000</v>
      </c>
    </row>
    <row r="391" spans="1:5" x14ac:dyDescent="0.25">
      <c r="A391" s="69">
        <v>46146</v>
      </c>
      <c r="B391" t="s">
        <v>191</v>
      </c>
      <c r="C391" t="s">
        <v>532</v>
      </c>
      <c r="D391" t="s">
        <v>286</v>
      </c>
      <c r="E391" s="70">
        <v>16211093</v>
      </c>
    </row>
    <row r="392" spans="1:5" x14ac:dyDescent="0.25">
      <c r="A392" s="69">
        <v>46146</v>
      </c>
      <c r="B392" t="s">
        <v>222</v>
      </c>
      <c r="C392" t="s">
        <v>346</v>
      </c>
      <c r="D392" t="s">
        <v>344</v>
      </c>
      <c r="E392" s="70">
        <v>1250</v>
      </c>
    </row>
    <row r="393" spans="1:5" x14ac:dyDescent="0.25">
      <c r="A393" s="69">
        <v>46146</v>
      </c>
      <c r="B393" t="s">
        <v>168</v>
      </c>
      <c r="C393" t="s">
        <v>533</v>
      </c>
      <c r="D393" t="s">
        <v>286</v>
      </c>
      <c r="E393" s="70">
        <v>95481</v>
      </c>
    </row>
    <row r="394" spans="1:5" x14ac:dyDescent="0.25">
      <c r="A394" s="69">
        <v>46146</v>
      </c>
      <c r="B394" t="s">
        <v>250</v>
      </c>
      <c r="C394" t="s">
        <v>534</v>
      </c>
      <c r="D394" t="s">
        <v>301</v>
      </c>
      <c r="E394" s="70">
        <v>1023991</v>
      </c>
    </row>
    <row r="395" spans="1:5" x14ac:dyDescent="0.25">
      <c r="A395" s="69">
        <v>46146</v>
      </c>
      <c r="B395" t="s">
        <v>251</v>
      </c>
      <c r="C395" t="s">
        <v>529</v>
      </c>
      <c r="D395" t="s">
        <v>286</v>
      </c>
      <c r="E395" s="70">
        <v>203497</v>
      </c>
    </row>
    <row r="396" spans="1:5" x14ac:dyDescent="0.25">
      <c r="A396" s="69">
        <v>46146</v>
      </c>
      <c r="B396" t="s">
        <v>191</v>
      </c>
      <c r="C396" t="s">
        <v>532</v>
      </c>
      <c r="D396" t="s">
        <v>279</v>
      </c>
      <c r="E396" s="70">
        <v>16211093</v>
      </c>
    </row>
    <row r="397" spans="1:5" x14ac:dyDescent="0.25">
      <c r="A397" s="69">
        <v>46146</v>
      </c>
      <c r="B397" t="s">
        <v>222</v>
      </c>
      <c r="C397" t="s">
        <v>346</v>
      </c>
      <c r="D397" t="s">
        <v>349</v>
      </c>
      <c r="E397" s="70">
        <v>1250</v>
      </c>
    </row>
    <row r="398" spans="1:5" x14ac:dyDescent="0.25">
      <c r="A398" s="69">
        <v>46146</v>
      </c>
      <c r="B398" t="s">
        <v>168</v>
      </c>
      <c r="C398" t="s">
        <v>533</v>
      </c>
      <c r="D398" t="s">
        <v>285</v>
      </c>
      <c r="E398" s="70">
        <v>95481</v>
      </c>
    </row>
    <row r="399" spans="1:5" x14ac:dyDescent="0.25">
      <c r="A399" s="69">
        <v>46146</v>
      </c>
      <c r="B399" t="s">
        <v>168</v>
      </c>
      <c r="C399" t="s">
        <v>535</v>
      </c>
      <c r="D399" t="s">
        <v>285</v>
      </c>
      <c r="E399" s="70">
        <v>290170</v>
      </c>
    </row>
    <row r="400" spans="1:5" x14ac:dyDescent="0.25">
      <c r="A400" s="69">
        <v>46146</v>
      </c>
      <c r="B400" t="s">
        <v>168</v>
      </c>
      <c r="C400" t="s">
        <v>536</v>
      </c>
      <c r="D400" t="s">
        <v>285</v>
      </c>
      <c r="E400" s="70">
        <v>885889</v>
      </c>
    </row>
    <row r="401" spans="1:7" x14ac:dyDescent="0.25">
      <c r="A401" s="69">
        <v>46146</v>
      </c>
      <c r="B401" t="s">
        <v>168</v>
      </c>
      <c r="C401" t="s">
        <v>537</v>
      </c>
      <c r="D401" t="s">
        <v>301</v>
      </c>
      <c r="E401" s="70">
        <v>275328</v>
      </c>
    </row>
    <row r="402" spans="1:7" x14ac:dyDescent="0.25">
      <c r="A402" s="69">
        <v>46146</v>
      </c>
      <c r="B402" t="s">
        <v>245</v>
      </c>
      <c r="C402" t="s">
        <v>343</v>
      </c>
      <c r="D402" t="s">
        <v>344</v>
      </c>
      <c r="E402" s="70">
        <v>1880</v>
      </c>
    </row>
    <row r="403" spans="1:7" x14ac:dyDescent="0.25">
      <c r="A403" s="69">
        <v>46146</v>
      </c>
      <c r="B403" t="s">
        <v>259</v>
      </c>
      <c r="C403" t="s">
        <v>538</v>
      </c>
      <c r="D403" t="s">
        <v>301</v>
      </c>
      <c r="E403" s="70">
        <v>395670</v>
      </c>
    </row>
    <row r="404" spans="1:7" x14ac:dyDescent="0.25">
      <c r="A404" s="69">
        <v>46146</v>
      </c>
      <c r="B404" t="s">
        <v>191</v>
      </c>
      <c r="C404" t="s">
        <v>532</v>
      </c>
      <c r="D404" t="s">
        <v>285</v>
      </c>
      <c r="E404" s="70">
        <v>16211093</v>
      </c>
    </row>
    <row r="405" spans="1:7" x14ac:dyDescent="0.25">
      <c r="A405" s="69">
        <v>46146</v>
      </c>
      <c r="B405" t="s">
        <v>168</v>
      </c>
      <c r="C405" t="s">
        <v>536</v>
      </c>
      <c r="D405" t="s">
        <v>277</v>
      </c>
      <c r="E405" s="70">
        <v>885889</v>
      </c>
    </row>
    <row r="406" spans="1:7" x14ac:dyDescent="0.25">
      <c r="A406" s="69">
        <v>46146</v>
      </c>
      <c r="B406" t="s">
        <v>245</v>
      </c>
      <c r="C406" t="s">
        <v>343</v>
      </c>
      <c r="D406" t="s">
        <v>285</v>
      </c>
      <c r="E406" s="70">
        <v>1880</v>
      </c>
    </row>
    <row r="407" spans="1:7" x14ac:dyDescent="0.25">
      <c r="A407" s="69">
        <v>46146</v>
      </c>
      <c r="B407" t="s">
        <v>259</v>
      </c>
      <c r="C407" t="s">
        <v>539</v>
      </c>
      <c r="D407" t="s">
        <v>286</v>
      </c>
      <c r="E407" s="70">
        <v>1045008</v>
      </c>
    </row>
    <row r="408" spans="1:7" x14ac:dyDescent="0.25">
      <c r="A408" s="69">
        <v>46146</v>
      </c>
      <c r="B408" t="s">
        <v>250</v>
      </c>
      <c r="C408" t="s">
        <v>510</v>
      </c>
      <c r="D408" t="s">
        <v>301</v>
      </c>
      <c r="E408" s="70">
        <v>2496000</v>
      </c>
    </row>
    <row r="409" spans="1:7" x14ac:dyDescent="0.25">
      <c r="A409" s="69">
        <v>46146</v>
      </c>
      <c r="B409" t="s">
        <v>234</v>
      </c>
      <c r="C409" t="s">
        <v>540</v>
      </c>
      <c r="D409" t="s">
        <v>282</v>
      </c>
      <c r="F409" s="70">
        <v>2</v>
      </c>
      <c r="G409" s="70">
        <v>38</v>
      </c>
    </row>
    <row r="410" spans="1:7" x14ac:dyDescent="0.25">
      <c r="A410" s="69">
        <v>46146</v>
      </c>
      <c r="B410" t="s">
        <v>152</v>
      </c>
      <c r="C410" t="s">
        <v>541</v>
      </c>
      <c r="D410" t="s">
        <v>282</v>
      </c>
      <c r="F410" s="70">
        <v>3</v>
      </c>
      <c r="G410" s="70">
        <v>70</v>
      </c>
    </row>
    <row r="411" spans="1:7" x14ac:dyDescent="0.25">
      <c r="A411" s="69">
        <v>46146</v>
      </c>
      <c r="B411" t="s">
        <v>180</v>
      </c>
      <c r="C411" t="s">
        <v>542</v>
      </c>
      <c r="D411" t="s">
        <v>285</v>
      </c>
      <c r="E411" s="70">
        <v>1377552</v>
      </c>
    </row>
    <row r="412" spans="1:7" x14ac:dyDescent="0.25">
      <c r="A412" s="69">
        <v>46146</v>
      </c>
      <c r="B412" t="s">
        <v>180</v>
      </c>
      <c r="C412" t="s">
        <v>543</v>
      </c>
      <c r="D412" t="s">
        <v>301</v>
      </c>
      <c r="E412" s="70">
        <v>1356833</v>
      </c>
    </row>
    <row r="413" spans="1:7" x14ac:dyDescent="0.25">
      <c r="A413" s="69">
        <v>46146</v>
      </c>
      <c r="B413" t="s">
        <v>180</v>
      </c>
      <c r="C413" t="s">
        <v>544</v>
      </c>
      <c r="D413" t="s">
        <v>285</v>
      </c>
      <c r="E413" s="70">
        <v>1160966</v>
      </c>
    </row>
    <row r="414" spans="1:7" x14ac:dyDescent="0.25">
      <c r="A414" s="69">
        <v>46146</v>
      </c>
      <c r="B414" t="s">
        <v>202</v>
      </c>
      <c r="C414" t="s">
        <v>545</v>
      </c>
      <c r="D414" t="s">
        <v>285</v>
      </c>
      <c r="E414" s="70">
        <v>1690000</v>
      </c>
    </row>
    <row r="415" spans="1:7" x14ac:dyDescent="0.25">
      <c r="A415" s="69">
        <v>46146</v>
      </c>
      <c r="B415" t="s">
        <v>180</v>
      </c>
      <c r="C415" t="s">
        <v>544</v>
      </c>
      <c r="D415" t="s">
        <v>279</v>
      </c>
      <c r="E415" s="70">
        <v>1160966</v>
      </c>
    </row>
    <row r="416" spans="1:7" x14ac:dyDescent="0.25">
      <c r="A416" s="69">
        <v>46146</v>
      </c>
      <c r="B416" t="s">
        <v>180</v>
      </c>
      <c r="C416" t="s">
        <v>546</v>
      </c>
      <c r="D416" t="s">
        <v>286</v>
      </c>
      <c r="E416" s="70">
        <v>1114124</v>
      </c>
    </row>
    <row r="417" spans="1:5" x14ac:dyDescent="0.25">
      <c r="A417" s="69">
        <v>46146</v>
      </c>
      <c r="B417" t="s">
        <v>199</v>
      </c>
      <c r="C417" t="s">
        <v>547</v>
      </c>
      <c r="D417" t="s">
        <v>286</v>
      </c>
      <c r="E417" s="70">
        <v>750000</v>
      </c>
    </row>
    <row r="418" spans="1:5" x14ac:dyDescent="0.25">
      <c r="A418" s="69">
        <v>46146</v>
      </c>
      <c r="B418" t="s">
        <v>219</v>
      </c>
      <c r="C418" t="s">
        <v>548</v>
      </c>
      <c r="D418" t="s">
        <v>286</v>
      </c>
      <c r="E418" s="70">
        <v>2704000</v>
      </c>
    </row>
    <row r="419" spans="1:5" x14ac:dyDescent="0.25">
      <c r="A419" s="69">
        <v>46146</v>
      </c>
      <c r="B419" t="s">
        <v>219</v>
      </c>
      <c r="C419" t="s">
        <v>548</v>
      </c>
      <c r="D419" t="s">
        <v>301</v>
      </c>
      <c r="E419" s="70">
        <v>2704000</v>
      </c>
    </row>
    <row r="420" spans="1:5" x14ac:dyDescent="0.25">
      <c r="A420" s="69">
        <v>46146</v>
      </c>
      <c r="B420" t="s">
        <v>231</v>
      </c>
      <c r="C420" t="s">
        <v>549</v>
      </c>
      <c r="D420" t="s">
        <v>285</v>
      </c>
      <c r="E420" s="70">
        <v>2420718</v>
      </c>
    </row>
    <row r="421" spans="1:5" x14ac:dyDescent="0.25">
      <c r="A421" s="69">
        <v>46146</v>
      </c>
      <c r="B421" t="s">
        <v>231</v>
      </c>
      <c r="C421" t="s">
        <v>550</v>
      </c>
      <c r="D421" t="s">
        <v>286</v>
      </c>
      <c r="E421" s="70">
        <v>2453786</v>
      </c>
    </row>
    <row r="422" spans="1:5" x14ac:dyDescent="0.25">
      <c r="A422" s="69">
        <v>46146</v>
      </c>
      <c r="B422" t="s">
        <v>231</v>
      </c>
      <c r="C422" t="s">
        <v>551</v>
      </c>
      <c r="D422" t="s">
        <v>301</v>
      </c>
      <c r="E422" s="70">
        <v>2449059</v>
      </c>
    </row>
    <row r="423" spans="1:5" x14ac:dyDescent="0.25">
      <c r="A423" s="69">
        <v>46146</v>
      </c>
      <c r="B423" t="s">
        <v>219</v>
      </c>
      <c r="C423" t="s">
        <v>548</v>
      </c>
      <c r="D423" t="s">
        <v>285</v>
      </c>
      <c r="E423" s="70">
        <v>2704000</v>
      </c>
    </row>
    <row r="424" spans="1:5" x14ac:dyDescent="0.25">
      <c r="A424" s="69">
        <v>46146</v>
      </c>
      <c r="B424" t="s">
        <v>243</v>
      </c>
      <c r="C424" t="s">
        <v>487</v>
      </c>
      <c r="D424" t="s">
        <v>286</v>
      </c>
      <c r="E424" s="70">
        <v>1881000</v>
      </c>
    </row>
    <row r="425" spans="1:5" x14ac:dyDescent="0.25">
      <c r="A425" s="69">
        <v>46146</v>
      </c>
      <c r="B425" t="s">
        <v>552</v>
      </c>
      <c r="C425" t="s">
        <v>553</v>
      </c>
      <c r="D425" t="s">
        <v>286</v>
      </c>
      <c r="E425" s="70">
        <v>2070000</v>
      </c>
    </row>
    <row r="426" spans="1:5" x14ac:dyDescent="0.25">
      <c r="A426" s="69">
        <v>46146</v>
      </c>
      <c r="B426" t="s">
        <v>552</v>
      </c>
      <c r="C426" t="s">
        <v>553</v>
      </c>
      <c r="D426" t="s">
        <v>286</v>
      </c>
      <c r="E426" s="70">
        <v>2070000</v>
      </c>
    </row>
    <row r="427" spans="1:5" x14ac:dyDescent="0.25">
      <c r="A427" s="69">
        <v>46146</v>
      </c>
      <c r="B427" t="s">
        <v>552</v>
      </c>
      <c r="C427" t="s">
        <v>554</v>
      </c>
      <c r="D427" t="s">
        <v>286</v>
      </c>
      <c r="E427" s="70">
        <v>2322000</v>
      </c>
    </row>
    <row r="428" spans="1:5" x14ac:dyDescent="0.25">
      <c r="A428" s="69">
        <v>46146</v>
      </c>
      <c r="B428" t="s">
        <v>552</v>
      </c>
      <c r="C428" t="s">
        <v>553</v>
      </c>
      <c r="D428" t="s">
        <v>301</v>
      </c>
      <c r="E428" s="70">
        <v>2070000</v>
      </c>
    </row>
    <row r="429" spans="1:5" x14ac:dyDescent="0.25">
      <c r="A429" s="69">
        <v>46146</v>
      </c>
      <c r="B429" t="s">
        <v>231</v>
      </c>
      <c r="C429" t="s">
        <v>550</v>
      </c>
      <c r="D429" t="s">
        <v>285</v>
      </c>
      <c r="E429" s="70">
        <v>2453786</v>
      </c>
    </row>
    <row r="430" spans="1:5" x14ac:dyDescent="0.25">
      <c r="A430" s="69">
        <v>46146</v>
      </c>
      <c r="B430" t="s">
        <v>552</v>
      </c>
      <c r="C430" t="s">
        <v>553</v>
      </c>
      <c r="D430" t="s">
        <v>285</v>
      </c>
      <c r="E430" s="70">
        <v>2070000</v>
      </c>
    </row>
    <row r="431" spans="1:5" x14ac:dyDescent="0.25">
      <c r="A431" s="69">
        <v>46146</v>
      </c>
      <c r="B431" t="s">
        <v>552</v>
      </c>
      <c r="C431" t="s">
        <v>553</v>
      </c>
      <c r="D431" t="s">
        <v>279</v>
      </c>
      <c r="E431" s="70">
        <v>2070000</v>
      </c>
    </row>
    <row r="432" spans="1:5" x14ac:dyDescent="0.25">
      <c r="A432" s="69">
        <v>46146</v>
      </c>
      <c r="B432" t="s">
        <v>552</v>
      </c>
      <c r="C432" t="s">
        <v>554</v>
      </c>
      <c r="D432" t="s">
        <v>285</v>
      </c>
      <c r="E432" s="70">
        <v>2322000</v>
      </c>
    </row>
    <row r="433" spans="1:7" x14ac:dyDescent="0.25">
      <c r="A433" s="69">
        <v>46146</v>
      </c>
      <c r="B433" t="s">
        <v>555</v>
      </c>
      <c r="C433" t="s">
        <v>556</v>
      </c>
      <c r="D433" t="s">
        <v>286</v>
      </c>
      <c r="E433" s="70">
        <v>432</v>
      </c>
    </row>
    <row r="434" spans="1:7" x14ac:dyDescent="0.25">
      <c r="A434" s="69">
        <v>46146</v>
      </c>
      <c r="B434" t="s">
        <v>481</v>
      </c>
      <c r="C434" t="s">
        <v>557</v>
      </c>
      <c r="D434" t="s">
        <v>277</v>
      </c>
      <c r="E434" s="70">
        <v>155027</v>
      </c>
    </row>
    <row r="435" spans="1:7" x14ac:dyDescent="0.25">
      <c r="A435" s="69">
        <v>46146</v>
      </c>
      <c r="B435" t="s">
        <v>555</v>
      </c>
      <c r="C435" t="s">
        <v>558</v>
      </c>
      <c r="D435" t="s">
        <v>285</v>
      </c>
      <c r="E435" s="70">
        <v>1027496</v>
      </c>
    </row>
    <row r="436" spans="1:7" x14ac:dyDescent="0.25">
      <c r="A436" s="69">
        <v>46146</v>
      </c>
      <c r="B436" t="s">
        <v>555</v>
      </c>
      <c r="C436" t="s">
        <v>559</v>
      </c>
      <c r="D436" t="s">
        <v>279</v>
      </c>
      <c r="E436" s="70">
        <v>1386246</v>
      </c>
    </row>
    <row r="437" spans="1:7" x14ac:dyDescent="0.25">
      <c r="A437" s="69">
        <v>46146</v>
      </c>
      <c r="B437" t="s">
        <v>481</v>
      </c>
      <c r="C437" t="s">
        <v>557</v>
      </c>
      <c r="D437" t="s">
        <v>286</v>
      </c>
      <c r="E437" s="70">
        <v>155027</v>
      </c>
    </row>
    <row r="438" spans="1:7" x14ac:dyDescent="0.25">
      <c r="A438" s="69">
        <v>46146</v>
      </c>
      <c r="B438" t="s">
        <v>555</v>
      </c>
      <c r="C438" t="s">
        <v>559</v>
      </c>
      <c r="D438" t="s">
        <v>286</v>
      </c>
      <c r="E438" s="70">
        <v>1386246</v>
      </c>
    </row>
    <row r="439" spans="1:7" x14ac:dyDescent="0.25">
      <c r="A439" s="69">
        <v>46146</v>
      </c>
      <c r="B439" t="s">
        <v>555</v>
      </c>
      <c r="C439" t="s">
        <v>560</v>
      </c>
      <c r="D439" t="s">
        <v>285</v>
      </c>
      <c r="E439" s="70">
        <v>1908000</v>
      </c>
    </row>
    <row r="440" spans="1:7" x14ac:dyDescent="0.25">
      <c r="A440" s="69">
        <v>46146</v>
      </c>
      <c r="B440" t="s">
        <v>159</v>
      </c>
      <c r="C440" t="s">
        <v>561</v>
      </c>
      <c r="D440" t="s">
        <v>301</v>
      </c>
      <c r="E440" s="70">
        <v>1675458</v>
      </c>
    </row>
    <row r="441" spans="1:7" x14ac:dyDescent="0.25">
      <c r="A441" s="69">
        <v>46146</v>
      </c>
      <c r="B441" t="s">
        <v>159</v>
      </c>
      <c r="C441" t="s">
        <v>562</v>
      </c>
      <c r="D441" t="s">
        <v>285</v>
      </c>
      <c r="E441" s="70">
        <v>1443532</v>
      </c>
    </row>
    <row r="442" spans="1:7" x14ac:dyDescent="0.25">
      <c r="A442" s="69">
        <v>46146</v>
      </c>
      <c r="B442" t="s">
        <v>555</v>
      </c>
      <c r="C442" t="s">
        <v>560</v>
      </c>
      <c r="D442" t="s">
        <v>277</v>
      </c>
      <c r="E442" s="70">
        <v>1908000</v>
      </c>
    </row>
    <row r="443" spans="1:7" x14ac:dyDescent="0.25">
      <c r="A443" s="69">
        <v>46146</v>
      </c>
      <c r="B443" t="s">
        <v>191</v>
      </c>
      <c r="C443" t="s">
        <v>563</v>
      </c>
      <c r="D443" t="s">
        <v>282</v>
      </c>
      <c r="F443" s="70">
        <v>31</v>
      </c>
      <c r="G443" s="70">
        <v>752</v>
      </c>
    </row>
    <row r="444" spans="1:7" x14ac:dyDescent="0.25">
      <c r="A444" s="69">
        <v>46146</v>
      </c>
      <c r="B444" t="s">
        <v>262</v>
      </c>
      <c r="C444" t="s">
        <v>564</v>
      </c>
      <c r="D444" t="s">
        <v>282</v>
      </c>
      <c r="F444" s="70">
        <v>11</v>
      </c>
      <c r="G444" s="70">
        <v>260</v>
      </c>
    </row>
    <row r="445" spans="1:7" x14ac:dyDescent="0.25">
      <c r="A445" s="69">
        <v>46146</v>
      </c>
      <c r="B445" t="s">
        <v>204</v>
      </c>
      <c r="C445" t="s">
        <v>565</v>
      </c>
      <c r="D445" t="s">
        <v>282</v>
      </c>
      <c r="F445" s="70">
        <v>3</v>
      </c>
      <c r="G445" s="70">
        <v>66</v>
      </c>
    </row>
    <row r="446" spans="1:7" x14ac:dyDescent="0.25">
      <c r="A446" s="69">
        <v>46146</v>
      </c>
      <c r="B446" t="s">
        <v>162</v>
      </c>
      <c r="C446" t="s">
        <v>566</v>
      </c>
      <c r="D446" t="s">
        <v>282</v>
      </c>
      <c r="F446" s="70">
        <v>7</v>
      </c>
      <c r="G446" s="70">
        <v>170</v>
      </c>
    </row>
    <row r="447" spans="1:7" x14ac:dyDescent="0.25">
      <c r="A447" s="69">
        <v>46146</v>
      </c>
      <c r="B447" t="s">
        <v>250</v>
      </c>
      <c r="C447" t="s">
        <v>567</v>
      </c>
      <c r="D447" t="s">
        <v>285</v>
      </c>
      <c r="E447" s="70">
        <v>299796</v>
      </c>
    </row>
    <row r="448" spans="1:7" x14ac:dyDescent="0.25">
      <c r="A448" s="69">
        <v>46146</v>
      </c>
      <c r="B448" t="s">
        <v>245</v>
      </c>
      <c r="C448" t="s">
        <v>568</v>
      </c>
      <c r="D448" t="s">
        <v>286</v>
      </c>
      <c r="E448" s="70">
        <v>1067</v>
      </c>
    </row>
    <row r="449" spans="1:7" x14ac:dyDescent="0.25">
      <c r="A449" s="69">
        <v>46146</v>
      </c>
      <c r="B449" t="s">
        <v>205</v>
      </c>
      <c r="C449" t="s">
        <v>569</v>
      </c>
      <c r="D449" t="s">
        <v>286</v>
      </c>
      <c r="E449" s="70">
        <v>5727</v>
      </c>
    </row>
    <row r="450" spans="1:7" x14ac:dyDescent="0.25">
      <c r="A450" s="69">
        <v>46146</v>
      </c>
      <c r="B450" t="s">
        <v>212</v>
      </c>
      <c r="C450" t="s">
        <v>570</v>
      </c>
      <c r="D450" t="s">
        <v>286</v>
      </c>
      <c r="E450" s="70">
        <v>966</v>
      </c>
    </row>
    <row r="451" spans="1:7" x14ac:dyDescent="0.25">
      <c r="A451" s="69">
        <v>46146</v>
      </c>
      <c r="B451" t="s">
        <v>152</v>
      </c>
      <c r="C451" t="s">
        <v>571</v>
      </c>
      <c r="D451" t="s">
        <v>286</v>
      </c>
      <c r="E451" s="70">
        <v>11253</v>
      </c>
    </row>
    <row r="452" spans="1:7" x14ac:dyDescent="0.25">
      <c r="A452" s="69">
        <v>46146</v>
      </c>
      <c r="B452" t="s">
        <v>166</v>
      </c>
      <c r="C452" t="s">
        <v>572</v>
      </c>
      <c r="D452" t="s">
        <v>282</v>
      </c>
      <c r="F452" s="70">
        <v>4</v>
      </c>
      <c r="G452" s="70">
        <v>96</v>
      </c>
    </row>
    <row r="453" spans="1:7" x14ac:dyDescent="0.25">
      <c r="A453" s="69">
        <v>46146</v>
      </c>
      <c r="B453" t="s">
        <v>201</v>
      </c>
      <c r="C453" t="s">
        <v>573</v>
      </c>
      <c r="D453" t="s">
        <v>286</v>
      </c>
      <c r="E453" s="70">
        <v>3753</v>
      </c>
    </row>
    <row r="454" spans="1:7" x14ac:dyDescent="0.25">
      <c r="A454" s="69">
        <v>46146</v>
      </c>
      <c r="B454" t="s">
        <v>245</v>
      </c>
      <c r="C454" t="s">
        <v>574</v>
      </c>
      <c r="D454" t="s">
        <v>286</v>
      </c>
      <c r="E454" s="70">
        <v>965</v>
      </c>
    </row>
    <row r="455" spans="1:7" x14ac:dyDescent="0.25">
      <c r="A455" s="69">
        <v>46146</v>
      </c>
      <c r="B455" t="s">
        <v>222</v>
      </c>
      <c r="C455" t="s">
        <v>575</v>
      </c>
      <c r="D455" t="s">
        <v>286</v>
      </c>
      <c r="E455" s="70">
        <v>5734</v>
      </c>
    </row>
    <row r="456" spans="1:7" x14ac:dyDescent="0.25">
      <c r="A456" s="69">
        <v>46146</v>
      </c>
      <c r="B456" t="s">
        <v>163</v>
      </c>
      <c r="C456" t="s">
        <v>576</v>
      </c>
      <c r="D456" t="s">
        <v>301</v>
      </c>
      <c r="E456" s="70">
        <v>922742</v>
      </c>
    </row>
    <row r="457" spans="1:7" x14ac:dyDescent="0.25">
      <c r="A457" s="69">
        <v>46146</v>
      </c>
      <c r="B457" t="s">
        <v>222</v>
      </c>
      <c r="C457" t="s">
        <v>577</v>
      </c>
      <c r="D457" t="s">
        <v>282</v>
      </c>
      <c r="F457" s="70">
        <v>12</v>
      </c>
      <c r="G457" s="70">
        <v>279</v>
      </c>
    </row>
    <row r="458" spans="1:7" x14ac:dyDescent="0.25">
      <c r="A458" s="69">
        <v>46146</v>
      </c>
      <c r="B458" t="s">
        <v>163</v>
      </c>
      <c r="C458" t="s">
        <v>578</v>
      </c>
      <c r="D458" t="s">
        <v>285</v>
      </c>
      <c r="E458" s="70">
        <v>1729321</v>
      </c>
    </row>
    <row r="459" spans="1:7" x14ac:dyDescent="0.25">
      <c r="A459" s="69">
        <v>46146</v>
      </c>
      <c r="B459" t="s">
        <v>242</v>
      </c>
      <c r="C459" t="s">
        <v>579</v>
      </c>
      <c r="D459" t="s">
        <v>282</v>
      </c>
      <c r="F459" s="70">
        <v>20</v>
      </c>
      <c r="G459" s="70">
        <v>483</v>
      </c>
    </row>
    <row r="460" spans="1:7" x14ac:dyDescent="0.25">
      <c r="A460" s="69">
        <v>46146</v>
      </c>
      <c r="B460" t="s">
        <v>194</v>
      </c>
      <c r="C460" t="s">
        <v>580</v>
      </c>
      <c r="D460" t="s">
        <v>282</v>
      </c>
      <c r="F460" s="70">
        <v>7</v>
      </c>
      <c r="G460" s="70">
        <v>179</v>
      </c>
    </row>
    <row r="461" spans="1:7" x14ac:dyDescent="0.25">
      <c r="A461" s="69">
        <v>46146</v>
      </c>
      <c r="B461" t="s">
        <v>222</v>
      </c>
      <c r="C461" t="s">
        <v>575</v>
      </c>
      <c r="D461" t="s">
        <v>285</v>
      </c>
      <c r="E461" s="70">
        <v>5734</v>
      </c>
    </row>
    <row r="462" spans="1:7" x14ac:dyDescent="0.25">
      <c r="A462" s="69">
        <v>46146</v>
      </c>
      <c r="B462" t="s">
        <v>163</v>
      </c>
      <c r="C462" t="s">
        <v>578</v>
      </c>
      <c r="D462" t="s">
        <v>279</v>
      </c>
      <c r="E462" s="70">
        <v>1729321</v>
      </c>
    </row>
    <row r="463" spans="1:7" x14ac:dyDescent="0.25">
      <c r="A463" s="69">
        <v>46146</v>
      </c>
      <c r="B463" t="s">
        <v>152</v>
      </c>
      <c r="C463" t="s">
        <v>581</v>
      </c>
      <c r="D463" t="s">
        <v>282</v>
      </c>
      <c r="F463" s="70">
        <v>5</v>
      </c>
      <c r="G463" s="70">
        <v>116</v>
      </c>
    </row>
    <row r="464" spans="1:7" x14ac:dyDescent="0.25">
      <c r="A464" s="69">
        <v>46146</v>
      </c>
      <c r="B464" t="s">
        <v>152</v>
      </c>
      <c r="C464" t="s">
        <v>582</v>
      </c>
      <c r="D464" t="s">
        <v>285</v>
      </c>
      <c r="E464" s="70">
        <v>4585733</v>
      </c>
    </row>
    <row r="465" spans="1:5" x14ac:dyDescent="0.25">
      <c r="A465" s="69">
        <v>46146</v>
      </c>
      <c r="B465" t="s">
        <v>168</v>
      </c>
      <c r="C465" t="s">
        <v>583</v>
      </c>
      <c r="D465" t="s">
        <v>285</v>
      </c>
      <c r="E465" s="70">
        <v>126761</v>
      </c>
    </row>
    <row r="466" spans="1:5" x14ac:dyDescent="0.25">
      <c r="A466" s="69">
        <v>46146</v>
      </c>
      <c r="B466" t="s">
        <v>168</v>
      </c>
      <c r="C466" t="s">
        <v>584</v>
      </c>
      <c r="D466" t="s">
        <v>285</v>
      </c>
      <c r="E466" s="70">
        <v>506112</v>
      </c>
    </row>
    <row r="467" spans="1:5" x14ac:dyDescent="0.25">
      <c r="A467" s="69">
        <v>46146</v>
      </c>
      <c r="B467" t="s">
        <v>168</v>
      </c>
      <c r="C467" t="s">
        <v>585</v>
      </c>
      <c r="D467" t="s">
        <v>286</v>
      </c>
      <c r="E467" s="70">
        <v>252860</v>
      </c>
    </row>
    <row r="468" spans="1:5" x14ac:dyDescent="0.25">
      <c r="A468" s="69">
        <v>46146</v>
      </c>
      <c r="B468" t="s">
        <v>168</v>
      </c>
      <c r="C468" t="s">
        <v>584</v>
      </c>
      <c r="D468" t="s">
        <v>277</v>
      </c>
      <c r="E468" s="70">
        <v>506112</v>
      </c>
    </row>
    <row r="469" spans="1:5" x14ac:dyDescent="0.25">
      <c r="A469" s="69">
        <v>46146</v>
      </c>
      <c r="B469" t="s">
        <v>168</v>
      </c>
      <c r="C469" t="s">
        <v>586</v>
      </c>
      <c r="D469" t="s">
        <v>301</v>
      </c>
      <c r="E469" s="70">
        <v>134902</v>
      </c>
    </row>
    <row r="470" spans="1:5" x14ac:dyDescent="0.25">
      <c r="A470" s="69">
        <v>46146</v>
      </c>
      <c r="B470" t="s">
        <v>168</v>
      </c>
      <c r="C470" t="s">
        <v>587</v>
      </c>
      <c r="D470" t="s">
        <v>285</v>
      </c>
      <c r="E470" s="70">
        <v>467837</v>
      </c>
    </row>
    <row r="471" spans="1:5" x14ac:dyDescent="0.25">
      <c r="A471" s="69">
        <v>46146</v>
      </c>
      <c r="B471" t="s">
        <v>231</v>
      </c>
      <c r="C471" t="s">
        <v>588</v>
      </c>
      <c r="D471" t="s">
        <v>285</v>
      </c>
      <c r="E471" s="70">
        <v>2071221</v>
      </c>
    </row>
    <row r="472" spans="1:5" x14ac:dyDescent="0.25">
      <c r="A472" s="69">
        <v>46146</v>
      </c>
      <c r="B472" t="s">
        <v>231</v>
      </c>
      <c r="C472" t="s">
        <v>589</v>
      </c>
      <c r="D472" t="s">
        <v>279</v>
      </c>
      <c r="E472" s="70">
        <v>2198748</v>
      </c>
    </row>
    <row r="473" spans="1:5" x14ac:dyDescent="0.25">
      <c r="A473" s="69">
        <v>46146</v>
      </c>
      <c r="B473" t="s">
        <v>168</v>
      </c>
      <c r="C473" t="s">
        <v>585</v>
      </c>
      <c r="D473" t="s">
        <v>279</v>
      </c>
      <c r="E473" s="70">
        <v>252860</v>
      </c>
    </row>
    <row r="474" spans="1:5" x14ac:dyDescent="0.25">
      <c r="A474" s="69">
        <v>46146</v>
      </c>
      <c r="B474" t="s">
        <v>168</v>
      </c>
      <c r="C474" t="s">
        <v>587</v>
      </c>
      <c r="D474" t="s">
        <v>286</v>
      </c>
      <c r="E474" s="70">
        <v>467837</v>
      </c>
    </row>
    <row r="475" spans="1:5" x14ac:dyDescent="0.25">
      <c r="A475" s="69">
        <v>46146</v>
      </c>
      <c r="B475" t="s">
        <v>231</v>
      </c>
      <c r="C475" t="s">
        <v>589</v>
      </c>
      <c r="D475" t="s">
        <v>285</v>
      </c>
      <c r="E475" s="70">
        <v>2198748</v>
      </c>
    </row>
    <row r="476" spans="1:5" x14ac:dyDescent="0.25">
      <c r="A476" s="69">
        <v>46146</v>
      </c>
      <c r="B476" t="s">
        <v>202</v>
      </c>
      <c r="C476" t="s">
        <v>547</v>
      </c>
      <c r="D476" t="s">
        <v>286</v>
      </c>
      <c r="E476" s="70">
        <v>750000</v>
      </c>
    </row>
    <row r="477" spans="1:5" x14ac:dyDescent="0.25">
      <c r="A477" s="69">
        <v>46146</v>
      </c>
      <c r="B477" t="s">
        <v>179</v>
      </c>
      <c r="C477" t="s">
        <v>590</v>
      </c>
      <c r="D477" t="s">
        <v>286</v>
      </c>
      <c r="E477" s="70">
        <v>17000</v>
      </c>
    </row>
    <row r="478" spans="1:5" x14ac:dyDescent="0.25">
      <c r="A478" s="69">
        <v>46146</v>
      </c>
      <c r="B478" t="s">
        <v>245</v>
      </c>
      <c r="C478" t="s">
        <v>590</v>
      </c>
      <c r="D478" t="s">
        <v>286</v>
      </c>
      <c r="E478" s="70">
        <v>17000</v>
      </c>
    </row>
    <row r="479" spans="1:5" x14ac:dyDescent="0.25">
      <c r="A479" s="69">
        <v>46146</v>
      </c>
      <c r="B479" t="s">
        <v>163</v>
      </c>
      <c r="C479" t="s">
        <v>590</v>
      </c>
      <c r="D479" t="s">
        <v>286</v>
      </c>
      <c r="E479" s="70">
        <v>17000</v>
      </c>
    </row>
    <row r="480" spans="1:5" x14ac:dyDescent="0.25">
      <c r="A480" s="69">
        <v>46146</v>
      </c>
      <c r="B480" t="s">
        <v>234</v>
      </c>
      <c r="C480" t="s">
        <v>591</v>
      </c>
      <c r="D480" t="s">
        <v>286</v>
      </c>
      <c r="E480" s="70">
        <v>2800</v>
      </c>
    </row>
    <row r="481" spans="1:5" x14ac:dyDescent="0.25">
      <c r="A481" s="69">
        <v>46146</v>
      </c>
      <c r="B481" t="s">
        <v>156</v>
      </c>
      <c r="C481" t="s">
        <v>590</v>
      </c>
      <c r="D481" t="s">
        <v>286</v>
      </c>
      <c r="E481" s="70">
        <v>17000</v>
      </c>
    </row>
    <row r="482" spans="1:5" x14ac:dyDescent="0.25">
      <c r="A482" s="69">
        <v>46146</v>
      </c>
      <c r="B482" t="s">
        <v>157</v>
      </c>
      <c r="C482" t="s">
        <v>592</v>
      </c>
      <c r="D482" t="s">
        <v>301</v>
      </c>
      <c r="E482" s="70">
        <v>246576</v>
      </c>
    </row>
    <row r="483" spans="1:5" x14ac:dyDescent="0.25">
      <c r="A483" s="69">
        <v>46146</v>
      </c>
      <c r="B483" t="s">
        <v>231</v>
      </c>
      <c r="C483" t="s">
        <v>593</v>
      </c>
      <c r="D483" t="s">
        <v>285</v>
      </c>
      <c r="E483" s="70">
        <v>2387256</v>
      </c>
    </row>
    <row r="484" spans="1:5" x14ac:dyDescent="0.25">
      <c r="A484" s="69">
        <v>46146</v>
      </c>
      <c r="B484" t="s">
        <v>231</v>
      </c>
      <c r="C484" t="s">
        <v>594</v>
      </c>
      <c r="D484" t="s">
        <v>286</v>
      </c>
      <c r="E484" s="70">
        <v>2014538</v>
      </c>
    </row>
    <row r="485" spans="1:5" x14ac:dyDescent="0.25">
      <c r="A485" s="69">
        <v>46146</v>
      </c>
      <c r="B485" t="s">
        <v>157</v>
      </c>
      <c r="C485" t="s">
        <v>592</v>
      </c>
      <c r="D485" t="s">
        <v>285</v>
      </c>
      <c r="E485" s="70">
        <v>246576</v>
      </c>
    </row>
    <row r="486" spans="1:5" x14ac:dyDescent="0.25">
      <c r="A486" s="69">
        <v>46146</v>
      </c>
      <c r="B486" t="s">
        <v>157</v>
      </c>
      <c r="C486" t="s">
        <v>595</v>
      </c>
      <c r="D486" t="s">
        <v>277</v>
      </c>
      <c r="E486" s="70">
        <v>62452</v>
      </c>
    </row>
    <row r="487" spans="1:5" x14ac:dyDescent="0.25">
      <c r="A487" s="69">
        <v>46146</v>
      </c>
      <c r="B487" t="s">
        <v>157</v>
      </c>
      <c r="C487" t="s">
        <v>596</v>
      </c>
      <c r="D487" t="s">
        <v>285</v>
      </c>
      <c r="E487" s="70">
        <v>269564</v>
      </c>
    </row>
    <row r="488" spans="1:5" x14ac:dyDescent="0.25">
      <c r="A488" s="69">
        <v>46146</v>
      </c>
      <c r="B488" t="s">
        <v>202</v>
      </c>
      <c r="C488" t="s">
        <v>597</v>
      </c>
      <c r="D488" t="s">
        <v>286</v>
      </c>
      <c r="E488" s="70">
        <v>81152</v>
      </c>
    </row>
    <row r="489" spans="1:5" x14ac:dyDescent="0.25">
      <c r="A489" s="69">
        <v>46146</v>
      </c>
      <c r="B489" t="s">
        <v>165</v>
      </c>
      <c r="C489" t="s">
        <v>313</v>
      </c>
      <c r="D489" t="s">
        <v>301</v>
      </c>
      <c r="E489" s="70">
        <v>100000</v>
      </c>
    </row>
    <row r="490" spans="1:5" x14ac:dyDescent="0.25">
      <c r="A490" s="69">
        <v>46146</v>
      </c>
      <c r="B490" t="s">
        <v>165</v>
      </c>
      <c r="C490" t="s">
        <v>313</v>
      </c>
      <c r="D490" t="s">
        <v>285</v>
      </c>
      <c r="E490" s="70">
        <v>100000</v>
      </c>
    </row>
    <row r="491" spans="1:5" x14ac:dyDescent="0.25">
      <c r="A491" s="69">
        <v>46146</v>
      </c>
      <c r="B491" t="s">
        <v>157</v>
      </c>
      <c r="C491" t="s">
        <v>595</v>
      </c>
      <c r="D491" t="s">
        <v>285</v>
      </c>
      <c r="E491" s="70">
        <v>62452</v>
      </c>
    </row>
    <row r="492" spans="1:5" x14ac:dyDescent="0.25">
      <c r="A492" s="69">
        <v>46146</v>
      </c>
      <c r="B492" t="s">
        <v>157</v>
      </c>
      <c r="C492" t="s">
        <v>596</v>
      </c>
      <c r="D492" t="s">
        <v>286</v>
      </c>
      <c r="E492" s="70">
        <v>269564</v>
      </c>
    </row>
    <row r="493" spans="1:5" x14ac:dyDescent="0.25">
      <c r="A493" s="69">
        <v>46146</v>
      </c>
      <c r="B493" t="s">
        <v>165</v>
      </c>
      <c r="C493" t="s">
        <v>313</v>
      </c>
      <c r="D493" t="s">
        <v>286</v>
      </c>
      <c r="E493" s="70">
        <v>100000</v>
      </c>
    </row>
    <row r="494" spans="1:5" x14ac:dyDescent="0.25">
      <c r="A494" s="69">
        <v>46146</v>
      </c>
      <c r="B494" t="s">
        <v>598</v>
      </c>
      <c r="C494" t="s">
        <v>599</v>
      </c>
      <c r="D494" t="s">
        <v>301</v>
      </c>
      <c r="E494" s="70">
        <v>1004814</v>
      </c>
    </row>
    <row r="495" spans="1:5" x14ac:dyDescent="0.25">
      <c r="A495" s="69">
        <v>46146</v>
      </c>
      <c r="B495" t="s">
        <v>598</v>
      </c>
      <c r="C495" t="s">
        <v>600</v>
      </c>
      <c r="D495" t="s">
        <v>279</v>
      </c>
      <c r="E495" s="70">
        <v>1013864</v>
      </c>
    </row>
    <row r="496" spans="1:5" x14ac:dyDescent="0.25">
      <c r="A496" s="69">
        <v>46146</v>
      </c>
      <c r="B496" t="s">
        <v>598</v>
      </c>
      <c r="C496" t="s">
        <v>601</v>
      </c>
      <c r="D496" t="s">
        <v>286</v>
      </c>
      <c r="E496" s="70">
        <v>1023935</v>
      </c>
    </row>
    <row r="497" spans="1:7" x14ac:dyDescent="0.25">
      <c r="A497" s="69">
        <v>46146</v>
      </c>
      <c r="B497" t="s">
        <v>165</v>
      </c>
      <c r="C497" t="s">
        <v>313</v>
      </c>
      <c r="D497" t="s">
        <v>285</v>
      </c>
      <c r="E497" s="70">
        <v>100000</v>
      </c>
    </row>
    <row r="498" spans="1:7" x14ac:dyDescent="0.25">
      <c r="A498" s="69">
        <v>46146</v>
      </c>
      <c r="B498" t="s">
        <v>598</v>
      </c>
      <c r="C498" t="s">
        <v>600</v>
      </c>
      <c r="D498" t="s">
        <v>286</v>
      </c>
      <c r="E498" s="70">
        <v>1013864</v>
      </c>
    </row>
    <row r="499" spans="1:7" x14ac:dyDescent="0.25">
      <c r="A499" s="69">
        <v>46146</v>
      </c>
      <c r="B499" t="s">
        <v>598</v>
      </c>
      <c r="C499" t="s">
        <v>601</v>
      </c>
      <c r="D499" t="s">
        <v>277</v>
      </c>
      <c r="E499" s="70">
        <v>1023935</v>
      </c>
    </row>
    <row r="500" spans="1:7" x14ac:dyDescent="0.25">
      <c r="A500" s="69">
        <v>46146</v>
      </c>
      <c r="B500" t="s">
        <v>250</v>
      </c>
      <c r="C500" t="s">
        <v>602</v>
      </c>
      <c r="D500" t="s">
        <v>285</v>
      </c>
      <c r="E500" s="70">
        <v>356</v>
      </c>
    </row>
    <row r="501" spans="1:7" x14ac:dyDescent="0.25">
      <c r="A501" s="69">
        <v>46146</v>
      </c>
      <c r="B501" t="s">
        <v>603</v>
      </c>
      <c r="C501" t="s">
        <v>394</v>
      </c>
      <c r="D501" t="s">
        <v>286</v>
      </c>
      <c r="E501" s="70">
        <v>250000</v>
      </c>
    </row>
    <row r="502" spans="1:7" x14ac:dyDescent="0.25">
      <c r="A502" s="69">
        <v>46146</v>
      </c>
      <c r="B502" t="s">
        <v>604</v>
      </c>
      <c r="C502" t="s">
        <v>394</v>
      </c>
      <c r="D502" t="s">
        <v>286</v>
      </c>
      <c r="E502" s="70">
        <v>250000</v>
      </c>
    </row>
    <row r="503" spans="1:7" x14ac:dyDescent="0.25">
      <c r="A503" s="69">
        <v>46146</v>
      </c>
      <c r="B503" t="s">
        <v>598</v>
      </c>
      <c r="C503" t="s">
        <v>601</v>
      </c>
      <c r="D503" t="s">
        <v>285</v>
      </c>
      <c r="E503" s="70">
        <v>1023935</v>
      </c>
    </row>
    <row r="504" spans="1:7" x14ac:dyDescent="0.25">
      <c r="A504" s="69">
        <v>46146</v>
      </c>
      <c r="B504" t="s">
        <v>163</v>
      </c>
      <c r="C504" t="s">
        <v>605</v>
      </c>
      <c r="D504" t="s">
        <v>301</v>
      </c>
      <c r="E504" s="70">
        <v>775192</v>
      </c>
    </row>
    <row r="505" spans="1:7" x14ac:dyDescent="0.25">
      <c r="A505" s="69">
        <v>46146</v>
      </c>
      <c r="B505" t="s">
        <v>262</v>
      </c>
      <c r="C505" t="s">
        <v>606</v>
      </c>
      <c r="D505" t="s">
        <v>282</v>
      </c>
      <c r="F505" s="70">
        <v>18</v>
      </c>
      <c r="G505" s="70">
        <v>440</v>
      </c>
    </row>
    <row r="506" spans="1:7" x14ac:dyDescent="0.25">
      <c r="A506" s="69">
        <v>46146</v>
      </c>
      <c r="B506" t="s">
        <v>250</v>
      </c>
      <c r="C506" t="s">
        <v>591</v>
      </c>
      <c r="D506" t="s">
        <v>286</v>
      </c>
      <c r="E506" s="70">
        <v>2800</v>
      </c>
    </row>
    <row r="507" spans="1:7" x14ac:dyDescent="0.25">
      <c r="A507" s="69">
        <v>46146</v>
      </c>
      <c r="B507" t="s">
        <v>152</v>
      </c>
      <c r="C507" t="s">
        <v>607</v>
      </c>
      <c r="D507" t="s">
        <v>285</v>
      </c>
      <c r="E507" s="70">
        <v>4781988</v>
      </c>
    </row>
    <row r="508" spans="1:7" x14ac:dyDescent="0.25">
      <c r="A508" s="69">
        <v>46146</v>
      </c>
      <c r="B508" t="s">
        <v>152</v>
      </c>
      <c r="C508" t="s">
        <v>608</v>
      </c>
      <c r="D508" t="s">
        <v>301</v>
      </c>
      <c r="E508" s="70">
        <v>6156540</v>
      </c>
    </row>
    <row r="509" spans="1:7" x14ac:dyDescent="0.25">
      <c r="A509" s="69">
        <v>46146</v>
      </c>
      <c r="B509" t="s">
        <v>609</v>
      </c>
      <c r="C509" t="s">
        <v>394</v>
      </c>
      <c r="D509" t="s">
        <v>286</v>
      </c>
      <c r="E509" s="70">
        <v>250000</v>
      </c>
    </row>
    <row r="510" spans="1:7" x14ac:dyDescent="0.25">
      <c r="A510" s="69">
        <v>46146</v>
      </c>
      <c r="B510" t="s">
        <v>152</v>
      </c>
      <c r="C510" t="s">
        <v>610</v>
      </c>
      <c r="D510" t="s">
        <v>282</v>
      </c>
      <c r="F510" s="70">
        <v>5</v>
      </c>
      <c r="G510" s="70">
        <v>123</v>
      </c>
    </row>
    <row r="511" spans="1:7" x14ac:dyDescent="0.25">
      <c r="A511" s="69">
        <v>46146</v>
      </c>
      <c r="B511" t="s">
        <v>194</v>
      </c>
      <c r="C511" t="s">
        <v>611</v>
      </c>
      <c r="D511" t="s">
        <v>282</v>
      </c>
      <c r="F511" s="70">
        <v>30</v>
      </c>
      <c r="G511" s="70">
        <v>732</v>
      </c>
    </row>
    <row r="512" spans="1:7" x14ac:dyDescent="0.25">
      <c r="A512" s="69">
        <v>46146</v>
      </c>
      <c r="B512" t="s">
        <v>152</v>
      </c>
      <c r="C512" t="s">
        <v>608</v>
      </c>
      <c r="D512" t="s">
        <v>285</v>
      </c>
      <c r="E512" s="70">
        <v>6156540</v>
      </c>
    </row>
    <row r="513" spans="1:7" x14ac:dyDescent="0.25">
      <c r="A513" s="69">
        <v>46146</v>
      </c>
      <c r="B513" t="s">
        <v>222</v>
      </c>
      <c r="C513" t="s">
        <v>612</v>
      </c>
      <c r="D513" t="s">
        <v>282</v>
      </c>
      <c r="F513" s="70">
        <v>36</v>
      </c>
      <c r="G513" s="70">
        <v>852</v>
      </c>
    </row>
    <row r="514" spans="1:7" x14ac:dyDescent="0.25">
      <c r="A514" s="69">
        <v>46146</v>
      </c>
      <c r="B514" t="s">
        <v>231</v>
      </c>
      <c r="C514" t="s">
        <v>590</v>
      </c>
      <c r="D514" t="s">
        <v>286</v>
      </c>
      <c r="E514" s="70">
        <v>17000</v>
      </c>
    </row>
    <row r="515" spans="1:7" x14ac:dyDescent="0.25">
      <c r="A515" s="69">
        <v>46146</v>
      </c>
      <c r="B515" t="s">
        <v>613</v>
      </c>
      <c r="C515" t="s">
        <v>394</v>
      </c>
      <c r="D515" t="s">
        <v>286</v>
      </c>
      <c r="E515" s="70">
        <v>250000</v>
      </c>
    </row>
    <row r="516" spans="1:7" x14ac:dyDescent="0.25">
      <c r="A516" s="69">
        <v>46146</v>
      </c>
      <c r="B516" t="s">
        <v>168</v>
      </c>
      <c r="C516" t="s">
        <v>614</v>
      </c>
      <c r="D516" t="s">
        <v>285</v>
      </c>
      <c r="E516" s="70">
        <v>95562</v>
      </c>
    </row>
    <row r="517" spans="1:7" x14ac:dyDescent="0.25">
      <c r="A517" s="69">
        <v>46146</v>
      </c>
      <c r="B517" t="s">
        <v>168</v>
      </c>
      <c r="C517" t="s">
        <v>614</v>
      </c>
      <c r="D517" t="s">
        <v>286</v>
      </c>
      <c r="E517" s="70">
        <v>95562</v>
      </c>
    </row>
    <row r="518" spans="1:7" x14ac:dyDescent="0.25">
      <c r="A518" s="69">
        <v>46146</v>
      </c>
      <c r="B518" t="s">
        <v>168</v>
      </c>
      <c r="C518" t="s">
        <v>615</v>
      </c>
      <c r="D518" t="s">
        <v>286</v>
      </c>
      <c r="E518" s="70">
        <v>1241605</v>
      </c>
    </row>
    <row r="519" spans="1:7" x14ac:dyDescent="0.25">
      <c r="A519" s="69">
        <v>46146</v>
      </c>
      <c r="B519" t="s">
        <v>168</v>
      </c>
      <c r="C519" t="s">
        <v>616</v>
      </c>
      <c r="D519" t="s">
        <v>285</v>
      </c>
      <c r="E519" s="70">
        <v>314123</v>
      </c>
    </row>
    <row r="520" spans="1:7" x14ac:dyDescent="0.25">
      <c r="A520" s="69">
        <v>46146</v>
      </c>
      <c r="B520" t="s">
        <v>168</v>
      </c>
      <c r="C520" t="s">
        <v>617</v>
      </c>
      <c r="D520" t="s">
        <v>301</v>
      </c>
      <c r="E520" s="70">
        <v>317426</v>
      </c>
    </row>
    <row r="521" spans="1:7" x14ac:dyDescent="0.25">
      <c r="A521" s="69">
        <v>46146</v>
      </c>
      <c r="B521" t="s">
        <v>168</v>
      </c>
      <c r="C521" t="s">
        <v>618</v>
      </c>
      <c r="D521" t="s">
        <v>286</v>
      </c>
      <c r="E521" s="70">
        <v>298145</v>
      </c>
    </row>
    <row r="522" spans="1:7" x14ac:dyDescent="0.25">
      <c r="A522" s="69">
        <v>46146</v>
      </c>
      <c r="B522" t="s">
        <v>219</v>
      </c>
      <c r="C522" t="s">
        <v>619</v>
      </c>
      <c r="D522" t="s">
        <v>286</v>
      </c>
      <c r="E522" s="70">
        <v>846</v>
      </c>
    </row>
    <row r="523" spans="1:7" x14ac:dyDescent="0.25">
      <c r="A523" s="69">
        <v>46146</v>
      </c>
      <c r="B523" t="s">
        <v>219</v>
      </c>
      <c r="C523" t="s">
        <v>547</v>
      </c>
      <c r="D523" t="s">
        <v>286</v>
      </c>
      <c r="E523" s="70">
        <v>750000</v>
      </c>
    </row>
    <row r="524" spans="1:7" x14ac:dyDescent="0.25">
      <c r="A524" s="69">
        <v>46146</v>
      </c>
      <c r="B524" t="s">
        <v>168</v>
      </c>
      <c r="C524" t="s">
        <v>615</v>
      </c>
      <c r="D524" t="s">
        <v>285</v>
      </c>
      <c r="E524" s="70">
        <v>1241605</v>
      </c>
    </row>
    <row r="525" spans="1:7" x14ac:dyDescent="0.25">
      <c r="A525" s="69">
        <v>46146</v>
      </c>
      <c r="B525" t="s">
        <v>168</v>
      </c>
      <c r="C525" t="s">
        <v>618</v>
      </c>
      <c r="D525" t="s">
        <v>285</v>
      </c>
      <c r="E525" s="70">
        <v>298145</v>
      </c>
    </row>
    <row r="526" spans="1:7" x14ac:dyDescent="0.25">
      <c r="A526" s="69">
        <v>46146</v>
      </c>
      <c r="B526" t="s">
        <v>168</v>
      </c>
      <c r="C526" t="s">
        <v>617</v>
      </c>
      <c r="D526" t="s">
        <v>285</v>
      </c>
      <c r="E526" s="70">
        <v>317426</v>
      </c>
    </row>
    <row r="527" spans="1:7" x14ac:dyDescent="0.25">
      <c r="A527" s="69">
        <v>46146</v>
      </c>
      <c r="B527" t="s">
        <v>164</v>
      </c>
      <c r="C527" t="s">
        <v>300</v>
      </c>
      <c r="D527" t="s">
        <v>301</v>
      </c>
      <c r="E527" s="70">
        <v>1890000</v>
      </c>
    </row>
    <row r="528" spans="1:7" x14ac:dyDescent="0.25">
      <c r="A528" s="69">
        <v>46146</v>
      </c>
      <c r="B528" t="s">
        <v>164</v>
      </c>
      <c r="C528" t="s">
        <v>620</v>
      </c>
      <c r="D528" t="s">
        <v>285</v>
      </c>
      <c r="E528" s="70">
        <v>2019538</v>
      </c>
    </row>
    <row r="529" spans="1:5" x14ac:dyDescent="0.25">
      <c r="A529" s="69">
        <v>46146</v>
      </c>
      <c r="B529" t="s">
        <v>621</v>
      </c>
      <c r="C529" t="s">
        <v>394</v>
      </c>
      <c r="D529" t="s">
        <v>286</v>
      </c>
      <c r="E529" s="70">
        <v>250000</v>
      </c>
    </row>
    <row r="530" spans="1:5" x14ac:dyDescent="0.25">
      <c r="A530" s="69">
        <v>46146</v>
      </c>
      <c r="B530" t="s">
        <v>622</v>
      </c>
      <c r="C530" t="s">
        <v>394</v>
      </c>
      <c r="D530" t="s">
        <v>286</v>
      </c>
      <c r="E530" s="70">
        <v>250000</v>
      </c>
    </row>
    <row r="531" spans="1:5" x14ac:dyDescent="0.25">
      <c r="A531" s="69">
        <v>46146</v>
      </c>
      <c r="B531" t="s">
        <v>238</v>
      </c>
      <c r="C531" t="s">
        <v>623</v>
      </c>
      <c r="D531" t="s">
        <v>285</v>
      </c>
      <c r="E531" s="70">
        <v>10000</v>
      </c>
    </row>
    <row r="532" spans="1:5" x14ac:dyDescent="0.25">
      <c r="A532" s="69">
        <v>46146</v>
      </c>
      <c r="B532" t="s">
        <v>168</v>
      </c>
      <c r="C532" t="s">
        <v>394</v>
      </c>
      <c r="D532" t="s">
        <v>285</v>
      </c>
      <c r="E532" s="70">
        <v>250000</v>
      </c>
    </row>
    <row r="533" spans="1:5" x14ac:dyDescent="0.25">
      <c r="A533" s="69">
        <v>46146</v>
      </c>
      <c r="B533" t="s">
        <v>238</v>
      </c>
      <c r="C533" t="s">
        <v>623</v>
      </c>
      <c r="D533" t="s">
        <v>349</v>
      </c>
      <c r="E533" s="70">
        <v>10000</v>
      </c>
    </row>
    <row r="534" spans="1:5" x14ac:dyDescent="0.25">
      <c r="A534" s="69">
        <v>46146</v>
      </c>
      <c r="B534" t="s">
        <v>229</v>
      </c>
      <c r="C534" t="s">
        <v>624</v>
      </c>
      <c r="D534" t="s">
        <v>344</v>
      </c>
      <c r="E534" s="70">
        <v>15000</v>
      </c>
    </row>
    <row r="535" spans="1:5" x14ac:dyDescent="0.25">
      <c r="A535" s="69">
        <v>46146</v>
      </c>
      <c r="B535" t="s">
        <v>219</v>
      </c>
      <c r="C535" t="s">
        <v>625</v>
      </c>
      <c r="D535" t="s">
        <v>286</v>
      </c>
      <c r="E535" s="70">
        <v>500000</v>
      </c>
    </row>
    <row r="536" spans="1:5" x14ac:dyDescent="0.25">
      <c r="A536" s="69">
        <v>46146</v>
      </c>
      <c r="B536" t="s">
        <v>180</v>
      </c>
      <c r="C536" t="s">
        <v>623</v>
      </c>
      <c r="D536" t="s">
        <v>349</v>
      </c>
      <c r="E536" s="70">
        <v>10000</v>
      </c>
    </row>
    <row r="537" spans="1:5" x14ac:dyDescent="0.25">
      <c r="A537" s="69">
        <v>46146</v>
      </c>
      <c r="B537" t="s">
        <v>161</v>
      </c>
      <c r="C537" t="s">
        <v>623</v>
      </c>
      <c r="D537" t="s">
        <v>344</v>
      </c>
      <c r="E537" s="70">
        <v>10000</v>
      </c>
    </row>
    <row r="538" spans="1:5" x14ac:dyDescent="0.25">
      <c r="A538" s="69">
        <v>46146</v>
      </c>
      <c r="B538" t="s">
        <v>604</v>
      </c>
      <c r="C538" t="s">
        <v>626</v>
      </c>
      <c r="D538" t="s">
        <v>349</v>
      </c>
      <c r="E538" s="70">
        <v>25000</v>
      </c>
    </row>
    <row r="539" spans="1:5" x14ac:dyDescent="0.25">
      <c r="A539" s="69">
        <v>46146</v>
      </c>
      <c r="B539" t="s">
        <v>238</v>
      </c>
      <c r="C539" t="s">
        <v>623</v>
      </c>
      <c r="D539" t="s">
        <v>344</v>
      </c>
      <c r="E539" s="70">
        <v>10000</v>
      </c>
    </row>
    <row r="540" spans="1:5" x14ac:dyDescent="0.25">
      <c r="A540" s="69">
        <v>46146</v>
      </c>
      <c r="B540" t="s">
        <v>161</v>
      </c>
      <c r="C540" t="s">
        <v>623</v>
      </c>
      <c r="D540" t="s">
        <v>349</v>
      </c>
      <c r="E540" s="70">
        <v>10000</v>
      </c>
    </row>
    <row r="541" spans="1:5" x14ac:dyDescent="0.25">
      <c r="A541" s="69">
        <v>46146</v>
      </c>
      <c r="B541" t="s">
        <v>201</v>
      </c>
      <c r="C541" t="s">
        <v>625</v>
      </c>
      <c r="D541" t="s">
        <v>286</v>
      </c>
      <c r="E541" s="70">
        <v>500000</v>
      </c>
    </row>
    <row r="542" spans="1:5" x14ac:dyDescent="0.25">
      <c r="A542" s="69">
        <v>46146</v>
      </c>
      <c r="B542" t="s">
        <v>603</v>
      </c>
      <c r="C542" t="s">
        <v>623</v>
      </c>
      <c r="D542" t="s">
        <v>349</v>
      </c>
      <c r="E542" s="70">
        <v>10000</v>
      </c>
    </row>
    <row r="543" spans="1:5" x14ac:dyDescent="0.25">
      <c r="A543" s="69">
        <v>46146</v>
      </c>
      <c r="B543" t="s">
        <v>202</v>
      </c>
      <c r="C543" t="s">
        <v>627</v>
      </c>
      <c r="D543" t="s">
        <v>286</v>
      </c>
      <c r="E543" s="70">
        <v>108605</v>
      </c>
    </row>
    <row r="544" spans="1:5" x14ac:dyDescent="0.25">
      <c r="A544" s="69">
        <v>46146</v>
      </c>
      <c r="B544" t="s">
        <v>162</v>
      </c>
      <c r="C544" t="s">
        <v>623</v>
      </c>
      <c r="D544" t="s">
        <v>285</v>
      </c>
      <c r="E544" s="70">
        <v>10000</v>
      </c>
    </row>
    <row r="545" spans="1:5" x14ac:dyDescent="0.25">
      <c r="A545" s="69">
        <v>46146</v>
      </c>
      <c r="B545" t="s">
        <v>204</v>
      </c>
      <c r="C545" t="s">
        <v>623</v>
      </c>
      <c r="D545" t="s">
        <v>286</v>
      </c>
      <c r="E545" s="70">
        <v>10000</v>
      </c>
    </row>
    <row r="546" spans="1:5" x14ac:dyDescent="0.25">
      <c r="A546" s="69">
        <v>46146</v>
      </c>
      <c r="B546" t="s">
        <v>603</v>
      </c>
      <c r="C546" t="s">
        <v>623</v>
      </c>
      <c r="D546" t="s">
        <v>344</v>
      </c>
      <c r="E546" s="70">
        <v>10000</v>
      </c>
    </row>
    <row r="547" spans="1:5" x14ac:dyDescent="0.25">
      <c r="A547" s="69">
        <v>46146</v>
      </c>
      <c r="B547" t="s">
        <v>162</v>
      </c>
      <c r="C547" t="s">
        <v>623</v>
      </c>
      <c r="D547" t="s">
        <v>349</v>
      </c>
      <c r="E547" s="70">
        <v>10000</v>
      </c>
    </row>
    <row r="548" spans="1:5" x14ac:dyDescent="0.25">
      <c r="A548" s="69">
        <v>46146</v>
      </c>
      <c r="B548" t="s">
        <v>204</v>
      </c>
      <c r="C548" t="s">
        <v>623</v>
      </c>
      <c r="D548" t="s">
        <v>349</v>
      </c>
      <c r="E548" s="70">
        <v>10000</v>
      </c>
    </row>
    <row r="549" spans="1:5" x14ac:dyDescent="0.25">
      <c r="A549" s="69">
        <v>46146</v>
      </c>
      <c r="B549" t="s">
        <v>622</v>
      </c>
      <c r="C549" t="s">
        <v>628</v>
      </c>
      <c r="D549" t="s">
        <v>344</v>
      </c>
      <c r="E549" s="70">
        <v>20000</v>
      </c>
    </row>
    <row r="550" spans="1:5" x14ac:dyDescent="0.25">
      <c r="A550" s="69">
        <v>46146</v>
      </c>
      <c r="B550" t="s">
        <v>609</v>
      </c>
      <c r="C550" t="s">
        <v>628</v>
      </c>
      <c r="D550" t="s">
        <v>344</v>
      </c>
      <c r="E550" s="70">
        <v>20000</v>
      </c>
    </row>
    <row r="551" spans="1:5" x14ac:dyDescent="0.25">
      <c r="A551" s="69">
        <v>46146</v>
      </c>
      <c r="B551" t="s">
        <v>152</v>
      </c>
      <c r="C551" t="s">
        <v>624</v>
      </c>
      <c r="D551" t="s">
        <v>349</v>
      </c>
      <c r="E551" s="70">
        <v>15000</v>
      </c>
    </row>
    <row r="552" spans="1:5" x14ac:dyDescent="0.25">
      <c r="A552" s="69">
        <v>46146</v>
      </c>
      <c r="B552" t="s">
        <v>180</v>
      </c>
      <c r="C552" t="s">
        <v>629</v>
      </c>
      <c r="D552" t="s">
        <v>279</v>
      </c>
      <c r="E552" s="70">
        <v>4444113</v>
      </c>
    </row>
    <row r="553" spans="1:5" x14ac:dyDescent="0.25">
      <c r="A553" s="69">
        <v>46146</v>
      </c>
      <c r="B553" t="s">
        <v>162</v>
      </c>
      <c r="C553" t="s">
        <v>623</v>
      </c>
      <c r="D553" t="s">
        <v>344</v>
      </c>
      <c r="E553" s="70">
        <v>10000</v>
      </c>
    </row>
    <row r="554" spans="1:5" x14ac:dyDescent="0.25">
      <c r="A554" s="69">
        <v>46146</v>
      </c>
      <c r="B554" t="s">
        <v>204</v>
      </c>
      <c r="C554" t="s">
        <v>623</v>
      </c>
      <c r="D554" t="s">
        <v>344</v>
      </c>
      <c r="E554" s="70">
        <v>10000</v>
      </c>
    </row>
    <row r="555" spans="1:5" x14ac:dyDescent="0.25">
      <c r="A555" s="69">
        <v>46146</v>
      </c>
      <c r="B555" t="s">
        <v>609</v>
      </c>
      <c r="C555" t="s">
        <v>628</v>
      </c>
      <c r="D555" t="s">
        <v>349</v>
      </c>
      <c r="E555" s="70">
        <v>20000</v>
      </c>
    </row>
    <row r="556" spans="1:5" x14ac:dyDescent="0.25">
      <c r="A556" s="69">
        <v>46146</v>
      </c>
      <c r="B556" t="s">
        <v>180</v>
      </c>
      <c r="C556" t="s">
        <v>629</v>
      </c>
      <c r="D556" t="s">
        <v>286</v>
      </c>
      <c r="E556" s="70">
        <v>4444113</v>
      </c>
    </row>
    <row r="557" spans="1:5" x14ac:dyDescent="0.25">
      <c r="A557" s="69">
        <v>46146</v>
      </c>
      <c r="B557" t="s">
        <v>219</v>
      </c>
      <c r="C557" t="s">
        <v>630</v>
      </c>
      <c r="D557" t="s">
        <v>286</v>
      </c>
      <c r="E557" s="70">
        <v>132</v>
      </c>
    </row>
    <row r="558" spans="1:5" x14ac:dyDescent="0.25">
      <c r="A558" s="69">
        <v>46146</v>
      </c>
      <c r="B558" t="s">
        <v>155</v>
      </c>
      <c r="C558" t="s">
        <v>631</v>
      </c>
      <c r="D558" t="s">
        <v>286</v>
      </c>
      <c r="E558" s="70">
        <v>1839410</v>
      </c>
    </row>
    <row r="559" spans="1:5" x14ac:dyDescent="0.25">
      <c r="A559" s="69">
        <v>46146</v>
      </c>
      <c r="B559" t="s">
        <v>222</v>
      </c>
      <c r="C559" t="s">
        <v>632</v>
      </c>
      <c r="D559" t="s">
        <v>286</v>
      </c>
      <c r="E559" s="70">
        <v>190000</v>
      </c>
    </row>
    <row r="560" spans="1:5" x14ac:dyDescent="0.25">
      <c r="A560" s="69">
        <v>46146</v>
      </c>
      <c r="B560" t="s">
        <v>194</v>
      </c>
      <c r="C560" t="s">
        <v>590</v>
      </c>
      <c r="D560" t="s">
        <v>286</v>
      </c>
      <c r="E560" s="70">
        <v>17000</v>
      </c>
    </row>
    <row r="561" spans="1:7" x14ac:dyDescent="0.25">
      <c r="A561" s="69">
        <v>46146</v>
      </c>
      <c r="B561" t="s">
        <v>180</v>
      </c>
      <c r="C561" t="s">
        <v>633</v>
      </c>
      <c r="D561" t="s">
        <v>301</v>
      </c>
      <c r="E561" s="70">
        <v>1965088</v>
      </c>
    </row>
    <row r="562" spans="1:7" x14ac:dyDescent="0.25">
      <c r="A562" s="69">
        <v>46146</v>
      </c>
      <c r="B562" t="s">
        <v>180</v>
      </c>
      <c r="C562" t="s">
        <v>629</v>
      </c>
      <c r="D562" t="s">
        <v>285</v>
      </c>
      <c r="E562" s="70">
        <v>4444113</v>
      </c>
    </row>
    <row r="563" spans="1:7" x14ac:dyDescent="0.25">
      <c r="A563" s="69">
        <v>46146</v>
      </c>
      <c r="B563" t="s">
        <v>155</v>
      </c>
      <c r="C563" t="s">
        <v>631</v>
      </c>
      <c r="D563" t="s">
        <v>299</v>
      </c>
      <c r="E563" s="70">
        <v>1839410</v>
      </c>
    </row>
    <row r="564" spans="1:7" x14ac:dyDescent="0.25">
      <c r="A564" s="69">
        <v>46146</v>
      </c>
      <c r="B564" t="s">
        <v>180</v>
      </c>
      <c r="C564" t="s">
        <v>634</v>
      </c>
      <c r="D564" t="s">
        <v>285</v>
      </c>
      <c r="E564" s="70">
        <v>1898472</v>
      </c>
    </row>
    <row r="565" spans="1:7" x14ac:dyDescent="0.25">
      <c r="A565" s="69">
        <v>46146</v>
      </c>
      <c r="B565" t="s">
        <v>180</v>
      </c>
      <c r="C565" t="s">
        <v>635</v>
      </c>
      <c r="D565" t="s">
        <v>279</v>
      </c>
      <c r="E565" s="70">
        <v>1999761</v>
      </c>
    </row>
    <row r="566" spans="1:7" x14ac:dyDescent="0.25">
      <c r="A566" s="69">
        <v>46146</v>
      </c>
      <c r="B566" t="s">
        <v>481</v>
      </c>
      <c r="C566" t="s">
        <v>636</v>
      </c>
      <c r="D566" t="s">
        <v>285</v>
      </c>
      <c r="E566" s="70">
        <v>107987</v>
      </c>
    </row>
    <row r="567" spans="1:7" x14ac:dyDescent="0.25">
      <c r="A567" s="69">
        <v>46146</v>
      </c>
      <c r="B567" t="s">
        <v>244</v>
      </c>
      <c r="C567" t="s">
        <v>548</v>
      </c>
      <c r="D567" t="s">
        <v>285</v>
      </c>
      <c r="E567" s="70">
        <v>2704000</v>
      </c>
    </row>
    <row r="568" spans="1:7" x14ac:dyDescent="0.25">
      <c r="A568" s="69">
        <v>46146</v>
      </c>
      <c r="B568" t="s">
        <v>262</v>
      </c>
      <c r="C568" t="s">
        <v>637</v>
      </c>
      <c r="D568" t="s">
        <v>282</v>
      </c>
      <c r="F568" s="70">
        <v>14</v>
      </c>
      <c r="G568" s="70">
        <v>324</v>
      </c>
    </row>
    <row r="569" spans="1:7" x14ac:dyDescent="0.25">
      <c r="A569" s="69">
        <v>46146</v>
      </c>
      <c r="B569" t="s">
        <v>481</v>
      </c>
      <c r="C569" t="s">
        <v>636</v>
      </c>
      <c r="D569" t="s">
        <v>286</v>
      </c>
      <c r="E569" s="70">
        <v>107987</v>
      </c>
    </row>
    <row r="570" spans="1:7" x14ac:dyDescent="0.25">
      <c r="A570" s="69">
        <v>46146</v>
      </c>
      <c r="B570" t="s">
        <v>244</v>
      </c>
      <c r="C570" t="s">
        <v>548</v>
      </c>
      <c r="D570" t="s">
        <v>286</v>
      </c>
      <c r="E570" s="70">
        <v>2704000</v>
      </c>
    </row>
    <row r="571" spans="1:7" x14ac:dyDescent="0.25">
      <c r="A571" s="69">
        <v>46146</v>
      </c>
      <c r="B571" t="s">
        <v>222</v>
      </c>
      <c r="C571" t="s">
        <v>507</v>
      </c>
      <c r="D571" t="s">
        <v>282</v>
      </c>
      <c r="F571" s="70">
        <v>24</v>
      </c>
      <c r="G571" s="70">
        <v>576</v>
      </c>
    </row>
    <row r="572" spans="1:7" x14ac:dyDescent="0.25">
      <c r="A572" s="69">
        <v>46146</v>
      </c>
      <c r="B572" t="s">
        <v>162</v>
      </c>
      <c r="C572" t="s">
        <v>638</v>
      </c>
      <c r="D572" t="s">
        <v>282</v>
      </c>
      <c r="F572" s="70">
        <v>29</v>
      </c>
      <c r="G572" s="70">
        <v>687</v>
      </c>
    </row>
    <row r="573" spans="1:7" x14ac:dyDescent="0.25">
      <c r="A573" s="69">
        <v>46146</v>
      </c>
      <c r="B573" t="s">
        <v>152</v>
      </c>
      <c r="C573" t="s">
        <v>639</v>
      </c>
      <c r="D573" t="s">
        <v>285</v>
      </c>
      <c r="E573" s="70">
        <v>3412079</v>
      </c>
    </row>
    <row r="574" spans="1:7" x14ac:dyDescent="0.25">
      <c r="A574" s="69">
        <v>46146</v>
      </c>
      <c r="B574" t="s">
        <v>152</v>
      </c>
      <c r="C574" t="s">
        <v>640</v>
      </c>
      <c r="D574" t="s">
        <v>301</v>
      </c>
      <c r="E574" s="70">
        <v>3261646</v>
      </c>
    </row>
    <row r="575" spans="1:7" x14ac:dyDescent="0.25">
      <c r="A575" s="69">
        <v>46146</v>
      </c>
      <c r="B575" t="s">
        <v>152</v>
      </c>
      <c r="C575" t="s">
        <v>640</v>
      </c>
      <c r="D575" t="s">
        <v>285</v>
      </c>
      <c r="E575" s="70">
        <v>3261646</v>
      </c>
    </row>
    <row r="576" spans="1:7" x14ac:dyDescent="0.25">
      <c r="A576" s="69">
        <v>46146</v>
      </c>
      <c r="B576" t="s">
        <v>166</v>
      </c>
      <c r="C576" t="s">
        <v>641</v>
      </c>
      <c r="D576" t="s">
        <v>282</v>
      </c>
      <c r="F576" s="70">
        <v>16</v>
      </c>
      <c r="G576" s="70">
        <v>384</v>
      </c>
    </row>
    <row r="577" spans="1:5" x14ac:dyDescent="0.25">
      <c r="A577" s="69">
        <v>46146</v>
      </c>
      <c r="B577" t="s">
        <v>236</v>
      </c>
      <c r="C577" t="s">
        <v>642</v>
      </c>
      <c r="D577" t="s">
        <v>285</v>
      </c>
      <c r="E577" s="70">
        <v>857</v>
      </c>
    </row>
    <row r="578" spans="1:5" x14ac:dyDescent="0.25">
      <c r="A578" s="69">
        <v>46146</v>
      </c>
      <c r="B578" t="s">
        <v>598</v>
      </c>
      <c r="C578" t="s">
        <v>643</v>
      </c>
      <c r="D578" t="s">
        <v>301</v>
      </c>
      <c r="E578" s="70">
        <v>1023947</v>
      </c>
    </row>
    <row r="579" spans="1:5" x14ac:dyDescent="0.25">
      <c r="A579" s="69">
        <v>46146</v>
      </c>
      <c r="B579" t="s">
        <v>598</v>
      </c>
      <c r="C579" t="s">
        <v>644</v>
      </c>
      <c r="D579" t="s">
        <v>285</v>
      </c>
      <c r="E579" s="70">
        <v>1133682</v>
      </c>
    </row>
    <row r="580" spans="1:5" x14ac:dyDescent="0.25">
      <c r="A580" s="69">
        <v>46146</v>
      </c>
      <c r="B580" t="s">
        <v>159</v>
      </c>
      <c r="C580" t="s">
        <v>645</v>
      </c>
      <c r="D580" t="s">
        <v>301</v>
      </c>
      <c r="E580" s="70">
        <v>1598638</v>
      </c>
    </row>
    <row r="581" spans="1:5" x14ac:dyDescent="0.25">
      <c r="A581" s="69">
        <v>46146</v>
      </c>
      <c r="B581" t="s">
        <v>236</v>
      </c>
      <c r="C581" t="s">
        <v>642</v>
      </c>
      <c r="D581" t="s">
        <v>286</v>
      </c>
      <c r="E581" s="70">
        <v>857</v>
      </c>
    </row>
    <row r="582" spans="1:5" x14ac:dyDescent="0.25">
      <c r="A582" s="69">
        <v>46146</v>
      </c>
      <c r="B582" t="s">
        <v>598</v>
      </c>
      <c r="C582" t="s">
        <v>646</v>
      </c>
      <c r="D582" t="s">
        <v>286</v>
      </c>
      <c r="E582" s="70">
        <v>1013672</v>
      </c>
    </row>
    <row r="583" spans="1:5" x14ac:dyDescent="0.25">
      <c r="A583" s="69">
        <v>46146</v>
      </c>
      <c r="B583" t="s">
        <v>250</v>
      </c>
      <c r="C583" t="s">
        <v>647</v>
      </c>
      <c r="D583" t="s">
        <v>286</v>
      </c>
      <c r="E583" s="70">
        <v>4708000</v>
      </c>
    </row>
    <row r="584" spans="1:5" x14ac:dyDescent="0.25">
      <c r="A584" s="69">
        <v>46146</v>
      </c>
      <c r="B584" t="s">
        <v>159</v>
      </c>
      <c r="C584" t="s">
        <v>648</v>
      </c>
      <c r="D584" t="s">
        <v>285</v>
      </c>
      <c r="E584" s="70">
        <v>1467921</v>
      </c>
    </row>
    <row r="585" spans="1:5" x14ac:dyDescent="0.25">
      <c r="A585" s="69">
        <v>46146</v>
      </c>
      <c r="B585" t="s">
        <v>159</v>
      </c>
      <c r="C585" t="s">
        <v>649</v>
      </c>
      <c r="D585" t="s">
        <v>286</v>
      </c>
      <c r="E585" s="70">
        <v>1386138</v>
      </c>
    </row>
    <row r="586" spans="1:5" x14ac:dyDescent="0.25">
      <c r="A586" s="69">
        <v>46146</v>
      </c>
      <c r="B586" t="s">
        <v>250</v>
      </c>
      <c r="C586" t="s">
        <v>647</v>
      </c>
      <c r="D586" t="s">
        <v>285</v>
      </c>
      <c r="E586" s="70">
        <v>4708000</v>
      </c>
    </row>
    <row r="587" spans="1:5" x14ac:dyDescent="0.25">
      <c r="A587" s="69">
        <v>46146</v>
      </c>
      <c r="B587" t="s">
        <v>159</v>
      </c>
      <c r="C587" t="s">
        <v>649</v>
      </c>
      <c r="D587" t="s">
        <v>279</v>
      </c>
      <c r="E587" s="70">
        <v>1386138</v>
      </c>
    </row>
    <row r="588" spans="1:5" x14ac:dyDescent="0.25">
      <c r="A588" s="69">
        <v>46146</v>
      </c>
      <c r="B588" t="s">
        <v>157</v>
      </c>
      <c r="C588" t="s">
        <v>650</v>
      </c>
      <c r="D588" t="s">
        <v>299</v>
      </c>
      <c r="E588" s="70">
        <v>2908828</v>
      </c>
    </row>
    <row r="589" spans="1:5" x14ac:dyDescent="0.25">
      <c r="A589" s="69">
        <v>46146</v>
      </c>
      <c r="B589" t="s">
        <v>205</v>
      </c>
      <c r="C589" t="s">
        <v>651</v>
      </c>
      <c r="D589" t="s">
        <v>286</v>
      </c>
      <c r="E589" s="70">
        <v>1052143</v>
      </c>
    </row>
    <row r="590" spans="1:5" x14ac:dyDescent="0.25">
      <c r="A590" s="69">
        <v>46146</v>
      </c>
      <c r="B590" t="s">
        <v>168</v>
      </c>
      <c r="C590" t="s">
        <v>652</v>
      </c>
      <c r="D590" t="s">
        <v>286</v>
      </c>
      <c r="E590" s="70">
        <v>1188627</v>
      </c>
    </row>
    <row r="591" spans="1:5" x14ac:dyDescent="0.25">
      <c r="A591" s="69">
        <v>46146</v>
      </c>
      <c r="B591" t="s">
        <v>157</v>
      </c>
      <c r="C591" t="s">
        <v>650</v>
      </c>
      <c r="D591" t="s">
        <v>285</v>
      </c>
      <c r="E591" s="70">
        <v>2908828</v>
      </c>
    </row>
    <row r="592" spans="1:5" x14ac:dyDescent="0.25">
      <c r="A592" s="69">
        <v>46146</v>
      </c>
      <c r="B592" t="s">
        <v>205</v>
      </c>
      <c r="C592" t="s">
        <v>651</v>
      </c>
      <c r="D592" t="s">
        <v>285</v>
      </c>
      <c r="E592" s="70">
        <v>1052143</v>
      </c>
    </row>
    <row r="593" spans="1:5" x14ac:dyDescent="0.25">
      <c r="A593" s="69">
        <v>46146</v>
      </c>
      <c r="B593" t="s">
        <v>157</v>
      </c>
      <c r="C593" t="s">
        <v>653</v>
      </c>
      <c r="D593" t="s">
        <v>285</v>
      </c>
      <c r="E593" s="70">
        <v>102746</v>
      </c>
    </row>
    <row r="594" spans="1:5" x14ac:dyDescent="0.25">
      <c r="A594" s="69">
        <v>46146</v>
      </c>
      <c r="B594" t="s">
        <v>157</v>
      </c>
      <c r="C594" t="s">
        <v>654</v>
      </c>
      <c r="D594" t="s">
        <v>301</v>
      </c>
      <c r="E594" s="70">
        <v>100743</v>
      </c>
    </row>
    <row r="595" spans="1:5" x14ac:dyDescent="0.25">
      <c r="A595" s="69">
        <v>46146</v>
      </c>
      <c r="B595" t="s">
        <v>157</v>
      </c>
      <c r="C595" t="s">
        <v>655</v>
      </c>
      <c r="D595" t="s">
        <v>279</v>
      </c>
      <c r="E595" s="70">
        <v>101179</v>
      </c>
    </row>
    <row r="596" spans="1:5" x14ac:dyDescent="0.25">
      <c r="A596" s="69">
        <v>46146</v>
      </c>
      <c r="B596" t="s">
        <v>157</v>
      </c>
      <c r="C596" t="s">
        <v>656</v>
      </c>
      <c r="D596" t="s">
        <v>286</v>
      </c>
      <c r="E596" s="70">
        <v>100581</v>
      </c>
    </row>
    <row r="597" spans="1:5" x14ac:dyDescent="0.25">
      <c r="A597" s="69">
        <v>46146</v>
      </c>
      <c r="B597" t="s">
        <v>168</v>
      </c>
      <c r="C597" t="s">
        <v>657</v>
      </c>
      <c r="D597" t="s">
        <v>301</v>
      </c>
      <c r="E597" s="70">
        <v>472910</v>
      </c>
    </row>
    <row r="598" spans="1:5" x14ac:dyDescent="0.25">
      <c r="A598" s="69">
        <v>46146</v>
      </c>
      <c r="B598" t="s">
        <v>157</v>
      </c>
      <c r="C598" t="s">
        <v>655</v>
      </c>
      <c r="D598" t="s">
        <v>286</v>
      </c>
      <c r="E598" s="70">
        <v>101179</v>
      </c>
    </row>
    <row r="599" spans="1:5" x14ac:dyDescent="0.25">
      <c r="A599" s="69">
        <v>46146</v>
      </c>
      <c r="B599" t="s">
        <v>157</v>
      </c>
      <c r="C599" t="s">
        <v>656</v>
      </c>
      <c r="D599" t="s">
        <v>285</v>
      </c>
      <c r="E599" s="70">
        <v>100581</v>
      </c>
    </row>
    <row r="600" spans="1:5" x14ac:dyDescent="0.25">
      <c r="A600" s="69">
        <v>46146</v>
      </c>
      <c r="B600" t="s">
        <v>168</v>
      </c>
      <c r="C600" t="s">
        <v>658</v>
      </c>
      <c r="D600" t="s">
        <v>285</v>
      </c>
      <c r="E600" s="70">
        <v>345719</v>
      </c>
    </row>
    <row r="601" spans="1:5" x14ac:dyDescent="0.25">
      <c r="A601" s="69">
        <v>46146</v>
      </c>
      <c r="B601" t="s">
        <v>168</v>
      </c>
      <c r="C601" t="s">
        <v>659</v>
      </c>
      <c r="D601" t="s">
        <v>279</v>
      </c>
      <c r="E601" s="70">
        <v>499117</v>
      </c>
    </row>
    <row r="602" spans="1:5" x14ac:dyDescent="0.25">
      <c r="A602" s="69">
        <v>46146</v>
      </c>
      <c r="B602" t="s">
        <v>168</v>
      </c>
      <c r="C602" t="s">
        <v>660</v>
      </c>
      <c r="D602" t="s">
        <v>277</v>
      </c>
      <c r="E602" s="70">
        <v>340049</v>
      </c>
    </row>
    <row r="603" spans="1:5" x14ac:dyDescent="0.25">
      <c r="A603" s="69">
        <v>46146</v>
      </c>
      <c r="B603" t="s">
        <v>250</v>
      </c>
      <c r="C603" t="s">
        <v>661</v>
      </c>
      <c r="D603" t="s">
        <v>285</v>
      </c>
      <c r="E603" s="70">
        <v>643</v>
      </c>
    </row>
    <row r="604" spans="1:5" x14ac:dyDescent="0.25">
      <c r="A604" s="69">
        <v>46146</v>
      </c>
      <c r="B604" t="s">
        <v>168</v>
      </c>
      <c r="C604" t="s">
        <v>659</v>
      </c>
      <c r="D604" t="s">
        <v>286</v>
      </c>
      <c r="E604" s="70">
        <v>499117</v>
      </c>
    </row>
    <row r="605" spans="1:5" x14ac:dyDescent="0.25">
      <c r="A605" s="69">
        <v>46146</v>
      </c>
      <c r="B605" t="s">
        <v>168</v>
      </c>
      <c r="C605" t="s">
        <v>660</v>
      </c>
      <c r="D605" t="s">
        <v>286</v>
      </c>
      <c r="E605" s="70">
        <v>340049</v>
      </c>
    </row>
    <row r="606" spans="1:5" x14ac:dyDescent="0.25">
      <c r="A606" s="69">
        <v>46146</v>
      </c>
      <c r="B606" t="s">
        <v>250</v>
      </c>
      <c r="C606" t="s">
        <v>284</v>
      </c>
      <c r="D606" t="s">
        <v>286</v>
      </c>
      <c r="E606" s="70">
        <v>1872000</v>
      </c>
    </row>
    <row r="607" spans="1:5" x14ac:dyDescent="0.25">
      <c r="A607" s="69">
        <v>46146</v>
      </c>
      <c r="B607" t="s">
        <v>169</v>
      </c>
      <c r="C607" t="s">
        <v>662</v>
      </c>
      <c r="D607" t="s">
        <v>286</v>
      </c>
      <c r="E607" s="70">
        <v>2050000</v>
      </c>
    </row>
    <row r="608" spans="1:5" x14ac:dyDescent="0.25">
      <c r="A608" s="69">
        <v>46146</v>
      </c>
      <c r="B608" t="s">
        <v>204</v>
      </c>
      <c r="C608" t="s">
        <v>663</v>
      </c>
      <c r="D608" t="s">
        <v>286</v>
      </c>
      <c r="E608" s="70">
        <v>3408000</v>
      </c>
    </row>
    <row r="609" spans="1:5" x14ac:dyDescent="0.25">
      <c r="A609" s="69">
        <v>46146</v>
      </c>
      <c r="B609" t="s">
        <v>168</v>
      </c>
      <c r="C609" t="s">
        <v>660</v>
      </c>
      <c r="D609" t="s">
        <v>285</v>
      </c>
      <c r="E609" s="70">
        <v>340049</v>
      </c>
    </row>
    <row r="610" spans="1:5" x14ac:dyDescent="0.25">
      <c r="A610" s="69">
        <v>46146</v>
      </c>
      <c r="B610" t="s">
        <v>169</v>
      </c>
      <c r="C610" t="s">
        <v>662</v>
      </c>
      <c r="D610" t="s">
        <v>285</v>
      </c>
      <c r="E610" s="70">
        <v>2050000</v>
      </c>
    </row>
    <row r="611" spans="1:5" x14ac:dyDescent="0.25">
      <c r="A611" s="69">
        <v>46146</v>
      </c>
      <c r="B611" t="s">
        <v>204</v>
      </c>
      <c r="C611" t="s">
        <v>663</v>
      </c>
      <c r="D611" t="s">
        <v>285</v>
      </c>
      <c r="E611" s="70">
        <v>3408000</v>
      </c>
    </row>
    <row r="612" spans="1:5" x14ac:dyDescent="0.25">
      <c r="A612" s="69">
        <v>46146</v>
      </c>
      <c r="B612" t="s">
        <v>191</v>
      </c>
      <c r="C612" t="s">
        <v>664</v>
      </c>
      <c r="D612" t="s">
        <v>286</v>
      </c>
      <c r="E612" s="70">
        <v>6446111</v>
      </c>
    </row>
    <row r="613" spans="1:5" x14ac:dyDescent="0.25">
      <c r="A613" s="69">
        <v>46146</v>
      </c>
      <c r="B613" t="s">
        <v>164</v>
      </c>
      <c r="C613" t="s">
        <v>665</v>
      </c>
      <c r="D613" t="s">
        <v>286</v>
      </c>
      <c r="E613" s="70">
        <v>1806970</v>
      </c>
    </row>
    <row r="614" spans="1:5" x14ac:dyDescent="0.25">
      <c r="A614" s="69">
        <v>46146</v>
      </c>
      <c r="B614" t="s">
        <v>161</v>
      </c>
      <c r="C614" t="s">
        <v>666</v>
      </c>
      <c r="D614" t="s">
        <v>286</v>
      </c>
      <c r="E614" s="70">
        <v>6298507</v>
      </c>
    </row>
    <row r="615" spans="1:5" x14ac:dyDescent="0.25">
      <c r="A615" s="69">
        <v>46146</v>
      </c>
      <c r="B615" t="s">
        <v>604</v>
      </c>
      <c r="C615" t="s">
        <v>667</v>
      </c>
      <c r="D615" t="s">
        <v>286</v>
      </c>
      <c r="E615" s="70">
        <v>440000</v>
      </c>
    </row>
    <row r="616" spans="1:5" x14ac:dyDescent="0.25">
      <c r="A616" s="69">
        <v>46146</v>
      </c>
      <c r="B616" t="s">
        <v>244</v>
      </c>
      <c r="C616" t="s">
        <v>668</v>
      </c>
      <c r="D616" t="s">
        <v>279</v>
      </c>
      <c r="E616" s="70">
        <v>1890188</v>
      </c>
    </row>
    <row r="617" spans="1:5" x14ac:dyDescent="0.25">
      <c r="A617" s="69">
        <v>46146</v>
      </c>
      <c r="B617" t="s">
        <v>164</v>
      </c>
      <c r="C617" t="s">
        <v>665</v>
      </c>
      <c r="D617" t="s">
        <v>279</v>
      </c>
      <c r="E617" s="70">
        <v>1806970</v>
      </c>
    </row>
    <row r="618" spans="1:5" x14ac:dyDescent="0.25">
      <c r="A618" s="69">
        <v>46146</v>
      </c>
      <c r="B618" t="s">
        <v>244</v>
      </c>
      <c r="C618" t="s">
        <v>668</v>
      </c>
      <c r="D618" t="s">
        <v>286</v>
      </c>
      <c r="E618" s="70">
        <v>1890188</v>
      </c>
    </row>
    <row r="619" spans="1:5" x14ac:dyDescent="0.25">
      <c r="A619" s="69">
        <v>46146</v>
      </c>
      <c r="B619" t="s">
        <v>161</v>
      </c>
      <c r="C619" t="s">
        <v>354</v>
      </c>
      <c r="D619" t="s">
        <v>285</v>
      </c>
      <c r="E619" s="70">
        <v>3744000</v>
      </c>
    </row>
    <row r="620" spans="1:5" x14ac:dyDescent="0.25">
      <c r="A620" s="69">
        <v>46146</v>
      </c>
      <c r="B620" t="s">
        <v>244</v>
      </c>
      <c r="C620" t="s">
        <v>669</v>
      </c>
      <c r="D620" t="s">
        <v>277</v>
      </c>
      <c r="E620" s="70">
        <v>2014710</v>
      </c>
    </row>
    <row r="621" spans="1:5" x14ac:dyDescent="0.25">
      <c r="A621" s="69">
        <v>46146</v>
      </c>
      <c r="B621" t="s">
        <v>180</v>
      </c>
      <c r="C621" t="s">
        <v>278</v>
      </c>
      <c r="D621" t="s">
        <v>286</v>
      </c>
      <c r="E621" s="70">
        <v>1000000</v>
      </c>
    </row>
    <row r="622" spans="1:5" x14ac:dyDescent="0.25">
      <c r="A622" s="69">
        <v>46146</v>
      </c>
      <c r="B622" t="s">
        <v>244</v>
      </c>
      <c r="C622" t="s">
        <v>670</v>
      </c>
      <c r="D622" t="s">
        <v>286</v>
      </c>
      <c r="E622" s="70">
        <v>5142530</v>
      </c>
    </row>
    <row r="623" spans="1:5" x14ac:dyDescent="0.25">
      <c r="A623" s="69">
        <v>46146</v>
      </c>
      <c r="B623" t="s">
        <v>168</v>
      </c>
      <c r="C623" t="s">
        <v>667</v>
      </c>
      <c r="D623" t="s">
        <v>286</v>
      </c>
      <c r="E623" s="70">
        <v>440000</v>
      </c>
    </row>
    <row r="624" spans="1:5" x14ac:dyDescent="0.25">
      <c r="A624" s="69">
        <v>46146</v>
      </c>
      <c r="B624" t="s">
        <v>161</v>
      </c>
      <c r="C624" t="s">
        <v>671</v>
      </c>
      <c r="D624" t="s">
        <v>285</v>
      </c>
      <c r="E624" s="70">
        <v>6290507</v>
      </c>
    </row>
    <row r="625" spans="1:5" x14ac:dyDescent="0.25">
      <c r="A625" s="69">
        <v>46146</v>
      </c>
      <c r="B625" t="s">
        <v>161</v>
      </c>
      <c r="C625" t="s">
        <v>354</v>
      </c>
      <c r="D625" t="s">
        <v>286</v>
      </c>
      <c r="E625" s="70">
        <v>3744000</v>
      </c>
    </row>
    <row r="626" spans="1:5" x14ac:dyDescent="0.25">
      <c r="A626" s="69">
        <v>46146</v>
      </c>
      <c r="B626" t="s">
        <v>244</v>
      </c>
      <c r="C626" t="s">
        <v>669</v>
      </c>
      <c r="D626" t="s">
        <v>286</v>
      </c>
      <c r="E626" s="70">
        <v>2014710</v>
      </c>
    </row>
    <row r="627" spans="1:5" x14ac:dyDescent="0.25">
      <c r="A627" s="69">
        <v>46146</v>
      </c>
      <c r="B627" t="s">
        <v>180</v>
      </c>
      <c r="C627" t="s">
        <v>278</v>
      </c>
      <c r="D627" t="s">
        <v>285</v>
      </c>
      <c r="E627" s="70">
        <v>1000000</v>
      </c>
    </row>
    <row r="628" spans="1:5" x14ac:dyDescent="0.25">
      <c r="A628" s="69">
        <v>46146</v>
      </c>
      <c r="B628" t="s">
        <v>244</v>
      </c>
      <c r="C628" t="s">
        <v>670</v>
      </c>
      <c r="D628" t="s">
        <v>285</v>
      </c>
      <c r="E628" s="70">
        <v>5142530</v>
      </c>
    </row>
    <row r="629" spans="1:5" x14ac:dyDescent="0.25">
      <c r="A629" s="69">
        <v>46146</v>
      </c>
      <c r="B629" t="s">
        <v>180</v>
      </c>
      <c r="C629" t="s">
        <v>672</v>
      </c>
      <c r="D629" t="s">
        <v>286</v>
      </c>
      <c r="E629" s="70">
        <v>267000</v>
      </c>
    </row>
    <row r="630" spans="1:5" x14ac:dyDescent="0.25">
      <c r="A630" s="69">
        <v>46146</v>
      </c>
      <c r="B630" t="s">
        <v>168</v>
      </c>
      <c r="C630" t="s">
        <v>673</v>
      </c>
      <c r="D630" t="s">
        <v>286</v>
      </c>
      <c r="E630" s="70">
        <v>477286</v>
      </c>
    </row>
    <row r="631" spans="1:5" x14ac:dyDescent="0.25">
      <c r="A631" s="69">
        <v>46146</v>
      </c>
      <c r="B631" t="s">
        <v>603</v>
      </c>
      <c r="C631" t="s">
        <v>667</v>
      </c>
      <c r="D631" t="s">
        <v>286</v>
      </c>
      <c r="E631" s="70">
        <v>440000</v>
      </c>
    </row>
    <row r="632" spans="1:5" x14ac:dyDescent="0.25">
      <c r="A632" s="69">
        <v>46146</v>
      </c>
      <c r="B632" t="s">
        <v>247</v>
      </c>
      <c r="C632" t="s">
        <v>590</v>
      </c>
      <c r="D632" t="s">
        <v>286</v>
      </c>
      <c r="E632" s="70">
        <v>17000</v>
      </c>
    </row>
    <row r="633" spans="1:5" x14ac:dyDescent="0.25">
      <c r="A633" s="69">
        <v>46146</v>
      </c>
      <c r="B633" t="s">
        <v>169</v>
      </c>
      <c r="C633" t="s">
        <v>674</v>
      </c>
      <c r="D633" t="s">
        <v>286</v>
      </c>
      <c r="E633" s="70">
        <v>4389030</v>
      </c>
    </row>
    <row r="634" spans="1:5" x14ac:dyDescent="0.25">
      <c r="A634" s="69">
        <v>46146</v>
      </c>
      <c r="B634" t="s">
        <v>552</v>
      </c>
      <c r="C634" t="s">
        <v>675</v>
      </c>
      <c r="D634" t="s">
        <v>286</v>
      </c>
      <c r="E634" s="70">
        <v>3327441</v>
      </c>
    </row>
    <row r="635" spans="1:5" x14ac:dyDescent="0.25">
      <c r="A635" s="69">
        <v>46146</v>
      </c>
      <c r="B635" t="s">
        <v>552</v>
      </c>
      <c r="C635" t="s">
        <v>676</v>
      </c>
      <c r="D635" t="s">
        <v>285</v>
      </c>
      <c r="E635" s="70">
        <v>1650454</v>
      </c>
    </row>
    <row r="636" spans="1:5" x14ac:dyDescent="0.25">
      <c r="A636" s="69">
        <v>46146</v>
      </c>
      <c r="B636" t="s">
        <v>552</v>
      </c>
      <c r="C636" t="s">
        <v>677</v>
      </c>
      <c r="D636" t="s">
        <v>301</v>
      </c>
      <c r="E636" s="70">
        <v>1380469</v>
      </c>
    </row>
    <row r="637" spans="1:5" x14ac:dyDescent="0.25">
      <c r="A637" s="69">
        <v>46146</v>
      </c>
      <c r="B637" t="s">
        <v>552</v>
      </c>
      <c r="C637" t="s">
        <v>675</v>
      </c>
      <c r="D637" t="s">
        <v>285</v>
      </c>
      <c r="E637" s="70">
        <v>3327441</v>
      </c>
    </row>
    <row r="638" spans="1:5" x14ac:dyDescent="0.25">
      <c r="A638" s="69">
        <v>46146</v>
      </c>
      <c r="B638" t="s">
        <v>162</v>
      </c>
      <c r="C638" t="s">
        <v>678</v>
      </c>
      <c r="D638" t="s">
        <v>286</v>
      </c>
      <c r="E638" s="70">
        <v>1350000</v>
      </c>
    </row>
    <row r="639" spans="1:5" x14ac:dyDescent="0.25">
      <c r="A639" s="69">
        <v>46146</v>
      </c>
      <c r="B639" t="s">
        <v>552</v>
      </c>
      <c r="C639" t="s">
        <v>677</v>
      </c>
      <c r="D639" t="s">
        <v>285</v>
      </c>
      <c r="E639" s="70">
        <v>1380469</v>
      </c>
    </row>
    <row r="640" spans="1:5" x14ac:dyDescent="0.25">
      <c r="A640" s="69">
        <v>46146</v>
      </c>
      <c r="B640" t="s">
        <v>169</v>
      </c>
      <c r="C640" t="s">
        <v>679</v>
      </c>
      <c r="D640" t="s">
        <v>279</v>
      </c>
      <c r="E640" s="70">
        <v>350000</v>
      </c>
    </row>
    <row r="641" spans="1:5" x14ac:dyDescent="0.25">
      <c r="A641" s="69">
        <v>46146</v>
      </c>
      <c r="B641" t="s">
        <v>202</v>
      </c>
      <c r="C641" t="s">
        <v>680</v>
      </c>
      <c r="D641" t="s">
        <v>286</v>
      </c>
      <c r="E641" s="70">
        <v>51213</v>
      </c>
    </row>
    <row r="642" spans="1:5" x14ac:dyDescent="0.25">
      <c r="A642" s="69">
        <v>46146</v>
      </c>
      <c r="B642" t="s">
        <v>169</v>
      </c>
      <c r="C642" t="s">
        <v>679</v>
      </c>
      <c r="D642" t="s">
        <v>286</v>
      </c>
      <c r="E642" s="70">
        <v>350000</v>
      </c>
    </row>
    <row r="643" spans="1:5" x14ac:dyDescent="0.25">
      <c r="A643" s="69">
        <v>46146</v>
      </c>
      <c r="B643" t="s">
        <v>163</v>
      </c>
      <c r="C643" t="s">
        <v>297</v>
      </c>
      <c r="D643" t="s">
        <v>299</v>
      </c>
      <c r="E643" s="70">
        <v>2926000</v>
      </c>
    </row>
    <row r="644" spans="1:5" x14ac:dyDescent="0.25">
      <c r="A644" s="69">
        <v>46146</v>
      </c>
      <c r="B644" t="s">
        <v>163</v>
      </c>
      <c r="C644" t="s">
        <v>681</v>
      </c>
      <c r="D644" t="s">
        <v>301</v>
      </c>
      <c r="E644" s="70">
        <v>1377898</v>
      </c>
    </row>
    <row r="645" spans="1:5" x14ac:dyDescent="0.25">
      <c r="A645" s="69">
        <v>46146</v>
      </c>
      <c r="B645" t="s">
        <v>155</v>
      </c>
      <c r="C645" t="s">
        <v>682</v>
      </c>
      <c r="D645" t="s">
        <v>285</v>
      </c>
      <c r="E645" s="70">
        <v>3748916</v>
      </c>
    </row>
    <row r="646" spans="1:5" x14ac:dyDescent="0.25">
      <c r="A646" s="69">
        <v>46146</v>
      </c>
      <c r="B646" t="s">
        <v>244</v>
      </c>
      <c r="C646" t="s">
        <v>683</v>
      </c>
      <c r="D646" t="s">
        <v>285</v>
      </c>
      <c r="E646" s="70">
        <v>1376900</v>
      </c>
    </row>
    <row r="647" spans="1:5" x14ac:dyDescent="0.25">
      <c r="A647" s="69">
        <v>46146</v>
      </c>
      <c r="B647" t="s">
        <v>244</v>
      </c>
      <c r="C647" t="s">
        <v>684</v>
      </c>
      <c r="D647" t="s">
        <v>286</v>
      </c>
      <c r="E647" s="70">
        <v>973148</v>
      </c>
    </row>
    <row r="648" spans="1:5" x14ac:dyDescent="0.25">
      <c r="A648" s="69">
        <v>46146</v>
      </c>
      <c r="B648" t="s">
        <v>163</v>
      </c>
      <c r="C648" t="s">
        <v>297</v>
      </c>
      <c r="D648" t="s">
        <v>277</v>
      </c>
      <c r="E648" s="70">
        <v>2926000</v>
      </c>
    </row>
    <row r="649" spans="1:5" x14ac:dyDescent="0.25">
      <c r="A649" s="69">
        <v>46146</v>
      </c>
      <c r="B649" t="s">
        <v>155</v>
      </c>
      <c r="C649" t="s">
        <v>682</v>
      </c>
      <c r="D649" t="s">
        <v>286</v>
      </c>
      <c r="E649" s="70">
        <v>3748916</v>
      </c>
    </row>
    <row r="650" spans="1:5" x14ac:dyDescent="0.25">
      <c r="A650" s="69">
        <v>46146</v>
      </c>
      <c r="B650" t="s">
        <v>244</v>
      </c>
      <c r="C650" t="s">
        <v>685</v>
      </c>
      <c r="D650" t="s">
        <v>285</v>
      </c>
      <c r="E650" s="70">
        <v>2679890</v>
      </c>
    </row>
    <row r="651" spans="1:5" x14ac:dyDescent="0.25">
      <c r="A651" s="69">
        <v>46146</v>
      </c>
      <c r="B651" t="s">
        <v>156</v>
      </c>
      <c r="C651" t="s">
        <v>686</v>
      </c>
      <c r="D651" t="s">
        <v>277</v>
      </c>
      <c r="E651" s="70">
        <v>2153129</v>
      </c>
    </row>
    <row r="652" spans="1:5" x14ac:dyDescent="0.25">
      <c r="A652" s="69">
        <v>46146</v>
      </c>
      <c r="B652" t="s">
        <v>244</v>
      </c>
      <c r="C652" t="s">
        <v>685</v>
      </c>
      <c r="D652" t="s">
        <v>277</v>
      </c>
      <c r="E652" s="70">
        <v>2679890</v>
      </c>
    </row>
    <row r="653" spans="1:5" x14ac:dyDescent="0.25">
      <c r="A653" s="69">
        <v>46146</v>
      </c>
      <c r="B653" t="s">
        <v>156</v>
      </c>
      <c r="C653" t="s">
        <v>686</v>
      </c>
      <c r="D653" t="s">
        <v>286</v>
      </c>
      <c r="E653" s="70">
        <v>2153129</v>
      </c>
    </row>
    <row r="654" spans="1:5" x14ac:dyDescent="0.25">
      <c r="A654" s="69">
        <v>46146</v>
      </c>
      <c r="B654" t="s">
        <v>598</v>
      </c>
      <c r="C654" t="s">
        <v>687</v>
      </c>
      <c r="D654" t="s">
        <v>285</v>
      </c>
      <c r="E654" s="70">
        <v>1090261</v>
      </c>
    </row>
    <row r="655" spans="1:5" x14ac:dyDescent="0.25">
      <c r="A655" s="69">
        <v>46146</v>
      </c>
      <c r="B655" t="s">
        <v>179</v>
      </c>
      <c r="C655" t="s">
        <v>385</v>
      </c>
      <c r="D655" t="s">
        <v>286</v>
      </c>
      <c r="E655" s="70">
        <v>2250000</v>
      </c>
    </row>
    <row r="656" spans="1:5" x14ac:dyDescent="0.25">
      <c r="A656" s="69">
        <v>46146</v>
      </c>
      <c r="B656" t="s">
        <v>180</v>
      </c>
      <c r="C656" t="s">
        <v>688</v>
      </c>
      <c r="D656" t="s">
        <v>286</v>
      </c>
      <c r="E656" s="70">
        <v>2676000</v>
      </c>
    </row>
    <row r="657" spans="1:7" x14ac:dyDescent="0.25">
      <c r="A657" s="69">
        <v>46146</v>
      </c>
      <c r="B657" t="s">
        <v>180</v>
      </c>
      <c r="C657" t="s">
        <v>689</v>
      </c>
      <c r="D657" t="s">
        <v>285</v>
      </c>
      <c r="E657" s="70">
        <v>1240206</v>
      </c>
    </row>
    <row r="658" spans="1:7" x14ac:dyDescent="0.25">
      <c r="A658" s="69">
        <v>46146</v>
      </c>
      <c r="B658" t="s">
        <v>180</v>
      </c>
      <c r="C658" t="s">
        <v>690</v>
      </c>
      <c r="D658" t="s">
        <v>285</v>
      </c>
      <c r="E658" s="70">
        <v>1017080</v>
      </c>
    </row>
    <row r="659" spans="1:7" x14ac:dyDescent="0.25">
      <c r="A659" s="69">
        <v>46146</v>
      </c>
      <c r="B659" t="s">
        <v>180</v>
      </c>
      <c r="C659" t="s">
        <v>688</v>
      </c>
      <c r="D659" t="s">
        <v>279</v>
      </c>
      <c r="E659" s="70">
        <v>2676000</v>
      </c>
    </row>
    <row r="660" spans="1:7" x14ac:dyDescent="0.25">
      <c r="A660" s="69">
        <v>46146</v>
      </c>
      <c r="B660" t="s">
        <v>180</v>
      </c>
      <c r="C660" t="s">
        <v>691</v>
      </c>
      <c r="D660" t="s">
        <v>301</v>
      </c>
      <c r="E660" s="70">
        <v>1017980</v>
      </c>
    </row>
    <row r="661" spans="1:7" x14ac:dyDescent="0.25">
      <c r="A661" s="69">
        <v>46146</v>
      </c>
      <c r="B661" t="s">
        <v>598</v>
      </c>
      <c r="C661" t="s">
        <v>692</v>
      </c>
      <c r="D661" t="s">
        <v>301</v>
      </c>
      <c r="E661" s="70">
        <v>1020835</v>
      </c>
    </row>
    <row r="662" spans="1:7" x14ac:dyDescent="0.25">
      <c r="A662" s="69">
        <v>46146</v>
      </c>
      <c r="B662" t="s">
        <v>598</v>
      </c>
      <c r="C662" t="s">
        <v>693</v>
      </c>
      <c r="D662" t="s">
        <v>286</v>
      </c>
      <c r="E662" s="70">
        <v>1018892</v>
      </c>
    </row>
    <row r="663" spans="1:7" x14ac:dyDescent="0.25">
      <c r="A663" s="69">
        <v>46146</v>
      </c>
      <c r="B663" t="s">
        <v>598</v>
      </c>
      <c r="C663" t="s">
        <v>694</v>
      </c>
      <c r="D663" t="s">
        <v>286</v>
      </c>
      <c r="E663" s="70">
        <v>1013599</v>
      </c>
    </row>
    <row r="664" spans="1:7" x14ac:dyDescent="0.25">
      <c r="A664" s="69">
        <v>46146</v>
      </c>
      <c r="B664" t="s">
        <v>222</v>
      </c>
      <c r="C664" t="s">
        <v>695</v>
      </c>
      <c r="D664" t="s">
        <v>286</v>
      </c>
      <c r="E664" s="70">
        <v>589</v>
      </c>
    </row>
    <row r="665" spans="1:7" x14ac:dyDescent="0.25">
      <c r="A665" s="69">
        <v>46146</v>
      </c>
      <c r="B665" t="s">
        <v>202</v>
      </c>
      <c r="C665" t="s">
        <v>696</v>
      </c>
      <c r="D665" t="s">
        <v>282</v>
      </c>
      <c r="F665" s="70">
        <v>25</v>
      </c>
      <c r="G665" s="70">
        <v>603</v>
      </c>
    </row>
    <row r="666" spans="1:7" x14ac:dyDescent="0.25">
      <c r="A666" s="69">
        <v>46146</v>
      </c>
      <c r="B666" t="s">
        <v>179</v>
      </c>
      <c r="C666" t="s">
        <v>385</v>
      </c>
      <c r="D666" t="s">
        <v>277</v>
      </c>
      <c r="E666" s="70">
        <v>2250000</v>
      </c>
    </row>
    <row r="667" spans="1:7" x14ac:dyDescent="0.25">
      <c r="A667" s="69">
        <v>46146</v>
      </c>
      <c r="B667" t="s">
        <v>180</v>
      </c>
      <c r="C667" t="s">
        <v>688</v>
      </c>
      <c r="D667" t="s">
        <v>285</v>
      </c>
      <c r="E667" s="70">
        <v>2676000</v>
      </c>
    </row>
    <row r="668" spans="1:7" x14ac:dyDescent="0.25">
      <c r="A668" s="69">
        <v>46146</v>
      </c>
      <c r="B668" t="s">
        <v>609</v>
      </c>
      <c r="C668" t="s">
        <v>697</v>
      </c>
      <c r="D668" t="s">
        <v>282</v>
      </c>
      <c r="F668" s="70">
        <v>2</v>
      </c>
      <c r="G668" s="70">
        <v>56</v>
      </c>
    </row>
    <row r="669" spans="1:7" x14ac:dyDescent="0.25">
      <c r="A669" s="69">
        <v>46146</v>
      </c>
      <c r="B669" t="s">
        <v>164</v>
      </c>
      <c r="C669" t="s">
        <v>698</v>
      </c>
      <c r="D669" t="s">
        <v>282</v>
      </c>
      <c r="F669" s="70">
        <v>86</v>
      </c>
      <c r="G669" s="70">
        <v>2075</v>
      </c>
    </row>
    <row r="670" spans="1:7" x14ac:dyDescent="0.25">
      <c r="A670" s="69">
        <v>46146</v>
      </c>
      <c r="B670" t="s">
        <v>152</v>
      </c>
      <c r="C670" t="s">
        <v>699</v>
      </c>
      <c r="D670" t="s">
        <v>282</v>
      </c>
      <c r="F670" s="70">
        <v>13</v>
      </c>
      <c r="G670" s="70">
        <v>307</v>
      </c>
    </row>
    <row r="671" spans="1:7" x14ac:dyDescent="0.25">
      <c r="A671" s="69">
        <v>46146</v>
      </c>
      <c r="B671" t="s">
        <v>598</v>
      </c>
      <c r="C671" t="s">
        <v>700</v>
      </c>
      <c r="D671" t="s">
        <v>285</v>
      </c>
      <c r="E671" s="70">
        <v>1010692</v>
      </c>
    </row>
    <row r="672" spans="1:7" x14ac:dyDescent="0.25">
      <c r="A672" s="69">
        <v>46146</v>
      </c>
      <c r="B672" t="s">
        <v>243</v>
      </c>
      <c r="C672" t="s">
        <v>701</v>
      </c>
      <c r="D672" t="s">
        <v>282</v>
      </c>
      <c r="F672" s="70">
        <v>22</v>
      </c>
      <c r="G672" s="70">
        <v>529</v>
      </c>
    </row>
    <row r="673" spans="1:7" x14ac:dyDescent="0.25">
      <c r="A673" s="69">
        <v>46146</v>
      </c>
      <c r="B673" t="s">
        <v>242</v>
      </c>
      <c r="C673" t="s">
        <v>702</v>
      </c>
      <c r="D673" t="s">
        <v>282</v>
      </c>
      <c r="F673" s="70">
        <v>21</v>
      </c>
      <c r="G673" s="70">
        <v>499</v>
      </c>
    </row>
    <row r="674" spans="1:7" x14ac:dyDescent="0.25">
      <c r="A674" s="69">
        <v>46146</v>
      </c>
      <c r="B674" t="s">
        <v>159</v>
      </c>
      <c r="C674" t="s">
        <v>703</v>
      </c>
      <c r="D674" t="s">
        <v>282</v>
      </c>
      <c r="F674" s="70">
        <v>14</v>
      </c>
      <c r="G674" s="70">
        <v>329</v>
      </c>
    </row>
    <row r="675" spans="1:7" x14ac:dyDescent="0.25">
      <c r="A675" s="69">
        <v>46146</v>
      </c>
      <c r="B675" t="s">
        <v>250</v>
      </c>
      <c r="C675" t="s">
        <v>704</v>
      </c>
      <c r="D675" t="s">
        <v>301</v>
      </c>
      <c r="E675" s="70">
        <v>45990</v>
      </c>
    </row>
    <row r="676" spans="1:7" x14ac:dyDescent="0.25">
      <c r="A676" s="69">
        <v>46146</v>
      </c>
      <c r="B676" t="s">
        <v>250</v>
      </c>
      <c r="C676" t="s">
        <v>705</v>
      </c>
      <c r="D676" t="s">
        <v>286</v>
      </c>
      <c r="E676" s="70">
        <v>593661</v>
      </c>
    </row>
    <row r="677" spans="1:7" x14ac:dyDescent="0.25">
      <c r="A677" s="69">
        <v>46146</v>
      </c>
      <c r="B677" t="s">
        <v>706</v>
      </c>
      <c r="C677" t="s">
        <v>701</v>
      </c>
      <c r="D677" t="s">
        <v>282</v>
      </c>
      <c r="F677" s="70">
        <v>22</v>
      </c>
      <c r="G677" s="70">
        <v>529</v>
      </c>
    </row>
    <row r="678" spans="1:7" x14ac:dyDescent="0.25">
      <c r="A678" s="69">
        <v>46146</v>
      </c>
      <c r="B678" t="s">
        <v>250</v>
      </c>
      <c r="C678" t="s">
        <v>707</v>
      </c>
      <c r="D678" t="s">
        <v>285</v>
      </c>
      <c r="E678" s="70">
        <v>538993</v>
      </c>
    </row>
    <row r="679" spans="1:7" x14ac:dyDescent="0.25">
      <c r="A679" s="69">
        <v>46146</v>
      </c>
      <c r="B679" t="s">
        <v>244</v>
      </c>
      <c r="C679" t="s">
        <v>708</v>
      </c>
      <c r="D679" t="s">
        <v>285</v>
      </c>
      <c r="E679" s="70">
        <v>1500560</v>
      </c>
    </row>
    <row r="680" spans="1:7" x14ac:dyDescent="0.25">
      <c r="A680" s="69">
        <v>46146</v>
      </c>
      <c r="B680" t="s">
        <v>156</v>
      </c>
      <c r="C680" t="s">
        <v>709</v>
      </c>
      <c r="D680" t="s">
        <v>286</v>
      </c>
      <c r="E680" s="70">
        <v>1418888</v>
      </c>
    </row>
    <row r="681" spans="1:7" x14ac:dyDescent="0.25">
      <c r="A681" s="69">
        <v>46146</v>
      </c>
      <c r="B681" t="s">
        <v>604</v>
      </c>
      <c r="C681" t="s">
        <v>710</v>
      </c>
      <c r="D681" t="s">
        <v>277</v>
      </c>
      <c r="E681" s="70">
        <v>42000000</v>
      </c>
    </row>
    <row r="682" spans="1:7" x14ac:dyDescent="0.25">
      <c r="A682" s="69">
        <v>46146</v>
      </c>
      <c r="B682" t="s">
        <v>250</v>
      </c>
      <c r="C682" t="s">
        <v>705</v>
      </c>
      <c r="D682" t="s">
        <v>279</v>
      </c>
      <c r="E682" s="70">
        <v>593661</v>
      </c>
    </row>
    <row r="683" spans="1:7" x14ac:dyDescent="0.25">
      <c r="A683" s="69">
        <v>46146</v>
      </c>
      <c r="B683" t="s">
        <v>250</v>
      </c>
      <c r="C683" t="s">
        <v>707</v>
      </c>
      <c r="D683" t="s">
        <v>286</v>
      </c>
      <c r="E683" s="70">
        <v>538993</v>
      </c>
    </row>
    <row r="684" spans="1:7" x14ac:dyDescent="0.25">
      <c r="A684" s="69">
        <v>46146</v>
      </c>
      <c r="B684" t="s">
        <v>244</v>
      </c>
      <c r="C684" t="s">
        <v>708</v>
      </c>
      <c r="D684" t="s">
        <v>277</v>
      </c>
      <c r="E684" s="70">
        <v>1500560</v>
      </c>
    </row>
    <row r="685" spans="1:7" x14ac:dyDescent="0.25">
      <c r="A685" s="69">
        <v>46146</v>
      </c>
      <c r="B685" t="s">
        <v>604</v>
      </c>
      <c r="C685" t="s">
        <v>710</v>
      </c>
      <c r="D685" t="s">
        <v>286</v>
      </c>
      <c r="E685" s="70">
        <v>42000000</v>
      </c>
    </row>
    <row r="686" spans="1:7" x14ac:dyDescent="0.25">
      <c r="A686" s="69">
        <v>46146</v>
      </c>
      <c r="B686" t="s">
        <v>165</v>
      </c>
      <c r="C686" t="s">
        <v>711</v>
      </c>
      <c r="D686" t="s">
        <v>286</v>
      </c>
      <c r="E686" s="70">
        <v>879055</v>
      </c>
    </row>
    <row r="687" spans="1:7" x14ac:dyDescent="0.25">
      <c r="A687" s="69">
        <v>46146</v>
      </c>
      <c r="B687" t="s">
        <v>604</v>
      </c>
      <c r="C687" t="s">
        <v>712</v>
      </c>
      <c r="D687" t="s">
        <v>285</v>
      </c>
      <c r="E687" s="70">
        <v>3909551</v>
      </c>
    </row>
    <row r="688" spans="1:7" x14ac:dyDescent="0.25">
      <c r="A688" s="69">
        <v>46146</v>
      </c>
      <c r="B688" t="s">
        <v>604</v>
      </c>
      <c r="C688" t="s">
        <v>713</v>
      </c>
      <c r="D688" t="s">
        <v>301</v>
      </c>
      <c r="E688" s="70">
        <v>4819622</v>
      </c>
    </row>
    <row r="689" spans="1:5" x14ac:dyDescent="0.25">
      <c r="A689" s="69">
        <v>46146</v>
      </c>
      <c r="B689" t="s">
        <v>604</v>
      </c>
      <c r="C689" t="s">
        <v>714</v>
      </c>
      <c r="D689" t="s">
        <v>286</v>
      </c>
      <c r="E689" s="70">
        <v>6055768</v>
      </c>
    </row>
    <row r="690" spans="1:5" x14ac:dyDescent="0.25">
      <c r="A690" s="69">
        <v>46146</v>
      </c>
      <c r="B690" t="s">
        <v>604</v>
      </c>
      <c r="C690" t="s">
        <v>715</v>
      </c>
      <c r="D690" t="s">
        <v>285</v>
      </c>
      <c r="E690" s="70">
        <v>7000000</v>
      </c>
    </row>
    <row r="691" spans="1:5" x14ac:dyDescent="0.25">
      <c r="A691" s="69">
        <v>46146</v>
      </c>
      <c r="B691" t="s">
        <v>247</v>
      </c>
      <c r="C691" t="s">
        <v>716</v>
      </c>
      <c r="D691" t="s">
        <v>285</v>
      </c>
      <c r="E691" s="70">
        <v>22464000</v>
      </c>
    </row>
    <row r="692" spans="1:5" x14ac:dyDescent="0.25">
      <c r="A692" s="69">
        <v>46146</v>
      </c>
      <c r="B692" t="s">
        <v>165</v>
      </c>
      <c r="C692" t="s">
        <v>711</v>
      </c>
      <c r="D692" t="s">
        <v>285</v>
      </c>
      <c r="E692" s="70">
        <v>879055</v>
      </c>
    </row>
    <row r="693" spans="1:5" x14ac:dyDescent="0.25">
      <c r="A693" s="69">
        <v>46146</v>
      </c>
      <c r="B693" t="s">
        <v>604</v>
      </c>
      <c r="C693" t="s">
        <v>712</v>
      </c>
      <c r="D693" t="s">
        <v>286</v>
      </c>
      <c r="E693" s="70">
        <v>3909551</v>
      </c>
    </row>
    <row r="694" spans="1:5" x14ac:dyDescent="0.25">
      <c r="A694" s="69">
        <v>46146</v>
      </c>
      <c r="B694" t="s">
        <v>604</v>
      </c>
      <c r="C694" t="s">
        <v>714</v>
      </c>
      <c r="D694" t="s">
        <v>279</v>
      </c>
      <c r="E694" s="70">
        <v>6055768</v>
      </c>
    </row>
    <row r="695" spans="1:5" x14ac:dyDescent="0.25">
      <c r="A695" s="69">
        <v>46146</v>
      </c>
      <c r="B695" t="s">
        <v>247</v>
      </c>
      <c r="C695" t="s">
        <v>716</v>
      </c>
      <c r="D695" t="s">
        <v>286</v>
      </c>
      <c r="E695" s="70">
        <v>22464000</v>
      </c>
    </row>
    <row r="696" spans="1:5" x14ac:dyDescent="0.25">
      <c r="A696" s="69">
        <v>46146</v>
      </c>
      <c r="B696" t="s">
        <v>717</v>
      </c>
      <c r="C696" t="s">
        <v>718</v>
      </c>
      <c r="D696" t="s">
        <v>285</v>
      </c>
      <c r="E696" s="70">
        <v>1142156</v>
      </c>
    </row>
    <row r="697" spans="1:5" x14ac:dyDescent="0.25">
      <c r="A697" s="69">
        <v>46146</v>
      </c>
      <c r="B697" t="s">
        <v>717</v>
      </c>
      <c r="C697" t="s">
        <v>719</v>
      </c>
      <c r="D697" t="s">
        <v>279</v>
      </c>
      <c r="E697" s="70">
        <v>1225415</v>
      </c>
    </row>
    <row r="698" spans="1:5" x14ac:dyDescent="0.25">
      <c r="A698" s="69">
        <v>46146</v>
      </c>
      <c r="B698" t="s">
        <v>717</v>
      </c>
      <c r="C698" t="s">
        <v>720</v>
      </c>
      <c r="D698" t="s">
        <v>301</v>
      </c>
      <c r="E698" s="70">
        <v>1138634</v>
      </c>
    </row>
    <row r="699" spans="1:5" x14ac:dyDescent="0.25">
      <c r="A699" s="69">
        <v>46146</v>
      </c>
      <c r="B699" t="s">
        <v>717</v>
      </c>
      <c r="C699" t="s">
        <v>721</v>
      </c>
      <c r="D699" t="s">
        <v>285</v>
      </c>
      <c r="E699" s="70">
        <v>9240000</v>
      </c>
    </row>
    <row r="700" spans="1:5" x14ac:dyDescent="0.25">
      <c r="A700" s="69">
        <v>46146</v>
      </c>
      <c r="B700" t="s">
        <v>613</v>
      </c>
      <c r="C700" t="s">
        <v>722</v>
      </c>
      <c r="D700" t="s">
        <v>285</v>
      </c>
      <c r="E700" s="70">
        <v>10320000</v>
      </c>
    </row>
    <row r="701" spans="1:5" x14ac:dyDescent="0.25">
      <c r="A701" s="69">
        <v>46146</v>
      </c>
      <c r="B701" t="s">
        <v>247</v>
      </c>
      <c r="C701" t="s">
        <v>716</v>
      </c>
      <c r="D701" t="s">
        <v>277</v>
      </c>
      <c r="E701" s="70">
        <v>22464000</v>
      </c>
    </row>
    <row r="702" spans="1:5" x14ac:dyDescent="0.25">
      <c r="A702" s="69">
        <v>46146</v>
      </c>
      <c r="B702" t="s">
        <v>717</v>
      </c>
      <c r="C702" t="s">
        <v>719</v>
      </c>
      <c r="D702" t="s">
        <v>285</v>
      </c>
      <c r="E702" s="70">
        <v>1225415</v>
      </c>
    </row>
    <row r="703" spans="1:5" x14ac:dyDescent="0.25">
      <c r="A703" s="69">
        <v>46146</v>
      </c>
      <c r="B703" t="s">
        <v>717</v>
      </c>
      <c r="C703" t="s">
        <v>721</v>
      </c>
      <c r="D703" t="s">
        <v>286</v>
      </c>
      <c r="E703" s="70">
        <v>9240000</v>
      </c>
    </row>
    <row r="704" spans="1:5" x14ac:dyDescent="0.25">
      <c r="A704" s="69">
        <v>46146</v>
      </c>
      <c r="B704" t="s">
        <v>613</v>
      </c>
      <c r="C704" t="s">
        <v>723</v>
      </c>
      <c r="D704" t="s">
        <v>286</v>
      </c>
      <c r="E704" s="70">
        <v>25091</v>
      </c>
    </row>
    <row r="705" spans="1:5" x14ac:dyDescent="0.25">
      <c r="A705" s="69">
        <v>46146</v>
      </c>
      <c r="B705" t="s">
        <v>205</v>
      </c>
      <c r="C705" t="s">
        <v>724</v>
      </c>
      <c r="D705" t="s">
        <v>286</v>
      </c>
      <c r="E705" s="70">
        <v>12542</v>
      </c>
    </row>
    <row r="706" spans="1:5" x14ac:dyDescent="0.25">
      <c r="A706" s="69">
        <v>46146</v>
      </c>
      <c r="B706" t="s">
        <v>168</v>
      </c>
      <c r="C706" t="s">
        <v>725</v>
      </c>
      <c r="D706" t="s">
        <v>286</v>
      </c>
      <c r="E706" s="70">
        <v>29582</v>
      </c>
    </row>
    <row r="707" spans="1:5" x14ac:dyDescent="0.25">
      <c r="A707" s="69">
        <v>46146</v>
      </c>
      <c r="B707" t="s">
        <v>621</v>
      </c>
      <c r="C707" t="s">
        <v>726</v>
      </c>
      <c r="D707" t="s">
        <v>286</v>
      </c>
      <c r="E707" s="70">
        <v>24745</v>
      </c>
    </row>
    <row r="708" spans="1:5" x14ac:dyDescent="0.25">
      <c r="A708" s="69">
        <v>46146</v>
      </c>
      <c r="B708" t="s">
        <v>156</v>
      </c>
      <c r="C708" t="s">
        <v>727</v>
      </c>
      <c r="D708" t="s">
        <v>286</v>
      </c>
      <c r="E708" s="70">
        <v>1766</v>
      </c>
    </row>
    <row r="709" spans="1:5" x14ac:dyDescent="0.25">
      <c r="A709" s="69">
        <v>46146</v>
      </c>
      <c r="B709" t="s">
        <v>169</v>
      </c>
      <c r="C709" t="s">
        <v>394</v>
      </c>
      <c r="D709" t="s">
        <v>285</v>
      </c>
      <c r="E709" s="70">
        <v>250000</v>
      </c>
    </row>
    <row r="710" spans="1:5" x14ac:dyDescent="0.25">
      <c r="A710" s="69">
        <v>46146</v>
      </c>
      <c r="B710" t="s">
        <v>613</v>
      </c>
      <c r="C710" t="s">
        <v>722</v>
      </c>
      <c r="D710" t="s">
        <v>277</v>
      </c>
      <c r="E710" s="70">
        <v>10320000</v>
      </c>
    </row>
    <row r="711" spans="1:5" x14ac:dyDescent="0.25">
      <c r="A711" s="69">
        <v>46146</v>
      </c>
      <c r="B711" t="s">
        <v>169</v>
      </c>
      <c r="C711" t="s">
        <v>394</v>
      </c>
      <c r="D711" t="s">
        <v>286</v>
      </c>
      <c r="E711" s="70">
        <v>250000</v>
      </c>
    </row>
    <row r="712" spans="1:5" x14ac:dyDescent="0.25">
      <c r="A712" s="69">
        <v>46146</v>
      </c>
      <c r="B712" t="s">
        <v>205</v>
      </c>
      <c r="C712" t="s">
        <v>728</v>
      </c>
      <c r="D712" t="s">
        <v>286</v>
      </c>
      <c r="E712" s="70">
        <v>25772</v>
      </c>
    </row>
    <row r="713" spans="1:5" x14ac:dyDescent="0.25">
      <c r="A713" s="69">
        <v>46146</v>
      </c>
      <c r="B713" t="s">
        <v>168</v>
      </c>
      <c r="C713" t="s">
        <v>729</v>
      </c>
      <c r="D713" t="s">
        <v>286</v>
      </c>
      <c r="E713" s="70">
        <v>817845</v>
      </c>
    </row>
    <row r="714" spans="1:5" x14ac:dyDescent="0.25">
      <c r="A714" s="69">
        <v>46146</v>
      </c>
      <c r="B714" t="s">
        <v>212</v>
      </c>
      <c r="C714" t="s">
        <v>730</v>
      </c>
      <c r="D714" t="s">
        <v>286</v>
      </c>
      <c r="E714" s="70">
        <v>257263</v>
      </c>
    </row>
    <row r="715" spans="1:5" x14ac:dyDescent="0.25">
      <c r="A715" s="69">
        <v>46146</v>
      </c>
      <c r="B715" t="s">
        <v>168</v>
      </c>
      <c r="C715" t="s">
        <v>731</v>
      </c>
      <c r="D715" t="s">
        <v>279</v>
      </c>
      <c r="E715" s="70">
        <v>879663</v>
      </c>
    </row>
    <row r="716" spans="1:5" x14ac:dyDescent="0.25">
      <c r="A716" s="69">
        <v>46146</v>
      </c>
      <c r="B716" t="s">
        <v>168</v>
      </c>
      <c r="C716" t="s">
        <v>732</v>
      </c>
      <c r="D716" t="s">
        <v>285</v>
      </c>
      <c r="E716" s="70">
        <v>413384</v>
      </c>
    </row>
    <row r="717" spans="1:5" x14ac:dyDescent="0.25">
      <c r="A717" s="69">
        <v>46146</v>
      </c>
      <c r="B717" t="s">
        <v>168</v>
      </c>
      <c r="C717" t="s">
        <v>731</v>
      </c>
      <c r="D717" t="s">
        <v>286</v>
      </c>
      <c r="E717" s="70">
        <v>879663</v>
      </c>
    </row>
    <row r="718" spans="1:5" x14ac:dyDescent="0.25">
      <c r="A718" s="69">
        <v>46146</v>
      </c>
      <c r="B718" t="s">
        <v>168</v>
      </c>
      <c r="C718" t="s">
        <v>733</v>
      </c>
      <c r="D718" t="s">
        <v>301</v>
      </c>
      <c r="E718" s="70">
        <v>773285</v>
      </c>
    </row>
    <row r="719" spans="1:5" x14ac:dyDescent="0.25">
      <c r="A719" s="69">
        <v>46146</v>
      </c>
      <c r="B719" t="s">
        <v>180</v>
      </c>
      <c r="C719" t="s">
        <v>734</v>
      </c>
      <c r="D719" t="s">
        <v>286</v>
      </c>
      <c r="E719" s="70">
        <v>4502</v>
      </c>
    </row>
    <row r="720" spans="1:5" x14ac:dyDescent="0.25">
      <c r="A720" s="69">
        <v>46146</v>
      </c>
      <c r="B720" t="s">
        <v>246</v>
      </c>
      <c r="C720" t="s">
        <v>735</v>
      </c>
      <c r="D720" t="s">
        <v>286</v>
      </c>
      <c r="E720" s="70">
        <v>1088</v>
      </c>
    </row>
    <row r="721" spans="1:5" x14ac:dyDescent="0.25">
      <c r="A721" s="69">
        <v>46146</v>
      </c>
      <c r="B721" t="s">
        <v>604</v>
      </c>
      <c r="C721" t="s">
        <v>736</v>
      </c>
      <c r="D721" t="s">
        <v>286</v>
      </c>
      <c r="E721" s="70">
        <v>1856</v>
      </c>
    </row>
    <row r="722" spans="1:5" x14ac:dyDescent="0.25">
      <c r="A722" s="69">
        <v>46146</v>
      </c>
      <c r="B722" t="s">
        <v>191</v>
      </c>
      <c r="C722" t="s">
        <v>531</v>
      </c>
      <c r="D722" t="s">
        <v>277</v>
      </c>
      <c r="E722" s="70">
        <v>10868000</v>
      </c>
    </row>
    <row r="723" spans="1:5" x14ac:dyDescent="0.25">
      <c r="A723" s="69">
        <v>46146</v>
      </c>
      <c r="B723" t="s">
        <v>191</v>
      </c>
      <c r="C723" t="s">
        <v>531</v>
      </c>
      <c r="D723" t="s">
        <v>286</v>
      </c>
      <c r="E723" s="70">
        <v>10868000</v>
      </c>
    </row>
    <row r="724" spans="1:5" x14ac:dyDescent="0.25">
      <c r="A724" s="69">
        <v>46146</v>
      </c>
      <c r="B724" t="s">
        <v>621</v>
      </c>
      <c r="C724" t="s">
        <v>737</v>
      </c>
      <c r="D724" t="s">
        <v>286</v>
      </c>
      <c r="E724" s="70">
        <v>1025</v>
      </c>
    </row>
    <row r="725" spans="1:5" x14ac:dyDescent="0.25">
      <c r="A725" s="69">
        <v>46146</v>
      </c>
      <c r="B725" t="s">
        <v>150</v>
      </c>
      <c r="C725" t="s">
        <v>738</v>
      </c>
      <c r="D725" t="s">
        <v>286</v>
      </c>
      <c r="E725" s="70">
        <v>987</v>
      </c>
    </row>
    <row r="726" spans="1:5" x14ac:dyDescent="0.25">
      <c r="A726" s="69">
        <v>46146</v>
      </c>
      <c r="B726" t="s">
        <v>164</v>
      </c>
      <c r="C726" t="s">
        <v>739</v>
      </c>
      <c r="D726" t="s">
        <v>286</v>
      </c>
      <c r="E726" s="70">
        <v>350</v>
      </c>
    </row>
    <row r="727" spans="1:5" x14ac:dyDescent="0.25">
      <c r="A727" s="69">
        <v>46146</v>
      </c>
      <c r="B727" t="s">
        <v>194</v>
      </c>
      <c r="C727" t="s">
        <v>574</v>
      </c>
      <c r="D727" t="s">
        <v>286</v>
      </c>
      <c r="E727" s="70">
        <v>965</v>
      </c>
    </row>
    <row r="728" spans="1:5" x14ac:dyDescent="0.25">
      <c r="A728" s="69">
        <v>46146</v>
      </c>
      <c r="B728" t="s">
        <v>191</v>
      </c>
      <c r="C728" t="s">
        <v>740</v>
      </c>
      <c r="D728" t="s">
        <v>285</v>
      </c>
      <c r="E728" s="70">
        <v>4287275</v>
      </c>
    </row>
    <row r="729" spans="1:5" x14ac:dyDescent="0.25">
      <c r="A729" s="69">
        <v>46146</v>
      </c>
      <c r="B729" t="s">
        <v>201</v>
      </c>
      <c r="C729" t="s">
        <v>741</v>
      </c>
      <c r="D729" t="s">
        <v>286</v>
      </c>
      <c r="E729" s="70">
        <v>3550</v>
      </c>
    </row>
    <row r="730" spans="1:5" x14ac:dyDescent="0.25">
      <c r="A730" s="69">
        <v>46146</v>
      </c>
      <c r="B730" t="s">
        <v>262</v>
      </c>
      <c r="C730" t="s">
        <v>742</v>
      </c>
      <c r="D730" t="s">
        <v>286</v>
      </c>
      <c r="E730" s="70">
        <v>205</v>
      </c>
    </row>
    <row r="731" spans="1:5" x14ac:dyDescent="0.25">
      <c r="A731" s="69">
        <v>46146</v>
      </c>
      <c r="B731" t="s">
        <v>165</v>
      </c>
      <c r="C731" t="s">
        <v>743</v>
      </c>
      <c r="D731" t="s">
        <v>301</v>
      </c>
      <c r="E731" s="70">
        <v>700000</v>
      </c>
    </row>
    <row r="732" spans="1:5" x14ac:dyDescent="0.25">
      <c r="A732" s="69">
        <v>46146</v>
      </c>
      <c r="B732" t="s">
        <v>166</v>
      </c>
      <c r="C732" t="s">
        <v>744</v>
      </c>
      <c r="D732" t="s">
        <v>285</v>
      </c>
      <c r="E732" s="70">
        <v>989</v>
      </c>
    </row>
    <row r="733" spans="1:5" x14ac:dyDescent="0.25">
      <c r="A733" s="69">
        <v>46146</v>
      </c>
      <c r="B733" t="s">
        <v>191</v>
      </c>
      <c r="C733" t="s">
        <v>727</v>
      </c>
      <c r="D733" t="s">
        <v>286</v>
      </c>
      <c r="E733" s="70">
        <v>1766</v>
      </c>
    </row>
    <row r="734" spans="1:5" x14ac:dyDescent="0.25">
      <c r="A734" s="69">
        <v>46146</v>
      </c>
      <c r="B734" t="s">
        <v>717</v>
      </c>
      <c r="C734" t="s">
        <v>745</v>
      </c>
      <c r="D734" t="s">
        <v>286</v>
      </c>
      <c r="E734" s="70">
        <v>1311</v>
      </c>
    </row>
    <row r="735" spans="1:5" x14ac:dyDescent="0.25">
      <c r="A735" s="69">
        <v>46146</v>
      </c>
      <c r="B735" t="s">
        <v>165</v>
      </c>
      <c r="C735" t="s">
        <v>743</v>
      </c>
      <c r="D735" t="s">
        <v>285</v>
      </c>
      <c r="E735" s="70">
        <v>700000</v>
      </c>
    </row>
    <row r="736" spans="1:5" x14ac:dyDescent="0.25">
      <c r="A736" s="69">
        <v>46146</v>
      </c>
      <c r="B736" t="s">
        <v>202</v>
      </c>
      <c r="C736" t="s">
        <v>746</v>
      </c>
      <c r="D736" t="s">
        <v>286</v>
      </c>
      <c r="E736" s="70">
        <v>50199</v>
      </c>
    </row>
    <row r="737" spans="1:5" x14ac:dyDescent="0.25">
      <c r="A737" s="69">
        <v>46146</v>
      </c>
      <c r="B737" t="s">
        <v>165</v>
      </c>
      <c r="C737" t="s">
        <v>743</v>
      </c>
      <c r="D737" t="s">
        <v>344</v>
      </c>
      <c r="E737" s="70">
        <v>700000</v>
      </c>
    </row>
    <row r="738" spans="1:5" x14ac:dyDescent="0.25">
      <c r="A738" s="69">
        <v>46146</v>
      </c>
      <c r="B738" t="s">
        <v>202</v>
      </c>
      <c r="C738" t="s">
        <v>746</v>
      </c>
      <c r="D738" t="s">
        <v>285</v>
      </c>
      <c r="E738" s="70">
        <v>50199</v>
      </c>
    </row>
    <row r="739" spans="1:5" x14ac:dyDescent="0.25">
      <c r="A739" s="69">
        <v>46146</v>
      </c>
      <c r="B739" t="s">
        <v>191</v>
      </c>
      <c r="C739" t="s">
        <v>276</v>
      </c>
      <c r="D739" t="s">
        <v>279</v>
      </c>
      <c r="E739" s="70">
        <v>2717000</v>
      </c>
    </row>
    <row r="740" spans="1:5" x14ac:dyDescent="0.25">
      <c r="A740" s="69">
        <v>46146</v>
      </c>
      <c r="B740" t="s">
        <v>191</v>
      </c>
      <c r="C740" t="s">
        <v>747</v>
      </c>
      <c r="D740" t="s">
        <v>301</v>
      </c>
      <c r="E740" s="70">
        <v>1093367</v>
      </c>
    </row>
    <row r="741" spans="1:5" x14ac:dyDescent="0.25">
      <c r="A741" s="69">
        <v>46146</v>
      </c>
      <c r="B741" t="s">
        <v>191</v>
      </c>
      <c r="C741" t="s">
        <v>276</v>
      </c>
      <c r="D741" t="s">
        <v>344</v>
      </c>
      <c r="E741" s="70">
        <v>2717000</v>
      </c>
    </row>
    <row r="742" spans="1:5" x14ac:dyDescent="0.25">
      <c r="A742" s="69">
        <v>46146</v>
      </c>
      <c r="B742" t="s">
        <v>162</v>
      </c>
      <c r="C742" t="s">
        <v>748</v>
      </c>
      <c r="D742" t="s">
        <v>286</v>
      </c>
      <c r="E742" s="70">
        <v>188599</v>
      </c>
    </row>
    <row r="743" spans="1:5" x14ac:dyDescent="0.25">
      <c r="A743" s="69">
        <v>46146</v>
      </c>
      <c r="B743" t="s">
        <v>152</v>
      </c>
      <c r="C743" t="s">
        <v>749</v>
      </c>
      <c r="D743" t="s">
        <v>286</v>
      </c>
      <c r="E743" s="70">
        <v>59043</v>
      </c>
    </row>
    <row r="744" spans="1:5" x14ac:dyDescent="0.25">
      <c r="A744" s="69">
        <v>46146</v>
      </c>
      <c r="B744" t="s">
        <v>229</v>
      </c>
      <c r="C744" t="s">
        <v>750</v>
      </c>
      <c r="D744" t="s">
        <v>286</v>
      </c>
      <c r="E744" s="70">
        <v>16830</v>
      </c>
    </row>
    <row r="745" spans="1:5" x14ac:dyDescent="0.25">
      <c r="A745" s="69">
        <v>46146</v>
      </c>
      <c r="B745" t="s">
        <v>613</v>
      </c>
      <c r="C745" t="s">
        <v>751</v>
      </c>
      <c r="D745" t="s">
        <v>286</v>
      </c>
      <c r="E745" s="70">
        <v>46351</v>
      </c>
    </row>
    <row r="746" spans="1:5" x14ac:dyDescent="0.25">
      <c r="A746" s="69">
        <v>46146</v>
      </c>
      <c r="B746" t="s">
        <v>205</v>
      </c>
      <c r="C746" t="s">
        <v>752</v>
      </c>
      <c r="D746" t="s">
        <v>285</v>
      </c>
      <c r="E746" s="70">
        <v>11430</v>
      </c>
    </row>
    <row r="747" spans="1:5" x14ac:dyDescent="0.25">
      <c r="A747" s="69">
        <v>46146</v>
      </c>
      <c r="B747" t="s">
        <v>205</v>
      </c>
      <c r="C747" t="s">
        <v>752</v>
      </c>
      <c r="D747" t="s">
        <v>286</v>
      </c>
      <c r="E747" s="70">
        <v>11430</v>
      </c>
    </row>
    <row r="748" spans="1:5" x14ac:dyDescent="0.25">
      <c r="A748" s="69">
        <v>46146</v>
      </c>
      <c r="B748" t="s">
        <v>212</v>
      </c>
      <c r="C748" t="s">
        <v>753</v>
      </c>
      <c r="D748" t="s">
        <v>286</v>
      </c>
      <c r="E748" s="70">
        <v>2215</v>
      </c>
    </row>
    <row r="749" spans="1:5" x14ac:dyDescent="0.25">
      <c r="A749" s="69">
        <v>46146</v>
      </c>
      <c r="B749" t="s">
        <v>238</v>
      </c>
      <c r="C749" t="s">
        <v>754</v>
      </c>
      <c r="D749" t="s">
        <v>286</v>
      </c>
      <c r="E749" s="70">
        <v>1517</v>
      </c>
    </row>
    <row r="750" spans="1:5" x14ac:dyDescent="0.25">
      <c r="A750" s="69">
        <v>46146</v>
      </c>
      <c r="B750" t="s">
        <v>166</v>
      </c>
      <c r="C750" t="s">
        <v>755</v>
      </c>
      <c r="D750" t="s">
        <v>286</v>
      </c>
      <c r="E750" s="70">
        <v>1746</v>
      </c>
    </row>
    <row r="751" spans="1:5" x14ac:dyDescent="0.25">
      <c r="A751" s="69">
        <v>46146</v>
      </c>
      <c r="B751" t="s">
        <v>157</v>
      </c>
      <c r="C751" t="s">
        <v>756</v>
      </c>
      <c r="D751" t="s">
        <v>286</v>
      </c>
      <c r="E751" s="70">
        <v>601</v>
      </c>
    </row>
    <row r="752" spans="1:5" x14ac:dyDescent="0.25">
      <c r="A752" s="69">
        <v>46146</v>
      </c>
      <c r="B752" t="s">
        <v>194</v>
      </c>
      <c r="C752" t="s">
        <v>757</v>
      </c>
      <c r="D752" t="s">
        <v>286</v>
      </c>
      <c r="E752" s="70">
        <v>598</v>
      </c>
    </row>
    <row r="753" spans="1:5" x14ac:dyDescent="0.25">
      <c r="A753" s="69">
        <v>46146</v>
      </c>
      <c r="B753" t="s">
        <v>604</v>
      </c>
      <c r="C753" t="s">
        <v>758</v>
      </c>
      <c r="D753" t="s">
        <v>286</v>
      </c>
      <c r="E753" s="70">
        <v>51548</v>
      </c>
    </row>
    <row r="754" spans="1:5" x14ac:dyDescent="0.25">
      <c r="A754" s="69">
        <v>46146</v>
      </c>
      <c r="B754" t="s">
        <v>759</v>
      </c>
      <c r="C754" t="s">
        <v>760</v>
      </c>
      <c r="D754" t="s">
        <v>286</v>
      </c>
      <c r="E754" s="70">
        <v>7686000</v>
      </c>
    </row>
    <row r="755" spans="1:5" x14ac:dyDescent="0.25">
      <c r="A755" s="69">
        <v>46146</v>
      </c>
      <c r="B755" t="s">
        <v>191</v>
      </c>
      <c r="C755" t="s">
        <v>761</v>
      </c>
      <c r="D755" t="s">
        <v>279</v>
      </c>
      <c r="E755" s="70">
        <v>2600495</v>
      </c>
    </row>
    <row r="756" spans="1:5" x14ac:dyDescent="0.25">
      <c r="A756" s="69">
        <v>46146</v>
      </c>
      <c r="B756" t="s">
        <v>481</v>
      </c>
      <c r="C756" t="s">
        <v>762</v>
      </c>
      <c r="D756" t="s">
        <v>299</v>
      </c>
      <c r="E756" s="70">
        <v>141587</v>
      </c>
    </row>
    <row r="757" spans="1:5" x14ac:dyDescent="0.25">
      <c r="A757" s="69">
        <v>46146</v>
      </c>
      <c r="B757" t="s">
        <v>763</v>
      </c>
      <c r="C757" t="s">
        <v>394</v>
      </c>
      <c r="D757" t="s">
        <v>286</v>
      </c>
      <c r="E757" s="70">
        <v>250000</v>
      </c>
    </row>
    <row r="758" spans="1:5" x14ac:dyDescent="0.25">
      <c r="A758" s="69">
        <v>46146</v>
      </c>
      <c r="B758" t="s">
        <v>163</v>
      </c>
      <c r="C758" t="s">
        <v>764</v>
      </c>
      <c r="D758" t="s">
        <v>301</v>
      </c>
      <c r="E758" s="70">
        <v>410177</v>
      </c>
    </row>
    <row r="759" spans="1:5" x14ac:dyDescent="0.25">
      <c r="A759" s="69">
        <v>46146</v>
      </c>
      <c r="B759" t="s">
        <v>191</v>
      </c>
      <c r="C759" t="s">
        <v>761</v>
      </c>
      <c r="D759" t="s">
        <v>286</v>
      </c>
      <c r="E759" s="70">
        <v>2600495</v>
      </c>
    </row>
    <row r="760" spans="1:5" x14ac:dyDescent="0.25">
      <c r="A760" s="69">
        <v>46146</v>
      </c>
      <c r="B760" t="s">
        <v>481</v>
      </c>
      <c r="C760" t="s">
        <v>762</v>
      </c>
      <c r="D760" t="s">
        <v>286</v>
      </c>
      <c r="E760" s="70">
        <v>141587</v>
      </c>
    </row>
    <row r="761" spans="1:5" x14ac:dyDescent="0.25">
      <c r="A761" s="69">
        <v>46146</v>
      </c>
      <c r="B761" t="s">
        <v>245</v>
      </c>
      <c r="C761" t="s">
        <v>765</v>
      </c>
      <c r="D761" t="s">
        <v>286</v>
      </c>
      <c r="E761" s="70">
        <v>2743000</v>
      </c>
    </row>
    <row r="762" spans="1:5" x14ac:dyDescent="0.25">
      <c r="A762" s="69">
        <v>46146</v>
      </c>
      <c r="B762" t="s">
        <v>481</v>
      </c>
      <c r="C762" t="s">
        <v>762</v>
      </c>
      <c r="D762" t="s">
        <v>285</v>
      </c>
      <c r="E762" s="70">
        <v>141587</v>
      </c>
    </row>
    <row r="763" spans="1:5" x14ac:dyDescent="0.25">
      <c r="A763" s="69">
        <v>46146</v>
      </c>
      <c r="B763" t="s">
        <v>245</v>
      </c>
      <c r="C763" t="s">
        <v>765</v>
      </c>
      <c r="D763" t="s">
        <v>277</v>
      </c>
      <c r="E763" s="70">
        <v>2743000</v>
      </c>
    </row>
    <row r="764" spans="1:5" x14ac:dyDescent="0.25">
      <c r="A764" s="69">
        <v>46146</v>
      </c>
      <c r="B764" t="s">
        <v>598</v>
      </c>
      <c r="C764" t="s">
        <v>766</v>
      </c>
      <c r="D764" t="s">
        <v>286</v>
      </c>
      <c r="E764" s="70">
        <v>1389847</v>
      </c>
    </row>
    <row r="765" spans="1:5" x14ac:dyDescent="0.25">
      <c r="A765" s="69">
        <v>46146</v>
      </c>
      <c r="B765" t="s">
        <v>598</v>
      </c>
      <c r="C765" t="s">
        <v>767</v>
      </c>
      <c r="D765" t="s">
        <v>285</v>
      </c>
      <c r="E765" s="70">
        <v>1096865</v>
      </c>
    </row>
    <row r="766" spans="1:5" x14ac:dyDescent="0.25">
      <c r="A766" s="69">
        <v>46146</v>
      </c>
      <c r="B766" t="s">
        <v>598</v>
      </c>
      <c r="C766" t="s">
        <v>768</v>
      </c>
      <c r="D766" t="s">
        <v>286</v>
      </c>
      <c r="E766" s="70">
        <v>1000924</v>
      </c>
    </row>
    <row r="767" spans="1:5" x14ac:dyDescent="0.25">
      <c r="A767" s="69">
        <v>46146</v>
      </c>
      <c r="B767" t="s">
        <v>598</v>
      </c>
      <c r="C767" t="s">
        <v>769</v>
      </c>
      <c r="D767" t="s">
        <v>301</v>
      </c>
      <c r="E767" s="70">
        <v>1283133</v>
      </c>
    </row>
    <row r="768" spans="1:5" x14ac:dyDescent="0.25">
      <c r="A768" s="69">
        <v>46146</v>
      </c>
      <c r="B768" t="s">
        <v>598</v>
      </c>
      <c r="C768" t="s">
        <v>766</v>
      </c>
      <c r="D768" t="s">
        <v>277</v>
      </c>
      <c r="E768" s="70">
        <v>1389847</v>
      </c>
    </row>
    <row r="769" spans="1:5" x14ac:dyDescent="0.25">
      <c r="A769" s="69">
        <v>46146</v>
      </c>
      <c r="B769" t="s">
        <v>164</v>
      </c>
      <c r="C769" t="s">
        <v>770</v>
      </c>
      <c r="D769" t="s">
        <v>285</v>
      </c>
      <c r="E769" s="70">
        <v>1081245</v>
      </c>
    </row>
    <row r="770" spans="1:5" x14ac:dyDescent="0.25">
      <c r="A770" s="69">
        <v>46146</v>
      </c>
      <c r="B770" t="s">
        <v>165</v>
      </c>
      <c r="C770" t="s">
        <v>771</v>
      </c>
      <c r="D770" t="s">
        <v>286</v>
      </c>
      <c r="E770" s="70">
        <v>1125000</v>
      </c>
    </row>
    <row r="771" spans="1:5" x14ac:dyDescent="0.25">
      <c r="A771" s="69">
        <v>46146</v>
      </c>
      <c r="B771" t="s">
        <v>164</v>
      </c>
      <c r="C771" t="s">
        <v>772</v>
      </c>
      <c r="D771" t="s">
        <v>286</v>
      </c>
      <c r="E771" s="70">
        <v>1553</v>
      </c>
    </row>
    <row r="772" spans="1:5" x14ac:dyDescent="0.25">
      <c r="A772" s="69">
        <v>46146</v>
      </c>
      <c r="B772" t="s">
        <v>152</v>
      </c>
      <c r="C772" t="s">
        <v>773</v>
      </c>
      <c r="D772" t="s">
        <v>286</v>
      </c>
      <c r="E772" s="70">
        <v>18289</v>
      </c>
    </row>
    <row r="773" spans="1:5" x14ac:dyDescent="0.25">
      <c r="A773" s="69">
        <v>46146</v>
      </c>
      <c r="B773" t="s">
        <v>194</v>
      </c>
      <c r="C773" t="s">
        <v>774</v>
      </c>
      <c r="D773" t="s">
        <v>286</v>
      </c>
      <c r="E773" s="70">
        <v>2348</v>
      </c>
    </row>
    <row r="774" spans="1:5" x14ac:dyDescent="0.25">
      <c r="A774" s="69">
        <v>46146</v>
      </c>
      <c r="B774" t="s">
        <v>598</v>
      </c>
      <c r="C774" t="s">
        <v>768</v>
      </c>
      <c r="D774" t="s">
        <v>285</v>
      </c>
      <c r="E774" s="70">
        <v>1000924</v>
      </c>
    </row>
    <row r="775" spans="1:5" x14ac:dyDescent="0.25">
      <c r="A775" s="69">
        <v>46146</v>
      </c>
      <c r="B775" t="s">
        <v>165</v>
      </c>
      <c r="C775" t="s">
        <v>771</v>
      </c>
      <c r="D775" t="s">
        <v>285</v>
      </c>
      <c r="E775" s="70">
        <v>1125000</v>
      </c>
    </row>
    <row r="776" spans="1:5" x14ac:dyDescent="0.25">
      <c r="A776" s="69">
        <v>46146</v>
      </c>
      <c r="B776" t="s">
        <v>191</v>
      </c>
      <c r="C776" t="s">
        <v>775</v>
      </c>
      <c r="D776" t="s">
        <v>286</v>
      </c>
      <c r="E776" s="70">
        <v>487</v>
      </c>
    </row>
    <row r="777" spans="1:5" x14ac:dyDescent="0.25">
      <c r="A777" s="69">
        <v>46146</v>
      </c>
      <c r="B777" t="s">
        <v>205</v>
      </c>
      <c r="C777" t="s">
        <v>776</v>
      </c>
      <c r="D777" t="s">
        <v>286</v>
      </c>
      <c r="E777" s="70">
        <v>4513</v>
      </c>
    </row>
    <row r="778" spans="1:5" x14ac:dyDescent="0.25">
      <c r="A778" s="69">
        <v>46146</v>
      </c>
      <c r="B778" t="s">
        <v>157</v>
      </c>
      <c r="C778" t="s">
        <v>432</v>
      </c>
      <c r="D778" t="s">
        <v>286</v>
      </c>
      <c r="E778" s="70">
        <v>285</v>
      </c>
    </row>
    <row r="779" spans="1:5" x14ac:dyDescent="0.25">
      <c r="A779" s="69">
        <v>46146</v>
      </c>
      <c r="B779" t="s">
        <v>202</v>
      </c>
      <c r="C779" t="s">
        <v>777</v>
      </c>
      <c r="D779" t="s">
        <v>286</v>
      </c>
      <c r="E779" s="70">
        <v>994</v>
      </c>
    </row>
    <row r="780" spans="1:5" x14ac:dyDescent="0.25">
      <c r="A780" s="69">
        <v>46146</v>
      </c>
      <c r="B780" t="s">
        <v>205</v>
      </c>
      <c r="C780" t="s">
        <v>778</v>
      </c>
      <c r="D780" t="s">
        <v>286</v>
      </c>
      <c r="E780" s="70">
        <v>17904</v>
      </c>
    </row>
    <row r="781" spans="1:5" x14ac:dyDescent="0.25">
      <c r="A781" s="69">
        <v>46146</v>
      </c>
      <c r="B781" t="s">
        <v>238</v>
      </c>
      <c r="C781" t="s">
        <v>779</v>
      </c>
      <c r="D781" t="s">
        <v>286</v>
      </c>
      <c r="E781" s="70">
        <v>251053</v>
      </c>
    </row>
    <row r="782" spans="1:5" x14ac:dyDescent="0.25">
      <c r="A782" s="69">
        <v>46146</v>
      </c>
      <c r="B782" t="s">
        <v>201</v>
      </c>
      <c r="C782" t="s">
        <v>780</v>
      </c>
      <c r="D782" t="s">
        <v>286</v>
      </c>
      <c r="E782" s="70">
        <v>1907</v>
      </c>
    </row>
    <row r="783" spans="1:5" x14ac:dyDescent="0.25">
      <c r="A783" s="69">
        <v>46146</v>
      </c>
      <c r="B783" t="s">
        <v>194</v>
      </c>
      <c r="C783" t="s">
        <v>781</v>
      </c>
      <c r="D783" t="s">
        <v>286</v>
      </c>
      <c r="E783" s="70">
        <v>1405</v>
      </c>
    </row>
    <row r="784" spans="1:5" x14ac:dyDescent="0.25">
      <c r="A784" s="69">
        <v>46146</v>
      </c>
      <c r="B784" t="s">
        <v>598</v>
      </c>
      <c r="C784" t="s">
        <v>782</v>
      </c>
      <c r="D784" t="s">
        <v>286</v>
      </c>
      <c r="E784" s="70">
        <v>768</v>
      </c>
    </row>
    <row r="785" spans="1:5" x14ac:dyDescent="0.25">
      <c r="A785" s="69">
        <v>46146</v>
      </c>
      <c r="B785" t="s">
        <v>201</v>
      </c>
      <c r="C785" t="s">
        <v>783</v>
      </c>
      <c r="D785" t="s">
        <v>286</v>
      </c>
      <c r="E785" s="70">
        <v>4709</v>
      </c>
    </row>
    <row r="786" spans="1:5" x14ac:dyDescent="0.25">
      <c r="A786" s="69">
        <v>46146</v>
      </c>
      <c r="B786" t="s">
        <v>164</v>
      </c>
      <c r="C786" t="s">
        <v>784</v>
      </c>
      <c r="D786" t="s">
        <v>286</v>
      </c>
      <c r="E786" s="70">
        <v>838</v>
      </c>
    </row>
    <row r="787" spans="1:5" x14ac:dyDescent="0.25">
      <c r="A787" s="69">
        <v>46146</v>
      </c>
      <c r="B787" t="s">
        <v>246</v>
      </c>
      <c r="C787" t="s">
        <v>785</v>
      </c>
      <c r="D787" t="s">
        <v>286</v>
      </c>
      <c r="E787" s="70">
        <v>535</v>
      </c>
    </row>
    <row r="788" spans="1:5" x14ac:dyDescent="0.25">
      <c r="A788" s="69">
        <v>46146</v>
      </c>
      <c r="B788" t="s">
        <v>180</v>
      </c>
      <c r="C788" t="s">
        <v>786</v>
      </c>
      <c r="D788" t="s">
        <v>286</v>
      </c>
      <c r="E788" s="70">
        <v>767</v>
      </c>
    </row>
    <row r="789" spans="1:5" x14ac:dyDescent="0.25">
      <c r="A789" s="69">
        <v>46146</v>
      </c>
      <c r="B789" t="s">
        <v>191</v>
      </c>
      <c r="C789" t="s">
        <v>787</v>
      </c>
      <c r="D789" t="s">
        <v>286</v>
      </c>
      <c r="E789" s="70">
        <v>1984</v>
      </c>
    </row>
    <row r="790" spans="1:5" x14ac:dyDescent="0.25">
      <c r="A790" s="69">
        <v>46146</v>
      </c>
      <c r="B790" t="s">
        <v>245</v>
      </c>
      <c r="C790" t="s">
        <v>788</v>
      </c>
      <c r="D790" t="s">
        <v>286</v>
      </c>
      <c r="E790" s="70">
        <v>193</v>
      </c>
    </row>
    <row r="791" spans="1:5" x14ac:dyDescent="0.25">
      <c r="A791" s="69">
        <v>46146</v>
      </c>
      <c r="B791" t="s">
        <v>202</v>
      </c>
      <c r="C791" t="s">
        <v>785</v>
      </c>
      <c r="D791" t="s">
        <v>286</v>
      </c>
      <c r="E791" s="70">
        <v>535</v>
      </c>
    </row>
    <row r="792" spans="1:5" x14ac:dyDescent="0.25">
      <c r="A792" s="69">
        <v>46146</v>
      </c>
      <c r="B792" t="s">
        <v>231</v>
      </c>
      <c r="C792" t="s">
        <v>789</v>
      </c>
      <c r="D792" t="s">
        <v>286</v>
      </c>
      <c r="E792" s="70">
        <v>220</v>
      </c>
    </row>
    <row r="793" spans="1:5" x14ac:dyDescent="0.25">
      <c r="A793" s="69">
        <v>46146</v>
      </c>
      <c r="B793" t="s">
        <v>790</v>
      </c>
      <c r="C793" t="s">
        <v>791</v>
      </c>
      <c r="D793" t="s">
        <v>286</v>
      </c>
      <c r="E793" s="70">
        <v>152</v>
      </c>
    </row>
    <row r="794" spans="1:5" x14ac:dyDescent="0.25">
      <c r="A794" s="69">
        <v>46146</v>
      </c>
      <c r="B794" t="s">
        <v>194</v>
      </c>
      <c r="C794" t="s">
        <v>792</v>
      </c>
      <c r="D794" t="s">
        <v>286</v>
      </c>
      <c r="E794" s="70">
        <v>425</v>
      </c>
    </row>
    <row r="795" spans="1:5" x14ac:dyDescent="0.25">
      <c r="A795" s="69">
        <v>46146</v>
      </c>
      <c r="B795" t="s">
        <v>621</v>
      </c>
      <c r="C795" t="s">
        <v>793</v>
      </c>
      <c r="D795" t="s">
        <v>286</v>
      </c>
      <c r="E795" s="70">
        <v>250880</v>
      </c>
    </row>
    <row r="796" spans="1:5" x14ac:dyDescent="0.25">
      <c r="A796" s="69">
        <v>46146</v>
      </c>
      <c r="B796" t="s">
        <v>794</v>
      </c>
      <c r="C796" t="s">
        <v>795</v>
      </c>
      <c r="D796" t="s">
        <v>285</v>
      </c>
      <c r="E796" s="70">
        <v>124</v>
      </c>
    </row>
    <row r="797" spans="1:5" x14ac:dyDescent="0.25">
      <c r="A797" s="69">
        <v>46146</v>
      </c>
      <c r="B797" t="s">
        <v>156</v>
      </c>
      <c r="C797" t="s">
        <v>394</v>
      </c>
      <c r="D797" t="s">
        <v>285</v>
      </c>
      <c r="E797" s="70">
        <v>250000</v>
      </c>
    </row>
    <row r="798" spans="1:5" x14ac:dyDescent="0.25">
      <c r="A798" s="69">
        <v>46146</v>
      </c>
      <c r="B798" t="s">
        <v>242</v>
      </c>
      <c r="C798" t="s">
        <v>795</v>
      </c>
      <c r="D798" t="s">
        <v>286</v>
      </c>
      <c r="E798" s="70">
        <v>124</v>
      </c>
    </row>
    <row r="799" spans="1:5" x14ac:dyDescent="0.25">
      <c r="A799" s="69">
        <v>46146</v>
      </c>
      <c r="B799" t="s">
        <v>717</v>
      </c>
      <c r="C799" t="s">
        <v>796</v>
      </c>
      <c r="D799" t="s">
        <v>286</v>
      </c>
      <c r="E799" s="70">
        <v>484</v>
      </c>
    </row>
    <row r="800" spans="1:5" x14ac:dyDescent="0.25">
      <c r="A800" s="69">
        <v>46146</v>
      </c>
      <c r="B800" t="s">
        <v>238</v>
      </c>
      <c r="C800" t="s">
        <v>797</v>
      </c>
      <c r="D800" t="s">
        <v>286</v>
      </c>
      <c r="E800" s="70">
        <v>396</v>
      </c>
    </row>
    <row r="801" spans="1:7" x14ac:dyDescent="0.25">
      <c r="A801" s="69">
        <v>46146</v>
      </c>
      <c r="B801" t="s">
        <v>191</v>
      </c>
      <c r="C801" t="s">
        <v>798</v>
      </c>
      <c r="D801" t="s">
        <v>286</v>
      </c>
      <c r="E801" s="70">
        <v>577</v>
      </c>
    </row>
    <row r="802" spans="1:7" x14ac:dyDescent="0.25">
      <c r="A802" s="69">
        <v>46146</v>
      </c>
      <c r="B802" t="s">
        <v>799</v>
      </c>
      <c r="C802" t="s">
        <v>800</v>
      </c>
      <c r="D802" t="s">
        <v>285</v>
      </c>
      <c r="E802" s="70">
        <v>330</v>
      </c>
    </row>
    <row r="803" spans="1:7" x14ac:dyDescent="0.25">
      <c r="A803" s="69">
        <v>46146</v>
      </c>
      <c r="B803" t="s">
        <v>168</v>
      </c>
      <c r="C803" t="s">
        <v>801</v>
      </c>
      <c r="D803" t="s">
        <v>285</v>
      </c>
      <c r="E803" s="70">
        <v>4500</v>
      </c>
    </row>
    <row r="804" spans="1:7" x14ac:dyDescent="0.25">
      <c r="A804" s="69">
        <v>46146</v>
      </c>
      <c r="B804" t="s">
        <v>212</v>
      </c>
      <c r="C804" t="s">
        <v>343</v>
      </c>
      <c r="D804" t="s">
        <v>285</v>
      </c>
      <c r="E804" s="70">
        <v>1880</v>
      </c>
    </row>
    <row r="805" spans="1:7" x14ac:dyDescent="0.25">
      <c r="A805" s="69">
        <v>46146</v>
      </c>
      <c r="B805" t="s">
        <v>229</v>
      </c>
      <c r="C805" t="s">
        <v>281</v>
      </c>
      <c r="D805" t="s">
        <v>282</v>
      </c>
      <c r="F805" s="70">
        <v>7</v>
      </c>
      <c r="G805" s="70">
        <v>168</v>
      </c>
    </row>
    <row r="806" spans="1:7" x14ac:dyDescent="0.25">
      <c r="A806" s="69">
        <v>46146</v>
      </c>
      <c r="B806" t="s">
        <v>613</v>
      </c>
      <c r="C806" t="s">
        <v>802</v>
      </c>
      <c r="D806" t="s">
        <v>286</v>
      </c>
      <c r="E806" s="70">
        <v>18060000</v>
      </c>
    </row>
    <row r="807" spans="1:7" x14ac:dyDescent="0.25">
      <c r="A807" s="69">
        <v>46146</v>
      </c>
      <c r="B807" t="s">
        <v>168</v>
      </c>
      <c r="C807" t="s">
        <v>801</v>
      </c>
      <c r="D807" t="s">
        <v>349</v>
      </c>
      <c r="E807" s="70">
        <v>4500</v>
      </c>
    </row>
    <row r="808" spans="1:7" x14ac:dyDescent="0.25">
      <c r="A808" s="69">
        <v>46146</v>
      </c>
      <c r="B808" t="s">
        <v>613</v>
      </c>
      <c r="C808" t="s">
        <v>802</v>
      </c>
      <c r="D808" t="s">
        <v>277</v>
      </c>
      <c r="E808" s="70">
        <v>18060000</v>
      </c>
    </row>
    <row r="809" spans="1:7" x14ac:dyDescent="0.25">
      <c r="A809" s="69">
        <v>46146</v>
      </c>
      <c r="B809" t="s">
        <v>613</v>
      </c>
      <c r="C809" t="s">
        <v>803</v>
      </c>
      <c r="D809" t="s">
        <v>285</v>
      </c>
      <c r="E809" s="70">
        <v>6000</v>
      </c>
    </row>
    <row r="810" spans="1:7" x14ac:dyDescent="0.25">
      <c r="A810" s="69">
        <v>46146</v>
      </c>
      <c r="B810" t="s">
        <v>229</v>
      </c>
      <c r="C810" t="s">
        <v>801</v>
      </c>
      <c r="D810" t="s">
        <v>344</v>
      </c>
      <c r="E810" s="70">
        <v>4500</v>
      </c>
    </row>
    <row r="811" spans="1:7" x14ac:dyDescent="0.25">
      <c r="A811" s="69">
        <v>46146</v>
      </c>
      <c r="B811" t="s">
        <v>165</v>
      </c>
      <c r="C811" t="s">
        <v>328</v>
      </c>
      <c r="D811" t="s">
        <v>277</v>
      </c>
      <c r="E811" s="70">
        <v>50000</v>
      </c>
    </row>
    <row r="812" spans="1:7" x14ac:dyDescent="0.25">
      <c r="A812" s="69">
        <v>46146</v>
      </c>
      <c r="B812" t="s">
        <v>613</v>
      </c>
      <c r="C812" t="s">
        <v>803</v>
      </c>
      <c r="D812" t="s">
        <v>349</v>
      </c>
      <c r="E812" s="70">
        <v>6000</v>
      </c>
    </row>
    <row r="813" spans="1:7" x14ac:dyDescent="0.25">
      <c r="A813" s="69">
        <v>46146</v>
      </c>
      <c r="B813" t="s">
        <v>229</v>
      </c>
      <c r="C813" t="s">
        <v>801</v>
      </c>
      <c r="D813" t="s">
        <v>349</v>
      </c>
      <c r="E813" s="70">
        <v>4500</v>
      </c>
    </row>
    <row r="814" spans="1:7" x14ac:dyDescent="0.25">
      <c r="A814" s="69">
        <v>46146</v>
      </c>
      <c r="B814" t="s">
        <v>202</v>
      </c>
      <c r="C814" t="s">
        <v>804</v>
      </c>
      <c r="D814" t="s">
        <v>286</v>
      </c>
      <c r="E814" s="70">
        <v>185466</v>
      </c>
    </row>
    <row r="815" spans="1:7" x14ac:dyDescent="0.25">
      <c r="A815" s="69">
        <v>46146</v>
      </c>
      <c r="B815" t="s">
        <v>180</v>
      </c>
      <c r="C815" t="s">
        <v>805</v>
      </c>
      <c r="D815" t="s">
        <v>301</v>
      </c>
      <c r="E815" s="70">
        <v>1289351</v>
      </c>
    </row>
    <row r="816" spans="1:7" x14ac:dyDescent="0.25">
      <c r="A816" s="69">
        <v>46146</v>
      </c>
      <c r="B816" t="s">
        <v>180</v>
      </c>
      <c r="C816" t="s">
        <v>806</v>
      </c>
      <c r="D816" t="s">
        <v>286</v>
      </c>
      <c r="E816" s="70">
        <v>1110706</v>
      </c>
    </row>
    <row r="817" spans="1:5" x14ac:dyDescent="0.25">
      <c r="A817" s="69">
        <v>46146</v>
      </c>
      <c r="B817" t="s">
        <v>180</v>
      </c>
      <c r="C817" t="s">
        <v>807</v>
      </c>
      <c r="D817" t="s">
        <v>285</v>
      </c>
      <c r="E817" s="70">
        <v>1212047</v>
      </c>
    </row>
    <row r="818" spans="1:5" x14ac:dyDescent="0.25">
      <c r="A818" s="69">
        <v>46146</v>
      </c>
      <c r="B818" t="s">
        <v>180</v>
      </c>
      <c r="C818" t="s">
        <v>806</v>
      </c>
      <c r="D818" t="s">
        <v>279</v>
      </c>
      <c r="E818" s="70">
        <v>1110706</v>
      </c>
    </row>
    <row r="819" spans="1:5" x14ac:dyDescent="0.25">
      <c r="A819" s="69">
        <v>46146</v>
      </c>
      <c r="B819" t="s">
        <v>246</v>
      </c>
      <c r="C819" t="s">
        <v>808</v>
      </c>
      <c r="D819" t="s">
        <v>286</v>
      </c>
      <c r="E819" s="70">
        <v>1015986</v>
      </c>
    </row>
    <row r="820" spans="1:5" x14ac:dyDescent="0.25">
      <c r="A820" s="69">
        <v>46146</v>
      </c>
      <c r="B820" t="s">
        <v>246</v>
      </c>
      <c r="C820" t="s">
        <v>809</v>
      </c>
      <c r="D820" t="s">
        <v>301</v>
      </c>
      <c r="E820" s="70">
        <v>1000088</v>
      </c>
    </row>
    <row r="821" spans="1:5" x14ac:dyDescent="0.25">
      <c r="A821" s="69">
        <v>46146</v>
      </c>
      <c r="B821" t="s">
        <v>246</v>
      </c>
      <c r="C821" t="s">
        <v>810</v>
      </c>
      <c r="D821" t="s">
        <v>286</v>
      </c>
      <c r="E821" s="70">
        <v>1101197</v>
      </c>
    </row>
    <row r="822" spans="1:5" x14ac:dyDescent="0.25">
      <c r="A822" s="69">
        <v>46146</v>
      </c>
      <c r="B822" t="s">
        <v>246</v>
      </c>
      <c r="C822" t="s">
        <v>811</v>
      </c>
      <c r="D822" t="s">
        <v>285</v>
      </c>
      <c r="E822" s="70">
        <v>1111211</v>
      </c>
    </row>
    <row r="823" spans="1:5" x14ac:dyDescent="0.25">
      <c r="A823" s="69">
        <v>46146</v>
      </c>
      <c r="B823" t="s">
        <v>169</v>
      </c>
      <c r="C823" t="s">
        <v>679</v>
      </c>
      <c r="D823" t="s">
        <v>277</v>
      </c>
      <c r="E823" s="70">
        <v>350000</v>
      </c>
    </row>
    <row r="824" spans="1:5" x14ac:dyDescent="0.25">
      <c r="A824" s="69">
        <v>46146</v>
      </c>
      <c r="B824" t="s">
        <v>604</v>
      </c>
      <c r="C824" t="s">
        <v>812</v>
      </c>
      <c r="D824" t="s">
        <v>286</v>
      </c>
      <c r="E824" s="70">
        <v>14000000</v>
      </c>
    </row>
    <row r="825" spans="1:5" x14ac:dyDescent="0.25">
      <c r="A825" s="69">
        <v>46146</v>
      </c>
      <c r="B825" t="s">
        <v>246</v>
      </c>
      <c r="C825" t="s">
        <v>808</v>
      </c>
      <c r="D825" t="s">
        <v>285</v>
      </c>
      <c r="E825" s="70">
        <v>1015986</v>
      </c>
    </row>
    <row r="826" spans="1:5" x14ac:dyDescent="0.25">
      <c r="A826" s="69">
        <v>46146</v>
      </c>
      <c r="B826" t="s">
        <v>604</v>
      </c>
      <c r="C826" t="s">
        <v>812</v>
      </c>
      <c r="D826" t="s">
        <v>277</v>
      </c>
      <c r="E826" s="70">
        <v>14000000</v>
      </c>
    </row>
    <row r="827" spans="1:5" x14ac:dyDescent="0.25">
      <c r="A827" s="69">
        <v>46146</v>
      </c>
      <c r="B827" t="s">
        <v>246</v>
      </c>
      <c r="C827" t="s">
        <v>813</v>
      </c>
      <c r="D827" t="s">
        <v>285</v>
      </c>
      <c r="E827" s="70">
        <v>1353049</v>
      </c>
    </row>
    <row r="828" spans="1:5" x14ac:dyDescent="0.25">
      <c r="A828" s="69">
        <v>46146</v>
      </c>
      <c r="B828" t="s">
        <v>163</v>
      </c>
      <c r="C828" t="s">
        <v>814</v>
      </c>
      <c r="D828" t="s">
        <v>286</v>
      </c>
      <c r="E828" s="70">
        <v>264</v>
      </c>
    </row>
    <row r="829" spans="1:5" x14ac:dyDescent="0.25">
      <c r="A829" s="69">
        <v>46146</v>
      </c>
      <c r="B829" t="s">
        <v>250</v>
      </c>
      <c r="C829" t="s">
        <v>815</v>
      </c>
      <c r="D829" t="s">
        <v>285</v>
      </c>
      <c r="E829" s="70">
        <v>500746</v>
      </c>
    </row>
    <row r="830" spans="1:5" x14ac:dyDescent="0.25">
      <c r="A830" s="69">
        <v>46146</v>
      </c>
      <c r="B830" t="s">
        <v>250</v>
      </c>
      <c r="C830" t="s">
        <v>816</v>
      </c>
      <c r="D830" t="s">
        <v>286</v>
      </c>
      <c r="E830" s="70">
        <v>10680666</v>
      </c>
    </row>
    <row r="831" spans="1:5" x14ac:dyDescent="0.25">
      <c r="A831" s="69">
        <v>46146</v>
      </c>
      <c r="B831" t="s">
        <v>598</v>
      </c>
      <c r="C831" t="s">
        <v>817</v>
      </c>
      <c r="D831" t="s">
        <v>301</v>
      </c>
      <c r="E831" s="70">
        <v>1038274</v>
      </c>
    </row>
    <row r="832" spans="1:5" x14ac:dyDescent="0.25">
      <c r="A832" s="69">
        <v>46146</v>
      </c>
      <c r="B832" t="s">
        <v>246</v>
      </c>
      <c r="C832" t="s">
        <v>810</v>
      </c>
      <c r="D832" t="s">
        <v>285</v>
      </c>
      <c r="E832" s="70">
        <v>1101197</v>
      </c>
    </row>
    <row r="833" spans="1:5" x14ac:dyDescent="0.25">
      <c r="A833" s="69">
        <v>46146</v>
      </c>
      <c r="B833" t="s">
        <v>169</v>
      </c>
      <c r="C833" t="s">
        <v>679</v>
      </c>
      <c r="D833" t="s">
        <v>285</v>
      </c>
      <c r="E833" s="70">
        <v>350000</v>
      </c>
    </row>
    <row r="834" spans="1:5" x14ac:dyDescent="0.25">
      <c r="A834" s="69">
        <v>46146</v>
      </c>
      <c r="B834" t="s">
        <v>246</v>
      </c>
      <c r="C834" t="s">
        <v>813</v>
      </c>
      <c r="D834" t="s">
        <v>277</v>
      </c>
      <c r="E834" s="70">
        <v>1353049</v>
      </c>
    </row>
    <row r="835" spans="1:5" x14ac:dyDescent="0.25">
      <c r="A835" s="69">
        <v>46146</v>
      </c>
      <c r="B835" t="s">
        <v>250</v>
      </c>
      <c r="C835" t="s">
        <v>816</v>
      </c>
      <c r="D835" t="s">
        <v>277</v>
      </c>
      <c r="E835" s="70">
        <v>10680666</v>
      </c>
    </row>
    <row r="836" spans="1:5" x14ac:dyDescent="0.25">
      <c r="A836" s="69">
        <v>46146</v>
      </c>
      <c r="B836" t="s">
        <v>244</v>
      </c>
      <c r="C836" t="s">
        <v>818</v>
      </c>
      <c r="D836" t="s">
        <v>286</v>
      </c>
      <c r="E836" s="70">
        <v>8112000</v>
      </c>
    </row>
    <row r="837" spans="1:5" x14ac:dyDescent="0.25">
      <c r="A837" s="69">
        <v>46146</v>
      </c>
      <c r="B837" t="s">
        <v>250</v>
      </c>
      <c r="C837" t="s">
        <v>819</v>
      </c>
      <c r="D837" t="s">
        <v>286</v>
      </c>
      <c r="E837" s="70">
        <v>615836</v>
      </c>
    </row>
    <row r="838" spans="1:5" x14ac:dyDescent="0.25">
      <c r="A838" s="69">
        <v>46146</v>
      </c>
      <c r="B838" t="s">
        <v>598</v>
      </c>
      <c r="C838" t="s">
        <v>820</v>
      </c>
      <c r="D838" t="s">
        <v>286</v>
      </c>
      <c r="E838" s="70">
        <v>1050109</v>
      </c>
    </row>
    <row r="839" spans="1:5" x14ac:dyDescent="0.25">
      <c r="A839" s="69">
        <v>46146</v>
      </c>
      <c r="B839" t="s">
        <v>598</v>
      </c>
      <c r="C839" t="s">
        <v>821</v>
      </c>
      <c r="D839" t="s">
        <v>285</v>
      </c>
      <c r="E839" s="70">
        <v>1010329</v>
      </c>
    </row>
    <row r="840" spans="1:5" x14ac:dyDescent="0.25">
      <c r="A840" s="69">
        <v>46146</v>
      </c>
      <c r="B840" t="s">
        <v>481</v>
      </c>
      <c r="C840" t="s">
        <v>822</v>
      </c>
      <c r="D840" t="s">
        <v>286</v>
      </c>
      <c r="E840" s="70">
        <v>149422</v>
      </c>
    </row>
    <row r="841" spans="1:5" x14ac:dyDescent="0.25">
      <c r="A841" s="69">
        <v>46146</v>
      </c>
      <c r="B841" t="s">
        <v>763</v>
      </c>
      <c r="C841" t="s">
        <v>823</v>
      </c>
      <c r="D841" t="s">
        <v>301</v>
      </c>
      <c r="E841" s="70">
        <v>7620000</v>
      </c>
    </row>
    <row r="842" spans="1:5" x14ac:dyDescent="0.25">
      <c r="A842" s="69">
        <v>46146</v>
      </c>
      <c r="B842" t="s">
        <v>244</v>
      </c>
      <c r="C842" t="s">
        <v>818</v>
      </c>
      <c r="D842" t="s">
        <v>277</v>
      </c>
      <c r="E842" s="70">
        <v>8112000</v>
      </c>
    </row>
    <row r="843" spans="1:5" x14ac:dyDescent="0.25">
      <c r="A843" s="69">
        <v>46146</v>
      </c>
      <c r="B843" t="s">
        <v>598</v>
      </c>
      <c r="C843" t="s">
        <v>820</v>
      </c>
      <c r="D843" t="s">
        <v>279</v>
      </c>
      <c r="E843" s="70">
        <v>1050109</v>
      </c>
    </row>
    <row r="844" spans="1:5" x14ac:dyDescent="0.25">
      <c r="A844" s="69">
        <v>46146</v>
      </c>
      <c r="B844" t="s">
        <v>481</v>
      </c>
      <c r="C844" t="s">
        <v>822</v>
      </c>
      <c r="D844" t="s">
        <v>277</v>
      </c>
      <c r="E844" s="70">
        <v>149422</v>
      </c>
    </row>
    <row r="845" spans="1:5" x14ac:dyDescent="0.25">
      <c r="A845" s="69">
        <v>46146</v>
      </c>
      <c r="B845" t="s">
        <v>763</v>
      </c>
      <c r="C845" t="s">
        <v>823</v>
      </c>
      <c r="D845" t="s">
        <v>285</v>
      </c>
      <c r="E845" s="70">
        <v>7620000</v>
      </c>
    </row>
    <row r="846" spans="1:5" x14ac:dyDescent="0.25">
      <c r="A846" s="69">
        <v>46146</v>
      </c>
      <c r="B846" t="s">
        <v>163</v>
      </c>
      <c r="C846" t="s">
        <v>824</v>
      </c>
      <c r="D846" t="s">
        <v>279</v>
      </c>
      <c r="E846" s="70">
        <v>814642</v>
      </c>
    </row>
    <row r="847" spans="1:5" x14ac:dyDescent="0.25">
      <c r="A847" s="69">
        <v>46146</v>
      </c>
      <c r="B847" t="s">
        <v>163</v>
      </c>
      <c r="C847" t="s">
        <v>825</v>
      </c>
      <c r="D847" t="s">
        <v>285</v>
      </c>
      <c r="E847" s="70">
        <v>272023</v>
      </c>
    </row>
    <row r="848" spans="1:5" x14ac:dyDescent="0.25">
      <c r="A848" s="69">
        <v>46146</v>
      </c>
      <c r="B848" t="s">
        <v>609</v>
      </c>
      <c r="C848" t="s">
        <v>826</v>
      </c>
      <c r="D848" t="s">
        <v>286</v>
      </c>
      <c r="E848" s="70">
        <v>17145000</v>
      </c>
    </row>
    <row r="849" spans="1:7" x14ac:dyDescent="0.25">
      <c r="A849" s="69">
        <v>46146</v>
      </c>
      <c r="B849" t="s">
        <v>163</v>
      </c>
      <c r="C849" t="s">
        <v>827</v>
      </c>
      <c r="D849" t="s">
        <v>286</v>
      </c>
      <c r="E849" s="70">
        <v>1827147</v>
      </c>
    </row>
    <row r="850" spans="1:7" x14ac:dyDescent="0.25">
      <c r="A850" s="69">
        <v>46146</v>
      </c>
      <c r="B850" t="s">
        <v>157</v>
      </c>
      <c r="C850" t="s">
        <v>828</v>
      </c>
      <c r="D850" t="s">
        <v>285</v>
      </c>
      <c r="E850" s="70">
        <v>821722</v>
      </c>
    </row>
    <row r="851" spans="1:7" x14ac:dyDescent="0.25">
      <c r="A851" s="69">
        <v>46146</v>
      </c>
      <c r="B851" t="s">
        <v>598</v>
      </c>
      <c r="C851" t="s">
        <v>820</v>
      </c>
      <c r="D851" t="s">
        <v>285</v>
      </c>
      <c r="E851" s="70">
        <v>1050109</v>
      </c>
    </row>
    <row r="852" spans="1:7" x14ac:dyDescent="0.25">
      <c r="A852" s="69">
        <v>46146</v>
      </c>
      <c r="B852" t="s">
        <v>609</v>
      </c>
      <c r="C852" t="s">
        <v>826</v>
      </c>
      <c r="D852" t="s">
        <v>279</v>
      </c>
      <c r="E852" s="70">
        <v>17145000</v>
      </c>
    </row>
    <row r="853" spans="1:7" x14ac:dyDescent="0.25">
      <c r="A853" s="69">
        <v>46146</v>
      </c>
      <c r="B853" t="s">
        <v>163</v>
      </c>
      <c r="C853" t="s">
        <v>827</v>
      </c>
      <c r="D853" t="s">
        <v>277</v>
      </c>
      <c r="E853" s="70">
        <v>1827147</v>
      </c>
    </row>
    <row r="854" spans="1:7" x14ac:dyDescent="0.25">
      <c r="A854" s="69">
        <v>46146</v>
      </c>
      <c r="B854" t="s">
        <v>157</v>
      </c>
      <c r="C854" t="s">
        <v>828</v>
      </c>
      <c r="D854" t="s">
        <v>286</v>
      </c>
      <c r="E854" s="70">
        <v>821722</v>
      </c>
    </row>
    <row r="855" spans="1:7" x14ac:dyDescent="0.25">
      <c r="A855" s="69">
        <v>46146</v>
      </c>
      <c r="B855" t="s">
        <v>236</v>
      </c>
      <c r="C855" t="s">
        <v>829</v>
      </c>
      <c r="D855" t="s">
        <v>286</v>
      </c>
      <c r="E855" s="70">
        <v>1250000</v>
      </c>
    </row>
    <row r="856" spans="1:7" x14ac:dyDescent="0.25">
      <c r="A856" s="69">
        <v>46146</v>
      </c>
      <c r="B856" t="s">
        <v>194</v>
      </c>
      <c r="C856" t="s">
        <v>830</v>
      </c>
      <c r="D856" t="s">
        <v>282</v>
      </c>
      <c r="F856" s="70">
        <v>8</v>
      </c>
      <c r="G856" s="70">
        <v>194</v>
      </c>
    </row>
    <row r="857" spans="1:7" x14ac:dyDescent="0.25">
      <c r="A857" s="69">
        <v>46146</v>
      </c>
      <c r="B857" t="s">
        <v>242</v>
      </c>
      <c r="C857" t="s">
        <v>831</v>
      </c>
      <c r="D857" t="s">
        <v>282</v>
      </c>
      <c r="F857" s="70">
        <v>1</v>
      </c>
      <c r="G857" s="70">
        <v>30</v>
      </c>
    </row>
    <row r="858" spans="1:7" x14ac:dyDescent="0.25">
      <c r="A858" s="69">
        <v>46146</v>
      </c>
      <c r="B858" t="s">
        <v>157</v>
      </c>
      <c r="C858" t="s">
        <v>828</v>
      </c>
      <c r="D858" t="s">
        <v>279</v>
      </c>
      <c r="E858" s="70">
        <v>821722</v>
      </c>
    </row>
    <row r="859" spans="1:7" x14ac:dyDescent="0.25">
      <c r="A859" s="69">
        <v>46146</v>
      </c>
      <c r="B859" t="s">
        <v>622</v>
      </c>
      <c r="C859" t="s">
        <v>832</v>
      </c>
      <c r="D859" t="s">
        <v>282</v>
      </c>
      <c r="F859" s="70">
        <v>77</v>
      </c>
      <c r="G859" s="70">
        <v>1855</v>
      </c>
    </row>
    <row r="860" spans="1:7" x14ac:dyDescent="0.25">
      <c r="A860" s="69">
        <v>46146</v>
      </c>
      <c r="B860" t="s">
        <v>621</v>
      </c>
      <c r="C860" t="s">
        <v>833</v>
      </c>
      <c r="D860" t="s">
        <v>282</v>
      </c>
      <c r="F860" s="70">
        <v>3</v>
      </c>
      <c r="G860" s="70">
        <v>77</v>
      </c>
    </row>
    <row r="861" spans="1:7" x14ac:dyDescent="0.25">
      <c r="A861" s="69">
        <v>46146</v>
      </c>
      <c r="B861" t="s">
        <v>164</v>
      </c>
      <c r="C861" t="s">
        <v>834</v>
      </c>
      <c r="D861" t="s">
        <v>285</v>
      </c>
      <c r="E861" s="70">
        <v>1009841</v>
      </c>
    </row>
    <row r="862" spans="1:7" x14ac:dyDescent="0.25">
      <c r="A862" s="69">
        <v>46146</v>
      </c>
      <c r="B862" t="s">
        <v>205</v>
      </c>
      <c r="C862" t="s">
        <v>835</v>
      </c>
      <c r="D862" t="s">
        <v>286</v>
      </c>
      <c r="E862" s="70">
        <v>8946000</v>
      </c>
    </row>
  </sheetData>
  <phoneticPr fontId="14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D5D5-91A8-4825-A4CF-1847A8C7B677}">
  <dimension ref="A1:V302"/>
  <sheetViews>
    <sheetView zoomScale="130" zoomScaleNormal="130" workbookViewId="0">
      <selection activeCell="D2" sqref="D2"/>
    </sheetView>
  </sheetViews>
  <sheetFormatPr defaultRowHeight="15" x14ac:dyDescent="0.25"/>
  <cols>
    <col min="1" max="1" width="15.7109375" style="13" bestFit="1" customWidth="1"/>
    <col min="2" max="2" width="14.7109375" bestFit="1" customWidth="1"/>
    <col min="3" max="3" width="26.28515625" bestFit="1" customWidth="1"/>
    <col min="4" max="4" width="20.42578125" bestFit="1" customWidth="1"/>
    <col min="5" max="5" width="32" bestFit="1" customWidth="1"/>
    <col min="6" max="6" width="15.140625" bestFit="1" customWidth="1"/>
    <col min="8" max="8" width="14.5703125" bestFit="1" customWidth="1"/>
    <col min="9" max="9" width="6.140625" customWidth="1"/>
    <col min="10" max="10" width="15" bestFit="1" customWidth="1"/>
    <col min="11" max="11" width="16.28515625" bestFit="1" customWidth="1"/>
    <col min="12" max="12" width="10.7109375" bestFit="1" customWidth="1"/>
    <col min="13" max="13" width="9.28515625" bestFit="1" customWidth="1"/>
    <col min="14" max="14" width="13.7109375" bestFit="1" customWidth="1"/>
    <col min="15" max="15" width="9.28515625" bestFit="1" customWidth="1"/>
    <col min="16" max="16" width="13.28515625" bestFit="1" customWidth="1"/>
    <col min="17" max="17" width="13.7109375" bestFit="1" customWidth="1"/>
    <col min="18" max="18" width="9.28515625" bestFit="1" customWidth="1"/>
    <col min="19" max="19" width="13.28515625" bestFit="1" customWidth="1"/>
    <col min="20" max="20" width="8.140625" bestFit="1" customWidth="1"/>
    <col min="21" max="21" width="7" bestFit="1" customWidth="1"/>
    <col min="22" max="22" width="11.28515625" bestFit="1" customWidth="1"/>
    <col min="23" max="23" width="13.28515625" bestFit="1" customWidth="1"/>
    <col min="24" max="24" width="13.7109375" bestFit="1" customWidth="1"/>
    <col min="25" max="25" width="8.140625" bestFit="1" customWidth="1"/>
    <col min="26" max="26" width="7" bestFit="1" customWidth="1"/>
    <col min="27" max="27" width="11.28515625" bestFit="1" customWidth="1"/>
    <col min="28" max="28" width="17.7109375" bestFit="1" customWidth="1"/>
    <col min="29" max="29" width="17.5703125" bestFit="1" customWidth="1"/>
    <col min="30" max="30" width="30.5703125" bestFit="1" customWidth="1"/>
    <col min="31" max="31" width="12.28515625" bestFit="1" customWidth="1"/>
    <col min="32" max="32" width="12" bestFit="1" customWidth="1"/>
    <col min="33" max="33" width="24.5703125" bestFit="1" customWidth="1"/>
    <col min="34" max="34" width="5.5703125" bestFit="1" customWidth="1"/>
    <col min="35" max="35" width="32.140625" bestFit="1" customWidth="1"/>
    <col min="36" max="36" width="11.28515625" bestFit="1" customWidth="1"/>
    <col min="37" max="70" width="20.42578125" bestFit="1" customWidth="1"/>
    <col min="71" max="71" width="11.28515625" bestFit="1" customWidth="1"/>
  </cols>
  <sheetData>
    <row r="1" spans="1:22" x14ac:dyDescent="0.25">
      <c r="A1" s="13" t="s">
        <v>154</v>
      </c>
      <c r="B1" t="s">
        <v>145</v>
      </c>
      <c r="C1" t="s">
        <v>146</v>
      </c>
      <c r="D1" t="s">
        <v>147</v>
      </c>
      <c r="E1" t="s">
        <v>148</v>
      </c>
      <c r="F1" s="21" t="s">
        <v>170</v>
      </c>
      <c r="H1" s="15" t="s">
        <v>249</v>
      </c>
      <c r="J1" s="15" t="s">
        <v>271</v>
      </c>
      <c r="K1" s="15" t="s">
        <v>270</v>
      </c>
    </row>
    <row r="2" spans="1:22" x14ac:dyDescent="0.25">
      <c r="A2" s="14">
        <v>46153.431250000001</v>
      </c>
      <c r="B2" s="81" t="s">
        <v>149</v>
      </c>
      <c r="C2" s="81" t="s">
        <v>190</v>
      </c>
      <c r="D2" s="81" t="s">
        <v>250</v>
      </c>
      <c r="E2" s="81" t="s">
        <v>50</v>
      </c>
      <c r="F2" s="81" t="str">
        <f>IF(E2="", "", IF(COUNTIF(ChestType!$A$5:$A$195, E2)&gt;0, VLOOKUP(E2, ChestType!$A$5:$B$195, 2, 0), "Others"))</f>
        <v>L10 Crypt</v>
      </c>
      <c r="H2" s="13" t="s">
        <v>259</v>
      </c>
      <c r="J2" s="15" t="s">
        <v>249</v>
      </c>
      <c r="K2" t="s">
        <v>24</v>
      </c>
      <c r="L2" t="s">
        <v>15</v>
      </c>
      <c r="M2" t="s">
        <v>1</v>
      </c>
      <c r="N2" t="s">
        <v>93</v>
      </c>
      <c r="O2" t="s">
        <v>2</v>
      </c>
      <c r="P2" t="s">
        <v>98</v>
      </c>
      <c r="Q2" t="s">
        <v>94</v>
      </c>
      <c r="R2" t="s">
        <v>3</v>
      </c>
      <c r="S2" t="s">
        <v>99</v>
      </c>
      <c r="T2" t="s">
        <v>0</v>
      </c>
      <c r="U2" t="s">
        <v>28</v>
      </c>
      <c r="V2" t="s">
        <v>248</v>
      </c>
    </row>
    <row r="3" spans="1:22" x14ac:dyDescent="0.25">
      <c r="A3" s="14">
        <v>46153.431250000001</v>
      </c>
      <c r="B3" s="81" t="s">
        <v>149</v>
      </c>
      <c r="C3" s="81" t="s">
        <v>181</v>
      </c>
      <c r="D3" s="81" t="s">
        <v>250</v>
      </c>
      <c r="E3" s="81" t="s">
        <v>49</v>
      </c>
      <c r="F3" s="81" t="str">
        <f>IF(E3="", "", IF(COUNTIF(ChestType!$A$5:$A$195, E3)&gt;0, VLOOKUP(E3, ChestType!$A$5:$B$195, 2, 0), "Others"))</f>
        <v>L15 Crypt</v>
      </c>
      <c r="H3" s="13" t="s">
        <v>269</v>
      </c>
      <c r="J3" s="13" t="s">
        <v>259</v>
      </c>
      <c r="K3" s="81"/>
      <c r="L3" s="81">
        <v>1</v>
      </c>
      <c r="M3" s="81">
        <v>1</v>
      </c>
      <c r="N3" s="81"/>
      <c r="O3" s="81"/>
      <c r="P3" s="81"/>
      <c r="Q3" s="81"/>
      <c r="R3" s="81"/>
      <c r="S3" s="81"/>
      <c r="T3" s="81"/>
      <c r="U3" s="81">
        <v>2</v>
      </c>
      <c r="V3" s="81">
        <v>4</v>
      </c>
    </row>
    <row r="4" spans="1:22" x14ac:dyDescent="0.25">
      <c r="A4" s="14">
        <v>46153.431250000001</v>
      </c>
      <c r="B4" s="81" t="s">
        <v>149</v>
      </c>
      <c r="C4" s="81" t="s">
        <v>182</v>
      </c>
      <c r="D4" s="81" t="s">
        <v>250</v>
      </c>
      <c r="E4" s="81" t="s">
        <v>49</v>
      </c>
      <c r="F4" s="81" t="str">
        <f>IF(E4="", "", IF(COUNTIF(ChestType!$A$5:$A$195, E4)&gt;0, VLOOKUP(E4, ChestType!$A$5:$B$195, 2, 0), "Others"))</f>
        <v>L15 Crypt</v>
      </c>
      <c r="H4" s="13" t="s">
        <v>164</v>
      </c>
      <c r="J4" s="13" t="s">
        <v>269</v>
      </c>
      <c r="K4" s="81">
        <v>6</v>
      </c>
      <c r="L4" s="81"/>
      <c r="M4" s="81">
        <v>1</v>
      </c>
      <c r="N4" s="81"/>
      <c r="O4" s="81"/>
      <c r="P4" s="81"/>
      <c r="Q4" s="81"/>
      <c r="R4" s="81"/>
      <c r="S4" s="81"/>
      <c r="T4" s="81">
        <v>1</v>
      </c>
      <c r="U4" s="81"/>
      <c r="V4" s="81">
        <v>8</v>
      </c>
    </row>
    <row r="5" spans="1:22" x14ac:dyDescent="0.25">
      <c r="A5" s="14">
        <v>46153.431250000001</v>
      </c>
      <c r="B5" s="81" t="s">
        <v>149</v>
      </c>
      <c r="C5" s="81" t="s">
        <v>182</v>
      </c>
      <c r="D5" s="81" t="s">
        <v>250</v>
      </c>
      <c r="E5" s="81" t="s">
        <v>50</v>
      </c>
      <c r="F5" s="81" t="str">
        <f>IF(E5="", "", IF(COUNTIF(ChestType!$A$5:$A$195, E5)&gt;0, VLOOKUP(E5, ChestType!$A$5:$B$195, 2, 0), "Others"))</f>
        <v>L10 Crypt</v>
      </c>
      <c r="H5" s="13" t="s">
        <v>169</v>
      </c>
      <c r="J5" s="13" t="s">
        <v>164</v>
      </c>
      <c r="K5" s="81"/>
      <c r="L5" s="81"/>
      <c r="M5" s="81">
        <v>1</v>
      </c>
      <c r="N5" s="81"/>
      <c r="O5" s="81"/>
      <c r="P5" s="81"/>
      <c r="Q5" s="81"/>
      <c r="R5" s="81"/>
      <c r="S5" s="81"/>
      <c r="T5" s="81"/>
      <c r="U5" s="81"/>
      <c r="V5" s="81">
        <v>1</v>
      </c>
    </row>
    <row r="6" spans="1:22" x14ac:dyDescent="0.25">
      <c r="A6" s="14">
        <v>46153.431250000001</v>
      </c>
      <c r="B6" s="81" t="s">
        <v>149</v>
      </c>
      <c r="C6" s="81" t="s">
        <v>190</v>
      </c>
      <c r="D6" s="81" t="s">
        <v>261</v>
      </c>
      <c r="E6" s="81" t="s">
        <v>52</v>
      </c>
      <c r="F6" s="81" t="str">
        <f>IF(E6="", "", IF(COUNTIF(ChestType!$A$5:$A$195, E6)&gt;0, VLOOKUP(E6, ChestType!$A$5:$B$195, 2, 0), "Others"))</f>
        <v>L5 Crypt</v>
      </c>
      <c r="H6" s="13" t="s">
        <v>254</v>
      </c>
      <c r="J6" s="13" t="s">
        <v>169</v>
      </c>
      <c r="K6" s="81"/>
      <c r="L6" s="81"/>
      <c r="M6" s="81">
        <v>1</v>
      </c>
      <c r="N6" s="81"/>
      <c r="O6" s="81"/>
      <c r="P6" s="81"/>
      <c r="Q6" s="81"/>
      <c r="R6" s="81"/>
      <c r="S6" s="81"/>
      <c r="T6" s="81">
        <v>1</v>
      </c>
      <c r="U6" s="81"/>
      <c r="V6" s="81">
        <v>2</v>
      </c>
    </row>
    <row r="7" spans="1:22" x14ac:dyDescent="0.25">
      <c r="A7" s="14">
        <v>46153.431250000001</v>
      </c>
      <c r="B7" s="81" t="s">
        <v>149</v>
      </c>
      <c r="C7" s="81" t="s">
        <v>184</v>
      </c>
      <c r="D7" s="81" t="s">
        <v>856</v>
      </c>
      <c r="E7" s="81" t="s">
        <v>52</v>
      </c>
      <c r="F7" s="81" t="str">
        <f>IF(E7="", "", IF(COUNTIF(ChestType!$A$5:$A$195, E7)&gt;0, VLOOKUP(E7, ChestType!$A$5:$B$195, 2, 0), "Others"))</f>
        <v>L5 Crypt</v>
      </c>
      <c r="H7" s="13" t="s">
        <v>859</v>
      </c>
      <c r="J7" s="13" t="s">
        <v>254</v>
      </c>
      <c r="K7" s="81">
        <v>6</v>
      </c>
      <c r="L7" s="81"/>
      <c r="M7" s="81"/>
      <c r="N7" s="81"/>
      <c r="O7" s="81">
        <v>4</v>
      </c>
      <c r="P7" s="81"/>
      <c r="Q7" s="81">
        <v>2</v>
      </c>
      <c r="R7" s="81"/>
      <c r="S7" s="81"/>
      <c r="T7" s="81"/>
      <c r="U7" s="81"/>
      <c r="V7" s="81">
        <v>12</v>
      </c>
    </row>
    <row r="8" spans="1:22" x14ac:dyDescent="0.25">
      <c r="A8" s="14">
        <v>46153.431250000001</v>
      </c>
      <c r="B8" s="81" t="s">
        <v>149</v>
      </c>
      <c r="C8" s="81" t="s">
        <v>182</v>
      </c>
      <c r="D8" s="81" t="s">
        <v>856</v>
      </c>
      <c r="E8" s="81" t="s">
        <v>52</v>
      </c>
      <c r="F8" s="81" t="str">
        <f>IF(E8="", "", IF(COUNTIF(ChestType!$A$5:$A$195, E8)&gt;0, VLOOKUP(E8, ChestType!$A$5:$B$195, 2, 0), "Others"))</f>
        <v>L5 Crypt</v>
      </c>
      <c r="H8" s="13" t="s">
        <v>153</v>
      </c>
      <c r="J8" s="13" t="s">
        <v>153</v>
      </c>
      <c r="K8" s="81"/>
      <c r="L8" s="81"/>
      <c r="M8" s="81">
        <v>1</v>
      </c>
      <c r="N8" s="81"/>
      <c r="O8" s="81"/>
      <c r="P8" s="81"/>
      <c r="Q8" s="81"/>
      <c r="R8" s="81"/>
      <c r="S8" s="81"/>
      <c r="T8" s="81">
        <v>2</v>
      </c>
      <c r="U8" s="81"/>
      <c r="V8" s="81">
        <v>3</v>
      </c>
    </row>
    <row r="9" spans="1:22" x14ac:dyDescent="0.25">
      <c r="A9" s="14">
        <v>46153.431250000001</v>
      </c>
      <c r="B9" s="81" t="s">
        <v>149</v>
      </c>
      <c r="C9" s="81" t="s">
        <v>158</v>
      </c>
      <c r="D9" s="81" t="s">
        <v>856</v>
      </c>
      <c r="E9" s="81" t="s">
        <v>52</v>
      </c>
      <c r="F9" s="81" t="str">
        <f>IF(E9="", "", IF(COUNTIF(ChestType!$A$5:$A$195, E9)&gt;0, VLOOKUP(E9, ChestType!$A$5:$B$195, 2, 0), "Others"))</f>
        <v>L5 Crypt</v>
      </c>
      <c r="H9" s="13" t="s">
        <v>157</v>
      </c>
      <c r="J9" s="13" t="s">
        <v>157</v>
      </c>
      <c r="K9" s="81"/>
      <c r="L9" s="81"/>
      <c r="M9" s="81">
        <v>4</v>
      </c>
      <c r="N9" s="81"/>
      <c r="O9" s="81">
        <v>1</v>
      </c>
      <c r="P9" s="81">
        <v>1</v>
      </c>
      <c r="Q9" s="81"/>
      <c r="R9" s="81"/>
      <c r="S9" s="81"/>
      <c r="T9" s="81"/>
      <c r="U9" s="81">
        <v>6</v>
      </c>
      <c r="V9" s="81">
        <v>12</v>
      </c>
    </row>
    <row r="10" spans="1:22" x14ac:dyDescent="0.25">
      <c r="A10" s="14">
        <v>46153.431250000001</v>
      </c>
      <c r="B10" s="81" t="s">
        <v>149</v>
      </c>
      <c r="C10" s="81" t="s">
        <v>182</v>
      </c>
      <c r="D10" s="81" t="s">
        <v>856</v>
      </c>
      <c r="E10" s="81" t="s">
        <v>52</v>
      </c>
      <c r="F10" s="81" t="str">
        <f>IF(E10="", "", IF(COUNTIF(ChestType!$A$5:$A$195, E10)&gt;0, VLOOKUP(E10, ChestType!$A$5:$B$195, 2, 0), "Others"))</f>
        <v>L5 Crypt</v>
      </c>
      <c r="H10" s="13" t="s">
        <v>842</v>
      </c>
      <c r="J10" s="13" t="s">
        <v>152</v>
      </c>
      <c r="K10" s="81">
        <v>3</v>
      </c>
      <c r="L10" s="81"/>
      <c r="M10" s="81"/>
      <c r="N10" s="81"/>
      <c r="O10" s="81">
        <v>7</v>
      </c>
      <c r="P10" s="81"/>
      <c r="Q10" s="81"/>
      <c r="R10" s="81"/>
      <c r="S10" s="81"/>
      <c r="T10" s="81"/>
      <c r="U10" s="81"/>
      <c r="V10" s="81">
        <v>10</v>
      </c>
    </row>
    <row r="11" spans="1:22" x14ac:dyDescent="0.25">
      <c r="A11" s="14">
        <v>46153.431250000001</v>
      </c>
      <c r="B11" s="81" t="s">
        <v>149</v>
      </c>
      <c r="C11" s="81" t="s">
        <v>187</v>
      </c>
      <c r="D11" s="81" t="s">
        <v>201</v>
      </c>
      <c r="E11" s="81" t="s">
        <v>75</v>
      </c>
      <c r="F11" s="81" t="str">
        <f>IF(E11="", "", IF(COUNTIF(ChestType!$A$5:$A$195, E11)&gt;0, VLOOKUP(E11, ChestType!$A$5:$B$195, 2, 0), "Others"))</f>
        <v>L10 Rare Crypt</v>
      </c>
      <c r="H11" s="13" t="s">
        <v>152</v>
      </c>
      <c r="J11" s="13" t="s">
        <v>252</v>
      </c>
      <c r="K11" s="81"/>
      <c r="L11" s="81"/>
      <c r="M11" s="81">
        <v>1</v>
      </c>
      <c r="N11" s="81"/>
      <c r="O11" s="81"/>
      <c r="P11" s="81"/>
      <c r="Q11" s="81"/>
      <c r="R11" s="81"/>
      <c r="S11" s="81"/>
      <c r="T11" s="81">
        <v>1</v>
      </c>
      <c r="U11" s="81"/>
      <c r="V11" s="81">
        <v>2</v>
      </c>
    </row>
    <row r="12" spans="1:22" x14ac:dyDescent="0.25">
      <c r="A12" s="14">
        <v>46153.431250000001</v>
      </c>
      <c r="B12" s="81" t="s">
        <v>149</v>
      </c>
      <c r="C12" s="81" t="s">
        <v>192</v>
      </c>
      <c r="D12" s="81" t="s">
        <v>856</v>
      </c>
      <c r="E12" s="81" t="s">
        <v>60</v>
      </c>
      <c r="F12" s="81" t="str">
        <f>IF(E12="", "", IF(COUNTIF(ChestType!$A$5:$A$195, E12)&gt;0, VLOOKUP(E12, ChestType!$A$5:$B$195, 2, 0), "Others"))</f>
        <v>Others</v>
      </c>
      <c r="H12" s="13" t="s">
        <v>252</v>
      </c>
      <c r="J12" s="13" t="s">
        <v>165</v>
      </c>
      <c r="K12" s="81"/>
      <c r="L12" s="81"/>
      <c r="M12" s="81">
        <v>1</v>
      </c>
      <c r="N12" s="81">
        <v>1</v>
      </c>
      <c r="O12" s="81"/>
      <c r="P12" s="81"/>
      <c r="Q12" s="81"/>
      <c r="R12" s="81"/>
      <c r="S12" s="81"/>
      <c r="T12" s="81"/>
      <c r="U12" s="81"/>
      <c r="V12" s="81">
        <v>2</v>
      </c>
    </row>
    <row r="13" spans="1:22" x14ac:dyDescent="0.25">
      <c r="A13" s="14">
        <v>46153.431250000001</v>
      </c>
      <c r="B13" s="81" t="s">
        <v>149</v>
      </c>
      <c r="C13" s="81" t="s">
        <v>203</v>
      </c>
      <c r="D13" s="81" t="s">
        <v>179</v>
      </c>
      <c r="E13" s="81" t="s">
        <v>72</v>
      </c>
      <c r="F13" s="81" t="str">
        <f>IF(E13="", "", IF(COUNTIF(ChestType!$A$5:$A$195, E13)&gt;0, VLOOKUP(E13, ChestType!$A$5:$B$195, 2, 0), "Others"))</f>
        <v>Others</v>
      </c>
      <c r="H13" s="13" t="s">
        <v>165</v>
      </c>
      <c r="J13" s="13" t="s">
        <v>191</v>
      </c>
      <c r="K13" s="81"/>
      <c r="L13" s="81"/>
      <c r="M13" s="81">
        <v>1</v>
      </c>
      <c r="N13" s="81"/>
      <c r="O13" s="81"/>
      <c r="P13" s="81"/>
      <c r="Q13" s="81"/>
      <c r="R13" s="81"/>
      <c r="S13" s="81"/>
      <c r="T13" s="81"/>
      <c r="U13" s="81">
        <v>1</v>
      </c>
      <c r="V13" s="81">
        <v>2</v>
      </c>
    </row>
    <row r="14" spans="1:22" x14ac:dyDescent="0.25">
      <c r="A14" s="14">
        <v>46153.431250000001</v>
      </c>
      <c r="B14" s="81" t="s">
        <v>149</v>
      </c>
      <c r="C14" s="81" t="s">
        <v>203</v>
      </c>
      <c r="D14" s="81" t="s">
        <v>179</v>
      </c>
      <c r="E14" s="81" t="s">
        <v>72</v>
      </c>
      <c r="F14" s="81" t="str">
        <f>IF(E14="", "", IF(COUNTIF(ChestType!$A$5:$A$195, E14)&gt;0, VLOOKUP(E14, ChestType!$A$5:$B$195, 2, 0), "Others"))</f>
        <v>Others</v>
      </c>
      <c r="H14" s="13" t="s">
        <v>191</v>
      </c>
      <c r="J14" s="13" t="s">
        <v>167</v>
      </c>
      <c r="K14" s="81"/>
      <c r="L14" s="81"/>
      <c r="M14" s="81"/>
      <c r="N14" s="81"/>
      <c r="O14" s="81"/>
      <c r="P14" s="81"/>
      <c r="Q14" s="81"/>
      <c r="R14" s="81">
        <v>1</v>
      </c>
      <c r="S14" s="81"/>
      <c r="T14" s="81"/>
      <c r="U14" s="81"/>
      <c r="V14" s="81">
        <v>1</v>
      </c>
    </row>
    <row r="15" spans="1:22" x14ac:dyDescent="0.25">
      <c r="A15" s="14">
        <v>46153.431250000001</v>
      </c>
      <c r="B15" s="81" t="s">
        <v>149</v>
      </c>
      <c r="C15" s="81" t="s">
        <v>203</v>
      </c>
      <c r="D15" s="81" t="s">
        <v>179</v>
      </c>
      <c r="E15" s="81" t="s">
        <v>72</v>
      </c>
      <c r="F15" s="81" t="str">
        <f>IF(E15="", "", IF(COUNTIF(ChestType!$A$5:$A$195, E15)&gt;0, VLOOKUP(E15, ChestType!$A$5:$B$195, 2, 0), "Others"))</f>
        <v>Others</v>
      </c>
      <c r="H15" s="13" t="s">
        <v>855</v>
      </c>
      <c r="J15" s="13" t="s">
        <v>257</v>
      </c>
      <c r="K15" s="81"/>
      <c r="L15" s="81"/>
      <c r="M15" s="81">
        <v>1</v>
      </c>
      <c r="N15" s="81"/>
      <c r="O15" s="81"/>
      <c r="P15" s="81"/>
      <c r="Q15" s="81"/>
      <c r="R15" s="81"/>
      <c r="S15" s="81"/>
      <c r="T15" s="81">
        <v>3</v>
      </c>
      <c r="U15" s="81"/>
      <c r="V15" s="81">
        <v>4</v>
      </c>
    </row>
    <row r="16" spans="1:22" x14ac:dyDescent="0.25">
      <c r="A16" s="14">
        <v>46153.431250000001</v>
      </c>
      <c r="B16" s="81" t="s">
        <v>149</v>
      </c>
      <c r="C16" s="81" t="s">
        <v>203</v>
      </c>
      <c r="D16" s="81" t="s">
        <v>179</v>
      </c>
      <c r="E16" s="81" t="s">
        <v>72</v>
      </c>
      <c r="F16" s="81" t="str">
        <f>IF(E16="", "", IF(COUNTIF(ChestType!$A$5:$A$195, E16)&gt;0, VLOOKUP(E16, ChestType!$A$5:$B$195, 2, 0), "Others"))</f>
        <v>Others</v>
      </c>
      <c r="H16" s="13" t="s">
        <v>167</v>
      </c>
      <c r="J16" s="13" t="s">
        <v>555</v>
      </c>
      <c r="K16" s="81">
        <v>3</v>
      </c>
      <c r="L16" s="81"/>
      <c r="M16" s="81">
        <v>20</v>
      </c>
      <c r="N16" s="81"/>
      <c r="O16" s="81">
        <v>11</v>
      </c>
      <c r="P16" s="81">
        <v>1</v>
      </c>
      <c r="Q16" s="81"/>
      <c r="R16" s="81"/>
      <c r="S16" s="81"/>
      <c r="T16" s="81"/>
      <c r="U16" s="81">
        <v>2</v>
      </c>
      <c r="V16" s="81">
        <v>37</v>
      </c>
    </row>
    <row r="17" spans="1:22" x14ac:dyDescent="0.25">
      <c r="A17" s="14">
        <v>46153.431250000001</v>
      </c>
      <c r="B17" s="81" t="s">
        <v>149</v>
      </c>
      <c r="C17" s="81" t="s">
        <v>203</v>
      </c>
      <c r="D17" s="81" t="s">
        <v>179</v>
      </c>
      <c r="E17" s="81" t="s">
        <v>72</v>
      </c>
      <c r="F17" s="81" t="str">
        <f>IF(E17="", "", IF(COUNTIF(ChestType!$A$5:$A$195, E17)&gt;0, VLOOKUP(E17, ChestType!$A$5:$B$195, 2, 0), "Others"))</f>
        <v>Others</v>
      </c>
      <c r="H17" s="13" t="s">
        <v>257</v>
      </c>
      <c r="J17" s="13" t="s">
        <v>155</v>
      </c>
      <c r="K17" s="81"/>
      <c r="L17" s="81"/>
      <c r="M17" s="81">
        <v>2</v>
      </c>
      <c r="N17" s="81"/>
      <c r="O17" s="81"/>
      <c r="P17" s="81"/>
      <c r="Q17" s="81"/>
      <c r="R17" s="81"/>
      <c r="S17" s="81"/>
      <c r="T17" s="81"/>
      <c r="U17" s="81"/>
      <c r="V17" s="81">
        <v>2</v>
      </c>
    </row>
    <row r="18" spans="1:22" x14ac:dyDescent="0.25">
      <c r="A18" s="14">
        <v>46153.431250000001</v>
      </c>
      <c r="B18" s="81" t="s">
        <v>149</v>
      </c>
      <c r="C18" s="81" t="s">
        <v>203</v>
      </c>
      <c r="D18" s="81" t="s">
        <v>179</v>
      </c>
      <c r="E18" s="81" t="s">
        <v>72</v>
      </c>
      <c r="F18" s="81" t="str">
        <f>IF(E18="", "", IF(COUNTIF(ChestType!$A$5:$A$195, E18)&gt;0, VLOOKUP(E18, ChestType!$A$5:$B$195, 2, 0), "Others"))</f>
        <v>Others</v>
      </c>
      <c r="H18" s="13" t="s">
        <v>856</v>
      </c>
      <c r="J18" s="13" t="s">
        <v>161</v>
      </c>
      <c r="K18" s="81"/>
      <c r="L18" s="81"/>
      <c r="M18" s="81"/>
      <c r="N18" s="81"/>
      <c r="O18" s="81"/>
      <c r="P18" s="81"/>
      <c r="Q18" s="81"/>
      <c r="R18" s="81"/>
      <c r="S18" s="81"/>
      <c r="T18" s="81">
        <v>1</v>
      </c>
      <c r="U18" s="81"/>
      <c r="V18" s="81">
        <v>1</v>
      </c>
    </row>
    <row r="19" spans="1:22" x14ac:dyDescent="0.25">
      <c r="A19" s="14">
        <v>46153.431250000001</v>
      </c>
      <c r="B19" s="81" t="s">
        <v>149</v>
      </c>
      <c r="C19" s="81" t="s">
        <v>203</v>
      </c>
      <c r="D19" s="81" t="s">
        <v>179</v>
      </c>
      <c r="E19" s="81" t="s">
        <v>72</v>
      </c>
      <c r="F19" s="81" t="str">
        <f>IF(E19="", "", IF(COUNTIF(ChestType!$A$5:$A$195, E19)&gt;0, VLOOKUP(E19, ChestType!$A$5:$B$195, 2, 0), "Others"))</f>
        <v>Others</v>
      </c>
      <c r="H19" s="13" t="s">
        <v>555</v>
      </c>
      <c r="J19" s="13" t="s">
        <v>250</v>
      </c>
      <c r="K19" s="81">
        <v>6</v>
      </c>
      <c r="L19" s="81"/>
      <c r="M19" s="81">
        <v>2</v>
      </c>
      <c r="N19" s="81"/>
      <c r="O19" s="81">
        <v>2</v>
      </c>
      <c r="P19" s="81"/>
      <c r="Q19" s="81"/>
      <c r="R19" s="81"/>
      <c r="S19" s="81"/>
      <c r="T19" s="81">
        <v>2</v>
      </c>
      <c r="U19" s="81"/>
      <c r="V19" s="81">
        <v>12</v>
      </c>
    </row>
    <row r="20" spans="1:22" x14ac:dyDescent="0.25">
      <c r="A20" s="14">
        <v>46153.431250000001</v>
      </c>
      <c r="B20" s="81" t="s">
        <v>149</v>
      </c>
      <c r="C20" s="81" t="s">
        <v>203</v>
      </c>
      <c r="D20" s="81" t="s">
        <v>179</v>
      </c>
      <c r="E20" s="81" t="s">
        <v>72</v>
      </c>
      <c r="F20" s="81" t="str">
        <f>IF(E20="", "", IF(COUNTIF(ChestType!$A$5:$A$195, E20)&gt;0, VLOOKUP(E20, ChestType!$A$5:$B$195, 2, 0), "Others"))</f>
        <v>Others</v>
      </c>
      <c r="H20" s="13" t="s">
        <v>857</v>
      </c>
      <c r="J20" s="13" t="s">
        <v>201</v>
      </c>
      <c r="K20" s="81"/>
      <c r="L20" s="81"/>
      <c r="M20" s="81"/>
      <c r="N20" s="81">
        <v>1</v>
      </c>
      <c r="O20" s="81"/>
      <c r="P20" s="81"/>
      <c r="Q20" s="81"/>
      <c r="R20" s="81"/>
      <c r="S20" s="81"/>
      <c r="T20" s="81"/>
      <c r="U20" s="81"/>
      <c r="V20" s="81">
        <v>1</v>
      </c>
    </row>
    <row r="21" spans="1:22" x14ac:dyDescent="0.25">
      <c r="A21" s="14">
        <v>46153.431250000001</v>
      </c>
      <c r="B21" s="81" t="s">
        <v>149</v>
      </c>
      <c r="C21" s="81" t="s">
        <v>203</v>
      </c>
      <c r="D21" s="81" t="s">
        <v>179</v>
      </c>
      <c r="E21" s="81" t="s">
        <v>72</v>
      </c>
      <c r="F21" s="81" t="str">
        <f>IF(E21="", "", IF(COUNTIF(ChestType!$A$5:$A$195, E21)&gt;0, VLOOKUP(E21, ChestType!$A$5:$B$195, 2, 0), "Others"))</f>
        <v>Others</v>
      </c>
      <c r="H21" s="13" t="s">
        <v>155</v>
      </c>
      <c r="J21" s="13" t="s">
        <v>258</v>
      </c>
      <c r="K21" s="81"/>
      <c r="L21" s="81"/>
      <c r="M21" s="81">
        <v>1</v>
      </c>
      <c r="N21" s="81"/>
      <c r="O21" s="81"/>
      <c r="P21" s="81"/>
      <c r="Q21" s="81"/>
      <c r="R21" s="81"/>
      <c r="S21" s="81"/>
      <c r="T21" s="81"/>
      <c r="U21" s="81"/>
      <c r="V21" s="81">
        <v>1</v>
      </c>
    </row>
    <row r="22" spans="1:22" x14ac:dyDescent="0.25">
      <c r="A22" s="14">
        <v>46153.431250000001</v>
      </c>
      <c r="B22" s="81" t="s">
        <v>149</v>
      </c>
      <c r="C22" s="81" t="s">
        <v>183</v>
      </c>
      <c r="D22" s="81" t="s">
        <v>179</v>
      </c>
      <c r="E22" s="81" t="s">
        <v>50</v>
      </c>
      <c r="F22" s="81" t="str">
        <f>IF(E22="", "", IF(COUNTIF(ChestType!$A$5:$A$195, E22)&gt;0, VLOOKUP(E22, ChestType!$A$5:$B$195, 2, 0), "Others"))</f>
        <v>L10 Crypt</v>
      </c>
      <c r="H22" s="13" t="s">
        <v>161</v>
      </c>
      <c r="J22" s="13" t="s">
        <v>266</v>
      </c>
      <c r="K22" s="81"/>
      <c r="L22" s="81"/>
      <c r="M22" s="81">
        <v>6</v>
      </c>
      <c r="N22" s="81"/>
      <c r="O22" s="81"/>
      <c r="P22" s="81"/>
      <c r="Q22" s="81"/>
      <c r="R22" s="81"/>
      <c r="S22" s="81"/>
      <c r="T22" s="81">
        <v>23</v>
      </c>
      <c r="U22" s="81"/>
      <c r="V22" s="81">
        <v>29</v>
      </c>
    </row>
    <row r="23" spans="1:22" x14ac:dyDescent="0.25">
      <c r="A23" s="14">
        <v>46153.431250000001</v>
      </c>
      <c r="B23" s="81" t="s">
        <v>149</v>
      </c>
      <c r="C23" s="81" t="s">
        <v>198</v>
      </c>
      <c r="D23" s="81" t="s">
        <v>555</v>
      </c>
      <c r="E23" s="81" t="s">
        <v>136</v>
      </c>
      <c r="F23" s="81" t="str">
        <f>IF(E23="", "", IF(COUNTIF(ChestType!$A$5:$A$195, E23)&gt;0, VLOOKUP(E23, ChestType!$A$5:$B$195, 2, 0), "Others"))</f>
        <v>Others</v>
      </c>
      <c r="H23" s="13" t="s">
        <v>250</v>
      </c>
      <c r="J23" s="13" t="s">
        <v>162</v>
      </c>
      <c r="K23" s="81">
        <v>6</v>
      </c>
      <c r="L23" s="81"/>
      <c r="M23" s="81"/>
      <c r="N23" s="81"/>
      <c r="O23" s="81">
        <v>1</v>
      </c>
      <c r="P23" s="81">
        <v>7</v>
      </c>
      <c r="Q23" s="81"/>
      <c r="R23" s="81"/>
      <c r="S23" s="81"/>
      <c r="T23" s="81"/>
      <c r="U23" s="81">
        <v>3</v>
      </c>
      <c r="V23" s="81">
        <v>17</v>
      </c>
    </row>
    <row r="24" spans="1:22" x14ac:dyDescent="0.25">
      <c r="A24" s="14">
        <v>46153.431250000001</v>
      </c>
      <c r="B24" s="81" t="s">
        <v>149</v>
      </c>
      <c r="C24" s="81" t="s">
        <v>840</v>
      </c>
      <c r="D24" s="81" t="s">
        <v>555</v>
      </c>
      <c r="E24" s="81" t="s">
        <v>64</v>
      </c>
      <c r="F24" s="81" t="str">
        <f>IF(E24="", "", IF(COUNTIF(ChestType!$A$5:$A$195, E24)&gt;0, VLOOKUP(E24, ChestType!$A$5:$B$195, 2, 0), "Others"))</f>
        <v>L15 Epic Crypt</v>
      </c>
      <c r="H24" s="13" t="s">
        <v>201</v>
      </c>
      <c r="J24" s="13" t="s">
        <v>180</v>
      </c>
      <c r="K24" s="81"/>
      <c r="L24" s="81"/>
      <c r="M24" s="81"/>
      <c r="N24" s="81"/>
      <c r="O24" s="81"/>
      <c r="P24" s="81"/>
      <c r="Q24" s="81"/>
      <c r="R24" s="81"/>
      <c r="S24" s="81"/>
      <c r="T24" s="81">
        <v>1</v>
      </c>
      <c r="U24" s="81"/>
      <c r="V24" s="81">
        <v>1</v>
      </c>
    </row>
    <row r="25" spans="1:22" x14ac:dyDescent="0.25">
      <c r="A25" s="14">
        <v>46153.431250000001</v>
      </c>
      <c r="B25" s="81" t="s">
        <v>149</v>
      </c>
      <c r="C25" s="81" t="s">
        <v>192</v>
      </c>
      <c r="D25" s="81" t="s">
        <v>555</v>
      </c>
      <c r="E25" s="81" t="s">
        <v>60</v>
      </c>
      <c r="F25" s="81" t="str">
        <f>IF(E25="", "", IF(COUNTIF(ChestType!$A$5:$A$195, E25)&gt;0, VLOOKUP(E25, ChestType!$A$5:$B$195, 2, 0), "Others"))</f>
        <v>Others</v>
      </c>
      <c r="H25" s="13" t="s">
        <v>861</v>
      </c>
      <c r="J25" s="13" t="s">
        <v>261</v>
      </c>
      <c r="K25" s="81"/>
      <c r="L25" s="81"/>
      <c r="M25" s="81">
        <v>4</v>
      </c>
      <c r="N25" s="81"/>
      <c r="O25" s="81"/>
      <c r="P25" s="81"/>
      <c r="Q25" s="81"/>
      <c r="R25" s="81"/>
      <c r="S25" s="81"/>
      <c r="T25" s="81">
        <v>7</v>
      </c>
      <c r="U25" s="81"/>
      <c r="V25" s="81">
        <v>11</v>
      </c>
    </row>
    <row r="26" spans="1:22" x14ac:dyDescent="0.25">
      <c r="A26" s="14">
        <v>46153.431250000001</v>
      </c>
      <c r="B26" s="81" t="s">
        <v>149</v>
      </c>
      <c r="C26" s="81" t="s">
        <v>151</v>
      </c>
      <c r="D26" s="81" t="s">
        <v>555</v>
      </c>
      <c r="E26" s="81" t="s">
        <v>49</v>
      </c>
      <c r="F26" s="81" t="str">
        <f>IF(E26="", "", IF(COUNTIF(ChestType!$A$5:$A$195, E26)&gt;0, VLOOKUP(E26, ChestType!$A$5:$B$195, 2, 0), "Others"))</f>
        <v>L15 Crypt</v>
      </c>
      <c r="H26" s="13" t="s">
        <v>258</v>
      </c>
      <c r="J26" s="13" t="s">
        <v>246</v>
      </c>
      <c r="K26" s="81"/>
      <c r="L26" s="81"/>
      <c r="M26" s="81">
        <v>8</v>
      </c>
      <c r="N26" s="81"/>
      <c r="O26" s="81">
        <v>1</v>
      </c>
      <c r="P26" s="81"/>
      <c r="Q26" s="81"/>
      <c r="R26" s="81"/>
      <c r="S26" s="81"/>
      <c r="T26" s="81">
        <v>5</v>
      </c>
      <c r="U26" s="81"/>
      <c r="V26" s="81">
        <v>14</v>
      </c>
    </row>
    <row r="27" spans="1:22" x14ac:dyDescent="0.25">
      <c r="A27" s="14">
        <v>46153.431250000001</v>
      </c>
      <c r="B27" s="81" t="s">
        <v>149</v>
      </c>
      <c r="C27" s="81" t="s">
        <v>151</v>
      </c>
      <c r="D27" s="81" t="s">
        <v>555</v>
      </c>
      <c r="E27" s="81" t="s">
        <v>49</v>
      </c>
      <c r="F27" s="81" t="str">
        <f>IF(E27="", "", IF(COUNTIF(ChestType!$A$5:$A$195, E27)&gt;0, VLOOKUP(E27, ChestType!$A$5:$B$195, 2, 0), "Others"))</f>
        <v>L15 Crypt</v>
      </c>
      <c r="H27" s="13" t="s">
        <v>266</v>
      </c>
      <c r="J27" s="13" t="s">
        <v>268</v>
      </c>
      <c r="K27" s="81">
        <v>6</v>
      </c>
      <c r="L27" s="81"/>
      <c r="M27" s="81">
        <v>2</v>
      </c>
      <c r="N27" s="81">
        <v>1</v>
      </c>
      <c r="O27" s="81">
        <v>1</v>
      </c>
      <c r="P27" s="81"/>
      <c r="Q27" s="81"/>
      <c r="R27" s="81"/>
      <c r="S27" s="81"/>
      <c r="T27" s="81">
        <v>1</v>
      </c>
      <c r="U27" s="81"/>
      <c r="V27" s="81">
        <v>11</v>
      </c>
    </row>
    <row r="28" spans="1:22" x14ac:dyDescent="0.25">
      <c r="A28" s="14">
        <v>46153.431250000001</v>
      </c>
      <c r="B28" s="81" t="s">
        <v>149</v>
      </c>
      <c r="C28" s="81" t="s">
        <v>151</v>
      </c>
      <c r="D28" s="81" t="s">
        <v>555</v>
      </c>
      <c r="E28" s="81" t="s">
        <v>49</v>
      </c>
      <c r="F28" s="81" t="str">
        <f>IF(E28="", "", IF(COUNTIF(ChestType!$A$5:$A$195, E28)&gt;0, VLOOKUP(E28, ChestType!$A$5:$B$195, 2, 0), "Others"))</f>
        <v>L15 Crypt</v>
      </c>
      <c r="H28" s="13" t="s">
        <v>162</v>
      </c>
      <c r="J28" s="13" t="s">
        <v>179</v>
      </c>
      <c r="K28" s="81"/>
      <c r="L28" s="81"/>
      <c r="M28" s="81">
        <v>10</v>
      </c>
      <c r="N28" s="81"/>
      <c r="O28" s="81"/>
      <c r="P28" s="81"/>
      <c r="Q28" s="81"/>
      <c r="R28" s="81"/>
      <c r="S28" s="81"/>
      <c r="T28" s="81"/>
      <c r="U28" s="81">
        <v>9</v>
      </c>
      <c r="V28" s="81">
        <v>19</v>
      </c>
    </row>
    <row r="29" spans="1:22" x14ac:dyDescent="0.25">
      <c r="A29" s="14">
        <v>46153.431250000001</v>
      </c>
      <c r="B29" s="81" t="s">
        <v>149</v>
      </c>
      <c r="C29" s="81" t="s">
        <v>151</v>
      </c>
      <c r="D29" s="81" t="s">
        <v>555</v>
      </c>
      <c r="E29" s="81" t="s">
        <v>49</v>
      </c>
      <c r="F29" s="81" t="str">
        <f>IF(E29="", "", IF(COUNTIF(ChestType!$A$5:$A$195, E29)&gt;0, VLOOKUP(E29, ChestType!$A$5:$B$195, 2, 0), "Others"))</f>
        <v>L15 Crypt</v>
      </c>
      <c r="H29" s="13" t="s">
        <v>860</v>
      </c>
      <c r="J29" s="13" t="s">
        <v>264</v>
      </c>
      <c r="K29" s="81"/>
      <c r="L29" s="81"/>
      <c r="M29" s="81">
        <v>1</v>
      </c>
      <c r="N29" s="81"/>
      <c r="O29" s="81"/>
      <c r="P29" s="81"/>
      <c r="Q29" s="81"/>
      <c r="R29" s="81"/>
      <c r="S29" s="81"/>
      <c r="T29" s="81">
        <v>1</v>
      </c>
      <c r="U29" s="81"/>
      <c r="V29" s="81">
        <v>2</v>
      </c>
    </row>
    <row r="30" spans="1:22" x14ac:dyDescent="0.25">
      <c r="A30" s="14">
        <v>46153.431250000001</v>
      </c>
      <c r="B30" s="81" t="s">
        <v>149</v>
      </c>
      <c r="C30" s="81" t="s">
        <v>151</v>
      </c>
      <c r="D30" s="81" t="s">
        <v>555</v>
      </c>
      <c r="E30" s="81" t="s">
        <v>49</v>
      </c>
      <c r="F30" s="81" t="str">
        <f>IF(E30="", "", IF(COUNTIF(ChestType!$A$5:$A$195, E30)&gt;0, VLOOKUP(E30, ChestType!$A$5:$B$195, 2, 0), "Others"))</f>
        <v>L15 Crypt</v>
      </c>
      <c r="H30" s="13" t="s">
        <v>180</v>
      </c>
      <c r="J30" s="13" t="s">
        <v>265</v>
      </c>
      <c r="K30" s="81"/>
      <c r="L30" s="81"/>
      <c r="M30" s="81">
        <v>2</v>
      </c>
      <c r="N30" s="81"/>
      <c r="O30" s="81">
        <v>1</v>
      </c>
      <c r="P30" s="81"/>
      <c r="Q30" s="81"/>
      <c r="R30" s="81"/>
      <c r="S30" s="81"/>
      <c r="T30" s="81"/>
      <c r="U30" s="81"/>
      <c r="V30" s="81">
        <v>3</v>
      </c>
    </row>
    <row r="31" spans="1:22" x14ac:dyDescent="0.25">
      <c r="A31" s="14">
        <v>46153.431250000001</v>
      </c>
      <c r="B31" s="81" t="s">
        <v>149</v>
      </c>
      <c r="C31" s="81" t="s">
        <v>151</v>
      </c>
      <c r="D31" s="81" t="s">
        <v>555</v>
      </c>
      <c r="E31" s="81" t="s">
        <v>49</v>
      </c>
      <c r="F31" s="81" t="str">
        <f>IF(E31="", "", IF(COUNTIF(ChestType!$A$5:$A$195, E31)&gt;0, VLOOKUP(E31, ChestType!$A$5:$B$195, 2, 0), "Others"))</f>
        <v>L15 Crypt</v>
      </c>
      <c r="H31" s="13" t="s">
        <v>261</v>
      </c>
      <c r="J31" s="13" t="s">
        <v>193</v>
      </c>
      <c r="K31" s="81"/>
      <c r="L31" s="81"/>
      <c r="M31" s="81">
        <v>4</v>
      </c>
      <c r="N31" s="81"/>
      <c r="O31" s="81"/>
      <c r="P31" s="81"/>
      <c r="Q31" s="81"/>
      <c r="R31" s="81"/>
      <c r="S31" s="81"/>
      <c r="T31" s="81">
        <v>2</v>
      </c>
      <c r="U31" s="81"/>
      <c r="V31" s="81">
        <v>6</v>
      </c>
    </row>
    <row r="32" spans="1:22" x14ac:dyDescent="0.25">
      <c r="A32" s="14">
        <v>46153.431250000001</v>
      </c>
      <c r="B32" s="81" t="s">
        <v>149</v>
      </c>
      <c r="C32" s="81" t="s">
        <v>151</v>
      </c>
      <c r="D32" s="81" t="s">
        <v>555</v>
      </c>
      <c r="E32" s="81" t="s">
        <v>49</v>
      </c>
      <c r="F32" s="81" t="str">
        <f>IF(E32="", "", IF(COUNTIF(ChestType!$A$5:$A$195, E32)&gt;0, VLOOKUP(E32, ChestType!$A$5:$B$195, 2, 0), "Others"))</f>
        <v>L15 Crypt</v>
      </c>
      <c r="H32" s="13" t="s">
        <v>246</v>
      </c>
      <c r="J32" s="13" t="s">
        <v>168</v>
      </c>
      <c r="K32" s="81"/>
      <c r="L32" s="81"/>
      <c r="M32" s="81">
        <v>1</v>
      </c>
      <c r="N32" s="81"/>
      <c r="O32" s="81">
        <v>4</v>
      </c>
      <c r="P32" s="81"/>
      <c r="Q32" s="81"/>
      <c r="R32" s="81"/>
      <c r="S32" s="81"/>
      <c r="T32" s="81"/>
      <c r="U32" s="81"/>
      <c r="V32" s="81">
        <v>5</v>
      </c>
    </row>
    <row r="33" spans="1:22" x14ac:dyDescent="0.25">
      <c r="A33" s="14">
        <v>46153.431250000001</v>
      </c>
      <c r="B33" s="81" t="s">
        <v>149</v>
      </c>
      <c r="C33" s="81" t="s">
        <v>151</v>
      </c>
      <c r="D33" s="81" t="s">
        <v>555</v>
      </c>
      <c r="E33" s="81" t="s">
        <v>49</v>
      </c>
      <c r="F33" s="81" t="str">
        <f>IF(E33="", "", IF(COUNTIF(ChestType!$A$5:$A$195, E33)&gt;0, VLOOKUP(E33, ChestType!$A$5:$B$195, 2, 0), "Others"))</f>
        <v>L15 Crypt</v>
      </c>
      <c r="H33" s="13" t="s">
        <v>268</v>
      </c>
      <c r="J33" s="13" t="s">
        <v>253</v>
      </c>
      <c r="K33" s="81"/>
      <c r="L33" s="81"/>
      <c r="M33" s="81">
        <v>1</v>
      </c>
      <c r="N33" s="81"/>
      <c r="O33" s="81"/>
      <c r="P33" s="81"/>
      <c r="Q33" s="81"/>
      <c r="R33" s="81"/>
      <c r="S33" s="81"/>
      <c r="T33" s="81">
        <v>1</v>
      </c>
      <c r="U33" s="81"/>
      <c r="V33" s="81">
        <v>2</v>
      </c>
    </row>
    <row r="34" spans="1:22" x14ac:dyDescent="0.25">
      <c r="A34" s="14">
        <v>46153.431250000001</v>
      </c>
      <c r="B34" s="81" t="s">
        <v>149</v>
      </c>
      <c r="C34" s="81" t="s">
        <v>151</v>
      </c>
      <c r="D34" s="81" t="s">
        <v>555</v>
      </c>
      <c r="E34" s="81" t="s">
        <v>49</v>
      </c>
      <c r="F34" s="81" t="str">
        <f>IF(E34="", "", IF(COUNTIF(ChestType!$A$5:$A$195, E34)&gt;0, VLOOKUP(E34, ChestType!$A$5:$B$195, 2, 0), "Others"))</f>
        <v>L15 Crypt</v>
      </c>
      <c r="H34" s="13" t="s">
        <v>850</v>
      </c>
      <c r="J34" s="13" t="s">
        <v>842</v>
      </c>
      <c r="K34" s="81"/>
      <c r="L34" s="81"/>
      <c r="M34" s="81">
        <v>1</v>
      </c>
      <c r="N34" s="81"/>
      <c r="O34" s="81"/>
      <c r="P34" s="81">
        <v>1</v>
      </c>
      <c r="Q34" s="81"/>
      <c r="R34" s="81"/>
      <c r="S34" s="81"/>
      <c r="T34" s="81">
        <v>1</v>
      </c>
      <c r="U34" s="81"/>
      <c r="V34" s="81">
        <v>3</v>
      </c>
    </row>
    <row r="35" spans="1:22" x14ac:dyDescent="0.25">
      <c r="A35" s="14">
        <v>46153.431250000001</v>
      </c>
      <c r="B35" s="81" t="s">
        <v>149</v>
      </c>
      <c r="C35" s="81" t="s">
        <v>151</v>
      </c>
      <c r="D35" s="81" t="s">
        <v>555</v>
      </c>
      <c r="E35" s="81" t="s">
        <v>49</v>
      </c>
      <c r="F35" s="81" t="str">
        <f>IF(E35="", "", IF(COUNTIF(ChestType!$A$5:$A$195, E35)&gt;0, VLOOKUP(E35, ChestType!$A$5:$B$195, 2, 0), "Others"))</f>
        <v>L15 Crypt</v>
      </c>
      <c r="H35" s="13" t="s">
        <v>179</v>
      </c>
      <c r="J35" s="13" t="s">
        <v>850</v>
      </c>
      <c r="K35" s="81"/>
      <c r="L35" s="81"/>
      <c r="M35" s="81">
        <v>1</v>
      </c>
      <c r="N35" s="81"/>
      <c r="O35" s="81"/>
      <c r="P35" s="81"/>
      <c r="Q35" s="81"/>
      <c r="R35" s="81"/>
      <c r="S35" s="81"/>
      <c r="T35" s="81"/>
      <c r="U35" s="81"/>
      <c r="V35" s="81">
        <v>1</v>
      </c>
    </row>
    <row r="36" spans="1:22" x14ac:dyDescent="0.25">
      <c r="A36" s="14">
        <v>46153.431250000001</v>
      </c>
      <c r="B36" s="81" t="s">
        <v>149</v>
      </c>
      <c r="C36" s="81" t="s">
        <v>151</v>
      </c>
      <c r="D36" s="81" t="s">
        <v>555</v>
      </c>
      <c r="E36" s="81" t="s">
        <v>50</v>
      </c>
      <c r="F36" s="81" t="str">
        <f>IF(E36="", "", IF(COUNTIF(ChestType!$A$5:$A$195, E36)&gt;0, VLOOKUP(E36, ChestType!$A$5:$B$195, 2, 0), "Others"))</f>
        <v>L10 Crypt</v>
      </c>
      <c r="H36" s="13" t="s">
        <v>264</v>
      </c>
      <c r="J36" s="13" t="s">
        <v>855</v>
      </c>
      <c r="K36" s="81">
        <v>6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>
        <v>6</v>
      </c>
    </row>
    <row r="37" spans="1:22" x14ac:dyDescent="0.25">
      <c r="A37" s="14">
        <v>46153.431250000001</v>
      </c>
      <c r="B37" s="81" t="s">
        <v>149</v>
      </c>
      <c r="C37" s="81" t="s">
        <v>151</v>
      </c>
      <c r="D37" s="81" t="s">
        <v>555</v>
      </c>
      <c r="E37" s="81" t="s">
        <v>50</v>
      </c>
      <c r="F37" s="81" t="str">
        <f>IF(E37="", "", IF(COUNTIF(ChestType!$A$5:$A$195, E37)&gt;0, VLOOKUP(E37, ChestType!$A$5:$B$195, 2, 0), "Others"))</f>
        <v>L10 Crypt</v>
      </c>
      <c r="H37" s="13" t="s">
        <v>265</v>
      </c>
      <c r="J37" s="13" t="s">
        <v>856</v>
      </c>
      <c r="K37" s="81">
        <v>15</v>
      </c>
      <c r="L37" s="81"/>
      <c r="M37" s="81">
        <v>3</v>
      </c>
      <c r="N37" s="81"/>
      <c r="O37" s="81">
        <v>4</v>
      </c>
      <c r="P37" s="81">
        <v>5</v>
      </c>
      <c r="Q37" s="81">
        <v>1</v>
      </c>
      <c r="R37" s="81"/>
      <c r="S37" s="81">
        <v>4</v>
      </c>
      <c r="T37" s="81">
        <v>4</v>
      </c>
      <c r="U37" s="81">
        <v>1</v>
      </c>
      <c r="V37" s="81">
        <v>37</v>
      </c>
    </row>
    <row r="38" spans="1:22" x14ac:dyDescent="0.25">
      <c r="A38" s="14">
        <v>46153.431250000001</v>
      </c>
      <c r="B38" s="81" t="s">
        <v>149</v>
      </c>
      <c r="C38" s="81" t="s">
        <v>151</v>
      </c>
      <c r="D38" s="81" t="s">
        <v>555</v>
      </c>
      <c r="E38" s="81" t="s">
        <v>50</v>
      </c>
      <c r="F38" s="81" t="str">
        <f>IF(E38="", "", IF(COUNTIF(ChestType!$A$5:$A$195, E38)&gt;0, VLOOKUP(E38, ChestType!$A$5:$B$195, 2, 0), "Others"))</f>
        <v>L10 Crypt</v>
      </c>
      <c r="H38" s="13" t="s">
        <v>193</v>
      </c>
      <c r="J38" s="13" t="s">
        <v>857</v>
      </c>
      <c r="K38" s="81"/>
      <c r="L38" s="81"/>
      <c r="M38" s="81"/>
      <c r="N38" s="81"/>
      <c r="O38" s="81"/>
      <c r="P38" s="81"/>
      <c r="Q38" s="81"/>
      <c r="R38" s="81"/>
      <c r="S38" s="81"/>
      <c r="T38" s="81">
        <v>5</v>
      </c>
      <c r="U38" s="81"/>
      <c r="V38" s="81">
        <v>5</v>
      </c>
    </row>
    <row r="39" spans="1:22" x14ac:dyDescent="0.25">
      <c r="A39" s="14">
        <v>46153.431250000001</v>
      </c>
      <c r="B39" s="81" t="s">
        <v>149</v>
      </c>
      <c r="C39" s="81" t="s">
        <v>151</v>
      </c>
      <c r="D39" s="81" t="s">
        <v>555</v>
      </c>
      <c r="E39" s="81" t="s">
        <v>50</v>
      </c>
      <c r="F39" s="81" t="str">
        <f>IF(E39="", "", IF(COUNTIF(ChestType!$A$5:$A$195, E39)&gt;0, VLOOKUP(E39, ChestType!$A$5:$B$195, 2, 0), "Others"))</f>
        <v>L10 Crypt</v>
      </c>
      <c r="H39" s="13" t="s">
        <v>168</v>
      </c>
      <c r="J39" s="13" t="s">
        <v>859</v>
      </c>
      <c r="K39" s="81"/>
      <c r="L39" s="81"/>
      <c r="M39" s="81">
        <v>1</v>
      </c>
      <c r="N39" s="81"/>
      <c r="O39" s="81"/>
      <c r="P39" s="81"/>
      <c r="Q39" s="81"/>
      <c r="R39" s="81"/>
      <c r="S39" s="81"/>
      <c r="T39" s="81">
        <v>2</v>
      </c>
      <c r="U39" s="81"/>
      <c r="V39" s="81">
        <v>3</v>
      </c>
    </row>
    <row r="40" spans="1:22" x14ac:dyDescent="0.25">
      <c r="A40" s="14">
        <v>46153.431250000001</v>
      </c>
      <c r="B40" s="81" t="s">
        <v>149</v>
      </c>
      <c r="C40" s="81" t="s">
        <v>151</v>
      </c>
      <c r="D40" s="81" t="s">
        <v>555</v>
      </c>
      <c r="E40" s="81" t="s">
        <v>50</v>
      </c>
      <c r="F40" s="81" t="str">
        <f>IF(E40="", "", IF(COUNTIF(ChestType!$A$5:$A$195, E40)&gt;0, VLOOKUP(E40, ChestType!$A$5:$B$195, 2, 0), "Others"))</f>
        <v>L10 Crypt</v>
      </c>
      <c r="H40" s="13" t="s">
        <v>253</v>
      </c>
      <c r="J40" s="13" t="s">
        <v>860</v>
      </c>
      <c r="K40" s="81"/>
      <c r="L40" s="81"/>
      <c r="M40" s="81">
        <v>2</v>
      </c>
      <c r="N40" s="81"/>
      <c r="O40" s="81"/>
      <c r="P40" s="81"/>
      <c r="Q40" s="81"/>
      <c r="R40" s="81"/>
      <c r="S40" s="81"/>
      <c r="T40" s="81"/>
      <c r="U40" s="81"/>
      <c r="V40" s="81">
        <v>2</v>
      </c>
    </row>
    <row r="41" spans="1:22" x14ac:dyDescent="0.25">
      <c r="A41" s="14">
        <v>46153.431250000001</v>
      </c>
      <c r="B41" s="81" t="s">
        <v>149</v>
      </c>
      <c r="C41" s="81" t="s">
        <v>151</v>
      </c>
      <c r="D41" s="81" t="s">
        <v>555</v>
      </c>
      <c r="E41" s="81" t="s">
        <v>50</v>
      </c>
      <c r="F41" s="81" t="str">
        <f>IF(E41="", "", IF(COUNTIF(ChestType!$A$5:$A$195, E41)&gt;0, VLOOKUP(E41, ChestType!$A$5:$B$195, 2, 0), "Others"))</f>
        <v>L10 Crypt</v>
      </c>
      <c r="J41" s="13" t="s">
        <v>861</v>
      </c>
      <c r="K41" s="81">
        <v>6</v>
      </c>
      <c r="L41" s="81"/>
      <c r="M41" s="81">
        <v>1</v>
      </c>
      <c r="N41" s="81"/>
      <c r="O41" s="81"/>
      <c r="P41" s="81"/>
      <c r="Q41" s="81"/>
      <c r="R41" s="81"/>
      <c r="S41" s="81"/>
      <c r="T41" s="81"/>
      <c r="U41" s="81"/>
      <c r="V41" s="81">
        <v>7</v>
      </c>
    </row>
    <row r="42" spans="1:22" x14ac:dyDescent="0.25">
      <c r="A42" s="14">
        <v>46153.431250000001</v>
      </c>
      <c r="B42" s="81" t="s">
        <v>149</v>
      </c>
      <c r="C42" s="81" t="s">
        <v>151</v>
      </c>
      <c r="D42" s="81" t="s">
        <v>555</v>
      </c>
      <c r="E42" s="81" t="s">
        <v>50</v>
      </c>
      <c r="F42" s="81" t="str">
        <f>IF(E42="", "", IF(COUNTIF(ChestType!$A$5:$A$195, E42)&gt;0, VLOOKUP(E42, ChestType!$A$5:$B$195, 2, 0), "Others"))</f>
        <v>L10 Crypt</v>
      </c>
      <c r="J42" s="13" t="s">
        <v>248</v>
      </c>
      <c r="K42" s="81">
        <v>63</v>
      </c>
      <c r="L42" s="81">
        <v>1</v>
      </c>
      <c r="M42" s="81">
        <v>86</v>
      </c>
      <c r="N42" s="81">
        <v>3</v>
      </c>
      <c r="O42" s="81">
        <v>37</v>
      </c>
      <c r="P42" s="81">
        <v>15</v>
      </c>
      <c r="Q42" s="81">
        <v>3</v>
      </c>
      <c r="R42" s="81">
        <v>1</v>
      </c>
      <c r="S42" s="81">
        <v>4</v>
      </c>
      <c r="T42" s="81">
        <v>64</v>
      </c>
      <c r="U42" s="81">
        <v>24</v>
      </c>
      <c r="V42" s="81">
        <v>301</v>
      </c>
    </row>
    <row r="43" spans="1:22" x14ac:dyDescent="0.25">
      <c r="A43" s="14">
        <v>46153.431250000001</v>
      </c>
      <c r="B43" s="81" t="s">
        <v>149</v>
      </c>
      <c r="C43" s="81" t="s">
        <v>151</v>
      </c>
      <c r="D43" s="81" t="s">
        <v>555</v>
      </c>
      <c r="E43" s="81" t="s">
        <v>50</v>
      </c>
      <c r="F43" s="81" t="str">
        <f>IF(E43="", "", IF(COUNTIF(ChestType!$A$5:$A$195, E43)&gt;0, VLOOKUP(E43, ChestType!$A$5:$B$195, 2, 0), "Others"))</f>
        <v>L10 Crypt</v>
      </c>
    </row>
    <row r="44" spans="1:22" x14ac:dyDescent="0.25">
      <c r="A44" s="14">
        <v>46153.431250000001</v>
      </c>
      <c r="B44" s="81" t="s">
        <v>149</v>
      </c>
      <c r="C44" s="81" t="s">
        <v>151</v>
      </c>
      <c r="D44" s="81" t="s">
        <v>555</v>
      </c>
      <c r="E44" s="81" t="s">
        <v>50</v>
      </c>
      <c r="F44" s="81" t="str">
        <f>IF(E44="", "", IF(COUNTIF(ChestType!$A$5:$A$195, E44)&gt;0, VLOOKUP(E44, ChestType!$A$5:$B$195, 2, 0), "Others"))</f>
        <v>L10 Crypt</v>
      </c>
    </row>
    <row r="45" spans="1:22" x14ac:dyDescent="0.25">
      <c r="A45" s="14">
        <v>46153.431250000001</v>
      </c>
      <c r="B45" s="81" t="s">
        <v>149</v>
      </c>
      <c r="C45" s="81" t="s">
        <v>151</v>
      </c>
      <c r="D45" s="81" t="s">
        <v>555</v>
      </c>
      <c r="E45" s="81" t="s">
        <v>50</v>
      </c>
      <c r="F45" s="81" t="str">
        <f>IF(E45="", "", IF(COUNTIF(ChestType!$A$5:$A$195, E45)&gt;0, VLOOKUP(E45, ChestType!$A$5:$B$195, 2, 0), "Others"))</f>
        <v>L10 Crypt</v>
      </c>
    </row>
    <row r="46" spans="1:22" x14ac:dyDescent="0.25">
      <c r="A46" s="14">
        <v>46153.431250000001</v>
      </c>
      <c r="B46" s="81" t="s">
        <v>149</v>
      </c>
      <c r="C46" s="81" t="s">
        <v>151</v>
      </c>
      <c r="D46" s="81" t="s">
        <v>555</v>
      </c>
      <c r="E46" s="81" t="s">
        <v>50</v>
      </c>
      <c r="F46" s="81" t="str">
        <f>IF(E46="", "", IF(COUNTIF(ChestType!$A$5:$A$195, E46)&gt;0, VLOOKUP(E46, ChestType!$A$5:$B$195, 2, 0), "Others"))</f>
        <v>L10 Crypt</v>
      </c>
    </row>
    <row r="47" spans="1:22" x14ac:dyDescent="0.25">
      <c r="A47" s="14">
        <v>46153.431250000001</v>
      </c>
      <c r="B47" s="81" t="s">
        <v>149</v>
      </c>
      <c r="C47" s="81" t="s">
        <v>151</v>
      </c>
      <c r="D47" s="81" t="s">
        <v>555</v>
      </c>
      <c r="E47" s="81" t="s">
        <v>50</v>
      </c>
      <c r="F47" s="81" t="str">
        <f>IF(E47="", "", IF(COUNTIF(ChestType!$A$5:$A$195, E47)&gt;0, VLOOKUP(E47, ChestType!$A$5:$B$195, 2, 0), "Others"))</f>
        <v>L10 Crypt</v>
      </c>
    </row>
    <row r="48" spans="1:22" x14ac:dyDescent="0.25">
      <c r="A48" s="14">
        <v>46153.431250000001</v>
      </c>
      <c r="B48" s="81" t="s">
        <v>149</v>
      </c>
      <c r="C48" s="81" t="s">
        <v>151</v>
      </c>
      <c r="D48" s="81" t="s">
        <v>555</v>
      </c>
      <c r="E48" s="81" t="s">
        <v>50</v>
      </c>
      <c r="F48" s="81" t="str">
        <f>IF(E48="", "", IF(COUNTIF(ChestType!$A$5:$A$195, E48)&gt;0, VLOOKUP(E48, ChestType!$A$5:$B$195, 2, 0), "Others"))</f>
        <v>L10 Crypt</v>
      </c>
    </row>
    <row r="49" spans="1:6" x14ac:dyDescent="0.25">
      <c r="A49" s="14">
        <v>46153.431250000001</v>
      </c>
      <c r="B49" s="81" t="s">
        <v>149</v>
      </c>
      <c r="C49" s="81" t="s">
        <v>151</v>
      </c>
      <c r="D49" s="81" t="s">
        <v>555</v>
      </c>
      <c r="E49" s="81" t="s">
        <v>50</v>
      </c>
      <c r="F49" s="81" t="str">
        <f>IF(E49="", "", IF(COUNTIF(ChestType!$A$5:$A$195, E49)&gt;0, VLOOKUP(E49, ChestType!$A$5:$B$195, 2, 0), "Others"))</f>
        <v>L10 Crypt</v>
      </c>
    </row>
    <row r="50" spans="1:6" x14ac:dyDescent="0.25">
      <c r="A50" s="14">
        <v>46153.431250000001</v>
      </c>
      <c r="B50" s="81" t="s">
        <v>149</v>
      </c>
      <c r="C50" s="81" t="s">
        <v>151</v>
      </c>
      <c r="D50" s="81" t="s">
        <v>555</v>
      </c>
      <c r="E50" s="81" t="s">
        <v>50</v>
      </c>
      <c r="F50" s="81" t="str">
        <f>IF(E50="", "", IF(COUNTIF(ChestType!$A$5:$A$195, E50)&gt;0, VLOOKUP(E50, ChestType!$A$5:$B$195, 2, 0), "Others"))</f>
        <v>L10 Crypt</v>
      </c>
    </row>
    <row r="51" spans="1:6" x14ac:dyDescent="0.25">
      <c r="A51" s="14">
        <v>46153.431250000001</v>
      </c>
      <c r="B51" s="81" t="s">
        <v>149</v>
      </c>
      <c r="C51" s="81" t="s">
        <v>151</v>
      </c>
      <c r="D51" s="81" t="s">
        <v>555</v>
      </c>
      <c r="E51" s="81" t="s">
        <v>50</v>
      </c>
      <c r="F51" s="81" t="str">
        <f>IF(E51="", "", IF(COUNTIF(ChestType!$A$5:$A$195, E51)&gt;0, VLOOKUP(E51, ChestType!$A$5:$B$195, 2, 0), "Others"))</f>
        <v>L10 Crypt</v>
      </c>
    </row>
    <row r="52" spans="1:6" x14ac:dyDescent="0.25">
      <c r="A52" s="14">
        <v>46153.431250000001</v>
      </c>
      <c r="B52" s="81" t="s">
        <v>149</v>
      </c>
      <c r="C52" s="81" t="s">
        <v>151</v>
      </c>
      <c r="D52" s="81" t="s">
        <v>555</v>
      </c>
      <c r="E52" s="81" t="s">
        <v>50</v>
      </c>
      <c r="F52" s="81" t="str">
        <f>IF(E52="", "", IF(COUNTIF(ChestType!$A$5:$A$195, E52)&gt;0, VLOOKUP(E52, ChestType!$A$5:$B$195, 2, 0), "Others"))</f>
        <v>L10 Crypt</v>
      </c>
    </row>
    <row r="53" spans="1:6" x14ac:dyDescent="0.25">
      <c r="A53" s="14">
        <v>46153.431250000001</v>
      </c>
      <c r="B53" s="81" t="s">
        <v>149</v>
      </c>
      <c r="C53" s="81" t="s">
        <v>151</v>
      </c>
      <c r="D53" s="81" t="s">
        <v>555</v>
      </c>
      <c r="E53" s="81" t="s">
        <v>50</v>
      </c>
      <c r="F53" s="81" t="str">
        <f>IF(E53="", "", IF(COUNTIF(ChestType!$A$5:$A$195, E53)&gt;0, VLOOKUP(E53, ChestType!$A$5:$B$195, 2, 0), "Others"))</f>
        <v>L10 Crypt</v>
      </c>
    </row>
    <row r="54" spans="1:6" x14ac:dyDescent="0.25">
      <c r="A54" s="14">
        <v>46153.431250000001</v>
      </c>
      <c r="B54" s="81" t="s">
        <v>149</v>
      </c>
      <c r="C54" s="81" t="s">
        <v>151</v>
      </c>
      <c r="D54" s="81" t="s">
        <v>555</v>
      </c>
      <c r="E54" s="81" t="s">
        <v>50</v>
      </c>
      <c r="F54" s="81" t="str">
        <f>IF(E54="", "", IF(COUNTIF(ChestType!$A$5:$A$195, E54)&gt;0, VLOOKUP(E54, ChestType!$A$5:$B$195, 2, 0), "Others"))</f>
        <v>L10 Crypt</v>
      </c>
    </row>
    <row r="55" spans="1:6" x14ac:dyDescent="0.25">
      <c r="A55" s="14">
        <v>46153.431250000001</v>
      </c>
      <c r="B55" s="81" t="s">
        <v>149</v>
      </c>
      <c r="C55" s="81" t="s">
        <v>158</v>
      </c>
      <c r="D55" s="81" t="s">
        <v>193</v>
      </c>
      <c r="E55" s="81" t="s">
        <v>52</v>
      </c>
      <c r="F55" s="81" t="str">
        <f>IF(E55="", "", IF(COUNTIF(ChestType!$A$5:$A$195, E55)&gt;0, VLOOKUP(E55, ChestType!$A$5:$B$195, 2, 0), "Others"))</f>
        <v>L5 Crypt</v>
      </c>
    </row>
    <row r="56" spans="1:6" x14ac:dyDescent="0.25">
      <c r="A56" s="14">
        <v>46153.431250000001</v>
      </c>
      <c r="B56" s="81" t="s">
        <v>149</v>
      </c>
      <c r="C56" s="81" t="s">
        <v>177</v>
      </c>
      <c r="D56" s="81" t="s">
        <v>193</v>
      </c>
      <c r="E56" s="81" t="s">
        <v>50</v>
      </c>
      <c r="F56" s="81" t="str">
        <f>IF(E56="", "", IF(COUNTIF(ChestType!$A$5:$A$195, E56)&gt;0, VLOOKUP(E56, ChestType!$A$5:$B$195, 2, 0), "Others"))</f>
        <v>L10 Crypt</v>
      </c>
    </row>
    <row r="57" spans="1:6" x14ac:dyDescent="0.25">
      <c r="A57" s="14">
        <v>46153.431250000001</v>
      </c>
      <c r="B57" s="81" t="s">
        <v>149</v>
      </c>
      <c r="C57" s="81" t="s">
        <v>185</v>
      </c>
      <c r="D57" s="81" t="s">
        <v>856</v>
      </c>
      <c r="E57" s="81" t="s">
        <v>49</v>
      </c>
      <c r="F57" s="81" t="str">
        <f>IF(E57="", "", IF(COUNTIF(ChestType!$A$5:$A$195, E57)&gt;0, VLOOKUP(E57, ChestType!$A$5:$B$195, 2, 0), "Others"))</f>
        <v>L15 Crypt</v>
      </c>
    </row>
    <row r="58" spans="1:6" x14ac:dyDescent="0.25">
      <c r="A58" s="14">
        <v>46153.431250000001</v>
      </c>
      <c r="B58" s="81" t="s">
        <v>149</v>
      </c>
      <c r="C58" s="81" t="s">
        <v>184</v>
      </c>
      <c r="D58" s="81" t="s">
        <v>555</v>
      </c>
      <c r="E58" s="81" t="s">
        <v>49</v>
      </c>
      <c r="F58" s="81" t="str">
        <f>IF(E58="", "", IF(COUNTIF(ChestType!$A$5:$A$195, E58)&gt;0, VLOOKUP(E58, ChestType!$A$5:$B$195, 2, 0), "Others"))</f>
        <v>L15 Crypt</v>
      </c>
    </row>
    <row r="59" spans="1:6" x14ac:dyDescent="0.25">
      <c r="A59" s="14">
        <v>46153.431250000001</v>
      </c>
      <c r="B59" s="81" t="s">
        <v>149</v>
      </c>
      <c r="C59" s="81" t="s">
        <v>173</v>
      </c>
      <c r="D59" s="81" t="s">
        <v>152</v>
      </c>
      <c r="E59" s="81" t="s">
        <v>49</v>
      </c>
      <c r="F59" s="81" t="str">
        <f>IF(E59="", "", IF(COUNTIF(ChestType!$A$5:$A$195, E59)&gt;0, VLOOKUP(E59, ChestType!$A$5:$B$195, 2, 0), "Others"))</f>
        <v>L15 Crypt</v>
      </c>
    </row>
    <row r="60" spans="1:6" x14ac:dyDescent="0.25">
      <c r="A60" s="14">
        <v>46153.431250000001</v>
      </c>
      <c r="B60" s="81" t="s">
        <v>149</v>
      </c>
      <c r="C60" s="81" t="s">
        <v>181</v>
      </c>
      <c r="D60" s="81" t="s">
        <v>261</v>
      </c>
      <c r="E60" s="81" t="s">
        <v>50</v>
      </c>
      <c r="F60" s="81" t="str">
        <f>IF(E60="", "", IF(COUNTIF(ChestType!$A$5:$A$195, E60)&gt;0, VLOOKUP(E60, ChestType!$A$5:$B$195, 2, 0), "Others"))</f>
        <v>L10 Crypt</v>
      </c>
    </row>
    <row r="61" spans="1:6" x14ac:dyDescent="0.25">
      <c r="A61" s="14">
        <v>46153.431250000001</v>
      </c>
      <c r="B61" s="81" t="s">
        <v>149</v>
      </c>
      <c r="C61" s="81" t="s">
        <v>185</v>
      </c>
      <c r="D61" s="81" t="s">
        <v>193</v>
      </c>
      <c r="E61" s="81" t="s">
        <v>50</v>
      </c>
      <c r="F61" s="81" t="str">
        <f>IF(E61="", "", IF(COUNTIF(ChestType!$A$5:$A$195, E61)&gt;0, VLOOKUP(E61, ChestType!$A$5:$B$195, 2, 0), "Others"))</f>
        <v>L10 Crypt</v>
      </c>
    </row>
    <row r="62" spans="1:6" x14ac:dyDescent="0.25">
      <c r="A62" s="14">
        <v>46153.431250000001</v>
      </c>
      <c r="B62" s="81" t="s">
        <v>149</v>
      </c>
      <c r="C62" s="81" t="s">
        <v>171</v>
      </c>
      <c r="D62" s="81" t="s">
        <v>261</v>
      </c>
      <c r="E62" s="81" t="s">
        <v>52</v>
      </c>
      <c r="F62" s="81" t="str">
        <f>IF(E62="", "", IF(COUNTIF(ChestType!$A$5:$A$195, E62)&gt;0, VLOOKUP(E62, ChestType!$A$5:$B$195, 2, 0), "Others"))</f>
        <v>L5 Crypt</v>
      </c>
    </row>
    <row r="63" spans="1:6" x14ac:dyDescent="0.25">
      <c r="A63" s="14">
        <v>46153.431250000001</v>
      </c>
      <c r="B63" s="81" t="s">
        <v>149</v>
      </c>
      <c r="C63" s="81" t="s">
        <v>185</v>
      </c>
      <c r="D63" s="81" t="s">
        <v>856</v>
      </c>
      <c r="E63" s="81" t="s">
        <v>50</v>
      </c>
      <c r="F63" s="81" t="str">
        <f>IF(E63="", "", IF(COUNTIF(ChestType!$A$5:$A$195, E63)&gt;0, VLOOKUP(E63, ChestType!$A$5:$B$195, 2, 0), "Others"))</f>
        <v>L10 Crypt</v>
      </c>
    </row>
    <row r="64" spans="1:6" x14ac:dyDescent="0.25">
      <c r="A64" s="14">
        <v>46153.431250000001</v>
      </c>
      <c r="B64" s="81" t="s">
        <v>149</v>
      </c>
      <c r="C64" s="81" t="s">
        <v>181</v>
      </c>
      <c r="D64" s="81" t="s">
        <v>261</v>
      </c>
      <c r="E64" s="81" t="s">
        <v>52</v>
      </c>
      <c r="F64" s="81" t="str">
        <f>IF(E64="", "", IF(COUNTIF(ChestType!$A$5:$A$195, E64)&gt;0, VLOOKUP(E64, ChestType!$A$5:$B$195, 2, 0), "Others"))</f>
        <v>L5 Crypt</v>
      </c>
    </row>
    <row r="65" spans="1:6" x14ac:dyDescent="0.25">
      <c r="A65" s="14">
        <v>46153.431250000001</v>
      </c>
      <c r="B65" s="81" t="s">
        <v>149</v>
      </c>
      <c r="C65" s="81" t="s">
        <v>171</v>
      </c>
      <c r="D65" s="81" t="s">
        <v>193</v>
      </c>
      <c r="E65" s="81" t="s">
        <v>52</v>
      </c>
      <c r="F65" s="81" t="str">
        <f>IF(E65="", "", IF(COUNTIF(ChestType!$A$5:$A$195, E65)&gt;0, VLOOKUP(E65, ChestType!$A$5:$B$195, 2, 0), "Others"))</f>
        <v>L5 Crypt</v>
      </c>
    </row>
    <row r="66" spans="1:6" x14ac:dyDescent="0.25">
      <c r="A66" s="14">
        <v>46153.431250000001</v>
      </c>
      <c r="B66" s="81" t="s">
        <v>149</v>
      </c>
      <c r="C66" s="81" t="s">
        <v>173</v>
      </c>
      <c r="D66" s="81" t="s">
        <v>261</v>
      </c>
      <c r="E66" s="81" t="s">
        <v>52</v>
      </c>
      <c r="F66" s="81" t="str">
        <f>IF(E66="", "", IF(COUNTIF(ChestType!$A$5:$A$195, E66)&gt;0, VLOOKUP(E66, ChestType!$A$5:$B$195, 2, 0), "Others"))</f>
        <v>L5 Crypt</v>
      </c>
    </row>
    <row r="67" spans="1:6" x14ac:dyDescent="0.25">
      <c r="A67" s="14">
        <v>46153.431250000001</v>
      </c>
      <c r="B67" s="81" t="s">
        <v>149</v>
      </c>
      <c r="C67" s="81" t="s">
        <v>171</v>
      </c>
      <c r="D67" s="81" t="s">
        <v>850</v>
      </c>
      <c r="E67" s="81" t="s">
        <v>50</v>
      </c>
      <c r="F67" s="81" t="str">
        <f>IF(E67="", "", IF(COUNTIF(ChestType!$A$5:$A$195, E67)&gt;0, VLOOKUP(E67, ChestType!$A$5:$B$195, 2, 0), "Others"))</f>
        <v>L10 Crypt</v>
      </c>
    </row>
    <row r="68" spans="1:6" x14ac:dyDescent="0.25">
      <c r="A68" s="14">
        <v>46153.431250000001</v>
      </c>
      <c r="B68" s="81" t="s">
        <v>149</v>
      </c>
      <c r="C68" s="81" t="s">
        <v>173</v>
      </c>
      <c r="D68" s="81" t="s">
        <v>257</v>
      </c>
      <c r="E68" s="81" t="s">
        <v>52</v>
      </c>
      <c r="F68" s="81" t="str">
        <f>IF(E68="", "", IF(COUNTIF(ChestType!$A$5:$A$195, E68)&gt;0, VLOOKUP(E68, ChestType!$A$5:$B$195, 2, 0), "Others"))</f>
        <v>L5 Crypt</v>
      </c>
    </row>
    <row r="69" spans="1:6" x14ac:dyDescent="0.25">
      <c r="A69" s="14">
        <v>46153.431250000001</v>
      </c>
      <c r="B69" s="81" t="s">
        <v>149</v>
      </c>
      <c r="C69" s="81" t="s">
        <v>173</v>
      </c>
      <c r="D69" s="81" t="s">
        <v>257</v>
      </c>
      <c r="E69" s="81" t="s">
        <v>52</v>
      </c>
      <c r="F69" s="81" t="str">
        <f>IF(E69="", "", IF(COUNTIF(ChestType!$A$5:$A$195, E69)&gt;0, VLOOKUP(E69, ChestType!$A$5:$B$195, 2, 0), "Others"))</f>
        <v>L5 Crypt</v>
      </c>
    </row>
    <row r="70" spans="1:6" x14ac:dyDescent="0.25">
      <c r="A70" s="14">
        <v>46153.431250000001</v>
      </c>
      <c r="B70" s="81" t="s">
        <v>149</v>
      </c>
      <c r="C70" s="81" t="s">
        <v>182</v>
      </c>
      <c r="D70" s="81" t="s">
        <v>261</v>
      </c>
      <c r="E70" s="81" t="s">
        <v>52</v>
      </c>
      <c r="F70" s="81" t="str">
        <f>IF(E70="", "", IF(COUNTIF(ChestType!$A$5:$A$195, E70)&gt;0, VLOOKUP(E70, ChestType!$A$5:$B$195, 2, 0), "Others"))</f>
        <v>L5 Crypt</v>
      </c>
    </row>
    <row r="71" spans="1:6" x14ac:dyDescent="0.25">
      <c r="A71" s="14">
        <v>46153.431250000001</v>
      </c>
      <c r="B71" s="81" t="s">
        <v>149</v>
      </c>
      <c r="C71" s="81" t="s">
        <v>181</v>
      </c>
      <c r="D71" s="81" t="s">
        <v>152</v>
      </c>
      <c r="E71" s="81" t="s">
        <v>49</v>
      </c>
      <c r="F71" s="81" t="str">
        <f>IF(E71="", "", IF(COUNTIF(ChestType!$A$5:$A$195, E71)&gt;0, VLOOKUP(E71, ChestType!$A$5:$B$195, 2, 0), "Others"))</f>
        <v>L15 Crypt</v>
      </c>
    </row>
    <row r="72" spans="1:6" x14ac:dyDescent="0.25">
      <c r="A72" s="14">
        <v>46153.431250000001</v>
      </c>
      <c r="B72" s="81" t="s">
        <v>149</v>
      </c>
      <c r="C72" s="81" t="s">
        <v>177</v>
      </c>
      <c r="D72" s="81" t="s">
        <v>152</v>
      </c>
      <c r="E72" s="81" t="s">
        <v>49</v>
      </c>
      <c r="F72" s="81" t="str">
        <f>IF(E72="", "", IF(COUNTIF(ChestType!$A$5:$A$195, E72)&gt;0, VLOOKUP(E72, ChestType!$A$5:$B$195, 2, 0), "Others"))</f>
        <v>L15 Crypt</v>
      </c>
    </row>
    <row r="73" spans="1:6" x14ac:dyDescent="0.25">
      <c r="A73" s="14">
        <v>46153.431250000001</v>
      </c>
      <c r="B73" s="81" t="s">
        <v>149</v>
      </c>
      <c r="C73" s="81" t="s">
        <v>185</v>
      </c>
      <c r="D73" s="81" t="s">
        <v>152</v>
      </c>
      <c r="E73" s="81" t="s">
        <v>49</v>
      </c>
      <c r="F73" s="81" t="str">
        <f>IF(E73="", "", IF(COUNTIF(ChestType!$A$5:$A$195, E73)&gt;0, VLOOKUP(E73, ChestType!$A$5:$B$195, 2, 0), "Others"))</f>
        <v>L15 Crypt</v>
      </c>
    </row>
    <row r="74" spans="1:6" x14ac:dyDescent="0.25">
      <c r="A74" s="14">
        <v>46153.431250000001</v>
      </c>
      <c r="B74" s="81" t="s">
        <v>149</v>
      </c>
      <c r="C74" s="81" t="s">
        <v>151</v>
      </c>
      <c r="D74" s="81" t="s">
        <v>246</v>
      </c>
      <c r="E74" s="81" t="s">
        <v>50</v>
      </c>
      <c r="F74" s="81" t="str">
        <f>IF(E74="", "", IF(COUNTIF(ChestType!$A$5:$A$195, E74)&gt;0, VLOOKUP(E74, ChestType!$A$5:$B$195, 2, 0), "Others"))</f>
        <v>L10 Crypt</v>
      </c>
    </row>
    <row r="75" spans="1:6" x14ac:dyDescent="0.25">
      <c r="A75" s="14">
        <v>46153.431250000001</v>
      </c>
      <c r="B75" s="81" t="s">
        <v>149</v>
      </c>
      <c r="C75" s="81" t="s">
        <v>187</v>
      </c>
      <c r="D75" s="81" t="s">
        <v>856</v>
      </c>
      <c r="E75" s="81" t="s">
        <v>71</v>
      </c>
      <c r="F75" s="81" t="str">
        <f>IF(E75="", "", IF(COUNTIF(ChestType!$A$5:$A$195, E75)&gt;0, VLOOKUP(E75, ChestType!$A$5:$B$195, 2, 0), "Others"))</f>
        <v>L15 Rare Crypt</v>
      </c>
    </row>
    <row r="76" spans="1:6" x14ac:dyDescent="0.25">
      <c r="A76" s="14">
        <v>46153.431250000001</v>
      </c>
      <c r="B76" s="81" t="s">
        <v>149</v>
      </c>
      <c r="C76" s="81" t="s">
        <v>227</v>
      </c>
      <c r="D76" s="81" t="s">
        <v>856</v>
      </c>
      <c r="E76" s="81" t="s">
        <v>64</v>
      </c>
      <c r="F76" s="81" t="str">
        <f>IF(E76="", "", IF(COUNTIF(ChestType!$A$5:$A$195, E76)&gt;0, VLOOKUP(E76, ChestType!$A$5:$B$195, 2, 0), "Others"))</f>
        <v>L15 Epic Crypt</v>
      </c>
    </row>
    <row r="77" spans="1:6" x14ac:dyDescent="0.25">
      <c r="A77" s="14">
        <v>46153.431250000001</v>
      </c>
      <c r="B77" s="81" t="s">
        <v>149</v>
      </c>
      <c r="C77" s="81" t="s">
        <v>173</v>
      </c>
      <c r="D77" s="81" t="s">
        <v>152</v>
      </c>
      <c r="E77" s="81" t="s">
        <v>49</v>
      </c>
      <c r="F77" s="81" t="str">
        <f>IF(E77="", "", IF(COUNTIF(ChestType!$A$5:$A$195, E77)&gt;0, VLOOKUP(E77, ChestType!$A$5:$B$195, 2, 0), "Others"))</f>
        <v>L15 Crypt</v>
      </c>
    </row>
    <row r="78" spans="1:6" x14ac:dyDescent="0.25">
      <c r="A78" s="14">
        <v>46153.431250000001</v>
      </c>
      <c r="B78" s="81" t="s">
        <v>149</v>
      </c>
      <c r="C78" s="81" t="s">
        <v>227</v>
      </c>
      <c r="D78" s="81" t="s">
        <v>856</v>
      </c>
      <c r="E78" s="81" t="s">
        <v>65</v>
      </c>
      <c r="F78" s="81" t="str">
        <f>IF(E78="", "", IF(COUNTIF(ChestType!$A$5:$A$195, E78)&gt;0, VLOOKUP(E78, ChestType!$A$5:$B$195, 2, 0), "Others"))</f>
        <v>L20 Epic Crypt</v>
      </c>
    </row>
    <row r="79" spans="1:6" x14ac:dyDescent="0.25">
      <c r="A79" s="14">
        <v>46153.431250000001</v>
      </c>
      <c r="B79" s="81" t="s">
        <v>149</v>
      </c>
      <c r="C79" s="81" t="s">
        <v>175</v>
      </c>
      <c r="D79" s="81" t="s">
        <v>268</v>
      </c>
      <c r="E79" s="81" t="s">
        <v>50</v>
      </c>
      <c r="F79" s="81" t="str">
        <f>IF(E79="", "", IF(COUNTIF(ChestType!$A$5:$A$195, E79)&gt;0, VLOOKUP(E79, ChestType!$A$5:$B$195, 2, 0), "Others"))</f>
        <v>L10 Crypt</v>
      </c>
    </row>
    <row r="80" spans="1:6" x14ac:dyDescent="0.25">
      <c r="A80" s="14">
        <v>46153.431250000001</v>
      </c>
      <c r="B80" s="81" t="s">
        <v>149</v>
      </c>
      <c r="C80" s="81" t="s">
        <v>840</v>
      </c>
      <c r="D80" s="81" t="s">
        <v>856</v>
      </c>
      <c r="E80" s="81" t="s">
        <v>64</v>
      </c>
      <c r="F80" s="81" t="str">
        <f>IF(E80="", "", IF(COUNTIF(ChestType!$A$5:$A$195, E80)&gt;0, VLOOKUP(E80, ChestType!$A$5:$B$195, 2, 0), "Others"))</f>
        <v>L15 Epic Crypt</v>
      </c>
    </row>
    <row r="81" spans="1:6" x14ac:dyDescent="0.25">
      <c r="A81" s="14">
        <v>46153.431250000001</v>
      </c>
      <c r="B81" s="81" t="s">
        <v>149</v>
      </c>
      <c r="C81" s="81" t="s">
        <v>227</v>
      </c>
      <c r="D81" s="81" t="s">
        <v>856</v>
      </c>
      <c r="E81" s="81" t="s">
        <v>64</v>
      </c>
      <c r="F81" s="81" t="str">
        <f>IF(E81="", "", IF(COUNTIF(ChestType!$A$5:$A$195, E81)&gt;0, VLOOKUP(E81, ChestType!$A$5:$B$195, 2, 0), "Others"))</f>
        <v>L15 Epic Crypt</v>
      </c>
    </row>
    <row r="82" spans="1:6" x14ac:dyDescent="0.25">
      <c r="A82" s="14">
        <v>46153.431250000001</v>
      </c>
      <c r="B82" s="81" t="s">
        <v>149</v>
      </c>
      <c r="C82" s="81" t="s">
        <v>183</v>
      </c>
      <c r="D82" s="81" t="s">
        <v>152</v>
      </c>
      <c r="E82" s="81" t="s">
        <v>49</v>
      </c>
      <c r="F82" s="81" t="str">
        <f>IF(E82="", "", IF(COUNTIF(ChestType!$A$5:$A$195, E82)&gt;0, VLOOKUP(E82, ChestType!$A$5:$B$195, 2, 0), "Others"))</f>
        <v>L15 Crypt</v>
      </c>
    </row>
    <row r="83" spans="1:6" x14ac:dyDescent="0.25">
      <c r="A83" s="14">
        <v>46153.431250000001</v>
      </c>
      <c r="B83" s="81" t="s">
        <v>149</v>
      </c>
      <c r="C83" s="81" t="s">
        <v>171</v>
      </c>
      <c r="D83" s="81" t="s">
        <v>268</v>
      </c>
      <c r="E83" s="81" t="s">
        <v>50</v>
      </c>
      <c r="F83" s="81" t="str">
        <f>IF(E83="", "", IF(COUNTIF(ChestType!$A$5:$A$195, E83)&gt;0, VLOOKUP(E83, ChestType!$A$5:$B$195, 2, 0), "Others"))</f>
        <v>L10 Crypt</v>
      </c>
    </row>
    <row r="84" spans="1:6" x14ac:dyDescent="0.25">
      <c r="A84" s="14">
        <v>46153.431250000001</v>
      </c>
      <c r="B84" s="81" t="s">
        <v>149</v>
      </c>
      <c r="C84" s="81" t="s">
        <v>227</v>
      </c>
      <c r="D84" s="81" t="s">
        <v>856</v>
      </c>
      <c r="E84" s="81" t="s">
        <v>64</v>
      </c>
      <c r="F84" s="81" t="str">
        <f>IF(E84="", "", IF(COUNTIF(ChestType!$A$5:$A$195, E84)&gt;0, VLOOKUP(E84, ChestType!$A$5:$B$195, 2, 0), "Others"))</f>
        <v>L15 Epic Crypt</v>
      </c>
    </row>
    <row r="85" spans="1:6" x14ac:dyDescent="0.25">
      <c r="A85" s="14">
        <v>46153.431250000001</v>
      </c>
      <c r="B85" s="81" t="s">
        <v>149</v>
      </c>
      <c r="C85" s="81" t="s">
        <v>173</v>
      </c>
      <c r="D85" s="81" t="s">
        <v>257</v>
      </c>
      <c r="E85" s="81" t="s">
        <v>52</v>
      </c>
      <c r="F85" s="81" t="str">
        <f>IF(E85="", "", IF(COUNTIF(ChestType!$A$5:$A$195, E85)&gt;0, VLOOKUP(E85, ChestType!$A$5:$B$195, 2, 0), "Others"))</f>
        <v>L5 Crypt</v>
      </c>
    </row>
    <row r="86" spans="1:6" x14ac:dyDescent="0.25">
      <c r="A86" s="14">
        <v>46153.431250000001</v>
      </c>
      <c r="B86" s="81" t="s">
        <v>149</v>
      </c>
      <c r="C86" s="81" t="s">
        <v>185</v>
      </c>
      <c r="D86" s="81" t="s">
        <v>856</v>
      </c>
      <c r="E86" s="81" t="s">
        <v>50</v>
      </c>
      <c r="F86" s="81" t="str">
        <f>IF(E86="", "", IF(COUNTIF(ChestType!$A$5:$A$195, E86)&gt;0, VLOOKUP(E86, ChestType!$A$5:$B$195, 2, 0), "Others"))</f>
        <v>L10 Crypt</v>
      </c>
    </row>
    <row r="87" spans="1:6" x14ac:dyDescent="0.25">
      <c r="A87" s="14">
        <v>46153.431250000001</v>
      </c>
      <c r="B87" s="81" t="s">
        <v>149</v>
      </c>
      <c r="C87" s="81" t="s">
        <v>185</v>
      </c>
      <c r="D87" s="81" t="s">
        <v>856</v>
      </c>
      <c r="E87" s="81" t="s">
        <v>49</v>
      </c>
      <c r="F87" s="81" t="str">
        <f>IF(E87="", "", IF(COUNTIF(ChestType!$A$5:$A$195, E87)&gt;0, VLOOKUP(E87, ChestType!$A$5:$B$195, 2, 0), "Others"))</f>
        <v>L15 Crypt</v>
      </c>
    </row>
    <row r="88" spans="1:6" x14ac:dyDescent="0.25">
      <c r="A88" s="14">
        <v>46153.431250000001</v>
      </c>
      <c r="B88" s="81" t="s">
        <v>149</v>
      </c>
      <c r="C88" s="81" t="s">
        <v>173</v>
      </c>
      <c r="D88" s="81" t="s">
        <v>246</v>
      </c>
      <c r="E88" s="81" t="s">
        <v>52</v>
      </c>
      <c r="F88" s="81" t="str">
        <f>IF(E88="", "", IF(COUNTIF(ChestType!$A$5:$A$195, E88)&gt;0, VLOOKUP(E88, ChestType!$A$5:$B$195, 2, 0), "Others"))</f>
        <v>L5 Crypt</v>
      </c>
    </row>
    <row r="89" spans="1:6" x14ac:dyDescent="0.25">
      <c r="A89" s="14">
        <v>46153.431250000001</v>
      </c>
      <c r="B89" s="81" t="s">
        <v>149</v>
      </c>
      <c r="C89" s="81" t="s">
        <v>184</v>
      </c>
      <c r="D89" s="81" t="s">
        <v>246</v>
      </c>
      <c r="E89" s="81" t="s">
        <v>50</v>
      </c>
      <c r="F89" s="81" t="str">
        <f>IF(E89="", "", IF(COUNTIF(ChestType!$A$5:$A$195, E89)&gt;0, VLOOKUP(E89, ChestType!$A$5:$B$195, 2, 0), "Others"))</f>
        <v>L10 Crypt</v>
      </c>
    </row>
    <row r="90" spans="1:6" x14ac:dyDescent="0.25">
      <c r="A90" s="14">
        <v>46153.431250000001</v>
      </c>
      <c r="B90" s="81" t="s">
        <v>149</v>
      </c>
      <c r="C90" s="81" t="s">
        <v>151</v>
      </c>
      <c r="D90" s="81" t="s">
        <v>266</v>
      </c>
      <c r="E90" s="81" t="s">
        <v>52</v>
      </c>
      <c r="F90" s="81" t="str">
        <f>IF(E90="", "", IF(COUNTIF(ChestType!$A$5:$A$195, E90)&gt;0, VLOOKUP(E90, ChestType!$A$5:$B$195, 2, 0), "Others"))</f>
        <v>L5 Crypt</v>
      </c>
    </row>
    <row r="91" spans="1:6" x14ac:dyDescent="0.25">
      <c r="A91" s="14">
        <v>46153.431250000001</v>
      </c>
      <c r="B91" s="81" t="s">
        <v>149</v>
      </c>
      <c r="C91" s="81" t="s">
        <v>190</v>
      </c>
      <c r="D91" s="81" t="s">
        <v>266</v>
      </c>
      <c r="E91" s="81" t="s">
        <v>52</v>
      </c>
      <c r="F91" s="81" t="str">
        <f>IF(E91="", "", IF(COUNTIF(ChestType!$A$5:$A$195, E91)&gt;0, VLOOKUP(E91, ChestType!$A$5:$B$195, 2, 0), "Others"))</f>
        <v>L5 Crypt</v>
      </c>
    </row>
    <row r="92" spans="1:6" x14ac:dyDescent="0.25">
      <c r="A92" s="14">
        <v>46153.431250000001</v>
      </c>
      <c r="B92" s="81" t="s">
        <v>149</v>
      </c>
      <c r="C92" s="81" t="s">
        <v>171</v>
      </c>
      <c r="D92" s="81" t="s">
        <v>266</v>
      </c>
      <c r="E92" s="81" t="s">
        <v>52</v>
      </c>
      <c r="F92" s="81" t="str">
        <f>IF(E92="", "", IF(COUNTIF(ChestType!$A$5:$A$195, E92)&gt;0, VLOOKUP(E92, ChestType!$A$5:$B$195, 2, 0), "Others"))</f>
        <v>L5 Crypt</v>
      </c>
    </row>
    <row r="93" spans="1:6" x14ac:dyDescent="0.25">
      <c r="A93" s="14">
        <v>46153.431250000001</v>
      </c>
      <c r="B93" s="81" t="s">
        <v>149</v>
      </c>
      <c r="C93" s="81" t="s">
        <v>158</v>
      </c>
      <c r="D93" s="81" t="s">
        <v>266</v>
      </c>
      <c r="E93" s="81" t="s">
        <v>52</v>
      </c>
      <c r="F93" s="81" t="str">
        <f>IF(E93="", "", IF(COUNTIF(ChestType!$A$5:$A$195, E93)&gt;0, VLOOKUP(E93, ChestType!$A$5:$B$195, 2, 0), "Others"))</f>
        <v>L5 Crypt</v>
      </c>
    </row>
    <row r="94" spans="1:6" x14ac:dyDescent="0.25">
      <c r="A94" s="14">
        <v>46153.431250000001</v>
      </c>
      <c r="B94" s="81" t="s">
        <v>149</v>
      </c>
      <c r="C94" s="81" t="s">
        <v>182</v>
      </c>
      <c r="D94" s="81" t="s">
        <v>266</v>
      </c>
      <c r="E94" s="81" t="s">
        <v>52</v>
      </c>
      <c r="F94" s="81" t="str">
        <f>IF(E94="", "", IF(COUNTIF(ChestType!$A$5:$A$195, E94)&gt;0, VLOOKUP(E94, ChestType!$A$5:$B$195, 2, 0), "Others"))</f>
        <v>L5 Crypt</v>
      </c>
    </row>
    <row r="95" spans="1:6" x14ac:dyDescent="0.25">
      <c r="A95" s="14">
        <v>46153.431250000001</v>
      </c>
      <c r="B95" s="81" t="s">
        <v>149</v>
      </c>
      <c r="C95" s="81" t="s">
        <v>190</v>
      </c>
      <c r="D95" s="81" t="s">
        <v>167</v>
      </c>
      <c r="E95" s="81" t="s">
        <v>48</v>
      </c>
      <c r="F95" s="81" t="str">
        <f>IF(E95="", "", IF(COUNTIF(ChestType!$A$5:$A$195, E95)&gt;0, VLOOKUP(E95, ChestType!$A$5:$B$195, 2, 0), "Others"))</f>
        <v>L20 Crypt</v>
      </c>
    </row>
    <row r="96" spans="1:6" x14ac:dyDescent="0.25">
      <c r="A96" s="14">
        <v>46153.431250000001</v>
      </c>
      <c r="B96" s="81" t="s">
        <v>149</v>
      </c>
      <c r="C96" s="81" t="s">
        <v>181</v>
      </c>
      <c r="D96" s="81" t="s">
        <v>266</v>
      </c>
      <c r="E96" s="81" t="s">
        <v>52</v>
      </c>
      <c r="F96" s="81" t="str">
        <f>IF(E96="", "", IF(COUNTIF(ChestType!$A$5:$A$195, E96)&gt;0, VLOOKUP(E96, ChestType!$A$5:$B$195, 2, 0), "Others"))</f>
        <v>L5 Crypt</v>
      </c>
    </row>
    <row r="97" spans="1:6" x14ac:dyDescent="0.25">
      <c r="A97" s="14">
        <v>46153.431250000001</v>
      </c>
      <c r="B97" s="81" t="s">
        <v>149</v>
      </c>
      <c r="C97" s="81" t="s">
        <v>183</v>
      </c>
      <c r="D97" s="81" t="s">
        <v>157</v>
      </c>
      <c r="E97" s="81" t="s">
        <v>49</v>
      </c>
      <c r="F97" s="81" t="str">
        <f>IF(E97="", "", IF(COUNTIF(ChestType!$A$5:$A$195, E97)&gt;0, VLOOKUP(E97, ChestType!$A$5:$B$195, 2, 0), "Others"))</f>
        <v>L15 Crypt</v>
      </c>
    </row>
    <row r="98" spans="1:6" x14ac:dyDescent="0.25">
      <c r="A98" s="14">
        <v>46153.431250000001</v>
      </c>
      <c r="B98" s="81" t="s">
        <v>149</v>
      </c>
      <c r="C98" s="81" t="s">
        <v>190</v>
      </c>
      <c r="D98" s="81" t="s">
        <v>266</v>
      </c>
      <c r="E98" s="81" t="s">
        <v>52</v>
      </c>
      <c r="F98" s="81" t="str">
        <f>IF(E98="", "", IF(COUNTIF(ChestType!$A$5:$A$195, E98)&gt;0, VLOOKUP(E98, ChestType!$A$5:$B$195, 2, 0), "Others"))</f>
        <v>L5 Crypt</v>
      </c>
    </row>
    <row r="99" spans="1:6" x14ac:dyDescent="0.25">
      <c r="A99" s="14">
        <v>46153.431250000001</v>
      </c>
      <c r="B99" s="81" t="s">
        <v>149</v>
      </c>
      <c r="C99" s="81" t="s">
        <v>171</v>
      </c>
      <c r="D99" s="81" t="s">
        <v>857</v>
      </c>
      <c r="E99" s="81" t="s">
        <v>52</v>
      </c>
      <c r="F99" s="81" t="str">
        <f>IF(E99="", "", IF(COUNTIF(ChestType!$A$5:$A$195, E99)&gt;0, VLOOKUP(E99, ChestType!$A$5:$B$195, 2, 0), "Others"))</f>
        <v>L5 Crypt</v>
      </c>
    </row>
    <row r="100" spans="1:6" x14ac:dyDescent="0.25">
      <c r="A100" s="14">
        <v>46153.431250000001</v>
      </c>
      <c r="B100" s="81" t="s">
        <v>149</v>
      </c>
      <c r="C100" s="81" t="s">
        <v>190</v>
      </c>
      <c r="D100" s="81" t="s">
        <v>857</v>
      </c>
      <c r="E100" s="81" t="s">
        <v>52</v>
      </c>
      <c r="F100" s="81" t="str">
        <f>IF(E100="", "", IF(COUNTIF(ChestType!$A$5:$A$195, E100)&gt;0, VLOOKUP(E100, ChestType!$A$5:$B$195, 2, 0), "Others"))</f>
        <v>L5 Crypt</v>
      </c>
    </row>
    <row r="101" spans="1:6" x14ac:dyDescent="0.25">
      <c r="A101" s="14">
        <v>46153.431250000001</v>
      </c>
      <c r="B101" s="81" t="s">
        <v>149</v>
      </c>
      <c r="C101" s="81" t="s">
        <v>183</v>
      </c>
      <c r="D101" s="81" t="s">
        <v>266</v>
      </c>
      <c r="E101" s="81" t="s">
        <v>52</v>
      </c>
      <c r="F101" s="81" t="str">
        <f>IF(E101="", "", IF(COUNTIF(ChestType!$A$5:$A$195, E101)&gt;0, VLOOKUP(E101, ChestType!$A$5:$B$195, 2, 0), "Others"))</f>
        <v>L5 Crypt</v>
      </c>
    </row>
    <row r="102" spans="1:6" x14ac:dyDescent="0.25">
      <c r="A102" s="14">
        <v>46153.431250000001</v>
      </c>
      <c r="B102" s="81" t="s">
        <v>149</v>
      </c>
      <c r="C102" s="81" t="s">
        <v>182</v>
      </c>
      <c r="D102" s="81" t="s">
        <v>157</v>
      </c>
      <c r="E102" s="81" t="s">
        <v>50</v>
      </c>
      <c r="F102" s="81" t="str">
        <f>IF(E102="", "", IF(COUNTIF(ChestType!$A$5:$A$195, E102)&gt;0, VLOOKUP(E102, ChestType!$A$5:$B$195, 2, 0), "Others"))</f>
        <v>L10 Crypt</v>
      </c>
    </row>
    <row r="103" spans="1:6" x14ac:dyDescent="0.25">
      <c r="A103" s="14">
        <v>46153.431250000001</v>
      </c>
      <c r="B103" s="81" t="s">
        <v>149</v>
      </c>
      <c r="C103" s="81" t="s">
        <v>184</v>
      </c>
      <c r="D103" s="81" t="s">
        <v>266</v>
      </c>
      <c r="E103" s="81" t="s">
        <v>52</v>
      </c>
      <c r="F103" s="81" t="str">
        <f>IF(E103="", "", IF(COUNTIF(ChestType!$A$5:$A$195, E103)&gt;0, VLOOKUP(E103, ChestType!$A$5:$B$195, 2, 0), "Others"))</f>
        <v>L5 Crypt</v>
      </c>
    </row>
    <row r="104" spans="1:6" x14ac:dyDescent="0.25">
      <c r="A104" s="14">
        <v>46153.431250000001</v>
      </c>
      <c r="B104" s="81" t="s">
        <v>149</v>
      </c>
      <c r="C104" s="81" t="s">
        <v>190</v>
      </c>
      <c r="D104" s="81" t="s">
        <v>261</v>
      </c>
      <c r="E104" s="81" t="s">
        <v>50</v>
      </c>
      <c r="F104" s="81" t="str">
        <f>IF(E104="", "", IF(COUNTIF(ChestType!$A$5:$A$195, E104)&gt;0, VLOOKUP(E104, ChestType!$A$5:$B$195, 2, 0), "Others"))</f>
        <v>L10 Crypt</v>
      </c>
    </row>
    <row r="105" spans="1:6" x14ac:dyDescent="0.25">
      <c r="A105" s="14">
        <v>46153.431250000001</v>
      </c>
      <c r="B105" s="81" t="s">
        <v>149</v>
      </c>
      <c r="C105" s="81" t="s">
        <v>151</v>
      </c>
      <c r="D105" s="81" t="s">
        <v>857</v>
      </c>
      <c r="E105" s="81" t="s">
        <v>52</v>
      </c>
      <c r="F105" s="81" t="str">
        <f>IF(E105="", "", IF(COUNTIF(ChestType!$A$5:$A$195, E105)&gt;0, VLOOKUP(E105, ChestType!$A$5:$B$195, 2, 0), "Others"))</f>
        <v>L5 Crypt</v>
      </c>
    </row>
    <row r="106" spans="1:6" x14ac:dyDescent="0.25">
      <c r="A106" s="14">
        <v>46153.431250000001</v>
      </c>
      <c r="B106" s="81" t="s">
        <v>149</v>
      </c>
      <c r="C106" s="81" t="s">
        <v>177</v>
      </c>
      <c r="D106" s="81" t="s">
        <v>266</v>
      </c>
      <c r="E106" s="81" t="s">
        <v>52</v>
      </c>
      <c r="F106" s="81" t="str">
        <f>IF(E106="", "", IF(COUNTIF(ChestType!$A$5:$A$195, E106)&gt;0, VLOOKUP(E106, ChestType!$A$5:$B$195, 2, 0), "Others"))</f>
        <v>L5 Crypt</v>
      </c>
    </row>
    <row r="107" spans="1:6" x14ac:dyDescent="0.25">
      <c r="A107" s="14">
        <v>46153.431250000001</v>
      </c>
      <c r="B107" s="81" t="s">
        <v>149</v>
      </c>
      <c r="C107" s="81" t="s">
        <v>158</v>
      </c>
      <c r="D107" s="81" t="s">
        <v>161</v>
      </c>
      <c r="E107" s="81" t="s">
        <v>52</v>
      </c>
      <c r="F107" s="81" t="str">
        <f>IF(E107="", "", IF(COUNTIF(ChestType!$A$5:$A$195, E107)&gt;0, VLOOKUP(E107, ChestType!$A$5:$B$195, 2, 0), "Others"))</f>
        <v>L5 Crypt</v>
      </c>
    </row>
    <row r="108" spans="1:6" x14ac:dyDescent="0.25">
      <c r="A108" s="14">
        <v>46153.431250000001</v>
      </c>
      <c r="B108" s="81" t="s">
        <v>149</v>
      </c>
      <c r="C108" s="81" t="s">
        <v>173</v>
      </c>
      <c r="D108" s="81" t="s">
        <v>857</v>
      </c>
      <c r="E108" s="81" t="s">
        <v>52</v>
      </c>
      <c r="F108" s="81" t="str">
        <f>IF(E108="", "", IF(COUNTIF(ChestType!$A$5:$A$195, E108)&gt;0, VLOOKUP(E108, ChestType!$A$5:$B$195, 2, 0), "Others"))</f>
        <v>L5 Crypt</v>
      </c>
    </row>
    <row r="109" spans="1:6" x14ac:dyDescent="0.25">
      <c r="A109" s="14">
        <v>46153.431250000001</v>
      </c>
      <c r="B109" s="81" t="s">
        <v>149</v>
      </c>
      <c r="C109" s="81" t="s">
        <v>173</v>
      </c>
      <c r="D109" s="81" t="s">
        <v>266</v>
      </c>
      <c r="E109" s="81" t="s">
        <v>52</v>
      </c>
      <c r="F109" s="81" t="str">
        <f>IF(E109="", "", IF(COUNTIF(ChestType!$A$5:$A$195, E109)&gt;0, VLOOKUP(E109, ChestType!$A$5:$B$195, 2, 0), "Others"))</f>
        <v>L5 Crypt</v>
      </c>
    </row>
    <row r="110" spans="1:6" x14ac:dyDescent="0.25">
      <c r="A110" s="14">
        <v>46153.431250000001</v>
      </c>
      <c r="B110" s="81" t="s">
        <v>149</v>
      </c>
      <c r="C110" s="81" t="s">
        <v>181</v>
      </c>
      <c r="D110" s="81" t="s">
        <v>261</v>
      </c>
      <c r="E110" s="81" t="s">
        <v>52</v>
      </c>
      <c r="F110" s="81" t="str">
        <f>IF(E110="", "", IF(COUNTIF(ChestType!$A$5:$A$195, E110)&gt;0, VLOOKUP(E110, ChestType!$A$5:$B$195, 2, 0), "Others"))</f>
        <v>L5 Crypt</v>
      </c>
    </row>
    <row r="111" spans="1:6" x14ac:dyDescent="0.25">
      <c r="A111" s="14">
        <v>46153.431250000001</v>
      </c>
      <c r="B111" s="81" t="s">
        <v>149</v>
      </c>
      <c r="C111" s="81" t="s">
        <v>173</v>
      </c>
      <c r="D111" s="81" t="s">
        <v>180</v>
      </c>
      <c r="E111" s="81" t="s">
        <v>52</v>
      </c>
      <c r="F111" s="81" t="str">
        <f>IF(E111="", "", IF(COUNTIF(ChestType!$A$5:$A$195, E111)&gt;0, VLOOKUP(E111, ChestType!$A$5:$B$195, 2, 0), "Others"))</f>
        <v>L5 Crypt</v>
      </c>
    </row>
    <row r="112" spans="1:6" x14ac:dyDescent="0.25">
      <c r="A112" s="14">
        <v>46153.431250000001</v>
      </c>
      <c r="B112" s="81" t="s">
        <v>149</v>
      </c>
      <c r="C112" s="81" t="s">
        <v>185</v>
      </c>
      <c r="D112" s="81" t="s">
        <v>856</v>
      </c>
      <c r="E112" s="81" t="s">
        <v>49</v>
      </c>
      <c r="F112" s="81" t="str">
        <f>IF(E112="", "", IF(COUNTIF(ChestType!$A$5:$A$195, E112)&gt;0, VLOOKUP(E112, ChestType!$A$5:$B$195, 2, 0), "Others"))</f>
        <v>L15 Crypt</v>
      </c>
    </row>
    <row r="113" spans="1:6" x14ac:dyDescent="0.25">
      <c r="A113" s="14">
        <v>46153.431250000001</v>
      </c>
      <c r="B113" s="81" t="s">
        <v>149</v>
      </c>
      <c r="C113" s="81" t="s">
        <v>227</v>
      </c>
      <c r="D113" s="81" t="s">
        <v>856</v>
      </c>
      <c r="E113" s="81" t="s">
        <v>65</v>
      </c>
      <c r="F113" s="81" t="str">
        <f>IF(E113="", "", IF(COUNTIF(ChestType!$A$5:$A$195, E113)&gt;0, VLOOKUP(E113, ChestType!$A$5:$B$195, 2, 0), "Others"))</f>
        <v>L20 Epic Crypt</v>
      </c>
    </row>
    <row r="114" spans="1:6" x14ac:dyDescent="0.25">
      <c r="A114" s="14">
        <v>46153.431250000001</v>
      </c>
      <c r="B114" s="81" t="s">
        <v>149</v>
      </c>
      <c r="C114" s="81" t="s">
        <v>188</v>
      </c>
      <c r="D114" s="81" t="s">
        <v>157</v>
      </c>
      <c r="E114" s="81" t="s">
        <v>45</v>
      </c>
      <c r="F114" s="81" t="str">
        <f>IF(E114="", "", IF(COUNTIF(ChestType!$A$5:$A$195, E114)&gt;0, VLOOKUP(E114, ChestType!$A$5:$B$195, 2, 0), "Others"))</f>
        <v>Others</v>
      </c>
    </row>
    <row r="115" spans="1:6" x14ac:dyDescent="0.25">
      <c r="A115" s="14">
        <v>46153.431250000001</v>
      </c>
      <c r="B115" s="81" t="s">
        <v>149</v>
      </c>
      <c r="C115" s="81" t="s">
        <v>189</v>
      </c>
      <c r="D115" s="81" t="s">
        <v>157</v>
      </c>
      <c r="E115" s="81" t="s">
        <v>45</v>
      </c>
      <c r="F115" s="81" t="str">
        <f>IF(E115="", "", IF(COUNTIF(ChestType!$A$5:$A$195, E115)&gt;0, VLOOKUP(E115, ChestType!$A$5:$B$195, 2, 0), "Others"))</f>
        <v>Others</v>
      </c>
    </row>
    <row r="116" spans="1:6" x14ac:dyDescent="0.25">
      <c r="A116" s="14">
        <v>46153.431250000001</v>
      </c>
      <c r="B116" s="81" t="s">
        <v>149</v>
      </c>
      <c r="C116" s="81" t="s">
        <v>239</v>
      </c>
      <c r="D116" s="81" t="s">
        <v>157</v>
      </c>
      <c r="E116" s="81" t="s">
        <v>45</v>
      </c>
      <c r="F116" s="81" t="str">
        <f>IF(E116="", "", IF(COUNTIF(ChestType!$A$5:$A$195, E116)&gt;0, VLOOKUP(E116, ChestType!$A$5:$B$195, 2, 0), "Others"))</f>
        <v>Others</v>
      </c>
    </row>
    <row r="117" spans="1:6" x14ac:dyDescent="0.25">
      <c r="A117" s="14">
        <v>46153.431250000001</v>
      </c>
      <c r="B117" s="81" t="s">
        <v>149</v>
      </c>
      <c r="C117" s="81" t="s">
        <v>151</v>
      </c>
      <c r="D117" s="81" t="s">
        <v>246</v>
      </c>
      <c r="E117" s="81" t="s">
        <v>50</v>
      </c>
      <c r="F117" s="81" t="str">
        <f>IF(E117="", "", IF(COUNTIF(ChestType!$A$5:$A$195, E117)&gt;0, VLOOKUP(E117, ChestType!$A$5:$B$195, 2, 0), "Others"))</f>
        <v>L10 Crypt</v>
      </c>
    </row>
    <row r="118" spans="1:6" x14ac:dyDescent="0.25">
      <c r="A118" s="14">
        <v>46153.431250000001</v>
      </c>
      <c r="B118" s="81" t="s">
        <v>149</v>
      </c>
      <c r="C118" s="81" t="s">
        <v>181</v>
      </c>
      <c r="D118" s="81" t="s">
        <v>246</v>
      </c>
      <c r="E118" s="81" t="s">
        <v>50</v>
      </c>
      <c r="F118" s="81" t="str">
        <f>IF(E118="", "", IF(COUNTIF(ChestType!$A$5:$A$195, E118)&gt;0, VLOOKUP(E118, ChestType!$A$5:$B$195, 2, 0), "Others"))</f>
        <v>L10 Crypt</v>
      </c>
    </row>
    <row r="119" spans="1:6" x14ac:dyDescent="0.25">
      <c r="A119" s="14">
        <v>46153.431250000001</v>
      </c>
      <c r="B119" s="81" t="s">
        <v>149</v>
      </c>
      <c r="C119" s="81" t="s">
        <v>171</v>
      </c>
      <c r="D119" s="81" t="s">
        <v>856</v>
      </c>
      <c r="E119" s="81" t="s">
        <v>50</v>
      </c>
      <c r="F119" s="81" t="str">
        <f>IF(E119="", "", IF(COUNTIF(ChestType!$A$5:$A$195, E119)&gt;0, VLOOKUP(E119, ChestType!$A$5:$B$195, 2, 0), "Others"))</f>
        <v>L10 Crypt</v>
      </c>
    </row>
    <row r="120" spans="1:6" x14ac:dyDescent="0.25">
      <c r="A120" s="14">
        <v>46153.431250000001</v>
      </c>
      <c r="B120" s="81" t="s">
        <v>149</v>
      </c>
      <c r="C120" s="81" t="s">
        <v>181</v>
      </c>
      <c r="D120" s="81" t="s">
        <v>155</v>
      </c>
      <c r="E120" s="81" t="s">
        <v>50</v>
      </c>
      <c r="F120" s="81" t="str">
        <f>IF(E120="", "", IF(COUNTIF(ChestType!$A$5:$A$195, E120)&gt;0, VLOOKUP(E120, ChestType!$A$5:$B$195, 2, 0), "Others"))</f>
        <v>L10 Crypt</v>
      </c>
    </row>
    <row r="121" spans="1:6" x14ac:dyDescent="0.25">
      <c r="A121" s="14">
        <v>46153.431250000001</v>
      </c>
      <c r="B121" s="81" t="s">
        <v>149</v>
      </c>
      <c r="C121" s="81" t="s">
        <v>190</v>
      </c>
      <c r="D121" s="81" t="s">
        <v>155</v>
      </c>
      <c r="E121" s="81" t="s">
        <v>50</v>
      </c>
      <c r="F121" s="81" t="str">
        <f>IF(E121="", "", IF(COUNTIF(ChestType!$A$5:$A$195, E121)&gt;0, VLOOKUP(E121, ChestType!$A$5:$B$195, 2, 0), "Others"))</f>
        <v>L10 Crypt</v>
      </c>
    </row>
    <row r="122" spans="1:6" x14ac:dyDescent="0.25">
      <c r="A122" s="14">
        <v>46153.431250000001</v>
      </c>
      <c r="B122" s="81" t="s">
        <v>149</v>
      </c>
      <c r="C122" s="81" t="s">
        <v>171</v>
      </c>
      <c r="D122" s="81" t="s">
        <v>165</v>
      </c>
      <c r="E122" s="81" t="s">
        <v>50</v>
      </c>
      <c r="F122" s="81" t="str">
        <f>IF(E122="", "", IF(COUNTIF(ChestType!$A$5:$A$195, E122)&gt;0, VLOOKUP(E122, ChestType!$A$5:$B$195, 2, 0), "Others"))</f>
        <v>L10 Crypt</v>
      </c>
    </row>
    <row r="123" spans="1:6" x14ac:dyDescent="0.25">
      <c r="A123" s="14">
        <v>46153.431250000001</v>
      </c>
      <c r="B123" s="81" t="s">
        <v>149</v>
      </c>
      <c r="C123" s="81" t="s">
        <v>187</v>
      </c>
      <c r="D123" s="81" t="s">
        <v>165</v>
      </c>
      <c r="E123" s="81" t="s">
        <v>75</v>
      </c>
      <c r="F123" s="81" t="str">
        <f>IF(E123="", "", IF(COUNTIF(ChestType!$A$5:$A$195, E123)&gt;0, VLOOKUP(E123, ChestType!$A$5:$B$195, 2, 0), "Others"))</f>
        <v>L10 Rare Crypt</v>
      </c>
    </row>
    <row r="124" spans="1:6" x14ac:dyDescent="0.25">
      <c r="A124" s="14">
        <v>46153.431250000001</v>
      </c>
      <c r="B124" s="81" t="s">
        <v>149</v>
      </c>
      <c r="C124" s="81" t="s">
        <v>158</v>
      </c>
      <c r="D124" s="81" t="s">
        <v>266</v>
      </c>
      <c r="E124" s="81" t="s">
        <v>52</v>
      </c>
      <c r="F124" s="81" t="str">
        <f>IF(E124="", "", IF(COUNTIF(ChestType!$A$5:$A$195, E124)&gt;0, VLOOKUP(E124, ChestType!$A$5:$B$195, 2, 0), "Others"))</f>
        <v>L5 Crypt</v>
      </c>
    </row>
    <row r="125" spans="1:6" x14ac:dyDescent="0.25">
      <c r="A125" s="14">
        <v>46153.431250000001</v>
      </c>
      <c r="B125" s="81" t="s">
        <v>149</v>
      </c>
      <c r="C125" s="81" t="s">
        <v>175</v>
      </c>
      <c r="D125" s="81" t="s">
        <v>266</v>
      </c>
      <c r="E125" s="81" t="s">
        <v>52</v>
      </c>
      <c r="F125" s="81" t="str">
        <f>IF(E125="", "", IF(COUNTIF(ChestType!$A$5:$A$195, E125)&gt;0, VLOOKUP(E125, ChestType!$A$5:$B$195, 2, 0), "Others"))</f>
        <v>L5 Crypt</v>
      </c>
    </row>
    <row r="126" spans="1:6" x14ac:dyDescent="0.25">
      <c r="A126" s="14">
        <v>46153.431250000001</v>
      </c>
      <c r="B126" s="81" t="s">
        <v>149</v>
      </c>
      <c r="C126" s="81" t="s">
        <v>227</v>
      </c>
      <c r="D126" s="81" t="s">
        <v>856</v>
      </c>
      <c r="E126" s="81" t="s">
        <v>64</v>
      </c>
      <c r="F126" s="81" t="str">
        <f>IF(E126="", "", IF(COUNTIF(ChestType!$A$5:$A$195, E126)&gt;0, VLOOKUP(E126, ChestType!$A$5:$B$195, 2, 0), "Others"))</f>
        <v>L15 Epic Crypt</v>
      </c>
    </row>
    <row r="127" spans="1:6" x14ac:dyDescent="0.25">
      <c r="A127" s="14">
        <v>46153.431250000001</v>
      </c>
      <c r="B127" s="81" t="s">
        <v>149</v>
      </c>
      <c r="C127" s="81" t="s">
        <v>227</v>
      </c>
      <c r="D127" s="81" t="s">
        <v>856</v>
      </c>
      <c r="E127" s="81" t="s">
        <v>65</v>
      </c>
      <c r="F127" s="81" t="str">
        <f>IF(E127="", "", IF(COUNTIF(ChestType!$A$5:$A$195, E127)&gt;0, VLOOKUP(E127, ChestType!$A$5:$B$195, 2, 0), "Others"))</f>
        <v>L20 Epic Crypt</v>
      </c>
    </row>
    <row r="128" spans="1:6" x14ac:dyDescent="0.25">
      <c r="A128" s="14">
        <v>46153.431250000001</v>
      </c>
      <c r="B128" s="81" t="s">
        <v>149</v>
      </c>
      <c r="C128" s="81" t="s">
        <v>227</v>
      </c>
      <c r="D128" s="81" t="s">
        <v>856</v>
      </c>
      <c r="E128" s="81" t="s">
        <v>65</v>
      </c>
      <c r="F128" s="81" t="str">
        <f>IF(E128="", "", IF(COUNTIF(ChestType!$A$5:$A$195, E128)&gt;0, VLOOKUP(E128, ChestType!$A$5:$B$195, 2, 0), "Others"))</f>
        <v>L20 Epic Crypt</v>
      </c>
    </row>
    <row r="129" spans="1:6" x14ac:dyDescent="0.25">
      <c r="A129" s="14">
        <v>46153.431250000001</v>
      </c>
      <c r="B129" s="81" t="s">
        <v>149</v>
      </c>
      <c r="C129" s="81" t="s">
        <v>183</v>
      </c>
      <c r="D129" s="81" t="s">
        <v>266</v>
      </c>
      <c r="E129" s="81" t="s">
        <v>52</v>
      </c>
      <c r="F129" s="81" t="str">
        <f>IF(E129="", "", IF(COUNTIF(ChestType!$A$5:$A$195, E129)&gt;0, VLOOKUP(E129, ChestType!$A$5:$B$195, 2, 0), "Others"))</f>
        <v>L5 Crypt</v>
      </c>
    </row>
    <row r="130" spans="1:6" x14ac:dyDescent="0.25">
      <c r="A130" s="14">
        <v>46153.431250000001</v>
      </c>
      <c r="B130" s="81" t="s">
        <v>149</v>
      </c>
      <c r="C130" s="81" t="s">
        <v>181</v>
      </c>
      <c r="D130" s="81" t="s">
        <v>264</v>
      </c>
      <c r="E130" s="81" t="s">
        <v>52</v>
      </c>
      <c r="F130" s="81" t="str">
        <f>IF(E130="", "", IF(COUNTIF(ChestType!$A$5:$A$195, E130)&gt;0, VLOOKUP(E130, ChestType!$A$5:$B$195, 2, 0), "Others"))</f>
        <v>L5 Crypt</v>
      </c>
    </row>
    <row r="131" spans="1:6" x14ac:dyDescent="0.25">
      <c r="A131" s="14">
        <v>46153.431250000001</v>
      </c>
      <c r="B131" s="81" t="s">
        <v>149</v>
      </c>
      <c r="C131" s="81" t="s">
        <v>183</v>
      </c>
      <c r="D131" s="81" t="s">
        <v>856</v>
      </c>
      <c r="E131" s="81" t="s">
        <v>49</v>
      </c>
      <c r="F131" s="81" t="str">
        <f>IF(E131="", "", IF(COUNTIF(ChestType!$A$5:$A$195, E131)&gt;0, VLOOKUP(E131, ChestType!$A$5:$B$195, 2, 0), "Others"))</f>
        <v>L15 Crypt</v>
      </c>
    </row>
    <row r="132" spans="1:6" x14ac:dyDescent="0.25">
      <c r="A132" s="14">
        <v>46153.431250000001</v>
      </c>
      <c r="B132" s="81" t="s">
        <v>149</v>
      </c>
      <c r="C132" s="81" t="s">
        <v>171</v>
      </c>
      <c r="D132" s="81" t="s">
        <v>266</v>
      </c>
      <c r="E132" s="81" t="s">
        <v>52</v>
      </c>
      <c r="F132" s="81" t="str">
        <f>IF(E132="", "", IF(COUNTIF(ChestType!$A$5:$A$195, E132)&gt;0, VLOOKUP(E132, ChestType!$A$5:$B$195, 2, 0), "Others"))</f>
        <v>L5 Crypt</v>
      </c>
    </row>
    <row r="133" spans="1:6" x14ac:dyDescent="0.25">
      <c r="A133" s="14">
        <v>46153.431250000001</v>
      </c>
      <c r="B133" s="81" t="s">
        <v>149</v>
      </c>
      <c r="C133" s="81" t="s">
        <v>183</v>
      </c>
      <c r="D133" s="81" t="s">
        <v>261</v>
      </c>
      <c r="E133" s="81" t="s">
        <v>50</v>
      </c>
      <c r="F133" s="81" t="str">
        <f>IF(E133="", "", IF(COUNTIF(ChestType!$A$5:$A$195, E133)&gt;0, VLOOKUP(E133, ChestType!$A$5:$B$195, 2, 0), "Others"))</f>
        <v>L10 Crypt</v>
      </c>
    </row>
    <row r="134" spans="1:6" x14ac:dyDescent="0.25">
      <c r="A134" s="14">
        <v>46153.431250000001</v>
      </c>
      <c r="B134" s="81" t="s">
        <v>149</v>
      </c>
      <c r="C134" s="81" t="s">
        <v>177</v>
      </c>
      <c r="D134" s="81" t="s">
        <v>266</v>
      </c>
      <c r="E134" s="81" t="s">
        <v>50</v>
      </c>
      <c r="F134" s="81" t="str">
        <f>IF(E134="", "", IF(COUNTIF(ChestType!$A$5:$A$195, E134)&gt;0, VLOOKUP(E134, ChestType!$A$5:$B$195, 2, 0), "Others"))</f>
        <v>L10 Crypt</v>
      </c>
    </row>
    <row r="135" spans="1:6" x14ac:dyDescent="0.25">
      <c r="A135" s="14">
        <v>46153.431250000001</v>
      </c>
      <c r="B135" s="81" t="s">
        <v>149</v>
      </c>
      <c r="C135" s="81" t="s">
        <v>173</v>
      </c>
      <c r="D135" s="81" t="s">
        <v>261</v>
      </c>
      <c r="E135" s="81" t="s">
        <v>52</v>
      </c>
      <c r="F135" s="81" t="str">
        <f>IF(E135="", "", IF(COUNTIF(ChestType!$A$5:$A$195, E135)&gt;0, VLOOKUP(E135, ChestType!$A$5:$B$195, 2, 0), "Others"))</f>
        <v>L5 Crypt</v>
      </c>
    </row>
    <row r="136" spans="1:6" x14ac:dyDescent="0.25">
      <c r="A136" s="14">
        <v>46153.431250000001</v>
      </c>
      <c r="B136" s="81" t="s">
        <v>149</v>
      </c>
      <c r="C136" s="81" t="s">
        <v>190</v>
      </c>
      <c r="D136" s="81" t="s">
        <v>246</v>
      </c>
      <c r="E136" s="81" t="s">
        <v>50</v>
      </c>
      <c r="F136" s="81" t="str">
        <f>IF(E136="", "", IF(COUNTIF(ChestType!$A$5:$A$195, E136)&gt;0, VLOOKUP(E136, ChestType!$A$5:$B$195, 2, 0), "Others"))</f>
        <v>L10 Crypt</v>
      </c>
    </row>
    <row r="137" spans="1:6" x14ac:dyDescent="0.25">
      <c r="A137" s="14">
        <v>46153.431250000001</v>
      </c>
      <c r="B137" s="81" t="s">
        <v>149</v>
      </c>
      <c r="C137" s="81" t="s">
        <v>158</v>
      </c>
      <c r="D137" s="81" t="s">
        <v>246</v>
      </c>
      <c r="E137" s="81" t="s">
        <v>52</v>
      </c>
      <c r="F137" s="81" t="str">
        <f>IF(E137="", "", IF(COUNTIF(ChestType!$A$5:$A$195, E137)&gt;0, VLOOKUP(E137, ChestType!$A$5:$B$195, 2, 0), "Others"))</f>
        <v>L5 Crypt</v>
      </c>
    </row>
    <row r="138" spans="1:6" x14ac:dyDescent="0.25">
      <c r="A138" s="14">
        <v>46153.431250000001</v>
      </c>
      <c r="B138" s="81" t="s">
        <v>149</v>
      </c>
      <c r="C138" s="81" t="s">
        <v>184</v>
      </c>
      <c r="D138" s="81" t="s">
        <v>261</v>
      </c>
      <c r="E138" s="81" t="s">
        <v>50</v>
      </c>
      <c r="F138" s="81" t="str">
        <f>IF(E138="", "", IF(COUNTIF(ChestType!$A$5:$A$195, E138)&gt;0, VLOOKUP(E138, ChestType!$A$5:$B$195, 2, 0), "Others"))</f>
        <v>L10 Crypt</v>
      </c>
    </row>
    <row r="139" spans="1:6" x14ac:dyDescent="0.25">
      <c r="A139" s="14">
        <v>46153.431250000001</v>
      </c>
      <c r="B139" s="81" t="s">
        <v>149</v>
      </c>
      <c r="C139" s="81" t="s">
        <v>181</v>
      </c>
      <c r="D139" s="81" t="s">
        <v>266</v>
      </c>
      <c r="E139" s="81" t="s">
        <v>52</v>
      </c>
      <c r="F139" s="81" t="str">
        <f>IF(E139="", "", IF(COUNTIF(ChestType!$A$5:$A$195, E139)&gt;0, VLOOKUP(E139, ChestType!$A$5:$B$195, 2, 0), "Others"))</f>
        <v>L5 Crypt</v>
      </c>
    </row>
    <row r="140" spans="1:6" x14ac:dyDescent="0.25">
      <c r="A140" s="14">
        <v>46153.431250000001</v>
      </c>
      <c r="B140" s="81" t="s">
        <v>149</v>
      </c>
      <c r="C140" s="81" t="s">
        <v>840</v>
      </c>
      <c r="D140" s="81" t="s">
        <v>842</v>
      </c>
      <c r="E140" s="81" t="s">
        <v>64</v>
      </c>
      <c r="F140" s="81" t="str">
        <f>IF(E140="", "", IF(COUNTIF(ChestType!$A$5:$A$195, E140)&gt;0, VLOOKUP(E140, ChestType!$A$5:$B$195, 2, 0), "Others"))</f>
        <v>L15 Epic Crypt</v>
      </c>
    </row>
    <row r="141" spans="1:6" x14ac:dyDescent="0.25">
      <c r="A141" s="14">
        <v>46153.431250000001</v>
      </c>
      <c r="B141" s="81" t="s">
        <v>149</v>
      </c>
      <c r="C141" s="81" t="s">
        <v>175</v>
      </c>
      <c r="D141" s="81" t="s">
        <v>266</v>
      </c>
      <c r="E141" s="81" t="s">
        <v>52</v>
      </c>
      <c r="F141" s="81" t="str">
        <f>IF(E141="", "", IF(COUNTIF(ChestType!$A$5:$A$195, E141)&gt;0, VLOOKUP(E141, ChestType!$A$5:$B$195, 2, 0), "Others"))</f>
        <v>L5 Crypt</v>
      </c>
    </row>
    <row r="142" spans="1:6" x14ac:dyDescent="0.25">
      <c r="A142" s="14">
        <v>46153.431250000001</v>
      </c>
      <c r="B142" s="81" t="s">
        <v>149</v>
      </c>
      <c r="C142" s="81" t="s">
        <v>151</v>
      </c>
      <c r="D142" s="81" t="s">
        <v>266</v>
      </c>
      <c r="E142" s="81" t="s">
        <v>50</v>
      </c>
      <c r="F142" s="81" t="str">
        <f>IF(E142="", "", IF(COUNTIF(ChestType!$A$5:$A$195, E142)&gt;0, VLOOKUP(E142, ChestType!$A$5:$B$195, 2, 0), "Others"))</f>
        <v>L10 Crypt</v>
      </c>
    </row>
    <row r="143" spans="1:6" x14ac:dyDescent="0.25">
      <c r="A143" s="14">
        <v>46153.431250000001</v>
      </c>
      <c r="B143" s="81" t="s">
        <v>149</v>
      </c>
      <c r="C143" s="81" t="s">
        <v>171</v>
      </c>
      <c r="D143" s="81" t="s">
        <v>246</v>
      </c>
      <c r="E143" s="81" t="s">
        <v>52</v>
      </c>
      <c r="F143" s="81" t="str">
        <f>IF(E143="", "", IF(COUNTIF(ChestType!$A$5:$A$195, E143)&gt;0, VLOOKUP(E143, ChestType!$A$5:$B$195, 2, 0), "Others"))</f>
        <v>L5 Crypt</v>
      </c>
    </row>
    <row r="144" spans="1:6" x14ac:dyDescent="0.25">
      <c r="A144" s="14">
        <v>46153.431250000001</v>
      </c>
      <c r="B144" s="81" t="s">
        <v>149</v>
      </c>
      <c r="C144" s="81" t="s">
        <v>190</v>
      </c>
      <c r="D144" s="81" t="s">
        <v>246</v>
      </c>
      <c r="E144" s="81" t="s">
        <v>52</v>
      </c>
      <c r="F144" s="81" t="str">
        <f>IF(E144="", "", IF(COUNTIF(ChestType!$A$5:$A$195, E144)&gt;0, VLOOKUP(E144, ChestType!$A$5:$B$195, 2, 0), "Others"))</f>
        <v>L5 Crypt</v>
      </c>
    </row>
    <row r="145" spans="1:6" x14ac:dyDescent="0.25">
      <c r="A145" s="14">
        <v>46153.431250000001</v>
      </c>
      <c r="B145" s="81" t="s">
        <v>149</v>
      </c>
      <c r="C145" s="81" t="s">
        <v>171</v>
      </c>
      <c r="D145" s="81" t="s">
        <v>254</v>
      </c>
      <c r="E145" s="81" t="s">
        <v>49</v>
      </c>
      <c r="F145" s="81" t="str">
        <f>IF(E145="", "", IF(COUNTIF(ChestType!$A$5:$A$195, E145)&gt;0, VLOOKUP(E145, ChestType!$A$5:$B$195, 2, 0), "Others"))</f>
        <v>L15 Crypt</v>
      </c>
    </row>
    <row r="146" spans="1:6" x14ac:dyDescent="0.25">
      <c r="A146" s="14">
        <v>46153.431250000001</v>
      </c>
      <c r="B146" s="81" t="s">
        <v>149</v>
      </c>
      <c r="C146" s="81" t="s">
        <v>173</v>
      </c>
      <c r="D146" s="81" t="s">
        <v>246</v>
      </c>
      <c r="E146" s="81" t="s">
        <v>50</v>
      </c>
      <c r="F146" s="81" t="str">
        <f>IF(E146="", "", IF(COUNTIF(ChestType!$A$5:$A$195, E146)&gt;0, VLOOKUP(E146, ChestType!$A$5:$B$195, 2, 0), "Others"))</f>
        <v>L10 Crypt</v>
      </c>
    </row>
    <row r="147" spans="1:6" x14ac:dyDescent="0.25">
      <c r="A147" s="14">
        <v>46153.431250000001</v>
      </c>
      <c r="B147" s="81" t="s">
        <v>149</v>
      </c>
      <c r="C147" s="81" t="s">
        <v>182</v>
      </c>
      <c r="D147" s="81" t="s">
        <v>246</v>
      </c>
      <c r="E147" s="81" t="s">
        <v>50</v>
      </c>
      <c r="F147" s="81" t="str">
        <f>IF(E147="", "", IF(COUNTIF(ChestType!$A$5:$A$195, E147)&gt;0, VLOOKUP(E147, ChestType!$A$5:$B$195, 2, 0), "Others"))</f>
        <v>L10 Crypt</v>
      </c>
    </row>
    <row r="148" spans="1:6" x14ac:dyDescent="0.25">
      <c r="A148" s="14">
        <v>46153.431250000001</v>
      </c>
      <c r="B148" s="81" t="s">
        <v>149</v>
      </c>
      <c r="C148" s="81" t="s">
        <v>184</v>
      </c>
      <c r="D148" s="81" t="s">
        <v>266</v>
      </c>
      <c r="E148" s="81" t="s">
        <v>52</v>
      </c>
      <c r="F148" s="81" t="str">
        <f>IF(E148="", "", IF(COUNTIF(ChestType!$A$5:$A$195, E148)&gt;0, VLOOKUP(E148, ChestType!$A$5:$B$195, 2, 0), "Others"))</f>
        <v>L5 Crypt</v>
      </c>
    </row>
    <row r="149" spans="1:6" x14ac:dyDescent="0.25">
      <c r="A149" s="14">
        <v>46153.431250000001</v>
      </c>
      <c r="B149" s="81" t="s">
        <v>149</v>
      </c>
      <c r="C149" s="81" t="s">
        <v>158</v>
      </c>
      <c r="D149" s="81" t="s">
        <v>246</v>
      </c>
      <c r="E149" s="81" t="s">
        <v>50</v>
      </c>
      <c r="F149" s="81" t="str">
        <f>IF(E149="", "", IF(COUNTIF(ChestType!$A$5:$A$195, E149)&gt;0, VLOOKUP(E149, ChestType!$A$5:$B$195, 2, 0), "Others"))</f>
        <v>L10 Crypt</v>
      </c>
    </row>
    <row r="150" spans="1:6" x14ac:dyDescent="0.25">
      <c r="A150" s="14">
        <v>46153.431250000001</v>
      </c>
      <c r="B150" s="81" t="s">
        <v>195</v>
      </c>
      <c r="C150" s="81" t="s">
        <v>198</v>
      </c>
      <c r="D150" s="81" t="s">
        <v>250</v>
      </c>
      <c r="E150" s="81" t="s">
        <v>24</v>
      </c>
      <c r="F150" s="81" t="str">
        <f>IF(E150="", "", IF(COUNTIF(ChestType!$A$5:$A$195, E150)&gt;0, VLOOKUP(E150, ChestType!$A$5:$B$195, 2, 0), "Others"))</f>
        <v>Bank</v>
      </c>
    </row>
    <row r="151" spans="1:6" x14ac:dyDescent="0.25">
      <c r="A151" s="14">
        <v>46153.431250000001</v>
      </c>
      <c r="B151" s="81" t="s">
        <v>195</v>
      </c>
      <c r="C151" s="81" t="s">
        <v>198</v>
      </c>
      <c r="D151" s="81" t="s">
        <v>250</v>
      </c>
      <c r="E151" s="81" t="s">
        <v>24</v>
      </c>
      <c r="F151" s="81" t="str">
        <f>IF(E151="", "", IF(COUNTIF(ChestType!$A$5:$A$195, E151)&gt;0, VLOOKUP(E151, ChestType!$A$5:$B$195, 2, 0), "Others"))</f>
        <v>Bank</v>
      </c>
    </row>
    <row r="152" spans="1:6" x14ac:dyDescent="0.25">
      <c r="A152" s="14">
        <v>46153.431250000001</v>
      </c>
      <c r="B152" s="81" t="s">
        <v>195</v>
      </c>
      <c r="C152" s="81" t="s">
        <v>198</v>
      </c>
      <c r="D152" s="81" t="s">
        <v>250</v>
      </c>
      <c r="E152" s="81" t="s">
        <v>24</v>
      </c>
      <c r="F152" s="81" t="str">
        <f>IF(E152="", "", IF(COUNTIF(ChestType!$A$5:$A$195, E152)&gt;0, VLOOKUP(E152, ChestType!$A$5:$B$195, 2, 0), "Others"))</f>
        <v>Bank</v>
      </c>
    </row>
    <row r="153" spans="1:6" x14ac:dyDescent="0.25">
      <c r="A153" s="14">
        <v>46153.431250000001</v>
      </c>
      <c r="B153" s="81" t="s">
        <v>195</v>
      </c>
      <c r="C153" s="81" t="s">
        <v>198</v>
      </c>
      <c r="D153" s="81" t="s">
        <v>250</v>
      </c>
      <c r="E153" s="81" t="s">
        <v>24</v>
      </c>
      <c r="F153" s="81" t="str">
        <f>IF(E153="", "", IF(COUNTIF(ChestType!$A$5:$A$195, E153)&gt;0, VLOOKUP(E153, ChestType!$A$5:$B$195, 2, 0), "Others"))</f>
        <v>Bank</v>
      </c>
    </row>
    <row r="154" spans="1:6" x14ac:dyDescent="0.25">
      <c r="A154" s="14">
        <v>46153.431250000001</v>
      </c>
      <c r="B154" s="81" t="s">
        <v>195</v>
      </c>
      <c r="C154" s="81" t="s">
        <v>198</v>
      </c>
      <c r="D154" s="81" t="s">
        <v>250</v>
      </c>
      <c r="E154" s="81" t="s">
        <v>24</v>
      </c>
      <c r="F154" s="81" t="str">
        <f>IF(E154="", "", IF(COUNTIF(ChestType!$A$5:$A$195, E154)&gt;0, VLOOKUP(E154, ChestType!$A$5:$B$195, 2, 0), "Others"))</f>
        <v>Bank</v>
      </c>
    </row>
    <row r="155" spans="1:6" x14ac:dyDescent="0.25">
      <c r="A155" s="14">
        <v>46153.431250000001</v>
      </c>
      <c r="B155" s="81" t="s">
        <v>195</v>
      </c>
      <c r="C155" s="81" t="s">
        <v>198</v>
      </c>
      <c r="D155" s="81" t="s">
        <v>250</v>
      </c>
      <c r="E155" s="81" t="s">
        <v>24</v>
      </c>
      <c r="F155" s="81" t="str">
        <f>IF(E155="", "", IF(COUNTIF(ChestType!$A$5:$A$195, E155)&gt;0, VLOOKUP(E155, ChestType!$A$5:$B$195, 2, 0), "Others"))</f>
        <v>Bank</v>
      </c>
    </row>
    <row r="156" spans="1:6" x14ac:dyDescent="0.25">
      <c r="A156" s="14">
        <v>46153.431250000001</v>
      </c>
      <c r="B156" s="81" t="s">
        <v>195</v>
      </c>
      <c r="C156" s="81" t="s">
        <v>209</v>
      </c>
      <c r="D156" s="81" t="s">
        <v>152</v>
      </c>
      <c r="E156" s="81" t="s">
        <v>24</v>
      </c>
      <c r="F156" s="81" t="str">
        <f>IF(E156="", "", IF(COUNTIF(ChestType!$A$5:$A$195, E156)&gt;0, VLOOKUP(E156, ChestType!$A$5:$B$195, 2, 0), "Others"))</f>
        <v>Bank</v>
      </c>
    </row>
    <row r="157" spans="1:6" x14ac:dyDescent="0.25">
      <c r="A157" s="14">
        <v>46153.431250000001</v>
      </c>
      <c r="B157" s="81" t="s">
        <v>195</v>
      </c>
      <c r="C157" s="81" t="s">
        <v>209</v>
      </c>
      <c r="D157" s="81" t="s">
        <v>152</v>
      </c>
      <c r="E157" s="81" t="s">
        <v>24</v>
      </c>
      <c r="F157" s="81" t="str">
        <f>IF(E157="", "", IF(COUNTIF(ChestType!$A$5:$A$195, E157)&gt;0, VLOOKUP(E157, ChestType!$A$5:$B$195, 2, 0), "Others"))</f>
        <v>Bank</v>
      </c>
    </row>
    <row r="158" spans="1:6" x14ac:dyDescent="0.25">
      <c r="A158" s="14">
        <v>46153.431250000001</v>
      </c>
      <c r="B158" s="81" t="s">
        <v>195</v>
      </c>
      <c r="C158" s="81" t="s">
        <v>209</v>
      </c>
      <c r="D158" s="81" t="s">
        <v>152</v>
      </c>
      <c r="E158" s="81" t="s">
        <v>24</v>
      </c>
      <c r="F158" s="81" t="str">
        <f>IF(E158="", "", IF(COUNTIF(ChestType!$A$5:$A$195, E158)&gt;0, VLOOKUP(E158, ChestType!$A$5:$B$195, 2, 0), "Others"))</f>
        <v>Bank</v>
      </c>
    </row>
    <row r="159" spans="1:6" x14ac:dyDescent="0.25">
      <c r="A159" s="14">
        <v>46153.431250000001</v>
      </c>
      <c r="B159" s="81" t="s">
        <v>195</v>
      </c>
      <c r="C159" s="81" t="s">
        <v>858</v>
      </c>
      <c r="D159" s="81" t="s">
        <v>855</v>
      </c>
      <c r="E159" s="81" t="s">
        <v>24</v>
      </c>
      <c r="F159" s="81" t="str">
        <f>IF(E159="", "", IF(COUNTIF(ChestType!$A$5:$A$195, E159)&gt;0, VLOOKUP(E159, ChestType!$A$5:$B$195, 2, 0), "Others"))</f>
        <v>Bank</v>
      </c>
    </row>
    <row r="160" spans="1:6" x14ac:dyDescent="0.25">
      <c r="A160" s="14">
        <v>46153.431250000001</v>
      </c>
      <c r="B160" s="81" t="s">
        <v>195</v>
      </c>
      <c r="C160" s="81" t="s">
        <v>858</v>
      </c>
      <c r="D160" s="81" t="s">
        <v>855</v>
      </c>
      <c r="E160" s="81" t="s">
        <v>24</v>
      </c>
      <c r="F160" s="81" t="str">
        <f>IF(E160="", "", IF(COUNTIF(ChestType!$A$5:$A$195, E160)&gt;0, VLOOKUP(E160, ChestType!$A$5:$B$195, 2, 0), "Others"))</f>
        <v>Bank</v>
      </c>
    </row>
    <row r="161" spans="1:6" x14ac:dyDescent="0.25">
      <c r="A161" s="14">
        <v>46153.431250000001</v>
      </c>
      <c r="B161" s="81" t="s">
        <v>195</v>
      </c>
      <c r="C161" s="81" t="s">
        <v>858</v>
      </c>
      <c r="D161" s="81" t="s">
        <v>855</v>
      </c>
      <c r="E161" s="81" t="s">
        <v>24</v>
      </c>
      <c r="F161" s="81" t="str">
        <f>IF(E161="", "", IF(COUNTIF(ChestType!$A$5:$A$195, E161)&gt;0, VLOOKUP(E161, ChestType!$A$5:$B$195, 2, 0), "Others"))</f>
        <v>Bank</v>
      </c>
    </row>
    <row r="162" spans="1:6" x14ac:dyDescent="0.25">
      <c r="A162" s="14">
        <v>46153.431250000001</v>
      </c>
      <c r="B162" s="81" t="s">
        <v>195</v>
      </c>
      <c r="C162" s="81" t="s">
        <v>198</v>
      </c>
      <c r="D162" s="81" t="s">
        <v>856</v>
      </c>
      <c r="E162" s="81" t="s">
        <v>24</v>
      </c>
      <c r="F162" s="81" t="str">
        <f>IF(E162="", "", IF(COUNTIF(ChestType!$A$5:$A$195, E162)&gt;0, VLOOKUP(E162, ChestType!$A$5:$B$195, 2, 0), "Others"))</f>
        <v>Bank</v>
      </c>
    </row>
    <row r="163" spans="1:6" x14ac:dyDescent="0.25">
      <c r="A163" s="14">
        <v>46153.431250000001</v>
      </c>
      <c r="B163" s="81" t="s">
        <v>195</v>
      </c>
      <c r="C163" s="81" t="s">
        <v>198</v>
      </c>
      <c r="D163" s="81" t="s">
        <v>856</v>
      </c>
      <c r="E163" s="81" t="s">
        <v>24</v>
      </c>
      <c r="F163" s="81" t="str">
        <f>IF(E163="", "", IF(COUNTIF(ChestType!$A$5:$A$195, E163)&gt;0, VLOOKUP(E163, ChestType!$A$5:$B$195, 2, 0), "Others"))</f>
        <v>Bank</v>
      </c>
    </row>
    <row r="164" spans="1:6" x14ac:dyDescent="0.25">
      <c r="A164" s="14">
        <v>46153.431250000001</v>
      </c>
      <c r="B164" s="81" t="s">
        <v>195</v>
      </c>
      <c r="C164" s="81" t="s">
        <v>198</v>
      </c>
      <c r="D164" s="81" t="s">
        <v>856</v>
      </c>
      <c r="E164" s="81" t="s">
        <v>24</v>
      </c>
      <c r="F164" s="81" t="str">
        <f>IF(E164="", "", IF(COUNTIF(ChestType!$A$5:$A$195, E164)&gt;0, VLOOKUP(E164, ChestType!$A$5:$B$195, 2, 0), "Others"))</f>
        <v>Bank</v>
      </c>
    </row>
    <row r="165" spans="1:6" x14ac:dyDescent="0.25">
      <c r="A165" s="14">
        <v>46153.431250000001</v>
      </c>
      <c r="B165" s="81" t="s">
        <v>195</v>
      </c>
      <c r="C165" s="81" t="s">
        <v>198</v>
      </c>
      <c r="D165" s="81" t="s">
        <v>856</v>
      </c>
      <c r="E165" s="81" t="s">
        <v>24</v>
      </c>
      <c r="F165" s="81" t="str">
        <f>IF(E165="", "", IF(COUNTIF(ChestType!$A$5:$A$195, E165)&gt;0, VLOOKUP(E165, ChestType!$A$5:$B$195, 2, 0), "Others"))</f>
        <v>Bank</v>
      </c>
    </row>
    <row r="166" spans="1:6" x14ac:dyDescent="0.25">
      <c r="A166" s="14">
        <v>46153.431250000001</v>
      </c>
      <c r="B166" s="81" t="s">
        <v>195</v>
      </c>
      <c r="C166" s="81" t="s">
        <v>198</v>
      </c>
      <c r="D166" s="81" t="s">
        <v>856</v>
      </c>
      <c r="E166" s="81" t="s">
        <v>24</v>
      </c>
      <c r="F166" s="81" t="str">
        <f>IF(E166="", "", IF(COUNTIF(ChestType!$A$5:$A$195, E166)&gt;0, VLOOKUP(E166, ChestType!$A$5:$B$195, 2, 0), "Others"))</f>
        <v>Bank</v>
      </c>
    </row>
    <row r="167" spans="1:6" x14ac:dyDescent="0.25">
      <c r="A167" s="14">
        <v>46153.431250000001</v>
      </c>
      <c r="B167" s="81" t="s">
        <v>195</v>
      </c>
      <c r="C167" s="81" t="s">
        <v>198</v>
      </c>
      <c r="D167" s="81" t="s">
        <v>856</v>
      </c>
      <c r="E167" s="81" t="s">
        <v>24</v>
      </c>
      <c r="F167" s="81" t="str">
        <f>IF(E167="", "", IF(COUNTIF(ChestType!$A$5:$A$195, E167)&gt;0, VLOOKUP(E167, ChestType!$A$5:$B$195, 2, 0), "Others"))</f>
        <v>Bank</v>
      </c>
    </row>
    <row r="168" spans="1:6" x14ac:dyDescent="0.25">
      <c r="A168" s="14">
        <v>46153.431250000001</v>
      </c>
      <c r="B168" s="81" t="s">
        <v>195</v>
      </c>
      <c r="C168" s="81" t="s">
        <v>198</v>
      </c>
      <c r="D168" s="81" t="s">
        <v>555</v>
      </c>
      <c r="E168" s="81" t="s">
        <v>24</v>
      </c>
      <c r="F168" s="81" t="str">
        <f>IF(E168="", "", IF(COUNTIF(ChestType!$A$5:$A$195, E168)&gt;0, VLOOKUP(E168, ChestType!$A$5:$B$195, 2, 0), "Others"))</f>
        <v>Bank</v>
      </c>
    </row>
    <row r="169" spans="1:6" x14ac:dyDescent="0.25">
      <c r="A169" s="14">
        <v>46153.431250000001</v>
      </c>
      <c r="B169" s="81" t="s">
        <v>195</v>
      </c>
      <c r="C169" s="81" t="s">
        <v>198</v>
      </c>
      <c r="D169" s="81" t="s">
        <v>555</v>
      </c>
      <c r="E169" s="81" t="s">
        <v>24</v>
      </c>
      <c r="F169" s="81" t="str">
        <f>IF(E169="", "", IF(COUNTIF(ChestType!$A$5:$A$195, E169)&gt;0, VLOOKUP(E169, ChestType!$A$5:$B$195, 2, 0), "Others"))</f>
        <v>Bank</v>
      </c>
    </row>
    <row r="170" spans="1:6" x14ac:dyDescent="0.25">
      <c r="A170" s="14">
        <v>46153.431250000001</v>
      </c>
      <c r="B170" s="81" t="s">
        <v>195</v>
      </c>
      <c r="C170" s="81" t="s">
        <v>198</v>
      </c>
      <c r="D170" s="81" t="s">
        <v>555</v>
      </c>
      <c r="E170" s="81" t="s">
        <v>24</v>
      </c>
      <c r="F170" s="81" t="str">
        <f>IF(E170="", "", IF(COUNTIF(ChestType!$A$5:$A$195, E170)&gt;0, VLOOKUP(E170, ChestType!$A$5:$B$195, 2, 0), "Others"))</f>
        <v>Bank</v>
      </c>
    </row>
    <row r="171" spans="1:6" x14ac:dyDescent="0.25">
      <c r="A171" s="14">
        <v>46153.431250000001</v>
      </c>
      <c r="B171" s="81" t="s">
        <v>195</v>
      </c>
      <c r="C171" s="81" t="s">
        <v>196</v>
      </c>
      <c r="D171" s="81" t="s">
        <v>856</v>
      </c>
      <c r="E171" s="81" t="s">
        <v>24</v>
      </c>
      <c r="F171" s="81" t="str">
        <f>IF(E171="", "", IF(COUNTIF(ChestType!$A$5:$A$195, E171)&gt;0, VLOOKUP(E171, ChestType!$A$5:$B$195, 2, 0), "Others"))</f>
        <v>Bank</v>
      </c>
    </row>
    <row r="172" spans="1:6" x14ac:dyDescent="0.25">
      <c r="A172" s="14">
        <v>46153.431250000001</v>
      </c>
      <c r="B172" s="81" t="s">
        <v>195</v>
      </c>
      <c r="C172" s="81" t="s">
        <v>196</v>
      </c>
      <c r="D172" s="81" t="s">
        <v>856</v>
      </c>
      <c r="E172" s="81" t="s">
        <v>24</v>
      </c>
      <c r="F172" s="81" t="str">
        <f>IF(E172="", "", IF(COUNTIF(ChestType!$A$5:$A$195, E172)&gt;0, VLOOKUP(E172, ChestType!$A$5:$B$195, 2, 0), "Others"))</f>
        <v>Bank</v>
      </c>
    </row>
    <row r="173" spans="1:6" x14ac:dyDescent="0.25">
      <c r="A173" s="14">
        <v>46153.431250000001</v>
      </c>
      <c r="B173" s="81" t="s">
        <v>195</v>
      </c>
      <c r="C173" s="81" t="s">
        <v>196</v>
      </c>
      <c r="D173" s="81" t="s">
        <v>856</v>
      </c>
      <c r="E173" s="81" t="s">
        <v>24</v>
      </c>
      <c r="F173" s="81" t="str">
        <f>IF(E173="", "", IF(COUNTIF(ChestType!$A$5:$A$195, E173)&gt;0, VLOOKUP(E173, ChestType!$A$5:$B$195, 2, 0), "Others"))</f>
        <v>Bank</v>
      </c>
    </row>
    <row r="174" spans="1:6" x14ac:dyDescent="0.25">
      <c r="A174" s="14">
        <v>46153.431250000001</v>
      </c>
      <c r="B174" s="81" t="s">
        <v>195</v>
      </c>
      <c r="C174" s="81" t="s">
        <v>196</v>
      </c>
      <c r="D174" s="81" t="s">
        <v>856</v>
      </c>
      <c r="E174" s="81" t="s">
        <v>24</v>
      </c>
      <c r="F174" s="81" t="str">
        <f>IF(E174="", "", IF(COUNTIF(ChestType!$A$5:$A$195, E174)&gt;0, VLOOKUP(E174, ChestType!$A$5:$B$195, 2, 0), "Others"))</f>
        <v>Bank</v>
      </c>
    </row>
    <row r="175" spans="1:6" x14ac:dyDescent="0.25">
      <c r="A175" s="14">
        <v>46153.431250000001</v>
      </c>
      <c r="B175" s="81" t="s">
        <v>195</v>
      </c>
      <c r="C175" s="81" t="s">
        <v>196</v>
      </c>
      <c r="D175" s="81" t="s">
        <v>856</v>
      </c>
      <c r="E175" s="81" t="s">
        <v>24</v>
      </c>
      <c r="F175" s="81" t="str">
        <f>IF(E175="", "", IF(COUNTIF(ChestType!$A$5:$A$195, E175)&gt;0, VLOOKUP(E175, ChestType!$A$5:$B$195, 2, 0), "Others"))</f>
        <v>Bank</v>
      </c>
    </row>
    <row r="176" spans="1:6" x14ac:dyDescent="0.25">
      <c r="A176" s="14">
        <v>46153.431250000001</v>
      </c>
      <c r="B176" s="81" t="s">
        <v>195</v>
      </c>
      <c r="C176" s="81" t="s">
        <v>196</v>
      </c>
      <c r="D176" s="81" t="s">
        <v>856</v>
      </c>
      <c r="E176" s="81" t="s">
        <v>24</v>
      </c>
      <c r="F176" s="81" t="str">
        <f>IF(E176="", "", IF(COUNTIF(ChestType!$A$5:$A$195, E176)&gt;0, VLOOKUP(E176, ChestType!$A$5:$B$195, 2, 0), "Others"))</f>
        <v>Bank</v>
      </c>
    </row>
    <row r="177" spans="1:6" x14ac:dyDescent="0.25">
      <c r="A177" s="14">
        <v>46153.431250000001</v>
      </c>
      <c r="B177" s="81" t="s">
        <v>195</v>
      </c>
      <c r="C177" s="81" t="s">
        <v>197</v>
      </c>
      <c r="D177" s="81" t="s">
        <v>856</v>
      </c>
      <c r="E177" s="81" t="s">
        <v>24</v>
      </c>
      <c r="F177" s="81" t="str">
        <f>IF(E177="", "", IF(COUNTIF(ChestType!$A$5:$A$195, E177)&gt;0, VLOOKUP(E177, ChestType!$A$5:$B$195, 2, 0), "Others"))</f>
        <v>Bank</v>
      </c>
    </row>
    <row r="178" spans="1:6" x14ac:dyDescent="0.25">
      <c r="A178" s="14">
        <v>46153.431250000001</v>
      </c>
      <c r="B178" s="81" t="s">
        <v>195</v>
      </c>
      <c r="C178" s="81" t="s">
        <v>197</v>
      </c>
      <c r="D178" s="81" t="s">
        <v>856</v>
      </c>
      <c r="E178" s="81" t="s">
        <v>24</v>
      </c>
      <c r="F178" s="81" t="str">
        <f>IF(E178="", "", IF(COUNTIF(ChestType!$A$5:$A$195, E178)&gt;0, VLOOKUP(E178, ChestType!$A$5:$B$195, 2, 0), "Others"))</f>
        <v>Bank</v>
      </c>
    </row>
    <row r="179" spans="1:6" x14ac:dyDescent="0.25">
      <c r="A179" s="14">
        <v>46153.431250000001</v>
      </c>
      <c r="B179" s="81" t="s">
        <v>195</v>
      </c>
      <c r="C179" s="81" t="s">
        <v>197</v>
      </c>
      <c r="D179" s="81" t="s">
        <v>856</v>
      </c>
      <c r="E179" s="81" t="s">
        <v>24</v>
      </c>
      <c r="F179" s="81" t="str">
        <f>IF(E179="", "", IF(COUNTIF(ChestType!$A$5:$A$195, E179)&gt;0, VLOOKUP(E179, ChestType!$A$5:$B$195, 2, 0), "Others"))</f>
        <v>Bank</v>
      </c>
    </row>
    <row r="180" spans="1:6" x14ac:dyDescent="0.25">
      <c r="A180" s="14">
        <v>46153.431250000001</v>
      </c>
      <c r="B180" s="81" t="s">
        <v>195</v>
      </c>
      <c r="C180" s="81" t="s">
        <v>198</v>
      </c>
      <c r="D180" s="81" t="s">
        <v>268</v>
      </c>
      <c r="E180" s="81" t="s">
        <v>24</v>
      </c>
      <c r="F180" s="81" t="str">
        <f>IF(E180="", "", IF(COUNTIF(ChestType!$A$5:$A$195, E180)&gt;0, VLOOKUP(E180, ChestType!$A$5:$B$195, 2, 0), "Others"))</f>
        <v>Bank</v>
      </c>
    </row>
    <row r="181" spans="1:6" x14ac:dyDescent="0.25">
      <c r="A181" s="14">
        <v>46153.431250000001</v>
      </c>
      <c r="B181" s="81" t="s">
        <v>195</v>
      </c>
      <c r="C181" s="81" t="s">
        <v>198</v>
      </c>
      <c r="D181" s="81" t="s">
        <v>268</v>
      </c>
      <c r="E181" s="81" t="s">
        <v>24</v>
      </c>
      <c r="F181" s="81" t="str">
        <f>IF(E181="", "", IF(COUNTIF(ChestType!$A$5:$A$195, E181)&gt;0, VLOOKUP(E181, ChestType!$A$5:$B$195, 2, 0), "Others"))</f>
        <v>Bank</v>
      </c>
    </row>
    <row r="182" spans="1:6" x14ac:dyDescent="0.25">
      <c r="A182" s="14">
        <v>46153.431250000001</v>
      </c>
      <c r="B182" s="81" t="s">
        <v>195</v>
      </c>
      <c r="C182" s="81" t="s">
        <v>198</v>
      </c>
      <c r="D182" s="81" t="s">
        <v>268</v>
      </c>
      <c r="E182" s="81" t="s">
        <v>24</v>
      </c>
      <c r="F182" s="81" t="str">
        <f>IF(E182="", "", IF(COUNTIF(ChestType!$A$5:$A$195, E182)&gt;0, VLOOKUP(E182, ChestType!$A$5:$B$195, 2, 0), "Others"))</f>
        <v>Bank</v>
      </c>
    </row>
    <row r="183" spans="1:6" x14ac:dyDescent="0.25">
      <c r="A183" s="14">
        <v>46153.431250000001</v>
      </c>
      <c r="B183" s="81" t="s">
        <v>195</v>
      </c>
      <c r="C183" s="81" t="s">
        <v>198</v>
      </c>
      <c r="D183" s="81" t="s">
        <v>268</v>
      </c>
      <c r="E183" s="81" t="s">
        <v>24</v>
      </c>
      <c r="F183" s="81" t="str">
        <f>IF(E183="", "", IF(COUNTIF(ChestType!$A$5:$A$195, E183)&gt;0, VLOOKUP(E183, ChestType!$A$5:$B$195, 2, 0), "Others"))</f>
        <v>Bank</v>
      </c>
    </row>
    <row r="184" spans="1:6" x14ac:dyDescent="0.25">
      <c r="A184" s="14">
        <v>46153.431250000001</v>
      </c>
      <c r="B184" s="81" t="s">
        <v>195</v>
      </c>
      <c r="C184" s="81" t="s">
        <v>198</v>
      </c>
      <c r="D184" s="81" t="s">
        <v>268</v>
      </c>
      <c r="E184" s="81" t="s">
        <v>24</v>
      </c>
      <c r="F184" s="81" t="str">
        <f>IF(E184="", "", IF(COUNTIF(ChestType!$A$5:$A$195, E184)&gt;0, VLOOKUP(E184, ChestType!$A$5:$B$195, 2, 0), "Others"))</f>
        <v>Bank</v>
      </c>
    </row>
    <row r="185" spans="1:6" x14ac:dyDescent="0.25">
      <c r="A185" s="14">
        <v>46153.431250000001</v>
      </c>
      <c r="B185" s="81" t="s">
        <v>195</v>
      </c>
      <c r="C185" s="81" t="s">
        <v>198</v>
      </c>
      <c r="D185" s="81" t="s">
        <v>268</v>
      </c>
      <c r="E185" s="81" t="s">
        <v>24</v>
      </c>
      <c r="F185" s="81" t="str">
        <f>IF(E185="", "", IF(COUNTIF(ChestType!$A$5:$A$195, E185)&gt;0, VLOOKUP(E185, ChestType!$A$5:$B$195, 2, 0), "Others"))</f>
        <v>Bank</v>
      </c>
    </row>
    <row r="186" spans="1:6" x14ac:dyDescent="0.25">
      <c r="A186" s="14">
        <v>46153.431250000001</v>
      </c>
      <c r="B186" s="81" t="s">
        <v>195</v>
      </c>
      <c r="C186" s="81" t="s">
        <v>858</v>
      </c>
      <c r="D186" s="81" t="s">
        <v>855</v>
      </c>
      <c r="E186" s="81" t="s">
        <v>24</v>
      </c>
      <c r="F186" s="81" t="str">
        <f>IF(E186="", "", IF(COUNTIF(ChestType!$A$5:$A$195, E186)&gt;0, VLOOKUP(E186, ChestType!$A$5:$B$195, 2, 0), "Others"))</f>
        <v>Bank</v>
      </c>
    </row>
    <row r="187" spans="1:6" x14ac:dyDescent="0.25">
      <c r="A187" s="14">
        <v>46153.431250000001</v>
      </c>
      <c r="B187" s="81" t="s">
        <v>195</v>
      </c>
      <c r="C187" s="81" t="s">
        <v>858</v>
      </c>
      <c r="D187" s="81" t="s">
        <v>855</v>
      </c>
      <c r="E187" s="81" t="s">
        <v>24</v>
      </c>
      <c r="F187" s="81" t="str">
        <f>IF(E187="", "", IF(COUNTIF(ChestType!$A$5:$A$195, E187)&gt;0, VLOOKUP(E187, ChestType!$A$5:$B$195, 2, 0), "Others"))</f>
        <v>Bank</v>
      </c>
    </row>
    <row r="188" spans="1:6" x14ac:dyDescent="0.25">
      <c r="A188" s="14">
        <v>46153.431250000001</v>
      </c>
      <c r="B188" s="81" t="s">
        <v>195</v>
      </c>
      <c r="C188" s="81" t="s">
        <v>858</v>
      </c>
      <c r="D188" s="81" t="s">
        <v>855</v>
      </c>
      <c r="E188" s="81" t="s">
        <v>24</v>
      </c>
      <c r="F188" s="81" t="str">
        <f>IF(E188="", "", IF(COUNTIF(ChestType!$A$5:$A$195, E188)&gt;0, VLOOKUP(E188, ChestType!$A$5:$B$195, 2, 0), "Others"))</f>
        <v>Bank</v>
      </c>
    </row>
    <row r="189" spans="1:6" x14ac:dyDescent="0.25">
      <c r="A189" s="14">
        <v>46153.647222222222</v>
      </c>
      <c r="B189" s="81" t="s">
        <v>149</v>
      </c>
      <c r="C189" s="81" t="s">
        <v>182</v>
      </c>
      <c r="D189" s="81" t="s">
        <v>157</v>
      </c>
      <c r="E189" s="81" t="s">
        <v>50</v>
      </c>
      <c r="F189" s="81" t="str">
        <f>IF(E189="", "", IF(COUNTIF(ChestType!$A$5:$A$195, E189)&gt;0, VLOOKUP(E189, ChestType!$A$5:$B$195, 2, 0), "Others"))</f>
        <v>L10 Crypt</v>
      </c>
    </row>
    <row r="190" spans="1:6" x14ac:dyDescent="0.25">
      <c r="A190" s="14">
        <v>46153.647222222222</v>
      </c>
      <c r="B190" s="81" t="s">
        <v>149</v>
      </c>
      <c r="C190" s="81" t="s">
        <v>173</v>
      </c>
      <c r="D190" s="81" t="s">
        <v>257</v>
      </c>
      <c r="E190" s="81" t="s">
        <v>50</v>
      </c>
      <c r="F190" s="81" t="str">
        <f>IF(E190="", "", IF(COUNTIF(ChestType!$A$5:$A$195, E190)&gt;0, VLOOKUP(E190, ChestType!$A$5:$B$195, 2, 0), "Others"))</f>
        <v>L10 Crypt</v>
      </c>
    </row>
    <row r="191" spans="1:6" x14ac:dyDescent="0.25">
      <c r="A191" s="14">
        <v>46153.647222222222</v>
      </c>
      <c r="B191" s="81" t="s">
        <v>149</v>
      </c>
      <c r="C191" s="81" t="s">
        <v>176</v>
      </c>
      <c r="D191" s="81" t="s">
        <v>259</v>
      </c>
      <c r="E191" s="81" t="s">
        <v>70</v>
      </c>
      <c r="F191" s="81" t="str">
        <f>IF(E191="", "", IF(COUNTIF(ChestType!$A$5:$A$195, E191)&gt;0, VLOOKUP(E191, ChestType!$A$5:$B$195, 2, 0), "Others"))</f>
        <v>L10 Citadel</v>
      </c>
    </row>
    <row r="192" spans="1:6" x14ac:dyDescent="0.25">
      <c r="A192" s="14">
        <v>46153.647222222222</v>
      </c>
      <c r="B192" s="81" t="s">
        <v>149</v>
      </c>
      <c r="C192" s="81" t="s">
        <v>158</v>
      </c>
      <c r="D192" s="81" t="s">
        <v>179</v>
      </c>
      <c r="E192" s="81" t="s">
        <v>50</v>
      </c>
      <c r="F192" s="81" t="str">
        <f>IF(E192="", "", IF(COUNTIF(ChestType!$A$5:$A$195, E192)&gt;0, VLOOKUP(E192, ChestType!$A$5:$B$195, 2, 0), "Others"))</f>
        <v>L10 Crypt</v>
      </c>
    </row>
    <row r="193" spans="1:6" x14ac:dyDescent="0.25">
      <c r="A193" s="14">
        <v>46153.647222222222</v>
      </c>
      <c r="B193" s="81" t="s">
        <v>149</v>
      </c>
      <c r="C193" s="81" t="s">
        <v>151</v>
      </c>
      <c r="D193" s="81" t="s">
        <v>179</v>
      </c>
      <c r="E193" s="81" t="s">
        <v>50</v>
      </c>
      <c r="F193" s="81" t="str">
        <f>IF(E193="", "", IF(COUNTIF(ChestType!$A$5:$A$195, E193)&gt;0, VLOOKUP(E193, ChestType!$A$5:$B$195, 2, 0), "Others"))</f>
        <v>L10 Crypt</v>
      </c>
    </row>
    <row r="194" spans="1:6" x14ac:dyDescent="0.25">
      <c r="A194" s="14">
        <v>46153.647222222222</v>
      </c>
      <c r="B194" s="81" t="s">
        <v>149</v>
      </c>
      <c r="C194" s="81" t="s">
        <v>183</v>
      </c>
      <c r="D194" s="81" t="s">
        <v>254</v>
      </c>
      <c r="E194" s="81" t="s">
        <v>49</v>
      </c>
      <c r="F194" s="81" t="str">
        <f>IF(E194="", "", IF(COUNTIF(ChestType!$A$5:$A$195, E194)&gt;0, VLOOKUP(E194, ChestType!$A$5:$B$195, 2, 0), "Others"))</f>
        <v>L15 Crypt</v>
      </c>
    </row>
    <row r="195" spans="1:6" x14ac:dyDescent="0.25">
      <c r="A195" s="14">
        <v>46153.647222222222</v>
      </c>
      <c r="B195" s="81" t="s">
        <v>149</v>
      </c>
      <c r="C195" s="81" t="s">
        <v>187</v>
      </c>
      <c r="D195" s="81" t="s">
        <v>254</v>
      </c>
      <c r="E195" s="81" t="s">
        <v>71</v>
      </c>
      <c r="F195" s="81" t="str">
        <f>IF(E195="", "", IF(COUNTIF(ChestType!$A$5:$A$195, E195)&gt;0, VLOOKUP(E195, ChestType!$A$5:$B$195, 2, 0), "Others"))</f>
        <v>L15 Rare Crypt</v>
      </c>
    </row>
    <row r="196" spans="1:6" x14ac:dyDescent="0.25">
      <c r="A196" s="14">
        <v>46153.647222222222</v>
      </c>
      <c r="B196" s="81" t="s">
        <v>149</v>
      </c>
      <c r="C196" s="81" t="s">
        <v>220</v>
      </c>
      <c r="D196" s="81" t="s">
        <v>157</v>
      </c>
      <c r="E196" s="81" t="s">
        <v>64</v>
      </c>
      <c r="F196" s="81" t="str">
        <f>IF(E196="", "", IF(COUNTIF(ChestType!$A$5:$A$195, E196)&gt;0, VLOOKUP(E196, ChestType!$A$5:$B$195, 2, 0), "Others"))</f>
        <v>L15 Epic Crypt</v>
      </c>
    </row>
    <row r="197" spans="1:6" x14ac:dyDescent="0.25">
      <c r="A197" s="14">
        <v>46153.647222222222</v>
      </c>
      <c r="B197" s="81" t="s">
        <v>149</v>
      </c>
      <c r="C197" s="81" t="s">
        <v>182</v>
      </c>
      <c r="D197" s="81" t="s">
        <v>179</v>
      </c>
      <c r="E197" s="81" t="s">
        <v>50</v>
      </c>
      <c r="F197" s="81" t="str">
        <f>IF(E197="", "", IF(COUNTIF(ChestType!$A$5:$A$195, E197)&gt;0, VLOOKUP(E197, ChestType!$A$5:$B$195, 2, 0), "Others"))</f>
        <v>L10 Crypt</v>
      </c>
    </row>
    <row r="198" spans="1:6" x14ac:dyDescent="0.25">
      <c r="A198" s="14">
        <v>46153.647222222222</v>
      </c>
      <c r="B198" s="81" t="s">
        <v>149</v>
      </c>
      <c r="C198" s="81" t="s">
        <v>187</v>
      </c>
      <c r="D198" s="81" t="s">
        <v>254</v>
      </c>
      <c r="E198" s="81" t="s">
        <v>71</v>
      </c>
      <c r="F198" s="81" t="str">
        <f>IF(E198="", "", IF(COUNTIF(ChestType!$A$5:$A$195, E198)&gt;0, VLOOKUP(E198, ChestType!$A$5:$B$195, 2, 0), "Others"))</f>
        <v>L15 Rare Crypt</v>
      </c>
    </row>
    <row r="199" spans="1:6" x14ac:dyDescent="0.25">
      <c r="A199" s="14">
        <v>46153.647222222222</v>
      </c>
      <c r="B199" s="81" t="s">
        <v>149</v>
      </c>
      <c r="C199" s="81" t="s">
        <v>177</v>
      </c>
      <c r="D199" s="81" t="s">
        <v>254</v>
      </c>
      <c r="E199" s="81" t="s">
        <v>49</v>
      </c>
      <c r="F199" s="81" t="str">
        <f>IF(E199="", "", IF(COUNTIF(ChestType!$A$5:$A$195, E199)&gt;0, VLOOKUP(E199, ChestType!$A$5:$B$195, 2, 0), "Others"))</f>
        <v>L15 Crypt</v>
      </c>
    </row>
    <row r="200" spans="1:6" x14ac:dyDescent="0.25">
      <c r="A200" s="14">
        <v>46153.647222222222</v>
      </c>
      <c r="B200" s="81" t="s">
        <v>149</v>
      </c>
      <c r="C200" s="81" t="s">
        <v>173</v>
      </c>
      <c r="D200" s="81" t="s">
        <v>253</v>
      </c>
      <c r="E200" s="81" t="s">
        <v>50</v>
      </c>
      <c r="F200" s="81" t="str">
        <f>IF(E200="", "", IF(COUNTIF(ChestType!$A$5:$A$195, E200)&gt;0, VLOOKUP(E200, ChestType!$A$5:$B$195, 2, 0), "Others"))</f>
        <v>L10 Crypt</v>
      </c>
    </row>
    <row r="201" spans="1:6" x14ac:dyDescent="0.25">
      <c r="A201" s="14">
        <v>46153.647222222222</v>
      </c>
      <c r="B201" s="81" t="s">
        <v>149</v>
      </c>
      <c r="C201" s="81" t="s">
        <v>173</v>
      </c>
      <c r="D201" s="81" t="s">
        <v>152</v>
      </c>
      <c r="E201" s="81" t="s">
        <v>49</v>
      </c>
      <c r="F201" s="81" t="str">
        <f>IF(E201="", "", IF(COUNTIF(ChestType!$A$5:$A$195, E201)&gt;0, VLOOKUP(E201, ChestType!$A$5:$B$195, 2, 0), "Others"))</f>
        <v>L15 Crypt</v>
      </c>
    </row>
    <row r="202" spans="1:6" x14ac:dyDescent="0.25">
      <c r="A202" s="14">
        <v>46153.647222222222</v>
      </c>
      <c r="B202" s="81" t="s">
        <v>149</v>
      </c>
      <c r="C202" s="81" t="s">
        <v>171</v>
      </c>
      <c r="D202" s="81" t="s">
        <v>179</v>
      </c>
      <c r="E202" s="81" t="s">
        <v>50</v>
      </c>
      <c r="F202" s="81" t="str">
        <f>IF(E202="", "", IF(COUNTIF(ChestType!$A$5:$A$195, E202)&gt;0, VLOOKUP(E202, ChestType!$A$5:$B$195, 2, 0), "Others"))</f>
        <v>L10 Crypt</v>
      </c>
    </row>
    <row r="203" spans="1:6" x14ac:dyDescent="0.25">
      <c r="A203" s="14">
        <v>46153.647222222222</v>
      </c>
      <c r="B203" s="81" t="s">
        <v>149</v>
      </c>
      <c r="C203" s="81" t="s">
        <v>184</v>
      </c>
      <c r="D203" s="81" t="s">
        <v>179</v>
      </c>
      <c r="E203" s="81" t="s">
        <v>50</v>
      </c>
      <c r="F203" s="81" t="str">
        <f>IF(E203="", "", IF(COUNTIF(ChestType!$A$5:$A$195, E203)&gt;0, VLOOKUP(E203, ChestType!$A$5:$B$195, 2, 0), "Others"))</f>
        <v>L10 Crypt</v>
      </c>
    </row>
    <row r="204" spans="1:6" x14ac:dyDescent="0.25">
      <c r="A204" s="14">
        <v>46153.647222222222</v>
      </c>
      <c r="B204" s="81" t="s">
        <v>149</v>
      </c>
      <c r="C204" s="81" t="s">
        <v>181</v>
      </c>
      <c r="D204" s="81" t="s">
        <v>253</v>
      </c>
      <c r="E204" s="81" t="s">
        <v>52</v>
      </c>
      <c r="F204" s="81" t="str">
        <f>IF(E204="", "", IF(COUNTIF(ChestType!$A$5:$A$195, E204)&gt;0, VLOOKUP(E204, ChestType!$A$5:$B$195, 2, 0), "Others"))</f>
        <v>L5 Crypt</v>
      </c>
    </row>
    <row r="205" spans="1:6" x14ac:dyDescent="0.25">
      <c r="A205" s="14">
        <v>46153.647222222222</v>
      </c>
      <c r="B205" s="81" t="s">
        <v>149</v>
      </c>
      <c r="C205" s="81" t="s">
        <v>151</v>
      </c>
      <c r="D205" s="81" t="s">
        <v>269</v>
      </c>
      <c r="E205" s="81" t="s">
        <v>50</v>
      </c>
      <c r="F205" s="81" t="str">
        <f>IF(E205="", "", IF(COUNTIF(ChestType!$A$5:$A$195, E205)&gt;0, VLOOKUP(E205, ChestType!$A$5:$B$195, 2, 0), "Others"))</f>
        <v>L10 Crypt</v>
      </c>
    </row>
    <row r="206" spans="1:6" x14ac:dyDescent="0.25">
      <c r="A206" s="14">
        <v>46153.647222222222</v>
      </c>
      <c r="B206" s="81" t="s">
        <v>149</v>
      </c>
      <c r="C206" s="81" t="s">
        <v>177</v>
      </c>
      <c r="D206" s="81" t="s">
        <v>266</v>
      </c>
      <c r="E206" s="81" t="s">
        <v>50</v>
      </c>
      <c r="F206" s="81" t="str">
        <f>IF(E206="", "", IF(COUNTIF(ChestType!$A$5:$A$195, E206)&gt;0, VLOOKUP(E206, ChestType!$A$5:$B$195, 2, 0), "Others"))</f>
        <v>L10 Crypt</v>
      </c>
    </row>
    <row r="207" spans="1:6" x14ac:dyDescent="0.25">
      <c r="A207" s="14">
        <v>46153.647222222222</v>
      </c>
      <c r="B207" s="81" t="s">
        <v>149</v>
      </c>
      <c r="C207" s="81" t="s">
        <v>171</v>
      </c>
      <c r="D207" s="81" t="s">
        <v>246</v>
      </c>
      <c r="E207" s="81" t="s">
        <v>52</v>
      </c>
      <c r="F207" s="81" t="str">
        <f>IF(E207="", "", IF(COUNTIF(ChestType!$A$5:$A$195, E207)&gt;0, VLOOKUP(E207, ChestType!$A$5:$B$195, 2, 0), "Others"))</f>
        <v>L5 Crypt</v>
      </c>
    </row>
    <row r="208" spans="1:6" x14ac:dyDescent="0.25">
      <c r="A208" s="14">
        <v>46153.647222222222</v>
      </c>
      <c r="B208" s="81" t="s">
        <v>149</v>
      </c>
      <c r="C208" s="81" t="s">
        <v>175</v>
      </c>
      <c r="D208" s="81" t="s">
        <v>169</v>
      </c>
      <c r="E208" s="81" t="s">
        <v>52</v>
      </c>
      <c r="F208" s="81" t="str">
        <f>IF(E208="", "", IF(COUNTIF(ChestType!$A$5:$A$195, E208)&gt;0, VLOOKUP(E208, ChestType!$A$5:$B$195, 2, 0), "Others"))</f>
        <v>L5 Crypt</v>
      </c>
    </row>
    <row r="209" spans="1:6" x14ac:dyDescent="0.25">
      <c r="A209" s="14">
        <v>46153.647222222222</v>
      </c>
      <c r="B209" s="81" t="s">
        <v>149</v>
      </c>
      <c r="C209" s="81" t="s">
        <v>184</v>
      </c>
      <c r="D209" s="81" t="s">
        <v>266</v>
      </c>
      <c r="E209" s="81" t="s">
        <v>50</v>
      </c>
      <c r="F209" s="81" t="str">
        <f>IF(E209="", "", IF(COUNTIF(ChestType!$A$5:$A$195, E209)&gt;0, VLOOKUP(E209, ChestType!$A$5:$B$195, 2, 0), "Others"))</f>
        <v>L10 Crypt</v>
      </c>
    </row>
    <row r="210" spans="1:6" x14ac:dyDescent="0.25">
      <c r="A210" s="14">
        <v>46153.647222222222</v>
      </c>
      <c r="B210" s="81" t="s">
        <v>149</v>
      </c>
      <c r="C210" s="81" t="s">
        <v>178</v>
      </c>
      <c r="D210" s="81" t="s">
        <v>191</v>
      </c>
      <c r="E210" s="81" t="s">
        <v>137</v>
      </c>
      <c r="F210" s="81" t="str">
        <f>IF(E210="", "", IF(COUNTIF(ChestType!$A$5:$A$195, E210)&gt;0, VLOOKUP(E210, ChestType!$A$5:$B$195, 2, 0), "Others"))</f>
        <v>Others</v>
      </c>
    </row>
    <row r="211" spans="1:6" x14ac:dyDescent="0.25">
      <c r="A211" s="14">
        <v>46153.647222222222</v>
      </c>
      <c r="B211" s="81" t="s">
        <v>149</v>
      </c>
      <c r="C211" s="81" t="s">
        <v>171</v>
      </c>
      <c r="D211" s="81" t="s">
        <v>179</v>
      </c>
      <c r="E211" s="81" t="s">
        <v>50</v>
      </c>
      <c r="F211" s="81" t="str">
        <f>IF(E211="", "", IF(COUNTIF(ChestType!$A$5:$A$195, E211)&gt;0, VLOOKUP(E211, ChestType!$A$5:$B$195, 2, 0), "Others"))</f>
        <v>L10 Crypt</v>
      </c>
    </row>
    <row r="212" spans="1:6" x14ac:dyDescent="0.25">
      <c r="A212" s="14">
        <v>46153.647222222222</v>
      </c>
      <c r="B212" s="81" t="s">
        <v>149</v>
      </c>
      <c r="C212" s="81" t="s">
        <v>171</v>
      </c>
      <c r="D212" s="81" t="s">
        <v>266</v>
      </c>
      <c r="E212" s="81" t="s">
        <v>52</v>
      </c>
      <c r="F212" s="81" t="str">
        <f>IF(E212="", "", IF(COUNTIF(ChestType!$A$5:$A$195, E212)&gt;0, VLOOKUP(E212, ChestType!$A$5:$B$195, 2, 0), "Others"))</f>
        <v>L5 Crypt</v>
      </c>
    </row>
    <row r="213" spans="1:6" x14ac:dyDescent="0.25">
      <c r="A213" s="14">
        <v>46153.647222222222</v>
      </c>
      <c r="B213" s="81" t="s">
        <v>149</v>
      </c>
      <c r="C213" s="81" t="s">
        <v>184</v>
      </c>
      <c r="D213" s="81" t="s">
        <v>250</v>
      </c>
      <c r="E213" s="81" t="s">
        <v>52</v>
      </c>
      <c r="F213" s="81" t="str">
        <f>IF(E213="", "", IF(COUNTIF(ChestType!$A$5:$A$195, E213)&gt;0, VLOOKUP(E213, ChestType!$A$5:$B$195, 2, 0), "Others"))</f>
        <v>L5 Crypt</v>
      </c>
    </row>
    <row r="214" spans="1:6" x14ac:dyDescent="0.25">
      <c r="A214" s="14">
        <v>46153.647222222222</v>
      </c>
      <c r="B214" s="81" t="s">
        <v>149</v>
      </c>
      <c r="C214" s="81" t="s">
        <v>182</v>
      </c>
      <c r="D214" s="81" t="s">
        <v>266</v>
      </c>
      <c r="E214" s="81" t="s">
        <v>52</v>
      </c>
      <c r="F214" s="81" t="str">
        <f>IF(E214="", "", IF(COUNTIF(ChestType!$A$5:$A$195, E214)&gt;0, VLOOKUP(E214, ChestType!$A$5:$B$195, 2, 0), "Others"))</f>
        <v>L5 Crypt</v>
      </c>
    </row>
    <row r="215" spans="1:6" x14ac:dyDescent="0.25">
      <c r="A215" s="14">
        <v>46153.647222222222</v>
      </c>
      <c r="B215" s="81" t="s">
        <v>149</v>
      </c>
      <c r="C215" s="81" t="s">
        <v>171</v>
      </c>
      <c r="D215" s="81" t="s">
        <v>179</v>
      </c>
      <c r="E215" s="81" t="s">
        <v>50</v>
      </c>
      <c r="F215" s="81" t="str">
        <f>IF(E215="", "", IF(COUNTIF(ChestType!$A$5:$A$195, E215)&gt;0, VLOOKUP(E215, ChestType!$A$5:$B$195, 2, 0), "Others"))</f>
        <v>L10 Crypt</v>
      </c>
    </row>
    <row r="216" spans="1:6" x14ac:dyDescent="0.25">
      <c r="A216" s="14">
        <v>46153.647222222222</v>
      </c>
      <c r="B216" s="81" t="s">
        <v>149</v>
      </c>
      <c r="C216" s="81" t="s">
        <v>177</v>
      </c>
      <c r="D216" s="81" t="s">
        <v>179</v>
      </c>
      <c r="E216" s="81" t="s">
        <v>50</v>
      </c>
      <c r="F216" s="81" t="str">
        <f>IF(E216="", "", IF(COUNTIF(ChestType!$A$5:$A$195, E216)&gt;0, VLOOKUP(E216, ChestType!$A$5:$B$195, 2, 0), "Others"))</f>
        <v>L10 Crypt</v>
      </c>
    </row>
    <row r="217" spans="1:6" x14ac:dyDescent="0.25">
      <c r="A217" s="14">
        <v>46153.647222222222</v>
      </c>
      <c r="B217" s="81" t="s">
        <v>149</v>
      </c>
      <c r="C217" s="81" t="s">
        <v>182</v>
      </c>
      <c r="D217" s="81" t="s">
        <v>266</v>
      </c>
      <c r="E217" s="81" t="s">
        <v>50</v>
      </c>
      <c r="F217" s="81" t="str">
        <f>IF(E217="", "", IF(COUNTIF(ChestType!$A$5:$A$195, E217)&gt;0, VLOOKUP(E217, ChestType!$A$5:$B$195, 2, 0), "Others"))</f>
        <v>L10 Crypt</v>
      </c>
    </row>
    <row r="218" spans="1:6" x14ac:dyDescent="0.25">
      <c r="A218" s="14">
        <v>46153.647222222222</v>
      </c>
      <c r="B218" s="81" t="s">
        <v>149</v>
      </c>
      <c r="C218" s="81" t="s">
        <v>181</v>
      </c>
      <c r="D218" s="81" t="s">
        <v>162</v>
      </c>
      <c r="E218" s="81" t="s">
        <v>49</v>
      </c>
      <c r="F218" s="81" t="str">
        <f>IF(E218="", "", IF(COUNTIF(ChestType!$A$5:$A$195, E218)&gt;0, VLOOKUP(E218, ChestType!$A$5:$B$195, 2, 0), "Others"))</f>
        <v>L15 Crypt</v>
      </c>
    </row>
    <row r="219" spans="1:6" x14ac:dyDescent="0.25">
      <c r="A219" s="14">
        <v>46153.647222222222</v>
      </c>
      <c r="B219" s="81" t="s">
        <v>149</v>
      </c>
      <c r="C219" s="81" t="s">
        <v>840</v>
      </c>
      <c r="D219" s="81" t="s">
        <v>162</v>
      </c>
      <c r="E219" s="81" t="s">
        <v>64</v>
      </c>
      <c r="F219" s="81" t="str">
        <f>IF(E219="", "", IF(COUNTIF(ChestType!$A$5:$A$195, E219)&gt;0, VLOOKUP(E219, ChestType!$A$5:$B$195, 2, 0), "Others"))</f>
        <v>L15 Epic Crypt</v>
      </c>
    </row>
    <row r="220" spans="1:6" x14ac:dyDescent="0.25">
      <c r="A220" s="14">
        <v>46153.647222222222</v>
      </c>
      <c r="B220" s="81" t="s">
        <v>149</v>
      </c>
      <c r="C220" s="81" t="s">
        <v>175</v>
      </c>
      <c r="D220" s="81" t="s">
        <v>179</v>
      </c>
      <c r="E220" s="81" t="s">
        <v>50</v>
      </c>
      <c r="F220" s="81" t="str">
        <f>IF(E220="", "", IF(COUNTIF(ChestType!$A$5:$A$195, E220)&gt;0, VLOOKUP(E220, ChestType!$A$5:$B$195, 2, 0), "Others"))</f>
        <v>L10 Crypt</v>
      </c>
    </row>
    <row r="221" spans="1:6" x14ac:dyDescent="0.25">
      <c r="A221" s="14">
        <v>46153.647222222222</v>
      </c>
      <c r="B221" s="81" t="s">
        <v>149</v>
      </c>
      <c r="C221" s="81" t="s">
        <v>171</v>
      </c>
      <c r="D221" s="81" t="s">
        <v>191</v>
      </c>
      <c r="E221" s="81" t="s">
        <v>50</v>
      </c>
      <c r="F221" s="81" t="str">
        <f>IF(E221="", "", IF(COUNTIF(ChestType!$A$5:$A$195, E221)&gt;0, VLOOKUP(E221, ChestType!$A$5:$B$195, 2, 0), "Others"))</f>
        <v>L10 Crypt</v>
      </c>
    </row>
    <row r="222" spans="1:6" x14ac:dyDescent="0.25">
      <c r="A222" s="14">
        <v>46153.647222222222</v>
      </c>
      <c r="B222" s="81" t="s">
        <v>149</v>
      </c>
      <c r="C222" s="81" t="s">
        <v>228</v>
      </c>
      <c r="D222" s="81" t="s">
        <v>162</v>
      </c>
      <c r="E222" s="81" t="s">
        <v>64</v>
      </c>
      <c r="F222" s="81" t="str">
        <f>IF(E222="", "", IF(COUNTIF(ChestType!$A$5:$A$195, E222)&gt;0, VLOOKUP(E222, ChestType!$A$5:$B$195, 2, 0), "Others"))</f>
        <v>L15 Epic Crypt</v>
      </c>
    </row>
    <row r="223" spans="1:6" x14ac:dyDescent="0.25">
      <c r="A223" s="14">
        <v>46153.647222222222</v>
      </c>
      <c r="B223" s="81" t="s">
        <v>149</v>
      </c>
      <c r="C223" s="81" t="s">
        <v>228</v>
      </c>
      <c r="D223" s="81" t="s">
        <v>162</v>
      </c>
      <c r="E223" s="81" t="s">
        <v>64</v>
      </c>
      <c r="F223" s="81" t="str">
        <f>IF(E223="", "", IF(COUNTIF(ChestType!$A$5:$A$195, E223)&gt;0, VLOOKUP(E223, ChestType!$A$5:$B$195, 2, 0), "Others"))</f>
        <v>L15 Epic Crypt</v>
      </c>
    </row>
    <row r="224" spans="1:6" x14ac:dyDescent="0.25">
      <c r="A224" s="14">
        <v>46153.647222222222</v>
      </c>
      <c r="B224" s="81" t="s">
        <v>149</v>
      </c>
      <c r="C224" s="81" t="s">
        <v>181</v>
      </c>
      <c r="D224" s="81" t="s">
        <v>153</v>
      </c>
      <c r="E224" s="81" t="s">
        <v>50</v>
      </c>
      <c r="F224" s="81" t="str">
        <f>IF(E224="", "", IF(COUNTIF(ChestType!$A$5:$A$195, E224)&gt;0, VLOOKUP(E224, ChestType!$A$5:$B$195, 2, 0), "Others"))</f>
        <v>L10 Crypt</v>
      </c>
    </row>
    <row r="225" spans="1:6" x14ac:dyDescent="0.25">
      <c r="A225" s="14">
        <v>46153.647222222222</v>
      </c>
      <c r="B225" s="81" t="s">
        <v>149</v>
      </c>
      <c r="C225" s="81" t="s">
        <v>151</v>
      </c>
      <c r="D225" s="81" t="s">
        <v>153</v>
      </c>
      <c r="E225" s="81" t="s">
        <v>52</v>
      </c>
      <c r="F225" s="81" t="str">
        <f>IF(E225="", "", IF(COUNTIF(ChestType!$A$5:$A$195, E225)&gt;0, VLOOKUP(E225, ChestType!$A$5:$B$195, 2, 0), "Others"))</f>
        <v>L5 Crypt</v>
      </c>
    </row>
    <row r="226" spans="1:6" x14ac:dyDescent="0.25">
      <c r="A226" s="14">
        <v>46153.647222222222</v>
      </c>
      <c r="B226" s="81" t="s">
        <v>149</v>
      </c>
      <c r="C226" s="81" t="s">
        <v>840</v>
      </c>
      <c r="D226" s="81" t="s">
        <v>162</v>
      </c>
      <c r="E226" s="81" t="s">
        <v>64</v>
      </c>
      <c r="F226" s="81" t="str">
        <f>IF(E226="", "", IF(COUNTIF(ChestType!$A$5:$A$195, E226)&gt;0, VLOOKUP(E226, ChestType!$A$5:$B$195, 2, 0), "Others"))</f>
        <v>L15 Epic Crypt</v>
      </c>
    </row>
    <row r="227" spans="1:6" x14ac:dyDescent="0.25">
      <c r="A227" s="14">
        <v>46153.647222222222</v>
      </c>
      <c r="B227" s="81" t="s">
        <v>149</v>
      </c>
      <c r="C227" s="81" t="s">
        <v>151</v>
      </c>
      <c r="D227" s="81" t="s">
        <v>153</v>
      </c>
      <c r="E227" s="81" t="s">
        <v>52</v>
      </c>
      <c r="F227" s="81" t="str">
        <f>IF(E227="", "", IF(COUNTIF(ChestType!$A$5:$A$195, E227)&gt;0, VLOOKUP(E227, ChestType!$A$5:$B$195, 2, 0), "Others"))</f>
        <v>L5 Crypt</v>
      </c>
    </row>
    <row r="228" spans="1:6" x14ac:dyDescent="0.25">
      <c r="A228" s="14">
        <v>46153.647222222222</v>
      </c>
      <c r="B228" s="81" t="s">
        <v>149</v>
      </c>
      <c r="C228" s="81" t="s">
        <v>840</v>
      </c>
      <c r="D228" s="81" t="s">
        <v>162</v>
      </c>
      <c r="E228" s="81" t="s">
        <v>64</v>
      </c>
      <c r="F228" s="81" t="str">
        <f>IF(E228="", "", IF(COUNTIF(ChestType!$A$5:$A$195, E228)&gt;0, VLOOKUP(E228, ChestType!$A$5:$B$195, 2, 0), "Others"))</f>
        <v>L15 Epic Crypt</v>
      </c>
    </row>
    <row r="229" spans="1:6" x14ac:dyDescent="0.25">
      <c r="A229" s="14">
        <v>46153.647222222222</v>
      </c>
      <c r="B229" s="81" t="s">
        <v>149</v>
      </c>
      <c r="C229" s="81" t="s">
        <v>185</v>
      </c>
      <c r="D229" s="81" t="s">
        <v>193</v>
      </c>
      <c r="E229" s="81" t="s">
        <v>50</v>
      </c>
      <c r="F229" s="81" t="str">
        <f>IF(E229="", "", IF(COUNTIF(ChestType!$A$5:$A$195, E229)&gt;0, VLOOKUP(E229, ChestType!$A$5:$B$195, 2, 0), "Others"))</f>
        <v>L10 Crypt</v>
      </c>
    </row>
    <row r="230" spans="1:6" x14ac:dyDescent="0.25">
      <c r="A230" s="14">
        <v>46153.647222222222</v>
      </c>
      <c r="B230" s="81" t="s">
        <v>149</v>
      </c>
      <c r="C230" s="81" t="s">
        <v>215</v>
      </c>
      <c r="D230" s="81" t="s">
        <v>162</v>
      </c>
      <c r="E230" s="81" t="s">
        <v>64</v>
      </c>
      <c r="F230" s="81" t="str">
        <f>IF(E230="", "", IF(COUNTIF(ChestType!$A$5:$A$195, E230)&gt;0, VLOOKUP(E230, ChestType!$A$5:$B$195, 2, 0), "Others"))</f>
        <v>L15 Epic Crypt</v>
      </c>
    </row>
    <row r="231" spans="1:6" x14ac:dyDescent="0.25">
      <c r="A231" s="14">
        <v>46153.647222222222</v>
      </c>
      <c r="B231" s="81" t="s">
        <v>149</v>
      </c>
      <c r="C231" s="81" t="s">
        <v>151</v>
      </c>
      <c r="D231" s="81" t="s">
        <v>269</v>
      </c>
      <c r="E231" s="81" t="s">
        <v>52</v>
      </c>
      <c r="F231" s="81" t="str">
        <f>IF(E231="", "", IF(COUNTIF(ChestType!$A$5:$A$195, E231)&gt;0, VLOOKUP(E231, ChestType!$A$5:$B$195, 2, 0), "Others"))</f>
        <v>L5 Crypt</v>
      </c>
    </row>
    <row r="232" spans="1:6" x14ac:dyDescent="0.25">
      <c r="A232" s="14">
        <v>46153.647222222222</v>
      </c>
      <c r="B232" s="81" t="s">
        <v>149</v>
      </c>
      <c r="C232" s="81" t="s">
        <v>177</v>
      </c>
      <c r="D232" s="81" t="s">
        <v>266</v>
      </c>
      <c r="E232" s="81" t="s">
        <v>52</v>
      </c>
      <c r="F232" s="81" t="str">
        <f>IF(E232="", "", IF(COUNTIF(ChestType!$A$5:$A$195, E232)&gt;0, VLOOKUP(E232, ChestType!$A$5:$B$195, 2, 0), "Others"))</f>
        <v>L5 Crypt</v>
      </c>
    </row>
    <row r="233" spans="1:6" x14ac:dyDescent="0.25">
      <c r="A233" s="14">
        <v>46153.647222222222</v>
      </c>
      <c r="B233" s="81" t="s">
        <v>149</v>
      </c>
      <c r="C233" s="81" t="s">
        <v>217</v>
      </c>
      <c r="D233" s="81" t="s">
        <v>162</v>
      </c>
      <c r="E233" s="81" t="s">
        <v>64</v>
      </c>
      <c r="F233" s="81" t="str">
        <f>IF(E233="", "", IF(COUNTIF(ChestType!$A$5:$A$195, E233)&gt;0, VLOOKUP(E233, ChestType!$A$5:$B$195, 2, 0), "Others"))</f>
        <v>L15 Epic Crypt</v>
      </c>
    </row>
    <row r="234" spans="1:6" x14ac:dyDescent="0.25">
      <c r="A234" s="14">
        <v>46153.647222222222</v>
      </c>
      <c r="B234" s="81" t="s">
        <v>149</v>
      </c>
      <c r="C234" s="81" t="s">
        <v>171</v>
      </c>
      <c r="D234" s="81" t="s">
        <v>859</v>
      </c>
      <c r="E234" s="81" t="s">
        <v>50</v>
      </c>
      <c r="F234" s="81" t="str">
        <f>IF(E234="", "", IF(COUNTIF(ChestType!$A$5:$A$195, E234)&gt;0, VLOOKUP(E234, ChestType!$A$5:$B$195, 2, 0), "Others"))</f>
        <v>L10 Crypt</v>
      </c>
    </row>
    <row r="235" spans="1:6" x14ac:dyDescent="0.25">
      <c r="A235" s="14">
        <v>46153.647222222222</v>
      </c>
      <c r="B235" s="81" t="s">
        <v>149</v>
      </c>
      <c r="C235" s="81" t="s">
        <v>181</v>
      </c>
      <c r="D235" s="81" t="s">
        <v>860</v>
      </c>
      <c r="E235" s="81" t="s">
        <v>50</v>
      </c>
      <c r="F235" s="81" t="str">
        <f>IF(E235="", "", IF(COUNTIF(ChestType!$A$5:$A$195, E235)&gt;0, VLOOKUP(E235, ChestType!$A$5:$B$195, 2, 0), "Others"))</f>
        <v>L10 Crypt</v>
      </c>
    </row>
    <row r="236" spans="1:6" x14ac:dyDescent="0.25">
      <c r="A236" s="14">
        <v>46153.647222222222</v>
      </c>
      <c r="B236" s="81" t="s">
        <v>149</v>
      </c>
      <c r="C236" s="81" t="s">
        <v>184</v>
      </c>
      <c r="D236" s="81" t="s">
        <v>860</v>
      </c>
      <c r="E236" s="81" t="s">
        <v>50</v>
      </c>
      <c r="F236" s="81" t="str">
        <f>IF(E236="", "", IF(COUNTIF(ChestType!$A$5:$A$195, E236)&gt;0, VLOOKUP(E236, ChestType!$A$5:$B$195, 2, 0), "Others"))</f>
        <v>L10 Crypt</v>
      </c>
    </row>
    <row r="237" spans="1:6" x14ac:dyDescent="0.25">
      <c r="A237" s="14">
        <v>46153.647222222222</v>
      </c>
      <c r="B237" s="81" t="s">
        <v>149</v>
      </c>
      <c r="C237" s="81" t="s">
        <v>173</v>
      </c>
      <c r="D237" s="81" t="s">
        <v>193</v>
      </c>
      <c r="E237" s="81" t="s">
        <v>50</v>
      </c>
      <c r="F237" s="81" t="str">
        <f>IF(E237="", "", IF(COUNTIF(ChestType!$A$5:$A$195, E237)&gt;0, VLOOKUP(E237, ChestType!$A$5:$B$195, 2, 0), "Others"))</f>
        <v>L10 Crypt</v>
      </c>
    </row>
    <row r="238" spans="1:6" x14ac:dyDescent="0.25">
      <c r="A238" s="14">
        <v>46153.647222222222</v>
      </c>
      <c r="B238" s="81" t="s">
        <v>149</v>
      </c>
      <c r="C238" s="81" t="s">
        <v>151</v>
      </c>
      <c r="D238" s="81" t="s">
        <v>859</v>
      </c>
      <c r="E238" s="81" t="s">
        <v>52</v>
      </c>
      <c r="F238" s="81" t="str">
        <f>IF(E238="", "", IF(COUNTIF(ChestType!$A$5:$A$195, E238)&gt;0, VLOOKUP(E238, ChestType!$A$5:$B$195, 2, 0), "Others"))</f>
        <v>L5 Crypt</v>
      </c>
    </row>
    <row r="239" spans="1:6" x14ac:dyDescent="0.25">
      <c r="A239" s="14">
        <v>46153.647222222222</v>
      </c>
      <c r="B239" s="81" t="s">
        <v>149</v>
      </c>
      <c r="C239" s="81" t="s">
        <v>173</v>
      </c>
      <c r="D239" s="81" t="s">
        <v>266</v>
      </c>
      <c r="E239" s="81" t="s">
        <v>52</v>
      </c>
      <c r="F239" s="81" t="str">
        <f>IF(E239="", "", IF(COUNTIF(ChestType!$A$5:$A$195, E239)&gt;0, VLOOKUP(E239, ChestType!$A$5:$B$195, 2, 0), "Others"))</f>
        <v>L5 Crypt</v>
      </c>
    </row>
    <row r="240" spans="1:6" x14ac:dyDescent="0.25">
      <c r="A240" s="14">
        <v>46153.647222222222</v>
      </c>
      <c r="B240" s="81" t="s">
        <v>149</v>
      </c>
      <c r="C240" s="81" t="s">
        <v>151</v>
      </c>
      <c r="D240" s="81" t="s">
        <v>264</v>
      </c>
      <c r="E240" s="81" t="s">
        <v>50</v>
      </c>
      <c r="F240" s="81" t="str">
        <f>IF(E240="", "", IF(COUNTIF(ChestType!$A$5:$A$195, E240)&gt;0, VLOOKUP(E240, ChestType!$A$5:$B$195, 2, 0), "Others"))</f>
        <v>L10 Crypt</v>
      </c>
    </row>
    <row r="241" spans="1:6" x14ac:dyDescent="0.25">
      <c r="A241" s="14">
        <v>46153.647222222222</v>
      </c>
      <c r="B241" s="81" t="s">
        <v>149</v>
      </c>
      <c r="C241" s="81" t="s">
        <v>175</v>
      </c>
      <c r="D241" s="81" t="s">
        <v>859</v>
      </c>
      <c r="E241" s="81" t="s">
        <v>52</v>
      </c>
      <c r="F241" s="81" t="str">
        <f>IF(E241="", "", IF(COUNTIF(ChestType!$A$5:$A$195, E241)&gt;0, VLOOKUP(E241, ChestType!$A$5:$B$195, 2, 0), "Others"))</f>
        <v>L5 Crypt</v>
      </c>
    </row>
    <row r="242" spans="1:6" x14ac:dyDescent="0.25">
      <c r="A242" s="14">
        <v>46153.647222222222</v>
      </c>
      <c r="B242" s="81" t="s">
        <v>149</v>
      </c>
      <c r="C242" s="81" t="s">
        <v>177</v>
      </c>
      <c r="D242" s="81" t="s">
        <v>246</v>
      </c>
      <c r="E242" s="81" t="s">
        <v>49</v>
      </c>
      <c r="F242" s="81" t="str">
        <f>IF(E242="", "", IF(COUNTIF(ChestType!$A$5:$A$195, E242)&gt;0, VLOOKUP(E242, ChestType!$A$5:$B$195, 2, 0), "Others"))</f>
        <v>L15 Crypt</v>
      </c>
    </row>
    <row r="243" spans="1:6" x14ac:dyDescent="0.25">
      <c r="A243" s="14">
        <v>46153.647222222222</v>
      </c>
      <c r="B243" s="81" t="s">
        <v>149</v>
      </c>
      <c r="C243" s="81" t="s">
        <v>173</v>
      </c>
      <c r="D243" s="81" t="s">
        <v>266</v>
      </c>
      <c r="E243" s="81" t="s">
        <v>52</v>
      </c>
      <c r="F243" s="81" t="str">
        <f>IF(E243="", "", IF(COUNTIF(ChestType!$A$5:$A$195, E243)&gt;0, VLOOKUP(E243, ChestType!$A$5:$B$195, 2, 0), "Others"))</f>
        <v>L5 Crypt</v>
      </c>
    </row>
    <row r="244" spans="1:6" x14ac:dyDescent="0.25">
      <c r="A244" s="14">
        <v>46153.647222222222</v>
      </c>
      <c r="B244" s="81" t="s">
        <v>149</v>
      </c>
      <c r="C244" s="81" t="s">
        <v>188</v>
      </c>
      <c r="D244" s="81" t="s">
        <v>157</v>
      </c>
      <c r="E244" s="81" t="s">
        <v>45</v>
      </c>
      <c r="F244" s="81" t="str">
        <f>IF(E244="", "", IF(COUNTIF(ChestType!$A$5:$A$195, E244)&gt;0, VLOOKUP(E244, ChestType!$A$5:$B$195, 2, 0), "Others"))</f>
        <v>Others</v>
      </c>
    </row>
    <row r="245" spans="1:6" x14ac:dyDescent="0.25">
      <c r="A245" s="14">
        <v>46153.647222222222</v>
      </c>
      <c r="B245" s="81" t="s">
        <v>149</v>
      </c>
      <c r="C245" s="81" t="s">
        <v>189</v>
      </c>
      <c r="D245" s="81" t="s">
        <v>157</v>
      </c>
      <c r="E245" s="81" t="s">
        <v>45</v>
      </c>
      <c r="F245" s="81" t="str">
        <f>IF(E245="", "", IF(COUNTIF(ChestType!$A$5:$A$195, E245)&gt;0, VLOOKUP(E245, ChestType!$A$5:$B$195, 2, 0), "Others"))</f>
        <v>Others</v>
      </c>
    </row>
    <row r="246" spans="1:6" x14ac:dyDescent="0.25">
      <c r="A246" s="14">
        <v>46153.647222222222</v>
      </c>
      <c r="B246" s="81" t="s">
        <v>149</v>
      </c>
      <c r="C246" s="81" t="s">
        <v>239</v>
      </c>
      <c r="D246" s="81" t="s">
        <v>157</v>
      </c>
      <c r="E246" s="81" t="s">
        <v>45</v>
      </c>
      <c r="F246" s="81" t="str">
        <f>IF(E246="", "", IF(COUNTIF(ChestType!$A$5:$A$195, E246)&gt;0, VLOOKUP(E246, ChestType!$A$5:$B$195, 2, 0), "Others"))</f>
        <v>Others</v>
      </c>
    </row>
    <row r="247" spans="1:6" x14ac:dyDescent="0.25">
      <c r="A247" s="14">
        <v>46153.647222222222</v>
      </c>
      <c r="B247" s="81" t="s">
        <v>149</v>
      </c>
      <c r="C247" s="81" t="s">
        <v>182</v>
      </c>
      <c r="D247" s="81" t="s">
        <v>861</v>
      </c>
      <c r="E247" s="81" t="s">
        <v>50</v>
      </c>
      <c r="F247" s="81" t="str">
        <f>IF(E247="", "", IF(COUNTIF(ChestType!$A$5:$A$195, E247)&gt;0, VLOOKUP(E247, ChestType!$A$5:$B$195, 2, 0), "Others"))</f>
        <v>L10 Crypt</v>
      </c>
    </row>
    <row r="248" spans="1:6" x14ac:dyDescent="0.25">
      <c r="A248" s="14">
        <v>46153.647222222222</v>
      </c>
      <c r="B248" s="81" t="s">
        <v>149</v>
      </c>
      <c r="C248" s="81" t="s">
        <v>843</v>
      </c>
      <c r="D248" s="81" t="s">
        <v>162</v>
      </c>
      <c r="E248" s="81" t="s">
        <v>844</v>
      </c>
      <c r="F248" s="81" t="str">
        <f>IF(E248="", "", IF(COUNTIF(ChestType!$A$5:$A$195, E248)&gt;0, VLOOKUP(E248, ChestType!$A$5:$B$195, 2, 0), "Others"))</f>
        <v>Others</v>
      </c>
    </row>
    <row r="249" spans="1:6" x14ac:dyDescent="0.25">
      <c r="A249" s="14">
        <v>46153.647222222222</v>
      </c>
      <c r="B249" s="81" t="s">
        <v>149</v>
      </c>
      <c r="C249" s="81" t="s">
        <v>185</v>
      </c>
      <c r="D249" s="81" t="s">
        <v>259</v>
      </c>
      <c r="E249" s="81" t="s">
        <v>50</v>
      </c>
      <c r="F249" s="81" t="str">
        <f>IF(E249="", "", IF(COUNTIF(ChestType!$A$5:$A$195, E249)&gt;0, VLOOKUP(E249, ChestType!$A$5:$B$195, 2, 0), "Others"))</f>
        <v>L10 Crypt</v>
      </c>
    </row>
    <row r="250" spans="1:6" x14ac:dyDescent="0.25">
      <c r="A250" s="14">
        <v>46153.647222222222</v>
      </c>
      <c r="B250" s="81" t="s">
        <v>149</v>
      </c>
      <c r="C250" s="81" t="s">
        <v>192</v>
      </c>
      <c r="D250" s="81" t="s">
        <v>259</v>
      </c>
      <c r="E250" s="81" t="s">
        <v>60</v>
      </c>
      <c r="F250" s="81" t="str">
        <f>IF(E250="", "", IF(COUNTIF(ChestType!$A$5:$A$195, E250)&gt;0, VLOOKUP(E250, ChestType!$A$5:$B$195, 2, 0), "Others"))</f>
        <v>Others</v>
      </c>
    </row>
    <row r="251" spans="1:6" x14ac:dyDescent="0.25">
      <c r="A251" s="14">
        <v>46153.647222222222</v>
      </c>
      <c r="B251" s="81" t="s">
        <v>149</v>
      </c>
      <c r="C251" s="81" t="s">
        <v>151</v>
      </c>
      <c r="D251" s="81" t="s">
        <v>164</v>
      </c>
      <c r="E251" s="81" t="s">
        <v>50</v>
      </c>
      <c r="F251" s="81" t="str">
        <f>IF(E251="", "", IF(COUNTIF(ChestType!$A$5:$A$195, E251)&gt;0, VLOOKUP(E251, ChestType!$A$5:$B$195, 2, 0), "Others"))</f>
        <v>L10 Crypt</v>
      </c>
    </row>
    <row r="252" spans="1:6" x14ac:dyDescent="0.25">
      <c r="A252" s="14">
        <v>46153.647222222222</v>
      </c>
      <c r="B252" s="81" t="s">
        <v>149</v>
      </c>
      <c r="C252" s="81" t="s">
        <v>843</v>
      </c>
      <c r="D252" s="81" t="s">
        <v>162</v>
      </c>
      <c r="E252" s="81" t="s">
        <v>844</v>
      </c>
      <c r="F252" s="81" t="str">
        <f>IF(E252="", "", IF(COUNTIF(ChestType!$A$5:$A$195, E252)&gt;0, VLOOKUP(E252, ChestType!$A$5:$B$195, 2, 0), "Others"))</f>
        <v>Others</v>
      </c>
    </row>
    <row r="253" spans="1:6" x14ac:dyDescent="0.25">
      <c r="A253" s="14">
        <v>46153.647222222222</v>
      </c>
      <c r="B253" s="81" t="s">
        <v>149</v>
      </c>
      <c r="C253" s="81" t="s">
        <v>184</v>
      </c>
      <c r="D253" s="81" t="s">
        <v>842</v>
      </c>
      <c r="E253" s="81" t="s">
        <v>52</v>
      </c>
      <c r="F253" s="81" t="str">
        <f>IF(E253="", "", IF(COUNTIF(ChestType!$A$5:$A$195, E253)&gt;0, VLOOKUP(E253, ChestType!$A$5:$B$195, 2, 0), "Others"))</f>
        <v>L5 Crypt</v>
      </c>
    </row>
    <row r="254" spans="1:6" x14ac:dyDescent="0.25">
      <c r="A254" s="14">
        <v>46153.647222222222</v>
      </c>
      <c r="B254" s="81" t="s">
        <v>149</v>
      </c>
      <c r="C254" s="81" t="s">
        <v>173</v>
      </c>
      <c r="D254" s="81" t="s">
        <v>254</v>
      </c>
      <c r="E254" s="81" t="s">
        <v>49</v>
      </c>
      <c r="F254" s="81" t="str">
        <f>IF(E254="", "", IF(COUNTIF(ChestType!$A$5:$A$195, E254)&gt;0, VLOOKUP(E254, ChestType!$A$5:$B$195, 2, 0), "Others"))</f>
        <v>L15 Crypt</v>
      </c>
    </row>
    <row r="255" spans="1:6" x14ac:dyDescent="0.25">
      <c r="A255" s="14">
        <v>46153.647222222222</v>
      </c>
      <c r="B255" s="81" t="s">
        <v>149</v>
      </c>
      <c r="C255" s="81" t="s">
        <v>187</v>
      </c>
      <c r="D255" s="81" t="s">
        <v>268</v>
      </c>
      <c r="E255" s="81" t="s">
        <v>75</v>
      </c>
      <c r="F255" s="81" t="str">
        <f>IF(E255="", "", IF(COUNTIF(ChestType!$A$5:$A$195, E255)&gt;0, VLOOKUP(E255, ChestType!$A$5:$B$195, 2, 0), "Others"))</f>
        <v>L10 Rare Crypt</v>
      </c>
    </row>
    <row r="256" spans="1:6" x14ac:dyDescent="0.25">
      <c r="A256" s="14">
        <v>46153.647222222222</v>
      </c>
      <c r="B256" s="81" t="s">
        <v>149</v>
      </c>
      <c r="C256" s="81" t="s">
        <v>175</v>
      </c>
      <c r="D256" s="81" t="s">
        <v>258</v>
      </c>
      <c r="E256" s="81" t="s">
        <v>50</v>
      </c>
      <c r="F256" s="81" t="str">
        <f>IF(E256="", "", IF(COUNTIF(ChestType!$A$5:$A$195, E256)&gt;0, VLOOKUP(E256, ChestType!$A$5:$B$195, 2, 0), "Others"))</f>
        <v>L10 Crypt</v>
      </c>
    </row>
    <row r="257" spans="1:6" x14ac:dyDescent="0.25">
      <c r="A257" s="14">
        <v>46153.647222222222</v>
      </c>
      <c r="B257" s="81" t="s">
        <v>149</v>
      </c>
      <c r="C257" s="81" t="s">
        <v>185</v>
      </c>
      <c r="D257" s="81" t="s">
        <v>842</v>
      </c>
      <c r="E257" s="81" t="s">
        <v>50</v>
      </c>
      <c r="F257" s="81" t="str">
        <f>IF(E257="", "", IF(COUNTIF(ChestType!$A$5:$A$195, E257)&gt;0, VLOOKUP(E257, ChestType!$A$5:$B$195, 2, 0), "Others"))</f>
        <v>L10 Crypt</v>
      </c>
    </row>
    <row r="258" spans="1:6" x14ac:dyDescent="0.25">
      <c r="A258" s="14">
        <v>46153.647222222222</v>
      </c>
      <c r="B258" s="81" t="s">
        <v>149</v>
      </c>
      <c r="C258" s="81" t="s">
        <v>192</v>
      </c>
      <c r="D258" s="81" t="s">
        <v>259</v>
      </c>
      <c r="E258" s="81" t="s">
        <v>60</v>
      </c>
      <c r="F258" s="81" t="str">
        <f>IF(E258="", "", IF(COUNTIF(ChestType!$A$5:$A$195, E258)&gt;0, VLOOKUP(E258, ChestType!$A$5:$B$195, 2, 0), "Others"))</f>
        <v>Others</v>
      </c>
    </row>
    <row r="259" spans="1:6" x14ac:dyDescent="0.25">
      <c r="A259" s="14">
        <v>46153.647222222222</v>
      </c>
      <c r="B259" s="81" t="s">
        <v>149</v>
      </c>
      <c r="C259" s="81" t="s">
        <v>843</v>
      </c>
      <c r="D259" s="81" t="s">
        <v>162</v>
      </c>
      <c r="E259" s="81" t="s">
        <v>844</v>
      </c>
      <c r="F259" s="81" t="str">
        <f>IF(E259="", "", IF(COUNTIF(ChestType!$A$5:$A$195, E259)&gt;0, VLOOKUP(E259, ChestType!$A$5:$B$195, 2, 0), "Others"))</f>
        <v>Others</v>
      </c>
    </row>
    <row r="260" spans="1:6" x14ac:dyDescent="0.25">
      <c r="A260" s="14">
        <v>46153.647222222222</v>
      </c>
      <c r="B260" s="81" t="s">
        <v>149</v>
      </c>
      <c r="C260" s="81" t="s">
        <v>158</v>
      </c>
      <c r="D260" s="81" t="s">
        <v>252</v>
      </c>
      <c r="E260" s="81" t="s">
        <v>52</v>
      </c>
      <c r="F260" s="81" t="str">
        <f>IF(E260="", "", IF(COUNTIF(ChestType!$A$5:$A$195, E260)&gt;0, VLOOKUP(E260, ChestType!$A$5:$B$195, 2, 0), "Others"))</f>
        <v>L5 Crypt</v>
      </c>
    </row>
    <row r="261" spans="1:6" x14ac:dyDescent="0.25">
      <c r="A261" s="14">
        <v>46153.647222222222</v>
      </c>
      <c r="B261" s="81" t="s">
        <v>149</v>
      </c>
      <c r="C261" s="81" t="s">
        <v>158</v>
      </c>
      <c r="D261" s="81" t="s">
        <v>252</v>
      </c>
      <c r="E261" s="81" t="s">
        <v>50</v>
      </c>
      <c r="F261" s="81" t="str">
        <f>IF(E261="", "", IF(COUNTIF(ChestType!$A$5:$A$195, E261)&gt;0, VLOOKUP(E261, ChestType!$A$5:$B$195, 2, 0), "Others"))</f>
        <v>L10 Crypt</v>
      </c>
    </row>
    <row r="262" spans="1:6" x14ac:dyDescent="0.25">
      <c r="A262" s="14">
        <v>46153.647222222222</v>
      </c>
      <c r="B262" s="81" t="s">
        <v>149</v>
      </c>
      <c r="C262" s="81" t="s">
        <v>183</v>
      </c>
      <c r="D262" s="81" t="s">
        <v>268</v>
      </c>
      <c r="E262" s="81" t="s">
        <v>52</v>
      </c>
      <c r="F262" s="81" t="str">
        <f>IF(E262="", "", IF(COUNTIF(ChestType!$A$5:$A$195, E262)&gt;0, VLOOKUP(E262, ChestType!$A$5:$B$195, 2, 0), "Others"))</f>
        <v>L5 Crypt</v>
      </c>
    </row>
    <row r="263" spans="1:6" x14ac:dyDescent="0.25">
      <c r="A263" s="14">
        <v>46153.647222222222</v>
      </c>
      <c r="B263" s="81" t="s">
        <v>149</v>
      </c>
      <c r="C263" s="81" t="s">
        <v>181</v>
      </c>
      <c r="D263" s="81" t="s">
        <v>266</v>
      </c>
      <c r="E263" s="81" t="s">
        <v>50</v>
      </c>
      <c r="F263" s="81" t="str">
        <f>IF(E263="", "", IF(COUNTIF(ChestType!$A$5:$A$195, E263)&gt;0, VLOOKUP(E263, ChestType!$A$5:$B$195, 2, 0), "Others"))</f>
        <v>L10 Crypt</v>
      </c>
    </row>
    <row r="264" spans="1:6" x14ac:dyDescent="0.25">
      <c r="A264" s="14">
        <v>46153.647222222222</v>
      </c>
      <c r="B264" s="81" t="s">
        <v>149</v>
      </c>
      <c r="C264" s="81" t="s">
        <v>173</v>
      </c>
      <c r="D264" s="81" t="s">
        <v>268</v>
      </c>
      <c r="E264" s="81" t="s">
        <v>49</v>
      </c>
      <c r="F264" s="81" t="str">
        <f>IF(E264="", "", IF(COUNTIF(ChestType!$A$5:$A$195, E264)&gt;0, VLOOKUP(E264, ChestType!$A$5:$B$195, 2, 0), "Others"))</f>
        <v>L15 Crypt</v>
      </c>
    </row>
    <row r="265" spans="1:6" x14ac:dyDescent="0.25">
      <c r="A265" s="14">
        <v>46153.647222222222</v>
      </c>
      <c r="B265" s="81" t="s">
        <v>149</v>
      </c>
      <c r="C265" s="81" t="s">
        <v>184</v>
      </c>
      <c r="D265" s="81" t="s">
        <v>169</v>
      </c>
      <c r="E265" s="81" t="s">
        <v>50</v>
      </c>
      <c r="F265" s="81" t="str">
        <f>IF(E265="", "", IF(COUNTIF(ChestType!$A$5:$A$195, E265)&gt;0, VLOOKUP(E265, ChestType!$A$5:$B$195, 2, 0), "Others"))</f>
        <v>L10 Crypt</v>
      </c>
    </row>
    <row r="266" spans="1:6" x14ac:dyDescent="0.25">
      <c r="A266" s="14">
        <v>46153.647222222222</v>
      </c>
      <c r="B266" s="81" t="s">
        <v>149</v>
      </c>
      <c r="C266" s="81" t="s">
        <v>190</v>
      </c>
      <c r="D266" s="81" t="s">
        <v>857</v>
      </c>
      <c r="E266" s="81" t="s">
        <v>52</v>
      </c>
      <c r="F266" s="81" t="str">
        <f>IF(E266="", "", IF(COUNTIF(ChestType!$A$5:$A$195, E266)&gt;0, VLOOKUP(E266, ChestType!$A$5:$B$195, 2, 0), "Others"))</f>
        <v>L5 Crypt</v>
      </c>
    </row>
    <row r="267" spans="1:6" x14ac:dyDescent="0.25">
      <c r="A267" s="14">
        <v>46153.647222222222</v>
      </c>
      <c r="B267" s="81" t="s">
        <v>195</v>
      </c>
      <c r="C267" s="81" t="s">
        <v>198</v>
      </c>
      <c r="D267" s="81" t="s">
        <v>269</v>
      </c>
      <c r="E267" s="81" t="s">
        <v>24</v>
      </c>
      <c r="F267" s="81" t="str">
        <f>IF(E267="", "", IF(COUNTIF(ChestType!$A$5:$A$195, E267)&gt;0, VLOOKUP(E267, ChestType!$A$5:$B$195, 2, 0), "Others"))</f>
        <v>Bank</v>
      </c>
    </row>
    <row r="268" spans="1:6" x14ac:dyDescent="0.25">
      <c r="A268" s="14">
        <v>46153.647222222222</v>
      </c>
      <c r="B268" s="81" t="s">
        <v>195</v>
      </c>
      <c r="C268" s="81" t="s">
        <v>198</v>
      </c>
      <c r="D268" s="81" t="s">
        <v>269</v>
      </c>
      <c r="E268" s="81" t="s">
        <v>24</v>
      </c>
      <c r="F268" s="81" t="str">
        <f>IF(E268="", "", IF(COUNTIF(ChestType!$A$5:$A$195, E268)&gt;0, VLOOKUP(E268, ChestType!$A$5:$B$195, 2, 0), "Others"))</f>
        <v>Bank</v>
      </c>
    </row>
    <row r="269" spans="1:6" x14ac:dyDescent="0.25">
      <c r="A269" s="14">
        <v>46153.647222222222</v>
      </c>
      <c r="B269" s="81" t="s">
        <v>195</v>
      </c>
      <c r="C269" s="81" t="s">
        <v>198</v>
      </c>
      <c r="D269" s="81" t="s">
        <v>269</v>
      </c>
      <c r="E269" s="81" t="s">
        <v>24</v>
      </c>
      <c r="F269" s="81" t="str">
        <f>IF(E269="", "", IF(COUNTIF(ChestType!$A$5:$A$195, E269)&gt;0, VLOOKUP(E269, ChestType!$A$5:$B$195, 2, 0), "Others"))</f>
        <v>Bank</v>
      </c>
    </row>
    <row r="270" spans="1:6" x14ac:dyDescent="0.25">
      <c r="A270" s="14">
        <v>46153.647222222222</v>
      </c>
      <c r="B270" s="81" t="s">
        <v>195</v>
      </c>
      <c r="C270" s="81" t="s">
        <v>198</v>
      </c>
      <c r="D270" s="81" t="s">
        <v>269</v>
      </c>
      <c r="E270" s="81" t="s">
        <v>24</v>
      </c>
      <c r="F270" s="81" t="str">
        <f>IF(E270="", "", IF(COUNTIF(ChestType!$A$5:$A$195, E270)&gt;0, VLOOKUP(E270, ChestType!$A$5:$B$195, 2, 0), "Others"))</f>
        <v>Bank</v>
      </c>
    </row>
    <row r="271" spans="1:6" x14ac:dyDescent="0.25">
      <c r="A271" s="14">
        <v>46153.647222222222</v>
      </c>
      <c r="B271" s="81" t="s">
        <v>195</v>
      </c>
      <c r="C271" s="81" t="s">
        <v>198</v>
      </c>
      <c r="D271" s="81" t="s">
        <v>269</v>
      </c>
      <c r="E271" s="81" t="s">
        <v>24</v>
      </c>
      <c r="F271" s="81" t="str">
        <f>IF(E271="", "", IF(COUNTIF(ChestType!$A$5:$A$195, E271)&gt;0, VLOOKUP(E271, ChestType!$A$5:$B$195, 2, 0), "Others"))</f>
        <v>Bank</v>
      </c>
    </row>
    <row r="272" spans="1:6" x14ac:dyDescent="0.25">
      <c r="A272" s="14">
        <v>46153.647222222222</v>
      </c>
      <c r="B272" s="81" t="s">
        <v>195</v>
      </c>
      <c r="C272" s="81" t="s">
        <v>198</v>
      </c>
      <c r="D272" s="81" t="s">
        <v>269</v>
      </c>
      <c r="E272" s="81" t="s">
        <v>24</v>
      </c>
      <c r="F272" s="81" t="str">
        <f>IF(E272="", "", IF(COUNTIF(ChestType!$A$5:$A$195, E272)&gt;0, VLOOKUP(E272, ChestType!$A$5:$B$195, 2, 0), "Others"))</f>
        <v>Bank</v>
      </c>
    </row>
    <row r="273" spans="1:6" x14ac:dyDescent="0.25">
      <c r="A273" s="14">
        <v>46153.647222222222</v>
      </c>
      <c r="B273" s="81" t="s">
        <v>195</v>
      </c>
      <c r="C273" s="81" t="s">
        <v>196</v>
      </c>
      <c r="D273" s="81" t="s">
        <v>254</v>
      </c>
      <c r="E273" s="81" t="s">
        <v>24</v>
      </c>
      <c r="F273" s="81" t="str">
        <f>IF(E273="", "", IF(COUNTIF(ChestType!$A$5:$A$195, E273)&gt;0, VLOOKUP(E273, ChestType!$A$5:$B$195, 2, 0), "Others"))</f>
        <v>Bank</v>
      </c>
    </row>
    <row r="274" spans="1:6" x14ac:dyDescent="0.25">
      <c r="A274" s="14">
        <v>46153.647222222222</v>
      </c>
      <c r="B274" s="81" t="s">
        <v>195</v>
      </c>
      <c r="C274" s="81" t="s">
        <v>196</v>
      </c>
      <c r="D274" s="81" t="s">
        <v>254</v>
      </c>
      <c r="E274" s="81" t="s">
        <v>24</v>
      </c>
      <c r="F274" s="81" t="str">
        <f>IF(E274="", "", IF(COUNTIF(ChestType!$A$5:$A$195, E274)&gt;0, VLOOKUP(E274, ChestType!$A$5:$B$195, 2, 0), "Others"))</f>
        <v>Bank</v>
      </c>
    </row>
    <row r="275" spans="1:6" x14ac:dyDescent="0.25">
      <c r="A275" s="14">
        <v>46153.647222222222</v>
      </c>
      <c r="B275" s="81" t="s">
        <v>195</v>
      </c>
      <c r="C275" s="81" t="s">
        <v>196</v>
      </c>
      <c r="D275" s="81" t="s">
        <v>254</v>
      </c>
      <c r="E275" s="81" t="s">
        <v>24</v>
      </c>
      <c r="F275" s="81" t="str">
        <f>IF(E275="", "", IF(COUNTIF(ChestType!$A$5:$A$195, E275)&gt;0, VLOOKUP(E275, ChestType!$A$5:$B$195, 2, 0), "Others"))</f>
        <v>Bank</v>
      </c>
    </row>
    <row r="276" spans="1:6" x14ac:dyDescent="0.25">
      <c r="A276" s="14">
        <v>46153.647222222222</v>
      </c>
      <c r="B276" s="81" t="s">
        <v>195</v>
      </c>
      <c r="C276" s="81" t="s">
        <v>196</v>
      </c>
      <c r="D276" s="81" t="s">
        <v>254</v>
      </c>
      <c r="E276" s="81" t="s">
        <v>24</v>
      </c>
      <c r="F276" s="81" t="str">
        <f>IF(E276="", "", IF(COUNTIF(ChestType!$A$5:$A$195, E276)&gt;0, VLOOKUP(E276, ChestType!$A$5:$B$195, 2, 0), "Others"))</f>
        <v>Bank</v>
      </c>
    </row>
    <row r="277" spans="1:6" x14ac:dyDescent="0.25">
      <c r="A277" s="14">
        <v>46153.647222222222</v>
      </c>
      <c r="B277" s="81" t="s">
        <v>195</v>
      </c>
      <c r="C277" s="81" t="s">
        <v>196</v>
      </c>
      <c r="D277" s="81" t="s">
        <v>254</v>
      </c>
      <c r="E277" s="81" t="s">
        <v>24</v>
      </c>
      <c r="F277" s="81" t="str">
        <f>IF(E277="", "", IF(COUNTIF(ChestType!$A$5:$A$195, E277)&gt;0, VLOOKUP(E277, ChestType!$A$5:$B$195, 2, 0), "Others"))</f>
        <v>Bank</v>
      </c>
    </row>
    <row r="278" spans="1:6" x14ac:dyDescent="0.25">
      <c r="A278" s="14">
        <v>46153.647222222222</v>
      </c>
      <c r="B278" s="81" t="s">
        <v>195</v>
      </c>
      <c r="C278" s="81" t="s">
        <v>196</v>
      </c>
      <c r="D278" s="81" t="s">
        <v>254</v>
      </c>
      <c r="E278" s="81" t="s">
        <v>24</v>
      </c>
      <c r="F278" s="81" t="str">
        <f>IF(E278="", "", IF(COUNTIF(ChestType!$A$5:$A$195, E278)&gt;0, VLOOKUP(E278, ChestType!$A$5:$B$195, 2, 0), "Others"))</f>
        <v>Bank</v>
      </c>
    </row>
    <row r="279" spans="1:6" x14ac:dyDescent="0.25">
      <c r="A279" s="14">
        <v>46153.647222222222</v>
      </c>
      <c r="B279" s="81" t="s">
        <v>195</v>
      </c>
      <c r="C279" s="81" t="s">
        <v>198</v>
      </c>
      <c r="D279" s="81" t="s">
        <v>861</v>
      </c>
      <c r="E279" s="81" t="s">
        <v>24</v>
      </c>
      <c r="F279" s="81" t="str">
        <f>IF(E279="", "", IF(COUNTIF(ChestType!$A$5:$A$195, E279)&gt;0, VLOOKUP(E279, ChestType!$A$5:$B$195, 2, 0), "Others"))</f>
        <v>Bank</v>
      </c>
    </row>
    <row r="280" spans="1:6" x14ac:dyDescent="0.25">
      <c r="A280" s="14">
        <v>46153.647222222222</v>
      </c>
      <c r="B280" s="81" t="s">
        <v>195</v>
      </c>
      <c r="C280" s="81" t="s">
        <v>198</v>
      </c>
      <c r="D280" s="81" t="s">
        <v>861</v>
      </c>
      <c r="E280" s="81" t="s">
        <v>24</v>
      </c>
      <c r="F280" s="81" t="str">
        <f>IF(E280="", "", IF(COUNTIF(ChestType!$A$5:$A$195, E280)&gt;0, VLOOKUP(E280, ChestType!$A$5:$B$195, 2, 0), "Others"))</f>
        <v>Bank</v>
      </c>
    </row>
    <row r="281" spans="1:6" x14ac:dyDescent="0.25">
      <c r="A281" s="14">
        <v>46153.647222222222</v>
      </c>
      <c r="B281" s="81" t="s">
        <v>195</v>
      </c>
      <c r="C281" s="81" t="s">
        <v>198</v>
      </c>
      <c r="D281" s="81" t="s">
        <v>861</v>
      </c>
      <c r="E281" s="81" t="s">
        <v>24</v>
      </c>
      <c r="F281" s="81" t="str">
        <f>IF(E281="", "", IF(COUNTIF(ChestType!$A$5:$A$195, E281)&gt;0, VLOOKUP(E281, ChestType!$A$5:$B$195, 2, 0), "Others"))</f>
        <v>Bank</v>
      </c>
    </row>
    <row r="282" spans="1:6" x14ac:dyDescent="0.25">
      <c r="A282" s="14">
        <v>46153.647222222222</v>
      </c>
      <c r="B282" s="81" t="s">
        <v>195</v>
      </c>
      <c r="C282" s="81" t="s">
        <v>198</v>
      </c>
      <c r="D282" s="81" t="s">
        <v>861</v>
      </c>
      <c r="E282" s="81" t="s">
        <v>24</v>
      </c>
      <c r="F282" s="81" t="str">
        <f>IF(E282="", "", IF(COUNTIF(ChestType!$A$5:$A$195, E282)&gt;0, VLOOKUP(E282, ChestType!$A$5:$B$195, 2, 0), "Others"))</f>
        <v>Bank</v>
      </c>
    </row>
    <row r="283" spans="1:6" x14ac:dyDescent="0.25">
      <c r="A283" s="14">
        <v>46153.647222222222</v>
      </c>
      <c r="B283" s="81" t="s">
        <v>195</v>
      </c>
      <c r="C283" s="81" t="s">
        <v>198</v>
      </c>
      <c r="D283" s="81" t="s">
        <v>861</v>
      </c>
      <c r="E283" s="81" t="s">
        <v>24</v>
      </c>
      <c r="F283" s="81" t="str">
        <f>IF(E283="", "", IF(COUNTIF(ChestType!$A$5:$A$195, E283)&gt;0, VLOOKUP(E283, ChestType!$A$5:$B$195, 2, 0), "Others"))</f>
        <v>Bank</v>
      </c>
    </row>
    <row r="284" spans="1:6" x14ac:dyDescent="0.25">
      <c r="A284" s="14">
        <v>46153.647222222222</v>
      </c>
      <c r="B284" s="81" t="s">
        <v>195</v>
      </c>
      <c r="C284" s="81" t="s">
        <v>198</v>
      </c>
      <c r="D284" s="81" t="s">
        <v>861</v>
      </c>
      <c r="E284" s="81" t="s">
        <v>24</v>
      </c>
      <c r="F284" s="81" t="str">
        <f>IF(E284="", "", IF(COUNTIF(ChestType!$A$5:$A$195, E284)&gt;0, VLOOKUP(E284, ChestType!$A$5:$B$195, 2, 0), "Others"))</f>
        <v>Bank</v>
      </c>
    </row>
    <row r="285" spans="1:6" x14ac:dyDescent="0.25">
      <c r="A285" s="14">
        <v>46153.647222222222</v>
      </c>
      <c r="B285" s="81" t="s">
        <v>195</v>
      </c>
      <c r="C285" s="81" t="s">
        <v>198</v>
      </c>
      <c r="D285" s="81" t="s">
        <v>162</v>
      </c>
      <c r="E285" s="81" t="s">
        <v>24</v>
      </c>
      <c r="F285" s="81" t="str">
        <f>IF(E285="", "", IF(COUNTIF(ChestType!$A$5:$A$195, E285)&gt;0, VLOOKUP(E285, ChestType!$A$5:$B$195, 2, 0), "Others"))</f>
        <v>Bank</v>
      </c>
    </row>
    <row r="286" spans="1:6" x14ac:dyDescent="0.25">
      <c r="A286" s="14">
        <v>46153.647222222222</v>
      </c>
      <c r="B286" s="81" t="s">
        <v>195</v>
      </c>
      <c r="C286" s="81" t="s">
        <v>198</v>
      </c>
      <c r="D286" s="81" t="s">
        <v>162</v>
      </c>
      <c r="E286" s="81" t="s">
        <v>24</v>
      </c>
      <c r="F286" s="81" t="str">
        <f>IF(E286="", "", IF(COUNTIF(ChestType!$A$5:$A$195, E286)&gt;0, VLOOKUP(E286, ChestType!$A$5:$B$195, 2, 0), "Others"))</f>
        <v>Bank</v>
      </c>
    </row>
    <row r="287" spans="1:6" x14ac:dyDescent="0.25">
      <c r="A287" s="14">
        <v>46153.647222222222</v>
      </c>
      <c r="B287" s="81" t="s">
        <v>195</v>
      </c>
      <c r="C287" s="81" t="s">
        <v>198</v>
      </c>
      <c r="D287" s="81" t="s">
        <v>162</v>
      </c>
      <c r="E287" s="81" t="s">
        <v>24</v>
      </c>
      <c r="F287" s="81" t="str">
        <f>IF(E287="", "", IF(COUNTIF(ChestType!$A$5:$A$195, E287)&gt;0, VLOOKUP(E287, ChestType!$A$5:$B$195, 2, 0), "Others"))</f>
        <v>Bank</v>
      </c>
    </row>
    <row r="288" spans="1:6" x14ac:dyDescent="0.25">
      <c r="A288" s="14">
        <v>46153.647222222222</v>
      </c>
      <c r="B288" s="81" t="s">
        <v>195</v>
      </c>
      <c r="C288" s="81" t="s">
        <v>196</v>
      </c>
      <c r="D288" s="81" t="s">
        <v>162</v>
      </c>
      <c r="E288" s="81" t="s">
        <v>24</v>
      </c>
      <c r="F288" s="81" t="str">
        <f>IF(E288="", "", IF(COUNTIF(ChestType!$A$5:$A$195, E288)&gt;0, VLOOKUP(E288, ChestType!$A$5:$B$195, 2, 0), "Others"))</f>
        <v>Bank</v>
      </c>
    </row>
    <row r="289" spans="1:6" x14ac:dyDescent="0.25">
      <c r="A289" s="14">
        <v>46153.647222222222</v>
      </c>
      <c r="B289" s="81" t="s">
        <v>195</v>
      </c>
      <c r="C289" s="81" t="s">
        <v>196</v>
      </c>
      <c r="D289" s="81" t="s">
        <v>162</v>
      </c>
      <c r="E289" s="81" t="s">
        <v>24</v>
      </c>
      <c r="F289" s="81" t="str">
        <f>IF(E289="", "", IF(COUNTIF(ChestType!$A$5:$A$195, E289)&gt;0, VLOOKUP(E289, ChestType!$A$5:$B$195, 2, 0), "Others"))</f>
        <v>Bank</v>
      </c>
    </row>
    <row r="290" spans="1:6" x14ac:dyDescent="0.25">
      <c r="A290" s="14">
        <v>46153.647222222222</v>
      </c>
      <c r="B290" s="81" t="s">
        <v>195</v>
      </c>
      <c r="C290" s="81" t="s">
        <v>196</v>
      </c>
      <c r="D290" s="81" t="s">
        <v>162</v>
      </c>
      <c r="E290" s="81" t="s">
        <v>24</v>
      </c>
      <c r="F290" s="81" t="str">
        <f>IF(E290="", "", IF(COUNTIF(ChestType!$A$5:$A$195, E290)&gt;0, VLOOKUP(E290, ChestType!$A$5:$B$195, 2, 0), "Others"))</f>
        <v>Bank</v>
      </c>
    </row>
    <row r="291" spans="1:6" x14ac:dyDescent="0.25">
      <c r="A291" s="14">
        <v>46153.666666666664</v>
      </c>
      <c r="B291" s="81" t="s">
        <v>149</v>
      </c>
      <c r="C291" s="81" t="s">
        <v>185</v>
      </c>
      <c r="D291" s="81" t="s">
        <v>168</v>
      </c>
      <c r="E291" s="81" t="s">
        <v>49</v>
      </c>
      <c r="F291" s="81" t="str">
        <f>IF(E291="", "", IF(COUNTIF(ChestType!$A$5:$A$195, E291)&gt;0, VLOOKUP(E291, ChestType!$A$5:$B$195, 2, 0), "Others"))</f>
        <v>L15 Crypt</v>
      </c>
    </row>
    <row r="292" spans="1:6" x14ac:dyDescent="0.25">
      <c r="A292" s="14">
        <v>46153.666666666664</v>
      </c>
      <c r="B292" s="81" t="s">
        <v>149</v>
      </c>
      <c r="C292" s="81" t="s">
        <v>181</v>
      </c>
      <c r="D292" s="81" t="s">
        <v>157</v>
      </c>
      <c r="E292" s="81" t="s">
        <v>50</v>
      </c>
      <c r="F292" s="81" t="str">
        <f>IF(E292="", "", IF(COUNTIF(ChestType!$A$5:$A$195, E292)&gt;0, VLOOKUP(E292, ChestType!$A$5:$B$195, 2, 0), "Others"))</f>
        <v>L10 Crypt</v>
      </c>
    </row>
    <row r="293" spans="1:6" x14ac:dyDescent="0.25">
      <c r="A293" s="14">
        <v>46153.666666666664</v>
      </c>
      <c r="B293" s="81" t="s">
        <v>149</v>
      </c>
      <c r="C293" s="81" t="s">
        <v>190</v>
      </c>
      <c r="D293" s="81" t="s">
        <v>168</v>
      </c>
      <c r="E293" s="81" t="s">
        <v>49</v>
      </c>
      <c r="F293" s="81" t="str">
        <f>IF(E293="", "", IF(COUNTIF(ChestType!$A$5:$A$195, E293)&gt;0, VLOOKUP(E293, ChestType!$A$5:$B$195, 2, 0), "Others"))</f>
        <v>L15 Crypt</v>
      </c>
    </row>
    <row r="294" spans="1:6" x14ac:dyDescent="0.25">
      <c r="A294" s="14">
        <v>46153.666666666664</v>
      </c>
      <c r="B294" s="81" t="s">
        <v>149</v>
      </c>
      <c r="C294" s="81" t="s">
        <v>173</v>
      </c>
      <c r="D294" s="81" t="s">
        <v>168</v>
      </c>
      <c r="E294" s="81" t="s">
        <v>49</v>
      </c>
      <c r="F294" s="81" t="str">
        <f>IF(E294="", "", IF(COUNTIF(ChestType!$A$5:$A$195, E294)&gt;0, VLOOKUP(E294, ChestType!$A$5:$B$195, 2, 0), "Others"))</f>
        <v>L15 Crypt</v>
      </c>
    </row>
    <row r="295" spans="1:6" x14ac:dyDescent="0.25">
      <c r="A295" s="14">
        <v>46153.666666666664</v>
      </c>
      <c r="B295" s="81" t="s">
        <v>149</v>
      </c>
      <c r="C295" s="81" t="s">
        <v>171</v>
      </c>
      <c r="D295" s="81" t="s">
        <v>168</v>
      </c>
      <c r="E295" s="81" t="s">
        <v>49</v>
      </c>
      <c r="F295" s="81" t="str">
        <f>IF(E295="", "", IF(COUNTIF(ChestType!$A$5:$A$195, E295)&gt;0, VLOOKUP(E295, ChestType!$A$5:$B$195, 2, 0), "Others"))</f>
        <v>L15 Crypt</v>
      </c>
    </row>
    <row r="296" spans="1:6" x14ac:dyDescent="0.25">
      <c r="A296" s="14">
        <v>46153.666666666664</v>
      </c>
      <c r="B296" s="81" t="s">
        <v>149</v>
      </c>
      <c r="C296" s="81" t="s">
        <v>173</v>
      </c>
      <c r="D296" s="81" t="s">
        <v>168</v>
      </c>
      <c r="E296" s="81" t="s">
        <v>50</v>
      </c>
      <c r="F296" s="81" t="str">
        <f>IF(E296="", "", IF(COUNTIF(ChestType!$A$5:$A$195, E296)&gt;0, VLOOKUP(E296, ChestType!$A$5:$B$195, 2, 0), "Others"))</f>
        <v>L10 Crypt</v>
      </c>
    </row>
    <row r="297" spans="1:6" x14ac:dyDescent="0.25">
      <c r="A297" s="14">
        <v>46153.666666666664</v>
      </c>
      <c r="B297" s="81" t="s">
        <v>149</v>
      </c>
      <c r="C297" s="81" t="s">
        <v>151</v>
      </c>
      <c r="D297" s="81" t="s">
        <v>157</v>
      </c>
      <c r="E297" s="81" t="s">
        <v>50</v>
      </c>
      <c r="F297" s="81" t="str">
        <f>IF(E297="", "", IF(COUNTIF(ChestType!$A$5:$A$195, E297)&gt;0, VLOOKUP(E297, ChestType!$A$5:$B$195, 2, 0), "Others"))</f>
        <v>L10 Crypt</v>
      </c>
    </row>
    <row r="298" spans="1:6" x14ac:dyDescent="0.25">
      <c r="A298" s="14">
        <v>46153.666666666664</v>
      </c>
      <c r="B298" s="81" t="s">
        <v>149</v>
      </c>
      <c r="C298" s="81" t="s">
        <v>181</v>
      </c>
      <c r="D298" s="81" t="s">
        <v>250</v>
      </c>
      <c r="E298" s="81" t="s">
        <v>52</v>
      </c>
      <c r="F298" s="81" t="str">
        <f>IF(E298="", "", IF(COUNTIF(ChestType!$A$5:$A$195, E298)&gt;0, VLOOKUP(E298, ChestType!$A$5:$B$195, 2, 0), "Others"))</f>
        <v>L5 Crypt</v>
      </c>
    </row>
    <row r="299" spans="1:6" x14ac:dyDescent="0.25">
      <c r="A299" s="14">
        <v>46153.666666666664</v>
      </c>
      <c r="B299" s="81" t="s">
        <v>149</v>
      </c>
      <c r="C299" s="81" t="s">
        <v>151</v>
      </c>
      <c r="D299" s="81" t="s">
        <v>265</v>
      </c>
      <c r="E299" s="81" t="s">
        <v>50</v>
      </c>
      <c r="F299" s="81" t="str">
        <f>IF(E299="", "", IF(COUNTIF(ChestType!$A$5:$A$195, E299)&gt;0, VLOOKUP(E299, ChestType!$A$5:$B$195, 2, 0), "Others"))</f>
        <v>L10 Crypt</v>
      </c>
    </row>
    <row r="300" spans="1:6" x14ac:dyDescent="0.25">
      <c r="A300" s="14">
        <v>46153.666666666664</v>
      </c>
      <c r="B300" s="81" t="s">
        <v>149</v>
      </c>
      <c r="C300" s="81" t="s">
        <v>185</v>
      </c>
      <c r="D300" s="81" t="s">
        <v>555</v>
      </c>
      <c r="E300" s="81" t="s">
        <v>50</v>
      </c>
      <c r="F300" s="81" t="str">
        <f>IF(E300="", "", IF(COUNTIF(ChestType!$A$5:$A$195, E300)&gt;0, VLOOKUP(E300, ChestType!$A$5:$B$195, 2, 0), "Others"))</f>
        <v>L10 Crypt</v>
      </c>
    </row>
    <row r="301" spans="1:6" x14ac:dyDescent="0.25">
      <c r="A301" s="14">
        <v>46153.666666666664</v>
      </c>
      <c r="B301" s="81" t="s">
        <v>149</v>
      </c>
      <c r="C301" s="81" t="s">
        <v>181</v>
      </c>
      <c r="D301" s="81" t="s">
        <v>265</v>
      </c>
      <c r="E301" s="81" t="s">
        <v>49</v>
      </c>
      <c r="F301" s="81" t="str">
        <f>IF(E301="", "", IF(COUNTIF(ChestType!$A$5:$A$195, E301)&gt;0, VLOOKUP(E301, ChestType!$A$5:$B$195, 2, 0), "Others"))</f>
        <v>L15 Crypt</v>
      </c>
    </row>
    <row r="302" spans="1:6" x14ac:dyDescent="0.25">
      <c r="A302" s="14">
        <v>46153.666666666664</v>
      </c>
      <c r="B302" s="81" t="s">
        <v>149</v>
      </c>
      <c r="C302" s="81" t="s">
        <v>183</v>
      </c>
      <c r="D302" s="81" t="s">
        <v>265</v>
      </c>
      <c r="E302" s="81" t="s">
        <v>50</v>
      </c>
      <c r="F302" s="81" t="str">
        <f>IF(E302="", "", IF(COUNTIF(ChestType!$A$5:$A$195, E302)&gt;0, VLOOKUP(E302, ChestType!$A$5:$B$195, 2, 0), "Others"))</f>
        <v>L10 Crypt</v>
      </c>
    </row>
  </sheetData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B5F9-6433-49D8-BF05-CD668D611F69}">
  <dimension ref="A1:AA5056"/>
  <sheetViews>
    <sheetView workbookViewId="0">
      <selection sqref="A1:F5056"/>
    </sheetView>
  </sheetViews>
  <sheetFormatPr defaultRowHeight="15" x14ac:dyDescent="0.25"/>
  <cols>
    <col min="1" max="1" width="15.7109375" bestFit="1" customWidth="1"/>
    <col min="2" max="2" width="14.7109375" bestFit="1" customWidth="1"/>
    <col min="3" max="3" width="26.28515625" bestFit="1" customWidth="1"/>
    <col min="4" max="4" width="20.42578125" bestFit="1" customWidth="1"/>
    <col min="5" max="5" width="32" bestFit="1" customWidth="1"/>
    <col min="6" max="6" width="15.140625" bestFit="1" customWidth="1"/>
    <col min="8" max="8" width="20.42578125" bestFit="1" customWidth="1"/>
    <col min="9" max="9" width="6.140625" customWidth="1"/>
    <col min="10" max="10" width="20.42578125" bestFit="1" customWidth="1"/>
    <col min="11" max="11" width="17.140625" customWidth="1"/>
    <col min="12" max="12" width="16" customWidth="1"/>
    <col min="13" max="13" width="7.42578125" customWidth="1"/>
    <col min="14" max="14" width="12.7109375" customWidth="1"/>
    <col min="15" max="15" width="11.140625" customWidth="1"/>
    <col min="16" max="16" width="15.5703125" customWidth="1"/>
    <col min="17" max="17" width="12.7109375" customWidth="1"/>
    <col min="18" max="18" width="11.140625" customWidth="1"/>
    <col min="19" max="19" width="15.140625" customWidth="1"/>
    <col min="20" max="20" width="15.5703125" customWidth="1"/>
    <col min="21" max="21" width="12.7109375" customWidth="1"/>
    <col min="22" max="22" width="11.140625" customWidth="1"/>
    <col min="23" max="23" width="15.140625" customWidth="1"/>
    <col min="24" max="24" width="15.5703125" customWidth="1"/>
    <col min="25" max="25" width="10.140625" customWidth="1"/>
    <col min="26" max="26" width="9.140625" customWidth="1"/>
    <col min="27" max="27" width="13.42578125" customWidth="1"/>
  </cols>
  <sheetData>
    <row r="1" spans="1:27" x14ac:dyDescent="0.25">
      <c r="A1" s="13" t="s">
        <v>154</v>
      </c>
      <c r="B1" t="s">
        <v>145</v>
      </c>
      <c r="C1" t="s">
        <v>146</v>
      </c>
      <c r="D1" t="s">
        <v>147</v>
      </c>
      <c r="E1" t="s">
        <v>148</v>
      </c>
      <c r="F1" s="21" t="s">
        <v>170</v>
      </c>
      <c r="H1" t="s">
        <v>249</v>
      </c>
      <c r="J1" t="s">
        <v>271</v>
      </c>
      <c r="K1" t="s">
        <v>270</v>
      </c>
    </row>
    <row r="2" spans="1:27" x14ac:dyDescent="0.25">
      <c r="A2" s="14">
        <v>46143.04583333333</v>
      </c>
      <c r="B2" s="81" t="s">
        <v>149</v>
      </c>
      <c r="C2" s="81" t="s">
        <v>158</v>
      </c>
      <c r="D2" s="81" t="s">
        <v>242</v>
      </c>
      <c r="E2" s="81" t="s">
        <v>49</v>
      </c>
      <c r="F2" s="81" t="s">
        <v>2</v>
      </c>
      <c r="H2" s="13" t="s">
        <v>259</v>
      </c>
      <c r="J2" t="s">
        <v>249</v>
      </c>
      <c r="K2" t="s">
        <v>35</v>
      </c>
      <c r="L2" t="s">
        <v>124</v>
      </c>
      <c r="M2" t="s">
        <v>24</v>
      </c>
      <c r="N2" t="s">
        <v>15</v>
      </c>
      <c r="O2" t="s">
        <v>1</v>
      </c>
      <c r="P2" t="s">
        <v>93</v>
      </c>
      <c r="Q2" t="s">
        <v>16</v>
      </c>
      <c r="R2" t="s">
        <v>2</v>
      </c>
      <c r="S2" t="s">
        <v>98</v>
      </c>
      <c r="T2" t="s">
        <v>94</v>
      </c>
      <c r="U2" t="s">
        <v>17</v>
      </c>
      <c r="V2" t="s">
        <v>3</v>
      </c>
      <c r="W2" t="s">
        <v>99</v>
      </c>
      <c r="X2" t="s">
        <v>95</v>
      </c>
      <c r="Y2" t="s">
        <v>0</v>
      </c>
      <c r="Z2" t="s">
        <v>28</v>
      </c>
      <c r="AA2" t="s">
        <v>248</v>
      </c>
    </row>
    <row r="3" spans="1:27" x14ac:dyDescent="0.25">
      <c r="A3" s="14">
        <v>46143.04583333333</v>
      </c>
      <c r="B3" s="81" t="s">
        <v>149</v>
      </c>
      <c r="C3" s="81" t="s">
        <v>235</v>
      </c>
      <c r="D3" s="81" t="s">
        <v>245</v>
      </c>
      <c r="E3" s="81" t="s">
        <v>73</v>
      </c>
      <c r="F3" s="81" t="s">
        <v>28</v>
      </c>
      <c r="H3" s="13" t="s">
        <v>221</v>
      </c>
      <c r="J3" s="13" t="s">
        <v>259</v>
      </c>
      <c r="K3" s="81"/>
      <c r="L3" s="81"/>
      <c r="M3" s="81">
        <v>3</v>
      </c>
      <c r="N3" s="81">
        <v>2</v>
      </c>
      <c r="O3" s="81">
        <v>17</v>
      </c>
      <c r="P3" s="81"/>
      <c r="Q3" s="81"/>
      <c r="R3" s="81"/>
      <c r="S3" s="81"/>
      <c r="T3" s="81"/>
      <c r="U3" s="81"/>
      <c r="V3" s="81"/>
      <c r="W3" s="81"/>
      <c r="X3" s="81"/>
      <c r="Y3" s="81">
        <v>7</v>
      </c>
      <c r="Z3" s="81">
        <v>5</v>
      </c>
      <c r="AA3" s="81">
        <v>34</v>
      </c>
    </row>
    <row r="4" spans="1:27" x14ac:dyDescent="0.25">
      <c r="A4" s="14">
        <v>46143.04583333333</v>
      </c>
      <c r="B4" s="81" t="s">
        <v>149</v>
      </c>
      <c r="C4" s="81" t="s">
        <v>175</v>
      </c>
      <c r="D4" s="81" t="s">
        <v>157</v>
      </c>
      <c r="E4" s="81" t="s">
        <v>50</v>
      </c>
      <c r="F4" s="81" t="s">
        <v>1</v>
      </c>
      <c r="H4" s="13" t="s">
        <v>262</v>
      </c>
      <c r="J4" s="13" t="s">
        <v>221</v>
      </c>
      <c r="K4" s="81">
        <v>5</v>
      </c>
      <c r="L4" s="81"/>
      <c r="M4" s="81"/>
      <c r="N4" s="81"/>
      <c r="O4" s="81">
        <v>7</v>
      </c>
      <c r="P4" s="81"/>
      <c r="Q4" s="81"/>
      <c r="R4" s="81">
        <v>2</v>
      </c>
      <c r="S4" s="81"/>
      <c r="T4" s="81"/>
      <c r="U4" s="81"/>
      <c r="V4" s="81"/>
      <c r="W4" s="81"/>
      <c r="X4" s="81"/>
      <c r="Y4" s="81">
        <v>7</v>
      </c>
      <c r="Z4" s="81"/>
      <c r="AA4" s="81">
        <v>21</v>
      </c>
    </row>
    <row r="5" spans="1:27" x14ac:dyDescent="0.25">
      <c r="A5" s="14">
        <v>46143.04583333333</v>
      </c>
      <c r="B5" s="81" t="s">
        <v>149</v>
      </c>
      <c r="C5" s="81" t="s">
        <v>182</v>
      </c>
      <c r="D5" s="81" t="s">
        <v>157</v>
      </c>
      <c r="E5" s="81" t="s">
        <v>50</v>
      </c>
      <c r="F5" s="81" t="s">
        <v>1</v>
      </c>
      <c r="H5" s="13" t="s">
        <v>269</v>
      </c>
      <c r="J5" s="13" t="s">
        <v>262</v>
      </c>
      <c r="K5" s="81"/>
      <c r="L5" s="81"/>
      <c r="M5" s="81"/>
      <c r="N5" s="81">
        <v>1</v>
      </c>
      <c r="O5" s="81">
        <v>3</v>
      </c>
      <c r="P5" s="81"/>
      <c r="Q5" s="81"/>
      <c r="R5" s="81">
        <v>1</v>
      </c>
      <c r="S5" s="81"/>
      <c r="T5" s="81"/>
      <c r="U5" s="81"/>
      <c r="V5" s="81"/>
      <c r="W5" s="81"/>
      <c r="X5" s="81"/>
      <c r="Y5" s="81">
        <v>18</v>
      </c>
      <c r="Z5" s="81">
        <v>1</v>
      </c>
      <c r="AA5" s="81">
        <v>24</v>
      </c>
    </row>
    <row r="6" spans="1:27" x14ac:dyDescent="0.25">
      <c r="A6" s="14">
        <v>46143.04583333333</v>
      </c>
      <c r="B6" s="81" t="s">
        <v>149</v>
      </c>
      <c r="C6" s="81" t="s">
        <v>235</v>
      </c>
      <c r="D6" s="81" t="s">
        <v>157</v>
      </c>
      <c r="E6" s="81" t="s">
        <v>73</v>
      </c>
      <c r="F6" s="81" t="s">
        <v>28</v>
      </c>
      <c r="H6" s="13" t="s">
        <v>164</v>
      </c>
      <c r="J6" s="13" t="s">
        <v>269</v>
      </c>
      <c r="K6" s="81"/>
      <c r="L6" s="81"/>
      <c r="M6" s="81">
        <v>12</v>
      </c>
      <c r="N6" s="81">
        <v>1</v>
      </c>
      <c r="O6" s="81">
        <v>3</v>
      </c>
      <c r="P6" s="81">
        <v>11</v>
      </c>
      <c r="Q6" s="81"/>
      <c r="R6" s="81">
        <v>2</v>
      </c>
      <c r="S6" s="81"/>
      <c r="T6" s="81">
        <v>1</v>
      </c>
      <c r="U6" s="81"/>
      <c r="V6" s="81"/>
      <c r="W6" s="81"/>
      <c r="X6" s="81"/>
      <c r="Y6" s="81">
        <v>5</v>
      </c>
      <c r="Z6" s="81"/>
      <c r="AA6" s="81">
        <v>35</v>
      </c>
    </row>
    <row r="7" spans="1:27" x14ac:dyDescent="0.25">
      <c r="A7" s="14">
        <v>46143.04583333333</v>
      </c>
      <c r="B7" s="81" t="s">
        <v>149</v>
      </c>
      <c r="C7" s="81" t="s">
        <v>181</v>
      </c>
      <c r="D7" s="81" t="s">
        <v>222</v>
      </c>
      <c r="E7" s="81" t="s">
        <v>49</v>
      </c>
      <c r="F7" s="81" t="s">
        <v>2</v>
      </c>
      <c r="H7" s="13" t="s">
        <v>251</v>
      </c>
      <c r="J7" s="13" t="s">
        <v>164</v>
      </c>
      <c r="K7" s="81"/>
      <c r="L7" s="81"/>
      <c r="M7" s="81"/>
      <c r="N7" s="81"/>
      <c r="O7" s="81">
        <v>24</v>
      </c>
      <c r="P7" s="81">
        <v>6</v>
      </c>
      <c r="Q7" s="81"/>
      <c r="R7" s="81">
        <v>9</v>
      </c>
      <c r="S7" s="81">
        <v>2</v>
      </c>
      <c r="T7" s="81"/>
      <c r="U7" s="81"/>
      <c r="V7" s="81"/>
      <c r="W7" s="81"/>
      <c r="X7" s="81"/>
      <c r="Y7" s="81">
        <v>3</v>
      </c>
      <c r="Z7" s="81">
        <v>3</v>
      </c>
      <c r="AA7" s="81">
        <v>47</v>
      </c>
    </row>
    <row r="8" spans="1:27" x14ac:dyDescent="0.25">
      <c r="A8" s="14">
        <v>46143.04583333333</v>
      </c>
      <c r="B8" s="81" t="s">
        <v>149</v>
      </c>
      <c r="C8" s="81" t="s">
        <v>158</v>
      </c>
      <c r="D8" s="81" t="s">
        <v>252</v>
      </c>
      <c r="E8" s="81" t="s">
        <v>52</v>
      </c>
      <c r="F8" s="81" t="s">
        <v>0</v>
      </c>
      <c r="H8" s="13" t="s">
        <v>224</v>
      </c>
      <c r="J8" s="13" t="s">
        <v>251</v>
      </c>
      <c r="K8" s="81">
        <v>13</v>
      </c>
      <c r="L8" s="81"/>
      <c r="M8" s="81">
        <v>15</v>
      </c>
      <c r="N8" s="81">
        <v>1</v>
      </c>
      <c r="O8" s="81">
        <v>2</v>
      </c>
      <c r="P8" s="81">
        <v>1</v>
      </c>
      <c r="Q8" s="81"/>
      <c r="R8" s="81">
        <v>24</v>
      </c>
      <c r="S8" s="81">
        <v>3</v>
      </c>
      <c r="T8" s="81"/>
      <c r="U8" s="81"/>
      <c r="V8" s="81"/>
      <c r="W8" s="81"/>
      <c r="X8" s="81"/>
      <c r="Y8" s="81"/>
      <c r="Z8" s="81">
        <v>7</v>
      </c>
      <c r="AA8" s="81">
        <v>66</v>
      </c>
    </row>
    <row r="9" spans="1:27" x14ac:dyDescent="0.25">
      <c r="A9" s="14">
        <v>46143.04583333333</v>
      </c>
      <c r="B9" s="81" t="s">
        <v>149</v>
      </c>
      <c r="C9" s="81" t="s">
        <v>175</v>
      </c>
      <c r="D9" s="81" t="s">
        <v>253</v>
      </c>
      <c r="E9" s="81" t="s">
        <v>52</v>
      </c>
      <c r="F9" s="81" t="s">
        <v>0</v>
      </c>
      <c r="H9" s="13" t="s">
        <v>169</v>
      </c>
      <c r="J9" s="13" t="s">
        <v>224</v>
      </c>
      <c r="K9" s="81"/>
      <c r="L9" s="81"/>
      <c r="M9" s="81"/>
      <c r="N9" s="81">
        <v>1</v>
      </c>
      <c r="O9" s="81">
        <v>2</v>
      </c>
      <c r="P9" s="81"/>
      <c r="Q9" s="81"/>
      <c r="R9" s="81"/>
      <c r="S9" s="81"/>
      <c r="T9" s="81"/>
      <c r="U9" s="81"/>
      <c r="V9" s="81"/>
      <c r="W9" s="81"/>
      <c r="X9" s="81"/>
      <c r="Y9" s="81">
        <v>2</v>
      </c>
      <c r="Z9" s="81">
        <v>1</v>
      </c>
      <c r="AA9" s="81">
        <v>6</v>
      </c>
    </row>
    <row r="10" spans="1:27" x14ac:dyDescent="0.25">
      <c r="A10" s="14">
        <v>46143.04583333333</v>
      </c>
      <c r="B10" s="81" t="s">
        <v>149</v>
      </c>
      <c r="C10" s="81" t="s">
        <v>190</v>
      </c>
      <c r="D10" s="81" t="s">
        <v>222</v>
      </c>
      <c r="E10" s="81" t="s">
        <v>48</v>
      </c>
      <c r="F10" s="81" t="s">
        <v>3</v>
      </c>
      <c r="H10" s="13" t="s">
        <v>254</v>
      </c>
      <c r="J10" s="13" t="s">
        <v>169</v>
      </c>
      <c r="K10" s="81"/>
      <c r="L10" s="81"/>
      <c r="M10" s="81"/>
      <c r="N10" s="81"/>
      <c r="O10" s="81">
        <v>9</v>
      </c>
      <c r="P10" s="81"/>
      <c r="Q10" s="81"/>
      <c r="R10" s="81">
        <v>1</v>
      </c>
      <c r="S10" s="81"/>
      <c r="T10" s="81"/>
      <c r="U10" s="81"/>
      <c r="V10" s="81"/>
      <c r="W10" s="81"/>
      <c r="X10" s="81"/>
      <c r="Y10" s="81">
        <v>13</v>
      </c>
      <c r="Z10" s="81"/>
      <c r="AA10" s="81">
        <v>23</v>
      </c>
    </row>
    <row r="11" spans="1:27" x14ac:dyDescent="0.25">
      <c r="A11" s="14">
        <v>46143.04583333333</v>
      </c>
      <c r="B11" s="81" t="s">
        <v>149</v>
      </c>
      <c r="C11" s="81" t="s">
        <v>173</v>
      </c>
      <c r="D11" s="81" t="s">
        <v>231</v>
      </c>
      <c r="E11" s="81" t="s">
        <v>49</v>
      </c>
      <c r="F11" s="81" t="s">
        <v>2</v>
      </c>
      <c r="H11" s="13" t="s">
        <v>241</v>
      </c>
      <c r="J11" s="13" t="s">
        <v>254</v>
      </c>
      <c r="K11" s="81">
        <v>5</v>
      </c>
      <c r="L11" s="81"/>
      <c r="M11" s="81">
        <v>69</v>
      </c>
      <c r="N11" s="81">
        <v>25</v>
      </c>
      <c r="O11" s="81">
        <v>3</v>
      </c>
      <c r="P11" s="81">
        <v>3</v>
      </c>
      <c r="Q11" s="81">
        <v>3</v>
      </c>
      <c r="R11" s="81">
        <v>17</v>
      </c>
      <c r="S11" s="81">
        <v>3</v>
      </c>
      <c r="T11" s="81">
        <v>8</v>
      </c>
      <c r="U11" s="81"/>
      <c r="V11" s="81"/>
      <c r="W11" s="81"/>
      <c r="X11" s="81"/>
      <c r="Y11" s="81"/>
      <c r="Z11" s="81">
        <v>19</v>
      </c>
      <c r="AA11" s="81">
        <v>155</v>
      </c>
    </row>
    <row r="12" spans="1:27" x14ac:dyDescent="0.25">
      <c r="A12" s="14">
        <v>46143.04583333333</v>
      </c>
      <c r="B12" s="81" t="s">
        <v>149</v>
      </c>
      <c r="C12" s="81" t="s">
        <v>190</v>
      </c>
      <c r="D12" s="81" t="s">
        <v>231</v>
      </c>
      <c r="E12" s="81" t="s">
        <v>50</v>
      </c>
      <c r="F12" s="81" t="s">
        <v>1</v>
      </c>
      <c r="H12" s="13" t="s">
        <v>186</v>
      </c>
      <c r="J12" s="13" t="s">
        <v>241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>
        <v>4</v>
      </c>
      <c r="AA12" s="81">
        <v>4</v>
      </c>
    </row>
    <row r="13" spans="1:27" x14ac:dyDescent="0.25">
      <c r="A13" s="14">
        <v>46143.04583333333</v>
      </c>
      <c r="B13" s="81" t="s">
        <v>195</v>
      </c>
      <c r="C13" s="81" t="s">
        <v>209</v>
      </c>
      <c r="D13" s="81" t="s">
        <v>222</v>
      </c>
      <c r="E13" s="81" t="s">
        <v>24</v>
      </c>
      <c r="F13" s="81" t="s">
        <v>24</v>
      </c>
      <c r="H13" s="13" t="s">
        <v>245</v>
      </c>
      <c r="J13" s="13" t="s">
        <v>186</v>
      </c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>
        <v>1</v>
      </c>
      <c r="AA13" s="81">
        <v>1</v>
      </c>
    </row>
    <row r="14" spans="1:27" x14ac:dyDescent="0.25">
      <c r="A14" s="14">
        <v>46143.04583333333</v>
      </c>
      <c r="B14" s="81" t="s">
        <v>195</v>
      </c>
      <c r="C14" s="81" t="s">
        <v>209</v>
      </c>
      <c r="D14" s="81" t="s">
        <v>222</v>
      </c>
      <c r="E14" s="81" t="s">
        <v>24</v>
      </c>
      <c r="F14" s="81" t="s">
        <v>24</v>
      </c>
      <c r="H14" s="13" t="s">
        <v>216</v>
      </c>
      <c r="J14" s="13" t="s">
        <v>245</v>
      </c>
      <c r="K14" s="81"/>
      <c r="L14" s="81">
        <v>2</v>
      </c>
      <c r="M14" s="81">
        <v>6</v>
      </c>
      <c r="N14" s="81"/>
      <c r="O14" s="81">
        <v>1</v>
      </c>
      <c r="P14" s="81">
        <v>1</v>
      </c>
      <c r="Q14" s="81"/>
      <c r="R14" s="81">
        <v>11</v>
      </c>
      <c r="S14" s="81"/>
      <c r="T14" s="81"/>
      <c r="U14" s="81"/>
      <c r="V14" s="81"/>
      <c r="W14" s="81"/>
      <c r="X14" s="81"/>
      <c r="Y14" s="81"/>
      <c r="Z14" s="81">
        <v>5</v>
      </c>
      <c r="AA14" s="81">
        <v>26</v>
      </c>
    </row>
    <row r="15" spans="1:27" x14ac:dyDescent="0.25">
      <c r="A15" s="14">
        <v>46143.04583333333</v>
      </c>
      <c r="B15" s="81" t="s">
        <v>195</v>
      </c>
      <c r="C15" s="81" t="s">
        <v>209</v>
      </c>
      <c r="D15" s="81" t="s">
        <v>222</v>
      </c>
      <c r="E15" s="81" t="s">
        <v>24</v>
      </c>
      <c r="F15" s="81" t="s">
        <v>24</v>
      </c>
      <c r="H15" s="13" t="s">
        <v>859</v>
      </c>
      <c r="J15" s="13" t="s">
        <v>216</v>
      </c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>
        <v>1</v>
      </c>
      <c r="AA15" s="81">
        <v>1</v>
      </c>
    </row>
    <row r="16" spans="1:27" x14ac:dyDescent="0.25">
      <c r="A16" s="14">
        <v>46143.04583333333</v>
      </c>
      <c r="B16" s="81" t="s">
        <v>195</v>
      </c>
      <c r="C16" s="81" t="s">
        <v>198</v>
      </c>
      <c r="D16" s="81" t="s">
        <v>254</v>
      </c>
      <c r="E16" s="81" t="s">
        <v>24</v>
      </c>
      <c r="F16" s="81" t="s">
        <v>24</v>
      </c>
      <c r="H16" s="13" t="s">
        <v>153</v>
      </c>
      <c r="J16" s="13" t="s">
        <v>153</v>
      </c>
      <c r="K16" s="81"/>
      <c r="L16" s="81">
        <v>2</v>
      </c>
      <c r="M16" s="81"/>
      <c r="N16" s="81">
        <v>4</v>
      </c>
      <c r="O16" s="81">
        <v>22</v>
      </c>
      <c r="P16" s="81">
        <v>4</v>
      </c>
      <c r="Q16" s="81"/>
      <c r="R16" s="81">
        <v>8</v>
      </c>
      <c r="S16" s="81">
        <v>3</v>
      </c>
      <c r="T16" s="81"/>
      <c r="U16" s="81"/>
      <c r="V16" s="81"/>
      <c r="W16" s="81"/>
      <c r="X16" s="81"/>
      <c r="Y16" s="81">
        <v>22</v>
      </c>
      <c r="Z16" s="81">
        <v>5</v>
      </c>
      <c r="AA16" s="81">
        <v>70</v>
      </c>
    </row>
    <row r="17" spans="1:27" x14ac:dyDescent="0.25">
      <c r="A17" s="14">
        <v>46143.04583333333</v>
      </c>
      <c r="B17" s="81" t="s">
        <v>195</v>
      </c>
      <c r="C17" s="81" t="s">
        <v>198</v>
      </c>
      <c r="D17" s="81" t="s">
        <v>254</v>
      </c>
      <c r="E17" s="81" t="s">
        <v>24</v>
      </c>
      <c r="F17" s="81" t="s">
        <v>24</v>
      </c>
      <c r="H17" s="13" t="s">
        <v>157</v>
      </c>
      <c r="J17" s="13" t="s">
        <v>157</v>
      </c>
      <c r="K17" s="81">
        <v>8</v>
      </c>
      <c r="L17" s="81">
        <v>6</v>
      </c>
      <c r="M17" s="81">
        <v>6</v>
      </c>
      <c r="N17" s="81">
        <v>7</v>
      </c>
      <c r="O17" s="81">
        <v>99</v>
      </c>
      <c r="P17" s="81">
        <v>10</v>
      </c>
      <c r="Q17" s="81">
        <v>3</v>
      </c>
      <c r="R17" s="81">
        <v>15</v>
      </c>
      <c r="S17" s="81">
        <v>10</v>
      </c>
      <c r="T17" s="81">
        <v>4</v>
      </c>
      <c r="U17" s="81">
        <v>1</v>
      </c>
      <c r="V17" s="81">
        <v>2</v>
      </c>
      <c r="W17" s="81"/>
      <c r="X17" s="81"/>
      <c r="Y17" s="81">
        <v>5</v>
      </c>
      <c r="Z17" s="81">
        <v>37</v>
      </c>
      <c r="AA17" s="81">
        <v>213</v>
      </c>
    </row>
    <row r="18" spans="1:27" x14ac:dyDescent="0.25">
      <c r="A18" s="14">
        <v>46143.04583333333</v>
      </c>
      <c r="B18" s="81" t="s">
        <v>195</v>
      </c>
      <c r="C18" s="81" t="s">
        <v>198</v>
      </c>
      <c r="D18" s="81" t="s">
        <v>254</v>
      </c>
      <c r="E18" s="81" t="s">
        <v>24</v>
      </c>
      <c r="F18" s="81" t="s">
        <v>24</v>
      </c>
      <c r="H18" s="13" t="s">
        <v>842</v>
      </c>
      <c r="J18" s="13" t="s">
        <v>166</v>
      </c>
      <c r="K18" s="81"/>
      <c r="L18" s="81"/>
      <c r="M18" s="81">
        <v>12</v>
      </c>
      <c r="N18" s="81">
        <v>9</v>
      </c>
      <c r="O18" s="81">
        <v>40</v>
      </c>
      <c r="P18" s="81">
        <v>9</v>
      </c>
      <c r="Q18" s="81">
        <v>1</v>
      </c>
      <c r="R18" s="81">
        <v>2</v>
      </c>
      <c r="S18" s="81">
        <v>6</v>
      </c>
      <c r="T18" s="81">
        <v>2</v>
      </c>
      <c r="U18" s="81"/>
      <c r="V18" s="81"/>
      <c r="W18" s="81"/>
      <c r="X18" s="81"/>
      <c r="Y18" s="81">
        <v>3</v>
      </c>
      <c r="Z18" s="81">
        <v>2</v>
      </c>
      <c r="AA18" s="81">
        <v>86</v>
      </c>
    </row>
    <row r="19" spans="1:27" x14ac:dyDescent="0.25">
      <c r="A19" s="14">
        <v>46143.073611111111</v>
      </c>
      <c r="B19" s="81" t="s">
        <v>149</v>
      </c>
      <c r="C19" s="81" t="s">
        <v>232</v>
      </c>
      <c r="D19" s="81" t="s">
        <v>222</v>
      </c>
      <c r="E19" s="81" t="s">
        <v>44</v>
      </c>
      <c r="F19" s="81" t="s">
        <v>17</v>
      </c>
      <c r="H19" s="13" t="s">
        <v>166</v>
      </c>
      <c r="J19" s="13" t="s">
        <v>204</v>
      </c>
      <c r="K19" s="81">
        <v>18</v>
      </c>
      <c r="L19" s="81">
        <v>1</v>
      </c>
      <c r="M19" s="81">
        <v>3</v>
      </c>
      <c r="N19" s="81">
        <v>2</v>
      </c>
      <c r="O19" s="81">
        <v>24</v>
      </c>
      <c r="P19" s="81"/>
      <c r="Q19" s="81"/>
      <c r="R19" s="81">
        <v>17</v>
      </c>
      <c r="S19" s="81"/>
      <c r="T19" s="81"/>
      <c r="U19" s="81"/>
      <c r="V19" s="81"/>
      <c r="W19" s="81"/>
      <c r="X19" s="81"/>
      <c r="Y19" s="81"/>
      <c r="Z19" s="81">
        <v>7</v>
      </c>
      <c r="AA19" s="81">
        <v>72</v>
      </c>
    </row>
    <row r="20" spans="1:27" x14ac:dyDescent="0.25">
      <c r="A20" s="14">
        <v>46143.073611111111</v>
      </c>
      <c r="B20" s="81" t="s">
        <v>149</v>
      </c>
      <c r="C20" s="81" t="s">
        <v>187</v>
      </c>
      <c r="D20" s="81" t="s">
        <v>152</v>
      </c>
      <c r="E20" s="81" t="s">
        <v>54</v>
      </c>
      <c r="F20" s="81" t="s">
        <v>95</v>
      </c>
      <c r="H20" s="13" t="s">
        <v>204</v>
      </c>
      <c r="J20" s="13" t="s">
        <v>152</v>
      </c>
      <c r="K20" s="81">
        <v>5</v>
      </c>
      <c r="L20" s="81">
        <v>11</v>
      </c>
      <c r="M20" s="81">
        <v>9</v>
      </c>
      <c r="N20" s="81"/>
      <c r="O20" s="81">
        <v>45</v>
      </c>
      <c r="P20" s="81">
        <v>1</v>
      </c>
      <c r="Q20" s="81"/>
      <c r="R20" s="81">
        <v>107</v>
      </c>
      <c r="S20" s="81">
        <v>13</v>
      </c>
      <c r="T20" s="81">
        <v>1</v>
      </c>
      <c r="U20" s="81"/>
      <c r="V20" s="81">
        <v>4</v>
      </c>
      <c r="W20" s="81">
        <v>2</v>
      </c>
      <c r="X20" s="81">
        <v>1</v>
      </c>
      <c r="Y20" s="81"/>
      <c r="Z20" s="81">
        <v>15</v>
      </c>
      <c r="AA20" s="81">
        <v>214</v>
      </c>
    </row>
    <row r="21" spans="1:27" x14ac:dyDescent="0.25">
      <c r="A21" s="14">
        <v>46143.073611111111</v>
      </c>
      <c r="B21" s="81" t="s">
        <v>149</v>
      </c>
      <c r="C21" s="81" t="s">
        <v>187</v>
      </c>
      <c r="D21" s="81" t="s">
        <v>156</v>
      </c>
      <c r="E21" s="81" t="s">
        <v>75</v>
      </c>
      <c r="F21" s="81" t="s">
        <v>93</v>
      </c>
      <c r="H21" s="13" t="s">
        <v>152</v>
      </c>
      <c r="J21" s="13" t="s">
        <v>252</v>
      </c>
      <c r="K21" s="81"/>
      <c r="L21" s="81"/>
      <c r="M21" s="81"/>
      <c r="N21" s="81"/>
      <c r="O21" s="81">
        <v>18</v>
      </c>
      <c r="P21" s="81"/>
      <c r="Q21" s="81"/>
      <c r="R21" s="81"/>
      <c r="S21" s="81"/>
      <c r="T21" s="81"/>
      <c r="U21" s="81"/>
      <c r="V21" s="81"/>
      <c r="W21" s="81"/>
      <c r="X21" s="81"/>
      <c r="Y21" s="81">
        <v>7</v>
      </c>
      <c r="Z21" s="81">
        <v>3</v>
      </c>
      <c r="AA21" s="81">
        <v>28</v>
      </c>
    </row>
    <row r="22" spans="1:27" x14ac:dyDescent="0.25">
      <c r="A22" s="14">
        <v>46143.073611111111</v>
      </c>
      <c r="B22" s="81" t="s">
        <v>149</v>
      </c>
      <c r="C22" s="81" t="s">
        <v>187</v>
      </c>
      <c r="D22" s="81" t="s">
        <v>156</v>
      </c>
      <c r="E22" s="81" t="s">
        <v>75</v>
      </c>
      <c r="F22" s="81" t="s">
        <v>93</v>
      </c>
      <c r="H22" s="13" t="s">
        <v>252</v>
      </c>
      <c r="J22" s="13" t="s">
        <v>165</v>
      </c>
      <c r="K22" s="81">
        <v>13</v>
      </c>
      <c r="L22" s="81"/>
      <c r="M22" s="81"/>
      <c r="N22" s="81">
        <v>3</v>
      </c>
      <c r="O22" s="81">
        <v>126</v>
      </c>
      <c r="P22" s="81">
        <v>26</v>
      </c>
      <c r="Q22" s="81"/>
      <c r="R22" s="81">
        <v>5</v>
      </c>
      <c r="S22" s="81">
        <v>6</v>
      </c>
      <c r="T22" s="81"/>
      <c r="U22" s="81"/>
      <c r="V22" s="81"/>
      <c r="W22" s="81"/>
      <c r="X22" s="81"/>
      <c r="Y22" s="81">
        <v>11</v>
      </c>
      <c r="Z22" s="81">
        <v>13</v>
      </c>
      <c r="AA22" s="81">
        <v>203</v>
      </c>
    </row>
    <row r="23" spans="1:27" x14ac:dyDescent="0.25">
      <c r="A23" s="14">
        <v>46143.073611111111</v>
      </c>
      <c r="B23" s="81" t="s">
        <v>149</v>
      </c>
      <c r="C23" s="81" t="s">
        <v>181</v>
      </c>
      <c r="D23" s="81" t="s">
        <v>168</v>
      </c>
      <c r="E23" s="81" t="s">
        <v>50</v>
      </c>
      <c r="F23" s="81" t="s">
        <v>1</v>
      </c>
      <c r="H23" s="13" t="s">
        <v>165</v>
      </c>
      <c r="J23" s="13" t="s">
        <v>247</v>
      </c>
      <c r="K23" s="81">
        <v>4</v>
      </c>
      <c r="L23" s="81"/>
      <c r="M23" s="81">
        <v>6</v>
      </c>
      <c r="N23" s="81">
        <v>1</v>
      </c>
      <c r="O23" s="81">
        <v>5</v>
      </c>
      <c r="P23" s="81">
        <v>2</v>
      </c>
      <c r="Q23" s="81"/>
      <c r="R23" s="81">
        <v>1</v>
      </c>
      <c r="S23" s="81"/>
      <c r="T23" s="81"/>
      <c r="U23" s="81"/>
      <c r="V23" s="81"/>
      <c r="W23" s="81"/>
      <c r="X23" s="81"/>
      <c r="Y23" s="81">
        <v>1</v>
      </c>
      <c r="Z23" s="81">
        <v>2</v>
      </c>
      <c r="AA23" s="81">
        <v>22</v>
      </c>
    </row>
    <row r="24" spans="1:27" x14ac:dyDescent="0.25">
      <c r="A24" s="14">
        <v>46143.073611111111</v>
      </c>
      <c r="B24" s="81" t="s">
        <v>149</v>
      </c>
      <c r="C24" s="81" t="s">
        <v>187</v>
      </c>
      <c r="D24" s="81" t="s">
        <v>156</v>
      </c>
      <c r="E24" s="81" t="s">
        <v>75</v>
      </c>
      <c r="F24" s="81" t="s">
        <v>93</v>
      </c>
      <c r="H24" s="13" t="s">
        <v>247</v>
      </c>
      <c r="J24" s="13" t="s">
        <v>191</v>
      </c>
      <c r="K24" s="81">
        <v>5</v>
      </c>
      <c r="L24" s="81"/>
      <c r="M24" s="81"/>
      <c r="N24" s="81"/>
      <c r="O24" s="81">
        <v>9</v>
      </c>
      <c r="P24" s="81"/>
      <c r="Q24" s="81"/>
      <c r="R24" s="81">
        <v>7</v>
      </c>
      <c r="S24" s="81"/>
      <c r="T24" s="81"/>
      <c r="U24" s="81"/>
      <c r="V24" s="81"/>
      <c r="W24" s="81"/>
      <c r="X24" s="81"/>
      <c r="Y24" s="81">
        <v>5</v>
      </c>
      <c r="Z24" s="81">
        <v>8</v>
      </c>
      <c r="AA24" s="81">
        <v>34</v>
      </c>
    </row>
    <row r="25" spans="1:27" x14ac:dyDescent="0.25">
      <c r="A25" s="14">
        <v>46143.073611111111</v>
      </c>
      <c r="B25" s="81" t="s">
        <v>149</v>
      </c>
      <c r="C25" s="81" t="s">
        <v>171</v>
      </c>
      <c r="D25" s="81" t="s">
        <v>168</v>
      </c>
      <c r="E25" s="81" t="s">
        <v>49</v>
      </c>
      <c r="F25" s="81" t="s">
        <v>2</v>
      </c>
      <c r="H25" s="13" t="s">
        <v>191</v>
      </c>
      <c r="J25" s="13" t="s">
        <v>159</v>
      </c>
      <c r="K25" s="81">
        <v>5</v>
      </c>
      <c r="L25" s="81"/>
      <c r="M25" s="81"/>
      <c r="N25" s="81">
        <v>2</v>
      </c>
      <c r="O25" s="81">
        <v>5</v>
      </c>
      <c r="P25" s="81"/>
      <c r="Q25" s="81"/>
      <c r="R25" s="81"/>
      <c r="S25" s="81"/>
      <c r="T25" s="81"/>
      <c r="U25" s="81"/>
      <c r="V25" s="81"/>
      <c r="W25" s="81"/>
      <c r="X25" s="81"/>
      <c r="Y25" s="81">
        <v>2</v>
      </c>
      <c r="Z25" s="81">
        <v>2</v>
      </c>
      <c r="AA25" s="81">
        <v>16</v>
      </c>
    </row>
    <row r="26" spans="1:27" x14ac:dyDescent="0.25">
      <c r="A26" s="14">
        <v>46143.073611111111</v>
      </c>
      <c r="B26" s="81" t="s">
        <v>149</v>
      </c>
      <c r="C26" s="81" t="s">
        <v>184</v>
      </c>
      <c r="D26" s="81" t="s">
        <v>168</v>
      </c>
      <c r="E26" s="81" t="s">
        <v>50</v>
      </c>
      <c r="F26" s="81" t="s">
        <v>1</v>
      </c>
      <c r="H26" s="13" t="s">
        <v>855</v>
      </c>
      <c r="J26" s="13" t="s">
        <v>199</v>
      </c>
      <c r="K26" s="81">
        <v>4</v>
      </c>
      <c r="L26" s="81"/>
      <c r="M26" s="81">
        <v>18</v>
      </c>
      <c r="N26" s="81">
        <v>1</v>
      </c>
      <c r="O26" s="81">
        <v>17</v>
      </c>
      <c r="P26" s="81">
        <v>1</v>
      </c>
      <c r="Q26" s="81">
        <v>1</v>
      </c>
      <c r="R26" s="81">
        <v>17</v>
      </c>
      <c r="S26" s="81">
        <v>5</v>
      </c>
      <c r="T26" s="81">
        <v>1</v>
      </c>
      <c r="U26" s="81"/>
      <c r="V26" s="81"/>
      <c r="W26" s="81"/>
      <c r="X26" s="81"/>
      <c r="Y26" s="81">
        <v>10</v>
      </c>
      <c r="Z26" s="81">
        <v>9</v>
      </c>
      <c r="AA26" s="81">
        <v>84</v>
      </c>
    </row>
    <row r="27" spans="1:27" x14ac:dyDescent="0.25">
      <c r="A27" s="14">
        <v>46143.073611111111</v>
      </c>
      <c r="B27" s="81" t="s">
        <v>149</v>
      </c>
      <c r="C27" s="81" t="s">
        <v>173</v>
      </c>
      <c r="D27" s="81" t="s">
        <v>160</v>
      </c>
      <c r="E27" s="81" t="s">
        <v>52</v>
      </c>
      <c r="F27" s="81" t="s">
        <v>0</v>
      </c>
      <c r="H27" s="13" t="s">
        <v>159</v>
      </c>
      <c r="J27" s="13" t="s">
        <v>167</v>
      </c>
      <c r="K27" s="81">
        <v>8</v>
      </c>
      <c r="L27" s="81"/>
      <c r="M27" s="81">
        <v>3</v>
      </c>
      <c r="N27" s="81">
        <v>52</v>
      </c>
      <c r="O27" s="81">
        <v>93</v>
      </c>
      <c r="P27" s="81">
        <v>52</v>
      </c>
      <c r="Q27" s="81"/>
      <c r="R27" s="81">
        <v>22</v>
      </c>
      <c r="S27" s="81">
        <v>7</v>
      </c>
      <c r="T27" s="81"/>
      <c r="U27" s="81"/>
      <c r="V27" s="81">
        <v>1</v>
      </c>
      <c r="W27" s="81"/>
      <c r="X27" s="81"/>
      <c r="Y27" s="81">
        <v>3</v>
      </c>
      <c r="Z27" s="81">
        <v>3</v>
      </c>
      <c r="AA27" s="81">
        <v>244</v>
      </c>
    </row>
    <row r="28" spans="1:27" x14ac:dyDescent="0.25">
      <c r="A28" s="14">
        <v>46143.073611111111</v>
      </c>
      <c r="B28" s="81" t="s">
        <v>149</v>
      </c>
      <c r="C28" s="81" t="s">
        <v>171</v>
      </c>
      <c r="D28" s="81" t="s">
        <v>168</v>
      </c>
      <c r="E28" s="81" t="s">
        <v>49</v>
      </c>
      <c r="F28" s="81" t="s">
        <v>2</v>
      </c>
      <c r="H28" s="13" t="s">
        <v>199</v>
      </c>
      <c r="J28" s="13" t="s">
        <v>231</v>
      </c>
      <c r="K28" s="81">
        <v>26</v>
      </c>
      <c r="L28" s="81">
        <v>3</v>
      </c>
      <c r="M28" s="81">
        <v>27</v>
      </c>
      <c r="N28" s="81">
        <v>19</v>
      </c>
      <c r="O28" s="81">
        <v>47</v>
      </c>
      <c r="P28" s="81">
        <v>19</v>
      </c>
      <c r="Q28" s="81">
        <v>12</v>
      </c>
      <c r="R28" s="81">
        <v>22</v>
      </c>
      <c r="S28" s="81">
        <v>8</v>
      </c>
      <c r="T28" s="81">
        <v>13</v>
      </c>
      <c r="U28" s="81"/>
      <c r="V28" s="81"/>
      <c r="W28" s="81"/>
      <c r="X28" s="81"/>
      <c r="Y28" s="81">
        <v>29</v>
      </c>
      <c r="Z28" s="81">
        <v>6</v>
      </c>
      <c r="AA28" s="81">
        <v>231</v>
      </c>
    </row>
    <row r="29" spans="1:27" x14ac:dyDescent="0.25">
      <c r="A29" s="14">
        <v>46143.073611111111</v>
      </c>
      <c r="B29" s="81" t="s">
        <v>149</v>
      </c>
      <c r="C29" s="81" t="s">
        <v>182</v>
      </c>
      <c r="D29" s="81" t="s">
        <v>168</v>
      </c>
      <c r="E29" s="81" t="s">
        <v>50</v>
      </c>
      <c r="F29" s="81" t="s">
        <v>1</v>
      </c>
      <c r="H29" s="13" t="s">
        <v>167</v>
      </c>
      <c r="J29" s="13" t="s">
        <v>257</v>
      </c>
      <c r="K29" s="81">
        <v>5</v>
      </c>
      <c r="L29" s="81"/>
      <c r="M29" s="81"/>
      <c r="N29" s="81">
        <v>1</v>
      </c>
      <c r="O29" s="81">
        <v>18</v>
      </c>
      <c r="P29" s="81">
        <v>1</v>
      </c>
      <c r="Q29" s="81"/>
      <c r="R29" s="81"/>
      <c r="S29" s="81"/>
      <c r="T29" s="81"/>
      <c r="U29" s="81"/>
      <c r="V29" s="81"/>
      <c r="W29" s="81"/>
      <c r="X29" s="81"/>
      <c r="Y29" s="81">
        <v>64</v>
      </c>
      <c r="Z29" s="81">
        <v>3</v>
      </c>
      <c r="AA29" s="81">
        <v>92</v>
      </c>
    </row>
    <row r="30" spans="1:27" x14ac:dyDescent="0.25">
      <c r="A30" s="14">
        <v>46143.073611111111</v>
      </c>
      <c r="B30" s="81" t="s">
        <v>149</v>
      </c>
      <c r="C30" s="81" t="s">
        <v>187</v>
      </c>
      <c r="D30" s="81" t="s">
        <v>156</v>
      </c>
      <c r="E30" s="81" t="s">
        <v>75</v>
      </c>
      <c r="F30" s="81" t="s">
        <v>93</v>
      </c>
      <c r="H30" s="13" t="s">
        <v>849</v>
      </c>
      <c r="J30" s="13" t="s">
        <v>233</v>
      </c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>
        <v>18</v>
      </c>
      <c r="Z30" s="81"/>
      <c r="AA30" s="81">
        <v>18</v>
      </c>
    </row>
    <row r="31" spans="1:27" x14ac:dyDescent="0.25">
      <c r="A31" s="14">
        <v>46143.073611111111</v>
      </c>
      <c r="B31" s="81" t="s">
        <v>149</v>
      </c>
      <c r="C31" s="81" t="s">
        <v>182</v>
      </c>
      <c r="D31" s="81" t="s">
        <v>160</v>
      </c>
      <c r="E31" s="81" t="s">
        <v>50</v>
      </c>
      <c r="F31" s="81" t="s">
        <v>1</v>
      </c>
      <c r="H31" s="13" t="s">
        <v>231</v>
      </c>
      <c r="J31" s="13" t="s">
        <v>555</v>
      </c>
      <c r="K31" s="81"/>
      <c r="L31" s="81"/>
      <c r="M31" s="81">
        <v>3</v>
      </c>
      <c r="N31" s="81"/>
      <c r="O31" s="81">
        <v>21</v>
      </c>
      <c r="P31" s="81"/>
      <c r="Q31" s="81"/>
      <c r="R31" s="81">
        <v>11</v>
      </c>
      <c r="S31" s="81">
        <v>1</v>
      </c>
      <c r="T31" s="81"/>
      <c r="U31" s="81"/>
      <c r="V31" s="81"/>
      <c r="W31" s="81"/>
      <c r="X31" s="81"/>
      <c r="Y31" s="81">
        <v>3</v>
      </c>
      <c r="Z31" s="81">
        <v>2</v>
      </c>
      <c r="AA31" s="81">
        <v>41</v>
      </c>
    </row>
    <row r="32" spans="1:27" x14ac:dyDescent="0.25">
      <c r="A32" s="14">
        <v>46143.073611111111</v>
      </c>
      <c r="B32" s="81" t="s">
        <v>149</v>
      </c>
      <c r="C32" s="81" t="s">
        <v>185</v>
      </c>
      <c r="D32" s="81" t="s">
        <v>168</v>
      </c>
      <c r="E32" s="81" t="s">
        <v>50</v>
      </c>
      <c r="F32" s="81" t="s">
        <v>1</v>
      </c>
      <c r="H32" s="13" t="s">
        <v>257</v>
      </c>
      <c r="J32" s="13" t="s">
        <v>243</v>
      </c>
      <c r="K32" s="81"/>
      <c r="L32" s="81"/>
      <c r="M32" s="81"/>
      <c r="N32" s="81"/>
      <c r="O32" s="81"/>
      <c r="P32" s="81"/>
      <c r="Q32" s="81"/>
      <c r="R32" s="81">
        <v>2</v>
      </c>
      <c r="S32" s="81"/>
      <c r="T32" s="81"/>
      <c r="U32" s="81"/>
      <c r="V32" s="81"/>
      <c r="W32" s="81"/>
      <c r="X32" s="81"/>
      <c r="Y32" s="81"/>
      <c r="Z32" s="81">
        <v>1</v>
      </c>
      <c r="AA32" s="81">
        <v>3</v>
      </c>
    </row>
    <row r="33" spans="1:27" x14ac:dyDescent="0.25">
      <c r="A33" s="14">
        <v>46143.073611111111</v>
      </c>
      <c r="B33" s="81" t="s">
        <v>149</v>
      </c>
      <c r="C33" s="81" t="s">
        <v>187</v>
      </c>
      <c r="D33" s="81" t="s">
        <v>156</v>
      </c>
      <c r="E33" s="81" t="s">
        <v>75</v>
      </c>
      <c r="F33" s="81" t="s">
        <v>93</v>
      </c>
      <c r="H33" s="13" t="s">
        <v>856</v>
      </c>
      <c r="J33" s="13" t="s">
        <v>155</v>
      </c>
      <c r="K33" s="81"/>
      <c r="L33" s="81"/>
      <c r="M33" s="81"/>
      <c r="N33" s="81"/>
      <c r="O33" s="81">
        <v>27</v>
      </c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>
        <v>3</v>
      </c>
      <c r="AA33" s="81">
        <v>30</v>
      </c>
    </row>
    <row r="34" spans="1:27" x14ac:dyDescent="0.25">
      <c r="A34" s="14">
        <v>46143.073611111111</v>
      </c>
      <c r="B34" s="81" t="s">
        <v>149</v>
      </c>
      <c r="C34" s="81" t="s">
        <v>171</v>
      </c>
      <c r="D34" s="81" t="s">
        <v>168</v>
      </c>
      <c r="E34" s="81" t="s">
        <v>49</v>
      </c>
      <c r="F34" s="81" t="s">
        <v>2</v>
      </c>
      <c r="H34" s="13" t="s">
        <v>283</v>
      </c>
      <c r="J34" s="13" t="s">
        <v>150</v>
      </c>
      <c r="K34" s="81">
        <v>26</v>
      </c>
      <c r="L34" s="81"/>
      <c r="M34" s="81">
        <v>6</v>
      </c>
      <c r="N34" s="81">
        <v>15</v>
      </c>
      <c r="O34" s="81">
        <v>67</v>
      </c>
      <c r="P34" s="81">
        <v>14</v>
      </c>
      <c r="Q34" s="81">
        <v>1</v>
      </c>
      <c r="R34" s="81">
        <v>20</v>
      </c>
      <c r="S34" s="81">
        <v>5</v>
      </c>
      <c r="T34" s="81">
        <v>1</v>
      </c>
      <c r="U34" s="81"/>
      <c r="V34" s="81"/>
      <c r="W34" s="81"/>
      <c r="X34" s="81"/>
      <c r="Y34" s="81"/>
      <c r="Z34" s="81">
        <v>19</v>
      </c>
      <c r="AA34" s="81">
        <v>174</v>
      </c>
    </row>
    <row r="35" spans="1:27" x14ac:dyDescent="0.25">
      <c r="A35" s="14">
        <v>46143.073611111111</v>
      </c>
      <c r="B35" s="81" t="s">
        <v>149</v>
      </c>
      <c r="C35" s="81" t="s">
        <v>187</v>
      </c>
      <c r="D35" s="81" t="s">
        <v>156</v>
      </c>
      <c r="E35" s="81" t="s">
        <v>75</v>
      </c>
      <c r="F35" s="81" t="s">
        <v>93</v>
      </c>
      <c r="H35" s="13" t="s">
        <v>233</v>
      </c>
      <c r="J35" s="13" t="s">
        <v>219</v>
      </c>
      <c r="K35" s="81"/>
      <c r="L35" s="81"/>
      <c r="M35" s="81">
        <v>3</v>
      </c>
      <c r="N35" s="81">
        <v>1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>
        <v>3</v>
      </c>
      <c r="Z35" s="81">
        <v>4</v>
      </c>
      <c r="AA35" s="81">
        <v>11</v>
      </c>
    </row>
    <row r="36" spans="1:27" x14ac:dyDescent="0.25">
      <c r="A36" s="14">
        <v>46143.073611111111</v>
      </c>
      <c r="B36" s="81" t="s">
        <v>149</v>
      </c>
      <c r="C36" s="81" t="s">
        <v>215</v>
      </c>
      <c r="D36" s="81" t="s">
        <v>168</v>
      </c>
      <c r="E36" s="81" t="s">
        <v>65</v>
      </c>
      <c r="F36" s="81" t="s">
        <v>99</v>
      </c>
      <c r="H36" s="13" t="s">
        <v>555</v>
      </c>
      <c r="J36" s="13" t="s">
        <v>260</v>
      </c>
      <c r="K36" s="81"/>
      <c r="L36" s="81"/>
      <c r="M36" s="81"/>
      <c r="N36" s="81"/>
      <c r="O36" s="81">
        <v>12</v>
      </c>
      <c r="P36" s="81"/>
      <c r="Q36" s="81"/>
      <c r="R36" s="81"/>
      <c r="S36" s="81"/>
      <c r="T36" s="81"/>
      <c r="U36" s="81"/>
      <c r="V36" s="81"/>
      <c r="W36" s="81"/>
      <c r="X36" s="81"/>
      <c r="Y36" s="81">
        <v>3</v>
      </c>
      <c r="Z36" s="81"/>
      <c r="AA36" s="81">
        <v>15</v>
      </c>
    </row>
    <row r="37" spans="1:27" x14ac:dyDescent="0.25">
      <c r="A37" s="14">
        <v>46143.073611111111</v>
      </c>
      <c r="B37" s="81" t="s">
        <v>149</v>
      </c>
      <c r="C37" s="81" t="s">
        <v>187</v>
      </c>
      <c r="D37" s="81" t="s">
        <v>156</v>
      </c>
      <c r="E37" s="81" t="s">
        <v>75</v>
      </c>
      <c r="F37" s="81" t="s">
        <v>93</v>
      </c>
      <c r="H37" s="13" t="s">
        <v>857</v>
      </c>
      <c r="J37" s="13" t="s">
        <v>238</v>
      </c>
      <c r="K37" s="81"/>
      <c r="L37" s="81"/>
      <c r="M37" s="81">
        <v>3</v>
      </c>
      <c r="N37" s="81"/>
      <c r="O37" s="81">
        <v>14</v>
      </c>
      <c r="P37" s="81"/>
      <c r="Q37" s="81"/>
      <c r="R37" s="81">
        <v>6</v>
      </c>
      <c r="S37" s="81">
        <v>6</v>
      </c>
      <c r="T37" s="81"/>
      <c r="U37" s="81"/>
      <c r="V37" s="81"/>
      <c r="W37" s="81"/>
      <c r="X37" s="81"/>
      <c r="Y37" s="81">
        <v>6</v>
      </c>
      <c r="Z37" s="81">
        <v>5</v>
      </c>
      <c r="AA37" s="81">
        <v>40</v>
      </c>
    </row>
    <row r="38" spans="1:27" x14ac:dyDescent="0.25">
      <c r="A38" s="14">
        <v>46143.073611111111</v>
      </c>
      <c r="B38" s="81" t="s">
        <v>149</v>
      </c>
      <c r="C38" s="81" t="s">
        <v>226</v>
      </c>
      <c r="D38" s="81" t="s">
        <v>168</v>
      </c>
      <c r="E38" s="81" t="s">
        <v>64</v>
      </c>
      <c r="F38" s="81" t="s">
        <v>98</v>
      </c>
      <c r="H38" s="13" t="s">
        <v>243</v>
      </c>
      <c r="J38" s="13" t="s">
        <v>156</v>
      </c>
      <c r="K38" s="81">
        <v>17</v>
      </c>
      <c r="L38" s="81"/>
      <c r="M38" s="81">
        <v>9</v>
      </c>
      <c r="N38" s="81">
        <v>4</v>
      </c>
      <c r="O38" s="81">
        <v>14</v>
      </c>
      <c r="P38" s="81">
        <v>40</v>
      </c>
      <c r="Q38" s="81"/>
      <c r="R38" s="81">
        <v>102</v>
      </c>
      <c r="S38" s="81">
        <v>22</v>
      </c>
      <c r="T38" s="81"/>
      <c r="U38" s="81"/>
      <c r="V38" s="81"/>
      <c r="W38" s="81"/>
      <c r="X38" s="81"/>
      <c r="Y38" s="81"/>
      <c r="Z38" s="81">
        <v>35</v>
      </c>
      <c r="AA38" s="81">
        <v>243</v>
      </c>
    </row>
    <row r="39" spans="1:27" x14ac:dyDescent="0.25">
      <c r="A39" s="14">
        <v>46143.073611111111</v>
      </c>
      <c r="B39" s="81" t="s">
        <v>149</v>
      </c>
      <c r="C39" s="81" t="s">
        <v>187</v>
      </c>
      <c r="D39" s="81" t="s">
        <v>156</v>
      </c>
      <c r="E39" s="81" t="s">
        <v>75</v>
      </c>
      <c r="F39" s="81" t="s">
        <v>93</v>
      </c>
      <c r="H39" s="13" t="s">
        <v>155</v>
      </c>
      <c r="J39" s="13" t="s">
        <v>161</v>
      </c>
      <c r="K39" s="81"/>
      <c r="L39" s="81"/>
      <c r="M39" s="81"/>
      <c r="N39" s="81"/>
      <c r="O39" s="81">
        <v>16</v>
      </c>
      <c r="P39" s="81"/>
      <c r="Q39" s="81"/>
      <c r="R39" s="81"/>
      <c r="S39" s="81"/>
      <c r="T39" s="81"/>
      <c r="U39" s="81"/>
      <c r="V39" s="81"/>
      <c r="W39" s="81"/>
      <c r="X39" s="81"/>
      <c r="Y39" s="81">
        <v>4</v>
      </c>
      <c r="Z39" s="81">
        <v>2</v>
      </c>
      <c r="AA39" s="81">
        <v>22</v>
      </c>
    </row>
    <row r="40" spans="1:27" x14ac:dyDescent="0.25">
      <c r="A40" s="14">
        <v>46143.073611111111</v>
      </c>
      <c r="B40" s="81" t="s">
        <v>149</v>
      </c>
      <c r="C40" s="81" t="s">
        <v>217</v>
      </c>
      <c r="D40" s="81" t="s">
        <v>152</v>
      </c>
      <c r="E40" s="81" t="s">
        <v>65</v>
      </c>
      <c r="F40" s="81" t="s">
        <v>99</v>
      </c>
      <c r="H40" s="13" t="s">
        <v>150</v>
      </c>
      <c r="J40" s="13" t="s">
        <v>250</v>
      </c>
      <c r="K40" s="81">
        <v>26</v>
      </c>
      <c r="L40" s="81"/>
      <c r="M40" s="81">
        <v>27</v>
      </c>
      <c r="N40" s="81">
        <v>1</v>
      </c>
      <c r="O40" s="81">
        <v>37</v>
      </c>
      <c r="P40" s="81">
        <v>1</v>
      </c>
      <c r="Q40" s="81"/>
      <c r="R40" s="81">
        <v>18</v>
      </c>
      <c r="S40" s="81">
        <v>4</v>
      </c>
      <c r="T40" s="81">
        <v>1</v>
      </c>
      <c r="U40" s="81"/>
      <c r="V40" s="81"/>
      <c r="W40" s="81"/>
      <c r="X40" s="81"/>
      <c r="Y40" s="81">
        <v>36</v>
      </c>
      <c r="Z40" s="81">
        <v>12</v>
      </c>
      <c r="AA40" s="81">
        <v>163</v>
      </c>
    </row>
    <row r="41" spans="1:27" x14ac:dyDescent="0.25">
      <c r="A41" s="14">
        <v>46143.073611111111</v>
      </c>
      <c r="B41" s="81" t="s">
        <v>149</v>
      </c>
      <c r="C41" s="81" t="s">
        <v>171</v>
      </c>
      <c r="D41" s="81" t="s">
        <v>168</v>
      </c>
      <c r="E41" s="81" t="s">
        <v>48</v>
      </c>
      <c r="F41" s="81" t="s">
        <v>3</v>
      </c>
      <c r="H41" s="13" t="s">
        <v>219</v>
      </c>
      <c r="J41" s="13" t="s">
        <v>160</v>
      </c>
      <c r="K41" s="81"/>
      <c r="L41" s="81"/>
      <c r="M41" s="81"/>
      <c r="N41" s="81"/>
      <c r="O41" s="81">
        <v>2</v>
      </c>
      <c r="P41" s="81"/>
      <c r="Q41" s="81"/>
      <c r="R41" s="81">
        <v>1</v>
      </c>
      <c r="S41" s="81">
        <v>1</v>
      </c>
      <c r="T41" s="81"/>
      <c r="U41" s="81"/>
      <c r="V41" s="81"/>
      <c r="W41" s="81"/>
      <c r="X41" s="81"/>
      <c r="Y41" s="81">
        <v>8</v>
      </c>
      <c r="Z41" s="81">
        <v>2</v>
      </c>
      <c r="AA41" s="81">
        <v>14</v>
      </c>
    </row>
    <row r="42" spans="1:27" x14ac:dyDescent="0.25">
      <c r="A42" s="14">
        <v>46143.073611111111</v>
      </c>
      <c r="B42" s="81" t="s">
        <v>149</v>
      </c>
      <c r="C42" s="81" t="s">
        <v>187</v>
      </c>
      <c r="D42" s="81" t="s">
        <v>156</v>
      </c>
      <c r="E42" s="81" t="s">
        <v>75</v>
      </c>
      <c r="F42" s="81" t="s">
        <v>93</v>
      </c>
      <c r="H42" s="13" t="s">
        <v>260</v>
      </c>
      <c r="J42" s="13" t="s">
        <v>201</v>
      </c>
      <c r="K42" s="81">
        <v>13</v>
      </c>
      <c r="L42" s="81">
        <v>5</v>
      </c>
      <c r="M42" s="81"/>
      <c r="N42" s="81">
        <v>9</v>
      </c>
      <c r="O42" s="81">
        <v>1</v>
      </c>
      <c r="P42" s="81">
        <v>10</v>
      </c>
      <c r="Q42" s="81">
        <v>2</v>
      </c>
      <c r="R42" s="81">
        <v>6</v>
      </c>
      <c r="S42" s="81">
        <v>1</v>
      </c>
      <c r="T42" s="81">
        <v>2</v>
      </c>
      <c r="U42" s="81"/>
      <c r="V42" s="81">
        <v>2</v>
      </c>
      <c r="W42" s="81"/>
      <c r="X42" s="81"/>
      <c r="Y42" s="81"/>
      <c r="Z42" s="81">
        <v>10</v>
      </c>
      <c r="AA42" s="81">
        <v>61</v>
      </c>
    </row>
    <row r="43" spans="1:27" x14ac:dyDescent="0.25">
      <c r="A43" s="14">
        <v>46143.073611111111</v>
      </c>
      <c r="B43" s="81" t="s">
        <v>195</v>
      </c>
      <c r="C43" s="81" t="s">
        <v>198</v>
      </c>
      <c r="D43" s="81" t="s">
        <v>247</v>
      </c>
      <c r="E43" s="81" t="s">
        <v>24</v>
      </c>
      <c r="F43" s="81" t="s">
        <v>24</v>
      </c>
      <c r="H43" s="13" t="s">
        <v>841</v>
      </c>
      <c r="J43" s="13" t="s">
        <v>234</v>
      </c>
      <c r="K43" s="81"/>
      <c r="L43" s="81"/>
      <c r="M43" s="81"/>
      <c r="N43" s="81"/>
      <c r="O43" s="81">
        <v>5</v>
      </c>
      <c r="P43" s="81"/>
      <c r="Q43" s="81"/>
      <c r="R43" s="81">
        <v>1</v>
      </c>
      <c r="S43" s="81"/>
      <c r="T43" s="81"/>
      <c r="U43" s="81"/>
      <c r="V43" s="81"/>
      <c r="W43" s="81"/>
      <c r="X43" s="81"/>
      <c r="Y43" s="81">
        <v>1</v>
      </c>
      <c r="Z43" s="81">
        <v>4</v>
      </c>
      <c r="AA43" s="81">
        <v>11</v>
      </c>
    </row>
    <row r="44" spans="1:27" x14ac:dyDescent="0.25">
      <c r="A44" s="14">
        <v>46143.073611111111</v>
      </c>
      <c r="B44" s="81" t="s">
        <v>195</v>
      </c>
      <c r="C44" s="81" t="s">
        <v>198</v>
      </c>
      <c r="D44" s="81" t="s">
        <v>247</v>
      </c>
      <c r="E44" s="81" t="s">
        <v>24</v>
      </c>
      <c r="F44" s="81" t="s">
        <v>24</v>
      </c>
      <c r="H44" s="13" t="s">
        <v>238</v>
      </c>
      <c r="J44" s="13" t="s">
        <v>258</v>
      </c>
      <c r="K44" s="81"/>
      <c r="L44" s="81"/>
      <c r="M44" s="81">
        <v>3</v>
      </c>
      <c r="N44" s="81"/>
      <c r="O44" s="81">
        <v>10</v>
      </c>
      <c r="P44" s="81"/>
      <c r="Q44" s="81"/>
      <c r="R44" s="81"/>
      <c r="S44" s="81"/>
      <c r="T44" s="81"/>
      <c r="U44" s="81"/>
      <c r="V44" s="81"/>
      <c r="W44" s="81"/>
      <c r="X44" s="81"/>
      <c r="Y44" s="81">
        <v>20</v>
      </c>
      <c r="Z44" s="81">
        <v>2</v>
      </c>
      <c r="AA44" s="81">
        <v>35</v>
      </c>
    </row>
    <row r="45" spans="1:27" x14ac:dyDescent="0.25">
      <c r="A45" s="14">
        <v>46143.073611111111</v>
      </c>
      <c r="B45" s="81" t="s">
        <v>195</v>
      </c>
      <c r="C45" s="81" t="s">
        <v>198</v>
      </c>
      <c r="D45" s="81" t="s">
        <v>247</v>
      </c>
      <c r="E45" s="81" t="s">
        <v>24</v>
      </c>
      <c r="F45" s="81" t="s">
        <v>24</v>
      </c>
      <c r="H45" s="13" t="s">
        <v>156</v>
      </c>
      <c r="J45" s="13" t="s">
        <v>266</v>
      </c>
      <c r="K45" s="81">
        <v>4</v>
      </c>
      <c r="L45" s="81"/>
      <c r="M45" s="81">
        <v>3</v>
      </c>
      <c r="N45" s="81"/>
      <c r="O45" s="81">
        <v>10</v>
      </c>
      <c r="P45" s="81"/>
      <c r="Q45" s="81"/>
      <c r="R45" s="81"/>
      <c r="S45" s="81"/>
      <c r="T45" s="81"/>
      <c r="U45" s="81"/>
      <c r="V45" s="81"/>
      <c r="W45" s="81"/>
      <c r="X45" s="81"/>
      <c r="Y45" s="81">
        <v>65</v>
      </c>
      <c r="Z45" s="81">
        <v>16</v>
      </c>
      <c r="AA45" s="81">
        <v>98</v>
      </c>
    </row>
    <row r="46" spans="1:27" x14ac:dyDescent="0.25">
      <c r="A46" s="14">
        <v>46143.073611111111</v>
      </c>
      <c r="B46" s="81" t="s">
        <v>195</v>
      </c>
      <c r="C46" s="81" t="s">
        <v>198</v>
      </c>
      <c r="D46" s="81" t="s">
        <v>219</v>
      </c>
      <c r="E46" s="81" t="s">
        <v>24</v>
      </c>
      <c r="F46" s="81" t="s">
        <v>24</v>
      </c>
      <c r="H46" s="13" t="s">
        <v>161</v>
      </c>
      <c r="J46" s="13" t="s">
        <v>225</v>
      </c>
      <c r="K46" s="81"/>
      <c r="L46" s="81"/>
      <c r="M46" s="81"/>
      <c r="N46" s="81"/>
      <c r="O46" s="81">
        <v>2</v>
      </c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>
        <v>2</v>
      </c>
    </row>
    <row r="47" spans="1:27" x14ac:dyDescent="0.25">
      <c r="A47" s="14">
        <v>46143.073611111111</v>
      </c>
      <c r="B47" s="81" t="s">
        <v>195</v>
      </c>
      <c r="C47" s="81" t="s">
        <v>198</v>
      </c>
      <c r="D47" s="81" t="s">
        <v>219</v>
      </c>
      <c r="E47" s="81" t="s">
        <v>24</v>
      </c>
      <c r="F47" s="81" t="s">
        <v>24</v>
      </c>
      <c r="H47" s="13" t="s">
        <v>250</v>
      </c>
      <c r="J47" s="13" t="s">
        <v>267</v>
      </c>
      <c r="K47" s="81"/>
      <c r="L47" s="81"/>
      <c r="M47" s="81"/>
      <c r="N47" s="81"/>
      <c r="O47" s="81">
        <v>6</v>
      </c>
      <c r="P47" s="81"/>
      <c r="Q47" s="81"/>
      <c r="R47" s="81"/>
      <c r="S47" s="81"/>
      <c r="T47" s="81"/>
      <c r="U47" s="81"/>
      <c r="V47" s="81"/>
      <c r="W47" s="81"/>
      <c r="X47" s="81"/>
      <c r="Y47" s="81">
        <v>18</v>
      </c>
      <c r="Z47" s="81">
        <v>5</v>
      </c>
      <c r="AA47" s="81">
        <v>29</v>
      </c>
    </row>
    <row r="48" spans="1:27" x14ac:dyDescent="0.25">
      <c r="A48" s="14">
        <v>46143.073611111111</v>
      </c>
      <c r="B48" s="81" t="s">
        <v>195</v>
      </c>
      <c r="C48" s="81" t="s">
        <v>198</v>
      </c>
      <c r="D48" s="81" t="s">
        <v>219</v>
      </c>
      <c r="E48" s="81" t="s">
        <v>24</v>
      </c>
      <c r="F48" s="81" t="s">
        <v>24</v>
      </c>
      <c r="H48" s="13" t="s">
        <v>160</v>
      </c>
      <c r="J48" s="13" t="s">
        <v>162</v>
      </c>
      <c r="K48" s="81">
        <v>41</v>
      </c>
      <c r="L48" s="81">
        <v>21</v>
      </c>
      <c r="M48" s="81">
        <v>78</v>
      </c>
      <c r="N48" s="81"/>
      <c r="O48" s="81">
        <v>56</v>
      </c>
      <c r="P48" s="81"/>
      <c r="Q48" s="81"/>
      <c r="R48" s="81">
        <v>110</v>
      </c>
      <c r="S48" s="81">
        <v>13</v>
      </c>
      <c r="T48" s="81"/>
      <c r="U48" s="81"/>
      <c r="V48" s="81">
        <v>26</v>
      </c>
      <c r="W48" s="81">
        <v>3</v>
      </c>
      <c r="X48" s="81"/>
      <c r="Y48" s="81"/>
      <c r="Z48" s="81">
        <v>14</v>
      </c>
      <c r="AA48" s="81">
        <v>362</v>
      </c>
    </row>
    <row r="49" spans="1:27" x14ac:dyDescent="0.25">
      <c r="A49" s="14">
        <v>46143.120138888888</v>
      </c>
      <c r="B49" s="81" t="s">
        <v>149</v>
      </c>
      <c r="C49" s="81" t="s">
        <v>158</v>
      </c>
      <c r="D49" s="81" t="s">
        <v>163</v>
      </c>
      <c r="E49" s="81" t="s">
        <v>50</v>
      </c>
      <c r="F49" s="81" t="s">
        <v>1</v>
      </c>
      <c r="H49" s="13" t="s">
        <v>201</v>
      </c>
      <c r="J49" s="13" t="s">
        <v>202</v>
      </c>
      <c r="K49" s="81">
        <v>13</v>
      </c>
      <c r="L49" s="81">
        <v>1</v>
      </c>
      <c r="M49" s="81"/>
      <c r="N49" s="81">
        <v>4</v>
      </c>
      <c r="O49" s="81">
        <v>3</v>
      </c>
      <c r="P49" s="81">
        <v>4</v>
      </c>
      <c r="Q49" s="81"/>
      <c r="R49" s="81">
        <v>8</v>
      </c>
      <c r="S49" s="81"/>
      <c r="T49" s="81"/>
      <c r="U49" s="81"/>
      <c r="V49" s="81"/>
      <c r="W49" s="81"/>
      <c r="X49" s="81"/>
      <c r="Y49" s="81">
        <v>1</v>
      </c>
      <c r="Z49" s="81">
        <v>7</v>
      </c>
      <c r="AA49" s="81">
        <v>41</v>
      </c>
    </row>
    <row r="50" spans="1:27" x14ac:dyDescent="0.25">
      <c r="A50" s="14">
        <v>46143.120138888888</v>
      </c>
      <c r="B50" s="81" t="s">
        <v>149</v>
      </c>
      <c r="C50" s="81" t="s">
        <v>203</v>
      </c>
      <c r="D50" s="81" t="s">
        <v>150</v>
      </c>
      <c r="E50" s="81" t="s">
        <v>72</v>
      </c>
      <c r="F50" s="81" t="s">
        <v>28</v>
      </c>
      <c r="H50" s="13" t="s">
        <v>861</v>
      </c>
      <c r="J50" s="13" t="s">
        <v>242</v>
      </c>
      <c r="K50" s="81"/>
      <c r="L50" s="81"/>
      <c r="M50" s="81">
        <v>24</v>
      </c>
      <c r="N50" s="81">
        <v>2</v>
      </c>
      <c r="O50" s="81">
        <v>43</v>
      </c>
      <c r="P50" s="81"/>
      <c r="Q50" s="81"/>
      <c r="R50" s="81">
        <v>8</v>
      </c>
      <c r="S50" s="81"/>
      <c r="T50" s="81"/>
      <c r="U50" s="81"/>
      <c r="V50" s="81"/>
      <c r="W50" s="81"/>
      <c r="X50" s="81"/>
      <c r="Y50" s="81"/>
      <c r="Z50" s="81">
        <v>2</v>
      </c>
      <c r="AA50" s="81">
        <v>79</v>
      </c>
    </row>
    <row r="51" spans="1:27" x14ac:dyDescent="0.25">
      <c r="A51" s="14">
        <v>46143.120138888888</v>
      </c>
      <c r="B51" s="81" t="s">
        <v>149</v>
      </c>
      <c r="C51" s="81" t="s">
        <v>203</v>
      </c>
      <c r="D51" s="81" t="s">
        <v>150</v>
      </c>
      <c r="E51" s="81" t="s">
        <v>72</v>
      </c>
      <c r="F51" s="81" t="s">
        <v>28</v>
      </c>
      <c r="H51" s="13" t="s">
        <v>234</v>
      </c>
      <c r="J51" s="13" t="s">
        <v>194</v>
      </c>
      <c r="K51" s="81">
        <v>13</v>
      </c>
      <c r="L51" s="81">
        <v>2</v>
      </c>
      <c r="M51" s="81"/>
      <c r="N51" s="81"/>
      <c r="O51" s="81">
        <v>2</v>
      </c>
      <c r="P51" s="81"/>
      <c r="Q51" s="81"/>
      <c r="R51" s="81"/>
      <c r="S51" s="81"/>
      <c r="T51" s="81"/>
      <c r="U51" s="81"/>
      <c r="V51" s="81"/>
      <c r="W51" s="81"/>
      <c r="X51" s="81"/>
      <c r="Y51" s="81">
        <v>3</v>
      </c>
      <c r="Z51" s="81">
        <v>11</v>
      </c>
      <c r="AA51" s="81">
        <v>31</v>
      </c>
    </row>
    <row r="52" spans="1:27" x14ac:dyDescent="0.25">
      <c r="A52" s="14">
        <v>46143.120138888888</v>
      </c>
      <c r="B52" s="81" t="s">
        <v>149</v>
      </c>
      <c r="C52" s="81" t="s">
        <v>203</v>
      </c>
      <c r="D52" s="81" t="s">
        <v>150</v>
      </c>
      <c r="E52" s="81" t="s">
        <v>72</v>
      </c>
      <c r="F52" s="81" t="s">
        <v>28</v>
      </c>
      <c r="H52" s="13" t="s">
        <v>258</v>
      </c>
      <c r="J52" s="13" t="s">
        <v>229</v>
      </c>
      <c r="K52" s="81"/>
      <c r="L52" s="81"/>
      <c r="M52" s="81">
        <v>12</v>
      </c>
      <c r="N52" s="81"/>
      <c r="O52" s="81">
        <v>13</v>
      </c>
      <c r="P52" s="81"/>
      <c r="Q52" s="81">
        <v>1</v>
      </c>
      <c r="R52" s="81">
        <v>6</v>
      </c>
      <c r="S52" s="81">
        <v>3</v>
      </c>
      <c r="T52" s="81">
        <v>2</v>
      </c>
      <c r="U52" s="81"/>
      <c r="V52" s="81">
        <v>3</v>
      </c>
      <c r="W52" s="81">
        <v>1</v>
      </c>
      <c r="X52" s="81">
        <v>1</v>
      </c>
      <c r="Y52" s="81">
        <v>7</v>
      </c>
      <c r="Z52" s="81">
        <v>2</v>
      </c>
      <c r="AA52" s="81">
        <v>51</v>
      </c>
    </row>
    <row r="53" spans="1:27" x14ac:dyDescent="0.25">
      <c r="A53" s="14">
        <v>46143.120138888888</v>
      </c>
      <c r="B53" s="81" t="s">
        <v>149</v>
      </c>
      <c r="C53" s="81" t="s">
        <v>203</v>
      </c>
      <c r="D53" s="81" t="s">
        <v>150</v>
      </c>
      <c r="E53" s="81" t="s">
        <v>72</v>
      </c>
      <c r="F53" s="81" t="s">
        <v>28</v>
      </c>
      <c r="H53" s="13" t="s">
        <v>266</v>
      </c>
      <c r="J53" s="13" t="s">
        <v>180</v>
      </c>
      <c r="K53" s="81">
        <v>5</v>
      </c>
      <c r="L53" s="81"/>
      <c r="M53" s="81"/>
      <c r="N53" s="81">
        <v>1</v>
      </c>
      <c r="O53" s="81">
        <v>14</v>
      </c>
      <c r="P53" s="81"/>
      <c r="Q53" s="81"/>
      <c r="R53" s="81">
        <v>7</v>
      </c>
      <c r="S53" s="81">
        <v>2</v>
      </c>
      <c r="T53" s="81"/>
      <c r="U53" s="81"/>
      <c r="V53" s="81"/>
      <c r="W53" s="81"/>
      <c r="X53" s="81"/>
      <c r="Y53" s="81">
        <v>8</v>
      </c>
      <c r="Z53" s="81">
        <v>7</v>
      </c>
      <c r="AA53" s="81">
        <v>44</v>
      </c>
    </row>
    <row r="54" spans="1:27" x14ac:dyDescent="0.25">
      <c r="A54" s="14">
        <v>46143.120138888888</v>
      </c>
      <c r="B54" s="81" t="s">
        <v>149</v>
      </c>
      <c r="C54" s="81" t="s">
        <v>203</v>
      </c>
      <c r="D54" s="81" t="s">
        <v>150</v>
      </c>
      <c r="E54" s="81" t="s">
        <v>72</v>
      </c>
      <c r="F54" s="81" t="s">
        <v>28</v>
      </c>
      <c r="H54" s="13" t="s">
        <v>225</v>
      </c>
      <c r="J54" s="13" t="s">
        <v>261</v>
      </c>
      <c r="K54" s="81">
        <v>4</v>
      </c>
      <c r="L54" s="81"/>
      <c r="M54" s="81">
        <v>3</v>
      </c>
      <c r="N54" s="81">
        <v>4</v>
      </c>
      <c r="O54" s="81">
        <v>75</v>
      </c>
      <c r="P54" s="81">
        <v>7</v>
      </c>
      <c r="Q54" s="81"/>
      <c r="R54" s="81"/>
      <c r="S54" s="81"/>
      <c r="T54" s="81"/>
      <c r="U54" s="81"/>
      <c r="V54" s="81"/>
      <c r="W54" s="81"/>
      <c r="X54" s="81"/>
      <c r="Y54" s="81">
        <v>109</v>
      </c>
      <c r="Z54" s="81">
        <v>15</v>
      </c>
      <c r="AA54" s="81">
        <v>217</v>
      </c>
    </row>
    <row r="55" spans="1:27" x14ac:dyDescent="0.25">
      <c r="A55" s="14">
        <v>46143.120138888888</v>
      </c>
      <c r="B55" s="81" t="s">
        <v>149</v>
      </c>
      <c r="C55" s="81" t="s">
        <v>203</v>
      </c>
      <c r="D55" s="81" t="s">
        <v>150</v>
      </c>
      <c r="E55" s="81" t="s">
        <v>72</v>
      </c>
      <c r="F55" s="81" t="s">
        <v>28</v>
      </c>
      <c r="H55" s="13" t="s">
        <v>267</v>
      </c>
      <c r="J55" s="13" t="s">
        <v>205</v>
      </c>
      <c r="K55" s="81">
        <v>13</v>
      </c>
      <c r="L55" s="81">
        <v>7</v>
      </c>
      <c r="M55" s="81">
        <v>15</v>
      </c>
      <c r="N55" s="81">
        <v>2</v>
      </c>
      <c r="O55" s="81">
        <v>8</v>
      </c>
      <c r="P55" s="81">
        <v>4</v>
      </c>
      <c r="Q55" s="81"/>
      <c r="R55" s="81">
        <v>3</v>
      </c>
      <c r="S55" s="81">
        <v>5</v>
      </c>
      <c r="T55" s="81">
        <v>2</v>
      </c>
      <c r="U55" s="81">
        <v>1</v>
      </c>
      <c r="V55" s="81"/>
      <c r="W55" s="81"/>
      <c r="X55" s="81"/>
      <c r="Y55" s="81">
        <v>6</v>
      </c>
      <c r="Z55" s="81">
        <v>15</v>
      </c>
      <c r="AA55" s="81">
        <v>81</v>
      </c>
    </row>
    <row r="56" spans="1:27" x14ac:dyDescent="0.25">
      <c r="A56" s="14">
        <v>46143.120138888888</v>
      </c>
      <c r="B56" s="81" t="s">
        <v>149</v>
      </c>
      <c r="C56" s="81" t="s">
        <v>185</v>
      </c>
      <c r="D56" s="81" t="s">
        <v>161</v>
      </c>
      <c r="E56" s="81" t="s">
        <v>50</v>
      </c>
      <c r="F56" s="81" t="s">
        <v>1</v>
      </c>
      <c r="H56" s="13" t="s">
        <v>162</v>
      </c>
      <c r="J56" s="13" t="s">
        <v>246</v>
      </c>
      <c r="K56" s="81">
        <v>4</v>
      </c>
      <c r="L56" s="81"/>
      <c r="M56" s="81"/>
      <c r="N56" s="81"/>
      <c r="O56" s="81">
        <v>17</v>
      </c>
      <c r="P56" s="81"/>
      <c r="Q56" s="81"/>
      <c r="R56" s="81">
        <v>3</v>
      </c>
      <c r="S56" s="81"/>
      <c r="T56" s="81"/>
      <c r="U56" s="81"/>
      <c r="V56" s="81"/>
      <c r="W56" s="81"/>
      <c r="X56" s="81"/>
      <c r="Y56" s="81">
        <v>24</v>
      </c>
      <c r="Z56" s="81">
        <v>2</v>
      </c>
      <c r="AA56" s="81">
        <v>50</v>
      </c>
    </row>
    <row r="57" spans="1:27" x14ac:dyDescent="0.25">
      <c r="A57" s="14">
        <v>46143.120138888888</v>
      </c>
      <c r="B57" s="81" t="s">
        <v>149</v>
      </c>
      <c r="C57" s="81" t="s">
        <v>176</v>
      </c>
      <c r="D57" s="81" t="s">
        <v>163</v>
      </c>
      <c r="E57" s="81" t="s">
        <v>70</v>
      </c>
      <c r="F57" s="81" t="s">
        <v>15</v>
      </c>
      <c r="H57" s="13" t="s">
        <v>851</v>
      </c>
      <c r="J57" s="13" t="s">
        <v>268</v>
      </c>
      <c r="K57" s="81">
        <v>13</v>
      </c>
      <c r="L57" s="81"/>
      <c r="M57" s="81">
        <v>6</v>
      </c>
      <c r="N57" s="81">
        <v>1</v>
      </c>
      <c r="O57" s="81">
        <v>22</v>
      </c>
      <c r="P57" s="81">
        <v>2</v>
      </c>
      <c r="Q57" s="81"/>
      <c r="R57" s="81">
        <v>11</v>
      </c>
      <c r="S57" s="81">
        <v>4</v>
      </c>
      <c r="T57" s="81"/>
      <c r="U57" s="81"/>
      <c r="V57" s="81"/>
      <c r="W57" s="81"/>
      <c r="X57" s="81"/>
      <c r="Y57" s="81">
        <v>9</v>
      </c>
      <c r="Z57" s="81">
        <v>7</v>
      </c>
      <c r="AA57" s="81">
        <v>75</v>
      </c>
    </row>
    <row r="58" spans="1:27" x14ac:dyDescent="0.25">
      <c r="A58" s="14">
        <v>46143.120138888888</v>
      </c>
      <c r="B58" s="81" t="s">
        <v>149</v>
      </c>
      <c r="C58" s="81" t="s">
        <v>151</v>
      </c>
      <c r="D58" s="81" t="s">
        <v>152</v>
      </c>
      <c r="E58" s="81" t="s">
        <v>50</v>
      </c>
      <c r="F58" s="81" t="s">
        <v>1</v>
      </c>
      <c r="H58" s="13" t="s">
        <v>860</v>
      </c>
      <c r="J58" s="13" t="s">
        <v>179</v>
      </c>
      <c r="K58" s="81">
        <v>4</v>
      </c>
      <c r="L58" s="81"/>
      <c r="M58" s="81"/>
      <c r="N58" s="81"/>
      <c r="O58" s="81">
        <v>86</v>
      </c>
      <c r="P58" s="81"/>
      <c r="Q58" s="81"/>
      <c r="R58" s="81">
        <v>1</v>
      </c>
      <c r="S58" s="81">
        <v>2</v>
      </c>
      <c r="T58" s="81"/>
      <c r="U58" s="81"/>
      <c r="V58" s="81"/>
      <c r="W58" s="81"/>
      <c r="X58" s="81"/>
      <c r="Y58" s="81">
        <v>2</v>
      </c>
      <c r="Z58" s="81">
        <v>33</v>
      </c>
      <c r="AA58" s="81">
        <v>128</v>
      </c>
    </row>
    <row r="59" spans="1:27" x14ac:dyDescent="0.25">
      <c r="A59" s="14">
        <v>46143.120138888888</v>
      </c>
      <c r="B59" s="81" t="s">
        <v>149</v>
      </c>
      <c r="C59" s="81" t="s">
        <v>182</v>
      </c>
      <c r="D59" s="81" t="s">
        <v>152</v>
      </c>
      <c r="E59" s="81" t="s">
        <v>50</v>
      </c>
      <c r="F59" s="81" t="s">
        <v>1</v>
      </c>
      <c r="H59" s="13" t="s">
        <v>853</v>
      </c>
      <c r="J59" s="13" t="s">
        <v>263</v>
      </c>
      <c r="K59" s="81"/>
      <c r="L59" s="81"/>
      <c r="M59" s="81">
        <v>6</v>
      </c>
      <c r="N59" s="81"/>
      <c r="O59" s="81">
        <v>7</v>
      </c>
      <c r="P59" s="81"/>
      <c r="Q59" s="81"/>
      <c r="R59" s="81"/>
      <c r="S59" s="81"/>
      <c r="T59" s="81"/>
      <c r="U59" s="81"/>
      <c r="V59" s="81"/>
      <c r="W59" s="81"/>
      <c r="X59" s="81"/>
      <c r="Y59" s="81">
        <v>5</v>
      </c>
      <c r="Z59" s="81">
        <v>2</v>
      </c>
      <c r="AA59" s="81">
        <v>20</v>
      </c>
    </row>
    <row r="60" spans="1:27" x14ac:dyDescent="0.25">
      <c r="A60" s="14">
        <v>46143.120138888888</v>
      </c>
      <c r="B60" s="81" t="s">
        <v>149</v>
      </c>
      <c r="C60" s="81" t="s">
        <v>175</v>
      </c>
      <c r="D60" s="81" t="s">
        <v>152</v>
      </c>
      <c r="E60" s="81" t="s">
        <v>50</v>
      </c>
      <c r="F60" s="81" t="s">
        <v>1</v>
      </c>
      <c r="H60" s="13" t="s">
        <v>202</v>
      </c>
      <c r="J60" s="13" t="s">
        <v>240</v>
      </c>
      <c r="K60" s="81"/>
      <c r="L60" s="81"/>
      <c r="M60" s="81"/>
      <c r="N60" s="81"/>
      <c r="O60" s="81">
        <v>13</v>
      </c>
      <c r="P60" s="81"/>
      <c r="Q60" s="81"/>
      <c r="R60" s="81"/>
      <c r="S60" s="81"/>
      <c r="T60" s="81"/>
      <c r="U60" s="81"/>
      <c r="V60" s="81"/>
      <c r="W60" s="81"/>
      <c r="X60" s="81"/>
      <c r="Y60" s="81">
        <v>21</v>
      </c>
      <c r="Z60" s="81">
        <v>1</v>
      </c>
      <c r="AA60" s="81">
        <v>35</v>
      </c>
    </row>
    <row r="61" spans="1:27" x14ac:dyDescent="0.25">
      <c r="A61" s="14">
        <v>46143.120138888888</v>
      </c>
      <c r="B61" s="81" t="s">
        <v>149</v>
      </c>
      <c r="C61" s="81" t="s">
        <v>183</v>
      </c>
      <c r="D61" s="81" t="s">
        <v>253</v>
      </c>
      <c r="E61" s="81" t="s">
        <v>52</v>
      </c>
      <c r="F61" s="81" t="s">
        <v>0</v>
      </c>
      <c r="H61" s="13" t="s">
        <v>242</v>
      </c>
      <c r="J61" s="13" t="s">
        <v>264</v>
      </c>
      <c r="K61" s="81"/>
      <c r="L61" s="81">
        <v>1</v>
      </c>
      <c r="M61" s="81">
        <v>3</v>
      </c>
      <c r="N61" s="81"/>
      <c r="O61" s="81">
        <v>3</v>
      </c>
      <c r="P61" s="81"/>
      <c r="Q61" s="81"/>
      <c r="R61" s="81"/>
      <c r="S61" s="81"/>
      <c r="T61" s="81"/>
      <c r="U61" s="81"/>
      <c r="V61" s="81"/>
      <c r="W61" s="81"/>
      <c r="X61" s="81"/>
      <c r="Y61" s="81">
        <v>4</v>
      </c>
      <c r="Z61" s="81">
        <v>3</v>
      </c>
      <c r="AA61" s="81">
        <v>14</v>
      </c>
    </row>
    <row r="62" spans="1:27" x14ac:dyDescent="0.25">
      <c r="A62" s="14">
        <v>46143.120138888888</v>
      </c>
      <c r="B62" s="81" t="s">
        <v>195</v>
      </c>
      <c r="C62" s="81" t="s">
        <v>198</v>
      </c>
      <c r="D62" s="81" t="s">
        <v>163</v>
      </c>
      <c r="E62" s="81" t="s">
        <v>24</v>
      </c>
      <c r="F62" s="81" t="s">
        <v>24</v>
      </c>
      <c r="H62" s="13" t="s">
        <v>194</v>
      </c>
      <c r="J62" s="13" t="s">
        <v>265</v>
      </c>
      <c r="K62" s="81"/>
      <c r="L62" s="81"/>
      <c r="M62" s="81">
        <v>18</v>
      </c>
      <c r="N62" s="81"/>
      <c r="O62" s="81">
        <v>31</v>
      </c>
      <c r="P62" s="81">
        <v>25</v>
      </c>
      <c r="Q62" s="81">
        <v>1</v>
      </c>
      <c r="R62" s="81">
        <v>62</v>
      </c>
      <c r="S62" s="81">
        <v>5</v>
      </c>
      <c r="T62" s="81">
        <v>1</v>
      </c>
      <c r="U62" s="81"/>
      <c r="V62" s="81"/>
      <c r="W62" s="81"/>
      <c r="X62" s="81"/>
      <c r="Y62" s="81">
        <v>3</v>
      </c>
      <c r="Z62" s="81">
        <v>6</v>
      </c>
      <c r="AA62" s="81">
        <v>152</v>
      </c>
    </row>
    <row r="63" spans="1:27" x14ac:dyDescent="0.25">
      <c r="A63" s="14">
        <v>46143.120138888888</v>
      </c>
      <c r="B63" s="81" t="s">
        <v>195</v>
      </c>
      <c r="C63" s="81" t="s">
        <v>198</v>
      </c>
      <c r="D63" s="81" t="s">
        <v>163</v>
      </c>
      <c r="E63" s="81" t="s">
        <v>24</v>
      </c>
      <c r="F63" s="81" t="s">
        <v>24</v>
      </c>
      <c r="H63" s="13" t="s">
        <v>229</v>
      </c>
      <c r="J63" s="13" t="s">
        <v>222</v>
      </c>
      <c r="K63" s="81"/>
      <c r="L63" s="81">
        <v>2</v>
      </c>
      <c r="M63" s="81">
        <v>57</v>
      </c>
      <c r="N63" s="81">
        <v>2</v>
      </c>
      <c r="O63" s="81">
        <v>3</v>
      </c>
      <c r="P63" s="81">
        <v>28</v>
      </c>
      <c r="Q63" s="81">
        <v>3</v>
      </c>
      <c r="R63" s="81">
        <v>3</v>
      </c>
      <c r="S63" s="81">
        <v>3</v>
      </c>
      <c r="T63" s="81">
        <v>2</v>
      </c>
      <c r="U63" s="81">
        <v>7</v>
      </c>
      <c r="V63" s="81">
        <v>6</v>
      </c>
      <c r="W63" s="81">
        <v>1</v>
      </c>
      <c r="X63" s="81">
        <v>3</v>
      </c>
      <c r="Y63" s="81"/>
      <c r="Z63" s="81">
        <v>12</v>
      </c>
      <c r="AA63" s="81">
        <v>132</v>
      </c>
    </row>
    <row r="64" spans="1:27" x14ac:dyDescent="0.25">
      <c r="A64" s="14">
        <v>46143.120138888888</v>
      </c>
      <c r="B64" s="81" t="s">
        <v>195</v>
      </c>
      <c r="C64" s="81" t="s">
        <v>198</v>
      </c>
      <c r="D64" s="81" t="s">
        <v>163</v>
      </c>
      <c r="E64" s="81" t="s">
        <v>24</v>
      </c>
      <c r="F64" s="81" t="s">
        <v>24</v>
      </c>
      <c r="H64" s="13" t="s">
        <v>180</v>
      </c>
      <c r="J64" s="13" t="s">
        <v>163</v>
      </c>
      <c r="K64" s="81">
        <v>9</v>
      </c>
      <c r="L64" s="81">
        <v>1</v>
      </c>
      <c r="M64" s="81">
        <v>27</v>
      </c>
      <c r="N64" s="81">
        <v>3</v>
      </c>
      <c r="O64" s="81">
        <v>25</v>
      </c>
      <c r="P64" s="81">
        <v>5</v>
      </c>
      <c r="Q64" s="81"/>
      <c r="R64" s="81">
        <v>2</v>
      </c>
      <c r="S64" s="81">
        <v>2</v>
      </c>
      <c r="T64" s="81"/>
      <c r="U64" s="81"/>
      <c r="V64" s="81"/>
      <c r="W64" s="81"/>
      <c r="X64" s="81"/>
      <c r="Y64" s="81">
        <v>19</v>
      </c>
      <c r="Z64" s="81">
        <v>2</v>
      </c>
      <c r="AA64" s="81">
        <v>95</v>
      </c>
    </row>
    <row r="65" spans="1:27" x14ac:dyDescent="0.25">
      <c r="A65" s="14">
        <v>46143.527777777781</v>
      </c>
      <c r="B65" s="81" t="s">
        <v>149</v>
      </c>
      <c r="C65" s="81" t="s">
        <v>176</v>
      </c>
      <c r="D65" s="81" t="s">
        <v>222</v>
      </c>
      <c r="E65" s="81" t="s">
        <v>63</v>
      </c>
      <c r="F65" s="81" t="s">
        <v>16</v>
      </c>
      <c r="H65" s="13" t="s">
        <v>261</v>
      </c>
      <c r="J65" s="13" t="s">
        <v>193</v>
      </c>
      <c r="K65" s="81"/>
      <c r="L65" s="81"/>
      <c r="M65" s="81">
        <v>6</v>
      </c>
      <c r="N65" s="81"/>
      <c r="O65" s="81">
        <v>77</v>
      </c>
      <c r="P65" s="81">
        <v>1</v>
      </c>
      <c r="Q65" s="81"/>
      <c r="R65" s="81"/>
      <c r="S65" s="81"/>
      <c r="T65" s="81"/>
      <c r="U65" s="81"/>
      <c r="V65" s="81"/>
      <c r="W65" s="81"/>
      <c r="X65" s="81"/>
      <c r="Y65" s="81">
        <v>9</v>
      </c>
      <c r="Z65" s="81">
        <v>13</v>
      </c>
      <c r="AA65" s="81">
        <v>106</v>
      </c>
    </row>
    <row r="66" spans="1:27" x14ac:dyDescent="0.25">
      <c r="A66" s="14">
        <v>46143.527777777781</v>
      </c>
      <c r="B66" s="81" t="s">
        <v>149</v>
      </c>
      <c r="C66" s="81" t="s">
        <v>192</v>
      </c>
      <c r="D66" s="81" t="s">
        <v>160</v>
      </c>
      <c r="E66" s="81" t="s">
        <v>60</v>
      </c>
      <c r="F66" s="81" t="s">
        <v>28</v>
      </c>
      <c r="H66" s="13" t="s">
        <v>205</v>
      </c>
      <c r="J66" s="13" t="s">
        <v>236</v>
      </c>
      <c r="K66" s="81"/>
      <c r="L66" s="81">
        <v>4</v>
      </c>
      <c r="M66" s="81"/>
      <c r="N66" s="81"/>
      <c r="O66" s="81">
        <v>8</v>
      </c>
      <c r="P66" s="81"/>
      <c r="Q66" s="81"/>
      <c r="R66" s="81">
        <v>2</v>
      </c>
      <c r="S66" s="81">
        <v>2</v>
      </c>
      <c r="T66" s="81">
        <v>1</v>
      </c>
      <c r="U66" s="81"/>
      <c r="V66" s="81"/>
      <c r="W66" s="81"/>
      <c r="X66" s="81"/>
      <c r="Y66" s="81"/>
      <c r="Z66" s="81">
        <v>11</v>
      </c>
      <c r="AA66" s="81">
        <v>28</v>
      </c>
    </row>
    <row r="67" spans="1:27" x14ac:dyDescent="0.25">
      <c r="A67" s="14">
        <v>46143.527777777781</v>
      </c>
      <c r="B67" s="81" t="s">
        <v>149</v>
      </c>
      <c r="C67" s="81" t="s">
        <v>176</v>
      </c>
      <c r="D67" s="81" t="s">
        <v>222</v>
      </c>
      <c r="E67" s="81" t="s">
        <v>44</v>
      </c>
      <c r="F67" s="81" t="s">
        <v>17</v>
      </c>
      <c r="H67" s="13" t="s">
        <v>246</v>
      </c>
      <c r="J67" s="13" t="s">
        <v>244</v>
      </c>
      <c r="K67" s="81">
        <v>4</v>
      </c>
      <c r="L67" s="81"/>
      <c r="M67" s="81"/>
      <c r="N67" s="81"/>
      <c r="O67" s="81">
        <v>1</v>
      </c>
      <c r="P67" s="81"/>
      <c r="Q67" s="81"/>
      <c r="R67" s="81">
        <v>3</v>
      </c>
      <c r="S67" s="81"/>
      <c r="T67" s="81"/>
      <c r="U67" s="81"/>
      <c r="V67" s="81"/>
      <c r="W67" s="81"/>
      <c r="X67" s="81"/>
      <c r="Y67" s="81">
        <v>1</v>
      </c>
      <c r="Z67" s="81"/>
      <c r="AA67" s="81">
        <v>9</v>
      </c>
    </row>
    <row r="68" spans="1:27" x14ac:dyDescent="0.25">
      <c r="A68" s="14">
        <v>46143.527777777781</v>
      </c>
      <c r="B68" s="81" t="s">
        <v>149</v>
      </c>
      <c r="C68" s="81" t="s">
        <v>192</v>
      </c>
      <c r="D68" s="81" t="s">
        <v>160</v>
      </c>
      <c r="E68" s="81" t="s">
        <v>60</v>
      </c>
      <c r="F68" s="81" t="s">
        <v>28</v>
      </c>
      <c r="H68" s="13" t="s">
        <v>268</v>
      </c>
      <c r="J68" s="13" t="s">
        <v>212</v>
      </c>
      <c r="K68" s="81">
        <v>4</v>
      </c>
      <c r="L68" s="81"/>
      <c r="M68" s="81"/>
      <c r="N68" s="81">
        <v>1</v>
      </c>
      <c r="O68" s="81">
        <v>5</v>
      </c>
      <c r="P68" s="81"/>
      <c r="Q68" s="81"/>
      <c r="R68" s="81">
        <v>15</v>
      </c>
      <c r="S68" s="81">
        <v>1</v>
      </c>
      <c r="T68" s="81"/>
      <c r="U68" s="81"/>
      <c r="V68" s="81"/>
      <c r="W68" s="81"/>
      <c r="X68" s="81"/>
      <c r="Y68" s="81">
        <v>2</v>
      </c>
      <c r="Z68" s="81">
        <v>4</v>
      </c>
      <c r="AA68" s="81">
        <v>32</v>
      </c>
    </row>
    <row r="69" spans="1:27" x14ac:dyDescent="0.25">
      <c r="A69" s="14">
        <v>46143.527777777781</v>
      </c>
      <c r="B69" s="81" t="s">
        <v>149</v>
      </c>
      <c r="C69" s="81" t="s">
        <v>183</v>
      </c>
      <c r="D69" s="81" t="s">
        <v>160</v>
      </c>
      <c r="E69" s="81" t="s">
        <v>52</v>
      </c>
      <c r="F69" s="81" t="s">
        <v>0</v>
      </c>
      <c r="H69" s="13" t="s">
        <v>850</v>
      </c>
      <c r="J69" s="13" t="s">
        <v>168</v>
      </c>
      <c r="K69" s="81">
        <v>17</v>
      </c>
      <c r="L69" s="81">
        <v>11</v>
      </c>
      <c r="M69" s="81">
        <v>9</v>
      </c>
      <c r="N69" s="81"/>
      <c r="O69" s="81">
        <v>110</v>
      </c>
      <c r="P69" s="81">
        <v>1</v>
      </c>
      <c r="Q69" s="81">
        <v>1</v>
      </c>
      <c r="R69" s="81">
        <v>57</v>
      </c>
      <c r="S69" s="81">
        <v>5</v>
      </c>
      <c r="T69" s="81">
        <v>1</v>
      </c>
      <c r="U69" s="81"/>
      <c r="V69" s="81">
        <v>8</v>
      </c>
      <c r="W69" s="81">
        <v>1</v>
      </c>
      <c r="X69" s="81"/>
      <c r="Y69" s="81">
        <v>40</v>
      </c>
      <c r="Z69" s="81">
        <v>8</v>
      </c>
      <c r="AA69" s="81">
        <v>269</v>
      </c>
    </row>
    <row r="70" spans="1:27" x14ac:dyDescent="0.25">
      <c r="A70" s="14">
        <v>46143.527777777781</v>
      </c>
      <c r="B70" s="81" t="s">
        <v>149</v>
      </c>
      <c r="C70" s="81" t="s">
        <v>173</v>
      </c>
      <c r="D70" s="81" t="s">
        <v>160</v>
      </c>
      <c r="E70" s="81" t="s">
        <v>52</v>
      </c>
      <c r="F70" s="81" t="s">
        <v>0</v>
      </c>
      <c r="H70" s="13" t="s">
        <v>852</v>
      </c>
      <c r="J70" s="13" t="s">
        <v>253</v>
      </c>
      <c r="K70" s="81"/>
      <c r="L70" s="81"/>
      <c r="M70" s="81"/>
      <c r="N70" s="81"/>
      <c r="O70" s="81">
        <v>20</v>
      </c>
      <c r="P70" s="81"/>
      <c r="Q70" s="81"/>
      <c r="R70" s="81"/>
      <c r="S70" s="81"/>
      <c r="T70" s="81"/>
      <c r="U70" s="81"/>
      <c r="V70" s="81"/>
      <c r="W70" s="81"/>
      <c r="X70" s="81"/>
      <c r="Y70" s="81">
        <v>24</v>
      </c>
      <c r="Z70" s="81">
        <v>1</v>
      </c>
      <c r="AA70" s="81">
        <v>45</v>
      </c>
    </row>
    <row r="71" spans="1:27" x14ac:dyDescent="0.25">
      <c r="A71" s="14">
        <v>46143.527777777781</v>
      </c>
      <c r="B71" s="81" t="s">
        <v>149</v>
      </c>
      <c r="C71" s="81" t="s">
        <v>185</v>
      </c>
      <c r="D71" s="81" t="s">
        <v>160</v>
      </c>
      <c r="E71" s="81" t="s">
        <v>52</v>
      </c>
      <c r="F71" s="81" t="s">
        <v>0</v>
      </c>
      <c r="H71" s="13" t="s">
        <v>179</v>
      </c>
      <c r="J71" s="13" t="s">
        <v>841</v>
      </c>
      <c r="K71" s="81">
        <v>13</v>
      </c>
      <c r="L71" s="81"/>
      <c r="M71" s="81">
        <v>9</v>
      </c>
      <c r="N71" s="81"/>
      <c r="O71" s="81">
        <v>11</v>
      </c>
      <c r="P71" s="81"/>
      <c r="Q71" s="81"/>
      <c r="R71" s="81">
        <v>12</v>
      </c>
      <c r="S71" s="81">
        <v>1</v>
      </c>
      <c r="T71" s="81"/>
      <c r="U71" s="81"/>
      <c r="V71" s="81"/>
      <c r="W71" s="81"/>
      <c r="X71" s="81"/>
      <c r="Y71" s="81">
        <v>7</v>
      </c>
      <c r="Z71" s="81">
        <v>4</v>
      </c>
      <c r="AA71" s="81">
        <v>57</v>
      </c>
    </row>
    <row r="72" spans="1:27" x14ac:dyDescent="0.25">
      <c r="A72" s="14">
        <v>46143.527777777781</v>
      </c>
      <c r="B72" s="81" t="s">
        <v>149</v>
      </c>
      <c r="C72" s="81" t="s">
        <v>181</v>
      </c>
      <c r="D72" s="81" t="s">
        <v>160</v>
      </c>
      <c r="E72" s="81" t="s">
        <v>52</v>
      </c>
      <c r="F72" s="81" t="s">
        <v>0</v>
      </c>
      <c r="H72" s="13" t="s">
        <v>263</v>
      </c>
      <c r="J72" s="13" t="s">
        <v>842</v>
      </c>
      <c r="K72" s="81"/>
      <c r="L72" s="81"/>
      <c r="M72" s="81"/>
      <c r="N72" s="81">
        <v>1</v>
      </c>
      <c r="O72" s="81">
        <v>10</v>
      </c>
      <c r="P72" s="81"/>
      <c r="Q72" s="81"/>
      <c r="R72" s="81">
        <v>1</v>
      </c>
      <c r="S72" s="81">
        <v>1</v>
      </c>
      <c r="T72" s="81"/>
      <c r="U72" s="81"/>
      <c r="V72" s="81"/>
      <c r="W72" s="81"/>
      <c r="X72" s="81"/>
      <c r="Y72" s="81">
        <v>42</v>
      </c>
      <c r="Z72" s="81">
        <v>2</v>
      </c>
      <c r="AA72" s="81">
        <v>57</v>
      </c>
    </row>
    <row r="73" spans="1:27" x14ac:dyDescent="0.25">
      <c r="A73" s="14">
        <v>46143.527777777781</v>
      </c>
      <c r="B73" s="81" t="s">
        <v>149</v>
      </c>
      <c r="C73" s="81" t="s">
        <v>184</v>
      </c>
      <c r="D73" s="81" t="s">
        <v>193</v>
      </c>
      <c r="E73" s="81" t="s">
        <v>50</v>
      </c>
      <c r="F73" s="81" t="s">
        <v>1</v>
      </c>
      <c r="H73" s="13" t="s">
        <v>240</v>
      </c>
      <c r="J73" s="13" t="s">
        <v>283</v>
      </c>
      <c r="K73" s="81">
        <v>4</v>
      </c>
      <c r="L73" s="81"/>
      <c r="M73" s="81"/>
      <c r="N73" s="81">
        <v>1</v>
      </c>
      <c r="O73" s="81">
        <v>1</v>
      </c>
      <c r="P73" s="81"/>
      <c r="Q73" s="81"/>
      <c r="R73" s="81">
        <v>1</v>
      </c>
      <c r="S73" s="81"/>
      <c r="T73" s="81"/>
      <c r="U73" s="81"/>
      <c r="V73" s="81"/>
      <c r="W73" s="81"/>
      <c r="X73" s="81"/>
      <c r="Y73" s="81">
        <v>2</v>
      </c>
      <c r="Z73" s="81"/>
      <c r="AA73" s="81">
        <v>9</v>
      </c>
    </row>
    <row r="74" spans="1:27" x14ac:dyDescent="0.25">
      <c r="A74" s="14">
        <v>46143.527777777781</v>
      </c>
      <c r="B74" s="81" t="s">
        <v>149</v>
      </c>
      <c r="C74" s="81" t="s">
        <v>184</v>
      </c>
      <c r="D74" s="81" t="s">
        <v>193</v>
      </c>
      <c r="E74" s="81" t="s">
        <v>50</v>
      </c>
      <c r="F74" s="81" t="s">
        <v>1</v>
      </c>
      <c r="H74" s="13" t="s">
        <v>264</v>
      </c>
      <c r="J74" s="13" t="s">
        <v>849</v>
      </c>
      <c r="K74" s="81"/>
      <c r="L74" s="81"/>
      <c r="M74" s="81"/>
      <c r="N74" s="81"/>
      <c r="O74" s="81">
        <v>1</v>
      </c>
      <c r="P74" s="81"/>
      <c r="Q74" s="81"/>
      <c r="R74" s="81">
        <v>1</v>
      </c>
      <c r="S74" s="81"/>
      <c r="T74" s="81"/>
      <c r="U74" s="81"/>
      <c r="V74" s="81"/>
      <c r="W74" s="81"/>
      <c r="X74" s="81"/>
      <c r="Y74" s="81"/>
      <c r="Z74" s="81"/>
      <c r="AA74" s="81">
        <v>2</v>
      </c>
    </row>
    <row r="75" spans="1:27" x14ac:dyDescent="0.25">
      <c r="A75" s="14">
        <v>46143.527777777781</v>
      </c>
      <c r="B75" s="81" t="s">
        <v>149</v>
      </c>
      <c r="C75" s="81" t="s">
        <v>192</v>
      </c>
      <c r="D75" s="81" t="s">
        <v>245</v>
      </c>
      <c r="E75" s="81" t="s">
        <v>60</v>
      </c>
      <c r="F75" s="81" t="s">
        <v>28</v>
      </c>
      <c r="H75" s="13" t="s">
        <v>854</v>
      </c>
      <c r="J75" s="13" t="s">
        <v>850</v>
      </c>
      <c r="K75" s="81"/>
      <c r="L75" s="81"/>
      <c r="M75" s="81"/>
      <c r="N75" s="81"/>
      <c r="O75" s="81">
        <v>4</v>
      </c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>
        <v>4</v>
      </c>
    </row>
    <row r="76" spans="1:27" x14ac:dyDescent="0.25">
      <c r="A76" s="14">
        <v>46143.527777777781</v>
      </c>
      <c r="B76" s="81" t="s">
        <v>149</v>
      </c>
      <c r="C76" s="81" t="s">
        <v>171</v>
      </c>
      <c r="D76" s="81" t="s">
        <v>179</v>
      </c>
      <c r="E76" s="81" t="s">
        <v>50</v>
      </c>
      <c r="F76" s="81" t="s">
        <v>1</v>
      </c>
      <c r="H76" s="13" t="s">
        <v>265</v>
      </c>
      <c r="J76" s="13" t="s">
        <v>851</v>
      </c>
      <c r="K76" s="81"/>
      <c r="L76" s="81"/>
      <c r="M76" s="81"/>
      <c r="N76" s="81"/>
      <c r="O76" s="81"/>
      <c r="P76" s="81"/>
      <c r="Q76" s="81"/>
      <c r="R76" s="81">
        <v>1</v>
      </c>
      <c r="S76" s="81"/>
      <c r="T76" s="81"/>
      <c r="U76" s="81"/>
      <c r="V76" s="81"/>
      <c r="W76" s="81"/>
      <c r="X76" s="81"/>
      <c r="Y76" s="81"/>
      <c r="Z76" s="81"/>
      <c r="AA76" s="81">
        <v>1</v>
      </c>
    </row>
    <row r="77" spans="1:27" x14ac:dyDescent="0.25">
      <c r="A77" s="14">
        <v>46143.527777777781</v>
      </c>
      <c r="B77" s="81" t="s">
        <v>149</v>
      </c>
      <c r="C77" s="81" t="s">
        <v>183</v>
      </c>
      <c r="D77" s="81" t="s">
        <v>193</v>
      </c>
      <c r="E77" s="81" t="s">
        <v>52</v>
      </c>
      <c r="F77" s="81" t="s">
        <v>0</v>
      </c>
      <c r="H77" s="13" t="s">
        <v>222</v>
      </c>
      <c r="J77" s="13" t="s">
        <v>852</v>
      </c>
      <c r="K77" s="81">
        <v>4</v>
      </c>
      <c r="L77" s="81"/>
      <c r="M77" s="81"/>
      <c r="N77" s="81"/>
      <c r="O77" s="81">
        <v>1</v>
      </c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>
        <v>5</v>
      </c>
    </row>
    <row r="78" spans="1:27" x14ac:dyDescent="0.25">
      <c r="A78" s="14">
        <v>46143.527777777781</v>
      </c>
      <c r="B78" s="81" t="s">
        <v>149</v>
      </c>
      <c r="C78" s="81" t="s">
        <v>173</v>
      </c>
      <c r="D78" s="81" t="s">
        <v>193</v>
      </c>
      <c r="E78" s="81" t="s">
        <v>50</v>
      </c>
      <c r="F78" s="81" t="s">
        <v>1</v>
      </c>
      <c r="H78" s="13" t="s">
        <v>163</v>
      </c>
      <c r="J78" s="13" t="s">
        <v>853</v>
      </c>
      <c r="K78" s="81"/>
      <c r="L78" s="81"/>
      <c r="M78" s="81"/>
      <c r="N78" s="81"/>
      <c r="O78" s="81">
        <v>1</v>
      </c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>
        <v>1</v>
      </c>
    </row>
    <row r="79" spans="1:27" x14ac:dyDescent="0.25">
      <c r="A79" s="14">
        <v>46143.527777777781</v>
      </c>
      <c r="B79" s="81" t="s">
        <v>149</v>
      </c>
      <c r="C79" s="81" t="s">
        <v>173</v>
      </c>
      <c r="D79" s="81" t="s">
        <v>251</v>
      </c>
      <c r="E79" s="81" t="s">
        <v>49</v>
      </c>
      <c r="F79" s="81" t="s">
        <v>2</v>
      </c>
      <c r="H79" s="13" t="s">
        <v>193</v>
      </c>
      <c r="J79" s="13" t="s">
        <v>854</v>
      </c>
      <c r="K79" s="81"/>
      <c r="L79" s="81"/>
      <c r="M79" s="81"/>
      <c r="N79" s="81"/>
      <c r="O79" s="81">
        <v>1</v>
      </c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>
        <v>1</v>
      </c>
    </row>
    <row r="80" spans="1:27" x14ac:dyDescent="0.25">
      <c r="A80" s="14">
        <v>46143.527777777781</v>
      </c>
      <c r="B80" s="81" t="s">
        <v>149</v>
      </c>
      <c r="C80" s="81" t="s">
        <v>158</v>
      </c>
      <c r="D80" s="81" t="s">
        <v>165</v>
      </c>
      <c r="E80" s="81" t="s">
        <v>50</v>
      </c>
      <c r="F80" s="81" t="s">
        <v>1</v>
      </c>
      <c r="H80" s="13" t="s">
        <v>236</v>
      </c>
      <c r="J80" s="13" t="s">
        <v>855</v>
      </c>
      <c r="K80" s="81"/>
      <c r="L80" s="81"/>
      <c r="M80" s="81">
        <v>6</v>
      </c>
      <c r="N80" s="81"/>
      <c r="O80" s="81">
        <v>1</v>
      </c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>
        <v>7</v>
      </c>
    </row>
    <row r="81" spans="1:27" x14ac:dyDescent="0.25">
      <c r="A81" s="14">
        <v>46143.527777777781</v>
      </c>
      <c r="B81" s="81" t="s">
        <v>149</v>
      </c>
      <c r="C81" s="81" t="s">
        <v>230</v>
      </c>
      <c r="D81" s="81" t="s">
        <v>160</v>
      </c>
      <c r="E81" s="81" t="s">
        <v>64</v>
      </c>
      <c r="F81" s="81" t="s">
        <v>98</v>
      </c>
      <c r="H81" s="13" t="s">
        <v>244</v>
      </c>
      <c r="J81" s="13" t="s">
        <v>856</v>
      </c>
      <c r="K81" s="81"/>
      <c r="L81" s="81"/>
      <c r="M81" s="81">
        <v>15</v>
      </c>
      <c r="N81" s="81"/>
      <c r="O81" s="81">
        <v>3</v>
      </c>
      <c r="P81" s="81"/>
      <c r="Q81" s="81"/>
      <c r="R81" s="81">
        <v>4</v>
      </c>
      <c r="S81" s="81">
        <v>5</v>
      </c>
      <c r="T81" s="81">
        <v>1</v>
      </c>
      <c r="U81" s="81"/>
      <c r="V81" s="81"/>
      <c r="W81" s="81">
        <v>4</v>
      </c>
      <c r="X81" s="81"/>
      <c r="Y81" s="81">
        <v>4</v>
      </c>
      <c r="Z81" s="81">
        <v>1</v>
      </c>
      <c r="AA81" s="81">
        <v>37</v>
      </c>
    </row>
    <row r="82" spans="1:27" x14ac:dyDescent="0.25">
      <c r="A82" s="14">
        <v>46143.527777777781</v>
      </c>
      <c r="B82" s="81" t="s">
        <v>149</v>
      </c>
      <c r="C82" s="81" t="s">
        <v>158</v>
      </c>
      <c r="D82" s="81" t="s">
        <v>165</v>
      </c>
      <c r="E82" s="81" t="s">
        <v>50</v>
      </c>
      <c r="F82" s="81" t="s">
        <v>1</v>
      </c>
      <c r="H82" s="13" t="s">
        <v>212</v>
      </c>
      <c r="J82" s="13" t="s">
        <v>857</v>
      </c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>
        <v>5</v>
      </c>
      <c r="Z82" s="81"/>
      <c r="AA82" s="81">
        <v>5</v>
      </c>
    </row>
    <row r="83" spans="1:27" x14ac:dyDescent="0.25">
      <c r="A83" s="14">
        <v>46143.527777777781</v>
      </c>
      <c r="B83" s="81" t="s">
        <v>149</v>
      </c>
      <c r="C83" s="81" t="s">
        <v>173</v>
      </c>
      <c r="D83" s="81" t="s">
        <v>165</v>
      </c>
      <c r="E83" s="81" t="s">
        <v>50</v>
      </c>
      <c r="F83" s="81" t="s">
        <v>1</v>
      </c>
      <c r="H83" s="13" t="s">
        <v>168</v>
      </c>
      <c r="J83" s="13" t="s">
        <v>859</v>
      </c>
      <c r="K83" s="81"/>
      <c r="L83" s="81"/>
      <c r="M83" s="81"/>
      <c r="N83" s="81"/>
      <c r="O83" s="81">
        <v>1</v>
      </c>
      <c r="P83" s="81"/>
      <c r="Q83" s="81"/>
      <c r="R83" s="81"/>
      <c r="S83" s="81"/>
      <c r="T83" s="81"/>
      <c r="U83" s="81"/>
      <c r="V83" s="81"/>
      <c r="W83" s="81"/>
      <c r="X83" s="81"/>
      <c r="Y83" s="81">
        <v>2</v>
      </c>
      <c r="Z83" s="81"/>
      <c r="AA83" s="81">
        <v>3</v>
      </c>
    </row>
    <row r="84" spans="1:27" x14ac:dyDescent="0.25">
      <c r="A84" s="14">
        <v>46143.527777777781</v>
      </c>
      <c r="B84" s="81" t="s">
        <v>149</v>
      </c>
      <c r="C84" s="81" t="s">
        <v>176</v>
      </c>
      <c r="D84" s="81" t="s">
        <v>153</v>
      </c>
      <c r="E84" s="81" t="s">
        <v>70</v>
      </c>
      <c r="F84" s="81" t="s">
        <v>15</v>
      </c>
      <c r="H84" s="13" t="s">
        <v>253</v>
      </c>
      <c r="J84" s="13" t="s">
        <v>860</v>
      </c>
      <c r="K84" s="81"/>
      <c r="L84" s="81"/>
      <c r="M84" s="81"/>
      <c r="N84" s="81"/>
      <c r="O84" s="81">
        <v>2</v>
      </c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>
        <v>2</v>
      </c>
    </row>
    <row r="85" spans="1:27" x14ac:dyDescent="0.25">
      <c r="A85" s="14">
        <v>46143.527777777781</v>
      </c>
      <c r="B85" s="81" t="s">
        <v>149</v>
      </c>
      <c r="C85" s="81" t="s">
        <v>158</v>
      </c>
      <c r="D85" s="81" t="s">
        <v>236</v>
      </c>
      <c r="E85" s="81" t="s">
        <v>50</v>
      </c>
      <c r="F85" s="81" t="s">
        <v>1</v>
      </c>
      <c r="J85" s="13" t="s">
        <v>861</v>
      </c>
      <c r="K85" s="81"/>
      <c r="L85" s="81"/>
      <c r="M85" s="81">
        <v>6</v>
      </c>
      <c r="N85" s="81"/>
      <c r="O85" s="81">
        <v>1</v>
      </c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>
        <v>7</v>
      </c>
    </row>
    <row r="86" spans="1:27" x14ac:dyDescent="0.25">
      <c r="A86" s="14">
        <v>46143.527777777781</v>
      </c>
      <c r="B86" s="81" t="s">
        <v>149</v>
      </c>
      <c r="C86" s="81" t="s">
        <v>151</v>
      </c>
      <c r="D86" s="81" t="s">
        <v>153</v>
      </c>
      <c r="E86" s="81" t="s">
        <v>50</v>
      </c>
      <c r="F86" s="81" t="s">
        <v>1</v>
      </c>
      <c r="J86" s="13" t="s">
        <v>248</v>
      </c>
      <c r="K86" s="81">
        <v>375</v>
      </c>
      <c r="L86" s="81">
        <v>80</v>
      </c>
      <c r="M86" s="81">
        <v>546</v>
      </c>
      <c r="N86" s="81">
        <v>184</v>
      </c>
      <c r="O86" s="81">
        <v>1563</v>
      </c>
      <c r="P86" s="81">
        <v>289</v>
      </c>
      <c r="Q86" s="81">
        <v>29</v>
      </c>
      <c r="R86" s="81">
        <v>778</v>
      </c>
      <c r="S86" s="81">
        <v>160</v>
      </c>
      <c r="T86" s="81">
        <v>44</v>
      </c>
      <c r="U86" s="81">
        <v>9</v>
      </c>
      <c r="V86" s="81">
        <v>52</v>
      </c>
      <c r="W86" s="81">
        <v>12</v>
      </c>
      <c r="X86" s="81">
        <v>5</v>
      </c>
      <c r="Y86" s="81">
        <v>761</v>
      </c>
      <c r="Z86" s="81">
        <v>469</v>
      </c>
      <c r="AA86" s="81">
        <v>5356</v>
      </c>
    </row>
    <row r="87" spans="1:27" x14ac:dyDescent="0.25">
      <c r="A87" s="14">
        <v>46143.527777777781</v>
      </c>
      <c r="B87" s="81" t="s">
        <v>149</v>
      </c>
      <c r="C87" s="81" t="s">
        <v>232</v>
      </c>
      <c r="D87" s="81" t="s">
        <v>222</v>
      </c>
      <c r="E87" s="81" t="s">
        <v>44</v>
      </c>
      <c r="F87" s="81" t="s">
        <v>17</v>
      </c>
    </row>
    <row r="88" spans="1:27" x14ac:dyDescent="0.25">
      <c r="A88" s="14">
        <v>46143.527777777781</v>
      </c>
      <c r="B88" s="81" t="s">
        <v>149</v>
      </c>
      <c r="C88" s="81" t="s">
        <v>187</v>
      </c>
      <c r="D88" s="81" t="s">
        <v>222</v>
      </c>
      <c r="E88" s="81" t="s">
        <v>75</v>
      </c>
      <c r="F88" s="81" t="s">
        <v>93</v>
      </c>
    </row>
    <row r="89" spans="1:27" x14ac:dyDescent="0.25">
      <c r="A89" s="14">
        <v>46143.527777777781</v>
      </c>
      <c r="B89" s="81" t="s">
        <v>149</v>
      </c>
      <c r="C89" s="81" t="s">
        <v>187</v>
      </c>
      <c r="D89" s="81" t="s">
        <v>222</v>
      </c>
      <c r="E89" s="81" t="s">
        <v>75</v>
      </c>
      <c r="F89" s="81" t="s">
        <v>93</v>
      </c>
    </row>
    <row r="90" spans="1:27" x14ac:dyDescent="0.25">
      <c r="A90" s="14">
        <v>46143.527777777781</v>
      </c>
      <c r="B90" s="81" t="s">
        <v>149</v>
      </c>
      <c r="C90" s="81" t="s">
        <v>187</v>
      </c>
      <c r="D90" s="81" t="s">
        <v>222</v>
      </c>
      <c r="E90" s="81" t="s">
        <v>75</v>
      </c>
      <c r="F90" s="81" t="s">
        <v>93</v>
      </c>
    </row>
    <row r="91" spans="1:27" x14ac:dyDescent="0.25">
      <c r="A91" s="14">
        <v>46143.527777777781</v>
      </c>
      <c r="B91" s="81" t="s">
        <v>149</v>
      </c>
      <c r="C91" s="81" t="s">
        <v>187</v>
      </c>
      <c r="D91" s="81" t="s">
        <v>222</v>
      </c>
      <c r="E91" s="81" t="s">
        <v>75</v>
      </c>
      <c r="F91" s="81" t="s">
        <v>93</v>
      </c>
    </row>
    <row r="92" spans="1:27" x14ac:dyDescent="0.25">
      <c r="A92" s="14">
        <v>46143.527777777781</v>
      </c>
      <c r="B92" s="81" t="s">
        <v>149</v>
      </c>
      <c r="C92" s="81" t="s">
        <v>187</v>
      </c>
      <c r="D92" s="81" t="s">
        <v>222</v>
      </c>
      <c r="E92" s="81" t="s">
        <v>75</v>
      </c>
      <c r="F92" s="81" t="s">
        <v>93</v>
      </c>
    </row>
    <row r="93" spans="1:27" x14ac:dyDescent="0.25">
      <c r="A93" s="14">
        <v>46143.527777777781</v>
      </c>
      <c r="B93" s="81" t="s">
        <v>149</v>
      </c>
      <c r="C93" s="81" t="s">
        <v>187</v>
      </c>
      <c r="D93" s="81" t="s">
        <v>222</v>
      </c>
      <c r="E93" s="81" t="s">
        <v>75</v>
      </c>
      <c r="F93" s="81" t="s">
        <v>93</v>
      </c>
    </row>
    <row r="94" spans="1:27" x14ac:dyDescent="0.25">
      <c r="A94" s="14">
        <v>46143.527777777781</v>
      </c>
      <c r="B94" s="81" t="s">
        <v>149</v>
      </c>
      <c r="C94" s="81" t="s">
        <v>187</v>
      </c>
      <c r="D94" s="81" t="s">
        <v>222</v>
      </c>
      <c r="E94" s="81" t="s">
        <v>75</v>
      </c>
      <c r="F94" s="81" t="s">
        <v>93</v>
      </c>
    </row>
    <row r="95" spans="1:27" x14ac:dyDescent="0.25">
      <c r="A95" s="14">
        <v>46143.527777777781</v>
      </c>
      <c r="B95" s="81" t="s">
        <v>149</v>
      </c>
      <c r="C95" s="81" t="s">
        <v>187</v>
      </c>
      <c r="D95" s="81" t="s">
        <v>222</v>
      </c>
      <c r="E95" s="81" t="s">
        <v>75</v>
      </c>
      <c r="F95" s="81" t="s">
        <v>93</v>
      </c>
    </row>
    <row r="96" spans="1:27" x14ac:dyDescent="0.25">
      <c r="A96" s="14">
        <v>46143.527777777781</v>
      </c>
      <c r="B96" s="81" t="s">
        <v>149</v>
      </c>
      <c r="C96" s="81" t="s">
        <v>187</v>
      </c>
      <c r="D96" s="81" t="s">
        <v>222</v>
      </c>
      <c r="E96" s="81" t="s">
        <v>75</v>
      </c>
      <c r="F96" s="81" t="s">
        <v>93</v>
      </c>
    </row>
    <row r="97" spans="1:6" x14ac:dyDescent="0.25">
      <c r="A97" s="14">
        <v>46143.527777777781</v>
      </c>
      <c r="B97" s="81" t="s">
        <v>149</v>
      </c>
      <c r="C97" s="81" t="s">
        <v>187</v>
      </c>
      <c r="D97" s="81" t="s">
        <v>222</v>
      </c>
      <c r="E97" s="81" t="s">
        <v>75</v>
      </c>
      <c r="F97" s="81" t="s">
        <v>93</v>
      </c>
    </row>
    <row r="98" spans="1:6" x14ac:dyDescent="0.25">
      <c r="A98" s="14">
        <v>46143.527777777781</v>
      </c>
      <c r="B98" s="81" t="s">
        <v>149</v>
      </c>
      <c r="C98" s="81" t="s">
        <v>187</v>
      </c>
      <c r="D98" s="81" t="s">
        <v>222</v>
      </c>
      <c r="E98" s="81" t="s">
        <v>75</v>
      </c>
      <c r="F98" s="81" t="s">
        <v>93</v>
      </c>
    </row>
    <row r="99" spans="1:6" x14ac:dyDescent="0.25">
      <c r="A99" s="14">
        <v>46143.527777777781</v>
      </c>
      <c r="B99" s="81" t="s">
        <v>149</v>
      </c>
      <c r="C99" s="81" t="s">
        <v>187</v>
      </c>
      <c r="D99" s="81" t="s">
        <v>222</v>
      </c>
      <c r="E99" s="81" t="s">
        <v>75</v>
      </c>
      <c r="F99" s="81" t="s">
        <v>93</v>
      </c>
    </row>
    <row r="100" spans="1:6" x14ac:dyDescent="0.25">
      <c r="A100" s="14">
        <v>46143.527777777781</v>
      </c>
      <c r="B100" s="81" t="s">
        <v>149</v>
      </c>
      <c r="C100" s="81" t="s">
        <v>187</v>
      </c>
      <c r="D100" s="81" t="s">
        <v>222</v>
      </c>
      <c r="E100" s="81" t="s">
        <v>75</v>
      </c>
      <c r="F100" s="81" t="s">
        <v>93</v>
      </c>
    </row>
    <row r="101" spans="1:6" x14ac:dyDescent="0.25">
      <c r="A101" s="14">
        <v>46143.527777777781</v>
      </c>
      <c r="B101" s="81" t="s">
        <v>149</v>
      </c>
      <c r="C101" s="81" t="s">
        <v>187</v>
      </c>
      <c r="D101" s="81" t="s">
        <v>222</v>
      </c>
      <c r="E101" s="81" t="s">
        <v>75</v>
      </c>
      <c r="F101" s="81" t="s">
        <v>93</v>
      </c>
    </row>
    <row r="102" spans="1:6" x14ac:dyDescent="0.25">
      <c r="A102" s="14">
        <v>46143.527777777781</v>
      </c>
      <c r="B102" s="81" t="s">
        <v>149</v>
      </c>
      <c r="C102" s="81" t="s">
        <v>187</v>
      </c>
      <c r="D102" s="81" t="s">
        <v>222</v>
      </c>
      <c r="E102" s="81" t="s">
        <v>75</v>
      </c>
      <c r="F102" s="81" t="s">
        <v>93</v>
      </c>
    </row>
    <row r="103" spans="1:6" x14ac:dyDescent="0.25">
      <c r="A103" s="14">
        <v>46143.527777777781</v>
      </c>
      <c r="B103" s="81" t="s">
        <v>149</v>
      </c>
      <c r="C103" s="81" t="s">
        <v>187</v>
      </c>
      <c r="D103" s="81" t="s">
        <v>222</v>
      </c>
      <c r="E103" s="81" t="s">
        <v>75</v>
      </c>
      <c r="F103" s="81" t="s">
        <v>93</v>
      </c>
    </row>
    <row r="104" spans="1:6" x14ac:dyDescent="0.25">
      <c r="A104" s="14">
        <v>46143.527777777781</v>
      </c>
      <c r="B104" s="81" t="s">
        <v>149</v>
      </c>
      <c r="C104" s="81" t="s">
        <v>187</v>
      </c>
      <c r="D104" s="81" t="s">
        <v>222</v>
      </c>
      <c r="E104" s="81" t="s">
        <v>75</v>
      </c>
      <c r="F104" s="81" t="s">
        <v>93</v>
      </c>
    </row>
    <row r="105" spans="1:6" x14ac:dyDescent="0.25">
      <c r="A105" s="14">
        <v>46143.527777777781</v>
      </c>
      <c r="B105" s="81" t="s">
        <v>149</v>
      </c>
      <c r="C105" s="81" t="s">
        <v>187</v>
      </c>
      <c r="D105" s="81" t="s">
        <v>222</v>
      </c>
      <c r="E105" s="81" t="s">
        <v>75</v>
      </c>
      <c r="F105" s="81" t="s">
        <v>93</v>
      </c>
    </row>
    <row r="106" spans="1:6" x14ac:dyDescent="0.25">
      <c r="A106" s="14">
        <v>46143.527777777781</v>
      </c>
      <c r="B106" s="81" t="s">
        <v>149</v>
      </c>
      <c r="C106" s="81" t="s">
        <v>187</v>
      </c>
      <c r="D106" s="81" t="s">
        <v>222</v>
      </c>
      <c r="E106" s="81" t="s">
        <v>75</v>
      </c>
      <c r="F106" s="81" t="s">
        <v>93</v>
      </c>
    </row>
    <row r="107" spans="1:6" x14ac:dyDescent="0.25">
      <c r="A107" s="14">
        <v>46143.527777777781</v>
      </c>
      <c r="B107" s="81" t="s">
        <v>149</v>
      </c>
      <c r="C107" s="81" t="s">
        <v>187</v>
      </c>
      <c r="D107" s="81" t="s">
        <v>222</v>
      </c>
      <c r="E107" s="81" t="s">
        <v>75</v>
      </c>
      <c r="F107" s="81" t="s">
        <v>93</v>
      </c>
    </row>
    <row r="108" spans="1:6" x14ac:dyDescent="0.25">
      <c r="A108" s="14">
        <v>46143.527777777781</v>
      </c>
      <c r="B108" s="81" t="s">
        <v>149</v>
      </c>
      <c r="C108" s="81" t="s">
        <v>187</v>
      </c>
      <c r="D108" s="81" t="s">
        <v>222</v>
      </c>
      <c r="E108" s="81" t="s">
        <v>75</v>
      </c>
      <c r="F108" s="81" t="s">
        <v>93</v>
      </c>
    </row>
    <row r="109" spans="1:6" x14ac:dyDescent="0.25">
      <c r="A109" s="14">
        <v>46143.527777777781</v>
      </c>
      <c r="B109" s="81" t="s">
        <v>149</v>
      </c>
      <c r="C109" s="81" t="s">
        <v>187</v>
      </c>
      <c r="D109" s="81" t="s">
        <v>222</v>
      </c>
      <c r="E109" s="81" t="s">
        <v>75</v>
      </c>
      <c r="F109" s="81" t="s">
        <v>93</v>
      </c>
    </row>
    <row r="110" spans="1:6" x14ac:dyDescent="0.25">
      <c r="A110" s="14">
        <v>46143.527777777781</v>
      </c>
      <c r="B110" s="81" t="s">
        <v>149</v>
      </c>
      <c r="C110" s="81" t="s">
        <v>187</v>
      </c>
      <c r="D110" s="81" t="s">
        <v>222</v>
      </c>
      <c r="E110" s="81" t="s">
        <v>75</v>
      </c>
      <c r="F110" s="81" t="s">
        <v>93</v>
      </c>
    </row>
    <row r="111" spans="1:6" x14ac:dyDescent="0.25">
      <c r="A111" s="14">
        <v>46143.527777777781</v>
      </c>
      <c r="B111" s="81" t="s">
        <v>149</v>
      </c>
      <c r="C111" s="81" t="s">
        <v>187</v>
      </c>
      <c r="D111" s="81" t="s">
        <v>222</v>
      </c>
      <c r="E111" s="81" t="s">
        <v>75</v>
      </c>
      <c r="F111" s="81" t="s">
        <v>93</v>
      </c>
    </row>
    <row r="112" spans="1:6" x14ac:dyDescent="0.25">
      <c r="A112" s="14">
        <v>46143.527777777781</v>
      </c>
      <c r="B112" s="81" t="s">
        <v>149</v>
      </c>
      <c r="C112" s="81" t="s">
        <v>187</v>
      </c>
      <c r="D112" s="81" t="s">
        <v>222</v>
      </c>
      <c r="E112" s="81" t="s">
        <v>75</v>
      </c>
      <c r="F112" s="81" t="s">
        <v>93</v>
      </c>
    </row>
    <row r="113" spans="1:6" x14ac:dyDescent="0.25">
      <c r="A113" s="14">
        <v>46143.527777777781</v>
      </c>
      <c r="B113" s="81" t="s">
        <v>149</v>
      </c>
      <c r="C113" s="81" t="s">
        <v>187</v>
      </c>
      <c r="D113" s="81" t="s">
        <v>222</v>
      </c>
      <c r="E113" s="81" t="s">
        <v>75</v>
      </c>
      <c r="F113" s="81" t="s">
        <v>93</v>
      </c>
    </row>
    <row r="114" spans="1:6" x14ac:dyDescent="0.25">
      <c r="A114" s="14">
        <v>46143.527777777781</v>
      </c>
      <c r="B114" s="81" t="s">
        <v>149</v>
      </c>
      <c r="C114" s="81" t="s">
        <v>187</v>
      </c>
      <c r="D114" s="81" t="s">
        <v>222</v>
      </c>
      <c r="E114" s="81" t="s">
        <v>75</v>
      </c>
      <c r="F114" s="81" t="s">
        <v>93</v>
      </c>
    </row>
    <row r="115" spans="1:6" x14ac:dyDescent="0.25">
      <c r="A115" s="14">
        <v>46143.527777777781</v>
      </c>
      <c r="B115" s="81" t="s">
        <v>149</v>
      </c>
      <c r="C115" s="81" t="s">
        <v>187</v>
      </c>
      <c r="D115" s="81" t="s">
        <v>222</v>
      </c>
      <c r="E115" s="81" t="s">
        <v>75</v>
      </c>
      <c r="F115" s="81" t="s">
        <v>93</v>
      </c>
    </row>
    <row r="116" spans="1:6" x14ac:dyDescent="0.25">
      <c r="A116" s="14">
        <v>46143.527777777781</v>
      </c>
      <c r="B116" s="81" t="s">
        <v>149</v>
      </c>
      <c r="C116" s="81" t="s">
        <v>176</v>
      </c>
      <c r="D116" s="81" t="s">
        <v>222</v>
      </c>
      <c r="E116" s="81" t="s">
        <v>70</v>
      </c>
      <c r="F116" s="81" t="s">
        <v>15</v>
      </c>
    </row>
    <row r="117" spans="1:6" x14ac:dyDescent="0.25">
      <c r="A117" s="14">
        <v>46143.527777777781</v>
      </c>
      <c r="B117" s="81" t="s">
        <v>149</v>
      </c>
      <c r="C117" s="81" t="s">
        <v>192</v>
      </c>
      <c r="D117" s="81" t="s">
        <v>247</v>
      </c>
      <c r="E117" s="81" t="s">
        <v>60</v>
      </c>
      <c r="F117" s="81" t="s">
        <v>28</v>
      </c>
    </row>
    <row r="118" spans="1:6" x14ac:dyDescent="0.25">
      <c r="A118" s="14">
        <v>46143.527777777781</v>
      </c>
      <c r="B118" s="81" t="s">
        <v>149</v>
      </c>
      <c r="C118" s="81" t="s">
        <v>187</v>
      </c>
      <c r="D118" s="81" t="s">
        <v>247</v>
      </c>
      <c r="E118" s="81" t="s">
        <v>75</v>
      </c>
      <c r="F118" s="81" t="s">
        <v>93</v>
      </c>
    </row>
    <row r="119" spans="1:6" x14ac:dyDescent="0.25">
      <c r="A119" s="14">
        <v>46143.527777777781</v>
      </c>
      <c r="B119" s="81" t="s">
        <v>149</v>
      </c>
      <c r="C119" s="81" t="s">
        <v>255</v>
      </c>
      <c r="D119" s="81" t="s">
        <v>241</v>
      </c>
      <c r="E119" s="81" t="s">
        <v>256</v>
      </c>
      <c r="F119" s="81" t="s">
        <v>28</v>
      </c>
    </row>
    <row r="120" spans="1:6" x14ac:dyDescent="0.25">
      <c r="A120" s="14">
        <v>46143.527777777781</v>
      </c>
      <c r="B120" s="81" t="s">
        <v>149</v>
      </c>
      <c r="C120" s="81" t="s">
        <v>187</v>
      </c>
      <c r="D120" s="81" t="s">
        <v>247</v>
      </c>
      <c r="E120" s="81" t="s">
        <v>75</v>
      </c>
      <c r="F120" s="81" t="s">
        <v>93</v>
      </c>
    </row>
    <row r="121" spans="1:6" x14ac:dyDescent="0.25">
      <c r="A121" s="14">
        <v>46143.527777777781</v>
      </c>
      <c r="B121" s="81" t="s">
        <v>149</v>
      </c>
      <c r="C121" s="81" t="s">
        <v>187</v>
      </c>
      <c r="D121" s="81" t="s">
        <v>205</v>
      </c>
      <c r="E121" s="81" t="s">
        <v>75</v>
      </c>
      <c r="F121" s="81" t="s">
        <v>93</v>
      </c>
    </row>
    <row r="122" spans="1:6" x14ac:dyDescent="0.25">
      <c r="A122" s="14">
        <v>46143.527777777781</v>
      </c>
      <c r="B122" s="81" t="s">
        <v>149</v>
      </c>
      <c r="C122" s="81" t="s">
        <v>176</v>
      </c>
      <c r="D122" s="81" t="s">
        <v>205</v>
      </c>
      <c r="E122" s="81" t="s">
        <v>237</v>
      </c>
      <c r="F122" s="81" t="s">
        <v>28</v>
      </c>
    </row>
    <row r="123" spans="1:6" x14ac:dyDescent="0.25">
      <c r="A123" s="14">
        <v>46143.527777777781</v>
      </c>
      <c r="B123" s="81" t="s">
        <v>149</v>
      </c>
      <c r="C123" s="81" t="s">
        <v>176</v>
      </c>
      <c r="D123" s="81" t="s">
        <v>231</v>
      </c>
      <c r="E123" s="81" t="s">
        <v>70</v>
      </c>
      <c r="F123" s="81" t="s">
        <v>15</v>
      </c>
    </row>
    <row r="124" spans="1:6" x14ac:dyDescent="0.25">
      <c r="A124" s="14">
        <v>46143.527777777781</v>
      </c>
      <c r="B124" s="81" t="s">
        <v>149</v>
      </c>
      <c r="C124" s="81" t="s">
        <v>176</v>
      </c>
      <c r="D124" s="81" t="s">
        <v>205</v>
      </c>
      <c r="E124" s="81" t="s">
        <v>237</v>
      </c>
      <c r="F124" s="81" t="s">
        <v>28</v>
      </c>
    </row>
    <row r="125" spans="1:6" x14ac:dyDescent="0.25">
      <c r="A125" s="14">
        <v>46143.527777777781</v>
      </c>
      <c r="B125" s="81" t="s">
        <v>149</v>
      </c>
      <c r="C125" s="81" t="s">
        <v>187</v>
      </c>
      <c r="D125" s="81" t="s">
        <v>205</v>
      </c>
      <c r="E125" s="81" t="s">
        <v>71</v>
      </c>
      <c r="F125" s="81" t="s">
        <v>94</v>
      </c>
    </row>
    <row r="126" spans="1:6" x14ac:dyDescent="0.25">
      <c r="A126" s="14">
        <v>46143.527777777781</v>
      </c>
      <c r="B126" s="81" t="s">
        <v>149</v>
      </c>
      <c r="C126" s="81" t="s">
        <v>187</v>
      </c>
      <c r="D126" s="81" t="s">
        <v>231</v>
      </c>
      <c r="E126" s="81" t="s">
        <v>75</v>
      </c>
      <c r="F126" s="81" t="s">
        <v>93</v>
      </c>
    </row>
    <row r="127" spans="1:6" x14ac:dyDescent="0.25">
      <c r="A127" s="14">
        <v>46143.527777777781</v>
      </c>
      <c r="B127" s="81" t="s">
        <v>149</v>
      </c>
      <c r="C127" s="81" t="s">
        <v>255</v>
      </c>
      <c r="D127" s="81" t="s">
        <v>205</v>
      </c>
      <c r="E127" s="81" t="s">
        <v>256</v>
      </c>
      <c r="F127" s="81" t="s">
        <v>28</v>
      </c>
    </row>
    <row r="128" spans="1:6" x14ac:dyDescent="0.25">
      <c r="A128" s="14">
        <v>46143.527777777781</v>
      </c>
      <c r="B128" s="81" t="s">
        <v>149</v>
      </c>
      <c r="C128" s="81" t="s">
        <v>223</v>
      </c>
      <c r="D128" s="81" t="s">
        <v>231</v>
      </c>
      <c r="E128" s="81" t="s">
        <v>64</v>
      </c>
      <c r="F128" s="81" t="s">
        <v>98</v>
      </c>
    </row>
    <row r="129" spans="1:6" x14ac:dyDescent="0.25">
      <c r="A129" s="14">
        <v>46143.527777777781</v>
      </c>
      <c r="B129" s="81" t="s">
        <v>149</v>
      </c>
      <c r="C129" s="81" t="s">
        <v>255</v>
      </c>
      <c r="D129" s="81" t="s">
        <v>159</v>
      </c>
      <c r="E129" s="81" t="s">
        <v>256</v>
      </c>
      <c r="F129" s="81" t="s">
        <v>28</v>
      </c>
    </row>
    <row r="130" spans="1:6" x14ac:dyDescent="0.25">
      <c r="A130" s="14">
        <v>46143.527777777781</v>
      </c>
      <c r="B130" s="81" t="s">
        <v>149</v>
      </c>
      <c r="C130" s="81" t="s">
        <v>175</v>
      </c>
      <c r="D130" s="81" t="s">
        <v>238</v>
      </c>
      <c r="E130" s="81" t="s">
        <v>52</v>
      </c>
      <c r="F130" s="81" t="s">
        <v>0</v>
      </c>
    </row>
    <row r="131" spans="1:6" x14ac:dyDescent="0.25">
      <c r="A131" s="14">
        <v>46143.527777777781</v>
      </c>
      <c r="B131" s="81" t="s">
        <v>149</v>
      </c>
      <c r="C131" s="81" t="s">
        <v>181</v>
      </c>
      <c r="D131" s="81" t="s">
        <v>231</v>
      </c>
      <c r="E131" s="81" t="s">
        <v>49</v>
      </c>
      <c r="F131" s="81" t="s">
        <v>2</v>
      </c>
    </row>
    <row r="132" spans="1:6" x14ac:dyDescent="0.25">
      <c r="A132" s="14">
        <v>46143.527777777781</v>
      </c>
      <c r="B132" s="81" t="s">
        <v>149</v>
      </c>
      <c r="C132" s="81" t="s">
        <v>181</v>
      </c>
      <c r="D132" s="81" t="s">
        <v>157</v>
      </c>
      <c r="E132" s="81" t="s">
        <v>49</v>
      </c>
      <c r="F132" s="81" t="s">
        <v>2</v>
      </c>
    </row>
    <row r="133" spans="1:6" x14ac:dyDescent="0.25">
      <c r="A133" s="14">
        <v>46143.527777777781</v>
      </c>
      <c r="B133" s="81" t="s">
        <v>149</v>
      </c>
      <c r="C133" s="81" t="s">
        <v>255</v>
      </c>
      <c r="D133" s="81" t="s">
        <v>229</v>
      </c>
      <c r="E133" s="81" t="s">
        <v>256</v>
      </c>
      <c r="F133" s="81" t="s">
        <v>28</v>
      </c>
    </row>
    <row r="134" spans="1:6" x14ac:dyDescent="0.25">
      <c r="A134" s="14">
        <v>46143.527777777781</v>
      </c>
      <c r="B134" s="81" t="s">
        <v>149</v>
      </c>
      <c r="C134" s="81" t="s">
        <v>190</v>
      </c>
      <c r="D134" s="81" t="s">
        <v>229</v>
      </c>
      <c r="E134" s="81" t="s">
        <v>50</v>
      </c>
      <c r="F134" s="81" t="s">
        <v>1</v>
      </c>
    </row>
    <row r="135" spans="1:6" x14ac:dyDescent="0.25">
      <c r="A135" s="14">
        <v>46143.527777777781</v>
      </c>
      <c r="B135" s="81" t="s">
        <v>149</v>
      </c>
      <c r="C135" s="81" t="s">
        <v>171</v>
      </c>
      <c r="D135" s="81" t="s">
        <v>229</v>
      </c>
      <c r="E135" s="81" t="s">
        <v>50</v>
      </c>
      <c r="F135" s="81" t="s">
        <v>1</v>
      </c>
    </row>
    <row r="136" spans="1:6" x14ac:dyDescent="0.25">
      <c r="A136" s="14">
        <v>46143.527777777781</v>
      </c>
      <c r="B136" s="81" t="s">
        <v>149</v>
      </c>
      <c r="C136" s="81" t="s">
        <v>255</v>
      </c>
      <c r="D136" s="81" t="s">
        <v>186</v>
      </c>
      <c r="E136" s="81" t="s">
        <v>256</v>
      </c>
      <c r="F136" s="81" t="s">
        <v>28</v>
      </c>
    </row>
    <row r="137" spans="1:6" x14ac:dyDescent="0.25">
      <c r="A137" s="14">
        <v>46143.527777777781</v>
      </c>
      <c r="B137" s="81" t="s">
        <v>149</v>
      </c>
      <c r="C137" s="81" t="s">
        <v>158</v>
      </c>
      <c r="D137" s="81" t="s">
        <v>245</v>
      </c>
      <c r="E137" s="81" t="s">
        <v>49</v>
      </c>
      <c r="F137" s="81" t="s">
        <v>2</v>
      </c>
    </row>
    <row r="138" spans="1:6" x14ac:dyDescent="0.25">
      <c r="A138" s="14">
        <v>46143.527777777781</v>
      </c>
      <c r="B138" s="81" t="s">
        <v>149</v>
      </c>
      <c r="C138" s="81" t="s">
        <v>158</v>
      </c>
      <c r="D138" s="81" t="s">
        <v>157</v>
      </c>
      <c r="E138" s="81" t="s">
        <v>50</v>
      </c>
      <c r="F138" s="81" t="s">
        <v>1</v>
      </c>
    </row>
    <row r="139" spans="1:6" x14ac:dyDescent="0.25">
      <c r="A139" s="14">
        <v>46143.527777777781</v>
      </c>
      <c r="B139" s="81" t="s">
        <v>149</v>
      </c>
      <c r="C139" s="81" t="s">
        <v>184</v>
      </c>
      <c r="D139" s="81" t="s">
        <v>157</v>
      </c>
      <c r="E139" s="81" t="s">
        <v>50</v>
      </c>
      <c r="F139" s="81" t="s">
        <v>1</v>
      </c>
    </row>
    <row r="140" spans="1:6" x14ac:dyDescent="0.25">
      <c r="A140" s="14">
        <v>46143.527777777781</v>
      </c>
      <c r="B140" s="81" t="s">
        <v>149</v>
      </c>
      <c r="C140" s="81" t="s">
        <v>171</v>
      </c>
      <c r="D140" s="81" t="s">
        <v>157</v>
      </c>
      <c r="E140" s="81" t="s">
        <v>50</v>
      </c>
      <c r="F140" s="81" t="s">
        <v>1</v>
      </c>
    </row>
    <row r="141" spans="1:6" x14ac:dyDescent="0.25">
      <c r="A141" s="14">
        <v>46143.527777777781</v>
      </c>
      <c r="B141" s="81" t="s">
        <v>149</v>
      </c>
      <c r="C141" s="81" t="s">
        <v>171</v>
      </c>
      <c r="D141" s="81" t="s">
        <v>157</v>
      </c>
      <c r="E141" s="81" t="s">
        <v>50</v>
      </c>
      <c r="F141" s="81" t="s">
        <v>1</v>
      </c>
    </row>
    <row r="142" spans="1:6" x14ac:dyDescent="0.25">
      <c r="A142" s="14">
        <v>46143.527777777781</v>
      </c>
      <c r="B142" s="81" t="s">
        <v>149</v>
      </c>
      <c r="C142" s="81" t="s">
        <v>173</v>
      </c>
      <c r="D142" s="81" t="s">
        <v>240</v>
      </c>
      <c r="E142" s="81" t="s">
        <v>52</v>
      </c>
      <c r="F142" s="81" t="s">
        <v>0</v>
      </c>
    </row>
    <row r="143" spans="1:6" x14ac:dyDescent="0.25">
      <c r="A143" s="14">
        <v>46143.527777777781</v>
      </c>
      <c r="B143" s="81" t="s">
        <v>149</v>
      </c>
      <c r="C143" s="81" t="s">
        <v>151</v>
      </c>
      <c r="D143" s="81" t="s">
        <v>229</v>
      </c>
      <c r="E143" s="81" t="s">
        <v>49</v>
      </c>
      <c r="F143" s="81" t="s">
        <v>2</v>
      </c>
    </row>
    <row r="144" spans="1:6" x14ac:dyDescent="0.25">
      <c r="A144" s="14">
        <v>46143.527777777781</v>
      </c>
      <c r="B144" s="81" t="s">
        <v>149</v>
      </c>
      <c r="C144" s="81" t="s">
        <v>158</v>
      </c>
      <c r="D144" s="81" t="s">
        <v>229</v>
      </c>
      <c r="E144" s="81" t="s">
        <v>49</v>
      </c>
      <c r="F144" s="81" t="s">
        <v>2</v>
      </c>
    </row>
    <row r="145" spans="1:6" x14ac:dyDescent="0.25">
      <c r="A145" s="14">
        <v>46143.527777777781</v>
      </c>
      <c r="B145" s="81" t="s">
        <v>149</v>
      </c>
      <c r="C145" s="81" t="s">
        <v>176</v>
      </c>
      <c r="D145" s="81" t="s">
        <v>231</v>
      </c>
      <c r="E145" s="81" t="s">
        <v>70</v>
      </c>
      <c r="F145" s="81" t="s">
        <v>15</v>
      </c>
    </row>
    <row r="146" spans="1:6" x14ac:dyDescent="0.25">
      <c r="A146" s="14">
        <v>46143.527777777781</v>
      </c>
      <c r="B146" s="81" t="s">
        <v>149</v>
      </c>
      <c r="C146" s="81" t="s">
        <v>190</v>
      </c>
      <c r="D146" s="81" t="s">
        <v>229</v>
      </c>
      <c r="E146" s="81" t="s">
        <v>52</v>
      </c>
      <c r="F146" s="81" t="s">
        <v>0</v>
      </c>
    </row>
    <row r="147" spans="1:6" x14ac:dyDescent="0.25">
      <c r="A147" s="14">
        <v>46143.527777777781</v>
      </c>
      <c r="B147" s="81" t="s">
        <v>149</v>
      </c>
      <c r="C147" s="81" t="s">
        <v>182</v>
      </c>
      <c r="D147" s="81" t="s">
        <v>240</v>
      </c>
      <c r="E147" s="81" t="s">
        <v>52</v>
      </c>
      <c r="F147" s="81" t="s">
        <v>0</v>
      </c>
    </row>
    <row r="148" spans="1:6" x14ac:dyDescent="0.25">
      <c r="A148" s="14">
        <v>46143.527777777781</v>
      </c>
      <c r="B148" s="81" t="s">
        <v>149</v>
      </c>
      <c r="C148" s="81" t="s">
        <v>187</v>
      </c>
      <c r="D148" s="81" t="s">
        <v>231</v>
      </c>
      <c r="E148" s="81" t="s">
        <v>75</v>
      </c>
      <c r="F148" s="81" t="s">
        <v>93</v>
      </c>
    </row>
    <row r="149" spans="1:6" x14ac:dyDescent="0.25">
      <c r="A149" s="14">
        <v>46143.527777777781</v>
      </c>
      <c r="B149" s="81" t="s">
        <v>149</v>
      </c>
      <c r="C149" s="81" t="s">
        <v>183</v>
      </c>
      <c r="D149" s="81" t="s">
        <v>229</v>
      </c>
      <c r="E149" s="81" t="s">
        <v>52</v>
      </c>
      <c r="F149" s="81" t="s">
        <v>0</v>
      </c>
    </row>
    <row r="150" spans="1:6" x14ac:dyDescent="0.25">
      <c r="A150" s="14">
        <v>46143.527777777781</v>
      </c>
      <c r="B150" s="81" t="s">
        <v>149</v>
      </c>
      <c r="C150" s="81" t="s">
        <v>177</v>
      </c>
      <c r="D150" s="81" t="s">
        <v>229</v>
      </c>
      <c r="E150" s="81" t="s">
        <v>48</v>
      </c>
      <c r="F150" s="81" t="s">
        <v>3</v>
      </c>
    </row>
    <row r="151" spans="1:6" x14ac:dyDescent="0.25">
      <c r="A151" s="14">
        <v>46143.527777777781</v>
      </c>
      <c r="B151" s="81" t="s">
        <v>149</v>
      </c>
      <c r="C151" s="81" t="s">
        <v>151</v>
      </c>
      <c r="D151" s="81" t="s">
        <v>246</v>
      </c>
      <c r="E151" s="81" t="s">
        <v>50</v>
      </c>
      <c r="F151" s="81" t="s">
        <v>1</v>
      </c>
    </row>
    <row r="152" spans="1:6" x14ac:dyDescent="0.25">
      <c r="A152" s="14">
        <v>46143.527777777781</v>
      </c>
      <c r="B152" s="81" t="s">
        <v>149</v>
      </c>
      <c r="C152" s="81" t="s">
        <v>184</v>
      </c>
      <c r="D152" s="81" t="s">
        <v>246</v>
      </c>
      <c r="E152" s="81" t="s">
        <v>52</v>
      </c>
      <c r="F152" s="81" t="s">
        <v>0</v>
      </c>
    </row>
    <row r="153" spans="1:6" x14ac:dyDescent="0.25">
      <c r="A153" s="14">
        <v>46143.527777777781</v>
      </c>
      <c r="B153" s="81" t="s">
        <v>149</v>
      </c>
      <c r="C153" s="81" t="s">
        <v>178</v>
      </c>
      <c r="D153" s="81" t="s">
        <v>242</v>
      </c>
      <c r="E153" s="81" t="s">
        <v>137</v>
      </c>
      <c r="F153" s="81" t="s">
        <v>28</v>
      </c>
    </row>
    <row r="154" spans="1:6" x14ac:dyDescent="0.25">
      <c r="A154" s="14">
        <v>46143.527777777781</v>
      </c>
      <c r="B154" s="81" t="s">
        <v>149</v>
      </c>
      <c r="C154" s="81" t="s">
        <v>203</v>
      </c>
      <c r="D154" s="81" t="s">
        <v>150</v>
      </c>
      <c r="E154" s="81" t="s">
        <v>72</v>
      </c>
      <c r="F154" s="81" t="s">
        <v>28</v>
      </c>
    </row>
    <row r="155" spans="1:6" x14ac:dyDescent="0.25">
      <c r="A155" s="14">
        <v>46143.527777777781</v>
      </c>
      <c r="B155" s="81" t="s">
        <v>149</v>
      </c>
      <c r="C155" s="81" t="s">
        <v>203</v>
      </c>
      <c r="D155" s="81" t="s">
        <v>150</v>
      </c>
      <c r="E155" s="81" t="s">
        <v>72</v>
      </c>
      <c r="F155" s="81" t="s">
        <v>28</v>
      </c>
    </row>
    <row r="156" spans="1:6" x14ac:dyDescent="0.25">
      <c r="A156" s="14">
        <v>46143.527777777781</v>
      </c>
      <c r="B156" s="81" t="s">
        <v>149</v>
      </c>
      <c r="C156" s="81" t="s">
        <v>203</v>
      </c>
      <c r="D156" s="81" t="s">
        <v>150</v>
      </c>
      <c r="E156" s="81" t="s">
        <v>72</v>
      </c>
      <c r="F156" s="81" t="s">
        <v>28</v>
      </c>
    </row>
    <row r="157" spans="1:6" x14ac:dyDescent="0.25">
      <c r="A157" s="14">
        <v>46143.527777777781</v>
      </c>
      <c r="B157" s="81" t="s">
        <v>149</v>
      </c>
      <c r="C157" s="81" t="s">
        <v>203</v>
      </c>
      <c r="D157" s="81" t="s">
        <v>150</v>
      </c>
      <c r="E157" s="81" t="s">
        <v>72</v>
      </c>
      <c r="F157" s="81" t="s">
        <v>28</v>
      </c>
    </row>
    <row r="158" spans="1:6" x14ac:dyDescent="0.25">
      <c r="A158" s="14">
        <v>46143.527777777781</v>
      </c>
      <c r="B158" s="81" t="s">
        <v>149</v>
      </c>
      <c r="C158" s="81" t="s">
        <v>203</v>
      </c>
      <c r="D158" s="81" t="s">
        <v>150</v>
      </c>
      <c r="E158" s="81" t="s">
        <v>72</v>
      </c>
      <c r="F158" s="81" t="s">
        <v>28</v>
      </c>
    </row>
    <row r="159" spans="1:6" x14ac:dyDescent="0.25">
      <c r="A159" s="14">
        <v>46143.527777777781</v>
      </c>
      <c r="B159" s="81" t="s">
        <v>149</v>
      </c>
      <c r="C159" s="81" t="s">
        <v>255</v>
      </c>
      <c r="D159" s="81" t="s">
        <v>251</v>
      </c>
      <c r="E159" s="81" t="s">
        <v>256</v>
      </c>
      <c r="F159" s="81" t="s">
        <v>28</v>
      </c>
    </row>
    <row r="160" spans="1:6" x14ac:dyDescent="0.25">
      <c r="A160" s="14">
        <v>46143.527777777781</v>
      </c>
      <c r="B160" s="81" t="s">
        <v>149</v>
      </c>
      <c r="C160" s="81" t="s">
        <v>181</v>
      </c>
      <c r="D160" s="81" t="s">
        <v>199</v>
      </c>
      <c r="E160" s="81" t="s">
        <v>49</v>
      </c>
      <c r="F160" s="81" t="s">
        <v>2</v>
      </c>
    </row>
    <row r="161" spans="1:6" x14ac:dyDescent="0.25">
      <c r="A161" s="14">
        <v>46143.527777777781</v>
      </c>
      <c r="B161" s="81" t="s">
        <v>149</v>
      </c>
      <c r="C161" s="81" t="s">
        <v>181</v>
      </c>
      <c r="D161" s="81" t="s">
        <v>163</v>
      </c>
      <c r="E161" s="81" t="s">
        <v>52</v>
      </c>
      <c r="F161" s="81" t="s">
        <v>0</v>
      </c>
    </row>
    <row r="162" spans="1:6" x14ac:dyDescent="0.25">
      <c r="A162" s="14">
        <v>46143.527777777781</v>
      </c>
      <c r="B162" s="81" t="s">
        <v>149</v>
      </c>
      <c r="C162" s="81" t="s">
        <v>183</v>
      </c>
      <c r="D162" s="81" t="s">
        <v>199</v>
      </c>
      <c r="E162" s="81" t="s">
        <v>49</v>
      </c>
      <c r="F162" s="81" t="s">
        <v>2</v>
      </c>
    </row>
    <row r="163" spans="1:6" x14ac:dyDescent="0.25">
      <c r="A163" s="14">
        <v>46143.527777777781</v>
      </c>
      <c r="B163" s="81" t="s">
        <v>149</v>
      </c>
      <c r="C163" s="81" t="s">
        <v>171</v>
      </c>
      <c r="D163" s="81" t="s">
        <v>253</v>
      </c>
      <c r="E163" s="81" t="s">
        <v>50</v>
      </c>
      <c r="F163" s="81" t="s">
        <v>1</v>
      </c>
    </row>
    <row r="164" spans="1:6" x14ac:dyDescent="0.25">
      <c r="A164" s="14">
        <v>46143.527777777781</v>
      </c>
      <c r="B164" s="81" t="s">
        <v>149</v>
      </c>
      <c r="C164" s="81" t="s">
        <v>182</v>
      </c>
      <c r="D164" s="81" t="s">
        <v>199</v>
      </c>
      <c r="E164" s="81" t="s">
        <v>50</v>
      </c>
      <c r="F164" s="81" t="s">
        <v>1</v>
      </c>
    </row>
    <row r="165" spans="1:6" x14ac:dyDescent="0.25">
      <c r="A165" s="14">
        <v>46143.527777777781</v>
      </c>
      <c r="B165" s="81" t="s">
        <v>149</v>
      </c>
      <c r="C165" s="81" t="s">
        <v>173</v>
      </c>
      <c r="D165" s="81" t="s">
        <v>199</v>
      </c>
      <c r="E165" s="81" t="s">
        <v>52</v>
      </c>
      <c r="F165" s="81" t="s">
        <v>0</v>
      </c>
    </row>
    <row r="166" spans="1:6" x14ac:dyDescent="0.25">
      <c r="A166" s="14">
        <v>46143.527777777781</v>
      </c>
      <c r="B166" s="81" t="s">
        <v>149</v>
      </c>
      <c r="C166" s="81" t="s">
        <v>182</v>
      </c>
      <c r="D166" s="81" t="s">
        <v>253</v>
      </c>
      <c r="E166" s="81" t="s">
        <v>52</v>
      </c>
      <c r="F166" s="81" t="s">
        <v>0</v>
      </c>
    </row>
    <row r="167" spans="1:6" x14ac:dyDescent="0.25">
      <c r="A167" s="14">
        <v>46143.527777777781</v>
      </c>
      <c r="B167" s="81" t="s">
        <v>149</v>
      </c>
      <c r="C167" s="81" t="s">
        <v>171</v>
      </c>
      <c r="D167" s="81" t="s">
        <v>253</v>
      </c>
      <c r="E167" s="81" t="s">
        <v>52</v>
      </c>
      <c r="F167" s="81" t="s">
        <v>0</v>
      </c>
    </row>
    <row r="168" spans="1:6" x14ac:dyDescent="0.25">
      <c r="A168" s="14">
        <v>46143.527777777781</v>
      </c>
      <c r="B168" s="81" t="s">
        <v>149</v>
      </c>
      <c r="C168" s="81" t="s">
        <v>185</v>
      </c>
      <c r="D168" s="81" t="s">
        <v>221</v>
      </c>
      <c r="E168" s="81" t="s">
        <v>52</v>
      </c>
      <c r="F168" s="81" t="s">
        <v>0</v>
      </c>
    </row>
    <row r="169" spans="1:6" x14ac:dyDescent="0.25">
      <c r="A169" s="14">
        <v>46143.527777777781</v>
      </c>
      <c r="B169" s="81" t="s">
        <v>149</v>
      </c>
      <c r="C169" s="81" t="s">
        <v>171</v>
      </c>
      <c r="D169" s="81" t="s">
        <v>253</v>
      </c>
      <c r="E169" s="81" t="s">
        <v>52</v>
      </c>
      <c r="F169" s="81" t="s">
        <v>0</v>
      </c>
    </row>
    <row r="170" spans="1:6" x14ac:dyDescent="0.25">
      <c r="A170" s="14">
        <v>46143.527777777781</v>
      </c>
      <c r="B170" s="81" t="s">
        <v>149</v>
      </c>
      <c r="C170" s="81" t="s">
        <v>158</v>
      </c>
      <c r="D170" s="81" t="s">
        <v>199</v>
      </c>
      <c r="E170" s="81" t="s">
        <v>52</v>
      </c>
      <c r="F170" s="81" t="s">
        <v>0</v>
      </c>
    </row>
    <row r="171" spans="1:6" x14ac:dyDescent="0.25">
      <c r="A171" s="14">
        <v>46143.527777777781</v>
      </c>
      <c r="B171" s="81" t="s">
        <v>149</v>
      </c>
      <c r="C171" s="81" t="s">
        <v>192</v>
      </c>
      <c r="D171" s="81" t="s">
        <v>253</v>
      </c>
      <c r="E171" s="81" t="s">
        <v>60</v>
      </c>
      <c r="F171" s="81" t="s">
        <v>28</v>
      </c>
    </row>
    <row r="172" spans="1:6" x14ac:dyDescent="0.25">
      <c r="A172" s="14">
        <v>46143.527777777781</v>
      </c>
      <c r="B172" s="81" t="s">
        <v>149</v>
      </c>
      <c r="C172" s="81" t="s">
        <v>255</v>
      </c>
      <c r="D172" s="81" t="s">
        <v>155</v>
      </c>
      <c r="E172" s="81" t="s">
        <v>256</v>
      </c>
      <c r="F172" s="81" t="s">
        <v>28</v>
      </c>
    </row>
    <row r="173" spans="1:6" x14ac:dyDescent="0.25">
      <c r="A173" s="14">
        <v>46143.527777777781</v>
      </c>
      <c r="B173" s="81" t="s">
        <v>149</v>
      </c>
      <c r="C173" s="81" t="s">
        <v>151</v>
      </c>
      <c r="D173" s="81" t="s">
        <v>155</v>
      </c>
      <c r="E173" s="81" t="s">
        <v>50</v>
      </c>
      <c r="F173" s="81" t="s">
        <v>1</v>
      </c>
    </row>
    <row r="174" spans="1:6" x14ac:dyDescent="0.25">
      <c r="A174" s="14">
        <v>46143.527777777781</v>
      </c>
      <c r="B174" s="81" t="s">
        <v>149</v>
      </c>
      <c r="C174" s="81" t="s">
        <v>181</v>
      </c>
      <c r="D174" s="81" t="s">
        <v>155</v>
      </c>
      <c r="E174" s="81" t="s">
        <v>50</v>
      </c>
      <c r="F174" s="81" t="s">
        <v>1</v>
      </c>
    </row>
    <row r="175" spans="1:6" x14ac:dyDescent="0.25">
      <c r="A175" s="14">
        <v>46143.527777777781</v>
      </c>
      <c r="B175" s="81" t="s">
        <v>149</v>
      </c>
      <c r="C175" s="81" t="s">
        <v>175</v>
      </c>
      <c r="D175" s="81" t="s">
        <v>253</v>
      </c>
      <c r="E175" s="81" t="s">
        <v>52</v>
      </c>
      <c r="F175" s="81" t="s">
        <v>0</v>
      </c>
    </row>
    <row r="176" spans="1:6" x14ac:dyDescent="0.25">
      <c r="A176" s="14">
        <v>46143.527777777781</v>
      </c>
      <c r="B176" s="81" t="s">
        <v>195</v>
      </c>
      <c r="C176" s="81" t="s">
        <v>198</v>
      </c>
      <c r="D176" s="81" t="s">
        <v>150</v>
      </c>
      <c r="E176" s="81" t="s">
        <v>24</v>
      </c>
      <c r="F176" s="81" t="s">
        <v>24</v>
      </c>
    </row>
    <row r="177" spans="1:6" x14ac:dyDescent="0.25">
      <c r="A177" s="14">
        <v>46143.527777777781</v>
      </c>
      <c r="B177" s="81" t="s">
        <v>195</v>
      </c>
      <c r="C177" s="81" t="s">
        <v>198</v>
      </c>
      <c r="D177" s="81" t="s">
        <v>150</v>
      </c>
      <c r="E177" s="81" t="s">
        <v>24</v>
      </c>
      <c r="F177" s="81" t="s">
        <v>24</v>
      </c>
    </row>
    <row r="178" spans="1:6" x14ac:dyDescent="0.25">
      <c r="A178" s="14">
        <v>46143.527777777781</v>
      </c>
      <c r="B178" s="81" t="s">
        <v>195</v>
      </c>
      <c r="C178" s="81" t="s">
        <v>198</v>
      </c>
      <c r="D178" s="81" t="s">
        <v>150</v>
      </c>
      <c r="E178" s="81" t="s">
        <v>24</v>
      </c>
      <c r="F178" s="81" t="s">
        <v>24</v>
      </c>
    </row>
    <row r="179" spans="1:6" x14ac:dyDescent="0.25">
      <c r="A179" s="14">
        <v>46143.527777777781</v>
      </c>
      <c r="B179" s="81" t="s">
        <v>195</v>
      </c>
      <c r="C179" s="81" t="s">
        <v>196</v>
      </c>
      <c r="D179" s="81" t="s">
        <v>222</v>
      </c>
      <c r="E179" s="81" t="s">
        <v>24</v>
      </c>
      <c r="F179" s="81" t="s">
        <v>24</v>
      </c>
    </row>
    <row r="180" spans="1:6" x14ac:dyDescent="0.25">
      <c r="A180" s="14">
        <v>46143.527777777781</v>
      </c>
      <c r="B180" s="81" t="s">
        <v>195</v>
      </c>
      <c r="C180" s="81" t="s">
        <v>196</v>
      </c>
      <c r="D180" s="81" t="s">
        <v>222</v>
      </c>
      <c r="E180" s="81" t="s">
        <v>24</v>
      </c>
      <c r="F180" s="81" t="s">
        <v>24</v>
      </c>
    </row>
    <row r="181" spans="1:6" x14ac:dyDescent="0.25">
      <c r="A181" s="14">
        <v>46143.527777777781</v>
      </c>
      <c r="B181" s="81" t="s">
        <v>195</v>
      </c>
      <c r="C181" s="81" t="s">
        <v>196</v>
      </c>
      <c r="D181" s="81" t="s">
        <v>222</v>
      </c>
      <c r="E181" s="81" t="s">
        <v>24</v>
      </c>
      <c r="F181" s="81" t="s">
        <v>24</v>
      </c>
    </row>
    <row r="182" spans="1:6" x14ac:dyDescent="0.25">
      <c r="A182" s="14">
        <v>46143.527777777781</v>
      </c>
      <c r="B182" s="81" t="s">
        <v>195</v>
      </c>
      <c r="C182" s="81" t="s">
        <v>198</v>
      </c>
      <c r="D182" s="81" t="s">
        <v>222</v>
      </c>
      <c r="E182" s="81" t="s">
        <v>24</v>
      </c>
      <c r="F182" s="81" t="s">
        <v>24</v>
      </c>
    </row>
    <row r="183" spans="1:6" x14ac:dyDescent="0.25">
      <c r="A183" s="14">
        <v>46143.527777777781</v>
      </c>
      <c r="B183" s="81" t="s">
        <v>195</v>
      </c>
      <c r="C183" s="81" t="s">
        <v>198</v>
      </c>
      <c r="D183" s="81" t="s">
        <v>222</v>
      </c>
      <c r="E183" s="81" t="s">
        <v>24</v>
      </c>
      <c r="F183" s="81" t="s">
        <v>24</v>
      </c>
    </row>
    <row r="184" spans="1:6" x14ac:dyDescent="0.25">
      <c r="A184" s="14">
        <v>46143.527777777781</v>
      </c>
      <c r="B184" s="81" t="s">
        <v>195</v>
      </c>
      <c r="C184" s="81" t="s">
        <v>198</v>
      </c>
      <c r="D184" s="81" t="s">
        <v>222</v>
      </c>
      <c r="E184" s="81" t="s">
        <v>24</v>
      </c>
      <c r="F184" s="81" t="s">
        <v>24</v>
      </c>
    </row>
    <row r="185" spans="1:6" x14ac:dyDescent="0.25">
      <c r="A185" s="14">
        <v>46143.527777777781</v>
      </c>
      <c r="B185" s="81" t="s">
        <v>195</v>
      </c>
      <c r="C185" s="81" t="s">
        <v>210</v>
      </c>
      <c r="D185" s="81" t="s">
        <v>222</v>
      </c>
      <c r="E185" s="81" t="s">
        <v>24</v>
      </c>
      <c r="F185" s="81" t="s">
        <v>24</v>
      </c>
    </row>
    <row r="186" spans="1:6" x14ac:dyDescent="0.25">
      <c r="A186" s="14">
        <v>46143.527777777781</v>
      </c>
      <c r="B186" s="81" t="s">
        <v>195</v>
      </c>
      <c r="C186" s="81" t="s">
        <v>210</v>
      </c>
      <c r="D186" s="81" t="s">
        <v>222</v>
      </c>
      <c r="E186" s="81" t="s">
        <v>24</v>
      </c>
      <c r="F186" s="81" t="s">
        <v>24</v>
      </c>
    </row>
    <row r="187" spans="1:6" x14ac:dyDescent="0.25">
      <c r="A187" s="14">
        <v>46143.527777777781</v>
      </c>
      <c r="B187" s="81" t="s">
        <v>195</v>
      </c>
      <c r="C187" s="81" t="s">
        <v>210</v>
      </c>
      <c r="D187" s="81" t="s">
        <v>222</v>
      </c>
      <c r="E187" s="81" t="s">
        <v>24</v>
      </c>
      <c r="F187" s="81" t="s">
        <v>24</v>
      </c>
    </row>
    <row r="188" spans="1:6" x14ac:dyDescent="0.25">
      <c r="A188" s="14">
        <v>46143.527777777781</v>
      </c>
      <c r="B188" s="81" t="s">
        <v>195</v>
      </c>
      <c r="C188" s="81" t="s">
        <v>198</v>
      </c>
      <c r="D188" s="81" t="s">
        <v>229</v>
      </c>
      <c r="E188" s="81" t="s">
        <v>24</v>
      </c>
      <c r="F188" s="81" t="s">
        <v>24</v>
      </c>
    </row>
    <row r="189" spans="1:6" x14ac:dyDescent="0.25">
      <c r="A189" s="14">
        <v>46143.527777777781</v>
      </c>
      <c r="B189" s="81" t="s">
        <v>195</v>
      </c>
      <c r="C189" s="81" t="s">
        <v>198</v>
      </c>
      <c r="D189" s="81" t="s">
        <v>229</v>
      </c>
      <c r="E189" s="81" t="s">
        <v>24</v>
      </c>
      <c r="F189" s="81" t="s">
        <v>24</v>
      </c>
    </row>
    <row r="190" spans="1:6" x14ac:dyDescent="0.25">
      <c r="A190" s="14">
        <v>46143.527777777781</v>
      </c>
      <c r="B190" s="81" t="s">
        <v>195</v>
      </c>
      <c r="C190" s="81" t="s">
        <v>198</v>
      </c>
      <c r="D190" s="81" t="s">
        <v>229</v>
      </c>
      <c r="E190" s="81" t="s">
        <v>24</v>
      </c>
      <c r="F190" s="81" t="s">
        <v>24</v>
      </c>
    </row>
    <row r="191" spans="1:6" x14ac:dyDescent="0.25">
      <c r="A191" s="14">
        <v>46143.527777777781</v>
      </c>
      <c r="B191" s="81" t="s">
        <v>195</v>
      </c>
      <c r="C191" s="81" t="s">
        <v>198</v>
      </c>
      <c r="D191" s="81" t="s">
        <v>231</v>
      </c>
      <c r="E191" s="81" t="s">
        <v>24</v>
      </c>
      <c r="F191" s="81" t="s">
        <v>24</v>
      </c>
    </row>
    <row r="192" spans="1:6" x14ac:dyDescent="0.25">
      <c r="A192" s="14">
        <v>46143.527777777781</v>
      </c>
      <c r="B192" s="81" t="s">
        <v>195</v>
      </c>
      <c r="C192" s="81" t="s">
        <v>198</v>
      </c>
      <c r="D192" s="81" t="s">
        <v>231</v>
      </c>
      <c r="E192" s="81" t="s">
        <v>24</v>
      </c>
      <c r="F192" s="81" t="s">
        <v>24</v>
      </c>
    </row>
    <row r="193" spans="1:6" x14ac:dyDescent="0.25">
      <c r="A193" s="14">
        <v>46143.527777777781</v>
      </c>
      <c r="B193" s="81" t="s">
        <v>195</v>
      </c>
      <c r="C193" s="81" t="s">
        <v>198</v>
      </c>
      <c r="D193" s="81" t="s">
        <v>231</v>
      </c>
      <c r="E193" s="81" t="s">
        <v>24</v>
      </c>
      <c r="F193" s="81" t="s">
        <v>24</v>
      </c>
    </row>
    <row r="194" spans="1:6" x14ac:dyDescent="0.25">
      <c r="A194" s="14">
        <v>46143.527777777781</v>
      </c>
      <c r="B194" s="81" t="s">
        <v>195</v>
      </c>
      <c r="C194" s="81" t="s">
        <v>198</v>
      </c>
      <c r="D194" s="81" t="s">
        <v>199</v>
      </c>
      <c r="E194" s="81" t="s">
        <v>24</v>
      </c>
      <c r="F194" s="81" t="s">
        <v>24</v>
      </c>
    </row>
    <row r="195" spans="1:6" x14ac:dyDescent="0.25">
      <c r="A195" s="14">
        <v>46143.527777777781</v>
      </c>
      <c r="B195" s="81" t="s">
        <v>195</v>
      </c>
      <c r="C195" s="81" t="s">
        <v>198</v>
      </c>
      <c r="D195" s="81" t="s">
        <v>199</v>
      </c>
      <c r="E195" s="81" t="s">
        <v>24</v>
      </c>
      <c r="F195" s="81" t="s">
        <v>24</v>
      </c>
    </row>
    <row r="196" spans="1:6" x14ac:dyDescent="0.25">
      <c r="A196" s="14">
        <v>46143.527777777781</v>
      </c>
      <c r="B196" s="81" t="s">
        <v>195</v>
      </c>
      <c r="C196" s="81" t="s">
        <v>198</v>
      </c>
      <c r="D196" s="81" t="s">
        <v>199</v>
      </c>
      <c r="E196" s="81" t="s">
        <v>24</v>
      </c>
      <c r="F196" s="81" t="s">
        <v>24</v>
      </c>
    </row>
    <row r="197" spans="1:6" x14ac:dyDescent="0.25">
      <c r="A197" s="14">
        <v>46143.527777777781</v>
      </c>
      <c r="B197" s="81" t="s">
        <v>195</v>
      </c>
      <c r="C197" s="81" t="s">
        <v>197</v>
      </c>
      <c r="D197" s="81" t="s">
        <v>199</v>
      </c>
      <c r="E197" s="81" t="s">
        <v>24</v>
      </c>
      <c r="F197" s="81" t="s">
        <v>24</v>
      </c>
    </row>
    <row r="198" spans="1:6" x14ac:dyDescent="0.25">
      <c r="A198" s="14">
        <v>46143.527777777781</v>
      </c>
      <c r="B198" s="81" t="s">
        <v>195</v>
      </c>
      <c r="C198" s="81" t="s">
        <v>197</v>
      </c>
      <c r="D198" s="81" t="s">
        <v>199</v>
      </c>
      <c r="E198" s="81" t="s">
        <v>24</v>
      </c>
      <c r="F198" s="81" t="s">
        <v>24</v>
      </c>
    </row>
    <row r="199" spans="1:6" x14ac:dyDescent="0.25">
      <c r="A199" s="14">
        <v>46143.527777777781</v>
      </c>
      <c r="B199" s="81" t="s">
        <v>195</v>
      </c>
      <c r="C199" s="81" t="s">
        <v>197</v>
      </c>
      <c r="D199" s="81" t="s">
        <v>199</v>
      </c>
      <c r="E199" s="81" t="s">
        <v>24</v>
      </c>
      <c r="F199" s="81" t="s">
        <v>24</v>
      </c>
    </row>
    <row r="200" spans="1:6" x14ac:dyDescent="0.25">
      <c r="A200" s="14">
        <v>46143.560416666667</v>
      </c>
      <c r="B200" s="81" t="s">
        <v>149</v>
      </c>
      <c r="C200" s="81" t="s">
        <v>171</v>
      </c>
      <c r="D200" s="81" t="s">
        <v>253</v>
      </c>
      <c r="E200" s="81" t="s">
        <v>52</v>
      </c>
      <c r="F200" s="81" t="s">
        <v>0</v>
      </c>
    </row>
    <row r="201" spans="1:6" x14ac:dyDescent="0.25">
      <c r="A201" s="14">
        <v>46143.560416666667</v>
      </c>
      <c r="B201" s="81" t="s">
        <v>149</v>
      </c>
      <c r="C201" s="81" t="s">
        <v>255</v>
      </c>
      <c r="D201" s="81" t="s">
        <v>204</v>
      </c>
      <c r="E201" s="81" t="s">
        <v>256</v>
      </c>
      <c r="F201" s="81" t="s">
        <v>28</v>
      </c>
    </row>
    <row r="202" spans="1:6" x14ac:dyDescent="0.25">
      <c r="A202" s="14">
        <v>46143.560416666667</v>
      </c>
      <c r="B202" s="81" t="s">
        <v>149</v>
      </c>
      <c r="C202" s="81" t="s">
        <v>175</v>
      </c>
      <c r="D202" s="81" t="s">
        <v>204</v>
      </c>
      <c r="E202" s="81" t="s">
        <v>49</v>
      </c>
      <c r="F202" s="81" t="s">
        <v>2</v>
      </c>
    </row>
    <row r="203" spans="1:6" x14ac:dyDescent="0.25">
      <c r="A203" s="14">
        <v>46143.560416666667</v>
      </c>
      <c r="B203" s="81" t="s">
        <v>149</v>
      </c>
      <c r="C203" s="81" t="s">
        <v>184</v>
      </c>
      <c r="D203" s="81" t="s">
        <v>204</v>
      </c>
      <c r="E203" s="81" t="s">
        <v>50</v>
      </c>
      <c r="F203" s="81" t="s">
        <v>1</v>
      </c>
    </row>
    <row r="204" spans="1:6" x14ac:dyDescent="0.25">
      <c r="A204" s="14">
        <v>46143.560416666667</v>
      </c>
      <c r="B204" s="81" t="s">
        <v>149</v>
      </c>
      <c r="C204" s="81" t="s">
        <v>177</v>
      </c>
      <c r="D204" s="81" t="s">
        <v>204</v>
      </c>
      <c r="E204" s="81" t="s">
        <v>50</v>
      </c>
      <c r="F204" s="81" t="s">
        <v>1</v>
      </c>
    </row>
    <row r="205" spans="1:6" x14ac:dyDescent="0.25">
      <c r="A205" s="14">
        <v>46143.560416666667</v>
      </c>
      <c r="B205" s="81" t="s">
        <v>149</v>
      </c>
      <c r="C205" s="81" t="s">
        <v>171</v>
      </c>
      <c r="D205" s="81" t="s">
        <v>204</v>
      </c>
      <c r="E205" s="81" t="s">
        <v>50</v>
      </c>
      <c r="F205" s="81" t="s">
        <v>1</v>
      </c>
    </row>
    <row r="206" spans="1:6" x14ac:dyDescent="0.25">
      <c r="A206" s="14">
        <v>46143.560416666667</v>
      </c>
      <c r="B206" s="81" t="s">
        <v>149</v>
      </c>
      <c r="C206" s="81" t="s">
        <v>158</v>
      </c>
      <c r="D206" s="81" t="s">
        <v>245</v>
      </c>
      <c r="E206" s="81" t="s">
        <v>49</v>
      </c>
      <c r="F206" s="81" t="s">
        <v>2</v>
      </c>
    </row>
    <row r="207" spans="1:6" x14ac:dyDescent="0.25">
      <c r="A207" s="14">
        <v>46143.560416666667</v>
      </c>
      <c r="B207" s="81" t="s">
        <v>149</v>
      </c>
      <c r="C207" s="81" t="s">
        <v>187</v>
      </c>
      <c r="D207" s="81" t="s">
        <v>163</v>
      </c>
      <c r="E207" s="81" t="s">
        <v>75</v>
      </c>
      <c r="F207" s="81" t="s">
        <v>93</v>
      </c>
    </row>
    <row r="208" spans="1:6" x14ac:dyDescent="0.25">
      <c r="A208" s="14">
        <v>46143.560416666667</v>
      </c>
      <c r="B208" s="81" t="s">
        <v>149</v>
      </c>
      <c r="C208" s="81" t="s">
        <v>255</v>
      </c>
      <c r="D208" s="81" t="s">
        <v>216</v>
      </c>
      <c r="E208" s="81" t="s">
        <v>256</v>
      </c>
      <c r="F208" s="81" t="s">
        <v>28</v>
      </c>
    </row>
    <row r="209" spans="1:6" x14ac:dyDescent="0.25">
      <c r="A209" s="14">
        <v>46143.560416666667</v>
      </c>
      <c r="B209" s="81" t="s">
        <v>149</v>
      </c>
      <c r="C209" s="81" t="s">
        <v>187</v>
      </c>
      <c r="D209" s="81" t="s">
        <v>163</v>
      </c>
      <c r="E209" s="81" t="s">
        <v>75</v>
      </c>
      <c r="F209" s="81" t="s">
        <v>93</v>
      </c>
    </row>
    <row r="210" spans="1:6" x14ac:dyDescent="0.25">
      <c r="A210" s="14">
        <v>46143.566666666666</v>
      </c>
      <c r="B210" s="81" t="s">
        <v>149</v>
      </c>
      <c r="C210" s="81" t="s">
        <v>181</v>
      </c>
      <c r="D210" s="81" t="s">
        <v>155</v>
      </c>
      <c r="E210" s="81" t="s">
        <v>50</v>
      </c>
      <c r="F210" s="81" t="s">
        <v>1</v>
      </c>
    </row>
    <row r="211" spans="1:6" x14ac:dyDescent="0.25">
      <c r="A211" s="14">
        <v>46143.566666666666</v>
      </c>
      <c r="B211" s="81" t="s">
        <v>149</v>
      </c>
      <c r="C211" s="81" t="s">
        <v>255</v>
      </c>
      <c r="D211" s="81" t="s">
        <v>150</v>
      </c>
      <c r="E211" s="81" t="s">
        <v>256</v>
      </c>
      <c r="F211" s="81" t="s">
        <v>28</v>
      </c>
    </row>
    <row r="212" spans="1:6" x14ac:dyDescent="0.25">
      <c r="A212" s="14">
        <v>46143.566666666666</v>
      </c>
      <c r="B212" s="81" t="s">
        <v>149</v>
      </c>
      <c r="C212" s="81" t="s">
        <v>255</v>
      </c>
      <c r="D212" s="81" t="s">
        <v>150</v>
      </c>
      <c r="E212" s="81" t="s">
        <v>256</v>
      </c>
      <c r="F212" s="81" t="s">
        <v>28</v>
      </c>
    </row>
    <row r="213" spans="1:6" x14ac:dyDescent="0.25">
      <c r="A213" s="14">
        <v>46143.566666666666</v>
      </c>
      <c r="B213" s="81" t="s">
        <v>149</v>
      </c>
      <c r="C213" s="81" t="s">
        <v>255</v>
      </c>
      <c r="D213" s="81" t="s">
        <v>234</v>
      </c>
      <c r="E213" s="81" t="s">
        <v>256</v>
      </c>
      <c r="F213" s="81" t="s">
        <v>28</v>
      </c>
    </row>
    <row r="214" spans="1:6" x14ac:dyDescent="0.25">
      <c r="A214" s="14">
        <v>46143.570138888892</v>
      </c>
      <c r="B214" s="81" t="s">
        <v>149</v>
      </c>
      <c r="C214" s="81" t="s">
        <v>188</v>
      </c>
      <c r="D214" s="81" t="s">
        <v>152</v>
      </c>
      <c r="E214" s="81" t="s">
        <v>45</v>
      </c>
      <c r="F214" s="81" t="s">
        <v>28</v>
      </c>
    </row>
    <row r="215" spans="1:6" x14ac:dyDescent="0.25">
      <c r="A215" s="14">
        <v>46143.570138888892</v>
      </c>
      <c r="B215" s="81" t="s">
        <v>149</v>
      </c>
      <c r="C215" s="81" t="s">
        <v>189</v>
      </c>
      <c r="D215" s="81" t="s">
        <v>152</v>
      </c>
      <c r="E215" s="81" t="s">
        <v>45</v>
      </c>
      <c r="F215" s="81" t="s">
        <v>28</v>
      </c>
    </row>
    <row r="216" spans="1:6" x14ac:dyDescent="0.25">
      <c r="A216" s="14">
        <v>46143.570138888892</v>
      </c>
      <c r="B216" s="81" t="s">
        <v>149</v>
      </c>
      <c r="C216" s="81" t="s">
        <v>239</v>
      </c>
      <c r="D216" s="81" t="s">
        <v>152</v>
      </c>
      <c r="E216" s="81" t="s">
        <v>45</v>
      </c>
      <c r="F216" s="81" t="s">
        <v>28</v>
      </c>
    </row>
    <row r="217" spans="1:6" x14ac:dyDescent="0.25">
      <c r="A217" s="14">
        <v>46143.618055555555</v>
      </c>
      <c r="B217" s="81" t="s">
        <v>149</v>
      </c>
      <c r="C217" s="81" t="s">
        <v>255</v>
      </c>
      <c r="D217" s="81" t="s">
        <v>234</v>
      </c>
      <c r="E217" s="81" t="s">
        <v>256</v>
      </c>
      <c r="F217" s="81" t="s">
        <v>28</v>
      </c>
    </row>
    <row r="218" spans="1:6" x14ac:dyDescent="0.25">
      <c r="A218" s="14">
        <v>46143.618055555555</v>
      </c>
      <c r="B218" s="81" t="s">
        <v>149</v>
      </c>
      <c r="C218" s="81" t="s">
        <v>255</v>
      </c>
      <c r="D218" s="81" t="s">
        <v>234</v>
      </c>
      <c r="E218" s="81" t="s">
        <v>256</v>
      </c>
      <c r="F218" s="81" t="s">
        <v>28</v>
      </c>
    </row>
    <row r="219" spans="1:6" x14ac:dyDescent="0.25">
      <c r="A219" s="14">
        <v>46143.618055555555</v>
      </c>
      <c r="B219" s="81" t="s">
        <v>149</v>
      </c>
      <c r="C219" s="81" t="s">
        <v>255</v>
      </c>
      <c r="D219" s="81" t="s">
        <v>150</v>
      </c>
      <c r="E219" s="81" t="s">
        <v>256</v>
      </c>
      <c r="F219" s="81" t="s">
        <v>28</v>
      </c>
    </row>
    <row r="220" spans="1:6" x14ac:dyDescent="0.25">
      <c r="A220" s="14">
        <v>46143.618055555555</v>
      </c>
      <c r="B220" s="81" t="s">
        <v>149</v>
      </c>
      <c r="C220" s="81" t="s">
        <v>255</v>
      </c>
      <c r="D220" s="81" t="s">
        <v>150</v>
      </c>
      <c r="E220" s="81" t="s">
        <v>256</v>
      </c>
      <c r="F220" s="81" t="s">
        <v>28</v>
      </c>
    </row>
    <row r="221" spans="1:6" x14ac:dyDescent="0.25">
      <c r="A221" s="14">
        <v>46143.618055555555</v>
      </c>
      <c r="B221" s="81" t="s">
        <v>149</v>
      </c>
      <c r="C221" s="81" t="s">
        <v>158</v>
      </c>
      <c r="D221" s="81" t="s">
        <v>160</v>
      </c>
      <c r="E221" s="81" t="s">
        <v>52</v>
      </c>
      <c r="F221" s="81" t="s">
        <v>0</v>
      </c>
    </row>
    <row r="222" spans="1:6" x14ac:dyDescent="0.25">
      <c r="A222" s="14">
        <v>46143.618055555555</v>
      </c>
      <c r="B222" s="81" t="s">
        <v>149</v>
      </c>
      <c r="C222" s="81" t="s">
        <v>177</v>
      </c>
      <c r="D222" s="81" t="s">
        <v>160</v>
      </c>
      <c r="E222" s="81" t="s">
        <v>52</v>
      </c>
      <c r="F222" s="81" t="s">
        <v>0</v>
      </c>
    </row>
    <row r="223" spans="1:6" x14ac:dyDescent="0.25">
      <c r="A223" s="14">
        <v>46143.618055555555</v>
      </c>
      <c r="B223" s="81" t="s">
        <v>149</v>
      </c>
      <c r="C223" s="81" t="s">
        <v>181</v>
      </c>
      <c r="D223" s="81" t="s">
        <v>160</v>
      </c>
      <c r="E223" s="81" t="s">
        <v>52</v>
      </c>
      <c r="F223" s="81" t="s">
        <v>0</v>
      </c>
    </row>
    <row r="224" spans="1:6" x14ac:dyDescent="0.25">
      <c r="A224" s="14">
        <v>46143.618055555555</v>
      </c>
      <c r="B224" s="81" t="s">
        <v>149</v>
      </c>
      <c r="C224" s="81" t="s">
        <v>175</v>
      </c>
      <c r="D224" s="81" t="s">
        <v>250</v>
      </c>
      <c r="E224" s="81" t="s">
        <v>50</v>
      </c>
      <c r="F224" s="81" t="s">
        <v>1</v>
      </c>
    </row>
    <row r="225" spans="1:6" x14ac:dyDescent="0.25">
      <c r="A225" s="14">
        <v>46143.618055555555</v>
      </c>
      <c r="B225" s="81" t="s">
        <v>149</v>
      </c>
      <c r="C225" s="81" t="s">
        <v>184</v>
      </c>
      <c r="D225" s="81" t="s">
        <v>250</v>
      </c>
      <c r="E225" s="81" t="s">
        <v>50</v>
      </c>
      <c r="F225" s="81" t="s">
        <v>1</v>
      </c>
    </row>
    <row r="226" spans="1:6" x14ac:dyDescent="0.25">
      <c r="A226" s="14">
        <v>46143.618055555555</v>
      </c>
      <c r="B226" s="81" t="s">
        <v>149</v>
      </c>
      <c r="C226" s="81" t="s">
        <v>184</v>
      </c>
      <c r="D226" s="81" t="s">
        <v>191</v>
      </c>
      <c r="E226" s="81" t="s">
        <v>49</v>
      </c>
      <c r="F226" s="81" t="s">
        <v>2</v>
      </c>
    </row>
    <row r="227" spans="1:6" x14ac:dyDescent="0.25">
      <c r="A227" s="14">
        <v>46143.618055555555</v>
      </c>
      <c r="B227" s="81" t="s">
        <v>149</v>
      </c>
      <c r="C227" s="81" t="s">
        <v>173</v>
      </c>
      <c r="D227" s="81" t="s">
        <v>252</v>
      </c>
      <c r="E227" s="81" t="s">
        <v>52</v>
      </c>
      <c r="F227" s="81" t="s">
        <v>0</v>
      </c>
    </row>
    <row r="228" spans="1:6" x14ac:dyDescent="0.25">
      <c r="A228" s="14">
        <v>46143.618055555555</v>
      </c>
      <c r="B228" s="81" t="s">
        <v>149</v>
      </c>
      <c r="C228" s="81" t="s">
        <v>151</v>
      </c>
      <c r="D228" s="81" t="s">
        <v>204</v>
      </c>
      <c r="E228" s="81" t="s">
        <v>50</v>
      </c>
      <c r="F228" s="81" t="s">
        <v>1</v>
      </c>
    </row>
    <row r="229" spans="1:6" x14ac:dyDescent="0.25">
      <c r="A229" s="14">
        <v>46143.618055555555</v>
      </c>
      <c r="B229" s="81" t="s">
        <v>149</v>
      </c>
      <c r="C229" s="81" t="s">
        <v>181</v>
      </c>
      <c r="D229" s="81" t="s">
        <v>251</v>
      </c>
      <c r="E229" s="81" t="s">
        <v>49</v>
      </c>
      <c r="F229" s="81" t="s">
        <v>2</v>
      </c>
    </row>
    <row r="230" spans="1:6" x14ac:dyDescent="0.25">
      <c r="A230" s="14">
        <v>46143.618055555555</v>
      </c>
      <c r="B230" s="81" t="s">
        <v>149</v>
      </c>
      <c r="C230" s="81" t="s">
        <v>183</v>
      </c>
      <c r="D230" s="81" t="s">
        <v>252</v>
      </c>
      <c r="E230" s="81" t="s">
        <v>52</v>
      </c>
      <c r="F230" s="81" t="s">
        <v>0</v>
      </c>
    </row>
    <row r="231" spans="1:6" x14ac:dyDescent="0.25">
      <c r="A231" s="14">
        <v>46143.618055555555</v>
      </c>
      <c r="B231" s="81" t="s">
        <v>149</v>
      </c>
      <c r="C231" s="81" t="s">
        <v>175</v>
      </c>
      <c r="D231" s="81" t="s">
        <v>250</v>
      </c>
      <c r="E231" s="81" t="s">
        <v>52</v>
      </c>
      <c r="F231" s="81" t="s">
        <v>0</v>
      </c>
    </row>
    <row r="232" spans="1:6" x14ac:dyDescent="0.25">
      <c r="A232" s="14">
        <v>46143.618055555555</v>
      </c>
      <c r="B232" s="81" t="s">
        <v>149</v>
      </c>
      <c r="C232" s="81" t="s">
        <v>184</v>
      </c>
      <c r="D232" s="81" t="s">
        <v>204</v>
      </c>
      <c r="E232" s="81" t="s">
        <v>50</v>
      </c>
      <c r="F232" s="81" t="s">
        <v>1</v>
      </c>
    </row>
    <row r="233" spans="1:6" x14ac:dyDescent="0.25">
      <c r="A233" s="14">
        <v>46143.618055555555</v>
      </c>
      <c r="B233" s="81" t="s">
        <v>149</v>
      </c>
      <c r="C233" s="81" t="s">
        <v>177</v>
      </c>
      <c r="D233" s="81" t="s">
        <v>204</v>
      </c>
      <c r="E233" s="81" t="s">
        <v>50</v>
      </c>
      <c r="F233" s="81" t="s">
        <v>1</v>
      </c>
    </row>
    <row r="234" spans="1:6" x14ac:dyDescent="0.25">
      <c r="A234" s="14">
        <v>46143.618055555555</v>
      </c>
      <c r="B234" s="81" t="s">
        <v>149</v>
      </c>
      <c r="C234" s="81" t="s">
        <v>177</v>
      </c>
      <c r="D234" s="81" t="s">
        <v>250</v>
      </c>
      <c r="E234" s="81" t="s">
        <v>52</v>
      </c>
      <c r="F234" s="81" t="s">
        <v>0</v>
      </c>
    </row>
    <row r="235" spans="1:6" x14ac:dyDescent="0.25">
      <c r="A235" s="14">
        <v>46143.618055555555</v>
      </c>
      <c r="B235" s="81" t="s">
        <v>149</v>
      </c>
      <c r="C235" s="81" t="s">
        <v>255</v>
      </c>
      <c r="D235" s="81" t="s">
        <v>201</v>
      </c>
      <c r="E235" s="81" t="s">
        <v>256</v>
      </c>
      <c r="F235" s="81" t="s">
        <v>28</v>
      </c>
    </row>
    <row r="236" spans="1:6" x14ac:dyDescent="0.25">
      <c r="A236" s="14">
        <v>46143.618055555555</v>
      </c>
      <c r="B236" s="81" t="s">
        <v>149</v>
      </c>
      <c r="C236" s="81" t="s">
        <v>192</v>
      </c>
      <c r="D236" s="81" t="s">
        <v>252</v>
      </c>
      <c r="E236" s="81" t="s">
        <v>60</v>
      </c>
      <c r="F236" s="81" t="s">
        <v>28</v>
      </c>
    </row>
    <row r="237" spans="1:6" x14ac:dyDescent="0.25">
      <c r="A237" s="14">
        <v>46143.618055555555</v>
      </c>
      <c r="B237" s="81" t="s">
        <v>149</v>
      </c>
      <c r="C237" s="81" t="s">
        <v>181</v>
      </c>
      <c r="D237" s="81" t="s">
        <v>250</v>
      </c>
      <c r="E237" s="81" t="s">
        <v>50</v>
      </c>
      <c r="F237" s="81" t="s">
        <v>1</v>
      </c>
    </row>
    <row r="238" spans="1:6" x14ac:dyDescent="0.25">
      <c r="A238" s="14">
        <v>46143.618055555555</v>
      </c>
      <c r="B238" s="81" t="s">
        <v>149</v>
      </c>
      <c r="C238" s="81" t="s">
        <v>192</v>
      </c>
      <c r="D238" s="81" t="s">
        <v>251</v>
      </c>
      <c r="E238" s="81" t="s">
        <v>60</v>
      </c>
      <c r="F238" s="81" t="s">
        <v>28</v>
      </c>
    </row>
    <row r="239" spans="1:6" x14ac:dyDescent="0.25">
      <c r="A239" s="14">
        <v>46143.618055555555</v>
      </c>
      <c r="B239" s="81" t="s">
        <v>149</v>
      </c>
      <c r="C239" s="81" t="s">
        <v>175</v>
      </c>
      <c r="D239" s="81" t="s">
        <v>150</v>
      </c>
      <c r="E239" s="81" t="s">
        <v>50</v>
      </c>
      <c r="F239" s="81" t="s">
        <v>1</v>
      </c>
    </row>
    <row r="240" spans="1:6" x14ac:dyDescent="0.25">
      <c r="A240" s="14">
        <v>46143.618055555555</v>
      </c>
      <c r="B240" s="81" t="s">
        <v>149</v>
      </c>
      <c r="C240" s="81" t="s">
        <v>255</v>
      </c>
      <c r="D240" s="81" t="s">
        <v>180</v>
      </c>
      <c r="E240" s="81" t="s">
        <v>256</v>
      </c>
      <c r="F240" s="81" t="s">
        <v>28</v>
      </c>
    </row>
    <row r="241" spans="1:6" x14ac:dyDescent="0.25">
      <c r="A241" s="14">
        <v>46143.618055555555</v>
      </c>
      <c r="B241" s="81" t="s">
        <v>149</v>
      </c>
      <c r="C241" s="81" t="s">
        <v>182</v>
      </c>
      <c r="D241" s="81" t="s">
        <v>150</v>
      </c>
      <c r="E241" s="81" t="s">
        <v>50</v>
      </c>
      <c r="F241" s="81" t="s">
        <v>1</v>
      </c>
    </row>
    <row r="242" spans="1:6" x14ac:dyDescent="0.25">
      <c r="A242" s="14">
        <v>46143.618055555555</v>
      </c>
      <c r="B242" s="81" t="s">
        <v>149</v>
      </c>
      <c r="C242" s="81" t="s">
        <v>175</v>
      </c>
      <c r="D242" s="81" t="s">
        <v>253</v>
      </c>
      <c r="E242" s="81" t="s">
        <v>52</v>
      </c>
      <c r="F242" s="81" t="s">
        <v>0</v>
      </c>
    </row>
    <row r="243" spans="1:6" x14ac:dyDescent="0.25">
      <c r="A243" s="14">
        <v>46143.618055555555</v>
      </c>
      <c r="B243" s="81" t="s">
        <v>149</v>
      </c>
      <c r="C243" s="81" t="s">
        <v>255</v>
      </c>
      <c r="D243" s="81" t="s">
        <v>180</v>
      </c>
      <c r="E243" s="81" t="s">
        <v>256</v>
      </c>
      <c r="F243" s="81" t="s">
        <v>28</v>
      </c>
    </row>
    <row r="244" spans="1:6" x14ac:dyDescent="0.25">
      <c r="A244" s="14">
        <v>46143.618055555555</v>
      </c>
      <c r="B244" s="81" t="s">
        <v>149</v>
      </c>
      <c r="C244" s="81" t="s">
        <v>184</v>
      </c>
      <c r="D244" s="81" t="s">
        <v>150</v>
      </c>
      <c r="E244" s="81" t="s">
        <v>50</v>
      </c>
      <c r="F244" s="81" t="s">
        <v>1</v>
      </c>
    </row>
    <row r="245" spans="1:6" x14ac:dyDescent="0.25">
      <c r="A245" s="14">
        <v>46143.618055555555</v>
      </c>
      <c r="B245" s="81" t="s">
        <v>149</v>
      </c>
      <c r="C245" s="81" t="s">
        <v>183</v>
      </c>
      <c r="D245" s="81" t="s">
        <v>150</v>
      </c>
      <c r="E245" s="81" t="s">
        <v>50</v>
      </c>
      <c r="F245" s="81" t="s">
        <v>1</v>
      </c>
    </row>
    <row r="246" spans="1:6" x14ac:dyDescent="0.25">
      <c r="A246" s="14">
        <v>46143.618055555555</v>
      </c>
      <c r="B246" s="81" t="s">
        <v>149</v>
      </c>
      <c r="C246" s="81" t="s">
        <v>213</v>
      </c>
      <c r="D246" s="81" t="s">
        <v>251</v>
      </c>
      <c r="E246" s="81" t="s">
        <v>64</v>
      </c>
      <c r="F246" s="81" t="s">
        <v>98</v>
      </c>
    </row>
    <row r="247" spans="1:6" x14ac:dyDescent="0.25">
      <c r="A247" s="14">
        <v>46143.618055555555</v>
      </c>
      <c r="B247" s="81" t="s">
        <v>149</v>
      </c>
      <c r="C247" s="81" t="s">
        <v>158</v>
      </c>
      <c r="D247" s="81" t="s">
        <v>231</v>
      </c>
      <c r="E247" s="81" t="s">
        <v>52</v>
      </c>
      <c r="F247" s="81" t="s">
        <v>0</v>
      </c>
    </row>
    <row r="248" spans="1:6" x14ac:dyDescent="0.25">
      <c r="A248" s="14">
        <v>46143.618055555555</v>
      </c>
      <c r="B248" s="81" t="s">
        <v>149</v>
      </c>
      <c r="C248" s="81" t="s">
        <v>158</v>
      </c>
      <c r="D248" s="81" t="s">
        <v>150</v>
      </c>
      <c r="E248" s="81" t="s">
        <v>50</v>
      </c>
      <c r="F248" s="81" t="s">
        <v>1</v>
      </c>
    </row>
    <row r="249" spans="1:6" x14ac:dyDescent="0.25">
      <c r="A249" s="14">
        <v>46143.618055555555</v>
      </c>
      <c r="B249" s="81" t="s">
        <v>149</v>
      </c>
      <c r="C249" s="81" t="s">
        <v>177</v>
      </c>
      <c r="D249" s="81" t="s">
        <v>150</v>
      </c>
      <c r="E249" s="81" t="s">
        <v>50</v>
      </c>
      <c r="F249" s="81" t="s">
        <v>1</v>
      </c>
    </row>
    <row r="250" spans="1:6" x14ac:dyDescent="0.25">
      <c r="A250" s="14">
        <v>46143.618055555555</v>
      </c>
      <c r="B250" s="81" t="s">
        <v>149</v>
      </c>
      <c r="C250" s="81" t="s">
        <v>185</v>
      </c>
      <c r="D250" s="81" t="s">
        <v>231</v>
      </c>
      <c r="E250" s="81" t="s">
        <v>52</v>
      </c>
      <c r="F250" s="81" t="s">
        <v>0</v>
      </c>
    </row>
    <row r="251" spans="1:6" x14ac:dyDescent="0.25">
      <c r="A251" s="14">
        <v>46143.618055555555</v>
      </c>
      <c r="B251" s="81" t="s">
        <v>149</v>
      </c>
      <c r="C251" s="81" t="s">
        <v>177</v>
      </c>
      <c r="D251" s="81" t="s">
        <v>150</v>
      </c>
      <c r="E251" s="81" t="s">
        <v>50</v>
      </c>
      <c r="F251" s="81" t="s">
        <v>1</v>
      </c>
    </row>
    <row r="252" spans="1:6" x14ac:dyDescent="0.25">
      <c r="A252" s="14">
        <v>46143.618055555555</v>
      </c>
      <c r="B252" s="81" t="s">
        <v>149</v>
      </c>
      <c r="C252" s="81" t="s">
        <v>151</v>
      </c>
      <c r="D252" s="81" t="s">
        <v>231</v>
      </c>
      <c r="E252" s="81" t="s">
        <v>52</v>
      </c>
      <c r="F252" s="81" t="s">
        <v>0</v>
      </c>
    </row>
    <row r="253" spans="1:6" x14ac:dyDescent="0.25">
      <c r="A253" s="14">
        <v>46143.618055555555</v>
      </c>
      <c r="B253" s="81" t="s">
        <v>149</v>
      </c>
      <c r="C253" s="81" t="s">
        <v>176</v>
      </c>
      <c r="D253" s="81" t="s">
        <v>150</v>
      </c>
      <c r="E253" s="81" t="s">
        <v>70</v>
      </c>
      <c r="F253" s="81" t="s">
        <v>15</v>
      </c>
    </row>
    <row r="254" spans="1:6" x14ac:dyDescent="0.25">
      <c r="A254" s="14">
        <v>46143.618055555555</v>
      </c>
      <c r="B254" s="81" t="s">
        <v>149</v>
      </c>
      <c r="C254" s="81" t="s">
        <v>151</v>
      </c>
      <c r="D254" s="81" t="s">
        <v>162</v>
      </c>
      <c r="E254" s="81" t="s">
        <v>49</v>
      </c>
      <c r="F254" s="81" t="s">
        <v>2</v>
      </c>
    </row>
    <row r="255" spans="1:6" x14ac:dyDescent="0.25">
      <c r="A255" s="14">
        <v>46143.618055555555</v>
      </c>
      <c r="B255" s="81" t="s">
        <v>149</v>
      </c>
      <c r="C255" s="81" t="s">
        <v>175</v>
      </c>
      <c r="D255" s="81" t="s">
        <v>160</v>
      </c>
      <c r="E255" s="81" t="s">
        <v>50</v>
      </c>
      <c r="F255" s="81" t="s">
        <v>1</v>
      </c>
    </row>
    <row r="256" spans="1:6" x14ac:dyDescent="0.25">
      <c r="A256" s="14">
        <v>46143.618055555555</v>
      </c>
      <c r="B256" s="81" t="s">
        <v>149</v>
      </c>
      <c r="C256" s="81" t="s">
        <v>176</v>
      </c>
      <c r="D256" s="81" t="s">
        <v>150</v>
      </c>
      <c r="E256" s="81" t="s">
        <v>70</v>
      </c>
      <c r="F256" s="81" t="s">
        <v>15</v>
      </c>
    </row>
    <row r="257" spans="1:6" x14ac:dyDescent="0.25">
      <c r="A257" s="14">
        <v>46143.618055555555</v>
      </c>
      <c r="B257" s="81" t="s">
        <v>149</v>
      </c>
      <c r="C257" s="81" t="s">
        <v>176</v>
      </c>
      <c r="D257" s="81" t="s">
        <v>150</v>
      </c>
      <c r="E257" s="81" t="s">
        <v>70</v>
      </c>
      <c r="F257" s="81" t="s">
        <v>15</v>
      </c>
    </row>
    <row r="258" spans="1:6" x14ac:dyDescent="0.25">
      <c r="A258" s="14">
        <v>46143.618055555555</v>
      </c>
      <c r="B258" s="81" t="s">
        <v>149</v>
      </c>
      <c r="C258" s="81" t="s">
        <v>177</v>
      </c>
      <c r="D258" s="81" t="s">
        <v>247</v>
      </c>
      <c r="E258" s="81" t="s">
        <v>49</v>
      </c>
      <c r="F258" s="81" t="s">
        <v>2</v>
      </c>
    </row>
    <row r="259" spans="1:6" x14ac:dyDescent="0.25">
      <c r="A259" s="14">
        <v>46143.618055555555</v>
      </c>
      <c r="B259" s="81" t="s">
        <v>149</v>
      </c>
      <c r="C259" s="81" t="s">
        <v>176</v>
      </c>
      <c r="D259" s="81" t="s">
        <v>231</v>
      </c>
      <c r="E259" s="81" t="s">
        <v>70</v>
      </c>
      <c r="F259" s="81" t="s">
        <v>15</v>
      </c>
    </row>
    <row r="260" spans="1:6" x14ac:dyDescent="0.25">
      <c r="A260" s="14">
        <v>46143.618055555555</v>
      </c>
      <c r="B260" s="81" t="s">
        <v>149</v>
      </c>
      <c r="C260" s="81" t="s">
        <v>151</v>
      </c>
      <c r="D260" s="81" t="s">
        <v>251</v>
      </c>
      <c r="E260" s="81" t="s">
        <v>49</v>
      </c>
      <c r="F260" s="81" t="s">
        <v>2</v>
      </c>
    </row>
    <row r="261" spans="1:6" x14ac:dyDescent="0.25">
      <c r="A261" s="14">
        <v>46143.618055555555</v>
      </c>
      <c r="B261" s="81" t="s">
        <v>195</v>
      </c>
      <c r="C261" s="81" t="s">
        <v>196</v>
      </c>
      <c r="D261" s="81" t="s">
        <v>245</v>
      </c>
      <c r="E261" s="81" t="s">
        <v>24</v>
      </c>
      <c r="F261" s="81" t="s">
        <v>24</v>
      </c>
    </row>
    <row r="262" spans="1:6" x14ac:dyDescent="0.25">
      <c r="A262" s="14">
        <v>46143.618055555555</v>
      </c>
      <c r="B262" s="81" t="s">
        <v>195</v>
      </c>
      <c r="C262" s="81" t="s">
        <v>196</v>
      </c>
      <c r="D262" s="81" t="s">
        <v>245</v>
      </c>
      <c r="E262" s="81" t="s">
        <v>24</v>
      </c>
      <c r="F262" s="81" t="s">
        <v>24</v>
      </c>
    </row>
    <row r="263" spans="1:6" x14ac:dyDescent="0.25">
      <c r="A263" s="14">
        <v>46143.618055555555</v>
      </c>
      <c r="B263" s="81" t="s">
        <v>195</v>
      </c>
      <c r="C263" s="81" t="s">
        <v>196</v>
      </c>
      <c r="D263" s="81" t="s">
        <v>245</v>
      </c>
      <c r="E263" s="81" t="s">
        <v>24</v>
      </c>
      <c r="F263" s="81" t="s">
        <v>24</v>
      </c>
    </row>
    <row r="264" spans="1:6" x14ac:dyDescent="0.25">
      <c r="A264" s="14">
        <v>46143.618055555555</v>
      </c>
      <c r="B264" s="81" t="s">
        <v>195</v>
      </c>
      <c r="C264" s="81" t="s">
        <v>198</v>
      </c>
      <c r="D264" s="81" t="s">
        <v>193</v>
      </c>
      <c r="E264" s="81" t="s">
        <v>24</v>
      </c>
      <c r="F264" s="81" t="s">
        <v>24</v>
      </c>
    </row>
    <row r="265" spans="1:6" x14ac:dyDescent="0.25">
      <c r="A265" s="14">
        <v>46143.618055555555</v>
      </c>
      <c r="B265" s="81" t="s">
        <v>195</v>
      </c>
      <c r="C265" s="81" t="s">
        <v>198</v>
      </c>
      <c r="D265" s="81" t="s">
        <v>193</v>
      </c>
      <c r="E265" s="81" t="s">
        <v>24</v>
      </c>
      <c r="F265" s="81" t="s">
        <v>24</v>
      </c>
    </row>
    <row r="266" spans="1:6" x14ac:dyDescent="0.25">
      <c r="A266" s="14">
        <v>46143.618055555555</v>
      </c>
      <c r="B266" s="81" t="s">
        <v>195</v>
      </c>
      <c r="C266" s="81" t="s">
        <v>198</v>
      </c>
      <c r="D266" s="81" t="s">
        <v>193</v>
      </c>
      <c r="E266" s="81" t="s">
        <v>24</v>
      </c>
      <c r="F266" s="81" t="s">
        <v>24</v>
      </c>
    </row>
    <row r="267" spans="1:6" x14ac:dyDescent="0.25">
      <c r="A267" s="14">
        <v>46143.678472222222</v>
      </c>
      <c r="B267" s="81" t="s">
        <v>149</v>
      </c>
      <c r="C267" s="81" t="s">
        <v>173</v>
      </c>
      <c r="D267" s="81" t="s">
        <v>150</v>
      </c>
      <c r="E267" s="81" t="s">
        <v>50</v>
      </c>
      <c r="F267" s="81" t="s">
        <v>1</v>
      </c>
    </row>
    <row r="268" spans="1:6" x14ac:dyDescent="0.25">
      <c r="A268" s="14">
        <v>46143.678472222222</v>
      </c>
      <c r="B268" s="81" t="s">
        <v>149</v>
      </c>
      <c r="C268" s="81" t="s">
        <v>187</v>
      </c>
      <c r="D268" s="81" t="s">
        <v>231</v>
      </c>
      <c r="E268" s="81" t="s">
        <v>75</v>
      </c>
      <c r="F268" s="81" t="s">
        <v>93</v>
      </c>
    </row>
    <row r="269" spans="1:6" x14ac:dyDescent="0.25">
      <c r="A269" s="14">
        <v>46143.678472222222</v>
      </c>
      <c r="B269" s="81" t="s">
        <v>149</v>
      </c>
      <c r="C269" s="81" t="s">
        <v>177</v>
      </c>
      <c r="D269" s="81" t="s">
        <v>150</v>
      </c>
      <c r="E269" s="81" t="s">
        <v>50</v>
      </c>
      <c r="F269" s="81" t="s">
        <v>1</v>
      </c>
    </row>
    <row r="270" spans="1:6" x14ac:dyDescent="0.25">
      <c r="A270" s="14">
        <v>46143.678472222222</v>
      </c>
      <c r="B270" s="81" t="s">
        <v>149</v>
      </c>
      <c r="C270" s="81" t="s">
        <v>171</v>
      </c>
      <c r="D270" s="81" t="s">
        <v>251</v>
      </c>
      <c r="E270" s="81" t="s">
        <v>49</v>
      </c>
      <c r="F270" s="81" t="s">
        <v>2</v>
      </c>
    </row>
    <row r="271" spans="1:6" x14ac:dyDescent="0.25">
      <c r="A271" s="14">
        <v>46143.678472222222</v>
      </c>
      <c r="B271" s="81" t="s">
        <v>149</v>
      </c>
      <c r="C271" s="81" t="s">
        <v>173</v>
      </c>
      <c r="D271" s="81" t="s">
        <v>150</v>
      </c>
      <c r="E271" s="81" t="s">
        <v>50</v>
      </c>
      <c r="F271" s="81" t="s">
        <v>1</v>
      </c>
    </row>
    <row r="272" spans="1:6" x14ac:dyDescent="0.25">
      <c r="A272" s="14">
        <v>46143.678472222222</v>
      </c>
      <c r="B272" s="81" t="s">
        <v>149</v>
      </c>
      <c r="C272" s="81" t="s">
        <v>176</v>
      </c>
      <c r="D272" s="81" t="s">
        <v>150</v>
      </c>
      <c r="E272" s="81" t="s">
        <v>70</v>
      </c>
      <c r="F272" s="81" t="s">
        <v>15</v>
      </c>
    </row>
    <row r="273" spans="1:6" x14ac:dyDescent="0.25">
      <c r="A273" s="14">
        <v>46143.678472222222</v>
      </c>
      <c r="B273" s="81" t="s">
        <v>149</v>
      </c>
      <c r="C273" s="81" t="s">
        <v>190</v>
      </c>
      <c r="D273" s="81" t="s">
        <v>150</v>
      </c>
      <c r="E273" s="81" t="s">
        <v>50</v>
      </c>
      <c r="F273" s="81" t="s">
        <v>1</v>
      </c>
    </row>
    <row r="274" spans="1:6" x14ac:dyDescent="0.25">
      <c r="A274" s="14">
        <v>46143.678472222222</v>
      </c>
      <c r="B274" s="81" t="s">
        <v>149</v>
      </c>
      <c r="C274" s="81" t="s">
        <v>176</v>
      </c>
      <c r="D274" s="81" t="s">
        <v>150</v>
      </c>
      <c r="E274" s="81" t="s">
        <v>63</v>
      </c>
      <c r="F274" s="81" t="s">
        <v>16</v>
      </c>
    </row>
    <row r="275" spans="1:6" x14ac:dyDescent="0.25">
      <c r="A275" s="14">
        <v>46143.678472222222</v>
      </c>
      <c r="B275" s="81" t="s">
        <v>149</v>
      </c>
      <c r="C275" s="81" t="s">
        <v>177</v>
      </c>
      <c r="D275" s="81" t="s">
        <v>193</v>
      </c>
      <c r="E275" s="81" t="s">
        <v>50</v>
      </c>
      <c r="F275" s="81" t="s">
        <v>1</v>
      </c>
    </row>
    <row r="276" spans="1:6" x14ac:dyDescent="0.25">
      <c r="A276" s="14">
        <v>46143.678472222222</v>
      </c>
      <c r="B276" s="81" t="s">
        <v>149</v>
      </c>
      <c r="C276" s="81" t="s">
        <v>192</v>
      </c>
      <c r="D276" s="81" t="s">
        <v>245</v>
      </c>
      <c r="E276" s="81" t="s">
        <v>60</v>
      </c>
      <c r="F276" s="81" t="s">
        <v>28</v>
      </c>
    </row>
    <row r="277" spans="1:6" x14ac:dyDescent="0.25">
      <c r="A277" s="14">
        <v>46143.678472222222</v>
      </c>
      <c r="B277" s="81" t="s">
        <v>149</v>
      </c>
      <c r="C277" s="81" t="s">
        <v>173</v>
      </c>
      <c r="D277" s="81" t="s">
        <v>193</v>
      </c>
      <c r="E277" s="81" t="s">
        <v>50</v>
      </c>
      <c r="F277" s="81" t="s">
        <v>1</v>
      </c>
    </row>
    <row r="278" spans="1:6" x14ac:dyDescent="0.25">
      <c r="A278" s="14">
        <v>46143.678472222222</v>
      </c>
      <c r="B278" s="81" t="s">
        <v>149</v>
      </c>
      <c r="C278" s="81" t="s">
        <v>181</v>
      </c>
      <c r="D278" s="81" t="s">
        <v>257</v>
      </c>
      <c r="E278" s="81" t="s">
        <v>52</v>
      </c>
      <c r="F278" s="81" t="s">
        <v>0</v>
      </c>
    </row>
    <row r="279" spans="1:6" x14ac:dyDescent="0.25">
      <c r="A279" s="14">
        <v>46143.678472222222</v>
      </c>
      <c r="B279" s="81" t="s">
        <v>149</v>
      </c>
      <c r="C279" s="81" t="s">
        <v>151</v>
      </c>
      <c r="D279" s="81" t="s">
        <v>160</v>
      </c>
      <c r="E279" s="81" t="s">
        <v>49</v>
      </c>
      <c r="F279" s="81" t="s">
        <v>2</v>
      </c>
    </row>
    <row r="280" spans="1:6" x14ac:dyDescent="0.25">
      <c r="A280" s="14">
        <v>46143.678472222222</v>
      </c>
      <c r="B280" s="81" t="s">
        <v>149</v>
      </c>
      <c r="C280" s="81" t="s">
        <v>171</v>
      </c>
      <c r="D280" s="81" t="s">
        <v>202</v>
      </c>
      <c r="E280" s="81" t="s">
        <v>49</v>
      </c>
      <c r="F280" s="81" t="s">
        <v>2</v>
      </c>
    </row>
    <row r="281" spans="1:6" x14ac:dyDescent="0.25">
      <c r="A281" s="14">
        <v>46143.678472222222</v>
      </c>
      <c r="B281" s="81" t="s">
        <v>149</v>
      </c>
      <c r="C281" s="81" t="s">
        <v>151</v>
      </c>
      <c r="D281" s="81" t="s">
        <v>240</v>
      </c>
      <c r="E281" s="81" t="s">
        <v>52</v>
      </c>
      <c r="F281" s="81" t="s">
        <v>0</v>
      </c>
    </row>
    <row r="282" spans="1:6" x14ac:dyDescent="0.25">
      <c r="A282" s="14">
        <v>46143.678472222222</v>
      </c>
      <c r="B282" s="81" t="s">
        <v>149</v>
      </c>
      <c r="C282" s="81" t="s">
        <v>255</v>
      </c>
      <c r="D282" s="81" t="s">
        <v>202</v>
      </c>
      <c r="E282" s="81" t="s">
        <v>256</v>
      </c>
      <c r="F282" s="81" t="s">
        <v>28</v>
      </c>
    </row>
    <row r="283" spans="1:6" x14ac:dyDescent="0.25">
      <c r="A283" s="14">
        <v>46143.678472222222</v>
      </c>
      <c r="B283" s="81" t="s">
        <v>149</v>
      </c>
      <c r="C283" s="81" t="s">
        <v>177</v>
      </c>
      <c r="D283" s="81" t="s">
        <v>257</v>
      </c>
      <c r="E283" s="81" t="s">
        <v>52</v>
      </c>
      <c r="F283" s="81" t="s">
        <v>0</v>
      </c>
    </row>
    <row r="284" spans="1:6" x14ac:dyDescent="0.25">
      <c r="A284" s="14">
        <v>46143.678472222222</v>
      </c>
      <c r="B284" s="81" t="s">
        <v>149</v>
      </c>
      <c r="C284" s="81" t="s">
        <v>171</v>
      </c>
      <c r="D284" s="81" t="s">
        <v>245</v>
      </c>
      <c r="E284" s="81" t="s">
        <v>49</v>
      </c>
      <c r="F284" s="81" t="s">
        <v>2</v>
      </c>
    </row>
    <row r="285" spans="1:6" x14ac:dyDescent="0.25">
      <c r="A285" s="14">
        <v>46143.678472222222</v>
      </c>
      <c r="B285" s="81" t="s">
        <v>149</v>
      </c>
      <c r="C285" s="81" t="s">
        <v>173</v>
      </c>
      <c r="D285" s="81" t="s">
        <v>167</v>
      </c>
      <c r="E285" s="81" t="s">
        <v>49</v>
      </c>
      <c r="F285" s="81" t="s">
        <v>2</v>
      </c>
    </row>
    <row r="286" spans="1:6" x14ac:dyDescent="0.25">
      <c r="A286" s="14">
        <v>46143.678472222222</v>
      </c>
      <c r="B286" s="81" t="s">
        <v>149</v>
      </c>
      <c r="C286" s="81" t="s">
        <v>185</v>
      </c>
      <c r="D286" s="81" t="s">
        <v>251</v>
      </c>
      <c r="E286" s="81" t="s">
        <v>49</v>
      </c>
      <c r="F286" s="81" t="s">
        <v>2</v>
      </c>
    </row>
    <row r="287" spans="1:6" x14ac:dyDescent="0.25">
      <c r="A287" s="14">
        <v>46143.678472222222</v>
      </c>
      <c r="B287" s="81" t="s">
        <v>149</v>
      </c>
      <c r="C287" s="81" t="s">
        <v>255</v>
      </c>
      <c r="D287" s="81" t="s">
        <v>250</v>
      </c>
      <c r="E287" s="81" t="s">
        <v>256</v>
      </c>
      <c r="F287" s="81" t="s">
        <v>28</v>
      </c>
    </row>
    <row r="288" spans="1:6" x14ac:dyDescent="0.25">
      <c r="A288" s="14">
        <v>46143.678472222222</v>
      </c>
      <c r="B288" s="81" t="s">
        <v>149</v>
      </c>
      <c r="C288" s="81" t="s">
        <v>175</v>
      </c>
      <c r="D288" s="81" t="s">
        <v>155</v>
      </c>
      <c r="E288" s="81" t="s">
        <v>50</v>
      </c>
      <c r="F288" s="81" t="s">
        <v>1</v>
      </c>
    </row>
    <row r="289" spans="1:6" x14ac:dyDescent="0.25">
      <c r="A289" s="14">
        <v>46143.678472222222</v>
      </c>
      <c r="B289" s="81" t="s">
        <v>149</v>
      </c>
      <c r="C289" s="81" t="s">
        <v>255</v>
      </c>
      <c r="D289" s="81" t="s">
        <v>202</v>
      </c>
      <c r="E289" s="81" t="s">
        <v>256</v>
      </c>
      <c r="F289" s="81" t="s">
        <v>28</v>
      </c>
    </row>
    <row r="290" spans="1:6" x14ac:dyDescent="0.25">
      <c r="A290" s="14">
        <v>46143.678472222222</v>
      </c>
      <c r="B290" s="81" t="s">
        <v>149</v>
      </c>
      <c r="C290" s="81" t="s">
        <v>177</v>
      </c>
      <c r="D290" s="81" t="s">
        <v>257</v>
      </c>
      <c r="E290" s="81" t="s">
        <v>52</v>
      </c>
      <c r="F290" s="81" t="s">
        <v>0</v>
      </c>
    </row>
    <row r="291" spans="1:6" x14ac:dyDescent="0.25">
      <c r="A291" s="14">
        <v>46143.678472222222</v>
      </c>
      <c r="B291" s="81" t="s">
        <v>149</v>
      </c>
      <c r="C291" s="81" t="s">
        <v>190</v>
      </c>
      <c r="D291" s="81" t="s">
        <v>155</v>
      </c>
      <c r="E291" s="81" t="s">
        <v>50</v>
      </c>
      <c r="F291" s="81" t="s">
        <v>1</v>
      </c>
    </row>
    <row r="292" spans="1:6" x14ac:dyDescent="0.25">
      <c r="A292" s="14">
        <v>46143.678472222222</v>
      </c>
      <c r="B292" s="81" t="s">
        <v>149</v>
      </c>
      <c r="C292" s="81" t="s">
        <v>158</v>
      </c>
      <c r="D292" s="81" t="s">
        <v>251</v>
      </c>
      <c r="E292" s="81" t="s">
        <v>49</v>
      </c>
      <c r="F292" s="81" t="s">
        <v>2</v>
      </c>
    </row>
    <row r="293" spans="1:6" x14ac:dyDescent="0.25">
      <c r="A293" s="14">
        <v>46143.678472222222</v>
      </c>
      <c r="B293" s="81" t="s">
        <v>149</v>
      </c>
      <c r="C293" s="81" t="s">
        <v>200</v>
      </c>
      <c r="D293" s="81" t="s">
        <v>168</v>
      </c>
      <c r="E293" s="81" t="s">
        <v>125</v>
      </c>
      <c r="F293" s="81" t="s">
        <v>124</v>
      </c>
    </row>
    <row r="294" spans="1:6" x14ac:dyDescent="0.25">
      <c r="A294" s="14">
        <v>46143.836805555555</v>
      </c>
      <c r="B294" s="81" t="s">
        <v>149</v>
      </c>
      <c r="C294" s="81" t="s">
        <v>255</v>
      </c>
      <c r="D294" s="81" t="s">
        <v>254</v>
      </c>
      <c r="E294" s="81" t="s">
        <v>256</v>
      </c>
      <c r="F294" s="81" t="s">
        <v>28</v>
      </c>
    </row>
    <row r="295" spans="1:6" x14ac:dyDescent="0.25">
      <c r="A295" s="14">
        <v>46143.836805555555</v>
      </c>
      <c r="B295" s="81" t="s">
        <v>149</v>
      </c>
      <c r="C295" s="81" t="s">
        <v>200</v>
      </c>
      <c r="D295" s="81" t="s">
        <v>168</v>
      </c>
      <c r="E295" s="81" t="s">
        <v>126</v>
      </c>
      <c r="F295" s="81" t="s">
        <v>124</v>
      </c>
    </row>
    <row r="296" spans="1:6" x14ac:dyDescent="0.25">
      <c r="A296" s="14">
        <v>46143.836805555555</v>
      </c>
      <c r="B296" s="81" t="s">
        <v>149</v>
      </c>
      <c r="C296" s="81" t="s">
        <v>200</v>
      </c>
      <c r="D296" s="81" t="s">
        <v>162</v>
      </c>
      <c r="E296" s="81" t="s">
        <v>125</v>
      </c>
      <c r="F296" s="81" t="s">
        <v>124</v>
      </c>
    </row>
    <row r="297" spans="1:6" x14ac:dyDescent="0.25">
      <c r="A297" s="14">
        <v>46143.836805555555</v>
      </c>
      <c r="B297" s="81" t="s">
        <v>149</v>
      </c>
      <c r="C297" s="81" t="s">
        <v>173</v>
      </c>
      <c r="D297" s="81" t="s">
        <v>240</v>
      </c>
      <c r="E297" s="81" t="s">
        <v>50</v>
      </c>
      <c r="F297" s="81" t="s">
        <v>1</v>
      </c>
    </row>
    <row r="298" spans="1:6" x14ac:dyDescent="0.25">
      <c r="A298" s="14">
        <v>46143.836805555555</v>
      </c>
      <c r="B298" s="81" t="s">
        <v>149</v>
      </c>
      <c r="C298" s="81" t="s">
        <v>175</v>
      </c>
      <c r="D298" s="81" t="s">
        <v>240</v>
      </c>
      <c r="E298" s="81" t="s">
        <v>50</v>
      </c>
      <c r="F298" s="81" t="s">
        <v>1</v>
      </c>
    </row>
    <row r="299" spans="1:6" x14ac:dyDescent="0.25">
      <c r="A299" s="14">
        <v>46143.836805555555</v>
      </c>
      <c r="B299" s="81" t="s">
        <v>149</v>
      </c>
      <c r="C299" s="81" t="s">
        <v>200</v>
      </c>
      <c r="D299" s="81" t="s">
        <v>168</v>
      </c>
      <c r="E299" s="81" t="s">
        <v>125</v>
      </c>
      <c r="F299" s="81" t="s">
        <v>124</v>
      </c>
    </row>
    <row r="300" spans="1:6" x14ac:dyDescent="0.25">
      <c r="A300" s="14">
        <v>46143.836805555555</v>
      </c>
      <c r="B300" s="81" t="s">
        <v>149</v>
      </c>
      <c r="C300" s="81" t="s">
        <v>173</v>
      </c>
      <c r="D300" s="81" t="s">
        <v>240</v>
      </c>
      <c r="E300" s="81" t="s">
        <v>52</v>
      </c>
      <c r="F300" s="81" t="s">
        <v>0</v>
      </c>
    </row>
    <row r="301" spans="1:6" x14ac:dyDescent="0.25">
      <c r="A301" s="14">
        <v>46143.836805555555</v>
      </c>
      <c r="B301" s="81" t="s">
        <v>149</v>
      </c>
      <c r="C301" s="81" t="s">
        <v>151</v>
      </c>
      <c r="D301" s="81" t="s">
        <v>250</v>
      </c>
      <c r="E301" s="81" t="s">
        <v>52</v>
      </c>
      <c r="F301" s="81" t="s">
        <v>0</v>
      </c>
    </row>
    <row r="302" spans="1:6" x14ac:dyDescent="0.25">
      <c r="A302" s="14">
        <v>46143.836805555555</v>
      </c>
      <c r="B302" s="81" t="s">
        <v>149</v>
      </c>
      <c r="C302" s="81" t="s">
        <v>185</v>
      </c>
      <c r="D302" s="81" t="s">
        <v>257</v>
      </c>
      <c r="E302" s="81" t="s">
        <v>50</v>
      </c>
      <c r="F302" s="81" t="s">
        <v>1</v>
      </c>
    </row>
    <row r="303" spans="1:6" x14ac:dyDescent="0.25">
      <c r="A303" s="14">
        <v>46143.836805555555</v>
      </c>
      <c r="B303" s="81" t="s">
        <v>149</v>
      </c>
      <c r="C303" s="81" t="s">
        <v>181</v>
      </c>
      <c r="D303" s="81" t="s">
        <v>168</v>
      </c>
      <c r="E303" s="81" t="s">
        <v>50</v>
      </c>
      <c r="F303" s="81" t="s">
        <v>1</v>
      </c>
    </row>
    <row r="304" spans="1:6" x14ac:dyDescent="0.25">
      <c r="A304" s="14">
        <v>46143.836805555555</v>
      </c>
      <c r="B304" s="81" t="s">
        <v>149</v>
      </c>
      <c r="C304" s="81" t="s">
        <v>158</v>
      </c>
      <c r="D304" s="81" t="s">
        <v>231</v>
      </c>
      <c r="E304" s="81" t="s">
        <v>49</v>
      </c>
      <c r="F304" s="81" t="s">
        <v>2</v>
      </c>
    </row>
    <row r="305" spans="1:6" x14ac:dyDescent="0.25">
      <c r="A305" s="14">
        <v>46143.836805555555</v>
      </c>
      <c r="B305" s="81" t="s">
        <v>149</v>
      </c>
      <c r="C305" s="81" t="s">
        <v>182</v>
      </c>
      <c r="D305" s="81" t="s">
        <v>168</v>
      </c>
      <c r="E305" s="81" t="s">
        <v>52</v>
      </c>
      <c r="F305" s="81" t="s">
        <v>0</v>
      </c>
    </row>
    <row r="306" spans="1:6" x14ac:dyDescent="0.25">
      <c r="A306" s="14">
        <v>46143.836805555555</v>
      </c>
      <c r="B306" s="81" t="s">
        <v>149</v>
      </c>
      <c r="C306" s="81" t="s">
        <v>200</v>
      </c>
      <c r="D306" s="81" t="s">
        <v>162</v>
      </c>
      <c r="E306" s="81" t="s">
        <v>125</v>
      </c>
      <c r="F306" s="81" t="s">
        <v>124</v>
      </c>
    </row>
    <row r="307" spans="1:6" x14ac:dyDescent="0.25">
      <c r="A307" s="14">
        <v>46143.836805555555</v>
      </c>
      <c r="B307" s="81" t="s">
        <v>149</v>
      </c>
      <c r="C307" s="81" t="s">
        <v>182</v>
      </c>
      <c r="D307" s="81" t="s">
        <v>168</v>
      </c>
      <c r="E307" s="81" t="s">
        <v>52</v>
      </c>
      <c r="F307" s="81" t="s">
        <v>0</v>
      </c>
    </row>
    <row r="308" spans="1:6" x14ac:dyDescent="0.25">
      <c r="A308" s="14">
        <v>46143.836805555555</v>
      </c>
      <c r="B308" s="81" t="s">
        <v>149</v>
      </c>
      <c r="C308" s="81" t="s">
        <v>175</v>
      </c>
      <c r="D308" s="81" t="s">
        <v>161</v>
      </c>
      <c r="E308" s="81" t="s">
        <v>50</v>
      </c>
      <c r="F308" s="81" t="s">
        <v>1</v>
      </c>
    </row>
    <row r="309" spans="1:6" x14ac:dyDescent="0.25">
      <c r="A309" s="14">
        <v>46143.836805555555</v>
      </c>
      <c r="B309" s="81" t="s">
        <v>149</v>
      </c>
      <c r="C309" s="81" t="s">
        <v>255</v>
      </c>
      <c r="D309" s="81" t="s">
        <v>250</v>
      </c>
      <c r="E309" s="81" t="s">
        <v>256</v>
      </c>
      <c r="F309" s="81" t="s">
        <v>28</v>
      </c>
    </row>
    <row r="310" spans="1:6" x14ac:dyDescent="0.25">
      <c r="A310" s="14">
        <v>46143.836805555555</v>
      </c>
      <c r="B310" s="81" t="s">
        <v>149</v>
      </c>
      <c r="C310" s="81" t="s">
        <v>181</v>
      </c>
      <c r="D310" s="81" t="s">
        <v>157</v>
      </c>
      <c r="E310" s="81" t="s">
        <v>50</v>
      </c>
      <c r="F310" s="81" t="s">
        <v>1</v>
      </c>
    </row>
    <row r="311" spans="1:6" x14ac:dyDescent="0.25">
      <c r="A311" s="14">
        <v>46143.836805555555</v>
      </c>
      <c r="B311" s="81" t="s">
        <v>149</v>
      </c>
      <c r="C311" s="81" t="s">
        <v>175</v>
      </c>
      <c r="D311" s="81" t="s">
        <v>199</v>
      </c>
      <c r="E311" s="81" t="s">
        <v>49</v>
      </c>
      <c r="F311" s="81" t="s">
        <v>2</v>
      </c>
    </row>
    <row r="312" spans="1:6" x14ac:dyDescent="0.25">
      <c r="A312" s="14">
        <v>46143.836805555555</v>
      </c>
      <c r="B312" s="81" t="s">
        <v>149</v>
      </c>
      <c r="C312" s="81" t="s">
        <v>185</v>
      </c>
      <c r="D312" s="81" t="s">
        <v>157</v>
      </c>
      <c r="E312" s="81" t="s">
        <v>52</v>
      </c>
      <c r="F312" s="81" t="s">
        <v>0</v>
      </c>
    </row>
    <row r="313" spans="1:6" x14ac:dyDescent="0.25">
      <c r="A313" s="14">
        <v>46143.836805555555</v>
      </c>
      <c r="B313" s="81" t="s">
        <v>149</v>
      </c>
      <c r="C313" s="81" t="s">
        <v>190</v>
      </c>
      <c r="D313" s="81" t="s">
        <v>157</v>
      </c>
      <c r="E313" s="81" t="s">
        <v>50</v>
      </c>
      <c r="F313" s="81" t="s">
        <v>1</v>
      </c>
    </row>
    <row r="314" spans="1:6" x14ac:dyDescent="0.25">
      <c r="A314" s="14">
        <v>46143.836805555555</v>
      </c>
      <c r="B314" s="81" t="s">
        <v>149</v>
      </c>
      <c r="C314" s="81" t="s">
        <v>190</v>
      </c>
      <c r="D314" s="81" t="s">
        <v>157</v>
      </c>
      <c r="E314" s="81" t="s">
        <v>50</v>
      </c>
      <c r="F314" s="81" t="s">
        <v>1</v>
      </c>
    </row>
    <row r="315" spans="1:6" x14ac:dyDescent="0.25">
      <c r="A315" s="14">
        <v>46143.836805555555</v>
      </c>
      <c r="B315" s="81" t="s">
        <v>149</v>
      </c>
      <c r="C315" s="81" t="s">
        <v>175</v>
      </c>
      <c r="D315" s="81" t="s">
        <v>257</v>
      </c>
      <c r="E315" s="81" t="s">
        <v>52</v>
      </c>
      <c r="F315" s="81" t="s">
        <v>0</v>
      </c>
    </row>
    <row r="316" spans="1:6" x14ac:dyDescent="0.25">
      <c r="A316" s="14">
        <v>46143.836805555555</v>
      </c>
      <c r="B316" s="81" t="s">
        <v>149</v>
      </c>
      <c r="C316" s="81" t="s">
        <v>200</v>
      </c>
      <c r="D316" s="81" t="s">
        <v>168</v>
      </c>
      <c r="E316" s="81" t="s">
        <v>125</v>
      </c>
      <c r="F316" s="81" t="s">
        <v>124</v>
      </c>
    </row>
    <row r="317" spans="1:6" x14ac:dyDescent="0.25">
      <c r="A317" s="14">
        <v>46143.836805555555</v>
      </c>
      <c r="B317" s="81" t="s">
        <v>149</v>
      </c>
      <c r="C317" s="81" t="s">
        <v>151</v>
      </c>
      <c r="D317" s="81" t="s">
        <v>153</v>
      </c>
      <c r="E317" s="81" t="s">
        <v>52</v>
      </c>
      <c r="F317" s="81" t="s">
        <v>0</v>
      </c>
    </row>
    <row r="318" spans="1:6" x14ac:dyDescent="0.25">
      <c r="A318" s="14">
        <v>46143.836805555555</v>
      </c>
      <c r="B318" s="81" t="s">
        <v>149</v>
      </c>
      <c r="C318" s="81" t="s">
        <v>181</v>
      </c>
      <c r="D318" s="81" t="s">
        <v>157</v>
      </c>
      <c r="E318" s="81" t="s">
        <v>50</v>
      </c>
      <c r="F318" s="81" t="s">
        <v>1</v>
      </c>
    </row>
    <row r="319" spans="1:6" x14ac:dyDescent="0.25">
      <c r="A319" s="14">
        <v>46143.836805555555</v>
      </c>
      <c r="B319" s="81" t="s">
        <v>149</v>
      </c>
      <c r="C319" s="81" t="s">
        <v>171</v>
      </c>
      <c r="D319" s="81" t="s">
        <v>153</v>
      </c>
      <c r="E319" s="81" t="s">
        <v>52</v>
      </c>
      <c r="F319" s="81" t="s">
        <v>0</v>
      </c>
    </row>
    <row r="320" spans="1:6" x14ac:dyDescent="0.25">
      <c r="A320" s="14">
        <v>46143.836805555555</v>
      </c>
      <c r="B320" s="81" t="s">
        <v>149</v>
      </c>
      <c r="C320" s="81" t="s">
        <v>175</v>
      </c>
      <c r="D320" s="81" t="s">
        <v>157</v>
      </c>
      <c r="E320" s="81" t="s">
        <v>50</v>
      </c>
      <c r="F320" s="81" t="s">
        <v>1</v>
      </c>
    </row>
    <row r="321" spans="1:6" x14ac:dyDescent="0.25">
      <c r="A321" s="14">
        <v>46143.836805555555</v>
      </c>
      <c r="B321" s="81" t="s">
        <v>149</v>
      </c>
      <c r="C321" s="81" t="s">
        <v>177</v>
      </c>
      <c r="D321" s="81" t="s">
        <v>153</v>
      </c>
      <c r="E321" s="81" t="s">
        <v>49</v>
      </c>
      <c r="F321" s="81" t="s">
        <v>2</v>
      </c>
    </row>
    <row r="322" spans="1:6" x14ac:dyDescent="0.25">
      <c r="A322" s="14">
        <v>46143.836805555555</v>
      </c>
      <c r="B322" s="81" t="s">
        <v>149</v>
      </c>
      <c r="C322" s="81" t="s">
        <v>200</v>
      </c>
      <c r="D322" s="81" t="s">
        <v>168</v>
      </c>
      <c r="E322" s="81" t="s">
        <v>125</v>
      </c>
      <c r="F322" s="81" t="s">
        <v>124</v>
      </c>
    </row>
    <row r="323" spans="1:6" x14ac:dyDescent="0.25">
      <c r="A323" s="14">
        <v>46143.836805555555</v>
      </c>
      <c r="B323" s="81" t="s">
        <v>149</v>
      </c>
      <c r="C323" s="81" t="s">
        <v>185</v>
      </c>
      <c r="D323" s="81" t="s">
        <v>257</v>
      </c>
      <c r="E323" s="81" t="s">
        <v>52</v>
      </c>
      <c r="F323" s="81" t="s">
        <v>0</v>
      </c>
    </row>
    <row r="324" spans="1:6" x14ac:dyDescent="0.25">
      <c r="A324" s="14">
        <v>46143.836805555555</v>
      </c>
      <c r="B324" s="81" t="s">
        <v>149</v>
      </c>
      <c r="C324" s="81" t="s">
        <v>255</v>
      </c>
      <c r="D324" s="81" t="s">
        <v>250</v>
      </c>
      <c r="E324" s="81" t="s">
        <v>256</v>
      </c>
      <c r="F324" s="81" t="s">
        <v>28</v>
      </c>
    </row>
    <row r="325" spans="1:6" x14ac:dyDescent="0.25">
      <c r="A325" s="14">
        <v>46143.836805555555</v>
      </c>
      <c r="B325" s="81" t="s">
        <v>149</v>
      </c>
      <c r="C325" s="81" t="s">
        <v>181</v>
      </c>
      <c r="D325" s="81" t="s">
        <v>161</v>
      </c>
      <c r="E325" s="81" t="s">
        <v>50</v>
      </c>
      <c r="F325" s="81" t="s">
        <v>1</v>
      </c>
    </row>
    <row r="326" spans="1:6" x14ac:dyDescent="0.25">
      <c r="A326" s="14">
        <v>46143.836805555555</v>
      </c>
      <c r="B326" s="81" t="s">
        <v>149</v>
      </c>
      <c r="C326" s="81" t="s">
        <v>151</v>
      </c>
      <c r="D326" s="81" t="s">
        <v>257</v>
      </c>
      <c r="E326" s="81" t="s">
        <v>52</v>
      </c>
      <c r="F326" s="81" t="s">
        <v>0</v>
      </c>
    </row>
    <row r="327" spans="1:6" x14ac:dyDescent="0.25">
      <c r="A327" s="14">
        <v>46143.836805555555</v>
      </c>
      <c r="B327" s="81" t="s">
        <v>149</v>
      </c>
      <c r="C327" s="81" t="s">
        <v>181</v>
      </c>
      <c r="D327" s="81" t="s">
        <v>161</v>
      </c>
      <c r="E327" s="81" t="s">
        <v>50</v>
      </c>
      <c r="F327" s="81" t="s">
        <v>1</v>
      </c>
    </row>
    <row r="328" spans="1:6" x14ac:dyDescent="0.25">
      <c r="A328" s="14">
        <v>46143.836805555555</v>
      </c>
      <c r="B328" s="81" t="s">
        <v>149</v>
      </c>
      <c r="C328" s="81" t="s">
        <v>200</v>
      </c>
      <c r="D328" s="81" t="s">
        <v>168</v>
      </c>
      <c r="E328" s="81" t="s">
        <v>125</v>
      </c>
      <c r="F328" s="81" t="s">
        <v>124</v>
      </c>
    </row>
    <row r="329" spans="1:6" x14ac:dyDescent="0.25">
      <c r="A329" s="14">
        <v>46143.836805555555</v>
      </c>
      <c r="B329" s="81" t="s">
        <v>149</v>
      </c>
      <c r="C329" s="81" t="s">
        <v>182</v>
      </c>
      <c r="D329" s="81" t="s">
        <v>163</v>
      </c>
      <c r="E329" s="81" t="s">
        <v>52</v>
      </c>
      <c r="F329" s="81" t="s">
        <v>0</v>
      </c>
    </row>
    <row r="330" spans="1:6" x14ac:dyDescent="0.25">
      <c r="A330" s="14">
        <v>46143.836805555555</v>
      </c>
      <c r="B330" s="81" t="s">
        <v>149</v>
      </c>
      <c r="C330" s="81" t="s">
        <v>200</v>
      </c>
      <c r="D330" s="81" t="s">
        <v>153</v>
      </c>
      <c r="E330" s="81" t="s">
        <v>123</v>
      </c>
      <c r="F330" s="81" t="s">
        <v>124</v>
      </c>
    </row>
    <row r="331" spans="1:6" x14ac:dyDescent="0.25">
      <c r="A331" s="14">
        <v>46143.836805555555</v>
      </c>
      <c r="B331" s="81" t="s">
        <v>149</v>
      </c>
      <c r="C331" s="81" t="s">
        <v>255</v>
      </c>
      <c r="D331" s="81" t="s">
        <v>161</v>
      </c>
      <c r="E331" s="81" t="s">
        <v>256</v>
      </c>
      <c r="F331" s="81" t="s">
        <v>28</v>
      </c>
    </row>
    <row r="332" spans="1:6" x14ac:dyDescent="0.25">
      <c r="A332" s="14">
        <v>46143.836805555555</v>
      </c>
      <c r="B332" s="81" t="s">
        <v>149</v>
      </c>
      <c r="C332" s="81" t="s">
        <v>190</v>
      </c>
      <c r="D332" s="81" t="s">
        <v>257</v>
      </c>
      <c r="E332" s="81" t="s">
        <v>52</v>
      </c>
      <c r="F332" s="81" t="s">
        <v>0</v>
      </c>
    </row>
    <row r="333" spans="1:6" x14ac:dyDescent="0.25">
      <c r="A333" s="14">
        <v>46143.836805555555</v>
      </c>
      <c r="B333" s="81" t="s">
        <v>149</v>
      </c>
      <c r="C333" s="81" t="s">
        <v>173</v>
      </c>
      <c r="D333" s="81" t="s">
        <v>167</v>
      </c>
      <c r="E333" s="81" t="s">
        <v>49</v>
      </c>
      <c r="F333" s="81" t="s">
        <v>2</v>
      </c>
    </row>
    <row r="334" spans="1:6" x14ac:dyDescent="0.25">
      <c r="A334" s="14">
        <v>46143.836805555555</v>
      </c>
      <c r="B334" s="81" t="s">
        <v>149</v>
      </c>
      <c r="C334" s="81" t="s">
        <v>171</v>
      </c>
      <c r="D334" s="81" t="s">
        <v>163</v>
      </c>
      <c r="E334" s="81" t="s">
        <v>50</v>
      </c>
      <c r="F334" s="81" t="s">
        <v>1</v>
      </c>
    </row>
    <row r="335" spans="1:6" x14ac:dyDescent="0.25">
      <c r="A335" s="14">
        <v>46143.836805555555</v>
      </c>
      <c r="B335" s="81" t="s">
        <v>149</v>
      </c>
      <c r="C335" s="81" t="s">
        <v>173</v>
      </c>
      <c r="D335" s="81" t="s">
        <v>167</v>
      </c>
      <c r="E335" s="81" t="s">
        <v>49</v>
      </c>
      <c r="F335" s="81" t="s">
        <v>2</v>
      </c>
    </row>
    <row r="336" spans="1:6" x14ac:dyDescent="0.25">
      <c r="A336" s="14">
        <v>46143.836805555555</v>
      </c>
      <c r="B336" s="81" t="s">
        <v>149</v>
      </c>
      <c r="C336" s="81" t="s">
        <v>200</v>
      </c>
      <c r="D336" s="81" t="s">
        <v>157</v>
      </c>
      <c r="E336" s="81" t="s">
        <v>125</v>
      </c>
      <c r="F336" s="81" t="s">
        <v>124</v>
      </c>
    </row>
    <row r="337" spans="1:6" x14ac:dyDescent="0.25">
      <c r="A337" s="14">
        <v>46143.836805555555</v>
      </c>
      <c r="B337" s="81" t="s">
        <v>149</v>
      </c>
      <c r="C337" s="81" t="s">
        <v>184</v>
      </c>
      <c r="D337" s="81" t="s">
        <v>167</v>
      </c>
      <c r="E337" s="81" t="s">
        <v>64</v>
      </c>
      <c r="F337" s="81" t="s">
        <v>98</v>
      </c>
    </row>
    <row r="338" spans="1:6" x14ac:dyDescent="0.25">
      <c r="A338" s="14">
        <v>46143.836805555555</v>
      </c>
      <c r="B338" s="81" t="s">
        <v>149</v>
      </c>
      <c r="C338" s="81" t="s">
        <v>228</v>
      </c>
      <c r="D338" s="81" t="s">
        <v>167</v>
      </c>
      <c r="E338" s="81" t="s">
        <v>64</v>
      </c>
      <c r="F338" s="81" t="s">
        <v>98</v>
      </c>
    </row>
    <row r="339" spans="1:6" x14ac:dyDescent="0.25">
      <c r="A339" s="14">
        <v>46143.836805555555</v>
      </c>
      <c r="B339" s="81" t="s">
        <v>149</v>
      </c>
      <c r="C339" s="81" t="s">
        <v>200</v>
      </c>
      <c r="D339" s="81" t="s">
        <v>168</v>
      </c>
      <c r="E339" s="81" t="s">
        <v>125</v>
      </c>
      <c r="F339" s="81" t="s">
        <v>124</v>
      </c>
    </row>
    <row r="340" spans="1:6" x14ac:dyDescent="0.25">
      <c r="A340" s="14">
        <v>46143.836805555555</v>
      </c>
      <c r="B340" s="81" t="s">
        <v>149</v>
      </c>
      <c r="C340" s="81" t="s">
        <v>173</v>
      </c>
      <c r="D340" s="81" t="s">
        <v>167</v>
      </c>
      <c r="E340" s="81" t="s">
        <v>50</v>
      </c>
      <c r="F340" s="81" t="s">
        <v>1</v>
      </c>
    </row>
    <row r="341" spans="1:6" x14ac:dyDescent="0.25">
      <c r="A341" s="14">
        <v>46143.836805555555</v>
      </c>
      <c r="B341" s="81" t="s">
        <v>149</v>
      </c>
      <c r="C341" s="81" t="s">
        <v>226</v>
      </c>
      <c r="D341" s="81" t="s">
        <v>163</v>
      </c>
      <c r="E341" s="81" t="s">
        <v>64</v>
      </c>
      <c r="F341" s="81" t="s">
        <v>98</v>
      </c>
    </row>
    <row r="342" spans="1:6" x14ac:dyDescent="0.25">
      <c r="A342" s="14">
        <v>46143.836805555555</v>
      </c>
      <c r="B342" s="81" t="s">
        <v>149</v>
      </c>
      <c r="C342" s="81" t="s">
        <v>173</v>
      </c>
      <c r="D342" s="81" t="s">
        <v>167</v>
      </c>
      <c r="E342" s="81" t="s">
        <v>49</v>
      </c>
      <c r="F342" s="81" t="s">
        <v>2</v>
      </c>
    </row>
    <row r="343" spans="1:6" x14ac:dyDescent="0.25">
      <c r="A343" s="14">
        <v>46143.836805555555</v>
      </c>
      <c r="B343" s="81" t="s">
        <v>149</v>
      </c>
      <c r="C343" s="81" t="s">
        <v>177</v>
      </c>
      <c r="D343" s="81" t="s">
        <v>164</v>
      </c>
      <c r="E343" s="81" t="s">
        <v>50</v>
      </c>
      <c r="F343" s="81" t="s">
        <v>1</v>
      </c>
    </row>
    <row r="344" spans="1:6" x14ac:dyDescent="0.25">
      <c r="A344" s="14">
        <v>46143.836805555555</v>
      </c>
      <c r="B344" s="81" t="s">
        <v>149</v>
      </c>
      <c r="C344" s="81" t="s">
        <v>173</v>
      </c>
      <c r="D344" s="81" t="s">
        <v>167</v>
      </c>
      <c r="E344" s="81" t="s">
        <v>50</v>
      </c>
      <c r="F344" s="81" t="s">
        <v>1</v>
      </c>
    </row>
    <row r="345" spans="1:6" x14ac:dyDescent="0.25">
      <c r="A345" s="14">
        <v>46143.836805555555</v>
      </c>
      <c r="B345" s="81" t="s">
        <v>149</v>
      </c>
      <c r="C345" s="81" t="s">
        <v>151</v>
      </c>
      <c r="D345" s="81" t="s">
        <v>250</v>
      </c>
      <c r="E345" s="81" t="s">
        <v>49</v>
      </c>
      <c r="F345" s="81" t="s">
        <v>2</v>
      </c>
    </row>
    <row r="346" spans="1:6" x14ac:dyDescent="0.25">
      <c r="A346" s="14">
        <v>46143.836805555555</v>
      </c>
      <c r="B346" s="81" t="s">
        <v>149</v>
      </c>
      <c r="C346" s="81" t="s">
        <v>182</v>
      </c>
      <c r="D346" s="81" t="s">
        <v>250</v>
      </c>
      <c r="E346" s="81" t="s">
        <v>49</v>
      </c>
      <c r="F346" s="81" t="s">
        <v>2</v>
      </c>
    </row>
    <row r="347" spans="1:6" x14ac:dyDescent="0.25">
      <c r="A347" s="14">
        <v>46143.836805555555</v>
      </c>
      <c r="B347" s="81" t="s">
        <v>149</v>
      </c>
      <c r="C347" s="81" t="s">
        <v>173</v>
      </c>
      <c r="D347" s="81" t="s">
        <v>167</v>
      </c>
      <c r="E347" s="81" t="s">
        <v>50</v>
      </c>
      <c r="F347" s="81" t="s">
        <v>1</v>
      </c>
    </row>
    <row r="348" spans="1:6" x14ac:dyDescent="0.25">
      <c r="A348" s="14">
        <v>46143.836805555555</v>
      </c>
      <c r="B348" s="81" t="s">
        <v>149</v>
      </c>
      <c r="C348" s="81" t="s">
        <v>176</v>
      </c>
      <c r="D348" s="81" t="s">
        <v>224</v>
      </c>
      <c r="E348" s="81" t="s">
        <v>70</v>
      </c>
      <c r="F348" s="81" t="s">
        <v>15</v>
      </c>
    </row>
    <row r="349" spans="1:6" x14ac:dyDescent="0.25">
      <c r="A349" s="14">
        <v>46143.836805555555</v>
      </c>
      <c r="B349" s="81" t="s">
        <v>149</v>
      </c>
      <c r="C349" s="81" t="s">
        <v>185</v>
      </c>
      <c r="D349" s="81" t="s">
        <v>257</v>
      </c>
      <c r="E349" s="81" t="s">
        <v>52</v>
      </c>
      <c r="F349" s="81" t="s">
        <v>0</v>
      </c>
    </row>
    <row r="350" spans="1:6" x14ac:dyDescent="0.25">
      <c r="A350" s="14">
        <v>46143.836805555555</v>
      </c>
      <c r="B350" s="81" t="s">
        <v>149</v>
      </c>
      <c r="C350" s="81" t="s">
        <v>181</v>
      </c>
      <c r="D350" s="81" t="s">
        <v>250</v>
      </c>
      <c r="E350" s="81" t="s">
        <v>49</v>
      </c>
      <c r="F350" s="81" t="s">
        <v>2</v>
      </c>
    </row>
    <row r="351" spans="1:6" x14ac:dyDescent="0.25">
      <c r="A351" s="14">
        <v>46143.836805555555</v>
      </c>
      <c r="B351" s="81" t="s">
        <v>149</v>
      </c>
      <c r="C351" s="81" t="s">
        <v>158</v>
      </c>
      <c r="D351" s="81" t="s">
        <v>179</v>
      </c>
      <c r="E351" s="81" t="s">
        <v>50</v>
      </c>
      <c r="F351" s="81" t="s">
        <v>1</v>
      </c>
    </row>
    <row r="352" spans="1:6" x14ac:dyDescent="0.25">
      <c r="A352" s="14">
        <v>46143.836805555555</v>
      </c>
      <c r="B352" s="81" t="s">
        <v>149</v>
      </c>
      <c r="C352" s="81" t="s">
        <v>183</v>
      </c>
      <c r="D352" s="81" t="s">
        <v>179</v>
      </c>
      <c r="E352" s="81" t="s">
        <v>50</v>
      </c>
      <c r="F352" s="81" t="s">
        <v>1</v>
      </c>
    </row>
    <row r="353" spans="1:6" x14ac:dyDescent="0.25">
      <c r="A353" s="14">
        <v>46143.836805555555</v>
      </c>
      <c r="B353" s="81" t="s">
        <v>149</v>
      </c>
      <c r="C353" s="81" t="s">
        <v>183</v>
      </c>
      <c r="D353" s="81" t="s">
        <v>250</v>
      </c>
      <c r="E353" s="81" t="s">
        <v>50</v>
      </c>
      <c r="F353" s="81" t="s">
        <v>1</v>
      </c>
    </row>
    <row r="354" spans="1:6" x14ac:dyDescent="0.25">
      <c r="A354" s="14">
        <v>46143.836805555555</v>
      </c>
      <c r="B354" s="81" t="s">
        <v>149</v>
      </c>
      <c r="C354" s="81" t="s">
        <v>173</v>
      </c>
      <c r="D354" s="81" t="s">
        <v>167</v>
      </c>
      <c r="E354" s="81" t="s">
        <v>50</v>
      </c>
      <c r="F354" s="81" t="s">
        <v>1</v>
      </c>
    </row>
    <row r="355" spans="1:6" x14ac:dyDescent="0.25">
      <c r="A355" s="14">
        <v>46143.836805555555</v>
      </c>
      <c r="B355" s="81" t="s">
        <v>149</v>
      </c>
      <c r="C355" s="81" t="s">
        <v>173</v>
      </c>
      <c r="D355" s="81" t="s">
        <v>179</v>
      </c>
      <c r="E355" s="81" t="s">
        <v>50</v>
      </c>
      <c r="F355" s="81" t="s">
        <v>1</v>
      </c>
    </row>
    <row r="356" spans="1:6" x14ac:dyDescent="0.25">
      <c r="A356" s="14">
        <v>46143.836805555555</v>
      </c>
      <c r="B356" s="81" t="s">
        <v>149</v>
      </c>
      <c r="C356" s="81" t="s">
        <v>181</v>
      </c>
      <c r="D356" s="81" t="s">
        <v>250</v>
      </c>
      <c r="E356" s="81" t="s">
        <v>49</v>
      </c>
      <c r="F356" s="81" t="s">
        <v>2</v>
      </c>
    </row>
    <row r="357" spans="1:6" x14ac:dyDescent="0.25">
      <c r="A357" s="14">
        <v>46143.836805555555</v>
      </c>
      <c r="B357" s="81" t="s">
        <v>149</v>
      </c>
      <c r="C357" s="81" t="s">
        <v>184</v>
      </c>
      <c r="D357" s="81" t="s">
        <v>257</v>
      </c>
      <c r="E357" s="81" t="s">
        <v>52</v>
      </c>
      <c r="F357" s="81" t="s">
        <v>0</v>
      </c>
    </row>
    <row r="358" spans="1:6" x14ac:dyDescent="0.25">
      <c r="A358" s="14">
        <v>46143.836805555555</v>
      </c>
      <c r="B358" s="81" t="s">
        <v>149</v>
      </c>
      <c r="C358" s="81" t="s">
        <v>176</v>
      </c>
      <c r="D358" s="81" t="s">
        <v>150</v>
      </c>
      <c r="E358" s="81" t="s">
        <v>70</v>
      </c>
      <c r="F358" s="81" t="s">
        <v>15</v>
      </c>
    </row>
    <row r="359" spans="1:6" x14ac:dyDescent="0.25">
      <c r="A359" s="14">
        <v>46143.836805555555</v>
      </c>
      <c r="B359" s="81" t="s">
        <v>149</v>
      </c>
      <c r="C359" s="81" t="s">
        <v>184</v>
      </c>
      <c r="D359" s="81" t="s">
        <v>179</v>
      </c>
      <c r="E359" s="81" t="s">
        <v>50</v>
      </c>
      <c r="F359" s="81" t="s">
        <v>1</v>
      </c>
    </row>
    <row r="360" spans="1:6" x14ac:dyDescent="0.25">
      <c r="A360" s="14">
        <v>46143.836805555555</v>
      </c>
      <c r="B360" s="81" t="s">
        <v>149</v>
      </c>
      <c r="C360" s="81" t="s">
        <v>173</v>
      </c>
      <c r="D360" s="81" t="s">
        <v>167</v>
      </c>
      <c r="E360" s="81" t="s">
        <v>49</v>
      </c>
      <c r="F360" s="81" t="s">
        <v>2</v>
      </c>
    </row>
    <row r="361" spans="1:6" x14ac:dyDescent="0.25">
      <c r="A361" s="14">
        <v>46143.836805555555</v>
      </c>
      <c r="B361" s="81" t="s">
        <v>149</v>
      </c>
      <c r="C361" s="81" t="s">
        <v>176</v>
      </c>
      <c r="D361" s="81" t="s">
        <v>150</v>
      </c>
      <c r="E361" s="81" t="s">
        <v>70</v>
      </c>
      <c r="F361" s="81" t="s">
        <v>15</v>
      </c>
    </row>
    <row r="362" spans="1:6" x14ac:dyDescent="0.25">
      <c r="A362" s="14">
        <v>46143.836805555555</v>
      </c>
      <c r="B362" s="81" t="s">
        <v>149</v>
      </c>
      <c r="C362" s="81" t="s">
        <v>185</v>
      </c>
      <c r="D362" s="81" t="s">
        <v>179</v>
      </c>
      <c r="E362" s="81" t="s">
        <v>50</v>
      </c>
      <c r="F362" s="81" t="s">
        <v>1</v>
      </c>
    </row>
    <row r="363" spans="1:6" x14ac:dyDescent="0.25">
      <c r="A363" s="14">
        <v>46143.836805555555</v>
      </c>
      <c r="B363" s="81" t="s">
        <v>149</v>
      </c>
      <c r="C363" s="81" t="s">
        <v>200</v>
      </c>
      <c r="D363" s="81" t="s">
        <v>157</v>
      </c>
      <c r="E363" s="81" t="s">
        <v>125</v>
      </c>
      <c r="F363" s="81" t="s">
        <v>124</v>
      </c>
    </row>
    <row r="364" spans="1:6" x14ac:dyDescent="0.25">
      <c r="A364" s="14">
        <v>46143.836805555555</v>
      </c>
      <c r="B364" s="81" t="s">
        <v>149</v>
      </c>
      <c r="C364" s="81" t="s">
        <v>190</v>
      </c>
      <c r="D364" s="81" t="s">
        <v>205</v>
      </c>
      <c r="E364" s="81" t="s">
        <v>52</v>
      </c>
      <c r="F364" s="81" t="s">
        <v>0</v>
      </c>
    </row>
    <row r="365" spans="1:6" x14ac:dyDescent="0.25">
      <c r="A365" s="14">
        <v>46143.836805555555</v>
      </c>
      <c r="B365" s="81" t="s">
        <v>149</v>
      </c>
      <c r="C365" s="81" t="s">
        <v>182</v>
      </c>
      <c r="D365" s="81" t="s">
        <v>205</v>
      </c>
      <c r="E365" s="81" t="s">
        <v>52</v>
      </c>
      <c r="F365" s="81" t="s">
        <v>0</v>
      </c>
    </row>
    <row r="366" spans="1:6" x14ac:dyDescent="0.25">
      <c r="A366" s="14">
        <v>46143.836805555555</v>
      </c>
      <c r="B366" s="81" t="s">
        <v>149</v>
      </c>
      <c r="C366" s="81" t="s">
        <v>173</v>
      </c>
      <c r="D366" s="81" t="s">
        <v>167</v>
      </c>
      <c r="E366" s="81" t="s">
        <v>50</v>
      </c>
      <c r="F366" s="81" t="s">
        <v>1</v>
      </c>
    </row>
    <row r="367" spans="1:6" x14ac:dyDescent="0.25">
      <c r="A367" s="14">
        <v>46143.836805555555</v>
      </c>
      <c r="B367" s="81" t="s">
        <v>149</v>
      </c>
      <c r="C367" s="81" t="s">
        <v>255</v>
      </c>
      <c r="D367" s="81" t="s">
        <v>150</v>
      </c>
      <c r="E367" s="81" t="s">
        <v>256</v>
      </c>
      <c r="F367" s="81" t="s">
        <v>28</v>
      </c>
    </row>
    <row r="368" spans="1:6" x14ac:dyDescent="0.25">
      <c r="A368" s="14">
        <v>46143.836805555555</v>
      </c>
      <c r="B368" s="81" t="s">
        <v>149</v>
      </c>
      <c r="C368" s="81" t="s">
        <v>192</v>
      </c>
      <c r="D368" s="81" t="s">
        <v>162</v>
      </c>
      <c r="E368" s="81" t="s">
        <v>60</v>
      </c>
      <c r="F368" s="81" t="s">
        <v>28</v>
      </c>
    </row>
    <row r="369" spans="1:6" x14ac:dyDescent="0.25">
      <c r="A369" s="14">
        <v>46143.836805555555</v>
      </c>
      <c r="B369" s="81" t="s">
        <v>149</v>
      </c>
      <c r="C369" s="81" t="s">
        <v>173</v>
      </c>
      <c r="D369" s="81" t="s">
        <v>167</v>
      </c>
      <c r="E369" s="81" t="s">
        <v>49</v>
      </c>
      <c r="F369" s="81" t="s">
        <v>2</v>
      </c>
    </row>
    <row r="370" spans="1:6" x14ac:dyDescent="0.25">
      <c r="A370" s="14">
        <v>46143.836805555555</v>
      </c>
      <c r="B370" s="81" t="s">
        <v>149</v>
      </c>
      <c r="C370" s="81" t="s">
        <v>200</v>
      </c>
      <c r="D370" s="81" t="s">
        <v>157</v>
      </c>
      <c r="E370" s="81" t="s">
        <v>125</v>
      </c>
      <c r="F370" s="81" t="s">
        <v>124</v>
      </c>
    </row>
    <row r="371" spans="1:6" x14ac:dyDescent="0.25">
      <c r="A371" s="14">
        <v>46143.836805555555</v>
      </c>
      <c r="B371" s="81" t="s">
        <v>149</v>
      </c>
      <c r="C371" s="81" t="s">
        <v>181</v>
      </c>
      <c r="D371" s="81" t="s">
        <v>246</v>
      </c>
      <c r="E371" s="81" t="s">
        <v>52</v>
      </c>
      <c r="F371" s="81" t="s">
        <v>0</v>
      </c>
    </row>
    <row r="372" spans="1:6" x14ac:dyDescent="0.25">
      <c r="A372" s="14">
        <v>46143.836805555555</v>
      </c>
      <c r="B372" s="81" t="s">
        <v>149</v>
      </c>
      <c r="C372" s="81" t="s">
        <v>255</v>
      </c>
      <c r="D372" s="81" t="s">
        <v>250</v>
      </c>
      <c r="E372" s="81" t="s">
        <v>256</v>
      </c>
      <c r="F372" s="81" t="s">
        <v>28</v>
      </c>
    </row>
    <row r="373" spans="1:6" x14ac:dyDescent="0.25">
      <c r="A373" s="14">
        <v>46143.836805555555</v>
      </c>
      <c r="B373" s="81" t="s">
        <v>149</v>
      </c>
      <c r="C373" s="81" t="s">
        <v>177</v>
      </c>
      <c r="D373" s="81" t="s">
        <v>205</v>
      </c>
      <c r="E373" s="81" t="s">
        <v>52</v>
      </c>
      <c r="F373" s="81" t="s">
        <v>0</v>
      </c>
    </row>
    <row r="374" spans="1:6" x14ac:dyDescent="0.25">
      <c r="A374" s="14">
        <v>46143.836805555555</v>
      </c>
      <c r="B374" s="81" t="s">
        <v>149</v>
      </c>
      <c r="C374" s="81" t="s">
        <v>171</v>
      </c>
      <c r="D374" s="81" t="s">
        <v>205</v>
      </c>
      <c r="E374" s="81" t="s">
        <v>52</v>
      </c>
      <c r="F374" s="81" t="s">
        <v>0</v>
      </c>
    </row>
    <row r="375" spans="1:6" x14ac:dyDescent="0.25">
      <c r="A375" s="14">
        <v>46143.836805555555</v>
      </c>
      <c r="B375" s="81" t="s">
        <v>149</v>
      </c>
      <c r="C375" s="81" t="s">
        <v>158</v>
      </c>
      <c r="D375" s="81" t="s">
        <v>153</v>
      </c>
      <c r="E375" s="81" t="s">
        <v>50</v>
      </c>
      <c r="F375" s="81" t="s">
        <v>1</v>
      </c>
    </row>
    <row r="376" spans="1:6" x14ac:dyDescent="0.25">
      <c r="A376" s="14">
        <v>46143.836805555555</v>
      </c>
      <c r="B376" s="81" t="s">
        <v>149</v>
      </c>
      <c r="C376" s="81" t="s">
        <v>185</v>
      </c>
      <c r="D376" s="81" t="s">
        <v>205</v>
      </c>
      <c r="E376" s="81" t="s">
        <v>50</v>
      </c>
      <c r="F376" s="81" t="s">
        <v>1</v>
      </c>
    </row>
    <row r="377" spans="1:6" x14ac:dyDescent="0.25">
      <c r="A377" s="14">
        <v>46143.836805555555</v>
      </c>
      <c r="B377" s="81" t="s">
        <v>149</v>
      </c>
      <c r="C377" s="81" t="s">
        <v>158</v>
      </c>
      <c r="D377" s="81" t="s">
        <v>205</v>
      </c>
      <c r="E377" s="81" t="s">
        <v>50</v>
      </c>
      <c r="F377" s="81" t="s">
        <v>1</v>
      </c>
    </row>
    <row r="378" spans="1:6" x14ac:dyDescent="0.25">
      <c r="A378" s="14">
        <v>46143.836805555555</v>
      </c>
      <c r="B378" s="81" t="s">
        <v>149</v>
      </c>
      <c r="C378" s="81" t="s">
        <v>200</v>
      </c>
      <c r="D378" s="81" t="s">
        <v>168</v>
      </c>
      <c r="E378" s="81" t="s">
        <v>125</v>
      </c>
      <c r="F378" s="81" t="s">
        <v>124</v>
      </c>
    </row>
    <row r="379" spans="1:6" x14ac:dyDescent="0.25">
      <c r="A379" s="14">
        <v>46143.836805555555</v>
      </c>
      <c r="B379" s="81" t="s">
        <v>149</v>
      </c>
      <c r="C379" s="81" t="s">
        <v>173</v>
      </c>
      <c r="D379" s="81" t="s">
        <v>167</v>
      </c>
      <c r="E379" s="81" t="s">
        <v>50</v>
      </c>
      <c r="F379" s="81" t="s">
        <v>1</v>
      </c>
    </row>
    <row r="380" spans="1:6" x14ac:dyDescent="0.25">
      <c r="A380" s="14">
        <v>46143.836805555555</v>
      </c>
      <c r="B380" s="81" t="s">
        <v>149</v>
      </c>
      <c r="C380" s="81" t="s">
        <v>185</v>
      </c>
      <c r="D380" s="81" t="s">
        <v>246</v>
      </c>
      <c r="E380" s="81" t="s">
        <v>50</v>
      </c>
      <c r="F380" s="81" t="s">
        <v>1</v>
      </c>
    </row>
    <row r="381" spans="1:6" x14ac:dyDescent="0.25">
      <c r="A381" s="14">
        <v>46143.836805555555</v>
      </c>
      <c r="B381" s="81" t="s">
        <v>149</v>
      </c>
      <c r="C381" s="81" t="s">
        <v>173</v>
      </c>
      <c r="D381" s="81" t="s">
        <v>167</v>
      </c>
      <c r="E381" s="81" t="s">
        <v>50</v>
      </c>
      <c r="F381" s="81" t="s">
        <v>1</v>
      </c>
    </row>
    <row r="382" spans="1:6" x14ac:dyDescent="0.25">
      <c r="A382" s="14">
        <v>46143.836805555555</v>
      </c>
      <c r="B382" s="81" t="s">
        <v>149</v>
      </c>
      <c r="C382" s="81" t="s">
        <v>175</v>
      </c>
      <c r="D382" s="81" t="s">
        <v>153</v>
      </c>
      <c r="E382" s="81" t="s">
        <v>52</v>
      </c>
      <c r="F382" s="81" t="s">
        <v>0</v>
      </c>
    </row>
    <row r="383" spans="1:6" x14ac:dyDescent="0.25">
      <c r="A383" s="14">
        <v>46143.836805555555</v>
      </c>
      <c r="B383" s="81" t="s">
        <v>149</v>
      </c>
      <c r="C383" s="81" t="s">
        <v>177</v>
      </c>
      <c r="D383" s="81" t="s">
        <v>253</v>
      </c>
      <c r="E383" s="81" t="s">
        <v>50</v>
      </c>
      <c r="F383" s="81" t="s">
        <v>1</v>
      </c>
    </row>
    <row r="384" spans="1:6" x14ac:dyDescent="0.25">
      <c r="A384" s="14">
        <v>46143.836805555555</v>
      </c>
      <c r="B384" s="81" t="s">
        <v>149</v>
      </c>
      <c r="C384" s="81" t="s">
        <v>176</v>
      </c>
      <c r="D384" s="81" t="s">
        <v>231</v>
      </c>
      <c r="E384" s="81" t="s">
        <v>70</v>
      </c>
      <c r="F384" s="81" t="s">
        <v>15</v>
      </c>
    </row>
    <row r="385" spans="1:6" x14ac:dyDescent="0.25">
      <c r="A385" s="14">
        <v>46143.836805555555</v>
      </c>
      <c r="B385" s="81" t="s">
        <v>149</v>
      </c>
      <c r="C385" s="81" t="s">
        <v>255</v>
      </c>
      <c r="D385" s="81" t="s">
        <v>204</v>
      </c>
      <c r="E385" s="81" t="s">
        <v>256</v>
      </c>
      <c r="F385" s="81" t="s">
        <v>28</v>
      </c>
    </row>
    <row r="386" spans="1:6" x14ac:dyDescent="0.25">
      <c r="A386" s="14">
        <v>46143.836805555555</v>
      </c>
      <c r="B386" s="81" t="s">
        <v>149</v>
      </c>
      <c r="C386" s="81" t="s">
        <v>173</v>
      </c>
      <c r="D386" s="81" t="s">
        <v>167</v>
      </c>
      <c r="E386" s="81" t="s">
        <v>50</v>
      </c>
      <c r="F386" s="81" t="s">
        <v>1</v>
      </c>
    </row>
    <row r="387" spans="1:6" x14ac:dyDescent="0.25">
      <c r="A387" s="14">
        <v>46143.836805555555</v>
      </c>
      <c r="B387" s="81" t="s">
        <v>149</v>
      </c>
      <c r="C387" s="81" t="s">
        <v>187</v>
      </c>
      <c r="D387" s="81" t="s">
        <v>231</v>
      </c>
      <c r="E387" s="81" t="s">
        <v>75</v>
      </c>
      <c r="F387" s="81" t="s">
        <v>93</v>
      </c>
    </row>
    <row r="388" spans="1:6" x14ac:dyDescent="0.25">
      <c r="A388" s="14">
        <v>46143.836805555555</v>
      </c>
      <c r="B388" s="81" t="s">
        <v>149</v>
      </c>
      <c r="C388" s="81" t="s">
        <v>255</v>
      </c>
      <c r="D388" s="81" t="s">
        <v>204</v>
      </c>
      <c r="E388" s="81" t="s">
        <v>256</v>
      </c>
      <c r="F388" s="81" t="s">
        <v>28</v>
      </c>
    </row>
    <row r="389" spans="1:6" x14ac:dyDescent="0.25">
      <c r="A389" s="14">
        <v>46143.836805555555</v>
      </c>
      <c r="B389" s="81" t="s">
        <v>149</v>
      </c>
      <c r="C389" s="81" t="s">
        <v>173</v>
      </c>
      <c r="D389" s="81" t="s">
        <v>167</v>
      </c>
      <c r="E389" s="81" t="s">
        <v>50</v>
      </c>
      <c r="F389" s="81" t="s">
        <v>1</v>
      </c>
    </row>
    <row r="390" spans="1:6" x14ac:dyDescent="0.25">
      <c r="A390" s="14">
        <v>46143.836805555555</v>
      </c>
      <c r="B390" s="81" t="s">
        <v>149</v>
      </c>
      <c r="C390" s="81" t="s">
        <v>176</v>
      </c>
      <c r="D390" s="81" t="s">
        <v>231</v>
      </c>
      <c r="E390" s="81" t="s">
        <v>70</v>
      </c>
      <c r="F390" s="81" t="s">
        <v>15</v>
      </c>
    </row>
    <row r="391" spans="1:6" x14ac:dyDescent="0.25">
      <c r="A391" s="14">
        <v>46143.836805555555</v>
      </c>
      <c r="B391" s="81" t="s">
        <v>149</v>
      </c>
      <c r="C391" s="81" t="s">
        <v>187</v>
      </c>
      <c r="D391" s="81" t="s">
        <v>231</v>
      </c>
      <c r="E391" s="81" t="s">
        <v>75</v>
      </c>
      <c r="F391" s="81" t="s">
        <v>93</v>
      </c>
    </row>
    <row r="392" spans="1:6" x14ac:dyDescent="0.25">
      <c r="A392" s="14">
        <v>46143.836805555555</v>
      </c>
      <c r="B392" s="81" t="s">
        <v>149</v>
      </c>
      <c r="C392" s="81" t="s">
        <v>151</v>
      </c>
      <c r="D392" s="81" t="s">
        <v>253</v>
      </c>
      <c r="E392" s="81" t="s">
        <v>52</v>
      </c>
      <c r="F392" s="81" t="s">
        <v>0</v>
      </c>
    </row>
    <row r="393" spans="1:6" x14ac:dyDescent="0.25">
      <c r="A393" s="14">
        <v>46143.836805555555</v>
      </c>
      <c r="B393" s="81" t="s">
        <v>149</v>
      </c>
      <c r="C393" s="81" t="s">
        <v>173</v>
      </c>
      <c r="D393" s="81" t="s">
        <v>167</v>
      </c>
      <c r="E393" s="81" t="s">
        <v>50</v>
      </c>
      <c r="F393" s="81" t="s">
        <v>1</v>
      </c>
    </row>
    <row r="394" spans="1:6" x14ac:dyDescent="0.25">
      <c r="A394" s="14">
        <v>46143.836805555555</v>
      </c>
      <c r="B394" s="81" t="s">
        <v>149</v>
      </c>
      <c r="C394" s="81" t="s">
        <v>173</v>
      </c>
      <c r="D394" s="81" t="s">
        <v>167</v>
      </c>
      <c r="E394" s="81" t="s">
        <v>52</v>
      </c>
      <c r="F394" s="81" t="s">
        <v>0</v>
      </c>
    </row>
    <row r="395" spans="1:6" x14ac:dyDescent="0.25">
      <c r="A395" s="14">
        <v>46143.836805555555</v>
      </c>
      <c r="B395" s="81" t="s">
        <v>149</v>
      </c>
      <c r="C395" s="81" t="s">
        <v>173</v>
      </c>
      <c r="D395" s="81" t="s">
        <v>167</v>
      </c>
      <c r="E395" s="81" t="s">
        <v>50</v>
      </c>
      <c r="F395" s="81" t="s">
        <v>1</v>
      </c>
    </row>
    <row r="396" spans="1:6" x14ac:dyDescent="0.25">
      <c r="A396" s="14">
        <v>46143.836805555555</v>
      </c>
      <c r="B396" s="81" t="s">
        <v>149</v>
      </c>
      <c r="C396" s="81" t="s">
        <v>200</v>
      </c>
      <c r="D396" s="81" t="s">
        <v>157</v>
      </c>
      <c r="E396" s="81" t="s">
        <v>125</v>
      </c>
      <c r="F396" s="81" t="s">
        <v>124</v>
      </c>
    </row>
    <row r="397" spans="1:6" x14ac:dyDescent="0.25">
      <c r="A397" s="14">
        <v>46143.836805555555</v>
      </c>
      <c r="B397" s="81" t="s">
        <v>149</v>
      </c>
      <c r="C397" s="81" t="s">
        <v>151</v>
      </c>
      <c r="D397" s="81" t="s">
        <v>157</v>
      </c>
      <c r="E397" s="81" t="s">
        <v>50</v>
      </c>
      <c r="F397" s="81" t="s">
        <v>1</v>
      </c>
    </row>
    <row r="398" spans="1:6" x14ac:dyDescent="0.25">
      <c r="A398" s="14">
        <v>46143.836805555555</v>
      </c>
      <c r="B398" s="81" t="s">
        <v>149</v>
      </c>
      <c r="C398" s="81" t="s">
        <v>173</v>
      </c>
      <c r="D398" s="81" t="s">
        <v>167</v>
      </c>
      <c r="E398" s="81" t="s">
        <v>50</v>
      </c>
      <c r="F398" s="81" t="s">
        <v>1</v>
      </c>
    </row>
    <row r="399" spans="1:6" x14ac:dyDescent="0.25">
      <c r="A399" s="14">
        <v>46143.836805555555</v>
      </c>
      <c r="B399" s="81" t="s">
        <v>149</v>
      </c>
      <c r="C399" s="81" t="s">
        <v>255</v>
      </c>
      <c r="D399" s="81" t="s">
        <v>242</v>
      </c>
      <c r="E399" s="81" t="s">
        <v>256</v>
      </c>
      <c r="F399" s="81" t="s">
        <v>28</v>
      </c>
    </row>
    <row r="400" spans="1:6" x14ac:dyDescent="0.25">
      <c r="A400" s="14">
        <v>46143.836805555555</v>
      </c>
      <c r="B400" s="81" t="s">
        <v>149</v>
      </c>
      <c r="C400" s="81" t="s">
        <v>182</v>
      </c>
      <c r="D400" s="81" t="s">
        <v>257</v>
      </c>
      <c r="E400" s="81" t="s">
        <v>52</v>
      </c>
      <c r="F400" s="81" t="s">
        <v>0</v>
      </c>
    </row>
    <row r="401" spans="1:6" x14ac:dyDescent="0.25">
      <c r="A401" s="14">
        <v>46143.836805555555</v>
      </c>
      <c r="B401" s="81" t="s">
        <v>149</v>
      </c>
      <c r="C401" s="81" t="s">
        <v>215</v>
      </c>
      <c r="D401" s="81" t="s">
        <v>250</v>
      </c>
      <c r="E401" s="81" t="s">
        <v>64</v>
      </c>
      <c r="F401" s="81" t="s">
        <v>98</v>
      </c>
    </row>
    <row r="402" spans="1:6" x14ac:dyDescent="0.25">
      <c r="A402" s="14">
        <v>46143.836805555555</v>
      </c>
      <c r="B402" s="81" t="s">
        <v>149</v>
      </c>
      <c r="C402" s="81" t="s">
        <v>177</v>
      </c>
      <c r="D402" s="81" t="s">
        <v>247</v>
      </c>
      <c r="E402" s="81" t="s">
        <v>50</v>
      </c>
      <c r="F402" s="81" t="s">
        <v>1</v>
      </c>
    </row>
    <row r="403" spans="1:6" x14ac:dyDescent="0.25">
      <c r="A403" s="14">
        <v>46143.836805555555</v>
      </c>
      <c r="B403" s="81" t="s">
        <v>149</v>
      </c>
      <c r="C403" s="81" t="s">
        <v>185</v>
      </c>
      <c r="D403" s="81" t="s">
        <v>258</v>
      </c>
      <c r="E403" s="81" t="s">
        <v>50</v>
      </c>
      <c r="F403" s="81" t="s">
        <v>1</v>
      </c>
    </row>
    <row r="404" spans="1:6" x14ac:dyDescent="0.25">
      <c r="A404" s="14">
        <v>46143.836805555555</v>
      </c>
      <c r="B404" s="81" t="s">
        <v>149</v>
      </c>
      <c r="C404" s="81" t="s">
        <v>187</v>
      </c>
      <c r="D404" s="81" t="s">
        <v>245</v>
      </c>
      <c r="E404" s="81" t="s">
        <v>75</v>
      </c>
      <c r="F404" s="81" t="s">
        <v>93</v>
      </c>
    </row>
    <row r="405" spans="1:6" x14ac:dyDescent="0.25">
      <c r="A405" s="14">
        <v>46143.836805555555</v>
      </c>
      <c r="B405" s="81" t="s">
        <v>149</v>
      </c>
      <c r="C405" s="81" t="s">
        <v>187</v>
      </c>
      <c r="D405" s="81" t="s">
        <v>205</v>
      </c>
      <c r="E405" s="81" t="s">
        <v>71</v>
      </c>
      <c r="F405" s="81" t="s">
        <v>94</v>
      </c>
    </row>
    <row r="406" spans="1:6" x14ac:dyDescent="0.25">
      <c r="A406" s="14">
        <v>46143.836805555555</v>
      </c>
      <c r="B406" s="81" t="s">
        <v>149</v>
      </c>
      <c r="C406" s="81" t="s">
        <v>190</v>
      </c>
      <c r="D406" s="81" t="s">
        <v>157</v>
      </c>
      <c r="E406" s="81" t="s">
        <v>50</v>
      </c>
      <c r="F406" s="81" t="s">
        <v>1</v>
      </c>
    </row>
    <row r="407" spans="1:6" x14ac:dyDescent="0.25">
      <c r="A407" s="14">
        <v>46143.836805555555</v>
      </c>
      <c r="B407" s="81" t="s">
        <v>149</v>
      </c>
      <c r="C407" s="81" t="s">
        <v>173</v>
      </c>
      <c r="D407" s="81" t="s">
        <v>157</v>
      </c>
      <c r="E407" s="81" t="s">
        <v>50</v>
      </c>
      <c r="F407" s="81" t="s">
        <v>1</v>
      </c>
    </row>
    <row r="408" spans="1:6" x14ac:dyDescent="0.25">
      <c r="A408" s="14">
        <v>46143.836805555555</v>
      </c>
      <c r="B408" s="81" t="s">
        <v>149</v>
      </c>
      <c r="C408" s="81" t="s">
        <v>200</v>
      </c>
      <c r="D408" s="81" t="s">
        <v>205</v>
      </c>
      <c r="E408" s="81" t="s">
        <v>125</v>
      </c>
      <c r="F408" s="81" t="s">
        <v>124</v>
      </c>
    </row>
    <row r="409" spans="1:6" x14ac:dyDescent="0.25">
      <c r="A409" s="14">
        <v>46143.836805555555</v>
      </c>
      <c r="B409" s="81" t="s">
        <v>149</v>
      </c>
      <c r="C409" s="81" t="s">
        <v>200</v>
      </c>
      <c r="D409" s="81" t="s">
        <v>168</v>
      </c>
      <c r="E409" s="81" t="s">
        <v>125</v>
      </c>
      <c r="F409" s="81" t="s">
        <v>124</v>
      </c>
    </row>
    <row r="410" spans="1:6" x14ac:dyDescent="0.25">
      <c r="A410" s="14">
        <v>46143.836805555555</v>
      </c>
      <c r="B410" s="81" t="s">
        <v>149</v>
      </c>
      <c r="C410" s="81" t="s">
        <v>151</v>
      </c>
      <c r="D410" s="81" t="s">
        <v>257</v>
      </c>
      <c r="E410" s="81" t="s">
        <v>52</v>
      </c>
      <c r="F410" s="81" t="s">
        <v>0</v>
      </c>
    </row>
    <row r="411" spans="1:6" x14ac:dyDescent="0.25">
      <c r="A411" s="14">
        <v>46143.836805555555</v>
      </c>
      <c r="B411" s="81" t="s">
        <v>149</v>
      </c>
      <c r="C411" s="81" t="s">
        <v>200</v>
      </c>
      <c r="D411" s="81" t="s">
        <v>205</v>
      </c>
      <c r="E411" s="81" t="s">
        <v>126</v>
      </c>
      <c r="F411" s="81" t="s">
        <v>124</v>
      </c>
    </row>
    <row r="412" spans="1:6" x14ac:dyDescent="0.25">
      <c r="A412" s="14">
        <v>46143.836805555555</v>
      </c>
      <c r="B412" s="81" t="s">
        <v>195</v>
      </c>
      <c r="C412" s="81" t="s">
        <v>198</v>
      </c>
      <c r="D412" s="81" t="s">
        <v>162</v>
      </c>
      <c r="E412" s="81" t="s">
        <v>24</v>
      </c>
      <c r="F412" s="81" t="s">
        <v>24</v>
      </c>
    </row>
    <row r="413" spans="1:6" x14ac:dyDescent="0.25">
      <c r="A413" s="14">
        <v>46143.836805555555</v>
      </c>
      <c r="B413" s="81" t="s">
        <v>195</v>
      </c>
      <c r="C413" s="81" t="s">
        <v>198</v>
      </c>
      <c r="D413" s="81" t="s">
        <v>162</v>
      </c>
      <c r="E413" s="81" t="s">
        <v>24</v>
      </c>
      <c r="F413" s="81" t="s">
        <v>24</v>
      </c>
    </row>
    <row r="414" spans="1:6" x14ac:dyDescent="0.25">
      <c r="A414" s="14">
        <v>46143.836805555555</v>
      </c>
      <c r="B414" s="81" t="s">
        <v>195</v>
      </c>
      <c r="C414" s="81" t="s">
        <v>198</v>
      </c>
      <c r="D414" s="81" t="s">
        <v>162</v>
      </c>
      <c r="E414" s="81" t="s">
        <v>24</v>
      </c>
      <c r="F414" s="81" t="s">
        <v>24</v>
      </c>
    </row>
    <row r="415" spans="1:6" x14ac:dyDescent="0.25">
      <c r="A415" s="14">
        <v>46143.836805555555</v>
      </c>
      <c r="B415" s="81" t="s">
        <v>195</v>
      </c>
      <c r="C415" s="81" t="s">
        <v>196</v>
      </c>
      <c r="D415" s="81" t="s">
        <v>162</v>
      </c>
      <c r="E415" s="81" t="s">
        <v>24</v>
      </c>
      <c r="F415" s="81" t="s">
        <v>24</v>
      </c>
    </row>
    <row r="416" spans="1:6" x14ac:dyDescent="0.25">
      <c r="A416" s="14">
        <v>46143.836805555555</v>
      </c>
      <c r="B416" s="81" t="s">
        <v>195</v>
      </c>
      <c r="C416" s="81" t="s">
        <v>196</v>
      </c>
      <c r="D416" s="81" t="s">
        <v>162</v>
      </c>
      <c r="E416" s="81" t="s">
        <v>24</v>
      </c>
      <c r="F416" s="81" t="s">
        <v>24</v>
      </c>
    </row>
    <row r="417" spans="1:6" x14ac:dyDescent="0.25">
      <c r="A417" s="14">
        <v>46143.836805555555</v>
      </c>
      <c r="B417" s="81" t="s">
        <v>195</v>
      </c>
      <c r="C417" s="81" t="s">
        <v>196</v>
      </c>
      <c r="D417" s="81" t="s">
        <v>162</v>
      </c>
      <c r="E417" s="81" t="s">
        <v>24</v>
      </c>
      <c r="F417" s="81" t="s">
        <v>24</v>
      </c>
    </row>
    <row r="418" spans="1:6" x14ac:dyDescent="0.25">
      <c r="A418" s="14">
        <v>46143.836805555555</v>
      </c>
      <c r="B418" s="81" t="s">
        <v>195</v>
      </c>
      <c r="C418" s="81" t="s">
        <v>197</v>
      </c>
      <c r="D418" s="81" t="s">
        <v>162</v>
      </c>
      <c r="E418" s="81" t="s">
        <v>24</v>
      </c>
      <c r="F418" s="81" t="s">
        <v>24</v>
      </c>
    </row>
    <row r="419" spans="1:6" x14ac:dyDescent="0.25">
      <c r="A419" s="14">
        <v>46143.836805555555</v>
      </c>
      <c r="B419" s="81" t="s">
        <v>195</v>
      </c>
      <c r="C419" s="81" t="s">
        <v>197</v>
      </c>
      <c r="D419" s="81" t="s">
        <v>162</v>
      </c>
      <c r="E419" s="81" t="s">
        <v>24</v>
      </c>
      <c r="F419" s="81" t="s">
        <v>24</v>
      </c>
    </row>
    <row r="420" spans="1:6" x14ac:dyDescent="0.25">
      <c r="A420" s="14">
        <v>46143.836805555555</v>
      </c>
      <c r="B420" s="81" t="s">
        <v>195</v>
      </c>
      <c r="C420" s="81" t="s">
        <v>197</v>
      </c>
      <c r="D420" s="81" t="s">
        <v>162</v>
      </c>
      <c r="E420" s="81" t="s">
        <v>24</v>
      </c>
      <c r="F420" s="81" t="s">
        <v>24</v>
      </c>
    </row>
    <row r="421" spans="1:6" x14ac:dyDescent="0.25">
      <c r="A421" s="14">
        <v>46143.836805555555</v>
      </c>
      <c r="B421" s="81" t="s">
        <v>195</v>
      </c>
      <c r="C421" s="81" t="s">
        <v>209</v>
      </c>
      <c r="D421" s="81" t="s">
        <v>162</v>
      </c>
      <c r="E421" s="81" t="s">
        <v>24</v>
      </c>
      <c r="F421" s="81" t="s">
        <v>24</v>
      </c>
    </row>
    <row r="422" spans="1:6" x14ac:dyDescent="0.25">
      <c r="A422" s="14">
        <v>46143.836805555555</v>
      </c>
      <c r="B422" s="81" t="s">
        <v>195</v>
      </c>
      <c r="C422" s="81" t="s">
        <v>209</v>
      </c>
      <c r="D422" s="81" t="s">
        <v>162</v>
      </c>
      <c r="E422" s="81" t="s">
        <v>24</v>
      </c>
      <c r="F422" s="81" t="s">
        <v>24</v>
      </c>
    </row>
    <row r="423" spans="1:6" x14ac:dyDescent="0.25">
      <c r="A423" s="14">
        <v>46143.836805555555</v>
      </c>
      <c r="B423" s="81" t="s">
        <v>195</v>
      </c>
      <c r="C423" s="81" t="s">
        <v>209</v>
      </c>
      <c r="D423" s="81" t="s">
        <v>162</v>
      </c>
      <c r="E423" s="81" t="s">
        <v>24</v>
      </c>
      <c r="F423" s="81" t="s">
        <v>24</v>
      </c>
    </row>
    <row r="424" spans="1:6" x14ac:dyDescent="0.25">
      <c r="A424" s="14">
        <v>46143.836805555555</v>
      </c>
      <c r="B424" s="81" t="s">
        <v>195</v>
      </c>
      <c r="C424" s="81" t="s">
        <v>198</v>
      </c>
      <c r="D424" s="81" t="s">
        <v>205</v>
      </c>
      <c r="E424" s="81" t="s">
        <v>24</v>
      </c>
      <c r="F424" s="81" t="s">
        <v>24</v>
      </c>
    </row>
    <row r="425" spans="1:6" x14ac:dyDescent="0.25">
      <c r="A425" s="14">
        <v>46143.836805555555</v>
      </c>
      <c r="B425" s="81" t="s">
        <v>195</v>
      </c>
      <c r="C425" s="81" t="s">
        <v>198</v>
      </c>
      <c r="D425" s="81" t="s">
        <v>205</v>
      </c>
      <c r="E425" s="81" t="s">
        <v>24</v>
      </c>
      <c r="F425" s="81" t="s">
        <v>24</v>
      </c>
    </row>
    <row r="426" spans="1:6" x14ac:dyDescent="0.25">
      <c r="A426" s="14">
        <v>46143.836805555555</v>
      </c>
      <c r="B426" s="81" t="s">
        <v>195</v>
      </c>
      <c r="C426" s="81" t="s">
        <v>198</v>
      </c>
      <c r="D426" s="81" t="s">
        <v>205</v>
      </c>
      <c r="E426" s="81" t="s">
        <v>24</v>
      </c>
      <c r="F426" s="81" t="s">
        <v>24</v>
      </c>
    </row>
    <row r="427" spans="1:6" x14ac:dyDescent="0.25">
      <c r="A427" s="14">
        <v>46143.836805555555</v>
      </c>
      <c r="B427" s="81" t="s">
        <v>195</v>
      </c>
      <c r="C427" s="81" t="s">
        <v>196</v>
      </c>
      <c r="D427" s="81" t="s">
        <v>205</v>
      </c>
      <c r="E427" s="81" t="s">
        <v>24</v>
      </c>
      <c r="F427" s="81" t="s">
        <v>24</v>
      </c>
    </row>
    <row r="428" spans="1:6" x14ac:dyDescent="0.25">
      <c r="A428" s="14">
        <v>46143.836805555555</v>
      </c>
      <c r="B428" s="81" t="s">
        <v>195</v>
      </c>
      <c r="C428" s="81" t="s">
        <v>196</v>
      </c>
      <c r="D428" s="81" t="s">
        <v>205</v>
      </c>
      <c r="E428" s="81" t="s">
        <v>24</v>
      </c>
      <c r="F428" s="81" t="s">
        <v>24</v>
      </c>
    </row>
    <row r="429" spans="1:6" x14ac:dyDescent="0.25">
      <c r="A429" s="14">
        <v>46143.836805555555</v>
      </c>
      <c r="B429" s="81" t="s">
        <v>195</v>
      </c>
      <c r="C429" s="81" t="s">
        <v>196</v>
      </c>
      <c r="D429" s="81" t="s">
        <v>205</v>
      </c>
      <c r="E429" s="81" t="s">
        <v>24</v>
      </c>
      <c r="F429" s="81" t="s">
        <v>24</v>
      </c>
    </row>
    <row r="430" spans="1:6" x14ac:dyDescent="0.25">
      <c r="A430" s="14">
        <v>46143.836805555555</v>
      </c>
      <c r="B430" s="81" t="s">
        <v>195</v>
      </c>
      <c r="C430" s="81" t="s">
        <v>197</v>
      </c>
      <c r="D430" s="81" t="s">
        <v>205</v>
      </c>
      <c r="E430" s="81" t="s">
        <v>24</v>
      </c>
      <c r="F430" s="81" t="s">
        <v>24</v>
      </c>
    </row>
    <row r="431" spans="1:6" x14ac:dyDescent="0.25">
      <c r="A431" s="14">
        <v>46143.836805555555</v>
      </c>
      <c r="B431" s="81" t="s">
        <v>195</v>
      </c>
      <c r="C431" s="81" t="s">
        <v>197</v>
      </c>
      <c r="D431" s="81" t="s">
        <v>205</v>
      </c>
      <c r="E431" s="81" t="s">
        <v>24</v>
      </c>
      <c r="F431" s="81" t="s">
        <v>24</v>
      </c>
    </row>
    <row r="432" spans="1:6" x14ac:dyDescent="0.25">
      <c r="A432" s="14">
        <v>46143.836805555555</v>
      </c>
      <c r="B432" s="81" t="s">
        <v>195</v>
      </c>
      <c r="C432" s="81" t="s">
        <v>197</v>
      </c>
      <c r="D432" s="81" t="s">
        <v>205</v>
      </c>
      <c r="E432" s="81" t="s">
        <v>24</v>
      </c>
      <c r="F432" s="81" t="s">
        <v>24</v>
      </c>
    </row>
    <row r="433" spans="1:6" x14ac:dyDescent="0.25">
      <c r="A433" s="14">
        <v>46143.836805555555</v>
      </c>
      <c r="B433" s="81" t="s">
        <v>195</v>
      </c>
      <c r="C433" s="81" t="s">
        <v>198</v>
      </c>
      <c r="D433" s="81" t="s">
        <v>250</v>
      </c>
      <c r="E433" s="81" t="s">
        <v>24</v>
      </c>
      <c r="F433" s="81" t="s">
        <v>24</v>
      </c>
    </row>
    <row r="434" spans="1:6" x14ac:dyDescent="0.25">
      <c r="A434" s="14">
        <v>46143.836805555555</v>
      </c>
      <c r="B434" s="81" t="s">
        <v>195</v>
      </c>
      <c r="C434" s="81" t="s">
        <v>198</v>
      </c>
      <c r="D434" s="81" t="s">
        <v>250</v>
      </c>
      <c r="E434" s="81" t="s">
        <v>24</v>
      </c>
      <c r="F434" s="81" t="s">
        <v>24</v>
      </c>
    </row>
    <row r="435" spans="1:6" x14ac:dyDescent="0.25">
      <c r="A435" s="14">
        <v>46143.836805555555</v>
      </c>
      <c r="B435" s="81" t="s">
        <v>195</v>
      </c>
      <c r="C435" s="81" t="s">
        <v>198</v>
      </c>
      <c r="D435" s="81" t="s">
        <v>250</v>
      </c>
      <c r="E435" s="81" t="s">
        <v>24</v>
      </c>
      <c r="F435" s="81" t="s">
        <v>24</v>
      </c>
    </row>
    <row r="436" spans="1:6" x14ac:dyDescent="0.25">
      <c r="A436" s="14">
        <v>46143.836805555555</v>
      </c>
      <c r="B436" s="81" t="s">
        <v>195</v>
      </c>
      <c r="C436" s="81" t="s">
        <v>198</v>
      </c>
      <c r="D436" s="81" t="s">
        <v>245</v>
      </c>
      <c r="E436" s="81" t="s">
        <v>24</v>
      </c>
      <c r="F436" s="81" t="s">
        <v>24</v>
      </c>
    </row>
    <row r="437" spans="1:6" x14ac:dyDescent="0.25">
      <c r="A437" s="14">
        <v>46143.836805555555</v>
      </c>
      <c r="B437" s="81" t="s">
        <v>195</v>
      </c>
      <c r="C437" s="81" t="s">
        <v>198</v>
      </c>
      <c r="D437" s="81" t="s">
        <v>245</v>
      </c>
      <c r="E437" s="81" t="s">
        <v>24</v>
      </c>
      <c r="F437" s="81" t="s">
        <v>24</v>
      </c>
    </row>
    <row r="438" spans="1:6" x14ac:dyDescent="0.25">
      <c r="A438" s="14">
        <v>46143.836805555555</v>
      </c>
      <c r="B438" s="81" t="s">
        <v>195</v>
      </c>
      <c r="C438" s="81" t="s">
        <v>198</v>
      </c>
      <c r="D438" s="81" t="s">
        <v>245</v>
      </c>
      <c r="E438" s="81" t="s">
        <v>24</v>
      </c>
      <c r="F438" s="81" t="s">
        <v>24</v>
      </c>
    </row>
    <row r="439" spans="1:6" x14ac:dyDescent="0.25">
      <c r="A439" s="14">
        <v>46143.836805555555</v>
      </c>
      <c r="B439" s="81" t="s">
        <v>195</v>
      </c>
      <c r="C439" s="81" t="s">
        <v>197</v>
      </c>
      <c r="D439" s="81" t="s">
        <v>250</v>
      </c>
      <c r="E439" s="81" t="s">
        <v>24</v>
      </c>
      <c r="F439" s="81" t="s">
        <v>24</v>
      </c>
    </row>
    <row r="440" spans="1:6" x14ac:dyDescent="0.25">
      <c r="A440" s="14">
        <v>46143.836805555555</v>
      </c>
      <c r="B440" s="81" t="s">
        <v>195</v>
      </c>
      <c r="C440" s="81" t="s">
        <v>197</v>
      </c>
      <c r="D440" s="81" t="s">
        <v>250</v>
      </c>
      <c r="E440" s="81" t="s">
        <v>24</v>
      </c>
      <c r="F440" s="81" t="s">
        <v>24</v>
      </c>
    </row>
    <row r="441" spans="1:6" x14ac:dyDescent="0.25">
      <c r="A441" s="14">
        <v>46143.836805555555</v>
      </c>
      <c r="B441" s="81" t="s">
        <v>195</v>
      </c>
      <c r="C441" s="81" t="s">
        <v>197</v>
      </c>
      <c r="D441" s="81" t="s">
        <v>250</v>
      </c>
      <c r="E441" s="81" t="s">
        <v>24</v>
      </c>
      <c r="F441" s="81" t="s">
        <v>24</v>
      </c>
    </row>
    <row r="442" spans="1:6" x14ac:dyDescent="0.25">
      <c r="A442" s="14">
        <v>46143.934027777781</v>
      </c>
      <c r="B442" s="81" t="s">
        <v>149</v>
      </c>
      <c r="C442" s="81" t="s">
        <v>151</v>
      </c>
      <c r="D442" s="81" t="s">
        <v>242</v>
      </c>
      <c r="E442" s="81" t="s">
        <v>49</v>
      </c>
      <c r="F442" s="81" t="s">
        <v>2</v>
      </c>
    </row>
    <row r="443" spans="1:6" x14ac:dyDescent="0.25">
      <c r="A443" s="14">
        <v>46143.934027777781</v>
      </c>
      <c r="B443" s="81" t="s">
        <v>149</v>
      </c>
      <c r="C443" s="81" t="s">
        <v>200</v>
      </c>
      <c r="D443" s="81" t="s">
        <v>152</v>
      </c>
      <c r="E443" s="81" t="s">
        <v>125</v>
      </c>
      <c r="F443" s="81" t="s">
        <v>124</v>
      </c>
    </row>
    <row r="444" spans="1:6" x14ac:dyDescent="0.25">
      <c r="A444" s="14">
        <v>46143.934027777781</v>
      </c>
      <c r="B444" s="81" t="s">
        <v>149</v>
      </c>
      <c r="C444" s="81" t="s">
        <v>200</v>
      </c>
      <c r="D444" s="81" t="s">
        <v>205</v>
      </c>
      <c r="E444" s="81" t="s">
        <v>125</v>
      </c>
      <c r="F444" s="81" t="s">
        <v>124</v>
      </c>
    </row>
    <row r="445" spans="1:6" x14ac:dyDescent="0.25">
      <c r="A445" s="14">
        <v>46143.934027777781</v>
      </c>
      <c r="B445" s="81" t="s">
        <v>149</v>
      </c>
      <c r="C445" s="81" t="s">
        <v>184</v>
      </c>
      <c r="D445" s="81" t="s">
        <v>165</v>
      </c>
      <c r="E445" s="81" t="s">
        <v>52</v>
      </c>
      <c r="F445" s="81" t="s">
        <v>0</v>
      </c>
    </row>
    <row r="446" spans="1:6" x14ac:dyDescent="0.25">
      <c r="A446" s="14">
        <v>46143.934027777781</v>
      </c>
      <c r="B446" s="81" t="s">
        <v>149</v>
      </c>
      <c r="C446" s="81" t="s">
        <v>175</v>
      </c>
      <c r="D446" s="81" t="s">
        <v>157</v>
      </c>
      <c r="E446" s="81" t="s">
        <v>50</v>
      </c>
      <c r="F446" s="81" t="s">
        <v>1</v>
      </c>
    </row>
    <row r="447" spans="1:6" x14ac:dyDescent="0.25">
      <c r="A447" s="14">
        <v>46143.934027777781</v>
      </c>
      <c r="B447" s="81" t="s">
        <v>149</v>
      </c>
      <c r="C447" s="81" t="s">
        <v>190</v>
      </c>
      <c r="D447" s="81" t="s">
        <v>231</v>
      </c>
      <c r="E447" s="81" t="s">
        <v>52</v>
      </c>
      <c r="F447" s="81" t="s">
        <v>0</v>
      </c>
    </row>
    <row r="448" spans="1:6" x14ac:dyDescent="0.25">
      <c r="A448" s="14">
        <v>46143.934027777781</v>
      </c>
      <c r="B448" s="81" t="s">
        <v>149</v>
      </c>
      <c r="C448" s="81" t="s">
        <v>185</v>
      </c>
      <c r="D448" s="81" t="s">
        <v>231</v>
      </c>
      <c r="E448" s="81" t="s">
        <v>49</v>
      </c>
      <c r="F448" s="81" t="s">
        <v>2</v>
      </c>
    </row>
    <row r="449" spans="1:6" x14ac:dyDescent="0.25">
      <c r="A449" s="14">
        <v>46143.934027777781</v>
      </c>
      <c r="B449" s="81" t="s">
        <v>149</v>
      </c>
      <c r="C449" s="81" t="s">
        <v>173</v>
      </c>
      <c r="D449" s="81" t="s">
        <v>231</v>
      </c>
      <c r="E449" s="81" t="s">
        <v>49</v>
      </c>
      <c r="F449" s="81" t="s">
        <v>2</v>
      </c>
    </row>
    <row r="450" spans="1:6" x14ac:dyDescent="0.25">
      <c r="A450" s="14">
        <v>46143.934027777781</v>
      </c>
      <c r="B450" s="81" t="s">
        <v>149</v>
      </c>
      <c r="C450" s="81" t="s">
        <v>151</v>
      </c>
      <c r="D450" s="81" t="s">
        <v>157</v>
      </c>
      <c r="E450" s="81" t="s">
        <v>50</v>
      </c>
      <c r="F450" s="81" t="s">
        <v>1</v>
      </c>
    </row>
    <row r="451" spans="1:6" x14ac:dyDescent="0.25">
      <c r="A451" s="14">
        <v>46143.934027777781</v>
      </c>
      <c r="B451" s="81" t="s">
        <v>149</v>
      </c>
      <c r="C451" s="81" t="s">
        <v>200</v>
      </c>
      <c r="D451" s="81" t="s">
        <v>152</v>
      </c>
      <c r="E451" s="81" t="s">
        <v>123</v>
      </c>
      <c r="F451" s="81" t="s">
        <v>124</v>
      </c>
    </row>
    <row r="452" spans="1:6" x14ac:dyDescent="0.25">
      <c r="A452" s="14">
        <v>46143.934027777781</v>
      </c>
      <c r="B452" s="81" t="s">
        <v>149</v>
      </c>
      <c r="C452" s="81" t="s">
        <v>184</v>
      </c>
      <c r="D452" s="81" t="s">
        <v>252</v>
      </c>
      <c r="E452" s="81" t="s">
        <v>50</v>
      </c>
      <c r="F452" s="81" t="s">
        <v>1</v>
      </c>
    </row>
    <row r="453" spans="1:6" x14ac:dyDescent="0.25">
      <c r="A453" s="14">
        <v>46143.934027777781</v>
      </c>
      <c r="B453" s="81" t="s">
        <v>149</v>
      </c>
      <c r="C453" s="81" t="s">
        <v>181</v>
      </c>
      <c r="D453" s="81" t="s">
        <v>250</v>
      </c>
      <c r="E453" s="81" t="s">
        <v>52</v>
      </c>
      <c r="F453" s="81" t="s">
        <v>0</v>
      </c>
    </row>
    <row r="454" spans="1:6" x14ac:dyDescent="0.25">
      <c r="A454" s="14">
        <v>46143.934027777781</v>
      </c>
      <c r="B454" s="81" t="s">
        <v>149</v>
      </c>
      <c r="C454" s="81" t="s">
        <v>200</v>
      </c>
      <c r="D454" s="81" t="s">
        <v>205</v>
      </c>
      <c r="E454" s="81" t="s">
        <v>126</v>
      </c>
      <c r="F454" s="81" t="s">
        <v>124</v>
      </c>
    </row>
    <row r="455" spans="1:6" x14ac:dyDescent="0.25">
      <c r="A455" s="14">
        <v>46143.934027777781</v>
      </c>
      <c r="B455" s="81" t="s">
        <v>149</v>
      </c>
      <c r="C455" s="81" t="s">
        <v>183</v>
      </c>
      <c r="D455" s="81" t="s">
        <v>159</v>
      </c>
      <c r="E455" s="81" t="s">
        <v>52</v>
      </c>
      <c r="F455" s="81" t="s">
        <v>0</v>
      </c>
    </row>
    <row r="456" spans="1:6" x14ac:dyDescent="0.25">
      <c r="A456" s="14">
        <v>46143.934027777781</v>
      </c>
      <c r="B456" s="81" t="s">
        <v>149</v>
      </c>
      <c r="C456" s="81" t="s">
        <v>177</v>
      </c>
      <c r="D456" s="81" t="s">
        <v>250</v>
      </c>
      <c r="E456" s="81" t="s">
        <v>50</v>
      </c>
      <c r="F456" s="81" t="s">
        <v>1</v>
      </c>
    </row>
    <row r="457" spans="1:6" x14ac:dyDescent="0.25">
      <c r="A457" s="14">
        <v>46143.934027777781</v>
      </c>
      <c r="B457" s="81" t="s">
        <v>149</v>
      </c>
      <c r="C457" s="81" t="s">
        <v>173</v>
      </c>
      <c r="D457" s="81" t="s">
        <v>231</v>
      </c>
      <c r="E457" s="81" t="s">
        <v>49</v>
      </c>
      <c r="F457" s="81" t="s">
        <v>2</v>
      </c>
    </row>
    <row r="458" spans="1:6" x14ac:dyDescent="0.25">
      <c r="A458" s="14">
        <v>46143.934027777781</v>
      </c>
      <c r="B458" s="81" t="s">
        <v>149</v>
      </c>
      <c r="C458" s="81" t="s">
        <v>151</v>
      </c>
      <c r="D458" s="81" t="s">
        <v>159</v>
      </c>
      <c r="E458" s="81" t="s">
        <v>50</v>
      </c>
      <c r="F458" s="81" t="s">
        <v>1</v>
      </c>
    </row>
    <row r="459" spans="1:6" x14ac:dyDescent="0.25">
      <c r="A459" s="14">
        <v>46143.934027777781</v>
      </c>
      <c r="B459" s="81" t="s">
        <v>149</v>
      </c>
      <c r="C459" s="81" t="s">
        <v>200</v>
      </c>
      <c r="D459" s="81" t="s">
        <v>205</v>
      </c>
      <c r="E459" s="81" t="s">
        <v>126</v>
      </c>
      <c r="F459" s="81" t="s">
        <v>124</v>
      </c>
    </row>
    <row r="460" spans="1:6" x14ac:dyDescent="0.25">
      <c r="A460" s="14">
        <v>46143.934027777781</v>
      </c>
      <c r="B460" s="81" t="s">
        <v>149</v>
      </c>
      <c r="C460" s="81" t="s">
        <v>217</v>
      </c>
      <c r="D460" s="81" t="s">
        <v>231</v>
      </c>
      <c r="E460" s="81" t="s">
        <v>64</v>
      </c>
      <c r="F460" s="81" t="s">
        <v>98</v>
      </c>
    </row>
    <row r="461" spans="1:6" x14ac:dyDescent="0.25">
      <c r="A461" s="14">
        <v>46143.934027777781</v>
      </c>
      <c r="B461" s="81" t="s">
        <v>149</v>
      </c>
      <c r="C461" s="81" t="s">
        <v>177</v>
      </c>
      <c r="D461" s="81" t="s">
        <v>157</v>
      </c>
      <c r="E461" s="81" t="s">
        <v>50</v>
      </c>
      <c r="F461" s="81" t="s">
        <v>1</v>
      </c>
    </row>
    <row r="462" spans="1:6" x14ac:dyDescent="0.25">
      <c r="A462" s="14">
        <v>46143.934027777781</v>
      </c>
      <c r="B462" s="81" t="s">
        <v>149</v>
      </c>
      <c r="C462" s="81" t="s">
        <v>255</v>
      </c>
      <c r="D462" s="81" t="s">
        <v>250</v>
      </c>
      <c r="E462" s="81" t="s">
        <v>256</v>
      </c>
      <c r="F462" s="81" t="s">
        <v>28</v>
      </c>
    </row>
    <row r="463" spans="1:6" x14ac:dyDescent="0.25">
      <c r="A463" s="14">
        <v>46143.934027777781</v>
      </c>
      <c r="B463" s="81" t="s">
        <v>149</v>
      </c>
      <c r="C463" s="81" t="s">
        <v>200</v>
      </c>
      <c r="D463" s="81" t="s">
        <v>205</v>
      </c>
      <c r="E463" s="81" t="s">
        <v>125</v>
      </c>
      <c r="F463" s="81" t="s">
        <v>124</v>
      </c>
    </row>
    <row r="464" spans="1:6" x14ac:dyDescent="0.25">
      <c r="A464" s="14">
        <v>46143.934027777781</v>
      </c>
      <c r="B464" s="81" t="s">
        <v>149</v>
      </c>
      <c r="C464" s="81" t="s">
        <v>184</v>
      </c>
      <c r="D464" s="81" t="s">
        <v>231</v>
      </c>
      <c r="E464" s="81" t="s">
        <v>49</v>
      </c>
      <c r="F464" s="81" t="s">
        <v>2</v>
      </c>
    </row>
    <row r="465" spans="1:6" x14ac:dyDescent="0.25">
      <c r="A465" s="14">
        <v>46143.934027777781</v>
      </c>
      <c r="B465" s="81" t="s">
        <v>149</v>
      </c>
      <c r="C465" s="81" t="s">
        <v>187</v>
      </c>
      <c r="D465" s="81" t="s">
        <v>205</v>
      </c>
      <c r="E465" s="81" t="s">
        <v>75</v>
      </c>
      <c r="F465" s="81" t="s">
        <v>93</v>
      </c>
    </row>
    <row r="466" spans="1:6" x14ac:dyDescent="0.25">
      <c r="A466" s="14">
        <v>46143.934027777781</v>
      </c>
      <c r="B466" s="81" t="s">
        <v>149</v>
      </c>
      <c r="C466" s="81" t="s">
        <v>176</v>
      </c>
      <c r="D466" s="81" t="s">
        <v>250</v>
      </c>
      <c r="E466" s="81" t="s">
        <v>70</v>
      </c>
      <c r="F466" s="81" t="s">
        <v>15</v>
      </c>
    </row>
    <row r="467" spans="1:6" x14ac:dyDescent="0.25">
      <c r="A467" s="14">
        <v>46143.934027777781</v>
      </c>
      <c r="B467" s="81" t="s">
        <v>149</v>
      </c>
      <c r="C467" s="81" t="s">
        <v>200</v>
      </c>
      <c r="D467" s="81" t="s">
        <v>152</v>
      </c>
      <c r="E467" s="81" t="s">
        <v>126</v>
      </c>
      <c r="F467" s="81" t="s">
        <v>124</v>
      </c>
    </row>
    <row r="468" spans="1:6" x14ac:dyDescent="0.25">
      <c r="A468" s="14">
        <v>46143.934027777781</v>
      </c>
      <c r="B468" s="81" t="s">
        <v>149</v>
      </c>
      <c r="C468" s="81" t="s">
        <v>200</v>
      </c>
      <c r="D468" s="81" t="s">
        <v>168</v>
      </c>
      <c r="E468" s="81" t="s">
        <v>126</v>
      </c>
      <c r="F468" s="81" t="s">
        <v>124</v>
      </c>
    </row>
    <row r="469" spans="1:6" x14ac:dyDescent="0.25">
      <c r="A469" s="14">
        <v>46143.934027777781</v>
      </c>
      <c r="B469" s="81" t="s">
        <v>149</v>
      </c>
      <c r="C469" s="81" t="s">
        <v>182</v>
      </c>
      <c r="D469" s="81" t="s">
        <v>250</v>
      </c>
      <c r="E469" s="81" t="s">
        <v>52</v>
      </c>
      <c r="F469" s="81" t="s">
        <v>0</v>
      </c>
    </row>
    <row r="470" spans="1:6" x14ac:dyDescent="0.25">
      <c r="A470" s="14">
        <v>46143.934027777781</v>
      </c>
      <c r="B470" s="81" t="s">
        <v>149</v>
      </c>
      <c r="C470" s="81" t="s">
        <v>183</v>
      </c>
      <c r="D470" s="81" t="s">
        <v>250</v>
      </c>
      <c r="E470" s="81" t="s">
        <v>52</v>
      </c>
      <c r="F470" s="81" t="s">
        <v>0</v>
      </c>
    </row>
    <row r="471" spans="1:6" x14ac:dyDescent="0.25">
      <c r="A471" s="14">
        <v>46143.934027777781</v>
      </c>
      <c r="B471" s="81" t="s">
        <v>149</v>
      </c>
      <c r="C471" s="81" t="s">
        <v>182</v>
      </c>
      <c r="D471" s="81" t="s">
        <v>199</v>
      </c>
      <c r="E471" s="81" t="s">
        <v>49</v>
      </c>
      <c r="F471" s="81" t="s">
        <v>2</v>
      </c>
    </row>
    <row r="472" spans="1:6" x14ac:dyDescent="0.25">
      <c r="A472" s="14">
        <v>46143.934027777781</v>
      </c>
      <c r="B472" s="81" t="s">
        <v>149</v>
      </c>
      <c r="C472" s="81" t="s">
        <v>185</v>
      </c>
      <c r="D472" s="81" t="s">
        <v>250</v>
      </c>
      <c r="E472" s="81" t="s">
        <v>52</v>
      </c>
      <c r="F472" s="81" t="s">
        <v>0</v>
      </c>
    </row>
    <row r="473" spans="1:6" x14ac:dyDescent="0.25">
      <c r="A473" s="14">
        <v>46143.934027777781</v>
      </c>
      <c r="B473" s="81" t="s">
        <v>149</v>
      </c>
      <c r="C473" s="81" t="s">
        <v>200</v>
      </c>
      <c r="D473" s="81" t="s">
        <v>205</v>
      </c>
      <c r="E473" s="81" t="s">
        <v>126</v>
      </c>
      <c r="F473" s="81" t="s">
        <v>124</v>
      </c>
    </row>
    <row r="474" spans="1:6" x14ac:dyDescent="0.25">
      <c r="A474" s="14">
        <v>46143.934027777781</v>
      </c>
      <c r="B474" s="81" t="s">
        <v>149</v>
      </c>
      <c r="C474" s="81" t="s">
        <v>182</v>
      </c>
      <c r="D474" s="81" t="s">
        <v>250</v>
      </c>
      <c r="E474" s="81" t="s">
        <v>52</v>
      </c>
      <c r="F474" s="81" t="s">
        <v>0</v>
      </c>
    </row>
    <row r="475" spans="1:6" x14ac:dyDescent="0.25">
      <c r="A475" s="14">
        <v>46143.934027777781</v>
      </c>
      <c r="B475" s="81" t="s">
        <v>149</v>
      </c>
      <c r="C475" s="81" t="s">
        <v>185</v>
      </c>
      <c r="D475" s="81" t="s">
        <v>157</v>
      </c>
      <c r="E475" s="81" t="s">
        <v>50</v>
      </c>
      <c r="F475" s="81" t="s">
        <v>1</v>
      </c>
    </row>
    <row r="476" spans="1:6" x14ac:dyDescent="0.25">
      <c r="A476" s="14">
        <v>46143.934027777781</v>
      </c>
      <c r="B476" s="81" t="s">
        <v>149</v>
      </c>
      <c r="C476" s="81" t="s">
        <v>182</v>
      </c>
      <c r="D476" s="81" t="s">
        <v>157</v>
      </c>
      <c r="E476" s="81" t="s">
        <v>50</v>
      </c>
      <c r="F476" s="81" t="s">
        <v>1</v>
      </c>
    </row>
    <row r="477" spans="1:6" x14ac:dyDescent="0.25">
      <c r="A477" s="14">
        <v>46143.934027777781</v>
      </c>
      <c r="B477" s="81" t="s">
        <v>149</v>
      </c>
      <c r="C477" s="81" t="s">
        <v>151</v>
      </c>
      <c r="D477" s="81" t="s">
        <v>157</v>
      </c>
      <c r="E477" s="81" t="s">
        <v>50</v>
      </c>
      <c r="F477" s="81" t="s">
        <v>1</v>
      </c>
    </row>
    <row r="478" spans="1:6" x14ac:dyDescent="0.25">
      <c r="A478" s="14">
        <v>46143.934027777781</v>
      </c>
      <c r="B478" s="81" t="s">
        <v>149</v>
      </c>
      <c r="C478" s="81" t="s">
        <v>255</v>
      </c>
      <c r="D478" s="81" t="s">
        <v>222</v>
      </c>
      <c r="E478" s="81" t="s">
        <v>256</v>
      </c>
      <c r="F478" s="81" t="s">
        <v>28</v>
      </c>
    </row>
    <row r="479" spans="1:6" x14ac:dyDescent="0.25">
      <c r="A479" s="14">
        <v>46143.934027777781</v>
      </c>
      <c r="B479" s="81" t="s">
        <v>149</v>
      </c>
      <c r="C479" s="81" t="s">
        <v>255</v>
      </c>
      <c r="D479" s="81" t="s">
        <v>222</v>
      </c>
      <c r="E479" s="81" t="s">
        <v>256</v>
      </c>
      <c r="F479" s="81" t="s">
        <v>28</v>
      </c>
    </row>
    <row r="480" spans="1:6" x14ac:dyDescent="0.25">
      <c r="A480" s="14">
        <v>46143.934027777781</v>
      </c>
      <c r="B480" s="81" t="s">
        <v>149</v>
      </c>
      <c r="C480" s="81" t="s">
        <v>181</v>
      </c>
      <c r="D480" s="81" t="s">
        <v>231</v>
      </c>
      <c r="E480" s="81" t="s">
        <v>49</v>
      </c>
      <c r="F480" s="81" t="s">
        <v>2</v>
      </c>
    </row>
    <row r="481" spans="1:6" x14ac:dyDescent="0.25">
      <c r="A481" s="14">
        <v>46143.934027777781</v>
      </c>
      <c r="B481" s="81" t="s">
        <v>149</v>
      </c>
      <c r="C481" s="81" t="s">
        <v>200</v>
      </c>
      <c r="D481" s="81" t="s">
        <v>222</v>
      </c>
      <c r="E481" s="81" t="s">
        <v>125</v>
      </c>
      <c r="F481" s="81" t="s">
        <v>124</v>
      </c>
    </row>
    <row r="482" spans="1:6" x14ac:dyDescent="0.25">
      <c r="A482" s="14">
        <v>46143.934027777781</v>
      </c>
      <c r="B482" s="81" t="s">
        <v>149</v>
      </c>
      <c r="C482" s="81" t="s">
        <v>255</v>
      </c>
      <c r="D482" s="81" t="s">
        <v>199</v>
      </c>
      <c r="E482" s="81" t="s">
        <v>256</v>
      </c>
      <c r="F482" s="81" t="s">
        <v>28</v>
      </c>
    </row>
    <row r="483" spans="1:6" x14ac:dyDescent="0.25">
      <c r="A483" s="14">
        <v>46143.934027777781</v>
      </c>
      <c r="B483" s="81" t="s">
        <v>149</v>
      </c>
      <c r="C483" s="81" t="s">
        <v>181</v>
      </c>
      <c r="D483" s="81" t="s">
        <v>157</v>
      </c>
      <c r="E483" s="81" t="s">
        <v>50</v>
      </c>
      <c r="F483" s="81" t="s">
        <v>1</v>
      </c>
    </row>
    <row r="484" spans="1:6" x14ac:dyDescent="0.25">
      <c r="A484" s="14">
        <v>46143.934027777781</v>
      </c>
      <c r="B484" s="81" t="s">
        <v>149</v>
      </c>
      <c r="C484" s="81" t="s">
        <v>203</v>
      </c>
      <c r="D484" s="81" t="s">
        <v>205</v>
      </c>
      <c r="E484" s="81" t="s">
        <v>72</v>
      </c>
      <c r="F484" s="81" t="s">
        <v>28</v>
      </c>
    </row>
    <row r="485" spans="1:6" x14ac:dyDescent="0.25">
      <c r="A485" s="14">
        <v>46143.934027777781</v>
      </c>
      <c r="B485" s="81" t="s">
        <v>149</v>
      </c>
      <c r="C485" s="81" t="s">
        <v>255</v>
      </c>
      <c r="D485" s="81" t="s">
        <v>205</v>
      </c>
      <c r="E485" s="81" t="s">
        <v>256</v>
      </c>
      <c r="F485" s="81" t="s">
        <v>28</v>
      </c>
    </row>
    <row r="486" spans="1:6" x14ac:dyDescent="0.25">
      <c r="A486" s="14">
        <v>46143.934027777781</v>
      </c>
      <c r="B486" s="81" t="s">
        <v>149</v>
      </c>
      <c r="C486" s="81" t="s">
        <v>255</v>
      </c>
      <c r="D486" s="81" t="s">
        <v>205</v>
      </c>
      <c r="E486" s="81" t="s">
        <v>256</v>
      </c>
      <c r="F486" s="81" t="s">
        <v>28</v>
      </c>
    </row>
    <row r="487" spans="1:6" x14ac:dyDescent="0.25">
      <c r="A487" s="14">
        <v>46143.934027777781</v>
      </c>
      <c r="B487" s="81" t="s">
        <v>149</v>
      </c>
      <c r="C487" s="81" t="s">
        <v>255</v>
      </c>
      <c r="D487" s="81" t="s">
        <v>205</v>
      </c>
      <c r="E487" s="81" t="s">
        <v>256</v>
      </c>
      <c r="F487" s="81" t="s">
        <v>28</v>
      </c>
    </row>
    <row r="488" spans="1:6" x14ac:dyDescent="0.25">
      <c r="A488" s="14">
        <v>46143.934027777781</v>
      </c>
      <c r="B488" s="81" t="s">
        <v>149</v>
      </c>
      <c r="C488" s="81" t="s">
        <v>175</v>
      </c>
      <c r="D488" s="81" t="s">
        <v>253</v>
      </c>
      <c r="E488" s="81" t="s">
        <v>50</v>
      </c>
      <c r="F488" s="81" t="s">
        <v>1</v>
      </c>
    </row>
    <row r="489" spans="1:6" x14ac:dyDescent="0.25">
      <c r="A489" s="14">
        <v>46143.934027777781</v>
      </c>
      <c r="B489" s="81" t="s">
        <v>149</v>
      </c>
      <c r="C489" s="81" t="s">
        <v>184</v>
      </c>
      <c r="D489" s="81" t="s">
        <v>205</v>
      </c>
      <c r="E489" s="81" t="s">
        <v>49</v>
      </c>
      <c r="F489" s="81" t="s">
        <v>2</v>
      </c>
    </row>
    <row r="490" spans="1:6" x14ac:dyDescent="0.25">
      <c r="A490" s="14">
        <v>46143.934027777781</v>
      </c>
      <c r="B490" s="81" t="s">
        <v>149</v>
      </c>
      <c r="C490" s="81" t="s">
        <v>183</v>
      </c>
      <c r="D490" s="81" t="s">
        <v>205</v>
      </c>
      <c r="E490" s="81" t="s">
        <v>49</v>
      </c>
      <c r="F490" s="81" t="s">
        <v>2</v>
      </c>
    </row>
    <row r="491" spans="1:6" x14ac:dyDescent="0.25">
      <c r="A491" s="14">
        <v>46143.934027777781</v>
      </c>
      <c r="B491" s="81" t="s">
        <v>149</v>
      </c>
      <c r="C491" s="81" t="s">
        <v>173</v>
      </c>
      <c r="D491" s="81" t="s">
        <v>157</v>
      </c>
      <c r="E491" s="81" t="s">
        <v>50</v>
      </c>
      <c r="F491" s="81" t="s">
        <v>1</v>
      </c>
    </row>
    <row r="492" spans="1:6" x14ac:dyDescent="0.25">
      <c r="A492" s="14">
        <v>46143.934027777781</v>
      </c>
      <c r="B492" s="81" t="s">
        <v>149</v>
      </c>
      <c r="C492" s="81" t="s">
        <v>175</v>
      </c>
      <c r="D492" s="81" t="s">
        <v>250</v>
      </c>
      <c r="E492" s="81" t="s">
        <v>49</v>
      </c>
      <c r="F492" s="81" t="s">
        <v>2</v>
      </c>
    </row>
    <row r="493" spans="1:6" x14ac:dyDescent="0.25">
      <c r="A493" s="14">
        <v>46143.934027777781</v>
      </c>
      <c r="B493" s="81" t="s">
        <v>149</v>
      </c>
      <c r="C493" s="81" t="s">
        <v>182</v>
      </c>
      <c r="D493" s="81" t="s">
        <v>250</v>
      </c>
      <c r="E493" s="81" t="s">
        <v>52</v>
      </c>
      <c r="F493" s="81" t="s">
        <v>0</v>
      </c>
    </row>
    <row r="494" spans="1:6" x14ac:dyDescent="0.25">
      <c r="A494" s="14">
        <v>46143.934027777781</v>
      </c>
      <c r="B494" s="81" t="s">
        <v>149</v>
      </c>
      <c r="C494" s="81" t="s">
        <v>200</v>
      </c>
      <c r="D494" s="81" t="s">
        <v>152</v>
      </c>
      <c r="E494" s="81" t="s">
        <v>125</v>
      </c>
      <c r="F494" s="81" t="s">
        <v>124</v>
      </c>
    </row>
    <row r="495" spans="1:6" x14ac:dyDescent="0.25">
      <c r="A495" s="14">
        <v>46143.934027777781</v>
      </c>
      <c r="B495" s="81" t="s">
        <v>149</v>
      </c>
      <c r="C495" s="81" t="s">
        <v>151</v>
      </c>
      <c r="D495" s="81" t="s">
        <v>157</v>
      </c>
      <c r="E495" s="81" t="s">
        <v>50</v>
      </c>
      <c r="F495" s="81" t="s">
        <v>1</v>
      </c>
    </row>
    <row r="496" spans="1:6" x14ac:dyDescent="0.25">
      <c r="A496" s="14">
        <v>46143.934027777781</v>
      </c>
      <c r="B496" s="81" t="s">
        <v>149</v>
      </c>
      <c r="C496" s="81" t="s">
        <v>151</v>
      </c>
      <c r="D496" s="81" t="s">
        <v>165</v>
      </c>
      <c r="E496" s="81" t="s">
        <v>50</v>
      </c>
      <c r="F496" s="81" t="s">
        <v>1</v>
      </c>
    </row>
    <row r="497" spans="1:6" x14ac:dyDescent="0.25">
      <c r="A497" s="14">
        <v>46143.934027777781</v>
      </c>
      <c r="B497" s="81" t="s">
        <v>149</v>
      </c>
      <c r="C497" s="81" t="s">
        <v>181</v>
      </c>
      <c r="D497" s="81" t="s">
        <v>157</v>
      </c>
      <c r="E497" s="81" t="s">
        <v>50</v>
      </c>
      <c r="F497" s="81" t="s">
        <v>1</v>
      </c>
    </row>
    <row r="498" spans="1:6" x14ac:dyDescent="0.25">
      <c r="A498" s="14">
        <v>46143.934027777781</v>
      </c>
      <c r="B498" s="81" t="s">
        <v>149</v>
      </c>
      <c r="C498" s="81" t="s">
        <v>181</v>
      </c>
      <c r="D498" s="81" t="s">
        <v>253</v>
      </c>
      <c r="E498" s="81" t="s">
        <v>52</v>
      </c>
      <c r="F498" s="81" t="s">
        <v>0</v>
      </c>
    </row>
    <row r="499" spans="1:6" x14ac:dyDescent="0.25">
      <c r="A499" s="14">
        <v>46143.934027777781</v>
      </c>
      <c r="B499" s="81" t="s">
        <v>149</v>
      </c>
      <c r="C499" s="81" t="s">
        <v>151</v>
      </c>
      <c r="D499" s="81" t="s">
        <v>157</v>
      </c>
      <c r="E499" s="81" t="s">
        <v>50</v>
      </c>
      <c r="F499" s="81" t="s">
        <v>1</v>
      </c>
    </row>
    <row r="500" spans="1:6" x14ac:dyDescent="0.25">
      <c r="A500" s="14">
        <v>46143.934027777781</v>
      </c>
      <c r="B500" s="81" t="s">
        <v>149</v>
      </c>
      <c r="C500" s="81" t="s">
        <v>176</v>
      </c>
      <c r="D500" s="81" t="s">
        <v>157</v>
      </c>
      <c r="E500" s="81" t="s">
        <v>70</v>
      </c>
      <c r="F500" s="81" t="s">
        <v>15</v>
      </c>
    </row>
    <row r="501" spans="1:6" x14ac:dyDescent="0.25">
      <c r="A501" s="14">
        <v>46143.934027777781</v>
      </c>
      <c r="B501" s="81" t="s">
        <v>149</v>
      </c>
      <c r="C501" s="81" t="s">
        <v>181</v>
      </c>
      <c r="D501" s="81" t="s">
        <v>199</v>
      </c>
      <c r="E501" s="81" t="s">
        <v>50</v>
      </c>
      <c r="F501" s="81" t="s">
        <v>1</v>
      </c>
    </row>
    <row r="502" spans="1:6" x14ac:dyDescent="0.25">
      <c r="A502" s="14">
        <v>46143.934027777781</v>
      </c>
      <c r="B502" s="81" t="s">
        <v>149</v>
      </c>
      <c r="C502" s="81" t="s">
        <v>176</v>
      </c>
      <c r="D502" s="81" t="s">
        <v>157</v>
      </c>
      <c r="E502" s="81" t="s">
        <v>70</v>
      </c>
      <c r="F502" s="81" t="s">
        <v>15</v>
      </c>
    </row>
    <row r="503" spans="1:6" x14ac:dyDescent="0.25">
      <c r="A503" s="14">
        <v>46143.934027777781</v>
      </c>
      <c r="B503" s="81" t="s">
        <v>195</v>
      </c>
      <c r="C503" s="81" t="s">
        <v>198</v>
      </c>
      <c r="D503" s="81" t="s">
        <v>157</v>
      </c>
      <c r="E503" s="81" t="s">
        <v>24</v>
      </c>
      <c r="F503" s="81" t="s">
        <v>24</v>
      </c>
    </row>
    <row r="504" spans="1:6" x14ac:dyDescent="0.25">
      <c r="A504" s="14">
        <v>46143.934027777781</v>
      </c>
      <c r="B504" s="81" t="s">
        <v>195</v>
      </c>
      <c r="C504" s="81" t="s">
        <v>198</v>
      </c>
      <c r="D504" s="81" t="s">
        <v>157</v>
      </c>
      <c r="E504" s="81" t="s">
        <v>24</v>
      </c>
      <c r="F504" s="81" t="s">
        <v>24</v>
      </c>
    </row>
    <row r="505" spans="1:6" x14ac:dyDescent="0.25">
      <c r="A505" s="14">
        <v>46143.934027777781</v>
      </c>
      <c r="B505" s="81" t="s">
        <v>195</v>
      </c>
      <c r="C505" s="81" t="s">
        <v>198</v>
      </c>
      <c r="D505" s="81" t="s">
        <v>157</v>
      </c>
      <c r="E505" s="81" t="s">
        <v>24</v>
      </c>
      <c r="F505" s="81" t="s">
        <v>24</v>
      </c>
    </row>
    <row r="506" spans="1:6" x14ac:dyDescent="0.25">
      <c r="A506" s="14">
        <v>46144.277777777781</v>
      </c>
      <c r="B506" s="81" t="s">
        <v>149</v>
      </c>
      <c r="C506" s="81" t="s">
        <v>171</v>
      </c>
      <c r="D506" s="81" t="s">
        <v>259</v>
      </c>
      <c r="E506" s="81" t="s">
        <v>52</v>
      </c>
      <c r="F506" s="81" t="s">
        <v>0</v>
      </c>
    </row>
    <row r="507" spans="1:6" x14ac:dyDescent="0.25">
      <c r="A507" s="14">
        <v>46144.277777777781</v>
      </c>
      <c r="B507" s="81" t="s">
        <v>149</v>
      </c>
      <c r="C507" s="81" t="s">
        <v>171</v>
      </c>
      <c r="D507" s="81" t="s">
        <v>259</v>
      </c>
      <c r="E507" s="81" t="s">
        <v>50</v>
      </c>
      <c r="F507" s="81" t="s">
        <v>1</v>
      </c>
    </row>
    <row r="508" spans="1:6" x14ac:dyDescent="0.25">
      <c r="A508" s="14">
        <v>46144.277777777781</v>
      </c>
      <c r="B508" s="81" t="s">
        <v>149</v>
      </c>
      <c r="C508" s="81" t="s">
        <v>184</v>
      </c>
      <c r="D508" s="81" t="s">
        <v>259</v>
      </c>
      <c r="E508" s="81" t="s">
        <v>50</v>
      </c>
      <c r="F508" s="81" t="s">
        <v>1</v>
      </c>
    </row>
    <row r="509" spans="1:6" x14ac:dyDescent="0.25">
      <c r="A509" s="14">
        <v>46144.277777777781</v>
      </c>
      <c r="B509" s="81" t="s">
        <v>149</v>
      </c>
      <c r="C509" s="81" t="s">
        <v>192</v>
      </c>
      <c r="D509" s="81" t="s">
        <v>165</v>
      </c>
      <c r="E509" s="81" t="s">
        <v>60</v>
      </c>
      <c r="F509" s="81" t="s">
        <v>28</v>
      </c>
    </row>
    <row r="510" spans="1:6" x14ac:dyDescent="0.25">
      <c r="A510" s="14">
        <v>46144.277777777781</v>
      </c>
      <c r="B510" s="81" t="s">
        <v>149</v>
      </c>
      <c r="C510" s="81" t="s">
        <v>158</v>
      </c>
      <c r="D510" s="81" t="s">
        <v>233</v>
      </c>
      <c r="E510" s="81" t="s">
        <v>52</v>
      </c>
      <c r="F510" s="81" t="s">
        <v>0</v>
      </c>
    </row>
    <row r="511" spans="1:6" x14ac:dyDescent="0.25">
      <c r="A511" s="14">
        <v>46144.277777777781</v>
      </c>
      <c r="B511" s="81" t="s">
        <v>149</v>
      </c>
      <c r="C511" s="81" t="s">
        <v>171</v>
      </c>
      <c r="D511" s="81" t="s">
        <v>233</v>
      </c>
      <c r="E511" s="81" t="s">
        <v>52</v>
      </c>
      <c r="F511" s="81" t="s">
        <v>0</v>
      </c>
    </row>
    <row r="512" spans="1:6" x14ac:dyDescent="0.25">
      <c r="A512" s="14">
        <v>46144.277777777781</v>
      </c>
      <c r="B512" s="81" t="s">
        <v>149</v>
      </c>
      <c r="C512" s="81" t="s">
        <v>200</v>
      </c>
      <c r="D512" s="81" t="s">
        <v>157</v>
      </c>
      <c r="E512" s="81" t="s">
        <v>123</v>
      </c>
      <c r="F512" s="81" t="s">
        <v>124</v>
      </c>
    </row>
    <row r="513" spans="1:6" x14ac:dyDescent="0.25">
      <c r="A513" s="14">
        <v>46144.277777777781</v>
      </c>
      <c r="B513" s="81" t="s">
        <v>149</v>
      </c>
      <c r="C513" s="81" t="s">
        <v>188</v>
      </c>
      <c r="D513" s="81" t="s">
        <v>156</v>
      </c>
      <c r="E513" s="81" t="s">
        <v>45</v>
      </c>
      <c r="F513" s="81" t="s">
        <v>28</v>
      </c>
    </row>
    <row r="514" spans="1:6" x14ac:dyDescent="0.25">
      <c r="A514" s="14">
        <v>46144.277777777781</v>
      </c>
      <c r="B514" s="81" t="s">
        <v>149</v>
      </c>
      <c r="C514" s="81" t="s">
        <v>189</v>
      </c>
      <c r="D514" s="81" t="s">
        <v>156</v>
      </c>
      <c r="E514" s="81" t="s">
        <v>45</v>
      </c>
      <c r="F514" s="81" t="s">
        <v>28</v>
      </c>
    </row>
    <row r="515" spans="1:6" x14ac:dyDescent="0.25">
      <c r="A515" s="14">
        <v>46144.277777777781</v>
      </c>
      <c r="B515" s="81" t="s">
        <v>149</v>
      </c>
      <c r="C515" s="81" t="s">
        <v>239</v>
      </c>
      <c r="D515" s="81" t="s">
        <v>156</v>
      </c>
      <c r="E515" s="81" t="s">
        <v>45</v>
      </c>
      <c r="F515" s="81" t="s">
        <v>28</v>
      </c>
    </row>
    <row r="516" spans="1:6" x14ac:dyDescent="0.25">
      <c r="A516" s="14">
        <v>46144.277777777781</v>
      </c>
      <c r="B516" s="81" t="s">
        <v>149</v>
      </c>
      <c r="C516" s="81" t="s">
        <v>182</v>
      </c>
      <c r="D516" s="81" t="s">
        <v>167</v>
      </c>
      <c r="E516" s="81" t="s">
        <v>50</v>
      </c>
      <c r="F516" s="81" t="s">
        <v>1</v>
      </c>
    </row>
    <row r="517" spans="1:6" x14ac:dyDescent="0.25">
      <c r="A517" s="14">
        <v>46144.277777777781</v>
      </c>
      <c r="B517" s="81" t="s">
        <v>149</v>
      </c>
      <c r="C517" s="81" t="s">
        <v>181</v>
      </c>
      <c r="D517" s="81" t="s">
        <v>167</v>
      </c>
      <c r="E517" s="81" t="s">
        <v>50</v>
      </c>
      <c r="F517" s="81" t="s">
        <v>1</v>
      </c>
    </row>
    <row r="518" spans="1:6" x14ac:dyDescent="0.25">
      <c r="A518" s="14">
        <v>46144.277777777781</v>
      </c>
      <c r="B518" s="81" t="s">
        <v>149</v>
      </c>
      <c r="C518" s="81" t="s">
        <v>255</v>
      </c>
      <c r="D518" s="81" t="s">
        <v>222</v>
      </c>
      <c r="E518" s="81" t="s">
        <v>256</v>
      </c>
      <c r="F518" s="81" t="s">
        <v>28</v>
      </c>
    </row>
    <row r="519" spans="1:6" x14ac:dyDescent="0.25">
      <c r="A519" s="14">
        <v>46144.277777777781</v>
      </c>
      <c r="B519" s="81" t="s">
        <v>149</v>
      </c>
      <c r="C519" s="81" t="s">
        <v>158</v>
      </c>
      <c r="D519" s="81" t="s">
        <v>245</v>
      </c>
      <c r="E519" s="81" t="s">
        <v>49</v>
      </c>
      <c r="F519" s="81" t="s">
        <v>2</v>
      </c>
    </row>
    <row r="520" spans="1:6" x14ac:dyDescent="0.25">
      <c r="A520" s="14">
        <v>46144.277777777781</v>
      </c>
      <c r="B520" s="81" t="s">
        <v>149</v>
      </c>
      <c r="C520" s="81" t="s">
        <v>218</v>
      </c>
      <c r="D520" s="81" t="s">
        <v>222</v>
      </c>
      <c r="E520" s="81" t="s">
        <v>64</v>
      </c>
      <c r="F520" s="81" t="s">
        <v>98</v>
      </c>
    </row>
    <row r="521" spans="1:6" x14ac:dyDescent="0.25">
      <c r="A521" s="14">
        <v>46144.277777777781</v>
      </c>
      <c r="B521" s="81" t="s">
        <v>149</v>
      </c>
      <c r="C521" s="81" t="s">
        <v>158</v>
      </c>
      <c r="D521" s="81" t="s">
        <v>222</v>
      </c>
      <c r="E521" s="81" t="s">
        <v>50</v>
      </c>
      <c r="F521" s="81" t="s">
        <v>1</v>
      </c>
    </row>
    <row r="522" spans="1:6" x14ac:dyDescent="0.25">
      <c r="A522" s="14">
        <v>46144.277777777781</v>
      </c>
      <c r="B522" s="81" t="s">
        <v>149</v>
      </c>
      <c r="C522" s="81" t="s">
        <v>183</v>
      </c>
      <c r="D522" s="81" t="s">
        <v>222</v>
      </c>
      <c r="E522" s="81" t="s">
        <v>49</v>
      </c>
      <c r="F522" s="81" t="s">
        <v>2</v>
      </c>
    </row>
    <row r="523" spans="1:6" x14ac:dyDescent="0.25">
      <c r="A523" s="14">
        <v>46144.277777777781</v>
      </c>
      <c r="B523" s="81" t="s">
        <v>149</v>
      </c>
      <c r="C523" s="81" t="s">
        <v>203</v>
      </c>
      <c r="D523" s="81" t="s">
        <v>194</v>
      </c>
      <c r="E523" s="81" t="s">
        <v>72</v>
      </c>
      <c r="F523" s="81" t="s">
        <v>28</v>
      </c>
    </row>
    <row r="524" spans="1:6" x14ac:dyDescent="0.25">
      <c r="A524" s="14">
        <v>46144.277777777781</v>
      </c>
      <c r="B524" s="81" t="s">
        <v>149</v>
      </c>
      <c r="C524" s="81" t="s">
        <v>203</v>
      </c>
      <c r="D524" s="81" t="s">
        <v>194</v>
      </c>
      <c r="E524" s="81" t="s">
        <v>72</v>
      </c>
      <c r="F524" s="81" t="s">
        <v>28</v>
      </c>
    </row>
    <row r="525" spans="1:6" x14ac:dyDescent="0.25">
      <c r="A525" s="14">
        <v>46144.277777777781</v>
      </c>
      <c r="B525" s="81" t="s">
        <v>149</v>
      </c>
      <c r="C525" s="81" t="s">
        <v>203</v>
      </c>
      <c r="D525" s="81" t="s">
        <v>194</v>
      </c>
      <c r="E525" s="81" t="s">
        <v>72</v>
      </c>
      <c r="F525" s="81" t="s">
        <v>28</v>
      </c>
    </row>
    <row r="526" spans="1:6" x14ac:dyDescent="0.25">
      <c r="A526" s="14">
        <v>46144.277777777781</v>
      </c>
      <c r="B526" s="81" t="s">
        <v>149</v>
      </c>
      <c r="C526" s="81" t="s">
        <v>203</v>
      </c>
      <c r="D526" s="81" t="s">
        <v>194</v>
      </c>
      <c r="E526" s="81" t="s">
        <v>72</v>
      </c>
      <c r="F526" s="81" t="s">
        <v>28</v>
      </c>
    </row>
    <row r="527" spans="1:6" x14ac:dyDescent="0.25">
      <c r="A527" s="14">
        <v>46144.277777777781</v>
      </c>
      <c r="B527" s="81" t="s">
        <v>149</v>
      </c>
      <c r="C527" s="81" t="s">
        <v>203</v>
      </c>
      <c r="D527" s="81" t="s">
        <v>194</v>
      </c>
      <c r="E527" s="81" t="s">
        <v>72</v>
      </c>
      <c r="F527" s="81" t="s">
        <v>28</v>
      </c>
    </row>
    <row r="528" spans="1:6" x14ac:dyDescent="0.25">
      <c r="A528" s="14">
        <v>46144.277777777781</v>
      </c>
      <c r="B528" s="81" t="s">
        <v>149</v>
      </c>
      <c r="C528" s="81" t="s">
        <v>203</v>
      </c>
      <c r="D528" s="81" t="s">
        <v>194</v>
      </c>
      <c r="E528" s="81" t="s">
        <v>72</v>
      </c>
      <c r="F528" s="81" t="s">
        <v>28</v>
      </c>
    </row>
    <row r="529" spans="1:6" x14ac:dyDescent="0.25">
      <c r="A529" s="14">
        <v>46144.277777777781</v>
      </c>
      <c r="B529" s="81" t="s">
        <v>149</v>
      </c>
      <c r="C529" s="81" t="s">
        <v>181</v>
      </c>
      <c r="D529" s="81" t="s">
        <v>247</v>
      </c>
      <c r="E529" s="81" t="s">
        <v>50</v>
      </c>
      <c r="F529" s="81" t="s">
        <v>1</v>
      </c>
    </row>
    <row r="530" spans="1:6" x14ac:dyDescent="0.25">
      <c r="A530" s="14">
        <v>46144.277777777781</v>
      </c>
      <c r="B530" s="81" t="s">
        <v>149</v>
      </c>
      <c r="C530" s="81" t="s">
        <v>171</v>
      </c>
      <c r="D530" s="81" t="s">
        <v>245</v>
      </c>
      <c r="E530" s="81" t="s">
        <v>49</v>
      </c>
      <c r="F530" s="81" t="s">
        <v>2</v>
      </c>
    </row>
    <row r="531" spans="1:6" x14ac:dyDescent="0.25">
      <c r="A531" s="14">
        <v>46144.277777777781</v>
      </c>
      <c r="B531" s="81" t="s">
        <v>149</v>
      </c>
      <c r="C531" s="81" t="s">
        <v>176</v>
      </c>
      <c r="D531" s="81" t="s">
        <v>219</v>
      </c>
      <c r="E531" s="81" t="s">
        <v>70</v>
      </c>
      <c r="F531" s="81" t="s">
        <v>15</v>
      </c>
    </row>
    <row r="532" spans="1:6" x14ac:dyDescent="0.25">
      <c r="A532" s="14">
        <v>46144.277777777781</v>
      </c>
      <c r="B532" s="81" t="s">
        <v>149</v>
      </c>
      <c r="C532" s="81" t="s">
        <v>200</v>
      </c>
      <c r="D532" s="81" t="s">
        <v>245</v>
      </c>
      <c r="E532" s="81" t="s">
        <v>125</v>
      </c>
      <c r="F532" s="81" t="s">
        <v>124</v>
      </c>
    </row>
    <row r="533" spans="1:6" x14ac:dyDescent="0.25">
      <c r="A533" s="14">
        <v>46144.277777777781</v>
      </c>
      <c r="B533" s="81" t="s">
        <v>149</v>
      </c>
      <c r="C533" s="81" t="s">
        <v>182</v>
      </c>
      <c r="D533" s="81" t="s">
        <v>253</v>
      </c>
      <c r="E533" s="81" t="s">
        <v>50</v>
      </c>
      <c r="F533" s="81" t="s">
        <v>1</v>
      </c>
    </row>
    <row r="534" spans="1:6" x14ac:dyDescent="0.25">
      <c r="A534" s="14">
        <v>46144.277777777781</v>
      </c>
      <c r="B534" s="81" t="s">
        <v>149</v>
      </c>
      <c r="C534" s="81" t="s">
        <v>177</v>
      </c>
      <c r="D534" s="81" t="s">
        <v>156</v>
      </c>
      <c r="E534" s="81" t="s">
        <v>49</v>
      </c>
      <c r="F534" s="81" t="s">
        <v>2</v>
      </c>
    </row>
    <row r="535" spans="1:6" x14ac:dyDescent="0.25">
      <c r="A535" s="14">
        <v>46144.277777777781</v>
      </c>
      <c r="B535" s="81" t="s">
        <v>149</v>
      </c>
      <c r="C535" s="81" t="s">
        <v>177</v>
      </c>
      <c r="D535" s="81" t="s">
        <v>253</v>
      </c>
      <c r="E535" s="81" t="s">
        <v>50</v>
      </c>
      <c r="F535" s="81" t="s">
        <v>1</v>
      </c>
    </row>
    <row r="536" spans="1:6" x14ac:dyDescent="0.25">
      <c r="A536" s="14">
        <v>46144.277777777781</v>
      </c>
      <c r="B536" s="81" t="s">
        <v>149</v>
      </c>
      <c r="C536" s="81" t="s">
        <v>177</v>
      </c>
      <c r="D536" s="81" t="s">
        <v>163</v>
      </c>
      <c r="E536" s="81" t="s">
        <v>50</v>
      </c>
      <c r="F536" s="81" t="s">
        <v>1</v>
      </c>
    </row>
    <row r="537" spans="1:6" x14ac:dyDescent="0.25">
      <c r="A537" s="14">
        <v>46144.277777777781</v>
      </c>
      <c r="B537" s="81" t="s">
        <v>149</v>
      </c>
      <c r="C537" s="81" t="s">
        <v>171</v>
      </c>
      <c r="D537" s="81" t="s">
        <v>247</v>
      </c>
      <c r="E537" s="81" t="s">
        <v>52</v>
      </c>
      <c r="F537" s="81" t="s">
        <v>0</v>
      </c>
    </row>
    <row r="538" spans="1:6" x14ac:dyDescent="0.25">
      <c r="A538" s="14">
        <v>46144.277777777781</v>
      </c>
      <c r="B538" s="81" t="s">
        <v>149</v>
      </c>
      <c r="C538" s="81" t="s">
        <v>190</v>
      </c>
      <c r="D538" s="81" t="s">
        <v>253</v>
      </c>
      <c r="E538" s="81" t="s">
        <v>50</v>
      </c>
      <c r="F538" s="81" t="s">
        <v>1</v>
      </c>
    </row>
    <row r="539" spans="1:6" x14ac:dyDescent="0.25">
      <c r="A539" s="14">
        <v>46144.277777777781</v>
      </c>
      <c r="B539" s="81" t="s">
        <v>149</v>
      </c>
      <c r="C539" s="81" t="s">
        <v>182</v>
      </c>
      <c r="D539" s="81" t="s">
        <v>253</v>
      </c>
      <c r="E539" s="81" t="s">
        <v>52</v>
      </c>
      <c r="F539" s="81" t="s">
        <v>0</v>
      </c>
    </row>
    <row r="540" spans="1:6" x14ac:dyDescent="0.25">
      <c r="A540" s="14">
        <v>46144.277777777781</v>
      </c>
      <c r="B540" s="81" t="s">
        <v>149</v>
      </c>
      <c r="C540" s="81" t="s">
        <v>181</v>
      </c>
      <c r="D540" s="81" t="s">
        <v>156</v>
      </c>
      <c r="E540" s="81" t="s">
        <v>49</v>
      </c>
      <c r="F540" s="81" t="s">
        <v>2</v>
      </c>
    </row>
    <row r="541" spans="1:6" x14ac:dyDescent="0.25">
      <c r="A541" s="14">
        <v>46144.277777777781</v>
      </c>
      <c r="B541" s="81" t="s">
        <v>149</v>
      </c>
      <c r="C541" s="81" t="s">
        <v>184</v>
      </c>
      <c r="D541" s="81" t="s">
        <v>247</v>
      </c>
      <c r="E541" s="81" t="s">
        <v>50</v>
      </c>
      <c r="F541" s="81" t="s">
        <v>1</v>
      </c>
    </row>
    <row r="542" spans="1:6" x14ac:dyDescent="0.25">
      <c r="A542" s="14">
        <v>46144.277777777781</v>
      </c>
      <c r="B542" s="81" t="s">
        <v>149</v>
      </c>
      <c r="C542" s="81" t="s">
        <v>173</v>
      </c>
      <c r="D542" s="81" t="s">
        <v>156</v>
      </c>
      <c r="E542" s="81" t="s">
        <v>49</v>
      </c>
      <c r="F542" s="81" t="s">
        <v>2</v>
      </c>
    </row>
    <row r="543" spans="1:6" x14ac:dyDescent="0.25">
      <c r="A543" s="14">
        <v>46144.277777777781</v>
      </c>
      <c r="B543" s="81" t="s">
        <v>149</v>
      </c>
      <c r="C543" s="81" t="s">
        <v>175</v>
      </c>
      <c r="D543" s="81" t="s">
        <v>156</v>
      </c>
      <c r="E543" s="81" t="s">
        <v>49</v>
      </c>
      <c r="F543" s="81" t="s">
        <v>2</v>
      </c>
    </row>
    <row r="544" spans="1:6" x14ac:dyDescent="0.25">
      <c r="A544" s="14">
        <v>46144.277777777781</v>
      </c>
      <c r="B544" s="81" t="s">
        <v>149</v>
      </c>
      <c r="C544" s="81" t="s">
        <v>190</v>
      </c>
      <c r="D544" s="81" t="s">
        <v>156</v>
      </c>
      <c r="E544" s="81" t="s">
        <v>49</v>
      </c>
      <c r="F544" s="81" t="s">
        <v>2</v>
      </c>
    </row>
    <row r="545" spans="1:6" x14ac:dyDescent="0.25">
      <c r="A545" s="14">
        <v>46144.277777777781</v>
      </c>
      <c r="B545" s="81" t="s">
        <v>149</v>
      </c>
      <c r="C545" s="81" t="s">
        <v>173</v>
      </c>
      <c r="D545" s="81" t="s">
        <v>156</v>
      </c>
      <c r="E545" s="81" t="s">
        <v>49</v>
      </c>
      <c r="F545" s="81" t="s">
        <v>2</v>
      </c>
    </row>
    <row r="546" spans="1:6" x14ac:dyDescent="0.25">
      <c r="A546" s="14">
        <v>46144.277777777781</v>
      </c>
      <c r="B546" s="81" t="s">
        <v>149</v>
      </c>
      <c r="C546" s="81" t="s">
        <v>185</v>
      </c>
      <c r="D546" s="81" t="s">
        <v>156</v>
      </c>
      <c r="E546" s="81" t="s">
        <v>49</v>
      </c>
      <c r="F546" s="81" t="s">
        <v>2</v>
      </c>
    </row>
    <row r="547" spans="1:6" x14ac:dyDescent="0.25">
      <c r="A547" s="14">
        <v>46144.277777777781</v>
      </c>
      <c r="B547" s="81" t="s">
        <v>149</v>
      </c>
      <c r="C547" s="81" t="s">
        <v>192</v>
      </c>
      <c r="D547" s="81" t="s">
        <v>247</v>
      </c>
      <c r="E547" s="81" t="s">
        <v>60</v>
      </c>
      <c r="F547" s="81" t="s">
        <v>28</v>
      </c>
    </row>
    <row r="548" spans="1:6" x14ac:dyDescent="0.25">
      <c r="A548" s="14">
        <v>46144.277777777781</v>
      </c>
      <c r="B548" s="81" t="s">
        <v>149</v>
      </c>
      <c r="C548" s="81" t="s">
        <v>175</v>
      </c>
      <c r="D548" s="81" t="s">
        <v>156</v>
      </c>
      <c r="E548" s="81" t="s">
        <v>49</v>
      </c>
      <c r="F548" s="81" t="s">
        <v>2</v>
      </c>
    </row>
    <row r="549" spans="1:6" x14ac:dyDescent="0.25">
      <c r="A549" s="14">
        <v>46144.277777777781</v>
      </c>
      <c r="B549" s="81" t="s">
        <v>149</v>
      </c>
      <c r="C549" s="81" t="s">
        <v>171</v>
      </c>
      <c r="D549" s="81" t="s">
        <v>253</v>
      </c>
      <c r="E549" s="81" t="s">
        <v>50</v>
      </c>
      <c r="F549" s="81" t="s">
        <v>1</v>
      </c>
    </row>
    <row r="550" spans="1:6" x14ac:dyDescent="0.25">
      <c r="A550" s="14">
        <v>46144.277777777781</v>
      </c>
      <c r="B550" s="81" t="s">
        <v>149</v>
      </c>
      <c r="C550" s="81" t="s">
        <v>184</v>
      </c>
      <c r="D550" s="81" t="s">
        <v>163</v>
      </c>
      <c r="E550" s="81" t="s">
        <v>49</v>
      </c>
      <c r="F550" s="81" t="s">
        <v>2</v>
      </c>
    </row>
    <row r="551" spans="1:6" x14ac:dyDescent="0.25">
      <c r="A551" s="14">
        <v>46144.277777777781</v>
      </c>
      <c r="B551" s="81" t="s">
        <v>149</v>
      </c>
      <c r="C551" s="81" t="s">
        <v>187</v>
      </c>
      <c r="D551" s="81" t="s">
        <v>222</v>
      </c>
      <c r="E551" s="81" t="s">
        <v>71</v>
      </c>
      <c r="F551" s="81" t="s">
        <v>94</v>
      </c>
    </row>
    <row r="552" spans="1:6" x14ac:dyDescent="0.25">
      <c r="A552" s="14">
        <v>46144.277777777781</v>
      </c>
      <c r="B552" s="81" t="s">
        <v>149</v>
      </c>
      <c r="C552" s="81" t="s">
        <v>185</v>
      </c>
      <c r="D552" s="81" t="s">
        <v>156</v>
      </c>
      <c r="E552" s="81" t="s">
        <v>49</v>
      </c>
      <c r="F552" s="81" t="s">
        <v>2</v>
      </c>
    </row>
    <row r="553" spans="1:6" x14ac:dyDescent="0.25">
      <c r="A553" s="14">
        <v>46144.277777777781</v>
      </c>
      <c r="B553" s="81" t="s">
        <v>149</v>
      </c>
      <c r="C553" s="81" t="s">
        <v>151</v>
      </c>
      <c r="D553" s="81" t="s">
        <v>156</v>
      </c>
      <c r="E553" s="81" t="s">
        <v>49</v>
      </c>
      <c r="F553" s="81" t="s">
        <v>2</v>
      </c>
    </row>
    <row r="554" spans="1:6" x14ac:dyDescent="0.25">
      <c r="A554" s="14">
        <v>46144.277777777781</v>
      </c>
      <c r="B554" s="81" t="s">
        <v>149</v>
      </c>
      <c r="C554" s="81" t="s">
        <v>190</v>
      </c>
      <c r="D554" s="81" t="s">
        <v>156</v>
      </c>
      <c r="E554" s="81" t="s">
        <v>49</v>
      </c>
      <c r="F554" s="81" t="s">
        <v>2</v>
      </c>
    </row>
    <row r="555" spans="1:6" x14ac:dyDescent="0.25">
      <c r="A555" s="14">
        <v>46144.277777777781</v>
      </c>
      <c r="B555" s="81" t="s">
        <v>149</v>
      </c>
      <c r="C555" s="81" t="s">
        <v>190</v>
      </c>
      <c r="D555" s="81" t="s">
        <v>156</v>
      </c>
      <c r="E555" s="81" t="s">
        <v>49</v>
      </c>
      <c r="F555" s="81" t="s">
        <v>2</v>
      </c>
    </row>
    <row r="556" spans="1:6" x14ac:dyDescent="0.25">
      <c r="A556" s="14">
        <v>46144.277777777781</v>
      </c>
      <c r="B556" s="81" t="s">
        <v>149</v>
      </c>
      <c r="C556" s="81" t="s">
        <v>171</v>
      </c>
      <c r="D556" s="81" t="s">
        <v>253</v>
      </c>
      <c r="E556" s="81" t="s">
        <v>50</v>
      </c>
      <c r="F556" s="81" t="s">
        <v>1</v>
      </c>
    </row>
    <row r="557" spans="1:6" x14ac:dyDescent="0.25">
      <c r="A557" s="14">
        <v>46144.277777777781</v>
      </c>
      <c r="B557" s="81" t="s">
        <v>149</v>
      </c>
      <c r="C557" s="81" t="s">
        <v>190</v>
      </c>
      <c r="D557" s="81" t="s">
        <v>156</v>
      </c>
      <c r="E557" s="81" t="s">
        <v>49</v>
      </c>
      <c r="F557" s="81" t="s">
        <v>2</v>
      </c>
    </row>
    <row r="558" spans="1:6" x14ac:dyDescent="0.25">
      <c r="A558" s="14">
        <v>46144.277777777781</v>
      </c>
      <c r="B558" s="81" t="s">
        <v>149</v>
      </c>
      <c r="C558" s="81" t="s">
        <v>177</v>
      </c>
      <c r="D558" s="81" t="s">
        <v>156</v>
      </c>
      <c r="E558" s="81" t="s">
        <v>49</v>
      </c>
      <c r="F558" s="81" t="s">
        <v>2</v>
      </c>
    </row>
    <row r="559" spans="1:6" x14ac:dyDescent="0.25">
      <c r="A559" s="14">
        <v>46144.277777777781</v>
      </c>
      <c r="B559" s="81" t="s">
        <v>149</v>
      </c>
      <c r="C559" s="81" t="s">
        <v>255</v>
      </c>
      <c r="D559" s="81" t="s">
        <v>222</v>
      </c>
      <c r="E559" s="81" t="s">
        <v>256</v>
      </c>
      <c r="F559" s="81" t="s">
        <v>28</v>
      </c>
    </row>
    <row r="560" spans="1:6" x14ac:dyDescent="0.25">
      <c r="A560" s="14">
        <v>46144.277777777781</v>
      </c>
      <c r="B560" s="81" t="s">
        <v>149</v>
      </c>
      <c r="C560" s="81" t="s">
        <v>255</v>
      </c>
      <c r="D560" s="81" t="s">
        <v>222</v>
      </c>
      <c r="E560" s="81" t="s">
        <v>256</v>
      </c>
      <c r="F560" s="81" t="s">
        <v>28</v>
      </c>
    </row>
    <row r="561" spans="1:6" x14ac:dyDescent="0.25">
      <c r="A561" s="14">
        <v>46144.277777777781</v>
      </c>
      <c r="B561" s="81" t="s">
        <v>149</v>
      </c>
      <c r="C561" s="81" t="s">
        <v>182</v>
      </c>
      <c r="D561" s="81" t="s">
        <v>253</v>
      </c>
      <c r="E561" s="81" t="s">
        <v>50</v>
      </c>
      <c r="F561" s="81" t="s">
        <v>1</v>
      </c>
    </row>
    <row r="562" spans="1:6" x14ac:dyDescent="0.25">
      <c r="A562" s="14">
        <v>46144.277777777781</v>
      </c>
      <c r="B562" s="81" t="s">
        <v>149</v>
      </c>
      <c r="C562" s="81" t="s">
        <v>255</v>
      </c>
      <c r="D562" s="81" t="s">
        <v>163</v>
      </c>
      <c r="E562" s="81" t="s">
        <v>256</v>
      </c>
      <c r="F562" s="81" t="s">
        <v>28</v>
      </c>
    </row>
    <row r="563" spans="1:6" x14ac:dyDescent="0.25">
      <c r="A563" s="14">
        <v>46144.277777777781</v>
      </c>
      <c r="B563" s="81" t="s">
        <v>149</v>
      </c>
      <c r="C563" s="81" t="s">
        <v>200</v>
      </c>
      <c r="D563" s="81" t="s">
        <v>245</v>
      </c>
      <c r="E563" s="81" t="s">
        <v>125</v>
      </c>
      <c r="F563" s="81" t="s">
        <v>124</v>
      </c>
    </row>
    <row r="564" spans="1:6" x14ac:dyDescent="0.25">
      <c r="A564" s="14">
        <v>46144.277777777781</v>
      </c>
      <c r="B564" s="81" t="s">
        <v>149</v>
      </c>
      <c r="C564" s="81" t="s">
        <v>184</v>
      </c>
      <c r="D564" s="81" t="s">
        <v>245</v>
      </c>
      <c r="E564" s="81" t="s">
        <v>49</v>
      </c>
      <c r="F564" s="81" t="s">
        <v>2</v>
      </c>
    </row>
    <row r="565" spans="1:6" x14ac:dyDescent="0.25">
      <c r="A565" s="14">
        <v>46144.277777777781</v>
      </c>
      <c r="B565" s="81" t="s">
        <v>149</v>
      </c>
      <c r="C565" s="81" t="s">
        <v>158</v>
      </c>
      <c r="D565" s="81" t="s">
        <v>253</v>
      </c>
      <c r="E565" s="81" t="s">
        <v>52</v>
      </c>
      <c r="F565" s="81" t="s">
        <v>0</v>
      </c>
    </row>
    <row r="566" spans="1:6" x14ac:dyDescent="0.25">
      <c r="A566" s="14">
        <v>46144.277777777781</v>
      </c>
      <c r="B566" s="81" t="s">
        <v>149</v>
      </c>
      <c r="C566" s="81" t="s">
        <v>171</v>
      </c>
      <c r="D566" s="81" t="s">
        <v>163</v>
      </c>
      <c r="E566" s="81" t="s">
        <v>50</v>
      </c>
      <c r="F566" s="81" t="s">
        <v>1</v>
      </c>
    </row>
    <row r="567" spans="1:6" x14ac:dyDescent="0.25">
      <c r="A567" s="14">
        <v>46144.277777777781</v>
      </c>
      <c r="B567" s="81" t="s">
        <v>149</v>
      </c>
      <c r="C567" s="81" t="s">
        <v>255</v>
      </c>
      <c r="D567" s="81" t="s">
        <v>245</v>
      </c>
      <c r="E567" s="81" t="s">
        <v>256</v>
      </c>
      <c r="F567" s="81" t="s">
        <v>28</v>
      </c>
    </row>
    <row r="568" spans="1:6" x14ac:dyDescent="0.25">
      <c r="A568" s="14">
        <v>46144.277777777781</v>
      </c>
      <c r="B568" s="81" t="s">
        <v>149</v>
      </c>
      <c r="C568" s="81" t="s">
        <v>255</v>
      </c>
      <c r="D568" s="81" t="s">
        <v>245</v>
      </c>
      <c r="E568" s="81" t="s">
        <v>256</v>
      </c>
      <c r="F568" s="81" t="s">
        <v>28</v>
      </c>
    </row>
    <row r="569" spans="1:6" x14ac:dyDescent="0.25">
      <c r="A569" s="14">
        <v>46144.277777777781</v>
      </c>
      <c r="B569" s="81" t="s">
        <v>149</v>
      </c>
      <c r="C569" s="81" t="s">
        <v>215</v>
      </c>
      <c r="D569" s="81" t="s">
        <v>163</v>
      </c>
      <c r="E569" s="81" t="s">
        <v>64</v>
      </c>
      <c r="F569" s="81" t="s">
        <v>98</v>
      </c>
    </row>
    <row r="570" spans="1:6" x14ac:dyDescent="0.25">
      <c r="A570" s="14">
        <v>46144.277777777781</v>
      </c>
      <c r="B570" s="81" t="s">
        <v>149</v>
      </c>
      <c r="C570" s="81" t="s">
        <v>175</v>
      </c>
      <c r="D570" s="81" t="s">
        <v>240</v>
      </c>
      <c r="E570" s="81" t="s">
        <v>50</v>
      </c>
      <c r="F570" s="81" t="s">
        <v>1</v>
      </c>
    </row>
    <row r="571" spans="1:6" x14ac:dyDescent="0.25">
      <c r="A571" s="14">
        <v>46144.277777777781</v>
      </c>
      <c r="B571" s="81" t="s">
        <v>149</v>
      </c>
      <c r="C571" s="81" t="s">
        <v>190</v>
      </c>
      <c r="D571" s="81" t="s">
        <v>163</v>
      </c>
      <c r="E571" s="81" t="s">
        <v>52</v>
      </c>
      <c r="F571" s="81" t="s">
        <v>0</v>
      </c>
    </row>
    <row r="572" spans="1:6" x14ac:dyDescent="0.25">
      <c r="A572" s="14">
        <v>46144.277777777781</v>
      </c>
      <c r="B572" s="81" t="s">
        <v>149</v>
      </c>
      <c r="C572" s="81" t="s">
        <v>175</v>
      </c>
      <c r="D572" s="81" t="s">
        <v>253</v>
      </c>
      <c r="E572" s="81" t="s">
        <v>50</v>
      </c>
      <c r="F572" s="81" t="s">
        <v>1</v>
      </c>
    </row>
    <row r="573" spans="1:6" x14ac:dyDescent="0.25">
      <c r="A573" s="14">
        <v>46144.277777777781</v>
      </c>
      <c r="B573" s="81" t="s">
        <v>149</v>
      </c>
      <c r="C573" s="81" t="s">
        <v>177</v>
      </c>
      <c r="D573" s="81" t="s">
        <v>163</v>
      </c>
      <c r="E573" s="81" t="s">
        <v>50</v>
      </c>
      <c r="F573" s="81" t="s">
        <v>1</v>
      </c>
    </row>
    <row r="574" spans="1:6" x14ac:dyDescent="0.25">
      <c r="A574" s="14">
        <v>46144.277777777781</v>
      </c>
      <c r="B574" s="81" t="s">
        <v>149</v>
      </c>
      <c r="C574" s="81" t="s">
        <v>190</v>
      </c>
      <c r="D574" s="81" t="s">
        <v>247</v>
      </c>
      <c r="E574" s="81" t="s">
        <v>50</v>
      </c>
      <c r="F574" s="81" t="s">
        <v>1</v>
      </c>
    </row>
    <row r="575" spans="1:6" x14ac:dyDescent="0.25">
      <c r="A575" s="14">
        <v>46144.277777777781</v>
      </c>
      <c r="B575" s="81" t="s">
        <v>149</v>
      </c>
      <c r="C575" s="81" t="s">
        <v>182</v>
      </c>
      <c r="D575" s="81" t="s">
        <v>240</v>
      </c>
      <c r="E575" s="81" t="s">
        <v>50</v>
      </c>
      <c r="F575" s="81" t="s">
        <v>1</v>
      </c>
    </row>
    <row r="576" spans="1:6" x14ac:dyDescent="0.25">
      <c r="A576" s="14">
        <v>46144.277777777781</v>
      </c>
      <c r="B576" s="81" t="s">
        <v>149</v>
      </c>
      <c r="C576" s="81" t="s">
        <v>190</v>
      </c>
      <c r="D576" s="81" t="s">
        <v>240</v>
      </c>
      <c r="E576" s="81" t="s">
        <v>52</v>
      </c>
      <c r="F576" s="81" t="s">
        <v>0</v>
      </c>
    </row>
    <row r="577" spans="1:6" x14ac:dyDescent="0.25">
      <c r="A577" s="14">
        <v>46144.277777777781</v>
      </c>
      <c r="B577" s="81" t="s">
        <v>149</v>
      </c>
      <c r="C577" s="81" t="s">
        <v>183</v>
      </c>
      <c r="D577" s="81" t="s">
        <v>240</v>
      </c>
      <c r="E577" s="81" t="s">
        <v>50</v>
      </c>
      <c r="F577" s="81" t="s">
        <v>1</v>
      </c>
    </row>
    <row r="578" spans="1:6" x14ac:dyDescent="0.25">
      <c r="A578" s="14">
        <v>46144.277777777781</v>
      </c>
      <c r="B578" s="81" t="s">
        <v>149</v>
      </c>
      <c r="C578" s="81" t="s">
        <v>184</v>
      </c>
      <c r="D578" s="81" t="s">
        <v>240</v>
      </c>
      <c r="E578" s="81" t="s">
        <v>50</v>
      </c>
      <c r="F578" s="81" t="s">
        <v>1</v>
      </c>
    </row>
    <row r="579" spans="1:6" x14ac:dyDescent="0.25">
      <c r="A579" s="14">
        <v>46144.277777777781</v>
      </c>
      <c r="B579" s="81" t="s">
        <v>149</v>
      </c>
      <c r="C579" s="81" t="s">
        <v>172</v>
      </c>
      <c r="D579" s="81" t="s">
        <v>222</v>
      </c>
      <c r="E579" s="81" t="s">
        <v>64</v>
      </c>
      <c r="F579" s="81" t="s">
        <v>98</v>
      </c>
    </row>
    <row r="580" spans="1:6" x14ac:dyDescent="0.25">
      <c r="A580" s="14">
        <v>46144.277777777781</v>
      </c>
      <c r="B580" s="81" t="s">
        <v>149</v>
      </c>
      <c r="C580" s="81" t="s">
        <v>220</v>
      </c>
      <c r="D580" s="81" t="s">
        <v>222</v>
      </c>
      <c r="E580" s="81" t="s">
        <v>65</v>
      </c>
      <c r="F580" s="81" t="s">
        <v>99</v>
      </c>
    </row>
    <row r="581" spans="1:6" x14ac:dyDescent="0.25">
      <c r="A581" s="14">
        <v>46144.277777777781</v>
      </c>
      <c r="B581" s="81" t="s">
        <v>149</v>
      </c>
      <c r="C581" s="81" t="s">
        <v>185</v>
      </c>
      <c r="D581" s="81" t="s">
        <v>155</v>
      </c>
      <c r="E581" s="81" t="s">
        <v>50</v>
      </c>
      <c r="F581" s="81" t="s">
        <v>1</v>
      </c>
    </row>
    <row r="582" spans="1:6" x14ac:dyDescent="0.25">
      <c r="A582" s="14">
        <v>46144.277777777781</v>
      </c>
      <c r="B582" s="81" t="s">
        <v>149</v>
      </c>
      <c r="C582" s="81" t="s">
        <v>175</v>
      </c>
      <c r="D582" s="81" t="s">
        <v>155</v>
      </c>
      <c r="E582" s="81" t="s">
        <v>50</v>
      </c>
      <c r="F582" s="81" t="s">
        <v>1</v>
      </c>
    </row>
    <row r="583" spans="1:6" x14ac:dyDescent="0.25">
      <c r="A583" s="14">
        <v>46144.277777777781</v>
      </c>
      <c r="B583" s="81" t="s">
        <v>149</v>
      </c>
      <c r="C583" s="81" t="s">
        <v>255</v>
      </c>
      <c r="D583" s="81" t="s">
        <v>222</v>
      </c>
      <c r="E583" s="81" t="s">
        <v>256</v>
      </c>
      <c r="F583" s="81" t="s">
        <v>28</v>
      </c>
    </row>
    <row r="584" spans="1:6" x14ac:dyDescent="0.25">
      <c r="A584" s="14">
        <v>46144.277777777781</v>
      </c>
      <c r="B584" s="81" t="s">
        <v>149</v>
      </c>
      <c r="C584" s="81" t="s">
        <v>255</v>
      </c>
      <c r="D584" s="81" t="s">
        <v>222</v>
      </c>
      <c r="E584" s="81" t="s">
        <v>256</v>
      </c>
      <c r="F584" s="81" t="s">
        <v>28</v>
      </c>
    </row>
    <row r="585" spans="1:6" x14ac:dyDescent="0.25">
      <c r="A585" s="14">
        <v>46144.277777777781</v>
      </c>
      <c r="B585" s="81" t="s">
        <v>149</v>
      </c>
      <c r="C585" s="81" t="s">
        <v>176</v>
      </c>
      <c r="D585" s="81" t="s">
        <v>247</v>
      </c>
      <c r="E585" s="81" t="s">
        <v>70</v>
      </c>
      <c r="F585" s="81" t="s">
        <v>15</v>
      </c>
    </row>
    <row r="586" spans="1:6" x14ac:dyDescent="0.25">
      <c r="A586" s="14">
        <v>46144.277777777781</v>
      </c>
      <c r="B586" s="81" t="s">
        <v>149</v>
      </c>
      <c r="C586" s="81" t="s">
        <v>151</v>
      </c>
      <c r="D586" s="81" t="s">
        <v>155</v>
      </c>
      <c r="E586" s="81" t="s">
        <v>50</v>
      </c>
      <c r="F586" s="81" t="s">
        <v>1</v>
      </c>
    </row>
    <row r="587" spans="1:6" x14ac:dyDescent="0.25">
      <c r="A587" s="14">
        <v>46144.277777777781</v>
      </c>
      <c r="B587" s="81" t="s">
        <v>149</v>
      </c>
      <c r="C587" s="81" t="s">
        <v>192</v>
      </c>
      <c r="D587" s="81" t="s">
        <v>155</v>
      </c>
      <c r="E587" s="81" t="s">
        <v>60</v>
      </c>
      <c r="F587" s="81" t="s">
        <v>28</v>
      </c>
    </row>
    <row r="588" spans="1:6" x14ac:dyDescent="0.25">
      <c r="A588" s="14">
        <v>46144.277777777781</v>
      </c>
      <c r="B588" s="81" t="s">
        <v>149</v>
      </c>
      <c r="C588" s="81" t="s">
        <v>213</v>
      </c>
      <c r="D588" s="81" t="s">
        <v>222</v>
      </c>
      <c r="E588" s="81" t="s">
        <v>64</v>
      </c>
      <c r="F588" s="81" t="s">
        <v>98</v>
      </c>
    </row>
    <row r="589" spans="1:6" x14ac:dyDescent="0.25">
      <c r="A589" s="14">
        <v>46144.277777777781</v>
      </c>
      <c r="B589" s="81" t="s">
        <v>149</v>
      </c>
      <c r="C589" s="81" t="s">
        <v>177</v>
      </c>
      <c r="D589" s="81" t="s">
        <v>236</v>
      </c>
      <c r="E589" s="81" t="s">
        <v>50</v>
      </c>
      <c r="F589" s="81" t="s">
        <v>1</v>
      </c>
    </row>
    <row r="590" spans="1:6" x14ac:dyDescent="0.25">
      <c r="A590" s="14">
        <v>46144.277777777781</v>
      </c>
      <c r="B590" s="81" t="s">
        <v>149</v>
      </c>
      <c r="C590" s="81" t="s">
        <v>200</v>
      </c>
      <c r="D590" s="81" t="s">
        <v>236</v>
      </c>
      <c r="E590" s="81" t="s">
        <v>123</v>
      </c>
      <c r="F590" s="81" t="s">
        <v>124</v>
      </c>
    </row>
    <row r="591" spans="1:6" x14ac:dyDescent="0.25">
      <c r="A591" s="14">
        <v>46144.277777777781</v>
      </c>
      <c r="B591" s="81" t="s">
        <v>149</v>
      </c>
      <c r="C591" s="81" t="s">
        <v>173</v>
      </c>
      <c r="D591" s="81" t="s">
        <v>166</v>
      </c>
      <c r="E591" s="81" t="s">
        <v>50</v>
      </c>
      <c r="F591" s="81" t="s">
        <v>1</v>
      </c>
    </row>
    <row r="592" spans="1:6" x14ac:dyDescent="0.25">
      <c r="A592" s="14">
        <v>46144.277777777781</v>
      </c>
      <c r="B592" s="81" t="s">
        <v>149</v>
      </c>
      <c r="C592" s="81" t="s">
        <v>175</v>
      </c>
      <c r="D592" s="81" t="s">
        <v>156</v>
      </c>
      <c r="E592" s="81" t="s">
        <v>49</v>
      </c>
      <c r="F592" s="81" t="s">
        <v>2</v>
      </c>
    </row>
    <row r="593" spans="1:6" x14ac:dyDescent="0.25">
      <c r="A593" s="14">
        <v>46144.277777777781</v>
      </c>
      <c r="B593" s="81" t="s">
        <v>149</v>
      </c>
      <c r="C593" s="81" t="s">
        <v>177</v>
      </c>
      <c r="D593" s="81" t="s">
        <v>163</v>
      </c>
      <c r="E593" s="81" t="s">
        <v>52</v>
      </c>
      <c r="F593" s="81" t="s">
        <v>0</v>
      </c>
    </row>
    <row r="594" spans="1:6" x14ac:dyDescent="0.25">
      <c r="A594" s="14">
        <v>46144.277777777781</v>
      </c>
      <c r="B594" s="81" t="s">
        <v>149</v>
      </c>
      <c r="C594" s="81" t="s">
        <v>182</v>
      </c>
      <c r="D594" s="81" t="s">
        <v>236</v>
      </c>
      <c r="E594" s="81" t="s">
        <v>50</v>
      </c>
      <c r="F594" s="81" t="s">
        <v>1</v>
      </c>
    </row>
    <row r="595" spans="1:6" x14ac:dyDescent="0.25">
      <c r="A595" s="14">
        <v>46144.277777777781</v>
      </c>
      <c r="B595" s="81" t="s">
        <v>149</v>
      </c>
      <c r="C595" s="81" t="s">
        <v>255</v>
      </c>
      <c r="D595" s="81" t="s">
        <v>222</v>
      </c>
      <c r="E595" s="81" t="s">
        <v>256</v>
      </c>
      <c r="F595" s="81" t="s">
        <v>28</v>
      </c>
    </row>
    <row r="596" spans="1:6" x14ac:dyDescent="0.25">
      <c r="A596" s="14">
        <v>46144.277777777781</v>
      </c>
      <c r="B596" s="81" t="s">
        <v>149</v>
      </c>
      <c r="C596" s="81" t="s">
        <v>255</v>
      </c>
      <c r="D596" s="81" t="s">
        <v>222</v>
      </c>
      <c r="E596" s="81" t="s">
        <v>256</v>
      </c>
      <c r="F596" s="81" t="s">
        <v>28</v>
      </c>
    </row>
    <row r="597" spans="1:6" x14ac:dyDescent="0.25">
      <c r="A597" s="14">
        <v>46144.277777777781</v>
      </c>
      <c r="B597" s="81" t="s">
        <v>149</v>
      </c>
      <c r="C597" s="81" t="s">
        <v>255</v>
      </c>
      <c r="D597" s="81" t="s">
        <v>159</v>
      </c>
      <c r="E597" s="81" t="s">
        <v>256</v>
      </c>
      <c r="F597" s="81" t="s">
        <v>28</v>
      </c>
    </row>
    <row r="598" spans="1:6" x14ac:dyDescent="0.25">
      <c r="A598" s="14">
        <v>46144.277777777781</v>
      </c>
      <c r="B598" s="81" t="s">
        <v>149</v>
      </c>
      <c r="C598" s="81" t="s">
        <v>177</v>
      </c>
      <c r="D598" s="81" t="s">
        <v>251</v>
      </c>
      <c r="E598" s="81" t="s">
        <v>49</v>
      </c>
      <c r="F598" s="81" t="s">
        <v>2</v>
      </c>
    </row>
    <row r="599" spans="1:6" x14ac:dyDescent="0.25">
      <c r="A599" s="14">
        <v>46144.277777777781</v>
      </c>
      <c r="B599" s="81" t="s">
        <v>149</v>
      </c>
      <c r="C599" s="81" t="s">
        <v>176</v>
      </c>
      <c r="D599" s="81" t="s">
        <v>222</v>
      </c>
      <c r="E599" s="81" t="s">
        <v>44</v>
      </c>
      <c r="F599" s="81" t="s">
        <v>17</v>
      </c>
    </row>
    <row r="600" spans="1:6" x14ac:dyDescent="0.25">
      <c r="A600" s="14">
        <v>46144.277777777781</v>
      </c>
      <c r="B600" s="81" t="s">
        <v>149</v>
      </c>
      <c r="C600" s="81" t="s">
        <v>151</v>
      </c>
      <c r="D600" s="81" t="s">
        <v>251</v>
      </c>
      <c r="E600" s="81" t="s">
        <v>49</v>
      </c>
      <c r="F600" s="81" t="s">
        <v>2</v>
      </c>
    </row>
    <row r="601" spans="1:6" x14ac:dyDescent="0.25">
      <c r="A601" s="14">
        <v>46144.277777777781</v>
      </c>
      <c r="B601" s="81" t="s">
        <v>149</v>
      </c>
      <c r="C601" s="81" t="s">
        <v>158</v>
      </c>
      <c r="D601" s="81" t="s">
        <v>251</v>
      </c>
      <c r="E601" s="81" t="s">
        <v>50</v>
      </c>
      <c r="F601" s="81" t="s">
        <v>1</v>
      </c>
    </row>
    <row r="602" spans="1:6" x14ac:dyDescent="0.25">
      <c r="A602" s="14">
        <v>46144.277777777781</v>
      </c>
      <c r="B602" s="81" t="s">
        <v>149</v>
      </c>
      <c r="C602" s="81" t="s">
        <v>181</v>
      </c>
      <c r="D602" s="81" t="s">
        <v>251</v>
      </c>
      <c r="E602" s="81" t="s">
        <v>49</v>
      </c>
      <c r="F602" s="81" t="s">
        <v>2</v>
      </c>
    </row>
    <row r="603" spans="1:6" x14ac:dyDescent="0.25">
      <c r="A603" s="14">
        <v>46144.277777777781</v>
      </c>
      <c r="B603" s="81" t="s">
        <v>149</v>
      </c>
      <c r="C603" s="81" t="s">
        <v>192</v>
      </c>
      <c r="D603" s="81" t="s">
        <v>191</v>
      </c>
      <c r="E603" s="81" t="s">
        <v>60</v>
      </c>
      <c r="F603" s="81" t="s">
        <v>28</v>
      </c>
    </row>
    <row r="604" spans="1:6" x14ac:dyDescent="0.25">
      <c r="A604" s="14">
        <v>46144.277777777781</v>
      </c>
      <c r="B604" s="81" t="s">
        <v>149</v>
      </c>
      <c r="C604" s="81" t="s">
        <v>183</v>
      </c>
      <c r="D604" s="81" t="s">
        <v>221</v>
      </c>
      <c r="E604" s="81" t="s">
        <v>52</v>
      </c>
      <c r="F604" s="81" t="s">
        <v>0</v>
      </c>
    </row>
    <row r="605" spans="1:6" x14ac:dyDescent="0.25">
      <c r="A605" s="14">
        <v>46144.277777777781</v>
      </c>
      <c r="B605" s="81" t="s">
        <v>149</v>
      </c>
      <c r="C605" s="81" t="s">
        <v>255</v>
      </c>
      <c r="D605" s="81" t="s">
        <v>180</v>
      </c>
      <c r="E605" s="81" t="s">
        <v>256</v>
      </c>
      <c r="F605" s="81" t="s">
        <v>28</v>
      </c>
    </row>
    <row r="606" spans="1:6" x14ac:dyDescent="0.25">
      <c r="A606" s="14">
        <v>46144.277777777781</v>
      </c>
      <c r="B606" s="81" t="s">
        <v>149</v>
      </c>
      <c r="C606" s="81" t="s">
        <v>177</v>
      </c>
      <c r="D606" s="81" t="s">
        <v>257</v>
      </c>
      <c r="E606" s="81" t="s">
        <v>52</v>
      </c>
      <c r="F606" s="81" t="s">
        <v>0</v>
      </c>
    </row>
    <row r="607" spans="1:6" x14ac:dyDescent="0.25">
      <c r="A607" s="14">
        <v>46144.277777777781</v>
      </c>
      <c r="B607" s="81" t="s">
        <v>149</v>
      </c>
      <c r="C607" s="81" t="s">
        <v>190</v>
      </c>
      <c r="D607" s="81" t="s">
        <v>221</v>
      </c>
      <c r="E607" s="81" t="s">
        <v>52</v>
      </c>
      <c r="F607" s="81" t="s">
        <v>0</v>
      </c>
    </row>
    <row r="608" spans="1:6" x14ac:dyDescent="0.25">
      <c r="A608" s="14">
        <v>46144.277777777781</v>
      </c>
      <c r="B608" s="81" t="s">
        <v>149</v>
      </c>
      <c r="C608" s="81" t="s">
        <v>171</v>
      </c>
      <c r="D608" s="81" t="s">
        <v>191</v>
      </c>
      <c r="E608" s="81" t="s">
        <v>52</v>
      </c>
      <c r="F608" s="81" t="s">
        <v>0</v>
      </c>
    </row>
    <row r="609" spans="1:6" x14ac:dyDescent="0.25">
      <c r="A609" s="14">
        <v>46144.277777777781</v>
      </c>
      <c r="B609" s="81" t="s">
        <v>149</v>
      </c>
      <c r="C609" s="81" t="s">
        <v>172</v>
      </c>
      <c r="D609" s="81" t="s">
        <v>251</v>
      </c>
      <c r="E609" s="81" t="s">
        <v>64</v>
      </c>
      <c r="F609" s="81" t="s">
        <v>98</v>
      </c>
    </row>
    <row r="610" spans="1:6" x14ac:dyDescent="0.25">
      <c r="A610" s="14">
        <v>46144.277777777781</v>
      </c>
      <c r="B610" s="81" t="s">
        <v>149</v>
      </c>
      <c r="C610" s="81" t="s">
        <v>181</v>
      </c>
      <c r="D610" s="81" t="s">
        <v>254</v>
      </c>
      <c r="E610" s="81" t="s">
        <v>50</v>
      </c>
      <c r="F610" s="81" t="s">
        <v>1</v>
      </c>
    </row>
    <row r="611" spans="1:6" x14ac:dyDescent="0.25">
      <c r="A611" s="14">
        <v>46144.277777777781</v>
      </c>
      <c r="B611" s="81" t="s">
        <v>149</v>
      </c>
      <c r="C611" s="81" t="s">
        <v>158</v>
      </c>
      <c r="D611" s="81" t="s">
        <v>180</v>
      </c>
      <c r="E611" s="81" t="s">
        <v>50</v>
      </c>
      <c r="F611" s="81" t="s">
        <v>1</v>
      </c>
    </row>
    <row r="612" spans="1:6" x14ac:dyDescent="0.25">
      <c r="A612" s="14">
        <v>46144.277777777781</v>
      </c>
      <c r="B612" s="81" t="s">
        <v>149</v>
      </c>
      <c r="C612" s="81" t="s">
        <v>173</v>
      </c>
      <c r="D612" s="81" t="s">
        <v>191</v>
      </c>
      <c r="E612" s="81" t="s">
        <v>50</v>
      </c>
      <c r="F612" s="81" t="s">
        <v>1</v>
      </c>
    </row>
    <row r="613" spans="1:6" x14ac:dyDescent="0.25">
      <c r="A613" s="14">
        <v>46144.277777777781</v>
      </c>
      <c r="B613" s="81" t="s">
        <v>149</v>
      </c>
      <c r="C613" s="81" t="s">
        <v>175</v>
      </c>
      <c r="D613" s="81" t="s">
        <v>180</v>
      </c>
      <c r="E613" s="81" t="s">
        <v>50</v>
      </c>
      <c r="F613" s="81" t="s">
        <v>1</v>
      </c>
    </row>
    <row r="614" spans="1:6" x14ac:dyDescent="0.25">
      <c r="A614" s="14">
        <v>46144.277777777781</v>
      </c>
      <c r="B614" s="81" t="s">
        <v>149</v>
      </c>
      <c r="C614" s="81" t="s">
        <v>173</v>
      </c>
      <c r="D614" s="81" t="s">
        <v>180</v>
      </c>
      <c r="E614" s="81" t="s">
        <v>52</v>
      </c>
      <c r="F614" s="81" t="s">
        <v>0</v>
      </c>
    </row>
    <row r="615" spans="1:6" x14ac:dyDescent="0.25">
      <c r="A615" s="14">
        <v>46144.277777777781</v>
      </c>
      <c r="B615" s="81" t="s">
        <v>149</v>
      </c>
      <c r="C615" s="81" t="s">
        <v>177</v>
      </c>
      <c r="D615" s="81" t="s">
        <v>257</v>
      </c>
      <c r="E615" s="81" t="s">
        <v>52</v>
      </c>
      <c r="F615" s="81" t="s">
        <v>0</v>
      </c>
    </row>
    <row r="616" spans="1:6" x14ac:dyDescent="0.25">
      <c r="A616" s="14">
        <v>46144.277777777781</v>
      </c>
      <c r="B616" s="81" t="s">
        <v>149</v>
      </c>
      <c r="C616" s="81" t="s">
        <v>176</v>
      </c>
      <c r="D616" s="81" t="s">
        <v>180</v>
      </c>
      <c r="E616" s="81" t="s">
        <v>70</v>
      </c>
      <c r="F616" s="81" t="s">
        <v>15</v>
      </c>
    </row>
    <row r="617" spans="1:6" x14ac:dyDescent="0.25">
      <c r="A617" s="14">
        <v>46144.277777777781</v>
      </c>
      <c r="B617" s="81" t="s">
        <v>149</v>
      </c>
      <c r="C617" s="81" t="s">
        <v>227</v>
      </c>
      <c r="D617" s="81" t="s">
        <v>179</v>
      </c>
      <c r="E617" s="81" t="s">
        <v>64</v>
      </c>
      <c r="F617" s="81" t="s">
        <v>98</v>
      </c>
    </row>
    <row r="618" spans="1:6" x14ac:dyDescent="0.25">
      <c r="A618" s="14">
        <v>46144.277777777781</v>
      </c>
      <c r="B618" s="81" t="s">
        <v>149</v>
      </c>
      <c r="C618" s="81" t="s">
        <v>158</v>
      </c>
      <c r="D618" s="81" t="s">
        <v>180</v>
      </c>
      <c r="E618" s="81" t="s">
        <v>52</v>
      </c>
      <c r="F618" s="81" t="s">
        <v>0</v>
      </c>
    </row>
    <row r="619" spans="1:6" x14ac:dyDescent="0.25">
      <c r="A619" s="14">
        <v>46144.277777777781</v>
      </c>
      <c r="B619" s="81" t="s">
        <v>149</v>
      </c>
      <c r="C619" s="81" t="s">
        <v>151</v>
      </c>
      <c r="D619" s="81" t="s">
        <v>180</v>
      </c>
      <c r="E619" s="81" t="s">
        <v>52</v>
      </c>
      <c r="F619" s="81" t="s">
        <v>0</v>
      </c>
    </row>
    <row r="620" spans="1:6" x14ac:dyDescent="0.25">
      <c r="A620" s="14">
        <v>46144.277777777781</v>
      </c>
      <c r="B620" s="81" t="s">
        <v>149</v>
      </c>
      <c r="C620" s="81" t="s">
        <v>187</v>
      </c>
      <c r="D620" s="81" t="s">
        <v>166</v>
      </c>
      <c r="E620" s="81" t="s">
        <v>75</v>
      </c>
      <c r="F620" s="81" t="s">
        <v>93</v>
      </c>
    </row>
    <row r="621" spans="1:6" x14ac:dyDescent="0.25">
      <c r="A621" s="14">
        <v>46144.277777777781</v>
      </c>
      <c r="B621" s="81" t="s">
        <v>149</v>
      </c>
      <c r="C621" s="81" t="s">
        <v>185</v>
      </c>
      <c r="D621" s="81" t="s">
        <v>180</v>
      </c>
      <c r="E621" s="81" t="s">
        <v>50</v>
      </c>
      <c r="F621" s="81" t="s">
        <v>1</v>
      </c>
    </row>
    <row r="622" spans="1:6" x14ac:dyDescent="0.25">
      <c r="A622" s="14">
        <v>46144.277777777781</v>
      </c>
      <c r="B622" s="81" t="s">
        <v>149</v>
      </c>
      <c r="C622" s="81" t="s">
        <v>173</v>
      </c>
      <c r="D622" s="81" t="s">
        <v>166</v>
      </c>
      <c r="E622" s="81" t="s">
        <v>50</v>
      </c>
      <c r="F622" s="81" t="s">
        <v>1</v>
      </c>
    </row>
    <row r="623" spans="1:6" x14ac:dyDescent="0.25">
      <c r="A623" s="14">
        <v>46144.277777777781</v>
      </c>
      <c r="B623" s="81" t="s">
        <v>149</v>
      </c>
      <c r="C623" s="81" t="s">
        <v>190</v>
      </c>
      <c r="D623" s="81" t="s">
        <v>166</v>
      </c>
      <c r="E623" s="81" t="s">
        <v>50</v>
      </c>
      <c r="F623" s="81" t="s">
        <v>1</v>
      </c>
    </row>
    <row r="624" spans="1:6" x14ac:dyDescent="0.25">
      <c r="A624" s="14">
        <v>46144.277777777781</v>
      </c>
      <c r="B624" s="81" t="s">
        <v>149</v>
      </c>
      <c r="C624" s="81" t="s">
        <v>158</v>
      </c>
      <c r="D624" s="81" t="s">
        <v>257</v>
      </c>
      <c r="E624" s="81" t="s">
        <v>50</v>
      </c>
      <c r="F624" s="81" t="s">
        <v>1</v>
      </c>
    </row>
    <row r="625" spans="1:6" x14ac:dyDescent="0.25">
      <c r="A625" s="14">
        <v>46144.277777777781</v>
      </c>
      <c r="B625" s="81" t="s">
        <v>149</v>
      </c>
      <c r="C625" s="81" t="s">
        <v>185</v>
      </c>
      <c r="D625" s="81" t="s">
        <v>180</v>
      </c>
      <c r="E625" s="81" t="s">
        <v>50</v>
      </c>
      <c r="F625" s="81" t="s">
        <v>1</v>
      </c>
    </row>
    <row r="626" spans="1:6" x14ac:dyDescent="0.25">
      <c r="A626" s="14">
        <v>46144.277777777781</v>
      </c>
      <c r="B626" s="81" t="s">
        <v>149</v>
      </c>
      <c r="C626" s="81" t="s">
        <v>171</v>
      </c>
      <c r="D626" s="81" t="s">
        <v>246</v>
      </c>
      <c r="E626" s="81" t="s">
        <v>50</v>
      </c>
      <c r="F626" s="81" t="s">
        <v>1</v>
      </c>
    </row>
    <row r="627" spans="1:6" x14ac:dyDescent="0.25">
      <c r="A627" s="14">
        <v>46144.277777777781</v>
      </c>
      <c r="B627" s="81" t="s">
        <v>149</v>
      </c>
      <c r="C627" s="81" t="s">
        <v>183</v>
      </c>
      <c r="D627" s="81" t="s">
        <v>153</v>
      </c>
      <c r="E627" s="81" t="s">
        <v>50</v>
      </c>
      <c r="F627" s="81" t="s">
        <v>1</v>
      </c>
    </row>
    <row r="628" spans="1:6" x14ac:dyDescent="0.25">
      <c r="A628" s="14">
        <v>46144.277777777781</v>
      </c>
      <c r="B628" s="81" t="s">
        <v>149</v>
      </c>
      <c r="C628" s="81" t="s">
        <v>255</v>
      </c>
      <c r="D628" s="81" t="s">
        <v>168</v>
      </c>
      <c r="E628" s="81" t="s">
        <v>256</v>
      </c>
      <c r="F628" s="81" t="s">
        <v>28</v>
      </c>
    </row>
    <row r="629" spans="1:6" x14ac:dyDescent="0.25">
      <c r="A629" s="14">
        <v>46144.277777777781</v>
      </c>
      <c r="B629" s="81" t="s">
        <v>149</v>
      </c>
      <c r="C629" s="81" t="s">
        <v>185</v>
      </c>
      <c r="D629" s="81" t="s">
        <v>257</v>
      </c>
      <c r="E629" s="81" t="s">
        <v>52</v>
      </c>
      <c r="F629" s="81" t="s">
        <v>0</v>
      </c>
    </row>
    <row r="630" spans="1:6" x14ac:dyDescent="0.25">
      <c r="A630" s="14">
        <v>46144.277777777781</v>
      </c>
      <c r="B630" s="81" t="s">
        <v>149</v>
      </c>
      <c r="C630" s="81" t="s">
        <v>255</v>
      </c>
      <c r="D630" s="81" t="s">
        <v>251</v>
      </c>
      <c r="E630" s="81" t="s">
        <v>256</v>
      </c>
      <c r="F630" s="81" t="s">
        <v>28</v>
      </c>
    </row>
    <row r="631" spans="1:6" x14ac:dyDescent="0.25">
      <c r="A631" s="14">
        <v>46144.277777777781</v>
      </c>
      <c r="B631" s="81" t="s">
        <v>149</v>
      </c>
      <c r="C631" s="81" t="s">
        <v>173</v>
      </c>
      <c r="D631" s="81" t="s">
        <v>166</v>
      </c>
      <c r="E631" s="81" t="s">
        <v>50</v>
      </c>
      <c r="F631" s="81" t="s">
        <v>1</v>
      </c>
    </row>
    <row r="632" spans="1:6" x14ac:dyDescent="0.25">
      <c r="A632" s="14">
        <v>46144.277777777781</v>
      </c>
      <c r="B632" s="81" t="s">
        <v>149</v>
      </c>
      <c r="C632" s="81" t="s">
        <v>182</v>
      </c>
      <c r="D632" s="81" t="s">
        <v>153</v>
      </c>
      <c r="E632" s="81" t="s">
        <v>50</v>
      </c>
      <c r="F632" s="81" t="s">
        <v>1</v>
      </c>
    </row>
    <row r="633" spans="1:6" x14ac:dyDescent="0.25">
      <c r="A633" s="14">
        <v>46144.277777777781</v>
      </c>
      <c r="B633" s="81" t="s">
        <v>149</v>
      </c>
      <c r="C633" s="81" t="s">
        <v>184</v>
      </c>
      <c r="D633" s="81" t="s">
        <v>257</v>
      </c>
      <c r="E633" s="81" t="s">
        <v>50</v>
      </c>
      <c r="F633" s="81" t="s">
        <v>1</v>
      </c>
    </row>
    <row r="634" spans="1:6" x14ac:dyDescent="0.25">
      <c r="A634" s="14">
        <v>46144.277777777781</v>
      </c>
      <c r="B634" s="81" t="s">
        <v>149</v>
      </c>
      <c r="C634" s="81" t="s">
        <v>185</v>
      </c>
      <c r="D634" s="81" t="s">
        <v>166</v>
      </c>
      <c r="E634" s="81" t="s">
        <v>50</v>
      </c>
      <c r="F634" s="81" t="s">
        <v>1</v>
      </c>
    </row>
    <row r="635" spans="1:6" x14ac:dyDescent="0.25">
      <c r="A635" s="14">
        <v>46144.277777777781</v>
      </c>
      <c r="B635" s="81" t="s">
        <v>149</v>
      </c>
      <c r="C635" s="81" t="s">
        <v>184</v>
      </c>
      <c r="D635" s="81" t="s">
        <v>257</v>
      </c>
      <c r="E635" s="81" t="s">
        <v>50</v>
      </c>
      <c r="F635" s="81" t="s">
        <v>1</v>
      </c>
    </row>
    <row r="636" spans="1:6" x14ac:dyDescent="0.25">
      <c r="A636" s="14">
        <v>46144.277777777781</v>
      </c>
      <c r="B636" s="81" t="s">
        <v>149</v>
      </c>
      <c r="C636" s="81" t="s">
        <v>182</v>
      </c>
      <c r="D636" s="81" t="s">
        <v>257</v>
      </c>
      <c r="E636" s="81" t="s">
        <v>52</v>
      </c>
      <c r="F636" s="81" t="s">
        <v>0</v>
      </c>
    </row>
    <row r="637" spans="1:6" x14ac:dyDescent="0.25">
      <c r="A637" s="14">
        <v>46144.277777777781</v>
      </c>
      <c r="B637" s="81" t="s">
        <v>149</v>
      </c>
      <c r="C637" s="81" t="s">
        <v>181</v>
      </c>
      <c r="D637" s="81" t="s">
        <v>152</v>
      </c>
      <c r="E637" s="81" t="s">
        <v>49</v>
      </c>
      <c r="F637" s="81" t="s">
        <v>2</v>
      </c>
    </row>
    <row r="638" spans="1:6" x14ac:dyDescent="0.25">
      <c r="A638" s="14">
        <v>46144.277777777781</v>
      </c>
      <c r="B638" s="81" t="s">
        <v>149</v>
      </c>
      <c r="C638" s="81" t="s">
        <v>151</v>
      </c>
      <c r="D638" s="81" t="s">
        <v>152</v>
      </c>
      <c r="E638" s="81" t="s">
        <v>49</v>
      </c>
      <c r="F638" s="81" t="s">
        <v>2</v>
      </c>
    </row>
    <row r="639" spans="1:6" x14ac:dyDescent="0.25">
      <c r="A639" s="14">
        <v>46144.277777777781</v>
      </c>
      <c r="B639" s="81" t="s">
        <v>149</v>
      </c>
      <c r="C639" s="81" t="s">
        <v>151</v>
      </c>
      <c r="D639" s="81" t="s">
        <v>166</v>
      </c>
      <c r="E639" s="81" t="s">
        <v>50</v>
      </c>
      <c r="F639" s="81" t="s">
        <v>1</v>
      </c>
    </row>
    <row r="640" spans="1:6" x14ac:dyDescent="0.25">
      <c r="A640" s="14">
        <v>46144.277777777781</v>
      </c>
      <c r="B640" s="81" t="s">
        <v>149</v>
      </c>
      <c r="C640" s="81" t="s">
        <v>175</v>
      </c>
      <c r="D640" s="81" t="s">
        <v>152</v>
      </c>
      <c r="E640" s="81" t="s">
        <v>49</v>
      </c>
      <c r="F640" s="81" t="s">
        <v>2</v>
      </c>
    </row>
    <row r="641" spans="1:6" x14ac:dyDescent="0.25">
      <c r="A641" s="14">
        <v>46144.277777777781</v>
      </c>
      <c r="B641" s="81" t="s">
        <v>149</v>
      </c>
      <c r="C641" s="81" t="s">
        <v>182</v>
      </c>
      <c r="D641" s="81" t="s">
        <v>152</v>
      </c>
      <c r="E641" s="81" t="s">
        <v>49</v>
      </c>
      <c r="F641" s="81" t="s">
        <v>2</v>
      </c>
    </row>
    <row r="642" spans="1:6" x14ac:dyDescent="0.25">
      <c r="A642" s="14">
        <v>46144.277777777781</v>
      </c>
      <c r="B642" s="81" t="s">
        <v>149</v>
      </c>
      <c r="C642" s="81" t="s">
        <v>183</v>
      </c>
      <c r="D642" s="81" t="s">
        <v>152</v>
      </c>
      <c r="E642" s="81" t="s">
        <v>49</v>
      </c>
      <c r="F642" s="81" t="s">
        <v>2</v>
      </c>
    </row>
    <row r="643" spans="1:6" x14ac:dyDescent="0.25">
      <c r="A643" s="14">
        <v>46144.277777777781</v>
      </c>
      <c r="B643" s="81" t="s">
        <v>149</v>
      </c>
      <c r="C643" s="81" t="s">
        <v>183</v>
      </c>
      <c r="D643" s="81" t="s">
        <v>152</v>
      </c>
      <c r="E643" s="81" t="s">
        <v>49</v>
      </c>
      <c r="F643" s="81" t="s">
        <v>2</v>
      </c>
    </row>
    <row r="644" spans="1:6" x14ac:dyDescent="0.25">
      <c r="A644" s="14">
        <v>46144.277777777781</v>
      </c>
      <c r="B644" s="81" t="s">
        <v>149</v>
      </c>
      <c r="C644" s="81" t="s">
        <v>158</v>
      </c>
      <c r="D644" s="81" t="s">
        <v>152</v>
      </c>
      <c r="E644" s="81" t="s">
        <v>49</v>
      </c>
      <c r="F644" s="81" t="s">
        <v>2</v>
      </c>
    </row>
    <row r="645" spans="1:6" x14ac:dyDescent="0.25">
      <c r="A645" s="14">
        <v>46144.277777777781</v>
      </c>
      <c r="B645" s="81" t="s">
        <v>149</v>
      </c>
      <c r="C645" s="81" t="s">
        <v>190</v>
      </c>
      <c r="D645" s="81" t="s">
        <v>152</v>
      </c>
      <c r="E645" s="81" t="s">
        <v>49</v>
      </c>
      <c r="F645" s="81" t="s">
        <v>2</v>
      </c>
    </row>
    <row r="646" spans="1:6" x14ac:dyDescent="0.25">
      <c r="A646" s="14">
        <v>46144.277777777781</v>
      </c>
      <c r="B646" s="81" t="s">
        <v>149</v>
      </c>
      <c r="C646" s="81" t="s">
        <v>181</v>
      </c>
      <c r="D646" s="81" t="s">
        <v>152</v>
      </c>
      <c r="E646" s="81" t="s">
        <v>49</v>
      </c>
      <c r="F646" s="81" t="s">
        <v>2</v>
      </c>
    </row>
    <row r="647" spans="1:6" x14ac:dyDescent="0.25">
      <c r="A647" s="14">
        <v>46144.277777777781</v>
      </c>
      <c r="B647" s="81" t="s">
        <v>149</v>
      </c>
      <c r="C647" s="81" t="s">
        <v>175</v>
      </c>
      <c r="D647" s="81" t="s">
        <v>152</v>
      </c>
      <c r="E647" s="81" t="s">
        <v>49</v>
      </c>
      <c r="F647" s="81" t="s">
        <v>2</v>
      </c>
    </row>
    <row r="648" spans="1:6" x14ac:dyDescent="0.25">
      <c r="A648" s="14">
        <v>46144.277777777781</v>
      </c>
      <c r="B648" s="81" t="s">
        <v>149</v>
      </c>
      <c r="C648" s="81" t="s">
        <v>182</v>
      </c>
      <c r="D648" s="81" t="s">
        <v>152</v>
      </c>
      <c r="E648" s="81" t="s">
        <v>49</v>
      </c>
      <c r="F648" s="81" t="s">
        <v>2</v>
      </c>
    </row>
    <row r="649" spans="1:6" x14ac:dyDescent="0.25">
      <c r="A649" s="14">
        <v>46144.277777777781</v>
      </c>
      <c r="B649" s="81" t="s">
        <v>149</v>
      </c>
      <c r="C649" s="81" t="s">
        <v>185</v>
      </c>
      <c r="D649" s="81" t="s">
        <v>152</v>
      </c>
      <c r="E649" s="81" t="s">
        <v>49</v>
      </c>
      <c r="F649" s="81" t="s">
        <v>2</v>
      </c>
    </row>
    <row r="650" spans="1:6" x14ac:dyDescent="0.25">
      <c r="A650" s="14">
        <v>46144.277777777781</v>
      </c>
      <c r="B650" s="81" t="s">
        <v>149</v>
      </c>
      <c r="C650" s="81" t="s">
        <v>183</v>
      </c>
      <c r="D650" s="81" t="s">
        <v>152</v>
      </c>
      <c r="E650" s="81" t="s">
        <v>49</v>
      </c>
      <c r="F650" s="81" t="s">
        <v>2</v>
      </c>
    </row>
    <row r="651" spans="1:6" x14ac:dyDescent="0.25">
      <c r="A651" s="14">
        <v>46144.277777777781</v>
      </c>
      <c r="B651" s="81" t="s">
        <v>149</v>
      </c>
      <c r="C651" s="81" t="s">
        <v>151</v>
      </c>
      <c r="D651" s="81" t="s">
        <v>152</v>
      </c>
      <c r="E651" s="81" t="s">
        <v>49</v>
      </c>
      <c r="F651" s="81" t="s">
        <v>2</v>
      </c>
    </row>
    <row r="652" spans="1:6" x14ac:dyDescent="0.25">
      <c r="A652" s="14">
        <v>46144.277777777781</v>
      </c>
      <c r="B652" s="81" t="s">
        <v>149</v>
      </c>
      <c r="C652" s="81" t="s">
        <v>185</v>
      </c>
      <c r="D652" s="81" t="s">
        <v>152</v>
      </c>
      <c r="E652" s="81" t="s">
        <v>49</v>
      </c>
      <c r="F652" s="81" t="s">
        <v>2</v>
      </c>
    </row>
    <row r="653" spans="1:6" x14ac:dyDescent="0.25">
      <c r="A653" s="14">
        <v>46144.277777777781</v>
      </c>
      <c r="B653" s="81" t="s">
        <v>149</v>
      </c>
      <c r="C653" s="81" t="s">
        <v>187</v>
      </c>
      <c r="D653" s="81" t="s">
        <v>152</v>
      </c>
      <c r="E653" s="81" t="s">
        <v>71</v>
      </c>
      <c r="F653" s="81" t="s">
        <v>94</v>
      </c>
    </row>
    <row r="654" spans="1:6" x14ac:dyDescent="0.25">
      <c r="A654" s="14">
        <v>46144.277777777781</v>
      </c>
      <c r="B654" s="81" t="s">
        <v>149</v>
      </c>
      <c r="C654" s="81" t="s">
        <v>181</v>
      </c>
      <c r="D654" s="81" t="s">
        <v>152</v>
      </c>
      <c r="E654" s="81" t="s">
        <v>49</v>
      </c>
      <c r="F654" s="81" t="s">
        <v>2</v>
      </c>
    </row>
    <row r="655" spans="1:6" x14ac:dyDescent="0.25">
      <c r="A655" s="14">
        <v>46144.277777777781</v>
      </c>
      <c r="B655" s="81" t="s">
        <v>149</v>
      </c>
      <c r="C655" s="81" t="s">
        <v>175</v>
      </c>
      <c r="D655" s="81" t="s">
        <v>152</v>
      </c>
      <c r="E655" s="81" t="s">
        <v>49</v>
      </c>
      <c r="F655" s="81" t="s">
        <v>2</v>
      </c>
    </row>
    <row r="656" spans="1:6" x14ac:dyDescent="0.25">
      <c r="A656" s="14">
        <v>46144.277777777781</v>
      </c>
      <c r="B656" s="81" t="s">
        <v>149</v>
      </c>
      <c r="C656" s="81" t="s">
        <v>158</v>
      </c>
      <c r="D656" s="81" t="s">
        <v>219</v>
      </c>
      <c r="E656" s="81" t="s">
        <v>52</v>
      </c>
      <c r="F656" s="81" t="s">
        <v>0</v>
      </c>
    </row>
    <row r="657" spans="1:6" x14ac:dyDescent="0.25">
      <c r="A657" s="14">
        <v>46144.277777777781</v>
      </c>
      <c r="B657" s="81" t="s">
        <v>149</v>
      </c>
      <c r="C657" s="81" t="s">
        <v>181</v>
      </c>
      <c r="D657" s="81" t="s">
        <v>193</v>
      </c>
      <c r="E657" s="81" t="s">
        <v>50</v>
      </c>
      <c r="F657" s="81" t="s">
        <v>1</v>
      </c>
    </row>
    <row r="658" spans="1:6" x14ac:dyDescent="0.25">
      <c r="A658" s="14">
        <v>46144.277777777781</v>
      </c>
      <c r="B658" s="81" t="s">
        <v>149</v>
      </c>
      <c r="C658" s="81" t="s">
        <v>190</v>
      </c>
      <c r="D658" s="81" t="s">
        <v>152</v>
      </c>
      <c r="E658" s="81" t="s">
        <v>49</v>
      </c>
      <c r="F658" s="81" t="s">
        <v>2</v>
      </c>
    </row>
    <row r="659" spans="1:6" x14ac:dyDescent="0.25">
      <c r="A659" s="14">
        <v>46144.277777777781</v>
      </c>
      <c r="B659" s="81" t="s">
        <v>149</v>
      </c>
      <c r="C659" s="81" t="s">
        <v>171</v>
      </c>
      <c r="D659" s="81" t="s">
        <v>152</v>
      </c>
      <c r="E659" s="81" t="s">
        <v>49</v>
      </c>
      <c r="F659" s="81" t="s">
        <v>2</v>
      </c>
    </row>
    <row r="660" spans="1:6" x14ac:dyDescent="0.25">
      <c r="A660" s="14">
        <v>46144.277777777781</v>
      </c>
      <c r="B660" s="81" t="s">
        <v>149</v>
      </c>
      <c r="C660" s="81" t="s">
        <v>184</v>
      </c>
      <c r="D660" s="81" t="s">
        <v>152</v>
      </c>
      <c r="E660" s="81" t="s">
        <v>49</v>
      </c>
      <c r="F660" s="81" t="s">
        <v>2</v>
      </c>
    </row>
    <row r="661" spans="1:6" x14ac:dyDescent="0.25">
      <c r="A661" s="14">
        <v>46144.277777777781</v>
      </c>
      <c r="B661" s="81" t="s">
        <v>149</v>
      </c>
      <c r="C661" s="81" t="s">
        <v>183</v>
      </c>
      <c r="D661" s="81" t="s">
        <v>193</v>
      </c>
      <c r="E661" s="81" t="s">
        <v>50</v>
      </c>
      <c r="F661" s="81" t="s">
        <v>1</v>
      </c>
    </row>
    <row r="662" spans="1:6" x14ac:dyDescent="0.25">
      <c r="A662" s="14">
        <v>46144.277777777781</v>
      </c>
      <c r="B662" s="81" t="s">
        <v>149</v>
      </c>
      <c r="C662" s="81" t="s">
        <v>188</v>
      </c>
      <c r="D662" s="81" t="s">
        <v>179</v>
      </c>
      <c r="E662" s="81" t="s">
        <v>45</v>
      </c>
      <c r="F662" s="81" t="s">
        <v>28</v>
      </c>
    </row>
    <row r="663" spans="1:6" x14ac:dyDescent="0.25">
      <c r="A663" s="14">
        <v>46144.277777777781</v>
      </c>
      <c r="B663" s="81" t="s">
        <v>149</v>
      </c>
      <c r="C663" s="81" t="s">
        <v>189</v>
      </c>
      <c r="D663" s="81" t="s">
        <v>179</v>
      </c>
      <c r="E663" s="81" t="s">
        <v>45</v>
      </c>
      <c r="F663" s="81" t="s">
        <v>28</v>
      </c>
    </row>
    <row r="664" spans="1:6" x14ac:dyDescent="0.25">
      <c r="A664" s="14">
        <v>46144.277777777781</v>
      </c>
      <c r="B664" s="81" t="s">
        <v>149</v>
      </c>
      <c r="C664" s="81" t="s">
        <v>239</v>
      </c>
      <c r="D664" s="81" t="s">
        <v>179</v>
      </c>
      <c r="E664" s="81" t="s">
        <v>45</v>
      </c>
      <c r="F664" s="81" t="s">
        <v>28</v>
      </c>
    </row>
    <row r="665" spans="1:6" x14ac:dyDescent="0.25">
      <c r="A665" s="14">
        <v>46144.277777777781</v>
      </c>
      <c r="B665" s="81" t="s">
        <v>149</v>
      </c>
      <c r="C665" s="81" t="s">
        <v>175</v>
      </c>
      <c r="D665" s="81" t="s">
        <v>193</v>
      </c>
      <c r="E665" s="81" t="s">
        <v>50</v>
      </c>
      <c r="F665" s="81" t="s">
        <v>1</v>
      </c>
    </row>
    <row r="666" spans="1:6" x14ac:dyDescent="0.25">
      <c r="A666" s="14">
        <v>46144.277777777781</v>
      </c>
      <c r="B666" s="81" t="s">
        <v>149</v>
      </c>
      <c r="C666" s="81" t="s">
        <v>151</v>
      </c>
      <c r="D666" s="81" t="s">
        <v>193</v>
      </c>
      <c r="E666" s="81" t="s">
        <v>50</v>
      </c>
      <c r="F666" s="81" t="s">
        <v>1</v>
      </c>
    </row>
    <row r="667" spans="1:6" x14ac:dyDescent="0.25">
      <c r="A667" s="14">
        <v>46144.277777777781</v>
      </c>
      <c r="B667" s="81" t="s">
        <v>149</v>
      </c>
      <c r="C667" s="81" t="s">
        <v>173</v>
      </c>
      <c r="D667" s="81" t="s">
        <v>191</v>
      </c>
      <c r="E667" s="81" t="s">
        <v>52</v>
      </c>
      <c r="F667" s="81" t="s">
        <v>0</v>
      </c>
    </row>
    <row r="668" spans="1:6" x14ac:dyDescent="0.25">
      <c r="A668" s="14">
        <v>46144.277777777781</v>
      </c>
      <c r="B668" s="81" t="s">
        <v>149</v>
      </c>
      <c r="C668" s="81" t="s">
        <v>173</v>
      </c>
      <c r="D668" s="81" t="s">
        <v>166</v>
      </c>
      <c r="E668" s="81" t="s">
        <v>50</v>
      </c>
      <c r="F668" s="81" t="s">
        <v>1</v>
      </c>
    </row>
    <row r="669" spans="1:6" x14ac:dyDescent="0.25">
      <c r="A669" s="14">
        <v>46144.277777777781</v>
      </c>
      <c r="B669" s="81" t="s">
        <v>149</v>
      </c>
      <c r="C669" s="81" t="s">
        <v>151</v>
      </c>
      <c r="D669" s="81" t="s">
        <v>193</v>
      </c>
      <c r="E669" s="81" t="s">
        <v>50</v>
      </c>
      <c r="F669" s="81" t="s">
        <v>1</v>
      </c>
    </row>
    <row r="670" spans="1:6" x14ac:dyDescent="0.25">
      <c r="A670" s="14">
        <v>46144.277777777781</v>
      </c>
      <c r="B670" s="81" t="s">
        <v>195</v>
      </c>
      <c r="C670" s="81" t="s">
        <v>196</v>
      </c>
      <c r="D670" s="81" t="s">
        <v>247</v>
      </c>
      <c r="E670" s="81" t="s">
        <v>24</v>
      </c>
      <c r="F670" s="81" t="s">
        <v>24</v>
      </c>
    </row>
    <row r="671" spans="1:6" x14ac:dyDescent="0.25">
      <c r="A671" s="14">
        <v>46144.277777777781</v>
      </c>
      <c r="B671" s="81" t="s">
        <v>195</v>
      </c>
      <c r="C671" s="81" t="s">
        <v>196</v>
      </c>
      <c r="D671" s="81" t="s">
        <v>247</v>
      </c>
      <c r="E671" s="81" t="s">
        <v>24</v>
      </c>
      <c r="F671" s="81" t="s">
        <v>24</v>
      </c>
    </row>
    <row r="672" spans="1:6" x14ac:dyDescent="0.25">
      <c r="A672" s="14">
        <v>46144.277777777781</v>
      </c>
      <c r="B672" s="81" t="s">
        <v>195</v>
      </c>
      <c r="C672" s="81" t="s">
        <v>196</v>
      </c>
      <c r="D672" s="81" t="s">
        <v>247</v>
      </c>
      <c r="E672" s="81" t="s">
        <v>24</v>
      </c>
      <c r="F672" s="81" t="s">
        <v>24</v>
      </c>
    </row>
    <row r="673" spans="1:6" x14ac:dyDescent="0.25">
      <c r="A673" s="14">
        <v>46144.277777777781</v>
      </c>
      <c r="B673" s="81" t="s">
        <v>195</v>
      </c>
      <c r="C673" s="81" t="s">
        <v>209</v>
      </c>
      <c r="D673" s="81" t="s">
        <v>222</v>
      </c>
      <c r="E673" s="81" t="s">
        <v>24</v>
      </c>
      <c r="F673" s="81" t="s">
        <v>24</v>
      </c>
    </row>
    <row r="674" spans="1:6" x14ac:dyDescent="0.25">
      <c r="A674" s="14">
        <v>46144.277777777781</v>
      </c>
      <c r="B674" s="81" t="s">
        <v>195</v>
      </c>
      <c r="C674" s="81" t="s">
        <v>209</v>
      </c>
      <c r="D674" s="81" t="s">
        <v>222</v>
      </c>
      <c r="E674" s="81" t="s">
        <v>24</v>
      </c>
      <c r="F674" s="81" t="s">
        <v>24</v>
      </c>
    </row>
    <row r="675" spans="1:6" x14ac:dyDescent="0.25">
      <c r="A675" s="14">
        <v>46144.277777777781</v>
      </c>
      <c r="B675" s="81" t="s">
        <v>195</v>
      </c>
      <c r="C675" s="81" t="s">
        <v>209</v>
      </c>
      <c r="D675" s="81" t="s">
        <v>222</v>
      </c>
      <c r="E675" s="81" t="s">
        <v>24</v>
      </c>
      <c r="F675" s="81" t="s">
        <v>24</v>
      </c>
    </row>
    <row r="676" spans="1:6" x14ac:dyDescent="0.25">
      <c r="A676" s="14">
        <v>46144.277777777781</v>
      </c>
      <c r="B676" s="81" t="s">
        <v>195</v>
      </c>
      <c r="C676" s="81" t="s">
        <v>197</v>
      </c>
      <c r="D676" s="81" t="s">
        <v>222</v>
      </c>
      <c r="E676" s="81" t="s">
        <v>24</v>
      </c>
      <c r="F676" s="81" t="s">
        <v>24</v>
      </c>
    </row>
    <row r="677" spans="1:6" x14ac:dyDescent="0.25">
      <c r="A677" s="14">
        <v>46144.277777777781</v>
      </c>
      <c r="B677" s="81" t="s">
        <v>195</v>
      </c>
      <c r="C677" s="81" t="s">
        <v>197</v>
      </c>
      <c r="D677" s="81" t="s">
        <v>222</v>
      </c>
      <c r="E677" s="81" t="s">
        <v>24</v>
      </c>
      <c r="F677" s="81" t="s">
        <v>24</v>
      </c>
    </row>
    <row r="678" spans="1:6" x14ac:dyDescent="0.25">
      <c r="A678" s="14">
        <v>46144.277777777781</v>
      </c>
      <c r="B678" s="81" t="s">
        <v>195</v>
      </c>
      <c r="C678" s="81" t="s">
        <v>197</v>
      </c>
      <c r="D678" s="81" t="s">
        <v>222</v>
      </c>
      <c r="E678" s="81" t="s">
        <v>24</v>
      </c>
      <c r="F678" s="81" t="s">
        <v>24</v>
      </c>
    </row>
    <row r="679" spans="1:6" x14ac:dyDescent="0.25">
      <c r="A679" s="14">
        <v>46144.277777777781</v>
      </c>
      <c r="B679" s="81" t="s">
        <v>195</v>
      </c>
      <c r="C679" s="81" t="s">
        <v>198</v>
      </c>
      <c r="D679" s="81" t="s">
        <v>168</v>
      </c>
      <c r="E679" s="81" t="s">
        <v>24</v>
      </c>
      <c r="F679" s="81" t="s">
        <v>24</v>
      </c>
    </row>
    <row r="680" spans="1:6" x14ac:dyDescent="0.25">
      <c r="A680" s="14">
        <v>46144.277777777781</v>
      </c>
      <c r="B680" s="81" t="s">
        <v>195</v>
      </c>
      <c r="C680" s="81" t="s">
        <v>198</v>
      </c>
      <c r="D680" s="81" t="s">
        <v>168</v>
      </c>
      <c r="E680" s="81" t="s">
        <v>24</v>
      </c>
      <c r="F680" s="81" t="s">
        <v>24</v>
      </c>
    </row>
    <row r="681" spans="1:6" x14ac:dyDescent="0.25">
      <c r="A681" s="14">
        <v>46144.277777777781</v>
      </c>
      <c r="B681" s="81" t="s">
        <v>195</v>
      </c>
      <c r="C681" s="81" t="s">
        <v>198</v>
      </c>
      <c r="D681" s="81" t="s">
        <v>168</v>
      </c>
      <c r="E681" s="81" t="s">
        <v>24</v>
      </c>
      <c r="F681" s="81" t="s">
        <v>24</v>
      </c>
    </row>
    <row r="682" spans="1:6" x14ac:dyDescent="0.25">
      <c r="A682" s="14">
        <v>46144.277777777781</v>
      </c>
      <c r="B682" s="81" t="s">
        <v>195</v>
      </c>
      <c r="C682" s="81" t="s">
        <v>196</v>
      </c>
      <c r="D682" s="81" t="s">
        <v>168</v>
      </c>
      <c r="E682" s="81" t="s">
        <v>24</v>
      </c>
      <c r="F682" s="81" t="s">
        <v>24</v>
      </c>
    </row>
    <row r="683" spans="1:6" x14ac:dyDescent="0.25">
      <c r="A683" s="14">
        <v>46144.277777777781</v>
      </c>
      <c r="B683" s="81" t="s">
        <v>195</v>
      </c>
      <c r="C683" s="81" t="s">
        <v>196</v>
      </c>
      <c r="D683" s="81" t="s">
        <v>168</v>
      </c>
      <c r="E683" s="81" t="s">
        <v>24</v>
      </c>
      <c r="F683" s="81" t="s">
        <v>24</v>
      </c>
    </row>
    <row r="684" spans="1:6" x14ac:dyDescent="0.25">
      <c r="A684" s="14">
        <v>46144.277777777781</v>
      </c>
      <c r="B684" s="81" t="s">
        <v>195</v>
      </c>
      <c r="C684" s="81" t="s">
        <v>196</v>
      </c>
      <c r="D684" s="81" t="s">
        <v>168</v>
      </c>
      <c r="E684" s="81" t="s">
        <v>24</v>
      </c>
      <c r="F684" s="81" t="s">
        <v>24</v>
      </c>
    </row>
    <row r="685" spans="1:6" x14ac:dyDescent="0.25">
      <c r="A685" s="14">
        <v>46144.277777777781</v>
      </c>
      <c r="B685" s="81" t="s">
        <v>195</v>
      </c>
      <c r="C685" s="81" t="s">
        <v>196</v>
      </c>
      <c r="D685" s="81" t="s">
        <v>229</v>
      </c>
      <c r="E685" s="81" t="s">
        <v>24</v>
      </c>
      <c r="F685" s="81" t="s">
        <v>24</v>
      </c>
    </row>
    <row r="686" spans="1:6" x14ac:dyDescent="0.25">
      <c r="A686" s="14">
        <v>46144.277777777781</v>
      </c>
      <c r="B686" s="81" t="s">
        <v>195</v>
      </c>
      <c r="C686" s="81" t="s">
        <v>196</v>
      </c>
      <c r="D686" s="81" t="s">
        <v>229</v>
      </c>
      <c r="E686" s="81" t="s">
        <v>24</v>
      </c>
      <c r="F686" s="81" t="s">
        <v>24</v>
      </c>
    </row>
    <row r="687" spans="1:6" x14ac:dyDescent="0.25">
      <c r="A687" s="14">
        <v>46144.277777777781</v>
      </c>
      <c r="B687" s="81" t="s">
        <v>195</v>
      </c>
      <c r="C687" s="81" t="s">
        <v>196</v>
      </c>
      <c r="D687" s="81" t="s">
        <v>229</v>
      </c>
      <c r="E687" s="81" t="s">
        <v>24</v>
      </c>
      <c r="F687" s="81" t="s">
        <v>24</v>
      </c>
    </row>
    <row r="688" spans="1:6" x14ac:dyDescent="0.25">
      <c r="A688" s="14">
        <v>46144.304166666669</v>
      </c>
      <c r="B688" s="81" t="s">
        <v>149</v>
      </c>
      <c r="C688" s="81" t="s">
        <v>187</v>
      </c>
      <c r="D688" s="81" t="s">
        <v>193</v>
      </c>
      <c r="E688" s="81" t="s">
        <v>75</v>
      </c>
      <c r="F688" s="81" t="s">
        <v>93</v>
      </c>
    </row>
    <row r="689" spans="1:6" x14ac:dyDescent="0.25">
      <c r="A689" s="14">
        <v>46144.304166666669</v>
      </c>
      <c r="B689" s="81" t="s">
        <v>149</v>
      </c>
      <c r="C689" s="81" t="s">
        <v>184</v>
      </c>
      <c r="D689" s="81" t="s">
        <v>168</v>
      </c>
      <c r="E689" s="81" t="s">
        <v>50</v>
      </c>
      <c r="F689" s="81" t="s">
        <v>1</v>
      </c>
    </row>
    <row r="690" spans="1:6" x14ac:dyDescent="0.25">
      <c r="A690" s="14">
        <v>46144.304166666669</v>
      </c>
      <c r="B690" s="81" t="s">
        <v>149</v>
      </c>
      <c r="C690" s="81" t="s">
        <v>184</v>
      </c>
      <c r="D690" s="81" t="s">
        <v>168</v>
      </c>
      <c r="E690" s="81" t="s">
        <v>50</v>
      </c>
      <c r="F690" s="81" t="s">
        <v>1</v>
      </c>
    </row>
    <row r="691" spans="1:6" x14ac:dyDescent="0.25">
      <c r="A691" s="14">
        <v>46144.304166666669</v>
      </c>
      <c r="B691" s="81" t="s">
        <v>149</v>
      </c>
      <c r="C691" s="81" t="s">
        <v>177</v>
      </c>
      <c r="D691" s="81" t="s">
        <v>168</v>
      </c>
      <c r="E691" s="81" t="s">
        <v>50</v>
      </c>
      <c r="F691" s="81" t="s">
        <v>1</v>
      </c>
    </row>
    <row r="692" spans="1:6" x14ac:dyDescent="0.25">
      <c r="A692" s="14">
        <v>46144.304166666669</v>
      </c>
      <c r="B692" s="81" t="s">
        <v>149</v>
      </c>
      <c r="C692" s="81" t="s">
        <v>185</v>
      </c>
      <c r="D692" s="81" t="s">
        <v>168</v>
      </c>
      <c r="E692" s="81" t="s">
        <v>49</v>
      </c>
      <c r="F692" s="81" t="s">
        <v>2</v>
      </c>
    </row>
    <row r="693" spans="1:6" x14ac:dyDescent="0.25">
      <c r="A693" s="14">
        <v>46144.304166666669</v>
      </c>
      <c r="B693" s="81" t="s">
        <v>149</v>
      </c>
      <c r="C693" s="81" t="s">
        <v>185</v>
      </c>
      <c r="D693" s="81" t="s">
        <v>257</v>
      </c>
      <c r="E693" s="81" t="s">
        <v>50</v>
      </c>
      <c r="F693" s="81" t="s">
        <v>1</v>
      </c>
    </row>
    <row r="694" spans="1:6" x14ac:dyDescent="0.25">
      <c r="A694" s="14">
        <v>46144.304166666669</v>
      </c>
      <c r="B694" s="81" t="s">
        <v>149</v>
      </c>
      <c r="C694" s="81" t="s">
        <v>171</v>
      </c>
      <c r="D694" s="81" t="s">
        <v>168</v>
      </c>
      <c r="E694" s="81" t="s">
        <v>50</v>
      </c>
      <c r="F694" s="81" t="s">
        <v>1</v>
      </c>
    </row>
    <row r="695" spans="1:6" x14ac:dyDescent="0.25">
      <c r="A695" s="14">
        <v>46144.304166666669</v>
      </c>
      <c r="B695" s="81" t="s">
        <v>149</v>
      </c>
      <c r="C695" s="81" t="s">
        <v>151</v>
      </c>
      <c r="D695" s="81" t="s">
        <v>168</v>
      </c>
      <c r="E695" s="81" t="s">
        <v>50</v>
      </c>
      <c r="F695" s="81" t="s">
        <v>1</v>
      </c>
    </row>
    <row r="696" spans="1:6" x14ac:dyDescent="0.25">
      <c r="A696" s="14">
        <v>46144.304166666669</v>
      </c>
      <c r="B696" s="81" t="s">
        <v>149</v>
      </c>
      <c r="C696" s="81" t="s">
        <v>151</v>
      </c>
      <c r="D696" s="81" t="s">
        <v>168</v>
      </c>
      <c r="E696" s="81" t="s">
        <v>50</v>
      </c>
      <c r="F696" s="81" t="s">
        <v>1</v>
      </c>
    </row>
    <row r="697" spans="1:6" x14ac:dyDescent="0.25">
      <c r="A697" s="14">
        <v>46144.304166666669</v>
      </c>
      <c r="B697" s="81" t="s">
        <v>149</v>
      </c>
      <c r="C697" s="81" t="s">
        <v>177</v>
      </c>
      <c r="D697" s="81" t="s">
        <v>152</v>
      </c>
      <c r="E697" s="81" t="s">
        <v>49</v>
      </c>
      <c r="F697" s="81" t="s">
        <v>2</v>
      </c>
    </row>
    <row r="698" spans="1:6" x14ac:dyDescent="0.25">
      <c r="A698" s="14">
        <v>46144.304166666669</v>
      </c>
      <c r="B698" s="81" t="s">
        <v>149</v>
      </c>
      <c r="C698" s="81" t="s">
        <v>182</v>
      </c>
      <c r="D698" s="81" t="s">
        <v>168</v>
      </c>
      <c r="E698" s="81" t="s">
        <v>49</v>
      </c>
      <c r="F698" s="81" t="s">
        <v>2</v>
      </c>
    </row>
    <row r="699" spans="1:6" x14ac:dyDescent="0.25">
      <c r="A699" s="14">
        <v>46144.304166666669</v>
      </c>
      <c r="B699" s="81" t="s">
        <v>149</v>
      </c>
      <c r="C699" s="81" t="s">
        <v>171</v>
      </c>
      <c r="D699" s="81" t="s">
        <v>168</v>
      </c>
      <c r="E699" s="81" t="s">
        <v>49</v>
      </c>
      <c r="F699" s="81" t="s">
        <v>2</v>
      </c>
    </row>
    <row r="700" spans="1:6" x14ac:dyDescent="0.25">
      <c r="A700" s="14">
        <v>46144.304166666669</v>
      </c>
      <c r="B700" s="81" t="s">
        <v>149</v>
      </c>
      <c r="C700" s="81" t="s">
        <v>183</v>
      </c>
      <c r="D700" s="81" t="s">
        <v>257</v>
      </c>
      <c r="E700" s="81" t="s">
        <v>52</v>
      </c>
      <c r="F700" s="81" t="s">
        <v>0</v>
      </c>
    </row>
    <row r="701" spans="1:6" x14ac:dyDescent="0.25">
      <c r="A701" s="14">
        <v>46144.304166666669</v>
      </c>
      <c r="B701" s="81" t="s">
        <v>149</v>
      </c>
      <c r="C701" s="81" t="s">
        <v>185</v>
      </c>
      <c r="D701" s="81" t="s">
        <v>231</v>
      </c>
      <c r="E701" s="81" t="s">
        <v>50</v>
      </c>
      <c r="F701" s="81" t="s">
        <v>1</v>
      </c>
    </row>
    <row r="702" spans="1:6" x14ac:dyDescent="0.25">
      <c r="A702" s="14">
        <v>46144.304166666669</v>
      </c>
      <c r="B702" s="81" t="s">
        <v>149</v>
      </c>
      <c r="C702" s="81" t="s">
        <v>226</v>
      </c>
      <c r="D702" s="81" t="s">
        <v>231</v>
      </c>
      <c r="E702" s="81" t="s">
        <v>64</v>
      </c>
      <c r="F702" s="81" t="s">
        <v>98</v>
      </c>
    </row>
    <row r="703" spans="1:6" x14ac:dyDescent="0.25">
      <c r="A703" s="14">
        <v>46144.304166666669</v>
      </c>
      <c r="B703" s="81" t="s">
        <v>149</v>
      </c>
      <c r="C703" s="81" t="s">
        <v>176</v>
      </c>
      <c r="D703" s="81" t="s">
        <v>153</v>
      </c>
      <c r="E703" s="81" t="s">
        <v>70</v>
      </c>
      <c r="F703" s="81" t="s">
        <v>15</v>
      </c>
    </row>
    <row r="704" spans="1:6" x14ac:dyDescent="0.25">
      <c r="A704" s="14">
        <v>46144.304166666669</v>
      </c>
      <c r="B704" s="81" t="s">
        <v>149</v>
      </c>
      <c r="C704" s="81" t="s">
        <v>181</v>
      </c>
      <c r="D704" s="81" t="s">
        <v>231</v>
      </c>
      <c r="E704" s="81" t="s">
        <v>52</v>
      </c>
      <c r="F704" s="81" t="s">
        <v>0</v>
      </c>
    </row>
    <row r="705" spans="1:6" x14ac:dyDescent="0.25">
      <c r="A705" s="14">
        <v>46144.304166666669</v>
      </c>
      <c r="B705" s="81" t="s">
        <v>149</v>
      </c>
      <c r="C705" s="81" t="s">
        <v>176</v>
      </c>
      <c r="D705" s="81" t="s">
        <v>231</v>
      </c>
      <c r="E705" s="81" t="s">
        <v>70</v>
      </c>
      <c r="F705" s="81" t="s">
        <v>15</v>
      </c>
    </row>
    <row r="706" spans="1:6" x14ac:dyDescent="0.25">
      <c r="A706" s="14">
        <v>46144.304166666669</v>
      </c>
      <c r="B706" s="81" t="s">
        <v>149</v>
      </c>
      <c r="C706" s="81" t="s">
        <v>151</v>
      </c>
      <c r="D706" s="81" t="s">
        <v>231</v>
      </c>
      <c r="E706" s="81" t="s">
        <v>52</v>
      </c>
      <c r="F706" s="81" t="s">
        <v>0</v>
      </c>
    </row>
    <row r="707" spans="1:6" x14ac:dyDescent="0.25">
      <c r="A707" s="14">
        <v>46144.304166666669</v>
      </c>
      <c r="B707" s="81" t="s">
        <v>149</v>
      </c>
      <c r="C707" s="81" t="s">
        <v>171</v>
      </c>
      <c r="D707" s="81" t="s">
        <v>231</v>
      </c>
      <c r="E707" s="81" t="s">
        <v>52</v>
      </c>
      <c r="F707" s="81" t="s">
        <v>0</v>
      </c>
    </row>
    <row r="708" spans="1:6" x14ac:dyDescent="0.25">
      <c r="A708" s="14">
        <v>46144.304166666669</v>
      </c>
      <c r="B708" s="81" t="s">
        <v>149</v>
      </c>
      <c r="C708" s="81" t="s">
        <v>176</v>
      </c>
      <c r="D708" s="81" t="s">
        <v>229</v>
      </c>
      <c r="E708" s="81" t="s">
        <v>63</v>
      </c>
      <c r="F708" s="81" t="s">
        <v>16</v>
      </c>
    </row>
    <row r="709" spans="1:6" x14ac:dyDescent="0.25">
      <c r="A709" s="14">
        <v>46144.304166666669</v>
      </c>
      <c r="B709" s="81" t="s">
        <v>149</v>
      </c>
      <c r="C709" s="81" t="s">
        <v>182</v>
      </c>
      <c r="D709" s="81" t="s">
        <v>257</v>
      </c>
      <c r="E709" s="81" t="s">
        <v>52</v>
      </c>
      <c r="F709" s="81" t="s">
        <v>0</v>
      </c>
    </row>
    <row r="710" spans="1:6" x14ac:dyDescent="0.25">
      <c r="A710" s="14">
        <v>46144.304166666669</v>
      </c>
      <c r="B710" s="81" t="s">
        <v>149</v>
      </c>
      <c r="C710" s="81" t="s">
        <v>176</v>
      </c>
      <c r="D710" s="81" t="s">
        <v>231</v>
      </c>
      <c r="E710" s="81" t="s">
        <v>70</v>
      </c>
      <c r="F710" s="81" t="s">
        <v>15</v>
      </c>
    </row>
    <row r="711" spans="1:6" x14ac:dyDescent="0.25">
      <c r="A711" s="14">
        <v>46144.309027777781</v>
      </c>
      <c r="B711" s="81" t="s">
        <v>149</v>
      </c>
      <c r="C711" s="81" t="s">
        <v>187</v>
      </c>
      <c r="D711" s="81" t="s">
        <v>231</v>
      </c>
      <c r="E711" s="81" t="s">
        <v>75</v>
      </c>
      <c r="F711" s="81" t="s">
        <v>93</v>
      </c>
    </row>
    <row r="712" spans="1:6" x14ac:dyDescent="0.25">
      <c r="A712" s="14">
        <v>46144.309027777781</v>
      </c>
      <c r="B712" s="81" t="s">
        <v>149</v>
      </c>
      <c r="C712" s="81" t="s">
        <v>187</v>
      </c>
      <c r="D712" s="81" t="s">
        <v>231</v>
      </c>
      <c r="E712" s="81" t="s">
        <v>75</v>
      </c>
      <c r="F712" s="81" t="s">
        <v>93</v>
      </c>
    </row>
    <row r="713" spans="1:6" x14ac:dyDescent="0.25">
      <c r="A713" s="14">
        <v>46144.309027777781</v>
      </c>
      <c r="B713" s="81" t="s">
        <v>149</v>
      </c>
      <c r="C713" s="81" t="s">
        <v>185</v>
      </c>
      <c r="D713" s="81" t="s">
        <v>229</v>
      </c>
      <c r="E713" s="81" t="s">
        <v>49</v>
      </c>
      <c r="F713" s="81" t="s">
        <v>2</v>
      </c>
    </row>
    <row r="714" spans="1:6" x14ac:dyDescent="0.25">
      <c r="A714" s="14">
        <v>46144.309027777781</v>
      </c>
      <c r="B714" s="81" t="s">
        <v>149</v>
      </c>
      <c r="C714" s="81" t="s">
        <v>192</v>
      </c>
      <c r="D714" s="81" t="s">
        <v>229</v>
      </c>
      <c r="E714" s="81" t="s">
        <v>60</v>
      </c>
      <c r="F714" s="81" t="s">
        <v>28</v>
      </c>
    </row>
    <row r="715" spans="1:6" x14ac:dyDescent="0.25">
      <c r="A715" s="14">
        <v>46144.309027777781</v>
      </c>
      <c r="B715" s="81" t="s">
        <v>149</v>
      </c>
      <c r="C715" s="81" t="s">
        <v>187</v>
      </c>
      <c r="D715" s="81" t="s">
        <v>231</v>
      </c>
      <c r="E715" s="81" t="s">
        <v>75</v>
      </c>
      <c r="F715" s="81" t="s">
        <v>93</v>
      </c>
    </row>
    <row r="716" spans="1:6" x14ac:dyDescent="0.25">
      <c r="A716" s="14">
        <v>46144.309027777781</v>
      </c>
      <c r="B716" s="81" t="s">
        <v>149</v>
      </c>
      <c r="C716" s="81" t="s">
        <v>185</v>
      </c>
      <c r="D716" s="81" t="s">
        <v>229</v>
      </c>
      <c r="E716" s="81" t="s">
        <v>50</v>
      </c>
      <c r="F716" s="81" t="s">
        <v>1</v>
      </c>
    </row>
    <row r="717" spans="1:6" x14ac:dyDescent="0.25">
      <c r="A717" s="14">
        <v>46144.309027777781</v>
      </c>
      <c r="B717" s="81" t="s">
        <v>149</v>
      </c>
      <c r="C717" s="81" t="s">
        <v>182</v>
      </c>
      <c r="D717" s="81" t="s">
        <v>257</v>
      </c>
      <c r="E717" s="81" t="s">
        <v>50</v>
      </c>
      <c r="F717" s="81" t="s">
        <v>1</v>
      </c>
    </row>
    <row r="718" spans="1:6" x14ac:dyDescent="0.25">
      <c r="A718" s="14">
        <v>46144.309027777781</v>
      </c>
      <c r="B718" s="81" t="s">
        <v>149</v>
      </c>
      <c r="C718" s="81" t="s">
        <v>175</v>
      </c>
      <c r="D718" s="81" t="s">
        <v>229</v>
      </c>
      <c r="E718" s="81" t="s">
        <v>52</v>
      </c>
      <c r="F718" s="81" t="s">
        <v>0</v>
      </c>
    </row>
    <row r="719" spans="1:6" x14ac:dyDescent="0.25">
      <c r="A719" s="14">
        <v>46144.38958333333</v>
      </c>
      <c r="B719" s="81" t="s">
        <v>149</v>
      </c>
      <c r="C719" s="81" t="s">
        <v>184</v>
      </c>
      <c r="D719" s="81" t="s">
        <v>260</v>
      </c>
      <c r="E719" s="81" t="s">
        <v>50</v>
      </c>
      <c r="F719" s="81" t="s">
        <v>1</v>
      </c>
    </row>
    <row r="720" spans="1:6" x14ac:dyDescent="0.25">
      <c r="A720" s="14">
        <v>46144.38958333333</v>
      </c>
      <c r="B720" s="81" t="s">
        <v>149</v>
      </c>
      <c r="C720" s="81" t="s">
        <v>215</v>
      </c>
      <c r="D720" s="81" t="s">
        <v>229</v>
      </c>
      <c r="E720" s="81" t="s">
        <v>64</v>
      </c>
      <c r="F720" s="81" t="s">
        <v>98</v>
      </c>
    </row>
    <row r="721" spans="1:6" x14ac:dyDescent="0.25">
      <c r="A721" s="14">
        <v>46144.38958333333</v>
      </c>
      <c r="B721" s="81" t="s">
        <v>149</v>
      </c>
      <c r="C721" s="81" t="s">
        <v>218</v>
      </c>
      <c r="D721" s="81" t="s">
        <v>229</v>
      </c>
      <c r="E721" s="81" t="s">
        <v>64</v>
      </c>
      <c r="F721" s="81" t="s">
        <v>98</v>
      </c>
    </row>
    <row r="722" spans="1:6" x14ac:dyDescent="0.25">
      <c r="A722" s="14">
        <v>46144.38958333333</v>
      </c>
      <c r="B722" s="81" t="s">
        <v>149</v>
      </c>
      <c r="C722" s="81" t="s">
        <v>171</v>
      </c>
      <c r="D722" s="81" t="s">
        <v>260</v>
      </c>
      <c r="E722" s="81" t="s">
        <v>50</v>
      </c>
      <c r="F722" s="81" t="s">
        <v>1</v>
      </c>
    </row>
    <row r="723" spans="1:6" x14ac:dyDescent="0.25">
      <c r="A723" s="14">
        <v>46144.38958333333</v>
      </c>
      <c r="B723" s="81" t="s">
        <v>149</v>
      </c>
      <c r="C723" s="81" t="s">
        <v>190</v>
      </c>
      <c r="D723" s="81" t="s">
        <v>260</v>
      </c>
      <c r="E723" s="81" t="s">
        <v>50</v>
      </c>
      <c r="F723" s="81" t="s">
        <v>1</v>
      </c>
    </row>
    <row r="724" spans="1:6" x14ac:dyDescent="0.25">
      <c r="A724" s="14">
        <v>46144.38958333333</v>
      </c>
      <c r="B724" s="81" t="s">
        <v>149</v>
      </c>
      <c r="C724" s="81" t="s">
        <v>158</v>
      </c>
      <c r="D724" s="81" t="s">
        <v>260</v>
      </c>
      <c r="E724" s="81" t="s">
        <v>50</v>
      </c>
      <c r="F724" s="81" t="s">
        <v>1</v>
      </c>
    </row>
    <row r="725" spans="1:6" x14ac:dyDescent="0.25">
      <c r="A725" s="14">
        <v>46144.38958333333</v>
      </c>
      <c r="B725" s="81" t="s">
        <v>149</v>
      </c>
      <c r="C725" s="81" t="s">
        <v>184</v>
      </c>
      <c r="D725" s="81" t="s">
        <v>260</v>
      </c>
      <c r="E725" s="81" t="s">
        <v>50</v>
      </c>
      <c r="F725" s="81" t="s">
        <v>1</v>
      </c>
    </row>
    <row r="726" spans="1:6" x14ac:dyDescent="0.25">
      <c r="A726" s="14">
        <v>46144.38958333333</v>
      </c>
      <c r="B726" s="81" t="s">
        <v>149</v>
      </c>
      <c r="C726" s="81" t="s">
        <v>187</v>
      </c>
      <c r="D726" s="81" t="s">
        <v>229</v>
      </c>
      <c r="E726" s="81" t="s">
        <v>71</v>
      </c>
      <c r="F726" s="81" t="s">
        <v>94</v>
      </c>
    </row>
    <row r="727" spans="1:6" x14ac:dyDescent="0.25">
      <c r="A727" s="14">
        <v>46144.38958333333</v>
      </c>
      <c r="B727" s="81" t="s">
        <v>149</v>
      </c>
      <c r="C727" s="81" t="s">
        <v>190</v>
      </c>
      <c r="D727" s="81" t="s">
        <v>260</v>
      </c>
      <c r="E727" s="81" t="s">
        <v>50</v>
      </c>
      <c r="F727" s="81" t="s">
        <v>1</v>
      </c>
    </row>
    <row r="728" spans="1:6" x14ac:dyDescent="0.25">
      <c r="A728" s="14">
        <v>46144.38958333333</v>
      </c>
      <c r="B728" s="81" t="s">
        <v>149</v>
      </c>
      <c r="C728" s="81" t="s">
        <v>182</v>
      </c>
      <c r="D728" s="81" t="s">
        <v>150</v>
      </c>
      <c r="E728" s="81" t="s">
        <v>50</v>
      </c>
      <c r="F728" s="81" t="s">
        <v>1</v>
      </c>
    </row>
    <row r="729" spans="1:6" x14ac:dyDescent="0.25">
      <c r="A729" s="14">
        <v>46144.38958333333</v>
      </c>
      <c r="B729" s="81" t="s">
        <v>149</v>
      </c>
      <c r="C729" s="81" t="s">
        <v>158</v>
      </c>
      <c r="D729" s="81" t="s">
        <v>150</v>
      </c>
      <c r="E729" s="81" t="s">
        <v>50</v>
      </c>
      <c r="F729" s="81" t="s">
        <v>1</v>
      </c>
    </row>
    <row r="730" spans="1:6" x14ac:dyDescent="0.25">
      <c r="A730" s="14">
        <v>46144.38958333333</v>
      </c>
      <c r="B730" s="81" t="s">
        <v>149</v>
      </c>
      <c r="C730" s="81" t="s">
        <v>184</v>
      </c>
      <c r="D730" s="81" t="s">
        <v>150</v>
      </c>
      <c r="E730" s="81" t="s">
        <v>50</v>
      </c>
      <c r="F730" s="81" t="s">
        <v>1</v>
      </c>
    </row>
    <row r="731" spans="1:6" x14ac:dyDescent="0.25">
      <c r="A731" s="14">
        <v>46144.38958333333</v>
      </c>
      <c r="B731" s="81" t="s">
        <v>149</v>
      </c>
      <c r="C731" s="81" t="s">
        <v>176</v>
      </c>
      <c r="D731" s="81" t="s">
        <v>153</v>
      </c>
      <c r="E731" s="81" t="s">
        <v>70</v>
      </c>
      <c r="F731" s="81" t="s">
        <v>15</v>
      </c>
    </row>
    <row r="732" spans="1:6" x14ac:dyDescent="0.25">
      <c r="A732" s="14">
        <v>46144.38958333333</v>
      </c>
      <c r="B732" s="81" t="s">
        <v>149</v>
      </c>
      <c r="C732" s="81" t="s">
        <v>185</v>
      </c>
      <c r="D732" s="81" t="s">
        <v>260</v>
      </c>
      <c r="E732" s="81" t="s">
        <v>50</v>
      </c>
      <c r="F732" s="81" t="s">
        <v>1</v>
      </c>
    </row>
    <row r="733" spans="1:6" x14ac:dyDescent="0.25">
      <c r="A733" s="14">
        <v>46144.38958333333</v>
      </c>
      <c r="B733" s="81" t="s">
        <v>149</v>
      </c>
      <c r="C733" s="81" t="s">
        <v>183</v>
      </c>
      <c r="D733" s="81" t="s">
        <v>150</v>
      </c>
      <c r="E733" s="81" t="s">
        <v>49</v>
      </c>
      <c r="F733" s="81" t="s">
        <v>2</v>
      </c>
    </row>
    <row r="734" spans="1:6" x14ac:dyDescent="0.25">
      <c r="A734" s="14">
        <v>46144.38958333333</v>
      </c>
      <c r="B734" s="81" t="s">
        <v>149</v>
      </c>
      <c r="C734" s="81" t="s">
        <v>190</v>
      </c>
      <c r="D734" s="81" t="s">
        <v>150</v>
      </c>
      <c r="E734" s="81" t="s">
        <v>50</v>
      </c>
      <c r="F734" s="81" t="s">
        <v>1</v>
      </c>
    </row>
    <row r="735" spans="1:6" x14ac:dyDescent="0.25">
      <c r="A735" s="14">
        <v>46144.38958333333</v>
      </c>
      <c r="B735" s="81" t="s">
        <v>149</v>
      </c>
      <c r="C735" s="81" t="s">
        <v>181</v>
      </c>
      <c r="D735" s="81" t="s">
        <v>150</v>
      </c>
      <c r="E735" s="81" t="s">
        <v>50</v>
      </c>
      <c r="F735" s="81" t="s">
        <v>1</v>
      </c>
    </row>
    <row r="736" spans="1:6" x14ac:dyDescent="0.25">
      <c r="A736" s="14">
        <v>46144.38958333333</v>
      </c>
      <c r="B736" s="81" t="s">
        <v>149</v>
      </c>
      <c r="C736" s="81" t="s">
        <v>182</v>
      </c>
      <c r="D736" s="81" t="s">
        <v>260</v>
      </c>
      <c r="E736" s="81" t="s">
        <v>52</v>
      </c>
      <c r="F736" s="81" t="s">
        <v>0</v>
      </c>
    </row>
    <row r="737" spans="1:6" x14ac:dyDescent="0.25">
      <c r="A737" s="14">
        <v>46144.38958333333</v>
      </c>
      <c r="B737" s="81" t="s">
        <v>149</v>
      </c>
      <c r="C737" s="81" t="s">
        <v>184</v>
      </c>
      <c r="D737" s="81" t="s">
        <v>150</v>
      </c>
      <c r="E737" s="81" t="s">
        <v>50</v>
      </c>
      <c r="F737" s="81" t="s">
        <v>1</v>
      </c>
    </row>
    <row r="738" spans="1:6" x14ac:dyDescent="0.25">
      <c r="A738" s="14">
        <v>46144.38958333333</v>
      </c>
      <c r="B738" s="81" t="s">
        <v>149</v>
      </c>
      <c r="C738" s="81" t="s">
        <v>173</v>
      </c>
      <c r="D738" s="81" t="s">
        <v>150</v>
      </c>
      <c r="E738" s="81" t="s">
        <v>50</v>
      </c>
      <c r="F738" s="81" t="s">
        <v>1</v>
      </c>
    </row>
    <row r="739" spans="1:6" x14ac:dyDescent="0.25">
      <c r="A739" s="14">
        <v>46144.38958333333</v>
      </c>
      <c r="B739" s="81" t="s">
        <v>149</v>
      </c>
      <c r="C739" s="81" t="s">
        <v>182</v>
      </c>
      <c r="D739" s="81" t="s">
        <v>150</v>
      </c>
      <c r="E739" s="81" t="s">
        <v>50</v>
      </c>
      <c r="F739" s="81" t="s">
        <v>1</v>
      </c>
    </row>
    <row r="740" spans="1:6" x14ac:dyDescent="0.25">
      <c r="A740" s="14">
        <v>46144.38958333333</v>
      </c>
      <c r="B740" s="81" t="s">
        <v>149</v>
      </c>
      <c r="C740" s="81" t="s">
        <v>182</v>
      </c>
      <c r="D740" s="81" t="s">
        <v>150</v>
      </c>
      <c r="E740" s="81" t="s">
        <v>50</v>
      </c>
      <c r="F740" s="81" t="s">
        <v>1</v>
      </c>
    </row>
    <row r="741" spans="1:6" x14ac:dyDescent="0.25">
      <c r="A741" s="14">
        <v>46144.38958333333</v>
      </c>
      <c r="B741" s="81" t="s">
        <v>149</v>
      </c>
      <c r="C741" s="81" t="s">
        <v>175</v>
      </c>
      <c r="D741" s="81" t="s">
        <v>150</v>
      </c>
      <c r="E741" s="81" t="s">
        <v>50</v>
      </c>
      <c r="F741" s="81" t="s">
        <v>1</v>
      </c>
    </row>
    <row r="742" spans="1:6" x14ac:dyDescent="0.25">
      <c r="A742" s="14">
        <v>46144.38958333333</v>
      </c>
      <c r="B742" s="81" t="s">
        <v>149</v>
      </c>
      <c r="C742" s="81" t="s">
        <v>151</v>
      </c>
      <c r="D742" s="81" t="s">
        <v>150</v>
      </c>
      <c r="E742" s="81" t="s">
        <v>49</v>
      </c>
      <c r="F742" s="81" t="s">
        <v>2</v>
      </c>
    </row>
    <row r="743" spans="1:6" x14ac:dyDescent="0.25">
      <c r="A743" s="14">
        <v>46144.38958333333</v>
      </c>
      <c r="B743" s="81" t="s">
        <v>149</v>
      </c>
      <c r="C743" s="81" t="s">
        <v>187</v>
      </c>
      <c r="D743" s="81" t="s">
        <v>153</v>
      </c>
      <c r="E743" s="81" t="s">
        <v>75</v>
      </c>
      <c r="F743" s="81" t="s">
        <v>93</v>
      </c>
    </row>
    <row r="744" spans="1:6" x14ac:dyDescent="0.25">
      <c r="A744" s="14">
        <v>46144.38958333333</v>
      </c>
      <c r="B744" s="81" t="s">
        <v>149</v>
      </c>
      <c r="C744" s="81" t="s">
        <v>182</v>
      </c>
      <c r="D744" s="81" t="s">
        <v>150</v>
      </c>
      <c r="E744" s="81" t="s">
        <v>49</v>
      </c>
      <c r="F744" s="81" t="s">
        <v>2</v>
      </c>
    </row>
    <row r="745" spans="1:6" x14ac:dyDescent="0.25">
      <c r="A745" s="14">
        <v>46144.38958333333</v>
      </c>
      <c r="B745" s="81" t="s">
        <v>149</v>
      </c>
      <c r="C745" s="81" t="s">
        <v>177</v>
      </c>
      <c r="D745" s="81" t="s">
        <v>258</v>
      </c>
      <c r="E745" s="81" t="s">
        <v>50</v>
      </c>
      <c r="F745" s="81" t="s">
        <v>1</v>
      </c>
    </row>
    <row r="746" spans="1:6" x14ac:dyDescent="0.25">
      <c r="A746" s="14">
        <v>46144.38958333333</v>
      </c>
      <c r="B746" s="81" t="s">
        <v>149</v>
      </c>
      <c r="C746" s="81" t="s">
        <v>175</v>
      </c>
      <c r="D746" s="81" t="s">
        <v>150</v>
      </c>
      <c r="E746" s="81" t="s">
        <v>49</v>
      </c>
      <c r="F746" s="81" t="s">
        <v>2</v>
      </c>
    </row>
    <row r="747" spans="1:6" x14ac:dyDescent="0.25">
      <c r="A747" s="14">
        <v>46144.38958333333</v>
      </c>
      <c r="B747" s="81" t="s">
        <v>149</v>
      </c>
      <c r="C747" s="81" t="s">
        <v>173</v>
      </c>
      <c r="D747" s="81" t="s">
        <v>150</v>
      </c>
      <c r="E747" s="81" t="s">
        <v>49</v>
      </c>
      <c r="F747" s="81" t="s">
        <v>2</v>
      </c>
    </row>
    <row r="748" spans="1:6" x14ac:dyDescent="0.25">
      <c r="A748" s="14">
        <v>46144.38958333333</v>
      </c>
      <c r="B748" s="81" t="s">
        <v>149</v>
      </c>
      <c r="C748" s="81" t="s">
        <v>184</v>
      </c>
      <c r="D748" s="81" t="s">
        <v>150</v>
      </c>
      <c r="E748" s="81" t="s">
        <v>49</v>
      </c>
      <c r="F748" s="81" t="s">
        <v>2</v>
      </c>
    </row>
    <row r="749" spans="1:6" x14ac:dyDescent="0.25">
      <c r="A749" s="14">
        <v>46144.38958333333</v>
      </c>
      <c r="B749" s="81" t="s">
        <v>149</v>
      </c>
      <c r="C749" s="81" t="s">
        <v>185</v>
      </c>
      <c r="D749" s="81" t="s">
        <v>258</v>
      </c>
      <c r="E749" s="81" t="s">
        <v>52</v>
      </c>
      <c r="F749" s="81" t="s">
        <v>0</v>
      </c>
    </row>
    <row r="750" spans="1:6" x14ac:dyDescent="0.25">
      <c r="A750" s="14">
        <v>46144.38958333333</v>
      </c>
      <c r="B750" s="81" t="s">
        <v>149</v>
      </c>
      <c r="C750" s="81" t="s">
        <v>175</v>
      </c>
      <c r="D750" s="81" t="s">
        <v>260</v>
      </c>
      <c r="E750" s="81" t="s">
        <v>52</v>
      </c>
      <c r="F750" s="81" t="s">
        <v>0</v>
      </c>
    </row>
    <row r="751" spans="1:6" x14ac:dyDescent="0.25">
      <c r="A751" s="14">
        <v>46144.38958333333</v>
      </c>
      <c r="B751" s="81" t="s">
        <v>149</v>
      </c>
      <c r="C751" s="81" t="s">
        <v>158</v>
      </c>
      <c r="D751" s="81" t="s">
        <v>260</v>
      </c>
      <c r="E751" s="81" t="s">
        <v>50</v>
      </c>
      <c r="F751" s="81" t="s">
        <v>1</v>
      </c>
    </row>
    <row r="752" spans="1:6" x14ac:dyDescent="0.25">
      <c r="A752" s="14">
        <v>46144.38958333333</v>
      </c>
      <c r="B752" s="81" t="s">
        <v>149</v>
      </c>
      <c r="C752" s="81" t="s">
        <v>158</v>
      </c>
      <c r="D752" s="81" t="s">
        <v>260</v>
      </c>
      <c r="E752" s="81" t="s">
        <v>52</v>
      </c>
      <c r="F752" s="81" t="s">
        <v>0</v>
      </c>
    </row>
    <row r="753" spans="1:6" x14ac:dyDescent="0.25">
      <c r="A753" s="14">
        <v>46144.38958333333</v>
      </c>
      <c r="B753" s="81" t="s">
        <v>149</v>
      </c>
      <c r="C753" s="81" t="s">
        <v>171</v>
      </c>
      <c r="D753" s="81" t="s">
        <v>260</v>
      </c>
      <c r="E753" s="81" t="s">
        <v>50</v>
      </c>
      <c r="F753" s="81" t="s">
        <v>1</v>
      </c>
    </row>
    <row r="754" spans="1:6" x14ac:dyDescent="0.25">
      <c r="A754" s="14">
        <v>46144.38958333333</v>
      </c>
      <c r="B754" s="81" t="s">
        <v>149</v>
      </c>
      <c r="C754" s="81" t="s">
        <v>182</v>
      </c>
      <c r="D754" s="81" t="s">
        <v>260</v>
      </c>
      <c r="E754" s="81" t="s">
        <v>50</v>
      </c>
      <c r="F754" s="81" t="s">
        <v>1</v>
      </c>
    </row>
    <row r="755" spans="1:6" x14ac:dyDescent="0.25">
      <c r="A755" s="14">
        <v>46144.38958333333</v>
      </c>
      <c r="B755" s="81" t="s">
        <v>149</v>
      </c>
      <c r="C755" s="81" t="s">
        <v>255</v>
      </c>
      <c r="D755" s="81" t="s">
        <v>236</v>
      </c>
      <c r="E755" s="81" t="s">
        <v>256</v>
      </c>
      <c r="F755" s="81" t="s">
        <v>28</v>
      </c>
    </row>
    <row r="756" spans="1:6" x14ac:dyDescent="0.25">
      <c r="A756" s="14">
        <v>46144.38958333333</v>
      </c>
      <c r="B756" s="81" t="s">
        <v>149</v>
      </c>
      <c r="C756" s="81" t="s">
        <v>171</v>
      </c>
      <c r="D756" s="81" t="s">
        <v>243</v>
      </c>
      <c r="E756" s="81" t="s">
        <v>49</v>
      </c>
      <c r="F756" s="81" t="s">
        <v>2</v>
      </c>
    </row>
    <row r="757" spans="1:6" x14ac:dyDescent="0.25">
      <c r="A757" s="14">
        <v>46144.38958333333</v>
      </c>
      <c r="B757" s="81" t="s">
        <v>149</v>
      </c>
      <c r="C757" s="81" t="s">
        <v>151</v>
      </c>
      <c r="D757" s="81" t="s">
        <v>258</v>
      </c>
      <c r="E757" s="81" t="s">
        <v>52</v>
      </c>
      <c r="F757" s="81" t="s">
        <v>0</v>
      </c>
    </row>
    <row r="758" spans="1:6" x14ac:dyDescent="0.25">
      <c r="A758" s="14">
        <v>46144.38958333333</v>
      </c>
      <c r="B758" s="81" t="s">
        <v>149</v>
      </c>
      <c r="C758" s="81" t="s">
        <v>255</v>
      </c>
      <c r="D758" s="81" t="s">
        <v>194</v>
      </c>
      <c r="E758" s="81" t="s">
        <v>256</v>
      </c>
      <c r="F758" s="81" t="s">
        <v>28</v>
      </c>
    </row>
    <row r="759" spans="1:6" x14ac:dyDescent="0.25">
      <c r="A759" s="14">
        <v>46144.38958333333</v>
      </c>
      <c r="B759" s="81" t="s">
        <v>149</v>
      </c>
      <c r="C759" s="81" t="s">
        <v>255</v>
      </c>
      <c r="D759" s="81" t="s">
        <v>194</v>
      </c>
      <c r="E759" s="81" t="s">
        <v>256</v>
      </c>
      <c r="F759" s="81" t="s">
        <v>28</v>
      </c>
    </row>
    <row r="760" spans="1:6" x14ac:dyDescent="0.25">
      <c r="A760" s="14">
        <v>46144.38958333333</v>
      </c>
      <c r="B760" s="81" t="s">
        <v>149</v>
      </c>
      <c r="C760" s="81" t="s">
        <v>200</v>
      </c>
      <c r="D760" s="81" t="s">
        <v>194</v>
      </c>
      <c r="E760" s="81" t="s">
        <v>125</v>
      </c>
      <c r="F760" s="81" t="s">
        <v>124</v>
      </c>
    </row>
    <row r="761" spans="1:6" x14ac:dyDescent="0.25">
      <c r="A761" s="14">
        <v>46144.38958333333</v>
      </c>
      <c r="B761" s="81" t="s">
        <v>195</v>
      </c>
      <c r="C761" s="81" t="s">
        <v>196</v>
      </c>
      <c r="D761" s="81" t="s">
        <v>231</v>
      </c>
      <c r="E761" s="81" t="s">
        <v>24</v>
      </c>
      <c r="F761" s="81" t="s">
        <v>24</v>
      </c>
    </row>
    <row r="762" spans="1:6" x14ac:dyDescent="0.25">
      <c r="A762" s="14">
        <v>46144.38958333333</v>
      </c>
      <c r="B762" s="81" t="s">
        <v>195</v>
      </c>
      <c r="C762" s="81" t="s">
        <v>196</v>
      </c>
      <c r="D762" s="81" t="s">
        <v>231</v>
      </c>
      <c r="E762" s="81" t="s">
        <v>24</v>
      </c>
      <c r="F762" s="81" t="s">
        <v>24</v>
      </c>
    </row>
    <row r="763" spans="1:6" x14ac:dyDescent="0.25">
      <c r="A763" s="14">
        <v>46144.38958333333</v>
      </c>
      <c r="B763" s="81" t="s">
        <v>195</v>
      </c>
      <c r="C763" s="81" t="s">
        <v>196</v>
      </c>
      <c r="D763" s="81" t="s">
        <v>231</v>
      </c>
      <c r="E763" s="81" t="s">
        <v>24</v>
      </c>
      <c r="F763" s="81" t="s">
        <v>24</v>
      </c>
    </row>
    <row r="764" spans="1:6" x14ac:dyDescent="0.25">
      <c r="A764" s="14">
        <v>46144.427777777775</v>
      </c>
      <c r="B764" s="81" t="s">
        <v>149</v>
      </c>
      <c r="C764" s="81" t="s">
        <v>255</v>
      </c>
      <c r="D764" s="81" t="s">
        <v>236</v>
      </c>
      <c r="E764" s="81" t="s">
        <v>256</v>
      </c>
      <c r="F764" s="81" t="s">
        <v>28</v>
      </c>
    </row>
    <row r="765" spans="1:6" x14ac:dyDescent="0.25">
      <c r="A765" s="14">
        <v>46144.427777777775</v>
      </c>
      <c r="B765" s="81" t="s">
        <v>149</v>
      </c>
      <c r="C765" s="81" t="s">
        <v>176</v>
      </c>
      <c r="D765" s="81" t="s">
        <v>157</v>
      </c>
      <c r="E765" s="81" t="s">
        <v>70</v>
      </c>
      <c r="F765" s="81" t="s">
        <v>15</v>
      </c>
    </row>
    <row r="766" spans="1:6" x14ac:dyDescent="0.25">
      <c r="A766" s="14">
        <v>46144.427777777775</v>
      </c>
      <c r="B766" s="81" t="s">
        <v>149</v>
      </c>
      <c r="C766" s="81" t="s">
        <v>171</v>
      </c>
      <c r="D766" s="81" t="s">
        <v>257</v>
      </c>
      <c r="E766" s="81" t="s">
        <v>52</v>
      </c>
      <c r="F766" s="81" t="s">
        <v>0</v>
      </c>
    </row>
    <row r="767" spans="1:6" x14ac:dyDescent="0.25">
      <c r="A767" s="14">
        <v>46144.427777777775</v>
      </c>
      <c r="B767" s="81" t="s">
        <v>149</v>
      </c>
      <c r="C767" s="81" t="s">
        <v>187</v>
      </c>
      <c r="D767" s="81" t="s">
        <v>157</v>
      </c>
      <c r="E767" s="81" t="s">
        <v>75</v>
      </c>
      <c r="F767" s="81" t="s">
        <v>93</v>
      </c>
    </row>
    <row r="768" spans="1:6" x14ac:dyDescent="0.25">
      <c r="A768" s="14">
        <v>46144.427777777775</v>
      </c>
      <c r="B768" s="81" t="s">
        <v>149</v>
      </c>
      <c r="C768" s="81" t="s">
        <v>181</v>
      </c>
      <c r="D768" s="81" t="s">
        <v>165</v>
      </c>
      <c r="E768" s="81" t="s">
        <v>50</v>
      </c>
      <c r="F768" s="81" t="s">
        <v>1</v>
      </c>
    </row>
    <row r="769" spans="1:6" x14ac:dyDescent="0.25">
      <c r="A769" s="14">
        <v>46144.427777777775</v>
      </c>
      <c r="B769" s="81" t="s">
        <v>149</v>
      </c>
      <c r="C769" s="81" t="s">
        <v>182</v>
      </c>
      <c r="D769" s="81" t="s">
        <v>231</v>
      </c>
      <c r="E769" s="81" t="s">
        <v>52</v>
      </c>
      <c r="F769" s="81" t="s">
        <v>0</v>
      </c>
    </row>
    <row r="770" spans="1:6" x14ac:dyDescent="0.25">
      <c r="A770" s="14">
        <v>46144.427777777775</v>
      </c>
      <c r="B770" s="81" t="s">
        <v>149</v>
      </c>
      <c r="C770" s="81" t="s">
        <v>187</v>
      </c>
      <c r="D770" s="81" t="s">
        <v>157</v>
      </c>
      <c r="E770" s="81" t="s">
        <v>75</v>
      </c>
      <c r="F770" s="81" t="s">
        <v>93</v>
      </c>
    </row>
    <row r="771" spans="1:6" x14ac:dyDescent="0.25">
      <c r="A771" s="14">
        <v>46144.427777777775</v>
      </c>
      <c r="B771" s="81" t="s">
        <v>149</v>
      </c>
      <c r="C771" s="81" t="s">
        <v>187</v>
      </c>
      <c r="D771" s="81" t="s">
        <v>157</v>
      </c>
      <c r="E771" s="81" t="s">
        <v>75</v>
      </c>
      <c r="F771" s="81" t="s">
        <v>93</v>
      </c>
    </row>
    <row r="772" spans="1:6" x14ac:dyDescent="0.25">
      <c r="A772" s="14">
        <v>46144.427777777775</v>
      </c>
      <c r="B772" s="81" t="s">
        <v>149</v>
      </c>
      <c r="C772" s="81" t="s">
        <v>185</v>
      </c>
      <c r="D772" s="81" t="s">
        <v>231</v>
      </c>
      <c r="E772" s="81" t="s">
        <v>49</v>
      </c>
      <c r="F772" s="81" t="s">
        <v>2</v>
      </c>
    </row>
    <row r="773" spans="1:6" x14ac:dyDescent="0.25">
      <c r="A773" s="14">
        <v>46144.427777777775</v>
      </c>
      <c r="B773" s="81" t="s">
        <v>195</v>
      </c>
      <c r="C773" s="81" t="s">
        <v>198</v>
      </c>
      <c r="D773" s="81" t="s">
        <v>258</v>
      </c>
      <c r="E773" s="81" t="s">
        <v>24</v>
      </c>
      <c r="F773" s="81" t="s">
        <v>24</v>
      </c>
    </row>
    <row r="774" spans="1:6" x14ac:dyDescent="0.25">
      <c r="A774" s="14">
        <v>46144.427777777775</v>
      </c>
      <c r="B774" s="81" t="s">
        <v>195</v>
      </c>
      <c r="C774" s="81" t="s">
        <v>198</v>
      </c>
      <c r="D774" s="81" t="s">
        <v>258</v>
      </c>
      <c r="E774" s="81" t="s">
        <v>24</v>
      </c>
      <c r="F774" s="81" t="s">
        <v>24</v>
      </c>
    </row>
    <row r="775" spans="1:6" x14ac:dyDescent="0.25">
      <c r="A775" s="14">
        <v>46144.427777777775</v>
      </c>
      <c r="B775" s="81" t="s">
        <v>195</v>
      </c>
      <c r="C775" s="81" t="s">
        <v>198</v>
      </c>
      <c r="D775" s="81" t="s">
        <v>258</v>
      </c>
      <c r="E775" s="81" t="s">
        <v>24</v>
      </c>
      <c r="F775" s="81" t="s">
        <v>24</v>
      </c>
    </row>
    <row r="776" spans="1:6" x14ac:dyDescent="0.25">
      <c r="A776" s="14">
        <v>46144.487500000003</v>
      </c>
      <c r="B776" s="81" t="s">
        <v>149</v>
      </c>
      <c r="C776" s="81" t="s">
        <v>185</v>
      </c>
      <c r="D776" s="81" t="s">
        <v>231</v>
      </c>
      <c r="E776" s="81" t="s">
        <v>52</v>
      </c>
      <c r="F776" s="81" t="s">
        <v>0</v>
      </c>
    </row>
    <row r="777" spans="1:6" x14ac:dyDescent="0.25">
      <c r="A777" s="14">
        <v>46144.487500000003</v>
      </c>
      <c r="B777" s="81" t="s">
        <v>149</v>
      </c>
      <c r="C777" s="81" t="s">
        <v>181</v>
      </c>
      <c r="D777" s="81" t="s">
        <v>231</v>
      </c>
      <c r="E777" s="81" t="s">
        <v>52</v>
      </c>
      <c r="F777" s="81" t="s">
        <v>0</v>
      </c>
    </row>
    <row r="778" spans="1:6" x14ac:dyDescent="0.25">
      <c r="A778" s="14">
        <v>46144.487500000003</v>
      </c>
      <c r="B778" s="81" t="s">
        <v>149</v>
      </c>
      <c r="C778" s="81" t="s">
        <v>158</v>
      </c>
      <c r="D778" s="81" t="s">
        <v>234</v>
      </c>
      <c r="E778" s="81" t="s">
        <v>50</v>
      </c>
      <c r="F778" s="81" t="s">
        <v>1</v>
      </c>
    </row>
    <row r="779" spans="1:6" x14ac:dyDescent="0.25">
      <c r="A779" s="14">
        <v>46144.487500000003</v>
      </c>
      <c r="B779" s="81" t="s">
        <v>149</v>
      </c>
      <c r="C779" s="81" t="s">
        <v>181</v>
      </c>
      <c r="D779" s="81" t="s">
        <v>165</v>
      </c>
      <c r="E779" s="81" t="s">
        <v>50</v>
      </c>
      <c r="F779" s="81" t="s">
        <v>1</v>
      </c>
    </row>
    <row r="780" spans="1:6" x14ac:dyDescent="0.25">
      <c r="A780" s="14">
        <v>46144.487500000003</v>
      </c>
      <c r="B780" s="81" t="s">
        <v>149</v>
      </c>
      <c r="C780" s="81" t="s">
        <v>200</v>
      </c>
      <c r="D780" s="81" t="s">
        <v>194</v>
      </c>
      <c r="E780" s="81" t="s">
        <v>123</v>
      </c>
      <c r="F780" s="81" t="s">
        <v>124</v>
      </c>
    </row>
    <row r="781" spans="1:6" x14ac:dyDescent="0.25">
      <c r="A781" s="14">
        <v>46144.487500000003</v>
      </c>
      <c r="B781" s="81" t="s">
        <v>149</v>
      </c>
      <c r="C781" s="81" t="s">
        <v>175</v>
      </c>
      <c r="D781" s="81" t="s">
        <v>163</v>
      </c>
      <c r="E781" s="81" t="s">
        <v>49</v>
      </c>
      <c r="F781" s="81" t="s">
        <v>2</v>
      </c>
    </row>
    <row r="782" spans="1:6" x14ac:dyDescent="0.25">
      <c r="A782" s="14">
        <v>46144.487500000003</v>
      </c>
      <c r="B782" s="81" t="s">
        <v>149</v>
      </c>
      <c r="C782" s="81" t="s">
        <v>176</v>
      </c>
      <c r="D782" s="81" t="s">
        <v>231</v>
      </c>
      <c r="E782" s="81" t="s">
        <v>70</v>
      </c>
      <c r="F782" s="81" t="s">
        <v>15</v>
      </c>
    </row>
    <row r="783" spans="1:6" x14ac:dyDescent="0.25">
      <c r="A783" s="14">
        <v>46144.487500000003</v>
      </c>
      <c r="B783" s="81" t="s">
        <v>149</v>
      </c>
      <c r="C783" s="81" t="s">
        <v>182</v>
      </c>
      <c r="D783" s="81" t="s">
        <v>257</v>
      </c>
      <c r="E783" s="81" t="s">
        <v>50</v>
      </c>
      <c r="F783" s="81" t="s">
        <v>1</v>
      </c>
    </row>
    <row r="784" spans="1:6" x14ac:dyDescent="0.25">
      <c r="A784" s="14">
        <v>46144.487500000003</v>
      </c>
      <c r="B784" s="81" t="s">
        <v>149</v>
      </c>
      <c r="C784" s="81" t="s">
        <v>182</v>
      </c>
      <c r="D784" s="81" t="s">
        <v>257</v>
      </c>
      <c r="E784" s="81" t="s">
        <v>52</v>
      </c>
      <c r="F784" s="81" t="s">
        <v>0</v>
      </c>
    </row>
    <row r="785" spans="1:6" x14ac:dyDescent="0.25">
      <c r="A785" s="14">
        <v>46144.487500000003</v>
      </c>
      <c r="B785" s="81" t="s">
        <v>149</v>
      </c>
      <c r="C785" s="81" t="s">
        <v>175</v>
      </c>
      <c r="D785" s="81" t="s">
        <v>157</v>
      </c>
      <c r="E785" s="81" t="s">
        <v>50</v>
      </c>
      <c r="F785" s="81" t="s">
        <v>1</v>
      </c>
    </row>
    <row r="786" spans="1:6" x14ac:dyDescent="0.25">
      <c r="A786" s="14">
        <v>46144.487500000003</v>
      </c>
      <c r="B786" s="81" t="s">
        <v>149</v>
      </c>
      <c r="C786" s="81" t="s">
        <v>187</v>
      </c>
      <c r="D786" s="81" t="s">
        <v>231</v>
      </c>
      <c r="E786" s="81" t="s">
        <v>75</v>
      </c>
      <c r="F786" s="81" t="s">
        <v>93</v>
      </c>
    </row>
    <row r="787" spans="1:6" x14ac:dyDescent="0.25">
      <c r="A787" s="14">
        <v>46144.487500000003</v>
      </c>
      <c r="B787" s="81" t="s">
        <v>149</v>
      </c>
      <c r="C787" s="81" t="s">
        <v>183</v>
      </c>
      <c r="D787" s="81" t="s">
        <v>260</v>
      </c>
      <c r="E787" s="81" t="s">
        <v>50</v>
      </c>
      <c r="F787" s="81" t="s">
        <v>1</v>
      </c>
    </row>
    <row r="788" spans="1:6" x14ac:dyDescent="0.25">
      <c r="A788" s="14">
        <v>46144.487500000003</v>
      </c>
      <c r="B788" s="81" t="s">
        <v>149</v>
      </c>
      <c r="C788" s="81" t="s">
        <v>182</v>
      </c>
      <c r="D788" s="81" t="s">
        <v>234</v>
      </c>
      <c r="E788" s="81" t="s">
        <v>52</v>
      </c>
      <c r="F788" s="81" t="s">
        <v>0</v>
      </c>
    </row>
    <row r="789" spans="1:6" x14ac:dyDescent="0.25">
      <c r="A789" s="14">
        <v>46144.487500000003</v>
      </c>
      <c r="B789" s="81" t="s">
        <v>149</v>
      </c>
      <c r="C789" s="81" t="s">
        <v>192</v>
      </c>
      <c r="D789" s="81" t="s">
        <v>157</v>
      </c>
      <c r="E789" s="81" t="s">
        <v>60</v>
      </c>
      <c r="F789" s="81" t="s">
        <v>28</v>
      </c>
    </row>
    <row r="790" spans="1:6" x14ac:dyDescent="0.25">
      <c r="A790" s="14">
        <v>46144.487500000003</v>
      </c>
      <c r="B790" s="81" t="s">
        <v>149</v>
      </c>
      <c r="C790" s="81" t="s">
        <v>182</v>
      </c>
      <c r="D790" s="81" t="s">
        <v>234</v>
      </c>
      <c r="E790" s="81" t="s">
        <v>50</v>
      </c>
      <c r="F790" s="81" t="s">
        <v>1</v>
      </c>
    </row>
    <row r="791" spans="1:6" x14ac:dyDescent="0.25">
      <c r="A791" s="14">
        <v>46144.487500000003</v>
      </c>
      <c r="B791" s="81" t="s">
        <v>149</v>
      </c>
      <c r="C791" s="81" t="s">
        <v>177</v>
      </c>
      <c r="D791" s="81" t="s">
        <v>260</v>
      </c>
      <c r="E791" s="81" t="s">
        <v>50</v>
      </c>
      <c r="F791" s="81" t="s">
        <v>1</v>
      </c>
    </row>
    <row r="792" spans="1:6" x14ac:dyDescent="0.25">
      <c r="A792" s="14">
        <v>46144.487500000003</v>
      </c>
      <c r="B792" s="81" t="s">
        <v>149</v>
      </c>
      <c r="C792" s="81" t="s">
        <v>173</v>
      </c>
      <c r="D792" s="81" t="s">
        <v>179</v>
      </c>
      <c r="E792" s="81" t="s">
        <v>50</v>
      </c>
      <c r="F792" s="81" t="s">
        <v>1</v>
      </c>
    </row>
    <row r="793" spans="1:6" x14ac:dyDescent="0.25">
      <c r="A793" s="14">
        <v>46144.487500000003</v>
      </c>
      <c r="B793" s="81" t="s">
        <v>149</v>
      </c>
      <c r="C793" s="81" t="s">
        <v>177</v>
      </c>
      <c r="D793" s="81" t="s">
        <v>179</v>
      </c>
      <c r="E793" s="81" t="s">
        <v>50</v>
      </c>
      <c r="F793" s="81" t="s">
        <v>1</v>
      </c>
    </row>
    <row r="794" spans="1:6" x14ac:dyDescent="0.25">
      <c r="A794" s="14">
        <v>46144.487500000003</v>
      </c>
      <c r="B794" s="81" t="s">
        <v>149</v>
      </c>
      <c r="C794" s="81" t="s">
        <v>185</v>
      </c>
      <c r="D794" s="81" t="s">
        <v>234</v>
      </c>
      <c r="E794" s="81" t="s">
        <v>50</v>
      </c>
      <c r="F794" s="81" t="s">
        <v>1</v>
      </c>
    </row>
    <row r="795" spans="1:6" x14ac:dyDescent="0.25">
      <c r="A795" s="14">
        <v>46144.487500000003</v>
      </c>
      <c r="B795" s="81" t="s">
        <v>149</v>
      </c>
      <c r="C795" s="81" t="s">
        <v>176</v>
      </c>
      <c r="D795" s="81" t="s">
        <v>157</v>
      </c>
      <c r="E795" s="81" t="s">
        <v>70</v>
      </c>
      <c r="F795" s="81" t="s">
        <v>15</v>
      </c>
    </row>
    <row r="796" spans="1:6" x14ac:dyDescent="0.25">
      <c r="A796" s="14">
        <v>46144.487500000003</v>
      </c>
      <c r="B796" s="81" t="s">
        <v>149</v>
      </c>
      <c r="C796" s="81" t="s">
        <v>185</v>
      </c>
      <c r="D796" s="81" t="s">
        <v>163</v>
      </c>
      <c r="E796" s="81" t="s">
        <v>52</v>
      </c>
      <c r="F796" s="81" t="s">
        <v>0</v>
      </c>
    </row>
    <row r="797" spans="1:6" x14ac:dyDescent="0.25">
      <c r="A797" s="14">
        <v>46144.487500000003</v>
      </c>
      <c r="B797" s="81" t="s">
        <v>149</v>
      </c>
      <c r="C797" s="81" t="s">
        <v>187</v>
      </c>
      <c r="D797" s="81" t="s">
        <v>199</v>
      </c>
      <c r="E797" s="81" t="s">
        <v>75</v>
      </c>
      <c r="F797" s="81" t="s">
        <v>93</v>
      </c>
    </row>
    <row r="798" spans="1:6" x14ac:dyDescent="0.25">
      <c r="A798" s="14">
        <v>46144.487500000003</v>
      </c>
      <c r="B798" s="81" t="s">
        <v>149</v>
      </c>
      <c r="C798" s="81" t="s">
        <v>176</v>
      </c>
      <c r="D798" s="81" t="s">
        <v>157</v>
      </c>
      <c r="E798" s="81" t="s">
        <v>63</v>
      </c>
      <c r="F798" s="81" t="s">
        <v>16</v>
      </c>
    </row>
    <row r="799" spans="1:6" x14ac:dyDescent="0.25">
      <c r="A799" s="14">
        <v>46144.487500000003</v>
      </c>
      <c r="B799" s="81" t="s">
        <v>149</v>
      </c>
      <c r="C799" s="81" t="s">
        <v>181</v>
      </c>
      <c r="D799" s="81" t="s">
        <v>246</v>
      </c>
      <c r="E799" s="81" t="s">
        <v>52</v>
      </c>
      <c r="F799" s="81" t="s">
        <v>0</v>
      </c>
    </row>
    <row r="800" spans="1:6" x14ac:dyDescent="0.25">
      <c r="A800" s="14">
        <v>46144.487500000003</v>
      </c>
      <c r="B800" s="81" t="s">
        <v>149</v>
      </c>
      <c r="C800" s="81" t="s">
        <v>151</v>
      </c>
      <c r="D800" s="81" t="s">
        <v>246</v>
      </c>
      <c r="E800" s="81" t="s">
        <v>52</v>
      </c>
      <c r="F800" s="81" t="s">
        <v>0</v>
      </c>
    </row>
    <row r="801" spans="1:6" x14ac:dyDescent="0.25">
      <c r="A801" s="14">
        <v>46144.487500000003</v>
      </c>
      <c r="B801" s="81" t="s">
        <v>149</v>
      </c>
      <c r="C801" s="81" t="s">
        <v>173</v>
      </c>
      <c r="D801" s="81" t="s">
        <v>246</v>
      </c>
      <c r="E801" s="81" t="s">
        <v>52</v>
      </c>
      <c r="F801" s="81" t="s">
        <v>0</v>
      </c>
    </row>
    <row r="802" spans="1:6" x14ac:dyDescent="0.25">
      <c r="A802" s="14">
        <v>46144.487500000003</v>
      </c>
      <c r="B802" s="81" t="s">
        <v>149</v>
      </c>
      <c r="C802" s="81" t="s">
        <v>255</v>
      </c>
      <c r="D802" s="81" t="s">
        <v>194</v>
      </c>
      <c r="E802" s="81" t="s">
        <v>256</v>
      </c>
      <c r="F802" s="81" t="s">
        <v>28</v>
      </c>
    </row>
    <row r="803" spans="1:6" x14ac:dyDescent="0.25">
      <c r="A803" s="14">
        <v>46144.487500000003</v>
      </c>
      <c r="B803" s="81" t="s">
        <v>149</v>
      </c>
      <c r="C803" s="81" t="s">
        <v>182</v>
      </c>
      <c r="D803" s="81" t="s">
        <v>199</v>
      </c>
      <c r="E803" s="81" t="s">
        <v>49</v>
      </c>
      <c r="F803" s="81" t="s">
        <v>2</v>
      </c>
    </row>
    <row r="804" spans="1:6" x14ac:dyDescent="0.25">
      <c r="A804" s="14">
        <v>46144.487500000003</v>
      </c>
      <c r="B804" s="81" t="s">
        <v>149</v>
      </c>
      <c r="C804" s="81" t="s">
        <v>184</v>
      </c>
      <c r="D804" s="81" t="s">
        <v>199</v>
      </c>
      <c r="E804" s="81" t="s">
        <v>50</v>
      </c>
      <c r="F804" s="81" t="s">
        <v>1</v>
      </c>
    </row>
    <row r="805" spans="1:6" x14ac:dyDescent="0.25">
      <c r="A805" s="14">
        <v>46144.487500000003</v>
      </c>
      <c r="B805" s="81" t="s">
        <v>149</v>
      </c>
      <c r="C805" s="81" t="s">
        <v>158</v>
      </c>
      <c r="D805" s="81" t="s">
        <v>246</v>
      </c>
      <c r="E805" s="81" t="s">
        <v>52</v>
      </c>
      <c r="F805" s="81" t="s">
        <v>0</v>
      </c>
    </row>
    <row r="806" spans="1:6" x14ac:dyDescent="0.25">
      <c r="A806" s="14">
        <v>46144.487500000003</v>
      </c>
      <c r="B806" s="81" t="s">
        <v>149</v>
      </c>
      <c r="C806" s="81" t="s">
        <v>183</v>
      </c>
      <c r="D806" s="81" t="s">
        <v>199</v>
      </c>
      <c r="E806" s="81" t="s">
        <v>50</v>
      </c>
      <c r="F806" s="81" t="s">
        <v>1</v>
      </c>
    </row>
    <row r="807" spans="1:6" x14ac:dyDescent="0.25">
      <c r="A807" s="14">
        <v>46144.487500000003</v>
      </c>
      <c r="B807" s="81" t="s">
        <v>149</v>
      </c>
      <c r="C807" s="81" t="s">
        <v>176</v>
      </c>
      <c r="D807" s="81" t="s">
        <v>157</v>
      </c>
      <c r="E807" s="81" t="s">
        <v>63</v>
      </c>
      <c r="F807" s="81" t="s">
        <v>16</v>
      </c>
    </row>
    <row r="808" spans="1:6" x14ac:dyDescent="0.25">
      <c r="A808" s="14">
        <v>46144.487500000003</v>
      </c>
      <c r="B808" s="81" t="s">
        <v>149</v>
      </c>
      <c r="C808" s="81" t="s">
        <v>173</v>
      </c>
      <c r="D808" s="81" t="s">
        <v>167</v>
      </c>
      <c r="E808" s="81" t="s">
        <v>50</v>
      </c>
      <c r="F808" s="81" t="s">
        <v>1</v>
      </c>
    </row>
    <row r="809" spans="1:6" x14ac:dyDescent="0.25">
      <c r="A809" s="14">
        <v>46144.487500000003</v>
      </c>
      <c r="B809" s="81" t="s">
        <v>149</v>
      </c>
      <c r="C809" s="81" t="s">
        <v>175</v>
      </c>
      <c r="D809" s="81" t="s">
        <v>199</v>
      </c>
      <c r="E809" s="81" t="s">
        <v>50</v>
      </c>
      <c r="F809" s="81" t="s">
        <v>1</v>
      </c>
    </row>
    <row r="810" spans="1:6" x14ac:dyDescent="0.25">
      <c r="A810" s="14">
        <v>46144.619444444441</v>
      </c>
      <c r="B810" s="81" t="s">
        <v>149</v>
      </c>
      <c r="C810" s="81" t="s">
        <v>173</v>
      </c>
      <c r="D810" s="81" t="s">
        <v>167</v>
      </c>
      <c r="E810" s="81" t="s">
        <v>50</v>
      </c>
      <c r="F810" s="81" t="s">
        <v>1</v>
      </c>
    </row>
    <row r="811" spans="1:6" x14ac:dyDescent="0.25">
      <c r="A811" s="14">
        <v>46144.619444444441</v>
      </c>
      <c r="B811" s="81" t="s">
        <v>149</v>
      </c>
      <c r="C811" s="81" t="s">
        <v>176</v>
      </c>
      <c r="D811" s="81" t="s">
        <v>254</v>
      </c>
      <c r="E811" s="81" t="s">
        <v>70</v>
      </c>
      <c r="F811" s="81" t="s">
        <v>15</v>
      </c>
    </row>
    <row r="812" spans="1:6" x14ac:dyDescent="0.25">
      <c r="A812" s="14">
        <v>46144.619444444441</v>
      </c>
      <c r="B812" s="81" t="s">
        <v>149</v>
      </c>
      <c r="C812" s="81" t="s">
        <v>173</v>
      </c>
      <c r="D812" s="81" t="s">
        <v>167</v>
      </c>
      <c r="E812" s="81" t="s">
        <v>52</v>
      </c>
      <c r="F812" s="81" t="s">
        <v>0</v>
      </c>
    </row>
    <row r="813" spans="1:6" x14ac:dyDescent="0.25">
      <c r="A813" s="14">
        <v>46144.619444444441</v>
      </c>
      <c r="B813" s="81" t="s">
        <v>149</v>
      </c>
      <c r="C813" s="81" t="s">
        <v>200</v>
      </c>
      <c r="D813" s="81" t="s">
        <v>202</v>
      </c>
      <c r="E813" s="81" t="s">
        <v>123</v>
      </c>
      <c r="F813" s="81" t="s">
        <v>124</v>
      </c>
    </row>
    <row r="814" spans="1:6" x14ac:dyDescent="0.25">
      <c r="A814" s="14">
        <v>46144.619444444441</v>
      </c>
      <c r="B814" s="81" t="s">
        <v>149</v>
      </c>
      <c r="C814" s="81" t="s">
        <v>173</v>
      </c>
      <c r="D814" s="81" t="s">
        <v>167</v>
      </c>
      <c r="E814" s="81" t="s">
        <v>50</v>
      </c>
      <c r="F814" s="81" t="s">
        <v>1</v>
      </c>
    </row>
    <row r="815" spans="1:6" x14ac:dyDescent="0.25">
      <c r="A815" s="14">
        <v>46144.619444444441</v>
      </c>
      <c r="B815" s="81" t="s">
        <v>149</v>
      </c>
      <c r="C815" s="81" t="s">
        <v>176</v>
      </c>
      <c r="D815" s="81" t="s">
        <v>254</v>
      </c>
      <c r="E815" s="81" t="s">
        <v>70</v>
      </c>
      <c r="F815" s="81" t="s">
        <v>15</v>
      </c>
    </row>
    <row r="816" spans="1:6" x14ac:dyDescent="0.25">
      <c r="A816" s="14">
        <v>46144.619444444441</v>
      </c>
      <c r="B816" s="81" t="s">
        <v>149</v>
      </c>
      <c r="C816" s="81" t="s">
        <v>151</v>
      </c>
      <c r="D816" s="81" t="s">
        <v>194</v>
      </c>
      <c r="E816" s="81" t="s">
        <v>50</v>
      </c>
      <c r="F816" s="81" t="s">
        <v>1</v>
      </c>
    </row>
    <row r="817" spans="1:6" x14ac:dyDescent="0.25">
      <c r="A817" s="14">
        <v>46144.619444444441</v>
      </c>
      <c r="B817" s="81" t="s">
        <v>149</v>
      </c>
      <c r="C817" s="81" t="s">
        <v>173</v>
      </c>
      <c r="D817" s="81" t="s">
        <v>167</v>
      </c>
      <c r="E817" s="81" t="s">
        <v>50</v>
      </c>
      <c r="F817" s="81" t="s">
        <v>1</v>
      </c>
    </row>
    <row r="818" spans="1:6" x14ac:dyDescent="0.25">
      <c r="A818" s="14">
        <v>46144.619444444441</v>
      </c>
      <c r="B818" s="81" t="s">
        <v>149</v>
      </c>
      <c r="C818" s="81" t="s">
        <v>190</v>
      </c>
      <c r="D818" s="81" t="s">
        <v>194</v>
      </c>
      <c r="E818" s="81" t="s">
        <v>50</v>
      </c>
      <c r="F818" s="81" t="s">
        <v>1</v>
      </c>
    </row>
    <row r="819" spans="1:6" x14ac:dyDescent="0.25">
      <c r="A819" s="14">
        <v>46144.619444444441</v>
      </c>
      <c r="B819" s="81" t="s">
        <v>149</v>
      </c>
      <c r="C819" s="81" t="s">
        <v>185</v>
      </c>
      <c r="D819" s="81" t="s">
        <v>254</v>
      </c>
      <c r="E819" s="81" t="s">
        <v>50</v>
      </c>
      <c r="F819" s="81" t="s">
        <v>1</v>
      </c>
    </row>
    <row r="820" spans="1:6" x14ac:dyDescent="0.25">
      <c r="A820" s="14">
        <v>46144.619444444441</v>
      </c>
      <c r="B820" s="81" t="s">
        <v>149</v>
      </c>
      <c r="C820" s="81" t="s">
        <v>173</v>
      </c>
      <c r="D820" s="81" t="s">
        <v>167</v>
      </c>
      <c r="E820" s="81" t="s">
        <v>50</v>
      </c>
      <c r="F820" s="81" t="s">
        <v>1</v>
      </c>
    </row>
    <row r="821" spans="1:6" x14ac:dyDescent="0.25">
      <c r="A821" s="14">
        <v>46144.619444444441</v>
      </c>
      <c r="B821" s="81" t="s">
        <v>149</v>
      </c>
      <c r="C821" s="81" t="s">
        <v>190</v>
      </c>
      <c r="D821" s="81" t="s">
        <v>163</v>
      </c>
      <c r="E821" s="81" t="s">
        <v>52</v>
      </c>
      <c r="F821" s="81" t="s">
        <v>0</v>
      </c>
    </row>
    <row r="822" spans="1:6" x14ac:dyDescent="0.25">
      <c r="A822" s="14">
        <v>46144.619444444441</v>
      </c>
      <c r="B822" s="81" t="s">
        <v>149</v>
      </c>
      <c r="C822" s="81" t="s">
        <v>173</v>
      </c>
      <c r="D822" s="81" t="s">
        <v>167</v>
      </c>
      <c r="E822" s="81" t="s">
        <v>50</v>
      </c>
      <c r="F822" s="81" t="s">
        <v>1</v>
      </c>
    </row>
    <row r="823" spans="1:6" x14ac:dyDescent="0.25">
      <c r="A823" s="14">
        <v>46144.619444444441</v>
      </c>
      <c r="B823" s="81" t="s">
        <v>149</v>
      </c>
      <c r="C823" s="81" t="s">
        <v>151</v>
      </c>
      <c r="D823" s="81" t="s">
        <v>231</v>
      </c>
      <c r="E823" s="81" t="s">
        <v>49</v>
      </c>
      <c r="F823" s="81" t="s">
        <v>2</v>
      </c>
    </row>
    <row r="824" spans="1:6" x14ac:dyDescent="0.25">
      <c r="A824" s="14">
        <v>46144.619444444441</v>
      </c>
      <c r="B824" s="81" t="s">
        <v>149</v>
      </c>
      <c r="C824" s="81" t="s">
        <v>158</v>
      </c>
      <c r="D824" s="81" t="s">
        <v>231</v>
      </c>
      <c r="E824" s="81" t="s">
        <v>49</v>
      </c>
      <c r="F824" s="81" t="s">
        <v>2</v>
      </c>
    </row>
    <row r="825" spans="1:6" x14ac:dyDescent="0.25">
      <c r="A825" s="14">
        <v>46144.619444444441</v>
      </c>
      <c r="B825" s="81" t="s">
        <v>149</v>
      </c>
      <c r="C825" s="81" t="s">
        <v>173</v>
      </c>
      <c r="D825" s="81" t="s">
        <v>167</v>
      </c>
      <c r="E825" s="81" t="s">
        <v>50</v>
      </c>
      <c r="F825" s="81" t="s">
        <v>1</v>
      </c>
    </row>
    <row r="826" spans="1:6" x14ac:dyDescent="0.25">
      <c r="A826" s="14">
        <v>46144.619444444441</v>
      </c>
      <c r="B826" s="81" t="s">
        <v>149</v>
      </c>
      <c r="C826" s="81" t="s">
        <v>182</v>
      </c>
      <c r="D826" s="81" t="s">
        <v>231</v>
      </c>
      <c r="E826" s="81" t="s">
        <v>52</v>
      </c>
      <c r="F826" s="81" t="s">
        <v>0</v>
      </c>
    </row>
    <row r="827" spans="1:6" x14ac:dyDescent="0.25">
      <c r="A827" s="14">
        <v>46144.619444444441</v>
      </c>
      <c r="B827" s="81" t="s">
        <v>149</v>
      </c>
      <c r="C827" s="81" t="s">
        <v>176</v>
      </c>
      <c r="D827" s="81" t="s">
        <v>254</v>
      </c>
      <c r="E827" s="81" t="s">
        <v>70</v>
      </c>
      <c r="F827" s="81" t="s">
        <v>15</v>
      </c>
    </row>
    <row r="828" spans="1:6" x14ac:dyDescent="0.25">
      <c r="A828" s="14">
        <v>46144.619444444441</v>
      </c>
      <c r="B828" s="81" t="s">
        <v>149</v>
      </c>
      <c r="C828" s="81" t="s">
        <v>176</v>
      </c>
      <c r="D828" s="81" t="s">
        <v>254</v>
      </c>
      <c r="E828" s="81" t="s">
        <v>70</v>
      </c>
      <c r="F828" s="81" t="s">
        <v>15</v>
      </c>
    </row>
    <row r="829" spans="1:6" x14ac:dyDescent="0.25">
      <c r="A829" s="14">
        <v>46144.619444444441</v>
      </c>
      <c r="B829" s="81" t="s">
        <v>149</v>
      </c>
      <c r="C829" s="81" t="s">
        <v>176</v>
      </c>
      <c r="D829" s="81" t="s">
        <v>254</v>
      </c>
      <c r="E829" s="81" t="s">
        <v>70</v>
      </c>
      <c r="F829" s="81" t="s">
        <v>15</v>
      </c>
    </row>
    <row r="830" spans="1:6" x14ac:dyDescent="0.25">
      <c r="A830" s="14">
        <v>46144.619444444441</v>
      </c>
      <c r="B830" s="81" t="s">
        <v>149</v>
      </c>
      <c r="C830" s="81" t="s">
        <v>173</v>
      </c>
      <c r="D830" s="81" t="s">
        <v>167</v>
      </c>
      <c r="E830" s="81" t="s">
        <v>50</v>
      </c>
      <c r="F830" s="81" t="s">
        <v>1</v>
      </c>
    </row>
    <row r="831" spans="1:6" x14ac:dyDescent="0.25">
      <c r="A831" s="14">
        <v>46144.619444444441</v>
      </c>
      <c r="B831" s="81" t="s">
        <v>149</v>
      </c>
      <c r="C831" s="81" t="s">
        <v>176</v>
      </c>
      <c r="D831" s="81" t="s">
        <v>254</v>
      </c>
      <c r="E831" s="81" t="s">
        <v>70</v>
      </c>
      <c r="F831" s="81" t="s">
        <v>15</v>
      </c>
    </row>
    <row r="832" spans="1:6" x14ac:dyDescent="0.25">
      <c r="A832" s="14">
        <v>46144.619444444441</v>
      </c>
      <c r="B832" s="81" t="s">
        <v>149</v>
      </c>
      <c r="C832" s="81" t="s">
        <v>187</v>
      </c>
      <c r="D832" s="81" t="s">
        <v>254</v>
      </c>
      <c r="E832" s="81" t="s">
        <v>75</v>
      </c>
      <c r="F832" s="81" t="s">
        <v>93</v>
      </c>
    </row>
    <row r="833" spans="1:6" x14ac:dyDescent="0.25">
      <c r="A833" s="14">
        <v>46144.619444444441</v>
      </c>
      <c r="B833" s="81" t="s">
        <v>149</v>
      </c>
      <c r="C833" s="81" t="s">
        <v>187</v>
      </c>
      <c r="D833" s="81" t="s">
        <v>254</v>
      </c>
      <c r="E833" s="81" t="s">
        <v>75</v>
      </c>
      <c r="F833" s="81" t="s">
        <v>93</v>
      </c>
    </row>
    <row r="834" spans="1:6" x14ac:dyDescent="0.25">
      <c r="A834" s="14">
        <v>46144.619444444441</v>
      </c>
      <c r="B834" s="81" t="s">
        <v>149</v>
      </c>
      <c r="C834" s="81" t="s">
        <v>187</v>
      </c>
      <c r="D834" s="81" t="s">
        <v>254</v>
      </c>
      <c r="E834" s="81" t="s">
        <v>75</v>
      </c>
      <c r="F834" s="81" t="s">
        <v>93</v>
      </c>
    </row>
    <row r="835" spans="1:6" x14ac:dyDescent="0.25">
      <c r="A835" s="14">
        <v>46144.619444444441</v>
      </c>
      <c r="B835" s="81" t="s">
        <v>149</v>
      </c>
      <c r="C835" s="81" t="s">
        <v>151</v>
      </c>
      <c r="D835" s="81" t="s">
        <v>179</v>
      </c>
      <c r="E835" s="81" t="s">
        <v>50</v>
      </c>
      <c r="F835" s="81" t="s">
        <v>1</v>
      </c>
    </row>
    <row r="836" spans="1:6" x14ac:dyDescent="0.25">
      <c r="A836" s="14">
        <v>46144.619444444441</v>
      </c>
      <c r="B836" s="81" t="s">
        <v>149</v>
      </c>
      <c r="C836" s="81" t="s">
        <v>255</v>
      </c>
      <c r="D836" s="81" t="s">
        <v>254</v>
      </c>
      <c r="E836" s="81" t="s">
        <v>256</v>
      </c>
      <c r="F836" s="81" t="s">
        <v>28</v>
      </c>
    </row>
    <row r="837" spans="1:6" x14ac:dyDescent="0.25">
      <c r="A837" s="14">
        <v>46144.619444444441</v>
      </c>
      <c r="B837" s="81" t="s">
        <v>149</v>
      </c>
      <c r="C837" s="81" t="s">
        <v>181</v>
      </c>
      <c r="D837" s="81" t="s">
        <v>202</v>
      </c>
      <c r="E837" s="81" t="s">
        <v>49</v>
      </c>
      <c r="F837" s="81" t="s">
        <v>2</v>
      </c>
    </row>
    <row r="838" spans="1:6" x14ac:dyDescent="0.25">
      <c r="A838" s="14">
        <v>46144.619444444441</v>
      </c>
      <c r="B838" s="81" t="s">
        <v>149</v>
      </c>
      <c r="C838" s="81" t="s">
        <v>151</v>
      </c>
      <c r="D838" s="81" t="s">
        <v>202</v>
      </c>
      <c r="E838" s="81" t="s">
        <v>49</v>
      </c>
      <c r="F838" s="81" t="s">
        <v>2</v>
      </c>
    </row>
    <row r="839" spans="1:6" x14ac:dyDescent="0.25">
      <c r="A839" s="14">
        <v>46144.619444444441</v>
      </c>
      <c r="B839" s="81" t="s">
        <v>149</v>
      </c>
      <c r="C839" s="81" t="s">
        <v>187</v>
      </c>
      <c r="D839" s="81" t="s">
        <v>236</v>
      </c>
      <c r="E839" s="81" t="s">
        <v>71</v>
      </c>
      <c r="F839" s="81" t="s">
        <v>94</v>
      </c>
    </row>
    <row r="840" spans="1:6" x14ac:dyDescent="0.25">
      <c r="A840" s="14">
        <v>46144.619444444441</v>
      </c>
      <c r="B840" s="81" t="s">
        <v>149</v>
      </c>
      <c r="C840" s="81" t="s">
        <v>158</v>
      </c>
      <c r="D840" s="81" t="s">
        <v>231</v>
      </c>
      <c r="E840" s="81" t="s">
        <v>52</v>
      </c>
      <c r="F840" s="81" t="s">
        <v>0</v>
      </c>
    </row>
    <row r="841" spans="1:6" x14ac:dyDescent="0.25">
      <c r="A841" s="14">
        <v>46144.619444444441</v>
      </c>
      <c r="B841" s="81" t="s">
        <v>149</v>
      </c>
      <c r="C841" s="81" t="s">
        <v>187</v>
      </c>
      <c r="D841" s="81" t="s">
        <v>157</v>
      </c>
      <c r="E841" s="81" t="s">
        <v>71</v>
      </c>
      <c r="F841" s="81" t="s">
        <v>94</v>
      </c>
    </row>
    <row r="842" spans="1:6" x14ac:dyDescent="0.25">
      <c r="A842" s="14">
        <v>46144.619444444441</v>
      </c>
      <c r="B842" s="81" t="s">
        <v>149</v>
      </c>
      <c r="C842" s="81" t="s">
        <v>187</v>
      </c>
      <c r="D842" s="81" t="s">
        <v>157</v>
      </c>
      <c r="E842" s="81" t="s">
        <v>71</v>
      </c>
      <c r="F842" s="81" t="s">
        <v>94</v>
      </c>
    </row>
    <row r="843" spans="1:6" x14ac:dyDescent="0.25">
      <c r="A843" s="14">
        <v>46144.619444444441</v>
      </c>
      <c r="B843" s="81" t="s">
        <v>149</v>
      </c>
      <c r="C843" s="81" t="s">
        <v>158</v>
      </c>
      <c r="D843" s="81" t="s">
        <v>236</v>
      </c>
      <c r="E843" s="81" t="s">
        <v>50</v>
      </c>
      <c r="F843" s="81" t="s">
        <v>1</v>
      </c>
    </row>
    <row r="844" spans="1:6" x14ac:dyDescent="0.25">
      <c r="A844" s="14">
        <v>46144.619444444441</v>
      </c>
      <c r="B844" s="81" t="s">
        <v>149</v>
      </c>
      <c r="C844" s="81" t="s">
        <v>187</v>
      </c>
      <c r="D844" s="81" t="s">
        <v>157</v>
      </c>
      <c r="E844" s="81" t="s">
        <v>75</v>
      </c>
      <c r="F844" s="81" t="s">
        <v>93</v>
      </c>
    </row>
    <row r="845" spans="1:6" x14ac:dyDescent="0.25">
      <c r="A845" s="14">
        <v>46144.619444444441</v>
      </c>
      <c r="B845" s="81" t="s">
        <v>149</v>
      </c>
      <c r="C845" s="81" t="s">
        <v>182</v>
      </c>
      <c r="D845" s="81" t="s">
        <v>163</v>
      </c>
      <c r="E845" s="81" t="s">
        <v>52</v>
      </c>
      <c r="F845" s="81" t="s">
        <v>0</v>
      </c>
    </row>
    <row r="846" spans="1:6" x14ac:dyDescent="0.25">
      <c r="A846" s="14">
        <v>46144.619444444441</v>
      </c>
      <c r="B846" s="81" t="s">
        <v>149</v>
      </c>
      <c r="C846" s="81" t="s">
        <v>232</v>
      </c>
      <c r="D846" s="81" t="s">
        <v>157</v>
      </c>
      <c r="E846" s="81" t="s">
        <v>44</v>
      </c>
      <c r="F846" s="81" t="s">
        <v>17</v>
      </c>
    </row>
    <row r="847" spans="1:6" x14ac:dyDescent="0.25">
      <c r="A847" s="14">
        <v>46144.619444444441</v>
      </c>
      <c r="B847" s="81" t="s">
        <v>149</v>
      </c>
      <c r="C847" s="81" t="s">
        <v>182</v>
      </c>
      <c r="D847" s="81" t="s">
        <v>212</v>
      </c>
      <c r="E847" s="81" t="s">
        <v>49</v>
      </c>
      <c r="F847" s="81" t="s">
        <v>2</v>
      </c>
    </row>
    <row r="848" spans="1:6" x14ac:dyDescent="0.25">
      <c r="A848" s="14">
        <v>46144.619444444441</v>
      </c>
      <c r="B848" s="81" t="s">
        <v>149</v>
      </c>
      <c r="C848" s="81" t="s">
        <v>173</v>
      </c>
      <c r="D848" s="81" t="s">
        <v>164</v>
      </c>
      <c r="E848" s="81" t="s">
        <v>52</v>
      </c>
      <c r="F848" s="81" t="s">
        <v>0</v>
      </c>
    </row>
    <row r="849" spans="1:6" x14ac:dyDescent="0.25">
      <c r="A849" s="14">
        <v>46144.619444444441</v>
      </c>
      <c r="B849" s="81" t="s">
        <v>149</v>
      </c>
      <c r="C849" s="81" t="s">
        <v>183</v>
      </c>
      <c r="D849" s="81" t="s">
        <v>164</v>
      </c>
      <c r="E849" s="81" t="s">
        <v>50</v>
      </c>
      <c r="F849" s="81" t="s">
        <v>1</v>
      </c>
    </row>
    <row r="850" spans="1:6" x14ac:dyDescent="0.25">
      <c r="A850" s="14">
        <v>46144.619444444441</v>
      </c>
      <c r="B850" s="81" t="s">
        <v>149</v>
      </c>
      <c r="C850" s="81" t="s">
        <v>184</v>
      </c>
      <c r="D850" s="81" t="s">
        <v>202</v>
      </c>
      <c r="E850" s="81" t="s">
        <v>50</v>
      </c>
      <c r="F850" s="81" t="s">
        <v>1</v>
      </c>
    </row>
    <row r="851" spans="1:6" x14ac:dyDescent="0.25">
      <c r="A851" s="14">
        <v>46144.619444444441</v>
      </c>
      <c r="B851" s="81" t="s">
        <v>149</v>
      </c>
      <c r="C851" s="81" t="s">
        <v>171</v>
      </c>
      <c r="D851" s="81" t="s">
        <v>212</v>
      </c>
      <c r="E851" s="81" t="s">
        <v>49</v>
      </c>
      <c r="F851" s="81" t="s">
        <v>2</v>
      </c>
    </row>
    <row r="852" spans="1:6" x14ac:dyDescent="0.25">
      <c r="A852" s="14">
        <v>46144.619444444441</v>
      </c>
      <c r="B852" s="81" t="s">
        <v>149</v>
      </c>
      <c r="C852" s="81" t="s">
        <v>151</v>
      </c>
      <c r="D852" s="81" t="s">
        <v>258</v>
      </c>
      <c r="E852" s="81" t="s">
        <v>52</v>
      </c>
      <c r="F852" s="81" t="s">
        <v>0</v>
      </c>
    </row>
    <row r="853" spans="1:6" x14ac:dyDescent="0.25">
      <c r="A853" s="14">
        <v>46144.619444444441</v>
      </c>
      <c r="B853" s="81" t="s">
        <v>149</v>
      </c>
      <c r="C853" s="81" t="s">
        <v>171</v>
      </c>
      <c r="D853" s="81" t="s">
        <v>251</v>
      </c>
      <c r="E853" s="81" t="s">
        <v>49</v>
      </c>
      <c r="F853" s="81" t="s">
        <v>2</v>
      </c>
    </row>
    <row r="854" spans="1:6" x14ac:dyDescent="0.25">
      <c r="A854" s="14">
        <v>46144.619444444441</v>
      </c>
      <c r="B854" s="81" t="s">
        <v>149</v>
      </c>
      <c r="C854" s="81" t="s">
        <v>171</v>
      </c>
      <c r="D854" s="81" t="s">
        <v>164</v>
      </c>
      <c r="E854" s="81" t="s">
        <v>50</v>
      </c>
      <c r="F854" s="81" t="s">
        <v>1</v>
      </c>
    </row>
    <row r="855" spans="1:6" x14ac:dyDescent="0.25">
      <c r="A855" s="14">
        <v>46144.619444444441</v>
      </c>
      <c r="B855" s="81" t="s">
        <v>149</v>
      </c>
      <c r="C855" s="81" t="s">
        <v>184</v>
      </c>
      <c r="D855" s="81" t="s">
        <v>157</v>
      </c>
      <c r="E855" s="81" t="s">
        <v>64</v>
      </c>
      <c r="F855" s="81" t="s">
        <v>98</v>
      </c>
    </row>
    <row r="856" spans="1:6" x14ac:dyDescent="0.25">
      <c r="A856" s="14">
        <v>46144.619444444441</v>
      </c>
      <c r="B856" s="81" t="s">
        <v>149</v>
      </c>
      <c r="C856" s="81" t="s">
        <v>187</v>
      </c>
      <c r="D856" s="81" t="s">
        <v>201</v>
      </c>
      <c r="E856" s="81" t="s">
        <v>75</v>
      </c>
      <c r="F856" s="81" t="s">
        <v>93</v>
      </c>
    </row>
    <row r="857" spans="1:6" x14ac:dyDescent="0.25">
      <c r="A857" s="14">
        <v>46144.619444444441</v>
      </c>
      <c r="B857" s="81" t="s">
        <v>149</v>
      </c>
      <c r="C857" s="81" t="s">
        <v>175</v>
      </c>
      <c r="D857" s="81" t="s">
        <v>212</v>
      </c>
      <c r="E857" s="81" t="s">
        <v>49</v>
      </c>
      <c r="F857" s="81" t="s">
        <v>2</v>
      </c>
    </row>
    <row r="858" spans="1:6" x14ac:dyDescent="0.25">
      <c r="A858" s="14">
        <v>46144.619444444441</v>
      </c>
      <c r="B858" s="81" t="s">
        <v>149</v>
      </c>
      <c r="C858" s="81" t="s">
        <v>188</v>
      </c>
      <c r="D858" s="81" t="s">
        <v>179</v>
      </c>
      <c r="E858" s="81" t="s">
        <v>45</v>
      </c>
      <c r="F858" s="81" t="s">
        <v>28</v>
      </c>
    </row>
    <row r="859" spans="1:6" x14ac:dyDescent="0.25">
      <c r="A859" s="14">
        <v>46144.619444444441</v>
      </c>
      <c r="B859" s="81" t="s">
        <v>149</v>
      </c>
      <c r="C859" s="81" t="s">
        <v>189</v>
      </c>
      <c r="D859" s="81" t="s">
        <v>179</v>
      </c>
      <c r="E859" s="81" t="s">
        <v>45</v>
      </c>
      <c r="F859" s="81" t="s">
        <v>28</v>
      </c>
    </row>
    <row r="860" spans="1:6" x14ac:dyDescent="0.25">
      <c r="A860" s="14">
        <v>46144.619444444441</v>
      </c>
      <c r="B860" s="81" t="s">
        <v>149</v>
      </c>
      <c r="C860" s="81" t="s">
        <v>239</v>
      </c>
      <c r="D860" s="81" t="s">
        <v>179</v>
      </c>
      <c r="E860" s="81" t="s">
        <v>45</v>
      </c>
      <c r="F860" s="81" t="s">
        <v>28</v>
      </c>
    </row>
    <row r="861" spans="1:6" x14ac:dyDescent="0.25">
      <c r="A861" s="14">
        <v>46144.619444444441</v>
      </c>
      <c r="B861" s="81" t="s">
        <v>149</v>
      </c>
      <c r="C861" s="81" t="s">
        <v>184</v>
      </c>
      <c r="D861" s="81" t="s">
        <v>201</v>
      </c>
      <c r="E861" s="81" t="s">
        <v>49</v>
      </c>
      <c r="F861" s="81" t="s">
        <v>2</v>
      </c>
    </row>
    <row r="862" spans="1:6" x14ac:dyDescent="0.25">
      <c r="A862" s="14">
        <v>46144.619444444441</v>
      </c>
      <c r="B862" s="81" t="s">
        <v>149</v>
      </c>
      <c r="C862" s="81" t="s">
        <v>158</v>
      </c>
      <c r="D862" s="81" t="s">
        <v>201</v>
      </c>
      <c r="E862" s="81" t="s">
        <v>49</v>
      </c>
      <c r="F862" s="81" t="s">
        <v>2</v>
      </c>
    </row>
    <row r="863" spans="1:6" x14ac:dyDescent="0.25">
      <c r="A863" s="14">
        <v>46144.619444444441</v>
      </c>
      <c r="B863" s="81" t="s">
        <v>149</v>
      </c>
      <c r="C863" s="81" t="s">
        <v>158</v>
      </c>
      <c r="D863" s="81" t="s">
        <v>240</v>
      </c>
      <c r="E863" s="81" t="s">
        <v>50</v>
      </c>
      <c r="F863" s="81" t="s">
        <v>1</v>
      </c>
    </row>
    <row r="864" spans="1:6" x14ac:dyDescent="0.25">
      <c r="A864" s="14">
        <v>46144.619444444441</v>
      </c>
      <c r="B864" s="81" t="s">
        <v>149</v>
      </c>
      <c r="C864" s="81" t="s">
        <v>175</v>
      </c>
      <c r="D864" s="81" t="s">
        <v>179</v>
      </c>
      <c r="E864" s="81" t="s">
        <v>50</v>
      </c>
      <c r="F864" s="81" t="s">
        <v>1</v>
      </c>
    </row>
    <row r="865" spans="1:6" x14ac:dyDescent="0.25">
      <c r="A865" s="14">
        <v>46144.619444444441</v>
      </c>
      <c r="B865" s="81" t="s">
        <v>149</v>
      </c>
      <c r="C865" s="81" t="s">
        <v>183</v>
      </c>
      <c r="D865" s="81" t="s">
        <v>212</v>
      </c>
      <c r="E865" s="81" t="s">
        <v>49</v>
      </c>
      <c r="F865" s="81" t="s">
        <v>2</v>
      </c>
    </row>
    <row r="866" spans="1:6" x14ac:dyDescent="0.25">
      <c r="A866" s="14">
        <v>46144.619444444441</v>
      </c>
      <c r="B866" s="81" t="s">
        <v>149</v>
      </c>
      <c r="C866" s="81" t="s">
        <v>177</v>
      </c>
      <c r="D866" s="81" t="s">
        <v>240</v>
      </c>
      <c r="E866" s="81" t="s">
        <v>50</v>
      </c>
      <c r="F866" s="81" t="s">
        <v>1</v>
      </c>
    </row>
    <row r="867" spans="1:6" x14ac:dyDescent="0.25">
      <c r="A867" s="14">
        <v>46144.619444444441</v>
      </c>
      <c r="B867" s="81" t="s">
        <v>149</v>
      </c>
      <c r="C867" s="81" t="s">
        <v>207</v>
      </c>
      <c r="D867" s="81" t="s">
        <v>201</v>
      </c>
      <c r="E867" s="81" t="s">
        <v>66</v>
      </c>
      <c r="F867" s="81" t="s">
        <v>35</v>
      </c>
    </row>
    <row r="868" spans="1:6" x14ac:dyDescent="0.25">
      <c r="A868" s="14">
        <v>46144.619444444441</v>
      </c>
      <c r="B868" s="81" t="s">
        <v>149</v>
      </c>
      <c r="C868" s="81" t="s">
        <v>207</v>
      </c>
      <c r="D868" s="81" t="s">
        <v>201</v>
      </c>
      <c r="E868" s="81" t="s">
        <v>66</v>
      </c>
      <c r="F868" s="81" t="s">
        <v>35</v>
      </c>
    </row>
    <row r="869" spans="1:6" x14ac:dyDescent="0.25">
      <c r="A869" s="14">
        <v>46144.619444444441</v>
      </c>
      <c r="B869" s="81" t="s">
        <v>149</v>
      </c>
      <c r="C869" s="81" t="s">
        <v>207</v>
      </c>
      <c r="D869" s="81" t="s">
        <v>201</v>
      </c>
      <c r="E869" s="81" t="s">
        <v>66</v>
      </c>
      <c r="F869" s="81" t="s">
        <v>35</v>
      </c>
    </row>
    <row r="870" spans="1:6" x14ac:dyDescent="0.25">
      <c r="A870" s="14">
        <v>46144.619444444441</v>
      </c>
      <c r="B870" s="81" t="s">
        <v>149</v>
      </c>
      <c r="C870" s="81" t="s">
        <v>207</v>
      </c>
      <c r="D870" s="81" t="s">
        <v>201</v>
      </c>
      <c r="E870" s="81" t="s">
        <v>66</v>
      </c>
      <c r="F870" s="81" t="s">
        <v>35</v>
      </c>
    </row>
    <row r="871" spans="1:6" x14ac:dyDescent="0.25">
      <c r="A871" s="14">
        <v>46144.619444444441</v>
      </c>
      <c r="B871" s="81" t="s">
        <v>149</v>
      </c>
      <c r="C871" s="81" t="s">
        <v>207</v>
      </c>
      <c r="D871" s="81" t="s">
        <v>204</v>
      </c>
      <c r="E871" s="81" t="s">
        <v>66</v>
      </c>
      <c r="F871" s="81" t="s">
        <v>35</v>
      </c>
    </row>
    <row r="872" spans="1:6" x14ac:dyDescent="0.25">
      <c r="A872" s="14">
        <v>46144.619444444441</v>
      </c>
      <c r="B872" s="81" t="s">
        <v>149</v>
      </c>
      <c r="C872" s="81" t="s">
        <v>207</v>
      </c>
      <c r="D872" s="81" t="s">
        <v>204</v>
      </c>
      <c r="E872" s="81" t="s">
        <v>66</v>
      </c>
      <c r="F872" s="81" t="s">
        <v>35</v>
      </c>
    </row>
    <row r="873" spans="1:6" x14ac:dyDescent="0.25">
      <c r="A873" s="14">
        <v>46144.619444444441</v>
      </c>
      <c r="B873" s="81" t="s">
        <v>149</v>
      </c>
      <c r="C873" s="81" t="s">
        <v>207</v>
      </c>
      <c r="D873" s="81" t="s">
        <v>204</v>
      </c>
      <c r="E873" s="81" t="s">
        <v>66</v>
      </c>
      <c r="F873" s="81" t="s">
        <v>35</v>
      </c>
    </row>
    <row r="874" spans="1:6" x14ac:dyDescent="0.25">
      <c r="A874" s="14">
        <v>46144.619444444441</v>
      </c>
      <c r="B874" s="81" t="s">
        <v>149</v>
      </c>
      <c r="C874" s="81" t="s">
        <v>207</v>
      </c>
      <c r="D874" s="81" t="s">
        <v>204</v>
      </c>
      <c r="E874" s="81" t="s">
        <v>66</v>
      </c>
      <c r="F874" s="81" t="s">
        <v>35</v>
      </c>
    </row>
    <row r="875" spans="1:6" x14ac:dyDescent="0.25">
      <c r="A875" s="14">
        <v>46144.619444444441</v>
      </c>
      <c r="B875" s="81" t="s">
        <v>149</v>
      </c>
      <c r="C875" s="81" t="s">
        <v>208</v>
      </c>
      <c r="D875" s="81" t="s">
        <v>204</v>
      </c>
      <c r="E875" s="81" t="s">
        <v>66</v>
      </c>
      <c r="F875" s="81" t="s">
        <v>35</v>
      </c>
    </row>
    <row r="876" spans="1:6" x14ac:dyDescent="0.25">
      <c r="A876" s="14">
        <v>46144.619444444441</v>
      </c>
      <c r="B876" s="81" t="s">
        <v>149</v>
      </c>
      <c r="C876" s="81" t="s">
        <v>207</v>
      </c>
      <c r="D876" s="81" t="s">
        <v>191</v>
      </c>
      <c r="E876" s="81" t="s">
        <v>66</v>
      </c>
      <c r="F876" s="81" t="s">
        <v>35</v>
      </c>
    </row>
    <row r="877" spans="1:6" x14ac:dyDescent="0.25">
      <c r="A877" s="14">
        <v>46144.619444444441</v>
      </c>
      <c r="B877" s="81" t="s">
        <v>149</v>
      </c>
      <c r="C877" s="81" t="s">
        <v>207</v>
      </c>
      <c r="D877" s="81" t="s">
        <v>191</v>
      </c>
      <c r="E877" s="81" t="s">
        <v>66</v>
      </c>
      <c r="F877" s="81" t="s">
        <v>35</v>
      </c>
    </row>
    <row r="878" spans="1:6" x14ac:dyDescent="0.25">
      <c r="A878" s="14">
        <v>46144.619444444441</v>
      </c>
      <c r="B878" s="81" t="s">
        <v>149</v>
      </c>
      <c r="C878" s="81" t="s">
        <v>207</v>
      </c>
      <c r="D878" s="81" t="s">
        <v>191</v>
      </c>
      <c r="E878" s="81" t="s">
        <v>66</v>
      </c>
      <c r="F878" s="81" t="s">
        <v>35</v>
      </c>
    </row>
    <row r="879" spans="1:6" x14ac:dyDescent="0.25">
      <c r="A879" s="14">
        <v>46144.619444444441</v>
      </c>
      <c r="B879" s="81" t="s">
        <v>149</v>
      </c>
      <c r="C879" s="81" t="s">
        <v>207</v>
      </c>
      <c r="D879" s="81" t="s">
        <v>191</v>
      </c>
      <c r="E879" s="81" t="s">
        <v>66</v>
      </c>
      <c r="F879" s="81" t="s">
        <v>35</v>
      </c>
    </row>
    <row r="880" spans="1:6" x14ac:dyDescent="0.25">
      <c r="A880" s="14">
        <v>46144.619444444441</v>
      </c>
      <c r="B880" s="81" t="s">
        <v>149</v>
      </c>
      <c r="C880" s="81" t="s">
        <v>207</v>
      </c>
      <c r="D880" s="81" t="s">
        <v>204</v>
      </c>
      <c r="E880" s="81" t="s">
        <v>66</v>
      </c>
      <c r="F880" s="81" t="s">
        <v>35</v>
      </c>
    </row>
    <row r="881" spans="1:6" x14ac:dyDescent="0.25">
      <c r="A881" s="14">
        <v>46144.619444444441</v>
      </c>
      <c r="B881" s="81" t="s">
        <v>149</v>
      </c>
      <c r="C881" s="81" t="s">
        <v>207</v>
      </c>
      <c r="D881" s="81" t="s">
        <v>204</v>
      </c>
      <c r="E881" s="81" t="s">
        <v>66</v>
      </c>
      <c r="F881" s="81" t="s">
        <v>35</v>
      </c>
    </row>
    <row r="882" spans="1:6" x14ac:dyDescent="0.25">
      <c r="A882" s="14">
        <v>46144.619444444441</v>
      </c>
      <c r="B882" s="81" t="s">
        <v>149</v>
      </c>
      <c r="C882" s="81" t="s">
        <v>207</v>
      </c>
      <c r="D882" s="81" t="s">
        <v>204</v>
      </c>
      <c r="E882" s="81" t="s">
        <v>66</v>
      </c>
      <c r="F882" s="81" t="s">
        <v>35</v>
      </c>
    </row>
    <row r="883" spans="1:6" x14ac:dyDescent="0.25">
      <c r="A883" s="14">
        <v>46144.619444444441</v>
      </c>
      <c r="B883" s="81" t="s">
        <v>149</v>
      </c>
      <c r="C883" s="81" t="s">
        <v>207</v>
      </c>
      <c r="D883" s="81" t="s">
        <v>204</v>
      </c>
      <c r="E883" s="81" t="s">
        <v>66</v>
      </c>
      <c r="F883" s="81" t="s">
        <v>35</v>
      </c>
    </row>
    <row r="884" spans="1:6" x14ac:dyDescent="0.25">
      <c r="A884" s="14">
        <v>46144.619444444441</v>
      </c>
      <c r="B884" s="81" t="s">
        <v>149</v>
      </c>
      <c r="C884" s="81" t="s">
        <v>207</v>
      </c>
      <c r="D884" s="81" t="s">
        <v>204</v>
      </c>
      <c r="E884" s="81" t="s">
        <v>66</v>
      </c>
      <c r="F884" s="81" t="s">
        <v>35</v>
      </c>
    </row>
    <row r="885" spans="1:6" x14ac:dyDescent="0.25">
      <c r="A885" s="14">
        <v>46144.619444444441</v>
      </c>
      <c r="B885" s="81" t="s">
        <v>149</v>
      </c>
      <c r="C885" s="81" t="s">
        <v>207</v>
      </c>
      <c r="D885" s="81" t="s">
        <v>204</v>
      </c>
      <c r="E885" s="81" t="s">
        <v>66</v>
      </c>
      <c r="F885" s="81" t="s">
        <v>35</v>
      </c>
    </row>
    <row r="886" spans="1:6" x14ac:dyDescent="0.25">
      <c r="A886" s="14">
        <v>46144.619444444441</v>
      </c>
      <c r="B886" s="81" t="s">
        <v>149</v>
      </c>
      <c r="C886" s="81" t="s">
        <v>207</v>
      </c>
      <c r="D886" s="81" t="s">
        <v>204</v>
      </c>
      <c r="E886" s="81" t="s">
        <v>66</v>
      </c>
      <c r="F886" s="81" t="s">
        <v>35</v>
      </c>
    </row>
    <row r="887" spans="1:6" x14ac:dyDescent="0.25">
      <c r="A887" s="14">
        <v>46144.619444444441</v>
      </c>
      <c r="B887" s="81" t="s">
        <v>149</v>
      </c>
      <c r="C887" s="81" t="s">
        <v>207</v>
      </c>
      <c r="D887" s="81" t="s">
        <v>204</v>
      </c>
      <c r="E887" s="81" t="s">
        <v>66</v>
      </c>
      <c r="F887" s="81" t="s">
        <v>35</v>
      </c>
    </row>
    <row r="888" spans="1:6" x14ac:dyDescent="0.25">
      <c r="A888" s="14">
        <v>46144.619444444441</v>
      </c>
      <c r="B888" s="81" t="s">
        <v>149</v>
      </c>
      <c r="C888" s="81" t="s">
        <v>208</v>
      </c>
      <c r="D888" s="81" t="s">
        <v>201</v>
      </c>
      <c r="E888" s="81" t="s">
        <v>66</v>
      </c>
      <c r="F888" s="81" t="s">
        <v>35</v>
      </c>
    </row>
    <row r="889" spans="1:6" x14ac:dyDescent="0.25">
      <c r="A889" s="14">
        <v>46144.619444444441</v>
      </c>
      <c r="B889" s="81" t="s">
        <v>149</v>
      </c>
      <c r="C889" s="81" t="s">
        <v>207</v>
      </c>
      <c r="D889" s="81" t="s">
        <v>150</v>
      </c>
      <c r="E889" s="81" t="s">
        <v>66</v>
      </c>
      <c r="F889" s="81" t="s">
        <v>35</v>
      </c>
    </row>
    <row r="890" spans="1:6" x14ac:dyDescent="0.25">
      <c r="A890" s="14">
        <v>46144.619444444441</v>
      </c>
      <c r="B890" s="81" t="s">
        <v>149</v>
      </c>
      <c r="C890" s="81" t="s">
        <v>207</v>
      </c>
      <c r="D890" s="81" t="s">
        <v>150</v>
      </c>
      <c r="E890" s="81" t="s">
        <v>66</v>
      </c>
      <c r="F890" s="81" t="s">
        <v>35</v>
      </c>
    </row>
    <row r="891" spans="1:6" x14ac:dyDescent="0.25">
      <c r="A891" s="14">
        <v>46144.619444444441</v>
      </c>
      <c r="B891" s="81" t="s">
        <v>149</v>
      </c>
      <c r="C891" s="81" t="s">
        <v>207</v>
      </c>
      <c r="D891" s="81" t="s">
        <v>150</v>
      </c>
      <c r="E891" s="81" t="s">
        <v>66</v>
      </c>
      <c r="F891" s="81" t="s">
        <v>35</v>
      </c>
    </row>
    <row r="892" spans="1:6" x14ac:dyDescent="0.25">
      <c r="A892" s="14">
        <v>46144.619444444441</v>
      </c>
      <c r="B892" s="81" t="s">
        <v>149</v>
      </c>
      <c r="C892" s="81" t="s">
        <v>207</v>
      </c>
      <c r="D892" s="81" t="s">
        <v>150</v>
      </c>
      <c r="E892" s="81" t="s">
        <v>66</v>
      </c>
      <c r="F892" s="81" t="s">
        <v>35</v>
      </c>
    </row>
    <row r="893" spans="1:6" x14ac:dyDescent="0.25">
      <c r="A893" s="14">
        <v>46144.619444444441</v>
      </c>
      <c r="B893" s="81" t="s">
        <v>149</v>
      </c>
      <c r="C893" s="81" t="s">
        <v>207</v>
      </c>
      <c r="D893" s="81" t="s">
        <v>156</v>
      </c>
      <c r="E893" s="81" t="s">
        <v>66</v>
      </c>
      <c r="F893" s="81" t="s">
        <v>35</v>
      </c>
    </row>
    <row r="894" spans="1:6" x14ac:dyDescent="0.25">
      <c r="A894" s="14">
        <v>46144.619444444441</v>
      </c>
      <c r="B894" s="81" t="s">
        <v>149</v>
      </c>
      <c r="C894" s="81" t="s">
        <v>207</v>
      </c>
      <c r="D894" s="81" t="s">
        <v>156</v>
      </c>
      <c r="E894" s="81" t="s">
        <v>66</v>
      </c>
      <c r="F894" s="81" t="s">
        <v>35</v>
      </c>
    </row>
    <row r="895" spans="1:6" x14ac:dyDescent="0.25">
      <c r="A895" s="14">
        <v>46144.619444444441</v>
      </c>
      <c r="B895" s="81" t="s">
        <v>149</v>
      </c>
      <c r="C895" s="81" t="s">
        <v>207</v>
      </c>
      <c r="D895" s="81" t="s">
        <v>156</v>
      </c>
      <c r="E895" s="81" t="s">
        <v>66</v>
      </c>
      <c r="F895" s="81" t="s">
        <v>35</v>
      </c>
    </row>
    <row r="896" spans="1:6" x14ac:dyDescent="0.25">
      <c r="A896" s="14">
        <v>46144.619444444441</v>
      </c>
      <c r="B896" s="81" t="s">
        <v>149</v>
      </c>
      <c r="C896" s="81" t="s">
        <v>207</v>
      </c>
      <c r="D896" s="81" t="s">
        <v>156</v>
      </c>
      <c r="E896" s="81" t="s">
        <v>66</v>
      </c>
      <c r="F896" s="81" t="s">
        <v>35</v>
      </c>
    </row>
    <row r="897" spans="1:6" x14ac:dyDescent="0.25">
      <c r="A897" s="14">
        <v>46144.619444444441</v>
      </c>
      <c r="B897" s="81" t="s">
        <v>149</v>
      </c>
      <c r="C897" s="81" t="s">
        <v>208</v>
      </c>
      <c r="D897" s="81" t="s">
        <v>156</v>
      </c>
      <c r="E897" s="81" t="s">
        <v>66</v>
      </c>
      <c r="F897" s="81" t="s">
        <v>35</v>
      </c>
    </row>
    <row r="898" spans="1:6" x14ac:dyDescent="0.25">
      <c r="A898" s="14">
        <v>46144.619444444441</v>
      </c>
      <c r="B898" s="81" t="s">
        <v>149</v>
      </c>
      <c r="C898" s="81" t="s">
        <v>207</v>
      </c>
      <c r="D898" s="81" t="s">
        <v>244</v>
      </c>
      <c r="E898" s="81" t="s">
        <v>66</v>
      </c>
      <c r="F898" s="81" t="s">
        <v>35</v>
      </c>
    </row>
    <row r="899" spans="1:6" x14ac:dyDescent="0.25">
      <c r="A899" s="14">
        <v>46144.619444444441</v>
      </c>
      <c r="B899" s="81" t="s">
        <v>149</v>
      </c>
      <c r="C899" s="81" t="s">
        <v>207</v>
      </c>
      <c r="D899" s="81" t="s">
        <v>244</v>
      </c>
      <c r="E899" s="81" t="s">
        <v>66</v>
      </c>
      <c r="F899" s="81" t="s">
        <v>35</v>
      </c>
    </row>
    <row r="900" spans="1:6" x14ac:dyDescent="0.25">
      <c r="A900" s="14">
        <v>46144.619444444441</v>
      </c>
      <c r="B900" s="81" t="s">
        <v>149</v>
      </c>
      <c r="C900" s="81" t="s">
        <v>207</v>
      </c>
      <c r="D900" s="81" t="s">
        <v>244</v>
      </c>
      <c r="E900" s="81" t="s">
        <v>66</v>
      </c>
      <c r="F900" s="81" t="s">
        <v>35</v>
      </c>
    </row>
    <row r="901" spans="1:6" x14ac:dyDescent="0.25">
      <c r="A901" s="14">
        <v>46144.619444444441</v>
      </c>
      <c r="B901" s="81" t="s">
        <v>149</v>
      </c>
      <c r="C901" s="81" t="s">
        <v>207</v>
      </c>
      <c r="D901" s="81" t="s">
        <v>244</v>
      </c>
      <c r="E901" s="81" t="s">
        <v>66</v>
      </c>
      <c r="F901" s="81" t="s">
        <v>35</v>
      </c>
    </row>
    <row r="902" spans="1:6" x14ac:dyDescent="0.25">
      <c r="A902" s="14">
        <v>46144.619444444441</v>
      </c>
      <c r="B902" s="81" t="s">
        <v>149</v>
      </c>
      <c r="C902" s="81" t="s">
        <v>206</v>
      </c>
      <c r="D902" s="81" t="s">
        <v>162</v>
      </c>
      <c r="E902" s="81" t="s">
        <v>67</v>
      </c>
      <c r="F902" s="81" t="s">
        <v>35</v>
      </c>
    </row>
    <row r="903" spans="1:6" x14ac:dyDescent="0.25">
      <c r="A903" s="14">
        <v>46144.619444444441</v>
      </c>
      <c r="B903" s="81" t="s">
        <v>149</v>
      </c>
      <c r="C903" s="81" t="s">
        <v>206</v>
      </c>
      <c r="D903" s="81" t="s">
        <v>162</v>
      </c>
      <c r="E903" s="81" t="s">
        <v>67</v>
      </c>
      <c r="F903" s="81" t="s">
        <v>35</v>
      </c>
    </row>
    <row r="904" spans="1:6" x14ac:dyDescent="0.25">
      <c r="A904" s="14">
        <v>46144.619444444441</v>
      </c>
      <c r="B904" s="81" t="s">
        <v>149</v>
      </c>
      <c r="C904" s="81" t="s">
        <v>206</v>
      </c>
      <c r="D904" s="81" t="s">
        <v>162</v>
      </c>
      <c r="E904" s="81" t="s">
        <v>67</v>
      </c>
      <c r="F904" s="81" t="s">
        <v>35</v>
      </c>
    </row>
    <row r="905" spans="1:6" x14ac:dyDescent="0.25">
      <c r="A905" s="14">
        <v>46144.619444444441</v>
      </c>
      <c r="B905" s="81" t="s">
        <v>149</v>
      </c>
      <c r="C905" s="81" t="s">
        <v>206</v>
      </c>
      <c r="D905" s="81" t="s">
        <v>162</v>
      </c>
      <c r="E905" s="81" t="s">
        <v>67</v>
      </c>
      <c r="F905" s="81" t="s">
        <v>35</v>
      </c>
    </row>
    <row r="906" spans="1:6" x14ac:dyDescent="0.25">
      <c r="A906" s="14">
        <v>46144.619444444441</v>
      </c>
      <c r="B906" s="81" t="s">
        <v>149</v>
      </c>
      <c r="C906" s="81" t="s">
        <v>206</v>
      </c>
      <c r="D906" s="81" t="s">
        <v>162</v>
      </c>
      <c r="E906" s="81" t="s">
        <v>67</v>
      </c>
      <c r="F906" s="81" t="s">
        <v>35</v>
      </c>
    </row>
    <row r="907" spans="1:6" x14ac:dyDescent="0.25">
      <c r="A907" s="14">
        <v>46144.619444444441</v>
      </c>
      <c r="B907" s="81" t="s">
        <v>149</v>
      </c>
      <c r="C907" s="81" t="s">
        <v>206</v>
      </c>
      <c r="D907" s="81" t="s">
        <v>162</v>
      </c>
      <c r="E907" s="81" t="s">
        <v>67</v>
      </c>
      <c r="F907" s="81" t="s">
        <v>35</v>
      </c>
    </row>
    <row r="908" spans="1:6" x14ac:dyDescent="0.25">
      <c r="A908" s="14">
        <v>46144.619444444441</v>
      </c>
      <c r="B908" s="81" t="s">
        <v>149</v>
      </c>
      <c r="C908" s="81" t="s">
        <v>206</v>
      </c>
      <c r="D908" s="81" t="s">
        <v>162</v>
      </c>
      <c r="E908" s="81" t="s">
        <v>67</v>
      </c>
      <c r="F908" s="81" t="s">
        <v>35</v>
      </c>
    </row>
    <row r="909" spans="1:6" x14ac:dyDescent="0.25">
      <c r="A909" s="14">
        <v>46144.619444444441</v>
      </c>
      <c r="B909" s="81" t="s">
        <v>149</v>
      </c>
      <c r="C909" s="81" t="s">
        <v>206</v>
      </c>
      <c r="D909" s="81" t="s">
        <v>162</v>
      </c>
      <c r="E909" s="81" t="s">
        <v>67</v>
      </c>
      <c r="F909" s="81" t="s">
        <v>35</v>
      </c>
    </row>
    <row r="910" spans="1:6" x14ac:dyDescent="0.25">
      <c r="A910" s="14">
        <v>46144.619444444441</v>
      </c>
      <c r="B910" s="81" t="s">
        <v>149</v>
      </c>
      <c r="C910" s="81" t="s">
        <v>206</v>
      </c>
      <c r="D910" s="81" t="s">
        <v>162</v>
      </c>
      <c r="E910" s="81" t="s">
        <v>67</v>
      </c>
      <c r="F910" s="81" t="s">
        <v>35</v>
      </c>
    </row>
    <row r="911" spans="1:6" x14ac:dyDescent="0.25">
      <c r="A911" s="14">
        <v>46144.619444444441</v>
      </c>
      <c r="B911" s="81" t="s">
        <v>149</v>
      </c>
      <c r="C911" s="81" t="s">
        <v>206</v>
      </c>
      <c r="D911" s="81" t="s">
        <v>162</v>
      </c>
      <c r="E911" s="81" t="s">
        <v>67</v>
      </c>
      <c r="F911" s="81" t="s">
        <v>35</v>
      </c>
    </row>
    <row r="912" spans="1:6" x14ac:dyDescent="0.25">
      <c r="A912" s="14">
        <v>46144.619444444441</v>
      </c>
      <c r="B912" s="81" t="s">
        <v>149</v>
      </c>
      <c r="C912" s="81" t="s">
        <v>206</v>
      </c>
      <c r="D912" s="81" t="s">
        <v>162</v>
      </c>
      <c r="E912" s="81" t="s">
        <v>67</v>
      </c>
      <c r="F912" s="81" t="s">
        <v>35</v>
      </c>
    </row>
    <row r="913" spans="1:6" x14ac:dyDescent="0.25">
      <c r="A913" s="14">
        <v>46144.619444444441</v>
      </c>
      <c r="B913" s="81" t="s">
        <v>149</v>
      </c>
      <c r="C913" s="81" t="s">
        <v>208</v>
      </c>
      <c r="D913" s="81" t="s">
        <v>191</v>
      </c>
      <c r="E913" s="81" t="s">
        <v>66</v>
      </c>
      <c r="F913" s="81" t="s">
        <v>35</v>
      </c>
    </row>
    <row r="914" spans="1:6" x14ac:dyDescent="0.25">
      <c r="A914" s="14">
        <v>46144.619444444441</v>
      </c>
      <c r="B914" s="81" t="s">
        <v>149</v>
      </c>
      <c r="C914" s="81" t="s">
        <v>190</v>
      </c>
      <c r="D914" s="81" t="s">
        <v>240</v>
      </c>
      <c r="E914" s="81" t="s">
        <v>50</v>
      </c>
      <c r="F914" s="81" t="s">
        <v>1</v>
      </c>
    </row>
    <row r="915" spans="1:6" x14ac:dyDescent="0.25">
      <c r="A915" s="14">
        <v>46144.619444444441</v>
      </c>
      <c r="B915" s="81" t="s">
        <v>149</v>
      </c>
      <c r="C915" s="81" t="s">
        <v>207</v>
      </c>
      <c r="D915" s="81" t="s">
        <v>157</v>
      </c>
      <c r="E915" s="81" t="s">
        <v>66</v>
      </c>
      <c r="F915" s="81" t="s">
        <v>35</v>
      </c>
    </row>
    <row r="916" spans="1:6" x14ac:dyDescent="0.25">
      <c r="A916" s="14">
        <v>46144.619444444441</v>
      </c>
      <c r="B916" s="81" t="s">
        <v>149</v>
      </c>
      <c r="C916" s="81" t="s">
        <v>207</v>
      </c>
      <c r="D916" s="81" t="s">
        <v>157</v>
      </c>
      <c r="E916" s="81" t="s">
        <v>66</v>
      </c>
      <c r="F916" s="81" t="s">
        <v>35</v>
      </c>
    </row>
    <row r="917" spans="1:6" x14ac:dyDescent="0.25">
      <c r="A917" s="14">
        <v>46144.619444444441</v>
      </c>
      <c r="B917" s="81" t="s">
        <v>149</v>
      </c>
      <c r="C917" s="81" t="s">
        <v>207</v>
      </c>
      <c r="D917" s="81" t="s">
        <v>157</v>
      </c>
      <c r="E917" s="81" t="s">
        <v>66</v>
      </c>
      <c r="F917" s="81" t="s">
        <v>35</v>
      </c>
    </row>
    <row r="918" spans="1:6" x14ac:dyDescent="0.25">
      <c r="A918" s="14">
        <v>46144.619444444441</v>
      </c>
      <c r="B918" s="81" t="s">
        <v>149</v>
      </c>
      <c r="C918" s="81" t="s">
        <v>207</v>
      </c>
      <c r="D918" s="81" t="s">
        <v>157</v>
      </c>
      <c r="E918" s="81" t="s">
        <v>66</v>
      </c>
      <c r="F918" s="81" t="s">
        <v>35</v>
      </c>
    </row>
    <row r="919" spans="1:6" x14ac:dyDescent="0.25">
      <c r="A919" s="14">
        <v>46144.619444444441</v>
      </c>
      <c r="B919" s="81" t="s">
        <v>149</v>
      </c>
      <c r="C919" s="81" t="s">
        <v>207</v>
      </c>
      <c r="D919" s="81" t="s">
        <v>194</v>
      </c>
      <c r="E919" s="81" t="s">
        <v>66</v>
      </c>
      <c r="F919" s="81" t="s">
        <v>35</v>
      </c>
    </row>
    <row r="920" spans="1:6" x14ac:dyDescent="0.25">
      <c r="A920" s="14">
        <v>46144.619444444441</v>
      </c>
      <c r="B920" s="81" t="s">
        <v>149</v>
      </c>
      <c r="C920" s="81" t="s">
        <v>207</v>
      </c>
      <c r="D920" s="81" t="s">
        <v>194</v>
      </c>
      <c r="E920" s="81" t="s">
        <v>66</v>
      </c>
      <c r="F920" s="81" t="s">
        <v>35</v>
      </c>
    </row>
    <row r="921" spans="1:6" x14ac:dyDescent="0.25">
      <c r="A921" s="14">
        <v>46144.619444444441</v>
      </c>
      <c r="B921" s="81" t="s">
        <v>149</v>
      </c>
      <c r="C921" s="81" t="s">
        <v>207</v>
      </c>
      <c r="D921" s="81" t="s">
        <v>194</v>
      </c>
      <c r="E921" s="81" t="s">
        <v>66</v>
      </c>
      <c r="F921" s="81" t="s">
        <v>35</v>
      </c>
    </row>
    <row r="922" spans="1:6" x14ac:dyDescent="0.25">
      <c r="A922" s="14">
        <v>46144.619444444441</v>
      </c>
      <c r="B922" s="81" t="s">
        <v>149</v>
      </c>
      <c r="C922" s="81" t="s">
        <v>207</v>
      </c>
      <c r="D922" s="81" t="s">
        <v>194</v>
      </c>
      <c r="E922" s="81" t="s">
        <v>66</v>
      </c>
      <c r="F922" s="81" t="s">
        <v>35</v>
      </c>
    </row>
    <row r="923" spans="1:6" x14ac:dyDescent="0.25">
      <c r="A923" s="14">
        <v>46144.619444444441</v>
      </c>
      <c r="B923" s="81" t="s">
        <v>149</v>
      </c>
      <c r="C923" s="81" t="s">
        <v>207</v>
      </c>
      <c r="D923" s="81" t="s">
        <v>251</v>
      </c>
      <c r="E923" s="81" t="s">
        <v>66</v>
      </c>
      <c r="F923" s="81" t="s">
        <v>35</v>
      </c>
    </row>
    <row r="924" spans="1:6" x14ac:dyDescent="0.25">
      <c r="A924" s="14">
        <v>46144.619444444441</v>
      </c>
      <c r="B924" s="81" t="s">
        <v>149</v>
      </c>
      <c r="C924" s="81" t="s">
        <v>207</v>
      </c>
      <c r="D924" s="81" t="s">
        <v>251</v>
      </c>
      <c r="E924" s="81" t="s">
        <v>66</v>
      </c>
      <c r="F924" s="81" t="s">
        <v>35</v>
      </c>
    </row>
    <row r="925" spans="1:6" x14ac:dyDescent="0.25">
      <c r="A925" s="14">
        <v>46144.619444444441</v>
      </c>
      <c r="B925" s="81" t="s">
        <v>149</v>
      </c>
      <c r="C925" s="81" t="s">
        <v>207</v>
      </c>
      <c r="D925" s="81" t="s">
        <v>251</v>
      </c>
      <c r="E925" s="81" t="s">
        <v>66</v>
      </c>
      <c r="F925" s="81" t="s">
        <v>35</v>
      </c>
    </row>
    <row r="926" spans="1:6" x14ac:dyDescent="0.25">
      <c r="A926" s="14">
        <v>46144.619444444441</v>
      </c>
      <c r="B926" s="81" t="s">
        <v>149</v>
      </c>
      <c r="C926" s="81" t="s">
        <v>207</v>
      </c>
      <c r="D926" s="81" t="s">
        <v>251</v>
      </c>
      <c r="E926" s="81" t="s">
        <v>66</v>
      </c>
      <c r="F926" s="81" t="s">
        <v>35</v>
      </c>
    </row>
    <row r="927" spans="1:6" x14ac:dyDescent="0.25">
      <c r="A927" s="14">
        <v>46144.619444444441</v>
      </c>
      <c r="B927" s="81" t="s">
        <v>149</v>
      </c>
      <c r="C927" s="81" t="s">
        <v>208</v>
      </c>
      <c r="D927" s="81" t="s">
        <v>251</v>
      </c>
      <c r="E927" s="81" t="s">
        <v>66</v>
      </c>
      <c r="F927" s="81" t="s">
        <v>35</v>
      </c>
    </row>
    <row r="928" spans="1:6" x14ac:dyDescent="0.25">
      <c r="A928" s="14">
        <v>46144.619444444441</v>
      </c>
      <c r="B928" s="81" t="s">
        <v>149</v>
      </c>
      <c r="C928" s="81" t="s">
        <v>207</v>
      </c>
      <c r="D928" s="81" t="s">
        <v>162</v>
      </c>
      <c r="E928" s="81" t="s">
        <v>66</v>
      </c>
      <c r="F928" s="81" t="s">
        <v>35</v>
      </c>
    </row>
    <row r="929" spans="1:6" x14ac:dyDescent="0.25">
      <c r="A929" s="14">
        <v>46144.619444444441</v>
      </c>
      <c r="B929" s="81" t="s">
        <v>149</v>
      </c>
      <c r="C929" s="81" t="s">
        <v>207</v>
      </c>
      <c r="D929" s="81" t="s">
        <v>162</v>
      </c>
      <c r="E929" s="81" t="s">
        <v>66</v>
      </c>
      <c r="F929" s="81" t="s">
        <v>35</v>
      </c>
    </row>
    <row r="930" spans="1:6" x14ac:dyDescent="0.25">
      <c r="A930" s="14">
        <v>46144.619444444441</v>
      </c>
      <c r="B930" s="81" t="s">
        <v>149</v>
      </c>
      <c r="C930" s="81" t="s">
        <v>207</v>
      </c>
      <c r="D930" s="81" t="s">
        <v>162</v>
      </c>
      <c r="E930" s="81" t="s">
        <v>66</v>
      </c>
      <c r="F930" s="81" t="s">
        <v>35</v>
      </c>
    </row>
    <row r="931" spans="1:6" x14ac:dyDescent="0.25">
      <c r="A931" s="14">
        <v>46144.619444444441</v>
      </c>
      <c r="B931" s="81" t="s">
        <v>149</v>
      </c>
      <c r="C931" s="81" t="s">
        <v>207</v>
      </c>
      <c r="D931" s="81" t="s">
        <v>162</v>
      </c>
      <c r="E931" s="81" t="s">
        <v>66</v>
      </c>
      <c r="F931" s="81" t="s">
        <v>35</v>
      </c>
    </row>
    <row r="932" spans="1:6" x14ac:dyDescent="0.25">
      <c r="A932" s="14">
        <v>46144.619444444441</v>
      </c>
      <c r="B932" s="81" t="s">
        <v>149</v>
      </c>
      <c r="C932" s="81" t="s">
        <v>208</v>
      </c>
      <c r="D932" s="81" t="s">
        <v>162</v>
      </c>
      <c r="E932" s="81" t="s">
        <v>66</v>
      </c>
      <c r="F932" s="81" t="s">
        <v>35</v>
      </c>
    </row>
    <row r="933" spans="1:6" x14ac:dyDescent="0.25">
      <c r="A933" s="14">
        <v>46144.619444444441</v>
      </c>
      <c r="B933" s="81" t="s">
        <v>149</v>
      </c>
      <c r="C933" s="81" t="s">
        <v>208</v>
      </c>
      <c r="D933" s="81" t="s">
        <v>168</v>
      </c>
      <c r="E933" s="81" t="s">
        <v>66</v>
      </c>
      <c r="F933" s="81" t="s">
        <v>35</v>
      </c>
    </row>
    <row r="934" spans="1:6" x14ac:dyDescent="0.25">
      <c r="A934" s="14">
        <v>46144.619444444441</v>
      </c>
      <c r="B934" s="81" t="s">
        <v>149</v>
      </c>
      <c r="C934" s="81" t="s">
        <v>207</v>
      </c>
      <c r="D934" s="81" t="s">
        <v>168</v>
      </c>
      <c r="E934" s="81" t="s">
        <v>66</v>
      </c>
      <c r="F934" s="81" t="s">
        <v>35</v>
      </c>
    </row>
    <row r="935" spans="1:6" x14ac:dyDescent="0.25">
      <c r="A935" s="14">
        <v>46144.619444444441</v>
      </c>
      <c r="B935" s="81" t="s">
        <v>149</v>
      </c>
      <c r="C935" s="81" t="s">
        <v>207</v>
      </c>
      <c r="D935" s="81" t="s">
        <v>168</v>
      </c>
      <c r="E935" s="81" t="s">
        <v>66</v>
      </c>
      <c r="F935" s="81" t="s">
        <v>35</v>
      </c>
    </row>
    <row r="936" spans="1:6" x14ac:dyDescent="0.25">
      <c r="A936" s="14">
        <v>46144.619444444441</v>
      </c>
      <c r="B936" s="81" t="s">
        <v>149</v>
      </c>
      <c r="C936" s="81" t="s">
        <v>207</v>
      </c>
      <c r="D936" s="81" t="s">
        <v>168</v>
      </c>
      <c r="E936" s="81" t="s">
        <v>66</v>
      </c>
      <c r="F936" s="81" t="s">
        <v>35</v>
      </c>
    </row>
    <row r="937" spans="1:6" x14ac:dyDescent="0.25">
      <c r="A937" s="14">
        <v>46144.619444444441</v>
      </c>
      <c r="B937" s="81" t="s">
        <v>149</v>
      </c>
      <c r="C937" s="81" t="s">
        <v>207</v>
      </c>
      <c r="D937" s="81" t="s">
        <v>168</v>
      </c>
      <c r="E937" s="81" t="s">
        <v>66</v>
      </c>
      <c r="F937" s="81" t="s">
        <v>35</v>
      </c>
    </row>
    <row r="938" spans="1:6" x14ac:dyDescent="0.25">
      <c r="A938" s="14">
        <v>46144.619444444441</v>
      </c>
      <c r="B938" s="81" t="s">
        <v>149</v>
      </c>
      <c r="C938" s="81" t="s">
        <v>183</v>
      </c>
      <c r="D938" s="81" t="s">
        <v>157</v>
      </c>
      <c r="E938" s="81" t="s">
        <v>49</v>
      </c>
      <c r="F938" s="81" t="s">
        <v>2</v>
      </c>
    </row>
    <row r="939" spans="1:6" x14ac:dyDescent="0.25">
      <c r="A939" s="14">
        <v>46144.619444444441</v>
      </c>
      <c r="B939" s="81" t="s">
        <v>149</v>
      </c>
      <c r="C939" s="81" t="s">
        <v>208</v>
      </c>
      <c r="D939" s="81" t="s">
        <v>194</v>
      </c>
      <c r="E939" s="81" t="s">
        <v>66</v>
      </c>
      <c r="F939" s="81" t="s">
        <v>35</v>
      </c>
    </row>
    <row r="940" spans="1:6" x14ac:dyDescent="0.25">
      <c r="A940" s="14">
        <v>46144.619444444441</v>
      </c>
      <c r="B940" s="81" t="s">
        <v>149</v>
      </c>
      <c r="C940" s="81" t="s">
        <v>208</v>
      </c>
      <c r="D940" s="81" t="s">
        <v>150</v>
      </c>
      <c r="E940" s="81" t="s">
        <v>66</v>
      </c>
      <c r="F940" s="81" t="s">
        <v>35</v>
      </c>
    </row>
    <row r="941" spans="1:6" x14ac:dyDescent="0.25">
      <c r="A941" s="14">
        <v>46144.619444444441</v>
      </c>
      <c r="B941" s="81" t="s">
        <v>149</v>
      </c>
      <c r="C941" s="81" t="s">
        <v>207</v>
      </c>
      <c r="D941" s="81" t="s">
        <v>167</v>
      </c>
      <c r="E941" s="81" t="s">
        <v>66</v>
      </c>
      <c r="F941" s="81" t="s">
        <v>35</v>
      </c>
    </row>
    <row r="942" spans="1:6" x14ac:dyDescent="0.25">
      <c r="A942" s="14">
        <v>46144.619444444441</v>
      </c>
      <c r="B942" s="81" t="s">
        <v>149</v>
      </c>
      <c r="C942" s="81" t="s">
        <v>207</v>
      </c>
      <c r="D942" s="81" t="s">
        <v>167</v>
      </c>
      <c r="E942" s="81" t="s">
        <v>66</v>
      </c>
      <c r="F942" s="81" t="s">
        <v>35</v>
      </c>
    </row>
    <row r="943" spans="1:6" x14ac:dyDescent="0.25">
      <c r="A943" s="14">
        <v>46144.619444444441</v>
      </c>
      <c r="B943" s="81" t="s">
        <v>149</v>
      </c>
      <c r="C943" s="81" t="s">
        <v>207</v>
      </c>
      <c r="D943" s="81" t="s">
        <v>167</v>
      </c>
      <c r="E943" s="81" t="s">
        <v>66</v>
      </c>
      <c r="F943" s="81" t="s">
        <v>35</v>
      </c>
    </row>
    <row r="944" spans="1:6" x14ac:dyDescent="0.25">
      <c r="A944" s="14">
        <v>46144.619444444441</v>
      </c>
      <c r="B944" s="81" t="s">
        <v>149</v>
      </c>
      <c r="C944" s="81" t="s">
        <v>207</v>
      </c>
      <c r="D944" s="81" t="s">
        <v>167</v>
      </c>
      <c r="E944" s="81" t="s">
        <v>66</v>
      </c>
      <c r="F944" s="81" t="s">
        <v>35</v>
      </c>
    </row>
    <row r="945" spans="1:6" x14ac:dyDescent="0.25">
      <c r="A945" s="14">
        <v>46144.619444444441</v>
      </c>
      <c r="B945" s="81" t="s">
        <v>149</v>
      </c>
      <c r="C945" s="81" t="s">
        <v>207</v>
      </c>
      <c r="D945" s="81" t="s">
        <v>201</v>
      </c>
      <c r="E945" s="81" t="s">
        <v>66</v>
      </c>
      <c r="F945" s="81" t="s">
        <v>35</v>
      </c>
    </row>
    <row r="946" spans="1:6" x14ac:dyDescent="0.25">
      <c r="A946" s="14">
        <v>46144.619444444441</v>
      </c>
      <c r="B946" s="81" t="s">
        <v>149</v>
      </c>
      <c r="C946" s="81" t="s">
        <v>207</v>
      </c>
      <c r="D946" s="81" t="s">
        <v>201</v>
      </c>
      <c r="E946" s="81" t="s">
        <v>66</v>
      </c>
      <c r="F946" s="81" t="s">
        <v>35</v>
      </c>
    </row>
    <row r="947" spans="1:6" x14ac:dyDescent="0.25">
      <c r="A947" s="14">
        <v>46144.619444444441</v>
      </c>
      <c r="B947" s="81" t="s">
        <v>149</v>
      </c>
      <c r="C947" s="81" t="s">
        <v>207</v>
      </c>
      <c r="D947" s="81" t="s">
        <v>201</v>
      </c>
      <c r="E947" s="81" t="s">
        <v>66</v>
      </c>
      <c r="F947" s="81" t="s">
        <v>35</v>
      </c>
    </row>
    <row r="948" spans="1:6" x14ac:dyDescent="0.25">
      <c r="A948" s="14">
        <v>46144.619444444441</v>
      </c>
      <c r="B948" s="81" t="s">
        <v>149</v>
      </c>
      <c r="C948" s="81" t="s">
        <v>207</v>
      </c>
      <c r="D948" s="81" t="s">
        <v>201</v>
      </c>
      <c r="E948" s="81" t="s">
        <v>66</v>
      </c>
      <c r="F948" s="81" t="s">
        <v>35</v>
      </c>
    </row>
    <row r="949" spans="1:6" x14ac:dyDescent="0.25">
      <c r="A949" s="14">
        <v>46144.619444444441</v>
      </c>
      <c r="B949" s="81" t="s">
        <v>149</v>
      </c>
      <c r="C949" s="81" t="s">
        <v>207</v>
      </c>
      <c r="D949" s="81" t="s">
        <v>201</v>
      </c>
      <c r="E949" s="81" t="s">
        <v>66</v>
      </c>
      <c r="F949" s="81" t="s">
        <v>35</v>
      </c>
    </row>
    <row r="950" spans="1:6" x14ac:dyDescent="0.25">
      <c r="A950" s="14">
        <v>46144.619444444441</v>
      </c>
      <c r="B950" s="81" t="s">
        <v>149</v>
      </c>
      <c r="C950" s="81" t="s">
        <v>207</v>
      </c>
      <c r="D950" s="81" t="s">
        <v>201</v>
      </c>
      <c r="E950" s="81" t="s">
        <v>66</v>
      </c>
      <c r="F950" s="81" t="s">
        <v>35</v>
      </c>
    </row>
    <row r="951" spans="1:6" x14ac:dyDescent="0.25">
      <c r="A951" s="14">
        <v>46144.619444444441</v>
      </c>
      <c r="B951" s="81" t="s">
        <v>149</v>
      </c>
      <c r="C951" s="81" t="s">
        <v>207</v>
      </c>
      <c r="D951" s="81" t="s">
        <v>201</v>
      </c>
      <c r="E951" s="81" t="s">
        <v>66</v>
      </c>
      <c r="F951" s="81" t="s">
        <v>35</v>
      </c>
    </row>
    <row r="952" spans="1:6" x14ac:dyDescent="0.25">
      <c r="A952" s="14">
        <v>46144.619444444441</v>
      </c>
      <c r="B952" s="81" t="s">
        <v>149</v>
      </c>
      <c r="C952" s="81" t="s">
        <v>207</v>
      </c>
      <c r="D952" s="81" t="s">
        <v>201</v>
      </c>
      <c r="E952" s="81" t="s">
        <v>66</v>
      </c>
      <c r="F952" s="81" t="s">
        <v>35</v>
      </c>
    </row>
    <row r="953" spans="1:6" x14ac:dyDescent="0.25">
      <c r="A953" s="14">
        <v>46144.619444444441</v>
      </c>
      <c r="B953" s="81" t="s">
        <v>149</v>
      </c>
      <c r="C953" s="81" t="s">
        <v>207</v>
      </c>
      <c r="D953" s="81" t="s">
        <v>179</v>
      </c>
      <c r="E953" s="81" t="s">
        <v>66</v>
      </c>
      <c r="F953" s="81" t="s">
        <v>35</v>
      </c>
    </row>
    <row r="954" spans="1:6" x14ac:dyDescent="0.25">
      <c r="A954" s="14">
        <v>46144.619444444441</v>
      </c>
      <c r="B954" s="81" t="s">
        <v>149</v>
      </c>
      <c r="C954" s="81" t="s">
        <v>207</v>
      </c>
      <c r="D954" s="81" t="s">
        <v>179</v>
      </c>
      <c r="E954" s="81" t="s">
        <v>66</v>
      </c>
      <c r="F954" s="81" t="s">
        <v>35</v>
      </c>
    </row>
    <row r="955" spans="1:6" x14ac:dyDescent="0.25">
      <c r="A955" s="14">
        <v>46144.619444444441</v>
      </c>
      <c r="B955" s="81" t="s">
        <v>149</v>
      </c>
      <c r="C955" s="81" t="s">
        <v>207</v>
      </c>
      <c r="D955" s="81" t="s">
        <v>179</v>
      </c>
      <c r="E955" s="81" t="s">
        <v>66</v>
      </c>
      <c r="F955" s="81" t="s">
        <v>35</v>
      </c>
    </row>
    <row r="956" spans="1:6" x14ac:dyDescent="0.25">
      <c r="A956" s="14">
        <v>46144.619444444441</v>
      </c>
      <c r="B956" s="81" t="s">
        <v>149</v>
      </c>
      <c r="C956" s="81" t="s">
        <v>207</v>
      </c>
      <c r="D956" s="81" t="s">
        <v>179</v>
      </c>
      <c r="E956" s="81" t="s">
        <v>66</v>
      </c>
      <c r="F956" s="81" t="s">
        <v>35</v>
      </c>
    </row>
    <row r="957" spans="1:6" x14ac:dyDescent="0.25">
      <c r="A957" s="14">
        <v>46144.619444444441</v>
      </c>
      <c r="B957" s="81" t="s">
        <v>149</v>
      </c>
      <c r="C957" s="81" t="s">
        <v>207</v>
      </c>
      <c r="D957" s="81" t="s">
        <v>251</v>
      </c>
      <c r="E957" s="81" t="s">
        <v>66</v>
      </c>
      <c r="F957" s="81" t="s">
        <v>35</v>
      </c>
    </row>
    <row r="958" spans="1:6" x14ac:dyDescent="0.25">
      <c r="A958" s="14">
        <v>46144.619444444441</v>
      </c>
      <c r="B958" s="81" t="s">
        <v>149</v>
      </c>
      <c r="C958" s="81" t="s">
        <v>207</v>
      </c>
      <c r="D958" s="81" t="s">
        <v>251</v>
      </c>
      <c r="E958" s="81" t="s">
        <v>66</v>
      </c>
      <c r="F958" s="81" t="s">
        <v>35</v>
      </c>
    </row>
    <row r="959" spans="1:6" x14ac:dyDescent="0.25">
      <c r="A959" s="14">
        <v>46144.619444444441</v>
      </c>
      <c r="B959" s="81" t="s">
        <v>149</v>
      </c>
      <c r="C959" s="81" t="s">
        <v>207</v>
      </c>
      <c r="D959" s="81" t="s">
        <v>251</v>
      </c>
      <c r="E959" s="81" t="s">
        <v>66</v>
      </c>
      <c r="F959" s="81" t="s">
        <v>35</v>
      </c>
    </row>
    <row r="960" spans="1:6" x14ac:dyDescent="0.25">
      <c r="A960" s="14">
        <v>46144.619444444441</v>
      </c>
      <c r="B960" s="81" t="s">
        <v>149</v>
      </c>
      <c r="C960" s="81" t="s">
        <v>207</v>
      </c>
      <c r="D960" s="81" t="s">
        <v>251</v>
      </c>
      <c r="E960" s="81" t="s">
        <v>66</v>
      </c>
      <c r="F960" s="81" t="s">
        <v>35</v>
      </c>
    </row>
    <row r="961" spans="1:6" x14ac:dyDescent="0.25">
      <c r="A961" s="14">
        <v>46144.619444444441</v>
      </c>
      <c r="B961" s="81" t="s">
        <v>149</v>
      </c>
      <c r="C961" s="81" t="s">
        <v>207</v>
      </c>
      <c r="D961" s="81" t="s">
        <v>251</v>
      </c>
      <c r="E961" s="81" t="s">
        <v>66</v>
      </c>
      <c r="F961" s="81" t="s">
        <v>35</v>
      </c>
    </row>
    <row r="962" spans="1:6" x14ac:dyDescent="0.25">
      <c r="A962" s="14">
        <v>46144.619444444441</v>
      </c>
      <c r="B962" s="81" t="s">
        <v>149</v>
      </c>
      <c r="C962" s="81" t="s">
        <v>207</v>
      </c>
      <c r="D962" s="81" t="s">
        <v>251</v>
      </c>
      <c r="E962" s="81" t="s">
        <v>66</v>
      </c>
      <c r="F962" s="81" t="s">
        <v>35</v>
      </c>
    </row>
    <row r="963" spans="1:6" x14ac:dyDescent="0.25">
      <c r="A963" s="14">
        <v>46144.619444444441</v>
      </c>
      <c r="B963" s="81" t="s">
        <v>149</v>
      </c>
      <c r="C963" s="81" t="s">
        <v>207</v>
      </c>
      <c r="D963" s="81" t="s">
        <v>251</v>
      </c>
      <c r="E963" s="81" t="s">
        <v>66</v>
      </c>
      <c r="F963" s="81" t="s">
        <v>35</v>
      </c>
    </row>
    <row r="964" spans="1:6" x14ac:dyDescent="0.25">
      <c r="A964" s="14">
        <v>46144.619444444441</v>
      </c>
      <c r="B964" s="81" t="s">
        <v>149</v>
      </c>
      <c r="C964" s="81" t="s">
        <v>207</v>
      </c>
      <c r="D964" s="81" t="s">
        <v>251</v>
      </c>
      <c r="E964" s="81" t="s">
        <v>66</v>
      </c>
      <c r="F964" s="81" t="s">
        <v>35</v>
      </c>
    </row>
    <row r="965" spans="1:6" x14ac:dyDescent="0.25">
      <c r="A965" s="14">
        <v>46144.619444444441</v>
      </c>
      <c r="B965" s="81" t="s">
        <v>149</v>
      </c>
      <c r="C965" s="81" t="s">
        <v>190</v>
      </c>
      <c r="D965" s="81" t="s">
        <v>252</v>
      </c>
      <c r="E965" s="81" t="s">
        <v>50</v>
      </c>
      <c r="F965" s="81" t="s">
        <v>1</v>
      </c>
    </row>
    <row r="966" spans="1:6" x14ac:dyDescent="0.25">
      <c r="A966" s="14">
        <v>46144.619444444441</v>
      </c>
      <c r="B966" s="81" t="s">
        <v>149</v>
      </c>
      <c r="C966" s="81" t="s">
        <v>207</v>
      </c>
      <c r="D966" s="81" t="s">
        <v>168</v>
      </c>
      <c r="E966" s="81" t="s">
        <v>66</v>
      </c>
      <c r="F966" s="81" t="s">
        <v>35</v>
      </c>
    </row>
    <row r="967" spans="1:6" x14ac:dyDescent="0.25">
      <c r="A967" s="14">
        <v>46144.619444444441</v>
      </c>
      <c r="B967" s="81" t="s">
        <v>149</v>
      </c>
      <c r="C967" s="81" t="s">
        <v>207</v>
      </c>
      <c r="D967" s="81" t="s">
        <v>168</v>
      </c>
      <c r="E967" s="81" t="s">
        <v>66</v>
      </c>
      <c r="F967" s="81" t="s">
        <v>35</v>
      </c>
    </row>
    <row r="968" spans="1:6" x14ac:dyDescent="0.25">
      <c r="A968" s="14">
        <v>46144.619444444441</v>
      </c>
      <c r="B968" s="81" t="s">
        <v>149</v>
      </c>
      <c r="C968" s="81" t="s">
        <v>207</v>
      </c>
      <c r="D968" s="81" t="s">
        <v>168</v>
      </c>
      <c r="E968" s="81" t="s">
        <v>66</v>
      </c>
      <c r="F968" s="81" t="s">
        <v>35</v>
      </c>
    </row>
    <row r="969" spans="1:6" x14ac:dyDescent="0.25">
      <c r="A969" s="14">
        <v>46144.619444444441</v>
      </c>
      <c r="B969" s="81" t="s">
        <v>149</v>
      </c>
      <c r="C969" s="81" t="s">
        <v>207</v>
      </c>
      <c r="D969" s="81" t="s">
        <v>168</v>
      </c>
      <c r="E969" s="81" t="s">
        <v>66</v>
      </c>
      <c r="F969" s="81" t="s">
        <v>35</v>
      </c>
    </row>
    <row r="970" spans="1:6" x14ac:dyDescent="0.25">
      <c r="A970" s="14">
        <v>46144.619444444441</v>
      </c>
      <c r="B970" s="81" t="s">
        <v>149</v>
      </c>
      <c r="C970" s="81" t="s">
        <v>207</v>
      </c>
      <c r="D970" s="81" t="s">
        <v>168</v>
      </c>
      <c r="E970" s="81" t="s">
        <v>66</v>
      </c>
      <c r="F970" s="81" t="s">
        <v>35</v>
      </c>
    </row>
    <row r="971" spans="1:6" x14ac:dyDescent="0.25">
      <c r="A971" s="14">
        <v>46144.619444444441</v>
      </c>
      <c r="B971" s="81" t="s">
        <v>149</v>
      </c>
      <c r="C971" s="81" t="s">
        <v>207</v>
      </c>
      <c r="D971" s="81" t="s">
        <v>168</v>
      </c>
      <c r="E971" s="81" t="s">
        <v>66</v>
      </c>
      <c r="F971" s="81" t="s">
        <v>35</v>
      </c>
    </row>
    <row r="972" spans="1:6" x14ac:dyDescent="0.25">
      <c r="A972" s="14">
        <v>46144.619444444441</v>
      </c>
      <c r="B972" s="81" t="s">
        <v>149</v>
      </c>
      <c r="C972" s="81" t="s">
        <v>207</v>
      </c>
      <c r="D972" s="81" t="s">
        <v>168</v>
      </c>
      <c r="E972" s="81" t="s">
        <v>66</v>
      </c>
      <c r="F972" s="81" t="s">
        <v>35</v>
      </c>
    </row>
    <row r="973" spans="1:6" x14ac:dyDescent="0.25">
      <c r="A973" s="14">
        <v>46144.619444444441</v>
      </c>
      <c r="B973" s="81" t="s">
        <v>149</v>
      </c>
      <c r="C973" s="81" t="s">
        <v>207</v>
      </c>
      <c r="D973" s="81" t="s">
        <v>168</v>
      </c>
      <c r="E973" s="81" t="s">
        <v>66</v>
      </c>
      <c r="F973" s="81" t="s">
        <v>35</v>
      </c>
    </row>
    <row r="974" spans="1:6" x14ac:dyDescent="0.25">
      <c r="A974" s="14">
        <v>46144.619444444441</v>
      </c>
      <c r="B974" s="81" t="s">
        <v>149</v>
      </c>
      <c r="C974" s="81" t="s">
        <v>207</v>
      </c>
      <c r="D974" s="81" t="s">
        <v>205</v>
      </c>
      <c r="E974" s="81" t="s">
        <v>66</v>
      </c>
      <c r="F974" s="81" t="s">
        <v>35</v>
      </c>
    </row>
    <row r="975" spans="1:6" x14ac:dyDescent="0.25">
      <c r="A975" s="14">
        <v>46144.619444444441</v>
      </c>
      <c r="B975" s="81" t="s">
        <v>149</v>
      </c>
      <c r="C975" s="81" t="s">
        <v>207</v>
      </c>
      <c r="D975" s="81" t="s">
        <v>205</v>
      </c>
      <c r="E975" s="81" t="s">
        <v>66</v>
      </c>
      <c r="F975" s="81" t="s">
        <v>35</v>
      </c>
    </row>
    <row r="976" spans="1:6" x14ac:dyDescent="0.25">
      <c r="A976" s="14">
        <v>46144.619444444441</v>
      </c>
      <c r="B976" s="81" t="s">
        <v>149</v>
      </c>
      <c r="C976" s="81" t="s">
        <v>207</v>
      </c>
      <c r="D976" s="81" t="s">
        <v>205</v>
      </c>
      <c r="E976" s="81" t="s">
        <v>66</v>
      </c>
      <c r="F976" s="81" t="s">
        <v>35</v>
      </c>
    </row>
    <row r="977" spans="1:6" x14ac:dyDescent="0.25">
      <c r="A977" s="14">
        <v>46144.619444444441</v>
      </c>
      <c r="B977" s="81" t="s">
        <v>149</v>
      </c>
      <c r="C977" s="81" t="s">
        <v>207</v>
      </c>
      <c r="D977" s="81" t="s">
        <v>205</v>
      </c>
      <c r="E977" s="81" t="s">
        <v>66</v>
      </c>
      <c r="F977" s="81" t="s">
        <v>35</v>
      </c>
    </row>
    <row r="978" spans="1:6" x14ac:dyDescent="0.25">
      <c r="A978" s="14">
        <v>46144.619444444441</v>
      </c>
      <c r="B978" s="81" t="s">
        <v>149</v>
      </c>
      <c r="C978" s="81" t="s">
        <v>208</v>
      </c>
      <c r="D978" s="81" t="s">
        <v>205</v>
      </c>
      <c r="E978" s="81" t="s">
        <v>66</v>
      </c>
      <c r="F978" s="81" t="s">
        <v>35</v>
      </c>
    </row>
    <row r="979" spans="1:6" x14ac:dyDescent="0.25">
      <c r="A979" s="14">
        <v>46144.619444444441</v>
      </c>
      <c r="B979" s="81" t="s">
        <v>149</v>
      </c>
      <c r="C979" s="81" t="s">
        <v>207</v>
      </c>
      <c r="D979" s="81" t="s">
        <v>205</v>
      </c>
      <c r="E979" s="81" t="s">
        <v>66</v>
      </c>
      <c r="F979" s="81" t="s">
        <v>35</v>
      </c>
    </row>
    <row r="980" spans="1:6" x14ac:dyDescent="0.25">
      <c r="A980" s="14">
        <v>46144.619444444441</v>
      </c>
      <c r="B980" s="81" t="s">
        <v>149</v>
      </c>
      <c r="C980" s="81" t="s">
        <v>207</v>
      </c>
      <c r="D980" s="81" t="s">
        <v>205</v>
      </c>
      <c r="E980" s="81" t="s">
        <v>66</v>
      </c>
      <c r="F980" s="81" t="s">
        <v>35</v>
      </c>
    </row>
    <row r="981" spans="1:6" x14ac:dyDescent="0.25">
      <c r="A981" s="14">
        <v>46144.619444444441</v>
      </c>
      <c r="B981" s="81" t="s">
        <v>149</v>
      </c>
      <c r="C981" s="81" t="s">
        <v>207</v>
      </c>
      <c r="D981" s="81" t="s">
        <v>205</v>
      </c>
      <c r="E981" s="81" t="s">
        <v>66</v>
      </c>
      <c r="F981" s="81" t="s">
        <v>35</v>
      </c>
    </row>
    <row r="982" spans="1:6" x14ac:dyDescent="0.25">
      <c r="A982" s="14">
        <v>46144.619444444441</v>
      </c>
      <c r="B982" s="81" t="s">
        <v>149</v>
      </c>
      <c r="C982" s="81" t="s">
        <v>207</v>
      </c>
      <c r="D982" s="81" t="s">
        <v>205</v>
      </c>
      <c r="E982" s="81" t="s">
        <v>66</v>
      </c>
      <c r="F982" s="81" t="s">
        <v>35</v>
      </c>
    </row>
    <row r="983" spans="1:6" x14ac:dyDescent="0.25">
      <c r="A983" s="14">
        <v>46144.619444444441</v>
      </c>
      <c r="B983" s="81" t="s">
        <v>149</v>
      </c>
      <c r="C983" s="81" t="s">
        <v>207</v>
      </c>
      <c r="D983" s="81" t="s">
        <v>205</v>
      </c>
      <c r="E983" s="81" t="s">
        <v>66</v>
      </c>
      <c r="F983" s="81" t="s">
        <v>35</v>
      </c>
    </row>
    <row r="984" spans="1:6" x14ac:dyDescent="0.25">
      <c r="A984" s="14">
        <v>46144.619444444441</v>
      </c>
      <c r="B984" s="81" t="s">
        <v>149</v>
      </c>
      <c r="C984" s="81" t="s">
        <v>207</v>
      </c>
      <c r="D984" s="81" t="s">
        <v>205</v>
      </c>
      <c r="E984" s="81" t="s">
        <v>66</v>
      </c>
      <c r="F984" s="81" t="s">
        <v>35</v>
      </c>
    </row>
    <row r="985" spans="1:6" x14ac:dyDescent="0.25">
      <c r="A985" s="14">
        <v>46144.619444444441</v>
      </c>
      <c r="B985" s="81" t="s">
        <v>149</v>
      </c>
      <c r="C985" s="81" t="s">
        <v>207</v>
      </c>
      <c r="D985" s="81" t="s">
        <v>205</v>
      </c>
      <c r="E985" s="81" t="s">
        <v>66</v>
      </c>
      <c r="F985" s="81" t="s">
        <v>35</v>
      </c>
    </row>
    <row r="986" spans="1:6" x14ac:dyDescent="0.25">
      <c r="A986" s="14">
        <v>46144.619444444441</v>
      </c>
      <c r="B986" s="81" t="s">
        <v>149</v>
      </c>
      <c r="C986" s="81" t="s">
        <v>207</v>
      </c>
      <c r="D986" s="81" t="s">
        <v>205</v>
      </c>
      <c r="E986" s="81" t="s">
        <v>66</v>
      </c>
      <c r="F986" s="81" t="s">
        <v>35</v>
      </c>
    </row>
    <row r="987" spans="1:6" x14ac:dyDescent="0.25">
      <c r="A987" s="14">
        <v>46144.619444444441</v>
      </c>
      <c r="B987" s="81" t="s">
        <v>149</v>
      </c>
      <c r="C987" s="81" t="s">
        <v>183</v>
      </c>
      <c r="D987" s="81" t="s">
        <v>193</v>
      </c>
      <c r="E987" s="81" t="s">
        <v>50</v>
      </c>
      <c r="F987" s="81" t="s">
        <v>1</v>
      </c>
    </row>
    <row r="988" spans="1:6" x14ac:dyDescent="0.25">
      <c r="A988" s="14">
        <v>46144.619444444441</v>
      </c>
      <c r="B988" s="81" t="s">
        <v>149</v>
      </c>
      <c r="C988" s="81" t="s">
        <v>207</v>
      </c>
      <c r="D988" s="81" t="s">
        <v>231</v>
      </c>
      <c r="E988" s="81" t="s">
        <v>66</v>
      </c>
      <c r="F988" s="81" t="s">
        <v>35</v>
      </c>
    </row>
    <row r="989" spans="1:6" x14ac:dyDescent="0.25">
      <c r="A989" s="14">
        <v>46144.619444444441</v>
      </c>
      <c r="B989" s="81" t="s">
        <v>149</v>
      </c>
      <c r="C989" s="81" t="s">
        <v>207</v>
      </c>
      <c r="D989" s="81" t="s">
        <v>231</v>
      </c>
      <c r="E989" s="81" t="s">
        <v>66</v>
      </c>
      <c r="F989" s="81" t="s">
        <v>35</v>
      </c>
    </row>
    <row r="990" spans="1:6" x14ac:dyDescent="0.25">
      <c r="A990" s="14">
        <v>46144.619444444441</v>
      </c>
      <c r="B990" s="81" t="s">
        <v>149</v>
      </c>
      <c r="C990" s="81" t="s">
        <v>207</v>
      </c>
      <c r="D990" s="81" t="s">
        <v>231</v>
      </c>
      <c r="E990" s="81" t="s">
        <v>66</v>
      </c>
      <c r="F990" s="81" t="s">
        <v>35</v>
      </c>
    </row>
    <row r="991" spans="1:6" x14ac:dyDescent="0.25">
      <c r="A991" s="14">
        <v>46144.619444444441</v>
      </c>
      <c r="B991" s="81" t="s">
        <v>149</v>
      </c>
      <c r="C991" s="81" t="s">
        <v>207</v>
      </c>
      <c r="D991" s="81" t="s">
        <v>231</v>
      </c>
      <c r="E991" s="81" t="s">
        <v>66</v>
      </c>
      <c r="F991" s="81" t="s">
        <v>35</v>
      </c>
    </row>
    <row r="992" spans="1:6" x14ac:dyDescent="0.25">
      <c r="A992" s="14">
        <v>46144.619444444441</v>
      </c>
      <c r="B992" s="81" t="s">
        <v>149</v>
      </c>
      <c r="C992" s="81" t="s">
        <v>177</v>
      </c>
      <c r="D992" s="81" t="s">
        <v>164</v>
      </c>
      <c r="E992" s="81" t="s">
        <v>50</v>
      </c>
      <c r="F992" s="81" t="s">
        <v>1</v>
      </c>
    </row>
    <row r="993" spans="1:6" x14ac:dyDescent="0.25">
      <c r="A993" s="14">
        <v>46144.619444444441</v>
      </c>
      <c r="B993" s="81" t="s">
        <v>149</v>
      </c>
      <c r="C993" s="81" t="s">
        <v>208</v>
      </c>
      <c r="D993" s="81" t="s">
        <v>231</v>
      </c>
      <c r="E993" s="81" t="s">
        <v>66</v>
      </c>
      <c r="F993" s="81" t="s">
        <v>35</v>
      </c>
    </row>
    <row r="994" spans="1:6" x14ac:dyDescent="0.25">
      <c r="A994" s="14">
        <v>46144.619444444441</v>
      </c>
      <c r="B994" s="81" t="s">
        <v>149</v>
      </c>
      <c r="C994" s="81" t="s">
        <v>171</v>
      </c>
      <c r="D994" s="81" t="s">
        <v>252</v>
      </c>
      <c r="E994" s="81" t="s">
        <v>52</v>
      </c>
      <c r="F994" s="81" t="s">
        <v>0</v>
      </c>
    </row>
    <row r="995" spans="1:6" x14ac:dyDescent="0.25">
      <c r="A995" s="14">
        <v>46144.619444444441</v>
      </c>
      <c r="B995" s="81" t="s">
        <v>149</v>
      </c>
      <c r="C995" s="81" t="s">
        <v>192</v>
      </c>
      <c r="D995" s="81" t="s">
        <v>252</v>
      </c>
      <c r="E995" s="81" t="s">
        <v>60</v>
      </c>
      <c r="F995" s="81" t="s">
        <v>28</v>
      </c>
    </row>
    <row r="996" spans="1:6" x14ac:dyDescent="0.25">
      <c r="A996" s="14">
        <v>46144.619444444441</v>
      </c>
      <c r="B996" s="81" t="s">
        <v>149</v>
      </c>
      <c r="C996" s="81" t="s">
        <v>207</v>
      </c>
      <c r="D996" s="81" t="s">
        <v>156</v>
      </c>
      <c r="E996" s="81" t="s">
        <v>66</v>
      </c>
      <c r="F996" s="81" t="s">
        <v>35</v>
      </c>
    </row>
    <row r="997" spans="1:6" x14ac:dyDescent="0.25">
      <c r="A997" s="14">
        <v>46144.619444444441</v>
      </c>
      <c r="B997" s="81" t="s">
        <v>149</v>
      </c>
      <c r="C997" s="81" t="s">
        <v>207</v>
      </c>
      <c r="D997" s="81" t="s">
        <v>156</v>
      </c>
      <c r="E997" s="81" t="s">
        <v>66</v>
      </c>
      <c r="F997" s="81" t="s">
        <v>35</v>
      </c>
    </row>
    <row r="998" spans="1:6" x14ac:dyDescent="0.25">
      <c r="A998" s="14">
        <v>46144.619444444441</v>
      </c>
      <c r="B998" s="81" t="s">
        <v>149</v>
      </c>
      <c r="C998" s="81" t="s">
        <v>207</v>
      </c>
      <c r="D998" s="81" t="s">
        <v>156</v>
      </c>
      <c r="E998" s="81" t="s">
        <v>66</v>
      </c>
      <c r="F998" s="81" t="s">
        <v>35</v>
      </c>
    </row>
    <row r="999" spans="1:6" x14ac:dyDescent="0.25">
      <c r="A999" s="14">
        <v>46144.619444444441</v>
      </c>
      <c r="B999" s="81" t="s">
        <v>149</v>
      </c>
      <c r="C999" s="81" t="s">
        <v>207</v>
      </c>
      <c r="D999" s="81" t="s">
        <v>156</v>
      </c>
      <c r="E999" s="81" t="s">
        <v>66</v>
      </c>
      <c r="F999" s="81" t="s">
        <v>35</v>
      </c>
    </row>
    <row r="1000" spans="1:6" x14ac:dyDescent="0.25">
      <c r="A1000" s="14">
        <v>46144.619444444441</v>
      </c>
      <c r="B1000" s="81" t="s">
        <v>149</v>
      </c>
      <c r="C1000" s="81" t="s">
        <v>207</v>
      </c>
      <c r="D1000" s="81" t="s">
        <v>156</v>
      </c>
      <c r="E1000" s="81" t="s">
        <v>66</v>
      </c>
      <c r="F1000" s="81" t="s">
        <v>35</v>
      </c>
    </row>
    <row r="1001" spans="1:6" x14ac:dyDescent="0.25">
      <c r="A1001" s="14">
        <v>46144.619444444441</v>
      </c>
      <c r="B1001" s="81" t="s">
        <v>149</v>
      </c>
      <c r="C1001" s="81" t="s">
        <v>207</v>
      </c>
      <c r="D1001" s="81" t="s">
        <v>156</v>
      </c>
      <c r="E1001" s="81" t="s">
        <v>66</v>
      </c>
      <c r="F1001" s="81" t="s">
        <v>35</v>
      </c>
    </row>
    <row r="1002" spans="1:6" x14ac:dyDescent="0.25">
      <c r="A1002" s="14">
        <v>46144.619444444441</v>
      </c>
      <c r="B1002" s="81" t="s">
        <v>149</v>
      </c>
      <c r="C1002" s="81" t="s">
        <v>207</v>
      </c>
      <c r="D1002" s="81" t="s">
        <v>156</v>
      </c>
      <c r="E1002" s="81" t="s">
        <v>66</v>
      </c>
      <c r="F1002" s="81" t="s">
        <v>35</v>
      </c>
    </row>
    <row r="1003" spans="1:6" x14ac:dyDescent="0.25">
      <c r="A1003" s="14">
        <v>46144.619444444441</v>
      </c>
      <c r="B1003" s="81" t="s">
        <v>149</v>
      </c>
      <c r="C1003" s="81" t="s">
        <v>207</v>
      </c>
      <c r="D1003" s="81" t="s">
        <v>156</v>
      </c>
      <c r="E1003" s="81" t="s">
        <v>66</v>
      </c>
      <c r="F1003" s="81" t="s">
        <v>35</v>
      </c>
    </row>
    <row r="1004" spans="1:6" x14ac:dyDescent="0.25">
      <c r="A1004" s="14">
        <v>46144.619444444441</v>
      </c>
      <c r="B1004" s="81" t="s">
        <v>149</v>
      </c>
      <c r="C1004" s="81" t="s">
        <v>158</v>
      </c>
      <c r="D1004" s="81" t="s">
        <v>157</v>
      </c>
      <c r="E1004" s="81" t="s">
        <v>49</v>
      </c>
      <c r="F1004" s="81" t="s">
        <v>2</v>
      </c>
    </row>
    <row r="1005" spans="1:6" x14ac:dyDescent="0.25">
      <c r="A1005" s="14">
        <v>46144.619444444441</v>
      </c>
      <c r="B1005" s="81" t="s">
        <v>149</v>
      </c>
      <c r="C1005" s="81" t="s">
        <v>192</v>
      </c>
      <c r="D1005" s="81" t="s">
        <v>234</v>
      </c>
      <c r="E1005" s="81" t="s">
        <v>60</v>
      </c>
      <c r="F1005" s="81" t="s">
        <v>28</v>
      </c>
    </row>
    <row r="1006" spans="1:6" x14ac:dyDescent="0.25">
      <c r="A1006" s="14">
        <v>46144.619444444441</v>
      </c>
      <c r="B1006" s="81" t="s">
        <v>149</v>
      </c>
      <c r="C1006" s="81" t="s">
        <v>184</v>
      </c>
      <c r="D1006" s="81" t="s">
        <v>231</v>
      </c>
      <c r="E1006" s="81" t="s">
        <v>52</v>
      </c>
      <c r="F1006" s="81" t="s">
        <v>0</v>
      </c>
    </row>
    <row r="1007" spans="1:6" x14ac:dyDescent="0.25">
      <c r="A1007" s="14">
        <v>46144.619444444441</v>
      </c>
      <c r="B1007" s="81" t="s">
        <v>149</v>
      </c>
      <c r="C1007" s="81" t="s">
        <v>183</v>
      </c>
      <c r="D1007" s="81" t="s">
        <v>240</v>
      </c>
      <c r="E1007" s="81" t="s">
        <v>50</v>
      </c>
      <c r="F1007" s="81" t="s">
        <v>1</v>
      </c>
    </row>
    <row r="1008" spans="1:6" x14ac:dyDescent="0.25">
      <c r="A1008" s="14">
        <v>46144.619444444441</v>
      </c>
      <c r="B1008" s="81" t="s">
        <v>149</v>
      </c>
      <c r="C1008" s="81" t="s">
        <v>190</v>
      </c>
      <c r="D1008" s="81" t="s">
        <v>234</v>
      </c>
      <c r="E1008" s="81" t="s">
        <v>49</v>
      </c>
      <c r="F1008" s="81" t="s">
        <v>2</v>
      </c>
    </row>
    <row r="1009" spans="1:6" x14ac:dyDescent="0.25">
      <c r="A1009" s="14">
        <v>46144.619444444441</v>
      </c>
      <c r="B1009" s="81" t="s">
        <v>149</v>
      </c>
      <c r="C1009" s="81" t="s">
        <v>183</v>
      </c>
      <c r="D1009" s="81" t="s">
        <v>231</v>
      </c>
      <c r="E1009" s="81" t="s">
        <v>52</v>
      </c>
      <c r="F1009" s="81" t="s">
        <v>0</v>
      </c>
    </row>
    <row r="1010" spans="1:6" x14ac:dyDescent="0.25">
      <c r="A1010" s="14">
        <v>46144.619444444441</v>
      </c>
      <c r="B1010" s="81" t="s">
        <v>195</v>
      </c>
      <c r="C1010" s="81" t="s">
        <v>198</v>
      </c>
      <c r="D1010" s="81" t="s">
        <v>254</v>
      </c>
      <c r="E1010" s="81" t="s">
        <v>24</v>
      </c>
      <c r="F1010" s="81" t="s">
        <v>24</v>
      </c>
    </row>
    <row r="1011" spans="1:6" x14ac:dyDescent="0.25">
      <c r="A1011" s="14">
        <v>46144.619444444441</v>
      </c>
      <c r="B1011" s="81" t="s">
        <v>195</v>
      </c>
      <c r="C1011" s="81" t="s">
        <v>198</v>
      </c>
      <c r="D1011" s="81" t="s">
        <v>254</v>
      </c>
      <c r="E1011" s="81" t="s">
        <v>24</v>
      </c>
      <c r="F1011" s="81" t="s">
        <v>24</v>
      </c>
    </row>
    <row r="1012" spans="1:6" x14ac:dyDescent="0.25">
      <c r="A1012" s="14">
        <v>46144.619444444441</v>
      </c>
      <c r="B1012" s="81" t="s">
        <v>195</v>
      </c>
      <c r="C1012" s="81" t="s">
        <v>198</v>
      </c>
      <c r="D1012" s="81" t="s">
        <v>254</v>
      </c>
      <c r="E1012" s="81" t="s">
        <v>24</v>
      </c>
      <c r="F1012" s="81" t="s">
        <v>24</v>
      </c>
    </row>
    <row r="1013" spans="1:6" x14ac:dyDescent="0.25">
      <c r="A1013" s="14">
        <v>46144.619444444441</v>
      </c>
      <c r="B1013" s="81" t="s">
        <v>195</v>
      </c>
      <c r="C1013" s="81" t="s">
        <v>209</v>
      </c>
      <c r="D1013" s="81" t="s">
        <v>254</v>
      </c>
      <c r="E1013" s="81" t="s">
        <v>24</v>
      </c>
      <c r="F1013" s="81" t="s">
        <v>24</v>
      </c>
    </row>
    <row r="1014" spans="1:6" x14ac:dyDescent="0.25">
      <c r="A1014" s="14">
        <v>46144.619444444441</v>
      </c>
      <c r="B1014" s="81" t="s">
        <v>195</v>
      </c>
      <c r="C1014" s="81" t="s">
        <v>209</v>
      </c>
      <c r="D1014" s="81" t="s">
        <v>254</v>
      </c>
      <c r="E1014" s="81" t="s">
        <v>24</v>
      </c>
      <c r="F1014" s="81" t="s">
        <v>24</v>
      </c>
    </row>
    <row r="1015" spans="1:6" x14ac:dyDescent="0.25">
      <c r="A1015" s="14">
        <v>46144.619444444441</v>
      </c>
      <c r="B1015" s="81" t="s">
        <v>195</v>
      </c>
      <c r="C1015" s="81" t="s">
        <v>209</v>
      </c>
      <c r="D1015" s="81" t="s">
        <v>254</v>
      </c>
      <c r="E1015" s="81" t="s">
        <v>24</v>
      </c>
      <c r="F1015" s="81" t="s">
        <v>24</v>
      </c>
    </row>
    <row r="1016" spans="1:6" x14ac:dyDescent="0.25">
      <c r="A1016" s="14">
        <v>46144.803472222222</v>
      </c>
      <c r="B1016" s="81" t="s">
        <v>149</v>
      </c>
      <c r="C1016" s="81" t="s">
        <v>173</v>
      </c>
      <c r="D1016" s="81" t="s">
        <v>157</v>
      </c>
      <c r="E1016" s="81" t="s">
        <v>50</v>
      </c>
      <c r="F1016" s="81" t="s">
        <v>1</v>
      </c>
    </row>
    <row r="1017" spans="1:6" x14ac:dyDescent="0.25">
      <c r="A1017" s="14">
        <v>46144.803472222222</v>
      </c>
      <c r="B1017" s="81" t="s">
        <v>149</v>
      </c>
      <c r="C1017" s="81" t="s">
        <v>173</v>
      </c>
      <c r="D1017" s="81" t="s">
        <v>247</v>
      </c>
      <c r="E1017" s="81" t="s">
        <v>50</v>
      </c>
      <c r="F1017" s="81" t="s">
        <v>1</v>
      </c>
    </row>
    <row r="1018" spans="1:6" x14ac:dyDescent="0.25">
      <c r="A1018" s="14">
        <v>46144.803472222222</v>
      </c>
      <c r="B1018" s="81" t="s">
        <v>149</v>
      </c>
      <c r="C1018" s="81" t="s">
        <v>151</v>
      </c>
      <c r="D1018" s="81" t="s">
        <v>153</v>
      </c>
      <c r="E1018" s="81" t="s">
        <v>49</v>
      </c>
      <c r="F1018" s="81" t="s">
        <v>2</v>
      </c>
    </row>
    <row r="1019" spans="1:6" x14ac:dyDescent="0.25">
      <c r="A1019" s="14">
        <v>46144.803472222222</v>
      </c>
      <c r="B1019" s="81" t="s">
        <v>149</v>
      </c>
      <c r="C1019" s="81" t="s">
        <v>213</v>
      </c>
      <c r="D1019" s="81" t="s">
        <v>168</v>
      </c>
      <c r="E1019" s="81" t="s">
        <v>64</v>
      </c>
      <c r="F1019" s="81" t="s">
        <v>98</v>
      </c>
    </row>
    <row r="1020" spans="1:6" x14ac:dyDescent="0.25">
      <c r="A1020" s="14">
        <v>46144.803472222222</v>
      </c>
      <c r="B1020" s="81" t="s">
        <v>149</v>
      </c>
      <c r="C1020" s="81" t="s">
        <v>171</v>
      </c>
      <c r="D1020" s="81" t="s">
        <v>168</v>
      </c>
      <c r="E1020" s="81" t="s">
        <v>49</v>
      </c>
      <c r="F1020" s="81" t="s">
        <v>2</v>
      </c>
    </row>
    <row r="1021" spans="1:6" x14ac:dyDescent="0.25">
      <c r="A1021" s="14">
        <v>46144.803472222222</v>
      </c>
      <c r="B1021" s="81" t="s">
        <v>149</v>
      </c>
      <c r="C1021" s="81" t="s">
        <v>184</v>
      </c>
      <c r="D1021" s="81" t="s">
        <v>168</v>
      </c>
      <c r="E1021" s="81" t="s">
        <v>49</v>
      </c>
      <c r="F1021" s="81" t="s">
        <v>2</v>
      </c>
    </row>
    <row r="1022" spans="1:6" x14ac:dyDescent="0.25">
      <c r="A1022" s="14">
        <v>46144.803472222222</v>
      </c>
      <c r="B1022" s="81" t="s">
        <v>149</v>
      </c>
      <c r="C1022" s="81" t="s">
        <v>175</v>
      </c>
      <c r="D1022" s="81" t="s">
        <v>168</v>
      </c>
      <c r="E1022" s="81" t="s">
        <v>49</v>
      </c>
      <c r="F1022" s="81" t="s">
        <v>2</v>
      </c>
    </row>
    <row r="1023" spans="1:6" x14ac:dyDescent="0.25">
      <c r="A1023" s="14">
        <v>46144.803472222222</v>
      </c>
      <c r="B1023" s="81" t="s">
        <v>149</v>
      </c>
      <c r="C1023" s="81" t="s">
        <v>217</v>
      </c>
      <c r="D1023" s="81" t="s">
        <v>168</v>
      </c>
      <c r="E1023" s="81" t="s">
        <v>64</v>
      </c>
      <c r="F1023" s="81" t="s">
        <v>98</v>
      </c>
    </row>
    <row r="1024" spans="1:6" x14ac:dyDescent="0.25">
      <c r="A1024" s="14">
        <v>46144.803472222222</v>
      </c>
      <c r="B1024" s="81" t="s">
        <v>149</v>
      </c>
      <c r="C1024" s="81" t="s">
        <v>177</v>
      </c>
      <c r="D1024" s="81" t="s">
        <v>168</v>
      </c>
      <c r="E1024" s="81" t="s">
        <v>49</v>
      </c>
      <c r="F1024" s="81" t="s">
        <v>2</v>
      </c>
    </row>
    <row r="1025" spans="1:6" x14ac:dyDescent="0.25">
      <c r="A1025" s="14">
        <v>46144.803472222222</v>
      </c>
      <c r="B1025" s="81" t="s">
        <v>149</v>
      </c>
      <c r="C1025" s="81" t="s">
        <v>177</v>
      </c>
      <c r="D1025" s="81" t="s">
        <v>168</v>
      </c>
      <c r="E1025" s="81" t="s">
        <v>49</v>
      </c>
      <c r="F1025" s="81" t="s">
        <v>2</v>
      </c>
    </row>
    <row r="1026" spans="1:6" x14ac:dyDescent="0.25">
      <c r="A1026" s="14">
        <v>46144.803472222222</v>
      </c>
      <c r="B1026" s="81" t="s">
        <v>149</v>
      </c>
      <c r="C1026" s="81" t="s">
        <v>177</v>
      </c>
      <c r="D1026" s="81" t="s">
        <v>168</v>
      </c>
      <c r="E1026" s="81" t="s">
        <v>50</v>
      </c>
      <c r="F1026" s="81" t="s">
        <v>1</v>
      </c>
    </row>
    <row r="1027" spans="1:6" x14ac:dyDescent="0.25">
      <c r="A1027" s="14">
        <v>46144.803472222222</v>
      </c>
      <c r="B1027" s="81" t="s">
        <v>149</v>
      </c>
      <c r="C1027" s="81" t="s">
        <v>177</v>
      </c>
      <c r="D1027" s="81" t="s">
        <v>168</v>
      </c>
      <c r="E1027" s="81" t="s">
        <v>48</v>
      </c>
      <c r="F1027" s="81" t="s">
        <v>3</v>
      </c>
    </row>
    <row r="1028" spans="1:6" x14ac:dyDescent="0.25">
      <c r="A1028" s="14">
        <v>46144.803472222222</v>
      </c>
      <c r="B1028" s="81" t="s">
        <v>149</v>
      </c>
      <c r="C1028" s="81" t="s">
        <v>151</v>
      </c>
      <c r="D1028" s="81" t="s">
        <v>168</v>
      </c>
      <c r="E1028" s="81" t="s">
        <v>48</v>
      </c>
      <c r="F1028" s="81" t="s">
        <v>3</v>
      </c>
    </row>
    <row r="1029" spans="1:6" x14ac:dyDescent="0.25">
      <c r="A1029" s="14">
        <v>46144.803472222222</v>
      </c>
      <c r="B1029" s="81" t="s">
        <v>149</v>
      </c>
      <c r="C1029" s="81" t="s">
        <v>176</v>
      </c>
      <c r="D1029" s="81" t="s">
        <v>254</v>
      </c>
      <c r="E1029" s="81" t="s">
        <v>70</v>
      </c>
      <c r="F1029" s="81" t="s">
        <v>15</v>
      </c>
    </row>
    <row r="1030" spans="1:6" x14ac:dyDescent="0.25">
      <c r="A1030" s="14">
        <v>46144.803472222222</v>
      </c>
      <c r="B1030" s="81" t="s">
        <v>149</v>
      </c>
      <c r="C1030" s="81" t="s">
        <v>183</v>
      </c>
      <c r="D1030" s="81" t="s">
        <v>168</v>
      </c>
      <c r="E1030" s="81" t="s">
        <v>49</v>
      </c>
      <c r="F1030" s="81" t="s">
        <v>2</v>
      </c>
    </row>
    <row r="1031" spans="1:6" x14ac:dyDescent="0.25">
      <c r="A1031" s="14">
        <v>46144.803472222222</v>
      </c>
      <c r="B1031" s="81" t="s">
        <v>149</v>
      </c>
      <c r="C1031" s="81" t="s">
        <v>176</v>
      </c>
      <c r="D1031" s="81" t="s">
        <v>231</v>
      </c>
      <c r="E1031" s="81" t="s">
        <v>70</v>
      </c>
      <c r="F1031" s="81" t="s">
        <v>15</v>
      </c>
    </row>
    <row r="1032" spans="1:6" x14ac:dyDescent="0.25">
      <c r="A1032" s="14">
        <v>46144.803472222222</v>
      </c>
      <c r="B1032" s="81" t="s">
        <v>149</v>
      </c>
      <c r="C1032" s="81" t="s">
        <v>171</v>
      </c>
      <c r="D1032" s="81" t="s">
        <v>212</v>
      </c>
      <c r="E1032" s="81" t="s">
        <v>49</v>
      </c>
      <c r="F1032" s="81" t="s">
        <v>2</v>
      </c>
    </row>
    <row r="1033" spans="1:6" x14ac:dyDescent="0.25">
      <c r="A1033" s="14">
        <v>46144.803472222222</v>
      </c>
      <c r="B1033" s="81" t="s">
        <v>149</v>
      </c>
      <c r="C1033" s="81" t="s">
        <v>175</v>
      </c>
      <c r="D1033" s="81" t="s">
        <v>212</v>
      </c>
      <c r="E1033" s="81" t="s">
        <v>50</v>
      </c>
      <c r="F1033" s="81" t="s">
        <v>1</v>
      </c>
    </row>
    <row r="1034" spans="1:6" x14ac:dyDescent="0.25">
      <c r="A1034" s="14">
        <v>46144.803472222222</v>
      </c>
      <c r="B1034" s="81" t="s">
        <v>149</v>
      </c>
      <c r="C1034" s="81" t="s">
        <v>176</v>
      </c>
      <c r="D1034" s="81" t="s">
        <v>254</v>
      </c>
      <c r="E1034" s="81" t="s">
        <v>70</v>
      </c>
      <c r="F1034" s="81" t="s">
        <v>15</v>
      </c>
    </row>
    <row r="1035" spans="1:6" x14ac:dyDescent="0.25">
      <c r="A1035" s="14">
        <v>46144.803472222222</v>
      </c>
      <c r="B1035" s="81" t="s">
        <v>149</v>
      </c>
      <c r="C1035" s="81" t="s">
        <v>151</v>
      </c>
      <c r="D1035" s="81" t="s">
        <v>163</v>
      </c>
      <c r="E1035" s="81" t="s">
        <v>50</v>
      </c>
      <c r="F1035" s="81" t="s">
        <v>1</v>
      </c>
    </row>
    <row r="1036" spans="1:6" x14ac:dyDescent="0.25">
      <c r="A1036" s="14">
        <v>46144.803472222222</v>
      </c>
      <c r="B1036" s="81" t="s">
        <v>149</v>
      </c>
      <c r="C1036" s="81" t="s">
        <v>182</v>
      </c>
      <c r="D1036" s="81" t="s">
        <v>250</v>
      </c>
      <c r="E1036" s="81" t="s">
        <v>49</v>
      </c>
      <c r="F1036" s="81" t="s">
        <v>2</v>
      </c>
    </row>
    <row r="1037" spans="1:6" x14ac:dyDescent="0.25">
      <c r="A1037" s="14">
        <v>46144.803472222222</v>
      </c>
      <c r="B1037" s="81" t="s">
        <v>149</v>
      </c>
      <c r="C1037" s="81" t="s">
        <v>187</v>
      </c>
      <c r="D1037" s="81" t="s">
        <v>231</v>
      </c>
      <c r="E1037" s="81" t="s">
        <v>75</v>
      </c>
      <c r="F1037" s="81" t="s">
        <v>93</v>
      </c>
    </row>
    <row r="1038" spans="1:6" x14ac:dyDescent="0.25">
      <c r="A1038" s="14">
        <v>46144.803472222222</v>
      </c>
      <c r="B1038" s="81" t="s">
        <v>149</v>
      </c>
      <c r="C1038" s="81" t="s">
        <v>184</v>
      </c>
      <c r="D1038" s="81" t="s">
        <v>240</v>
      </c>
      <c r="E1038" s="81" t="s">
        <v>52</v>
      </c>
      <c r="F1038" s="81" t="s">
        <v>0</v>
      </c>
    </row>
    <row r="1039" spans="1:6" x14ac:dyDescent="0.25">
      <c r="A1039" s="14">
        <v>46144.803472222222</v>
      </c>
      <c r="B1039" s="81" t="s">
        <v>149</v>
      </c>
      <c r="C1039" s="81" t="s">
        <v>185</v>
      </c>
      <c r="D1039" s="81" t="s">
        <v>163</v>
      </c>
      <c r="E1039" s="81" t="s">
        <v>50</v>
      </c>
      <c r="F1039" s="81" t="s">
        <v>1</v>
      </c>
    </row>
    <row r="1040" spans="1:6" x14ac:dyDescent="0.25">
      <c r="A1040" s="14">
        <v>46144.803472222222</v>
      </c>
      <c r="B1040" s="81" t="s">
        <v>149</v>
      </c>
      <c r="C1040" s="81" t="s">
        <v>176</v>
      </c>
      <c r="D1040" s="81" t="s">
        <v>167</v>
      </c>
      <c r="E1040" s="81" t="s">
        <v>70</v>
      </c>
      <c r="F1040" s="81" t="s">
        <v>15</v>
      </c>
    </row>
    <row r="1041" spans="1:6" x14ac:dyDescent="0.25">
      <c r="A1041" s="14">
        <v>46144.803472222222</v>
      </c>
      <c r="B1041" s="81" t="s">
        <v>149</v>
      </c>
      <c r="C1041" s="81" t="s">
        <v>158</v>
      </c>
      <c r="D1041" s="81" t="s">
        <v>259</v>
      </c>
      <c r="E1041" s="81" t="s">
        <v>50</v>
      </c>
      <c r="F1041" s="81" t="s">
        <v>1</v>
      </c>
    </row>
    <row r="1042" spans="1:6" x14ac:dyDescent="0.25">
      <c r="A1042" s="14">
        <v>46144.803472222222</v>
      </c>
      <c r="B1042" s="81" t="s">
        <v>149</v>
      </c>
      <c r="C1042" s="81" t="s">
        <v>176</v>
      </c>
      <c r="D1042" s="81" t="s">
        <v>167</v>
      </c>
      <c r="E1042" s="81" t="s">
        <v>70</v>
      </c>
      <c r="F1042" s="81" t="s">
        <v>15</v>
      </c>
    </row>
    <row r="1043" spans="1:6" x14ac:dyDescent="0.25">
      <c r="A1043" s="14">
        <v>46144.803472222222</v>
      </c>
      <c r="B1043" s="81" t="s">
        <v>149</v>
      </c>
      <c r="C1043" s="81" t="s">
        <v>192</v>
      </c>
      <c r="D1043" s="81" t="s">
        <v>257</v>
      </c>
      <c r="E1043" s="81" t="s">
        <v>60</v>
      </c>
      <c r="F1043" s="81" t="s">
        <v>28</v>
      </c>
    </row>
    <row r="1044" spans="1:6" x14ac:dyDescent="0.25">
      <c r="A1044" s="14">
        <v>46144.803472222222</v>
      </c>
      <c r="B1044" s="81" t="s">
        <v>149</v>
      </c>
      <c r="C1044" s="81" t="s">
        <v>192</v>
      </c>
      <c r="D1044" s="81" t="s">
        <v>168</v>
      </c>
      <c r="E1044" s="81" t="s">
        <v>60</v>
      </c>
      <c r="F1044" s="81" t="s">
        <v>28</v>
      </c>
    </row>
    <row r="1045" spans="1:6" x14ac:dyDescent="0.25">
      <c r="A1045" s="14">
        <v>46144.803472222222</v>
      </c>
      <c r="B1045" s="81" t="s">
        <v>149</v>
      </c>
      <c r="C1045" s="81" t="s">
        <v>190</v>
      </c>
      <c r="D1045" s="81" t="s">
        <v>157</v>
      </c>
      <c r="E1045" s="81" t="s">
        <v>50</v>
      </c>
      <c r="F1045" s="81" t="s">
        <v>1</v>
      </c>
    </row>
    <row r="1046" spans="1:6" x14ac:dyDescent="0.25">
      <c r="A1046" s="14">
        <v>46144.803472222222</v>
      </c>
      <c r="B1046" s="81" t="s">
        <v>149</v>
      </c>
      <c r="C1046" s="81" t="s">
        <v>184</v>
      </c>
      <c r="D1046" s="81" t="s">
        <v>168</v>
      </c>
      <c r="E1046" s="81" t="s">
        <v>48</v>
      </c>
      <c r="F1046" s="81" t="s">
        <v>3</v>
      </c>
    </row>
    <row r="1047" spans="1:6" x14ac:dyDescent="0.25">
      <c r="A1047" s="14">
        <v>46144.803472222222</v>
      </c>
      <c r="B1047" s="81" t="s">
        <v>149</v>
      </c>
      <c r="C1047" s="81" t="s">
        <v>171</v>
      </c>
      <c r="D1047" s="81" t="s">
        <v>168</v>
      </c>
      <c r="E1047" s="81" t="s">
        <v>48</v>
      </c>
      <c r="F1047" s="81" t="s">
        <v>3</v>
      </c>
    </row>
    <row r="1048" spans="1:6" x14ac:dyDescent="0.25">
      <c r="A1048" s="14">
        <v>46144.803472222222</v>
      </c>
      <c r="B1048" s="81" t="s">
        <v>149</v>
      </c>
      <c r="C1048" s="81" t="s">
        <v>184</v>
      </c>
      <c r="D1048" s="81" t="s">
        <v>168</v>
      </c>
      <c r="E1048" s="81" t="s">
        <v>48</v>
      </c>
      <c r="F1048" s="81" t="s">
        <v>3</v>
      </c>
    </row>
    <row r="1049" spans="1:6" x14ac:dyDescent="0.25">
      <c r="A1049" s="14">
        <v>46144.803472222222</v>
      </c>
      <c r="B1049" s="81" t="s">
        <v>149</v>
      </c>
      <c r="C1049" s="81" t="s">
        <v>173</v>
      </c>
      <c r="D1049" s="81" t="s">
        <v>168</v>
      </c>
      <c r="E1049" s="81" t="s">
        <v>48</v>
      </c>
      <c r="F1049" s="81" t="s">
        <v>3</v>
      </c>
    </row>
    <row r="1050" spans="1:6" x14ac:dyDescent="0.25">
      <c r="A1050" s="14">
        <v>46144.803472222222</v>
      </c>
      <c r="B1050" s="81" t="s">
        <v>149</v>
      </c>
      <c r="C1050" s="81" t="s">
        <v>182</v>
      </c>
      <c r="D1050" s="81" t="s">
        <v>157</v>
      </c>
      <c r="E1050" s="81" t="s">
        <v>50</v>
      </c>
      <c r="F1050" s="81" t="s">
        <v>1</v>
      </c>
    </row>
    <row r="1051" spans="1:6" x14ac:dyDescent="0.25">
      <c r="A1051" s="14">
        <v>46144.803472222222</v>
      </c>
      <c r="B1051" s="81" t="s">
        <v>149</v>
      </c>
      <c r="C1051" s="81" t="s">
        <v>177</v>
      </c>
      <c r="D1051" s="81" t="s">
        <v>168</v>
      </c>
      <c r="E1051" s="81" t="s">
        <v>48</v>
      </c>
      <c r="F1051" s="81" t="s">
        <v>3</v>
      </c>
    </row>
    <row r="1052" spans="1:6" x14ac:dyDescent="0.25">
      <c r="A1052" s="14">
        <v>46144.803472222222</v>
      </c>
      <c r="B1052" s="81" t="s">
        <v>149</v>
      </c>
      <c r="C1052" s="81" t="s">
        <v>185</v>
      </c>
      <c r="D1052" s="81" t="s">
        <v>257</v>
      </c>
      <c r="E1052" s="81" t="s">
        <v>50</v>
      </c>
      <c r="F1052" s="81" t="s">
        <v>1</v>
      </c>
    </row>
    <row r="1053" spans="1:6" x14ac:dyDescent="0.25">
      <c r="A1053" s="14">
        <v>46144.803472222222</v>
      </c>
      <c r="B1053" s="81" t="s">
        <v>149</v>
      </c>
      <c r="C1053" s="81" t="s">
        <v>185</v>
      </c>
      <c r="D1053" s="81" t="s">
        <v>168</v>
      </c>
      <c r="E1053" s="81" t="s">
        <v>49</v>
      </c>
      <c r="F1053" s="81" t="s">
        <v>2</v>
      </c>
    </row>
    <row r="1054" spans="1:6" x14ac:dyDescent="0.25">
      <c r="A1054" s="14">
        <v>46144.803472222222</v>
      </c>
      <c r="B1054" s="81" t="s">
        <v>149</v>
      </c>
      <c r="C1054" s="81" t="s">
        <v>175</v>
      </c>
      <c r="D1054" s="81" t="s">
        <v>168</v>
      </c>
      <c r="E1054" s="81" t="s">
        <v>49</v>
      </c>
      <c r="F1054" s="81" t="s">
        <v>2</v>
      </c>
    </row>
    <row r="1055" spans="1:6" x14ac:dyDescent="0.25">
      <c r="A1055" s="14">
        <v>46144.803472222222</v>
      </c>
      <c r="B1055" s="81" t="s">
        <v>149</v>
      </c>
      <c r="C1055" s="81" t="s">
        <v>177</v>
      </c>
      <c r="D1055" s="81" t="s">
        <v>168</v>
      </c>
      <c r="E1055" s="81" t="s">
        <v>50</v>
      </c>
      <c r="F1055" s="81" t="s">
        <v>1</v>
      </c>
    </row>
    <row r="1056" spans="1:6" x14ac:dyDescent="0.25">
      <c r="A1056" s="14">
        <v>46144.803472222222</v>
      </c>
      <c r="B1056" s="81" t="s">
        <v>149</v>
      </c>
      <c r="C1056" s="81" t="s">
        <v>173</v>
      </c>
      <c r="D1056" s="81" t="s">
        <v>168</v>
      </c>
      <c r="E1056" s="81" t="s">
        <v>49</v>
      </c>
      <c r="F1056" s="81" t="s">
        <v>2</v>
      </c>
    </row>
    <row r="1057" spans="1:6" x14ac:dyDescent="0.25">
      <c r="A1057" s="14">
        <v>46144.803472222222</v>
      </c>
      <c r="B1057" s="81" t="s">
        <v>149</v>
      </c>
      <c r="C1057" s="81" t="s">
        <v>175</v>
      </c>
      <c r="D1057" s="81" t="s">
        <v>258</v>
      </c>
      <c r="E1057" s="81" t="s">
        <v>52</v>
      </c>
      <c r="F1057" s="81" t="s">
        <v>0</v>
      </c>
    </row>
    <row r="1058" spans="1:6" x14ac:dyDescent="0.25">
      <c r="A1058" s="14">
        <v>46144.803472222222</v>
      </c>
      <c r="B1058" s="81" t="s">
        <v>149</v>
      </c>
      <c r="C1058" s="81" t="s">
        <v>183</v>
      </c>
      <c r="D1058" s="81" t="s">
        <v>240</v>
      </c>
      <c r="E1058" s="81" t="s">
        <v>50</v>
      </c>
      <c r="F1058" s="81" t="s">
        <v>1</v>
      </c>
    </row>
    <row r="1059" spans="1:6" x14ac:dyDescent="0.25">
      <c r="A1059" s="14">
        <v>46144.803472222222</v>
      </c>
      <c r="B1059" s="81" t="s">
        <v>149</v>
      </c>
      <c r="C1059" s="81" t="s">
        <v>158</v>
      </c>
      <c r="D1059" s="81" t="s">
        <v>240</v>
      </c>
      <c r="E1059" s="81" t="s">
        <v>52</v>
      </c>
      <c r="F1059" s="81" t="s">
        <v>0</v>
      </c>
    </row>
    <row r="1060" spans="1:6" x14ac:dyDescent="0.25">
      <c r="A1060" s="14">
        <v>46144.803472222222</v>
      </c>
      <c r="B1060" s="81" t="s">
        <v>149</v>
      </c>
      <c r="C1060" s="81" t="s">
        <v>176</v>
      </c>
      <c r="D1060" s="81" t="s">
        <v>167</v>
      </c>
      <c r="E1060" s="81" t="s">
        <v>70</v>
      </c>
      <c r="F1060" s="81" t="s">
        <v>15</v>
      </c>
    </row>
    <row r="1061" spans="1:6" x14ac:dyDescent="0.25">
      <c r="A1061" s="14">
        <v>46144.803472222222</v>
      </c>
      <c r="B1061" s="81" t="s">
        <v>149</v>
      </c>
      <c r="C1061" s="81" t="s">
        <v>184</v>
      </c>
      <c r="D1061" s="81" t="s">
        <v>253</v>
      </c>
      <c r="E1061" s="81" t="s">
        <v>50</v>
      </c>
      <c r="F1061" s="81" t="s">
        <v>1</v>
      </c>
    </row>
    <row r="1062" spans="1:6" x14ac:dyDescent="0.25">
      <c r="A1062" s="14">
        <v>46144.803472222222</v>
      </c>
      <c r="B1062" s="81" t="s">
        <v>149</v>
      </c>
      <c r="C1062" s="81" t="s">
        <v>184</v>
      </c>
      <c r="D1062" s="81" t="s">
        <v>179</v>
      </c>
      <c r="E1062" s="81" t="s">
        <v>50</v>
      </c>
      <c r="F1062" s="81" t="s">
        <v>1</v>
      </c>
    </row>
    <row r="1063" spans="1:6" x14ac:dyDescent="0.25">
      <c r="A1063" s="14">
        <v>46144.803472222222</v>
      </c>
      <c r="B1063" s="81" t="s">
        <v>149</v>
      </c>
      <c r="C1063" s="81" t="s">
        <v>182</v>
      </c>
      <c r="D1063" s="81" t="s">
        <v>240</v>
      </c>
      <c r="E1063" s="81" t="s">
        <v>52</v>
      </c>
      <c r="F1063" s="81" t="s">
        <v>0</v>
      </c>
    </row>
    <row r="1064" spans="1:6" x14ac:dyDescent="0.25">
      <c r="A1064" s="14">
        <v>46144.803472222222</v>
      </c>
      <c r="B1064" s="81" t="s">
        <v>149</v>
      </c>
      <c r="C1064" s="81" t="s">
        <v>158</v>
      </c>
      <c r="D1064" s="81" t="s">
        <v>261</v>
      </c>
      <c r="E1064" s="81" t="s">
        <v>50</v>
      </c>
      <c r="F1064" s="81" t="s">
        <v>1</v>
      </c>
    </row>
    <row r="1065" spans="1:6" x14ac:dyDescent="0.25">
      <c r="A1065" s="14">
        <v>46144.803472222222</v>
      </c>
      <c r="B1065" s="81" t="s">
        <v>149</v>
      </c>
      <c r="C1065" s="81" t="s">
        <v>177</v>
      </c>
      <c r="D1065" s="81" t="s">
        <v>240</v>
      </c>
      <c r="E1065" s="81" t="s">
        <v>52</v>
      </c>
      <c r="F1065" s="81" t="s">
        <v>0</v>
      </c>
    </row>
    <row r="1066" spans="1:6" x14ac:dyDescent="0.25">
      <c r="A1066" s="14">
        <v>46144.803472222222</v>
      </c>
      <c r="B1066" s="81" t="s">
        <v>149</v>
      </c>
      <c r="C1066" s="81" t="s">
        <v>181</v>
      </c>
      <c r="D1066" s="81" t="s">
        <v>179</v>
      </c>
      <c r="E1066" s="81" t="s">
        <v>50</v>
      </c>
      <c r="F1066" s="81" t="s">
        <v>1</v>
      </c>
    </row>
    <row r="1067" spans="1:6" x14ac:dyDescent="0.25">
      <c r="A1067" s="14">
        <v>46144.803472222222</v>
      </c>
      <c r="B1067" s="81" t="s">
        <v>149</v>
      </c>
      <c r="C1067" s="81" t="s">
        <v>182</v>
      </c>
      <c r="D1067" s="81" t="s">
        <v>261</v>
      </c>
      <c r="E1067" s="81" t="s">
        <v>50</v>
      </c>
      <c r="F1067" s="81" t="s">
        <v>1</v>
      </c>
    </row>
    <row r="1068" spans="1:6" x14ac:dyDescent="0.25">
      <c r="A1068" s="14">
        <v>46144.803472222222</v>
      </c>
      <c r="B1068" s="81" t="s">
        <v>149</v>
      </c>
      <c r="C1068" s="81" t="s">
        <v>184</v>
      </c>
      <c r="D1068" s="81" t="s">
        <v>261</v>
      </c>
      <c r="E1068" s="81" t="s">
        <v>50</v>
      </c>
      <c r="F1068" s="81" t="s">
        <v>1</v>
      </c>
    </row>
    <row r="1069" spans="1:6" x14ac:dyDescent="0.25">
      <c r="A1069" s="14">
        <v>46144.803472222222</v>
      </c>
      <c r="B1069" s="81" t="s">
        <v>149</v>
      </c>
      <c r="C1069" s="81" t="s">
        <v>190</v>
      </c>
      <c r="D1069" s="81" t="s">
        <v>261</v>
      </c>
      <c r="E1069" s="81" t="s">
        <v>50</v>
      </c>
      <c r="F1069" s="81" t="s">
        <v>1</v>
      </c>
    </row>
    <row r="1070" spans="1:6" x14ac:dyDescent="0.25">
      <c r="A1070" s="14">
        <v>46144.803472222222</v>
      </c>
      <c r="B1070" s="81" t="s">
        <v>149</v>
      </c>
      <c r="C1070" s="81" t="s">
        <v>182</v>
      </c>
      <c r="D1070" s="81" t="s">
        <v>261</v>
      </c>
      <c r="E1070" s="81" t="s">
        <v>50</v>
      </c>
      <c r="F1070" s="81" t="s">
        <v>1</v>
      </c>
    </row>
    <row r="1071" spans="1:6" x14ac:dyDescent="0.25">
      <c r="A1071" s="14">
        <v>46144.803472222222</v>
      </c>
      <c r="B1071" s="81" t="s">
        <v>149</v>
      </c>
      <c r="C1071" s="81" t="s">
        <v>182</v>
      </c>
      <c r="D1071" s="81" t="s">
        <v>179</v>
      </c>
      <c r="E1071" s="81" t="s">
        <v>50</v>
      </c>
      <c r="F1071" s="81" t="s">
        <v>1</v>
      </c>
    </row>
    <row r="1072" spans="1:6" x14ac:dyDescent="0.25">
      <c r="A1072" s="14">
        <v>46144.803472222222</v>
      </c>
      <c r="B1072" s="81" t="s">
        <v>149</v>
      </c>
      <c r="C1072" s="81" t="s">
        <v>183</v>
      </c>
      <c r="D1072" s="81" t="s">
        <v>261</v>
      </c>
      <c r="E1072" s="81" t="s">
        <v>50</v>
      </c>
      <c r="F1072" s="81" t="s">
        <v>1</v>
      </c>
    </row>
    <row r="1073" spans="1:6" x14ac:dyDescent="0.25">
      <c r="A1073" s="14">
        <v>46144.803472222222</v>
      </c>
      <c r="B1073" s="81" t="s">
        <v>149</v>
      </c>
      <c r="C1073" s="81" t="s">
        <v>171</v>
      </c>
      <c r="D1073" s="81" t="s">
        <v>150</v>
      </c>
      <c r="E1073" s="81" t="s">
        <v>49</v>
      </c>
      <c r="F1073" s="81" t="s">
        <v>2</v>
      </c>
    </row>
    <row r="1074" spans="1:6" x14ac:dyDescent="0.25">
      <c r="A1074" s="14">
        <v>46144.803472222222</v>
      </c>
      <c r="B1074" s="81" t="s">
        <v>149</v>
      </c>
      <c r="C1074" s="81" t="s">
        <v>151</v>
      </c>
      <c r="D1074" s="81" t="s">
        <v>150</v>
      </c>
      <c r="E1074" s="81" t="s">
        <v>49</v>
      </c>
      <c r="F1074" s="81" t="s">
        <v>2</v>
      </c>
    </row>
    <row r="1075" spans="1:6" x14ac:dyDescent="0.25">
      <c r="A1075" s="14">
        <v>46144.803472222222</v>
      </c>
      <c r="B1075" s="81" t="s">
        <v>149</v>
      </c>
      <c r="C1075" s="81" t="s">
        <v>190</v>
      </c>
      <c r="D1075" s="81" t="s">
        <v>150</v>
      </c>
      <c r="E1075" s="81" t="s">
        <v>49</v>
      </c>
      <c r="F1075" s="81" t="s">
        <v>2</v>
      </c>
    </row>
    <row r="1076" spans="1:6" x14ac:dyDescent="0.25">
      <c r="A1076" s="14">
        <v>46144.803472222222</v>
      </c>
      <c r="B1076" s="81" t="s">
        <v>149</v>
      </c>
      <c r="C1076" s="81" t="s">
        <v>175</v>
      </c>
      <c r="D1076" s="81" t="s">
        <v>150</v>
      </c>
      <c r="E1076" s="81" t="s">
        <v>49</v>
      </c>
      <c r="F1076" s="81" t="s">
        <v>2</v>
      </c>
    </row>
    <row r="1077" spans="1:6" x14ac:dyDescent="0.25">
      <c r="A1077" s="14">
        <v>46144.803472222222</v>
      </c>
      <c r="B1077" s="81" t="s">
        <v>149</v>
      </c>
      <c r="C1077" s="81" t="s">
        <v>151</v>
      </c>
      <c r="D1077" s="81" t="s">
        <v>257</v>
      </c>
      <c r="E1077" s="81" t="s">
        <v>52</v>
      </c>
      <c r="F1077" s="81" t="s">
        <v>0</v>
      </c>
    </row>
    <row r="1078" spans="1:6" x14ac:dyDescent="0.25">
      <c r="A1078" s="14">
        <v>46144.803472222222</v>
      </c>
      <c r="B1078" s="81" t="s">
        <v>149</v>
      </c>
      <c r="C1078" s="81" t="s">
        <v>158</v>
      </c>
      <c r="D1078" s="81" t="s">
        <v>150</v>
      </c>
      <c r="E1078" s="81" t="s">
        <v>49</v>
      </c>
      <c r="F1078" s="81" t="s">
        <v>2</v>
      </c>
    </row>
    <row r="1079" spans="1:6" x14ac:dyDescent="0.25">
      <c r="A1079" s="14">
        <v>46144.803472222222</v>
      </c>
      <c r="B1079" s="81" t="s">
        <v>149</v>
      </c>
      <c r="C1079" s="81" t="s">
        <v>190</v>
      </c>
      <c r="D1079" s="81" t="s">
        <v>150</v>
      </c>
      <c r="E1079" s="81" t="s">
        <v>49</v>
      </c>
      <c r="F1079" s="81" t="s">
        <v>2</v>
      </c>
    </row>
    <row r="1080" spans="1:6" x14ac:dyDescent="0.25">
      <c r="A1080" s="14">
        <v>46144.803472222222</v>
      </c>
      <c r="B1080" s="81" t="s">
        <v>149</v>
      </c>
      <c r="C1080" s="81" t="s">
        <v>173</v>
      </c>
      <c r="D1080" s="81" t="s">
        <v>150</v>
      </c>
      <c r="E1080" s="81" t="s">
        <v>49</v>
      </c>
      <c r="F1080" s="81" t="s">
        <v>2</v>
      </c>
    </row>
    <row r="1081" spans="1:6" x14ac:dyDescent="0.25">
      <c r="A1081" s="14">
        <v>46144.803472222222</v>
      </c>
      <c r="B1081" s="81" t="s">
        <v>149</v>
      </c>
      <c r="C1081" s="81" t="s">
        <v>181</v>
      </c>
      <c r="D1081" s="81" t="s">
        <v>150</v>
      </c>
      <c r="E1081" s="81" t="s">
        <v>49</v>
      </c>
      <c r="F1081" s="81" t="s">
        <v>2</v>
      </c>
    </row>
    <row r="1082" spans="1:6" x14ac:dyDescent="0.25">
      <c r="A1082" s="14">
        <v>46144.803472222222</v>
      </c>
      <c r="B1082" s="81" t="s">
        <v>149</v>
      </c>
      <c r="C1082" s="81" t="s">
        <v>176</v>
      </c>
      <c r="D1082" s="81" t="s">
        <v>202</v>
      </c>
      <c r="E1082" s="81" t="s">
        <v>70</v>
      </c>
      <c r="F1082" s="81" t="s">
        <v>15</v>
      </c>
    </row>
    <row r="1083" spans="1:6" x14ac:dyDescent="0.25">
      <c r="A1083" s="14">
        <v>46144.803472222222</v>
      </c>
      <c r="B1083" s="81" t="s">
        <v>149</v>
      </c>
      <c r="C1083" s="81" t="s">
        <v>151</v>
      </c>
      <c r="D1083" s="81" t="s">
        <v>150</v>
      </c>
      <c r="E1083" s="81" t="s">
        <v>50</v>
      </c>
      <c r="F1083" s="81" t="s">
        <v>1</v>
      </c>
    </row>
    <row r="1084" spans="1:6" x14ac:dyDescent="0.25">
      <c r="A1084" s="14">
        <v>46144.803472222222</v>
      </c>
      <c r="B1084" s="81" t="s">
        <v>149</v>
      </c>
      <c r="C1084" s="81" t="s">
        <v>151</v>
      </c>
      <c r="D1084" s="81" t="s">
        <v>150</v>
      </c>
      <c r="E1084" s="81" t="s">
        <v>50</v>
      </c>
      <c r="F1084" s="81" t="s">
        <v>1</v>
      </c>
    </row>
    <row r="1085" spans="1:6" x14ac:dyDescent="0.25">
      <c r="A1085" s="14">
        <v>46144.803472222222</v>
      </c>
      <c r="B1085" s="81" t="s">
        <v>149</v>
      </c>
      <c r="C1085" s="81" t="s">
        <v>187</v>
      </c>
      <c r="D1085" s="81" t="s">
        <v>150</v>
      </c>
      <c r="E1085" s="81" t="s">
        <v>71</v>
      </c>
      <c r="F1085" s="81" t="s">
        <v>94</v>
      </c>
    </row>
    <row r="1086" spans="1:6" x14ac:dyDescent="0.25">
      <c r="A1086" s="14">
        <v>46144.803472222222</v>
      </c>
      <c r="B1086" s="81" t="s">
        <v>149</v>
      </c>
      <c r="C1086" s="81" t="s">
        <v>187</v>
      </c>
      <c r="D1086" s="81" t="s">
        <v>202</v>
      </c>
      <c r="E1086" s="81" t="s">
        <v>75</v>
      </c>
      <c r="F1086" s="81" t="s">
        <v>93</v>
      </c>
    </row>
    <row r="1087" spans="1:6" x14ac:dyDescent="0.25">
      <c r="A1087" s="14">
        <v>46144.803472222222</v>
      </c>
      <c r="B1087" s="81" t="s">
        <v>149</v>
      </c>
      <c r="C1087" s="81" t="s">
        <v>187</v>
      </c>
      <c r="D1087" s="81" t="s">
        <v>150</v>
      </c>
      <c r="E1087" s="81" t="s">
        <v>75</v>
      </c>
      <c r="F1087" s="81" t="s">
        <v>93</v>
      </c>
    </row>
    <row r="1088" spans="1:6" x14ac:dyDescent="0.25">
      <c r="A1088" s="14">
        <v>46144.803472222222</v>
      </c>
      <c r="B1088" s="81" t="s">
        <v>149</v>
      </c>
      <c r="C1088" s="81" t="s">
        <v>183</v>
      </c>
      <c r="D1088" s="81" t="s">
        <v>155</v>
      </c>
      <c r="E1088" s="81" t="s">
        <v>50</v>
      </c>
      <c r="F1088" s="81" t="s">
        <v>1</v>
      </c>
    </row>
    <row r="1089" spans="1:6" x14ac:dyDescent="0.25">
      <c r="A1089" s="14">
        <v>46144.803472222222</v>
      </c>
      <c r="B1089" s="81" t="s">
        <v>149</v>
      </c>
      <c r="C1089" s="81" t="s">
        <v>187</v>
      </c>
      <c r="D1089" s="81" t="s">
        <v>150</v>
      </c>
      <c r="E1089" s="81" t="s">
        <v>75</v>
      </c>
      <c r="F1089" s="81" t="s">
        <v>93</v>
      </c>
    </row>
    <row r="1090" spans="1:6" x14ac:dyDescent="0.25">
      <c r="A1090" s="14">
        <v>46144.803472222222</v>
      </c>
      <c r="B1090" s="81" t="s">
        <v>149</v>
      </c>
      <c r="C1090" s="81" t="s">
        <v>158</v>
      </c>
      <c r="D1090" s="81" t="s">
        <v>155</v>
      </c>
      <c r="E1090" s="81" t="s">
        <v>50</v>
      </c>
      <c r="F1090" s="81" t="s">
        <v>1</v>
      </c>
    </row>
    <row r="1091" spans="1:6" x14ac:dyDescent="0.25">
      <c r="A1091" s="14">
        <v>46144.803472222222</v>
      </c>
      <c r="B1091" s="81" t="s">
        <v>149</v>
      </c>
      <c r="C1091" s="81" t="s">
        <v>187</v>
      </c>
      <c r="D1091" s="81" t="s">
        <v>150</v>
      </c>
      <c r="E1091" s="81" t="s">
        <v>75</v>
      </c>
      <c r="F1091" s="81" t="s">
        <v>93</v>
      </c>
    </row>
    <row r="1092" spans="1:6" x14ac:dyDescent="0.25">
      <c r="A1092" s="14">
        <v>46144.803472222222</v>
      </c>
      <c r="B1092" s="81" t="s">
        <v>149</v>
      </c>
      <c r="C1092" s="81" t="s">
        <v>173</v>
      </c>
      <c r="D1092" s="81" t="s">
        <v>155</v>
      </c>
      <c r="E1092" s="81" t="s">
        <v>50</v>
      </c>
      <c r="F1092" s="81" t="s">
        <v>1</v>
      </c>
    </row>
    <row r="1093" spans="1:6" x14ac:dyDescent="0.25">
      <c r="A1093" s="14">
        <v>46144.803472222222</v>
      </c>
      <c r="B1093" s="81" t="s">
        <v>149</v>
      </c>
      <c r="C1093" s="81" t="s">
        <v>177</v>
      </c>
      <c r="D1093" s="81" t="s">
        <v>204</v>
      </c>
      <c r="E1093" s="81" t="s">
        <v>49</v>
      </c>
      <c r="F1093" s="81" t="s">
        <v>2</v>
      </c>
    </row>
    <row r="1094" spans="1:6" x14ac:dyDescent="0.25">
      <c r="A1094" s="14">
        <v>46144.803472222222</v>
      </c>
      <c r="B1094" s="81" t="s">
        <v>149</v>
      </c>
      <c r="C1094" s="81" t="s">
        <v>183</v>
      </c>
      <c r="D1094" s="81" t="s">
        <v>257</v>
      </c>
      <c r="E1094" s="81" t="s">
        <v>50</v>
      </c>
      <c r="F1094" s="81" t="s">
        <v>1</v>
      </c>
    </row>
    <row r="1095" spans="1:6" x14ac:dyDescent="0.25">
      <c r="A1095" s="14">
        <v>46144.803472222222</v>
      </c>
      <c r="B1095" s="81" t="s">
        <v>149</v>
      </c>
      <c r="C1095" s="81" t="s">
        <v>182</v>
      </c>
      <c r="D1095" s="81" t="s">
        <v>155</v>
      </c>
      <c r="E1095" s="81" t="s">
        <v>50</v>
      </c>
      <c r="F1095" s="81" t="s">
        <v>1</v>
      </c>
    </row>
    <row r="1096" spans="1:6" x14ac:dyDescent="0.25">
      <c r="A1096" s="14">
        <v>46144.803472222222</v>
      </c>
      <c r="B1096" s="81" t="s">
        <v>149</v>
      </c>
      <c r="C1096" s="81" t="s">
        <v>175</v>
      </c>
      <c r="D1096" s="81" t="s">
        <v>204</v>
      </c>
      <c r="E1096" s="81" t="s">
        <v>50</v>
      </c>
      <c r="F1096" s="81" t="s">
        <v>1</v>
      </c>
    </row>
    <row r="1097" spans="1:6" x14ac:dyDescent="0.25">
      <c r="A1097" s="14">
        <v>46144.803472222222</v>
      </c>
      <c r="B1097" s="81" t="s">
        <v>149</v>
      </c>
      <c r="C1097" s="81" t="s">
        <v>171</v>
      </c>
      <c r="D1097" s="81" t="s">
        <v>204</v>
      </c>
      <c r="E1097" s="81" t="s">
        <v>49</v>
      </c>
      <c r="F1097" s="81" t="s">
        <v>2</v>
      </c>
    </row>
    <row r="1098" spans="1:6" x14ac:dyDescent="0.25">
      <c r="A1098" s="14">
        <v>46144.803472222222</v>
      </c>
      <c r="B1098" s="81" t="s">
        <v>149</v>
      </c>
      <c r="C1098" s="81" t="s">
        <v>183</v>
      </c>
      <c r="D1098" s="81" t="s">
        <v>253</v>
      </c>
      <c r="E1098" s="81" t="s">
        <v>50</v>
      </c>
      <c r="F1098" s="81" t="s">
        <v>1</v>
      </c>
    </row>
    <row r="1099" spans="1:6" x14ac:dyDescent="0.25">
      <c r="A1099" s="14">
        <v>46144.803472222222</v>
      </c>
      <c r="B1099" s="81" t="s">
        <v>149</v>
      </c>
      <c r="C1099" s="81" t="s">
        <v>192</v>
      </c>
      <c r="D1099" s="81" t="s">
        <v>204</v>
      </c>
      <c r="E1099" s="81" t="s">
        <v>60</v>
      </c>
      <c r="F1099" s="81" t="s">
        <v>28</v>
      </c>
    </row>
    <row r="1100" spans="1:6" x14ac:dyDescent="0.25">
      <c r="A1100" s="14">
        <v>46144.803472222222</v>
      </c>
      <c r="B1100" s="81" t="s">
        <v>149</v>
      </c>
      <c r="C1100" s="81" t="s">
        <v>182</v>
      </c>
      <c r="D1100" s="81" t="s">
        <v>224</v>
      </c>
      <c r="E1100" s="81" t="s">
        <v>52</v>
      </c>
      <c r="F1100" s="81" t="s">
        <v>0</v>
      </c>
    </row>
    <row r="1101" spans="1:6" x14ac:dyDescent="0.25">
      <c r="A1101" s="14">
        <v>46144.803472222222</v>
      </c>
      <c r="B1101" s="81" t="s">
        <v>149</v>
      </c>
      <c r="C1101" s="81" t="s">
        <v>183</v>
      </c>
      <c r="D1101" s="81" t="s">
        <v>250</v>
      </c>
      <c r="E1101" s="81" t="s">
        <v>49</v>
      </c>
      <c r="F1101" s="81" t="s">
        <v>2</v>
      </c>
    </row>
    <row r="1102" spans="1:6" x14ac:dyDescent="0.25">
      <c r="A1102" s="14">
        <v>46144.803472222222</v>
      </c>
      <c r="B1102" s="81" t="s">
        <v>149</v>
      </c>
      <c r="C1102" s="81" t="s">
        <v>151</v>
      </c>
      <c r="D1102" s="81" t="s">
        <v>257</v>
      </c>
      <c r="E1102" s="81" t="s">
        <v>50</v>
      </c>
      <c r="F1102" s="81" t="s">
        <v>1</v>
      </c>
    </row>
    <row r="1103" spans="1:6" x14ac:dyDescent="0.25">
      <c r="A1103" s="14">
        <v>46144.803472222222</v>
      </c>
      <c r="B1103" s="81" t="s">
        <v>149</v>
      </c>
      <c r="C1103" s="81" t="s">
        <v>176</v>
      </c>
      <c r="D1103" s="81" t="s">
        <v>205</v>
      </c>
      <c r="E1103" s="81" t="s">
        <v>44</v>
      </c>
      <c r="F1103" s="81" t="s">
        <v>17</v>
      </c>
    </row>
    <row r="1104" spans="1:6" x14ac:dyDescent="0.25">
      <c r="A1104" s="14">
        <v>46144.803472222222</v>
      </c>
      <c r="B1104" s="81" t="s">
        <v>149</v>
      </c>
      <c r="C1104" s="81" t="s">
        <v>183</v>
      </c>
      <c r="D1104" s="81" t="s">
        <v>150</v>
      </c>
      <c r="E1104" s="81" t="s">
        <v>50</v>
      </c>
      <c r="F1104" s="81" t="s">
        <v>1</v>
      </c>
    </row>
    <row r="1105" spans="1:6" x14ac:dyDescent="0.25">
      <c r="A1105" s="14">
        <v>46144.803472222222</v>
      </c>
      <c r="B1105" s="81" t="s">
        <v>149</v>
      </c>
      <c r="C1105" s="81" t="s">
        <v>187</v>
      </c>
      <c r="D1105" s="81" t="s">
        <v>250</v>
      </c>
      <c r="E1105" s="81" t="s">
        <v>75</v>
      </c>
      <c r="F1105" s="81" t="s">
        <v>93</v>
      </c>
    </row>
    <row r="1106" spans="1:6" x14ac:dyDescent="0.25">
      <c r="A1106" s="14">
        <v>46144.803472222222</v>
      </c>
      <c r="B1106" s="81" t="s">
        <v>149</v>
      </c>
      <c r="C1106" s="81" t="s">
        <v>171</v>
      </c>
      <c r="D1106" s="81" t="s">
        <v>258</v>
      </c>
      <c r="E1106" s="81" t="s">
        <v>52</v>
      </c>
      <c r="F1106" s="81" t="s">
        <v>0</v>
      </c>
    </row>
    <row r="1107" spans="1:6" x14ac:dyDescent="0.25">
      <c r="A1107" s="14">
        <v>46144.803472222222</v>
      </c>
      <c r="B1107" s="81" t="s">
        <v>149</v>
      </c>
      <c r="C1107" s="81" t="s">
        <v>185</v>
      </c>
      <c r="D1107" s="81" t="s">
        <v>257</v>
      </c>
      <c r="E1107" s="81" t="s">
        <v>52</v>
      </c>
      <c r="F1107" s="81" t="s">
        <v>0</v>
      </c>
    </row>
    <row r="1108" spans="1:6" x14ac:dyDescent="0.25">
      <c r="A1108" s="14">
        <v>46144.803472222222</v>
      </c>
      <c r="B1108" s="81" t="s">
        <v>149</v>
      </c>
      <c r="C1108" s="81" t="s">
        <v>184</v>
      </c>
      <c r="D1108" s="81" t="s">
        <v>261</v>
      </c>
      <c r="E1108" s="81" t="s">
        <v>50</v>
      </c>
      <c r="F1108" s="81" t="s">
        <v>1</v>
      </c>
    </row>
    <row r="1109" spans="1:6" x14ac:dyDescent="0.25">
      <c r="A1109" s="14">
        <v>46144.803472222222</v>
      </c>
      <c r="B1109" s="81" t="s">
        <v>149</v>
      </c>
      <c r="C1109" s="81" t="s">
        <v>192</v>
      </c>
      <c r="D1109" s="81" t="s">
        <v>261</v>
      </c>
      <c r="E1109" s="81" t="s">
        <v>60</v>
      </c>
      <c r="F1109" s="81" t="s">
        <v>28</v>
      </c>
    </row>
    <row r="1110" spans="1:6" x14ac:dyDescent="0.25">
      <c r="A1110" s="14">
        <v>46144.803472222222</v>
      </c>
      <c r="B1110" s="81" t="s">
        <v>149</v>
      </c>
      <c r="C1110" s="81" t="s">
        <v>151</v>
      </c>
      <c r="D1110" s="81" t="s">
        <v>261</v>
      </c>
      <c r="E1110" s="81" t="s">
        <v>52</v>
      </c>
      <c r="F1110" s="81" t="s">
        <v>0</v>
      </c>
    </row>
    <row r="1111" spans="1:6" x14ac:dyDescent="0.25">
      <c r="A1111" s="14">
        <v>46144.803472222222</v>
      </c>
      <c r="B1111" s="81" t="s">
        <v>149</v>
      </c>
      <c r="C1111" s="81" t="s">
        <v>173</v>
      </c>
      <c r="D1111" s="81" t="s">
        <v>257</v>
      </c>
      <c r="E1111" s="81" t="s">
        <v>52</v>
      </c>
      <c r="F1111" s="81" t="s">
        <v>0</v>
      </c>
    </row>
    <row r="1112" spans="1:6" x14ac:dyDescent="0.25">
      <c r="A1112" s="14">
        <v>46144.803472222222</v>
      </c>
      <c r="B1112" s="81" t="s">
        <v>149</v>
      </c>
      <c r="C1112" s="81" t="s">
        <v>151</v>
      </c>
      <c r="D1112" s="81" t="s">
        <v>167</v>
      </c>
      <c r="E1112" s="81" t="s">
        <v>50</v>
      </c>
      <c r="F1112" s="81" t="s">
        <v>1</v>
      </c>
    </row>
    <row r="1113" spans="1:6" x14ac:dyDescent="0.25">
      <c r="A1113" s="14">
        <v>46144.803472222222</v>
      </c>
      <c r="B1113" s="81" t="s">
        <v>149</v>
      </c>
      <c r="C1113" s="81" t="s">
        <v>182</v>
      </c>
      <c r="D1113" s="81" t="s">
        <v>157</v>
      </c>
      <c r="E1113" s="81" t="s">
        <v>50</v>
      </c>
      <c r="F1113" s="81" t="s">
        <v>1</v>
      </c>
    </row>
    <row r="1114" spans="1:6" x14ac:dyDescent="0.25">
      <c r="A1114" s="14">
        <v>46144.803472222222</v>
      </c>
      <c r="B1114" s="81" t="s">
        <v>149</v>
      </c>
      <c r="C1114" s="81" t="s">
        <v>185</v>
      </c>
      <c r="D1114" s="81" t="s">
        <v>191</v>
      </c>
      <c r="E1114" s="81" t="s">
        <v>49</v>
      </c>
      <c r="F1114" s="81" t="s">
        <v>2</v>
      </c>
    </row>
    <row r="1115" spans="1:6" x14ac:dyDescent="0.25">
      <c r="A1115" s="14">
        <v>46144.803472222222</v>
      </c>
      <c r="B1115" s="81" t="s">
        <v>149</v>
      </c>
      <c r="C1115" s="81" t="s">
        <v>211</v>
      </c>
      <c r="D1115" s="81" t="s">
        <v>179</v>
      </c>
      <c r="E1115" s="81" t="s">
        <v>64</v>
      </c>
      <c r="F1115" s="81" t="s">
        <v>98</v>
      </c>
    </row>
    <row r="1116" spans="1:6" x14ac:dyDescent="0.25">
      <c r="A1116" s="14">
        <v>46144.803472222222</v>
      </c>
      <c r="B1116" s="81" t="s">
        <v>149</v>
      </c>
      <c r="C1116" s="81" t="s">
        <v>183</v>
      </c>
      <c r="D1116" s="81" t="s">
        <v>244</v>
      </c>
      <c r="E1116" s="81" t="s">
        <v>49</v>
      </c>
      <c r="F1116" s="81" t="s">
        <v>2</v>
      </c>
    </row>
    <row r="1117" spans="1:6" x14ac:dyDescent="0.25">
      <c r="A1117" s="14">
        <v>46144.803472222222</v>
      </c>
      <c r="B1117" s="81" t="s">
        <v>149</v>
      </c>
      <c r="C1117" s="81" t="s">
        <v>151</v>
      </c>
      <c r="D1117" s="81" t="s">
        <v>167</v>
      </c>
      <c r="E1117" s="81" t="s">
        <v>50</v>
      </c>
      <c r="F1117" s="81" t="s">
        <v>1</v>
      </c>
    </row>
    <row r="1118" spans="1:6" x14ac:dyDescent="0.25">
      <c r="A1118" s="14">
        <v>46144.803472222222</v>
      </c>
      <c r="B1118" s="81" t="s">
        <v>149</v>
      </c>
      <c r="C1118" s="81" t="s">
        <v>173</v>
      </c>
      <c r="D1118" s="81" t="s">
        <v>244</v>
      </c>
      <c r="E1118" s="81" t="s">
        <v>49</v>
      </c>
      <c r="F1118" s="81" t="s">
        <v>2</v>
      </c>
    </row>
    <row r="1119" spans="1:6" x14ac:dyDescent="0.25">
      <c r="A1119" s="14">
        <v>46144.803472222222</v>
      </c>
      <c r="B1119" s="81" t="s">
        <v>149</v>
      </c>
      <c r="C1119" s="81" t="s">
        <v>151</v>
      </c>
      <c r="D1119" s="81" t="s">
        <v>179</v>
      </c>
      <c r="E1119" s="81" t="s">
        <v>50</v>
      </c>
      <c r="F1119" s="81" t="s">
        <v>1</v>
      </c>
    </row>
    <row r="1120" spans="1:6" x14ac:dyDescent="0.25">
      <c r="A1120" s="14">
        <v>46144.803472222222</v>
      </c>
      <c r="B1120" s="81" t="s">
        <v>149</v>
      </c>
      <c r="C1120" s="81" t="s">
        <v>151</v>
      </c>
      <c r="D1120" s="81" t="s">
        <v>167</v>
      </c>
      <c r="E1120" s="81" t="s">
        <v>50</v>
      </c>
      <c r="F1120" s="81" t="s">
        <v>1</v>
      </c>
    </row>
    <row r="1121" spans="1:6" x14ac:dyDescent="0.25">
      <c r="A1121" s="14">
        <v>46144.803472222222</v>
      </c>
      <c r="B1121" s="81" t="s">
        <v>149</v>
      </c>
      <c r="C1121" s="81" t="s">
        <v>192</v>
      </c>
      <c r="D1121" s="81" t="s">
        <v>261</v>
      </c>
      <c r="E1121" s="81" t="s">
        <v>60</v>
      </c>
      <c r="F1121" s="81" t="s">
        <v>28</v>
      </c>
    </row>
    <row r="1122" spans="1:6" x14ac:dyDescent="0.25">
      <c r="A1122" s="14">
        <v>46144.803472222222</v>
      </c>
      <c r="B1122" s="81" t="s">
        <v>149</v>
      </c>
      <c r="C1122" s="81" t="s">
        <v>181</v>
      </c>
      <c r="D1122" s="81" t="s">
        <v>157</v>
      </c>
      <c r="E1122" s="81" t="s">
        <v>50</v>
      </c>
      <c r="F1122" s="81" t="s">
        <v>1</v>
      </c>
    </row>
    <row r="1123" spans="1:6" x14ac:dyDescent="0.25">
      <c r="A1123" s="14">
        <v>46144.803472222222</v>
      </c>
      <c r="B1123" s="81" t="s">
        <v>149</v>
      </c>
      <c r="C1123" s="81" t="s">
        <v>151</v>
      </c>
      <c r="D1123" s="81" t="s">
        <v>231</v>
      </c>
      <c r="E1123" s="81" t="s">
        <v>52</v>
      </c>
      <c r="F1123" s="81" t="s">
        <v>0</v>
      </c>
    </row>
    <row r="1124" spans="1:6" x14ac:dyDescent="0.25">
      <c r="A1124" s="14">
        <v>46144.803472222222</v>
      </c>
      <c r="B1124" s="81" t="s">
        <v>149</v>
      </c>
      <c r="C1124" s="81" t="s">
        <v>173</v>
      </c>
      <c r="D1124" s="81" t="s">
        <v>167</v>
      </c>
      <c r="E1124" s="81" t="s">
        <v>50</v>
      </c>
      <c r="F1124" s="81" t="s">
        <v>1</v>
      </c>
    </row>
    <row r="1125" spans="1:6" x14ac:dyDescent="0.25">
      <c r="A1125" s="14">
        <v>46144.803472222222</v>
      </c>
      <c r="B1125" s="81" t="s">
        <v>149</v>
      </c>
      <c r="C1125" s="81" t="s">
        <v>183</v>
      </c>
      <c r="D1125" s="81" t="s">
        <v>231</v>
      </c>
      <c r="E1125" s="81" t="s">
        <v>52</v>
      </c>
      <c r="F1125" s="81" t="s">
        <v>0</v>
      </c>
    </row>
    <row r="1126" spans="1:6" x14ac:dyDescent="0.25">
      <c r="A1126" s="14">
        <v>46144.803472222222</v>
      </c>
      <c r="B1126" s="81" t="s">
        <v>149</v>
      </c>
      <c r="C1126" s="81" t="s">
        <v>151</v>
      </c>
      <c r="D1126" s="81" t="s">
        <v>167</v>
      </c>
      <c r="E1126" s="81" t="s">
        <v>50</v>
      </c>
      <c r="F1126" s="81" t="s">
        <v>1</v>
      </c>
    </row>
    <row r="1127" spans="1:6" x14ac:dyDescent="0.25">
      <c r="A1127" s="14">
        <v>46144.803472222222</v>
      </c>
      <c r="B1127" s="81" t="s">
        <v>149</v>
      </c>
      <c r="C1127" s="81" t="s">
        <v>185</v>
      </c>
      <c r="D1127" s="81" t="s">
        <v>157</v>
      </c>
      <c r="E1127" s="81" t="s">
        <v>50</v>
      </c>
      <c r="F1127" s="81" t="s">
        <v>1</v>
      </c>
    </row>
    <row r="1128" spans="1:6" x14ac:dyDescent="0.25">
      <c r="A1128" s="14">
        <v>46144.803472222222</v>
      </c>
      <c r="B1128" s="81" t="s">
        <v>149</v>
      </c>
      <c r="C1128" s="81" t="s">
        <v>171</v>
      </c>
      <c r="D1128" s="81" t="s">
        <v>224</v>
      </c>
      <c r="E1128" s="81" t="s">
        <v>50</v>
      </c>
      <c r="F1128" s="81" t="s">
        <v>1</v>
      </c>
    </row>
    <row r="1129" spans="1:6" x14ac:dyDescent="0.25">
      <c r="A1129" s="14">
        <v>46144.803472222222</v>
      </c>
      <c r="B1129" s="81" t="s">
        <v>149</v>
      </c>
      <c r="C1129" s="81" t="s">
        <v>173</v>
      </c>
      <c r="D1129" s="81" t="s">
        <v>167</v>
      </c>
      <c r="E1129" s="81" t="s">
        <v>50</v>
      </c>
      <c r="F1129" s="81" t="s">
        <v>1</v>
      </c>
    </row>
    <row r="1130" spans="1:6" x14ac:dyDescent="0.25">
      <c r="A1130" s="14">
        <v>46144.803472222222</v>
      </c>
      <c r="B1130" s="81" t="s">
        <v>149</v>
      </c>
      <c r="C1130" s="81" t="s">
        <v>190</v>
      </c>
      <c r="D1130" s="81" t="s">
        <v>157</v>
      </c>
      <c r="E1130" s="81" t="s">
        <v>50</v>
      </c>
      <c r="F1130" s="81" t="s">
        <v>1</v>
      </c>
    </row>
    <row r="1131" spans="1:6" x14ac:dyDescent="0.25">
      <c r="A1131" s="14">
        <v>46144.803472222222</v>
      </c>
      <c r="B1131" s="81" t="s">
        <v>149</v>
      </c>
      <c r="C1131" s="81" t="s">
        <v>192</v>
      </c>
      <c r="D1131" s="81" t="s">
        <v>250</v>
      </c>
      <c r="E1131" s="81" t="s">
        <v>60</v>
      </c>
      <c r="F1131" s="81" t="s">
        <v>28</v>
      </c>
    </row>
    <row r="1132" spans="1:6" x14ac:dyDescent="0.25">
      <c r="A1132" s="14">
        <v>46144.803472222222</v>
      </c>
      <c r="B1132" s="81" t="s">
        <v>149</v>
      </c>
      <c r="C1132" s="81" t="s">
        <v>183</v>
      </c>
      <c r="D1132" s="81" t="s">
        <v>257</v>
      </c>
      <c r="E1132" s="81" t="s">
        <v>52</v>
      </c>
      <c r="F1132" s="81" t="s">
        <v>0</v>
      </c>
    </row>
    <row r="1133" spans="1:6" x14ac:dyDescent="0.25">
      <c r="A1133" s="14">
        <v>46144.803472222222</v>
      </c>
      <c r="B1133" s="81" t="s">
        <v>149</v>
      </c>
      <c r="C1133" s="81" t="s">
        <v>174</v>
      </c>
      <c r="D1133" s="81" t="s">
        <v>167</v>
      </c>
      <c r="E1133" s="81" t="s">
        <v>64</v>
      </c>
      <c r="F1133" s="81" t="s">
        <v>98</v>
      </c>
    </row>
    <row r="1134" spans="1:6" x14ac:dyDescent="0.25">
      <c r="A1134" s="14">
        <v>46144.803472222222</v>
      </c>
      <c r="B1134" s="81" t="s">
        <v>149</v>
      </c>
      <c r="C1134" s="81" t="s">
        <v>185</v>
      </c>
      <c r="D1134" s="81" t="s">
        <v>257</v>
      </c>
      <c r="E1134" s="81" t="s">
        <v>52</v>
      </c>
      <c r="F1134" s="81" t="s">
        <v>0</v>
      </c>
    </row>
    <row r="1135" spans="1:6" x14ac:dyDescent="0.25">
      <c r="A1135" s="14">
        <v>46144.803472222222</v>
      </c>
      <c r="B1135" s="81" t="s">
        <v>149</v>
      </c>
      <c r="C1135" s="81" t="s">
        <v>151</v>
      </c>
      <c r="D1135" s="81" t="s">
        <v>167</v>
      </c>
      <c r="E1135" s="81" t="s">
        <v>50</v>
      </c>
      <c r="F1135" s="81" t="s">
        <v>1</v>
      </c>
    </row>
    <row r="1136" spans="1:6" x14ac:dyDescent="0.25">
      <c r="A1136" s="14">
        <v>46144.803472222222</v>
      </c>
      <c r="B1136" s="81" t="s">
        <v>149</v>
      </c>
      <c r="C1136" s="81" t="s">
        <v>158</v>
      </c>
      <c r="D1136" s="81" t="s">
        <v>257</v>
      </c>
      <c r="E1136" s="81" t="s">
        <v>52</v>
      </c>
      <c r="F1136" s="81" t="s">
        <v>0</v>
      </c>
    </row>
    <row r="1137" spans="1:6" x14ac:dyDescent="0.25">
      <c r="A1137" s="14">
        <v>46144.803472222222</v>
      </c>
      <c r="B1137" s="81" t="s">
        <v>149</v>
      </c>
      <c r="C1137" s="81" t="s">
        <v>171</v>
      </c>
      <c r="D1137" s="81" t="s">
        <v>258</v>
      </c>
      <c r="E1137" s="81" t="s">
        <v>52</v>
      </c>
      <c r="F1137" s="81" t="s">
        <v>0</v>
      </c>
    </row>
    <row r="1138" spans="1:6" x14ac:dyDescent="0.25">
      <c r="A1138" s="14">
        <v>46144.81527777778</v>
      </c>
      <c r="B1138" s="81" t="s">
        <v>149</v>
      </c>
      <c r="C1138" s="81" t="s">
        <v>182</v>
      </c>
      <c r="D1138" s="81" t="s">
        <v>191</v>
      </c>
      <c r="E1138" s="81" t="s">
        <v>49</v>
      </c>
      <c r="F1138" s="81" t="s">
        <v>2</v>
      </c>
    </row>
    <row r="1139" spans="1:6" x14ac:dyDescent="0.25">
      <c r="A1139" s="14">
        <v>46144.81527777778</v>
      </c>
      <c r="B1139" s="81" t="s">
        <v>149</v>
      </c>
      <c r="C1139" s="81" t="s">
        <v>151</v>
      </c>
      <c r="D1139" s="81" t="s">
        <v>167</v>
      </c>
      <c r="E1139" s="81" t="s">
        <v>50</v>
      </c>
      <c r="F1139" s="81" t="s">
        <v>1</v>
      </c>
    </row>
    <row r="1140" spans="1:6" x14ac:dyDescent="0.25">
      <c r="A1140" s="14">
        <v>46144.81527777778</v>
      </c>
      <c r="B1140" s="81" t="s">
        <v>149</v>
      </c>
      <c r="C1140" s="81" t="s">
        <v>177</v>
      </c>
      <c r="D1140" s="81" t="s">
        <v>262</v>
      </c>
      <c r="E1140" s="81" t="s">
        <v>52</v>
      </c>
      <c r="F1140" s="81" t="s">
        <v>0</v>
      </c>
    </row>
    <row r="1141" spans="1:6" x14ac:dyDescent="0.25">
      <c r="A1141" s="14">
        <v>46144.81527777778</v>
      </c>
      <c r="B1141" s="81" t="s">
        <v>149</v>
      </c>
      <c r="C1141" s="81" t="s">
        <v>151</v>
      </c>
      <c r="D1141" s="81" t="s">
        <v>167</v>
      </c>
      <c r="E1141" s="81" t="s">
        <v>50</v>
      </c>
      <c r="F1141" s="81" t="s">
        <v>1</v>
      </c>
    </row>
    <row r="1142" spans="1:6" x14ac:dyDescent="0.25">
      <c r="A1142" s="14">
        <v>46144.81527777778</v>
      </c>
      <c r="B1142" s="81" t="s">
        <v>149</v>
      </c>
      <c r="C1142" s="81" t="s">
        <v>185</v>
      </c>
      <c r="D1142" s="81" t="s">
        <v>262</v>
      </c>
      <c r="E1142" s="81" t="s">
        <v>52</v>
      </c>
      <c r="F1142" s="81" t="s">
        <v>0</v>
      </c>
    </row>
    <row r="1143" spans="1:6" x14ac:dyDescent="0.25">
      <c r="A1143" s="14">
        <v>46144.898611111108</v>
      </c>
      <c r="B1143" s="81" t="s">
        <v>149</v>
      </c>
      <c r="C1143" s="81" t="s">
        <v>151</v>
      </c>
      <c r="D1143" s="81" t="s">
        <v>167</v>
      </c>
      <c r="E1143" s="81" t="s">
        <v>50</v>
      </c>
      <c r="F1143" s="81" t="s">
        <v>1</v>
      </c>
    </row>
    <row r="1144" spans="1:6" x14ac:dyDescent="0.25">
      <c r="A1144" s="14">
        <v>46144.898611111108</v>
      </c>
      <c r="B1144" s="81" t="s">
        <v>149</v>
      </c>
      <c r="C1144" s="81" t="s">
        <v>185</v>
      </c>
      <c r="D1144" s="81" t="s">
        <v>262</v>
      </c>
      <c r="E1144" s="81" t="s">
        <v>52</v>
      </c>
      <c r="F1144" s="81" t="s">
        <v>0</v>
      </c>
    </row>
    <row r="1145" spans="1:6" x14ac:dyDescent="0.25">
      <c r="A1145" s="14">
        <v>46144.898611111108</v>
      </c>
      <c r="B1145" s="81" t="s">
        <v>149</v>
      </c>
      <c r="C1145" s="81" t="s">
        <v>151</v>
      </c>
      <c r="D1145" s="81" t="s">
        <v>157</v>
      </c>
      <c r="E1145" s="81" t="s">
        <v>49</v>
      </c>
      <c r="F1145" s="81" t="s">
        <v>2</v>
      </c>
    </row>
    <row r="1146" spans="1:6" x14ac:dyDescent="0.25">
      <c r="A1146" s="14">
        <v>46144.898611111108</v>
      </c>
      <c r="B1146" s="81" t="s">
        <v>149</v>
      </c>
      <c r="C1146" s="81" t="s">
        <v>177</v>
      </c>
      <c r="D1146" s="81" t="s">
        <v>157</v>
      </c>
      <c r="E1146" s="81" t="s">
        <v>49</v>
      </c>
      <c r="F1146" s="81" t="s">
        <v>2</v>
      </c>
    </row>
    <row r="1147" spans="1:6" x14ac:dyDescent="0.25">
      <c r="A1147" s="14">
        <v>46144.898611111108</v>
      </c>
      <c r="B1147" s="81" t="s">
        <v>149</v>
      </c>
      <c r="C1147" s="81" t="s">
        <v>173</v>
      </c>
      <c r="D1147" s="81" t="s">
        <v>167</v>
      </c>
      <c r="E1147" s="81" t="s">
        <v>50</v>
      </c>
      <c r="F1147" s="81" t="s">
        <v>1</v>
      </c>
    </row>
    <row r="1148" spans="1:6" x14ac:dyDescent="0.25">
      <c r="A1148" s="14">
        <v>46144.898611111108</v>
      </c>
      <c r="B1148" s="81" t="s">
        <v>149</v>
      </c>
      <c r="C1148" s="81" t="s">
        <v>184</v>
      </c>
      <c r="D1148" s="81" t="s">
        <v>157</v>
      </c>
      <c r="E1148" s="81" t="s">
        <v>49</v>
      </c>
      <c r="F1148" s="81" t="s">
        <v>2</v>
      </c>
    </row>
    <row r="1149" spans="1:6" x14ac:dyDescent="0.25">
      <c r="A1149" s="14">
        <v>46144.898611111108</v>
      </c>
      <c r="B1149" s="81" t="s">
        <v>149</v>
      </c>
      <c r="C1149" s="81" t="s">
        <v>176</v>
      </c>
      <c r="D1149" s="81" t="s">
        <v>262</v>
      </c>
      <c r="E1149" s="81" t="s">
        <v>70</v>
      </c>
      <c r="F1149" s="81" t="s">
        <v>15</v>
      </c>
    </row>
    <row r="1150" spans="1:6" x14ac:dyDescent="0.25">
      <c r="A1150" s="14">
        <v>46144.898611111108</v>
      </c>
      <c r="B1150" s="81" t="s">
        <v>149</v>
      </c>
      <c r="C1150" s="81" t="s">
        <v>173</v>
      </c>
      <c r="D1150" s="81" t="s">
        <v>167</v>
      </c>
      <c r="E1150" s="81" t="s">
        <v>50</v>
      </c>
      <c r="F1150" s="81" t="s">
        <v>1</v>
      </c>
    </row>
    <row r="1151" spans="1:6" x14ac:dyDescent="0.25">
      <c r="A1151" s="14">
        <v>46144.898611111108</v>
      </c>
      <c r="B1151" s="81" t="s">
        <v>149</v>
      </c>
      <c r="C1151" s="81" t="s">
        <v>173</v>
      </c>
      <c r="D1151" s="81" t="s">
        <v>246</v>
      </c>
      <c r="E1151" s="81" t="s">
        <v>49</v>
      </c>
      <c r="F1151" s="81" t="s">
        <v>2</v>
      </c>
    </row>
    <row r="1152" spans="1:6" x14ac:dyDescent="0.25">
      <c r="A1152" s="14">
        <v>46144.898611111108</v>
      </c>
      <c r="B1152" s="81" t="s">
        <v>149</v>
      </c>
      <c r="C1152" s="81" t="s">
        <v>173</v>
      </c>
      <c r="D1152" s="81" t="s">
        <v>167</v>
      </c>
      <c r="E1152" s="81" t="s">
        <v>50</v>
      </c>
      <c r="F1152" s="81" t="s">
        <v>1</v>
      </c>
    </row>
    <row r="1153" spans="1:6" x14ac:dyDescent="0.25">
      <c r="A1153" s="14">
        <v>46144.898611111108</v>
      </c>
      <c r="B1153" s="81" t="s">
        <v>149</v>
      </c>
      <c r="C1153" s="81" t="s">
        <v>176</v>
      </c>
      <c r="D1153" s="81" t="s">
        <v>231</v>
      </c>
      <c r="E1153" s="81" t="s">
        <v>70</v>
      </c>
      <c r="F1153" s="81" t="s">
        <v>15</v>
      </c>
    </row>
    <row r="1154" spans="1:6" x14ac:dyDescent="0.25">
      <c r="A1154" s="14">
        <v>46144.898611111108</v>
      </c>
      <c r="B1154" s="81" t="s">
        <v>149</v>
      </c>
      <c r="C1154" s="81" t="s">
        <v>187</v>
      </c>
      <c r="D1154" s="81" t="s">
        <v>157</v>
      </c>
      <c r="E1154" s="81" t="s">
        <v>75</v>
      </c>
      <c r="F1154" s="81" t="s">
        <v>93</v>
      </c>
    </row>
    <row r="1155" spans="1:6" x14ac:dyDescent="0.25">
      <c r="A1155" s="14">
        <v>46144.898611111108</v>
      </c>
      <c r="B1155" s="81" t="s">
        <v>149</v>
      </c>
      <c r="C1155" s="81" t="s">
        <v>176</v>
      </c>
      <c r="D1155" s="81" t="s">
        <v>167</v>
      </c>
      <c r="E1155" s="81" t="s">
        <v>70</v>
      </c>
      <c r="F1155" s="81" t="s">
        <v>15</v>
      </c>
    </row>
    <row r="1156" spans="1:6" x14ac:dyDescent="0.25">
      <c r="A1156" s="14">
        <v>46144.898611111108</v>
      </c>
      <c r="B1156" s="81" t="s">
        <v>149</v>
      </c>
      <c r="C1156" s="81" t="s">
        <v>176</v>
      </c>
      <c r="D1156" s="81" t="s">
        <v>231</v>
      </c>
      <c r="E1156" s="81" t="s">
        <v>70</v>
      </c>
      <c r="F1156" s="81" t="s">
        <v>15</v>
      </c>
    </row>
    <row r="1157" spans="1:6" x14ac:dyDescent="0.25">
      <c r="A1157" s="14">
        <v>46144.898611111108</v>
      </c>
      <c r="B1157" s="81" t="s">
        <v>149</v>
      </c>
      <c r="C1157" s="81" t="s">
        <v>158</v>
      </c>
      <c r="D1157" s="81" t="s">
        <v>222</v>
      </c>
      <c r="E1157" s="81" t="s">
        <v>48</v>
      </c>
      <c r="F1157" s="81" t="s">
        <v>3</v>
      </c>
    </row>
    <row r="1158" spans="1:6" x14ac:dyDescent="0.25">
      <c r="A1158" s="14">
        <v>46144.898611111108</v>
      </c>
      <c r="B1158" s="81" t="s">
        <v>149</v>
      </c>
      <c r="C1158" s="81" t="s">
        <v>176</v>
      </c>
      <c r="D1158" s="81" t="s">
        <v>231</v>
      </c>
      <c r="E1158" s="81" t="s">
        <v>70</v>
      </c>
      <c r="F1158" s="81" t="s">
        <v>15</v>
      </c>
    </row>
    <row r="1159" spans="1:6" x14ac:dyDescent="0.25">
      <c r="A1159" s="14">
        <v>46144.898611111108</v>
      </c>
      <c r="B1159" s="81" t="s">
        <v>149</v>
      </c>
      <c r="C1159" s="81" t="s">
        <v>183</v>
      </c>
      <c r="D1159" s="81" t="s">
        <v>199</v>
      </c>
      <c r="E1159" s="81" t="s">
        <v>52</v>
      </c>
      <c r="F1159" s="81" t="s">
        <v>0</v>
      </c>
    </row>
    <row r="1160" spans="1:6" x14ac:dyDescent="0.25">
      <c r="A1160" s="14">
        <v>46144.898611111108</v>
      </c>
      <c r="B1160" s="81" t="s">
        <v>149</v>
      </c>
      <c r="C1160" s="81" t="s">
        <v>173</v>
      </c>
      <c r="D1160" s="81" t="s">
        <v>167</v>
      </c>
      <c r="E1160" s="81" t="s">
        <v>50</v>
      </c>
      <c r="F1160" s="81" t="s">
        <v>1</v>
      </c>
    </row>
    <row r="1161" spans="1:6" x14ac:dyDescent="0.25">
      <c r="A1161" s="14">
        <v>46144.898611111108</v>
      </c>
      <c r="B1161" s="81" t="s">
        <v>149</v>
      </c>
      <c r="C1161" s="81" t="s">
        <v>184</v>
      </c>
      <c r="D1161" s="81" t="s">
        <v>263</v>
      </c>
      <c r="E1161" s="81" t="s">
        <v>50</v>
      </c>
      <c r="F1161" s="81" t="s">
        <v>1</v>
      </c>
    </row>
    <row r="1162" spans="1:6" x14ac:dyDescent="0.25">
      <c r="A1162" s="14">
        <v>46144.898611111108</v>
      </c>
      <c r="B1162" s="81" t="s">
        <v>149</v>
      </c>
      <c r="C1162" s="81" t="s">
        <v>184</v>
      </c>
      <c r="D1162" s="81" t="s">
        <v>199</v>
      </c>
      <c r="E1162" s="81" t="s">
        <v>52</v>
      </c>
      <c r="F1162" s="81" t="s">
        <v>0</v>
      </c>
    </row>
    <row r="1163" spans="1:6" x14ac:dyDescent="0.25">
      <c r="A1163" s="14">
        <v>46144.898611111108</v>
      </c>
      <c r="B1163" s="81" t="s">
        <v>149</v>
      </c>
      <c r="C1163" s="81" t="s">
        <v>181</v>
      </c>
      <c r="D1163" s="81" t="s">
        <v>167</v>
      </c>
      <c r="E1163" s="81" t="s">
        <v>50</v>
      </c>
      <c r="F1163" s="81" t="s">
        <v>1</v>
      </c>
    </row>
    <row r="1164" spans="1:6" x14ac:dyDescent="0.25">
      <c r="A1164" s="14">
        <v>46144.898611111108</v>
      </c>
      <c r="B1164" s="81" t="s">
        <v>149</v>
      </c>
      <c r="C1164" s="81" t="s">
        <v>176</v>
      </c>
      <c r="D1164" s="81" t="s">
        <v>205</v>
      </c>
      <c r="E1164" s="81" t="s">
        <v>237</v>
      </c>
      <c r="F1164" s="81" t="s">
        <v>28</v>
      </c>
    </row>
    <row r="1165" spans="1:6" x14ac:dyDescent="0.25">
      <c r="A1165" s="14">
        <v>46144.898611111108</v>
      </c>
      <c r="B1165" s="81" t="s">
        <v>149</v>
      </c>
      <c r="C1165" s="81" t="s">
        <v>190</v>
      </c>
      <c r="D1165" s="81" t="s">
        <v>205</v>
      </c>
      <c r="E1165" s="81" t="s">
        <v>52</v>
      </c>
      <c r="F1165" s="81" t="s">
        <v>0</v>
      </c>
    </row>
    <row r="1166" spans="1:6" x14ac:dyDescent="0.25">
      <c r="A1166" s="14">
        <v>46144.898611111108</v>
      </c>
      <c r="B1166" s="81" t="s">
        <v>149</v>
      </c>
      <c r="C1166" s="81" t="s">
        <v>187</v>
      </c>
      <c r="D1166" s="81" t="s">
        <v>231</v>
      </c>
      <c r="E1166" s="81" t="s">
        <v>71</v>
      </c>
      <c r="F1166" s="81" t="s">
        <v>94</v>
      </c>
    </row>
    <row r="1167" spans="1:6" x14ac:dyDescent="0.25">
      <c r="A1167" s="14">
        <v>46144.898611111108</v>
      </c>
      <c r="B1167" s="81" t="s">
        <v>149</v>
      </c>
      <c r="C1167" s="81" t="s">
        <v>184</v>
      </c>
      <c r="D1167" s="81" t="s">
        <v>261</v>
      </c>
      <c r="E1167" s="81" t="s">
        <v>50</v>
      </c>
      <c r="F1167" s="81" t="s">
        <v>1</v>
      </c>
    </row>
    <row r="1168" spans="1:6" x14ac:dyDescent="0.25">
      <c r="A1168" s="14">
        <v>46144.898611111108</v>
      </c>
      <c r="B1168" s="81" t="s">
        <v>149</v>
      </c>
      <c r="C1168" s="81" t="s">
        <v>181</v>
      </c>
      <c r="D1168" s="81" t="s">
        <v>167</v>
      </c>
      <c r="E1168" s="81" t="s">
        <v>50</v>
      </c>
      <c r="F1168" s="81" t="s">
        <v>1</v>
      </c>
    </row>
    <row r="1169" spans="1:6" x14ac:dyDescent="0.25">
      <c r="A1169" s="14">
        <v>46144.898611111108</v>
      </c>
      <c r="B1169" s="81" t="s">
        <v>149</v>
      </c>
      <c r="C1169" s="81" t="s">
        <v>182</v>
      </c>
      <c r="D1169" s="81" t="s">
        <v>167</v>
      </c>
      <c r="E1169" s="81" t="s">
        <v>50</v>
      </c>
      <c r="F1169" s="81" t="s">
        <v>1</v>
      </c>
    </row>
    <row r="1170" spans="1:6" x14ac:dyDescent="0.25">
      <c r="A1170" s="14">
        <v>46144.898611111108</v>
      </c>
      <c r="B1170" s="81" t="s">
        <v>149</v>
      </c>
      <c r="C1170" s="81" t="s">
        <v>190</v>
      </c>
      <c r="D1170" s="81" t="s">
        <v>263</v>
      </c>
      <c r="E1170" s="81" t="s">
        <v>50</v>
      </c>
      <c r="F1170" s="81" t="s">
        <v>1</v>
      </c>
    </row>
    <row r="1171" spans="1:6" x14ac:dyDescent="0.25">
      <c r="A1171" s="14">
        <v>46144.898611111108</v>
      </c>
      <c r="B1171" s="81" t="s">
        <v>149</v>
      </c>
      <c r="C1171" s="81" t="s">
        <v>173</v>
      </c>
      <c r="D1171" s="81" t="s">
        <v>261</v>
      </c>
      <c r="E1171" s="81" t="s">
        <v>50</v>
      </c>
      <c r="F1171" s="81" t="s">
        <v>1</v>
      </c>
    </row>
    <row r="1172" spans="1:6" x14ac:dyDescent="0.25">
      <c r="A1172" s="14">
        <v>46144.898611111108</v>
      </c>
      <c r="B1172" s="81" t="s">
        <v>149</v>
      </c>
      <c r="C1172" s="81" t="s">
        <v>151</v>
      </c>
      <c r="D1172" s="81" t="s">
        <v>222</v>
      </c>
      <c r="E1172" s="81" t="s">
        <v>48</v>
      </c>
      <c r="F1172" s="81" t="s">
        <v>3</v>
      </c>
    </row>
    <row r="1173" spans="1:6" x14ac:dyDescent="0.25">
      <c r="A1173" s="14">
        <v>46144.898611111108</v>
      </c>
      <c r="B1173" s="81" t="s">
        <v>149</v>
      </c>
      <c r="C1173" s="81" t="s">
        <v>173</v>
      </c>
      <c r="D1173" s="81" t="s">
        <v>167</v>
      </c>
      <c r="E1173" s="81" t="s">
        <v>50</v>
      </c>
      <c r="F1173" s="81" t="s">
        <v>1</v>
      </c>
    </row>
    <row r="1174" spans="1:6" x14ac:dyDescent="0.25">
      <c r="A1174" s="14">
        <v>46144.898611111108</v>
      </c>
      <c r="B1174" s="81" t="s">
        <v>149</v>
      </c>
      <c r="C1174" s="81" t="s">
        <v>181</v>
      </c>
      <c r="D1174" s="81" t="s">
        <v>222</v>
      </c>
      <c r="E1174" s="81" t="s">
        <v>48</v>
      </c>
      <c r="F1174" s="81" t="s">
        <v>3</v>
      </c>
    </row>
    <row r="1175" spans="1:6" x14ac:dyDescent="0.25">
      <c r="A1175" s="14">
        <v>46144.898611111108</v>
      </c>
      <c r="B1175" s="81" t="s">
        <v>149</v>
      </c>
      <c r="C1175" s="81" t="s">
        <v>176</v>
      </c>
      <c r="D1175" s="81" t="s">
        <v>157</v>
      </c>
      <c r="E1175" s="81" t="s">
        <v>63</v>
      </c>
      <c r="F1175" s="81" t="s">
        <v>16</v>
      </c>
    </row>
    <row r="1176" spans="1:6" x14ac:dyDescent="0.25">
      <c r="A1176" s="14">
        <v>46144.898611111108</v>
      </c>
      <c r="B1176" s="81" t="s">
        <v>149</v>
      </c>
      <c r="C1176" s="81" t="s">
        <v>184</v>
      </c>
      <c r="D1176" s="81" t="s">
        <v>261</v>
      </c>
      <c r="E1176" s="81" t="s">
        <v>50</v>
      </c>
      <c r="F1176" s="81" t="s">
        <v>1</v>
      </c>
    </row>
    <row r="1177" spans="1:6" x14ac:dyDescent="0.25">
      <c r="A1177" s="14">
        <v>46144.898611111108</v>
      </c>
      <c r="B1177" s="81" t="s">
        <v>149</v>
      </c>
      <c r="C1177" s="81" t="s">
        <v>184</v>
      </c>
      <c r="D1177" s="81" t="s">
        <v>194</v>
      </c>
      <c r="E1177" s="81" t="s">
        <v>52</v>
      </c>
      <c r="F1177" s="81" t="s">
        <v>0</v>
      </c>
    </row>
    <row r="1178" spans="1:6" x14ac:dyDescent="0.25">
      <c r="A1178" s="14">
        <v>46144.898611111108</v>
      </c>
      <c r="B1178" s="81" t="s">
        <v>149</v>
      </c>
      <c r="C1178" s="81" t="s">
        <v>184</v>
      </c>
      <c r="D1178" s="81" t="s">
        <v>261</v>
      </c>
      <c r="E1178" s="81" t="s">
        <v>50</v>
      </c>
      <c r="F1178" s="81" t="s">
        <v>1</v>
      </c>
    </row>
    <row r="1179" spans="1:6" x14ac:dyDescent="0.25">
      <c r="A1179" s="14">
        <v>46144.898611111108</v>
      </c>
      <c r="B1179" s="81" t="s">
        <v>149</v>
      </c>
      <c r="C1179" s="81" t="s">
        <v>173</v>
      </c>
      <c r="D1179" s="81" t="s">
        <v>167</v>
      </c>
      <c r="E1179" s="81" t="s">
        <v>50</v>
      </c>
      <c r="F1179" s="81" t="s">
        <v>1</v>
      </c>
    </row>
    <row r="1180" spans="1:6" x14ac:dyDescent="0.25">
      <c r="A1180" s="14">
        <v>46144.898611111108</v>
      </c>
      <c r="B1180" s="81" t="s">
        <v>149</v>
      </c>
      <c r="C1180" s="81" t="s">
        <v>181</v>
      </c>
      <c r="D1180" s="81" t="s">
        <v>261</v>
      </c>
      <c r="E1180" s="81" t="s">
        <v>50</v>
      </c>
      <c r="F1180" s="81" t="s">
        <v>1</v>
      </c>
    </row>
    <row r="1181" spans="1:6" x14ac:dyDescent="0.25">
      <c r="A1181" s="14">
        <v>46144.898611111108</v>
      </c>
      <c r="B1181" s="81" t="s">
        <v>149</v>
      </c>
      <c r="C1181" s="81" t="s">
        <v>151</v>
      </c>
      <c r="D1181" s="81" t="s">
        <v>194</v>
      </c>
      <c r="E1181" s="81" t="s">
        <v>52</v>
      </c>
      <c r="F1181" s="81" t="s">
        <v>0</v>
      </c>
    </row>
    <row r="1182" spans="1:6" x14ac:dyDescent="0.25">
      <c r="A1182" s="14">
        <v>46144.956944444442</v>
      </c>
      <c r="B1182" s="81" t="s">
        <v>149</v>
      </c>
      <c r="C1182" s="81" t="s">
        <v>190</v>
      </c>
      <c r="D1182" s="81" t="s">
        <v>261</v>
      </c>
      <c r="E1182" s="81" t="s">
        <v>52</v>
      </c>
      <c r="F1182" s="81" t="s">
        <v>0</v>
      </c>
    </row>
    <row r="1183" spans="1:6" x14ac:dyDescent="0.25">
      <c r="A1183" s="14">
        <v>46144.956944444442</v>
      </c>
      <c r="B1183" s="81" t="s">
        <v>149</v>
      </c>
      <c r="C1183" s="81" t="s">
        <v>190</v>
      </c>
      <c r="D1183" s="81" t="s">
        <v>261</v>
      </c>
      <c r="E1183" s="81" t="s">
        <v>52</v>
      </c>
      <c r="F1183" s="81" t="s">
        <v>0</v>
      </c>
    </row>
    <row r="1184" spans="1:6" x14ac:dyDescent="0.25">
      <c r="A1184" s="14">
        <v>46144.956944444442</v>
      </c>
      <c r="B1184" s="81" t="s">
        <v>149</v>
      </c>
      <c r="C1184" s="81" t="s">
        <v>185</v>
      </c>
      <c r="D1184" s="81" t="s">
        <v>261</v>
      </c>
      <c r="E1184" s="81" t="s">
        <v>50</v>
      </c>
      <c r="F1184" s="81" t="s">
        <v>1</v>
      </c>
    </row>
    <row r="1185" spans="1:6" x14ac:dyDescent="0.25">
      <c r="A1185" s="14">
        <v>46144.956944444442</v>
      </c>
      <c r="B1185" s="81" t="s">
        <v>149</v>
      </c>
      <c r="C1185" s="81" t="s">
        <v>177</v>
      </c>
      <c r="D1185" s="81" t="s">
        <v>261</v>
      </c>
      <c r="E1185" s="81" t="s">
        <v>52</v>
      </c>
      <c r="F1185" s="81" t="s">
        <v>0</v>
      </c>
    </row>
    <row r="1186" spans="1:6" x14ac:dyDescent="0.25">
      <c r="A1186" s="14">
        <v>46144.956944444442</v>
      </c>
      <c r="B1186" s="81" t="s">
        <v>149</v>
      </c>
      <c r="C1186" s="81" t="s">
        <v>187</v>
      </c>
      <c r="D1186" s="81" t="s">
        <v>157</v>
      </c>
      <c r="E1186" s="81" t="s">
        <v>71</v>
      </c>
      <c r="F1186" s="81" t="s">
        <v>94</v>
      </c>
    </row>
    <row r="1187" spans="1:6" x14ac:dyDescent="0.25">
      <c r="A1187" s="14">
        <v>46144.956944444442</v>
      </c>
      <c r="B1187" s="81" t="s">
        <v>149</v>
      </c>
      <c r="C1187" s="81" t="s">
        <v>182</v>
      </c>
      <c r="D1187" s="81" t="s">
        <v>261</v>
      </c>
      <c r="E1187" s="81" t="s">
        <v>52</v>
      </c>
      <c r="F1187" s="81" t="s">
        <v>0</v>
      </c>
    </row>
    <row r="1188" spans="1:6" x14ac:dyDescent="0.25">
      <c r="A1188" s="14">
        <v>46144.956944444442</v>
      </c>
      <c r="B1188" s="81" t="s">
        <v>149</v>
      </c>
      <c r="C1188" s="81" t="s">
        <v>151</v>
      </c>
      <c r="D1188" s="81" t="s">
        <v>165</v>
      </c>
      <c r="E1188" s="81" t="s">
        <v>52</v>
      </c>
      <c r="F1188" s="81" t="s">
        <v>0</v>
      </c>
    </row>
    <row r="1189" spans="1:6" x14ac:dyDescent="0.25">
      <c r="A1189" s="14">
        <v>46144.956944444442</v>
      </c>
      <c r="B1189" s="81" t="s">
        <v>149</v>
      </c>
      <c r="C1189" s="81" t="s">
        <v>185</v>
      </c>
      <c r="D1189" s="81" t="s">
        <v>152</v>
      </c>
      <c r="E1189" s="81" t="s">
        <v>48</v>
      </c>
      <c r="F1189" s="81" t="s">
        <v>3</v>
      </c>
    </row>
    <row r="1190" spans="1:6" x14ac:dyDescent="0.25">
      <c r="A1190" s="14">
        <v>46144.956944444442</v>
      </c>
      <c r="B1190" s="81" t="s">
        <v>149</v>
      </c>
      <c r="C1190" s="81" t="s">
        <v>183</v>
      </c>
      <c r="D1190" s="81" t="s">
        <v>245</v>
      </c>
      <c r="E1190" s="81" t="s">
        <v>49</v>
      </c>
      <c r="F1190" s="81" t="s">
        <v>2</v>
      </c>
    </row>
    <row r="1191" spans="1:6" x14ac:dyDescent="0.25">
      <c r="A1191" s="14">
        <v>46144.956944444442</v>
      </c>
      <c r="B1191" s="81" t="s">
        <v>149</v>
      </c>
      <c r="C1191" s="81" t="s">
        <v>177</v>
      </c>
      <c r="D1191" s="81" t="s">
        <v>152</v>
      </c>
      <c r="E1191" s="81" t="s">
        <v>49</v>
      </c>
      <c r="F1191" s="81" t="s">
        <v>2</v>
      </c>
    </row>
    <row r="1192" spans="1:6" x14ac:dyDescent="0.25">
      <c r="A1192" s="14">
        <v>46144.956944444442</v>
      </c>
      <c r="B1192" s="81" t="s">
        <v>149</v>
      </c>
      <c r="C1192" s="81" t="s">
        <v>215</v>
      </c>
      <c r="D1192" s="81" t="s">
        <v>152</v>
      </c>
      <c r="E1192" s="81" t="s">
        <v>64</v>
      </c>
      <c r="F1192" s="81" t="s">
        <v>98</v>
      </c>
    </row>
    <row r="1193" spans="1:6" x14ac:dyDescent="0.25">
      <c r="A1193" s="14">
        <v>46144.956944444442</v>
      </c>
      <c r="B1193" s="81" t="s">
        <v>149</v>
      </c>
      <c r="C1193" s="81" t="s">
        <v>226</v>
      </c>
      <c r="D1193" s="81" t="s">
        <v>152</v>
      </c>
      <c r="E1193" s="81" t="s">
        <v>64</v>
      </c>
      <c r="F1193" s="81" t="s">
        <v>98</v>
      </c>
    </row>
    <row r="1194" spans="1:6" x14ac:dyDescent="0.25">
      <c r="A1194" s="14">
        <v>46144.956944444442</v>
      </c>
      <c r="B1194" s="81" t="s">
        <v>149</v>
      </c>
      <c r="C1194" s="81" t="s">
        <v>174</v>
      </c>
      <c r="D1194" s="81" t="s">
        <v>152</v>
      </c>
      <c r="E1194" s="81" t="s">
        <v>64</v>
      </c>
      <c r="F1194" s="81" t="s">
        <v>98</v>
      </c>
    </row>
    <row r="1195" spans="1:6" x14ac:dyDescent="0.25">
      <c r="A1195" s="14">
        <v>46144.956944444442</v>
      </c>
      <c r="B1195" s="81" t="s">
        <v>149</v>
      </c>
      <c r="C1195" s="81" t="s">
        <v>230</v>
      </c>
      <c r="D1195" s="81" t="s">
        <v>152</v>
      </c>
      <c r="E1195" s="81" t="s">
        <v>64</v>
      </c>
      <c r="F1195" s="81" t="s">
        <v>98</v>
      </c>
    </row>
    <row r="1196" spans="1:6" x14ac:dyDescent="0.25">
      <c r="A1196" s="14">
        <v>46144.956944444442</v>
      </c>
      <c r="B1196" s="81" t="s">
        <v>149</v>
      </c>
      <c r="C1196" s="81" t="s">
        <v>227</v>
      </c>
      <c r="D1196" s="81" t="s">
        <v>152</v>
      </c>
      <c r="E1196" s="81" t="s">
        <v>64</v>
      </c>
      <c r="F1196" s="81" t="s">
        <v>98</v>
      </c>
    </row>
    <row r="1197" spans="1:6" x14ac:dyDescent="0.25">
      <c r="A1197" s="14">
        <v>46144.956944444442</v>
      </c>
      <c r="B1197" s="81" t="s">
        <v>149</v>
      </c>
      <c r="C1197" s="81" t="s">
        <v>182</v>
      </c>
      <c r="D1197" s="81" t="s">
        <v>233</v>
      </c>
      <c r="E1197" s="81" t="s">
        <v>52</v>
      </c>
      <c r="F1197" s="81" t="s">
        <v>0</v>
      </c>
    </row>
    <row r="1198" spans="1:6" x14ac:dyDescent="0.25">
      <c r="A1198" s="14">
        <v>46145.37222222222</v>
      </c>
      <c r="B1198" s="81" t="s">
        <v>149</v>
      </c>
      <c r="C1198" s="81" t="s">
        <v>181</v>
      </c>
      <c r="D1198" s="81" t="s">
        <v>233</v>
      </c>
      <c r="E1198" s="81" t="s">
        <v>52</v>
      </c>
      <c r="F1198" s="81" t="s">
        <v>0</v>
      </c>
    </row>
    <row r="1199" spans="1:6" x14ac:dyDescent="0.25">
      <c r="A1199" s="14">
        <v>46145.37222222222</v>
      </c>
      <c r="B1199" s="81" t="s">
        <v>149</v>
      </c>
      <c r="C1199" s="81" t="s">
        <v>190</v>
      </c>
      <c r="D1199" s="81" t="s">
        <v>152</v>
      </c>
      <c r="E1199" s="81" t="s">
        <v>48</v>
      </c>
      <c r="F1199" s="81" t="s">
        <v>3</v>
      </c>
    </row>
    <row r="1200" spans="1:6" x14ac:dyDescent="0.25">
      <c r="A1200" s="14">
        <v>46145.37222222222</v>
      </c>
      <c r="B1200" s="81" t="s">
        <v>149</v>
      </c>
      <c r="C1200" s="81" t="s">
        <v>151</v>
      </c>
      <c r="D1200" s="81" t="s">
        <v>165</v>
      </c>
      <c r="E1200" s="81" t="s">
        <v>50</v>
      </c>
      <c r="F1200" s="81" t="s">
        <v>1</v>
      </c>
    </row>
    <row r="1201" spans="1:6" x14ac:dyDescent="0.25">
      <c r="A1201" s="14">
        <v>46145.37222222222</v>
      </c>
      <c r="B1201" s="81" t="s">
        <v>149</v>
      </c>
      <c r="C1201" s="81" t="s">
        <v>188</v>
      </c>
      <c r="D1201" s="81" t="s">
        <v>152</v>
      </c>
      <c r="E1201" s="81" t="s">
        <v>45</v>
      </c>
      <c r="F1201" s="81" t="s">
        <v>28</v>
      </c>
    </row>
    <row r="1202" spans="1:6" x14ac:dyDescent="0.25">
      <c r="A1202" s="14">
        <v>46145.37222222222</v>
      </c>
      <c r="B1202" s="81" t="s">
        <v>149</v>
      </c>
      <c r="C1202" s="81" t="s">
        <v>189</v>
      </c>
      <c r="D1202" s="81" t="s">
        <v>152</v>
      </c>
      <c r="E1202" s="81" t="s">
        <v>45</v>
      </c>
      <c r="F1202" s="81" t="s">
        <v>28</v>
      </c>
    </row>
    <row r="1203" spans="1:6" x14ac:dyDescent="0.25">
      <c r="A1203" s="14">
        <v>46145.37222222222</v>
      </c>
      <c r="B1203" s="81" t="s">
        <v>149</v>
      </c>
      <c r="C1203" s="81" t="s">
        <v>239</v>
      </c>
      <c r="D1203" s="81" t="s">
        <v>152</v>
      </c>
      <c r="E1203" s="81" t="s">
        <v>45</v>
      </c>
      <c r="F1203" s="81" t="s">
        <v>28</v>
      </c>
    </row>
    <row r="1204" spans="1:6" x14ac:dyDescent="0.25">
      <c r="A1204" s="14">
        <v>46145.37222222222</v>
      </c>
      <c r="B1204" s="81" t="s">
        <v>149</v>
      </c>
      <c r="C1204" s="81" t="s">
        <v>190</v>
      </c>
      <c r="D1204" s="81" t="s">
        <v>152</v>
      </c>
      <c r="E1204" s="81" t="s">
        <v>48</v>
      </c>
      <c r="F1204" s="81" t="s">
        <v>3</v>
      </c>
    </row>
    <row r="1205" spans="1:6" x14ac:dyDescent="0.25">
      <c r="A1205" s="14">
        <v>46145.37222222222</v>
      </c>
      <c r="B1205" s="81" t="s">
        <v>149</v>
      </c>
      <c r="C1205" s="81" t="s">
        <v>175</v>
      </c>
      <c r="D1205" s="81" t="s">
        <v>261</v>
      </c>
      <c r="E1205" s="81" t="s">
        <v>50</v>
      </c>
      <c r="F1205" s="81" t="s">
        <v>1</v>
      </c>
    </row>
    <row r="1206" spans="1:6" x14ac:dyDescent="0.25">
      <c r="A1206" s="14">
        <v>46145.37222222222</v>
      </c>
      <c r="B1206" s="81" t="s">
        <v>149</v>
      </c>
      <c r="C1206" s="81" t="s">
        <v>192</v>
      </c>
      <c r="D1206" s="81" t="s">
        <v>165</v>
      </c>
      <c r="E1206" s="81" t="s">
        <v>60</v>
      </c>
      <c r="F1206" s="81" t="s">
        <v>28</v>
      </c>
    </row>
    <row r="1207" spans="1:6" x14ac:dyDescent="0.25">
      <c r="A1207" s="14">
        <v>46145.37222222222</v>
      </c>
      <c r="B1207" s="81" t="s">
        <v>149</v>
      </c>
      <c r="C1207" s="81" t="s">
        <v>184</v>
      </c>
      <c r="D1207" s="81" t="s">
        <v>245</v>
      </c>
      <c r="E1207" s="81" t="s">
        <v>50</v>
      </c>
      <c r="F1207" s="81" t="s">
        <v>1</v>
      </c>
    </row>
    <row r="1208" spans="1:6" x14ac:dyDescent="0.25">
      <c r="A1208" s="14">
        <v>46145.37222222222</v>
      </c>
      <c r="B1208" s="81" t="s">
        <v>149</v>
      </c>
      <c r="C1208" s="81" t="s">
        <v>181</v>
      </c>
      <c r="D1208" s="81" t="s">
        <v>252</v>
      </c>
      <c r="E1208" s="81" t="s">
        <v>50</v>
      </c>
      <c r="F1208" s="81" t="s">
        <v>1</v>
      </c>
    </row>
    <row r="1209" spans="1:6" x14ac:dyDescent="0.25">
      <c r="A1209" s="14">
        <v>46145.37222222222</v>
      </c>
      <c r="B1209" s="81" t="s">
        <v>149</v>
      </c>
      <c r="C1209" s="81" t="s">
        <v>181</v>
      </c>
      <c r="D1209" s="81" t="s">
        <v>261</v>
      </c>
      <c r="E1209" s="81" t="s">
        <v>50</v>
      </c>
      <c r="F1209" s="81" t="s">
        <v>1</v>
      </c>
    </row>
    <row r="1210" spans="1:6" x14ac:dyDescent="0.25">
      <c r="A1210" s="14">
        <v>46145.37222222222</v>
      </c>
      <c r="B1210" s="81" t="s">
        <v>149</v>
      </c>
      <c r="C1210" s="81" t="s">
        <v>171</v>
      </c>
      <c r="D1210" s="81" t="s">
        <v>152</v>
      </c>
      <c r="E1210" s="81" t="s">
        <v>49</v>
      </c>
      <c r="F1210" s="81" t="s">
        <v>2</v>
      </c>
    </row>
    <row r="1211" spans="1:6" x14ac:dyDescent="0.25">
      <c r="A1211" s="14">
        <v>46145.37222222222</v>
      </c>
      <c r="B1211" s="81" t="s">
        <v>149</v>
      </c>
      <c r="C1211" s="81" t="s">
        <v>184</v>
      </c>
      <c r="D1211" s="81" t="s">
        <v>245</v>
      </c>
      <c r="E1211" s="81" t="s">
        <v>49</v>
      </c>
      <c r="F1211" s="81" t="s">
        <v>2</v>
      </c>
    </row>
    <row r="1212" spans="1:6" x14ac:dyDescent="0.25">
      <c r="A1212" s="14">
        <v>46145.37222222222</v>
      </c>
      <c r="B1212" s="81" t="s">
        <v>149</v>
      </c>
      <c r="C1212" s="81" t="s">
        <v>183</v>
      </c>
      <c r="D1212" s="81" t="s">
        <v>165</v>
      </c>
      <c r="E1212" s="81" t="s">
        <v>50</v>
      </c>
      <c r="F1212" s="81" t="s">
        <v>1</v>
      </c>
    </row>
    <row r="1213" spans="1:6" x14ac:dyDescent="0.25">
      <c r="A1213" s="14">
        <v>46145.37222222222</v>
      </c>
      <c r="B1213" s="81" t="s">
        <v>149</v>
      </c>
      <c r="C1213" s="81" t="s">
        <v>175</v>
      </c>
      <c r="D1213" s="81" t="s">
        <v>245</v>
      </c>
      <c r="E1213" s="81" t="s">
        <v>49</v>
      </c>
      <c r="F1213" s="81" t="s">
        <v>2</v>
      </c>
    </row>
    <row r="1214" spans="1:6" x14ac:dyDescent="0.25">
      <c r="A1214" s="14">
        <v>46145.37222222222</v>
      </c>
      <c r="B1214" s="81" t="s">
        <v>149</v>
      </c>
      <c r="C1214" s="81" t="s">
        <v>176</v>
      </c>
      <c r="D1214" s="81" t="s">
        <v>165</v>
      </c>
      <c r="E1214" s="81" t="s">
        <v>70</v>
      </c>
      <c r="F1214" s="81" t="s">
        <v>15</v>
      </c>
    </row>
    <row r="1215" spans="1:6" x14ac:dyDescent="0.25">
      <c r="A1215" s="14">
        <v>46145.37222222222</v>
      </c>
      <c r="B1215" s="81" t="s">
        <v>149</v>
      </c>
      <c r="C1215" s="81" t="s">
        <v>151</v>
      </c>
      <c r="D1215" s="81" t="s">
        <v>245</v>
      </c>
      <c r="E1215" s="81" t="s">
        <v>49</v>
      </c>
      <c r="F1215" s="81" t="s">
        <v>2</v>
      </c>
    </row>
    <row r="1216" spans="1:6" x14ac:dyDescent="0.25">
      <c r="A1216" s="14">
        <v>46145.37222222222</v>
      </c>
      <c r="B1216" s="81" t="s">
        <v>149</v>
      </c>
      <c r="C1216" s="81" t="s">
        <v>177</v>
      </c>
      <c r="D1216" s="81" t="s">
        <v>164</v>
      </c>
      <c r="E1216" s="81" t="s">
        <v>49</v>
      </c>
      <c r="F1216" s="81" t="s">
        <v>2</v>
      </c>
    </row>
    <row r="1217" spans="1:6" x14ac:dyDescent="0.25">
      <c r="A1217" s="14">
        <v>46145.37222222222</v>
      </c>
      <c r="B1217" s="81" t="s">
        <v>149</v>
      </c>
      <c r="C1217" s="81" t="s">
        <v>184</v>
      </c>
      <c r="D1217" s="81" t="s">
        <v>164</v>
      </c>
      <c r="E1217" s="81" t="s">
        <v>49</v>
      </c>
      <c r="F1217" s="81" t="s">
        <v>2</v>
      </c>
    </row>
    <row r="1218" spans="1:6" x14ac:dyDescent="0.25">
      <c r="A1218" s="14">
        <v>46145.37222222222</v>
      </c>
      <c r="B1218" s="81" t="s">
        <v>149</v>
      </c>
      <c r="C1218" s="81" t="s">
        <v>173</v>
      </c>
      <c r="D1218" s="81" t="s">
        <v>164</v>
      </c>
      <c r="E1218" s="81" t="s">
        <v>49</v>
      </c>
      <c r="F1218" s="81" t="s">
        <v>2</v>
      </c>
    </row>
    <row r="1219" spans="1:6" x14ac:dyDescent="0.25">
      <c r="A1219" s="14">
        <v>46145.37222222222</v>
      </c>
      <c r="B1219" s="81" t="s">
        <v>149</v>
      </c>
      <c r="C1219" s="81" t="s">
        <v>181</v>
      </c>
      <c r="D1219" s="81" t="s">
        <v>245</v>
      </c>
      <c r="E1219" s="81" t="s">
        <v>49</v>
      </c>
      <c r="F1219" s="81" t="s">
        <v>2</v>
      </c>
    </row>
    <row r="1220" spans="1:6" x14ac:dyDescent="0.25">
      <c r="A1220" s="14">
        <v>46145.37222222222</v>
      </c>
      <c r="B1220" s="81" t="s">
        <v>149</v>
      </c>
      <c r="C1220" s="81" t="s">
        <v>190</v>
      </c>
      <c r="D1220" s="81" t="s">
        <v>250</v>
      </c>
      <c r="E1220" s="81" t="s">
        <v>50</v>
      </c>
      <c r="F1220" s="81" t="s">
        <v>1</v>
      </c>
    </row>
    <row r="1221" spans="1:6" x14ac:dyDescent="0.25">
      <c r="A1221" s="14">
        <v>46145.37222222222</v>
      </c>
      <c r="B1221" s="81" t="s">
        <v>149</v>
      </c>
      <c r="C1221" s="81" t="s">
        <v>182</v>
      </c>
      <c r="D1221" s="81" t="s">
        <v>238</v>
      </c>
      <c r="E1221" s="81" t="s">
        <v>52</v>
      </c>
      <c r="F1221" s="81" t="s">
        <v>0</v>
      </c>
    </row>
    <row r="1222" spans="1:6" x14ac:dyDescent="0.25">
      <c r="A1222" s="14">
        <v>46145.37222222222</v>
      </c>
      <c r="B1222" s="81" t="s">
        <v>149</v>
      </c>
      <c r="C1222" s="81" t="s">
        <v>183</v>
      </c>
      <c r="D1222" s="81" t="s">
        <v>250</v>
      </c>
      <c r="E1222" s="81" t="s">
        <v>49</v>
      </c>
      <c r="F1222" s="81" t="s">
        <v>2</v>
      </c>
    </row>
    <row r="1223" spans="1:6" x14ac:dyDescent="0.25">
      <c r="A1223" s="14">
        <v>46145.37222222222</v>
      </c>
      <c r="B1223" s="81" t="s">
        <v>149</v>
      </c>
      <c r="C1223" s="81" t="s">
        <v>176</v>
      </c>
      <c r="D1223" s="81" t="s">
        <v>231</v>
      </c>
      <c r="E1223" s="81" t="s">
        <v>70</v>
      </c>
      <c r="F1223" s="81" t="s">
        <v>15</v>
      </c>
    </row>
    <row r="1224" spans="1:6" x14ac:dyDescent="0.25">
      <c r="A1224" s="14">
        <v>46145.37222222222</v>
      </c>
      <c r="B1224" s="81" t="s">
        <v>149</v>
      </c>
      <c r="C1224" s="81" t="s">
        <v>181</v>
      </c>
      <c r="D1224" s="81" t="s">
        <v>262</v>
      </c>
      <c r="E1224" s="81" t="s">
        <v>52</v>
      </c>
      <c r="F1224" s="81" t="s">
        <v>0</v>
      </c>
    </row>
    <row r="1225" spans="1:6" x14ac:dyDescent="0.25">
      <c r="A1225" s="14">
        <v>46145.37222222222</v>
      </c>
      <c r="B1225" s="81" t="s">
        <v>149</v>
      </c>
      <c r="C1225" s="81" t="s">
        <v>192</v>
      </c>
      <c r="D1225" s="81" t="s">
        <v>262</v>
      </c>
      <c r="E1225" s="81" t="s">
        <v>60</v>
      </c>
      <c r="F1225" s="81" t="s">
        <v>28</v>
      </c>
    </row>
    <row r="1226" spans="1:6" x14ac:dyDescent="0.25">
      <c r="A1226" s="14">
        <v>46145.37222222222</v>
      </c>
      <c r="B1226" s="81" t="s">
        <v>149</v>
      </c>
      <c r="C1226" s="81" t="s">
        <v>171</v>
      </c>
      <c r="D1226" s="81" t="s">
        <v>225</v>
      </c>
      <c r="E1226" s="81" t="s">
        <v>50</v>
      </c>
      <c r="F1226" s="81" t="s">
        <v>1</v>
      </c>
    </row>
    <row r="1227" spans="1:6" x14ac:dyDescent="0.25">
      <c r="A1227" s="14">
        <v>46145.37222222222</v>
      </c>
      <c r="B1227" s="81" t="s">
        <v>149</v>
      </c>
      <c r="C1227" s="81" t="s">
        <v>177</v>
      </c>
      <c r="D1227" s="81" t="s">
        <v>262</v>
      </c>
      <c r="E1227" s="81" t="s">
        <v>52</v>
      </c>
      <c r="F1227" s="81" t="s">
        <v>0</v>
      </c>
    </row>
    <row r="1228" spans="1:6" x14ac:dyDescent="0.25">
      <c r="A1228" s="14">
        <v>46145.37222222222</v>
      </c>
      <c r="B1228" s="81" t="s">
        <v>149</v>
      </c>
      <c r="C1228" s="81" t="s">
        <v>175</v>
      </c>
      <c r="D1228" s="81" t="s">
        <v>225</v>
      </c>
      <c r="E1228" s="81" t="s">
        <v>50</v>
      </c>
      <c r="F1228" s="81" t="s">
        <v>1</v>
      </c>
    </row>
    <row r="1229" spans="1:6" x14ac:dyDescent="0.25">
      <c r="A1229" s="14">
        <v>46145.37222222222</v>
      </c>
      <c r="B1229" s="81" t="s">
        <v>149</v>
      </c>
      <c r="C1229" s="81" t="s">
        <v>182</v>
      </c>
      <c r="D1229" s="81" t="s">
        <v>165</v>
      </c>
      <c r="E1229" s="81" t="s">
        <v>50</v>
      </c>
      <c r="F1229" s="81" t="s">
        <v>1</v>
      </c>
    </row>
    <row r="1230" spans="1:6" x14ac:dyDescent="0.25">
      <c r="A1230" s="14">
        <v>46145.37222222222</v>
      </c>
      <c r="B1230" s="81" t="s">
        <v>149</v>
      </c>
      <c r="C1230" s="81" t="s">
        <v>175</v>
      </c>
      <c r="D1230" s="81" t="s">
        <v>262</v>
      </c>
      <c r="E1230" s="81" t="s">
        <v>52</v>
      </c>
      <c r="F1230" s="81" t="s">
        <v>0</v>
      </c>
    </row>
    <row r="1231" spans="1:6" x14ac:dyDescent="0.25">
      <c r="A1231" s="14">
        <v>46145.37222222222</v>
      </c>
      <c r="B1231" s="81" t="s">
        <v>149</v>
      </c>
      <c r="C1231" s="81" t="s">
        <v>175</v>
      </c>
      <c r="D1231" s="81" t="s">
        <v>262</v>
      </c>
      <c r="E1231" s="81" t="s">
        <v>52</v>
      </c>
      <c r="F1231" s="81" t="s">
        <v>0</v>
      </c>
    </row>
    <row r="1232" spans="1:6" x14ac:dyDescent="0.25">
      <c r="A1232" s="14">
        <v>46145.37222222222</v>
      </c>
      <c r="B1232" s="81" t="s">
        <v>149</v>
      </c>
      <c r="C1232" s="81" t="s">
        <v>190</v>
      </c>
      <c r="D1232" s="81" t="s">
        <v>262</v>
      </c>
      <c r="E1232" s="81" t="s">
        <v>50</v>
      </c>
      <c r="F1232" s="81" t="s">
        <v>1</v>
      </c>
    </row>
    <row r="1233" spans="1:6" x14ac:dyDescent="0.25">
      <c r="A1233" s="14">
        <v>46145.37222222222</v>
      </c>
      <c r="B1233" s="81" t="s">
        <v>149</v>
      </c>
      <c r="C1233" s="81" t="s">
        <v>176</v>
      </c>
      <c r="D1233" s="81" t="s">
        <v>167</v>
      </c>
      <c r="E1233" s="81" t="s">
        <v>70</v>
      </c>
      <c r="F1233" s="81" t="s">
        <v>15</v>
      </c>
    </row>
    <row r="1234" spans="1:6" x14ac:dyDescent="0.25">
      <c r="A1234" s="14">
        <v>46145.37222222222</v>
      </c>
      <c r="B1234" s="81" t="s">
        <v>149</v>
      </c>
      <c r="C1234" s="81" t="s">
        <v>183</v>
      </c>
      <c r="D1234" s="81" t="s">
        <v>165</v>
      </c>
      <c r="E1234" s="81" t="s">
        <v>50</v>
      </c>
      <c r="F1234" s="81" t="s">
        <v>1</v>
      </c>
    </row>
    <row r="1235" spans="1:6" x14ac:dyDescent="0.25">
      <c r="A1235" s="14">
        <v>46145.37222222222</v>
      </c>
      <c r="B1235" s="81" t="s">
        <v>149</v>
      </c>
      <c r="C1235" s="81" t="s">
        <v>176</v>
      </c>
      <c r="D1235" s="81" t="s">
        <v>167</v>
      </c>
      <c r="E1235" s="81" t="s">
        <v>70</v>
      </c>
      <c r="F1235" s="81" t="s">
        <v>15</v>
      </c>
    </row>
    <row r="1236" spans="1:6" x14ac:dyDescent="0.25">
      <c r="A1236" s="14">
        <v>46145.37222222222</v>
      </c>
      <c r="B1236" s="81" t="s">
        <v>149</v>
      </c>
      <c r="C1236" s="81" t="s">
        <v>176</v>
      </c>
      <c r="D1236" s="81" t="s">
        <v>167</v>
      </c>
      <c r="E1236" s="81" t="s">
        <v>70</v>
      </c>
      <c r="F1236" s="81" t="s">
        <v>15</v>
      </c>
    </row>
    <row r="1237" spans="1:6" x14ac:dyDescent="0.25">
      <c r="A1237" s="14">
        <v>46145.37222222222</v>
      </c>
      <c r="B1237" s="81" t="s">
        <v>149</v>
      </c>
      <c r="C1237" s="81" t="s">
        <v>173</v>
      </c>
      <c r="D1237" s="81" t="s">
        <v>167</v>
      </c>
      <c r="E1237" s="81" t="s">
        <v>50</v>
      </c>
      <c r="F1237" s="81" t="s">
        <v>1</v>
      </c>
    </row>
    <row r="1238" spans="1:6" x14ac:dyDescent="0.25">
      <c r="A1238" s="14">
        <v>46145.37222222222</v>
      </c>
      <c r="B1238" s="81" t="s">
        <v>149</v>
      </c>
      <c r="C1238" s="81" t="s">
        <v>173</v>
      </c>
      <c r="D1238" s="81" t="s">
        <v>167</v>
      </c>
      <c r="E1238" s="81" t="s">
        <v>50</v>
      </c>
      <c r="F1238" s="81" t="s">
        <v>1</v>
      </c>
    </row>
    <row r="1239" spans="1:6" x14ac:dyDescent="0.25">
      <c r="A1239" s="14">
        <v>46145.37222222222</v>
      </c>
      <c r="B1239" s="81" t="s">
        <v>149</v>
      </c>
      <c r="C1239" s="81" t="s">
        <v>176</v>
      </c>
      <c r="D1239" s="81" t="s">
        <v>167</v>
      </c>
      <c r="E1239" s="81" t="s">
        <v>70</v>
      </c>
      <c r="F1239" s="81" t="s">
        <v>15</v>
      </c>
    </row>
    <row r="1240" spans="1:6" x14ac:dyDescent="0.25">
      <c r="A1240" s="14">
        <v>46145.37222222222</v>
      </c>
      <c r="B1240" s="81" t="s">
        <v>149</v>
      </c>
      <c r="C1240" s="81" t="s">
        <v>176</v>
      </c>
      <c r="D1240" s="81" t="s">
        <v>167</v>
      </c>
      <c r="E1240" s="81" t="s">
        <v>70</v>
      </c>
      <c r="F1240" s="81" t="s">
        <v>15</v>
      </c>
    </row>
    <row r="1241" spans="1:6" x14ac:dyDescent="0.25">
      <c r="A1241" s="14">
        <v>46145.37222222222</v>
      </c>
      <c r="B1241" s="81" t="s">
        <v>149</v>
      </c>
      <c r="C1241" s="81" t="s">
        <v>158</v>
      </c>
      <c r="D1241" s="81" t="s">
        <v>167</v>
      </c>
      <c r="E1241" s="81" t="s">
        <v>50</v>
      </c>
      <c r="F1241" s="81" t="s">
        <v>1</v>
      </c>
    </row>
    <row r="1242" spans="1:6" x14ac:dyDescent="0.25">
      <c r="A1242" s="14">
        <v>46145.37222222222</v>
      </c>
      <c r="B1242" s="81" t="s">
        <v>149</v>
      </c>
      <c r="C1242" s="81" t="s">
        <v>173</v>
      </c>
      <c r="D1242" s="81" t="s">
        <v>167</v>
      </c>
      <c r="E1242" s="81" t="s">
        <v>50</v>
      </c>
      <c r="F1242" s="81" t="s">
        <v>1</v>
      </c>
    </row>
    <row r="1243" spans="1:6" x14ac:dyDescent="0.25">
      <c r="A1243" s="14">
        <v>46145.37222222222</v>
      </c>
      <c r="B1243" s="81" t="s">
        <v>149</v>
      </c>
      <c r="C1243" s="81" t="s">
        <v>158</v>
      </c>
      <c r="D1243" s="81" t="s">
        <v>167</v>
      </c>
      <c r="E1243" s="81" t="s">
        <v>50</v>
      </c>
      <c r="F1243" s="81" t="s">
        <v>1</v>
      </c>
    </row>
    <row r="1244" spans="1:6" x14ac:dyDescent="0.25">
      <c r="A1244" s="14">
        <v>46145.37222222222</v>
      </c>
      <c r="B1244" s="81" t="s">
        <v>149</v>
      </c>
      <c r="C1244" s="81" t="s">
        <v>158</v>
      </c>
      <c r="D1244" s="81" t="s">
        <v>167</v>
      </c>
      <c r="E1244" s="81" t="s">
        <v>50</v>
      </c>
      <c r="F1244" s="81" t="s">
        <v>1</v>
      </c>
    </row>
    <row r="1245" spans="1:6" x14ac:dyDescent="0.25">
      <c r="A1245" s="14">
        <v>46145.37222222222</v>
      </c>
      <c r="B1245" s="81" t="s">
        <v>149</v>
      </c>
      <c r="C1245" s="81" t="s">
        <v>158</v>
      </c>
      <c r="D1245" s="81" t="s">
        <v>167</v>
      </c>
      <c r="E1245" s="81" t="s">
        <v>50</v>
      </c>
      <c r="F1245" s="81" t="s">
        <v>1</v>
      </c>
    </row>
    <row r="1246" spans="1:6" x14ac:dyDescent="0.25">
      <c r="A1246" s="14">
        <v>46145.37222222222</v>
      </c>
      <c r="B1246" s="81" t="s">
        <v>149</v>
      </c>
      <c r="C1246" s="81" t="s">
        <v>176</v>
      </c>
      <c r="D1246" s="81" t="s">
        <v>167</v>
      </c>
      <c r="E1246" s="81" t="s">
        <v>70</v>
      </c>
      <c r="F1246" s="81" t="s">
        <v>15</v>
      </c>
    </row>
    <row r="1247" spans="1:6" x14ac:dyDescent="0.25">
      <c r="A1247" s="14">
        <v>46145.37222222222</v>
      </c>
      <c r="B1247" s="81" t="s">
        <v>149</v>
      </c>
      <c r="C1247" s="81" t="s">
        <v>158</v>
      </c>
      <c r="D1247" s="81" t="s">
        <v>167</v>
      </c>
      <c r="E1247" s="81" t="s">
        <v>50</v>
      </c>
      <c r="F1247" s="81" t="s">
        <v>1</v>
      </c>
    </row>
    <row r="1248" spans="1:6" x14ac:dyDescent="0.25">
      <c r="A1248" s="14">
        <v>46145.37222222222</v>
      </c>
      <c r="B1248" s="81" t="s">
        <v>149</v>
      </c>
      <c r="C1248" s="81" t="s">
        <v>158</v>
      </c>
      <c r="D1248" s="81" t="s">
        <v>167</v>
      </c>
      <c r="E1248" s="81" t="s">
        <v>50</v>
      </c>
      <c r="F1248" s="81" t="s">
        <v>1</v>
      </c>
    </row>
    <row r="1249" spans="1:6" x14ac:dyDescent="0.25">
      <c r="A1249" s="14">
        <v>46145.37222222222</v>
      </c>
      <c r="B1249" s="81" t="s">
        <v>149</v>
      </c>
      <c r="C1249" s="81" t="s">
        <v>176</v>
      </c>
      <c r="D1249" s="81" t="s">
        <v>231</v>
      </c>
      <c r="E1249" s="81" t="s">
        <v>70</v>
      </c>
      <c r="F1249" s="81" t="s">
        <v>15</v>
      </c>
    </row>
    <row r="1250" spans="1:6" x14ac:dyDescent="0.25">
      <c r="A1250" s="14">
        <v>46145.37222222222</v>
      </c>
      <c r="B1250" s="81" t="s">
        <v>149</v>
      </c>
      <c r="C1250" s="81" t="s">
        <v>184</v>
      </c>
      <c r="D1250" s="81" t="s">
        <v>193</v>
      </c>
      <c r="E1250" s="81" t="s">
        <v>50</v>
      </c>
      <c r="F1250" s="81" t="s">
        <v>1</v>
      </c>
    </row>
    <row r="1251" spans="1:6" x14ac:dyDescent="0.25">
      <c r="A1251" s="14">
        <v>46145.37222222222</v>
      </c>
      <c r="B1251" s="81" t="s">
        <v>149</v>
      </c>
      <c r="C1251" s="81" t="s">
        <v>173</v>
      </c>
      <c r="D1251" s="81" t="s">
        <v>167</v>
      </c>
      <c r="E1251" s="81" t="s">
        <v>50</v>
      </c>
      <c r="F1251" s="81" t="s">
        <v>1</v>
      </c>
    </row>
    <row r="1252" spans="1:6" x14ac:dyDescent="0.25">
      <c r="A1252" s="14">
        <v>46145.37222222222</v>
      </c>
      <c r="B1252" s="81" t="s">
        <v>149</v>
      </c>
      <c r="C1252" s="81" t="s">
        <v>158</v>
      </c>
      <c r="D1252" s="81" t="s">
        <v>167</v>
      </c>
      <c r="E1252" s="81" t="s">
        <v>50</v>
      </c>
      <c r="F1252" s="81" t="s">
        <v>1</v>
      </c>
    </row>
    <row r="1253" spans="1:6" x14ac:dyDescent="0.25">
      <c r="A1253" s="14">
        <v>46145.37222222222</v>
      </c>
      <c r="B1253" s="81" t="s">
        <v>149</v>
      </c>
      <c r="C1253" s="81" t="s">
        <v>182</v>
      </c>
      <c r="D1253" s="81" t="s">
        <v>193</v>
      </c>
      <c r="E1253" s="81" t="s">
        <v>50</v>
      </c>
      <c r="F1253" s="81" t="s">
        <v>1</v>
      </c>
    </row>
    <row r="1254" spans="1:6" x14ac:dyDescent="0.25">
      <c r="A1254" s="14">
        <v>46145.37222222222</v>
      </c>
      <c r="B1254" s="81" t="s">
        <v>149</v>
      </c>
      <c r="C1254" s="81" t="s">
        <v>185</v>
      </c>
      <c r="D1254" s="81" t="s">
        <v>193</v>
      </c>
      <c r="E1254" s="81" t="s">
        <v>50</v>
      </c>
      <c r="F1254" s="81" t="s">
        <v>1</v>
      </c>
    </row>
    <row r="1255" spans="1:6" x14ac:dyDescent="0.25">
      <c r="A1255" s="14">
        <v>46145.37222222222</v>
      </c>
      <c r="B1255" s="81" t="s">
        <v>149</v>
      </c>
      <c r="C1255" s="81" t="s">
        <v>173</v>
      </c>
      <c r="D1255" s="81" t="s">
        <v>167</v>
      </c>
      <c r="E1255" s="81" t="s">
        <v>50</v>
      </c>
      <c r="F1255" s="81" t="s">
        <v>1</v>
      </c>
    </row>
    <row r="1256" spans="1:6" x14ac:dyDescent="0.25">
      <c r="A1256" s="14">
        <v>46145.37222222222</v>
      </c>
      <c r="B1256" s="81" t="s">
        <v>149</v>
      </c>
      <c r="C1256" s="81" t="s">
        <v>187</v>
      </c>
      <c r="D1256" s="81" t="s">
        <v>150</v>
      </c>
      <c r="E1256" s="81" t="s">
        <v>75</v>
      </c>
      <c r="F1256" s="81" t="s">
        <v>93</v>
      </c>
    </row>
    <row r="1257" spans="1:6" x14ac:dyDescent="0.25">
      <c r="A1257" s="14">
        <v>46145.37222222222</v>
      </c>
      <c r="B1257" s="81" t="s">
        <v>149</v>
      </c>
      <c r="C1257" s="81" t="s">
        <v>190</v>
      </c>
      <c r="D1257" s="81" t="s">
        <v>150</v>
      </c>
      <c r="E1257" s="81" t="s">
        <v>50</v>
      </c>
      <c r="F1257" s="81" t="s">
        <v>1</v>
      </c>
    </row>
    <row r="1258" spans="1:6" x14ac:dyDescent="0.25">
      <c r="A1258" s="14">
        <v>46145.37222222222</v>
      </c>
      <c r="B1258" s="81" t="s">
        <v>149</v>
      </c>
      <c r="C1258" s="81" t="s">
        <v>190</v>
      </c>
      <c r="D1258" s="81" t="s">
        <v>150</v>
      </c>
      <c r="E1258" s="81" t="s">
        <v>50</v>
      </c>
      <c r="F1258" s="81" t="s">
        <v>1</v>
      </c>
    </row>
    <row r="1259" spans="1:6" x14ac:dyDescent="0.25">
      <c r="A1259" s="14">
        <v>46145.37222222222</v>
      </c>
      <c r="B1259" s="81" t="s">
        <v>149</v>
      </c>
      <c r="C1259" s="81" t="s">
        <v>173</v>
      </c>
      <c r="D1259" s="81" t="s">
        <v>167</v>
      </c>
      <c r="E1259" s="81" t="s">
        <v>50</v>
      </c>
      <c r="F1259" s="81" t="s">
        <v>1</v>
      </c>
    </row>
    <row r="1260" spans="1:6" x14ac:dyDescent="0.25">
      <c r="A1260" s="14">
        <v>46145.37222222222</v>
      </c>
      <c r="B1260" s="81" t="s">
        <v>149</v>
      </c>
      <c r="C1260" s="81" t="s">
        <v>181</v>
      </c>
      <c r="D1260" s="81" t="s">
        <v>193</v>
      </c>
      <c r="E1260" s="81" t="s">
        <v>50</v>
      </c>
      <c r="F1260" s="81" t="s">
        <v>1</v>
      </c>
    </row>
    <row r="1261" spans="1:6" x14ac:dyDescent="0.25">
      <c r="A1261" s="14">
        <v>46145.37222222222</v>
      </c>
      <c r="B1261" s="81" t="s">
        <v>149</v>
      </c>
      <c r="C1261" s="81" t="s">
        <v>181</v>
      </c>
      <c r="D1261" s="81" t="s">
        <v>150</v>
      </c>
      <c r="E1261" s="81" t="s">
        <v>50</v>
      </c>
      <c r="F1261" s="81" t="s">
        <v>1</v>
      </c>
    </row>
    <row r="1262" spans="1:6" x14ac:dyDescent="0.25">
      <c r="A1262" s="14">
        <v>46145.37222222222</v>
      </c>
      <c r="B1262" s="81" t="s">
        <v>149</v>
      </c>
      <c r="C1262" s="81" t="s">
        <v>175</v>
      </c>
      <c r="D1262" s="81" t="s">
        <v>150</v>
      </c>
      <c r="E1262" s="81" t="s">
        <v>50</v>
      </c>
      <c r="F1262" s="81" t="s">
        <v>1</v>
      </c>
    </row>
    <row r="1263" spans="1:6" x14ac:dyDescent="0.25">
      <c r="A1263" s="14">
        <v>46145.37222222222</v>
      </c>
      <c r="B1263" s="81" t="s">
        <v>149</v>
      </c>
      <c r="C1263" s="81" t="s">
        <v>182</v>
      </c>
      <c r="D1263" s="81" t="s">
        <v>150</v>
      </c>
      <c r="E1263" s="81" t="s">
        <v>49</v>
      </c>
      <c r="F1263" s="81" t="s">
        <v>2</v>
      </c>
    </row>
    <row r="1264" spans="1:6" x14ac:dyDescent="0.25">
      <c r="A1264" s="14">
        <v>46145.37222222222</v>
      </c>
      <c r="B1264" s="81" t="s">
        <v>149</v>
      </c>
      <c r="C1264" s="81" t="s">
        <v>176</v>
      </c>
      <c r="D1264" s="81" t="s">
        <v>167</v>
      </c>
      <c r="E1264" s="81" t="s">
        <v>70</v>
      </c>
      <c r="F1264" s="81" t="s">
        <v>15</v>
      </c>
    </row>
    <row r="1265" spans="1:6" x14ac:dyDescent="0.25">
      <c r="A1265" s="14">
        <v>46145.37222222222</v>
      </c>
      <c r="B1265" s="81" t="s">
        <v>149</v>
      </c>
      <c r="C1265" s="81" t="s">
        <v>175</v>
      </c>
      <c r="D1265" s="81" t="s">
        <v>179</v>
      </c>
      <c r="E1265" s="81" t="s">
        <v>50</v>
      </c>
      <c r="F1265" s="81" t="s">
        <v>1</v>
      </c>
    </row>
    <row r="1266" spans="1:6" x14ac:dyDescent="0.25">
      <c r="A1266" s="14">
        <v>46145.37222222222</v>
      </c>
      <c r="B1266" s="81" t="s">
        <v>149</v>
      </c>
      <c r="C1266" s="81" t="s">
        <v>185</v>
      </c>
      <c r="D1266" s="81" t="s">
        <v>193</v>
      </c>
      <c r="E1266" s="81" t="s">
        <v>50</v>
      </c>
      <c r="F1266" s="81" t="s">
        <v>1</v>
      </c>
    </row>
    <row r="1267" spans="1:6" x14ac:dyDescent="0.25">
      <c r="A1267" s="14">
        <v>46145.37222222222</v>
      </c>
      <c r="B1267" s="81" t="s">
        <v>149</v>
      </c>
      <c r="C1267" s="81" t="s">
        <v>183</v>
      </c>
      <c r="D1267" s="81" t="s">
        <v>167</v>
      </c>
      <c r="E1267" s="81" t="s">
        <v>50</v>
      </c>
      <c r="F1267" s="81" t="s">
        <v>1</v>
      </c>
    </row>
    <row r="1268" spans="1:6" x14ac:dyDescent="0.25">
      <c r="A1268" s="14">
        <v>46145.37222222222</v>
      </c>
      <c r="B1268" s="81" t="s">
        <v>149</v>
      </c>
      <c r="C1268" s="81" t="s">
        <v>176</v>
      </c>
      <c r="D1268" s="81" t="s">
        <v>254</v>
      </c>
      <c r="E1268" s="81" t="s">
        <v>70</v>
      </c>
      <c r="F1268" s="81" t="s">
        <v>15</v>
      </c>
    </row>
    <row r="1269" spans="1:6" x14ac:dyDescent="0.25">
      <c r="A1269" s="14">
        <v>46145.37222222222</v>
      </c>
      <c r="B1269" s="81" t="s">
        <v>149</v>
      </c>
      <c r="C1269" s="81" t="s">
        <v>173</v>
      </c>
      <c r="D1269" s="81" t="s">
        <v>263</v>
      </c>
      <c r="E1269" s="81" t="s">
        <v>52</v>
      </c>
      <c r="F1269" s="81" t="s">
        <v>0</v>
      </c>
    </row>
    <row r="1270" spans="1:6" x14ac:dyDescent="0.25">
      <c r="A1270" s="14">
        <v>46145.37222222222</v>
      </c>
      <c r="B1270" s="81" t="s">
        <v>149</v>
      </c>
      <c r="C1270" s="81" t="s">
        <v>176</v>
      </c>
      <c r="D1270" s="81" t="s">
        <v>254</v>
      </c>
      <c r="E1270" s="81" t="s">
        <v>70</v>
      </c>
      <c r="F1270" s="81" t="s">
        <v>15</v>
      </c>
    </row>
    <row r="1271" spans="1:6" x14ac:dyDescent="0.25">
      <c r="A1271" s="14">
        <v>46145.37222222222</v>
      </c>
      <c r="B1271" s="81" t="s">
        <v>149</v>
      </c>
      <c r="C1271" s="81" t="s">
        <v>176</v>
      </c>
      <c r="D1271" s="81" t="s">
        <v>254</v>
      </c>
      <c r="E1271" s="81" t="s">
        <v>70</v>
      </c>
      <c r="F1271" s="81" t="s">
        <v>15</v>
      </c>
    </row>
    <row r="1272" spans="1:6" x14ac:dyDescent="0.25">
      <c r="A1272" s="14">
        <v>46145.37222222222</v>
      </c>
      <c r="B1272" s="81" t="s">
        <v>149</v>
      </c>
      <c r="C1272" s="81" t="s">
        <v>176</v>
      </c>
      <c r="D1272" s="81" t="s">
        <v>254</v>
      </c>
      <c r="E1272" s="81" t="s">
        <v>70</v>
      </c>
      <c r="F1272" s="81" t="s">
        <v>15</v>
      </c>
    </row>
    <row r="1273" spans="1:6" x14ac:dyDescent="0.25">
      <c r="A1273" s="14">
        <v>46145.37222222222</v>
      </c>
      <c r="B1273" s="81" t="s">
        <v>149</v>
      </c>
      <c r="C1273" s="81" t="s">
        <v>190</v>
      </c>
      <c r="D1273" s="81" t="s">
        <v>166</v>
      </c>
      <c r="E1273" s="81" t="s">
        <v>50</v>
      </c>
      <c r="F1273" s="81" t="s">
        <v>1</v>
      </c>
    </row>
    <row r="1274" spans="1:6" x14ac:dyDescent="0.25">
      <c r="A1274" s="14">
        <v>46145.37222222222</v>
      </c>
      <c r="B1274" s="81" t="s">
        <v>149</v>
      </c>
      <c r="C1274" s="81" t="s">
        <v>173</v>
      </c>
      <c r="D1274" s="81" t="s">
        <v>166</v>
      </c>
      <c r="E1274" s="81" t="s">
        <v>50</v>
      </c>
      <c r="F1274" s="81" t="s">
        <v>1</v>
      </c>
    </row>
    <row r="1275" spans="1:6" x14ac:dyDescent="0.25">
      <c r="A1275" s="14">
        <v>46145.37222222222</v>
      </c>
      <c r="B1275" s="81" t="s">
        <v>149</v>
      </c>
      <c r="C1275" s="81" t="s">
        <v>182</v>
      </c>
      <c r="D1275" s="81" t="s">
        <v>251</v>
      </c>
      <c r="E1275" s="81" t="s">
        <v>49</v>
      </c>
      <c r="F1275" s="81" t="s">
        <v>2</v>
      </c>
    </row>
    <row r="1276" spans="1:6" x14ac:dyDescent="0.25">
      <c r="A1276" s="14">
        <v>46145.37222222222</v>
      </c>
      <c r="B1276" s="81" t="s">
        <v>149</v>
      </c>
      <c r="C1276" s="81" t="s">
        <v>173</v>
      </c>
      <c r="D1276" s="81" t="s">
        <v>166</v>
      </c>
      <c r="E1276" s="81" t="s">
        <v>50</v>
      </c>
      <c r="F1276" s="81" t="s">
        <v>1</v>
      </c>
    </row>
    <row r="1277" spans="1:6" x14ac:dyDescent="0.25">
      <c r="A1277" s="14">
        <v>46145.37222222222</v>
      </c>
      <c r="B1277" s="81" t="s">
        <v>149</v>
      </c>
      <c r="C1277" s="81" t="s">
        <v>171</v>
      </c>
      <c r="D1277" s="81" t="s">
        <v>246</v>
      </c>
      <c r="E1277" s="81" t="s">
        <v>52</v>
      </c>
      <c r="F1277" s="81" t="s">
        <v>0</v>
      </c>
    </row>
    <row r="1278" spans="1:6" x14ac:dyDescent="0.25">
      <c r="A1278" s="14">
        <v>46145.37222222222</v>
      </c>
      <c r="B1278" s="81" t="s">
        <v>149</v>
      </c>
      <c r="C1278" s="81" t="s">
        <v>177</v>
      </c>
      <c r="D1278" s="81" t="s">
        <v>246</v>
      </c>
      <c r="E1278" s="81" t="s">
        <v>52</v>
      </c>
      <c r="F1278" s="81" t="s">
        <v>0</v>
      </c>
    </row>
    <row r="1279" spans="1:6" x14ac:dyDescent="0.25">
      <c r="A1279" s="14">
        <v>46145.37222222222</v>
      </c>
      <c r="B1279" s="81" t="s">
        <v>149</v>
      </c>
      <c r="C1279" s="81" t="s">
        <v>158</v>
      </c>
      <c r="D1279" s="81" t="s">
        <v>251</v>
      </c>
      <c r="E1279" s="81" t="s">
        <v>49</v>
      </c>
      <c r="F1279" s="81" t="s">
        <v>2</v>
      </c>
    </row>
    <row r="1280" spans="1:6" x14ac:dyDescent="0.25">
      <c r="A1280" s="14">
        <v>46145.37222222222</v>
      </c>
      <c r="B1280" s="81" t="s">
        <v>149</v>
      </c>
      <c r="C1280" s="81" t="s">
        <v>158</v>
      </c>
      <c r="D1280" s="81" t="s">
        <v>236</v>
      </c>
      <c r="E1280" s="81" t="s">
        <v>50</v>
      </c>
      <c r="F1280" s="81" t="s">
        <v>1</v>
      </c>
    </row>
    <row r="1281" spans="1:6" x14ac:dyDescent="0.25">
      <c r="A1281" s="14">
        <v>46145.37222222222</v>
      </c>
      <c r="B1281" s="81" t="s">
        <v>149</v>
      </c>
      <c r="C1281" s="81" t="s">
        <v>171</v>
      </c>
      <c r="D1281" s="81" t="s">
        <v>163</v>
      </c>
      <c r="E1281" s="81" t="s">
        <v>52</v>
      </c>
      <c r="F1281" s="81" t="s">
        <v>0</v>
      </c>
    </row>
    <row r="1282" spans="1:6" x14ac:dyDescent="0.25">
      <c r="A1282" s="14">
        <v>46145.37222222222</v>
      </c>
      <c r="B1282" s="81" t="s">
        <v>149</v>
      </c>
      <c r="C1282" s="81" t="s">
        <v>158</v>
      </c>
      <c r="D1282" s="81" t="s">
        <v>229</v>
      </c>
      <c r="E1282" s="81" t="s">
        <v>49</v>
      </c>
      <c r="F1282" s="81" t="s">
        <v>2</v>
      </c>
    </row>
    <row r="1283" spans="1:6" x14ac:dyDescent="0.25">
      <c r="A1283" s="14">
        <v>46145.37222222222</v>
      </c>
      <c r="B1283" s="81" t="s">
        <v>149</v>
      </c>
      <c r="C1283" s="81" t="s">
        <v>151</v>
      </c>
      <c r="D1283" s="81" t="s">
        <v>229</v>
      </c>
      <c r="E1283" s="81" t="s">
        <v>52</v>
      </c>
      <c r="F1283" s="81" t="s">
        <v>0</v>
      </c>
    </row>
    <row r="1284" spans="1:6" x14ac:dyDescent="0.25">
      <c r="A1284" s="14">
        <v>46145.37222222222</v>
      </c>
      <c r="B1284" s="81" t="s">
        <v>149</v>
      </c>
      <c r="C1284" s="81" t="s">
        <v>187</v>
      </c>
      <c r="D1284" s="81" t="s">
        <v>229</v>
      </c>
      <c r="E1284" s="81" t="s">
        <v>71</v>
      </c>
      <c r="F1284" s="81" t="s">
        <v>94</v>
      </c>
    </row>
    <row r="1285" spans="1:6" x14ac:dyDescent="0.25">
      <c r="A1285" s="14">
        <v>46145.37222222222</v>
      </c>
      <c r="B1285" s="81" t="s">
        <v>149</v>
      </c>
      <c r="C1285" s="81" t="s">
        <v>151</v>
      </c>
      <c r="D1285" s="81" t="s">
        <v>229</v>
      </c>
      <c r="E1285" s="81" t="s">
        <v>50</v>
      </c>
      <c r="F1285" s="81" t="s">
        <v>1</v>
      </c>
    </row>
    <row r="1286" spans="1:6" x14ac:dyDescent="0.25">
      <c r="A1286" s="14">
        <v>46145.37222222222</v>
      </c>
      <c r="B1286" s="81" t="s">
        <v>149</v>
      </c>
      <c r="C1286" s="81" t="s">
        <v>171</v>
      </c>
      <c r="D1286" s="81" t="s">
        <v>229</v>
      </c>
      <c r="E1286" s="81" t="s">
        <v>50</v>
      </c>
      <c r="F1286" s="81" t="s">
        <v>1</v>
      </c>
    </row>
    <row r="1287" spans="1:6" x14ac:dyDescent="0.25">
      <c r="A1287" s="14">
        <v>46145.37222222222</v>
      </c>
      <c r="B1287" s="81" t="s">
        <v>149</v>
      </c>
      <c r="C1287" s="81" t="s">
        <v>185</v>
      </c>
      <c r="D1287" s="81" t="s">
        <v>229</v>
      </c>
      <c r="E1287" s="81" t="s">
        <v>50</v>
      </c>
      <c r="F1287" s="81" t="s">
        <v>1</v>
      </c>
    </row>
    <row r="1288" spans="1:6" x14ac:dyDescent="0.25">
      <c r="A1288" s="14">
        <v>46145.37222222222</v>
      </c>
      <c r="B1288" s="81" t="s">
        <v>149</v>
      </c>
      <c r="C1288" s="81" t="s">
        <v>190</v>
      </c>
      <c r="D1288" s="81" t="s">
        <v>251</v>
      </c>
      <c r="E1288" s="81" t="s">
        <v>49</v>
      </c>
      <c r="F1288" s="81" t="s">
        <v>2</v>
      </c>
    </row>
    <row r="1289" spans="1:6" x14ac:dyDescent="0.25">
      <c r="A1289" s="14">
        <v>46145.37222222222</v>
      </c>
      <c r="B1289" s="81" t="s">
        <v>149</v>
      </c>
      <c r="C1289" s="81" t="s">
        <v>177</v>
      </c>
      <c r="D1289" s="81" t="s">
        <v>153</v>
      </c>
      <c r="E1289" s="81" t="s">
        <v>50</v>
      </c>
      <c r="F1289" s="81" t="s">
        <v>1</v>
      </c>
    </row>
    <row r="1290" spans="1:6" x14ac:dyDescent="0.25">
      <c r="A1290" s="14">
        <v>46145.37222222222</v>
      </c>
      <c r="B1290" s="81" t="s">
        <v>149</v>
      </c>
      <c r="C1290" s="81" t="s">
        <v>171</v>
      </c>
      <c r="D1290" s="81" t="s">
        <v>153</v>
      </c>
      <c r="E1290" s="81" t="s">
        <v>50</v>
      </c>
      <c r="F1290" s="81" t="s">
        <v>1</v>
      </c>
    </row>
    <row r="1291" spans="1:6" x14ac:dyDescent="0.25">
      <c r="A1291" s="14">
        <v>46145.37222222222</v>
      </c>
      <c r="B1291" s="81" t="s">
        <v>149</v>
      </c>
      <c r="C1291" s="81" t="s">
        <v>187</v>
      </c>
      <c r="D1291" s="81" t="s">
        <v>261</v>
      </c>
      <c r="E1291" s="81" t="s">
        <v>75</v>
      </c>
      <c r="F1291" s="81" t="s">
        <v>93</v>
      </c>
    </row>
    <row r="1292" spans="1:6" x14ac:dyDescent="0.25">
      <c r="A1292" s="14">
        <v>46145.37222222222</v>
      </c>
      <c r="B1292" s="81" t="s">
        <v>149</v>
      </c>
      <c r="C1292" s="81" t="s">
        <v>158</v>
      </c>
      <c r="D1292" s="81" t="s">
        <v>261</v>
      </c>
      <c r="E1292" s="81" t="s">
        <v>50</v>
      </c>
      <c r="F1292" s="81" t="s">
        <v>1</v>
      </c>
    </row>
    <row r="1293" spans="1:6" x14ac:dyDescent="0.25">
      <c r="A1293" s="14">
        <v>46145.37222222222</v>
      </c>
      <c r="B1293" s="81" t="s">
        <v>149</v>
      </c>
      <c r="C1293" s="81" t="s">
        <v>184</v>
      </c>
      <c r="D1293" s="81" t="s">
        <v>261</v>
      </c>
      <c r="E1293" s="81" t="s">
        <v>52</v>
      </c>
      <c r="F1293" s="81" t="s">
        <v>0</v>
      </c>
    </row>
    <row r="1294" spans="1:6" x14ac:dyDescent="0.25">
      <c r="A1294" s="14">
        <v>46145.37222222222</v>
      </c>
      <c r="B1294" s="81" t="s">
        <v>149</v>
      </c>
      <c r="C1294" s="81" t="s">
        <v>190</v>
      </c>
      <c r="D1294" s="81" t="s">
        <v>261</v>
      </c>
      <c r="E1294" s="81" t="s">
        <v>52</v>
      </c>
      <c r="F1294" s="81" t="s">
        <v>0</v>
      </c>
    </row>
    <row r="1295" spans="1:6" x14ac:dyDescent="0.25">
      <c r="A1295" s="14">
        <v>46145.37222222222</v>
      </c>
      <c r="B1295" s="81" t="s">
        <v>149</v>
      </c>
      <c r="C1295" s="81" t="s">
        <v>151</v>
      </c>
      <c r="D1295" s="81" t="s">
        <v>261</v>
      </c>
      <c r="E1295" s="81" t="s">
        <v>52</v>
      </c>
      <c r="F1295" s="81" t="s">
        <v>0</v>
      </c>
    </row>
    <row r="1296" spans="1:6" x14ac:dyDescent="0.25">
      <c r="A1296" s="14">
        <v>46145.37222222222</v>
      </c>
      <c r="B1296" s="81" t="s">
        <v>149</v>
      </c>
      <c r="C1296" s="81" t="s">
        <v>177</v>
      </c>
      <c r="D1296" s="81" t="s">
        <v>261</v>
      </c>
      <c r="E1296" s="81" t="s">
        <v>52</v>
      </c>
      <c r="F1296" s="81" t="s">
        <v>0</v>
      </c>
    </row>
    <row r="1297" spans="1:6" x14ac:dyDescent="0.25">
      <c r="A1297" s="14">
        <v>46145.37222222222</v>
      </c>
      <c r="B1297" s="81" t="s">
        <v>149</v>
      </c>
      <c r="C1297" s="81" t="s">
        <v>173</v>
      </c>
      <c r="D1297" s="81" t="s">
        <v>261</v>
      </c>
      <c r="E1297" s="81" t="s">
        <v>52</v>
      </c>
      <c r="F1297" s="81" t="s">
        <v>0</v>
      </c>
    </row>
    <row r="1298" spans="1:6" x14ac:dyDescent="0.25">
      <c r="A1298" s="14">
        <v>46145.37222222222</v>
      </c>
      <c r="B1298" s="81" t="s">
        <v>149</v>
      </c>
      <c r="C1298" s="81" t="s">
        <v>151</v>
      </c>
      <c r="D1298" s="81" t="s">
        <v>261</v>
      </c>
      <c r="E1298" s="81" t="s">
        <v>52</v>
      </c>
      <c r="F1298" s="81" t="s">
        <v>0</v>
      </c>
    </row>
    <row r="1299" spans="1:6" x14ac:dyDescent="0.25">
      <c r="A1299" s="14">
        <v>46145.37222222222</v>
      </c>
      <c r="B1299" s="81" t="s">
        <v>149</v>
      </c>
      <c r="C1299" s="81" t="s">
        <v>192</v>
      </c>
      <c r="D1299" s="81" t="s">
        <v>258</v>
      </c>
      <c r="E1299" s="81" t="s">
        <v>60</v>
      </c>
      <c r="F1299" s="81" t="s">
        <v>28</v>
      </c>
    </row>
    <row r="1300" spans="1:6" x14ac:dyDescent="0.25">
      <c r="A1300" s="14">
        <v>46145.37222222222</v>
      </c>
      <c r="B1300" s="81" t="s">
        <v>149</v>
      </c>
      <c r="C1300" s="81" t="s">
        <v>177</v>
      </c>
      <c r="D1300" s="81" t="s">
        <v>261</v>
      </c>
      <c r="E1300" s="81" t="s">
        <v>52</v>
      </c>
      <c r="F1300" s="81" t="s">
        <v>0</v>
      </c>
    </row>
    <row r="1301" spans="1:6" x14ac:dyDescent="0.25">
      <c r="A1301" s="14">
        <v>46145.37222222222</v>
      </c>
      <c r="B1301" s="81" t="s">
        <v>149</v>
      </c>
      <c r="C1301" s="81" t="s">
        <v>177</v>
      </c>
      <c r="D1301" s="81" t="s">
        <v>258</v>
      </c>
      <c r="E1301" s="81" t="s">
        <v>52</v>
      </c>
      <c r="F1301" s="81" t="s">
        <v>0</v>
      </c>
    </row>
    <row r="1302" spans="1:6" x14ac:dyDescent="0.25">
      <c r="A1302" s="14">
        <v>46145.37222222222</v>
      </c>
      <c r="B1302" s="81" t="s">
        <v>149</v>
      </c>
      <c r="C1302" s="81" t="s">
        <v>187</v>
      </c>
      <c r="D1302" s="81" t="s">
        <v>261</v>
      </c>
      <c r="E1302" s="81" t="s">
        <v>75</v>
      </c>
      <c r="F1302" s="81" t="s">
        <v>93</v>
      </c>
    </row>
    <row r="1303" spans="1:6" x14ac:dyDescent="0.25">
      <c r="A1303" s="14">
        <v>46145.37222222222</v>
      </c>
      <c r="B1303" s="81" t="s">
        <v>149</v>
      </c>
      <c r="C1303" s="81" t="s">
        <v>173</v>
      </c>
      <c r="D1303" s="81" t="s">
        <v>261</v>
      </c>
      <c r="E1303" s="81" t="s">
        <v>52</v>
      </c>
      <c r="F1303" s="81" t="s">
        <v>0</v>
      </c>
    </row>
    <row r="1304" spans="1:6" x14ac:dyDescent="0.25">
      <c r="A1304" s="14">
        <v>46145.37222222222</v>
      </c>
      <c r="B1304" s="81" t="s">
        <v>149</v>
      </c>
      <c r="C1304" s="81" t="s">
        <v>190</v>
      </c>
      <c r="D1304" s="81" t="s">
        <v>261</v>
      </c>
      <c r="E1304" s="81" t="s">
        <v>52</v>
      </c>
      <c r="F1304" s="81" t="s">
        <v>0</v>
      </c>
    </row>
    <row r="1305" spans="1:6" x14ac:dyDescent="0.25">
      <c r="A1305" s="14">
        <v>46145.37222222222</v>
      </c>
      <c r="B1305" s="81" t="s">
        <v>149</v>
      </c>
      <c r="C1305" s="81" t="s">
        <v>188</v>
      </c>
      <c r="D1305" s="81" t="s">
        <v>179</v>
      </c>
      <c r="E1305" s="81" t="s">
        <v>45</v>
      </c>
      <c r="F1305" s="81" t="s">
        <v>28</v>
      </c>
    </row>
    <row r="1306" spans="1:6" x14ac:dyDescent="0.25">
      <c r="A1306" s="14">
        <v>46145.37222222222</v>
      </c>
      <c r="B1306" s="81" t="s">
        <v>149</v>
      </c>
      <c r="C1306" s="81" t="s">
        <v>189</v>
      </c>
      <c r="D1306" s="81" t="s">
        <v>179</v>
      </c>
      <c r="E1306" s="81" t="s">
        <v>45</v>
      </c>
      <c r="F1306" s="81" t="s">
        <v>28</v>
      </c>
    </row>
    <row r="1307" spans="1:6" x14ac:dyDescent="0.25">
      <c r="A1307" s="14">
        <v>46145.37222222222</v>
      </c>
      <c r="B1307" s="81" t="s">
        <v>149</v>
      </c>
      <c r="C1307" s="81" t="s">
        <v>239</v>
      </c>
      <c r="D1307" s="81" t="s">
        <v>179</v>
      </c>
      <c r="E1307" s="81" t="s">
        <v>45</v>
      </c>
      <c r="F1307" s="81" t="s">
        <v>28</v>
      </c>
    </row>
    <row r="1308" spans="1:6" x14ac:dyDescent="0.25">
      <c r="A1308" s="14">
        <v>46145.37222222222</v>
      </c>
      <c r="B1308" s="81" t="s">
        <v>149</v>
      </c>
      <c r="C1308" s="81" t="s">
        <v>158</v>
      </c>
      <c r="D1308" s="81" t="s">
        <v>179</v>
      </c>
      <c r="E1308" s="81" t="s">
        <v>50</v>
      </c>
      <c r="F1308" s="81" t="s">
        <v>1</v>
      </c>
    </row>
    <row r="1309" spans="1:6" x14ac:dyDescent="0.25">
      <c r="A1309" s="14">
        <v>46145.37222222222</v>
      </c>
      <c r="B1309" s="81" t="s">
        <v>149</v>
      </c>
      <c r="C1309" s="81" t="s">
        <v>184</v>
      </c>
      <c r="D1309" s="81" t="s">
        <v>179</v>
      </c>
      <c r="E1309" s="81" t="s">
        <v>50</v>
      </c>
      <c r="F1309" s="81" t="s">
        <v>1</v>
      </c>
    </row>
    <row r="1310" spans="1:6" x14ac:dyDescent="0.25">
      <c r="A1310" s="14">
        <v>46145.37222222222</v>
      </c>
      <c r="B1310" s="81" t="s">
        <v>149</v>
      </c>
      <c r="C1310" s="81" t="s">
        <v>235</v>
      </c>
      <c r="D1310" s="81" t="s">
        <v>194</v>
      </c>
      <c r="E1310" s="81" t="s">
        <v>73</v>
      </c>
      <c r="F1310" s="81" t="s">
        <v>28</v>
      </c>
    </row>
    <row r="1311" spans="1:6" x14ac:dyDescent="0.25">
      <c r="A1311" s="14">
        <v>46145.37222222222</v>
      </c>
      <c r="B1311" s="81" t="s">
        <v>149</v>
      </c>
      <c r="C1311" s="81" t="s">
        <v>184</v>
      </c>
      <c r="D1311" s="81" t="s">
        <v>250</v>
      </c>
      <c r="E1311" s="81" t="s">
        <v>52</v>
      </c>
      <c r="F1311" s="81" t="s">
        <v>0</v>
      </c>
    </row>
    <row r="1312" spans="1:6" x14ac:dyDescent="0.25">
      <c r="A1312" s="14">
        <v>46145.37222222222</v>
      </c>
      <c r="B1312" s="81" t="s">
        <v>195</v>
      </c>
      <c r="C1312" s="81" t="s">
        <v>198</v>
      </c>
      <c r="D1312" s="81" t="s">
        <v>231</v>
      </c>
      <c r="E1312" s="81" t="s">
        <v>24</v>
      </c>
      <c r="F1312" s="81" t="s">
        <v>24</v>
      </c>
    </row>
    <row r="1313" spans="1:6" x14ac:dyDescent="0.25">
      <c r="A1313" s="14">
        <v>46145.37222222222</v>
      </c>
      <c r="B1313" s="81" t="s">
        <v>195</v>
      </c>
      <c r="C1313" s="81" t="s">
        <v>198</v>
      </c>
      <c r="D1313" s="81" t="s">
        <v>231</v>
      </c>
      <c r="E1313" s="81" t="s">
        <v>24</v>
      </c>
      <c r="F1313" s="81" t="s">
        <v>24</v>
      </c>
    </row>
    <row r="1314" spans="1:6" x14ac:dyDescent="0.25">
      <c r="A1314" s="14">
        <v>46145.37222222222</v>
      </c>
      <c r="B1314" s="81" t="s">
        <v>195</v>
      </c>
      <c r="C1314" s="81" t="s">
        <v>198</v>
      </c>
      <c r="D1314" s="81" t="s">
        <v>231</v>
      </c>
      <c r="E1314" s="81" t="s">
        <v>24</v>
      </c>
      <c r="F1314" s="81" t="s">
        <v>24</v>
      </c>
    </row>
    <row r="1315" spans="1:6" x14ac:dyDescent="0.25">
      <c r="A1315" s="14">
        <v>46145.37222222222</v>
      </c>
      <c r="B1315" s="81" t="s">
        <v>195</v>
      </c>
      <c r="C1315" s="81" t="s">
        <v>197</v>
      </c>
      <c r="D1315" s="81" t="s">
        <v>163</v>
      </c>
      <c r="E1315" s="81" t="s">
        <v>24</v>
      </c>
      <c r="F1315" s="81" t="s">
        <v>24</v>
      </c>
    </row>
    <row r="1316" spans="1:6" x14ac:dyDescent="0.25">
      <c r="A1316" s="14">
        <v>46145.37222222222</v>
      </c>
      <c r="B1316" s="81" t="s">
        <v>195</v>
      </c>
      <c r="C1316" s="81" t="s">
        <v>197</v>
      </c>
      <c r="D1316" s="81" t="s">
        <v>163</v>
      </c>
      <c r="E1316" s="81" t="s">
        <v>24</v>
      </c>
      <c r="F1316" s="81" t="s">
        <v>24</v>
      </c>
    </row>
    <row r="1317" spans="1:6" x14ac:dyDescent="0.25">
      <c r="A1317" s="14">
        <v>46145.37222222222</v>
      </c>
      <c r="B1317" s="81" t="s">
        <v>195</v>
      </c>
      <c r="C1317" s="81" t="s">
        <v>197</v>
      </c>
      <c r="D1317" s="81" t="s">
        <v>163</v>
      </c>
      <c r="E1317" s="81" t="s">
        <v>24</v>
      </c>
      <c r="F1317" s="81" t="s">
        <v>24</v>
      </c>
    </row>
    <row r="1318" spans="1:6" x14ac:dyDescent="0.25">
      <c r="A1318" s="14">
        <v>46145.384722222225</v>
      </c>
      <c r="B1318" s="81" t="s">
        <v>149</v>
      </c>
      <c r="C1318" s="81" t="s">
        <v>207</v>
      </c>
      <c r="D1318" s="81" t="s">
        <v>159</v>
      </c>
      <c r="E1318" s="81" t="s">
        <v>66</v>
      </c>
      <c r="F1318" s="81" t="s">
        <v>35</v>
      </c>
    </row>
    <row r="1319" spans="1:6" x14ac:dyDescent="0.25">
      <c r="A1319" s="14">
        <v>46145.384722222225</v>
      </c>
      <c r="B1319" s="81" t="s">
        <v>149</v>
      </c>
      <c r="C1319" s="81" t="s">
        <v>207</v>
      </c>
      <c r="D1319" s="81" t="s">
        <v>159</v>
      </c>
      <c r="E1319" s="81" t="s">
        <v>66</v>
      </c>
      <c r="F1319" s="81" t="s">
        <v>35</v>
      </c>
    </row>
    <row r="1320" spans="1:6" x14ac:dyDescent="0.25">
      <c r="A1320" s="14">
        <v>46145.384722222225</v>
      </c>
      <c r="B1320" s="81" t="s">
        <v>149</v>
      </c>
      <c r="C1320" s="81" t="s">
        <v>207</v>
      </c>
      <c r="D1320" s="81" t="s">
        <v>159</v>
      </c>
      <c r="E1320" s="81" t="s">
        <v>66</v>
      </c>
      <c r="F1320" s="81" t="s">
        <v>35</v>
      </c>
    </row>
    <row r="1321" spans="1:6" x14ac:dyDescent="0.25">
      <c r="A1321" s="14">
        <v>46145.384722222225</v>
      </c>
      <c r="B1321" s="81" t="s">
        <v>149</v>
      </c>
      <c r="C1321" s="81" t="s">
        <v>207</v>
      </c>
      <c r="D1321" s="81" t="s">
        <v>159</v>
      </c>
      <c r="E1321" s="81" t="s">
        <v>66</v>
      </c>
      <c r="F1321" s="81" t="s">
        <v>35</v>
      </c>
    </row>
    <row r="1322" spans="1:6" x14ac:dyDescent="0.25">
      <c r="A1322" s="14">
        <v>46145.384722222225</v>
      </c>
      <c r="B1322" s="81" t="s">
        <v>149</v>
      </c>
      <c r="C1322" s="81" t="s">
        <v>208</v>
      </c>
      <c r="D1322" s="81" t="s">
        <v>159</v>
      </c>
      <c r="E1322" s="81" t="s">
        <v>66</v>
      </c>
      <c r="F1322" s="81" t="s">
        <v>35</v>
      </c>
    </row>
    <row r="1323" spans="1:6" x14ac:dyDescent="0.25">
      <c r="A1323" s="14">
        <v>46145.384722222225</v>
      </c>
      <c r="B1323" s="81" t="s">
        <v>149</v>
      </c>
      <c r="C1323" s="81" t="s">
        <v>207</v>
      </c>
      <c r="D1323" s="81" t="s">
        <v>150</v>
      </c>
      <c r="E1323" s="81" t="s">
        <v>66</v>
      </c>
      <c r="F1323" s="81" t="s">
        <v>35</v>
      </c>
    </row>
    <row r="1324" spans="1:6" x14ac:dyDescent="0.25">
      <c r="A1324" s="14">
        <v>46145.384722222225</v>
      </c>
      <c r="B1324" s="81" t="s">
        <v>149</v>
      </c>
      <c r="C1324" s="81" t="s">
        <v>207</v>
      </c>
      <c r="D1324" s="81" t="s">
        <v>150</v>
      </c>
      <c r="E1324" s="81" t="s">
        <v>66</v>
      </c>
      <c r="F1324" s="81" t="s">
        <v>35</v>
      </c>
    </row>
    <row r="1325" spans="1:6" x14ac:dyDescent="0.25">
      <c r="A1325" s="14">
        <v>46145.384722222225</v>
      </c>
      <c r="B1325" s="81" t="s">
        <v>149</v>
      </c>
      <c r="C1325" s="81" t="s">
        <v>207</v>
      </c>
      <c r="D1325" s="81" t="s">
        <v>150</v>
      </c>
      <c r="E1325" s="81" t="s">
        <v>66</v>
      </c>
      <c r="F1325" s="81" t="s">
        <v>35</v>
      </c>
    </row>
    <row r="1326" spans="1:6" x14ac:dyDescent="0.25">
      <c r="A1326" s="14">
        <v>46145.384722222225</v>
      </c>
      <c r="B1326" s="81" t="s">
        <v>149</v>
      </c>
      <c r="C1326" s="81" t="s">
        <v>207</v>
      </c>
      <c r="D1326" s="81" t="s">
        <v>150</v>
      </c>
      <c r="E1326" s="81" t="s">
        <v>66</v>
      </c>
      <c r="F1326" s="81" t="s">
        <v>35</v>
      </c>
    </row>
    <row r="1327" spans="1:6" x14ac:dyDescent="0.25">
      <c r="A1327" s="14">
        <v>46145.384722222225</v>
      </c>
      <c r="B1327" s="81" t="s">
        <v>149</v>
      </c>
      <c r="C1327" s="81" t="s">
        <v>207</v>
      </c>
      <c r="D1327" s="81" t="s">
        <v>150</v>
      </c>
      <c r="E1327" s="81" t="s">
        <v>66</v>
      </c>
      <c r="F1327" s="81" t="s">
        <v>35</v>
      </c>
    </row>
    <row r="1328" spans="1:6" x14ac:dyDescent="0.25">
      <c r="A1328" s="14">
        <v>46145.384722222225</v>
      </c>
      <c r="B1328" s="81" t="s">
        <v>149</v>
      </c>
      <c r="C1328" s="81" t="s">
        <v>207</v>
      </c>
      <c r="D1328" s="81" t="s">
        <v>150</v>
      </c>
      <c r="E1328" s="81" t="s">
        <v>66</v>
      </c>
      <c r="F1328" s="81" t="s">
        <v>35</v>
      </c>
    </row>
    <row r="1329" spans="1:6" x14ac:dyDescent="0.25">
      <c r="A1329" s="14">
        <v>46145.384722222225</v>
      </c>
      <c r="B1329" s="81" t="s">
        <v>149</v>
      </c>
      <c r="C1329" s="81" t="s">
        <v>207</v>
      </c>
      <c r="D1329" s="81" t="s">
        <v>150</v>
      </c>
      <c r="E1329" s="81" t="s">
        <v>66</v>
      </c>
      <c r="F1329" s="81" t="s">
        <v>35</v>
      </c>
    </row>
    <row r="1330" spans="1:6" x14ac:dyDescent="0.25">
      <c r="A1330" s="14">
        <v>46145.384722222225</v>
      </c>
      <c r="B1330" s="81" t="s">
        <v>149</v>
      </c>
      <c r="C1330" s="81" t="s">
        <v>207</v>
      </c>
      <c r="D1330" s="81" t="s">
        <v>150</v>
      </c>
      <c r="E1330" s="81" t="s">
        <v>66</v>
      </c>
      <c r="F1330" s="81" t="s">
        <v>35</v>
      </c>
    </row>
    <row r="1331" spans="1:6" x14ac:dyDescent="0.25">
      <c r="A1331" s="14">
        <v>46145.384722222225</v>
      </c>
      <c r="B1331" s="81" t="s">
        <v>149</v>
      </c>
      <c r="C1331" s="81" t="s">
        <v>207</v>
      </c>
      <c r="D1331" s="81" t="s">
        <v>194</v>
      </c>
      <c r="E1331" s="81" t="s">
        <v>66</v>
      </c>
      <c r="F1331" s="81" t="s">
        <v>35</v>
      </c>
    </row>
    <row r="1332" spans="1:6" x14ac:dyDescent="0.25">
      <c r="A1332" s="14">
        <v>46145.384722222225</v>
      </c>
      <c r="B1332" s="81" t="s">
        <v>149</v>
      </c>
      <c r="C1332" s="81" t="s">
        <v>207</v>
      </c>
      <c r="D1332" s="81" t="s">
        <v>194</v>
      </c>
      <c r="E1332" s="81" t="s">
        <v>66</v>
      </c>
      <c r="F1332" s="81" t="s">
        <v>35</v>
      </c>
    </row>
    <row r="1333" spans="1:6" x14ac:dyDescent="0.25">
      <c r="A1333" s="14">
        <v>46145.384722222225</v>
      </c>
      <c r="B1333" s="81" t="s">
        <v>149</v>
      </c>
      <c r="C1333" s="81" t="s">
        <v>207</v>
      </c>
      <c r="D1333" s="81" t="s">
        <v>194</v>
      </c>
      <c r="E1333" s="81" t="s">
        <v>66</v>
      </c>
      <c r="F1333" s="81" t="s">
        <v>35</v>
      </c>
    </row>
    <row r="1334" spans="1:6" x14ac:dyDescent="0.25">
      <c r="A1334" s="14">
        <v>46145.384722222225</v>
      </c>
      <c r="B1334" s="81" t="s">
        <v>149</v>
      </c>
      <c r="C1334" s="81" t="s">
        <v>207</v>
      </c>
      <c r="D1334" s="81" t="s">
        <v>194</v>
      </c>
      <c r="E1334" s="81" t="s">
        <v>66</v>
      </c>
      <c r="F1334" s="81" t="s">
        <v>35</v>
      </c>
    </row>
    <row r="1335" spans="1:6" x14ac:dyDescent="0.25">
      <c r="A1335" s="14">
        <v>46145.384722222225</v>
      </c>
      <c r="B1335" s="81" t="s">
        <v>149</v>
      </c>
      <c r="C1335" s="81" t="s">
        <v>207</v>
      </c>
      <c r="D1335" s="81" t="s">
        <v>194</v>
      </c>
      <c r="E1335" s="81" t="s">
        <v>66</v>
      </c>
      <c r="F1335" s="81" t="s">
        <v>35</v>
      </c>
    </row>
    <row r="1336" spans="1:6" x14ac:dyDescent="0.25">
      <c r="A1336" s="14">
        <v>46145.384722222225</v>
      </c>
      <c r="B1336" s="81" t="s">
        <v>149</v>
      </c>
      <c r="C1336" s="81" t="s">
        <v>207</v>
      </c>
      <c r="D1336" s="81" t="s">
        <v>194</v>
      </c>
      <c r="E1336" s="81" t="s">
        <v>66</v>
      </c>
      <c r="F1336" s="81" t="s">
        <v>35</v>
      </c>
    </row>
    <row r="1337" spans="1:6" x14ac:dyDescent="0.25">
      <c r="A1337" s="14">
        <v>46145.384722222225</v>
      </c>
      <c r="B1337" s="81" t="s">
        <v>149</v>
      </c>
      <c r="C1337" s="81" t="s">
        <v>207</v>
      </c>
      <c r="D1337" s="81" t="s">
        <v>194</v>
      </c>
      <c r="E1337" s="81" t="s">
        <v>66</v>
      </c>
      <c r="F1337" s="81" t="s">
        <v>35</v>
      </c>
    </row>
    <row r="1338" spans="1:6" x14ac:dyDescent="0.25">
      <c r="A1338" s="14">
        <v>46145.384722222225</v>
      </c>
      <c r="B1338" s="81" t="s">
        <v>149</v>
      </c>
      <c r="C1338" s="81" t="s">
        <v>207</v>
      </c>
      <c r="D1338" s="81" t="s">
        <v>194</v>
      </c>
      <c r="E1338" s="81" t="s">
        <v>66</v>
      </c>
      <c r="F1338" s="81" t="s">
        <v>35</v>
      </c>
    </row>
    <row r="1339" spans="1:6" x14ac:dyDescent="0.25">
      <c r="A1339" s="14">
        <v>46145.384722222225</v>
      </c>
      <c r="B1339" s="81" t="s">
        <v>149</v>
      </c>
      <c r="C1339" s="81" t="s">
        <v>177</v>
      </c>
      <c r="D1339" s="81" t="s">
        <v>179</v>
      </c>
      <c r="E1339" s="81" t="s">
        <v>50</v>
      </c>
      <c r="F1339" s="81" t="s">
        <v>1</v>
      </c>
    </row>
    <row r="1340" spans="1:6" x14ac:dyDescent="0.25">
      <c r="A1340" s="14">
        <v>46145.384722222225</v>
      </c>
      <c r="B1340" s="81" t="s">
        <v>149</v>
      </c>
      <c r="C1340" s="81" t="s">
        <v>207</v>
      </c>
      <c r="D1340" s="81" t="s">
        <v>247</v>
      </c>
      <c r="E1340" s="81" t="s">
        <v>66</v>
      </c>
      <c r="F1340" s="81" t="s">
        <v>35</v>
      </c>
    </row>
    <row r="1341" spans="1:6" x14ac:dyDescent="0.25">
      <c r="A1341" s="14">
        <v>46145.384722222225</v>
      </c>
      <c r="B1341" s="81" t="s">
        <v>149</v>
      </c>
      <c r="C1341" s="81" t="s">
        <v>207</v>
      </c>
      <c r="D1341" s="81" t="s">
        <v>247</v>
      </c>
      <c r="E1341" s="81" t="s">
        <v>66</v>
      </c>
      <c r="F1341" s="81" t="s">
        <v>35</v>
      </c>
    </row>
    <row r="1342" spans="1:6" x14ac:dyDescent="0.25">
      <c r="A1342" s="14">
        <v>46145.384722222225</v>
      </c>
      <c r="B1342" s="81" t="s">
        <v>149</v>
      </c>
      <c r="C1342" s="81" t="s">
        <v>207</v>
      </c>
      <c r="D1342" s="81" t="s">
        <v>247</v>
      </c>
      <c r="E1342" s="81" t="s">
        <v>66</v>
      </c>
      <c r="F1342" s="81" t="s">
        <v>35</v>
      </c>
    </row>
    <row r="1343" spans="1:6" x14ac:dyDescent="0.25">
      <c r="A1343" s="14">
        <v>46145.384722222225</v>
      </c>
      <c r="B1343" s="81" t="s">
        <v>149</v>
      </c>
      <c r="C1343" s="81" t="s">
        <v>207</v>
      </c>
      <c r="D1343" s="81" t="s">
        <v>247</v>
      </c>
      <c r="E1343" s="81" t="s">
        <v>66</v>
      </c>
      <c r="F1343" s="81" t="s">
        <v>35</v>
      </c>
    </row>
    <row r="1344" spans="1:6" x14ac:dyDescent="0.25">
      <c r="A1344" s="14">
        <v>46145.384722222225</v>
      </c>
      <c r="B1344" s="81" t="s">
        <v>149</v>
      </c>
      <c r="C1344" s="81" t="s">
        <v>207</v>
      </c>
      <c r="D1344" s="81" t="s">
        <v>212</v>
      </c>
      <c r="E1344" s="81" t="s">
        <v>66</v>
      </c>
      <c r="F1344" s="81" t="s">
        <v>35</v>
      </c>
    </row>
    <row r="1345" spans="1:6" x14ac:dyDescent="0.25">
      <c r="A1345" s="14">
        <v>46145.384722222225</v>
      </c>
      <c r="B1345" s="81" t="s">
        <v>149</v>
      </c>
      <c r="C1345" s="81" t="s">
        <v>207</v>
      </c>
      <c r="D1345" s="81" t="s">
        <v>212</v>
      </c>
      <c r="E1345" s="81" t="s">
        <v>66</v>
      </c>
      <c r="F1345" s="81" t="s">
        <v>35</v>
      </c>
    </row>
    <row r="1346" spans="1:6" x14ac:dyDescent="0.25">
      <c r="A1346" s="14">
        <v>46145.384722222225</v>
      </c>
      <c r="B1346" s="81" t="s">
        <v>149</v>
      </c>
      <c r="C1346" s="81" t="s">
        <v>207</v>
      </c>
      <c r="D1346" s="81" t="s">
        <v>212</v>
      </c>
      <c r="E1346" s="81" t="s">
        <v>66</v>
      </c>
      <c r="F1346" s="81" t="s">
        <v>35</v>
      </c>
    </row>
    <row r="1347" spans="1:6" x14ac:dyDescent="0.25">
      <c r="A1347" s="14">
        <v>46145.384722222225</v>
      </c>
      <c r="B1347" s="81" t="s">
        <v>149</v>
      </c>
      <c r="C1347" s="81" t="s">
        <v>207</v>
      </c>
      <c r="D1347" s="81" t="s">
        <v>212</v>
      </c>
      <c r="E1347" s="81" t="s">
        <v>66</v>
      </c>
      <c r="F1347" s="81" t="s">
        <v>35</v>
      </c>
    </row>
    <row r="1348" spans="1:6" x14ac:dyDescent="0.25">
      <c r="A1348" s="14">
        <v>46145.384722222225</v>
      </c>
      <c r="B1348" s="81" t="s">
        <v>149</v>
      </c>
      <c r="C1348" s="81" t="s">
        <v>207</v>
      </c>
      <c r="D1348" s="81" t="s">
        <v>163</v>
      </c>
      <c r="E1348" s="81" t="s">
        <v>66</v>
      </c>
      <c r="F1348" s="81" t="s">
        <v>35</v>
      </c>
    </row>
    <row r="1349" spans="1:6" x14ac:dyDescent="0.25">
      <c r="A1349" s="14">
        <v>46145.384722222225</v>
      </c>
      <c r="B1349" s="81" t="s">
        <v>149</v>
      </c>
      <c r="C1349" s="81" t="s">
        <v>207</v>
      </c>
      <c r="D1349" s="81" t="s">
        <v>163</v>
      </c>
      <c r="E1349" s="81" t="s">
        <v>66</v>
      </c>
      <c r="F1349" s="81" t="s">
        <v>35</v>
      </c>
    </row>
    <row r="1350" spans="1:6" x14ac:dyDescent="0.25">
      <c r="A1350" s="14">
        <v>46145.384722222225</v>
      </c>
      <c r="B1350" s="81" t="s">
        <v>149</v>
      </c>
      <c r="C1350" s="81" t="s">
        <v>207</v>
      </c>
      <c r="D1350" s="81" t="s">
        <v>163</v>
      </c>
      <c r="E1350" s="81" t="s">
        <v>66</v>
      </c>
      <c r="F1350" s="81" t="s">
        <v>35</v>
      </c>
    </row>
    <row r="1351" spans="1:6" x14ac:dyDescent="0.25">
      <c r="A1351" s="14">
        <v>46145.384722222225</v>
      </c>
      <c r="B1351" s="81" t="s">
        <v>149</v>
      </c>
      <c r="C1351" s="81" t="s">
        <v>207</v>
      </c>
      <c r="D1351" s="81" t="s">
        <v>163</v>
      </c>
      <c r="E1351" s="81" t="s">
        <v>66</v>
      </c>
      <c r="F1351" s="81" t="s">
        <v>35</v>
      </c>
    </row>
    <row r="1352" spans="1:6" x14ac:dyDescent="0.25">
      <c r="A1352" s="14">
        <v>46145.384722222225</v>
      </c>
      <c r="B1352" s="81" t="s">
        <v>149</v>
      </c>
      <c r="C1352" s="81" t="s">
        <v>183</v>
      </c>
      <c r="D1352" s="81" t="s">
        <v>212</v>
      </c>
      <c r="E1352" s="81" t="s">
        <v>52</v>
      </c>
      <c r="F1352" s="81" t="s">
        <v>0</v>
      </c>
    </row>
    <row r="1353" spans="1:6" x14ac:dyDescent="0.25">
      <c r="A1353" s="14">
        <v>46145.384722222225</v>
      </c>
      <c r="B1353" s="81" t="s">
        <v>149</v>
      </c>
      <c r="C1353" s="81" t="s">
        <v>207</v>
      </c>
      <c r="D1353" s="81" t="s">
        <v>250</v>
      </c>
      <c r="E1353" s="81" t="s">
        <v>66</v>
      </c>
      <c r="F1353" s="81" t="s">
        <v>35</v>
      </c>
    </row>
    <row r="1354" spans="1:6" x14ac:dyDescent="0.25">
      <c r="A1354" s="14">
        <v>46145.384722222225</v>
      </c>
      <c r="B1354" s="81" t="s">
        <v>149</v>
      </c>
      <c r="C1354" s="81" t="s">
        <v>207</v>
      </c>
      <c r="D1354" s="81" t="s">
        <v>250</v>
      </c>
      <c r="E1354" s="81" t="s">
        <v>66</v>
      </c>
      <c r="F1354" s="81" t="s">
        <v>35</v>
      </c>
    </row>
    <row r="1355" spans="1:6" x14ac:dyDescent="0.25">
      <c r="A1355" s="14">
        <v>46145.384722222225</v>
      </c>
      <c r="B1355" s="81" t="s">
        <v>149</v>
      </c>
      <c r="C1355" s="81" t="s">
        <v>207</v>
      </c>
      <c r="D1355" s="81" t="s">
        <v>250</v>
      </c>
      <c r="E1355" s="81" t="s">
        <v>66</v>
      </c>
      <c r="F1355" s="81" t="s">
        <v>35</v>
      </c>
    </row>
    <row r="1356" spans="1:6" x14ac:dyDescent="0.25">
      <c r="A1356" s="14">
        <v>46145.384722222225</v>
      </c>
      <c r="B1356" s="81" t="s">
        <v>149</v>
      </c>
      <c r="C1356" s="81" t="s">
        <v>207</v>
      </c>
      <c r="D1356" s="81" t="s">
        <v>250</v>
      </c>
      <c r="E1356" s="81" t="s">
        <v>66</v>
      </c>
      <c r="F1356" s="81" t="s">
        <v>35</v>
      </c>
    </row>
    <row r="1357" spans="1:6" x14ac:dyDescent="0.25">
      <c r="A1357" s="14">
        <v>46145.384722222225</v>
      </c>
      <c r="B1357" s="81" t="s">
        <v>149</v>
      </c>
      <c r="C1357" s="81" t="s">
        <v>208</v>
      </c>
      <c r="D1357" s="81" t="s">
        <v>250</v>
      </c>
      <c r="E1357" s="81" t="s">
        <v>66</v>
      </c>
      <c r="F1357" s="81" t="s">
        <v>35</v>
      </c>
    </row>
    <row r="1358" spans="1:6" x14ac:dyDescent="0.25">
      <c r="A1358" s="14">
        <v>46145.384722222225</v>
      </c>
      <c r="B1358" s="81" t="s">
        <v>149</v>
      </c>
      <c r="C1358" s="81" t="s">
        <v>207</v>
      </c>
      <c r="D1358" s="81" t="s">
        <v>250</v>
      </c>
      <c r="E1358" s="81" t="s">
        <v>66</v>
      </c>
      <c r="F1358" s="81" t="s">
        <v>35</v>
      </c>
    </row>
    <row r="1359" spans="1:6" x14ac:dyDescent="0.25">
      <c r="A1359" s="14">
        <v>46145.384722222225</v>
      </c>
      <c r="B1359" s="81" t="s">
        <v>149</v>
      </c>
      <c r="C1359" s="81" t="s">
        <v>207</v>
      </c>
      <c r="D1359" s="81" t="s">
        <v>250</v>
      </c>
      <c r="E1359" s="81" t="s">
        <v>66</v>
      </c>
      <c r="F1359" s="81" t="s">
        <v>35</v>
      </c>
    </row>
    <row r="1360" spans="1:6" x14ac:dyDescent="0.25">
      <c r="A1360" s="14">
        <v>46145.384722222225</v>
      </c>
      <c r="B1360" s="81" t="s">
        <v>149</v>
      </c>
      <c r="C1360" s="81" t="s">
        <v>207</v>
      </c>
      <c r="D1360" s="81" t="s">
        <v>250</v>
      </c>
      <c r="E1360" s="81" t="s">
        <v>66</v>
      </c>
      <c r="F1360" s="81" t="s">
        <v>35</v>
      </c>
    </row>
    <row r="1361" spans="1:6" x14ac:dyDescent="0.25">
      <c r="A1361" s="14">
        <v>46145.384722222225</v>
      </c>
      <c r="B1361" s="81" t="s">
        <v>149</v>
      </c>
      <c r="C1361" s="81" t="s">
        <v>207</v>
      </c>
      <c r="D1361" s="81" t="s">
        <v>250</v>
      </c>
      <c r="E1361" s="81" t="s">
        <v>66</v>
      </c>
      <c r="F1361" s="81" t="s">
        <v>35</v>
      </c>
    </row>
    <row r="1362" spans="1:6" x14ac:dyDescent="0.25">
      <c r="A1362" s="14">
        <v>46145.384722222225</v>
      </c>
      <c r="B1362" s="81" t="s">
        <v>149</v>
      </c>
      <c r="C1362" s="81" t="s">
        <v>207</v>
      </c>
      <c r="D1362" s="81" t="s">
        <v>250</v>
      </c>
      <c r="E1362" s="81" t="s">
        <v>66</v>
      </c>
      <c r="F1362" s="81" t="s">
        <v>35</v>
      </c>
    </row>
    <row r="1363" spans="1:6" x14ac:dyDescent="0.25">
      <c r="A1363" s="14">
        <v>46145.384722222225</v>
      </c>
      <c r="B1363" s="81" t="s">
        <v>149</v>
      </c>
      <c r="C1363" s="81" t="s">
        <v>207</v>
      </c>
      <c r="D1363" s="81" t="s">
        <v>250</v>
      </c>
      <c r="E1363" s="81" t="s">
        <v>66</v>
      </c>
      <c r="F1363" s="81" t="s">
        <v>35</v>
      </c>
    </row>
    <row r="1364" spans="1:6" x14ac:dyDescent="0.25">
      <c r="A1364" s="14">
        <v>46145.384722222225</v>
      </c>
      <c r="B1364" s="81" t="s">
        <v>149</v>
      </c>
      <c r="C1364" s="81" t="s">
        <v>207</v>
      </c>
      <c r="D1364" s="81" t="s">
        <v>250</v>
      </c>
      <c r="E1364" s="81" t="s">
        <v>66</v>
      </c>
      <c r="F1364" s="81" t="s">
        <v>35</v>
      </c>
    </row>
    <row r="1365" spans="1:6" x14ac:dyDescent="0.25">
      <c r="A1365" s="14">
        <v>46145.384722222225</v>
      </c>
      <c r="B1365" s="81" t="s">
        <v>149</v>
      </c>
      <c r="C1365" s="81" t="s">
        <v>207</v>
      </c>
      <c r="D1365" s="81" t="s">
        <v>250</v>
      </c>
      <c r="E1365" s="81" t="s">
        <v>66</v>
      </c>
      <c r="F1365" s="81" t="s">
        <v>35</v>
      </c>
    </row>
    <row r="1366" spans="1:6" x14ac:dyDescent="0.25">
      <c r="A1366" s="14">
        <v>46145.384722222225</v>
      </c>
      <c r="B1366" s="81" t="s">
        <v>149</v>
      </c>
      <c r="C1366" s="81" t="s">
        <v>207</v>
      </c>
      <c r="D1366" s="81" t="s">
        <v>231</v>
      </c>
      <c r="E1366" s="81" t="s">
        <v>66</v>
      </c>
      <c r="F1366" s="81" t="s">
        <v>35</v>
      </c>
    </row>
    <row r="1367" spans="1:6" x14ac:dyDescent="0.25">
      <c r="A1367" s="14">
        <v>46145.384722222225</v>
      </c>
      <c r="B1367" s="81" t="s">
        <v>149</v>
      </c>
      <c r="C1367" s="81" t="s">
        <v>207</v>
      </c>
      <c r="D1367" s="81" t="s">
        <v>231</v>
      </c>
      <c r="E1367" s="81" t="s">
        <v>66</v>
      </c>
      <c r="F1367" s="81" t="s">
        <v>35</v>
      </c>
    </row>
    <row r="1368" spans="1:6" x14ac:dyDescent="0.25">
      <c r="A1368" s="14">
        <v>46145.384722222225</v>
      </c>
      <c r="B1368" s="81" t="s">
        <v>149</v>
      </c>
      <c r="C1368" s="81" t="s">
        <v>207</v>
      </c>
      <c r="D1368" s="81" t="s">
        <v>231</v>
      </c>
      <c r="E1368" s="81" t="s">
        <v>66</v>
      </c>
      <c r="F1368" s="81" t="s">
        <v>35</v>
      </c>
    </row>
    <row r="1369" spans="1:6" x14ac:dyDescent="0.25">
      <c r="A1369" s="14">
        <v>46145.384722222225</v>
      </c>
      <c r="B1369" s="81" t="s">
        <v>149</v>
      </c>
      <c r="C1369" s="81" t="s">
        <v>207</v>
      </c>
      <c r="D1369" s="81" t="s">
        <v>231</v>
      </c>
      <c r="E1369" s="81" t="s">
        <v>66</v>
      </c>
      <c r="F1369" s="81" t="s">
        <v>35</v>
      </c>
    </row>
    <row r="1370" spans="1:6" x14ac:dyDescent="0.25">
      <c r="A1370" s="14">
        <v>46145.384722222225</v>
      </c>
      <c r="B1370" s="81" t="s">
        <v>149</v>
      </c>
      <c r="C1370" s="81" t="s">
        <v>207</v>
      </c>
      <c r="D1370" s="81" t="s">
        <v>231</v>
      </c>
      <c r="E1370" s="81" t="s">
        <v>66</v>
      </c>
      <c r="F1370" s="81" t="s">
        <v>35</v>
      </c>
    </row>
    <row r="1371" spans="1:6" x14ac:dyDescent="0.25">
      <c r="A1371" s="14">
        <v>46145.384722222225</v>
      </c>
      <c r="B1371" s="81" t="s">
        <v>149</v>
      </c>
      <c r="C1371" s="81" t="s">
        <v>207</v>
      </c>
      <c r="D1371" s="81" t="s">
        <v>231</v>
      </c>
      <c r="E1371" s="81" t="s">
        <v>66</v>
      </c>
      <c r="F1371" s="81" t="s">
        <v>35</v>
      </c>
    </row>
    <row r="1372" spans="1:6" x14ac:dyDescent="0.25">
      <c r="A1372" s="14">
        <v>46145.384722222225</v>
      </c>
      <c r="B1372" s="81" t="s">
        <v>149</v>
      </c>
      <c r="C1372" s="81" t="s">
        <v>207</v>
      </c>
      <c r="D1372" s="81" t="s">
        <v>231</v>
      </c>
      <c r="E1372" s="81" t="s">
        <v>66</v>
      </c>
      <c r="F1372" s="81" t="s">
        <v>35</v>
      </c>
    </row>
    <row r="1373" spans="1:6" x14ac:dyDescent="0.25">
      <c r="A1373" s="14">
        <v>46145.384722222225</v>
      </c>
      <c r="B1373" s="81" t="s">
        <v>149</v>
      </c>
      <c r="C1373" s="81" t="s">
        <v>207</v>
      </c>
      <c r="D1373" s="81" t="s">
        <v>231</v>
      </c>
      <c r="E1373" s="81" t="s">
        <v>66</v>
      </c>
      <c r="F1373" s="81" t="s">
        <v>35</v>
      </c>
    </row>
    <row r="1374" spans="1:6" x14ac:dyDescent="0.25">
      <c r="A1374" s="14">
        <v>46145.384722222225</v>
      </c>
      <c r="B1374" s="81" t="s">
        <v>149</v>
      </c>
      <c r="C1374" s="81" t="s">
        <v>207</v>
      </c>
      <c r="D1374" s="81" t="s">
        <v>261</v>
      </c>
      <c r="E1374" s="81" t="s">
        <v>66</v>
      </c>
      <c r="F1374" s="81" t="s">
        <v>35</v>
      </c>
    </row>
    <row r="1375" spans="1:6" x14ac:dyDescent="0.25">
      <c r="A1375" s="14">
        <v>46145.384722222225</v>
      </c>
      <c r="B1375" s="81" t="s">
        <v>149</v>
      </c>
      <c r="C1375" s="81" t="s">
        <v>207</v>
      </c>
      <c r="D1375" s="81" t="s">
        <v>261</v>
      </c>
      <c r="E1375" s="81" t="s">
        <v>66</v>
      </c>
      <c r="F1375" s="81" t="s">
        <v>35</v>
      </c>
    </row>
    <row r="1376" spans="1:6" x14ac:dyDescent="0.25">
      <c r="A1376" s="14">
        <v>46145.384722222225</v>
      </c>
      <c r="B1376" s="81" t="s">
        <v>149</v>
      </c>
      <c r="C1376" s="81" t="s">
        <v>207</v>
      </c>
      <c r="D1376" s="81" t="s">
        <v>261</v>
      </c>
      <c r="E1376" s="81" t="s">
        <v>66</v>
      </c>
      <c r="F1376" s="81" t="s">
        <v>35</v>
      </c>
    </row>
    <row r="1377" spans="1:6" x14ac:dyDescent="0.25">
      <c r="A1377" s="14">
        <v>46145.384722222225</v>
      </c>
      <c r="B1377" s="81" t="s">
        <v>149</v>
      </c>
      <c r="C1377" s="81" t="s">
        <v>207</v>
      </c>
      <c r="D1377" s="81" t="s">
        <v>261</v>
      </c>
      <c r="E1377" s="81" t="s">
        <v>66</v>
      </c>
      <c r="F1377" s="81" t="s">
        <v>35</v>
      </c>
    </row>
    <row r="1378" spans="1:6" x14ac:dyDescent="0.25">
      <c r="A1378" s="14">
        <v>46145.384722222225</v>
      </c>
      <c r="B1378" s="81" t="s">
        <v>149</v>
      </c>
      <c r="C1378" s="81" t="s">
        <v>181</v>
      </c>
      <c r="D1378" s="81" t="s">
        <v>244</v>
      </c>
      <c r="E1378" s="81" t="s">
        <v>49</v>
      </c>
      <c r="F1378" s="81" t="s">
        <v>2</v>
      </c>
    </row>
    <row r="1379" spans="1:6" x14ac:dyDescent="0.25">
      <c r="A1379" s="14">
        <v>46145.384722222225</v>
      </c>
      <c r="B1379" s="81" t="s">
        <v>149</v>
      </c>
      <c r="C1379" s="81" t="s">
        <v>181</v>
      </c>
      <c r="D1379" s="81" t="s">
        <v>240</v>
      </c>
      <c r="E1379" s="81" t="s">
        <v>52</v>
      </c>
      <c r="F1379" s="81" t="s">
        <v>0</v>
      </c>
    </row>
    <row r="1380" spans="1:6" x14ac:dyDescent="0.25">
      <c r="A1380" s="14">
        <v>46146.179861111108</v>
      </c>
      <c r="B1380" s="81" t="s">
        <v>149</v>
      </c>
      <c r="C1380" s="81" t="s">
        <v>158</v>
      </c>
      <c r="D1380" s="81" t="s">
        <v>258</v>
      </c>
      <c r="E1380" s="81" t="s">
        <v>52</v>
      </c>
      <c r="F1380" s="81" t="s">
        <v>0</v>
      </c>
    </row>
    <row r="1381" spans="1:6" x14ac:dyDescent="0.25">
      <c r="A1381" s="14">
        <v>46146.179861111108</v>
      </c>
      <c r="B1381" s="81" t="s">
        <v>149</v>
      </c>
      <c r="C1381" s="81" t="s">
        <v>181</v>
      </c>
      <c r="D1381" s="81" t="s">
        <v>156</v>
      </c>
      <c r="E1381" s="81" t="s">
        <v>49</v>
      </c>
      <c r="F1381" s="81" t="s">
        <v>2</v>
      </c>
    </row>
    <row r="1382" spans="1:6" x14ac:dyDescent="0.25">
      <c r="A1382" s="14">
        <v>46146.179861111108</v>
      </c>
      <c r="B1382" s="81" t="s">
        <v>149</v>
      </c>
      <c r="C1382" s="81" t="s">
        <v>175</v>
      </c>
      <c r="D1382" s="81" t="s">
        <v>156</v>
      </c>
      <c r="E1382" s="81" t="s">
        <v>49</v>
      </c>
      <c r="F1382" s="81" t="s">
        <v>2</v>
      </c>
    </row>
    <row r="1383" spans="1:6" x14ac:dyDescent="0.25">
      <c r="A1383" s="14">
        <v>46146.179861111108</v>
      </c>
      <c r="B1383" s="81" t="s">
        <v>149</v>
      </c>
      <c r="C1383" s="81" t="s">
        <v>187</v>
      </c>
      <c r="D1383" s="81" t="s">
        <v>156</v>
      </c>
      <c r="E1383" s="81" t="s">
        <v>75</v>
      </c>
      <c r="F1383" s="81" t="s">
        <v>93</v>
      </c>
    </row>
    <row r="1384" spans="1:6" x14ac:dyDescent="0.25">
      <c r="A1384" s="14">
        <v>46146.179861111108</v>
      </c>
      <c r="B1384" s="81" t="s">
        <v>149</v>
      </c>
      <c r="C1384" s="81" t="s">
        <v>185</v>
      </c>
      <c r="D1384" s="81" t="s">
        <v>156</v>
      </c>
      <c r="E1384" s="81" t="s">
        <v>50</v>
      </c>
      <c r="F1384" s="81" t="s">
        <v>1</v>
      </c>
    </row>
    <row r="1385" spans="1:6" x14ac:dyDescent="0.25">
      <c r="A1385" s="14">
        <v>46146.179861111108</v>
      </c>
      <c r="B1385" s="81" t="s">
        <v>149</v>
      </c>
      <c r="C1385" s="81" t="s">
        <v>187</v>
      </c>
      <c r="D1385" s="81" t="s">
        <v>156</v>
      </c>
      <c r="E1385" s="81" t="s">
        <v>75</v>
      </c>
      <c r="F1385" s="81" t="s">
        <v>93</v>
      </c>
    </row>
    <row r="1386" spans="1:6" x14ac:dyDescent="0.25">
      <c r="A1386" s="14">
        <v>46146.179861111108</v>
      </c>
      <c r="B1386" s="81" t="s">
        <v>149</v>
      </c>
      <c r="C1386" s="81" t="s">
        <v>187</v>
      </c>
      <c r="D1386" s="81" t="s">
        <v>156</v>
      </c>
      <c r="E1386" s="81" t="s">
        <v>75</v>
      </c>
      <c r="F1386" s="81" t="s">
        <v>93</v>
      </c>
    </row>
    <row r="1387" spans="1:6" x14ac:dyDescent="0.25">
      <c r="A1387" s="14">
        <v>46146.179861111108</v>
      </c>
      <c r="B1387" s="81" t="s">
        <v>149</v>
      </c>
      <c r="C1387" s="81" t="s">
        <v>187</v>
      </c>
      <c r="D1387" s="81" t="s">
        <v>156</v>
      </c>
      <c r="E1387" s="81" t="s">
        <v>75</v>
      </c>
      <c r="F1387" s="81" t="s">
        <v>93</v>
      </c>
    </row>
    <row r="1388" spans="1:6" x14ac:dyDescent="0.25">
      <c r="A1388" s="14">
        <v>46146.179861111108</v>
      </c>
      <c r="B1388" s="81" t="s">
        <v>149</v>
      </c>
      <c r="C1388" s="81" t="s">
        <v>187</v>
      </c>
      <c r="D1388" s="81" t="s">
        <v>156</v>
      </c>
      <c r="E1388" s="81" t="s">
        <v>75</v>
      </c>
      <c r="F1388" s="81" t="s">
        <v>93</v>
      </c>
    </row>
    <row r="1389" spans="1:6" x14ac:dyDescent="0.25">
      <c r="A1389" s="14">
        <v>46146.179861111108</v>
      </c>
      <c r="B1389" s="81" t="s">
        <v>149</v>
      </c>
      <c r="C1389" s="81" t="s">
        <v>177</v>
      </c>
      <c r="D1389" s="81" t="s">
        <v>258</v>
      </c>
      <c r="E1389" s="81" t="s">
        <v>52</v>
      </c>
      <c r="F1389" s="81" t="s">
        <v>0</v>
      </c>
    </row>
    <row r="1390" spans="1:6" x14ac:dyDescent="0.25">
      <c r="A1390" s="14">
        <v>46146.179861111108</v>
      </c>
      <c r="B1390" s="81" t="s">
        <v>149</v>
      </c>
      <c r="C1390" s="81" t="s">
        <v>190</v>
      </c>
      <c r="D1390" s="81" t="s">
        <v>258</v>
      </c>
      <c r="E1390" s="81" t="s">
        <v>52</v>
      </c>
      <c r="F1390" s="81" t="s">
        <v>0</v>
      </c>
    </row>
    <row r="1391" spans="1:6" x14ac:dyDescent="0.25">
      <c r="A1391" s="14">
        <v>46146.179861111108</v>
      </c>
      <c r="B1391" s="81" t="s">
        <v>149</v>
      </c>
      <c r="C1391" s="81" t="s">
        <v>183</v>
      </c>
      <c r="D1391" s="81" t="s">
        <v>261</v>
      </c>
      <c r="E1391" s="81" t="s">
        <v>52</v>
      </c>
      <c r="F1391" s="81" t="s">
        <v>0</v>
      </c>
    </row>
    <row r="1392" spans="1:6" x14ac:dyDescent="0.25">
      <c r="A1392" s="14">
        <v>46146.179861111108</v>
      </c>
      <c r="B1392" s="81" t="s">
        <v>149</v>
      </c>
      <c r="C1392" s="81" t="s">
        <v>177</v>
      </c>
      <c r="D1392" s="81" t="s">
        <v>164</v>
      </c>
      <c r="E1392" s="81" t="s">
        <v>49</v>
      </c>
      <c r="F1392" s="81" t="s">
        <v>2</v>
      </c>
    </row>
    <row r="1393" spans="1:6" x14ac:dyDescent="0.25">
      <c r="A1393" s="14">
        <v>46146.179861111108</v>
      </c>
      <c r="B1393" s="81" t="s">
        <v>149</v>
      </c>
      <c r="C1393" s="81" t="s">
        <v>192</v>
      </c>
      <c r="D1393" s="81" t="s">
        <v>258</v>
      </c>
      <c r="E1393" s="81" t="s">
        <v>60</v>
      </c>
      <c r="F1393" s="81" t="s">
        <v>28</v>
      </c>
    </row>
    <row r="1394" spans="1:6" x14ac:dyDescent="0.25">
      <c r="A1394" s="14">
        <v>46146.179861111108</v>
      </c>
      <c r="B1394" s="81" t="s">
        <v>149</v>
      </c>
      <c r="C1394" s="81" t="s">
        <v>181</v>
      </c>
      <c r="D1394" s="81" t="s">
        <v>180</v>
      </c>
      <c r="E1394" s="81" t="s">
        <v>50</v>
      </c>
      <c r="F1394" s="81" t="s">
        <v>1</v>
      </c>
    </row>
    <row r="1395" spans="1:6" x14ac:dyDescent="0.25">
      <c r="A1395" s="14">
        <v>46146.179861111108</v>
      </c>
      <c r="B1395" s="81" t="s">
        <v>149</v>
      </c>
      <c r="C1395" s="81" t="s">
        <v>187</v>
      </c>
      <c r="D1395" s="81" t="s">
        <v>156</v>
      </c>
      <c r="E1395" s="81" t="s">
        <v>75</v>
      </c>
      <c r="F1395" s="81" t="s">
        <v>93</v>
      </c>
    </row>
    <row r="1396" spans="1:6" x14ac:dyDescent="0.25">
      <c r="A1396" s="14">
        <v>46146.179861111108</v>
      </c>
      <c r="B1396" s="81" t="s">
        <v>149</v>
      </c>
      <c r="C1396" s="81" t="s">
        <v>213</v>
      </c>
      <c r="D1396" s="81" t="s">
        <v>180</v>
      </c>
      <c r="E1396" s="81" t="s">
        <v>64</v>
      </c>
      <c r="F1396" s="81" t="s">
        <v>98</v>
      </c>
    </row>
    <row r="1397" spans="1:6" x14ac:dyDescent="0.25">
      <c r="A1397" s="14">
        <v>46146.179861111108</v>
      </c>
      <c r="B1397" s="81" t="s">
        <v>149</v>
      </c>
      <c r="C1397" s="81" t="s">
        <v>175</v>
      </c>
      <c r="D1397" s="81" t="s">
        <v>261</v>
      </c>
      <c r="E1397" s="81" t="s">
        <v>52</v>
      </c>
      <c r="F1397" s="81" t="s">
        <v>0</v>
      </c>
    </row>
    <row r="1398" spans="1:6" x14ac:dyDescent="0.25">
      <c r="A1398" s="14">
        <v>46146.179861111108</v>
      </c>
      <c r="B1398" s="81" t="s">
        <v>149</v>
      </c>
      <c r="C1398" s="81" t="s">
        <v>151</v>
      </c>
      <c r="D1398" s="81" t="s">
        <v>163</v>
      </c>
      <c r="E1398" s="81" t="s">
        <v>50</v>
      </c>
      <c r="F1398" s="81" t="s">
        <v>1</v>
      </c>
    </row>
    <row r="1399" spans="1:6" x14ac:dyDescent="0.25">
      <c r="A1399" s="14">
        <v>46146.179861111108</v>
      </c>
      <c r="B1399" s="81" t="s">
        <v>149</v>
      </c>
      <c r="C1399" s="81" t="s">
        <v>183</v>
      </c>
      <c r="D1399" s="81" t="s">
        <v>164</v>
      </c>
      <c r="E1399" s="81" t="s">
        <v>50</v>
      </c>
      <c r="F1399" s="81" t="s">
        <v>1</v>
      </c>
    </row>
    <row r="1400" spans="1:6" x14ac:dyDescent="0.25">
      <c r="A1400" s="14">
        <v>46146.179861111108</v>
      </c>
      <c r="B1400" s="81" t="s">
        <v>149</v>
      </c>
      <c r="C1400" s="81" t="s">
        <v>158</v>
      </c>
      <c r="D1400" s="81" t="s">
        <v>259</v>
      </c>
      <c r="E1400" s="81" t="s">
        <v>50</v>
      </c>
      <c r="F1400" s="81" t="s">
        <v>1</v>
      </c>
    </row>
    <row r="1401" spans="1:6" x14ac:dyDescent="0.25">
      <c r="A1401" s="14">
        <v>46146.179861111108</v>
      </c>
      <c r="B1401" s="81" t="s">
        <v>149</v>
      </c>
      <c r="C1401" s="81" t="s">
        <v>190</v>
      </c>
      <c r="D1401" s="81" t="s">
        <v>261</v>
      </c>
      <c r="E1401" s="81" t="s">
        <v>52</v>
      </c>
      <c r="F1401" s="81" t="s">
        <v>0</v>
      </c>
    </row>
    <row r="1402" spans="1:6" x14ac:dyDescent="0.25">
      <c r="A1402" s="14">
        <v>46146.179861111108</v>
      </c>
      <c r="B1402" s="81" t="s">
        <v>149</v>
      </c>
      <c r="C1402" s="81" t="s">
        <v>171</v>
      </c>
      <c r="D1402" s="81" t="s">
        <v>259</v>
      </c>
      <c r="E1402" s="81" t="s">
        <v>50</v>
      </c>
      <c r="F1402" s="81" t="s">
        <v>1</v>
      </c>
    </row>
    <row r="1403" spans="1:6" x14ac:dyDescent="0.25">
      <c r="A1403" s="14">
        <v>46146.179861111108</v>
      </c>
      <c r="B1403" s="81" t="s">
        <v>149</v>
      </c>
      <c r="C1403" s="81" t="s">
        <v>185</v>
      </c>
      <c r="D1403" s="81" t="s">
        <v>261</v>
      </c>
      <c r="E1403" s="81" t="s">
        <v>52</v>
      </c>
      <c r="F1403" s="81" t="s">
        <v>0</v>
      </c>
    </row>
    <row r="1404" spans="1:6" x14ac:dyDescent="0.25">
      <c r="A1404" s="14">
        <v>46146.179861111108</v>
      </c>
      <c r="B1404" s="81" t="s">
        <v>149</v>
      </c>
      <c r="C1404" s="81" t="s">
        <v>187</v>
      </c>
      <c r="D1404" s="81" t="s">
        <v>167</v>
      </c>
      <c r="E1404" s="81" t="s">
        <v>75</v>
      </c>
      <c r="F1404" s="81" t="s">
        <v>93</v>
      </c>
    </row>
    <row r="1405" spans="1:6" x14ac:dyDescent="0.25">
      <c r="A1405" s="14">
        <v>46146.179861111108</v>
      </c>
      <c r="B1405" s="81" t="s">
        <v>149</v>
      </c>
      <c r="C1405" s="81" t="s">
        <v>187</v>
      </c>
      <c r="D1405" s="81" t="s">
        <v>167</v>
      </c>
      <c r="E1405" s="81" t="s">
        <v>75</v>
      </c>
      <c r="F1405" s="81" t="s">
        <v>93</v>
      </c>
    </row>
    <row r="1406" spans="1:6" x14ac:dyDescent="0.25">
      <c r="A1406" s="14">
        <v>46146.179861111108</v>
      </c>
      <c r="B1406" s="81" t="s">
        <v>149</v>
      </c>
      <c r="C1406" s="81" t="s">
        <v>187</v>
      </c>
      <c r="D1406" s="81" t="s">
        <v>167</v>
      </c>
      <c r="E1406" s="81" t="s">
        <v>75</v>
      </c>
      <c r="F1406" s="81" t="s">
        <v>93</v>
      </c>
    </row>
    <row r="1407" spans="1:6" x14ac:dyDescent="0.25">
      <c r="A1407" s="14">
        <v>46146.179861111108</v>
      </c>
      <c r="B1407" s="81" t="s">
        <v>149</v>
      </c>
      <c r="C1407" s="81" t="s">
        <v>187</v>
      </c>
      <c r="D1407" s="81" t="s">
        <v>167</v>
      </c>
      <c r="E1407" s="81" t="s">
        <v>75</v>
      </c>
      <c r="F1407" s="81" t="s">
        <v>93</v>
      </c>
    </row>
    <row r="1408" spans="1:6" x14ac:dyDescent="0.25">
      <c r="A1408" s="14">
        <v>46146.179861111108</v>
      </c>
      <c r="B1408" s="81" t="s">
        <v>149</v>
      </c>
      <c r="C1408" s="81" t="s">
        <v>187</v>
      </c>
      <c r="D1408" s="81" t="s">
        <v>167</v>
      </c>
      <c r="E1408" s="81" t="s">
        <v>75</v>
      </c>
      <c r="F1408" s="81" t="s">
        <v>93</v>
      </c>
    </row>
    <row r="1409" spans="1:6" x14ac:dyDescent="0.25">
      <c r="A1409" s="14">
        <v>46146.179861111108</v>
      </c>
      <c r="B1409" s="81" t="s">
        <v>149</v>
      </c>
      <c r="C1409" s="81" t="s">
        <v>187</v>
      </c>
      <c r="D1409" s="81" t="s">
        <v>167</v>
      </c>
      <c r="E1409" s="81" t="s">
        <v>75</v>
      </c>
      <c r="F1409" s="81" t="s">
        <v>93</v>
      </c>
    </row>
    <row r="1410" spans="1:6" x14ac:dyDescent="0.25">
      <c r="A1410" s="14">
        <v>46146.179861111108</v>
      </c>
      <c r="B1410" s="81" t="s">
        <v>149</v>
      </c>
      <c r="C1410" s="81" t="s">
        <v>187</v>
      </c>
      <c r="D1410" s="81" t="s">
        <v>167</v>
      </c>
      <c r="E1410" s="81" t="s">
        <v>75</v>
      </c>
      <c r="F1410" s="81" t="s">
        <v>93</v>
      </c>
    </row>
    <row r="1411" spans="1:6" x14ac:dyDescent="0.25">
      <c r="A1411" s="14">
        <v>46146.179861111108</v>
      </c>
      <c r="B1411" s="81" t="s">
        <v>149</v>
      </c>
      <c r="C1411" s="81" t="s">
        <v>187</v>
      </c>
      <c r="D1411" s="81" t="s">
        <v>167</v>
      </c>
      <c r="E1411" s="81" t="s">
        <v>75</v>
      </c>
      <c r="F1411" s="81" t="s">
        <v>93</v>
      </c>
    </row>
    <row r="1412" spans="1:6" x14ac:dyDescent="0.25">
      <c r="A1412" s="14">
        <v>46146.179861111108</v>
      </c>
      <c r="B1412" s="81" t="s">
        <v>149</v>
      </c>
      <c r="C1412" s="81" t="s">
        <v>187</v>
      </c>
      <c r="D1412" s="81" t="s">
        <v>167</v>
      </c>
      <c r="E1412" s="81" t="s">
        <v>75</v>
      </c>
      <c r="F1412" s="81" t="s">
        <v>93</v>
      </c>
    </row>
    <row r="1413" spans="1:6" x14ac:dyDescent="0.25">
      <c r="A1413" s="14">
        <v>46146.179861111108</v>
      </c>
      <c r="B1413" s="81" t="s">
        <v>149</v>
      </c>
      <c r="C1413" s="81" t="s">
        <v>187</v>
      </c>
      <c r="D1413" s="81" t="s">
        <v>167</v>
      </c>
      <c r="E1413" s="81" t="s">
        <v>75</v>
      </c>
      <c r="F1413" s="81" t="s">
        <v>93</v>
      </c>
    </row>
    <row r="1414" spans="1:6" x14ac:dyDescent="0.25">
      <c r="A1414" s="14">
        <v>46146.179861111108</v>
      </c>
      <c r="B1414" s="81" t="s">
        <v>149</v>
      </c>
      <c r="C1414" s="81" t="s">
        <v>187</v>
      </c>
      <c r="D1414" s="81" t="s">
        <v>167</v>
      </c>
      <c r="E1414" s="81" t="s">
        <v>75</v>
      </c>
      <c r="F1414" s="81" t="s">
        <v>93</v>
      </c>
    </row>
    <row r="1415" spans="1:6" x14ac:dyDescent="0.25">
      <c r="A1415" s="14">
        <v>46146.179861111108</v>
      </c>
      <c r="B1415" s="81" t="s">
        <v>149</v>
      </c>
      <c r="C1415" s="81" t="s">
        <v>187</v>
      </c>
      <c r="D1415" s="81" t="s">
        <v>156</v>
      </c>
      <c r="E1415" s="81" t="s">
        <v>75</v>
      </c>
      <c r="F1415" s="81" t="s">
        <v>93</v>
      </c>
    </row>
    <row r="1416" spans="1:6" x14ac:dyDescent="0.25">
      <c r="A1416" s="14">
        <v>46146.179861111108</v>
      </c>
      <c r="B1416" s="81" t="s">
        <v>149</v>
      </c>
      <c r="C1416" s="81" t="s">
        <v>181</v>
      </c>
      <c r="D1416" s="81" t="s">
        <v>156</v>
      </c>
      <c r="E1416" s="81" t="s">
        <v>49</v>
      </c>
      <c r="F1416" s="81" t="s">
        <v>2</v>
      </c>
    </row>
    <row r="1417" spans="1:6" x14ac:dyDescent="0.25">
      <c r="A1417" s="14">
        <v>46146.179861111108</v>
      </c>
      <c r="B1417" s="81" t="s">
        <v>149</v>
      </c>
      <c r="C1417" s="81" t="s">
        <v>176</v>
      </c>
      <c r="D1417" s="81" t="s">
        <v>199</v>
      </c>
      <c r="E1417" s="81" t="s">
        <v>63</v>
      </c>
      <c r="F1417" s="81" t="s">
        <v>16</v>
      </c>
    </row>
    <row r="1418" spans="1:6" x14ac:dyDescent="0.25">
      <c r="A1418" s="14">
        <v>46146.179861111108</v>
      </c>
      <c r="B1418" s="81" t="s">
        <v>149</v>
      </c>
      <c r="C1418" s="81" t="s">
        <v>187</v>
      </c>
      <c r="D1418" s="81" t="s">
        <v>156</v>
      </c>
      <c r="E1418" s="81" t="s">
        <v>75</v>
      </c>
      <c r="F1418" s="81" t="s">
        <v>93</v>
      </c>
    </row>
    <row r="1419" spans="1:6" x14ac:dyDescent="0.25">
      <c r="A1419" s="14">
        <v>46146.179861111108</v>
      </c>
      <c r="B1419" s="81" t="s">
        <v>149</v>
      </c>
      <c r="C1419" s="81" t="s">
        <v>182</v>
      </c>
      <c r="D1419" s="81" t="s">
        <v>167</v>
      </c>
      <c r="E1419" s="81" t="s">
        <v>50</v>
      </c>
      <c r="F1419" s="81" t="s">
        <v>1</v>
      </c>
    </row>
    <row r="1420" spans="1:6" x14ac:dyDescent="0.25">
      <c r="A1420" s="14">
        <v>46146.179861111108</v>
      </c>
      <c r="B1420" s="81" t="s">
        <v>149</v>
      </c>
      <c r="C1420" s="81" t="s">
        <v>187</v>
      </c>
      <c r="D1420" s="81" t="s">
        <v>156</v>
      </c>
      <c r="E1420" s="81" t="s">
        <v>75</v>
      </c>
      <c r="F1420" s="81" t="s">
        <v>93</v>
      </c>
    </row>
    <row r="1421" spans="1:6" x14ac:dyDescent="0.25">
      <c r="A1421" s="14">
        <v>46146.179861111108</v>
      </c>
      <c r="B1421" s="81" t="s">
        <v>149</v>
      </c>
      <c r="C1421" s="81" t="s">
        <v>187</v>
      </c>
      <c r="D1421" s="81" t="s">
        <v>156</v>
      </c>
      <c r="E1421" s="81" t="s">
        <v>75</v>
      </c>
      <c r="F1421" s="81" t="s">
        <v>93</v>
      </c>
    </row>
    <row r="1422" spans="1:6" x14ac:dyDescent="0.25">
      <c r="A1422" s="14">
        <v>46146.179861111108</v>
      </c>
      <c r="B1422" s="81" t="s">
        <v>149</v>
      </c>
      <c r="C1422" s="81" t="s">
        <v>187</v>
      </c>
      <c r="D1422" s="81" t="s">
        <v>156</v>
      </c>
      <c r="E1422" s="81" t="s">
        <v>75</v>
      </c>
      <c r="F1422" s="81" t="s">
        <v>93</v>
      </c>
    </row>
    <row r="1423" spans="1:6" x14ac:dyDescent="0.25">
      <c r="A1423" s="14">
        <v>46146.179861111108</v>
      </c>
      <c r="B1423" s="81" t="s">
        <v>149</v>
      </c>
      <c r="C1423" s="81" t="s">
        <v>187</v>
      </c>
      <c r="D1423" s="81" t="s">
        <v>156</v>
      </c>
      <c r="E1423" s="81" t="s">
        <v>75</v>
      </c>
      <c r="F1423" s="81" t="s">
        <v>93</v>
      </c>
    </row>
    <row r="1424" spans="1:6" x14ac:dyDescent="0.25">
      <c r="A1424" s="14">
        <v>46146.179861111108</v>
      </c>
      <c r="B1424" s="81" t="s">
        <v>149</v>
      </c>
      <c r="C1424" s="81" t="s">
        <v>171</v>
      </c>
      <c r="D1424" s="81" t="s">
        <v>162</v>
      </c>
      <c r="E1424" s="81" t="s">
        <v>49</v>
      </c>
      <c r="F1424" s="81" t="s">
        <v>2</v>
      </c>
    </row>
    <row r="1425" spans="1:6" x14ac:dyDescent="0.25">
      <c r="A1425" s="14">
        <v>46146.179861111108</v>
      </c>
      <c r="B1425" s="81" t="s">
        <v>149</v>
      </c>
      <c r="C1425" s="81" t="s">
        <v>177</v>
      </c>
      <c r="D1425" s="81" t="s">
        <v>162</v>
      </c>
      <c r="E1425" s="81" t="s">
        <v>50</v>
      </c>
      <c r="F1425" s="81" t="s">
        <v>1</v>
      </c>
    </row>
    <row r="1426" spans="1:6" x14ac:dyDescent="0.25">
      <c r="A1426" s="14">
        <v>46146.179861111108</v>
      </c>
      <c r="B1426" s="81" t="s">
        <v>149</v>
      </c>
      <c r="C1426" s="81" t="s">
        <v>183</v>
      </c>
      <c r="D1426" s="81" t="s">
        <v>162</v>
      </c>
      <c r="E1426" s="81" t="s">
        <v>50</v>
      </c>
      <c r="F1426" s="81" t="s">
        <v>1</v>
      </c>
    </row>
    <row r="1427" spans="1:6" x14ac:dyDescent="0.25">
      <c r="A1427" s="14">
        <v>46146.179861111108</v>
      </c>
      <c r="B1427" s="81" t="s">
        <v>149</v>
      </c>
      <c r="C1427" s="81" t="s">
        <v>175</v>
      </c>
      <c r="D1427" s="81" t="s">
        <v>162</v>
      </c>
      <c r="E1427" s="81" t="s">
        <v>49</v>
      </c>
      <c r="F1427" s="81" t="s">
        <v>2</v>
      </c>
    </row>
    <row r="1428" spans="1:6" x14ac:dyDescent="0.25">
      <c r="A1428" s="14">
        <v>46146.179861111108</v>
      </c>
      <c r="B1428" s="81" t="s">
        <v>149</v>
      </c>
      <c r="C1428" s="81" t="s">
        <v>151</v>
      </c>
      <c r="D1428" s="81" t="s">
        <v>162</v>
      </c>
      <c r="E1428" s="81" t="s">
        <v>50</v>
      </c>
      <c r="F1428" s="81" t="s">
        <v>1</v>
      </c>
    </row>
    <row r="1429" spans="1:6" x14ac:dyDescent="0.25">
      <c r="A1429" s="14">
        <v>46146.179861111108</v>
      </c>
      <c r="B1429" s="81" t="s">
        <v>149</v>
      </c>
      <c r="C1429" s="81" t="s">
        <v>184</v>
      </c>
      <c r="D1429" s="81" t="s">
        <v>162</v>
      </c>
      <c r="E1429" s="81" t="s">
        <v>50</v>
      </c>
      <c r="F1429" s="81" t="s">
        <v>1</v>
      </c>
    </row>
    <row r="1430" spans="1:6" x14ac:dyDescent="0.25">
      <c r="A1430" s="14">
        <v>46146.179861111108</v>
      </c>
      <c r="B1430" s="81" t="s">
        <v>149</v>
      </c>
      <c r="C1430" s="81" t="s">
        <v>171</v>
      </c>
      <c r="D1430" s="81" t="s">
        <v>162</v>
      </c>
      <c r="E1430" s="81" t="s">
        <v>49</v>
      </c>
      <c r="F1430" s="81" t="s">
        <v>2</v>
      </c>
    </row>
    <row r="1431" spans="1:6" x14ac:dyDescent="0.25">
      <c r="A1431" s="14">
        <v>46146.179861111108</v>
      </c>
      <c r="B1431" s="81" t="s">
        <v>149</v>
      </c>
      <c r="C1431" s="81" t="s">
        <v>184</v>
      </c>
      <c r="D1431" s="81" t="s">
        <v>162</v>
      </c>
      <c r="E1431" s="81" t="s">
        <v>50</v>
      </c>
      <c r="F1431" s="81" t="s">
        <v>1</v>
      </c>
    </row>
    <row r="1432" spans="1:6" x14ac:dyDescent="0.25">
      <c r="A1432" s="14">
        <v>46146.179861111108</v>
      </c>
      <c r="B1432" s="81" t="s">
        <v>149</v>
      </c>
      <c r="C1432" s="81" t="s">
        <v>171</v>
      </c>
      <c r="D1432" s="81" t="s">
        <v>162</v>
      </c>
      <c r="E1432" s="81" t="s">
        <v>50</v>
      </c>
      <c r="F1432" s="81" t="s">
        <v>1</v>
      </c>
    </row>
    <row r="1433" spans="1:6" x14ac:dyDescent="0.25">
      <c r="A1433" s="14">
        <v>46146.179861111108</v>
      </c>
      <c r="B1433" s="81" t="s">
        <v>149</v>
      </c>
      <c r="C1433" s="81" t="s">
        <v>182</v>
      </c>
      <c r="D1433" s="81" t="s">
        <v>162</v>
      </c>
      <c r="E1433" s="81" t="s">
        <v>49</v>
      </c>
      <c r="F1433" s="81" t="s">
        <v>2</v>
      </c>
    </row>
    <row r="1434" spans="1:6" x14ac:dyDescent="0.25">
      <c r="A1434" s="14">
        <v>46146.179861111108</v>
      </c>
      <c r="B1434" s="81" t="s">
        <v>149</v>
      </c>
      <c r="C1434" s="81" t="s">
        <v>171</v>
      </c>
      <c r="D1434" s="81" t="s">
        <v>162</v>
      </c>
      <c r="E1434" s="81" t="s">
        <v>50</v>
      </c>
      <c r="F1434" s="81" t="s">
        <v>1</v>
      </c>
    </row>
    <row r="1435" spans="1:6" x14ac:dyDescent="0.25">
      <c r="A1435" s="14">
        <v>46146.179861111108</v>
      </c>
      <c r="B1435" s="81" t="s">
        <v>149</v>
      </c>
      <c r="C1435" s="81" t="s">
        <v>181</v>
      </c>
      <c r="D1435" s="81" t="s">
        <v>162</v>
      </c>
      <c r="E1435" s="81" t="s">
        <v>49</v>
      </c>
      <c r="F1435" s="81" t="s">
        <v>2</v>
      </c>
    </row>
    <row r="1436" spans="1:6" x14ac:dyDescent="0.25">
      <c r="A1436" s="14">
        <v>46146.179861111108</v>
      </c>
      <c r="B1436" s="81" t="s">
        <v>149</v>
      </c>
      <c r="C1436" s="81" t="s">
        <v>171</v>
      </c>
      <c r="D1436" s="81" t="s">
        <v>162</v>
      </c>
      <c r="E1436" s="81" t="s">
        <v>50</v>
      </c>
      <c r="F1436" s="81" t="s">
        <v>1</v>
      </c>
    </row>
    <row r="1437" spans="1:6" x14ac:dyDescent="0.25">
      <c r="A1437" s="14">
        <v>46146.179861111108</v>
      </c>
      <c r="B1437" s="81" t="s">
        <v>149</v>
      </c>
      <c r="C1437" s="81" t="s">
        <v>171</v>
      </c>
      <c r="D1437" s="81" t="s">
        <v>162</v>
      </c>
      <c r="E1437" s="81" t="s">
        <v>50</v>
      </c>
      <c r="F1437" s="81" t="s">
        <v>1</v>
      </c>
    </row>
    <row r="1438" spans="1:6" x14ac:dyDescent="0.25">
      <c r="A1438" s="14">
        <v>46146.179861111108</v>
      </c>
      <c r="B1438" s="81" t="s">
        <v>149</v>
      </c>
      <c r="C1438" s="81" t="s">
        <v>187</v>
      </c>
      <c r="D1438" s="81" t="s">
        <v>156</v>
      </c>
      <c r="E1438" s="81" t="s">
        <v>75</v>
      </c>
      <c r="F1438" s="81" t="s">
        <v>93</v>
      </c>
    </row>
    <row r="1439" spans="1:6" x14ac:dyDescent="0.25">
      <c r="A1439" s="14">
        <v>46146.179861111108</v>
      </c>
      <c r="B1439" s="81" t="s">
        <v>149</v>
      </c>
      <c r="C1439" s="81" t="s">
        <v>171</v>
      </c>
      <c r="D1439" s="81" t="s">
        <v>162</v>
      </c>
      <c r="E1439" s="81" t="s">
        <v>49</v>
      </c>
      <c r="F1439" s="81" t="s">
        <v>2</v>
      </c>
    </row>
    <row r="1440" spans="1:6" x14ac:dyDescent="0.25">
      <c r="A1440" s="14">
        <v>46146.179861111108</v>
      </c>
      <c r="B1440" s="81" t="s">
        <v>149</v>
      </c>
      <c r="C1440" s="81" t="s">
        <v>177</v>
      </c>
      <c r="D1440" s="81" t="s">
        <v>162</v>
      </c>
      <c r="E1440" s="81" t="s">
        <v>50</v>
      </c>
      <c r="F1440" s="81" t="s">
        <v>1</v>
      </c>
    </row>
    <row r="1441" spans="1:6" x14ac:dyDescent="0.25">
      <c r="A1441" s="14">
        <v>46146.179861111108</v>
      </c>
      <c r="B1441" s="81" t="s">
        <v>149</v>
      </c>
      <c r="C1441" s="81" t="s">
        <v>187</v>
      </c>
      <c r="D1441" s="81" t="s">
        <v>156</v>
      </c>
      <c r="E1441" s="81" t="s">
        <v>75</v>
      </c>
      <c r="F1441" s="81" t="s">
        <v>93</v>
      </c>
    </row>
    <row r="1442" spans="1:6" x14ac:dyDescent="0.25">
      <c r="A1442" s="14">
        <v>46146.179861111108</v>
      </c>
      <c r="B1442" s="81" t="s">
        <v>149</v>
      </c>
      <c r="C1442" s="81" t="s">
        <v>175</v>
      </c>
      <c r="D1442" s="81" t="s">
        <v>162</v>
      </c>
      <c r="E1442" s="81" t="s">
        <v>50</v>
      </c>
      <c r="F1442" s="81" t="s">
        <v>1</v>
      </c>
    </row>
    <row r="1443" spans="1:6" x14ac:dyDescent="0.25">
      <c r="A1443" s="14">
        <v>46146.179861111108</v>
      </c>
      <c r="B1443" s="81" t="s">
        <v>149</v>
      </c>
      <c r="C1443" s="81" t="s">
        <v>184</v>
      </c>
      <c r="D1443" s="81" t="s">
        <v>162</v>
      </c>
      <c r="E1443" s="81" t="s">
        <v>49</v>
      </c>
      <c r="F1443" s="81" t="s">
        <v>2</v>
      </c>
    </row>
    <row r="1444" spans="1:6" x14ac:dyDescent="0.25">
      <c r="A1444" s="14">
        <v>46146.179861111108</v>
      </c>
      <c r="B1444" s="81" t="s">
        <v>149</v>
      </c>
      <c r="C1444" s="81" t="s">
        <v>183</v>
      </c>
      <c r="D1444" s="81" t="s">
        <v>162</v>
      </c>
      <c r="E1444" s="81" t="s">
        <v>50</v>
      </c>
      <c r="F1444" s="81" t="s">
        <v>1</v>
      </c>
    </row>
    <row r="1445" spans="1:6" x14ac:dyDescent="0.25">
      <c r="A1445" s="14">
        <v>46146.179861111108</v>
      </c>
      <c r="B1445" s="81" t="s">
        <v>149</v>
      </c>
      <c r="C1445" s="81" t="s">
        <v>187</v>
      </c>
      <c r="D1445" s="81" t="s">
        <v>156</v>
      </c>
      <c r="E1445" s="81" t="s">
        <v>75</v>
      </c>
      <c r="F1445" s="81" t="s">
        <v>93</v>
      </c>
    </row>
    <row r="1446" spans="1:6" x14ac:dyDescent="0.25">
      <c r="A1446" s="14">
        <v>46146.179861111108</v>
      </c>
      <c r="B1446" s="81" t="s">
        <v>149</v>
      </c>
      <c r="C1446" s="81" t="s">
        <v>187</v>
      </c>
      <c r="D1446" s="81" t="s">
        <v>156</v>
      </c>
      <c r="E1446" s="81" t="s">
        <v>75</v>
      </c>
      <c r="F1446" s="81" t="s">
        <v>93</v>
      </c>
    </row>
    <row r="1447" spans="1:6" x14ac:dyDescent="0.25">
      <c r="A1447" s="14">
        <v>46146.179861111108</v>
      </c>
      <c r="B1447" s="81" t="s">
        <v>149</v>
      </c>
      <c r="C1447" s="81" t="s">
        <v>187</v>
      </c>
      <c r="D1447" s="81" t="s">
        <v>156</v>
      </c>
      <c r="E1447" s="81" t="s">
        <v>75</v>
      </c>
      <c r="F1447" s="81" t="s">
        <v>93</v>
      </c>
    </row>
    <row r="1448" spans="1:6" x14ac:dyDescent="0.25">
      <c r="A1448" s="14">
        <v>46146.179861111108</v>
      </c>
      <c r="B1448" s="81" t="s">
        <v>149</v>
      </c>
      <c r="C1448" s="81" t="s">
        <v>185</v>
      </c>
      <c r="D1448" s="81" t="s">
        <v>162</v>
      </c>
      <c r="E1448" s="81" t="s">
        <v>49</v>
      </c>
      <c r="F1448" s="81" t="s">
        <v>2</v>
      </c>
    </row>
    <row r="1449" spans="1:6" x14ac:dyDescent="0.25">
      <c r="A1449" s="14">
        <v>46146.179861111108</v>
      </c>
      <c r="B1449" s="81" t="s">
        <v>149</v>
      </c>
      <c r="C1449" s="81" t="s">
        <v>184</v>
      </c>
      <c r="D1449" s="81" t="s">
        <v>162</v>
      </c>
      <c r="E1449" s="81" t="s">
        <v>50</v>
      </c>
      <c r="F1449" s="81" t="s">
        <v>1</v>
      </c>
    </row>
    <row r="1450" spans="1:6" x14ac:dyDescent="0.25">
      <c r="A1450" s="14">
        <v>46146.179861111108</v>
      </c>
      <c r="B1450" s="81" t="s">
        <v>149</v>
      </c>
      <c r="C1450" s="81" t="s">
        <v>187</v>
      </c>
      <c r="D1450" s="81" t="s">
        <v>156</v>
      </c>
      <c r="E1450" s="81" t="s">
        <v>75</v>
      </c>
      <c r="F1450" s="81" t="s">
        <v>93</v>
      </c>
    </row>
    <row r="1451" spans="1:6" x14ac:dyDescent="0.25">
      <c r="A1451" s="14">
        <v>46146.179861111108</v>
      </c>
      <c r="B1451" s="81" t="s">
        <v>149</v>
      </c>
      <c r="C1451" s="81" t="s">
        <v>187</v>
      </c>
      <c r="D1451" s="81" t="s">
        <v>156</v>
      </c>
      <c r="E1451" s="81" t="s">
        <v>75</v>
      </c>
      <c r="F1451" s="81" t="s">
        <v>93</v>
      </c>
    </row>
    <row r="1452" spans="1:6" x14ac:dyDescent="0.25">
      <c r="A1452" s="14">
        <v>46146.179861111108</v>
      </c>
      <c r="B1452" s="81" t="s">
        <v>149</v>
      </c>
      <c r="C1452" s="81" t="s">
        <v>187</v>
      </c>
      <c r="D1452" s="81" t="s">
        <v>156</v>
      </c>
      <c r="E1452" s="81" t="s">
        <v>75</v>
      </c>
      <c r="F1452" s="81" t="s">
        <v>93</v>
      </c>
    </row>
    <row r="1453" spans="1:6" x14ac:dyDescent="0.25">
      <c r="A1453" s="14">
        <v>46146.179861111108</v>
      </c>
      <c r="B1453" s="81" t="s">
        <v>149</v>
      </c>
      <c r="C1453" s="81" t="s">
        <v>187</v>
      </c>
      <c r="D1453" s="81" t="s">
        <v>156</v>
      </c>
      <c r="E1453" s="81" t="s">
        <v>75</v>
      </c>
      <c r="F1453" s="81" t="s">
        <v>93</v>
      </c>
    </row>
    <row r="1454" spans="1:6" x14ac:dyDescent="0.25">
      <c r="A1454" s="14">
        <v>46146.179861111108</v>
      </c>
      <c r="B1454" s="81" t="s">
        <v>149</v>
      </c>
      <c r="C1454" s="81" t="s">
        <v>187</v>
      </c>
      <c r="D1454" s="81" t="s">
        <v>156</v>
      </c>
      <c r="E1454" s="81" t="s">
        <v>75</v>
      </c>
      <c r="F1454" s="81" t="s">
        <v>93</v>
      </c>
    </row>
    <row r="1455" spans="1:6" x14ac:dyDescent="0.25">
      <c r="A1455" s="14">
        <v>46146.179861111108</v>
      </c>
      <c r="B1455" s="81" t="s">
        <v>149</v>
      </c>
      <c r="C1455" s="81" t="s">
        <v>187</v>
      </c>
      <c r="D1455" s="81" t="s">
        <v>156</v>
      </c>
      <c r="E1455" s="81" t="s">
        <v>75</v>
      </c>
      <c r="F1455" s="81" t="s">
        <v>93</v>
      </c>
    </row>
    <row r="1456" spans="1:6" x14ac:dyDescent="0.25">
      <c r="A1456" s="14">
        <v>46146.179861111108</v>
      </c>
      <c r="B1456" s="81" t="s">
        <v>149</v>
      </c>
      <c r="C1456" s="81" t="s">
        <v>187</v>
      </c>
      <c r="D1456" s="81" t="s">
        <v>156</v>
      </c>
      <c r="E1456" s="81" t="s">
        <v>75</v>
      </c>
      <c r="F1456" s="81" t="s">
        <v>93</v>
      </c>
    </row>
    <row r="1457" spans="1:6" x14ac:dyDescent="0.25">
      <c r="A1457" s="14">
        <v>46146.179861111108</v>
      </c>
      <c r="B1457" s="81" t="s">
        <v>149</v>
      </c>
      <c r="C1457" s="81" t="s">
        <v>187</v>
      </c>
      <c r="D1457" s="81" t="s">
        <v>156</v>
      </c>
      <c r="E1457" s="81" t="s">
        <v>75</v>
      </c>
      <c r="F1457" s="81" t="s">
        <v>93</v>
      </c>
    </row>
    <row r="1458" spans="1:6" x14ac:dyDescent="0.25">
      <c r="A1458" s="14">
        <v>46146.179861111108</v>
      </c>
      <c r="B1458" s="81" t="s">
        <v>149</v>
      </c>
      <c r="C1458" s="81" t="s">
        <v>187</v>
      </c>
      <c r="D1458" s="81" t="s">
        <v>156</v>
      </c>
      <c r="E1458" s="81" t="s">
        <v>75</v>
      </c>
      <c r="F1458" s="81" t="s">
        <v>93</v>
      </c>
    </row>
    <row r="1459" spans="1:6" x14ac:dyDescent="0.25">
      <c r="A1459" s="14">
        <v>46146.179861111108</v>
      </c>
      <c r="B1459" s="81" t="s">
        <v>149</v>
      </c>
      <c r="C1459" s="81" t="s">
        <v>187</v>
      </c>
      <c r="D1459" s="81" t="s">
        <v>156</v>
      </c>
      <c r="E1459" s="81" t="s">
        <v>75</v>
      </c>
      <c r="F1459" s="81" t="s">
        <v>93</v>
      </c>
    </row>
    <row r="1460" spans="1:6" x14ac:dyDescent="0.25">
      <c r="A1460" s="14">
        <v>46146.179861111108</v>
      </c>
      <c r="B1460" s="81" t="s">
        <v>149</v>
      </c>
      <c r="C1460" s="81" t="s">
        <v>171</v>
      </c>
      <c r="D1460" s="81" t="s">
        <v>163</v>
      </c>
      <c r="E1460" s="81" t="s">
        <v>50</v>
      </c>
      <c r="F1460" s="81" t="s">
        <v>1</v>
      </c>
    </row>
    <row r="1461" spans="1:6" x14ac:dyDescent="0.25">
      <c r="A1461" s="14">
        <v>46146.179861111108</v>
      </c>
      <c r="B1461" s="81" t="s">
        <v>149</v>
      </c>
      <c r="C1461" s="81" t="s">
        <v>184</v>
      </c>
      <c r="D1461" s="81" t="s">
        <v>163</v>
      </c>
      <c r="E1461" s="81" t="s">
        <v>50</v>
      </c>
      <c r="F1461" s="81" t="s">
        <v>1</v>
      </c>
    </row>
    <row r="1462" spans="1:6" x14ac:dyDescent="0.25">
      <c r="A1462" s="14">
        <v>46146.179861111108</v>
      </c>
      <c r="B1462" s="81" t="s">
        <v>149</v>
      </c>
      <c r="C1462" s="81" t="s">
        <v>190</v>
      </c>
      <c r="D1462" s="81" t="s">
        <v>156</v>
      </c>
      <c r="E1462" s="81" t="s">
        <v>49</v>
      </c>
      <c r="F1462" s="81" t="s">
        <v>2</v>
      </c>
    </row>
    <row r="1463" spans="1:6" x14ac:dyDescent="0.25">
      <c r="A1463" s="14">
        <v>46146.179861111108</v>
      </c>
      <c r="B1463" s="81" t="s">
        <v>149</v>
      </c>
      <c r="C1463" s="81" t="s">
        <v>190</v>
      </c>
      <c r="D1463" s="81" t="s">
        <v>156</v>
      </c>
      <c r="E1463" s="81" t="s">
        <v>49</v>
      </c>
      <c r="F1463" s="81" t="s">
        <v>2</v>
      </c>
    </row>
    <row r="1464" spans="1:6" x14ac:dyDescent="0.25">
      <c r="A1464" s="14">
        <v>46146.179861111108</v>
      </c>
      <c r="B1464" s="81" t="s">
        <v>149</v>
      </c>
      <c r="C1464" s="81" t="s">
        <v>190</v>
      </c>
      <c r="D1464" s="81" t="s">
        <v>156</v>
      </c>
      <c r="E1464" s="81" t="s">
        <v>49</v>
      </c>
      <c r="F1464" s="81" t="s">
        <v>2</v>
      </c>
    </row>
    <row r="1465" spans="1:6" x14ac:dyDescent="0.25">
      <c r="A1465" s="14">
        <v>46146.179861111108</v>
      </c>
      <c r="B1465" s="81" t="s">
        <v>149</v>
      </c>
      <c r="C1465" s="81" t="s">
        <v>190</v>
      </c>
      <c r="D1465" s="81" t="s">
        <v>156</v>
      </c>
      <c r="E1465" s="81" t="s">
        <v>49</v>
      </c>
      <c r="F1465" s="81" t="s">
        <v>2</v>
      </c>
    </row>
    <row r="1466" spans="1:6" x14ac:dyDescent="0.25">
      <c r="A1466" s="14">
        <v>46146.179861111108</v>
      </c>
      <c r="B1466" s="81" t="s">
        <v>149</v>
      </c>
      <c r="C1466" s="81" t="s">
        <v>182</v>
      </c>
      <c r="D1466" s="81" t="s">
        <v>240</v>
      </c>
      <c r="E1466" s="81" t="s">
        <v>52</v>
      </c>
      <c r="F1466" s="81" t="s">
        <v>0</v>
      </c>
    </row>
    <row r="1467" spans="1:6" x14ac:dyDescent="0.25">
      <c r="A1467" s="14">
        <v>46146.179861111108</v>
      </c>
      <c r="B1467" s="81" t="s">
        <v>149</v>
      </c>
      <c r="C1467" s="81" t="s">
        <v>176</v>
      </c>
      <c r="D1467" s="81" t="s">
        <v>254</v>
      </c>
      <c r="E1467" s="81" t="s">
        <v>70</v>
      </c>
      <c r="F1467" s="81" t="s">
        <v>15</v>
      </c>
    </row>
    <row r="1468" spans="1:6" x14ac:dyDescent="0.25">
      <c r="A1468" s="14">
        <v>46146.179861111108</v>
      </c>
      <c r="B1468" s="81" t="s">
        <v>149</v>
      </c>
      <c r="C1468" s="81" t="s">
        <v>182</v>
      </c>
      <c r="D1468" s="81" t="s">
        <v>162</v>
      </c>
      <c r="E1468" s="81" t="s">
        <v>50</v>
      </c>
      <c r="F1468" s="81" t="s">
        <v>1</v>
      </c>
    </row>
    <row r="1469" spans="1:6" x14ac:dyDescent="0.25">
      <c r="A1469" s="14">
        <v>46146.179861111108</v>
      </c>
      <c r="B1469" s="81" t="s">
        <v>149</v>
      </c>
      <c r="C1469" s="81" t="s">
        <v>175</v>
      </c>
      <c r="D1469" s="81" t="s">
        <v>162</v>
      </c>
      <c r="E1469" s="81" t="s">
        <v>49</v>
      </c>
      <c r="F1469" s="81" t="s">
        <v>2</v>
      </c>
    </row>
    <row r="1470" spans="1:6" x14ac:dyDescent="0.25">
      <c r="A1470" s="14">
        <v>46146.179861111108</v>
      </c>
      <c r="B1470" s="81" t="s">
        <v>149</v>
      </c>
      <c r="C1470" s="81" t="s">
        <v>151</v>
      </c>
      <c r="D1470" s="81" t="s">
        <v>162</v>
      </c>
      <c r="E1470" s="81" t="s">
        <v>50</v>
      </c>
      <c r="F1470" s="81" t="s">
        <v>1</v>
      </c>
    </row>
    <row r="1471" spans="1:6" x14ac:dyDescent="0.25">
      <c r="A1471" s="14">
        <v>46146.179861111108</v>
      </c>
      <c r="B1471" s="81" t="s">
        <v>149</v>
      </c>
      <c r="C1471" s="81" t="s">
        <v>175</v>
      </c>
      <c r="D1471" s="81" t="s">
        <v>162</v>
      </c>
      <c r="E1471" s="81" t="s">
        <v>49</v>
      </c>
      <c r="F1471" s="81" t="s">
        <v>2</v>
      </c>
    </row>
    <row r="1472" spans="1:6" x14ac:dyDescent="0.25">
      <c r="A1472" s="14">
        <v>46146.179861111108</v>
      </c>
      <c r="B1472" s="81" t="s">
        <v>149</v>
      </c>
      <c r="C1472" s="81" t="s">
        <v>175</v>
      </c>
      <c r="D1472" s="81" t="s">
        <v>162</v>
      </c>
      <c r="E1472" s="81" t="s">
        <v>50</v>
      </c>
      <c r="F1472" s="81" t="s">
        <v>1</v>
      </c>
    </row>
    <row r="1473" spans="1:6" x14ac:dyDescent="0.25">
      <c r="A1473" s="14">
        <v>46146.179861111108</v>
      </c>
      <c r="B1473" s="81" t="s">
        <v>149</v>
      </c>
      <c r="C1473" s="81" t="s">
        <v>151</v>
      </c>
      <c r="D1473" s="81" t="s">
        <v>162</v>
      </c>
      <c r="E1473" s="81" t="s">
        <v>50</v>
      </c>
      <c r="F1473" s="81" t="s">
        <v>1</v>
      </c>
    </row>
    <row r="1474" spans="1:6" x14ac:dyDescent="0.25">
      <c r="A1474" s="14">
        <v>46146.179861111108</v>
      </c>
      <c r="B1474" s="81" t="s">
        <v>149</v>
      </c>
      <c r="C1474" s="81" t="s">
        <v>183</v>
      </c>
      <c r="D1474" s="81" t="s">
        <v>162</v>
      </c>
      <c r="E1474" s="81" t="s">
        <v>49</v>
      </c>
      <c r="F1474" s="81" t="s">
        <v>2</v>
      </c>
    </row>
    <row r="1475" spans="1:6" x14ac:dyDescent="0.25">
      <c r="A1475" s="14">
        <v>46146.179861111108</v>
      </c>
      <c r="B1475" s="81" t="s">
        <v>149</v>
      </c>
      <c r="C1475" s="81" t="s">
        <v>184</v>
      </c>
      <c r="D1475" s="81" t="s">
        <v>162</v>
      </c>
      <c r="E1475" s="81" t="s">
        <v>50</v>
      </c>
      <c r="F1475" s="81" t="s">
        <v>1</v>
      </c>
    </row>
    <row r="1476" spans="1:6" x14ac:dyDescent="0.25">
      <c r="A1476" s="14">
        <v>46146.179861111108</v>
      </c>
      <c r="B1476" s="81" t="s">
        <v>149</v>
      </c>
      <c r="C1476" s="81" t="s">
        <v>184</v>
      </c>
      <c r="D1476" s="81" t="s">
        <v>162</v>
      </c>
      <c r="E1476" s="81" t="s">
        <v>50</v>
      </c>
      <c r="F1476" s="81" t="s">
        <v>1</v>
      </c>
    </row>
    <row r="1477" spans="1:6" x14ac:dyDescent="0.25">
      <c r="A1477" s="14">
        <v>46146.179861111108</v>
      </c>
      <c r="B1477" s="81" t="s">
        <v>149</v>
      </c>
      <c r="C1477" s="81" t="s">
        <v>181</v>
      </c>
      <c r="D1477" s="81" t="s">
        <v>162</v>
      </c>
      <c r="E1477" s="81" t="s">
        <v>49</v>
      </c>
      <c r="F1477" s="81" t="s">
        <v>2</v>
      </c>
    </row>
    <row r="1478" spans="1:6" x14ac:dyDescent="0.25">
      <c r="A1478" s="14">
        <v>46146.179861111108</v>
      </c>
      <c r="B1478" s="81" t="s">
        <v>149</v>
      </c>
      <c r="C1478" s="81" t="s">
        <v>181</v>
      </c>
      <c r="D1478" s="81" t="s">
        <v>162</v>
      </c>
      <c r="E1478" s="81" t="s">
        <v>50</v>
      </c>
      <c r="F1478" s="81" t="s">
        <v>1</v>
      </c>
    </row>
    <row r="1479" spans="1:6" x14ac:dyDescent="0.25">
      <c r="A1479" s="14">
        <v>46146.179861111108</v>
      </c>
      <c r="B1479" s="81" t="s">
        <v>149</v>
      </c>
      <c r="C1479" s="81" t="s">
        <v>183</v>
      </c>
      <c r="D1479" s="81" t="s">
        <v>162</v>
      </c>
      <c r="E1479" s="81" t="s">
        <v>49</v>
      </c>
      <c r="F1479" s="81" t="s">
        <v>2</v>
      </c>
    </row>
    <row r="1480" spans="1:6" x14ac:dyDescent="0.25">
      <c r="A1480" s="14">
        <v>46146.179861111108</v>
      </c>
      <c r="B1480" s="81" t="s">
        <v>149</v>
      </c>
      <c r="C1480" s="81" t="s">
        <v>184</v>
      </c>
      <c r="D1480" s="81" t="s">
        <v>162</v>
      </c>
      <c r="E1480" s="81" t="s">
        <v>49</v>
      </c>
      <c r="F1480" s="81" t="s">
        <v>2</v>
      </c>
    </row>
    <row r="1481" spans="1:6" x14ac:dyDescent="0.25">
      <c r="A1481" s="14">
        <v>46146.179861111108</v>
      </c>
      <c r="B1481" s="81" t="s">
        <v>149</v>
      </c>
      <c r="C1481" s="81" t="s">
        <v>176</v>
      </c>
      <c r="D1481" s="81" t="s">
        <v>231</v>
      </c>
      <c r="E1481" s="81" t="s">
        <v>63</v>
      </c>
      <c r="F1481" s="81" t="s">
        <v>16</v>
      </c>
    </row>
    <row r="1482" spans="1:6" x14ac:dyDescent="0.25">
      <c r="A1482" s="14">
        <v>46146.179861111108</v>
      </c>
      <c r="B1482" s="81" t="s">
        <v>149</v>
      </c>
      <c r="C1482" s="81" t="s">
        <v>187</v>
      </c>
      <c r="D1482" s="81" t="s">
        <v>231</v>
      </c>
      <c r="E1482" s="81" t="s">
        <v>71</v>
      </c>
      <c r="F1482" s="81" t="s">
        <v>94</v>
      </c>
    </row>
    <row r="1483" spans="1:6" x14ac:dyDescent="0.25">
      <c r="A1483" s="14">
        <v>46146.179861111108</v>
      </c>
      <c r="B1483" s="81" t="s">
        <v>149</v>
      </c>
      <c r="C1483" s="81" t="s">
        <v>184</v>
      </c>
      <c r="D1483" s="81" t="s">
        <v>156</v>
      </c>
      <c r="E1483" s="81" t="s">
        <v>49</v>
      </c>
      <c r="F1483" s="81" t="s">
        <v>2</v>
      </c>
    </row>
    <row r="1484" spans="1:6" x14ac:dyDescent="0.25">
      <c r="A1484" s="14">
        <v>46146.179861111108</v>
      </c>
      <c r="B1484" s="81" t="s">
        <v>149</v>
      </c>
      <c r="C1484" s="81" t="s">
        <v>184</v>
      </c>
      <c r="D1484" s="81" t="s">
        <v>156</v>
      </c>
      <c r="E1484" s="81" t="s">
        <v>49</v>
      </c>
      <c r="F1484" s="81" t="s">
        <v>2</v>
      </c>
    </row>
    <row r="1485" spans="1:6" x14ac:dyDescent="0.25">
      <c r="A1485" s="14">
        <v>46146.179861111108</v>
      </c>
      <c r="B1485" s="81" t="s">
        <v>149</v>
      </c>
      <c r="C1485" s="81" t="s">
        <v>184</v>
      </c>
      <c r="D1485" s="81" t="s">
        <v>156</v>
      </c>
      <c r="E1485" s="81" t="s">
        <v>49</v>
      </c>
      <c r="F1485" s="81" t="s">
        <v>2</v>
      </c>
    </row>
    <row r="1486" spans="1:6" x14ac:dyDescent="0.25">
      <c r="A1486" s="14">
        <v>46146.179861111108</v>
      </c>
      <c r="B1486" s="81" t="s">
        <v>149</v>
      </c>
      <c r="C1486" s="81" t="s">
        <v>176</v>
      </c>
      <c r="D1486" s="81" t="s">
        <v>254</v>
      </c>
      <c r="E1486" s="81" t="s">
        <v>70</v>
      </c>
      <c r="F1486" s="81" t="s">
        <v>15</v>
      </c>
    </row>
    <row r="1487" spans="1:6" x14ac:dyDescent="0.25">
      <c r="A1487" s="14">
        <v>46146.179861111108</v>
      </c>
      <c r="B1487" s="81" t="s">
        <v>149</v>
      </c>
      <c r="C1487" s="81" t="s">
        <v>226</v>
      </c>
      <c r="D1487" s="81" t="s">
        <v>251</v>
      </c>
      <c r="E1487" s="81" t="s">
        <v>64</v>
      </c>
      <c r="F1487" s="81" t="s">
        <v>98</v>
      </c>
    </row>
    <row r="1488" spans="1:6" x14ac:dyDescent="0.25">
      <c r="A1488" s="14">
        <v>46146.179861111108</v>
      </c>
      <c r="B1488" s="81" t="s">
        <v>149</v>
      </c>
      <c r="C1488" s="81" t="s">
        <v>190</v>
      </c>
      <c r="D1488" s="81" t="s">
        <v>163</v>
      </c>
      <c r="E1488" s="81" t="s">
        <v>50</v>
      </c>
      <c r="F1488" s="81" t="s">
        <v>1</v>
      </c>
    </row>
    <row r="1489" spans="1:6" x14ac:dyDescent="0.25">
      <c r="A1489" s="14">
        <v>46146.179861111108</v>
      </c>
      <c r="B1489" s="81" t="s">
        <v>149</v>
      </c>
      <c r="C1489" s="81" t="s">
        <v>171</v>
      </c>
      <c r="D1489" s="81" t="s">
        <v>163</v>
      </c>
      <c r="E1489" s="81" t="s">
        <v>50</v>
      </c>
      <c r="F1489" s="81" t="s">
        <v>1</v>
      </c>
    </row>
    <row r="1490" spans="1:6" x14ac:dyDescent="0.25">
      <c r="A1490" s="14">
        <v>46146.179861111108</v>
      </c>
      <c r="B1490" s="81" t="s">
        <v>149</v>
      </c>
      <c r="C1490" s="81" t="s">
        <v>190</v>
      </c>
      <c r="D1490" s="81" t="s">
        <v>263</v>
      </c>
      <c r="E1490" s="81" t="s">
        <v>52</v>
      </c>
      <c r="F1490" s="81" t="s">
        <v>0</v>
      </c>
    </row>
    <row r="1491" spans="1:6" x14ac:dyDescent="0.25">
      <c r="A1491" s="14">
        <v>46146.179861111108</v>
      </c>
      <c r="B1491" s="81" t="s">
        <v>149</v>
      </c>
      <c r="C1491" s="81" t="s">
        <v>177</v>
      </c>
      <c r="D1491" s="81" t="s">
        <v>251</v>
      </c>
      <c r="E1491" s="81" t="s">
        <v>49</v>
      </c>
      <c r="F1491" s="81" t="s">
        <v>2</v>
      </c>
    </row>
    <row r="1492" spans="1:6" x14ac:dyDescent="0.25">
      <c r="A1492" s="14">
        <v>46146.179861111108</v>
      </c>
      <c r="B1492" s="81" t="s">
        <v>149</v>
      </c>
      <c r="C1492" s="81" t="s">
        <v>181</v>
      </c>
      <c r="D1492" s="81" t="s">
        <v>246</v>
      </c>
      <c r="E1492" s="81" t="s">
        <v>50</v>
      </c>
      <c r="F1492" s="81" t="s">
        <v>1</v>
      </c>
    </row>
    <row r="1493" spans="1:6" x14ac:dyDescent="0.25">
      <c r="A1493" s="14">
        <v>46146.179861111108</v>
      </c>
      <c r="B1493" s="81" t="s">
        <v>149</v>
      </c>
      <c r="C1493" s="81" t="s">
        <v>177</v>
      </c>
      <c r="D1493" s="81" t="s">
        <v>262</v>
      </c>
      <c r="E1493" s="81" t="s">
        <v>50</v>
      </c>
      <c r="F1493" s="81" t="s">
        <v>1</v>
      </c>
    </row>
    <row r="1494" spans="1:6" x14ac:dyDescent="0.25">
      <c r="A1494" s="14">
        <v>46146.179861111108</v>
      </c>
      <c r="B1494" s="81" t="s">
        <v>149</v>
      </c>
      <c r="C1494" s="81" t="s">
        <v>173</v>
      </c>
      <c r="D1494" s="81" t="s">
        <v>264</v>
      </c>
      <c r="E1494" s="81" t="s">
        <v>52</v>
      </c>
      <c r="F1494" s="81" t="s">
        <v>0</v>
      </c>
    </row>
    <row r="1495" spans="1:6" x14ac:dyDescent="0.25">
      <c r="A1495" s="14">
        <v>46146.179861111108</v>
      </c>
      <c r="B1495" s="81" t="s">
        <v>149</v>
      </c>
      <c r="C1495" s="81" t="s">
        <v>175</v>
      </c>
      <c r="D1495" s="81" t="s">
        <v>262</v>
      </c>
      <c r="E1495" s="81" t="s">
        <v>52</v>
      </c>
      <c r="F1495" s="81" t="s">
        <v>0</v>
      </c>
    </row>
    <row r="1496" spans="1:6" x14ac:dyDescent="0.25">
      <c r="A1496" s="14">
        <v>46146.179861111108</v>
      </c>
      <c r="B1496" s="81" t="s">
        <v>149</v>
      </c>
      <c r="C1496" s="81" t="s">
        <v>185</v>
      </c>
      <c r="D1496" s="81" t="s">
        <v>155</v>
      </c>
      <c r="E1496" s="81" t="s">
        <v>50</v>
      </c>
      <c r="F1496" s="81" t="s">
        <v>1</v>
      </c>
    </row>
    <row r="1497" spans="1:6" x14ac:dyDescent="0.25">
      <c r="A1497" s="14">
        <v>46146.179861111108</v>
      </c>
      <c r="B1497" s="81" t="s">
        <v>149</v>
      </c>
      <c r="C1497" s="81" t="s">
        <v>175</v>
      </c>
      <c r="D1497" s="81" t="s">
        <v>155</v>
      </c>
      <c r="E1497" s="81" t="s">
        <v>50</v>
      </c>
      <c r="F1497" s="81" t="s">
        <v>1</v>
      </c>
    </row>
    <row r="1498" spans="1:6" x14ac:dyDescent="0.25">
      <c r="A1498" s="14">
        <v>46146.179861111108</v>
      </c>
      <c r="B1498" s="81" t="s">
        <v>149</v>
      </c>
      <c r="C1498" s="81" t="s">
        <v>190</v>
      </c>
      <c r="D1498" s="81" t="s">
        <v>262</v>
      </c>
      <c r="E1498" s="81" t="s">
        <v>49</v>
      </c>
      <c r="F1498" s="81" t="s">
        <v>2</v>
      </c>
    </row>
    <row r="1499" spans="1:6" x14ac:dyDescent="0.25">
      <c r="A1499" s="14">
        <v>46146.179861111108</v>
      </c>
      <c r="B1499" s="81" t="s">
        <v>149</v>
      </c>
      <c r="C1499" s="81" t="s">
        <v>175</v>
      </c>
      <c r="D1499" s="81" t="s">
        <v>201</v>
      </c>
      <c r="E1499" s="81" t="s">
        <v>49</v>
      </c>
      <c r="F1499" s="81" t="s">
        <v>2</v>
      </c>
    </row>
    <row r="1500" spans="1:6" x14ac:dyDescent="0.25">
      <c r="A1500" s="14">
        <v>46146.179861111108</v>
      </c>
      <c r="B1500" s="81" t="s">
        <v>149</v>
      </c>
      <c r="C1500" s="81" t="s">
        <v>192</v>
      </c>
      <c r="D1500" s="81" t="s">
        <v>155</v>
      </c>
      <c r="E1500" s="81" t="s">
        <v>60</v>
      </c>
      <c r="F1500" s="81" t="s">
        <v>28</v>
      </c>
    </row>
    <row r="1501" spans="1:6" x14ac:dyDescent="0.25">
      <c r="A1501" s="14">
        <v>46146.179861111108</v>
      </c>
      <c r="B1501" s="81" t="s">
        <v>149</v>
      </c>
      <c r="C1501" s="81" t="s">
        <v>173</v>
      </c>
      <c r="D1501" s="81" t="s">
        <v>251</v>
      </c>
      <c r="E1501" s="81" t="s">
        <v>49</v>
      </c>
      <c r="F1501" s="81" t="s">
        <v>2</v>
      </c>
    </row>
    <row r="1502" spans="1:6" x14ac:dyDescent="0.25">
      <c r="A1502" s="14">
        <v>46146.179861111108</v>
      </c>
      <c r="B1502" s="81" t="s">
        <v>149</v>
      </c>
      <c r="C1502" s="81" t="s">
        <v>158</v>
      </c>
      <c r="D1502" s="81" t="s">
        <v>243</v>
      </c>
      <c r="E1502" s="81" t="s">
        <v>49</v>
      </c>
      <c r="F1502" s="81" t="s">
        <v>2</v>
      </c>
    </row>
    <row r="1503" spans="1:6" x14ac:dyDescent="0.25">
      <c r="A1503" s="14">
        <v>46146.179861111108</v>
      </c>
      <c r="B1503" s="81" t="s">
        <v>149</v>
      </c>
      <c r="C1503" s="81" t="s">
        <v>151</v>
      </c>
      <c r="D1503" s="81" t="s">
        <v>246</v>
      </c>
      <c r="E1503" s="81" t="s">
        <v>52</v>
      </c>
      <c r="F1503" s="81" t="s">
        <v>0</v>
      </c>
    </row>
    <row r="1504" spans="1:6" x14ac:dyDescent="0.25">
      <c r="A1504" s="14">
        <v>46146.179861111108</v>
      </c>
      <c r="B1504" s="81" t="s">
        <v>149</v>
      </c>
      <c r="C1504" s="81" t="s">
        <v>182</v>
      </c>
      <c r="D1504" s="81" t="s">
        <v>234</v>
      </c>
      <c r="E1504" s="81" t="s">
        <v>50</v>
      </c>
      <c r="F1504" s="81" t="s">
        <v>1</v>
      </c>
    </row>
    <row r="1505" spans="1:6" x14ac:dyDescent="0.25">
      <c r="A1505" s="14">
        <v>46146.179861111108</v>
      </c>
      <c r="B1505" s="81" t="s">
        <v>149</v>
      </c>
      <c r="C1505" s="81" t="s">
        <v>192</v>
      </c>
      <c r="D1505" s="81" t="s">
        <v>250</v>
      </c>
      <c r="E1505" s="81" t="s">
        <v>60</v>
      </c>
      <c r="F1505" s="81" t="s">
        <v>28</v>
      </c>
    </row>
    <row r="1506" spans="1:6" x14ac:dyDescent="0.25">
      <c r="A1506" s="14">
        <v>46146.179861111108</v>
      </c>
      <c r="B1506" s="81" t="s">
        <v>149</v>
      </c>
      <c r="C1506" s="81" t="s">
        <v>187</v>
      </c>
      <c r="D1506" s="81" t="s">
        <v>250</v>
      </c>
      <c r="E1506" s="81" t="s">
        <v>71</v>
      </c>
      <c r="F1506" s="81" t="s">
        <v>94</v>
      </c>
    </row>
    <row r="1507" spans="1:6" x14ac:dyDescent="0.25">
      <c r="A1507" s="14">
        <v>46146.179861111108</v>
      </c>
      <c r="B1507" s="81" t="s">
        <v>149</v>
      </c>
      <c r="C1507" s="81" t="s">
        <v>185</v>
      </c>
      <c r="D1507" s="81" t="s">
        <v>234</v>
      </c>
      <c r="E1507" s="81" t="s">
        <v>50</v>
      </c>
      <c r="F1507" s="81" t="s">
        <v>1</v>
      </c>
    </row>
    <row r="1508" spans="1:6" x14ac:dyDescent="0.25">
      <c r="A1508" s="14">
        <v>46146.179861111108</v>
      </c>
      <c r="B1508" s="81" t="s">
        <v>149</v>
      </c>
      <c r="C1508" s="81" t="s">
        <v>192</v>
      </c>
      <c r="D1508" s="81" t="s">
        <v>243</v>
      </c>
      <c r="E1508" s="81" t="s">
        <v>60</v>
      </c>
      <c r="F1508" s="81" t="s">
        <v>28</v>
      </c>
    </row>
    <row r="1509" spans="1:6" x14ac:dyDescent="0.25">
      <c r="A1509" s="14">
        <v>46146.179861111108</v>
      </c>
      <c r="B1509" s="81" t="s">
        <v>149</v>
      </c>
      <c r="C1509" s="81" t="s">
        <v>151</v>
      </c>
      <c r="D1509" s="81" t="s">
        <v>231</v>
      </c>
      <c r="E1509" s="81" t="s">
        <v>50</v>
      </c>
      <c r="F1509" s="81" t="s">
        <v>1</v>
      </c>
    </row>
    <row r="1510" spans="1:6" x14ac:dyDescent="0.25">
      <c r="A1510" s="14">
        <v>46146.179861111108</v>
      </c>
      <c r="B1510" s="81" t="s">
        <v>149</v>
      </c>
      <c r="C1510" s="81" t="s">
        <v>177</v>
      </c>
      <c r="D1510" s="81" t="s">
        <v>246</v>
      </c>
      <c r="E1510" s="81" t="s">
        <v>49</v>
      </c>
      <c r="F1510" s="81" t="s">
        <v>2</v>
      </c>
    </row>
    <row r="1511" spans="1:6" x14ac:dyDescent="0.25">
      <c r="A1511" s="14">
        <v>46146.179861111108</v>
      </c>
      <c r="B1511" s="81" t="s">
        <v>149</v>
      </c>
      <c r="C1511" s="81" t="s">
        <v>190</v>
      </c>
      <c r="D1511" s="81" t="s">
        <v>156</v>
      </c>
      <c r="E1511" s="81" t="s">
        <v>50</v>
      </c>
      <c r="F1511" s="81" t="s">
        <v>1</v>
      </c>
    </row>
    <row r="1512" spans="1:6" x14ac:dyDescent="0.25">
      <c r="A1512" s="14">
        <v>46146.179861111108</v>
      </c>
      <c r="B1512" s="81" t="s">
        <v>149</v>
      </c>
      <c r="C1512" s="81" t="s">
        <v>184</v>
      </c>
      <c r="D1512" s="81" t="s">
        <v>156</v>
      </c>
      <c r="E1512" s="81" t="s">
        <v>50</v>
      </c>
      <c r="F1512" s="81" t="s">
        <v>1</v>
      </c>
    </row>
    <row r="1513" spans="1:6" x14ac:dyDescent="0.25">
      <c r="A1513" s="14">
        <v>46146.179861111108</v>
      </c>
      <c r="B1513" s="81" t="s">
        <v>149</v>
      </c>
      <c r="C1513" s="81" t="s">
        <v>190</v>
      </c>
      <c r="D1513" s="81" t="s">
        <v>156</v>
      </c>
      <c r="E1513" s="81" t="s">
        <v>50</v>
      </c>
      <c r="F1513" s="81" t="s">
        <v>1</v>
      </c>
    </row>
    <row r="1514" spans="1:6" x14ac:dyDescent="0.25">
      <c r="A1514" s="14">
        <v>46146.179861111108</v>
      </c>
      <c r="B1514" s="81" t="s">
        <v>149</v>
      </c>
      <c r="C1514" s="81" t="s">
        <v>184</v>
      </c>
      <c r="D1514" s="81" t="s">
        <v>156</v>
      </c>
      <c r="E1514" s="81" t="s">
        <v>50</v>
      </c>
      <c r="F1514" s="81" t="s">
        <v>1</v>
      </c>
    </row>
    <row r="1515" spans="1:6" x14ac:dyDescent="0.25">
      <c r="A1515" s="14">
        <v>46146.179861111108</v>
      </c>
      <c r="B1515" s="81" t="s">
        <v>149</v>
      </c>
      <c r="C1515" s="81" t="s">
        <v>173</v>
      </c>
      <c r="D1515" s="81" t="s">
        <v>240</v>
      </c>
      <c r="E1515" s="81" t="s">
        <v>52</v>
      </c>
      <c r="F1515" s="81" t="s">
        <v>0</v>
      </c>
    </row>
    <row r="1516" spans="1:6" x14ac:dyDescent="0.25">
      <c r="A1516" s="14">
        <v>46146.179861111108</v>
      </c>
      <c r="B1516" s="81" t="s">
        <v>149</v>
      </c>
      <c r="C1516" s="81" t="s">
        <v>190</v>
      </c>
      <c r="D1516" s="81" t="s">
        <v>156</v>
      </c>
      <c r="E1516" s="81" t="s">
        <v>50</v>
      </c>
      <c r="F1516" s="81" t="s">
        <v>1</v>
      </c>
    </row>
    <row r="1517" spans="1:6" x14ac:dyDescent="0.25">
      <c r="A1517" s="14">
        <v>46146.179861111108</v>
      </c>
      <c r="B1517" s="81" t="s">
        <v>149</v>
      </c>
      <c r="C1517" s="81" t="s">
        <v>190</v>
      </c>
      <c r="D1517" s="81" t="s">
        <v>156</v>
      </c>
      <c r="E1517" s="81" t="s">
        <v>50</v>
      </c>
      <c r="F1517" s="81" t="s">
        <v>1</v>
      </c>
    </row>
    <row r="1518" spans="1:6" x14ac:dyDescent="0.25">
      <c r="A1518" s="14">
        <v>46146.179861111108</v>
      </c>
      <c r="B1518" s="81" t="s">
        <v>149</v>
      </c>
      <c r="C1518" s="81" t="s">
        <v>184</v>
      </c>
      <c r="D1518" s="81" t="s">
        <v>156</v>
      </c>
      <c r="E1518" s="81" t="s">
        <v>50</v>
      </c>
      <c r="F1518" s="81" t="s">
        <v>1</v>
      </c>
    </row>
    <row r="1519" spans="1:6" x14ac:dyDescent="0.25">
      <c r="A1519" s="14">
        <v>46146.179861111108</v>
      </c>
      <c r="B1519" s="81" t="s">
        <v>149</v>
      </c>
      <c r="C1519" s="81" t="s">
        <v>185</v>
      </c>
      <c r="D1519" s="81" t="s">
        <v>156</v>
      </c>
      <c r="E1519" s="81" t="s">
        <v>50</v>
      </c>
      <c r="F1519" s="81" t="s">
        <v>1</v>
      </c>
    </row>
    <row r="1520" spans="1:6" x14ac:dyDescent="0.25">
      <c r="A1520" s="14">
        <v>46146.179861111108</v>
      </c>
      <c r="B1520" s="81" t="s">
        <v>149</v>
      </c>
      <c r="C1520" s="81" t="s">
        <v>190</v>
      </c>
      <c r="D1520" s="81" t="s">
        <v>156</v>
      </c>
      <c r="E1520" s="81" t="s">
        <v>50</v>
      </c>
      <c r="F1520" s="81" t="s">
        <v>1</v>
      </c>
    </row>
    <row r="1521" spans="1:6" x14ac:dyDescent="0.25">
      <c r="A1521" s="14">
        <v>46146.179861111108</v>
      </c>
      <c r="B1521" s="81" t="s">
        <v>149</v>
      </c>
      <c r="C1521" s="81" t="s">
        <v>175</v>
      </c>
      <c r="D1521" s="81" t="s">
        <v>202</v>
      </c>
      <c r="E1521" s="81" t="s">
        <v>49</v>
      </c>
      <c r="F1521" s="81" t="s">
        <v>2</v>
      </c>
    </row>
    <row r="1522" spans="1:6" x14ac:dyDescent="0.25">
      <c r="A1522" s="14">
        <v>46146.179861111108</v>
      </c>
      <c r="B1522" s="81" t="s">
        <v>149</v>
      </c>
      <c r="C1522" s="81" t="s">
        <v>173</v>
      </c>
      <c r="D1522" s="81" t="s">
        <v>156</v>
      </c>
      <c r="E1522" s="81" t="s">
        <v>49</v>
      </c>
      <c r="F1522" s="81" t="s">
        <v>2</v>
      </c>
    </row>
    <row r="1523" spans="1:6" x14ac:dyDescent="0.25">
      <c r="A1523" s="14">
        <v>46146.179861111108</v>
      </c>
      <c r="B1523" s="81" t="s">
        <v>149</v>
      </c>
      <c r="C1523" s="81" t="s">
        <v>190</v>
      </c>
      <c r="D1523" s="81" t="s">
        <v>156</v>
      </c>
      <c r="E1523" s="81" t="s">
        <v>49</v>
      </c>
      <c r="F1523" s="81" t="s">
        <v>2</v>
      </c>
    </row>
    <row r="1524" spans="1:6" x14ac:dyDescent="0.25">
      <c r="A1524" s="14">
        <v>46146.179861111108</v>
      </c>
      <c r="B1524" s="81" t="s">
        <v>149</v>
      </c>
      <c r="C1524" s="81" t="s">
        <v>190</v>
      </c>
      <c r="D1524" s="81" t="s">
        <v>156</v>
      </c>
      <c r="E1524" s="81" t="s">
        <v>49</v>
      </c>
      <c r="F1524" s="81" t="s">
        <v>2</v>
      </c>
    </row>
    <row r="1525" spans="1:6" x14ac:dyDescent="0.25">
      <c r="A1525" s="14">
        <v>46146.179861111108</v>
      </c>
      <c r="B1525" s="81" t="s">
        <v>149</v>
      </c>
      <c r="C1525" s="81" t="s">
        <v>190</v>
      </c>
      <c r="D1525" s="81" t="s">
        <v>156</v>
      </c>
      <c r="E1525" s="81" t="s">
        <v>49</v>
      </c>
      <c r="F1525" s="81" t="s">
        <v>2</v>
      </c>
    </row>
    <row r="1526" spans="1:6" x14ac:dyDescent="0.25">
      <c r="A1526" s="14">
        <v>46146.179861111108</v>
      </c>
      <c r="B1526" s="81" t="s">
        <v>149</v>
      </c>
      <c r="C1526" s="81" t="s">
        <v>192</v>
      </c>
      <c r="D1526" s="81" t="s">
        <v>251</v>
      </c>
      <c r="E1526" s="81" t="s">
        <v>60</v>
      </c>
      <c r="F1526" s="81" t="s">
        <v>28</v>
      </c>
    </row>
    <row r="1527" spans="1:6" x14ac:dyDescent="0.25">
      <c r="A1527" s="14">
        <v>46146.179861111108</v>
      </c>
      <c r="B1527" s="81" t="s">
        <v>149</v>
      </c>
      <c r="C1527" s="81" t="s">
        <v>190</v>
      </c>
      <c r="D1527" s="81" t="s">
        <v>156</v>
      </c>
      <c r="E1527" s="81" t="s">
        <v>49</v>
      </c>
      <c r="F1527" s="81" t="s">
        <v>2</v>
      </c>
    </row>
    <row r="1528" spans="1:6" x14ac:dyDescent="0.25">
      <c r="A1528" s="14">
        <v>46146.179861111108</v>
      </c>
      <c r="B1528" s="81" t="s">
        <v>149</v>
      </c>
      <c r="C1528" s="81" t="s">
        <v>171</v>
      </c>
      <c r="D1528" s="81" t="s">
        <v>156</v>
      </c>
      <c r="E1528" s="81" t="s">
        <v>49</v>
      </c>
      <c r="F1528" s="81" t="s">
        <v>2</v>
      </c>
    </row>
    <row r="1529" spans="1:6" x14ac:dyDescent="0.25">
      <c r="A1529" s="14">
        <v>46146.179861111108</v>
      </c>
      <c r="B1529" s="81" t="s">
        <v>149</v>
      </c>
      <c r="C1529" s="81" t="s">
        <v>188</v>
      </c>
      <c r="D1529" s="81" t="s">
        <v>179</v>
      </c>
      <c r="E1529" s="81" t="s">
        <v>45</v>
      </c>
      <c r="F1529" s="81" t="s">
        <v>28</v>
      </c>
    </row>
    <row r="1530" spans="1:6" x14ac:dyDescent="0.25">
      <c r="A1530" s="14">
        <v>46146.179861111108</v>
      </c>
      <c r="B1530" s="81" t="s">
        <v>149</v>
      </c>
      <c r="C1530" s="81" t="s">
        <v>189</v>
      </c>
      <c r="D1530" s="81" t="s">
        <v>179</v>
      </c>
      <c r="E1530" s="81" t="s">
        <v>45</v>
      </c>
      <c r="F1530" s="81" t="s">
        <v>28</v>
      </c>
    </row>
    <row r="1531" spans="1:6" x14ac:dyDescent="0.25">
      <c r="A1531" s="14">
        <v>46146.179861111108</v>
      </c>
      <c r="B1531" s="81" t="s">
        <v>149</v>
      </c>
      <c r="C1531" s="81" t="s">
        <v>239</v>
      </c>
      <c r="D1531" s="81" t="s">
        <v>179</v>
      </c>
      <c r="E1531" s="81" t="s">
        <v>45</v>
      </c>
      <c r="F1531" s="81" t="s">
        <v>28</v>
      </c>
    </row>
    <row r="1532" spans="1:6" x14ac:dyDescent="0.25">
      <c r="A1532" s="14">
        <v>46146.179861111108</v>
      </c>
      <c r="B1532" s="81" t="s">
        <v>149</v>
      </c>
      <c r="C1532" s="81" t="s">
        <v>190</v>
      </c>
      <c r="D1532" s="81" t="s">
        <v>156</v>
      </c>
      <c r="E1532" s="81" t="s">
        <v>49</v>
      </c>
      <c r="F1532" s="81" t="s">
        <v>2</v>
      </c>
    </row>
    <row r="1533" spans="1:6" x14ac:dyDescent="0.25">
      <c r="A1533" s="14">
        <v>46146.179861111108</v>
      </c>
      <c r="B1533" s="81" t="s">
        <v>149</v>
      </c>
      <c r="C1533" s="81" t="s">
        <v>175</v>
      </c>
      <c r="D1533" s="81" t="s">
        <v>156</v>
      </c>
      <c r="E1533" s="81" t="s">
        <v>49</v>
      </c>
      <c r="F1533" s="81" t="s">
        <v>2</v>
      </c>
    </row>
    <row r="1534" spans="1:6" x14ac:dyDescent="0.25">
      <c r="A1534" s="14">
        <v>46146.179861111108</v>
      </c>
      <c r="B1534" s="81" t="s">
        <v>149</v>
      </c>
      <c r="C1534" s="81" t="s">
        <v>176</v>
      </c>
      <c r="D1534" s="81" t="s">
        <v>202</v>
      </c>
      <c r="E1534" s="81" t="s">
        <v>70</v>
      </c>
      <c r="F1534" s="81" t="s">
        <v>15</v>
      </c>
    </row>
    <row r="1535" spans="1:6" x14ac:dyDescent="0.25">
      <c r="A1535" s="14">
        <v>46146.179861111108</v>
      </c>
      <c r="B1535" s="81" t="s">
        <v>149</v>
      </c>
      <c r="C1535" s="81" t="s">
        <v>181</v>
      </c>
      <c r="D1535" s="81" t="s">
        <v>156</v>
      </c>
      <c r="E1535" s="81" t="s">
        <v>49</v>
      </c>
      <c r="F1535" s="81" t="s">
        <v>2</v>
      </c>
    </row>
    <row r="1536" spans="1:6" x14ac:dyDescent="0.25">
      <c r="A1536" s="14">
        <v>46146.179861111108</v>
      </c>
      <c r="B1536" s="81" t="s">
        <v>149</v>
      </c>
      <c r="C1536" s="81" t="s">
        <v>183</v>
      </c>
      <c r="D1536" s="81" t="s">
        <v>164</v>
      </c>
      <c r="E1536" s="81" t="s">
        <v>50</v>
      </c>
      <c r="F1536" s="81" t="s">
        <v>1</v>
      </c>
    </row>
    <row r="1537" spans="1:6" x14ac:dyDescent="0.25">
      <c r="A1537" s="14">
        <v>46146.179861111108</v>
      </c>
      <c r="B1537" s="81" t="s">
        <v>149</v>
      </c>
      <c r="C1537" s="81" t="s">
        <v>181</v>
      </c>
      <c r="D1537" s="81" t="s">
        <v>164</v>
      </c>
      <c r="E1537" s="81" t="s">
        <v>50</v>
      </c>
      <c r="F1537" s="81" t="s">
        <v>1</v>
      </c>
    </row>
    <row r="1538" spans="1:6" x14ac:dyDescent="0.25">
      <c r="A1538" s="14">
        <v>46146.179861111108</v>
      </c>
      <c r="B1538" s="81" t="s">
        <v>149</v>
      </c>
      <c r="C1538" s="81" t="s">
        <v>184</v>
      </c>
      <c r="D1538" s="81" t="s">
        <v>191</v>
      </c>
      <c r="E1538" s="81" t="s">
        <v>50</v>
      </c>
      <c r="F1538" s="81" t="s">
        <v>1</v>
      </c>
    </row>
    <row r="1539" spans="1:6" x14ac:dyDescent="0.25">
      <c r="A1539" s="14">
        <v>46146.179861111108</v>
      </c>
      <c r="B1539" s="81" t="s">
        <v>149</v>
      </c>
      <c r="C1539" s="81" t="s">
        <v>175</v>
      </c>
      <c r="D1539" s="81" t="s">
        <v>157</v>
      </c>
      <c r="E1539" s="81" t="s">
        <v>52</v>
      </c>
      <c r="F1539" s="81" t="s">
        <v>0</v>
      </c>
    </row>
    <row r="1540" spans="1:6" x14ac:dyDescent="0.25">
      <c r="A1540" s="14">
        <v>46146.179861111108</v>
      </c>
      <c r="B1540" s="81" t="s">
        <v>149</v>
      </c>
      <c r="C1540" s="81" t="s">
        <v>171</v>
      </c>
      <c r="D1540" s="81" t="s">
        <v>157</v>
      </c>
      <c r="E1540" s="81" t="s">
        <v>52</v>
      </c>
      <c r="F1540" s="81" t="s">
        <v>0</v>
      </c>
    </row>
    <row r="1541" spans="1:6" x14ac:dyDescent="0.25">
      <c r="A1541" s="14">
        <v>46146.179861111108</v>
      </c>
      <c r="B1541" s="81" t="s">
        <v>149</v>
      </c>
      <c r="C1541" s="81" t="s">
        <v>173</v>
      </c>
      <c r="D1541" s="81" t="s">
        <v>191</v>
      </c>
      <c r="E1541" s="81" t="s">
        <v>50</v>
      </c>
      <c r="F1541" s="81" t="s">
        <v>1</v>
      </c>
    </row>
    <row r="1542" spans="1:6" x14ac:dyDescent="0.25">
      <c r="A1542" s="14">
        <v>46146.179861111108</v>
      </c>
      <c r="B1542" s="81" t="s">
        <v>149</v>
      </c>
      <c r="C1542" s="81" t="s">
        <v>151</v>
      </c>
      <c r="D1542" s="81" t="s">
        <v>157</v>
      </c>
      <c r="E1542" s="81" t="s">
        <v>52</v>
      </c>
      <c r="F1542" s="81" t="s">
        <v>0</v>
      </c>
    </row>
    <row r="1543" spans="1:6" x14ac:dyDescent="0.25">
      <c r="A1543" s="14">
        <v>46146.179861111108</v>
      </c>
      <c r="B1543" s="81" t="s">
        <v>149</v>
      </c>
      <c r="C1543" s="81" t="s">
        <v>192</v>
      </c>
      <c r="D1543" s="81" t="s">
        <v>164</v>
      </c>
      <c r="E1543" s="81" t="s">
        <v>60</v>
      </c>
      <c r="F1543" s="81" t="s">
        <v>28</v>
      </c>
    </row>
    <row r="1544" spans="1:6" x14ac:dyDescent="0.25">
      <c r="A1544" s="14">
        <v>46146.179861111108</v>
      </c>
      <c r="B1544" s="81" t="s">
        <v>149</v>
      </c>
      <c r="C1544" s="81" t="s">
        <v>177</v>
      </c>
      <c r="D1544" s="81" t="s">
        <v>156</v>
      </c>
      <c r="E1544" s="81" t="s">
        <v>49</v>
      </c>
      <c r="F1544" s="81" t="s">
        <v>2</v>
      </c>
    </row>
    <row r="1545" spans="1:6" x14ac:dyDescent="0.25">
      <c r="A1545" s="14">
        <v>46146.179861111108</v>
      </c>
      <c r="B1545" s="81" t="s">
        <v>149</v>
      </c>
      <c r="C1545" s="81" t="s">
        <v>171</v>
      </c>
      <c r="D1545" s="81" t="s">
        <v>221</v>
      </c>
      <c r="E1545" s="81" t="s">
        <v>50</v>
      </c>
      <c r="F1545" s="81" t="s">
        <v>1</v>
      </c>
    </row>
    <row r="1546" spans="1:6" x14ac:dyDescent="0.25">
      <c r="A1546" s="14">
        <v>46146.179861111108</v>
      </c>
      <c r="B1546" s="81" t="s">
        <v>149</v>
      </c>
      <c r="C1546" s="81" t="s">
        <v>175</v>
      </c>
      <c r="D1546" s="81" t="s">
        <v>199</v>
      </c>
      <c r="E1546" s="81" t="s">
        <v>50</v>
      </c>
      <c r="F1546" s="81" t="s">
        <v>1</v>
      </c>
    </row>
    <row r="1547" spans="1:6" x14ac:dyDescent="0.25">
      <c r="A1547" s="14">
        <v>46146.179861111108</v>
      </c>
      <c r="B1547" s="81" t="s">
        <v>149</v>
      </c>
      <c r="C1547" s="81" t="s">
        <v>173</v>
      </c>
      <c r="D1547" s="81" t="s">
        <v>265</v>
      </c>
      <c r="E1547" s="81" t="s">
        <v>49</v>
      </c>
      <c r="F1547" s="81" t="s">
        <v>2</v>
      </c>
    </row>
    <row r="1548" spans="1:6" x14ac:dyDescent="0.25">
      <c r="A1548" s="14">
        <v>46146.179861111108</v>
      </c>
      <c r="B1548" s="81" t="s">
        <v>149</v>
      </c>
      <c r="C1548" s="81" t="s">
        <v>173</v>
      </c>
      <c r="D1548" s="81" t="s">
        <v>265</v>
      </c>
      <c r="E1548" s="81" t="s">
        <v>49</v>
      </c>
      <c r="F1548" s="81" t="s">
        <v>2</v>
      </c>
    </row>
    <row r="1549" spans="1:6" x14ac:dyDescent="0.25">
      <c r="A1549" s="14">
        <v>46146.179861111108</v>
      </c>
      <c r="B1549" s="81" t="s">
        <v>149</v>
      </c>
      <c r="C1549" s="81" t="s">
        <v>173</v>
      </c>
      <c r="D1549" s="81" t="s">
        <v>265</v>
      </c>
      <c r="E1549" s="81" t="s">
        <v>49</v>
      </c>
      <c r="F1549" s="81" t="s">
        <v>2</v>
      </c>
    </row>
    <row r="1550" spans="1:6" x14ac:dyDescent="0.25">
      <c r="A1550" s="14">
        <v>46146.179861111108</v>
      </c>
      <c r="B1550" s="81" t="s">
        <v>149</v>
      </c>
      <c r="C1550" s="81" t="s">
        <v>173</v>
      </c>
      <c r="D1550" s="81" t="s">
        <v>265</v>
      </c>
      <c r="E1550" s="81" t="s">
        <v>49</v>
      </c>
      <c r="F1550" s="81" t="s">
        <v>2</v>
      </c>
    </row>
    <row r="1551" spans="1:6" x14ac:dyDescent="0.25">
      <c r="A1551" s="14">
        <v>46146.179861111108</v>
      </c>
      <c r="B1551" s="81" t="s">
        <v>149</v>
      </c>
      <c r="C1551" s="81" t="s">
        <v>173</v>
      </c>
      <c r="D1551" s="81" t="s">
        <v>265</v>
      </c>
      <c r="E1551" s="81" t="s">
        <v>49</v>
      </c>
      <c r="F1551" s="81" t="s">
        <v>2</v>
      </c>
    </row>
    <row r="1552" spans="1:6" x14ac:dyDescent="0.25">
      <c r="A1552" s="14">
        <v>46146.179861111108</v>
      </c>
      <c r="B1552" s="81" t="s">
        <v>149</v>
      </c>
      <c r="C1552" s="81" t="s">
        <v>173</v>
      </c>
      <c r="D1552" s="81" t="s">
        <v>265</v>
      </c>
      <c r="E1552" s="81" t="s">
        <v>49</v>
      </c>
      <c r="F1552" s="81" t="s">
        <v>2</v>
      </c>
    </row>
    <row r="1553" spans="1:6" x14ac:dyDescent="0.25">
      <c r="A1553" s="14">
        <v>46146.179861111108</v>
      </c>
      <c r="B1553" s="81" t="s">
        <v>149</v>
      </c>
      <c r="C1553" s="81" t="s">
        <v>173</v>
      </c>
      <c r="D1553" s="81" t="s">
        <v>265</v>
      </c>
      <c r="E1553" s="81" t="s">
        <v>49</v>
      </c>
      <c r="F1553" s="81" t="s">
        <v>2</v>
      </c>
    </row>
    <row r="1554" spans="1:6" x14ac:dyDescent="0.25">
      <c r="A1554" s="14">
        <v>46146.179861111108</v>
      </c>
      <c r="B1554" s="81" t="s">
        <v>149</v>
      </c>
      <c r="C1554" s="81" t="s">
        <v>173</v>
      </c>
      <c r="D1554" s="81" t="s">
        <v>265</v>
      </c>
      <c r="E1554" s="81" t="s">
        <v>49</v>
      </c>
      <c r="F1554" s="81" t="s">
        <v>2</v>
      </c>
    </row>
    <row r="1555" spans="1:6" x14ac:dyDescent="0.25">
      <c r="A1555" s="14">
        <v>46146.179861111108</v>
      </c>
      <c r="B1555" s="81" t="s">
        <v>149</v>
      </c>
      <c r="C1555" s="81" t="s">
        <v>173</v>
      </c>
      <c r="D1555" s="81" t="s">
        <v>265</v>
      </c>
      <c r="E1555" s="81" t="s">
        <v>49</v>
      </c>
      <c r="F1555" s="81" t="s">
        <v>2</v>
      </c>
    </row>
    <row r="1556" spans="1:6" x14ac:dyDescent="0.25">
      <c r="A1556" s="14">
        <v>46146.179861111108</v>
      </c>
      <c r="B1556" s="81" t="s">
        <v>149</v>
      </c>
      <c r="C1556" s="81" t="s">
        <v>151</v>
      </c>
      <c r="D1556" s="81" t="s">
        <v>265</v>
      </c>
      <c r="E1556" s="81" t="s">
        <v>49</v>
      </c>
      <c r="F1556" s="81" t="s">
        <v>2</v>
      </c>
    </row>
    <row r="1557" spans="1:6" x14ac:dyDescent="0.25">
      <c r="A1557" s="14">
        <v>46146.179861111108</v>
      </c>
      <c r="B1557" s="81" t="s">
        <v>149</v>
      </c>
      <c r="C1557" s="81" t="s">
        <v>151</v>
      </c>
      <c r="D1557" s="81" t="s">
        <v>265</v>
      </c>
      <c r="E1557" s="81" t="s">
        <v>49</v>
      </c>
      <c r="F1557" s="81" t="s">
        <v>2</v>
      </c>
    </row>
    <row r="1558" spans="1:6" x14ac:dyDescent="0.25">
      <c r="A1558" s="14">
        <v>46146.179861111108</v>
      </c>
      <c r="B1558" s="81" t="s">
        <v>149</v>
      </c>
      <c r="C1558" s="81" t="s">
        <v>151</v>
      </c>
      <c r="D1558" s="81" t="s">
        <v>265</v>
      </c>
      <c r="E1558" s="81" t="s">
        <v>49</v>
      </c>
      <c r="F1558" s="81" t="s">
        <v>2</v>
      </c>
    </row>
    <row r="1559" spans="1:6" x14ac:dyDescent="0.25">
      <c r="A1559" s="14">
        <v>46146.179861111108</v>
      </c>
      <c r="B1559" s="81" t="s">
        <v>149</v>
      </c>
      <c r="C1559" s="81" t="s">
        <v>151</v>
      </c>
      <c r="D1559" s="81" t="s">
        <v>265</v>
      </c>
      <c r="E1559" s="81" t="s">
        <v>49</v>
      </c>
      <c r="F1559" s="81" t="s">
        <v>2</v>
      </c>
    </row>
    <row r="1560" spans="1:6" x14ac:dyDescent="0.25">
      <c r="A1560" s="14">
        <v>46146.179861111108</v>
      </c>
      <c r="B1560" s="81" t="s">
        <v>149</v>
      </c>
      <c r="C1560" s="81" t="s">
        <v>151</v>
      </c>
      <c r="D1560" s="81" t="s">
        <v>265</v>
      </c>
      <c r="E1560" s="81" t="s">
        <v>49</v>
      </c>
      <c r="F1560" s="81" t="s">
        <v>2</v>
      </c>
    </row>
    <row r="1561" spans="1:6" x14ac:dyDescent="0.25">
      <c r="A1561" s="14">
        <v>46146.179861111108</v>
      </c>
      <c r="B1561" s="81" t="s">
        <v>149</v>
      </c>
      <c r="C1561" s="81" t="s">
        <v>151</v>
      </c>
      <c r="D1561" s="81" t="s">
        <v>265</v>
      </c>
      <c r="E1561" s="81" t="s">
        <v>49</v>
      </c>
      <c r="F1561" s="81" t="s">
        <v>2</v>
      </c>
    </row>
    <row r="1562" spans="1:6" x14ac:dyDescent="0.25">
      <c r="A1562" s="14">
        <v>46146.179861111108</v>
      </c>
      <c r="B1562" s="81" t="s">
        <v>149</v>
      </c>
      <c r="C1562" s="81" t="s">
        <v>151</v>
      </c>
      <c r="D1562" s="81" t="s">
        <v>265</v>
      </c>
      <c r="E1562" s="81" t="s">
        <v>49</v>
      </c>
      <c r="F1562" s="81" t="s">
        <v>2</v>
      </c>
    </row>
    <row r="1563" spans="1:6" x14ac:dyDescent="0.25">
      <c r="A1563" s="14">
        <v>46146.179861111108</v>
      </c>
      <c r="B1563" s="81" t="s">
        <v>149</v>
      </c>
      <c r="C1563" s="81" t="s">
        <v>151</v>
      </c>
      <c r="D1563" s="81" t="s">
        <v>265</v>
      </c>
      <c r="E1563" s="81" t="s">
        <v>49</v>
      </c>
      <c r="F1563" s="81" t="s">
        <v>2</v>
      </c>
    </row>
    <row r="1564" spans="1:6" x14ac:dyDescent="0.25">
      <c r="A1564" s="14">
        <v>46146.179861111108</v>
      </c>
      <c r="B1564" s="81" t="s">
        <v>149</v>
      </c>
      <c r="C1564" s="81" t="s">
        <v>151</v>
      </c>
      <c r="D1564" s="81" t="s">
        <v>265</v>
      </c>
      <c r="E1564" s="81" t="s">
        <v>49</v>
      </c>
      <c r="F1564" s="81" t="s">
        <v>2</v>
      </c>
    </row>
    <row r="1565" spans="1:6" x14ac:dyDescent="0.25">
      <c r="A1565" s="14">
        <v>46146.179861111108</v>
      </c>
      <c r="B1565" s="81" t="s">
        <v>149</v>
      </c>
      <c r="C1565" s="81" t="s">
        <v>187</v>
      </c>
      <c r="D1565" s="81" t="s">
        <v>265</v>
      </c>
      <c r="E1565" s="81" t="s">
        <v>75</v>
      </c>
      <c r="F1565" s="81" t="s">
        <v>93</v>
      </c>
    </row>
    <row r="1566" spans="1:6" x14ac:dyDescent="0.25">
      <c r="A1566" s="14">
        <v>46146.179861111108</v>
      </c>
      <c r="B1566" s="81" t="s">
        <v>149</v>
      </c>
      <c r="C1566" s="81" t="s">
        <v>187</v>
      </c>
      <c r="D1566" s="81" t="s">
        <v>265</v>
      </c>
      <c r="E1566" s="81" t="s">
        <v>75</v>
      </c>
      <c r="F1566" s="81" t="s">
        <v>93</v>
      </c>
    </row>
    <row r="1567" spans="1:6" x14ac:dyDescent="0.25">
      <c r="A1567" s="14">
        <v>46146.179861111108</v>
      </c>
      <c r="B1567" s="81" t="s">
        <v>149</v>
      </c>
      <c r="C1567" s="81" t="s">
        <v>187</v>
      </c>
      <c r="D1567" s="81" t="s">
        <v>265</v>
      </c>
      <c r="E1567" s="81" t="s">
        <v>75</v>
      </c>
      <c r="F1567" s="81" t="s">
        <v>93</v>
      </c>
    </row>
    <row r="1568" spans="1:6" x14ac:dyDescent="0.25">
      <c r="A1568" s="14">
        <v>46146.179861111108</v>
      </c>
      <c r="B1568" s="81" t="s">
        <v>149</v>
      </c>
      <c r="C1568" s="81" t="s">
        <v>187</v>
      </c>
      <c r="D1568" s="81" t="s">
        <v>265</v>
      </c>
      <c r="E1568" s="81" t="s">
        <v>75</v>
      </c>
      <c r="F1568" s="81" t="s">
        <v>93</v>
      </c>
    </row>
    <row r="1569" spans="1:6" x14ac:dyDescent="0.25">
      <c r="A1569" s="14">
        <v>46146.179861111108</v>
      </c>
      <c r="B1569" s="81" t="s">
        <v>149</v>
      </c>
      <c r="C1569" s="81" t="s">
        <v>187</v>
      </c>
      <c r="D1569" s="81" t="s">
        <v>265</v>
      </c>
      <c r="E1569" s="81" t="s">
        <v>75</v>
      </c>
      <c r="F1569" s="81" t="s">
        <v>93</v>
      </c>
    </row>
    <row r="1570" spans="1:6" x14ac:dyDescent="0.25">
      <c r="A1570" s="14">
        <v>46146.179861111108</v>
      </c>
      <c r="B1570" s="81" t="s">
        <v>149</v>
      </c>
      <c r="C1570" s="81" t="s">
        <v>171</v>
      </c>
      <c r="D1570" s="81" t="s">
        <v>265</v>
      </c>
      <c r="E1570" s="81" t="s">
        <v>50</v>
      </c>
      <c r="F1570" s="81" t="s">
        <v>1</v>
      </c>
    </row>
    <row r="1571" spans="1:6" x14ac:dyDescent="0.25">
      <c r="A1571" s="14">
        <v>46146.179861111108</v>
      </c>
      <c r="B1571" s="81" t="s">
        <v>149</v>
      </c>
      <c r="C1571" s="81" t="s">
        <v>171</v>
      </c>
      <c r="D1571" s="81" t="s">
        <v>265</v>
      </c>
      <c r="E1571" s="81" t="s">
        <v>50</v>
      </c>
      <c r="F1571" s="81" t="s">
        <v>1</v>
      </c>
    </row>
    <row r="1572" spans="1:6" x14ac:dyDescent="0.25">
      <c r="A1572" s="14">
        <v>46146.179861111108</v>
      </c>
      <c r="B1572" s="81" t="s">
        <v>149</v>
      </c>
      <c r="C1572" s="81" t="s">
        <v>171</v>
      </c>
      <c r="D1572" s="81" t="s">
        <v>265</v>
      </c>
      <c r="E1572" s="81" t="s">
        <v>50</v>
      </c>
      <c r="F1572" s="81" t="s">
        <v>1</v>
      </c>
    </row>
    <row r="1573" spans="1:6" x14ac:dyDescent="0.25">
      <c r="A1573" s="14">
        <v>46146.179861111108</v>
      </c>
      <c r="B1573" s="81" t="s">
        <v>149</v>
      </c>
      <c r="C1573" s="81" t="s">
        <v>171</v>
      </c>
      <c r="D1573" s="81" t="s">
        <v>265</v>
      </c>
      <c r="E1573" s="81" t="s">
        <v>50</v>
      </c>
      <c r="F1573" s="81" t="s">
        <v>1</v>
      </c>
    </row>
    <row r="1574" spans="1:6" x14ac:dyDescent="0.25">
      <c r="A1574" s="14">
        <v>46146.179861111108</v>
      </c>
      <c r="B1574" s="81" t="s">
        <v>149</v>
      </c>
      <c r="C1574" s="81" t="s">
        <v>171</v>
      </c>
      <c r="D1574" s="81" t="s">
        <v>265</v>
      </c>
      <c r="E1574" s="81" t="s">
        <v>50</v>
      </c>
      <c r="F1574" s="81" t="s">
        <v>1</v>
      </c>
    </row>
    <row r="1575" spans="1:6" x14ac:dyDescent="0.25">
      <c r="A1575" s="14">
        <v>46146.179861111108</v>
      </c>
      <c r="B1575" s="81" t="s">
        <v>149</v>
      </c>
      <c r="C1575" s="81" t="s">
        <v>171</v>
      </c>
      <c r="D1575" s="81" t="s">
        <v>265</v>
      </c>
      <c r="E1575" s="81" t="s">
        <v>50</v>
      </c>
      <c r="F1575" s="81" t="s">
        <v>1</v>
      </c>
    </row>
    <row r="1576" spans="1:6" x14ac:dyDescent="0.25">
      <c r="A1576" s="14">
        <v>46146.179861111108</v>
      </c>
      <c r="B1576" s="81" t="s">
        <v>149</v>
      </c>
      <c r="C1576" s="81" t="s">
        <v>171</v>
      </c>
      <c r="D1576" s="81" t="s">
        <v>265</v>
      </c>
      <c r="E1576" s="81" t="s">
        <v>50</v>
      </c>
      <c r="F1576" s="81" t="s">
        <v>1</v>
      </c>
    </row>
    <row r="1577" spans="1:6" x14ac:dyDescent="0.25">
      <c r="A1577" s="14">
        <v>46146.179861111108</v>
      </c>
      <c r="B1577" s="81" t="s">
        <v>149</v>
      </c>
      <c r="C1577" s="81" t="s">
        <v>171</v>
      </c>
      <c r="D1577" s="81" t="s">
        <v>265</v>
      </c>
      <c r="E1577" s="81" t="s">
        <v>50</v>
      </c>
      <c r="F1577" s="81" t="s">
        <v>1</v>
      </c>
    </row>
    <row r="1578" spans="1:6" x14ac:dyDescent="0.25">
      <c r="A1578" s="14">
        <v>46146.179861111108</v>
      </c>
      <c r="B1578" s="81" t="s">
        <v>149</v>
      </c>
      <c r="C1578" s="81" t="s">
        <v>171</v>
      </c>
      <c r="D1578" s="81" t="s">
        <v>265</v>
      </c>
      <c r="E1578" s="81" t="s">
        <v>50</v>
      </c>
      <c r="F1578" s="81" t="s">
        <v>1</v>
      </c>
    </row>
    <row r="1579" spans="1:6" x14ac:dyDescent="0.25">
      <c r="A1579" s="14">
        <v>46146.179861111108</v>
      </c>
      <c r="B1579" s="81" t="s">
        <v>149</v>
      </c>
      <c r="C1579" s="81" t="s">
        <v>171</v>
      </c>
      <c r="D1579" s="81" t="s">
        <v>265</v>
      </c>
      <c r="E1579" s="81" t="s">
        <v>50</v>
      </c>
      <c r="F1579" s="81" t="s">
        <v>1</v>
      </c>
    </row>
    <row r="1580" spans="1:6" x14ac:dyDescent="0.25">
      <c r="A1580" s="14">
        <v>46146.179861111108</v>
      </c>
      <c r="B1580" s="81" t="s">
        <v>149</v>
      </c>
      <c r="C1580" s="81" t="s">
        <v>171</v>
      </c>
      <c r="D1580" s="81" t="s">
        <v>265</v>
      </c>
      <c r="E1580" s="81" t="s">
        <v>50</v>
      </c>
      <c r="F1580" s="81" t="s">
        <v>1</v>
      </c>
    </row>
    <row r="1581" spans="1:6" x14ac:dyDescent="0.25">
      <c r="A1581" s="14">
        <v>46146.179861111108</v>
      </c>
      <c r="B1581" s="81" t="s">
        <v>149</v>
      </c>
      <c r="C1581" s="81" t="s">
        <v>171</v>
      </c>
      <c r="D1581" s="81" t="s">
        <v>265</v>
      </c>
      <c r="E1581" s="81" t="s">
        <v>50</v>
      </c>
      <c r="F1581" s="81" t="s">
        <v>1</v>
      </c>
    </row>
    <row r="1582" spans="1:6" x14ac:dyDescent="0.25">
      <c r="A1582" s="14">
        <v>46146.179861111108</v>
      </c>
      <c r="B1582" s="81" t="s">
        <v>149</v>
      </c>
      <c r="C1582" s="81" t="s">
        <v>171</v>
      </c>
      <c r="D1582" s="81" t="s">
        <v>265</v>
      </c>
      <c r="E1582" s="81" t="s">
        <v>50</v>
      </c>
      <c r="F1582" s="81" t="s">
        <v>1</v>
      </c>
    </row>
    <row r="1583" spans="1:6" x14ac:dyDescent="0.25">
      <c r="A1583" s="14">
        <v>46146.179861111108</v>
      </c>
      <c r="B1583" s="81" t="s">
        <v>149</v>
      </c>
      <c r="C1583" s="81" t="s">
        <v>171</v>
      </c>
      <c r="D1583" s="81" t="s">
        <v>265</v>
      </c>
      <c r="E1583" s="81" t="s">
        <v>50</v>
      </c>
      <c r="F1583" s="81" t="s">
        <v>1</v>
      </c>
    </row>
    <row r="1584" spans="1:6" x14ac:dyDescent="0.25">
      <c r="A1584" s="14">
        <v>46146.179861111108</v>
      </c>
      <c r="B1584" s="81" t="s">
        <v>149</v>
      </c>
      <c r="C1584" s="81" t="s">
        <v>171</v>
      </c>
      <c r="D1584" s="81" t="s">
        <v>265</v>
      </c>
      <c r="E1584" s="81" t="s">
        <v>50</v>
      </c>
      <c r="F1584" s="81" t="s">
        <v>1</v>
      </c>
    </row>
    <row r="1585" spans="1:6" x14ac:dyDescent="0.25">
      <c r="A1585" s="14">
        <v>46146.179861111108</v>
      </c>
      <c r="B1585" s="81" t="s">
        <v>149</v>
      </c>
      <c r="C1585" s="81" t="s">
        <v>171</v>
      </c>
      <c r="D1585" s="81" t="s">
        <v>265</v>
      </c>
      <c r="E1585" s="81" t="s">
        <v>50</v>
      </c>
      <c r="F1585" s="81" t="s">
        <v>1</v>
      </c>
    </row>
    <row r="1586" spans="1:6" x14ac:dyDescent="0.25">
      <c r="A1586" s="14">
        <v>46146.179861111108</v>
      </c>
      <c r="B1586" s="81" t="s">
        <v>149</v>
      </c>
      <c r="C1586" s="81" t="s">
        <v>171</v>
      </c>
      <c r="D1586" s="81" t="s">
        <v>265</v>
      </c>
      <c r="E1586" s="81" t="s">
        <v>50</v>
      </c>
      <c r="F1586" s="81" t="s">
        <v>1</v>
      </c>
    </row>
    <row r="1587" spans="1:6" x14ac:dyDescent="0.25">
      <c r="A1587" s="14">
        <v>46146.179861111108</v>
      </c>
      <c r="B1587" s="81" t="s">
        <v>149</v>
      </c>
      <c r="C1587" s="81" t="s">
        <v>171</v>
      </c>
      <c r="D1587" s="81" t="s">
        <v>265</v>
      </c>
      <c r="E1587" s="81" t="s">
        <v>50</v>
      </c>
      <c r="F1587" s="81" t="s">
        <v>1</v>
      </c>
    </row>
    <row r="1588" spans="1:6" x14ac:dyDescent="0.25">
      <c r="A1588" s="14">
        <v>46146.179861111108</v>
      </c>
      <c r="B1588" s="81" t="s">
        <v>149</v>
      </c>
      <c r="C1588" s="81" t="s">
        <v>171</v>
      </c>
      <c r="D1588" s="81" t="s">
        <v>265</v>
      </c>
      <c r="E1588" s="81" t="s">
        <v>50</v>
      </c>
      <c r="F1588" s="81" t="s">
        <v>1</v>
      </c>
    </row>
    <row r="1589" spans="1:6" x14ac:dyDescent="0.25">
      <c r="A1589" s="14">
        <v>46146.179861111108</v>
      </c>
      <c r="B1589" s="81" t="s">
        <v>149</v>
      </c>
      <c r="C1589" s="81" t="s">
        <v>171</v>
      </c>
      <c r="D1589" s="81" t="s">
        <v>169</v>
      </c>
      <c r="E1589" s="81" t="s">
        <v>50</v>
      </c>
      <c r="F1589" s="81" t="s">
        <v>1</v>
      </c>
    </row>
    <row r="1590" spans="1:6" x14ac:dyDescent="0.25">
      <c r="A1590" s="14">
        <v>46146.179861111108</v>
      </c>
      <c r="B1590" s="81" t="s">
        <v>149</v>
      </c>
      <c r="C1590" s="81" t="s">
        <v>151</v>
      </c>
      <c r="D1590" s="81" t="s">
        <v>169</v>
      </c>
      <c r="E1590" s="81" t="s">
        <v>50</v>
      </c>
      <c r="F1590" s="81" t="s">
        <v>1</v>
      </c>
    </row>
    <row r="1591" spans="1:6" x14ac:dyDescent="0.25">
      <c r="A1591" s="14">
        <v>46146.179861111108</v>
      </c>
      <c r="B1591" s="81" t="s">
        <v>149</v>
      </c>
      <c r="C1591" s="81" t="s">
        <v>184</v>
      </c>
      <c r="D1591" s="81" t="s">
        <v>169</v>
      </c>
      <c r="E1591" s="81" t="s">
        <v>52</v>
      </c>
      <c r="F1591" s="81" t="s">
        <v>0</v>
      </c>
    </row>
    <row r="1592" spans="1:6" x14ac:dyDescent="0.25">
      <c r="A1592" s="14">
        <v>46146.179861111108</v>
      </c>
      <c r="B1592" s="81" t="s">
        <v>149</v>
      </c>
      <c r="C1592" s="81" t="s">
        <v>183</v>
      </c>
      <c r="D1592" s="81" t="s">
        <v>169</v>
      </c>
      <c r="E1592" s="81" t="s">
        <v>50</v>
      </c>
      <c r="F1592" s="81" t="s">
        <v>1</v>
      </c>
    </row>
    <row r="1593" spans="1:6" x14ac:dyDescent="0.25">
      <c r="A1593" s="14">
        <v>46146.179861111108</v>
      </c>
      <c r="B1593" s="81" t="s">
        <v>149</v>
      </c>
      <c r="C1593" s="81" t="s">
        <v>176</v>
      </c>
      <c r="D1593" s="81" t="s">
        <v>204</v>
      </c>
      <c r="E1593" s="81" t="s">
        <v>70</v>
      </c>
      <c r="F1593" s="81" t="s">
        <v>15</v>
      </c>
    </row>
    <row r="1594" spans="1:6" x14ac:dyDescent="0.25">
      <c r="A1594" s="14">
        <v>46146.179861111108</v>
      </c>
      <c r="B1594" s="81" t="s">
        <v>149</v>
      </c>
      <c r="C1594" s="81" t="s">
        <v>173</v>
      </c>
      <c r="D1594" s="81" t="s">
        <v>204</v>
      </c>
      <c r="E1594" s="81" t="s">
        <v>50</v>
      </c>
      <c r="F1594" s="81" t="s">
        <v>1</v>
      </c>
    </row>
    <row r="1595" spans="1:6" x14ac:dyDescent="0.25">
      <c r="A1595" s="14">
        <v>46146.179861111108</v>
      </c>
      <c r="B1595" s="81" t="s">
        <v>149</v>
      </c>
      <c r="C1595" s="81" t="s">
        <v>171</v>
      </c>
      <c r="D1595" s="81" t="s">
        <v>204</v>
      </c>
      <c r="E1595" s="81" t="s">
        <v>50</v>
      </c>
      <c r="F1595" s="81" t="s">
        <v>1</v>
      </c>
    </row>
    <row r="1596" spans="1:6" x14ac:dyDescent="0.25">
      <c r="A1596" s="14">
        <v>46146.179861111108</v>
      </c>
      <c r="B1596" s="81" t="s">
        <v>149</v>
      </c>
      <c r="C1596" s="81" t="s">
        <v>183</v>
      </c>
      <c r="D1596" s="81" t="s">
        <v>204</v>
      </c>
      <c r="E1596" s="81" t="s">
        <v>50</v>
      </c>
      <c r="F1596" s="81" t="s">
        <v>1</v>
      </c>
    </row>
    <row r="1597" spans="1:6" x14ac:dyDescent="0.25">
      <c r="A1597" s="14">
        <v>46146.179861111108</v>
      </c>
      <c r="B1597" s="81" t="s">
        <v>149</v>
      </c>
      <c r="C1597" s="81" t="s">
        <v>192</v>
      </c>
      <c r="D1597" s="81" t="s">
        <v>266</v>
      </c>
      <c r="E1597" s="81" t="s">
        <v>60</v>
      </c>
      <c r="F1597" s="81" t="s">
        <v>28</v>
      </c>
    </row>
    <row r="1598" spans="1:6" x14ac:dyDescent="0.25">
      <c r="A1598" s="14">
        <v>46146.179861111108</v>
      </c>
      <c r="B1598" s="81" t="s">
        <v>149</v>
      </c>
      <c r="C1598" s="81" t="s">
        <v>184</v>
      </c>
      <c r="D1598" s="81" t="s">
        <v>153</v>
      </c>
      <c r="E1598" s="81" t="s">
        <v>50</v>
      </c>
      <c r="F1598" s="81" t="s">
        <v>1</v>
      </c>
    </row>
    <row r="1599" spans="1:6" x14ac:dyDescent="0.25">
      <c r="A1599" s="14">
        <v>46146.179861111108</v>
      </c>
      <c r="B1599" s="81" t="s">
        <v>149</v>
      </c>
      <c r="C1599" s="81" t="s">
        <v>175</v>
      </c>
      <c r="D1599" s="81" t="s">
        <v>153</v>
      </c>
      <c r="E1599" s="81" t="s">
        <v>52</v>
      </c>
      <c r="F1599" s="81" t="s">
        <v>0</v>
      </c>
    </row>
    <row r="1600" spans="1:6" x14ac:dyDescent="0.25">
      <c r="A1600" s="14">
        <v>46146.179861111108</v>
      </c>
      <c r="B1600" s="81" t="s">
        <v>149</v>
      </c>
      <c r="C1600" s="81" t="s">
        <v>174</v>
      </c>
      <c r="D1600" s="81" t="s">
        <v>199</v>
      </c>
      <c r="E1600" s="81" t="s">
        <v>64</v>
      </c>
      <c r="F1600" s="81" t="s">
        <v>98</v>
      </c>
    </row>
    <row r="1601" spans="1:6" x14ac:dyDescent="0.25">
      <c r="A1601" s="14">
        <v>46146.179861111108</v>
      </c>
      <c r="B1601" s="81" t="s">
        <v>149</v>
      </c>
      <c r="C1601" s="81" t="s">
        <v>184</v>
      </c>
      <c r="D1601" s="81" t="s">
        <v>153</v>
      </c>
      <c r="E1601" s="81" t="s">
        <v>52</v>
      </c>
      <c r="F1601" s="81" t="s">
        <v>0</v>
      </c>
    </row>
    <row r="1602" spans="1:6" x14ac:dyDescent="0.25">
      <c r="A1602" s="14">
        <v>46146.179861111108</v>
      </c>
      <c r="B1602" s="81" t="s">
        <v>149</v>
      </c>
      <c r="C1602" s="81" t="s">
        <v>192</v>
      </c>
      <c r="D1602" s="81" t="s">
        <v>153</v>
      </c>
      <c r="E1602" s="81" t="s">
        <v>60</v>
      </c>
      <c r="F1602" s="81" t="s">
        <v>28</v>
      </c>
    </row>
    <row r="1603" spans="1:6" x14ac:dyDescent="0.25">
      <c r="A1603" s="14">
        <v>46146.179861111108</v>
      </c>
      <c r="B1603" s="81" t="s">
        <v>149</v>
      </c>
      <c r="C1603" s="81" t="s">
        <v>175</v>
      </c>
      <c r="D1603" s="81" t="s">
        <v>150</v>
      </c>
      <c r="E1603" s="81" t="s">
        <v>50</v>
      </c>
      <c r="F1603" s="81" t="s">
        <v>1</v>
      </c>
    </row>
    <row r="1604" spans="1:6" x14ac:dyDescent="0.25">
      <c r="A1604" s="14">
        <v>46146.179861111108</v>
      </c>
      <c r="B1604" s="81" t="s">
        <v>149</v>
      </c>
      <c r="C1604" s="81" t="s">
        <v>213</v>
      </c>
      <c r="D1604" s="81" t="s">
        <v>153</v>
      </c>
      <c r="E1604" s="81" t="s">
        <v>64</v>
      </c>
      <c r="F1604" s="81" t="s">
        <v>98</v>
      </c>
    </row>
    <row r="1605" spans="1:6" x14ac:dyDescent="0.25">
      <c r="A1605" s="14">
        <v>46146.179861111108</v>
      </c>
      <c r="B1605" s="81" t="s">
        <v>149</v>
      </c>
      <c r="C1605" s="81" t="s">
        <v>151</v>
      </c>
      <c r="D1605" s="81" t="s">
        <v>169</v>
      </c>
      <c r="E1605" s="81" t="s">
        <v>52</v>
      </c>
      <c r="F1605" s="81" t="s">
        <v>0</v>
      </c>
    </row>
    <row r="1606" spans="1:6" x14ac:dyDescent="0.25">
      <c r="A1606" s="14">
        <v>46146.179861111108</v>
      </c>
      <c r="B1606" s="81" t="s">
        <v>149</v>
      </c>
      <c r="C1606" s="81" t="s">
        <v>190</v>
      </c>
      <c r="D1606" s="81" t="s">
        <v>150</v>
      </c>
      <c r="E1606" s="81" t="s">
        <v>50</v>
      </c>
      <c r="F1606" s="81" t="s">
        <v>1</v>
      </c>
    </row>
    <row r="1607" spans="1:6" x14ac:dyDescent="0.25">
      <c r="A1607" s="14">
        <v>46146.179861111108</v>
      </c>
      <c r="B1607" s="81" t="s">
        <v>149</v>
      </c>
      <c r="C1607" s="81" t="s">
        <v>175</v>
      </c>
      <c r="D1607" s="81" t="s">
        <v>169</v>
      </c>
      <c r="E1607" s="81" t="s">
        <v>52</v>
      </c>
      <c r="F1607" s="81" t="s">
        <v>0</v>
      </c>
    </row>
    <row r="1608" spans="1:6" x14ac:dyDescent="0.25">
      <c r="A1608" s="14">
        <v>46146.179861111108</v>
      </c>
      <c r="B1608" s="81" t="s">
        <v>149</v>
      </c>
      <c r="C1608" s="81" t="s">
        <v>182</v>
      </c>
      <c r="D1608" s="81" t="s">
        <v>169</v>
      </c>
      <c r="E1608" s="81" t="s">
        <v>52</v>
      </c>
      <c r="F1608" s="81" t="s">
        <v>0</v>
      </c>
    </row>
    <row r="1609" spans="1:6" x14ac:dyDescent="0.25">
      <c r="A1609" s="14">
        <v>46146.179861111108</v>
      </c>
      <c r="B1609" s="81" t="s">
        <v>149</v>
      </c>
      <c r="C1609" s="81" t="s">
        <v>173</v>
      </c>
      <c r="D1609" s="81" t="s">
        <v>169</v>
      </c>
      <c r="E1609" s="81" t="s">
        <v>52</v>
      </c>
      <c r="F1609" s="81" t="s">
        <v>0</v>
      </c>
    </row>
    <row r="1610" spans="1:6" x14ac:dyDescent="0.25">
      <c r="A1610" s="14">
        <v>46146.179861111108</v>
      </c>
      <c r="B1610" s="81" t="s">
        <v>149</v>
      </c>
      <c r="C1610" s="81" t="s">
        <v>182</v>
      </c>
      <c r="D1610" s="81" t="s">
        <v>169</v>
      </c>
      <c r="E1610" s="81" t="s">
        <v>52</v>
      </c>
      <c r="F1610" s="81" t="s">
        <v>0</v>
      </c>
    </row>
    <row r="1611" spans="1:6" x14ac:dyDescent="0.25">
      <c r="A1611" s="14">
        <v>46146.179861111108</v>
      </c>
      <c r="B1611" s="81" t="s">
        <v>149</v>
      </c>
      <c r="C1611" s="81" t="s">
        <v>183</v>
      </c>
      <c r="D1611" s="81" t="s">
        <v>150</v>
      </c>
      <c r="E1611" s="81" t="s">
        <v>50</v>
      </c>
      <c r="F1611" s="81" t="s">
        <v>1</v>
      </c>
    </row>
    <row r="1612" spans="1:6" x14ac:dyDescent="0.25">
      <c r="A1612" s="14">
        <v>46146.179861111108</v>
      </c>
      <c r="B1612" s="81" t="s">
        <v>149</v>
      </c>
      <c r="C1612" s="81" t="s">
        <v>184</v>
      </c>
      <c r="D1612" s="81" t="s">
        <v>155</v>
      </c>
      <c r="E1612" s="81" t="s">
        <v>50</v>
      </c>
      <c r="F1612" s="81" t="s">
        <v>1</v>
      </c>
    </row>
    <row r="1613" spans="1:6" x14ac:dyDescent="0.25">
      <c r="A1613" s="14">
        <v>46146.179861111108</v>
      </c>
      <c r="B1613" s="81" t="s">
        <v>149</v>
      </c>
      <c r="C1613" s="81" t="s">
        <v>190</v>
      </c>
      <c r="D1613" s="81" t="s">
        <v>169</v>
      </c>
      <c r="E1613" s="81" t="s">
        <v>50</v>
      </c>
      <c r="F1613" s="81" t="s">
        <v>1</v>
      </c>
    </row>
    <row r="1614" spans="1:6" x14ac:dyDescent="0.25">
      <c r="A1614" s="14">
        <v>46146.179861111108</v>
      </c>
      <c r="B1614" s="81" t="s">
        <v>149</v>
      </c>
      <c r="C1614" s="81" t="s">
        <v>183</v>
      </c>
      <c r="D1614" s="81" t="s">
        <v>153</v>
      </c>
      <c r="E1614" s="81" t="s">
        <v>50</v>
      </c>
      <c r="F1614" s="81" t="s">
        <v>1</v>
      </c>
    </row>
    <row r="1615" spans="1:6" x14ac:dyDescent="0.25">
      <c r="A1615" s="14">
        <v>46146.179861111108</v>
      </c>
      <c r="B1615" s="81" t="s">
        <v>149</v>
      </c>
      <c r="C1615" s="81" t="s">
        <v>171</v>
      </c>
      <c r="D1615" s="81" t="s">
        <v>155</v>
      </c>
      <c r="E1615" s="81" t="s">
        <v>50</v>
      </c>
      <c r="F1615" s="81" t="s">
        <v>1</v>
      </c>
    </row>
    <row r="1616" spans="1:6" x14ac:dyDescent="0.25">
      <c r="A1616" s="14">
        <v>46146.179861111108</v>
      </c>
      <c r="B1616" s="81" t="s">
        <v>149</v>
      </c>
      <c r="C1616" s="81" t="s">
        <v>171</v>
      </c>
      <c r="D1616" s="81" t="s">
        <v>155</v>
      </c>
      <c r="E1616" s="81" t="s">
        <v>50</v>
      </c>
      <c r="F1616" s="81" t="s">
        <v>1</v>
      </c>
    </row>
    <row r="1617" spans="1:6" x14ac:dyDescent="0.25">
      <c r="A1617" s="14">
        <v>46146.179861111108</v>
      </c>
      <c r="B1617" s="81" t="s">
        <v>149</v>
      </c>
      <c r="C1617" s="81" t="s">
        <v>182</v>
      </c>
      <c r="D1617" s="81" t="s">
        <v>155</v>
      </c>
      <c r="E1617" s="81" t="s">
        <v>50</v>
      </c>
      <c r="F1617" s="81" t="s">
        <v>1</v>
      </c>
    </row>
    <row r="1618" spans="1:6" x14ac:dyDescent="0.25">
      <c r="A1618" s="14">
        <v>46146.179861111108</v>
      </c>
      <c r="B1618" s="81" t="s">
        <v>149</v>
      </c>
      <c r="C1618" s="81" t="s">
        <v>183</v>
      </c>
      <c r="D1618" s="81" t="s">
        <v>155</v>
      </c>
      <c r="E1618" s="81" t="s">
        <v>50</v>
      </c>
      <c r="F1618" s="81" t="s">
        <v>1</v>
      </c>
    </row>
    <row r="1619" spans="1:6" x14ac:dyDescent="0.25">
      <c r="A1619" s="14">
        <v>46146.179861111108</v>
      </c>
      <c r="B1619" s="81" t="s">
        <v>149</v>
      </c>
      <c r="C1619" s="81" t="s">
        <v>184</v>
      </c>
      <c r="D1619" s="81" t="s">
        <v>155</v>
      </c>
      <c r="E1619" s="81" t="s">
        <v>50</v>
      </c>
      <c r="F1619" s="81" t="s">
        <v>1</v>
      </c>
    </row>
    <row r="1620" spans="1:6" x14ac:dyDescent="0.25">
      <c r="A1620" s="14">
        <v>46146.179861111108</v>
      </c>
      <c r="B1620" s="81" t="s">
        <v>149</v>
      </c>
      <c r="C1620" s="81" t="s">
        <v>185</v>
      </c>
      <c r="D1620" s="81" t="s">
        <v>155</v>
      </c>
      <c r="E1620" s="81" t="s">
        <v>50</v>
      </c>
      <c r="F1620" s="81" t="s">
        <v>1</v>
      </c>
    </row>
    <row r="1621" spans="1:6" x14ac:dyDescent="0.25">
      <c r="A1621" s="14">
        <v>46146.179861111108</v>
      </c>
      <c r="B1621" s="81" t="s">
        <v>149</v>
      </c>
      <c r="C1621" s="81" t="s">
        <v>151</v>
      </c>
      <c r="D1621" s="81" t="s">
        <v>155</v>
      </c>
      <c r="E1621" s="81" t="s">
        <v>50</v>
      </c>
      <c r="F1621" s="81" t="s">
        <v>1</v>
      </c>
    </row>
    <row r="1622" spans="1:6" x14ac:dyDescent="0.25">
      <c r="A1622" s="14">
        <v>46146.179861111108</v>
      </c>
      <c r="B1622" s="81" t="s">
        <v>149</v>
      </c>
      <c r="C1622" s="81" t="s">
        <v>182</v>
      </c>
      <c r="D1622" s="81" t="s">
        <v>155</v>
      </c>
      <c r="E1622" s="81" t="s">
        <v>50</v>
      </c>
      <c r="F1622" s="81" t="s">
        <v>1</v>
      </c>
    </row>
    <row r="1623" spans="1:6" x14ac:dyDescent="0.25">
      <c r="A1623" s="14">
        <v>46146.179861111108</v>
      </c>
      <c r="B1623" s="81" t="s">
        <v>149</v>
      </c>
      <c r="C1623" s="81" t="s">
        <v>158</v>
      </c>
      <c r="D1623" s="81" t="s">
        <v>169</v>
      </c>
      <c r="E1623" s="81" t="s">
        <v>52</v>
      </c>
      <c r="F1623" s="81" t="s">
        <v>0</v>
      </c>
    </row>
    <row r="1624" spans="1:6" x14ac:dyDescent="0.25">
      <c r="A1624" s="14">
        <v>46146.179861111108</v>
      </c>
      <c r="B1624" s="81" t="s">
        <v>149</v>
      </c>
      <c r="C1624" s="81" t="s">
        <v>151</v>
      </c>
      <c r="D1624" s="81" t="s">
        <v>258</v>
      </c>
      <c r="E1624" s="81" t="s">
        <v>52</v>
      </c>
      <c r="F1624" s="81" t="s">
        <v>0</v>
      </c>
    </row>
    <row r="1625" spans="1:6" x14ac:dyDescent="0.25">
      <c r="A1625" s="14">
        <v>46146.179861111108</v>
      </c>
      <c r="B1625" s="81" t="s">
        <v>149</v>
      </c>
      <c r="C1625" s="81" t="s">
        <v>158</v>
      </c>
      <c r="D1625" s="81" t="s">
        <v>258</v>
      </c>
      <c r="E1625" s="81" t="s">
        <v>52</v>
      </c>
      <c r="F1625" s="81" t="s">
        <v>0</v>
      </c>
    </row>
    <row r="1626" spans="1:6" x14ac:dyDescent="0.25">
      <c r="A1626" s="14">
        <v>46146.179861111108</v>
      </c>
      <c r="B1626" s="81" t="s">
        <v>149</v>
      </c>
      <c r="C1626" s="81" t="s">
        <v>184</v>
      </c>
      <c r="D1626" s="81" t="s">
        <v>212</v>
      </c>
      <c r="E1626" s="81" t="s">
        <v>49</v>
      </c>
      <c r="F1626" s="81" t="s">
        <v>2</v>
      </c>
    </row>
    <row r="1627" spans="1:6" x14ac:dyDescent="0.25">
      <c r="A1627" s="14">
        <v>46146.179861111108</v>
      </c>
      <c r="B1627" s="81" t="s">
        <v>149</v>
      </c>
      <c r="C1627" s="81" t="s">
        <v>213</v>
      </c>
      <c r="D1627" s="81" t="s">
        <v>153</v>
      </c>
      <c r="E1627" s="81" t="s">
        <v>64</v>
      </c>
      <c r="F1627" s="81" t="s">
        <v>98</v>
      </c>
    </row>
    <row r="1628" spans="1:6" x14ac:dyDescent="0.25">
      <c r="A1628" s="14">
        <v>46146.179861111108</v>
      </c>
      <c r="B1628" s="81" t="s">
        <v>149</v>
      </c>
      <c r="C1628" s="81" t="s">
        <v>187</v>
      </c>
      <c r="D1628" s="81" t="s">
        <v>153</v>
      </c>
      <c r="E1628" s="81" t="s">
        <v>75</v>
      </c>
      <c r="F1628" s="81" t="s">
        <v>93</v>
      </c>
    </row>
    <row r="1629" spans="1:6" x14ac:dyDescent="0.25">
      <c r="A1629" s="14">
        <v>46146.179861111108</v>
      </c>
      <c r="B1629" s="81" t="s">
        <v>149</v>
      </c>
      <c r="C1629" s="81" t="s">
        <v>192</v>
      </c>
      <c r="D1629" s="81" t="s">
        <v>212</v>
      </c>
      <c r="E1629" s="81" t="s">
        <v>60</v>
      </c>
      <c r="F1629" s="81" t="s">
        <v>28</v>
      </c>
    </row>
    <row r="1630" spans="1:6" x14ac:dyDescent="0.25">
      <c r="A1630" s="14">
        <v>46146.179861111108</v>
      </c>
      <c r="B1630" s="81" t="s">
        <v>149</v>
      </c>
      <c r="C1630" s="81" t="s">
        <v>187</v>
      </c>
      <c r="D1630" s="81" t="s">
        <v>231</v>
      </c>
      <c r="E1630" s="81" t="s">
        <v>75</v>
      </c>
      <c r="F1630" s="81" t="s">
        <v>93</v>
      </c>
    </row>
    <row r="1631" spans="1:6" x14ac:dyDescent="0.25">
      <c r="A1631" s="14">
        <v>46146.179861111108</v>
      </c>
      <c r="B1631" s="81" t="s">
        <v>149</v>
      </c>
      <c r="C1631" s="81" t="s">
        <v>185</v>
      </c>
      <c r="D1631" s="81" t="s">
        <v>212</v>
      </c>
      <c r="E1631" s="81" t="s">
        <v>49</v>
      </c>
      <c r="F1631" s="81" t="s">
        <v>2</v>
      </c>
    </row>
    <row r="1632" spans="1:6" x14ac:dyDescent="0.25">
      <c r="A1632" s="14">
        <v>46146.179861111108</v>
      </c>
      <c r="B1632" s="81" t="s">
        <v>149</v>
      </c>
      <c r="C1632" s="81" t="s">
        <v>190</v>
      </c>
      <c r="D1632" s="81" t="s">
        <v>212</v>
      </c>
      <c r="E1632" s="81" t="s">
        <v>49</v>
      </c>
      <c r="F1632" s="81" t="s">
        <v>2</v>
      </c>
    </row>
    <row r="1633" spans="1:6" x14ac:dyDescent="0.25">
      <c r="A1633" s="14">
        <v>46146.179861111108</v>
      </c>
      <c r="B1633" s="81" t="s">
        <v>149</v>
      </c>
      <c r="C1633" s="81" t="s">
        <v>177</v>
      </c>
      <c r="D1633" s="81" t="s">
        <v>212</v>
      </c>
      <c r="E1633" s="81" t="s">
        <v>49</v>
      </c>
      <c r="F1633" s="81" t="s">
        <v>2</v>
      </c>
    </row>
    <row r="1634" spans="1:6" x14ac:dyDescent="0.25">
      <c r="A1634" s="14">
        <v>46146.179861111108</v>
      </c>
      <c r="B1634" s="81" t="s">
        <v>149</v>
      </c>
      <c r="C1634" s="81" t="s">
        <v>185</v>
      </c>
      <c r="D1634" s="81" t="s">
        <v>212</v>
      </c>
      <c r="E1634" s="81" t="s">
        <v>50</v>
      </c>
      <c r="F1634" s="81" t="s">
        <v>1</v>
      </c>
    </row>
    <row r="1635" spans="1:6" x14ac:dyDescent="0.25">
      <c r="A1635" s="14">
        <v>46146.179861111108</v>
      </c>
      <c r="B1635" s="81" t="s">
        <v>149</v>
      </c>
      <c r="C1635" s="81" t="s">
        <v>187</v>
      </c>
      <c r="D1635" s="81" t="s">
        <v>231</v>
      </c>
      <c r="E1635" s="81" t="s">
        <v>75</v>
      </c>
      <c r="F1635" s="81" t="s">
        <v>93</v>
      </c>
    </row>
    <row r="1636" spans="1:6" x14ac:dyDescent="0.25">
      <c r="A1636" s="14">
        <v>46146.179861111108</v>
      </c>
      <c r="B1636" s="81" t="s">
        <v>149</v>
      </c>
      <c r="C1636" s="81" t="s">
        <v>187</v>
      </c>
      <c r="D1636" s="81" t="s">
        <v>153</v>
      </c>
      <c r="E1636" s="81" t="s">
        <v>75</v>
      </c>
      <c r="F1636" s="81" t="s">
        <v>93</v>
      </c>
    </row>
    <row r="1637" spans="1:6" x14ac:dyDescent="0.25">
      <c r="A1637" s="14">
        <v>46146.179861111108</v>
      </c>
      <c r="B1637" s="81" t="s">
        <v>149</v>
      </c>
      <c r="C1637" s="81" t="s">
        <v>175</v>
      </c>
      <c r="D1637" s="81" t="s">
        <v>212</v>
      </c>
      <c r="E1637" s="81" t="s">
        <v>49</v>
      </c>
      <c r="F1637" s="81" t="s">
        <v>2</v>
      </c>
    </row>
    <row r="1638" spans="1:6" x14ac:dyDescent="0.25">
      <c r="A1638" s="14">
        <v>46146.179861111108</v>
      </c>
      <c r="B1638" s="81" t="s">
        <v>149</v>
      </c>
      <c r="C1638" s="81" t="s">
        <v>187</v>
      </c>
      <c r="D1638" s="81" t="s">
        <v>231</v>
      </c>
      <c r="E1638" s="81" t="s">
        <v>75</v>
      </c>
      <c r="F1638" s="81" t="s">
        <v>93</v>
      </c>
    </row>
    <row r="1639" spans="1:6" x14ac:dyDescent="0.25">
      <c r="A1639" s="14">
        <v>46146.179861111108</v>
      </c>
      <c r="B1639" s="81" t="s">
        <v>149</v>
      </c>
      <c r="C1639" s="81" t="s">
        <v>171</v>
      </c>
      <c r="D1639" s="81" t="s">
        <v>212</v>
      </c>
      <c r="E1639" s="81" t="s">
        <v>49</v>
      </c>
      <c r="F1639" s="81" t="s">
        <v>2</v>
      </c>
    </row>
    <row r="1640" spans="1:6" x14ac:dyDescent="0.25">
      <c r="A1640" s="14">
        <v>46146.179861111108</v>
      </c>
      <c r="B1640" s="81" t="s">
        <v>149</v>
      </c>
      <c r="C1640" s="81" t="s">
        <v>172</v>
      </c>
      <c r="D1640" s="81" t="s">
        <v>212</v>
      </c>
      <c r="E1640" s="81" t="s">
        <v>64</v>
      </c>
      <c r="F1640" s="81" t="s">
        <v>98</v>
      </c>
    </row>
    <row r="1641" spans="1:6" x14ac:dyDescent="0.25">
      <c r="A1641" s="14">
        <v>46146.179861111108</v>
      </c>
      <c r="B1641" s="81" t="s">
        <v>149</v>
      </c>
      <c r="C1641" s="81" t="s">
        <v>183</v>
      </c>
      <c r="D1641" s="81" t="s">
        <v>212</v>
      </c>
      <c r="E1641" s="81" t="s">
        <v>49</v>
      </c>
      <c r="F1641" s="81" t="s">
        <v>2</v>
      </c>
    </row>
    <row r="1642" spans="1:6" x14ac:dyDescent="0.25">
      <c r="A1642" s="14">
        <v>46146.179861111108</v>
      </c>
      <c r="B1642" s="81" t="s">
        <v>149</v>
      </c>
      <c r="C1642" s="81" t="s">
        <v>185</v>
      </c>
      <c r="D1642" s="81" t="s">
        <v>212</v>
      </c>
      <c r="E1642" s="81" t="s">
        <v>49</v>
      </c>
      <c r="F1642" s="81" t="s">
        <v>2</v>
      </c>
    </row>
    <row r="1643" spans="1:6" x14ac:dyDescent="0.25">
      <c r="A1643" s="14">
        <v>46146.179861111108</v>
      </c>
      <c r="B1643" s="81" t="s">
        <v>149</v>
      </c>
      <c r="C1643" s="81" t="s">
        <v>176</v>
      </c>
      <c r="D1643" s="81" t="s">
        <v>231</v>
      </c>
      <c r="E1643" s="81" t="s">
        <v>63</v>
      </c>
      <c r="F1643" s="81" t="s">
        <v>16</v>
      </c>
    </row>
    <row r="1644" spans="1:6" x14ac:dyDescent="0.25">
      <c r="A1644" s="14">
        <v>46146.179861111108</v>
      </c>
      <c r="B1644" s="81" t="s">
        <v>149</v>
      </c>
      <c r="C1644" s="81" t="s">
        <v>173</v>
      </c>
      <c r="D1644" s="81" t="s">
        <v>212</v>
      </c>
      <c r="E1644" s="81" t="s">
        <v>49</v>
      </c>
      <c r="F1644" s="81" t="s">
        <v>2</v>
      </c>
    </row>
    <row r="1645" spans="1:6" x14ac:dyDescent="0.25">
      <c r="A1645" s="14">
        <v>46146.179861111108</v>
      </c>
      <c r="B1645" s="81" t="s">
        <v>149</v>
      </c>
      <c r="C1645" s="81" t="s">
        <v>181</v>
      </c>
      <c r="D1645" s="81" t="s">
        <v>168</v>
      </c>
      <c r="E1645" s="81" t="s">
        <v>50</v>
      </c>
      <c r="F1645" s="81" t="s">
        <v>1</v>
      </c>
    </row>
    <row r="1646" spans="1:6" x14ac:dyDescent="0.25">
      <c r="A1646" s="14">
        <v>46146.179861111108</v>
      </c>
      <c r="B1646" s="81" t="s">
        <v>149</v>
      </c>
      <c r="C1646" s="81" t="s">
        <v>182</v>
      </c>
      <c r="D1646" s="81" t="s">
        <v>167</v>
      </c>
      <c r="E1646" s="81" t="s">
        <v>50</v>
      </c>
      <c r="F1646" s="81" t="s">
        <v>1</v>
      </c>
    </row>
    <row r="1647" spans="1:6" x14ac:dyDescent="0.25">
      <c r="A1647" s="14">
        <v>46146.179861111108</v>
      </c>
      <c r="B1647" s="81" t="s">
        <v>149</v>
      </c>
      <c r="C1647" s="81" t="s">
        <v>181</v>
      </c>
      <c r="D1647" s="81" t="s">
        <v>212</v>
      </c>
      <c r="E1647" s="81" t="s">
        <v>49</v>
      </c>
      <c r="F1647" s="81" t="s">
        <v>2</v>
      </c>
    </row>
    <row r="1648" spans="1:6" x14ac:dyDescent="0.25">
      <c r="A1648" s="14">
        <v>46146.179861111108</v>
      </c>
      <c r="B1648" s="81" t="s">
        <v>149</v>
      </c>
      <c r="C1648" s="81" t="s">
        <v>182</v>
      </c>
      <c r="D1648" s="81" t="s">
        <v>212</v>
      </c>
      <c r="E1648" s="81" t="s">
        <v>52</v>
      </c>
      <c r="F1648" s="81" t="s">
        <v>0</v>
      </c>
    </row>
    <row r="1649" spans="1:6" x14ac:dyDescent="0.25">
      <c r="A1649" s="14">
        <v>46146.179861111108</v>
      </c>
      <c r="B1649" s="81" t="s">
        <v>149</v>
      </c>
      <c r="C1649" s="81" t="s">
        <v>173</v>
      </c>
      <c r="D1649" s="81" t="s">
        <v>168</v>
      </c>
      <c r="E1649" s="81" t="s">
        <v>49</v>
      </c>
      <c r="F1649" s="81" t="s">
        <v>2</v>
      </c>
    </row>
    <row r="1650" spans="1:6" x14ac:dyDescent="0.25">
      <c r="A1650" s="14">
        <v>46146.179861111108</v>
      </c>
      <c r="B1650" s="81" t="s">
        <v>149</v>
      </c>
      <c r="C1650" s="81" t="s">
        <v>177</v>
      </c>
      <c r="D1650" s="81" t="s">
        <v>212</v>
      </c>
      <c r="E1650" s="81" t="s">
        <v>50</v>
      </c>
      <c r="F1650" s="81" t="s">
        <v>1</v>
      </c>
    </row>
    <row r="1651" spans="1:6" x14ac:dyDescent="0.25">
      <c r="A1651" s="14">
        <v>46146.179861111108</v>
      </c>
      <c r="B1651" s="81" t="s">
        <v>149</v>
      </c>
      <c r="C1651" s="81" t="s">
        <v>183</v>
      </c>
      <c r="D1651" s="81" t="s">
        <v>212</v>
      </c>
      <c r="E1651" s="81" t="s">
        <v>50</v>
      </c>
      <c r="F1651" s="81" t="s">
        <v>1</v>
      </c>
    </row>
    <row r="1652" spans="1:6" x14ac:dyDescent="0.25">
      <c r="A1652" s="14">
        <v>46146.179861111108</v>
      </c>
      <c r="B1652" s="81" t="s">
        <v>149</v>
      </c>
      <c r="C1652" s="81" t="s">
        <v>190</v>
      </c>
      <c r="D1652" s="81" t="s">
        <v>212</v>
      </c>
      <c r="E1652" s="81" t="s">
        <v>50</v>
      </c>
      <c r="F1652" s="81" t="s">
        <v>1</v>
      </c>
    </row>
    <row r="1653" spans="1:6" x14ac:dyDescent="0.25">
      <c r="A1653" s="14">
        <v>46146.179861111108</v>
      </c>
      <c r="B1653" s="81" t="s">
        <v>149</v>
      </c>
      <c r="C1653" s="81" t="s">
        <v>182</v>
      </c>
      <c r="D1653" s="81" t="s">
        <v>167</v>
      </c>
      <c r="E1653" s="81" t="s">
        <v>50</v>
      </c>
      <c r="F1653" s="81" t="s">
        <v>1</v>
      </c>
    </row>
    <row r="1654" spans="1:6" x14ac:dyDescent="0.25">
      <c r="A1654" s="14">
        <v>46146.179861111108</v>
      </c>
      <c r="B1654" s="81" t="s">
        <v>149</v>
      </c>
      <c r="C1654" s="81" t="s">
        <v>176</v>
      </c>
      <c r="D1654" s="81" t="s">
        <v>231</v>
      </c>
      <c r="E1654" s="81" t="s">
        <v>63</v>
      </c>
      <c r="F1654" s="81" t="s">
        <v>16</v>
      </c>
    </row>
    <row r="1655" spans="1:6" x14ac:dyDescent="0.25">
      <c r="A1655" s="14">
        <v>46146.179861111108</v>
      </c>
      <c r="B1655" s="81" t="s">
        <v>149</v>
      </c>
      <c r="C1655" s="81" t="s">
        <v>192</v>
      </c>
      <c r="D1655" s="81" t="s">
        <v>266</v>
      </c>
      <c r="E1655" s="81" t="s">
        <v>60</v>
      </c>
      <c r="F1655" s="81" t="s">
        <v>28</v>
      </c>
    </row>
    <row r="1656" spans="1:6" x14ac:dyDescent="0.25">
      <c r="A1656" s="14">
        <v>46146.179861111108</v>
      </c>
      <c r="B1656" s="81" t="s">
        <v>149</v>
      </c>
      <c r="C1656" s="81" t="s">
        <v>173</v>
      </c>
      <c r="D1656" s="81" t="s">
        <v>167</v>
      </c>
      <c r="E1656" s="81" t="s">
        <v>50</v>
      </c>
      <c r="F1656" s="81" t="s">
        <v>1</v>
      </c>
    </row>
    <row r="1657" spans="1:6" x14ac:dyDescent="0.25">
      <c r="A1657" s="14">
        <v>46146.179861111108</v>
      </c>
      <c r="B1657" s="81" t="s">
        <v>149</v>
      </c>
      <c r="C1657" s="81" t="s">
        <v>182</v>
      </c>
      <c r="D1657" s="81" t="s">
        <v>168</v>
      </c>
      <c r="E1657" s="81" t="s">
        <v>50</v>
      </c>
      <c r="F1657" s="81" t="s">
        <v>1</v>
      </c>
    </row>
    <row r="1658" spans="1:6" x14ac:dyDescent="0.25">
      <c r="A1658" s="14">
        <v>46146.179861111108</v>
      </c>
      <c r="B1658" s="81" t="s">
        <v>149</v>
      </c>
      <c r="C1658" s="81" t="s">
        <v>175</v>
      </c>
      <c r="D1658" s="81" t="s">
        <v>168</v>
      </c>
      <c r="E1658" s="81" t="s">
        <v>49</v>
      </c>
      <c r="F1658" s="81" t="s">
        <v>2</v>
      </c>
    </row>
    <row r="1659" spans="1:6" x14ac:dyDescent="0.25">
      <c r="A1659" s="14">
        <v>46146.179861111108</v>
      </c>
      <c r="B1659" s="81" t="s">
        <v>149</v>
      </c>
      <c r="C1659" s="81" t="s">
        <v>182</v>
      </c>
      <c r="D1659" s="81" t="s">
        <v>168</v>
      </c>
      <c r="E1659" s="81" t="s">
        <v>49</v>
      </c>
      <c r="F1659" s="81" t="s">
        <v>2</v>
      </c>
    </row>
    <row r="1660" spans="1:6" x14ac:dyDescent="0.25">
      <c r="A1660" s="14">
        <v>46146.179861111108</v>
      </c>
      <c r="B1660" s="81" t="s">
        <v>149</v>
      </c>
      <c r="C1660" s="81" t="s">
        <v>182</v>
      </c>
      <c r="D1660" s="81" t="s">
        <v>168</v>
      </c>
      <c r="E1660" s="81" t="s">
        <v>49</v>
      </c>
      <c r="F1660" s="81" t="s">
        <v>2</v>
      </c>
    </row>
    <row r="1661" spans="1:6" x14ac:dyDescent="0.25">
      <c r="A1661" s="14">
        <v>46146.179861111108</v>
      </c>
      <c r="B1661" s="81" t="s">
        <v>149</v>
      </c>
      <c r="C1661" s="81" t="s">
        <v>177</v>
      </c>
      <c r="D1661" s="81" t="s">
        <v>168</v>
      </c>
      <c r="E1661" s="81" t="s">
        <v>49</v>
      </c>
      <c r="F1661" s="81" t="s">
        <v>2</v>
      </c>
    </row>
    <row r="1662" spans="1:6" x14ac:dyDescent="0.25">
      <c r="A1662" s="14">
        <v>46146.179861111108</v>
      </c>
      <c r="B1662" s="81" t="s">
        <v>149</v>
      </c>
      <c r="C1662" s="81" t="s">
        <v>171</v>
      </c>
      <c r="D1662" s="81" t="s">
        <v>252</v>
      </c>
      <c r="E1662" s="81" t="s">
        <v>50</v>
      </c>
      <c r="F1662" s="81" t="s">
        <v>1</v>
      </c>
    </row>
    <row r="1663" spans="1:6" x14ac:dyDescent="0.25">
      <c r="A1663" s="14">
        <v>46146.179861111108</v>
      </c>
      <c r="B1663" s="81" t="s">
        <v>149</v>
      </c>
      <c r="C1663" s="81" t="s">
        <v>171</v>
      </c>
      <c r="D1663" s="81" t="s">
        <v>168</v>
      </c>
      <c r="E1663" s="81" t="s">
        <v>50</v>
      </c>
      <c r="F1663" s="81" t="s">
        <v>1</v>
      </c>
    </row>
    <row r="1664" spans="1:6" x14ac:dyDescent="0.25">
      <c r="A1664" s="14">
        <v>46146.179861111108</v>
      </c>
      <c r="B1664" s="81" t="s">
        <v>149</v>
      </c>
      <c r="C1664" s="81" t="s">
        <v>190</v>
      </c>
      <c r="D1664" s="81" t="s">
        <v>168</v>
      </c>
      <c r="E1664" s="81" t="s">
        <v>50</v>
      </c>
      <c r="F1664" s="81" t="s">
        <v>1</v>
      </c>
    </row>
    <row r="1665" spans="1:6" x14ac:dyDescent="0.25">
      <c r="A1665" s="14">
        <v>46146.179861111108</v>
      </c>
      <c r="B1665" s="81" t="s">
        <v>149</v>
      </c>
      <c r="C1665" s="81" t="s">
        <v>171</v>
      </c>
      <c r="D1665" s="81" t="s">
        <v>252</v>
      </c>
      <c r="E1665" s="81" t="s">
        <v>52</v>
      </c>
      <c r="F1665" s="81" t="s">
        <v>0</v>
      </c>
    </row>
    <row r="1666" spans="1:6" x14ac:dyDescent="0.25">
      <c r="A1666" s="14">
        <v>46146.179861111108</v>
      </c>
      <c r="B1666" s="81" t="s">
        <v>149</v>
      </c>
      <c r="C1666" s="81" t="s">
        <v>158</v>
      </c>
      <c r="D1666" s="81" t="s">
        <v>168</v>
      </c>
      <c r="E1666" s="81" t="s">
        <v>50</v>
      </c>
      <c r="F1666" s="81" t="s">
        <v>1</v>
      </c>
    </row>
    <row r="1667" spans="1:6" x14ac:dyDescent="0.25">
      <c r="A1667" s="14">
        <v>46146.179861111108</v>
      </c>
      <c r="B1667" s="81" t="s">
        <v>149</v>
      </c>
      <c r="C1667" s="81" t="s">
        <v>182</v>
      </c>
      <c r="D1667" s="81" t="s">
        <v>261</v>
      </c>
      <c r="E1667" s="81" t="s">
        <v>50</v>
      </c>
      <c r="F1667" s="81" t="s">
        <v>1</v>
      </c>
    </row>
    <row r="1668" spans="1:6" x14ac:dyDescent="0.25">
      <c r="A1668" s="14">
        <v>46146.179861111108</v>
      </c>
      <c r="B1668" s="81" t="s">
        <v>149</v>
      </c>
      <c r="C1668" s="81" t="s">
        <v>190</v>
      </c>
      <c r="D1668" s="81" t="s">
        <v>168</v>
      </c>
      <c r="E1668" s="81" t="s">
        <v>50</v>
      </c>
      <c r="F1668" s="81" t="s">
        <v>1</v>
      </c>
    </row>
    <row r="1669" spans="1:6" x14ac:dyDescent="0.25">
      <c r="A1669" s="14">
        <v>46146.179861111108</v>
      </c>
      <c r="B1669" s="81" t="s">
        <v>149</v>
      </c>
      <c r="C1669" s="81" t="s">
        <v>171</v>
      </c>
      <c r="D1669" s="81" t="s">
        <v>261</v>
      </c>
      <c r="E1669" s="81" t="s">
        <v>50</v>
      </c>
      <c r="F1669" s="81" t="s">
        <v>1</v>
      </c>
    </row>
    <row r="1670" spans="1:6" x14ac:dyDescent="0.25">
      <c r="A1670" s="14">
        <v>46146.179861111108</v>
      </c>
      <c r="B1670" s="81" t="s">
        <v>149</v>
      </c>
      <c r="C1670" s="81" t="s">
        <v>190</v>
      </c>
      <c r="D1670" s="81" t="s">
        <v>263</v>
      </c>
      <c r="E1670" s="81" t="s">
        <v>52</v>
      </c>
      <c r="F1670" s="81" t="s">
        <v>0</v>
      </c>
    </row>
    <row r="1671" spans="1:6" x14ac:dyDescent="0.25">
      <c r="A1671" s="14">
        <v>46146.179861111108</v>
      </c>
      <c r="B1671" s="81" t="s">
        <v>149</v>
      </c>
      <c r="C1671" s="81" t="s">
        <v>171</v>
      </c>
      <c r="D1671" s="81" t="s">
        <v>261</v>
      </c>
      <c r="E1671" s="81" t="s">
        <v>52</v>
      </c>
      <c r="F1671" s="81" t="s">
        <v>0</v>
      </c>
    </row>
    <row r="1672" spans="1:6" x14ac:dyDescent="0.25">
      <c r="A1672" s="14">
        <v>46146.179861111108</v>
      </c>
      <c r="B1672" s="81" t="s">
        <v>149</v>
      </c>
      <c r="C1672" s="81" t="s">
        <v>177</v>
      </c>
      <c r="D1672" s="81" t="s">
        <v>205</v>
      </c>
      <c r="E1672" s="81" t="s">
        <v>50</v>
      </c>
      <c r="F1672" s="81" t="s">
        <v>1</v>
      </c>
    </row>
    <row r="1673" spans="1:6" x14ac:dyDescent="0.25">
      <c r="A1673" s="14">
        <v>46146.179861111108</v>
      </c>
      <c r="B1673" s="81" t="s">
        <v>149</v>
      </c>
      <c r="C1673" s="81" t="s">
        <v>181</v>
      </c>
      <c r="D1673" s="81" t="s">
        <v>261</v>
      </c>
      <c r="E1673" s="81" t="s">
        <v>52</v>
      </c>
      <c r="F1673" s="81" t="s">
        <v>0</v>
      </c>
    </row>
    <row r="1674" spans="1:6" x14ac:dyDescent="0.25">
      <c r="A1674" s="14">
        <v>46146.179861111108</v>
      </c>
      <c r="B1674" s="81" t="s">
        <v>149</v>
      </c>
      <c r="C1674" s="81" t="s">
        <v>181</v>
      </c>
      <c r="D1674" s="81" t="s">
        <v>261</v>
      </c>
      <c r="E1674" s="81" t="s">
        <v>50</v>
      </c>
      <c r="F1674" s="81" t="s">
        <v>1</v>
      </c>
    </row>
    <row r="1675" spans="1:6" x14ac:dyDescent="0.25">
      <c r="A1675" s="14">
        <v>46146.179861111108</v>
      </c>
      <c r="B1675" s="81" t="s">
        <v>149</v>
      </c>
      <c r="C1675" s="81" t="s">
        <v>192</v>
      </c>
      <c r="D1675" s="81" t="s">
        <v>261</v>
      </c>
      <c r="E1675" s="81" t="s">
        <v>60</v>
      </c>
      <c r="F1675" s="81" t="s">
        <v>28</v>
      </c>
    </row>
    <row r="1676" spans="1:6" x14ac:dyDescent="0.25">
      <c r="A1676" s="14">
        <v>46146.179861111108</v>
      </c>
      <c r="B1676" s="81" t="s">
        <v>149</v>
      </c>
      <c r="C1676" s="81" t="s">
        <v>177</v>
      </c>
      <c r="D1676" s="81" t="s">
        <v>261</v>
      </c>
      <c r="E1676" s="81" t="s">
        <v>52</v>
      </c>
      <c r="F1676" s="81" t="s">
        <v>0</v>
      </c>
    </row>
    <row r="1677" spans="1:6" x14ac:dyDescent="0.25">
      <c r="A1677" s="14">
        <v>46146.179861111108</v>
      </c>
      <c r="B1677" s="81" t="s">
        <v>149</v>
      </c>
      <c r="C1677" s="81" t="s">
        <v>158</v>
      </c>
      <c r="D1677" s="81" t="s">
        <v>267</v>
      </c>
      <c r="E1677" s="81" t="s">
        <v>52</v>
      </c>
      <c r="F1677" s="81" t="s">
        <v>0</v>
      </c>
    </row>
    <row r="1678" spans="1:6" x14ac:dyDescent="0.25">
      <c r="A1678" s="14">
        <v>46146.179861111108</v>
      </c>
      <c r="B1678" s="81" t="s">
        <v>149</v>
      </c>
      <c r="C1678" s="81" t="s">
        <v>175</v>
      </c>
      <c r="D1678" s="81" t="s">
        <v>258</v>
      </c>
      <c r="E1678" s="81" t="s">
        <v>52</v>
      </c>
      <c r="F1678" s="81" t="s">
        <v>0</v>
      </c>
    </row>
    <row r="1679" spans="1:6" x14ac:dyDescent="0.25">
      <c r="A1679" s="14">
        <v>46146.179861111108</v>
      </c>
      <c r="B1679" s="81" t="s">
        <v>149</v>
      </c>
      <c r="C1679" s="81" t="s">
        <v>176</v>
      </c>
      <c r="D1679" s="81" t="s">
        <v>231</v>
      </c>
      <c r="E1679" s="81" t="s">
        <v>63</v>
      </c>
      <c r="F1679" s="81" t="s">
        <v>16</v>
      </c>
    </row>
    <row r="1680" spans="1:6" x14ac:dyDescent="0.25">
      <c r="A1680" s="14">
        <v>46146.179861111108</v>
      </c>
      <c r="B1680" s="81" t="s">
        <v>149</v>
      </c>
      <c r="C1680" s="81" t="s">
        <v>175</v>
      </c>
      <c r="D1680" s="81" t="s">
        <v>168</v>
      </c>
      <c r="E1680" s="81" t="s">
        <v>50</v>
      </c>
      <c r="F1680" s="81" t="s">
        <v>1</v>
      </c>
    </row>
    <row r="1681" spans="1:6" x14ac:dyDescent="0.25">
      <c r="A1681" s="14">
        <v>46146.179861111108</v>
      </c>
      <c r="B1681" s="81" t="s">
        <v>149</v>
      </c>
      <c r="C1681" s="81" t="s">
        <v>183</v>
      </c>
      <c r="D1681" s="81" t="s">
        <v>168</v>
      </c>
      <c r="E1681" s="81" t="s">
        <v>50</v>
      </c>
      <c r="F1681" s="81" t="s">
        <v>1</v>
      </c>
    </row>
    <row r="1682" spans="1:6" x14ac:dyDescent="0.25">
      <c r="A1682" s="14">
        <v>46146.179861111108</v>
      </c>
      <c r="B1682" s="81" t="s">
        <v>149</v>
      </c>
      <c r="C1682" s="81" t="s">
        <v>190</v>
      </c>
      <c r="D1682" s="81" t="s">
        <v>168</v>
      </c>
      <c r="E1682" s="81" t="s">
        <v>50</v>
      </c>
      <c r="F1682" s="81" t="s">
        <v>1</v>
      </c>
    </row>
    <row r="1683" spans="1:6" x14ac:dyDescent="0.25">
      <c r="A1683" s="14">
        <v>46146.179861111108</v>
      </c>
      <c r="B1683" s="81" t="s">
        <v>149</v>
      </c>
      <c r="C1683" s="81" t="s">
        <v>184</v>
      </c>
      <c r="D1683" s="81" t="s">
        <v>168</v>
      </c>
      <c r="E1683" s="81" t="s">
        <v>52</v>
      </c>
      <c r="F1683" s="81" t="s">
        <v>0</v>
      </c>
    </row>
    <row r="1684" spans="1:6" x14ac:dyDescent="0.25">
      <c r="A1684" s="14">
        <v>46146.179861111108</v>
      </c>
      <c r="B1684" s="81" t="s">
        <v>149</v>
      </c>
      <c r="C1684" s="81" t="s">
        <v>181</v>
      </c>
      <c r="D1684" s="81" t="s">
        <v>168</v>
      </c>
      <c r="E1684" s="81" t="s">
        <v>52</v>
      </c>
      <c r="F1684" s="81" t="s">
        <v>0</v>
      </c>
    </row>
    <row r="1685" spans="1:6" x14ac:dyDescent="0.25">
      <c r="A1685" s="14">
        <v>46146.179861111108</v>
      </c>
      <c r="B1685" s="81" t="s">
        <v>149</v>
      </c>
      <c r="C1685" s="81" t="s">
        <v>158</v>
      </c>
      <c r="D1685" s="81" t="s">
        <v>168</v>
      </c>
      <c r="E1685" s="81" t="s">
        <v>52</v>
      </c>
      <c r="F1685" s="81" t="s">
        <v>0</v>
      </c>
    </row>
    <row r="1686" spans="1:6" x14ac:dyDescent="0.25">
      <c r="A1686" s="14">
        <v>46146.179861111108</v>
      </c>
      <c r="B1686" s="81" t="s">
        <v>149</v>
      </c>
      <c r="C1686" s="81" t="s">
        <v>190</v>
      </c>
      <c r="D1686" s="81" t="s">
        <v>168</v>
      </c>
      <c r="E1686" s="81" t="s">
        <v>52</v>
      </c>
      <c r="F1686" s="81" t="s">
        <v>0</v>
      </c>
    </row>
    <row r="1687" spans="1:6" x14ac:dyDescent="0.25">
      <c r="A1687" s="14">
        <v>46146.179861111108</v>
      </c>
      <c r="B1687" s="81" t="s">
        <v>149</v>
      </c>
      <c r="C1687" s="81" t="s">
        <v>183</v>
      </c>
      <c r="D1687" s="81" t="s">
        <v>168</v>
      </c>
      <c r="E1687" s="81" t="s">
        <v>52</v>
      </c>
      <c r="F1687" s="81" t="s">
        <v>0</v>
      </c>
    </row>
    <row r="1688" spans="1:6" x14ac:dyDescent="0.25">
      <c r="A1688" s="14">
        <v>46146.179861111108</v>
      </c>
      <c r="B1688" s="81" t="s">
        <v>149</v>
      </c>
      <c r="C1688" s="81" t="s">
        <v>158</v>
      </c>
      <c r="D1688" s="81" t="s">
        <v>168</v>
      </c>
      <c r="E1688" s="81" t="s">
        <v>52</v>
      </c>
      <c r="F1688" s="81" t="s">
        <v>0</v>
      </c>
    </row>
    <row r="1689" spans="1:6" x14ac:dyDescent="0.25">
      <c r="A1689" s="14">
        <v>46146.179861111108</v>
      </c>
      <c r="B1689" s="81" t="s">
        <v>149</v>
      </c>
      <c r="C1689" s="81" t="s">
        <v>184</v>
      </c>
      <c r="D1689" s="81" t="s">
        <v>168</v>
      </c>
      <c r="E1689" s="81" t="s">
        <v>52</v>
      </c>
      <c r="F1689" s="81" t="s">
        <v>0</v>
      </c>
    </row>
    <row r="1690" spans="1:6" x14ac:dyDescent="0.25">
      <c r="A1690" s="14">
        <v>46146.179861111108</v>
      </c>
      <c r="B1690" s="81" t="s">
        <v>149</v>
      </c>
      <c r="C1690" s="81" t="s">
        <v>181</v>
      </c>
      <c r="D1690" s="81" t="s">
        <v>168</v>
      </c>
      <c r="E1690" s="81" t="s">
        <v>52</v>
      </c>
      <c r="F1690" s="81" t="s">
        <v>0</v>
      </c>
    </row>
    <row r="1691" spans="1:6" x14ac:dyDescent="0.25">
      <c r="A1691" s="14">
        <v>46146.179861111108</v>
      </c>
      <c r="B1691" s="81" t="s">
        <v>149</v>
      </c>
      <c r="C1691" s="81" t="s">
        <v>220</v>
      </c>
      <c r="D1691" s="81" t="s">
        <v>168</v>
      </c>
      <c r="E1691" s="81" t="s">
        <v>64</v>
      </c>
      <c r="F1691" s="81" t="s">
        <v>98</v>
      </c>
    </row>
    <row r="1692" spans="1:6" x14ac:dyDescent="0.25">
      <c r="A1692" s="14">
        <v>46146.179861111108</v>
      </c>
      <c r="B1692" s="81" t="s">
        <v>149</v>
      </c>
      <c r="C1692" s="81" t="s">
        <v>183</v>
      </c>
      <c r="D1692" s="81" t="s">
        <v>168</v>
      </c>
      <c r="E1692" s="81" t="s">
        <v>49</v>
      </c>
      <c r="F1692" s="81" t="s">
        <v>2</v>
      </c>
    </row>
    <row r="1693" spans="1:6" x14ac:dyDescent="0.25">
      <c r="A1693" s="14">
        <v>46146.179861111108</v>
      </c>
      <c r="B1693" s="81" t="s">
        <v>149</v>
      </c>
      <c r="C1693" s="81" t="s">
        <v>175</v>
      </c>
      <c r="D1693" s="81" t="s">
        <v>168</v>
      </c>
      <c r="E1693" s="81" t="s">
        <v>52</v>
      </c>
      <c r="F1693" s="81" t="s">
        <v>0</v>
      </c>
    </row>
    <row r="1694" spans="1:6" x14ac:dyDescent="0.25">
      <c r="A1694" s="14">
        <v>46146.179861111108</v>
      </c>
      <c r="B1694" s="81" t="s">
        <v>149</v>
      </c>
      <c r="C1694" s="81" t="s">
        <v>184</v>
      </c>
      <c r="D1694" s="81" t="s">
        <v>168</v>
      </c>
      <c r="E1694" s="81" t="s">
        <v>52</v>
      </c>
      <c r="F1694" s="81" t="s">
        <v>0</v>
      </c>
    </row>
    <row r="1695" spans="1:6" x14ac:dyDescent="0.25">
      <c r="A1695" s="14">
        <v>46146.179861111108</v>
      </c>
      <c r="B1695" s="81" t="s">
        <v>149</v>
      </c>
      <c r="C1695" s="81" t="s">
        <v>158</v>
      </c>
      <c r="D1695" s="81" t="s">
        <v>168</v>
      </c>
      <c r="E1695" s="81" t="s">
        <v>50</v>
      </c>
      <c r="F1695" s="81" t="s">
        <v>1</v>
      </c>
    </row>
    <row r="1696" spans="1:6" x14ac:dyDescent="0.25">
      <c r="A1696" s="14">
        <v>46146.179861111108</v>
      </c>
      <c r="B1696" s="81" t="s">
        <v>149</v>
      </c>
      <c r="C1696" s="81" t="s">
        <v>177</v>
      </c>
      <c r="D1696" s="81" t="s">
        <v>168</v>
      </c>
      <c r="E1696" s="81" t="s">
        <v>50</v>
      </c>
      <c r="F1696" s="81" t="s">
        <v>1</v>
      </c>
    </row>
    <row r="1697" spans="1:6" x14ac:dyDescent="0.25">
      <c r="A1697" s="14">
        <v>46146.179861111108</v>
      </c>
      <c r="B1697" s="81" t="s">
        <v>149</v>
      </c>
      <c r="C1697" s="81" t="s">
        <v>173</v>
      </c>
      <c r="D1697" s="81" t="s">
        <v>238</v>
      </c>
      <c r="E1697" s="81" t="s">
        <v>52</v>
      </c>
      <c r="F1697" s="81" t="s">
        <v>0</v>
      </c>
    </row>
    <row r="1698" spans="1:6" x14ac:dyDescent="0.25">
      <c r="A1698" s="14">
        <v>46146.179861111108</v>
      </c>
      <c r="B1698" s="81" t="s">
        <v>149</v>
      </c>
      <c r="C1698" s="81" t="s">
        <v>171</v>
      </c>
      <c r="D1698" s="81" t="s">
        <v>268</v>
      </c>
      <c r="E1698" s="81" t="s">
        <v>49</v>
      </c>
      <c r="F1698" s="81" t="s">
        <v>2</v>
      </c>
    </row>
    <row r="1699" spans="1:6" x14ac:dyDescent="0.25">
      <c r="A1699" s="14">
        <v>46146.179861111108</v>
      </c>
      <c r="B1699" s="81" t="s">
        <v>149</v>
      </c>
      <c r="C1699" s="81" t="s">
        <v>175</v>
      </c>
      <c r="D1699" s="81" t="s">
        <v>168</v>
      </c>
      <c r="E1699" s="81" t="s">
        <v>50</v>
      </c>
      <c r="F1699" s="81" t="s">
        <v>1</v>
      </c>
    </row>
    <row r="1700" spans="1:6" x14ac:dyDescent="0.25">
      <c r="A1700" s="14">
        <v>46146.179861111108</v>
      </c>
      <c r="B1700" s="81" t="s">
        <v>149</v>
      </c>
      <c r="C1700" s="81" t="s">
        <v>173</v>
      </c>
      <c r="D1700" s="81" t="s">
        <v>168</v>
      </c>
      <c r="E1700" s="81" t="s">
        <v>50</v>
      </c>
      <c r="F1700" s="81" t="s">
        <v>1</v>
      </c>
    </row>
    <row r="1701" spans="1:6" x14ac:dyDescent="0.25">
      <c r="A1701" s="14">
        <v>46146.179861111108</v>
      </c>
      <c r="B1701" s="81" t="s">
        <v>149</v>
      </c>
      <c r="C1701" s="81" t="s">
        <v>177</v>
      </c>
      <c r="D1701" s="81" t="s">
        <v>238</v>
      </c>
      <c r="E1701" s="81" t="s">
        <v>50</v>
      </c>
      <c r="F1701" s="81" t="s">
        <v>1</v>
      </c>
    </row>
    <row r="1702" spans="1:6" x14ac:dyDescent="0.25">
      <c r="A1702" s="14">
        <v>46146.179861111108</v>
      </c>
      <c r="B1702" s="81" t="s">
        <v>149</v>
      </c>
      <c r="C1702" s="81" t="s">
        <v>182</v>
      </c>
      <c r="D1702" s="81" t="s">
        <v>168</v>
      </c>
      <c r="E1702" s="81" t="s">
        <v>49</v>
      </c>
      <c r="F1702" s="81" t="s">
        <v>2</v>
      </c>
    </row>
    <row r="1703" spans="1:6" x14ac:dyDescent="0.25">
      <c r="A1703" s="14">
        <v>46146.179861111108</v>
      </c>
      <c r="B1703" s="81" t="s">
        <v>149</v>
      </c>
      <c r="C1703" s="81" t="s">
        <v>176</v>
      </c>
      <c r="D1703" s="81" t="s">
        <v>167</v>
      </c>
      <c r="E1703" s="81" t="s">
        <v>70</v>
      </c>
      <c r="F1703" s="81" t="s">
        <v>15</v>
      </c>
    </row>
    <row r="1704" spans="1:6" x14ac:dyDescent="0.25">
      <c r="A1704" s="14">
        <v>46146.179861111108</v>
      </c>
      <c r="B1704" s="81" t="s">
        <v>149</v>
      </c>
      <c r="C1704" s="81" t="s">
        <v>203</v>
      </c>
      <c r="D1704" s="81" t="s">
        <v>168</v>
      </c>
      <c r="E1704" s="81" t="s">
        <v>72</v>
      </c>
      <c r="F1704" s="81" t="s">
        <v>28</v>
      </c>
    </row>
    <row r="1705" spans="1:6" x14ac:dyDescent="0.25">
      <c r="A1705" s="14">
        <v>46146.179861111108</v>
      </c>
      <c r="B1705" s="81" t="s">
        <v>149</v>
      </c>
      <c r="C1705" s="81" t="s">
        <v>158</v>
      </c>
      <c r="D1705" s="81" t="s">
        <v>261</v>
      </c>
      <c r="E1705" s="81" t="s">
        <v>50</v>
      </c>
      <c r="F1705" s="81" t="s">
        <v>1</v>
      </c>
    </row>
    <row r="1706" spans="1:6" x14ac:dyDescent="0.25">
      <c r="A1706" s="14">
        <v>46146.179861111108</v>
      </c>
      <c r="B1706" s="81" t="s">
        <v>149</v>
      </c>
      <c r="C1706" s="81" t="s">
        <v>183</v>
      </c>
      <c r="D1706" s="81" t="s">
        <v>261</v>
      </c>
      <c r="E1706" s="81" t="s">
        <v>50</v>
      </c>
      <c r="F1706" s="81" t="s">
        <v>1</v>
      </c>
    </row>
    <row r="1707" spans="1:6" x14ac:dyDescent="0.25">
      <c r="A1707" s="14">
        <v>46146.179861111108</v>
      </c>
      <c r="B1707" s="81" t="s">
        <v>149</v>
      </c>
      <c r="C1707" s="81" t="s">
        <v>185</v>
      </c>
      <c r="D1707" s="81" t="s">
        <v>167</v>
      </c>
      <c r="E1707" s="81" t="s">
        <v>49</v>
      </c>
      <c r="F1707" s="81" t="s">
        <v>2</v>
      </c>
    </row>
    <row r="1708" spans="1:6" x14ac:dyDescent="0.25">
      <c r="A1708" s="14">
        <v>46146.179861111108</v>
      </c>
      <c r="B1708" s="81" t="s">
        <v>149</v>
      </c>
      <c r="C1708" s="81" t="s">
        <v>187</v>
      </c>
      <c r="D1708" s="81" t="s">
        <v>165</v>
      </c>
      <c r="E1708" s="81" t="s">
        <v>75</v>
      </c>
      <c r="F1708" s="81" t="s">
        <v>93</v>
      </c>
    </row>
    <row r="1709" spans="1:6" x14ac:dyDescent="0.25">
      <c r="A1709" s="14">
        <v>46146.179861111108</v>
      </c>
      <c r="B1709" s="81" t="s">
        <v>149</v>
      </c>
      <c r="C1709" s="81" t="s">
        <v>192</v>
      </c>
      <c r="D1709" s="81" t="s">
        <v>165</v>
      </c>
      <c r="E1709" s="81" t="s">
        <v>60</v>
      </c>
      <c r="F1709" s="81" t="s">
        <v>28</v>
      </c>
    </row>
    <row r="1710" spans="1:6" x14ac:dyDescent="0.25">
      <c r="A1710" s="14">
        <v>46146.179861111108</v>
      </c>
      <c r="B1710" s="81" t="s">
        <v>149</v>
      </c>
      <c r="C1710" s="81" t="s">
        <v>185</v>
      </c>
      <c r="D1710" s="81" t="s">
        <v>167</v>
      </c>
      <c r="E1710" s="81" t="s">
        <v>49</v>
      </c>
      <c r="F1710" s="81" t="s">
        <v>2</v>
      </c>
    </row>
    <row r="1711" spans="1:6" x14ac:dyDescent="0.25">
      <c r="A1711" s="14">
        <v>46146.179861111108</v>
      </c>
      <c r="B1711" s="81" t="s">
        <v>149</v>
      </c>
      <c r="C1711" s="81" t="s">
        <v>173</v>
      </c>
      <c r="D1711" s="81" t="s">
        <v>165</v>
      </c>
      <c r="E1711" s="81" t="s">
        <v>50</v>
      </c>
      <c r="F1711" s="81" t="s">
        <v>1</v>
      </c>
    </row>
    <row r="1712" spans="1:6" x14ac:dyDescent="0.25">
      <c r="A1712" s="14">
        <v>46146.179861111108</v>
      </c>
      <c r="B1712" s="81" t="s">
        <v>149</v>
      </c>
      <c r="C1712" s="81" t="s">
        <v>185</v>
      </c>
      <c r="D1712" s="81" t="s">
        <v>167</v>
      </c>
      <c r="E1712" s="81" t="s">
        <v>49</v>
      </c>
      <c r="F1712" s="81" t="s">
        <v>2</v>
      </c>
    </row>
    <row r="1713" spans="1:6" x14ac:dyDescent="0.25">
      <c r="A1713" s="14">
        <v>46146.179861111108</v>
      </c>
      <c r="B1713" s="81" t="s">
        <v>149</v>
      </c>
      <c r="C1713" s="81" t="s">
        <v>190</v>
      </c>
      <c r="D1713" s="81" t="s">
        <v>205</v>
      </c>
      <c r="E1713" s="81" t="s">
        <v>52</v>
      </c>
      <c r="F1713" s="81" t="s">
        <v>0</v>
      </c>
    </row>
    <row r="1714" spans="1:6" x14ac:dyDescent="0.25">
      <c r="A1714" s="14">
        <v>46146.179861111108</v>
      </c>
      <c r="B1714" s="81" t="s">
        <v>149</v>
      </c>
      <c r="C1714" s="81" t="s">
        <v>171</v>
      </c>
      <c r="D1714" s="81" t="s">
        <v>259</v>
      </c>
      <c r="E1714" s="81" t="s">
        <v>50</v>
      </c>
      <c r="F1714" s="81" t="s">
        <v>1</v>
      </c>
    </row>
    <row r="1715" spans="1:6" x14ac:dyDescent="0.25">
      <c r="A1715" s="14">
        <v>46146.179861111108</v>
      </c>
      <c r="B1715" s="81" t="s">
        <v>149</v>
      </c>
      <c r="C1715" s="81" t="s">
        <v>183</v>
      </c>
      <c r="D1715" s="81" t="s">
        <v>266</v>
      </c>
      <c r="E1715" s="81" t="s">
        <v>50</v>
      </c>
      <c r="F1715" s="81" t="s">
        <v>1</v>
      </c>
    </row>
    <row r="1716" spans="1:6" x14ac:dyDescent="0.25">
      <c r="A1716" s="14">
        <v>46146.179861111108</v>
      </c>
      <c r="B1716" s="81" t="s">
        <v>149</v>
      </c>
      <c r="C1716" s="81" t="s">
        <v>185</v>
      </c>
      <c r="D1716" s="81" t="s">
        <v>246</v>
      </c>
      <c r="E1716" s="81" t="s">
        <v>50</v>
      </c>
      <c r="F1716" s="81" t="s">
        <v>1</v>
      </c>
    </row>
    <row r="1717" spans="1:6" x14ac:dyDescent="0.25">
      <c r="A1717" s="14">
        <v>46146.179861111108</v>
      </c>
      <c r="B1717" s="81" t="s">
        <v>149</v>
      </c>
      <c r="C1717" s="81" t="s">
        <v>181</v>
      </c>
      <c r="D1717" s="81" t="s">
        <v>164</v>
      </c>
      <c r="E1717" s="81" t="s">
        <v>50</v>
      </c>
      <c r="F1717" s="81" t="s">
        <v>1</v>
      </c>
    </row>
    <row r="1718" spans="1:6" x14ac:dyDescent="0.25">
      <c r="A1718" s="14">
        <v>46146.179861111108</v>
      </c>
      <c r="B1718" s="81" t="s">
        <v>149</v>
      </c>
      <c r="C1718" s="81" t="s">
        <v>187</v>
      </c>
      <c r="D1718" s="81" t="s">
        <v>199</v>
      </c>
      <c r="E1718" s="81" t="s">
        <v>71</v>
      </c>
      <c r="F1718" s="81" t="s">
        <v>94</v>
      </c>
    </row>
    <row r="1719" spans="1:6" x14ac:dyDescent="0.25">
      <c r="A1719" s="14">
        <v>46146.179861111108</v>
      </c>
      <c r="B1719" s="81" t="s">
        <v>149</v>
      </c>
      <c r="C1719" s="81" t="s">
        <v>151</v>
      </c>
      <c r="D1719" s="81" t="s">
        <v>199</v>
      </c>
      <c r="E1719" s="81" t="s">
        <v>52</v>
      </c>
      <c r="F1719" s="81" t="s">
        <v>0</v>
      </c>
    </row>
    <row r="1720" spans="1:6" x14ac:dyDescent="0.25">
      <c r="A1720" s="14">
        <v>46146.179861111108</v>
      </c>
      <c r="B1720" s="81" t="s">
        <v>149</v>
      </c>
      <c r="C1720" s="81" t="s">
        <v>177</v>
      </c>
      <c r="D1720" s="81" t="s">
        <v>259</v>
      </c>
      <c r="E1720" s="81" t="s">
        <v>50</v>
      </c>
      <c r="F1720" s="81" t="s">
        <v>1</v>
      </c>
    </row>
    <row r="1721" spans="1:6" x14ac:dyDescent="0.25">
      <c r="A1721" s="14">
        <v>46146.179861111108</v>
      </c>
      <c r="B1721" s="81" t="s">
        <v>149</v>
      </c>
      <c r="C1721" s="81" t="s">
        <v>171</v>
      </c>
      <c r="D1721" s="81" t="s">
        <v>164</v>
      </c>
      <c r="E1721" s="81" t="s">
        <v>50</v>
      </c>
      <c r="F1721" s="81" t="s">
        <v>1</v>
      </c>
    </row>
    <row r="1722" spans="1:6" x14ac:dyDescent="0.25">
      <c r="A1722" s="14">
        <v>46146.179861111108</v>
      </c>
      <c r="B1722" s="81" t="s">
        <v>149</v>
      </c>
      <c r="C1722" s="81" t="s">
        <v>192</v>
      </c>
      <c r="D1722" s="81" t="s">
        <v>261</v>
      </c>
      <c r="E1722" s="81" t="s">
        <v>60</v>
      </c>
      <c r="F1722" s="81" t="s">
        <v>28</v>
      </c>
    </row>
    <row r="1723" spans="1:6" x14ac:dyDescent="0.25">
      <c r="A1723" s="14">
        <v>46146.179861111108</v>
      </c>
      <c r="B1723" s="81" t="s">
        <v>149</v>
      </c>
      <c r="C1723" s="81" t="s">
        <v>173</v>
      </c>
      <c r="D1723" s="81" t="s">
        <v>157</v>
      </c>
      <c r="E1723" s="81" t="s">
        <v>49</v>
      </c>
      <c r="F1723" s="81" t="s">
        <v>2</v>
      </c>
    </row>
    <row r="1724" spans="1:6" x14ac:dyDescent="0.25">
      <c r="A1724" s="14">
        <v>46146.179861111108</v>
      </c>
      <c r="B1724" s="81" t="s">
        <v>149</v>
      </c>
      <c r="C1724" s="81" t="s">
        <v>190</v>
      </c>
      <c r="D1724" s="81" t="s">
        <v>265</v>
      </c>
      <c r="E1724" s="81" t="s">
        <v>49</v>
      </c>
      <c r="F1724" s="81" t="s">
        <v>2</v>
      </c>
    </row>
    <row r="1725" spans="1:6" x14ac:dyDescent="0.25">
      <c r="A1725" s="14">
        <v>46146.179861111108</v>
      </c>
      <c r="B1725" s="81" t="s">
        <v>149</v>
      </c>
      <c r="C1725" s="81" t="s">
        <v>190</v>
      </c>
      <c r="D1725" s="81" t="s">
        <v>265</v>
      </c>
      <c r="E1725" s="81" t="s">
        <v>49</v>
      </c>
      <c r="F1725" s="81" t="s">
        <v>2</v>
      </c>
    </row>
    <row r="1726" spans="1:6" x14ac:dyDescent="0.25">
      <c r="A1726" s="14">
        <v>46146.179861111108</v>
      </c>
      <c r="B1726" s="81" t="s">
        <v>149</v>
      </c>
      <c r="C1726" s="81" t="s">
        <v>190</v>
      </c>
      <c r="D1726" s="81" t="s">
        <v>265</v>
      </c>
      <c r="E1726" s="81" t="s">
        <v>49</v>
      </c>
      <c r="F1726" s="81" t="s">
        <v>2</v>
      </c>
    </row>
    <row r="1727" spans="1:6" x14ac:dyDescent="0.25">
      <c r="A1727" s="14">
        <v>46146.179861111108</v>
      </c>
      <c r="B1727" s="81" t="s">
        <v>149</v>
      </c>
      <c r="C1727" s="81" t="s">
        <v>190</v>
      </c>
      <c r="D1727" s="81" t="s">
        <v>265</v>
      </c>
      <c r="E1727" s="81" t="s">
        <v>49</v>
      </c>
      <c r="F1727" s="81" t="s">
        <v>2</v>
      </c>
    </row>
    <row r="1728" spans="1:6" x14ac:dyDescent="0.25">
      <c r="A1728" s="14">
        <v>46146.179861111108</v>
      </c>
      <c r="B1728" s="81" t="s">
        <v>149</v>
      </c>
      <c r="C1728" s="81" t="s">
        <v>190</v>
      </c>
      <c r="D1728" s="81" t="s">
        <v>265</v>
      </c>
      <c r="E1728" s="81" t="s">
        <v>49</v>
      </c>
      <c r="F1728" s="81" t="s">
        <v>2</v>
      </c>
    </row>
    <row r="1729" spans="1:6" x14ac:dyDescent="0.25">
      <c r="A1729" s="14">
        <v>46146.179861111108</v>
      </c>
      <c r="B1729" s="81" t="s">
        <v>149</v>
      </c>
      <c r="C1729" s="81" t="s">
        <v>190</v>
      </c>
      <c r="D1729" s="81" t="s">
        <v>265</v>
      </c>
      <c r="E1729" s="81" t="s">
        <v>49</v>
      </c>
      <c r="F1729" s="81" t="s">
        <v>2</v>
      </c>
    </row>
    <row r="1730" spans="1:6" x14ac:dyDescent="0.25">
      <c r="A1730" s="14">
        <v>46146.179861111108</v>
      </c>
      <c r="B1730" s="81" t="s">
        <v>149</v>
      </c>
      <c r="C1730" s="81" t="s">
        <v>190</v>
      </c>
      <c r="D1730" s="81" t="s">
        <v>265</v>
      </c>
      <c r="E1730" s="81" t="s">
        <v>49</v>
      </c>
      <c r="F1730" s="81" t="s">
        <v>2</v>
      </c>
    </row>
    <row r="1731" spans="1:6" x14ac:dyDescent="0.25">
      <c r="A1731" s="14">
        <v>46146.179861111108</v>
      </c>
      <c r="B1731" s="81" t="s">
        <v>149</v>
      </c>
      <c r="C1731" s="81" t="s">
        <v>190</v>
      </c>
      <c r="D1731" s="81" t="s">
        <v>265</v>
      </c>
      <c r="E1731" s="81" t="s">
        <v>49</v>
      </c>
      <c r="F1731" s="81" t="s">
        <v>2</v>
      </c>
    </row>
    <row r="1732" spans="1:6" x14ac:dyDescent="0.25">
      <c r="A1732" s="14">
        <v>46146.179861111108</v>
      </c>
      <c r="B1732" s="81" t="s">
        <v>149</v>
      </c>
      <c r="C1732" s="81" t="s">
        <v>190</v>
      </c>
      <c r="D1732" s="81" t="s">
        <v>265</v>
      </c>
      <c r="E1732" s="81" t="s">
        <v>49</v>
      </c>
      <c r="F1732" s="81" t="s">
        <v>2</v>
      </c>
    </row>
    <row r="1733" spans="1:6" x14ac:dyDescent="0.25">
      <c r="A1733" s="14">
        <v>46146.179861111108</v>
      </c>
      <c r="B1733" s="81" t="s">
        <v>149</v>
      </c>
      <c r="C1733" s="81" t="s">
        <v>181</v>
      </c>
      <c r="D1733" s="81" t="s">
        <v>265</v>
      </c>
      <c r="E1733" s="81" t="s">
        <v>49</v>
      </c>
      <c r="F1733" s="81" t="s">
        <v>2</v>
      </c>
    </row>
    <row r="1734" spans="1:6" x14ac:dyDescent="0.25">
      <c r="A1734" s="14">
        <v>46146.179861111108</v>
      </c>
      <c r="B1734" s="81" t="s">
        <v>149</v>
      </c>
      <c r="C1734" s="81" t="s">
        <v>181</v>
      </c>
      <c r="D1734" s="81" t="s">
        <v>265</v>
      </c>
      <c r="E1734" s="81" t="s">
        <v>49</v>
      </c>
      <c r="F1734" s="81" t="s">
        <v>2</v>
      </c>
    </row>
    <row r="1735" spans="1:6" x14ac:dyDescent="0.25">
      <c r="A1735" s="14">
        <v>46146.179861111108</v>
      </c>
      <c r="B1735" s="81" t="s">
        <v>149</v>
      </c>
      <c r="C1735" s="81" t="s">
        <v>181</v>
      </c>
      <c r="D1735" s="81" t="s">
        <v>265</v>
      </c>
      <c r="E1735" s="81" t="s">
        <v>49</v>
      </c>
      <c r="F1735" s="81" t="s">
        <v>2</v>
      </c>
    </row>
    <row r="1736" spans="1:6" x14ac:dyDescent="0.25">
      <c r="A1736" s="14">
        <v>46146.179861111108</v>
      </c>
      <c r="B1736" s="81" t="s">
        <v>149</v>
      </c>
      <c r="C1736" s="81" t="s">
        <v>181</v>
      </c>
      <c r="D1736" s="81" t="s">
        <v>265</v>
      </c>
      <c r="E1736" s="81" t="s">
        <v>49</v>
      </c>
      <c r="F1736" s="81" t="s">
        <v>2</v>
      </c>
    </row>
    <row r="1737" spans="1:6" x14ac:dyDescent="0.25">
      <c r="A1737" s="14">
        <v>46146.179861111108</v>
      </c>
      <c r="B1737" s="81" t="s">
        <v>149</v>
      </c>
      <c r="C1737" s="81" t="s">
        <v>181</v>
      </c>
      <c r="D1737" s="81" t="s">
        <v>265</v>
      </c>
      <c r="E1737" s="81" t="s">
        <v>49</v>
      </c>
      <c r="F1737" s="81" t="s">
        <v>2</v>
      </c>
    </row>
    <row r="1738" spans="1:6" x14ac:dyDescent="0.25">
      <c r="A1738" s="14">
        <v>46146.179861111108</v>
      </c>
      <c r="B1738" s="81" t="s">
        <v>149</v>
      </c>
      <c r="C1738" s="81" t="s">
        <v>181</v>
      </c>
      <c r="D1738" s="81" t="s">
        <v>265</v>
      </c>
      <c r="E1738" s="81" t="s">
        <v>49</v>
      </c>
      <c r="F1738" s="81" t="s">
        <v>2</v>
      </c>
    </row>
    <row r="1739" spans="1:6" x14ac:dyDescent="0.25">
      <c r="A1739" s="14">
        <v>46146.179861111108</v>
      </c>
      <c r="B1739" s="81" t="s">
        <v>149</v>
      </c>
      <c r="C1739" s="81" t="s">
        <v>181</v>
      </c>
      <c r="D1739" s="81" t="s">
        <v>265</v>
      </c>
      <c r="E1739" s="81" t="s">
        <v>49</v>
      </c>
      <c r="F1739" s="81" t="s">
        <v>2</v>
      </c>
    </row>
    <row r="1740" spans="1:6" x14ac:dyDescent="0.25">
      <c r="A1740" s="14">
        <v>46146.179861111108</v>
      </c>
      <c r="B1740" s="81" t="s">
        <v>149</v>
      </c>
      <c r="C1740" s="81" t="s">
        <v>181</v>
      </c>
      <c r="D1740" s="81" t="s">
        <v>265</v>
      </c>
      <c r="E1740" s="81" t="s">
        <v>49</v>
      </c>
      <c r="F1740" s="81" t="s">
        <v>2</v>
      </c>
    </row>
    <row r="1741" spans="1:6" x14ac:dyDescent="0.25">
      <c r="A1741" s="14">
        <v>46146.179861111108</v>
      </c>
      <c r="B1741" s="81" t="s">
        <v>149</v>
      </c>
      <c r="C1741" s="81" t="s">
        <v>181</v>
      </c>
      <c r="D1741" s="81" t="s">
        <v>265</v>
      </c>
      <c r="E1741" s="81" t="s">
        <v>49</v>
      </c>
      <c r="F1741" s="81" t="s">
        <v>2</v>
      </c>
    </row>
    <row r="1742" spans="1:6" x14ac:dyDescent="0.25">
      <c r="A1742" s="14">
        <v>46146.179861111108</v>
      </c>
      <c r="B1742" s="81" t="s">
        <v>149</v>
      </c>
      <c r="C1742" s="81" t="s">
        <v>173</v>
      </c>
      <c r="D1742" s="81" t="s">
        <v>265</v>
      </c>
      <c r="E1742" s="81" t="s">
        <v>49</v>
      </c>
      <c r="F1742" s="81" t="s">
        <v>2</v>
      </c>
    </row>
    <row r="1743" spans="1:6" x14ac:dyDescent="0.25">
      <c r="A1743" s="14">
        <v>46146.179861111108</v>
      </c>
      <c r="B1743" s="81" t="s">
        <v>149</v>
      </c>
      <c r="C1743" s="81" t="s">
        <v>173</v>
      </c>
      <c r="D1743" s="81" t="s">
        <v>265</v>
      </c>
      <c r="E1743" s="81" t="s">
        <v>49</v>
      </c>
      <c r="F1743" s="81" t="s">
        <v>2</v>
      </c>
    </row>
    <row r="1744" spans="1:6" x14ac:dyDescent="0.25">
      <c r="A1744" s="14">
        <v>46146.179861111108</v>
      </c>
      <c r="B1744" s="81" t="s">
        <v>149</v>
      </c>
      <c r="C1744" s="81" t="s">
        <v>173</v>
      </c>
      <c r="D1744" s="81" t="s">
        <v>265</v>
      </c>
      <c r="E1744" s="81" t="s">
        <v>49</v>
      </c>
      <c r="F1744" s="81" t="s">
        <v>2</v>
      </c>
    </row>
    <row r="1745" spans="1:6" x14ac:dyDescent="0.25">
      <c r="A1745" s="14">
        <v>46146.179861111108</v>
      </c>
      <c r="B1745" s="81" t="s">
        <v>149</v>
      </c>
      <c r="C1745" s="81" t="s">
        <v>173</v>
      </c>
      <c r="D1745" s="81" t="s">
        <v>265</v>
      </c>
      <c r="E1745" s="81" t="s">
        <v>49</v>
      </c>
      <c r="F1745" s="81" t="s">
        <v>2</v>
      </c>
    </row>
    <row r="1746" spans="1:6" x14ac:dyDescent="0.25">
      <c r="A1746" s="14">
        <v>46146.179861111108</v>
      </c>
      <c r="B1746" s="81" t="s">
        <v>149</v>
      </c>
      <c r="C1746" s="81" t="s">
        <v>173</v>
      </c>
      <c r="D1746" s="81" t="s">
        <v>265</v>
      </c>
      <c r="E1746" s="81" t="s">
        <v>49</v>
      </c>
      <c r="F1746" s="81" t="s">
        <v>2</v>
      </c>
    </row>
    <row r="1747" spans="1:6" x14ac:dyDescent="0.25">
      <c r="A1747" s="14">
        <v>46146.179861111108</v>
      </c>
      <c r="B1747" s="81" t="s">
        <v>149</v>
      </c>
      <c r="C1747" s="81" t="s">
        <v>173</v>
      </c>
      <c r="D1747" s="81" t="s">
        <v>265</v>
      </c>
      <c r="E1747" s="81" t="s">
        <v>49</v>
      </c>
      <c r="F1747" s="81" t="s">
        <v>2</v>
      </c>
    </row>
    <row r="1748" spans="1:6" x14ac:dyDescent="0.25">
      <c r="A1748" s="14">
        <v>46146.179861111108</v>
      </c>
      <c r="B1748" s="81" t="s">
        <v>149</v>
      </c>
      <c r="C1748" s="81" t="s">
        <v>173</v>
      </c>
      <c r="D1748" s="81" t="s">
        <v>265</v>
      </c>
      <c r="E1748" s="81" t="s">
        <v>49</v>
      </c>
      <c r="F1748" s="81" t="s">
        <v>2</v>
      </c>
    </row>
    <row r="1749" spans="1:6" x14ac:dyDescent="0.25">
      <c r="A1749" s="14">
        <v>46146.179861111108</v>
      </c>
      <c r="B1749" s="81" t="s">
        <v>149</v>
      </c>
      <c r="C1749" s="81" t="s">
        <v>173</v>
      </c>
      <c r="D1749" s="81" t="s">
        <v>265</v>
      </c>
      <c r="E1749" s="81" t="s">
        <v>49</v>
      </c>
      <c r="F1749" s="81" t="s">
        <v>2</v>
      </c>
    </row>
    <row r="1750" spans="1:6" x14ac:dyDescent="0.25">
      <c r="A1750" s="14">
        <v>46146.179861111108</v>
      </c>
      <c r="B1750" s="81" t="s">
        <v>149</v>
      </c>
      <c r="C1750" s="81" t="s">
        <v>173</v>
      </c>
      <c r="D1750" s="81" t="s">
        <v>265</v>
      </c>
      <c r="E1750" s="81" t="s">
        <v>49</v>
      </c>
      <c r="F1750" s="81" t="s">
        <v>2</v>
      </c>
    </row>
    <row r="1751" spans="1:6" x14ac:dyDescent="0.25">
      <c r="A1751" s="14">
        <v>46146.179861111108</v>
      </c>
      <c r="B1751" s="81" t="s">
        <v>149</v>
      </c>
      <c r="C1751" s="81" t="s">
        <v>151</v>
      </c>
      <c r="D1751" s="81" t="s">
        <v>265</v>
      </c>
      <c r="E1751" s="81" t="s">
        <v>49</v>
      </c>
      <c r="F1751" s="81" t="s">
        <v>2</v>
      </c>
    </row>
    <row r="1752" spans="1:6" x14ac:dyDescent="0.25">
      <c r="A1752" s="14">
        <v>46146.179861111108</v>
      </c>
      <c r="B1752" s="81" t="s">
        <v>149</v>
      </c>
      <c r="C1752" s="81" t="s">
        <v>151</v>
      </c>
      <c r="D1752" s="81" t="s">
        <v>265</v>
      </c>
      <c r="E1752" s="81" t="s">
        <v>49</v>
      </c>
      <c r="F1752" s="81" t="s">
        <v>2</v>
      </c>
    </row>
    <row r="1753" spans="1:6" x14ac:dyDescent="0.25">
      <c r="A1753" s="14">
        <v>46146.179861111108</v>
      </c>
      <c r="B1753" s="81" t="s">
        <v>149</v>
      </c>
      <c r="C1753" s="81" t="s">
        <v>151</v>
      </c>
      <c r="D1753" s="81" t="s">
        <v>265</v>
      </c>
      <c r="E1753" s="81" t="s">
        <v>49</v>
      </c>
      <c r="F1753" s="81" t="s">
        <v>2</v>
      </c>
    </row>
    <row r="1754" spans="1:6" x14ac:dyDescent="0.25">
      <c r="A1754" s="14">
        <v>46146.179861111108</v>
      </c>
      <c r="B1754" s="81" t="s">
        <v>149</v>
      </c>
      <c r="C1754" s="81" t="s">
        <v>151</v>
      </c>
      <c r="D1754" s="81" t="s">
        <v>265</v>
      </c>
      <c r="E1754" s="81" t="s">
        <v>49</v>
      </c>
      <c r="F1754" s="81" t="s">
        <v>2</v>
      </c>
    </row>
    <row r="1755" spans="1:6" x14ac:dyDescent="0.25">
      <c r="A1755" s="14">
        <v>46146.179861111108</v>
      </c>
      <c r="B1755" s="81" t="s">
        <v>149</v>
      </c>
      <c r="C1755" s="81" t="s">
        <v>151</v>
      </c>
      <c r="D1755" s="81" t="s">
        <v>265</v>
      </c>
      <c r="E1755" s="81" t="s">
        <v>49</v>
      </c>
      <c r="F1755" s="81" t="s">
        <v>2</v>
      </c>
    </row>
    <row r="1756" spans="1:6" x14ac:dyDescent="0.25">
      <c r="A1756" s="14">
        <v>46146.179861111108</v>
      </c>
      <c r="B1756" s="81" t="s">
        <v>149</v>
      </c>
      <c r="C1756" s="81" t="s">
        <v>151</v>
      </c>
      <c r="D1756" s="81" t="s">
        <v>265</v>
      </c>
      <c r="E1756" s="81" t="s">
        <v>49</v>
      </c>
      <c r="F1756" s="81" t="s">
        <v>2</v>
      </c>
    </row>
    <row r="1757" spans="1:6" x14ac:dyDescent="0.25">
      <c r="A1757" s="14">
        <v>46146.179861111108</v>
      </c>
      <c r="B1757" s="81" t="s">
        <v>149</v>
      </c>
      <c r="C1757" s="81" t="s">
        <v>151</v>
      </c>
      <c r="D1757" s="81" t="s">
        <v>265</v>
      </c>
      <c r="E1757" s="81" t="s">
        <v>49</v>
      </c>
      <c r="F1757" s="81" t="s">
        <v>2</v>
      </c>
    </row>
    <row r="1758" spans="1:6" x14ac:dyDescent="0.25">
      <c r="A1758" s="14">
        <v>46146.179861111108</v>
      </c>
      <c r="B1758" s="81" t="s">
        <v>149</v>
      </c>
      <c r="C1758" s="81" t="s">
        <v>151</v>
      </c>
      <c r="D1758" s="81" t="s">
        <v>265</v>
      </c>
      <c r="E1758" s="81" t="s">
        <v>49</v>
      </c>
      <c r="F1758" s="81" t="s">
        <v>2</v>
      </c>
    </row>
    <row r="1759" spans="1:6" x14ac:dyDescent="0.25">
      <c r="A1759" s="14">
        <v>46146.179861111108</v>
      </c>
      <c r="B1759" s="81" t="s">
        <v>149</v>
      </c>
      <c r="C1759" s="81" t="s">
        <v>151</v>
      </c>
      <c r="D1759" s="81" t="s">
        <v>265</v>
      </c>
      <c r="E1759" s="81" t="s">
        <v>49</v>
      </c>
      <c r="F1759" s="81" t="s">
        <v>2</v>
      </c>
    </row>
    <row r="1760" spans="1:6" x14ac:dyDescent="0.25">
      <c r="A1760" s="14">
        <v>46146.179861111108</v>
      </c>
      <c r="B1760" s="81" t="s">
        <v>149</v>
      </c>
      <c r="C1760" s="81" t="s">
        <v>187</v>
      </c>
      <c r="D1760" s="81" t="s">
        <v>265</v>
      </c>
      <c r="E1760" s="81" t="s">
        <v>75</v>
      </c>
      <c r="F1760" s="81" t="s">
        <v>93</v>
      </c>
    </row>
    <row r="1761" spans="1:6" x14ac:dyDescent="0.25">
      <c r="A1761" s="14">
        <v>46146.179861111108</v>
      </c>
      <c r="B1761" s="81" t="s">
        <v>149</v>
      </c>
      <c r="C1761" s="81" t="s">
        <v>187</v>
      </c>
      <c r="D1761" s="81" t="s">
        <v>265</v>
      </c>
      <c r="E1761" s="81" t="s">
        <v>75</v>
      </c>
      <c r="F1761" s="81" t="s">
        <v>93</v>
      </c>
    </row>
    <row r="1762" spans="1:6" x14ac:dyDescent="0.25">
      <c r="A1762" s="14">
        <v>46146.179861111108</v>
      </c>
      <c r="B1762" s="81" t="s">
        <v>149</v>
      </c>
      <c r="C1762" s="81" t="s">
        <v>187</v>
      </c>
      <c r="D1762" s="81" t="s">
        <v>265</v>
      </c>
      <c r="E1762" s="81" t="s">
        <v>75</v>
      </c>
      <c r="F1762" s="81" t="s">
        <v>93</v>
      </c>
    </row>
    <row r="1763" spans="1:6" x14ac:dyDescent="0.25">
      <c r="A1763" s="14">
        <v>46146.179861111108</v>
      </c>
      <c r="B1763" s="81" t="s">
        <v>149</v>
      </c>
      <c r="C1763" s="81" t="s">
        <v>187</v>
      </c>
      <c r="D1763" s="81" t="s">
        <v>265</v>
      </c>
      <c r="E1763" s="81" t="s">
        <v>75</v>
      </c>
      <c r="F1763" s="81" t="s">
        <v>93</v>
      </c>
    </row>
    <row r="1764" spans="1:6" x14ac:dyDescent="0.25">
      <c r="A1764" s="14">
        <v>46146.179861111108</v>
      </c>
      <c r="B1764" s="81" t="s">
        <v>149</v>
      </c>
      <c r="C1764" s="81" t="s">
        <v>187</v>
      </c>
      <c r="D1764" s="81" t="s">
        <v>265</v>
      </c>
      <c r="E1764" s="81" t="s">
        <v>75</v>
      </c>
      <c r="F1764" s="81" t="s">
        <v>93</v>
      </c>
    </row>
    <row r="1765" spans="1:6" x14ac:dyDescent="0.25">
      <c r="A1765" s="14">
        <v>46146.179861111108</v>
      </c>
      <c r="B1765" s="81" t="s">
        <v>149</v>
      </c>
      <c r="C1765" s="81" t="s">
        <v>187</v>
      </c>
      <c r="D1765" s="81" t="s">
        <v>265</v>
      </c>
      <c r="E1765" s="81" t="s">
        <v>75</v>
      </c>
      <c r="F1765" s="81" t="s">
        <v>93</v>
      </c>
    </row>
    <row r="1766" spans="1:6" x14ac:dyDescent="0.25">
      <c r="A1766" s="14">
        <v>46146.179861111108</v>
      </c>
      <c r="B1766" s="81" t="s">
        <v>149</v>
      </c>
      <c r="C1766" s="81" t="s">
        <v>187</v>
      </c>
      <c r="D1766" s="81" t="s">
        <v>265</v>
      </c>
      <c r="E1766" s="81" t="s">
        <v>75</v>
      </c>
      <c r="F1766" s="81" t="s">
        <v>93</v>
      </c>
    </row>
    <row r="1767" spans="1:6" x14ac:dyDescent="0.25">
      <c r="A1767" s="14">
        <v>46146.179861111108</v>
      </c>
      <c r="B1767" s="81" t="s">
        <v>149</v>
      </c>
      <c r="C1767" s="81" t="s">
        <v>187</v>
      </c>
      <c r="D1767" s="81" t="s">
        <v>265</v>
      </c>
      <c r="E1767" s="81" t="s">
        <v>75</v>
      </c>
      <c r="F1767" s="81" t="s">
        <v>93</v>
      </c>
    </row>
    <row r="1768" spans="1:6" x14ac:dyDescent="0.25">
      <c r="A1768" s="14">
        <v>46146.179861111108</v>
      </c>
      <c r="B1768" s="81" t="s">
        <v>149</v>
      </c>
      <c r="C1768" s="81" t="s">
        <v>187</v>
      </c>
      <c r="D1768" s="81" t="s">
        <v>265</v>
      </c>
      <c r="E1768" s="81" t="s">
        <v>75</v>
      </c>
      <c r="F1768" s="81" t="s">
        <v>93</v>
      </c>
    </row>
    <row r="1769" spans="1:6" x14ac:dyDescent="0.25">
      <c r="A1769" s="14">
        <v>46146.179861111108</v>
      </c>
      <c r="B1769" s="81" t="s">
        <v>149</v>
      </c>
      <c r="C1769" s="81" t="s">
        <v>187</v>
      </c>
      <c r="D1769" s="81" t="s">
        <v>265</v>
      </c>
      <c r="E1769" s="81" t="s">
        <v>75</v>
      </c>
      <c r="F1769" s="81" t="s">
        <v>93</v>
      </c>
    </row>
    <row r="1770" spans="1:6" x14ac:dyDescent="0.25">
      <c r="A1770" s="14">
        <v>46146.179861111108</v>
      </c>
      <c r="B1770" s="81" t="s">
        <v>149</v>
      </c>
      <c r="C1770" s="81" t="s">
        <v>187</v>
      </c>
      <c r="D1770" s="81" t="s">
        <v>265</v>
      </c>
      <c r="E1770" s="81" t="s">
        <v>75</v>
      </c>
      <c r="F1770" s="81" t="s">
        <v>93</v>
      </c>
    </row>
    <row r="1771" spans="1:6" x14ac:dyDescent="0.25">
      <c r="A1771" s="14">
        <v>46146.179861111108</v>
      </c>
      <c r="B1771" s="81" t="s">
        <v>149</v>
      </c>
      <c r="C1771" s="81" t="s">
        <v>187</v>
      </c>
      <c r="D1771" s="81" t="s">
        <v>265</v>
      </c>
      <c r="E1771" s="81" t="s">
        <v>75</v>
      </c>
      <c r="F1771" s="81" t="s">
        <v>93</v>
      </c>
    </row>
    <row r="1772" spans="1:6" x14ac:dyDescent="0.25">
      <c r="A1772" s="14">
        <v>46146.179861111108</v>
      </c>
      <c r="B1772" s="81" t="s">
        <v>149</v>
      </c>
      <c r="C1772" s="81" t="s">
        <v>187</v>
      </c>
      <c r="D1772" s="81" t="s">
        <v>265</v>
      </c>
      <c r="E1772" s="81" t="s">
        <v>75</v>
      </c>
      <c r="F1772" s="81" t="s">
        <v>93</v>
      </c>
    </row>
    <row r="1773" spans="1:6" x14ac:dyDescent="0.25">
      <c r="A1773" s="14">
        <v>46146.179861111108</v>
      </c>
      <c r="B1773" s="81" t="s">
        <v>149</v>
      </c>
      <c r="C1773" s="81" t="s">
        <v>187</v>
      </c>
      <c r="D1773" s="81" t="s">
        <v>265</v>
      </c>
      <c r="E1773" s="81" t="s">
        <v>75</v>
      </c>
      <c r="F1773" s="81" t="s">
        <v>93</v>
      </c>
    </row>
    <row r="1774" spans="1:6" x14ac:dyDescent="0.25">
      <c r="A1774" s="14">
        <v>46146.179861111108</v>
      </c>
      <c r="B1774" s="81" t="s">
        <v>149</v>
      </c>
      <c r="C1774" s="81" t="s">
        <v>187</v>
      </c>
      <c r="D1774" s="81" t="s">
        <v>265</v>
      </c>
      <c r="E1774" s="81" t="s">
        <v>75</v>
      </c>
      <c r="F1774" s="81" t="s">
        <v>93</v>
      </c>
    </row>
    <row r="1775" spans="1:6" x14ac:dyDescent="0.25">
      <c r="A1775" s="14">
        <v>46146.179861111108</v>
      </c>
      <c r="B1775" s="81" t="s">
        <v>149</v>
      </c>
      <c r="C1775" s="81" t="s">
        <v>187</v>
      </c>
      <c r="D1775" s="81" t="s">
        <v>265</v>
      </c>
      <c r="E1775" s="81" t="s">
        <v>75</v>
      </c>
      <c r="F1775" s="81" t="s">
        <v>93</v>
      </c>
    </row>
    <row r="1776" spans="1:6" x14ac:dyDescent="0.25">
      <c r="A1776" s="14">
        <v>46146.179861111108</v>
      </c>
      <c r="B1776" s="81" t="s">
        <v>149</v>
      </c>
      <c r="C1776" s="81" t="s">
        <v>187</v>
      </c>
      <c r="D1776" s="81" t="s">
        <v>265</v>
      </c>
      <c r="E1776" s="81" t="s">
        <v>75</v>
      </c>
      <c r="F1776" s="81" t="s">
        <v>93</v>
      </c>
    </row>
    <row r="1777" spans="1:6" x14ac:dyDescent="0.25">
      <c r="A1777" s="14">
        <v>46146.179861111108</v>
      </c>
      <c r="B1777" s="81" t="s">
        <v>149</v>
      </c>
      <c r="C1777" s="81" t="s">
        <v>187</v>
      </c>
      <c r="D1777" s="81" t="s">
        <v>265</v>
      </c>
      <c r="E1777" s="81" t="s">
        <v>75</v>
      </c>
      <c r="F1777" s="81" t="s">
        <v>93</v>
      </c>
    </row>
    <row r="1778" spans="1:6" x14ac:dyDescent="0.25">
      <c r="A1778" s="14">
        <v>46146.179861111108</v>
      </c>
      <c r="B1778" s="81" t="s">
        <v>149</v>
      </c>
      <c r="C1778" s="81" t="s">
        <v>187</v>
      </c>
      <c r="D1778" s="81" t="s">
        <v>265</v>
      </c>
      <c r="E1778" s="81" t="s">
        <v>75</v>
      </c>
      <c r="F1778" s="81" t="s">
        <v>93</v>
      </c>
    </row>
    <row r="1779" spans="1:6" x14ac:dyDescent="0.25">
      <c r="A1779" s="14">
        <v>46146.179861111108</v>
      </c>
      <c r="B1779" s="81" t="s">
        <v>149</v>
      </c>
      <c r="C1779" s="81" t="s">
        <v>187</v>
      </c>
      <c r="D1779" s="81" t="s">
        <v>265</v>
      </c>
      <c r="E1779" s="81" t="s">
        <v>75</v>
      </c>
      <c r="F1779" s="81" t="s">
        <v>93</v>
      </c>
    </row>
    <row r="1780" spans="1:6" x14ac:dyDescent="0.25">
      <c r="A1780" s="14">
        <v>46146.179861111108</v>
      </c>
      <c r="B1780" s="81" t="s">
        <v>149</v>
      </c>
      <c r="C1780" s="81" t="s">
        <v>158</v>
      </c>
      <c r="D1780" s="81" t="s">
        <v>246</v>
      </c>
      <c r="E1780" s="81" t="s">
        <v>52</v>
      </c>
      <c r="F1780" s="81" t="s">
        <v>0</v>
      </c>
    </row>
    <row r="1781" spans="1:6" x14ac:dyDescent="0.25">
      <c r="A1781" s="14">
        <v>46146.179861111108</v>
      </c>
      <c r="B1781" s="81" t="s">
        <v>149</v>
      </c>
      <c r="C1781" s="81" t="s">
        <v>184</v>
      </c>
      <c r="D1781" s="81" t="s">
        <v>261</v>
      </c>
      <c r="E1781" s="81" t="s">
        <v>50</v>
      </c>
      <c r="F1781" s="81" t="s">
        <v>1</v>
      </c>
    </row>
    <row r="1782" spans="1:6" x14ac:dyDescent="0.25">
      <c r="A1782" s="14">
        <v>46146.179861111108</v>
      </c>
      <c r="B1782" s="81" t="s">
        <v>149</v>
      </c>
      <c r="C1782" s="81" t="s">
        <v>176</v>
      </c>
      <c r="D1782" s="81" t="s">
        <v>157</v>
      </c>
      <c r="E1782" s="81" t="s">
        <v>70</v>
      </c>
      <c r="F1782" s="81" t="s">
        <v>15</v>
      </c>
    </row>
    <row r="1783" spans="1:6" x14ac:dyDescent="0.25">
      <c r="A1783" s="14">
        <v>46146.179861111108</v>
      </c>
      <c r="B1783" s="81" t="s">
        <v>149</v>
      </c>
      <c r="C1783" s="81" t="s">
        <v>184</v>
      </c>
      <c r="D1783" s="81" t="s">
        <v>261</v>
      </c>
      <c r="E1783" s="81" t="s">
        <v>50</v>
      </c>
      <c r="F1783" s="81" t="s">
        <v>1</v>
      </c>
    </row>
    <row r="1784" spans="1:6" x14ac:dyDescent="0.25">
      <c r="A1784" s="14">
        <v>46146.179861111108</v>
      </c>
      <c r="B1784" s="81" t="s">
        <v>149</v>
      </c>
      <c r="C1784" s="81" t="s">
        <v>175</v>
      </c>
      <c r="D1784" s="81" t="s">
        <v>261</v>
      </c>
      <c r="E1784" s="81" t="s">
        <v>52</v>
      </c>
      <c r="F1784" s="81" t="s">
        <v>0</v>
      </c>
    </row>
    <row r="1785" spans="1:6" x14ac:dyDescent="0.25">
      <c r="A1785" s="14">
        <v>46146.179861111108</v>
      </c>
      <c r="B1785" s="81" t="s">
        <v>149</v>
      </c>
      <c r="C1785" s="81" t="s">
        <v>176</v>
      </c>
      <c r="D1785" s="81" t="s">
        <v>157</v>
      </c>
      <c r="E1785" s="81" t="s">
        <v>70</v>
      </c>
      <c r="F1785" s="81" t="s">
        <v>15</v>
      </c>
    </row>
    <row r="1786" spans="1:6" x14ac:dyDescent="0.25">
      <c r="A1786" s="14">
        <v>46146.179861111108</v>
      </c>
      <c r="B1786" s="81" t="s">
        <v>149</v>
      </c>
      <c r="C1786" s="81" t="s">
        <v>182</v>
      </c>
      <c r="D1786" s="81" t="s">
        <v>261</v>
      </c>
      <c r="E1786" s="81" t="s">
        <v>50</v>
      </c>
      <c r="F1786" s="81" t="s">
        <v>1</v>
      </c>
    </row>
    <row r="1787" spans="1:6" x14ac:dyDescent="0.25">
      <c r="A1787" s="14">
        <v>46146.179861111108</v>
      </c>
      <c r="B1787" s="81" t="s">
        <v>149</v>
      </c>
      <c r="C1787" s="81" t="s">
        <v>184</v>
      </c>
      <c r="D1787" s="81" t="s">
        <v>261</v>
      </c>
      <c r="E1787" s="81" t="s">
        <v>52</v>
      </c>
      <c r="F1787" s="81" t="s">
        <v>0</v>
      </c>
    </row>
    <row r="1788" spans="1:6" x14ac:dyDescent="0.25">
      <c r="A1788" s="14">
        <v>46146.179861111108</v>
      </c>
      <c r="B1788" s="81" t="s">
        <v>149</v>
      </c>
      <c r="C1788" s="81" t="s">
        <v>182</v>
      </c>
      <c r="D1788" s="81" t="s">
        <v>261</v>
      </c>
      <c r="E1788" s="81" t="s">
        <v>50</v>
      </c>
      <c r="F1788" s="81" t="s">
        <v>1</v>
      </c>
    </row>
    <row r="1789" spans="1:6" x14ac:dyDescent="0.25">
      <c r="A1789" s="14">
        <v>46146.179861111108</v>
      </c>
      <c r="B1789" s="81" t="s">
        <v>149</v>
      </c>
      <c r="C1789" s="81" t="s">
        <v>181</v>
      </c>
      <c r="D1789" s="81" t="s">
        <v>261</v>
      </c>
      <c r="E1789" s="81" t="s">
        <v>50</v>
      </c>
      <c r="F1789" s="81" t="s">
        <v>1</v>
      </c>
    </row>
    <row r="1790" spans="1:6" x14ac:dyDescent="0.25">
      <c r="A1790" s="14">
        <v>46146.179861111108</v>
      </c>
      <c r="B1790" s="81" t="s">
        <v>149</v>
      </c>
      <c r="C1790" s="81" t="s">
        <v>183</v>
      </c>
      <c r="D1790" s="81" t="s">
        <v>261</v>
      </c>
      <c r="E1790" s="81" t="s">
        <v>50</v>
      </c>
      <c r="F1790" s="81" t="s">
        <v>1</v>
      </c>
    </row>
    <row r="1791" spans="1:6" x14ac:dyDescent="0.25">
      <c r="A1791" s="14">
        <v>46146.179861111108</v>
      </c>
      <c r="B1791" s="81" t="s">
        <v>149</v>
      </c>
      <c r="C1791" s="81" t="s">
        <v>187</v>
      </c>
      <c r="D1791" s="81" t="s">
        <v>157</v>
      </c>
      <c r="E1791" s="81" t="s">
        <v>75</v>
      </c>
      <c r="F1791" s="81" t="s">
        <v>93</v>
      </c>
    </row>
    <row r="1792" spans="1:6" x14ac:dyDescent="0.25">
      <c r="A1792" s="14">
        <v>46146.179861111108</v>
      </c>
      <c r="B1792" s="81" t="s">
        <v>149</v>
      </c>
      <c r="C1792" s="81" t="s">
        <v>187</v>
      </c>
      <c r="D1792" s="81" t="s">
        <v>157</v>
      </c>
      <c r="E1792" s="81" t="s">
        <v>75</v>
      </c>
      <c r="F1792" s="81" t="s">
        <v>93</v>
      </c>
    </row>
    <row r="1793" spans="1:6" x14ac:dyDescent="0.25">
      <c r="A1793" s="14">
        <v>46146.179861111108</v>
      </c>
      <c r="B1793" s="81" t="s">
        <v>149</v>
      </c>
      <c r="C1793" s="81" t="s">
        <v>187</v>
      </c>
      <c r="D1793" s="81" t="s">
        <v>157</v>
      </c>
      <c r="E1793" s="81" t="s">
        <v>75</v>
      </c>
      <c r="F1793" s="81" t="s">
        <v>93</v>
      </c>
    </row>
    <row r="1794" spans="1:6" x14ac:dyDescent="0.25">
      <c r="A1794" s="14">
        <v>46146.179861111108</v>
      </c>
      <c r="B1794" s="81" t="s">
        <v>149</v>
      </c>
      <c r="C1794" s="81" t="s">
        <v>185</v>
      </c>
      <c r="D1794" s="81" t="s">
        <v>269</v>
      </c>
      <c r="E1794" s="81" t="s">
        <v>50</v>
      </c>
      <c r="F1794" s="81" t="s">
        <v>1</v>
      </c>
    </row>
    <row r="1795" spans="1:6" x14ac:dyDescent="0.25">
      <c r="A1795" s="14">
        <v>46146.179861111108</v>
      </c>
      <c r="B1795" s="81" t="s">
        <v>149</v>
      </c>
      <c r="C1795" s="81" t="s">
        <v>182</v>
      </c>
      <c r="D1795" s="81" t="s">
        <v>250</v>
      </c>
      <c r="E1795" s="81" t="s">
        <v>52</v>
      </c>
      <c r="F1795" s="81" t="s">
        <v>0</v>
      </c>
    </row>
    <row r="1796" spans="1:6" x14ac:dyDescent="0.25">
      <c r="A1796" s="14">
        <v>46146.179861111108</v>
      </c>
      <c r="B1796" s="81" t="s">
        <v>149</v>
      </c>
      <c r="C1796" s="81" t="s">
        <v>182</v>
      </c>
      <c r="D1796" s="81" t="s">
        <v>253</v>
      </c>
      <c r="E1796" s="81" t="s">
        <v>50</v>
      </c>
      <c r="F1796" s="81" t="s">
        <v>1</v>
      </c>
    </row>
    <row r="1797" spans="1:6" x14ac:dyDescent="0.25">
      <c r="A1797" s="14">
        <v>46146.179861111108</v>
      </c>
      <c r="B1797" s="81" t="s">
        <v>149</v>
      </c>
      <c r="C1797" s="81" t="s">
        <v>173</v>
      </c>
      <c r="D1797" s="81" t="s">
        <v>166</v>
      </c>
      <c r="E1797" s="81" t="s">
        <v>50</v>
      </c>
      <c r="F1797" s="81" t="s">
        <v>1</v>
      </c>
    </row>
    <row r="1798" spans="1:6" x14ac:dyDescent="0.25">
      <c r="A1798" s="14">
        <v>46146.179861111108</v>
      </c>
      <c r="B1798" s="81" t="s">
        <v>149</v>
      </c>
      <c r="C1798" s="81" t="s">
        <v>190</v>
      </c>
      <c r="D1798" s="81" t="s">
        <v>166</v>
      </c>
      <c r="E1798" s="81" t="s">
        <v>50</v>
      </c>
      <c r="F1798" s="81" t="s">
        <v>1</v>
      </c>
    </row>
    <row r="1799" spans="1:6" x14ac:dyDescent="0.25">
      <c r="A1799" s="14">
        <v>46146.179861111108</v>
      </c>
      <c r="B1799" s="81" t="s">
        <v>149</v>
      </c>
      <c r="C1799" s="81" t="s">
        <v>175</v>
      </c>
      <c r="D1799" s="81" t="s">
        <v>157</v>
      </c>
      <c r="E1799" s="81" t="s">
        <v>48</v>
      </c>
      <c r="F1799" s="81" t="s">
        <v>3</v>
      </c>
    </row>
    <row r="1800" spans="1:6" x14ac:dyDescent="0.25">
      <c r="A1800" s="14">
        <v>46146.179861111108</v>
      </c>
      <c r="B1800" s="81" t="s">
        <v>149</v>
      </c>
      <c r="C1800" s="81" t="s">
        <v>158</v>
      </c>
      <c r="D1800" s="81" t="s">
        <v>165</v>
      </c>
      <c r="E1800" s="81" t="s">
        <v>50</v>
      </c>
      <c r="F1800" s="81" t="s">
        <v>1</v>
      </c>
    </row>
    <row r="1801" spans="1:6" x14ac:dyDescent="0.25">
      <c r="A1801" s="14">
        <v>46146.179861111108</v>
      </c>
      <c r="B1801" s="81" t="s">
        <v>149</v>
      </c>
      <c r="C1801" s="81" t="s">
        <v>158</v>
      </c>
      <c r="D1801" s="81" t="s">
        <v>261</v>
      </c>
      <c r="E1801" s="81" t="s">
        <v>52</v>
      </c>
      <c r="F1801" s="81" t="s">
        <v>0</v>
      </c>
    </row>
    <row r="1802" spans="1:6" x14ac:dyDescent="0.25">
      <c r="A1802" s="14">
        <v>46146.179861111108</v>
      </c>
      <c r="B1802" s="81" t="s">
        <v>149</v>
      </c>
      <c r="C1802" s="81" t="s">
        <v>188</v>
      </c>
      <c r="D1802" s="81" t="s">
        <v>156</v>
      </c>
      <c r="E1802" s="81" t="s">
        <v>45</v>
      </c>
      <c r="F1802" s="81" t="s">
        <v>28</v>
      </c>
    </row>
    <row r="1803" spans="1:6" x14ac:dyDescent="0.25">
      <c r="A1803" s="14">
        <v>46146.179861111108</v>
      </c>
      <c r="B1803" s="81" t="s">
        <v>149</v>
      </c>
      <c r="C1803" s="81" t="s">
        <v>189</v>
      </c>
      <c r="D1803" s="81" t="s">
        <v>156</v>
      </c>
      <c r="E1803" s="81" t="s">
        <v>45</v>
      </c>
      <c r="F1803" s="81" t="s">
        <v>28</v>
      </c>
    </row>
    <row r="1804" spans="1:6" x14ac:dyDescent="0.25">
      <c r="A1804" s="14">
        <v>46146.179861111108</v>
      </c>
      <c r="B1804" s="81" t="s">
        <v>149</v>
      </c>
      <c r="C1804" s="81" t="s">
        <v>239</v>
      </c>
      <c r="D1804" s="81" t="s">
        <v>156</v>
      </c>
      <c r="E1804" s="81" t="s">
        <v>45</v>
      </c>
      <c r="F1804" s="81" t="s">
        <v>28</v>
      </c>
    </row>
    <row r="1805" spans="1:6" x14ac:dyDescent="0.25">
      <c r="A1805" s="14">
        <v>46146.179861111108</v>
      </c>
      <c r="B1805" s="81" t="s">
        <v>149</v>
      </c>
      <c r="C1805" s="81" t="s">
        <v>183</v>
      </c>
      <c r="D1805" s="81" t="s">
        <v>250</v>
      </c>
      <c r="E1805" s="81" t="s">
        <v>52</v>
      </c>
      <c r="F1805" s="81" t="s">
        <v>0</v>
      </c>
    </row>
    <row r="1806" spans="1:6" x14ac:dyDescent="0.25">
      <c r="A1806" s="14">
        <v>46146.179861111108</v>
      </c>
      <c r="B1806" s="81" t="s">
        <v>149</v>
      </c>
      <c r="C1806" s="81" t="s">
        <v>215</v>
      </c>
      <c r="D1806" s="81" t="s">
        <v>250</v>
      </c>
      <c r="E1806" s="81" t="s">
        <v>64</v>
      </c>
      <c r="F1806" s="81" t="s">
        <v>98</v>
      </c>
    </row>
    <row r="1807" spans="1:6" x14ac:dyDescent="0.25">
      <c r="A1807" s="14">
        <v>46146.179861111108</v>
      </c>
      <c r="B1807" s="81" t="s">
        <v>149</v>
      </c>
      <c r="C1807" s="81" t="s">
        <v>175</v>
      </c>
      <c r="D1807" s="81" t="s">
        <v>163</v>
      </c>
      <c r="E1807" s="81" t="s">
        <v>50</v>
      </c>
      <c r="F1807" s="81" t="s">
        <v>1</v>
      </c>
    </row>
    <row r="1808" spans="1:6" x14ac:dyDescent="0.25">
      <c r="A1808" s="14">
        <v>46146.179861111108</v>
      </c>
      <c r="B1808" s="81" t="s">
        <v>149</v>
      </c>
      <c r="C1808" s="81" t="s">
        <v>182</v>
      </c>
      <c r="D1808" s="81" t="s">
        <v>261</v>
      </c>
      <c r="E1808" s="81" t="s">
        <v>52</v>
      </c>
      <c r="F1808" s="81" t="s">
        <v>0</v>
      </c>
    </row>
    <row r="1809" spans="1:6" x14ac:dyDescent="0.25">
      <c r="A1809" s="14">
        <v>46146.179861111108</v>
      </c>
      <c r="B1809" s="81" t="s">
        <v>149</v>
      </c>
      <c r="C1809" s="81" t="s">
        <v>177</v>
      </c>
      <c r="D1809" s="81" t="s">
        <v>261</v>
      </c>
      <c r="E1809" s="81" t="s">
        <v>52</v>
      </c>
      <c r="F1809" s="81" t="s">
        <v>0</v>
      </c>
    </row>
    <row r="1810" spans="1:6" x14ac:dyDescent="0.25">
      <c r="A1810" s="14">
        <v>46146.179861111108</v>
      </c>
      <c r="B1810" s="81" t="s">
        <v>149</v>
      </c>
      <c r="C1810" s="81" t="s">
        <v>151</v>
      </c>
      <c r="D1810" s="81" t="s">
        <v>262</v>
      </c>
      <c r="E1810" s="81" t="s">
        <v>52</v>
      </c>
      <c r="F1810" s="81" t="s">
        <v>0</v>
      </c>
    </row>
    <row r="1811" spans="1:6" x14ac:dyDescent="0.25">
      <c r="A1811" s="14">
        <v>46146.179861111108</v>
      </c>
      <c r="B1811" s="81" t="s">
        <v>149</v>
      </c>
      <c r="C1811" s="81" t="s">
        <v>171</v>
      </c>
      <c r="D1811" s="81" t="s">
        <v>261</v>
      </c>
      <c r="E1811" s="81" t="s">
        <v>52</v>
      </c>
      <c r="F1811" s="81" t="s">
        <v>0</v>
      </c>
    </row>
    <row r="1812" spans="1:6" x14ac:dyDescent="0.25">
      <c r="A1812" s="14">
        <v>46146.179861111108</v>
      </c>
      <c r="B1812" s="81" t="s">
        <v>149</v>
      </c>
      <c r="C1812" s="81" t="s">
        <v>182</v>
      </c>
      <c r="D1812" s="81" t="s">
        <v>240</v>
      </c>
      <c r="E1812" s="81" t="s">
        <v>52</v>
      </c>
      <c r="F1812" s="81" t="s">
        <v>0</v>
      </c>
    </row>
    <row r="1813" spans="1:6" x14ac:dyDescent="0.25">
      <c r="A1813" s="14">
        <v>46146.179861111108</v>
      </c>
      <c r="B1813" s="81" t="s">
        <v>149</v>
      </c>
      <c r="C1813" s="81" t="s">
        <v>184</v>
      </c>
      <c r="D1813" s="81" t="s">
        <v>262</v>
      </c>
      <c r="E1813" s="81" t="s">
        <v>52</v>
      </c>
      <c r="F1813" s="81" t="s">
        <v>0</v>
      </c>
    </row>
    <row r="1814" spans="1:6" x14ac:dyDescent="0.25">
      <c r="A1814" s="14">
        <v>46146.179861111108</v>
      </c>
      <c r="B1814" s="81" t="s">
        <v>149</v>
      </c>
      <c r="C1814" s="81" t="s">
        <v>173</v>
      </c>
      <c r="D1814" s="81" t="s">
        <v>262</v>
      </c>
      <c r="E1814" s="81" t="s">
        <v>52</v>
      </c>
      <c r="F1814" s="81" t="s">
        <v>0</v>
      </c>
    </row>
    <row r="1815" spans="1:6" x14ac:dyDescent="0.25">
      <c r="A1815" s="14">
        <v>46146.179861111108</v>
      </c>
      <c r="B1815" s="81" t="s">
        <v>149</v>
      </c>
      <c r="C1815" s="81" t="s">
        <v>177</v>
      </c>
      <c r="D1815" s="81" t="s">
        <v>262</v>
      </c>
      <c r="E1815" s="81" t="s">
        <v>52</v>
      </c>
      <c r="F1815" s="81" t="s">
        <v>0</v>
      </c>
    </row>
    <row r="1816" spans="1:6" x14ac:dyDescent="0.25">
      <c r="A1816" s="14">
        <v>46146.179861111108</v>
      </c>
      <c r="B1816" s="81" t="s">
        <v>149</v>
      </c>
      <c r="C1816" s="81" t="s">
        <v>190</v>
      </c>
      <c r="D1816" s="81" t="s">
        <v>222</v>
      </c>
      <c r="E1816" s="81" t="s">
        <v>50</v>
      </c>
      <c r="F1816" s="81" t="s">
        <v>1</v>
      </c>
    </row>
    <row r="1817" spans="1:6" x14ac:dyDescent="0.25">
      <c r="A1817" s="14">
        <v>46146.179861111108</v>
      </c>
      <c r="B1817" s="81" t="s">
        <v>149</v>
      </c>
      <c r="C1817" s="81" t="s">
        <v>175</v>
      </c>
      <c r="D1817" s="81" t="s">
        <v>244</v>
      </c>
      <c r="E1817" s="81" t="s">
        <v>50</v>
      </c>
      <c r="F1817" s="81" t="s">
        <v>1</v>
      </c>
    </row>
    <row r="1818" spans="1:6" x14ac:dyDescent="0.25">
      <c r="A1818" s="14">
        <v>46146.179861111108</v>
      </c>
      <c r="B1818" s="81" t="s">
        <v>149</v>
      </c>
      <c r="C1818" s="81" t="s">
        <v>171</v>
      </c>
      <c r="D1818" s="81" t="s">
        <v>236</v>
      </c>
      <c r="E1818" s="81" t="s">
        <v>50</v>
      </c>
      <c r="F1818" s="81" t="s">
        <v>1</v>
      </c>
    </row>
    <row r="1819" spans="1:6" x14ac:dyDescent="0.25">
      <c r="A1819" s="14">
        <v>46146.179861111108</v>
      </c>
      <c r="B1819" s="81" t="s">
        <v>149</v>
      </c>
      <c r="C1819" s="81" t="s">
        <v>185</v>
      </c>
      <c r="D1819" s="81" t="s">
        <v>257</v>
      </c>
      <c r="E1819" s="81" t="s">
        <v>52</v>
      </c>
      <c r="F1819" s="81" t="s">
        <v>0</v>
      </c>
    </row>
    <row r="1820" spans="1:6" x14ac:dyDescent="0.25">
      <c r="A1820" s="14">
        <v>46146.179861111108</v>
      </c>
      <c r="B1820" s="81" t="s">
        <v>149</v>
      </c>
      <c r="C1820" s="81" t="s">
        <v>158</v>
      </c>
      <c r="D1820" s="81" t="s">
        <v>221</v>
      </c>
      <c r="E1820" s="81" t="s">
        <v>50</v>
      </c>
      <c r="F1820" s="81" t="s">
        <v>1</v>
      </c>
    </row>
    <row r="1821" spans="1:6" x14ac:dyDescent="0.25">
      <c r="A1821" s="14">
        <v>46146.179861111108</v>
      </c>
      <c r="B1821" s="81" t="s">
        <v>149</v>
      </c>
      <c r="C1821" s="81" t="s">
        <v>181</v>
      </c>
      <c r="D1821" s="81" t="s">
        <v>257</v>
      </c>
      <c r="E1821" s="81" t="s">
        <v>52</v>
      </c>
      <c r="F1821" s="81" t="s">
        <v>0</v>
      </c>
    </row>
    <row r="1822" spans="1:6" x14ac:dyDescent="0.25">
      <c r="A1822" s="14">
        <v>46146.179861111108</v>
      </c>
      <c r="B1822" s="81" t="s">
        <v>149</v>
      </c>
      <c r="C1822" s="81" t="s">
        <v>175</v>
      </c>
      <c r="D1822" s="81" t="s">
        <v>262</v>
      </c>
      <c r="E1822" s="81" t="s">
        <v>52</v>
      </c>
      <c r="F1822" s="81" t="s">
        <v>0</v>
      </c>
    </row>
    <row r="1823" spans="1:6" x14ac:dyDescent="0.25">
      <c r="A1823" s="14">
        <v>46146.179861111108</v>
      </c>
      <c r="B1823" s="81" t="s">
        <v>149</v>
      </c>
      <c r="C1823" s="81" t="s">
        <v>190</v>
      </c>
      <c r="D1823" s="81" t="s">
        <v>179</v>
      </c>
      <c r="E1823" s="81" t="s">
        <v>50</v>
      </c>
      <c r="F1823" s="81" t="s">
        <v>1</v>
      </c>
    </row>
    <row r="1824" spans="1:6" x14ac:dyDescent="0.25">
      <c r="A1824" s="14">
        <v>46146.179861111108</v>
      </c>
      <c r="B1824" s="81" t="s">
        <v>149</v>
      </c>
      <c r="C1824" s="81" t="s">
        <v>158</v>
      </c>
      <c r="D1824" s="81" t="s">
        <v>262</v>
      </c>
      <c r="E1824" s="81" t="s">
        <v>52</v>
      </c>
      <c r="F1824" s="81" t="s">
        <v>0</v>
      </c>
    </row>
    <row r="1825" spans="1:6" x14ac:dyDescent="0.25">
      <c r="A1825" s="14">
        <v>46146.179861111108</v>
      </c>
      <c r="B1825" s="81" t="s">
        <v>149</v>
      </c>
      <c r="C1825" s="81" t="s">
        <v>181</v>
      </c>
      <c r="D1825" s="81" t="s">
        <v>179</v>
      </c>
      <c r="E1825" s="81" t="s">
        <v>50</v>
      </c>
      <c r="F1825" s="81" t="s">
        <v>1</v>
      </c>
    </row>
    <row r="1826" spans="1:6" x14ac:dyDescent="0.25">
      <c r="A1826" s="14">
        <v>46146.179861111108</v>
      </c>
      <c r="B1826" s="81" t="s">
        <v>149</v>
      </c>
      <c r="C1826" s="81" t="s">
        <v>177</v>
      </c>
      <c r="D1826" s="81" t="s">
        <v>161</v>
      </c>
      <c r="E1826" s="81" t="s">
        <v>50</v>
      </c>
      <c r="F1826" s="81" t="s">
        <v>1</v>
      </c>
    </row>
    <row r="1827" spans="1:6" x14ac:dyDescent="0.25">
      <c r="A1827" s="14">
        <v>46146.179861111108</v>
      </c>
      <c r="B1827" s="81" t="s">
        <v>149</v>
      </c>
      <c r="C1827" s="81" t="s">
        <v>181</v>
      </c>
      <c r="D1827" s="81" t="s">
        <v>161</v>
      </c>
      <c r="E1827" s="81" t="s">
        <v>50</v>
      </c>
      <c r="F1827" s="81" t="s">
        <v>1</v>
      </c>
    </row>
    <row r="1828" spans="1:6" x14ac:dyDescent="0.25">
      <c r="A1828" s="14">
        <v>46146.179861111108</v>
      </c>
      <c r="B1828" s="81" t="s">
        <v>149</v>
      </c>
      <c r="C1828" s="81" t="s">
        <v>158</v>
      </c>
      <c r="D1828" s="81" t="s">
        <v>222</v>
      </c>
      <c r="E1828" s="81" t="s">
        <v>48</v>
      </c>
      <c r="F1828" s="81" t="s">
        <v>3</v>
      </c>
    </row>
    <row r="1829" spans="1:6" x14ac:dyDescent="0.25">
      <c r="A1829" s="14">
        <v>46146.179861111108</v>
      </c>
      <c r="B1829" s="81" t="s">
        <v>195</v>
      </c>
      <c r="C1829" s="81" t="s">
        <v>197</v>
      </c>
      <c r="D1829" s="81" t="s">
        <v>199</v>
      </c>
      <c r="E1829" s="81" t="s">
        <v>24</v>
      </c>
      <c r="F1829" s="81" t="s">
        <v>24</v>
      </c>
    </row>
    <row r="1830" spans="1:6" x14ac:dyDescent="0.25">
      <c r="A1830" s="14">
        <v>46146.179861111108</v>
      </c>
      <c r="B1830" s="81" t="s">
        <v>195</v>
      </c>
      <c r="C1830" s="81" t="s">
        <v>197</v>
      </c>
      <c r="D1830" s="81" t="s">
        <v>199</v>
      </c>
      <c r="E1830" s="81" t="s">
        <v>24</v>
      </c>
      <c r="F1830" s="81" t="s">
        <v>24</v>
      </c>
    </row>
    <row r="1831" spans="1:6" x14ac:dyDescent="0.25">
      <c r="A1831" s="14">
        <v>46146.179861111108</v>
      </c>
      <c r="B1831" s="81" t="s">
        <v>195</v>
      </c>
      <c r="C1831" s="81" t="s">
        <v>197</v>
      </c>
      <c r="D1831" s="81" t="s">
        <v>199</v>
      </c>
      <c r="E1831" s="81" t="s">
        <v>24</v>
      </c>
      <c r="F1831" s="81" t="s">
        <v>24</v>
      </c>
    </row>
    <row r="1832" spans="1:6" x14ac:dyDescent="0.25">
      <c r="A1832" s="14">
        <v>46146.179861111108</v>
      </c>
      <c r="B1832" s="81" t="s">
        <v>195</v>
      </c>
      <c r="C1832" s="81" t="s">
        <v>197</v>
      </c>
      <c r="D1832" s="81" t="s">
        <v>199</v>
      </c>
      <c r="E1832" s="81" t="s">
        <v>24</v>
      </c>
      <c r="F1832" s="81" t="s">
        <v>24</v>
      </c>
    </row>
    <row r="1833" spans="1:6" x14ac:dyDescent="0.25">
      <c r="A1833" s="14">
        <v>46146.179861111108</v>
      </c>
      <c r="B1833" s="81" t="s">
        <v>195</v>
      </c>
      <c r="C1833" s="81" t="s">
        <v>197</v>
      </c>
      <c r="D1833" s="81" t="s">
        <v>199</v>
      </c>
      <c r="E1833" s="81" t="s">
        <v>24</v>
      </c>
      <c r="F1833" s="81" t="s">
        <v>24</v>
      </c>
    </row>
    <row r="1834" spans="1:6" x14ac:dyDescent="0.25">
      <c r="A1834" s="14">
        <v>46146.179861111108</v>
      </c>
      <c r="B1834" s="81" t="s">
        <v>195</v>
      </c>
      <c r="C1834" s="81" t="s">
        <v>197</v>
      </c>
      <c r="D1834" s="81" t="s">
        <v>199</v>
      </c>
      <c r="E1834" s="81" t="s">
        <v>24</v>
      </c>
      <c r="F1834" s="81" t="s">
        <v>24</v>
      </c>
    </row>
    <row r="1835" spans="1:6" x14ac:dyDescent="0.25">
      <c r="A1835" s="14">
        <v>46146.179861111108</v>
      </c>
      <c r="B1835" s="81" t="s">
        <v>195</v>
      </c>
      <c r="C1835" s="81" t="s">
        <v>197</v>
      </c>
      <c r="D1835" s="81" t="s">
        <v>199</v>
      </c>
      <c r="E1835" s="81" t="s">
        <v>24</v>
      </c>
      <c r="F1835" s="81" t="s">
        <v>24</v>
      </c>
    </row>
    <row r="1836" spans="1:6" x14ac:dyDescent="0.25">
      <c r="A1836" s="14">
        <v>46146.179861111108</v>
      </c>
      <c r="B1836" s="81" t="s">
        <v>195</v>
      </c>
      <c r="C1836" s="81" t="s">
        <v>197</v>
      </c>
      <c r="D1836" s="81" t="s">
        <v>199</v>
      </c>
      <c r="E1836" s="81" t="s">
        <v>24</v>
      </c>
      <c r="F1836" s="81" t="s">
        <v>24</v>
      </c>
    </row>
    <row r="1837" spans="1:6" x14ac:dyDescent="0.25">
      <c r="A1837" s="14">
        <v>46146.179861111108</v>
      </c>
      <c r="B1837" s="81" t="s">
        <v>195</v>
      </c>
      <c r="C1837" s="81" t="s">
        <v>197</v>
      </c>
      <c r="D1837" s="81" t="s">
        <v>199</v>
      </c>
      <c r="E1837" s="81" t="s">
        <v>24</v>
      </c>
      <c r="F1837" s="81" t="s">
        <v>24</v>
      </c>
    </row>
    <row r="1838" spans="1:6" x14ac:dyDescent="0.25">
      <c r="A1838" s="14">
        <v>46146.179861111108</v>
      </c>
      <c r="B1838" s="81" t="s">
        <v>195</v>
      </c>
      <c r="C1838" s="81" t="s">
        <v>197</v>
      </c>
      <c r="D1838" s="81" t="s">
        <v>199</v>
      </c>
      <c r="E1838" s="81" t="s">
        <v>24</v>
      </c>
      <c r="F1838" s="81" t="s">
        <v>24</v>
      </c>
    </row>
    <row r="1839" spans="1:6" x14ac:dyDescent="0.25">
      <c r="A1839" s="14">
        <v>46146.179861111108</v>
      </c>
      <c r="B1839" s="81" t="s">
        <v>195</v>
      </c>
      <c r="C1839" s="81" t="s">
        <v>197</v>
      </c>
      <c r="D1839" s="81" t="s">
        <v>199</v>
      </c>
      <c r="E1839" s="81" t="s">
        <v>24</v>
      </c>
      <c r="F1839" s="81" t="s">
        <v>24</v>
      </c>
    </row>
    <row r="1840" spans="1:6" x14ac:dyDescent="0.25">
      <c r="A1840" s="14">
        <v>46146.179861111108</v>
      </c>
      <c r="B1840" s="81" t="s">
        <v>195</v>
      </c>
      <c r="C1840" s="81" t="s">
        <v>197</v>
      </c>
      <c r="D1840" s="81" t="s">
        <v>199</v>
      </c>
      <c r="E1840" s="81" t="s">
        <v>24</v>
      </c>
      <c r="F1840" s="81" t="s">
        <v>24</v>
      </c>
    </row>
    <row r="1841" spans="1:6" x14ac:dyDescent="0.25">
      <c r="A1841" s="14">
        <v>46146.179861111108</v>
      </c>
      <c r="B1841" s="81" t="s">
        <v>195</v>
      </c>
      <c r="C1841" s="81" t="s">
        <v>196</v>
      </c>
      <c r="D1841" s="81" t="s">
        <v>265</v>
      </c>
      <c r="E1841" s="81" t="s">
        <v>24</v>
      </c>
      <c r="F1841" s="81" t="s">
        <v>24</v>
      </c>
    </row>
    <row r="1842" spans="1:6" x14ac:dyDescent="0.25">
      <c r="A1842" s="14">
        <v>46146.179861111108</v>
      </c>
      <c r="B1842" s="81" t="s">
        <v>195</v>
      </c>
      <c r="C1842" s="81" t="s">
        <v>196</v>
      </c>
      <c r="D1842" s="81" t="s">
        <v>265</v>
      </c>
      <c r="E1842" s="81" t="s">
        <v>24</v>
      </c>
      <c r="F1842" s="81" t="s">
        <v>24</v>
      </c>
    </row>
    <row r="1843" spans="1:6" x14ac:dyDescent="0.25">
      <c r="A1843" s="14">
        <v>46146.179861111108</v>
      </c>
      <c r="B1843" s="81" t="s">
        <v>195</v>
      </c>
      <c r="C1843" s="81" t="s">
        <v>196</v>
      </c>
      <c r="D1843" s="81" t="s">
        <v>265</v>
      </c>
      <c r="E1843" s="81" t="s">
        <v>24</v>
      </c>
      <c r="F1843" s="81" t="s">
        <v>24</v>
      </c>
    </row>
    <row r="1844" spans="1:6" x14ac:dyDescent="0.25">
      <c r="A1844" s="14">
        <v>46146.179861111108</v>
      </c>
      <c r="B1844" s="81" t="s">
        <v>195</v>
      </c>
      <c r="C1844" s="81" t="s">
        <v>198</v>
      </c>
      <c r="D1844" s="81" t="s">
        <v>263</v>
      </c>
      <c r="E1844" s="81" t="s">
        <v>24</v>
      </c>
      <c r="F1844" s="81" t="s">
        <v>24</v>
      </c>
    </row>
    <row r="1845" spans="1:6" x14ac:dyDescent="0.25">
      <c r="A1845" s="14">
        <v>46146.179861111108</v>
      </c>
      <c r="B1845" s="81" t="s">
        <v>195</v>
      </c>
      <c r="C1845" s="81" t="s">
        <v>198</v>
      </c>
      <c r="D1845" s="81" t="s">
        <v>263</v>
      </c>
      <c r="E1845" s="81" t="s">
        <v>24</v>
      </c>
      <c r="F1845" s="81" t="s">
        <v>24</v>
      </c>
    </row>
    <row r="1846" spans="1:6" x14ac:dyDescent="0.25">
      <c r="A1846" s="14">
        <v>46146.179861111108</v>
      </c>
      <c r="B1846" s="81" t="s">
        <v>195</v>
      </c>
      <c r="C1846" s="81" t="s">
        <v>198</v>
      </c>
      <c r="D1846" s="81" t="s">
        <v>263</v>
      </c>
      <c r="E1846" s="81" t="s">
        <v>24</v>
      </c>
      <c r="F1846" s="81" t="s">
        <v>24</v>
      </c>
    </row>
    <row r="1847" spans="1:6" x14ac:dyDescent="0.25">
      <c r="A1847" s="14">
        <v>46146.179861111108</v>
      </c>
      <c r="B1847" s="81" t="s">
        <v>195</v>
      </c>
      <c r="C1847" s="81" t="s">
        <v>197</v>
      </c>
      <c r="D1847" s="81" t="s">
        <v>265</v>
      </c>
      <c r="E1847" s="81" t="s">
        <v>24</v>
      </c>
      <c r="F1847" s="81" t="s">
        <v>24</v>
      </c>
    </row>
    <row r="1848" spans="1:6" x14ac:dyDescent="0.25">
      <c r="A1848" s="14">
        <v>46146.179861111108</v>
      </c>
      <c r="B1848" s="81" t="s">
        <v>195</v>
      </c>
      <c r="C1848" s="81" t="s">
        <v>197</v>
      </c>
      <c r="D1848" s="81" t="s">
        <v>265</v>
      </c>
      <c r="E1848" s="81" t="s">
        <v>24</v>
      </c>
      <c r="F1848" s="81" t="s">
        <v>24</v>
      </c>
    </row>
    <row r="1849" spans="1:6" x14ac:dyDescent="0.25">
      <c r="A1849" s="14">
        <v>46146.179861111108</v>
      </c>
      <c r="B1849" s="81" t="s">
        <v>195</v>
      </c>
      <c r="C1849" s="81" t="s">
        <v>197</v>
      </c>
      <c r="D1849" s="81" t="s">
        <v>265</v>
      </c>
      <c r="E1849" s="81" t="s">
        <v>24</v>
      </c>
      <c r="F1849" s="81" t="s">
        <v>24</v>
      </c>
    </row>
    <row r="1850" spans="1:6" x14ac:dyDescent="0.25">
      <c r="A1850" s="14">
        <v>46146.179861111108</v>
      </c>
      <c r="B1850" s="81" t="s">
        <v>195</v>
      </c>
      <c r="C1850" s="81" t="s">
        <v>209</v>
      </c>
      <c r="D1850" s="81" t="s">
        <v>242</v>
      </c>
      <c r="E1850" s="81" t="s">
        <v>24</v>
      </c>
      <c r="F1850" s="81" t="s">
        <v>24</v>
      </c>
    </row>
    <row r="1851" spans="1:6" x14ac:dyDescent="0.25">
      <c r="A1851" s="14">
        <v>46146.179861111108</v>
      </c>
      <c r="B1851" s="81" t="s">
        <v>195</v>
      </c>
      <c r="C1851" s="81" t="s">
        <v>209</v>
      </c>
      <c r="D1851" s="81" t="s">
        <v>242</v>
      </c>
      <c r="E1851" s="81" t="s">
        <v>24</v>
      </c>
      <c r="F1851" s="81" t="s">
        <v>24</v>
      </c>
    </row>
    <row r="1852" spans="1:6" x14ac:dyDescent="0.25">
      <c r="A1852" s="14">
        <v>46146.179861111108</v>
      </c>
      <c r="B1852" s="81" t="s">
        <v>195</v>
      </c>
      <c r="C1852" s="81" t="s">
        <v>209</v>
      </c>
      <c r="D1852" s="81" t="s">
        <v>242</v>
      </c>
      <c r="E1852" s="81" t="s">
        <v>24</v>
      </c>
      <c r="F1852" s="81" t="s">
        <v>24</v>
      </c>
    </row>
    <row r="1853" spans="1:6" x14ac:dyDescent="0.25">
      <c r="A1853" s="14">
        <v>46146.179861111108</v>
      </c>
      <c r="B1853" s="81" t="s">
        <v>195</v>
      </c>
      <c r="C1853" s="81" t="s">
        <v>198</v>
      </c>
      <c r="D1853" s="81" t="s">
        <v>166</v>
      </c>
      <c r="E1853" s="81" t="s">
        <v>24</v>
      </c>
      <c r="F1853" s="81" t="s">
        <v>24</v>
      </c>
    </row>
    <row r="1854" spans="1:6" x14ac:dyDescent="0.25">
      <c r="A1854" s="14">
        <v>46146.179861111108</v>
      </c>
      <c r="B1854" s="81" t="s">
        <v>195</v>
      </c>
      <c r="C1854" s="81" t="s">
        <v>198</v>
      </c>
      <c r="D1854" s="81" t="s">
        <v>166</v>
      </c>
      <c r="E1854" s="81" t="s">
        <v>24</v>
      </c>
      <c r="F1854" s="81" t="s">
        <v>24</v>
      </c>
    </row>
    <row r="1855" spans="1:6" x14ac:dyDescent="0.25">
      <c r="A1855" s="14">
        <v>46146.179861111108</v>
      </c>
      <c r="B1855" s="81" t="s">
        <v>195</v>
      </c>
      <c r="C1855" s="81" t="s">
        <v>198</v>
      </c>
      <c r="D1855" s="81" t="s">
        <v>166</v>
      </c>
      <c r="E1855" s="81" t="s">
        <v>24</v>
      </c>
      <c r="F1855" s="81" t="s">
        <v>24</v>
      </c>
    </row>
    <row r="1856" spans="1:6" x14ac:dyDescent="0.25">
      <c r="A1856" s="14">
        <v>46146.179861111108</v>
      </c>
      <c r="B1856" s="81" t="s">
        <v>195</v>
      </c>
      <c r="C1856" s="81" t="s">
        <v>198</v>
      </c>
      <c r="D1856" s="81" t="s">
        <v>150</v>
      </c>
      <c r="E1856" s="81" t="s">
        <v>24</v>
      </c>
      <c r="F1856" s="81" t="s">
        <v>24</v>
      </c>
    </row>
    <row r="1857" spans="1:6" x14ac:dyDescent="0.25">
      <c r="A1857" s="14">
        <v>46146.179861111108</v>
      </c>
      <c r="B1857" s="81" t="s">
        <v>195</v>
      </c>
      <c r="C1857" s="81" t="s">
        <v>198</v>
      </c>
      <c r="D1857" s="81" t="s">
        <v>150</v>
      </c>
      <c r="E1857" s="81" t="s">
        <v>24</v>
      </c>
      <c r="F1857" s="81" t="s">
        <v>24</v>
      </c>
    </row>
    <row r="1858" spans="1:6" x14ac:dyDescent="0.25">
      <c r="A1858" s="14">
        <v>46146.179861111108</v>
      </c>
      <c r="B1858" s="81" t="s">
        <v>195</v>
      </c>
      <c r="C1858" s="81" t="s">
        <v>198</v>
      </c>
      <c r="D1858" s="81" t="s">
        <v>150</v>
      </c>
      <c r="E1858" s="81" t="s">
        <v>24</v>
      </c>
      <c r="F1858" s="81" t="s">
        <v>24</v>
      </c>
    </row>
    <row r="1859" spans="1:6" x14ac:dyDescent="0.25">
      <c r="A1859" s="14">
        <v>46146.217361111114</v>
      </c>
      <c r="B1859" s="81" t="s">
        <v>149</v>
      </c>
      <c r="C1859" s="81" t="s">
        <v>158</v>
      </c>
      <c r="D1859" s="81" t="s">
        <v>267</v>
      </c>
      <c r="E1859" s="81" t="s">
        <v>52</v>
      </c>
      <c r="F1859" s="81" t="s">
        <v>0</v>
      </c>
    </row>
    <row r="1860" spans="1:6" x14ac:dyDescent="0.25">
      <c r="A1860" s="14">
        <v>46146.217361111114</v>
      </c>
      <c r="B1860" s="81" t="s">
        <v>149</v>
      </c>
      <c r="C1860" s="81" t="s">
        <v>190</v>
      </c>
      <c r="D1860" s="81" t="s">
        <v>262</v>
      </c>
      <c r="E1860" s="81" t="s">
        <v>52</v>
      </c>
      <c r="F1860" s="81" t="s">
        <v>0</v>
      </c>
    </row>
    <row r="1861" spans="1:6" x14ac:dyDescent="0.25">
      <c r="A1861" s="14">
        <v>46146.217361111114</v>
      </c>
      <c r="B1861" s="81" t="s">
        <v>149</v>
      </c>
      <c r="C1861" s="81" t="s">
        <v>182</v>
      </c>
      <c r="D1861" s="81" t="s">
        <v>261</v>
      </c>
      <c r="E1861" s="81" t="s">
        <v>52</v>
      </c>
      <c r="F1861" s="81" t="s">
        <v>0</v>
      </c>
    </row>
    <row r="1862" spans="1:6" x14ac:dyDescent="0.25">
      <c r="A1862" s="14">
        <v>46146.217361111114</v>
      </c>
      <c r="B1862" s="81" t="s">
        <v>149</v>
      </c>
      <c r="C1862" s="81" t="s">
        <v>192</v>
      </c>
      <c r="D1862" s="81" t="s">
        <v>267</v>
      </c>
      <c r="E1862" s="81" t="s">
        <v>60</v>
      </c>
      <c r="F1862" s="81" t="s">
        <v>28</v>
      </c>
    </row>
    <row r="1863" spans="1:6" x14ac:dyDescent="0.25">
      <c r="A1863" s="14">
        <v>46146.217361111114</v>
      </c>
      <c r="B1863" s="81" t="s">
        <v>149</v>
      </c>
      <c r="C1863" s="81" t="s">
        <v>173</v>
      </c>
      <c r="D1863" s="81" t="s">
        <v>261</v>
      </c>
      <c r="E1863" s="81" t="s">
        <v>52</v>
      </c>
      <c r="F1863" s="81" t="s">
        <v>0</v>
      </c>
    </row>
    <row r="1864" spans="1:6" x14ac:dyDescent="0.25">
      <c r="A1864" s="14">
        <v>46146.217361111114</v>
      </c>
      <c r="B1864" s="81" t="s">
        <v>149</v>
      </c>
      <c r="C1864" s="81" t="s">
        <v>171</v>
      </c>
      <c r="D1864" s="81" t="s">
        <v>261</v>
      </c>
      <c r="E1864" s="81" t="s">
        <v>52</v>
      </c>
      <c r="F1864" s="81" t="s">
        <v>0</v>
      </c>
    </row>
    <row r="1865" spans="1:6" x14ac:dyDescent="0.25">
      <c r="A1865" s="14">
        <v>46146.217361111114</v>
      </c>
      <c r="B1865" s="81" t="s">
        <v>149</v>
      </c>
      <c r="C1865" s="81" t="s">
        <v>173</v>
      </c>
      <c r="D1865" s="81" t="s">
        <v>257</v>
      </c>
      <c r="E1865" s="81" t="s">
        <v>50</v>
      </c>
      <c r="F1865" s="81" t="s">
        <v>1</v>
      </c>
    </row>
    <row r="1866" spans="1:6" x14ac:dyDescent="0.25">
      <c r="A1866" s="14">
        <v>46146.217361111114</v>
      </c>
      <c r="B1866" s="81" t="s">
        <v>149</v>
      </c>
      <c r="C1866" s="81" t="s">
        <v>192</v>
      </c>
      <c r="D1866" s="81" t="s">
        <v>261</v>
      </c>
      <c r="E1866" s="81" t="s">
        <v>60</v>
      </c>
      <c r="F1866" s="81" t="s">
        <v>28</v>
      </c>
    </row>
    <row r="1867" spans="1:6" x14ac:dyDescent="0.25">
      <c r="A1867" s="14">
        <v>46146.217361111114</v>
      </c>
      <c r="B1867" s="81" t="s">
        <v>149</v>
      </c>
      <c r="C1867" s="81" t="s">
        <v>151</v>
      </c>
      <c r="D1867" s="81" t="s">
        <v>263</v>
      </c>
      <c r="E1867" s="81" t="s">
        <v>50</v>
      </c>
      <c r="F1867" s="81" t="s">
        <v>1</v>
      </c>
    </row>
    <row r="1868" spans="1:6" x14ac:dyDescent="0.25">
      <c r="A1868" s="14">
        <v>46146.259722222225</v>
      </c>
      <c r="B1868" s="81" t="s">
        <v>149</v>
      </c>
      <c r="C1868" s="81" t="s">
        <v>185</v>
      </c>
      <c r="D1868" s="81" t="s">
        <v>166</v>
      </c>
      <c r="E1868" s="81" t="s">
        <v>50</v>
      </c>
      <c r="F1868" s="81" t="s">
        <v>1</v>
      </c>
    </row>
    <row r="1869" spans="1:6" x14ac:dyDescent="0.25">
      <c r="A1869" s="14">
        <v>46146.259722222225</v>
      </c>
      <c r="B1869" s="81" t="s">
        <v>149</v>
      </c>
      <c r="C1869" s="81" t="s">
        <v>151</v>
      </c>
      <c r="D1869" s="81" t="s">
        <v>163</v>
      </c>
      <c r="E1869" s="81" t="s">
        <v>52</v>
      </c>
      <c r="F1869" s="81" t="s">
        <v>0</v>
      </c>
    </row>
    <row r="1870" spans="1:6" x14ac:dyDescent="0.25">
      <c r="A1870" s="14">
        <v>46146.259722222225</v>
      </c>
      <c r="B1870" s="81" t="s">
        <v>149</v>
      </c>
      <c r="C1870" s="81" t="s">
        <v>177</v>
      </c>
      <c r="D1870" s="81" t="s">
        <v>261</v>
      </c>
      <c r="E1870" s="81" t="s">
        <v>52</v>
      </c>
      <c r="F1870" s="81" t="s">
        <v>0</v>
      </c>
    </row>
    <row r="1871" spans="1:6" x14ac:dyDescent="0.25">
      <c r="A1871" s="14">
        <v>46146.259722222225</v>
      </c>
      <c r="B1871" s="81" t="s">
        <v>149</v>
      </c>
      <c r="C1871" s="81" t="s">
        <v>173</v>
      </c>
      <c r="D1871" s="81" t="s">
        <v>261</v>
      </c>
      <c r="E1871" s="81" t="s">
        <v>52</v>
      </c>
      <c r="F1871" s="81" t="s">
        <v>0</v>
      </c>
    </row>
    <row r="1872" spans="1:6" x14ac:dyDescent="0.25">
      <c r="A1872" s="14">
        <v>46146.259722222225</v>
      </c>
      <c r="B1872" s="81" t="s">
        <v>149</v>
      </c>
      <c r="C1872" s="81" t="s">
        <v>187</v>
      </c>
      <c r="D1872" s="81" t="s">
        <v>229</v>
      </c>
      <c r="E1872" s="81" t="s">
        <v>54</v>
      </c>
      <c r="F1872" s="81" t="s">
        <v>95</v>
      </c>
    </row>
    <row r="1873" spans="1:6" x14ac:dyDescent="0.25">
      <c r="A1873" s="14">
        <v>46146.259722222225</v>
      </c>
      <c r="B1873" s="81" t="s">
        <v>149</v>
      </c>
      <c r="C1873" s="81" t="s">
        <v>182</v>
      </c>
      <c r="D1873" s="81" t="s">
        <v>229</v>
      </c>
      <c r="E1873" s="81" t="s">
        <v>49</v>
      </c>
      <c r="F1873" s="81" t="s">
        <v>2</v>
      </c>
    </row>
    <row r="1874" spans="1:6" x14ac:dyDescent="0.25">
      <c r="A1874" s="14">
        <v>46146.259722222225</v>
      </c>
      <c r="B1874" s="81" t="s">
        <v>149</v>
      </c>
      <c r="C1874" s="81" t="s">
        <v>175</v>
      </c>
      <c r="D1874" s="81" t="s">
        <v>229</v>
      </c>
      <c r="E1874" s="81" t="s">
        <v>50</v>
      </c>
      <c r="F1874" s="81" t="s">
        <v>1</v>
      </c>
    </row>
    <row r="1875" spans="1:6" x14ac:dyDescent="0.25">
      <c r="A1875" s="14">
        <v>46146.259722222225</v>
      </c>
      <c r="B1875" s="81" t="s">
        <v>149</v>
      </c>
      <c r="C1875" s="81" t="s">
        <v>190</v>
      </c>
      <c r="D1875" s="81" t="s">
        <v>229</v>
      </c>
      <c r="E1875" s="81" t="s">
        <v>50</v>
      </c>
      <c r="F1875" s="81" t="s">
        <v>1</v>
      </c>
    </row>
    <row r="1876" spans="1:6" x14ac:dyDescent="0.25">
      <c r="A1876" s="14">
        <v>46146.281944444447</v>
      </c>
      <c r="B1876" s="81" t="s">
        <v>149</v>
      </c>
      <c r="C1876" s="81" t="s">
        <v>173</v>
      </c>
      <c r="D1876" s="81" t="s">
        <v>229</v>
      </c>
      <c r="E1876" s="81" t="s">
        <v>52</v>
      </c>
      <c r="F1876" s="81" t="s">
        <v>0</v>
      </c>
    </row>
    <row r="1877" spans="1:6" x14ac:dyDescent="0.25">
      <c r="A1877" s="14">
        <v>46146.281944444447</v>
      </c>
      <c r="B1877" s="81" t="s">
        <v>149</v>
      </c>
      <c r="C1877" s="81" t="s">
        <v>182</v>
      </c>
      <c r="D1877" s="81" t="s">
        <v>166</v>
      </c>
      <c r="E1877" s="81" t="s">
        <v>50</v>
      </c>
      <c r="F1877" s="81" t="s">
        <v>1</v>
      </c>
    </row>
    <row r="1878" spans="1:6" x14ac:dyDescent="0.25">
      <c r="A1878" s="14">
        <v>46146.281944444447</v>
      </c>
      <c r="B1878" s="81" t="s">
        <v>149</v>
      </c>
      <c r="C1878" s="81" t="s">
        <v>223</v>
      </c>
      <c r="D1878" s="81" t="s">
        <v>229</v>
      </c>
      <c r="E1878" s="81" t="s">
        <v>64</v>
      </c>
      <c r="F1878" s="81" t="s">
        <v>98</v>
      </c>
    </row>
    <row r="1879" spans="1:6" x14ac:dyDescent="0.25">
      <c r="A1879" s="14">
        <v>46146.281944444447</v>
      </c>
      <c r="B1879" s="81" t="s">
        <v>149</v>
      </c>
      <c r="C1879" s="81" t="s">
        <v>181</v>
      </c>
      <c r="D1879" s="81" t="s">
        <v>261</v>
      </c>
      <c r="E1879" s="81" t="s">
        <v>52</v>
      </c>
      <c r="F1879" s="81" t="s">
        <v>0</v>
      </c>
    </row>
    <row r="1880" spans="1:6" x14ac:dyDescent="0.25">
      <c r="A1880" s="14">
        <v>46146.281944444447</v>
      </c>
      <c r="B1880" s="81" t="s">
        <v>149</v>
      </c>
      <c r="C1880" s="81" t="s">
        <v>214</v>
      </c>
      <c r="D1880" s="81" t="s">
        <v>229</v>
      </c>
      <c r="E1880" s="81" t="s">
        <v>65</v>
      </c>
      <c r="F1880" s="81" t="s">
        <v>99</v>
      </c>
    </row>
    <row r="1881" spans="1:6" x14ac:dyDescent="0.25">
      <c r="A1881" s="14">
        <v>46146.281944444447</v>
      </c>
      <c r="B1881" s="81" t="s">
        <v>149</v>
      </c>
      <c r="C1881" s="81" t="s">
        <v>177</v>
      </c>
      <c r="D1881" s="81" t="s">
        <v>229</v>
      </c>
      <c r="E1881" s="81" t="s">
        <v>50</v>
      </c>
      <c r="F1881" s="81" t="s">
        <v>1</v>
      </c>
    </row>
    <row r="1882" spans="1:6" x14ac:dyDescent="0.25">
      <c r="A1882" s="14">
        <v>46146.281944444447</v>
      </c>
      <c r="B1882" s="81" t="s">
        <v>149</v>
      </c>
      <c r="C1882" s="81" t="s">
        <v>183</v>
      </c>
      <c r="D1882" s="81" t="s">
        <v>229</v>
      </c>
      <c r="E1882" s="81" t="s">
        <v>49</v>
      </c>
      <c r="F1882" s="81" t="s">
        <v>2</v>
      </c>
    </row>
    <row r="1883" spans="1:6" x14ac:dyDescent="0.25">
      <c r="A1883" s="14">
        <v>46146.281944444447</v>
      </c>
      <c r="B1883" s="81" t="s">
        <v>149</v>
      </c>
      <c r="C1883" s="81" t="s">
        <v>151</v>
      </c>
      <c r="D1883" s="81" t="s">
        <v>166</v>
      </c>
      <c r="E1883" s="81" t="s">
        <v>50</v>
      </c>
      <c r="F1883" s="81" t="s">
        <v>1</v>
      </c>
    </row>
    <row r="1884" spans="1:6" x14ac:dyDescent="0.25">
      <c r="A1884" s="14">
        <v>46146.281944444447</v>
      </c>
      <c r="B1884" s="81" t="s">
        <v>149</v>
      </c>
      <c r="C1884" s="81" t="s">
        <v>181</v>
      </c>
      <c r="D1884" s="81" t="s">
        <v>229</v>
      </c>
      <c r="E1884" s="81" t="s">
        <v>48</v>
      </c>
      <c r="F1884" s="81" t="s">
        <v>3</v>
      </c>
    </row>
    <row r="1885" spans="1:6" x14ac:dyDescent="0.25">
      <c r="A1885" s="14">
        <v>46146.281944444447</v>
      </c>
      <c r="B1885" s="81" t="s">
        <v>149</v>
      </c>
      <c r="C1885" s="81" t="s">
        <v>185</v>
      </c>
      <c r="D1885" s="81" t="s">
        <v>229</v>
      </c>
      <c r="E1885" s="81" t="s">
        <v>50</v>
      </c>
      <c r="F1885" s="81" t="s">
        <v>1</v>
      </c>
    </row>
    <row r="1886" spans="1:6" x14ac:dyDescent="0.25">
      <c r="A1886" s="14">
        <v>46146.281944444447</v>
      </c>
      <c r="B1886" s="81" t="s">
        <v>149</v>
      </c>
      <c r="C1886" s="81" t="s">
        <v>183</v>
      </c>
      <c r="D1886" s="81" t="s">
        <v>229</v>
      </c>
      <c r="E1886" s="81" t="s">
        <v>50</v>
      </c>
      <c r="F1886" s="81" t="s">
        <v>1</v>
      </c>
    </row>
    <row r="1887" spans="1:6" x14ac:dyDescent="0.25">
      <c r="A1887" s="14">
        <v>46146.281944444447</v>
      </c>
      <c r="B1887" s="81" t="s">
        <v>149</v>
      </c>
      <c r="C1887" s="81" t="s">
        <v>184</v>
      </c>
      <c r="D1887" s="81" t="s">
        <v>229</v>
      </c>
      <c r="E1887" s="81" t="s">
        <v>50</v>
      </c>
      <c r="F1887" s="81" t="s">
        <v>1</v>
      </c>
    </row>
    <row r="1888" spans="1:6" x14ac:dyDescent="0.25">
      <c r="A1888" s="14">
        <v>46146.281944444447</v>
      </c>
      <c r="B1888" s="81" t="s">
        <v>149</v>
      </c>
      <c r="C1888" s="81" t="s">
        <v>182</v>
      </c>
      <c r="D1888" s="81" t="s">
        <v>229</v>
      </c>
      <c r="E1888" s="81" t="s">
        <v>52</v>
      </c>
      <c r="F1888" s="81" t="s">
        <v>0</v>
      </c>
    </row>
    <row r="1889" spans="1:6" x14ac:dyDescent="0.25">
      <c r="A1889" s="14">
        <v>46146.281944444447</v>
      </c>
      <c r="B1889" s="81" t="s">
        <v>149</v>
      </c>
      <c r="C1889" s="81" t="s">
        <v>173</v>
      </c>
      <c r="D1889" s="81" t="s">
        <v>166</v>
      </c>
      <c r="E1889" s="81" t="s">
        <v>52</v>
      </c>
      <c r="F1889" s="81" t="s">
        <v>0</v>
      </c>
    </row>
    <row r="1890" spans="1:6" x14ac:dyDescent="0.25">
      <c r="A1890" s="14">
        <v>46146.281944444447</v>
      </c>
      <c r="B1890" s="81" t="s">
        <v>149</v>
      </c>
      <c r="C1890" s="81" t="s">
        <v>184</v>
      </c>
      <c r="D1890" s="81" t="s">
        <v>166</v>
      </c>
      <c r="E1890" s="81" t="s">
        <v>50</v>
      </c>
      <c r="F1890" s="81" t="s">
        <v>1</v>
      </c>
    </row>
    <row r="1891" spans="1:6" x14ac:dyDescent="0.25">
      <c r="A1891" s="14">
        <v>46146.281944444447</v>
      </c>
      <c r="B1891" s="81" t="s">
        <v>149</v>
      </c>
      <c r="C1891" s="81" t="s">
        <v>181</v>
      </c>
      <c r="D1891" s="81" t="s">
        <v>229</v>
      </c>
      <c r="E1891" s="81" t="s">
        <v>50</v>
      </c>
      <c r="F1891" s="81" t="s">
        <v>1</v>
      </c>
    </row>
    <row r="1892" spans="1:6" x14ac:dyDescent="0.25">
      <c r="A1892" s="14">
        <v>46146.281944444447</v>
      </c>
      <c r="B1892" s="81" t="s">
        <v>149</v>
      </c>
      <c r="C1892" s="81" t="s">
        <v>185</v>
      </c>
      <c r="D1892" s="81" t="s">
        <v>229</v>
      </c>
      <c r="E1892" s="81" t="s">
        <v>52</v>
      </c>
      <c r="F1892" s="81" t="s">
        <v>0</v>
      </c>
    </row>
    <row r="1893" spans="1:6" x14ac:dyDescent="0.25">
      <c r="A1893" s="14">
        <v>46146.281944444447</v>
      </c>
      <c r="B1893" s="81" t="s">
        <v>149</v>
      </c>
      <c r="C1893" s="81" t="s">
        <v>185</v>
      </c>
      <c r="D1893" s="81" t="s">
        <v>166</v>
      </c>
      <c r="E1893" s="81" t="s">
        <v>50</v>
      </c>
      <c r="F1893" s="81" t="s">
        <v>1</v>
      </c>
    </row>
    <row r="1894" spans="1:6" x14ac:dyDescent="0.25">
      <c r="A1894" s="14">
        <v>46146.522916666669</v>
      </c>
      <c r="B1894" s="81" t="s">
        <v>149</v>
      </c>
      <c r="C1894" s="81" t="s">
        <v>181</v>
      </c>
      <c r="D1894" s="81" t="s">
        <v>246</v>
      </c>
      <c r="E1894" s="81" t="s">
        <v>52</v>
      </c>
      <c r="F1894" s="81" t="s">
        <v>0</v>
      </c>
    </row>
    <row r="1895" spans="1:6" x14ac:dyDescent="0.25">
      <c r="A1895" s="14">
        <v>46146.522916666669</v>
      </c>
      <c r="B1895" s="81" t="s">
        <v>149</v>
      </c>
      <c r="C1895" s="81" t="s">
        <v>173</v>
      </c>
      <c r="D1895" s="81" t="s">
        <v>166</v>
      </c>
      <c r="E1895" s="81" t="s">
        <v>50</v>
      </c>
      <c r="F1895" s="81" t="s">
        <v>1</v>
      </c>
    </row>
    <row r="1896" spans="1:6" x14ac:dyDescent="0.25">
      <c r="A1896" s="14">
        <v>46146.522916666669</v>
      </c>
      <c r="B1896" s="81" t="s">
        <v>149</v>
      </c>
      <c r="C1896" s="81" t="s">
        <v>185</v>
      </c>
      <c r="D1896" s="81" t="s">
        <v>261</v>
      </c>
      <c r="E1896" s="81" t="s">
        <v>52</v>
      </c>
      <c r="F1896" s="81" t="s">
        <v>0</v>
      </c>
    </row>
    <row r="1897" spans="1:6" x14ac:dyDescent="0.25">
      <c r="A1897" s="14">
        <v>46146.522916666669</v>
      </c>
      <c r="B1897" s="81" t="s">
        <v>149</v>
      </c>
      <c r="C1897" s="81" t="s">
        <v>175</v>
      </c>
      <c r="D1897" s="81" t="s">
        <v>261</v>
      </c>
      <c r="E1897" s="81" t="s">
        <v>52</v>
      </c>
      <c r="F1897" s="81" t="s">
        <v>0</v>
      </c>
    </row>
    <row r="1898" spans="1:6" x14ac:dyDescent="0.25">
      <c r="A1898" s="14">
        <v>46146.522916666669</v>
      </c>
      <c r="B1898" s="81" t="s">
        <v>149</v>
      </c>
      <c r="C1898" s="81" t="s">
        <v>151</v>
      </c>
      <c r="D1898" s="81" t="s">
        <v>166</v>
      </c>
      <c r="E1898" s="81" t="s">
        <v>50</v>
      </c>
      <c r="F1898" s="81" t="s">
        <v>1</v>
      </c>
    </row>
    <row r="1899" spans="1:6" x14ac:dyDescent="0.25">
      <c r="A1899" s="14">
        <v>46146.522916666669</v>
      </c>
      <c r="B1899" s="81" t="s">
        <v>149</v>
      </c>
      <c r="C1899" s="81" t="s">
        <v>171</v>
      </c>
      <c r="D1899" s="81" t="s">
        <v>166</v>
      </c>
      <c r="E1899" s="81" t="s">
        <v>50</v>
      </c>
      <c r="F1899" s="81" t="s">
        <v>1</v>
      </c>
    </row>
    <row r="1900" spans="1:6" x14ac:dyDescent="0.25">
      <c r="A1900" s="14">
        <v>46146.522916666669</v>
      </c>
      <c r="B1900" s="81" t="s">
        <v>149</v>
      </c>
      <c r="C1900" s="81" t="s">
        <v>151</v>
      </c>
      <c r="D1900" s="81" t="s">
        <v>166</v>
      </c>
      <c r="E1900" s="81" t="s">
        <v>50</v>
      </c>
      <c r="F1900" s="81" t="s">
        <v>1</v>
      </c>
    </row>
    <row r="1901" spans="1:6" x14ac:dyDescent="0.25">
      <c r="A1901" s="14">
        <v>46146.522916666669</v>
      </c>
      <c r="B1901" s="81" t="s">
        <v>149</v>
      </c>
      <c r="C1901" s="81" t="s">
        <v>184</v>
      </c>
      <c r="D1901" s="81" t="s">
        <v>166</v>
      </c>
      <c r="E1901" s="81" t="s">
        <v>50</v>
      </c>
      <c r="F1901" s="81" t="s">
        <v>1</v>
      </c>
    </row>
    <row r="1902" spans="1:6" x14ac:dyDescent="0.25">
      <c r="A1902" s="14">
        <v>46146.522916666669</v>
      </c>
      <c r="B1902" s="81" t="s">
        <v>149</v>
      </c>
      <c r="C1902" s="81" t="s">
        <v>176</v>
      </c>
      <c r="D1902" s="81" t="s">
        <v>167</v>
      </c>
      <c r="E1902" s="81" t="s">
        <v>70</v>
      </c>
      <c r="F1902" s="81" t="s">
        <v>15</v>
      </c>
    </row>
    <row r="1903" spans="1:6" x14ac:dyDescent="0.25">
      <c r="A1903" s="14">
        <v>46146.522916666669</v>
      </c>
      <c r="B1903" s="81" t="s">
        <v>149</v>
      </c>
      <c r="C1903" s="81" t="s">
        <v>188</v>
      </c>
      <c r="D1903" s="81" t="s">
        <v>157</v>
      </c>
      <c r="E1903" s="81" t="s">
        <v>45</v>
      </c>
      <c r="F1903" s="81" t="s">
        <v>28</v>
      </c>
    </row>
    <row r="1904" spans="1:6" x14ac:dyDescent="0.25">
      <c r="A1904" s="14">
        <v>46146.522916666669</v>
      </c>
      <c r="B1904" s="81" t="s">
        <v>149</v>
      </c>
      <c r="C1904" s="81" t="s">
        <v>189</v>
      </c>
      <c r="D1904" s="81" t="s">
        <v>157</v>
      </c>
      <c r="E1904" s="81" t="s">
        <v>45</v>
      </c>
      <c r="F1904" s="81" t="s">
        <v>28</v>
      </c>
    </row>
    <row r="1905" spans="1:6" x14ac:dyDescent="0.25">
      <c r="A1905" s="14">
        <v>46146.522916666669</v>
      </c>
      <c r="B1905" s="81" t="s">
        <v>149</v>
      </c>
      <c r="C1905" s="81" t="s">
        <v>239</v>
      </c>
      <c r="D1905" s="81" t="s">
        <v>157</v>
      </c>
      <c r="E1905" s="81" t="s">
        <v>45</v>
      </c>
      <c r="F1905" s="81" t="s">
        <v>28</v>
      </c>
    </row>
    <row r="1906" spans="1:6" x14ac:dyDescent="0.25">
      <c r="A1906" s="14">
        <v>46146.522916666669</v>
      </c>
      <c r="B1906" s="81" t="s">
        <v>149</v>
      </c>
      <c r="C1906" s="81" t="s">
        <v>185</v>
      </c>
      <c r="D1906" s="81" t="s">
        <v>153</v>
      </c>
      <c r="E1906" s="81" t="s">
        <v>50</v>
      </c>
      <c r="F1906" s="81" t="s">
        <v>1</v>
      </c>
    </row>
    <row r="1907" spans="1:6" x14ac:dyDescent="0.25">
      <c r="A1907" s="14">
        <v>46146.522916666669</v>
      </c>
      <c r="B1907" s="81" t="s">
        <v>149</v>
      </c>
      <c r="C1907" s="81" t="s">
        <v>176</v>
      </c>
      <c r="D1907" s="81" t="s">
        <v>167</v>
      </c>
      <c r="E1907" s="81" t="s">
        <v>70</v>
      </c>
      <c r="F1907" s="81" t="s">
        <v>15</v>
      </c>
    </row>
    <row r="1908" spans="1:6" x14ac:dyDescent="0.25">
      <c r="A1908" s="14">
        <v>46146.522916666669</v>
      </c>
      <c r="B1908" s="81" t="s">
        <v>149</v>
      </c>
      <c r="C1908" s="81" t="s">
        <v>203</v>
      </c>
      <c r="D1908" s="81" t="s">
        <v>193</v>
      </c>
      <c r="E1908" s="81" t="s">
        <v>72</v>
      </c>
      <c r="F1908" s="81" t="s">
        <v>28</v>
      </c>
    </row>
    <row r="1909" spans="1:6" x14ac:dyDescent="0.25">
      <c r="A1909" s="14">
        <v>46146.522916666669</v>
      </c>
      <c r="B1909" s="81" t="s">
        <v>149</v>
      </c>
      <c r="C1909" s="81" t="s">
        <v>203</v>
      </c>
      <c r="D1909" s="81" t="s">
        <v>193</v>
      </c>
      <c r="E1909" s="81" t="s">
        <v>72</v>
      </c>
      <c r="F1909" s="81" t="s">
        <v>28</v>
      </c>
    </row>
    <row r="1910" spans="1:6" x14ac:dyDescent="0.25">
      <c r="A1910" s="14">
        <v>46146.522916666669</v>
      </c>
      <c r="B1910" s="81" t="s">
        <v>149</v>
      </c>
      <c r="C1910" s="81" t="s">
        <v>203</v>
      </c>
      <c r="D1910" s="81" t="s">
        <v>193</v>
      </c>
      <c r="E1910" s="81" t="s">
        <v>72</v>
      </c>
      <c r="F1910" s="81" t="s">
        <v>28</v>
      </c>
    </row>
    <row r="1911" spans="1:6" x14ac:dyDescent="0.25">
      <c r="A1911" s="14">
        <v>46146.522916666669</v>
      </c>
      <c r="B1911" s="81" t="s">
        <v>149</v>
      </c>
      <c r="C1911" s="81" t="s">
        <v>203</v>
      </c>
      <c r="D1911" s="81" t="s">
        <v>193</v>
      </c>
      <c r="E1911" s="81" t="s">
        <v>72</v>
      </c>
      <c r="F1911" s="81" t="s">
        <v>28</v>
      </c>
    </row>
    <row r="1912" spans="1:6" x14ac:dyDescent="0.25">
      <c r="A1912" s="14">
        <v>46146.522916666669</v>
      </c>
      <c r="B1912" s="81" t="s">
        <v>149</v>
      </c>
      <c r="C1912" s="81" t="s">
        <v>203</v>
      </c>
      <c r="D1912" s="81" t="s">
        <v>193</v>
      </c>
      <c r="E1912" s="81" t="s">
        <v>72</v>
      </c>
      <c r="F1912" s="81" t="s">
        <v>28</v>
      </c>
    </row>
    <row r="1913" spans="1:6" x14ac:dyDescent="0.25">
      <c r="A1913" s="14">
        <v>46146.522916666669</v>
      </c>
      <c r="B1913" s="81" t="s">
        <v>149</v>
      </c>
      <c r="C1913" s="81" t="s">
        <v>203</v>
      </c>
      <c r="D1913" s="81" t="s">
        <v>193</v>
      </c>
      <c r="E1913" s="81" t="s">
        <v>72</v>
      </c>
      <c r="F1913" s="81" t="s">
        <v>28</v>
      </c>
    </row>
    <row r="1914" spans="1:6" x14ac:dyDescent="0.25">
      <c r="A1914" s="14">
        <v>46146.522916666669</v>
      </c>
      <c r="B1914" s="81" t="s">
        <v>149</v>
      </c>
      <c r="C1914" s="81" t="s">
        <v>184</v>
      </c>
      <c r="D1914" s="81" t="s">
        <v>153</v>
      </c>
      <c r="E1914" s="81" t="s">
        <v>50</v>
      </c>
      <c r="F1914" s="81" t="s">
        <v>1</v>
      </c>
    </row>
    <row r="1915" spans="1:6" x14ac:dyDescent="0.25">
      <c r="A1915" s="14">
        <v>46146.522916666669</v>
      </c>
      <c r="B1915" s="81" t="s">
        <v>149</v>
      </c>
      <c r="C1915" s="81" t="s">
        <v>182</v>
      </c>
      <c r="D1915" s="81" t="s">
        <v>167</v>
      </c>
      <c r="E1915" s="81" t="s">
        <v>49</v>
      </c>
      <c r="F1915" s="81" t="s">
        <v>2</v>
      </c>
    </row>
    <row r="1916" spans="1:6" x14ac:dyDescent="0.25">
      <c r="A1916" s="14">
        <v>46146.522916666669</v>
      </c>
      <c r="B1916" s="81" t="s">
        <v>149</v>
      </c>
      <c r="C1916" s="81" t="s">
        <v>185</v>
      </c>
      <c r="D1916" s="81" t="s">
        <v>261</v>
      </c>
      <c r="E1916" s="81" t="s">
        <v>52</v>
      </c>
      <c r="F1916" s="81" t="s">
        <v>0</v>
      </c>
    </row>
    <row r="1917" spans="1:6" x14ac:dyDescent="0.25">
      <c r="A1917" s="14">
        <v>46146.522916666669</v>
      </c>
      <c r="B1917" s="81" t="s">
        <v>149</v>
      </c>
      <c r="C1917" s="81" t="s">
        <v>151</v>
      </c>
      <c r="D1917" s="81" t="s">
        <v>262</v>
      </c>
      <c r="E1917" s="81" t="s">
        <v>52</v>
      </c>
      <c r="F1917" s="81" t="s">
        <v>0</v>
      </c>
    </row>
    <row r="1918" spans="1:6" x14ac:dyDescent="0.25">
      <c r="A1918" s="14">
        <v>46146.522916666669</v>
      </c>
      <c r="B1918" s="81" t="s">
        <v>149</v>
      </c>
      <c r="C1918" s="81" t="s">
        <v>171</v>
      </c>
      <c r="D1918" s="81" t="s">
        <v>193</v>
      </c>
      <c r="E1918" s="81" t="s">
        <v>50</v>
      </c>
      <c r="F1918" s="81" t="s">
        <v>1</v>
      </c>
    </row>
    <row r="1919" spans="1:6" x14ac:dyDescent="0.25">
      <c r="A1919" s="14">
        <v>46146.522916666669</v>
      </c>
      <c r="B1919" s="81" t="s">
        <v>149</v>
      </c>
      <c r="C1919" s="81" t="s">
        <v>183</v>
      </c>
      <c r="D1919" s="81" t="s">
        <v>167</v>
      </c>
      <c r="E1919" s="81" t="s">
        <v>49</v>
      </c>
      <c r="F1919" s="81" t="s">
        <v>2</v>
      </c>
    </row>
    <row r="1920" spans="1:6" x14ac:dyDescent="0.25">
      <c r="A1920" s="14">
        <v>46146.522916666669</v>
      </c>
      <c r="B1920" s="81" t="s">
        <v>149</v>
      </c>
      <c r="C1920" s="81" t="s">
        <v>158</v>
      </c>
      <c r="D1920" s="81" t="s">
        <v>167</v>
      </c>
      <c r="E1920" s="81" t="s">
        <v>49</v>
      </c>
      <c r="F1920" s="81" t="s">
        <v>2</v>
      </c>
    </row>
    <row r="1921" spans="1:6" x14ac:dyDescent="0.25">
      <c r="A1921" s="14">
        <v>46146.522916666669</v>
      </c>
      <c r="B1921" s="81" t="s">
        <v>149</v>
      </c>
      <c r="C1921" s="81" t="s">
        <v>185</v>
      </c>
      <c r="D1921" s="81" t="s">
        <v>166</v>
      </c>
      <c r="E1921" s="81" t="s">
        <v>52</v>
      </c>
      <c r="F1921" s="81" t="s">
        <v>0</v>
      </c>
    </row>
    <row r="1922" spans="1:6" x14ac:dyDescent="0.25">
      <c r="A1922" s="14">
        <v>46146.522916666669</v>
      </c>
      <c r="B1922" s="81" t="s">
        <v>149</v>
      </c>
      <c r="C1922" s="81" t="s">
        <v>182</v>
      </c>
      <c r="D1922" s="81" t="s">
        <v>261</v>
      </c>
      <c r="E1922" s="81" t="s">
        <v>52</v>
      </c>
      <c r="F1922" s="81" t="s">
        <v>0</v>
      </c>
    </row>
    <row r="1923" spans="1:6" x14ac:dyDescent="0.25">
      <c r="A1923" s="14">
        <v>46146.522916666669</v>
      </c>
      <c r="B1923" s="81" t="s">
        <v>149</v>
      </c>
      <c r="C1923" s="81" t="s">
        <v>185</v>
      </c>
      <c r="D1923" s="81" t="s">
        <v>262</v>
      </c>
      <c r="E1923" s="81" t="s">
        <v>52</v>
      </c>
      <c r="F1923" s="81" t="s">
        <v>0</v>
      </c>
    </row>
    <row r="1924" spans="1:6" x14ac:dyDescent="0.25">
      <c r="A1924" s="14">
        <v>46146.522916666669</v>
      </c>
      <c r="B1924" s="81" t="s">
        <v>149</v>
      </c>
      <c r="C1924" s="81" t="s">
        <v>182</v>
      </c>
      <c r="D1924" s="81" t="s">
        <v>167</v>
      </c>
      <c r="E1924" s="81" t="s">
        <v>50</v>
      </c>
      <c r="F1924" s="81" t="s">
        <v>1</v>
      </c>
    </row>
    <row r="1925" spans="1:6" x14ac:dyDescent="0.25">
      <c r="A1925" s="14">
        <v>46146.522916666669</v>
      </c>
      <c r="B1925" s="81" t="s">
        <v>149</v>
      </c>
      <c r="C1925" s="81" t="s">
        <v>175</v>
      </c>
      <c r="D1925" s="81" t="s">
        <v>268</v>
      </c>
      <c r="E1925" s="81" t="s">
        <v>50</v>
      </c>
      <c r="F1925" s="81" t="s">
        <v>1</v>
      </c>
    </row>
    <row r="1926" spans="1:6" x14ac:dyDescent="0.25">
      <c r="A1926" s="14">
        <v>46146.522916666669</v>
      </c>
      <c r="B1926" s="81" t="s">
        <v>149</v>
      </c>
      <c r="C1926" s="81" t="s">
        <v>182</v>
      </c>
      <c r="D1926" s="81" t="s">
        <v>167</v>
      </c>
      <c r="E1926" s="81" t="s">
        <v>49</v>
      </c>
      <c r="F1926" s="81" t="s">
        <v>2</v>
      </c>
    </row>
    <row r="1927" spans="1:6" x14ac:dyDescent="0.25">
      <c r="A1927" s="14">
        <v>46146.522916666669</v>
      </c>
      <c r="B1927" s="81" t="s">
        <v>149</v>
      </c>
      <c r="C1927" s="81" t="s">
        <v>151</v>
      </c>
      <c r="D1927" s="81" t="s">
        <v>261</v>
      </c>
      <c r="E1927" s="81" t="s">
        <v>52</v>
      </c>
      <c r="F1927" s="81" t="s">
        <v>0</v>
      </c>
    </row>
    <row r="1928" spans="1:6" x14ac:dyDescent="0.25">
      <c r="A1928" s="14">
        <v>46146.522916666669</v>
      </c>
      <c r="B1928" s="81" t="s">
        <v>149</v>
      </c>
      <c r="C1928" s="81" t="s">
        <v>187</v>
      </c>
      <c r="D1928" s="81" t="s">
        <v>167</v>
      </c>
      <c r="E1928" s="81" t="s">
        <v>75</v>
      </c>
      <c r="F1928" s="81" t="s">
        <v>93</v>
      </c>
    </row>
    <row r="1929" spans="1:6" x14ac:dyDescent="0.25">
      <c r="A1929" s="14">
        <v>46146.522916666669</v>
      </c>
      <c r="B1929" s="81" t="s">
        <v>149</v>
      </c>
      <c r="C1929" s="81" t="s">
        <v>187</v>
      </c>
      <c r="D1929" s="81" t="s">
        <v>167</v>
      </c>
      <c r="E1929" s="81" t="s">
        <v>75</v>
      </c>
      <c r="F1929" s="81" t="s">
        <v>93</v>
      </c>
    </row>
    <row r="1930" spans="1:6" x14ac:dyDescent="0.25">
      <c r="A1930" s="14">
        <v>46146.522916666669</v>
      </c>
      <c r="B1930" s="81" t="s">
        <v>149</v>
      </c>
      <c r="C1930" s="81" t="s">
        <v>187</v>
      </c>
      <c r="D1930" s="81" t="s">
        <v>167</v>
      </c>
      <c r="E1930" s="81" t="s">
        <v>75</v>
      </c>
      <c r="F1930" s="81" t="s">
        <v>93</v>
      </c>
    </row>
    <row r="1931" spans="1:6" x14ac:dyDescent="0.25">
      <c r="A1931" s="14">
        <v>46146.522916666669</v>
      </c>
      <c r="B1931" s="81" t="s">
        <v>149</v>
      </c>
      <c r="C1931" s="81" t="s">
        <v>182</v>
      </c>
      <c r="D1931" s="81" t="s">
        <v>259</v>
      </c>
      <c r="E1931" s="81" t="s">
        <v>52</v>
      </c>
      <c r="F1931" s="81" t="s">
        <v>0</v>
      </c>
    </row>
    <row r="1932" spans="1:6" x14ac:dyDescent="0.25">
      <c r="A1932" s="14">
        <v>46146.522916666669</v>
      </c>
      <c r="B1932" s="81" t="s">
        <v>149</v>
      </c>
      <c r="C1932" s="81" t="s">
        <v>185</v>
      </c>
      <c r="D1932" s="81" t="s">
        <v>246</v>
      </c>
      <c r="E1932" s="81" t="s">
        <v>52</v>
      </c>
      <c r="F1932" s="81" t="s">
        <v>0</v>
      </c>
    </row>
    <row r="1933" spans="1:6" x14ac:dyDescent="0.25">
      <c r="A1933" s="14">
        <v>46146.522916666669</v>
      </c>
      <c r="B1933" s="81" t="s">
        <v>149</v>
      </c>
      <c r="C1933" s="81" t="s">
        <v>177</v>
      </c>
      <c r="D1933" s="81" t="s">
        <v>193</v>
      </c>
      <c r="E1933" s="81" t="s">
        <v>50</v>
      </c>
      <c r="F1933" s="81" t="s">
        <v>1</v>
      </c>
    </row>
    <row r="1934" spans="1:6" x14ac:dyDescent="0.25">
      <c r="A1934" s="14">
        <v>46146.522916666669</v>
      </c>
      <c r="B1934" s="81" t="s">
        <v>149</v>
      </c>
      <c r="C1934" s="81" t="s">
        <v>158</v>
      </c>
      <c r="D1934" s="81" t="s">
        <v>268</v>
      </c>
      <c r="E1934" s="81" t="s">
        <v>50</v>
      </c>
      <c r="F1934" s="81" t="s">
        <v>1</v>
      </c>
    </row>
    <row r="1935" spans="1:6" x14ac:dyDescent="0.25">
      <c r="A1935" s="14">
        <v>46146.522916666669</v>
      </c>
      <c r="B1935" s="81" t="s">
        <v>149</v>
      </c>
      <c r="C1935" s="81" t="s">
        <v>177</v>
      </c>
      <c r="D1935" s="81" t="s">
        <v>193</v>
      </c>
      <c r="E1935" s="81" t="s">
        <v>50</v>
      </c>
      <c r="F1935" s="81" t="s">
        <v>1</v>
      </c>
    </row>
    <row r="1936" spans="1:6" x14ac:dyDescent="0.25">
      <c r="A1936" s="14">
        <v>46146.522916666669</v>
      </c>
      <c r="B1936" s="81" t="s">
        <v>149</v>
      </c>
      <c r="C1936" s="81" t="s">
        <v>182</v>
      </c>
      <c r="D1936" s="81" t="s">
        <v>193</v>
      </c>
      <c r="E1936" s="81" t="s">
        <v>50</v>
      </c>
      <c r="F1936" s="81" t="s">
        <v>1</v>
      </c>
    </row>
    <row r="1937" spans="1:6" x14ac:dyDescent="0.25">
      <c r="A1937" s="14">
        <v>46146.522916666669</v>
      </c>
      <c r="B1937" s="81" t="s">
        <v>149</v>
      </c>
      <c r="C1937" s="81" t="s">
        <v>181</v>
      </c>
      <c r="D1937" s="81" t="s">
        <v>261</v>
      </c>
      <c r="E1937" s="81" t="s">
        <v>52</v>
      </c>
      <c r="F1937" s="81" t="s">
        <v>0</v>
      </c>
    </row>
    <row r="1938" spans="1:6" x14ac:dyDescent="0.25">
      <c r="A1938" s="14">
        <v>46146.522916666669</v>
      </c>
      <c r="B1938" s="81" t="s">
        <v>149</v>
      </c>
      <c r="C1938" s="81" t="s">
        <v>190</v>
      </c>
      <c r="D1938" s="81" t="s">
        <v>261</v>
      </c>
      <c r="E1938" s="81" t="s">
        <v>50</v>
      </c>
      <c r="F1938" s="81" t="s">
        <v>1</v>
      </c>
    </row>
    <row r="1939" spans="1:6" x14ac:dyDescent="0.25">
      <c r="A1939" s="14">
        <v>46146.522916666669</v>
      </c>
      <c r="B1939" s="81" t="s">
        <v>149</v>
      </c>
      <c r="C1939" s="81" t="s">
        <v>185</v>
      </c>
      <c r="D1939" s="81" t="s">
        <v>193</v>
      </c>
      <c r="E1939" s="81" t="s">
        <v>50</v>
      </c>
      <c r="F1939" s="81" t="s">
        <v>1</v>
      </c>
    </row>
    <row r="1940" spans="1:6" x14ac:dyDescent="0.25">
      <c r="A1940" s="14">
        <v>46146.522916666669</v>
      </c>
      <c r="B1940" s="81" t="s">
        <v>149</v>
      </c>
      <c r="C1940" s="81" t="s">
        <v>183</v>
      </c>
      <c r="D1940" s="81" t="s">
        <v>193</v>
      </c>
      <c r="E1940" s="81" t="s">
        <v>50</v>
      </c>
      <c r="F1940" s="81" t="s">
        <v>1</v>
      </c>
    </row>
    <row r="1941" spans="1:6" x14ac:dyDescent="0.25">
      <c r="A1941" s="14">
        <v>46146.522916666669</v>
      </c>
      <c r="B1941" s="81" t="s">
        <v>149</v>
      </c>
      <c r="C1941" s="81" t="s">
        <v>171</v>
      </c>
      <c r="D1941" s="81" t="s">
        <v>261</v>
      </c>
      <c r="E1941" s="81" t="s">
        <v>52</v>
      </c>
      <c r="F1941" s="81" t="s">
        <v>0</v>
      </c>
    </row>
    <row r="1942" spans="1:6" x14ac:dyDescent="0.25">
      <c r="A1942" s="14">
        <v>46146.522916666669</v>
      </c>
      <c r="B1942" s="81" t="s">
        <v>149</v>
      </c>
      <c r="C1942" s="81" t="s">
        <v>192</v>
      </c>
      <c r="D1942" s="81" t="s">
        <v>261</v>
      </c>
      <c r="E1942" s="81" t="s">
        <v>60</v>
      </c>
      <c r="F1942" s="81" t="s">
        <v>28</v>
      </c>
    </row>
    <row r="1943" spans="1:6" x14ac:dyDescent="0.25">
      <c r="A1943" s="14">
        <v>46146.522916666669</v>
      </c>
      <c r="B1943" s="81" t="s">
        <v>149</v>
      </c>
      <c r="C1943" s="81" t="s">
        <v>181</v>
      </c>
      <c r="D1943" s="81" t="s">
        <v>193</v>
      </c>
      <c r="E1943" s="81" t="s">
        <v>50</v>
      </c>
      <c r="F1943" s="81" t="s">
        <v>1</v>
      </c>
    </row>
    <row r="1944" spans="1:6" x14ac:dyDescent="0.25">
      <c r="A1944" s="14">
        <v>46146.522916666669</v>
      </c>
      <c r="B1944" s="81" t="s">
        <v>149</v>
      </c>
      <c r="C1944" s="81" t="s">
        <v>185</v>
      </c>
      <c r="D1944" s="81" t="s">
        <v>261</v>
      </c>
      <c r="E1944" s="81" t="s">
        <v>52</v>
      </c>
      <c r="F1944" s="81" t="s">
        <v>0</v>
      </c>
    </row>
    <row r="1945" spans="1:6" x14ac:dyDescent="0.25">
      <c r="A1945" s="14">
        <v>46146.522916666669</v>
      </c>
      <c r="B1945" s="81" t="s">
        <v>149</v>
      </c>
      <c r="C1945" s="81" t="s">
        <v>183</v>
      </c>
      <c r="D1945" s="81" t="s">
        <v>266</v>
      </c>
      <c r="E1945" s="81" t="s">
        <v>52</v>
      </c>
      <c r="F1945" s="81" t="s">
        <v>0</v>
      </c>
    </row>
    <row r="1946" spans="1:6" x14ac:dyDescent="0.25">
      <c r="A1946" s="14">
        <v>46146.522916666669</v>
      </c>
      <c r="B1946" s="81" t="s">
        <v>149</v>
      </c>
      <c r="C1946" s="81" t="s">
        <v>173</v>
      </c>
      <c r="D1946" s="81" t="s">
        <v>193</v>
      </c>
      <c r="E1946" s="81" t="s">
        <v>50</v>
      </c>
      <c r="F1946" s="81" t="s">
        <v>1</v>
      </c>
    </row>
    <row r="1947" spans="1:6" x14ac:dyDescent="0.25">
      <c r="A1947" s="14">
        <v>46146.522916666669</v>
      </c>
      <c r="B1947" s="81" t="s">
        <v>149</v>
      </c>
      <c r="C1947" s="81" t="s">
        <v>183</v>
      </c>
      <c r="D1947" s="81" t="s">
        <v>261</v>
      </c>
      <c r="E1947" s="81" t="s">
        <v>52</v>
      </c>
      <c r="F1947" s="81" t="s">
        <v>0</v>
      </c>
    </row>
    <row r="1948" spans="1:6" x14ac:dyDescent="0.25">
      <c r="A1948" s="14">
        <v>46146.522916666669</v>
      </c>
      <c r="B1948" s="81" t="s">
        <v>149</v>
      </c>
      <c r="C1948" s="81" t="s">
        <v>184</v>
      </c>
      <c r="D1948" s="81" t="s">
        <v>261</v>
      </c>
      <c r="E1948" s="81" t="s">
        <v>52</v>
      </c>
      <c r="F1948" s="81" t="s">
        <v>0</v>
      </c>
    </row>
    <row r="1949" spans="1:6" x14ac:dyDescent="0.25">
      <c r="A1949" s="14">
        <v>46146.522916666669</v>
      </c>
      <c r="B1949" s="81" t="s">
        <v>149</v>
      </c>
      <c r="C1949" s="81" t="s">
        <v>185</v>
      </c>
      <c r="D1949" s="81" t="s">
        <v>193</v>
      </c>
      <c r="E1949" s="81" t="s">
        <v>50</v>
      </c>
      <c r="F1949" s="81" t="s">
        <v>1</v>
      </c>
    </row>
    <row r="1950" spans="1:6" x14ac:dyDescent="0.25">
      <c r="A1950" s="14">
        <v>46146.522916666669</v>
      </c>
      <c r="B1950" s="81" t="s">
        <v>149</v>
      </c>
      <c r="C1950" s="81" t="s">
        <v>175</v>
      </c>
      <c r="D1950" s="81" t="s">
        <v>165</v>
      </c>
      <c r="E1950" s="81" t="s">
        <v>50</v>
      </c>
      <c r="F1950" s="81" t="s">
        <v>1</v>
      </c>
    </row>
    <row r="1951" spans="1:6" x14ac:dyDescent="0.25">
      <c r="A1951" s="14">
        <v>46146.522916666669</v>
      </c>
      <c r="B1951" s="81" t="s">
        <v>149</v>
      </c>
      <c r="C1951" s="81" t="s">
        <v>175</v>
      </c>
      <c r="D1951" s="81" t="s">
        <v>193</v>
      </c>
      <c r="E1951" s="81" t="s">
        <v>50</v>
      </c>
      <c r="F1951" s="81" t="s">
        <v>1</v>
      </c>
    </row>
    <row r="1952" spans="1:6" x14ac:dyDescent="0.25">
      <c r="A1952" s="14">
        <v>46146.522916666669</v>
      </c>
      <c r="B1952" s="81" t="s">
        <v>149</v>
      </c>
      <c r="C1952" s="81" t="s">
        <v>187</v>
      </c>
      <c r="D1952" s="81" t="s">
        <v>222</v>
      </c>
      <c r="E1952" s="81" t="s">
        <v>54</v>
      </c>
      <c r="F1952" s="81" t="s">
        <v>95</v>
      </c>
    </row>
    <row r="1953" spans="1:6" x14ac:dyDescent="0.25">
      <c r="A1953" s="14">
        <v>46146.522916666669</v>
      </c>
      <c r="B1953" s="81" t="s">
        <v>149</v>
      </c>
      <c r="C1953" s="81" t="s">
        <v>185</v>
      </c>
      <c r="D1953" s="81" t="s">
        <v>193</v>
      </c>
      <c r="E1953" s="81" t="s">
        <v>50</v>
      </c>
      <c r="F1953" s="81" t="s">
        <v>1</v>
      </c>
    </row>
    <row r="1954" spans="1:6" x14ac:dyDescent="0.25">
      <c r="A1954" s="14">
        <v>46146.522916666669</v>
      </c>
      <c r="B1954" s="81" t="s">
        <v>149</v>
      </c>
      <c r="C1954" s="81" t="s">
        <v>176</v>
      </c>
      <c r="D1954" s="81" t="s">
        <v>166</v>
      </c>
      <c r="E1954" s="81" t="s">
        <v>70</v>
      </c>
      <c r="F1954" s="81" t="s">
        <v>15</v>
      </c>
    </row>
    <row r="1955" spans="1:6" x14ac:dyDescent="0.25">
      <c r="A1955" s="14">
        <v>46146.522916666669</v>
      </c>
      <c r="B1955" s="81" t="s">
        <v>149</v>
      </c>
      <c r="C1955" s="81" t="s">
        <v>192</v>
      </c>
      <c r="D1955" s="81" t="s">
        <v>266</v>
      </c>
      <c r="E1955" s="81" t="s">
        <v>60</v>
      </c>
      <c r="F1955" s="81" t="s">
        <v>28</v>
      </c>
    </row>
    <row r="1956" spans="1:6" x14ac:dyDescent="0.25">
      <c r="A1956" s="14">
        <v>46146.522916666669</v>
      </c>
      <c r="B1956" s="81" t="s">
        <v>149</v>
      </c>
      <c r="C1956" s="81" t="s">
        <v>151</v>
      </c>
      <c r="D1956" s="81" t="s">
        <v>193</v>
      </c>
      <c r="E1956" s="81" t="s">
        <v>52</v>
      </c>
      <c r="F1956" s="81" t="s">
        <v>0</v>
      </c>
    </row>
    <row r="1957" spans="1:6" x14ac:dyDescent="0.25">
      <c r="A1957" s="14">
        <v>46146.522916666669</v>
      </c>
      <c r="B1957" s="81" t="s">
        <v>149</v>
      </c>
      <c r="C1957" s="81" t="s">
        <v>187</v>
      </c>
      <c r="D1957" s="81" t="s">
        <v>222</v>
      </c>
      <c r="E1957" s="81" t="s">
        <v>54</v>
      </c>
      <c r="F1957" s="81" t="s">
        <v>95</v>
      </c>
    </row>
    <row r="1958" spans="1:6" x14ac:dyDescent="0.25">
      <c r="A1958" s="14">
        <v>46146.522916666669</v>
      </c>
      <c r="B1958" s="81" t="s">
        <v>149</v>
      </c>
      <c r="C1958" s="81" t="s">
        <v>175</v>
      </c>
      <c r="D1958" s="81" t="s">
        <v>165</v>
      </c>
      <c r="E1958" s="81" t="s">
        <v>50</v>
      </c>
      <c r="F1958" s="81" t="s">
        <v>1</v>
      </c>
    </row>
    <row r="1959" spans="1:6" x14ac:dyDescent="0.25">
      <c r="A1959" s="14">
        <v>46146.522916666669</v>
      </c>
      <c r="B1959" s="81" t="s">
        <v>149</v>
      </c>
      <c r="C1959" s="81" t="s">
        <v>171</v>
      </c>
      <c r="D1959" s="81" t="s">
        <v>165</v>
      </c>
      <c r="E1959" s="81" t="s">
        <v>52</v>
      </c>
      <c r="F1959" s="81" t="s">
        <v>0</v>
      </c>
    </row>
    <row r="1960" spans="1:6" x14ac:dyDescent="0.25">
      <c r="A1960" s="14">
        <v>46146.522916666669</v>
      </c>
      <c r="B1960" s="81" t="s">
        <v>149</v>
      </c>
      <c r="C1960" s="81" t="s">
        <v>203</v>
      </c>
      <c r="D1960" s="81" t="s">
        <v>193</v>
      </c>
      <c r="E1960" s="81" t="s">
        <v>72</v>
      </c>
      <c r="F1960" s="81" t="s">
        <v>28</v>
      </c>
    </row>
    <row r="1961" spans="1:6" x14ac:dyDescent="0.25">
      <c r="A1961" s="14">
        <v>46146.522916666669</v>
      </c>
      <c r="B1961" s="81" t="s">
        <v>149</v>
      </c>
      <c r="C1961" s="81" t="s">
        <v>203</v>
      </c>
      <c r="D1961" s="81" t="s">
        <v>193</v>
      </c>
      <c r="E1961" s="81" t="s">
        <v>72</v>
      </c>
      <c r="F1961" s="81" t="s">
        <v>28</v>
      </c>
    </row>
    <row r="1962" spans="1:6" x14ac:dyDescent="0.25">
      <c r="A1962" s="14">
        <v>46146.522916666669</v>
      </c>
      <c r="B1962" s="81" t="s">
        <v>149</v>
      </c>
      <c r="C1962" s="81" t="s">
        <v>203</v>
      </c>
      <c r="D1962" s="81" t="s">
        <v>193</v>
      </c>
      <c r="E1962" s="81" t="s">
        <v>72</v>
      </c>
      <c r="F1962" s="81" t="s">
        <v>28</v>
      </c>
    </row>
    <row r="1963" spans="1:6" x14ac:dyDescent="0.25">
      <c r="A1963" s="14">
        <v>46146.522916666669</v>
      </c>
      <c r="B1963" s="81" t="s">
        <v>149</v>
      </c>
      <c r="C1963" s="81" t="s">
        <v>175</v>
      </c>
      <c r="D1963" s="81" t="s">
        <v>231</v>
      </c>
      <c r="E1963" s="81" t="s">
        <v>50</v>
      </c>
      <c r="F1963" s="81" t="s">
        <v>1</v>
      </c>
    </row>
    <row r="1964" spans="1:6" x14ac:dyDescent="0.25">
      <c r="A1964" s="14">
        <v>46146.522916666669</v>
      </c>
      <c r="B1964" s="81" t="s">
        <v>149</v>
      </c>
      <c r="C1964" s="81" t="s">
        <v>183</v>
      </c>
      <c r="D1964" s="81" t="s">
        <v>165</v>
      </c>
      <c r="E1964" s="81" t="s">
        <v>50</v>
      </c>
      <c r="F1964" s="81" t="s">
        <v>1</v>
      </c>
    </row>
    <row r="1965" spans="1:6" x14ac:dyDescent="0.25">
      <c r="A1965" s="14">
        <v>46146.522916666669</v>
      </c>
      <c r="B1965" s="81" t="s">
        <v>149</v>
      </c>
      <c r="C1965" s="81" t="s">
        <v>185</v>
      </c>
      <c r="D1965" s="81" t="s">
        <v>165</v>
      </c>
      <c r="E1965" s="81" t="s">
        <v>50</v>
      </c>
      <c r="F1965" s="81" t="s">
        <v>1</v>
      </c>
    </row>
    <row r="1966" spans="1:6" x14ac:dyDescent="0.25">
      <c r="A1966" s="14">
        <v>46146.522916666669</v>
      </c>
      <c r="B1966" s="81" t="s">
        <v>149</v>
      </c>
      <c r="C1966" s="81" t="s">
        <v>182</v>
      </c>
      <c r="D1966" s="81" t="s">
        <v>165</v>
      </c>
      <c r="E1966" s="81" t="s">
        <v>50</v>
      </c>
      <c r="F1966" s="81" t="s">
        <v>1</v>
      </c>
    </row>
    <row r="1967" spans="1:6" x14ac:dyDescent="0.25">
      <c r="A1967" s="14">
        <v>46146.522916666669</v>
      </c>
      <c r="B1967" s="81" t="s">
        <v>149</v>
      </c>
      <c r="C1967" s="81" t="s">
        <v>184</v>
      </c>
      <c r="D1967" s="81" t="s">
        <v>193</v>
      </c>
      <c r="E1967" s="81" t="s">
        <v>52</v>
      </c>
      <c r="F1967" s="81" t="s">
        <v>0</v>
      </c>
    </row>
    <row r="1968" spans="1:6" x14ac:dyDescent="0.25">
      <c r="A1968" s="14">
        <v>46146.522916666669</v>
      </c>
      <c r="B1968" s="81" t="s">
        <v>149</v>
      </c>
      <c r="C1968" s="81" t="s">
        <v>151</v>
      </c>
      <c r="D1968" s="81" t="s">
        <v>165</v>
      </c>
      <c r="E1968" s="81" t="s">
        <v>50</v>
      </c>
      <c r="F1968" s="81" t="s">
        <v>1</v>
      </c>
    </row>
    <row r="1969" spans="1:6" x14ac:dyDescent="0.25">
      <c r="A1969" s="14">
        <v>46146.522916666669</v>
      </c>
      <c r="B1969" s="81" t="s">
        <v>149</v>
      </c>
      <c r="C1969" s="81" t="s">
        <v>175</v>
      </c>
      <c r="D1969" s="81" t="s">
        <v>165</v>
      </c>
      <c r="E1969" s="81" t="s">
        <v>52</v>
      </c>
      <c r="F1969" s="81" t="s">
        <v>0</v>
      </c>
    </row>
    <row r="1970" spans="1:6" x14ac:dyDescent="0.25">
      <c r="A1970" s="14">
        <v>46146.522916666669</v>
      </c>
      <c r="B1970" s="81" t="s">
        <v>149</v>
      </c>
      <c r="C1970" s="81" t="s">
        <v>151</v>
      </c>
      <c r="D1970" s="81" t="s">
        <v>193</v>
      </c>
      <c r="E1970" s="81" t="s">
        <v>50</v>
      </c>
      <c r="F1970" s="81" t="s">
        <v>1</v>
      </c>
    </row>
    <row r="1971" spans="1:6" x14ac:dyDescent="0.25">
      <c r="A1971" s="14">
        <v>46146.522916666669</v>
      </c>
      <c r="B1971" s="81" t="s">
        <v>149</v>
      </c>
      <c r="C1971" s="81" t="s">
        <v>182</v>
      </c>
      <c r="D1971" s="81" t="s">
        <v>193</v>
      </c>
      <c r="E1971" s="81" t="s">
        <v>52</v>
      </c>
      <c r="F1971" s="81" t="s">
        <v>0</v>
      </c>
    </row>
    <row r="1972" spans="1:6" x14ac:dyDescent="0.25">
      <c r="A1972" s="14">
        <v>46146.522916666669</v>
      </c>
      <c r="B1972" s="81" t="s">
        <v>149</v>
      </c>
      <c r="C1972" s="81" t="s">
        <v>187</v>
      </c>
      <c r="D1972" s="81" t="s">
        <v>165</v>
      </c>
      <c r="E1972" s="81" t="s">
        <v>75</v>
      </c>
      <c r="F1972" s="81" t="s">
        <v>93</v>
      </c>
    </row>
    <row r="1973" spans="1:6" x14ac:dyDescent="0.25">
      <c r="A1973" s="14">
        <v>46146.522916666669</v>
      </c>
      <c r="B1973" s="81" t="s">
        <v>149</v>
      </c>
      <c r="C1973" s="81" t="s">
        <v>184</v>
      </c>
      <c r="D1973" s="81" t="s">
        <v>165</v>
      </c>
      <c r="E1973" s="81" t="s">
        <v>50</v>
      </c>
      <c r="F1973" s="81" t="s">
        <v>1</v>
      </c>
    </row>
    <row r="1974" spans="1:6" x14ac:dyDescent="0.25">
      <c r="A1974" s="14">
        <v>46146.522916666669</v>
      </c>
      <c r="B1974" s="81" t="s">
        <v>149</v>
      </c>
      <c r="C1974" s="81" t="s">
        <v>173</v>
      </c>
      <c r="D1974" s="81" t="s">
        <v>165</v>
      </c>
      <c r="E1974" s="81" t="s">
        <v>50</v>
      </c>
      <c r="F1974" s="81" t="s">
        <v>1</v>
      </c>
    </row>
    <row r="1975" spans="1:6" x14ac:dyDescent="0.25">
      <c r="A1975" s="14">
        <v>46146.522916666669</v>
      </c>
      <c r="B1975" s="81" t="s">
        <v>149</v>
      </c>
      <c r="C1975" s="81" t="s">
        <v>183</v>
      </c>
      <c r="D1975" s="81" t="s">
        <v>193</v>
      </c>
      <c r="E1975" s="81" t="s">
        <v>50</v>
      </c>
      <c r="F1975" s="81" t="s">
        <v>1</v>
      </c>
    </row>
    <row r="1976" spans="1:6" x14ac:dyDescent="0.25">
      <c r="A1976" s="14">
        <v>46146.522916666669</v>
      </c>
      <c r="B1976" s="81" t="s">
        <v>149</v>
      </c>
      <c r="C1976" s="81" t="s">
        <v>190</v>
      </c>
      <c r="D1976" s="81" t="s">
        <v>193</v>
      </c>
      <c r="E1976" s="81" t="s">
        <v>50</v>
      </c>
      <c r="F1976" s="81" t="s">
        <v>1</v>
      </c>
    </row>
    <row r="1977" spans="1:6" x14ac:dyDescent="0.25">
      <c r="A1977" s="14">
        <v>46146.522916666669</v>
      </c>
      <c r="B1977" s="81" t="s">
        <v>149</v>
      </c>
      <c r="C1977" s="81" t="s">
        <v>181</v>
      </c>
      <c r="D1977" s="81" t="s">
        <v>202</v>
      </c>
      <c r="E1977" s="81" t="s">
        <v>49</v>
      </c>
      <c r="F1977" s="81" t="s">
        <v>2</v>
      </c>
    </row>
    <row r="1978" spans="1:6" x14ac:dyDescent="0.25">
      <c r="A1978" s="14">
        <v>46146.522916666669</v>
      </c>
      <c r="B1978" s="81" t="s">
        <v>149</v>
      </c>
      <c r="C1978" s="81" t="s">
        <v>171</v>
      </c>
      <c r="D1978" s="81" t="s">
        <v>165</v>
      </c>
      <c r="E1978" s="81" t="s">
        <v>52</v>
      </c>
      <c r="F1978" s="81" t="s">
        <v>0</v>
      </c>
    </row>
    <row r="1979" spans="1:6" x14ac:dyDescent="0.25">
      <c r="A1979" s="14">
        <v>46146.522916666669</v>
      </c>
      <c r="B1979" s="81" t="s">
        <v>149</v>
      </c>
      <c r="C1979" s="81" t="s">
        <v>175</v>
      </c>
      <c r="D1979" s="81" t="s">
        <v>222</v>
      </c>
      <c r="E1979" s="81" t="s">
        <v>48</v>
      </c>
      <c r="F1979" s="81" t="s">
        <v>3</v>
      </c>
    </row>
    <row r="1980" spans="1:6" x14ac:dyDescent="0.25">
      <c r="A1980" s="14">
        <v>46146.522916666669</v>
      </c>
      <c r="B1980" s="81" t="s">
        <v>149</v>
      </c>
      <c r="C1980" s="81" t="s">
        <v>151</v>
      </c>
      <c r="D1980" s="81" t="s">
        <v>261</v>
      </c>
      <c r="E1980" s="81" t="s">
        <v>50</v>
      </c>
      <c r="F1980" s="81" t="s">
        <v>1</v>
      </c>
    </row>
    <row r="1981" spans="1:6" x14ac:dyDescent="0.25">
      <c r="A1981" s="14">
        <v>46146.522916666669</v>
      </c>
      <c r="B1981" s="81" t="s">
        <v>149</v>
      </c>
      <c r="C1981" s="81" t="s">
        <v>175</v>
      </c>
      <c r="D1981" s="81" t="s">
        <v>165</v>
      </c>
      <c r="E1981" s="81" t="s">
        <v>50</v>
      </c>
      <c r="F1981" s="81" t="s">
        <v>1</v>
      </c>
    </row>
    <row r="1982" spans="1:6" x14ac:dyDescent="0.25">
      <c r="A1982" s="14">
        <v>46146.522916666669</v>
      </c>
      <c r="B1982" s="81" t="s">
        <v>149</v>
      </c>
      <c r="C1982" s="81" t="s">
        <v>173</v>
      </c>
      <c r="D1982" s="81" t="s">
        <v>165</v>
      </c>
      <c r="E1982" s="81" t="s">
        <v>50</v>
      </c>
      <c r="F1982" s="81" t="s">
        <v>1</v>
      </c>
    </row>
    <row r="1983" spans="1:6" x14ac:dyDescent="0.25">
      <c r="A1983" s="14">
        <v>46146.522916666669</v>
      </c>
      <c r="B1983" s="81" t="s">
        <v>149</v>
      </c>
      <c r="C1983" s="81" t="s">
        <v>184</v>
      </c>
      <c r="D1983" s="81" t="s">
        <v>261</v>
      </c>
      <c r="E1983" s="81" t="s">
        <v>52</v>
      </c>
      <c r="F1983" s="81" t="s">
        <v>0</v>
      </c>
    </row>
    <row r="1984" spans="1:6" x14ac:dyDescent="0.25">
      <c r="A1984" s="14">
        <v>46146.522916666669</v>
      </c>
      <c r="B1984" s="81" t="s">
        <v>149</v>
      </c>
      <c r="C1984" s="81" t="s">
        <v>177</v>
      </c>
      <c r="D1984" s="81" t="s">
        <v>165</v>
      </c>
      <c r="E1984" s="81" t="s">
        <v>50</v>
      </c>
      <c r="F1984" s="81" t="s">
        <v>1</v>
      </c>
    </row>
    <row r="1985" spans="1:6" x14ac:dyDescent="0.25">
      <c r="A1985" s="14">
        <v>46146.522916666669</v>
      </c>
      <c r="B1985" s="81" t="s">
        <v>149</v>
      </c>
      <c r="C1985" s="81" t="s">
        <v>217</v>
      </c>
      <c r="D1985" s="81" t="s">
        <v>162</v>
      </c>
      <c r="E1985" s="81" t="s">
        <v>65</v>
      </c>
      <c r="F1985" s="81" t="s">
        <v>99</v>
      </c>
    </row>
    <row r="1986" spans="1:6" x14ac:dyDescent="0.25">
      <c r="A1986" s="14">
        <v>46146.522916666669</v>
      </c>
      <c r="B1986" s="81" t="s">
        <v>149</v>
      </c>
      <c r="C1986" s="81" t="s">
        <v>187</v>
      </c>
      <c r="D1986" s="81" t="s">
        <v>165</v>
      </c>
      <c r="E1986" s="81" t="s">
        <v>75</v>
      </c>
      <c r="F1986" s="81" t="s">
        <v>93</v>
      </c>
    </row>
    <row r="1987" spans="1:6" x14ac:dyDescent="0.25">
      <c r="A1987" s="14">
        <v>46146.522916666669</v>
      </c>
      <c r="B1987" s="81" t="s">
        <v>149</v>
      </c>
      <c r="C1987" s="81" t="s">
        <v>217</v>
      </c>
      <c r="D1987" s="81" t="s">
        <v>162</v>
      </c>
      <c r="E1987" s="81" t="s">
        <v>64</v>
      </c>
      <c r="F1987" s="81" t="s">
        <v>98</v>
      </c>
    </row>
    <row r="1988" spans="1:6" x14ac:dyDescent="0.25">
      <c r="A1988" s="14">
        <v>46146.522916666669</v>
      </c>
      <c r="B1988" s="81" t="s">
        <v>149</v>
      </c>
      <c r="C1988" s="81" t="s">
        <v>176</v>
      </c>
      <c r="D1988" s="81" t="s">
        <v>167</v>
      </c>
      <c r="E1988" s="81" t="s">
        <v>70</v>
      </c>
      <c r="F1988" s="81" t="s">
        <v>15</v>
      </c>
    </row>
    <row r="1989" spans="1:6" x14ac:dyDescent="0.25">
      <c r="A1989" s="14">
        <v>46146.522916666669</v>
      </c>
      <c r="B1989" s="81" t="s">
        <v>149</v>
      </c>
      <c r="C1989" s="81" t="s">
        <v>187</v>
      </c>
      <c r="D1989" s="81" t="s">
        <v>165</v>
      </c>
      <c r="E1989" s="81" t="s">
        <v>75</v>
      </c>
      <c r="F1989" s="81" t="s">
        <v>93</v>
      </c>
    </row>
    <row r="1990" spans="1:6" x14ac:dyDescent="0.25">
      <c r="A1990" s="14">
        <v>46146.522916666669</v>
      </c>
      <c r="B1990" s="81" t="s">
        <v>149</v>
      </c>
      <c r="C1990" s="81" t="s">
        <v>183</v>
      </c>
      <c r="D1990" s="81" t="s">
        <v>261</v>
      </c>
      <c r="E1990" s="81" t="s">
        <v>52</v>
      </c>
      <c r="F1990" s="81" t="s">
        <v>0</v>
      </c>
    </row>
    <row r="1991" spans="1:6" x14ac:dyDescent="0.25">
      <c r="A1991" s="14">
        <v>46146.522916666669</v>
      </c>
      <c r="B1991" s="81" t="s">
        <v>149</v>
      </c>
      <c r="C1991" s="81" t="s">
        <v>190</v>
      </c>
      <c r="D1991" s="81" t="s">
        <v>165</v>
      </c>
      <c r="E1991" s="81" t="s">
        <v>50</v>
      </c>
      <c r="F1991" s="81" t="s">
        <v>1</v>
      </c>
    </row>
    <row r="1992" spans="1:6" x14ac:dyDescent="0.25">
      <c r="A1992" s="14">
        <v>46146.522916666669</v>
      </c>
      <c r="B1992" s="81" t="s">
        <v>149</v>
      </c>
      <c r="C1992" s="81" t="s">
        <v>176</v>
      </c>
      <c r="D1992" s="81" t="s">
        <v>167</v>
      </c>
      <c r="E1992" s="81" t="s">
        <v>70</v>
      </c>
      <c r="F1992" s="81" t="s">
        <v>15</v>
      </c>
    </row>
    <row r="1993" spans="1:6" x14ac:dyDescent="0.25">
      <c r="A1993" s="14">
        <v>46146.522916666669</v>
      </c>
      <c r="B1993" s="81" t="s">
        <v>149</v>
      </c>
      <c r="C1993" s="81" t="s">
        <v>187</v>
      </c>
      <c r="D1993" s="81" t="s">
        <v>167</v>
      </c>
      <c r="E1993" s="81" t="s">
        <v>75</v>
      </c>
      <c r="F1993" s="81" t="s">
        <v>93</v>
      </c>
    </row>
    <row r="1994" spans="1:6" x14ac:dyDescent="0.25">
      <c r="A1994" s="14">
        <v>46146.522916666669</v>
      </c>
      <c r="B1994" s="81" t="s">
        <v>149</v>
      </c>
      <c r="C1994" s="81" t="s">
        <v>171</v>
      </c>
      <c r="D1994" s="81" t="s">
        <v>164</v>
      </c>
      <c r="E1994" s="81" t="s">
        <v>49</v>
      </c>
      <c r="F1994" s="81" t="s">
        <v>2</v>
      </c>
    </row>
    <row r="1995" spans="1:6" x14ac:dyDescent="0.25">
      <c r="A1995" s="14">
        <v>46146.522916666669</v>
      </c>
      <c r="B1995" s="81" t="s">
        <v>149</v>
      </c>
      <c r="C1995" s="81" t="s">
        <v>187</v>
      </c>
      <c r="D1995" s="81" t="s">
        <v>167</v>
      </c>
      <c r="E1995" s="81" t="s">
        <v>75</v>
      </c>
      <c r="F1995" s="81" t="s">
        <v>93</v>
      </c>
    </row>
    <row r="1996" spans="1:6" x14ac:dyDescent="0.25">
      <c r="A1996" s="14">
        <v>46146.522916666669</v>
      </c>
      <c r="B1996" s="81" t="s">
        <v>149</v>
      </c>
      <c r="C1996" s="81" t="s">
        <v>181</v>
      </c>
      <c r="D1996" s="81" t="s">
        <v>164</v>
      </c>
      <c r="E1996" s="81" t="s">
        <v>52</v>
      </c>
      <c r="F1996" s="81" t="s">
        <v>0</v>
      </c>
    </row>
    <row r="1997" spans="1:6" x14ac:dyDescent="0.25">
      <c r="A1997" s="14">
        <v>46146.522916666669</v>
      </c>
      <c r="B1997" s="81" t="s">
        <v>149</v>
      </c>
      <c r="C1997" s="81" t="s">
        <v>176</v>
      </c>
      <c r="D1997" s="81" t="s">
        <v>167</v>
      </c>
      <c r="E1997" s="81" t="s">
        <v>70</v>
      </c>
      <c r="F1997" s="81" t="s">
        <v>15</v>
      </c>
    </row>
    <row r="1998" spans="1:6" x14ac:dyDescent="0.25">
      <c r="A1998" s="14">
        <v>46146.522916666669</v>
      </c>
      <c r="B1998" s="81" t="s">
        <v>149</v>
      </c>
      <c r="C1998" s="81" t="s">
        <v>171</v>
      </c>
      <c r="D1998" s="81" t="s">
        <v>164</v>
      </c>
      <c r="E1998" s="81" t="s">
        <v>50</v>
      </c>
      <c r="F1998" s="81" t="s">
        <v>1</v>
      </c>
    </row>
    <row r="1999" spans="1:6" x14ac:dyDescent="0.25">
      <c r="A1999" s="14">
        <v>46146.522916666669</v>
      </c>
      <c r="B1999" s="81" t="s">
        <v>149</v>
      </c>
      <c r="C1999" s="81" t="s">
        <v>187</v>
      </c>
      <c r="D1999" s="81" t="s">
        <v>167</v>
      </c>
      <c r="E1999" s="81" t="s">
        <v>75</v>
      </c>
      <c r="F1999" s="81" t="s">
        <v>93</v>
      </c>
    </row>
    <row r="2000" spans="1:6" x14ac:dyDescent="0.25">
      <c r="A2000" s="14">
        <v>46146.522916666669</v>
      </c>
      <c r="B2000" s="81" t="s">
        <v>149</v>
      </c>
      <c r="C2000" s="81" t="s">
        <v>177</v>
      </c>
      <c r="D2000" s="81" t="s">
        <v>261</v>
      </c>
      <c r="E2000" s="81" t="s">
        <v>52</v>
      </c>
      <c r="F2000" s="81" t="s">
        <v>0</v>
      </c>
    </row>
    <row r="2001" spans="1:6" x14ac:dyDescent="0.25">
      <c r="A2001" s="14">
        <v>46146.522916666669</v>
      </c>
      <c r="B2001" s="81" t="s">
        <v>149</v>
      </c>
      <c r="C2001" s="81" t="s">
        <v>158</v>
      </c>
      <c r="D2001" s="81" t="s">
        <v>167</v>
      </c>
      <c r="E2001" s="81" t="s">
        <v>50</v>
      </c>
      <c r="F2001" s="81" t="s">
        <v>1</v>
      </c>
    </row>
    <row r="2002" spans="1:6" x14ac:dyDescent="0.25">
      <c r="A2002" s="14">
        <v>46146.522916666669</v>
      </c>
      <c r="B2002" s="81" t="s">
        <v>149</v>
      </c>
      <c r="C2002" s="81" t="s">
        <v>181</v>
      </c>
      <c r="D2002" s="81" t="s">
        <v>164</v>
      </c>
      <c r="E2002" s="81" t="s">
        <v>50</v>
      </c>
      <c r="F2002" s="81" t="s">
        <v>1</v>
      </c>
    </row>
    <row r="2003" spans="1:6" x14ac:dyDescent="0.25">
      <c r="A2003" s="14">
        <v>46146.522916666669</v>
      </c>
      <c r="B2003" s="81" t="s">
        <v>149</v>
      </c>
      <c r="C2003" s="81" t="s">
        <v>176</v>
      </c>
      <c r="D2003" s="81" t="s">
        <v>167</v>
      </c>
      <c r="E2003" s="81" t="s">
        <v>70</v>
      </c>
      <c r="F2003" s="81" t="s">
        <v>15</v>
      </c>
    </row>
    <row r="2004" spans="1:6" x14ac:dyDescent="0.25">
      <c r="A2004" s="14">
        <v>46146.522916666669</v>
      </c>
      <c r="B2004" s="81" t="s">
        <v>149</v>
      </c>
      <c r="C2004" s="81" t="s">
        <v>176</v>
      </c>
      <c r="D2004" s="81" t="s">
        <v>261</v>
      </c>
      <c r="E2004" s="81" t="s">
        <v>70</v>
      </c>
      <c r="F2004" s="81" t="s">
        <v>15</v>
      </c>
    </row>
    <row r="2005" spans="1:6" x14ac:dyDescent="0.25">
      <c r="A2005" s="14">
        <v>46146.522916666669</v>
      </c>
      <c r="B2005" s="81" t="s">
        <v>149</v>
      </c>
      <c r="C2005" s="81" t="s">
        <v>173</v>
      </c>
      <c r="D2005" s="81" t="s">
        <v>156</v>
      </c>
      <c r="E2005" s="81" t="s">
        <v>49</v>
      </c>
      <c r="F2005" s="81" t="s">
        <v>2</v>
      </c>
    </row>
    <row r="2006" spans="1:6" x14ac:dyDescent="0.25">
      <c r="A2006" s="14">
        <v>46146.522916666669</v>
      </c>
      <c r="B2006" s="81" t="s">
        <v>149</v>
      </c>
      <c r="C2006" s="81" t="s">
        <v>185</v>
      </c>
      <c r="D2006" s="81" t="s">
        <v>164</v>
      </c>
      <c r="E2006" s="81" t="s">
        <v>49</v>
      </c>
      <c r="F2006" s="81" t="s">
        <v>2</v>
      </c>
    </row>
    <row r="2007" spans="1:6" x14ac:dyDescent="0.25">
      <c r="A2007" s="14">
        <v>46146.522916666669</v>
      </c>
      <c r="B2007" s="81" t="s">
        <v>149</v>
      </c>
      <c r="C2007" s="81" t="s">
        <v>218</v>
      </c>
      <c r="D2007" s="81" t="s">
        <v>156</v>
      </c>
      <c r="E2007" s="81" t="s">
        <v>64</v>
      </c>
      <c r="F2007" s="81" t="s">
        <v>98</v>
      </c>
    </row>
    <row r="2008" spans="1:6" x14ac:dyDescent="0.25">
      <c r="A2008" s="14">
        <v>46146.522916666669</v>
      </c>
      <c r="B2008" s="81" t="s">
        <v>149</v>
      </c>
      <c r="C2008" s="81" t="s">
        <v>187</v>
      </c>
      <c r="D2008" s="81" t="s">
        <v>167</v>
      </c>
      <c r="E2008" s="81" t="s">
        <v>75</v>
      </c>
      <c r="F2008" s="81" t="s">
        <v>93</v>
      </c>
    </row>
    <row r="2009" spans="1:6" x14ac:dyDescent="0.25">
      <c r="A2009" s="14">
        <v>46146.522916666669</v>
      </c>
      <c r="B2009" s="81" t="s">
        <v>149</v>
      </c>
      <c r="C2009" s="81" t="s">
        <v>185</v>
      </c>
      <c r="D2009" s="81" t="s">
        <v>261</v>
      </c>
      <c r="E2009" s="81" t="s">
        <v>50</v>
      </c>
      <c r="F2009" s="81" t="s">
        <v>1</v>
      </c>
    </row>
    <row r="2010" spans="1:6" x14ac:dyDescent="0.25">
      <c r="A2010" s="14">
        <v>46146.522916666669</v>
      </c>
      <c r="B2010" s="81" t="s">
        <v>149</v>
      </c>
      <c r="C2010" s="81" t="s">
        <v>218</v>
      </c>
      <c r="D2010" s="81" t="s">
        <v>156</v>
      </c>
      <c r="E2010" s="81" t="s">
        <v>64</v>
      </c>
      <c r="F2010" s="81" t="s">
        <v>98</v>
      </c>
    </row>
    <row r="2011" spans="1:6" x14ac:dyDescent="0.25">
      <c r="A2011" s="14">
        <v>46146.522916666669</v>
      </c>
      <c r="B2011" s="81" t="s">
        <v>149</v>
      </c>
      <c r="C2011" s="81" t="s">
        <v>177</v>
      </c>
      <c r="D2011" s="81" t="s">
        <v>164</v>
      </c>
      <c r="E2011" s="81" t="s">
        <v>52</v>
      </c>
      <c r="F2011" s="81" t="s">
        <v>0</v>
      </c>
    </row>
    <row r="2012" spans="1:6" x14ac:dyDescent="0.25">
      <c r="A2012" s="14">
        <v>46146.522916666669</v>
      </c>
      <c r="B2012" s="81" t="s">
        <v>149</v>
      </c>
      <c r="C2012" s="81" t="s">
        <v>181</v>
      </c>
      <c r="D2012" s="81" t="s">
        <v>261</v>
      </c>
      <c r="E2012" s="81" t="s">
        <v>50</v>
      </c>
      <c r="F2012" s="81" t="s">
        <v>1</v>
      </c>
    </row>
    <row r="2013" spans="1:6" x14ac:dyDescent="0.25">
      <c r="A2013" s="14">
        <v>46146.522916666669</v>
      </c>
      <c r="B2013" s="81" t="s">
        <v>149</v>
      </c>
      <c r="C2013" s="81" t="s">
        <v>218</v>
      </c>
      <c r="D2013" s="81" t="s">
        <v>156</v>
      </c>
      <c r="E2013" s="81" t="s">
        <v>64</v>
      </c>
      <c r="F2013" s="81" t="s">
        <v>98</v>
      </c>
    </row>
    <row r="2014" spans="1:6" x14ac:dyDescent="0.25">
      <c r="A2014" s="14">
        <v>46146.522916666669</v>
      </c>
      <c r="B2014" s="81" t="s">
        <v>149</v>
      </c>
      <c r="C2014" s="81" t="s">
        <v>187</v>
      </c>
      <c r="D2014" s="81" t="s">
        <v>261</v>
      </c>
      <c r="E2014" s="81" t="s">
        <v>75</v>
      </c>
      <c r="F2014" s="81" t="s">
        <v>93</v>
      </c>
    </row>
    <row r="2015" spans="1:6" x14ac:dyDescent="0.25">
      <c r="A2015" s="14">
        <v>46146.522916666669</v>
      </c>
      <c r="B2015" s="81" t="s">
        <v>149</v>
      </c>
      <c r="C2015" s="81" t="s">
        <v>187</v>
      </c>
      <c r="D2015" s="81" t="s">
        <v>164</v>
      </c>
      <c r="E2015" s="81" t="s">
        <v>75</v>
      </c>
      <c r="F2015" s="81" t="s">
        <v>93</v>
      </c>
    </row>
    <row r="2016" spans="1:6" x14ac:dyDescent="0.25">
      <c r="A2016" s="14">
        <v>46146.522916666669</v>
      </c>
      <c r="B2016" s="81" t="s">
        <v>149</v>
      </c>
      <c r="C2016" s="81" t="s">
        <v>187</v>
      </c>
      <c r="D2016" s="81" t="s">
        <v>164</v>
      </c>
      <c r="E2016" s="81" t="s">
        <v>75</v>
      </c>
      <c r="F2016" s="81" t="s">
        <v>93</v>
      </c>
    </row>
    <row r="2017" spans="1:6" x14ac:dyDescent="0.25">
      <c r="A2017" s="14">
        <v>46146.522916666669</v>
      </c>
      <c r="B2017" s="81" t="s">
        <v>149</v>
      </c>
      <c r="C2017" s="81" t="s">
        <v>218</v>
      </c>
      <c r="D2017" s="81" t="s">
        <v>156</v>
      </c>
      <c r="E2017" s="81" t="s">
        <v>64</v>
      </c>
      <c r="F2017" s="81" t="s">
        <v>98</v>
      </c>
    </row>
    <row r="2018" spans="1:6" x14ac:dyDescent="0.25">
      <c r="A2018" s="14">
        <v>46146.522916666669</v>
      </c>
      <c r="B2018" s="81" t="s">
        <v>149</v>
      </c>
      <c r="C2018" s="81" t="s">
        <v>184</v>
      </c>
      <c r="D2018" s="81" t="s">
        <v>164</v>
      </c>
      <c r="E2018" s="81" t="s">
        <v>64</v>
      </c>
      <c r="F2018" s="81" t="s">
        <v>98</v>
      </c>
    </row>
    <row r="2019" spans="1:6" x14ac:dyDescent="0.25">
      <c r="A2019" s="14">
        <v>46146.522916666669</v>
      </c>
      <c r="B2019" s="81" t="s">
        <v>149</v>
      </c>
      <c r="C2019" s="81" t="s">
        <v>840</v>
      </c>
      <c r="D2019" s="81" t="s">
        <v>156</v>
      </c>
      <c r="E2019" s="81" t="s">
        <v>64</v>
      </c>
      <c r="F2019" s="81" t="s">
        <v>98</v>
      </c>
    </row>
    <row r="2020" spans="1:6" x14ac:dyDescent="0.25">
      <c r="A2020" s="14">
        <v>46146.522916666669</v>
      </c>
      <c r="B2020" s="81" t="s">
        <v>195</v>
      </c>
      <c r="C2020" s="81" t="s">
        <v>198</v>
      </c>
      <c r="D2020" s="81" t="s">
        <v>166</v>
      </c>
      <c r="E2020" s="81" t="s">
        <v>24</v>
      </c>
      <c r="F2020" s="81" t="s">
        <v>24</v>
      </c>
    </row>
    <row r="2021" spans="1:6" x14ac:dyDescent="0.25">
      <c r="A2021" s="14">
        <v>46146.522916666669</v>
      </c>
      <c r="B2021" s="81" t="s">
        <v>195</v>
      </c>
      <c r="C2021" s="81" t="s">
        <v>198</v>
      </c>
      <c r="D2021" s="81" t="s">
        <v>166</v>
      </c>
      <c r="E2021" s="81" t="s">
        <v>24</v>
      </c>
      <c r="F2021" s="81" t="s">
        <v>24</v>
      </c>
    </row>
    <row r="2022" spans="1:6" x14ac:dyDescent="0.25">
      <c r="A2022" s="14">
        <v>46146.522916666669</v>
      </c>
      <c r="B2022" s="81" t="s">
        <v>195</v>
      </c>
      <c r="C2022" s="81" t="s">
        <v>198</v>
      </c>
      <c r="D2022" s="81" t="s">
        <v>166</v>
      </c>
      <c r="E2022" s="81" t="s">
        <v>24</v>
      </c>
      <c r="F2022" s="81" t="s">
        <v>24</v>
      </c>
    </row>
    <row r="2023" spans="1:6" x14ac:dyDescent="0.25">
      <c r="A2023" s="14">
        <v>46146.522916666669</v>
      </c>
      <c r="B2023" s="81" t="s">
        <v>195</v>
      </c>
      <c r="C2023" s="81" t="s">
        <v>209</v>
      </c>
      <c r="D2023" s="81" t="s">
        <v>222</v>
      </c>
      <c r="E2023" s="81" t="s">
        <v>24</v>
      </c>
      <c r="F2023" s="81" t="s">
        <v>24</v>
      </c>
    </row>
    <row r="2024" spans="1:6" x14ac:dyDescent="0.25">
      <c r="A2024" s="14">
        <v>46146.522916666669</v>
      </c>
      <c r="B2024" s="81" t="s">
        <v>195</v>
      </c>
      <c r="C2024" s="81" t="s">
        <v>209</v>
      </c>
      <c r="D2024" s="81" t="s">
        <v>222</v>
      </c>
      <c r="E2024" s="81" t="s">
        <v>24</v>
      </c>
      <c r="F2024" s="81" t="s">
        <v>24</v>
      </c>
    </row>
    <row r="2025" spans="1:6" x14ac:dyDescent="0.25">
      <c r="A2025" s="14">
        <v>46146.522916666669</v>
      </c>
      <c r="B2025" s="81" t="s">
        <v>195</v>
      </c>
      <c r="C2025" s="81" t="s">
        <v>209</v>
      </c>
      <c r="D2025" s="81" t="s">
        <v>222</v>
      </c>
      <c r="E2025" s="81" t="s">
        <v>24</v>
      </c>
      <c r="F2025" s="81" t="s">
        <v>24</v>
      </c>
    </row>
    <row r="2026" spans="1:6" x14ac:dyDescent="0.25">
      <c r="A2026" s="14">
        <v>46146.522916666669</v>
      </c>
      <c r="B2026" s="81" t="s">
        <v>195</v>
      </c>
      <c r="C2026" s="81" t="s">
        <v>197</v>
      </c>
      <c r="D2026" s="81" t="s">
        <v>238</v>
      </c>
      <c r="E2026" s="81" t="s">
        <v>24</v>
      </c>
      <c r="F2026" s="81" t="s">
        <v>24</v>
      </c>
    </row>
    <row r="2027" spans="1:6" x14ac:dyDescent="0.25">
      <c r="A2027" s="14">
        <v>46146.522916666669</v>
      </c>
      <c r="B2027" s="81" t="s">
        <v>195</v>
      </c>
      <c r="C2027" s="81" t="s">
        <v>197</v>
      </c>
      <c r="D2027" s="81" t="s">
        <v>238</v>
      </c>
      <c r="E2027" s="81" t="s">
        <v>24</v>
      </c>
      <c r="F2027" s="81" t="s">
        <v>24</v>
      </c>
    </row>
    <row r="2028" spans="1:6" x14ac:dyDescent="0.25">
      <c r="A2028" s="14">
        <v>46146.522916666669</v>
      </c>
      <c r="B2028" s="81" t="s">
        <v>195</v>
      </c>
      <c r="C2028" s="81" t="s">
        <v>197</v>
      </c>
      <c r="D2028" s="81" t="s">
        <v>238</v>
      </c>
      <c r="E2028" s="81" t="s">
        <v>24</v>
      </c>
      <c r="F2028" s="81" t="s">
        <v>24</v>
      </c>
    </row>
    <row r="2029" spans="1:6" x14ac:dyDescent="0.25">
      <c r="A2029" s="14">
        <v>46146.522916666669</v>
      </c>
      <c r="B2029" s="81" t="s">
        <v>195</v>
      </c>
      <c r="C2029" s="81" t="s">
        <v>197</v>
      </c>
      <c r="D2029" s="81" t="s">
        <v>162</v>
      </c>
      <c r="E2029" s="81" t="s">
        <v>24</v>
      </c>
      <c r="F2029" s="81" t="s">
        <v>24</v>
      </c>
    </row>
    <row r="2030" spans="1:6" x14ac:dyDescent="0.25">
      <c r="A2030" s="14">
        <v>46146.522916666669</v>
      </c>
      <c r="B2030" s="81" t="s">
        <v>195</v>
      </c>
      <c r="C2030" s="81" t="s">
        <v>197</v>
      </c>
      <c r="D2030" s="81" t="s">
        <v>162</v>
      </c>
      <c r="E2030" s="81" t="s">
        <v>24</v>
      </c>
      <c r="F2030" s="81" t="s">
        <v>24</v>
      </c>
    </row>
    <row r="2031" spans="1:6" x14ac:dyDescent="0.25">
      <c r="A2031" s="14">
        <v>46146.522916666669</v>
      </c>
      <c r="B2031" s="81" t="s">
        <v>195</v>
      </c>
      <c r="C2031" s="81" t="s">
        <v>197</v>
      </c>
      <c r="D2031" s="81" t="s">
        <v>162</v>
      </c>
      <c r="E2031" s="81" t="s">
        <v>24</v>
      </c>
      <c r="F2031" s="81" t="s">
        <v>24</v>
      </c>
    </row>
    <row r="2032" spans="1:6" x14ac:dyDescent="0.25">
      <c r="A2032" s="14">
        <v>46146.759722222225</v>
      </c>
      <c r="B2032" s="81" t="s">
        <v>149</v>
      </c>
      <c r="C2032" s="81" t="s">
        <v>192</v>
      </c>
      <c r="D2032" s="81" t="s">
        <v>266</v>
      </c>
      <c r="E2032" s="81" t="s">
        <v>60</v>
      </c>
      <c r="F2032" s="81" t="s">
        <v>28</v>
      </c>
    </row>
    <row r="2033" spans="1:6" x14ac:dyDescent="0.25">
      <c r="A2033" s="14">
        <v>46146.759722222225</v>
      </c>
      <c r="B2033" s="81" t="s">
        <v>149</v>
      </c>
      <c r="C2033" s="81" t="s">
        <v>175</v>
      </c>
      <c r="D2033" s="81" t="s">
        <v>266</v>
      </c>
      <c r="E2033" s="81" t="s">
        <v>52</v>
      </c>
      <c r="F2033" s="81" t="s">
        <v>0</v>
      </c>
    </row>
    <row r="2034" spans="1:6" x14ac:dyDescent="0.25">
      <c r="A2034" s="14">
        <v>46146.759722222225</v>
      </c>
      <c r="B2034" s="81" t="s">
        <v>149</v>
      </c>
      <c r="C2034" s="81" t="s">
        <v>176</v>
      </c>
      <c r="D2034" s="81" t="s">
        <v>167</v>
      </c>
      <c r="E2034" s="81" t="s">
        <v>70</v>
      </c>
      <c r="F2034" s="81" t="s">
        <v>15</v>
      </c>
    </row>
    <row r="2035" spans="1:6" x14ac:dyDescent="0.25">
      <c r="A2035" s="14">
        <v>46146.759722222225</v>
      </c>
      <c r="B2035" s="81" t="s">
        <v>149</v>
      </c>
      <c r="C2035" s="81" t="s">
        <v>177</v>
      </c>
      <c r="D2035" s="81" t="s">
        <v>258</v>
      </c>
      <c r="E2035" s="81" t="s">
        <v>52</v>
      </c>
      <c r="F2035" s="81" t="s">
        <v>0</v>
      </c>
    </row>
    <row r="2036" spans="1:6" x14ac:dyDescent="0.25">
      <c r="A2036" s="14">
        <v>46146.759722222225</v>
      </c>
      <c r="B2036" s="81" t="s">
        <v>149</v>
      </c>
      <c r="C2036" s="81" t="s">
        <v>176</v>
      </c>
      <c r="D2036" s="81" t="s">
        <v>167</v>
      </c>
      <c r="E2036" s="81" t="s">
        <v>70</v>
      </c>
      <c r="F2036" s="81" t="s">
        <v>15</v>
      </c>
    </row>
    <row r="2037" spans="1:6" x14ac:dyDescent="0.25">
      <c r="A2037" s="14">
        <v>46146.759722222225</v>
      </c>
      <c r="B2037" s="81" t="s">
        <v>149</v>
      </c>
      <c r="C2037" s="81" t="s">
        <v>176</v>
      </c>
      <c r="D2037" s="81" t="s">
        <v>167</v>
      </c>
      <c r="E2037" s="81" t="s">
        <v>70</v>
      </c>
      <c r="F2037" s="81" t="s">
        <v>15</v>
      </c>
    </row>
    <row r="2038" spans="1:6" x14ac:dyDescent="0.25">
      <c r="A2038" s="14">
        <v>46146.759722222225</v>
      </c>
      <c r="B2038" s="81" t="s">
        <v>149</v>
      </c>
      <c r="C2038" s="81" t="s">
        <v>187</v>
      </c>
      <c r="D2038" s="81" t="s">
        <v>166</v>
      </c>
      <c r="E2038" s="81" t="s">
        <v>75</v>
      </c>
      <c r="F2038" s="81" t="s">
        <v>93</v>
      </c>
    </row>
    <row r="2039" spans="1:6" x14ac:dyDescent="0.25">
      <c r="A2039" s="14">
        <v>46146.759722222225</v>
      </c>
      <c r="B2039" s="81" t="s">
        <v>149</v>
      </c>
      <c r="C2039" s="81" t="s">
        <v>177</v>
      </c>
      <c r="D2039" s="81" t="s">
        <v>179</v>
      </c>
      <c r="E2039" s="81" t="s">
        <v>50</v>
      </c>
      <c r="F2039" s="81" t="s">
        <v>1</v>
      </c>
    </row>
    <row r="2040" spans="1:6" x14ac:dyDescent="0.25">
      <c r="A2040" s="14">
        <v>46146.759722222225</v>
      </c>
      <c r="B2040" s="81" t="s">
        <v>149</v>
      </c>
      <c r="C2040" s="81" t="s">
        <v>158</v>
      </c>
      <c r="D2040" s="81" t="s">
        <v>180</v>
      </c>
      <c r="E2040" s="81" t="s">
        <v>50</v>
      </c>
      <c r="F2040" s="81" t="s">
        <v>1</v>
      </c>
    </row>
    <row r="2041" spans="1:6" x14ac:dyDescent="0.25">
      <c r="A2041" s="14">
        <v>46146.759722222225</v>
      </c>
      <c r="B2041" s="81" t="s">
        <v>149</v>
      </c>
      <c r="C2041" s="81" t="s">
        <v>184</v>
      </c>
      <c r="D2041" s="81" t="s">
        <v>193</v>
      </c>
      <c r="E2041" s="81" t="s">
        <v>50</v>
      </c>
      <c r="F2041" s="81" t="s">
        <v>1</v>
      </c>
    </row>
    <row r="2042" spans="1:6" x14ac:dyDescent="0.25">
      <c r="A2042" s="14">
        <v>46146.759722222225</v>
      </c>
      <c r="B2042" s="81" t="s">
        <v>149</v>
      </c>
      <c r="C2042" s="81" t="s">
        <v>181</v>
      </c>
      <c r="D2042" s="81" t="s">
        <v>169</v>
      </c>
      <c r="E2042" s="81" t="s">
        <v>52</v>
      </c>
      <c r="F2042" s="81" t="s">
        <v>0</v>
      </c>
    </row>
    <row r="2043" spans="1:6" x14ac:dyDescent="0.25">
      <c r="A2043" s="14">
        <v>46146.759722222225</v>
      </c>
      <c r="B2043" s="81" t="s">
        <v>149</v>
      </c>
      <c r="C2043" s="81" t="s">
        <v>190</v>
      </c>
      <c r="D2043" s="81" t="s">
        <v>179</v>
      </c>
      <c r="E2043" s="81" t="s">
        <v>50</v>
      </c>
      <c r="F2043" s="81" t="s">
        <v>1</v>
      </c>
    </row>
    <row r="2044" spans="1:6" x14ac:dyDescent="0.25">
      <c r="A2044" s="14">
        <v>46146.759722222225</v>
      </c>
      <c r="B2044" s="81" t="s">
        <v>149</v>
      </c>
      <c r="C2044" s="81" t="s">
        <v>182</v>
      </c>
      <c r="D2044" s="81" t="s">
        <v>163</v>
      </c>
      <c r="E2044" s="81" t="s">
        <v>50</v>
      </c>
      <c r="F2044" s="81" t="s">
        <v>1</v>
      </c>
    </row>
    <row r="2045" spans="1:6" x14ac:dyDescent="0.25">
      <c r="A2045" s="14">
        <v>46146.759722222225</v>
      </c>
      <c r="B2045" s="81" t="s">
        <v>149</v>
      </c>
      <c r="C2045" s="81" t="s">
        <v>192</v>
      </c>
      <c r="D2045" s="81" t="s">
        <v>191</v>
      </c>
      <c r="E2045" s="81" t="s">
        <v>60</v>
      </c>
      <c r="F2045" s="81" t="s">
        <v>28</v>
      </c>
    </row>
    <row r="2046" spans="1:6" x14ac:dyDescent="0.25">
      <c r="A2046" s="14">
        <v>46146.759722222225</v>
      </c>
      <c r="B2046" s="81" t="s">
        <v>149</v>
      </c>
      <c r="C2046" s="81" t="s">
        <v>176</v>
      </c>
      <c r="D2046" s="81" t="s">
        <v>254</v>
      </c>
      <c r="E2046" s="81" t="s">
        <v>70</v>
      </c>
      <c r="F2046" s="81" t="s">
        <v>15</v>
      </c>
    </row>
    <row r="2047" spans="1:6" x14ac:dyDescent="0.25">
      <c r="A2047" s="14">
        <v>46146.759722222225</v>
      </c>
      <c r="B2047" s="81" t="s">
        <v>149</v>
      </c>
      <c r="C2047" s="81" t="s">
        <v>158</v>
      </c>
      <c r="D2047" s="81" t="s">
        <v>191</v>
      </c>
      <c r="E2047" s="81" t="s">
        <v>49</v>
      </c>
      <c r="F2047" s="81" t="s">
        <v>2</v>
      </c>
    </row>
    <row r="2048" spans="1:6" x14ac:dyDescent="0.25">
      <c r="A2048" s="14">
        <v>46146.759722222225</v>
      </c>
      <c r="B2048" s="81" t="s">
        <v>149</v>
      </c>
      <c r="C2048" s="81" t="s">
        <v>158</v>
      </c>
      <c r="D2048" s="81" t="s">
        <v>164</v>
      </c>
      <c r="E2048" s="81" t="s">
        <v>50</v>
      </c>
      <c r="F2048" s="81" t="s">
        <v>1</v>
      </c>
    </row>
    <row r="2049" spans="1:6" x14ac:dyDescent="0.25">
      <c r="A2049" s="14">
        <v>46146.759722222225</v>
      </c>
      <c r="B2049" s="81" t="s">
        <v>149</v>
      </c>
      <c r="C2049" s="81" t="s">
        <v>181</v>
      </c>
      <c r="D2049" s="81" t="s">
        <v>164</v>
      </c>
      <c r="E2049" s="81" t="s">
        <v>50</v>
      </c>
      <c r="F2049" s="81" t="s">
        <v>1</v>
      </c>
    </row>
    <row r="2050" spans="1:6" x14ac:dyDescent="0.25">
      <c r="A2050" s="14">
        <v>46146.759722222225</v>
      </c>
      <c r="B2050" s="81" t="s">
        <v>149</v>
      </c>
      <c r="C2050" s="81" t="s">
        <v>185</v>
      </c>
      <c r="D2050" s="81" t="s">
        <v>268</v>
      </c>
      <c r="E2050" s="81" t="s">
        <v>52</v>
      </c>
      <c r="F2050" s="81" t="s">
        <v>0</v>
      </c>
    </row>
    <row r="2051" spans="1:6" x14ac:dyDescent="0.25">
      <c r="A2051" s="14">
        <v>46146.759722222225</v>
      </c>
      <c r="B2051" s="81" t="s">
        <v>149</v>
      </c>
      <c r="C2051" s="81" t="s">
        <v>182</v>
      </c>
      <c r="D2051" s="81" t="s">
        <v>268</v>
      </c>
      <c r="E2051" s="81" t="s">
        <v>52</v>
      </c>
      <c r="F2051" s="81" t="s">
        <v>0</v>
      </c>
    </row>
    <row r="2052" spans="1:6" x14ac:dyDescent="0.25">
      <c r="A2052" s="14">
        <v>46146.759722222225</v>
      </c>
      <c r="B2052" s="81" t="s">
        <v>149</v>
      </c>
      <c r="C2052" s="81" t="s">
        <v>182</v>
      </c>
      <c r="D2052" s="81" t="s">
        <v>259</v>
      </c>
      <c r="E2052" s="81" t="s">
        <v>50</v>
      </c>
      <c r="F2052" s="81" t="s">
        <v>1</v>
      </c>
    </row>
    <row r="2053" spans="1:6" x14ac:dyDescent="0.25">
      <c r="A2053" s="14">
        <v>46146.759722222225</v>
      </c>
      <c r="B2053" s="81" t="s">
        <v>149</v>
      </c>
      <c r="C2053" s="81" t="s">
        <v>175</v>
      </c>
      <c r="D2053" s="81" t="s">
        <v>268</v>
      </c>
      <c r="E2053" s="81" t="s">
        <v>49</v>
      </c>
      <c r="F2053" s="81" t="s">
        <v>2</v>
      </c>
    </row>
    <row r="2054" spans="1:6" x14ac:dyDescent="0.25">
      <c r="A2054" s="14">
        <v>46146.759722222225</v>
      </c>
      <c r="B2054" s="81" t="s">
        <v>149</v>
      </c>
      <c r="C2054" s="81" t="s">
        <v>158</v>
      </c>
      <c r="D2054" s="81" t="s">
        <v>268</v>
      </c>
      <c r="E2054" s="81" t="s">
        <v>50</v>
      </c>
      <c r="F2054" s="81" t="s">
        <v>1</v>
      </c>
    </row>
    <row r="2055" spans="1:6" x14ac:dyDescent="0.25">
      <c r="A2055" s="14">
        <v>46146.759722222225</v>
      </c>
      <c r="B2055" s="81" t="s">
        <v>149</v>
      </c>
      <c r="C2055" s="81" t="s">
        <v>181</v>
      </c>
      <c r="D2055" s="81" t="s">
        <v>250</v>
      </c>
      <c r="E2055" s="81" t="s">
        <v>49</v>
      </c>
      <c r="F2055" s="81" t="s">
        <v>2</v>
      </c>
    </row>
    <row r="2056" spans="1:6" x14ac:dyDescent="0.25">
      <c r="A2056" s="14">
        <v>46146.759722222225</v>
      </c>
      <c r="B2056" s="81" t="s">
        <v>149</v>
      </c>
      <c r="C2056" s="81" t="s">
        <v>151</v>
      </c>
      <c r="D2056" s="81" t="s">
        <v>264</v>
      </c>
      <c r="E2056" s="81" t="s">
        <v>52</v>
      </c>
      <c r="F2056" s="81" t="s">
        <v>0</v>
      </c>
    </row>
    <row r="2057" spans="1:6" x14ac:dyDescent="0.25">
      <c r="A2057" s="14">
        <v>46146.759722222225</v>
      </c>
      <c r="B2057" s="81" t="s">
        <v>149</v>
      </c>
      <c r="C2057" s="81" t="s">
        <v>158</v>
      </c>
      <c r="D2057" s="81" t="s">
        <v>201</v>
      </c>
      <c r="E2057" s="81" t="s">
        <v>48</v>
      </c>
      <c r="F2057" s="81" t="s">
        <v>3</v>
      </c>
    </row>
    <row r="2058" spans="1:6" x14ac:dyDescent="0.25">
      <c r="A2058" s="14">
        <v>46146.759722222225</v>
      </c>
      <c r="B2058" s="81" t="s">
        <v>149</v>
      </c>
      <c r="C2058" s="81" t="s">
        <v>171</v>
      </c>
      <c r="D2058" s="81" t="s">
        <v>252</v>
      </c>
      <c r="E2058" s="81" t="s">
        <v>50</v>
      </c>
      <c r="F2058" s="81" t="s">
        <v>1</v>
      </c>
    </row>
    <row r="2059" spans="1:6" x14ac:dyDescent="0.25">
      <c r="A2059" s="14">
        <v>46146.759722222225</v>
      </c>
      <c r="B2059" s="81" t="s">
        <v>149</v>
      </c>
      <c r="C2059" s="81" t="s">
        <v>177</v>
      </c>
      <c r="D2059" s="81" t="s">
        <v>252</v>
      </c>
      <c r="E2059" s="81" t="s">
        <v>50</v>
      </c>
      <c r="F2059" s="81" t="s">
        <v>1</v>
      </c>
    </row>
    <row r="2060" spans="1:6" x14ac:dyDescent="0.25">
      <c r="A2060" s="14">
        <v>46146.759722222225</v>
      </c>
      <c r="B2060" s="81" t="s">
        <v>149</v>
      </c>
      <c r="C2060" s="81" t="s">
        <v>181</v>
      </c>
      <c r="D2060" s="81" t="s">
        <v>265</v>
      </c>
      <c r="E2060" s="81" t="s">
        <v>52</v>
      </c>
      <c r="F2060" s="81" t="s">
        <v>0</v>
      </c>
    </row>
    <row r="2061" spans="1:6" x14ac:dyDescent="0.25">
      <c r="A2061" s="14">
        <v>46146.759722222225</v>
      </c>
      <c r="B2061" s="81" t="s">
        <v>149</v>
      </c>
      <c r="C2061" s="81" t="s">
        <v>220</v>
      </c>
      <c r="D2061" s="81" t="s">
        <v>265</v>
      </c>
      <c r="E2061" s="81" t="s">
        <v>64</v>
      </c>
      <c r="F2061" s="81" t="s">
        <v>98</v>
      </c>
    </row>
    <row r="2062" spans="1:6" x14ac:dyDescent="0.25">
      <c r="A2062" s="14">
        <v>46146.759722222225</v>
      </c>
      <c r="B2062" s="81" t="s">
        <v>149</v>
      </c>
      <c r="C2062" s="81" t="s">
        <v>188</v>
      </c>
      <c r="D2062" s="81" t="s">
        <v>156</v>
      </c>
      <c r="E2062" s="81" t="s">
        <v>45</v>
      </c>
      <c r="F2062" s="81" t="s">
        <v>28</v>
      </c>
    </row>
    <row r="2063" spans="1:6" x14ac:dyDescent="0.25">
      <c r="A2063" s="14">
        <v>46146.759722222225</v>
      </c>
      <c r="B2063" s="81" t="s">
        <v>149</v>
      </c>
      <c r="C2063" s="81" t="s">
        <v>189</v>
      </c>
      <c r="D2063" s="81" t="s">
        <v>156</v>
      </c>
      <c r="E2063" s="81" t="s">
        <v>45</v>
      </c>
      <c r="F2063" s="81" t="s">
        <v>28</v>
      </c>
    </row>
    <row r="2064" spans="1:6" x14ac:dyDescent="0.25">
      <c r="A2064" s="14">
        <v>46146.759722222225</v>
      </c>
      <c r="B2064" s="81" t="s">
        <v>149</v>
      </c>
      <c r="C2064" s="81" t="s">
        <v>239</v>
      </c>
      <c r="D2064" s="81" t="s">
        <v>156</v>
      </c>
      <c r="E2064" s="81" t="s">
        <v>45</v>
      </c>
      <c r="F2064" s="81" t="s">
        <v>28</v>
      </c>
    </row>
    <row r="2065" spans="1:6" x14ac:dyDescent="0.25">
      <c r="A2065" s="14">
        <v>46146.759722222225</v>
      </c>
      <c r="B2065" s="81" t="s">
        <v>149</v>
      </c>
      <c r="C2065" s="81" t="s">
        <v>177</v>
      </c>
      <c r="D2065" s="81" t="s">
        <v>221</v>
      </c>
      <c r="E2065" s="81" t="s">
        <v>52</v>
      </c>
      <c r="F2065" s="81" t="s">
        <v>0</v>
      </c>
    </row>
    <row r="2066" spans="1:6" x14ac:dyDescent="0.25">
      <c r="A2066" s="14">
        <v>46146.759722222225</v>
      </c>
      <c r="B2066" s="81" t="s">
        <v>149</v>
      </c>
      <c r="C2066" s="81" t="s">
        <v>190</v>
      </c>
      <c r="D2066" s="81" t="s">
        <v>165</v>
      </c>
      <c r="E2066" s="81" t="s">
        <v>52</v>
      </c>
      <c r="F2066" s="81" t="s">
        <v>0</v>
      </c>
    </row>
    <row r="2067" spans="1:6" x14ac:dyDescent="0.25">
      <c r="A2067" s="14">
        <v>46146.759722222225</v>
      </c>
      <c r="B2067" s="81" t="s">
        <v>149</v>
      </c>
      <c r="C2067" s="81" t="s">
        <v>187</v>
      </c>
      <c r="D2067" s="81" t="s">
        <v>165</v>
      </c>
      <c r="E2067" s="81" t="s">
        <v>75</v>
      </c>
      <c r="F2067" s="81" t="s">
        <v>93</v>
      </c>
    </row>
    <row r="2068" spans="1:6" x14ac:dyDescent="0.25">
      <c r="A2068" s="14">
        <v>46146.759722222225</v>
      </c>
      <c r="B2068" s="81" t="s">
        <v>149</v>
      </c>
      <c r="C2068" s="81" t="s">
        <v>177</v>
      </c>
      <c r="D2068" s="81" t="s">
        <v>165</v>
      </c>
      <c r="E2068" s="81" t="s">
        <v>50</v>
      </c>
      <c r="F2068" s="81" t="s">
        <v>1</v>
      </c>
    </row>
    <row r="2069" spans="1:6" x14ac:dyDescent="0.25">
      <c r="A2069" s="14">
        <v>46146.759722222225</v>
      </c>
      <c r="B2069" s="81" t="s">
        <v>149</v>
      </c>
      <c r="C2069" s="81" t="s">
        <v>190</v>
      </c>
      <c r="D2069" s="81" t="s">
        <v>155</v>
      </c>
      <c r="E2069" s="81" t="s">
        <v>50</v>
      </c>
      <c r="F2069" s="81" t="s">
        <v>1</v>
      </c>
    </row>
    <row r="2070" spans="1:6" x14ac:dyDescent="0.25">
      <c r="A2070" s="14">
        <v>46146.759722222225</v>
      </c>
      <c r="B2070" s="81" t="s">
        <v>149</v>
      </c>
      <c r="C2070" s="81" t="s">
        <v>175</v>
      </c>
      <c r="D2070" s="81" t="s">
        <v>155</v>
      </c>
      <c r="E2070" s="81" t="s">
        <v>50</v>
      </c>
      <c r="F2070" s="81" t="s">
        <v>1</v>
      </c>
    </row>
    <row r="2071" spans="1:6" x14ac:dyDescent="0.25">
      <c r="A2071" s="14">
        <v>46146.759722222225</v>
      </c>
      <c r="B2071" s="81" t="s">
        <v>149</v>
      </c>
      <c r="C2071" s="81" t="s">
        <v>175</v>
      </c>
      <c r="D2071" s="81" t="s">
        <v>238</v>
      </c>
      <c r="E2071" s="81" t="s">
        <v>50</v>
      </c>
      <c r="F2071" s="81" t="s">
        <v>1</v>
      </c>
    </row>
    <row r="2072" spans="1:6" x14ac:dyDescent="0.25">
      <c r="A2072" s="14">
        <v>46146.759722222225</v>
      </c>
      <c r="B2072" s="81" t="s">
        <v>149</v>
      </c>
      <c r="C2072" s="81" t="s">
        <v>175</v>
      </c>
      <c r="D2072" s="81" t="s">
        <v>254</v>
      </c>
      <c r="E2072" s="81" t="s">
        <v>50</v>
      </c>
      <c r="F2072" s="81" t="s">
        <v>1</v>
      </c>
    </row>
    <row r="2073" spans="1:6" x14ac:dyDescent="0.25">
      <c r="A2073" s="14">
        <v>46146.759722222225</v>
      </c>
      <c r="B2073" s="81" t="s">
        <v>149</v>
      </c>
      <c r="C2073" s="81" t="s">
        <v>158</v>
      </c>
      <c r="D2073" s="81" t="s">
        <v>266</v>
      </c>
      <c r="E2073" s="81" t="s">
        <v>50</v>
      </c>
      <c r="F2073" s="81" t="s">
        <v>1</v>
      </c>
    </row>
    <row r="2074" spans="1:6" x14ac:dyDescent="0.25">
      <c r="A2074" s="14">
        <v>46146.759722222225</v>
      </c>
      <c r="B2074" s="81" t="s">
        <v>149</v>
      </c>
      <c r="C2074" s="81" t="s">
        <v>171</v>
      </c>
      <c r="D2074" s="81" t="s">
        <v>267</v>
      </c>
      <c r="E2074" s="81" t="s">
        <v>50</v>
      </c>
      <c r="F2074" s="81" t="s">
        <v>1</v>
      </c>
    </row>
    <row r="2075" spans="1:6" x14ac:dyDescent="0.25">
      <c r="A2075" s="14">
        <v>46146.759722222225</v>
      </c>
      <c r="B2075" s="81" t="s">
        <v>149</v>
      </c>
      <c r="C2075" s="81" t="s">
        <v>175</v>
      </c>
      <c r="D2075" s="81" t="s">
        <v>180</v>
      </c>
      <c r="E2075" s="81" t="s">
        <v>49</v>
      </c>
      <c r="F2075" s="81" t="s">
        <v>2</v>
      </c>
    </row>
    <row r="2076" spans="1:6" x14ac:dyDescent="0.25">
      <c r="A2076" s="14">
        <v>46146.759722222225</v>
      </c>
      <c r="B2076" s="81" t="s">
        <v>149</v>
      </c>
      <c r="C2076" s="81" t="s">
        <v>177</v>
      </c>
      <c r="D2076" s="81" t="s">
        <v>180</v>
      </c>
      <c r="E2076" s="81" t="s">
        <v>52</v>
      </c>
      <c r="F2076" s="81" t="s">
        <v>0</v>
      </c>
    </row>
    <row r="2077" spans="1:6" x14ac:dyDescent="0.25">
      <c r="A2077" s="14">
        <v>46146.759722222225</v>
      </c>
      <c r="B2077" s="81" t="s">
        <v>149</v>
      </c>
      <c r="C2077" s="81" t="s">
        <v>158</v>
      </c>
      <c r="D2077" s="81" t="s">
        <v>180</v>
      </c>
      <c r="E2077" s="81" t="s">
        <v>50</v>
      </c>
      <c r="F2077" s="81" t="s">
        <v>1</v>
      </c>
    </row>
    <row r="2078" spans="1:6" x14ac:dyDescent="0.25">
      <c r="A2078" s="14">
        <v>46146.759722222225</v>
      </c>
      <c r="B2078" s="81" t="s">
        <v>149</v>
      </c>
      <c r="C2078" s="81" t="s">
        <v>185</v>
      </c>
      <c r="D2078" s="81" t="s">
        <v>221</v>
      </c>
      <c r="E2078" s="81" t="s">
        <v>50</v>
      </c>
      <c r="F2078" s="81" t="s">
        <v>1</v>
      </c>
    </row>
    <row r="2079" spans="1:6" x14ac:dyDescent="0.25">
      <c r="A2079" s="14">
        <v>46146.759722222225</v>
      </c>
      <c r="B2079" s="81" t="s">
        <v>149</v>
      </c>
      <c r="C2079" s="81" t="s">
        <v>177</v>
      </c>
      <c r="D2079" s="81" t="s">
        <v>221</v>
      </c>
      <c r="E2079" s="81" t="s">
        <v>50</v>
      </c>
      <c r="F2079" s="81" t="s">
        <v>1</v>
      </c>
    </row>
    <row r="2080" spans="1:6" x14ac:dyDescent="0.25">
      <c r="A2080" s="14">
        <v>46146.759722222225</v>
      </c>
      <c r="B2080" s="81" t="s">
        <v>149</v>
      </c>
      <c r="C2080" s="81" t="s">
        <v>151</v>
      </c>
      <c r="D2080" s="81" t="s">
        <v>179</v>
      </c>
      <c r="E2080" s="81" t="s">
        <v>50</v>
      </c>
      <c r="F2080" s="81" t="s">
        <v>1</v>
      </c>
    </row>
    <row r="2081" spans="1:6" x14ac:dyDescent="0.25">
      <c r="A2081" s="14">
        <v>46146.759722222225</v>
      </c>
      <c r="B2081" s="81" t="s">
        <v>149</v>
      </c>
      <c r="C2081" s="81" t="s">
        <v>185</v>
      </c>
      <c r="D2081" s="81" t="s">
        <v>231</v>
      </c>
      <c r="E2081" s="81" t="s">
        <v>50</v>
      </c>
      <c r="F2081" s="81" t="s">
        <v>1</v>
      </c>
    </row>
    <row r="2082" spans="1:6" x14ac:dyDescent="0.25">
      <c r="A2082" s="14">
        <v>46146.759722222225</v>
      </c>
      <c r="B2082" s="81" t="s">
        <v>149</v>
      </c>
      <c r="C2082" s="81" t="s">
        <v>192</v>
      </c>
      <c r="D2082" s="81" t="s">
        <v>161</v>
      </c>
      <c r="E2082" s="81" t="s">
        <v>60</v>
      </c>
      <c r="F2082" s="81" t="s">
        <v>28</v>
      </c>
    </row>
    <row r="2083" spans="1:6" x14ac:dyDescent="0.25">
      <c r="A2083" s="14">
        <v>46146.759722222225</v>
      </c>
      <c r="B2083" s="81" t="s">
        <v>149</v>
      </c>
      <c r="C2083" s="81" t="s">
        <v>187</v>
      </c>
      <c r="D2083" s="81" t="s">
        <v>231</v>
      </c>
      <c r="E2083" s="81" t="s">
        <v>75</v>
      </c>
      <c r="F2083" s="81" t="s">
        <v>93</v>
      </c>
    </row>
    <row r="2084" spans="1:6" x14ac:dyDescent="0.25">
      <c r="A2084" s="14">
        <v>46146.759722222225</v>
      </c>
      <c r="B2084" s="81" t="s">
        <v>149</v>
      </c>
      <c r="C2084" s="81" t="s">
        <v>184</v>
      </c>
      <c r="D2084" s="81" t="s">
        <v>231</v>
      </c>
      <c r="E2084" s="81" t="s">
        <v>50</v>
      </c>
      <c r="F2084" s="81" t="s">
        <v>1</v>
      </c>
    </row>
    <row r="2085" spans="1:6" x14ac:dyDescent="0.25">
      <c r="A2085" s="14">
        <v>46146.759722222225</v>
      </c>
      <c r="B2085" s="81" t="s">
        <v>149</v>
      </c>
      <c r="C2085" s="81" t="s">
        <v>185</v>
      </c>
      <c r="D2085" s="81" t="s">
        <v>231</v>
      </c>
      <c r="E2085" s="81" t="s">
        <v>50</v>
      </c>
      <c r="F2085" s="81" t="s">
        <v>1</v>
      </c>
    </row>
    <row r="2086" spans="1:6" x14ac:dyDescent="0.25">
      <c r="A2086" s="14">
        <v>46146.759722222225</v>
      </c>
      <c r="B2086" s="81" t="s">
        <v>149</v>
      </c>
      <c r="C2086" s="81" t="s">
        <v>151</v>
      </c>
      <c r="D2086" s="81" t="s">
        <v>194</v>
      </c>
      <c r="E2086" s="81" t="s">
        <v>52</v>
      </c>
      <c r="F2086" s="81" t="s">
        <v>0</v>
      </c>
    </row>
    <row r="2087" spans="1:6" x14ac:dyDescent="0.25">
      <c r="A2087" s="14">
        <v>46146.759722222225</v>
      </c>
      <c r="B2087" s="81" t="s">
        <v>149</v>
      </c>
      <c r="C2087" s="81" t="s">
        <v>187</v>
      </c>
      <c r="D2087" s="81" t="s">
        <v>231</v>
      </c>
      <c r="E2087" s="81" t="s">
        <v>75</v>
      </c>
      <c r="F2087" s="81" t="s">
        <v>93</v>
      </c>
    </row>
    <row r="2088" spans="1:6" x14ac:dyDescent="0.25">
      <c r="A2088" s="14">
        <v>46146.759722222225</v>
      </c>
      <c r="B2088" s="81" t="s">
        <v>149</v>
      </c>
      <c r="C2088" s="81" t="s">
        <v>192</v>
      </c>
      <c r="D2088" s="81" t="s">
        <v>194</v>
      </c>
      <c r="E2088" s="81" t="s">
        <v>60</v>
      </c>
      <c r="F2088" s="81" t="s">
        <v>28</v>
      </c>
    </row>
    <row r="2089" spans="1:6" x14ac:dyDescent="0.25">
      <c r="A2089" s="14">
        <v>46146.759722222225</v>
      </c>
      <c r="B2089" s="81" t="s">
        <v>149</v>
      </c>
      <c r="C2089" s="81" t="s">
        <v>175</v>
      </c>
      <c r="D2089" s="81" t="s">
        <v>161</v>
      </c>
      <c r="E2089" s="81" t="s">
        <v>50</v>
      </c>
      <c r="F2089" s="81" t="s">
        <v>1</v>
      </c>
    </row>
    <row r="2090" spans="1:6" x14ac:dyDescent="0.25">
      <c r="A2090" s="14">
        <v>46146.759722222225</v>
      </c>
      <c r="B2090" s="81" t="s">
        <v>149</v>
      </c>
      <c r="C2090" s="81" t="s">
        <v>175</v>
      </c>
      <c r="D2090" s="81" t="s">
        <v>199</v>
      </c>
      <c r="E2090" s="81" t="s">
        <v>50</v>
      </c>
      <c r="F2090" s="81" t="s">
        <v>1</v>
      </c>
    </row>
    <row r="2091" spans="1:6" x14ac:dyDescent="0.25">
      <c r="A2091" s="14">
        <v>46146.759722222225</v>
      </c>
      <c r="B2091" s="81" t="s">
        <v>149</v>
      </c>
      <c r="C2091" s="81" t="s">
        <v>187</v>
      </c>
      <c r="D2091" s="81" t="s">
        <v>167</v>
      </c>
      <c r="E2091" s="81" t="s">
        <v>75</v>
      </c>
      <c r="F2091" s="81" t="s">
        <v>93</v>
      </c>
    </row>
    <row r="2092" spans="1:6" x14ac:dyDescent="0.25">
      <c r="A2092" s="14">
        <v>46146.759722222225</v>
      </c>
      <c r="B2092" s="81" t="s">
        <v>149</v>
      </c>
      <c r="C2092" s="81" t="s">
        <v>158</v>
      </c>
      <c r="D2092" s="81" t="s">
        <v>179</v>
      </c>
      <c r="E2092" s="81" t="s">
        <v>49</v>
      </c>
      <c r="F2092" s="81" t="s">
        <v>2</v>
      </c>
    </row>
    <row r="2093" spans="1:6" x14ac:dyDescent="0.25">
      <c r="A2093" s="14">
        <v>46146.759722222225</v>
      </c>
      <c r="B2093" s="81" t="s">
        <v>149</v>
      </c>
      <c r="C2093" s="81" t="s">
        <v>187</v>
      </c>
      <c r="D2093" s="81" t="s">
        <v>167</v>
      </c>
      <c r="E2093" s="81" t="s">
        <v>75</v>
      </c>
      <c r="F2093" s="81" t="s">
        <v>93</v>
      </c>
    </row>
    <row r="2094" spans="1:6" x14ac:dyDescent="0.25">
      <c r="A2094" s="14">
        <v>46146.759722222225</v>
      </c>
      <c r="B2094" s="81" t="s">
        <v>149</v>
      </c>
      <c r="C2094" s="81" t="s">
        <v>185</v>
      </c>
      <c r="D2094" s="81" t="s">
        <v>179</v>
      </c>
      <c r="E2094" s="81" t="s">
        <v>50</v>
      </c>
      <c r="F2094" s="81" t="s">
        <v>1</v>
      </c>
    </row>
    <row r="2095" spans="1:6" x14ac:dyDescent="0.25">
      <c r="A2095" s="14">
        <v>46146.759722222225</v>
      </c>
      <c r="B2095" s="81" t="s">
        <v>149</v>
      </c>
      <c r="C2095" s="81" t="s">
        <v>175</v>
      </c>
      <c r="D2095" s="81" t="s">
        <v>179</v>
      </c>
      <c r="E2095" s="81" t="s">
        <v>50</v>
      </c>
      <c r="F2095" s="81" t="s">
        <v>1</v>
      </c>
    </row>
    <row r="2096" spans="1:6" x14ac:dyDescent="0.25">
      <c r="A2096" s="14">
        <v>46146.759722222225</v>
      </c>
      <c r="B2096" s="81" t="s">
        <v>149</v>
      </c>
      <c r="C2096" s="81" t="s">
        <v>151</v>
      </c>
      <c r="D2096" s="81" t="s">
        <v>179</v>
      </c>
      <c r="E2096" s="81" t="s">
        <v>50</v>
      </c>
      <c r="F2096" s="81" t="s">
        <v>1</v>
      </c>
    </row>
    <row r="2097" spans="1:6" x14ac:dyDescent="0.25">
      <c r="A2097" s="14">
        <v>46146.759722222225</v>
      </c>
      <c r="B2097" s="81" t="s">
        <v>149</v>
      </c>
      <c r="C2097" s="81" t="s">
        <v>151</v>
      </c>
      <c r="D2097" s="81" t="s">
        <v>161</v>
      </c>
      <c r="E2097" s="81" t="s">
        <v>50</v>
      </c>
      <c r="F2097" s="81" t="s">
        <v>1</v>
      </c>
    </row>
    <row r="2098" spans="1:6" x14ac:dyDescent="0.25">
      <c r="A2098" s="14">
        <v>46146.759722222225</v>
      </c>
      <c r="B2098" s="81" t="s">
        <v>149</v>
      </c>
      <c r="C2098" s="81" t="s">
        <v>177</v>
      </c>
      <c r="D2098" s="81" t="s">
        <v>161</v>
      </c>
      <c r="E2098" s="81" t="s">
        <v>52</v>
      </c>
      <c r="F2098" s="81" t="s">
        <v>0</v>
      </c>
    </row>
    <row r="2099" spans="1:6" x14ac:dyDescent="0.25">
      <c r="A2099" s="14">
        <v>46146.759722222225</v>
      </c>
      <c r="B2099" s="81" t="s">
        <v>149</v>
      </c>
      <c r="C2099" s="81" t="s">
        <v>177</v>
      </c>
      <c r="D2099" s="81" t="s">
        <v>262</v>
      </c>
      <c r="E2099" s="81" t="s">
        <v>50</v>
      </c>
      <c r="F2099" s="81" t="s">
        <v>1</v>
      </c>
    </row>
    <row r="2100" spans="1:6" x14ac:dyDescent="0.25">
      <c r="A2100" s="14">
        <v>46146.759722222225</v>
      </c>
      <c r="B2100" s="81" t="s">
        <v>149</v>
      </c>
      <c r="C2100" s="81" t="s">
        <v>151</v>
      </c>
      <c r="D2100" s="81" t="s">
        <v>262</v>
      </c>
      <c r="E2100" s="81" t="s">
        <v>52</v>
      </c>
      <c r="F2100" s="81" t="s">
        <v>0</v>
      </c>
    </row>
    <row r="2101" spans="1:6" x14ac:dyDescent="0.25">
      <c r="A2101" s="14">
        <v>46146.759722222225</v>
      </c>
      <c r="B2101" s="81" t="s">
        <v>149</v>
      </c>
      <c r="C2101" s="81" t="s">
        <v>173</v>
      </c>
      <c r="D2101" s="81" t="s">
        <v>267</v>
      </c>
      <c r="E2101" s="81" t="s">
        <v>52</v>
      </c>
      <c r="F2101" s="81" t="s">
        <v>0</v>
      </c>
    </row>
    <row r="2102" spans="1:6" x14ac:dyDescent="0.25">
      <c r="A2102" s="14">
        <v>46146.759722222225</v>
      </c>
      <c r="B2102" s="81" t="s">
        <v>149</v>
      </c>
      <c r="C2102" s="81" t="s">
        <v>175</v>
      </c>
      <c r="D2102" s="81" t="s">
        <v>269</v>
      </c>
      <c r="E2102" s="81" t="s">
        <v>52</v>
      </c>
      <c r="F2102" s="81" t="s">
        <v>0</v>
      </c>
    </row>
    <row r="2103" spans="1:6" x14ac:dyDescent="0.25">
      <c r="A2103" s="14">
        <v>46146.759722222225</v>
      </c>
      <c r="B2103" s="81" t="s">
        <v>149</v>
      </c>
      <c r="C2103" s="81" t="s">
        <v>173</v>
      </c>
      <c r="D2103" s="81" t="s">
        <v>199</v>
      </c>
      <c r="E2103" s="81" t="s">
        <v>50</v>
      </c>
      <c r="F2103" s="81" t="s">
        <v>1</v>
      </c>
    </row>
    <row r="2104" spans="1:6" x14ac:dyDescent="0.25">
      <c r="A2104" s="14">
        <v>46146.759722222225</v>
      </c>
      <c r="B2104" s="81" t="s">
        <v>149</v>
      </c>
      <c r="C2104" s="81" t="s">
        <v>192</v>
      </c>
      <c r="D2104" s="81" t="s">
        <v>199</v>
      </c>
      <c r="E2104" s="81" t="s">
        <v>60</v>
      </c>
      <c r="F2104" s="81" t="s">
        <v>28</v>
      </c>
    </row>
    <row r="2105" spans="1:6" x14ac:dyDescent="0.25">
      <c r="A2105" s="14">
        <v>46146.759722222225</v>
      </c>
      <c r="B2105" s="81" t="s">
        <v>149</v>
      </c>
      <c r="C2105" s="81" t="s">
        <v>177</v>
      </c>
      <c r="D2105" s="81" t="s">
        <v>165</v>
      </c>
      <c r="E2105" s="81" t="s">
        <v>50</v>
      </c>
      <c r="F2105" s="81" t="s">
        <v>1</v>
      </c>
    </row>
    <row r="2106" spans="1:6" x14ac:dyDescent="0.25">
      <c r="A2106" s="14">
        <v>46146.759722222225</v>
      </c>
      <c r="B2106" s="81" t="s">
        <v>149</v>
      </c>
      <c r="C2106" s="81" t="s">
        <v>158</v>
      </c>
      <c r="D2106" s="81" t="s">
        <v>169</v>
      </c>
      <c r="E2106" s="81" t="s">
        <v>49</v>
      </c>
      <c r="F2106" s="81" t="s">
        <v>2</v>
      </c>
    </row>
    <row r="2107" spans="1:6" x14ac:dyDescent="0.25">
      <c r="A2107" s="14">
        <v>46146.759722222225</v>
      </c>
      <c r="B2107" s="81" t="s">
        <v>149</v>
      </c>
      <c r="C2107" s="81" t="s">
        <v>151</v>
      </c>
      <c r="D2107" s="81" t="s">
        <v>179</v>
      </c>
      <c r="E2107" s="81" t="s">
        <v>50</v>
      </c>
      <c r="F2107" s="81" t="s">
        <v>1</v>
      </c>
    </row>
    <row r="2108" spans="1:6" x14ac:dyDescent="0.25">
      <c r="A2108" s="14">
        <v>46146.759722222225</v>
      </c>
      <c r="B2108" s="81" t="s">
        <v>149</v>
      </c>
      <c r="C2108" s="81" t="s">
        <v>171</v>
      </c>
      <c r="D2108" s="81" t="s">
        <v>169</v>
      </c>
      <c r="E2108" s="81" t="s">
        <v>52</v>
      </c>
      <c r="F2108" s="81" t="s">
        <v>0</v>
      </c>
    </row>
    <row r="2109" spans="1:6" x14ac:dyDescent="0.25">
      <c r="A2109" s="14">
        <v>46146.759722222225</v>
      </c>
      <c r="B2109" s="81" t="s">
        <v>149</v>
      </c>
      <c r="C2109" s="81" t="s">
        <v>183</v>
      </c>
      <c r="D2109" s="81" t="s">
        <v>268</v>
      </c>
      <c r="E2109" s="81" t="s">
        <v>52</v>
      </c>
      <c r="F2109" s="81" t="s">
        <v>0</v>
      </c>
    </row>
    <row r="2110" spans="1:6" x14ac:dyDescent="0.25">
      <c r="A2110" s="14">
        <v>46146.759722222225</v>
      </c>
      <c r="B2110" s="81" t="s">
        <v>149</v>
      </c>
      <c r="C2110" s="81" t="s">
        <v>177</v>
      </c>
      <c r="D2110" s="81" t="s">
        <v>179</v>
      </c>
      <c r="E2110" s="81" t="s">
        <v>50</v>
      </c>
      <c r="F2110" s="81" t="s">
        <v>1</v>
      </c>
    </row>
    <row r="2111" spans="1:6" x14ac:dyDescent="0.25">
      <c r="A2111" s="14">
        <v>46146.759722222225</v>
      </c>
      <c r="B2111" s="81" t="s">
        <v>149</v>
      </c>
      <c r="C2111" s="81" t="s">
        <v>175</v>
      </c>
      <c r="D2111" s="81" t="s">
        <v>179</v>
      </c>
      <c r="E2111" s="81" t="s">
        <v>50</v>
      </c>
      <c r="F2111" s="81" t="s">
        <v>1</v>
      </c>
    </row>
    <row r="2112" spans="1:6" x14ac:dyDescent="0.25">
      <c r="A2112" s="14">
        <v>46146.759722222225</v>
      </c>
      <c r="B2112" s="81" t="s">
        <v>149</v>
      </c>
      <c r="C2112" s="81" t="s">
        <v>185</v>
      </c>
      <c r="D2112" s="81" t="s">
        <v>153</v>
      </c>
      <c r="E2112" s="81" t="s">
        <v>49</v>
      </c>
      <c r="F2112" s="81" t="s">
        <v>2</v>
      </c>
    </row>
    <row r="2113" spans="1:6" x14ac:dyDescent="0.25">
      <c r="A2113" s="14">
        <v>46146.759722222225</v>
      </c>
      <c r="B2113" s="81" t="s">
        <v>149</v>
      </c>
      <c r="C2113" s="81" t="s">
        <v>182</v>
      </c>
      <c r="D2113" s="81" t="s">
        <v>164</v>
      </c>
      <c r="E2113" s="81" t="s">
        <v>50</v>
      </c>
      <c r="F2113" s="81" t="s">
        <v>1</v>
      </c>
    </row>
    <row r="2114" spans="1:6" x14ac:dyDescent="0.25">
      <c r="A2114" s="14">
        <v>46146.759722222225</v>
      </c>
      <c r="B2114" s="81" t="s">
        <v>149</v>
      </c>
      <c r="C2114" s="81" t="s">
        <v>151</v>
      </c>
      <c r="D2114" s="81" t="s">
        <v>246</v>
      </c>
      <c r="E2114" s="81" t="s">
        <v>52</v>
      </c>
      <c r="F2114" s="81" t="s">
        <v>0</v>
      </c>
    </row>
    <row r="2115" spans="1:6" x14ac:dyDescent="0.25">
      <c r="A2115" s="14">
        <v>46146.759722222225</v>
      </c>
      <c r="B2115" s="81" t="s">
        <v>149</v>
      </c>
      <c r="C2115" s="81" t="s">
        <v>158</v>
      </c>
      <c r="D2115" s="81" t="s">
        <v>153</v>
      </c>
      <c r="E2115" s="81" t="s">
        <v>50</v>
      </c>
      <c r="F2115" s="81" t="s">
        <v>1</v>
      </c>
    </row>
    <row r="2116" spans="1:6" x14ac:dyDescent="0.25">
      <c r="A2116" s="14">
        <v>46146.759722222225</v>
      </c>
      <c r="B2116" s="81" t="s">
        <v>149</v>
      </c>
      <c r="C2116" s="81" t="s">
        <v>187</v>
      </c>
      <c r="D2116" s="81" t="s">
        <v>167</v>
      </c>
      <c r="E2116" s="81" t="s">
        <v>75</v>
      </c>
      <c r="F2116" s="81" t="s">
        <v>93</v>
      </c>
    </row>
    <row r="2117" spans="1:6" x14ac:dyDescent="0.25">
      <c r="A2117" s="14">
        <v>46146.759722222225</v>
      </c>
      <c r="B2117" s="81" t="s">
        <v>149</v>
      </c>
      <c r="C2117" s="81" t="s">
        <v>177</v>
      </c>
      <c r="D2117" s="81" t="s">
        <v>164</v>
      </c>
      <c r="E2117" s="81" t="s">
        <v>49</v>
      </c>
      <c r="F2117" s="81" t="s">
        <v>2</v>
      </c>
    </row>
    <row r="2118" spans="1:6" x14ac:dyDescent="0.25">
      <c r="A2118" s="14">
        <v>46146.759722222225</v>
      </c>
      <c r="B2118" s="81" t="s">
        <v>149</v>
      </c>
      <c r="C2118" s="81" t="s">
        <v>182</v>
      </c>
      <c r="D2118" s="81" t="s">
        <v>199</v>
      </c>
      <c r="E2118" s="81" t="s">
        <v>49</v>
      </c>
      <c r="F2118" s="81" t="s">
        <v>2</v>
      </c>
    </row>
    <row r="2119" spans="1:6" x14ac:dyDescent="0.25">
      <c r="A2119" s="14">
        <v>46146.759722222225</v>
      </c>
      <c r="B2119" s="81" t="s">
        <v>149</v>
      </c>
      <c r="C2119" s="81" t="s">
        <v>177</v>
      </c>
      <c r="D2119" s="81" t="s">
        <v>179</v>
      </c>
      <c r="E2119" s="81" t="s">
        <v>50</v>
      </c>
      <c r="F2119" s="81" t="s">
        <v>1</v>
      </c>
    </row>
    <row r="2120" spans="1:6" x14ac:dyDescent="0.25">
      <c r="A2120" s="14">
        <v>46146.759722222225</v>
      </c>
      <c r="B2120" s="81" t="s">
        <v>149</v>
      </c>
      <c r="C2120" s="81" t="s">
        <v>173</v>
      </c>
      <c r="D2120" s="81" t="s">
        <v>246</v>
      </c>
      <c r="E2120" s="81" t="s">
        <v>50</v>
      </c>
      <c r="F2120" s="81" t="s">
        <v>1</v>
      </c>
    </row>
    <row r="2121" spans="1:6" x14ac:dyDescent="0.25">
      <c r="A2121" s="14">
        <v>46146.759722222225</v>
      </c>
      <c r="B2121" s="81" t="s">
        <v>149</v>
      </c>
      <c r="C2121" s="81" t="s">
        <v>173</v>
      </c>
      <c r="D2121" s="81" t="s">
        <v>164</v>
      </c>
      <c r="E2121" s="81" t="s">
        <v>50</v>
      </c>
      <c r="F2121" s="81" t="s">
        <v>1</v>
      </c>
    </row>
    <row r="2122" spans="1:6" x14ac:dyDescent="0.25">
      <c r="A2122" s="14">
        <v>46146.759722222225</v>
      </c>
      <c r="B2122" s="81" t="s">
        <v>149</v>
      </c>
      <c r="C2122" s="81" t="s">
        <v>173</v>
      </c>
      <c r="D2122" s="81" t="s">
        <v>168</v>
      </c>
      <c r="E2122" s="81" t="s">
        <v>50</v>
      </c>
      <c r="F2122" s="81" t="s">
        <v>1</v>
      </c>
    </row>
    <row r="2123" spans="1:6" x14ac:dyDescent="0.25">
      <c r="A2123" s="14">
        <v>46146.759722222225</v>
      </c>
      <c r="B2123" s="81" t="s">
        <v>149</v>
      </c>
      <c r="C2123" s="81" t="s">
        <v>176</v>
      </c>
      <c r="D2123" s="81" t="s">
        <v>167</v>
      </c>
      <c r="E2123" s="81" t="s">
        <v>70</v>
      </c>
      <c r="F2123" s="81" t="s">
        <v>15</v>
      </c>
    </row>
    <row r="2124" spans="1:6" x14ac:dyDescent="0.25">
      <c r="A2124" s="14">
        <v>46146.759722222225</v>
      </c>
      <c r="B2124" s="81" t="s">
        <v>149</v>
      </c>
      <c r="C2124" s="81" t="s">
        <v>176</v>
      </c>
      <c r="D2124" s="81" t="s">
        <v>231</v>
      </c>
      <c r="E2124" s="81" t="s">
        <v>70</v>
      </c>
      <c r="F2124" s="81" t="s">
        <v>15</v>
      </c>
    </row>
    <row r="2125" spans="1:6" x14ac:dyDescent="0.25">
      <c r="A2125" s="14">
        <v>46146.759722222225</v>
      </c>
      <c r="B2125" s="81" t="s">
        <v>149</v>
      </c>
      <c r="C2125" s="81" t="s">
        <v>182</v>
      </c>
      <c r="D2125" s="81" t="s">
        <v>179</v>
      </c>
      <c r="E2125" s="81" t="s">
        <v>50</v>
      </c>
      <c r="F2125" s="81" t="s">
        <v>1</v>
      </c>
    </row>
    <row r="2126" spans="1:6" x14ac:dyDescent="0.25">
      <c r="A2126" s="14">
        <v>46146.759722222225</v>
      </c>
      <c r="B2126" s="81" t="s">
        <v>149</v>
      </c>
      <c r="C2126" s="81" t="s">
        <v>187</v>
      </c>
      <c r="D2126" s="81" t="s">
        <v>231</v>
      </c>
      <c r="E2126" s="81" t="s">
        <v>75</v>
      </c>
      <c r="F2126" s="81" t="s">
        <v>93</v>
      </c>
    </row>
    <row r="2127" spans="1:6" x14ac:dyDescent="0.25">
      <c r="A2127" s="14">
        <v>46146.759722222225</v>
      </c>
      <c r="B2127" s="81" t="s">
        <v>149</v>
      </c>
      <c r="C2127" s="81" t="s">
        <v>182</v>
      </c>
      <c r="D2127" s="81" t="s">
        <v>168</v>
      </c>
      <c r="E2127" s="81" t="s">
        <v>50</v>
      </c>
      <c r="F2127" s="81" t="s">
        <v>1</v>
      </c>
    </row>
    <row r="2128" spans="1:6" x14ac:dyDescent="0.25">
      <c r="A2128" s="14">
        <v>46146.759722222225</v>
      </c>
      <c r="B2128" s="81" t="s">
        <v>149</v>
      </c>
      <c r="C2128" s="81" t="s">
        <v>181</v>
      </c>
      <c r="D2128" s="81" t="s">
        <v>251</v>
      </c>
      <c r="E2128" s="81" t="s">
        <v>49</v>
      </c>
      <c r="F2128" s="81" t="s">
        <v>2</v>
      </c>
    </row>
    <row r="2129" spans="1:6" x14ac:dyDescent="0.25">
      <c r="A2129" s="14">
        <v>46146.759722222225</v>
      </c>
      <c r="B2129" s="81" t="s">
        <v>149</v>
      </c>
      <c r="C2129" s="81" t="s">
        <v>184</v>
      </c>
      <c r="D2129" s="81" t="s">
        <v>168</v>
      </c>
      <c r="E2129" s="81" t="s">
        <v>50</v>
      </c>
      <c r="F2129" s="81" t="s">
        <v>1</v>
      </c>
    </row>
    <row r="2130" spans="1:6" x14ac:dyDescent="0.25">
      <c r="A2130" s="14">
        <v>46146.759722222225</v>
      </c>
      <c r="B2130" s="81" t="s">
        <v>149</v>
      </c>
      <c r="C2130" s="81" t="s">
        <v>182</v>
      </c>
      <c r="D2130" s="81" t="s">
        <v>231</v>
      </c>
      <c r="E2130" s="81" t="s">
        <v>50</v>
      </c>
      <c r="F2130" s="81" t="s">
        <v>1</v>
      </c>
    </row>
    <row r="2131" spans="1:6" x14ac:dyDescent="0.25">
      <c r="A2131" s="14">
        <v>46146.759722222225</v>
      </c>
      <c r="B2131" s="81" t="s">
        <v>149</v>
      </c>
      <c r="C2131" s="81" t="s">
        <v>184</v>
      </c>
      <c r="D2131" s="81" t="s">
        <v>164</v>
      </c>
      <c r="E2131" s="81" t="s">
        <v>50</v>
      </c>
      <c r="F2131" s="81" t="s">
        <v>1</v>
      </c>
    </row>
    <row r="2132" spans="1:6" x14ac:dyDescent="0.25">
      <c r="A2132" s="14">
        <v>46146.759722222225</v>
      </c>
      <c r="B2132" s="81" t="s">
        <v>149</v>
      </c>
      <c r="C2132" s="81" t="s">
        <v>181</v>
      </c>
      <c r="D2132" s="81" t="s">
        <v>231</v>
      </c>
      <c r="E2132" s="81" t="s">
        <v>52</v>
      </c>
      <c r="F2132" s="81" t="s">
        <v>0</v>
      </c>
    </row>
    <row r="2133" spans="1:6" x14ac:dyDescent="0.25">
      <c r="A2133" s="14">
        <v>46146.759722222225</v>
      </c>
      <c r="B2133" s="81" t="s">
        <v>149</v>
      </c>
      <c r="C2133" s="81" t="s">
        <v>187</v>
      </c>
      <c r="D2133" s="81" t="s">
        <v>167</v>
      </c>
      <c r="E2133" s="81" t="s">
        <v>75</v>
      </c>
      <c r="F2133" s="81" t="s">
        <v>93</v>
      </c>
    </row>
    <row r="2134" spans="1:6" x14ac:dyDescent="0.25">
      <c r="A2134" s="14">
        <v>46146.759722222225</v>
      </c>
      <c r="B2134" s="81" t="s">
        <v>149</v>
      </c>
      <c r="C2134" s="81" t="s">
        <v>175</v>
      </c>
      <c r="D2134" s="81" t="s">
        <v>231</v>
      </c>
      <c r="E2134" s="81" t="s">
        <v>50</v>
      </c>
      <c r="F2134" s="81" t="s">
        <v>1</v>
      </c>
    </row>
    <row r="2135" spans="1:6" x14ac:dyDescent="0.25">
      <c r="A2135" s="14">
        <v>46146.759722222225</v>
      </c>
      <c r="B2135" s="81" t="s">
        <v>149</v>
      </c>
      <c r="C2135" s="81" t="s">
        <v>182</v>
      </c>
      <c r="D2135" s="81" t="s">
        <v>229</v>
      </c>
      <c r="E2135" s="81" t="s">
        <v>48</v>
      </c>
      <c r="F2135" s="81" t="s">
        <v>3</v>
      </c>
    </row>
    <row r="2136" spans="1:6" x14ac:dyDescent="0.25">
      <c r="A2136" s="14">
        <v>46146.759722222225</v>
      </c>
      <c r="B2136" s="81" t="s">
        <v>149</v>
      </c>
      <c r="C2136" s="81" t="s">
        <v>176</v>
      </c>
      <c r="D2136" s="81" t="s">
        <v>167</v>
      </c>
      <c r="E2136" s="81" t="s">
        <v>70</v>
      </c>
      <c r="F2136" s="81" t="s">
        <v>15</v>
      </c>
    </row>
    <row r="2137" spans="1:6" x14ac:dyDescent="0.25">
      <c r="A2137" s="14">
        <v>46146.759722222225</v>
      </c>
      <c r="B2137" s="81" t="s">
        <v>149</v>
      </c>
      <c r="C2137" s="81" t="s">
        <v>203</v>
      </c>
      <c r="D2137" s="81" t="s">
        <v>201</v>
      </c>
      <c r="E2137" s="81" t="s">
        <v>72</v>
      </c>
      <c r="F2137" s="81" t="s">
        <v>28</v>
      </c>
    </row>
    <row r="2138" spans="1:6" x14ac:dyDescent="0.25">
      <c r="A2138" s="14">
        <v>46146.759722222225</v>
      </c>
      <c r="B2138" s="81" t="s">
        <v>149</v>
      </c>
      <c r="C2138" s="81" t="s">
        <v>203</v>
      </c>
      <c r="D2138" s="81" t="s">
        <v>201</v>
      </c>
      <c r="E2138" s="81" t="s">
        <v>72</v>
      </c>
      <c r="F2138" s="81" t="s">
        <v>28</v>
      </c>
    </row>
    <row r="2139" spans="1:6" x14ac:dyDescent="0.25">
      <c r="A2139" s="14">
        <v>46146.759722222225</v>
      </c>
      <c r="B2139" s="81" t="s">
        <v>149</v>
      </c>
      <c r="C2139" s="81" t="s">
        <v>203</v>
      </c>
      <c r="D2139" s="81" t="s">
        <v>201</v>
      </c>
      <c r="E2139" s="81" t="s">
        <v>72</v>
      </c>
      <c r="F2139" s="81" t="s">
        <v>28</v>
      </c>
    </row>
    <row r="2140" spans="1:6" x14ac:dyDescent="0.25">
      <c r="A2140" s="14">
        <v>46146.759722222225</v>
      </c>
      <c r="B2140" s="81" t="s">
        <v>149</v>
      </c>
      <c r="C2140" s="81" t="s">
        <v>203</v>
      </c>
      <c r="D2140" s="81" t="s">
        <v>201</v>
      </c>
      <c r="E2140" s="81" t="s">
        <v>72</v>
      </c>
      <c r="F2140" s="81" t="s">
        <v>28</v>
      </c>
    </row>
    <row r="2141" spans="1:6" x14ac:dyDescent="0.25">
      <c r="A2141" s="14">
        <v>46146.759722222225</v>
      </c>
      <c r="B2141" s="81" t="s">
        <v>149</v>
      </c>
      <c r="C2141" s="81" t="s">
        <v>203</v>
      </c>
      <c r="D2141" s="81" t="s">
        <v>201</v>
      </c>
      <c r="E2141" s="81" t="s">
        <v>72</v>
      </c>
      <c r="F2141" s="81" t="s">
        <v>28</v>
      </c>
    </row>
    <row r="2142" spans="1:6" x14ac:dyDescent="0.25">
      <c r="A2142" s="14">
        <v>46146.759722222225</v>
      </c>
      <c r="B2142" s="81" t="s">
        <v>149</v>
      </c>
      <c r="C2142" s="81" t="s">
        <v>182</v>
      </c>
      <c r="D2142" s="81" t="s">
        <v>251</v>
      </c>
      <c r="E2142" s="81" t="s">
        <v>49</v>
      </c>
      <c r="F2142" s="81" t="s">
        <v>2</v>
      </c>
    </row>
    <row r="2143" spans="1:6" x14ac:dyDescent="0.25">
      <c r="A2143" s="14">
        <v>46146.759722222225</v>
      </c>
      <c r="B2143" s="81" t="s">
        <v>149</v>
      </c>
      <c r="C2143" s="81" t="s">
        <v>183</v>
      </c>
      <c r="D2143" s="81" t="s">
        <v>168</v>
      </c>
      <c r="E2143" s="81" t="s">
        <v>50</v>
      </c>
      <c r="F2143" s="81" t="s">
        <v>1</v>
      </c>
    </row>
    <row r="2144" spans="1:6" x14ac:dyDescent="0.25">
      <c r="A2144" s="14">
        <v>46146.759722222225</v>
      </c>
      <c r="B2144" s="81" t="s">
        <v>149</v>
      </c>
      <c r="C2144" s="81" t="s">
        <v>151</v>
      </c>
      <c r="D2144" s="81" t="s">
        <v>168</v>
      </c>
      <c r="E2144" s="81" t="s">
        <v>50</v>
      </c>
      <c r="F2144" s="81" t="s">
        <v>1</v>
      </c>
    </row>
    <row r="2145" spans="1:6" x14ac:dyDescent="0.25">
      <c r="A2145" s="14">
        <v>46146.759722222225</v>
      </c>
      <c r="B2145" s="81" t="s">
        <v>149</v>
      </c>
      <c r="C2145" s="81" t="s">
        <v>183</v>
      </c>
      <c r="D2145" s="81" t="s">
        <v>168</v>
      </c>
      <c r="E2145" s="81" t="s">
        <v>50</v>
      </c>
      <c r="F2145" s="81" t="s">
        <v>1</v>
      </c>
    </row>
    <row r="2146" spans="1:6" x14ac:dyDescent="0.25">
      <c r="A2146" s="14">
        <v>46146.759722222225</v>
      </c>
      <c r="B2146" s="81" t="s">
        <v>149</v>
      </c>
      <c r="C2146" s="81" t="s">
        <v>185</v>
      </c>
      <c r="D2146" s="81" t="s">
        <v>168</v>
      </c>
      <c r="E2146" s="81" t="s">
        <v>50</v>
      </c>
      <c r="F2146" s="81" t="s">
        <v>1</v>
      </c>
    </row>
    <row r="2147" spans="1:6" x14ac:dyDescent="0.25">
      <c r="A2147" s="14">
        <v>46146.759722222225</v>
      </c>
      <c r="B2147" s="81" t="s">
        <v>149</v>
      </c>
      <c r="C2147" s="81" t="s">
        <v>176</v>
      </c>
      <c r="D2147" s="81" t="s">
        <v>167</v>
      </c>
      <c r="E2147" s="81" t="s">
        <v>70</v>
      </c>
      <c r="F2147" s="81" t="s">
        <v>15</v>
      </c>
    </row>
    <row r="2148" spans="1:6" x14ac:dyDescent="0.25">
      <c r="A2148" s="14">
        <v>46146.759722222225</v>
      </c>
      <c r="B2148" s="81" t="s">
        <v>149</v>
      </c>
      <c r="C2148" s="81" t="s">
        <v>184</v>
      </c>
      <c r="D2148" s="81" t="s">
        <v>168</v>
      </c>
      <c r="E2148" s="81" t="s">
        <v>50</v>
      </c>
      <c r="F2148" s="81" t="s">
        <v>1</v>
      </c>
    </row>
    <row r="2149" spans="1:6" x14ac:dyDescent="0.25">
      <c r="A2149" s="14">
        <v>46146.759722222225</v>
      </c>
      <c r="B2149" s="81" t="s">
        <v>149</v>
      </c>
      <c r="C2149" s="81" t="s">
        <v>177</v>
      </c>
      <c r="D2149" s="81" t="s">
        <v>162</v>
      </c>
      <c r="E2149" s="81" t="s">
        <v>49</v>
      </c>
      <c r="F2149" s="81" t="s">
        <v>2</v>
      </c>
    </row>
    <row r="2150" spans="1:6" x14ac:dyDescent="0.25">
      <c r="A2150" s="14">
        <v>46146.759722222225</v>
      </c>
      <c r="B2150" s="81" t="s">
        <v>149</v>
      </c>
      <c r="C2150" s="81" t="s">
        <v>177</v>
      </c>
      <c r="D2150" s="81" t="s">
        <v>162</v>
      </c>
      <c r="E2150" s="81" t="s">
        <v>49</v>
      </c>
      <c r="F2150" s="81" t="s">
        <v>2</v>
      </c>
    </row>
    <row r="2151" spans="1:6" x14ac:dyDescent="0.25">
      <c r="A2151" s="14">
        <v>46146.759722222225</v>
      </c>
      <c r="B2151" s="81" t="s">
        <v>149</v>
      </c>
      <c r="C2151" s="81" t="s">
        <v>177</v>
      </c>
      <c r="D2151" s="81" t="s">
        <v>162</v>
      </c>
      <c r="E2151" s="81" t="s">
        <v>49</v>
      </c>
      <c r="F2151" s="81" t="s">
        <v>2</v>
      </c>
    </row>
    <row r="2152" spans="1:6" x14ac:dyDescent="0.25">
      <c r="A2152" s="14">
        <v>46146.759722222225</v>
      </c>
      <c r="B2152" s="81" t="s">
        <v>149</v>
      </c>
      <c r="C2152" s="81" t="s">
        <v>177</v>
      </c>
      <c r="D2152" s="81" t="s">
        <v>162</v>
      </c>
      <c r="E2152" s="81" t="s">
        <v>49</v>
      </c>
      <c r="F2152" s="81" t="s">
        <v>2</v>
      </c>
    </row>
    <row r="2153" spans="1:6" x14ac:dyDescent="0.25">
      <c r="A2153" s="14">
        <v>46146.759722222225</v>
      </c>
      <c r="B2153" s="81" t="s">
        <v>149</v>
      </c>
      <c r="C2153" s="81" t="s">
        <v>177</v>
      </c>
      <c r="D2153" s="81" t="s">
        <v>162</v>
      </c>
      <c r="E2153" s="81" t="s">
        <v>49</v>
      </c>
      <c r="F2153" s="81" t="s">
        <v>2</v>
      </c>
    </row>
    <row r="2154" spans="1:6" x14ac:dyDescent="0.25">
      <c r="A2154" s="14">
        <v>46146.759722222225</v>
      </c>
      <c r="B2154" s="81" t="s">
        <v>149</v>
      </c>
      <c r="C2154" s="81" t="s">
        <v>177</v>
      </c>
      <c r="D2154" s="81" t="s">
        <v>162</v>
      </c>
      <c r="E2154" s="81" t="s">
        <v>49</v>
      </c>
      <c r="F2154" s="81" t="s">
        <v>2</v>
      </c>
    </row>
    <row r="2155" spans="1:6" x14ac:dyDescent="0.25">
      <c r="A2155" s="14">
        <v>46146.759722222225</v>
      </c>
      <c r="B2155" s="81" t="s">
        <v>149</v>
      </c>
      <c r="C2155" s="81" t="s">
        <v>177</v>
      </c>
      <c r="D2155" s="81" t="s">
        <v>162</v>
      </c>
      <c r="E2155" s="81" t="s">
        <v>49</v>
      </c>
      <c r="F2155" s="81" t="s">
        <v>2</v>
      </c>
    </row>
    <row r="2156" spans="1:6" x14ac:dyDescent="0.25">
      <c r="A2156" s="14">
        <v>46146.759722222225</v>
      </c>
      <c r="B2156" s="81" t="s">
        <v>149</v>
      </c>
      <c r="C2156" s="81" t="s">
        <v>177</v>
      </c>
      <c r="D2156" s="81" t="s">
        <v>162</v>
      </c>
      <c r="E2156" s="81" t="s">
        <v>49</v>
      </c>
      <c r="F2156" s="81" t="s">
        <v>2</v>
      </c>
    </row>
    <row r="2157" spans="1:6" x14ac:dyDescent="0.25">
      <c r="A2157" s="14">
        <v>46146.759722222225</v>
      </c>
      <c r="B2157" s="81" t="s">
        <v>149</v>
      </c>
      <c r="C2157" s="81" t="s">
        <v>177</v>
      </c>
      <c r="D2157" s="81" t="s">
        <v>162</v>
      </c>
      <c r="E2157" s="81" t="s">
        <v>49</v>
      </c>
      <c r="F2157" s="81" t="s">
        <v>2</v>
      </c>
    </row>
    <row r="2158" spans="1:6" x14ac:dyDescent="0.25">
      <c r="A2158" s="14">
        <v>46146.759722222225</v>
      </c>
      <c r="B2158" s="81" t="s">
        <v>149</v>
      </c>
      <c r="C2158" s="81" t="s">
        <v>177</v>
      </c>
      <c r="D2158" s="81" t="s">
        <v>162</v>
      </c>
      <c r="E2158" s="81" t="s">
        <v>49</v>
      </c>
      <c r="F2158" s="81" t="s">
        <v>2</v>
      </c>
    </row>
    <row r="2159" spans="1:6" x14ac:dyDescent="0.25">
      <c r="A2159" s="14">
        <v>46146.759722222225</v>
      </c>
      <c r="B2159" s="81" t="s">
        <v>149</v>
      </c>
      <c r="C2159" s="81" t="s">
        <v>177</v>
      </c>
      <c r="D2159" s="81" t="s">
        <v>162</v>
      </c>
      <c r="E2159" s="81" t="s">
        <v>49</v>
      </c>
      <c r="F2159" s="81" t="s">
        <v>2</v>
      </c>
    </row>
    <row r="2160" spans="1:6" x14ac:dyDescent="0.25">
      <c r="A2160" s="14">
        <v>46146.759722222225</v>
      </c>
      <c r="B2160" s="81" t="s">
        <v>149</v>
      </c>
      <c r="C2160" s="81" t="s">
        <v>177</v>
      </c>
      <c r="D2160" s="81" t="s">
        <v>162</v>
      </c>
      <c r="E2160" s="81" t="s">
        <v>49</v>
      </c>
      <c r="F2160" s="81" t="s">
        <v>2</v>
      </c>
    </row>
    <row r="2161" spans="1:6" x14ac:dyDescent="0.25">
      <c r="A2161" s="14">
        <v>46146.759722222225</v>
      </c>
      <c r="B2161" s="81" t="s">
        <v>149</v>
      </c>
      <c r="C2161" s="81" t="s">
        <v>177</v>
      </c>
      <c r="D2161" s="81" t="s">
        <v>162</v>
      </c>
      <c r="E2161" s="81" t="s">
        <v>49</v>
      </c>
      <c r="F2161" s="81" t="s">
        <v>2</v>
      </c>
    </row>
    <row r="2162" spans="1:6" x14ac:dyDescent="0.25">
      <c r="A2162" s="14">
        <v>46146.759722222225</v>
      </c>
      <c r="B2162" s="81" t="s">
        <v>149</v>
      </c>
      <c r="C2162" s="81" t="s">
        <v>177</v>
      </c>
      <c r="D2162" s="81" t="s">
        <v>162</v>
      </c>
      <c r="E2162" s="81" t="s">
        <v>49</v>
      </c>
      <c r="F2162" s="81" t="s">
        <v>2</v>
      </c>
    </row>
    <row r="2163" spans="1:6" x14ac:dyDescent="0.25">
      <c r="A2163" s="14">
        <v>46146.759722222225</v>
      </c>
      <c r="B2163" s="81" t="s">
        <v>149</v>
      </c>
      <c r="C2163" s="81" t="s">
        <v>177</v>
      </c>
      <c r="D2163" s="81" t="s">
        <v>162</v>
      </c>
      <c r="E2163" s="81" t="s">
        <v>49</v>
      </c>
      <c r="F2163" s="81" t="s">
        <v>2</v>
      </c>
    </row>
    <row r="2164" spans="1:6" x14ac:dyDescent="0.25">
      <c r="A2164" s="14">
        <v>46146.759722222225</v>
      </c>
      <c r="B2164" s="81" t="s">
        <v>149</v>
      </c>
      <c r="C2164" s="81" t="s">
        <v>177</v>
      </c>
      <c r="D2164" s="81" t="s">
        <v>162</v>
      </c>
      <c r="E2164" s="81" t="s">
        <v>49</v>
      </c>
      <c r="F2164" s="81" t="s">
        <v>2</v>
      </c>
    </row>
    <row r="2165" spans="1:6" x14ac:dyDescent="0.25">
      <c r="A2165" s="14">
        <v>46146.759722222225</v>
      </c>
      <c r="B2165" s="81" t="s">
        <v>149</v>
      </c>
      <c r="C2165" s="81" t="s">
        <v>177</v>
      </c>
      <c r="D2165" s="81" t="s">
        <v>162</v>
      </c>
      <c r="E2165" s="81" t="s">
        <v>48</v>
      </c>
      <c r="F2165" s="81" t="s">
        <v>3</v>
      </c>
    </row>
    <row r="2166" spans="1:6" x14ac:dyDescent="0.25">
      <c r="A2166" s="14">
        <v>46146.759722222225</v>
      </c>
      <c r="B2166" s="81" t="s">
        <v>149</v>
      </c>
      <c r="C2166" s="81" t="s">
        <v>177</v>
      </c>
      <c r="D2166" s="81" t="s">
        <v>162</v>
      </c>
      <c r="E2166" s="81" t="s">
        <v>48</v>
      </c>
      <c r="F2166" s="81" t="s">
        <v>3</v>
      </c>
    </row>
    <row r="2167" spans="1:6" x14ac:dyDescent="0.25">
      <c r="A2167" s="14">
        <v>46146.759722222225</v>
      </c>
      <c r="B2167" s="81" t="s">
        <v>149</v>
      </c>
      <c r="C2167" s="81" t="s">
        <v>177</v>
      </c>
      <c r="D2167" s="81" t="s">
        <v>162</v>
      </c>
      <c r="E2167" s="81" t="s">
        <v>48</v>
      </c>
      <c r="F2167" s="81" t="s">
        <v>3</v>
      </c>
    </row>
    <row r="2168" spans="1:6" x14ac:dyDescent="0.25">
      <c r="A2168" s="14">
        <v>46146.759722222225</v>
      </c>
      <c r="B2168" s="81" t="s">
        <v>149</v>
      </c>
      <c r="C2168" s="81" t="s">
        <v>177</v>
      </c>
      <c r="D2168" s="81" t="s">
        <v>162</v>
      </c>
      <c r="E2168" s="81" t="s">
        <v>48</v>
      </c>
      <c r="F2168" s="81" t="s">
        <v>3</v>
      </c>
    </row>
    <row r="2169" spans="1:6" x14ac:dyDescent="0.25">
      <c r="A2169" s="14">
        <v>46146.759722222225</v>
      </c>
      <c r="B2169" s="81" t="s">
        <v>149</v>
      </c>
      <c r="C2169" s="81" t="s">
        <v>177</v>
      </c>
      <c r="D2169" s="81" t="s">
        <v>162</v>
      </c>
      <c r="E2169" s="81" t="s">
        <v>48</v>
      </c>
      <c r="F2169" s="81" t="s">
        <v>3</v>
      </c>
    </row>
    <row r="2170" spans="1:6" x14ac:dyDescent="0.25">
      <c r="A2170" s="14">
        <v>46146.759722222225</v>
      </c>
      <c r="B2170" s="81" t="s">
        <v>149</v>
      </c>
      <c r="C2170" s="81" t="s">
        <v>177</v>
      </c>
      <c r="D2170" s="81" t="s">
        <v>162</v>
      </c>
      <c r="E2170" s="81" t="s">
        <v>48</v>
      </c>
      <c r="F2170" s="81" t="s">
        <v>3</v>
      </c>
    </row>
    <row r="2171" spans="1:6" x14ac:dyDescent="0.25">
      <c r="A2171" s="14">
        <v>46146.759722222225</v>
      </c>
      <c r="B2171" s="81" t="s">
        <v>149</v>
      </c>
      <c r="C2171" s="81" t="s">
        <v>177</v>
      </c>
      <c r="D2171" s="81" t="s">
        <v>162</v>
      </c>
      <c r="E2171" s="81" t="s">
        <v>48</v>
      </c>
      <c r="F2171" s="81" t="s">
        <v>3</v>
      </c>
    </row>
    <row r="2172" spans="1:6" x14ac:dyDescent="0.25">
      <c r="A2172" s="14">
        <v>46146.759722222225</v>
      </c>
      <c r="B2172" s="81" t="s">
        <v>149</v>
      </c>
      <c r="C2172" s="81" t="s">
        <v>181</v>
      </c>
      <c r="D2172" s="81" t="s">
        <v>162</v>
      </c>
      <c r="E2172" s="81" t="s">
        <v>48</v>
      </c>
      <c r="F2172" s="81" t="s">
        <v>3</v>
      </c>
    </row>
    <row r="2173" spans="1:6" x14ac:dyDescent="0.25">
      <c r="A2173" s="14">
        <v>46146.759722222225</v>
      </c>
      <c r="B2173" s="81" t="s">
        <v>149</v>
      </c>
      <c r="C2173" s="81" t="s">
        <v>181</v>
      </c>
      <c r="D2173" s="81" t="s">
        <v>162</v>
      </c>
      <c r="E2173" s="81" t="s">
        <v>48</v>
      </c>
      <c r="F2173" s="81" t="s">
        <v>3</v>
      </c>
    </row>
    <row r="2174" spans="1:6" x14ac:dyDescent="0.25">
      <c r="A2174" s="14">
        <v>46146.759722222225</v>
      </c>
      <c r="B2174" s="81" t="s">
        <v>149</v>
      </c>
      <c r="C2174" s="81" t="s">
        <v>181</v>
      </c>
      <c r="D2174" s="81" t="s">
        <v>162</v>
      </c>
      <c r="E2174" s="81" t="s">
        <v>48</v>
      </c>
      <c r="F2174" s="81" t="s">
        <v>3</v>
      </c>
    </row>
    <row r="2175" spans="1:6" x14ac:dyDescent="0.25">
      <c r="A2175" s="14">
        <v>46146.759722222225</v>
      </c>
      <c r="B2175" s="81" t="s">
        <v>149</v>
      </c>
      <c r="C2175" s="81" t="s">
        <v>181</v>
      </c>
      <c r="D2175" s="81" t="s">
        <v>162</v>
      </c>
      <c r="E2175" s="81" t="s">
        <v>48</v>
      </c>
      <c r="F2175" s="81" t="s">
        <v>3</v>
      </c>
    </row>
    <row r="2176" spans="1:6" x14ac:dyDescent="0.25">
      <c r="A2176" s="14">
        <v>46146.759722222225</v>
      </c>
      <c r="B2176" s="81" t="s">
        <v>149</v>
      </c>
      <c r="C2176" s="81" t="s">
        <v>181</v>
      </c>
      <c r="D2176" s="81" t="s">
        <v>162</v>
      </c>
      <c r="E2176" s="81" t="s">
        <v>48</v>
      </c>
      <c r="F2176" s="81" t="s">
        <v>3</v>
      </c>
    </row>
    <row r="2177" spans="1:6" x14ac:dyDescent="0.25">
      <c r="A2177" s="14">
        <v>46146.759722222225</v>
      </c>
      <c r="B2177" s="81" t="s">
        <v>149</v>
      </c>
      <c r="C2177" s="81" t="s">
        <v>181</v>
      </c>
      <c r="D2177" s="81" t="s">
        <v>162</v>
      </c>
      <c r="E2177" s="81" t="s">
        <v>48</v>
      </c>
      <c r="F2177" s="81" t="s">
        <v>3</v>
      </c>
    </row>
    <row r="2178" spans="1:6" x14ac:dyDescent="0.25">
      <c r="A2178" s="14">
        <v>46146.759722222225</v>
      </c>
      <c r="B2178" s="81" t="s">
        <v>149</v>
      </c>
      <c r="C2178" s="81" t="s">
        <v>181</v>
      </c>
      <c r="D2178" s="81" t="s">
        <v>162</v>
      </c>
      <c r="E2178" s="81" t="s">
        <v>48</v>
      </c>
      <c r="F2178" s="81" t="s">
        <v>3</v>
      </c>
    </row>
    <row r="2179" spans="1:6" x14ac:dyDescent="0.25">
      <c r="A2179" s="14">
        <v>46146.759722222225</v>
      </c>
      <c r="B2179" s="81" t="s">
        <v>149</v>
      </c>
      <c r="C2179" s="81" t="s">
        <v>183</v>
      </c>
      <c r="D2179" s="81" t="s">
        <v>168</v>
      </c>
      <c r="E2179" s="81" t="s">
        <v>50</v>
      </c>
      <c r="F2179" s="81" t="s">
        <v>1</v>
      </c>
    </row>
    <row r="2180" spans="1:6" x14ac:dyDescent="0.25">
      <c r="A2180" s="14">
        <v>46146.759722222225</v>
      </c>
      <c r="B2180" s="81" t="s">
        <v>149</v>
      </c>
      <c r="C2180" s="81" t="s">
        <v>190</v>
      </c>
      <c r="D2180" s="81" t="s">
        <v>168</v>
      </c>
      <c r="E2180" s="81" t="s">
        <v>50</v>
      </c>
      <c r="F2180" s="81" t="s">
        <v>1</v>
      </c>
    </row>
    <row r="2181" spans="1:6" x14ac:dyDescent="0.25">
      <c r="A2181" s="14">
        <v>46146.759722222225</v>
      </c>
      <c r="B2181" s="81" t="s">
        <v>149</v>
      </c>
      <c r="C2181" s="81" t="s">
        <v>192</v>
      </c>
      <c r="D2181" s="81" t="s">
        <v>263</v>
      </c>
      <c r="E2181" s="81" t="s">
        <v>60</v>
      </c>
      <c r="F2181" s="81" t="s">
        <v>28</v>
      </c>
    </row>
    <row r="2182" spans="1:6" x14ac:dyDescent="0.25">
      <c r="A2182" s="14">
        <v>46146.759722222225</v>
      </c>
      <c r="B2182" s="81" t="s">
        <v>149</v>
      </c>
      <c r="C2182" s="81" t="s">
        <v>190</v>
      </c>
      <c r="D2182" s="81" t="s">
        <v>267</v>
      </c>
      <c r="E2182" s="81" t="s">
        <v>50</v>
      </c>
      <c r="F2182" s="81" t="s">
        <v>1</v>
      </c>
    </row>
    <row r="2183" spans="1:6" x14ac:dyDescent="0.25">
      <c r="A2183" s="14">
        <v>46146.759722222225</v>
      </c>
      <c r="B2183" s="81" t="s">
        <v>149</v>
      </c>
      <c r="C2183" s="81" t="s">
        <v>185</v>
      </c>
      <c r="D2183" s="81" t="s">
        <v>251</v>
      </c>
      <c r="E2183" s="81" t="s">
        <v>49</v>
      </c>
      <c r="F2183" s="81" t="s">
        <v>2</v>
      </c>
    </row>
    <row r="2184" spans="1:6" x14ac:dyDescent="0.25">
      <c r="A2184" s="14">
        <v>46146.759722222225</v>
      </c>
      <c r="B2184" s="81" t="s">
        <v>149</v>
      </c>
      <c r="C2184" s="81" t="s">
        <v>190</v>
      </c>
      <c r="D2184" s="81" t="s">
        <v>168</v>
      </c>
      <c r="E2184" s="81" t="s">
        <v>50</v>
      </c>
      <c r="F2184" s="81" t="s">
        <v>1</v>
      </c>
    </row>
    <row r="2185" spans="1:6" x14ac:dyDescent="0.25">
      <c r="A2185" s="14">
        <v>46146.759722222225</v>
      </c>
      <c r="B2185" s="81" t="s">
        <v>149</v>
      </c>
      <c r="C2185" s="81" t="s">
        <v>176</v>
      </c>
      <c r="D2185" s="81" t="s">
        <v>167</v>
      </c>
      <c r="E2185" s="81" t="s">
        <v>70</v>
      </c>
      <c r="F2185" s="81" t="s">
        <v>15</v>
      </c>
    </row>
    <row r="2186" spans="1:6" x14ac:dyDescent="0.25">
      <c r="A2186" s="14">
        <v>46146.759722222225</v>
      </c>
      <c r="B2186" s="81" t="s">
        <v>149</v>
      </c>
      <c r="C2186" s="81" t="s">
        <v>182</v>
      </c>
      <c r="D2186" s="81" t="s">
        <v>168</v>
      </c>
      <c r="E2186" s="81" t="s">
        <v>49</v>
      </c>
      <c r="F2186" s="81" t="s">
        <v>2</v>
      </c>
    </row>
    <row r="2187" spans="1:6" x14ac:dyDescent="0.25">
      <c r="A2187" s="14">
        <v>46146.759722222225</v>
      </c>
      <c r="B2187" s="81" t="s">
        <v>149</v>
      </c>
      <c r="C2187" s="81" t="s">
        <v>151</v>
      </c>
      <c r="D2187" s="81" t="s">
        <v>251</v>
      </c>
      <c r="E2187" s="81" t="s">
        <v>50</v>
      </c>
      <c r="F2187" s="81" t="s">
        <v>1</v>
      </c>
    </row>
    <row r="2188" spans="1:6" x14ac:dyDescent="0.25">
      <c r="A2188" s="14">
        <v>46146.759722222225</v>
      </c>
      <c r="B2188" s="81" t="s">
        <v>149</v>
      </c>
      <c r="C2188" s="81" t="s">
        <v>158</v>
      </c>
      <c r="D2188" s="81" t="s">
        <v>168</v>
      </c>
      <c r="E2188" s="81" t="s">
        <v>49</v>
      </c>
      <c r="F2188" s="81" t="s">
        <v>2</v>
      </c>
    </row>
    <row r="2189" spans="1:6" x14ac:dyDescent="0.25">
      <c r="A2189" s="14">
        <v>46146.759722222225</v>
      </c>
      <c r="B2189" s="81" t="s">
        <v>149</v>
      </c>
      <c r="C2189" s="81" t="s">
        <v>181</v>
      </c>
      <c r="D2189" s="81" t="s">
        <v>168</v>
      </c>
      <c r="E2189" s="81" t="s">
        <v>50</v>
      </c>
      <c r="F2189" s="81" t="s">
        <v>1</v>
      </c>
    </row>
    <row r="2190" spans="1:6" x14ac:dyDescent="0.25">
      <c r="A2190" s="14">
        <v>46146.759722222225</v>
      </c>
      <c r="B2190" s="81" t="s">
        <v>149</v>
      </c>
      <c r="C2190" s="81" t="s">
        <v>173</v>
      </c>
      <c r="D2190" s="81" t="s">
        <v>168</v>
      </c>
      <c r="E2190" s="81" t="s">
        <v>50</v>
      </c>
      <c r="F2190" s="81" t="s">
        <v>1</v>
      </c>
    </row>
    <row r="2191" spans="1:6" x14ac:dyDescent="0.25">
      <c r="A2191" s="14">
        <v>46146.759722222225</v>
      </c>
      <c r="B2191" s="81" t="s">
        <v>149</v>
      </c>
      <c r="C2191" s="81" t="s">
        <v>176</v>
      </c>
      <c r="D2191" s="81" t="s">
        <v>167</v>
      </c>
      <c r="E2191" s="81" t="s">
        <v>70</v>
      </c>
      <c r="F2191" s="81" t="s">
        <v>15</v>
      </c>
    </row>
    <row r="2192" spans="1:6" x14ac:dyDescent="0.25">
      <c r="A2192" s="14">
        <v>46146.759722222225</v>
      </c>
      <c r="B2192" s="81" t="s">
        <v>149</v>
      </c>
      <c r="C2192" s="81" t="s">
        <v>176</v>
      </c>
      <c r="D2192" s="81" t="s">
        <v>251</v>
      </c>
      <c r="E2192" s="81" t="s">
        <v>70</v>
      </c>
      <c r="F2192" s="81" t="s">
        <v>15</v>
      </c>
    </row>
    <row r="2193" spans="1:6" x14ac:dyDescent="0.25">
      <c r="A2193" s="14">
        <v>46146.759722222225</v>
      </c>
      <c r="B2193" s="81" t="s">
        <v>149</v>
      </c>
      <c r="C2193" s="81" t="s">
        <v>171</v>
      </c>
      <c r="D2193" s="81" t="s">
        <v>250</v>
      </c>
      <c r="E2193" s="81" t="s">
        <v>49</v>
      </c>
      <c r="F2193" s="81" t="s">
        <v>2</v>
      </c>
    </row>
    <row r="2194" spans="1:6" x14ac:dyDescent="0.25">
      <c r="A2194" s="14">
        <v>46146.759722222225</v>
      </c>
      <c r="B2194" s="81" t="s">
        <v>149</v>
      </c>
      <c r="C2194" s="81" t="s">
        <v>181</v>
      </c>
      <c r="D2194" s="81" t="s">
        <v>250</v>
      </c>
      <c r="E2194" s="81" t="s">
        <v>49</v>
      </c>
      <c r="F2194" s="81" t="s">
        <v>2</v>
      </c>
    </row>
    <row r="2195" spans="1:6" x14ac:dyDescent="0.25">
      <c r="A2195" s="14">
        <v>46146.759722222225</v>
      </c>
      <c r="B2195" s="81" t="s">
        <v>149</v>
      </c>
      <c r="C2195" s="81" t="s">
        <v>181</v>
      </c>
      <c r="D2195" s="81" t="s">
        <v>168</v>
      </c>
      <c r="E2195" s="81" t="s">
        <v>49</v>
      </c>
      <c r="F2195" s="81" t="s">
        <v>2</v>
      </c>
    </row>
    <row r="2196" spans="1:6" x14ac:dyDescent="0.25">
      <c r="A2196" s="14">
        <v>46146.759722222225</v>
      </c>
      <c r="B2196" s="81" t="s">
        <v>195</v>
      </c>
      <c r="C2196" s="81" t="s">
        <v>197</v>
      </c>
      <c r="D2196" s="81" t="s">
        <v>163</v>
      </c>
      <c r="E2196" s="81" t="s">
        <v>24</v>
      </c>
      <c r="F2196" s="81" t="s">
        <v>24</v>
      </c>
    </row>
    <row r="2197" spans="1:6" x14ac:dyDescent="0.25">
      <c r="A2197" s="14">
        <v>46146.759722222225</v>
      </c>
      <c r="B2197" s="81" t="s">
        <v>195</v>
      </c>
      <c r="C2197" s="81" t="s">
        <v>197</v>
      </c>
      <c r="D2197" s="81" t="s">
        <v>163</v>
      </c>
      <c r="E2197" s="81" t="s">
        <v>24</v>
      </c>
      <c r="F2197" s="81" t="s">
        <v>24</v>
      </c>
    </row>
    <row r="2198" spans="1:6" x14ac:dyDescent="0.25">
      <c r="A2198" s="14">
        <v>46146.759722222225</v>
      </c>
      <c r="B2198" s="81" t="s">
        <v>195</v>
      </c>
      <c r="C2198" s="81" t="s">
        <v>197</v>
      </c>
      <c r="D2198" s="81" t="s">
        <v>163</v>
      </c>
      <c r="E2198" s="81" t="s">
        <v>24</v>
      </c>
      <c r="F2198" s="81" t="s">
        <v>24</v>
      </c>
    </row>
    <row r="2199" spans="1:6" x14ac:dyDescent="0.25">
      <c r="A2199" s="14">
        <v>46146.759722222225</v>
      </c>
      <c r="B2199" s="81" t="s">
        <v>195</v>
      </c>
      <c r="C2199" s="81" t="s">
        <v>198</v>
      </c>
      <c r="D2199" s="81" t="s">
        <v>254</v>
      </c>
      <c r="E2199" s="81" t="s">
        <v>24</v>
      </c>
      <c r="F2199" s="81" t="s">
        <v>24</v>
      </c>
    </row>
    <row r="2200" spans="1:6" x14ac:dyDescent="0.25">
      <c r="A2200" s="14">
        <v>46146.759722222225</v>
      </c>
      <c r="B2200" s="81" t="s">
        <v>195</v>
      </c>
      <c r="C2200" s="81" t="s">
        <v>198</v>
      </c>
      <c r="D2200" s="81" t="s">
        <v>254</v>
      </c>
      <c r="E2200" s="81" t="s">
        <v>24</v>
      </c>
      <c r="F2200" s="81" t="s">
        <v>24</v>
      </c>
    </row>
    <row r="2201" spans="1:6" x14ac:dyDescent="0.25">
      <c r="A2201" s="14">
        <v>46146.759722222225</v>
      </c>
      <c r="B2201" s="81" t="s">
        <v>195</v>
      </c>
      <c r="C2201" s="81" t="s">
        <v>198</v>
      </c>
      <c r="D2201" s="81" t="s">
        <v>254</v>
      </c>
      <c r="E2201" s="81" t="s">
        <v>24</v>
      </c>
      <c r="F2201" s="81" t="s">
        <v>24</v>
      </c>
    </row>
    <row r="2202" spans="1:6" x14ac:dyDescent="0.25">
      <c r="A2202" s="14">
        <v>46146.759722222225</v>
      </c>
      <c r="B2202" s="81" t="s">
        <v>195</v>
      </c>
      <c r="C2202" s="81" t="s">
        <v>198</v>
      </c>
      <c r="D2202" s="81" t="s">
        <v>269</v>
      </c>
      <c r="E2202" s="81" t="s">
        <v>24</v>
      </c>
      <c r="F2202" s="81" t="s">
        <v>24</v>
      </c>
    </row>
    <row r="2203" spans="1:6" x14ac:dyDescent="0.25">
      <c r="A2203" s="14">
        <v>46146.759722222225</v>
      </c>
      <c r="B2203" s="81" t="s">
        <v>195</v>
      </c>
      <c r="C2203" s="81" t="s">
        <v>198</v>
      </c>
      <c r="D2203" s="81" t="s">
        <v>269</v>
      </c>
      <c r="E2203" s="81" t="s">
        <v>24</v>
      </c>
      <c r="F2203" s="81" t="s">
        <v>24</v>
      </c>
    </row>
    <row r="2204" spans="1:6" x14ac:dyDescent="0.25">
      <c r="A2204" s="14">
        <v>46146.759722222225</v>
      </c>
      <c r="B2204" s="81" t="s">
        <v>195</v>
      </c>
      <c r="C2204" s="81" t="s">
        <v>198</v>
      </c>
      <c r="D2204" s="81" t="s">
        <v>269</v>
      </c>
      <c r="E2204" s="81" t="s">
        <v>24</v>
      </c>
      <c r="F2204" s="81" t="s">
        <v>24</v>
      </c>
    </row>
    <row r="2205" spans="1:6" x14ac:dyDescent="0.25">
      <c r="A2205" s="14">
        <v>46146.759722222225</v>
      </c>
      <c r="B2205" s="81" t="s">
        <v>195</v>
      </c>
      <c r="C2205" s="81" t="s">
        <v>198</v>
      </c>
      <c r="D2205" s="81" t="s">
        <v>251</v>
      </c>
      <c r="E2205" s="81" t="s">
        <v>24</v>
      </c>
      <c r="F2205" s="81" t="s">
        <v>24</v>
      </c>
    </row>
    <row r="2206" spans="1:6" x14ac:dyDescent="0.25">
      <c r="A2206" s="14">
        <v>46146.759722222225</v>
      </c>
      <c r="B2206" s="81" t="s">
        <v>195</v>
      </c>
      <c r="C2206" s="81" t="s">
        <v>198</v>
      </c>
      <c r="D2206" s="81" t="s">
        <v>251</v>
      </c>
      <c r="E2206" s="81" t="s">
        <v>24</v>
      </c>
      <c r="F2206" s="81" t="s">
        <v>24</v>
      </c>
    </row>
    <row r="2207" spans="1:6" x14ac:dyDescent="0.25">
      <c r="A2207" s="14">
        <v>46146.759722222225</v>
      </c>
      <c r="B2207" s="81" t="s">
        <v>195</v>
      </c>
      <c r="C2207" s="81" t="s">
        <v>198</v>
      </c>
      <c r="D2207" s="81" t="s">
        <v>251</v>
      </c>
      <c r="E2207" s="81" t="s">
        <v>24</v>
      </c>
      <c r="F2207" s="81" t="s">
        <v>24</v>
      </c>
    </row>
    <row r="2208" spans="1:6" x14ac:dyDescent="0.25">
      <c r="A2208" s="14">
        <v>46146.759722222225</v>
      </c>
      <c r="B2208" s="81" t="s">
        <v>195</v>
      </c>
      <c r="C2208" s="81" t="s">
        <v>196</v>
      </c>
      <c r="D2208" s="81" t="s">
        <v>251</v>
      </c>
      <c r="E2208" s="81" t="s">
        <v>24</v>
      </c>
      <c r="F2208" s="81" t="s">
        <v>24</v>
      </c>
    </row>
    <row r="2209" spans="1:6" x14ac:dyDescent="0.25">
      <c r="A2209" s="14">
        <v>46146.759722222225</v>
      </c>
      <c r="B2209" s="81" t="s">
        <v>195</v>
      </c>
      <c r="C2209" s="81" t="s">
        <v>196</v>
      </c>
      <c r="D2209" s="81" t="s">
        <v>251</v>
      </c>
      <c r="E2209" s="81" t="s">
        <v>24</v>
      </c>
      <c r="F2209" s="81" t="s">
        <v>24</v>
      </c>
    </row>
    <row r="2210" spans="1:6" x14ac:dyDescent="0.25">
      <c r="A2210" s="14">
        <v>46146.759722222225</v>
      </c>
      <c r="B2210" s="81" t="s">
        <v>195</v>
      </c>
      <c r="C2210" s="81" t="s">
        <v>196</v>
      </c>
      <c r="D2210" s="81" t="s">
        <v>251</v>
      </c>
      <c r="E2210" s="81" t="s">
        <v>24</v>
      </c>
      <c r="F2210" s="81" t="s">
        <v>24</v>
      </c>
    </row>
    <row r="2211" spans="1:6" x14ac:dyDescent="0.25">
      <c r="A2211" s="14">
        <v>46146.759722222225</v>
      </c>
      <c r="B2211" s="81" t="s">
        <v>195</v>
      </c>
      <c r="C2211" s="81" t="s">
        <v>197</v>
      </c>
      <c r="D2211" s="81" t="s">
        <v>251</v>
      </c>
      <c r="E2211" s="81" t="s">
        <v>24</v>
      </c>
      <c r="F2211" s="81" t="s">
        <v>24</v>
      </c>
    </row>
    <row r="2212" spans="1:6" x14ac:dyDescent="0.25">
      <c r="A2212" s="14">
        <v>46146.759722222225</v>
      </c>
      <c r="B2212" s="81" t="s">
        <v>195</v>
      </c>
      <c r="C2212" s="81" t="s">
        <v>197</v>
      </c>
      <c r="D2212" s="81" t="s">
        <v>251</v>
      </c>
      <c r="E2212" s="81" t="s">
        <v>24</v>
      </c>
      <c r="F2212" s="81" t="s">
        <v>24</v>
      </c>
    </row>
    <row r="2213" spans="1:6" x14ac:dyDescent="0.25">
      <c r="A2213" s="14">
        <v>46146.759722222225</v>
      </c>
      <c r="B2213" s="81" t="s">
        <v>195</v>
      </c>
      <c r="C2213" s="81" t="s">
        <v>197</v>
      </c>
      <c r="D2213" s="81" t="s">
        <v>251</v>
      </c>
      <c r="E2213" s="81" t="s">
        <v>24</v>
      </c>
      <c r="F2213" s="81" t="s">
        <v>24</v>
      </c>
    </row>
    <row r="2214" spans="1:6" x14ac:dyDescent="0.25">
      <c r="A2214" s="14">
        <v>46146.759722222225</v>
      </c>
      <c r="B2214" s="81" t="s">
        <v>195</v>
      </c>
      <c r="C2214" s="81" t="s">
        <v>198</v>
      </c>
      <c r="D2214" s="81" t="s">
        <v>162</v>
      </c>
      <c r="E2214" s="81" t="s">
        <v>24</v>
      </c>
      <c r="F2214" s="81" t="s">
        <v>24</v>
      </c>
    </row>
    <row r="2215" spans="1:6" x14ac:dyDescent="0.25">
      <c r="A2215" s="14">
        <v>46146.759722222225</v>
      </c>
      <c r="B2215" s="81" t="s">
        <v>195</v>
      </c>
      <c r="C2215" s="81" t="s">
        <v>198</v>
      </c>
      <c r="D2215" s="81" t="s">
        <v>162</v>
      </c>
      <c r="E2215" s="81" t="s">
        <v>24</v>
      </c>
      <c r="F2215" s="81" t="s">
        <v>24</v>
      </c>
    </row>
    <row r="2216" spans="1:6" x14ac:dyDescent="0.25">
      <c r="A2216" s="14">
        <v>46146.759722222225</v>
      </c>
      <c r="B2216" s="81" t="s">
        <v>195</v>
      </c>
      <c r="C2216" s="81" t="s">
        <v>198</v>
      </c>
      <c r="D2216" s="81" t="s">
        <v>162</v>
      </c>
      <c r="E2216" s="81" t="s">
        <v>24</v>
      </c>
      <c r="F2216" s="81" t="s">
        <v>24</v>
      </c>
    </row>
    <row r="2217" spans="1:6" x14ac:dyDescent="0.25">
      <c r="A2217" s="14">
        <v>46146.759722222225</v>
      </c>
      <c r="B2217" s="81" t="s">
        <v>195</v>
      </c>
      <c r="C2217" s="81" t="s">
        <v>196</v>
      </c>
      <c r="D2217" s="81" t="s">
        <v>162</v>
      </c>
      <c r="E2217" s="81" t="s">
        <v>24</v>
      </c>
      <c r="F2217" s="81" t="s">
        <v>24</v>
      </c>
    </row>
    <row r="2218" spans="1:6" x14ac:dyDescent="0.25">
      <c r="A2218" s="14">
        <v>46146.759722222225</v>
      </c>
      <c r="B2218" s="81" t="s">
        <v>195</v>
      </c>
      <c r="C2218" s="81" t="s">
        <v>196</v>
      </c>
      <c r="D2218" s="81" t="s">
        <v>162</v>
      </c>
      <c r="E2218" s="81" t="s">
        <v>24</v>
      </c>
      <c r="F2218" s="81" t="s">
        <v>24</v>
      </c>
    </row>
    <row r="2219" spans="1:6" x14ac:dyDescent="0.25">
      <c r="A2219" s="14">
        <v>46146.759722222225</v>
      </c>
      <c r="B2219" s="81" t="s">
        <v>195</v>
      </c>
      <c r="C2219" s="81" t="s">
        <v>196</v>
      </c>
      <c r="D2219" s="81" t="s">
        <v>162</v>
      </c>
      <c r="E2219" s="81" t="s">
        <v>24</v>
      </c>
      <c r="F2219" s="81" t="s">
        <v>24</v>
      </c>
    </row>
    <row r="2220" spans="1:6" x14ac:dyDescent="0.25">
      <c r="A2220" s="14">
        <v>46146.759722222225</v>
      </c>
      <c r="B2220" s="81" t="s">
        <v>195</v>
      </c>
      <c r="C2220" s="81" t="s">
        <v>198</v>
      </c>
      <c r="D2220" s="81" t="s">
        <v>265</v>
      </c>
      <c r="E2220" s="81" t="s">
        <v>24</v>
      </c>
      <c r="F2220" s="81" t="s">
        <v>24</v>
      </c>
    </row>
    <row r="2221" spans="1:6" x14ac:dyDescent="0.25">
      <c r="A2221" s="14">
        <v>46146.759722222225</v>
      </c>
      <c r="B2221" s="81" t="s">
        <v>195</v>
      </c>
      <c r="C2221" s="81" t="s">
        <v>198</v>
      </c>
      <c r="D2221" s="81" t="s">
        <v>265</v>
      </c>
      <c r="E2221" s="81" t="s">
        <v>24</v>
      </c>
      <c r="F2221" s="81" t="s">
        <v>24</v>
      </c>
    </row>
    <row r="2222" spans="1:6" x14ac:dyDescent="0.25">
      <c r="A2222" s="14">
        <v>46146.759722222225</v>
      </c>
      <c r="B2222" s="81" t="s">
        <v>195</v>
      </c>
      <c r="C2222" s="81" t="s">
        <v>198</v>
      </c>
      <c r="D2222" s="81" t="s">
        <v>265</v>
      </c>
      <c r="E2222" s="81" t="s">
        <v>24</v>
      </c>
      <c r="F2222" s="81" t="s">
        <v>24</v>
      </c>
    </row>
    <row r="2223" spans="1:6" x14ac:dyDescent="0.25">
      <c r="A2223" s="14">
        <v>46146.759722222225</v>
      </c>
      <c r="B2223" s="81" t="s">
        <v>195</v>
      </c>
      <c r="C2223" s="81" t="s">
        <v>198</v>
      </c>
      <c r="D2223" s="81" t="s">
        <v>229</v>
      </c>
      <c r="E2223" s="81" t="s">
        <v>24</v>
      </c>
      <c r="F2223" s="81" t="s">
        <v>24</v>
      </c>
    </row>
    <row r="2224" spans="1:6" x14ac:dyDescent="0.25">
      <c r="A2224" s="14">
        <v>46146.759722222225</v>
      </c>
      <c r="B2224" s="81" t="s">
        <v>195</v>
      </c>
      <c r="C2224" s="81" t="s">
        <v>198</v>
      </c>
      <c r="D2224" s="81" t="s">
        <v>229</v>
      </c>
      <c r="E2224" s="81" t="s">
        <v>24</v>
      </c>
      <c r="F2224" s="81" t="s">
        <v>24</v>
      </c>
    </row>
    <row r="2225" spans="1:6" x14ac:dyDescent="0.25">
      <c r="A2225" s="14">
        <v>46146.759722222225</v>
      </c>
      <c r="B2225" s="81" t="s">
        <v>195</v>
      </c>
      <c r="C2225" s="81" t="s">
        <v>198</v>
      </c>
      <c r="D2225" s="81" t="s">
        <v>229</v>
      </c>
      <c r="E2225" s="81" t="s">
        <v>24</v>
      </c>
      <c r="F2225" s="81" t="s">
        <v>24</v>
      </c>
    </row>
    <row r="2226" spans="1:6" x14ac:dyDescent="0.25">
      <c r="A2226" s="14">
        <v>46146.759722222225</v>
      </c>
      <c r="B2226" s="81" t="s">
        <v>195</v>
      </c>
      <c r="C2226" s="81" t="s">
        <v>209</v>
      </c>
      <c r="D2226" s="81" t="s">
        <v>251</v>
      </c>
      <c r="E2226" s="81" t="s">
        <v>24</v>
      </c>
      <c r="F2226" s="81" t="s">
        <v>24</v>
      </c>
    </row>
    <row r="2227" spans="1:6" x14ac:dyDescent="0.25">
      <c r="A2227" s="14">
        <v>46146.759722222225</v>
      </c>
      <c r="B2227" s="81" t="s">
        <v>195</v>
      </c>
      <c r="C2227" s="81" t="s">
        <v>209</v>
      </c>
      <c r="D2227" s="81" t="s">
        <v>251</v>
      </c>
      <c r="E2227" s="81" t="s">
        <v>24</v>
      </c>
      <c r="F2227" s="81" t="s">
        <v>24</v>
      </c>
    </row>
    <row r="2228" spans="1:6" x14ac:dyDescent="0.25">
      <c r="A2228" s="14">
        <v>46146.759722222225</v>
      </c>
      <c r="B2228" s="81" t="s">
        <v>195</v>
      </c>
      <c r="C2228" s="81" t="s">
        <v>209</v>
      </c>
      <c r="D2228" s="81" t="s">
        <v>251</v>
      </c>
      <c r="E2228" s="81" t="s">
        <v>24</v>
      </c>
      <c r="F2228" s="81" t="s">
        <v>24</v>
      </c>
    </row>
    <row r="2229" spans="1:6" x14ac:dyDescent="0.25">
      <c r="A2229" s="14">
        <v>46146.759722222225</v>
      </c>
      <c r="B2229" s="81" t="s">
        <v>195</v>
      </c>
      <c r="C2229" s="81" t="s">
        <v>198</v>
      </c>
      <c r="D2229" s="81" t="s">
        <v>162</v>
      </c>
      <c r="E2229" s="81" t="s">
        <v>24</v>
      </c>
      <c r="F2229" s="81" t="s">
        <v>24</v>
      </c>
    </row>
    <row r="2230" spans="1:6" x14ac:dyDescent="0.25">
      <c r="A2230" s="14">
        <v>46146.759722222225</v>
      </c>
      <c r="B2230" s="81" t="s">
        <v>195</v>
      </c>
      <c r="C2230" s="81" t="s">
        <v>198</v>
      </c>
      <c r="D2230" s="81" t="s">
        <v>162</v>
      </c>
      <c r="E2230" s="81" t="s">
        <v>24</v>
      </c>
      <c r="F2230" s="81" t="s">
        <v>24</v>
      </c>
    </row>
    <row r="2231" spans="1:6" x14ac:dyDescent="0.25">
      <c r="A2231" s="14">
        <v>46146.759722222225</v>
      </c>
      <c r="B2231" s="81" t="s">
        <v>195</v>
      </c>
      <c r="C2231" s="81" t="s">
        <v>198</v>
      </c>
      <c r="D2231" s="81" t="s">
        <v>162</v>
      </c>
      <c r="E2231" s="81" t="s">
        <v>24</v>
      </c>
      <c r="F2231" s="81" t="s">
        <v>24</v>
      </c>
    </row>
    <row r="2232" spans="1:6" x14ac:dyDescent="0.25">
      <c r="A2232" s="14">
        <v>46146.915972222225</v>
      </c>
      <c r="B2232" s="81" t="s">
        <v>149</v>
      </c>
      <c r="C2232" s="81" t="s">
        <v>173</v>
      </c>
      <c r="D2232" s="81" t="s">
        <v>266</v>
      </c>
      <c r="E2232" s="81" t="s">
        <v>52</v>
      </c>
      <c r="F2232" s="81" t="s">
        <v>0</v>
      </c>
    </row>
    <row r="2233" spans="1:6" x14ac:dyDescent="0.25">
      <c r="A2233" s="14">
        <v>46146.915972222225</v>
      </c>
      <c r="B2233" s="81" t="s">
        <v>149</v>
      </c>
      <c r="C2233" s="81" t="s">
        <v>174</v>
      </c>
      <c r="D2233" s="81" t="s">
        <v>205</v>
      </c>
      <c r="E2233" s="81" t="s">
        <v>64</v>
      </c>
      <c r="F2233" s="81" t="s">
        <v>98</v>
      </c>
    </row>
    <row r="2234" spans="1:6" x14ac:dyDescent="0.25">
      <c r="A2234" s="14">
        <v>46146.915972222225</v>
      </c>
      <c r="B2234" s="81" t="s">
        <v>149</v>
      </c>
      <c r="C2234" s="81" t="s">
        <v>177</v>
      </c>
      <c r="D2234" s="81" t="s">
        <v>257</v>
      </c>
      <c r="E2234" s="81" t="s">
        <v>52</v>
      </c>
      <c r="F2234" s="81" t="s">
        <v>0</v>
      </c>
    </row>
    <row r="2235" spans="1:6" x14ac:dyDescent="0.25">
      <c r="A2235" s="14">
        <v>46146.915972222225</v>
      </c>
      <c r="B2235" s="81" t="s">
        <v>149</v>
      </c>
      <c r="C2235" s="81" t="s">
        <v>177</v>
      </c>
      <c r="D2235" s="81" t="s">
        <v>205</v>
      </c>
      <c r="E2235" s="81" t="s">
        <v>49</v>
      </c>
      <c r="F2235" s="81" t="s">
        <v>2</v>
      </c>
    </row>
    <row r="2236" spans="1:6" x14ac:dyDescent="0.25">
      <c r="A2236" s="14">
        <v>46146.915972222225</v>
      </c>
      <c r="B2236" s="81" t="s">
        <v>149</v>
      </c>
      <c r="C2236" s="81" t="s">
        <v>181</v>
      </c>
      <c r="D2236" s="81" t="s">
        <v>257</v>
      </c>
      <c r="E2236" s="81" t="s">
        <v>52</v>
      </c>
      <c r="F2236" s="81" t="s">
        <v>0</v>
      </c>
    </row>
    <row r="2237" spans="1:6" x14ac:dyDescent="0.25">
      <c r="A2237" s="14">
        <v>46146.915972222225</v>
      </c>
      <c r="B2237" s="81" t="s">
        <v>149</v>
      </c>
      <c r="C2237" s="81" t="s">
        <v>182</v>
      </c>
      <c r="D2237" s="81" t="s">
        <v>152</v>
      </c>
      <c r="E2237" s="81" t="s">
        <v>49</v>
      </c>
      <c r="F2237" s="81" t="s">
        <v>2</v>
      </c>
    </row>
    <row r="2238" spans="1:6" x14ac:dyDescent="0.25">
      <c r="A2238" s="14">
        <v>46146.915972222225</v>
      </c>
      <c r="B2238" s="81" t="s">
        <v>149</v>
      </c>
      <c r="C2238" s="81" t="s">
        <v>185</v>
      </c>
      <c r="D2238" s="81" t="s">
        <v>157</v>
      </c>
      <c r="E2238" s="81" t="s">
        <v>50</v>
      </c>
      <c r="F2238" s="81" t="s">
        <v>1</v>
      </c>
    </row>
    <row r="2239" spans="1:6" x14ac:dyDescent="0.25">
      <c r="A2239" s="14">
        <v>46146.915972222225</v>
      </c>
      <c r="B2239" s="81" t="s">
        <v>149</v>
      </c>
      <c r="C2239" s="81" t="s">
        <v>173</v>
      </c>
      <c r="D2239" s="81" t="s">
        <v>152</v>
      </c>
      <c r="E2239" s="81" t="s">
        <v>49</v>
      </c>
      <c r="F2239" s="81" t="s">
        <v>2</v>
      </c>
    </row>
    <row r="2240" spans="1:6" x14ac:dyDescent="0.25">
      <c r="A2240" s="14">
        <v>46146.915972222225</v>
      </c>
      <c r="B2240" s="81" t="s">
        <v>149</v>
      </c>
      <c r="C2240" s="81" t="s">
        <v>176</v>
      </c>
      <c r="D2240" s="81" t="s">
        <v>205</v>
      </c>
      <c r="E2240" s="81" t="s">
        <v>70</v>
      </c>
      <c r="F2240" s="81" t="s">
        <v>15</v>
      </c>
    </row>
    <row r="2241" spans="1:6" x14ac:dyDescent="0.25">
      <c r="A2241" s="14">
        <v>46146.915972222225</v>
      </c>
      <c r="B2241" s="81" t="s">
        <v>149</v>
      </c>
      <c r="C2241" s="81" t="s">
        <v>175</v>
      </c>
      <c r="D2241" s="81" t="s">
        <v>152</v>
      </c>
      <c r="E2241" s="81" t="s">
        <v>49</v>
      </c>
      <c r="F2241" s="81" t="s">
        <v>2</v>
      </c>
    </row>
    <row r="2242" spans="1:6" x14ac:dyDescent="0.25">
      <c r="A2242" s="14">
        <v>46146.915972222225</v>
      </c>
      <c r="B2242" s="81" t="s">
        <v>149</v>
      </c>
      <c r="C2242" s="81" t="s">
        <v>181</v>
      </c>
      <c r="D2242" s="81" t="s">
        <v>152</v>
      </c>
      <c r="E2242" s="81" t="s">
        <v>49</v>
      </c>
      <c r="F2242" s="81" t="s">
        <v>2</v>
      </c>
    </row>
    <row r="2243" spans="1:6" x14ac:dyDescent="0.25">
      <c r="A2243" s="14">
        <v>46146.915972222225</v>
      </c>
      <c r="B2243" s="81" t="s">
        <v>149</v>
      </c>
      <c r="C2243" s="81" t="s">
        <v>184</v>
      </c>
      <c r="D2243" s="81" t="s">
        <v>152</v>
      </c>
      <c r="E2243" s="81" t="s">
        <v>49</v>
      </c>
      <c r="F2243" s="81" t="s">
        <v>2</v>
      </c>
    </row>
    <row r="2244" spans="1:6" x14ac:dyDescent="0.25">
      <c r="A2244" s="14">
        <v>46146.915972222225</v>
      </c>
      <c r="B2244" s="81" t="s">
        <v>149</v>
      </c>
      <c r="C2244" s="81" t="s">
        <v>185</v>
      </c>
      <c r="D2244" s="81" t="s">
        <v>259</v>
      </c>
      <c r="E2244" s="81" t="s">
        <v>52</v>
      </c>
      <c r="F2244" s="81" t="s">
        <v>0</v>
      </c>
    </row>
    <row r="2245" spans="1:6" x14ac:dyDescent="0.25">
      <c r="A2245" s="14">
        <v>46146.915972222225</v>
      </c>
      <c r="B2245" s="81" t="s">
        <v>149</v>
      </c>
      <c r="C2245" s="81" t="s">
        <v>183</v>
      </c>
      <c r="D2245" s="81" t="s">
        <v>152</v>
      </c>
      <c r="E2245" s="81" t="s">
        <v>49</v>
      </c>
      <c r="F2245" s="81" t="s">
        <v>2</v>
      </c>
    </row>
    <row r="2246" spans="1:6" x14ac:dyDescent="0.25">
      <c r="A2246" s="14">
        <v>46146.915972222225</v>
      </c>
      <c r="B2246" s="81" t="s">
        <v>149</v>
      </c>
      <c r="C2246" s="81" t="s">
        <v>185</v>
      </c>
      <c r="D2246" s="81" t="s">
        <v>152</v>
      </c>
      <c r="E2246" s="81" t="s">
        <v>49</v>
      </c>
      <c r="F2246" s="81" t="s">
        <v>2</v>
      </c>
    </row>
    <row r="2247" spans="1:6" x14ac:dyDescent="0.25">
      <c r="A2247" s="14">
        <v>46146.915972222225</v>
      </c>
      <c r="B2247" s="81" t="s">
        <v>149</v>
      </c>
      <c r="C2247" s="81" t="s">
        <v>185</v>
      </c>
      <c r="D2247" s="81" t="s">
        <v>259</v>
      </c>
      <c r="E2247" s="81" t="s">
        <v>50</v>
      </c>
      <c r="F2247" s="81" t="s">
        <v>1</v>
      </c>
    </row>
    <row r="2248" spans="1:6" x14ac:dyDescent="0.25">
      <c r="A2248" s="14">
        <v>46146.915972222225</v>
      </c>
      <c r="B2248" s="81" t="s">
        <v>149</v>
      </c>
      <c r="C2248" s="81" t="s">
        <v>176</v>
      </c>
      <c r="D2248" s="81" t="s">
        <v>205</v>
      </c>
      <c r="E2248" s="81" t="s">
        <v>70</v>
      </c>
      <c r="F2248" s="81" t="s">
        <v>15</v>
      </c>
    </row>
    <row r="2249" spans="1:6" x14ac:dyDescent="0.25">
      <c r="A2249" s="14">
        <v>46146.915972222225</v>
      </c>
      <c r="B2249" s="81" t="s">
        <v>149</v>
      </c>
      <c r="C2249" s="81" t="s">
        <v>177</v>
      </c>
      <c r="D2249" s="81" t="s">
        <v>157</v>
      </c>
      <c r="E2249" s="81" t="s">
        <v>50</v>
      </c>
      <c r="F2249" s="81" t="s">
        <v>1</v>
      </c>
    </row>
    <row r="2250" spans="1:6" x14ac:dyDescent="0.25">
      <c r="A2250" s="14">
        <v>46146.915972222225</v>
      </c>
      <c r="B2250" s="81" t="s">
        <v>149</v>
      </c>
      <c r="C2250" s="81" t="s">
        <v>184</v>
      </c>
      <c r="D2250" s="81" t="s">
        <v>165</v>
      </c>
      <c r="E2250" s="81" t="s">
        <v>52</v>
      </c>
      <c r="F2250" s="81" t="s">
        <v>0</v>
      </c>
    </row>
    <row r="2251" spans="1:6" x14ac:dyDescent="0.25">
      <c r="A2251" s="14">
        <v>46146.915972222225</v>
      </c>
      <c r="B2251" s="81" t="s">
        <v>149</v>
      </c>
      <c r="C2251" s="81" t="s">
        <v>185</v>
      </c>
      <c r="D2251" s="81" t="s">
        <v>167</v>
      </c>
      <c r="E2251" s="81" t="s">
        <v>49</v>
      </c>
      <c r="F2251" s="81" t="s">
        <v>2</v>
      </c>
    </row>
    <row r="2252" spans="1:6" x14ac:dyDescent="0.25">
      <c r="A2252" s="14">
        <v>46146.915972222225</v>
      </c>
      <c r="B2252" s="81" t="s">
        <v>149</v>
      </c>
      <c r="C2252" s="81" t="s">
        <v>173</v>
      </c>
      <c r="D2252" s="81" t="s">
        <v>165</v>
      </c>
      <c r="E2252" s="81" t="s">
        <v>50</v>
      </c>
      <c r="F2252" s="81" t="s">
        <v>1</v>
      </c>
    </row>
    <row r="2253" spans="1:6" x14ac:dyDescent="0.25">
      <c r="A2253" s="14">
        <v>46146.915972222225</v>
      </c>
      <c r="B2253" s="81" t="s">
        <v>149</v>
      </c>
      <c r="C2253" s="81" t="s">
        <v>183</v>
      </c>
      <c r="D2253" s="81" t="s">
        <v>165</v>
      </c>
      <c r="E2253" s="81" t="s">
        <v>50</v>
      </c>
      <c r="F2253" s="81" t="s">
        <v>1</v>
      </c>
    </row>
    <row r="2254" spans="1:6" x14ac:dyDescent="0.25">
      <c r="A2254" s="14">
        <v>46146.915972222225</v>
      </c>
      <c r="B2254" s="81" t="s">
        <v>149</v>
      </c>
      <c r="C2254" s="81" t="s">
        <v>192</v>
      </c>
      <c r="D2254" s="81" t="s">
        <v>165</v>
      </c>
      <c r="E2254" s="81" t="s">
        <v>60</v>
      </c>
      <c r="F2254" s="81" t="s">
        <v>28</v>
      </c>
    </row>
    <row r="2255" spans="1:6" x14ac:dyDescent="0.25">
      <c r="A2255" s="14">
        <v>46146.915972222225</v>
      </c>
      <c r="B2255" s="81" t="s">
        <v>149</v>
      </c>
      <c r="C2255" s="81" t="s">
        <v>173</v>
      </c>
      <c r="D2255" s="81" t="s">
        <v>165</v>
      </c>
      <c r="E2255" s="81" t="s">
        <v>52</v>
      </c>
      <c r="F2255" s="81" t="s">
        <v>0</v>
      </c>
    </row>
    <row r="2256" spans="1:6" x14ac:dyDescent="0.25">
      <c r="A2256" s="14">
        <v>46146.915972222225</v>
      </c>
      <c r="B2256" s="81" t="s">
        <v>149</v>
      </c>
      <c r="C2256" s="81" t="s">
        <v>158</v>
      </c>
      <c r="D2256" s="81" t="s">
        <v>157</v>
      </c>
      <c r="E2256" s="81" t="s">
        <v>50</v>
      </c>
      <c r="F2256" s="81" t="s">
        <v>1</v>
      </c>
    </row>
    <row r="2257" spans="1:6" x14ac:dyDescent="0.25">
      <c r="A2257" s="14">
        <v>46146.915972222225</v>
      </c>
      <c r="B2257" s="81" t="s">
        <v>149</v>
      </c>
      <c r="C2257" s="81" t="s">
        <v>187</v>
      </c>
      <c r="D2257" s="81" t="s">
        <v>165</v>
      </c>
      <c r="E2257" s="81" t="s">
        <v>75</v>
      </c>
      <c r="F2257" s="81" t="s">
        <v>93</v>
      </c>
    </row>
    <row r="2258" spans="1:6" x14ac:dyDescent="0.25">
      <c r="A2258" s="14">
        <v>46146.915972222225</v>
      </c>
      <c r="B2258" s="81" t="s">
        <v>149</v>
      </c>
      <c r="C2258" s="81" t="s">
        <v>175</v>
      </c>
      <c r="D2258" s="81" t="s">
        <v>152</v>
      </c>
      <c r="E2258" s="81" t="s">
        <v>49</v>
      </c>
      <c r="F2258" s="81" t="s">
        <v>2</v>
      </c>
    </row>
    <row r="2259" spans="1:6" x14ac:dyDescent="0.25">
      <c r="A2259" s="14">
        <v>46146.915972222225</v>
      </c>
      <c r="B2259" s="81" t="s">
        <v>149</v>
      </c>
      <c r="C2259" s="81" t="s">
        <v>171</v>
      </c>
      <c r="D2259" s="81" t="s">
        <v>157</v>
      </c>
      <c r="E2259" s="81" t="s">
        <v>50</v>
      </c>
      <c r="F2259" s="81" t="s">
        <v>1</v>
      </c>
    </row>
    <row r="2260" spans="1:6" x14ac:dyDescent="0.25">
      <c r="A2260" s="14">
        <v>46146.915972222225</v>
      </c>
      <c r="B2260" s="81" t="s">
        <v>149</v>
      </c>
      <c r="C2260" s="81" t="s">
        <v>185</v>
      </c>
      <c r="D2260" s="81" t="s">
        <v>167</v>
      </c>
      <c r="E2260" s="81" t="s">
        <v>49</v>
      </c>
      <c r="F2260" s="81" t="s">
        <v>2</v>
      </c>
    </row>
    <row r="2261" spans="1:6" x14ac:dyDescent="0.25">
      <c r="A2261" s="14">
        <v>46146.915972222225</v>
      </c>
      <c r="B2261" s="81" t="s">
        <v>149</v>
      </c>
      <c r="C2261" s="81" t="s">
        <v>190</v>
      </c>
      <c r="D2261" s="81" t="s">
        <v>165</v>
      </c>
      <c r="E2261" s="81" t="s">
        <v>50</v>
      </c>
      <c r="F2261" s="81" t="s">
        <v>1</v>
      </c>
    </row>
    <row r="2262" spans="1:6" x14ac:dyDescent="0.25">
      <c r="A2262" s="14">
        <v>46146.915972222225</v>
      </c>
      <c r="B2262" s="81" t="s">
        <v>149</v>
      </c>
      <c r="C2262" s="81" t="s">
        <v>211</v>
      </c>
      <c r="D2262" s="81" t="s">
        <v>205</v>
      </c>
      <c r="E2262" s="81" t="s">
        <v>64</v>
      </c>
      <c r="F2262" s="81" t="s">
        <v>98</v>
      </c>
    </row>
    <row r="2263" spans="1:6" x14ac:dyDescent="0.25">
      <c r="A2263" s="14">
        <v>46146.915972222225</v>
      </c>
      <c r="B2263" s="81" t="s">
        <v>149</v>
      </c>
      <c r="C2263" s="81" t="s">
        <v>223</v>
      </c>
      <c r="D2263" s="81" t="s">
        <v>205</v>
      </c>
      <c r="E2263" s="81" t="s">
        <v>64</v>
      </c>
      <c r="F2263" s="81" t="s">
        <v>98</v>
      </c>
    </row>
    <row r="2264" spans="1:6" x14ac:dyDescent="0.25">
      <c r="A2264" s="14">
        <v>46146.915972222225</v>
      </c>
      <c r="B2264" s="81" t="s">
        <v>149</v>
      </c>
      <c r="C2264" s="81" t="s">
        <v>187</v>
      </c>
      <c r="D2264" s="81" t="s">
        <v>167</v>
      </c>
      <c r="E2264" s="81" t="s">
        <v>75</v>
      </c>
      <c r="F2264" s="81" t="s">
        <v>93</v>
      </c>
    </row>
    <row r="2265" spans="1:6" x14ac:dyDescent="0.25">
      <c r="A2265" s="14">
        <v>46146.915972222225</v>
      </c>
      <c r="B2265" s="81" t="s">
        <v>149</v>
      </c>
      <c r="C2265" s="81" t="s">
        <v>175</v>
      </c>
      <c r="D2265" s="81" t="s">
        <v>205</v>
      </c>
      <c r="E2265" s="81" t="s">
        <v>50</v>
      </c>
      <c r="F2265" s="81" t="s">
        <v>1</v>
      </c>
    </row>
    <row r="2266" spans="1:6" x14ac:dyDescent="0.25">
      <c r="A2266" s="14">
        <v>46146.915972222225</v>
      </c>
      <c r="B2266" s="81" t="s">
        <v>149</v>
      </c>
      <c r="C2266" s="81" t="s">
        <v>187</v>
      </c>
      <c r="D2266" s="81" t="s">
        <v>167</v>
      </c>
      <c r="E2266" s="81" t="s">
        <v>75</v>
      </c>
      <c r="F2266" s="81" t="s">
        <v>93</v>
      </c>
    </row>
    <row r="2267" spans="1:6" x14ac:dyDescent="0.25">
      <c r="A2267" s="14">
        <v>46146.915972222225</v>
      </c>
      <c r="B2267" s="81" t="s">
        <v>149</v>
      </c>
      <c r="C2267" s="81" t="s">
        <v>185</v>
      </c>
      <c r="D2267" s="81" t="s">
        <v>164</v>
      </c>
      <c r="E2267" s="81" t="s">
        <v>50</v>
      </c>
      <c r="F2267" s="81" t="s">
        <v>1</v>
      </c>
    </row>
    <row r="2268" spans="1:6" x14ac:dyDescent="0.25">
      <c r="A2268" s="14">
        <v>46146.915972222225</v>
      </c>
      <c r="B2268" s="81" t="s">
        <v>149</v>
      </c>
      <c r="C2268" s="81" t="s">
        <v>184</v>
      </c>
      <c r="D2268" s="81" t="s">
        <v>157</v>
      </c>
      <c r="E2268" s="81" t="s">
        <v>50</v>
      </c>
      <c r="F2268" s="81" t="s">
        <v>1</v>
      </c>
    </row>
    <row r="2269" spans="1:6" x14ac:dyDescent="0.25">
      <c r="A2269" s="14">
        <v>46146.915972222225</v>
      </c>
      <c r="B2269" s="81" t="s">
        <v>149</v>
      </c>
      <c r="C2269" s="81" t="s">
        <v>211</v>
      </c>
      <c r="D2269" s="81" t="s">
        <v>164</v>
      </c>
      <c r="E2269" s="81" t="s">
        <v>64</v>
      </c>
      <c r="F2269" s="81" t="s">
        <v>98</v>
      </c>
    </row>
    <row r="2270" spans="1:6" x14ac:dyDescent="0.25">
      <c r="A2270" s="14">
        <v>46146.915972222225</v>
      </c>
      <c r="B2270" s="81" t="s">
        <v>149</v>
      </c>
      <c r="C2270" s="81" t="s">
        <v>190</v>
      </c>
      <c r="D2270" s="81" t="s">
        <v>157</v>
      </c>
      <c r="E2270" s="81" t="s">
        <v>50</v>
      </c>
      <c r="F2270" s="81" t="s">
        <v>1</v>
      </c>
    </row>
    <row r="2271" spans="1:6" x14ac:dyDescent="0.25">
      <c r="A2271" s="14">
        <v>46146.915972222225</v>
      </c>
      <c r="B2271" s="81" t="s">
        <v>149</v>
      </c>
      <c r="C2271" s="81" t="s">
        <v>223</v>
      </c>
      <c r="D2271" s="81" t="s">
        <v>157</v>
      </c>
      <c r="E2271" s="81" t="s">
        <v>64</v>
      </c>
      <c r="F2271" s="81" t="s">
        <v>98</v>
      </c>
    </row>
    <row r="2272" spans="1:6" x14ac:dyDescent="0.25">
      <c r="A2272" s="14">
        <v>46146.915972222225</v>
      </c>
      <c r="B2272" s="81" t="s">
        <v>149</v>
      </c>
      <c r="C2272" s="81" t="s">
        <v>184</v>
      </c>
      <c r="D2272" s="81" t="s">
        <v>157</v>
      </c>
      <c r="E2272" s="81" t="s">
        <v>50</v>
      </c>
      <c r="F2272" s="81" t="s">
        <v>1</v>
      </c>
    </row>
    <row r="2273" spans="1:6" x14ac:dyDescent="0.25">
      <c r="A2273" s="14">
        <v>46146.915972222225</v>
      </c>
      <c r="B2273" s="81" t="s">
        <v>149</v>
      </c>
      <c r="C2273" s="81" t="s">
        <v>226</v>
      </c>
      <c r="D2273" s="81" t="s">
        <v>157</v>
      </c>
      <c r="E2273" s="81" t="s">
        <v>64</v>
      </c>
      <c r="F2273" s="81" t="s">
        <v>98</v>
      </c>
    </row>
    <row r="2274" spans="1:6" x14ac:dyDescent="0.25">
      <c r="A2274" s="14">
        <v>46146.915972222225</v>
      </c>
      <c r="B2274" s="81" t="s">
        <v>149</v>
      </c>
      <c r="C2274" s="81" t="s">
        <v>187</v>
      </c>
      <c r="D2274" s="81" t="s">
        <v>164</v>
      </c>
      <c r="E2274" s="81" t="s">
        <v>75</v>
      </c>
      <c r="F2274" s="81" t="s">
        <v>93</v>
      </c>
    </row>
    <row r="2275" spans="1:6" x14ac:dyDescent="0.25">
      <c r="A2275" s="14">
        <v>46146.915972222225</v>
      </c>
      <c r="B2275" s="81" t="s">
        <v>149</v>
      </c>
      <c r="C2275" s="81" t="s">
        <v>190</v>
      </c>
      <c r="D2275" s="81" t="s">
        <v>157</v>
      </c>
      <c r="E2275" s="81" t="s">
        <v>52</v>
      </c>
      <c r="F2275" s="81" t="s">
        <v>0</v>
      </c>
    </row>
    <row r="2276" spans="1:6" x14ac:dyDescent="0.25">
      <c r="A2276" s="14">
        <v>46146.915972222225</v>
      </c>
      <c r="B2276" s="81" t="s">
        <v>149</v>
      </c>
      <c r="C2276" s="81" t="s">
        <v>151</v>
      </c>
      <c r="D2276" s="81" t="s">
        <v>164</v>
      </c>
      <c r="E2276" s="81" t="s">
        <v>49</v>
      </c>
      <c r="F2276" s="81" t="s">
        <v>2</v>
      </c>
    </row>
    <row r="2277" spans="1:6" x14ac:dyDescent="0.25">
      <c r="A2277" s="14">
        <v>46146.915972222225</v>
      </c>
      <c r="B2277" s="81" t="s">
        <v>149</v>
      </c>
      <c r="C2277" s="81" t="s">
        <v>175</v>
      </c>
      <c r="D2277" s="81" t="s">
        <v>231</v>
      </c>
      <c r="E2277" s="81" t="s">
        <v>52</v>
      </c>
      <c r="F2277" s="81" t="s">
        <v>0</v>
      </c>
    </row>
    <row r="2278" spans="1:6" x14ac:dyDescent="0.25">
      <c r="A2278" s="14">
        <v>46146.915972222225</v>
      </c>
      <c r="B2278" s="81" t="s">
        <v>149</v>
      </c>
      <c r="C2278" s="81" t="s">
        <v>177</v>
      </c>
      <c r="D2278" s="81" t="s">
        <v>231</v>
      </c>
      <c r="E2278" s="81" t="s">
        <v>50</v>
      </c>
      <c r="F2278" s="81" t="s">
        <v>1</v>
      </c>
    </row>
    <row r="2279" spans="1:6" x14ac:dyDescent="0.25">
      <c r="A2279" s="14">
        <v>46146.915972222225</v>
      </c>
      <c r="B2279" s="81" t="s">
        <v>149</v>
      </c>
      <c r="C2279" s="81" t="s">
        <v>158</v>
      </c>
      <c r="D2279" s="81" t="s">
        <v>231</v>
      </c>
      <c r="E2279" s="81" t="s">
        <v>50</v>
      </c>
      <c r="F2279" s="81" t="s">
        <v>1</v>
      </c>
    </row>
    <row r="2280" spans="1:6" x14ac:dyDescent="0.25">
      <c r="A2280" s="14">
        <v>46146.915972222225</v>
      </c>
      <c r="B2280" s="81" t="s">
        <v>149</v>
      </c>
      <c r="C2280" s="81" t="s">
        <v>192</v>
      </c>
      <c r="D2280" s="81" t="s">
        <v>231</v>
      </c>
      <c r="E2280" s="81" t="s">
        <v>60</v>
      </c>
      <c r="F2280" s="81" t="s">
        <v>28</v>
      </c>
    </row>
    <row r="2281" spans="1:6" x14ac:dyDescent="0.25">
      <c r="A2281" s="14">
        <v>46146.915972222225</v>
      </c>
      <c r="B2281" s="81" t="s">
        <v>149</v>
      </c>
      <c r="C2281" s="81" t="s">
        <v>151</v>
      </c>
      <c r="D2281" s="81" t="s">
        <v>231</v>
      </c>
      <c r="E2281" s="81" t="s">
        <v>50</v>
      </c>
      <c r="F2281" s="81" t="s">
        <v>1</v>
      </c>
    </row>
    <row r="2282" spans="1:6" x14ac:dyDescent="0.25">
      <c r="A2282" s="14">
        <v>46146.915972222225</v>
      </c>
      <c r="B2282" s="81" t="s">
        <v>149</v>
      </c>
      <c r="C2282" s="81" t="s">
        <v>185</v>
      </c>
      <c r="D2282" s="81" t="s">
        <v>231</v>
      </c>
      <c r="E2282" s="81" t="s">
        <v>50</v>
      </c>
      <c r="F2282" s="81" t="s">
        <v>1</v>
      </c>
    </row>
    <row r="2283" spans="1:6" x14ac:dyDescent="0.25">
      <c r="A2283" s="14">
        <v>46146.915972222225</v>
      </c>
      <c r="B2283" s="81" t="s">
        <v>149</v>
      </c>
      <c r="C2283" s="81" t="s">
        <v>173</v>
      </c>
      <c r="D2283" s="81" t="s">
        <v>231</v>
      </c>
      <c r="E2283" s="81" t="s">
        <v>50</v>
      </c>
      <c r="F2283" s="81" t="s">
        <v>1</v>
      </c>
    </row>
    <row r="2284" spans="1:6" x14ac:dyDescent="0.25">
      <c r="A2284" s="14">
        <v>46146.915972222225</v>
      </c>
      <c r="B2284" s="81" t="s">
        <v>149</v>
      </c>
      <c r="C2284" s="81" t="s">
        <v>185</v>
      </c>
      <c r="D2284" s="81" t="s">
        <v>165</v>
      </c>
      <c r="E2284" s="81" t="s">
        <v>52</v>
      </c>
      <c r="F2284" s="81" t="s">
        <v>0</v>
      </c>
    </row>
    <row r="2285" spans="1:6" x14ac:dyDescent="0.25">
      <c r="A2285" s="14">
        <v>46146.915972222225</v>
      </c>
      <c r="B2285" s="81" t="s">
        <v>149</v>
      </c>
      <c r="C2285" s="81" t="s">
        <v>181</v>
      </c>
      <c r="D2285" s="81" t="s">
        <v>231</v>
      </c>
      <c r="E2285" s="81" t="s">
        <v>50</v>
      </c>
      <c r="F2285" s="81" t="s">
        <v>1</v>
      </c>
    </row>
    <row r="2286" spans="1:6" x14ac:dyDescent="0.25">
      <c r="A2286" s="14">
        <v>46146.915972222225</v>
      </c>
      <c r="B2286" s="81" t="s">
        <v>149</v>
      </c>
      <c r="C2286" s="81" t="s">
        <v>182</v>
      </c>
      <c r="D2286" s="81" t="s">
        <v>231</v>
      </c>
      <c r="E2286" s="81" t="s">
        <v>50</v>
      </c>
      <c r="F2286" s="81" t="s">
        <v>1</v>
      </c>
    </row>
    <row r="2287" spans="1:6" x14ac:dyDescent="0.25">
      <c r="A2287" s="14">
        <v>46146.915972222225</v>
      </c>
      <c r="B2287" s="81" t="s">
        <v>149</v>
      </c>
      <c r="C2287" s="81" t="s">
        <v>190</v>
      </c>
      <c r="D2287" s="81" t="s">
        <v>231</v>
      </c>
      <c r="E2287" s="81" t="s">
        <v>50</v>
      </c>
      <c r="F2287" s="81" t="s">
        <v>1</v>
      </c>
    </row>
    <row r="2288" spans="1:6" x14ac:dyDescent="0.25">
      <c r="A2288" s="14">
        <v>46146.915972222225</v>
      </c>
      <c r="B2288" s="81" t="s">
        <v>149</v>
      </c>
      <c r="C2288" s="81" t="s">
        <v>183</v>
      </c>
      <c r="D2288" s="81" t="s">
        <v>164</v>
      </c>
      <c r="E2288" s="81" t="s">
        <v>49</v>
      </c>
      <c r="F2288" s="81" t="s">
        <v>2</v>
      </c>
    </row>
    <row r="2289" spans="1:6" x14ac:dyDescent="0.25">
      <c r="A2289" s="14">
        <v>46146.915972222225</v>
      </c>
      <c r="B2289" s="81" t="s">
        <v>149</v>
      </c>
      <c r="C2289" s="81" t="s">
        <v>177</v>
      </c>
      <c r="D2289" s="81" t="s">
        <v>231</v>
      </c>
      <c r="E2289" s="81" t="s">
        <v>50</v>
      </c>
      <c r="F2289" s="81" t="s">
        <v>1</v>
      </c>
    </row>
    <row r="2290" spans="1:6" x14ac:dyDescent="0.25">
      <c r="A2290" s="14">
        <v>46146.915972222225</v>
      </c>
      <c r="B2290" s="81" t="s">
        <v>149</v>
      </c>
      <c r="C2290" s="81" t="s">
        <v>187</v>
      </c>
      <c r="D2290" s="81" t="s">
        <v>231</v>
      </c>
      <c r="E2290" s="81" t="s">
        <v>71</v>
      </c>
      <c r="F2290" s="81" t="s">
        <v>94</v>
      </c>
    </row>
    <row r="2291" spans="1:6" x14ac:dyDescent="0.25">
      <c r="A2291" s="14">
        <v>46146.915972222225</v>
      </c>
      <c r="B2291" s="81" t="s">
        <v>149</v>
      </c>
      <c r="C2291" s="81" t="s">
        <v>192</v>
      </c>
      <c r="D2291" s="81" t="s">
        <v>164</v>
      </c>
      <c r="E2291" s="81" t="s">
        <v>60</v>
      </c>
      <c r="F2291" s="81" t="s">
        <v>28</v>
      </c>
    </row>
    <row r="2292" spans="1:6" x14ac:dyDescent="0.25">
      <c r="A2292" s="14">
        <v>46146.915972222225</v>
      </c>
      <c r="B2292" s="81" t="s">
        <v>149</v>
      </c>
      <c r="C2292" s="81" t="s">
        <v>181</v>
      </c>
      <c r="D2292" s="81" t="s">
        <v>233</v>
      </c>
      <c r="E2292" s="81" t="s">
        <v>52</v>
      </c>
      <c r="F2292" s="81" t="s">
        <v>0</v>
      </c>
    </row>
    <row r="2293" spans="1:6" x14ac:dyDescent="0.25">
      <c r="A2293" s="14">
        <v>46146.915972222225</v>
      </c>
      <c r="B2293" s="81" t="s">
        <v>149</v>
      </c>
      <c r="C2293" s="81" t="s">
        <v>187</v>
      </c>
      <c r="D2293" s="81" t="s">
        <v>231</v>
      </c>
      <c r="E2293" s="81" t="s">
        <v>71</v>
      </c>
      <c r="F2293" s="81" t="s">
        <v>94</v>
      </c>
    </row>
    <row r="2294" spans="1:6" x14ac:dyDescent="0.25">
      <c r="A2294" s="14">
        <v>46146.915972222225</v>
      </c>
      <c r="B2294" s="81" t="s">
        <v>149</v>
      </c>
      <c r="C2294" s="81" t="s">
        <v>175</v>
      </c>
      <c r="D2294" s="81" t="s">
        <v>152</v>
      </c>
      <c r="E2294" s="81" t="s">
        <v>50</v>
      </c>
      <c r="F2294" s="81" t="s">
        <v>1</v>
      </c>
    </row>
    <row r="2295" spans="1:6" x14ac:dyDescent="0.25">
      <c r="A2295" s="14">
        <v>46146.915972222225</v>
      </c>
      <c r="B2295" s="81" t="s">
        <v>149</v>
      </c>
      <c r="C2295" s="81" t="s">
        <v>158</v>
      </c>
      <c r="D2295" s="81" t="s">
        <v>231</v>
      </c>
      <c r="E2295" s="81" t="s">
        <v>52</v>
      </c>
      <c r="F2295" s="81" t="s">
        <v>0</v>
      </c>
    </row>
    <row r="2296" spans="1:6" x14ac:dyDescent="0.25">
      <c r="A2296" s="14">
        <v>46146.915972222225</v>
      </c>
      <c r="B2296" s="81" t="s">
        <v>149</v>
      </c>
      <c r="C2296" s="81" t="s">
        <v>151</v>
      </c>
      <c r="D2296" s="81" t="s">
        <v>231</v>
      </c>
      <c r="E2296" s="81" t="s">
        <v>52</v>
      </c>
      <c r="F2296" s="81" t="s">
        <v>0</v>
      </c>
    </row>
    <row r="2297" spans="1:6" x14ac:dyDescent="0.25">
      <c r="A2297" s="14">
        <v>46146.915972222225</v>
      </c>
      <c r="B2297" s="81" t="s">
        <v>149</v>
      </c>
      <c r="C2297" s="81" t="s">
        <v>171</v>
      </c>
      <c r="D2297" s="81" t="s">
        <v>231</v>
      </c>
      <c r="E2297" s="81" t="s">
        <v>50</v>
      </c>
      <c r="F2297" s="81" t="s">
        <v>1</v>
      </c>
    </row>
    <row r="2298" spans="1:6" x14ac:dyDescent="0.25">
      <c r="A2298" s="14">
        <v>46146.915972222225</v>
      </c>
      <c r="B2298" s="81" t="s">
        <v>149</v>
      </c>
      <c r="C2298" s="81" t="s">
        <v>187</v>
      </c>
      <c r="D2298" s="81" t="s">
        <v>164</v>
      </c>
      <c r="E2298" s="81" t="s">
        <v>75</v>
      </c>
      <c r="F2298" s="81" t="s">
        <v>93</v>
      </c>
    </row>
    <row r="2299" spans="1:6" x14ac:dyDescent="0.25">
      <c r="A2299" s="14">
        <v>46146.915972222225</v>
      </c>
      <c r="B2299" s="81" t="s">
        <v>195</v>
      </c>
      <c r="C2299" s="81" t="s">
        <v>198</v>
      </c>
      <c r="D2299" s="81" t="s">
        <v>250</v>
      </c>
      <c r="E2299" s="81" t="s">
        <v>24</v>
      </c>
      <c r="F2299" s="81" t="s">
        <v>24</v>
      </c>
    </row>
    <row r="2300" spans="1:6" x14ac:dyDescent="0.25">
      <c r="A2300" s="14">
        <v>46146.915972222225</v>
      </c>
      <c r="B2300" s="81" t="s">
        <v>195</v>
      </c>
      <c r="C2300" s="81" t="s">
        <v>198</v>
      </c>
      <c r="D2300" s="81" t="s">
        <v>250</v>
      </c>
      <c r="E2300" s="81" t="s">
        <v>24</v>
      </c>
      <c r="F2300" s="81" t="s">
        <v>24</v>
      </c>
    </row>
    <row r="2301" spans="1:6" x14ac:dyDescent="0.25">
      <c r="A2301" s="14">
        <v>46146.915972222225</v>
      </c>
      <c r="B2301" s="81" t="s">
        <v>195</v>
      </c>
      <c r="C2301" s="81" t="s">
        <v>198</v>
      </c>
      <c r="D2301" s="81" t="s">
        <v>250</v>
      </c>
      <c r="E2301" s="81" t="s">
        <v>24</v>
      </c>
      <c r="F2301" s="81" t="s">
        <v>24</v>
      </c>
    </row>
    <row r="2302" spans="1:6" x14ac:dyDescent="0.25">
      <c r="A2302" s="14">
        <v>46146.915972222225</v>
      </c>
      <c r="B2302" s="81" t="s">
        <v>195</v>
      </c>
      <c r="C2302" s="81" t="s">
        <v>198</v>
      </c>
      <c r="D2302" s="81" t="s">
        <v>205</v>
      </c>
      <c r="E2302" s="81" t="s">
        <v>24</v>
      </c>
      <c r="F2302" s="81" t="s">
        <v>24</v>
      </c>
    </row>
    <row r="2303" spans="1:6" x14ac:dyDescent="0.25">
      <c r="A2303" s="14">
        <v>46146.915972222225</v>
      </c>
      <c r="B2303" s="81" t="s">
        <v>195</v>
      </c>
      <c r="C2303" s="81" t="s">
        <v>198</v>
      </c>
      <c r="D2303" s="81" t="s">
        <v>205</v>
      </c>
      <c r="E2303" s="81" t="s">
        <v>24</v>
      </c>
      <c r="F2303" s="81" t="s">
        <v>24</v>
      </c>
    </row>
    <row r="2304" spans="1:6" x14ac:dyDescent="0.25">
      <c r="A2304" s="14">
        <v>46146.915972222225</v>
      </c>
      <c r="B2304" s="81" t="s">
        <v>195</v>
      </c>
      <c r="C2304" s="81" t="s">
        <v>198</v>
      </c>
      <c r="D2304" s="81" t="s">
        <v>205</v>
      </c>
      <c r="E2304" s="81" t="s">
        <v>24</v>
      </c>
      <c r="F2304" s="81" t="s">
        <v>24</v>
      </c>
    </row>
    <row r="2305" spans="1:6" x14ac:dyDescent="0.25">
      <c r="A2305" s="14">
        <v>46146.915972222225</v>
      </c>
      <c r="B2305" s="81" t="s">
        <v>195</v>
      </c>
      <c r="C2305" s="81" t="s">
        <v>196</v>
      </c>
      <c r="D2305" s="81" t="s">
        <v>205</v>
      </c>
      <c r="E2305" s="81" t="s">
        <v>24</v>
      </c>
      <c r="F2305" s="81" t="s">
        <v>24</v>
      </c>
    </row>
    <row r="2306" spans="1:6" x14ac:dyDescent="0.25">
      <c r="A2306" s="14">
        <v>46146.915972222225</v>
      </c>
      <c r="B2306" s="81" t="s">
        <v>195</v>
      </c>
      <c r="C2306" s="81" t="s">
        <v>196</v>
      </c>
      <c r="D2306" s="81" t="s">
        <v>205</v>
      </c>
      <c r="E2306" s="81" t="s">
        <v>24</v>
      </c>
      <c r="F2306" s="81" t="s">
        <v>24</v>
      </c>
    </row>
    <row r="2307" spans="1:6" x14ac:dyDescent="0.25">
      <c r="A2307" s="14">
        <v>46146.915972222225</v>
      </c>
      <c r="B2307" s="81" t="s">
        <v>195</v>
      </c>
      <c r="C2307" s="81" t="s">
        <v>196</v>
      </c>
      <c r="D2307" s="81" t="s">
        <v>205</v>
      </c>
      <c r="E2307" s="81" t="s">
        <v>24</v>
      </c>
      <c r="F2307" s="81" t="s">
        <v>24</v>
      </c>
    </row>
    <row r="2308" spans="1:6" x14ac:dyDescent="0.25">
      <c r="A2308" s="14">
        <v>46146.977777777778</v>
      </c>
      <c r="B2308" s="81" t="s">
        <v>149</v>
      </c>
      <c r="C2308" s="81" t="s">
        <v>176</v>
      </c>
      <c r="D2308" s="81" t="s">
        <v>157</v>
      </c>
      <c r="E2308" s="81" t="s">
        <v>70</v>
      </c>
      <c r="F2308" s="81" t="s">
        <v>15</v>
      </c>
    </row>
    <row r="2309" spans="1:6" x14ac:dyDescent="0.25">
      <c r="A2309" s="14">
        <v>46146.977777777778</v>
      </c>
      <c r="B2309" s="81" t="s">
        <v>149</v>
      </c>
      <c r="C2309" s="81" t="s">
        <v>158</v>
      </c>
      <c r="D2309" s="81" t="s">
        <v>152</v>
      </c>
      <c r="E2309" s="81" t="s">
        <v>50</v>
      </c>
      <c r="F2309" s="81" t="s">
        <v>1</v>
      </c>
    </row>
    <row r="2310" spans="1:6" x14ac:dyDescent="0.25">
      <c r="A2310" s="14">
        <v>46146.977777777778</v>
      </c>
      <c r="B2310" s="81" t="s">
        <v>149</v>
      </c>
      <c r="C2310" s="81" t="s">
        <v>187</v>
      </c>
      <c r="D2310" s="81" t="s">
        <v>157</v>
      </c>
      <c r="E2310" s="81" t="s">
        <v>75</v>
      </c>
      <c r="F2310" s="81" t="s">
        <v>93</v>
      </c>
    </row>
    <row r="2311" spans="1:6" x14ac:dyDescent="0.25">
      <c r="A2311" s="14">
        <v>46146.977777777778</v>
      </c>
      <c r="B2311" s="81" t="s">
        <v>149</v>
      </c>
      <c r="C2311" s="81" t="s">
        <v>181</v>
      </c>
      <c r="D2311" s="81" t="s">
        <v>152</v>
      </c>
      <c r="E2311" s="81" t="s">
        <v>50</v>
      </c>
      <c r="F2311" s="81" t="s">
        <v>1</v>
      </c>
    </row>
    <row r="2312" spans="1:6" x14ac:dyDescent="0.25">
      <c r="A2312" s="14">
        <v>46146.977777777778</v>
      </c>
      <c r="B2312" s="81" t="s">
        <v>149</v>
      </c>
      <c r="C2312" s="81" t="s">
        <v>177</v>
      </c>
      <c r="D2312" s="81" t="s">
        <v>152</v>
      </c>
      <c r="E2312" s="81" t="s">
        <v>50</v>
      </c>
      <c r="F2312" s="81" t="s">
        <v>1</v>
      </c>
    </row>
    <row r="2313" spans="1:6" x14ac:dyDescent="0.25">
      <c r="A2313" s="14">
        <v>46146.977777777778</v>
      </c>
      <c r="B2313" s="81" t="s">
        <v>149</v>
      </c>
      <c r="C2313" s="81" t="s">
        <v>183</v>
      </c>
      <c r="D2313" s="81" t="s">
        <v>152</v>
      </c>
      <c r="E2313" s="81" t="s">
        <v>50</v>
      </c>
      <c r="F2313" s="81" t="s">
        <v>1</v>
      </c>
    </row>
    <row r="2314" spans="1:6" x14ac:dyDescent="0.25">
      <c r="A2314" s="14">
        <v>46146.977777777778</v>
      </c>
      <c r="B2314" s="81" t="s">
        <v>149</v>
      </c>
      <c r="C2314" s="81" t="s">
        <v>181</v>
      </c>
      <c r="D2314" s="81" t="s">
        <v>152</v>
      </c>
      <c r="E2314" s="81" t="s">
        <v>50</v>
      </c>
      <c r="F2314" s="81" t="s">
        <v>1</v>
      </c>
    </row>
    <row r="2315" spans="1:6" x14ac:dyDescent="0.25">
      <c r="A2315" s="14">
        <v>46146.977777777778</v>
      </c>
      <c r="B2315" s="81" t="s">
        <v>149</v>
      </c>
      <c r="C2315" s="81" t="s">
        <v>181</v>
      </c>
      <c r="D2315" s="81" t="s">
        <v>152</v>
      </c>
      <c r="E2315" s="81" t="s">
        <v>50</v>
      </c>
      <c r="F2315" s="81" t="s">
        <v>1</v>
      </c>
    </row>
    <row r="2316" spans="1:6" x14ac:dyDescent="0.25">
      <c r="A2316" s="14">
        <v>46146.977777777778</v>
      </c>
      <c r="B2316" s="81" t="s">
        <v>149</v>
      </c>
      <c r="C2316" s="81" t="s">
        <v>171</v>
      </c>
      <c r="D2316" s="81" t="s">
        <v>157</v>
      </c>
      <c r="E2316" s="81" t="s">
        <v>50</v>
      </c>
      <c r="F2316" s="81" t="s">
        <v>1</v>
      </c>
    </row>
    <row r="2317" spans="1:6" x14ac:dyDescent="0.25">
      <c r="A2317" s="14">
        <v>46146.977777777778</v>
      </c>
      <c r="B2317" s="81" t="s">
        <v>149</v>
      </c>
      <c r="C2317" s="81" t="s">
        <v>218</v>
      </c>
      <c r="D2317" s="81" t="s">
        <v>156</v>
      </c>
      <c r="E2317" s="81" t="s">
        <v>64</v>
      </c>
      <c r="F2317" s="81" t="s">
        <v>98</v>
      </c>
    </row>
    <row r="2318" spans="1:6" x14ac:dyDescent="0.25">
      <c r="A2318" s="14">
        <v>46146.977777777778</v>
      </c>
      <c r="B2318" s="81" t="s">
        <v>149</v>
      </c>
      <c r="C2318" s="81" t="s">
        <v>218</v>
      </c>
      <c r="D2318" s="81" t="s">
        <v>156</v>
      </c>
      <c r="E2318" s="81" t="s">
        <v>64</v>
      </c>
      <c r="F2318" s="81" t="s">
        <v>98</v>
      </c>
    </row>
    <row r="2319" spans="1:6" x14ac:dyDescent="0.25">
      <c r="A2319" s="14">
        <v>46146.977777777778</v>
      </c>
      <c r="B2319" s="81" t="s">
        <v>149</v>
      </c>
      <c r="C2319" s="81" t="s">
        <v>218</v>
      </c>
      <c r="D2319" s="81" t="s">
        <v>156</v>
      </c>
      <c r="E2319" s="81" t="s">
        <v>64</v>
      </c>
      <c r="F2319" s="81" t="s">
        <v>98</v>
      </c>
    </row>
    <row r="2320" spans="1:6" x14ac:dyDescent="0.25">
      <c r="A2320" s="14">
        <v>46146.977777777778</v>
      </c>
      <c r="B2320" s="81" t="s">
        <v>149</v>
      </c>
      <c r="C2320" s="81" t="s">
        <v>175</v>
      </c>
      <c r="D2320" s="81" t="s">
        <v>265</v>
      </c>
      <c r="E2320" s="81" t="s">
        <v>49</v>
      </c>
      <c r="F2320" s="81" t="s">
        <v>2</v>
      </c>
    </row>
    <row r="2321" spans="1:6" x14ac:dyDescent="0.25">
      <c r="A2321" s="14">
        <v>46146.977777777778</v>
      </c>
      <c r="B2321" s="81" t="s">
        <v>149</v>
      </c>
      <c r="C2321" s="81" t="s">
        <v>182</v>
      </c>
      <c r="D2321" s="81" t="s">
        <v>152</v>
      </c>
      <c r="E2321" s="81" t="s">
        <v>50</v>
      </c>
      <c r="F2321" s="81" t="s">
        <v>1</v>
      </c>
    </row>
    <row r="2322" spans="1:6" x14ac:dyDescent="0.25">
      <c r="A2322" s="14">
        <v>46146.977777777778</v>
      </c>
      <c r="B2322" s="81" t="s">
        <v>149</v>
      </c>
      <c r="C2322" s="81" t="s">
        <v>175</v>
      </c>
      <c r="D2322" s="81" t="s">
        <v>157</v>
      </c>
      <c r="E2322" s="81" t="s">
        <v>50</v>
      </c>
      <c r="F2322" s="81" t="s">
        <v>1</v>
      </c>
    </row>
    <row r="2323" spans="1:6" x14ac:dyDescent="0.25">
      <c r="A2323" s="14">
        <v>46146.977777777778</v>
      </c>
      <c r="B2323" s="81" t="s">
        <v>149</v>
      </c>
      <c r="C2323" s="81" t="s">
        <v>181</v>
      </c>
      <c r="D2323" s="81" t="s">
        <v>152</v>
      </c>
      <c r="E2323" s="81" t="s">
        <v>50</v>
      </c>
      <c r="F2323" s="81" t="s">
        <v>1</v>
      </c>
    </row>
    <row r="2324" spans="1:6" x14ac:dyDescent="0.25">
      <c r="A2324" s="14">
        <v>46146.977777777778</v>
      </c>
      <c r="B2324" s="81" t="s">
        <v>149</v>
      </c>
      <c r="C2324" s="81" t="s">
        <v>190</v>
      </c>
      <c r="D2324" s="81" t="s">
        <v>152</v>
      </c>
      <c r="E2324" s="81" t="s">
        <v>50</v>
      </c>
      <c r="F2324" s="81" t="s">
        <v>1</v>
      </c>
    </row>
    <row r="2325" spans="1:6" x14ac:dyDescent="0.25">
      <c r="A2325" s="14">
        <v>46146.977777777778</v>
      </c>
      <c r="B2325" s="81" t="s">
        <v>149</v>
      </c>
      <c r="C2325" s="81" t="s">
        <v>188</v>
      </c>
      <c r="D2325" s="81" t="s">
        <v>156</v>
      </c>
      <c r="E2325" s="81" t="s">
        <v>45</v>
      </c>
      <c r="F2325" s="81" t="s">
        <v>28</v>
      </c>
    </row>
    <row r="2326" spans="1:6" x14ac:dyDescent="0.25">
      <c r="A2326" s="14">
        <v>46146.977777777778</v>
      </c>
      <c r="B2326" s="81" t="s">
        <v>149</v>
      </c>
      <c r="C2326" s="81" t="s">
        <v>189</v>
      </c>
      <c r="D2326" s="81" t="s">
        <v>156</v>
      </c>
      <c r="E2326" s="81" t="s">
        <v>45</v>
      </c>
      <c r="F2326" s="81" t="s">
        <v>28</v>
      </c>
    </row>
    <row r="2327" spans="1:6" x14ac:dyDescent="0.25">
      <c r="A2327" s="14">
        <v>46146.977777777778</v>
      </c>
      <c r="B2327" s="81" t="s">
        <v>149</v>
      </c>
      <c r="C2327" s="81" t="s">
        <v>239</v>
      </c>
      <c r="D2327" s="81" t="s">
        <v>156</v>
      </c>
      <c r="E2327" s="81" t="s">
        <v>45</v>
      </c>
      <c r="F2327" s="81" t="s">
        <v>28</v>
      </c>
    </row>
    <row r="2328" spans="1:6" x14ac:dyDescent="0.25">
      <c r="A2328" s="14">
        <v>46146.977777777778</v>
      </c>
      <c r="B2328" s="81" t="s">
        <v>149</v>
      </c>
      <c r="C2328" s="81" t="s">
        <v>151</v>
      </c>
      <c r="D2328" s="81" t="s">
        <v>152</v>
      </c>
      <c r="E2328" s="81" t="s">
        <v>50</v>
      </c>
      <c r="F2328" s="81" t="s">
        <v>1</v>
      </c>
    </row>
    <row r="2329" spans="1:6" x14ac:dyDescent="0.25">
      <c r="A2329" s="14">
        <v>46146.977777777778</v>
      </c>
      <c r="B2329" s="81" t="s">
        <v>149</v>
      </c>
      <c r="C2329" s="81" t="s">
        <v>183</v>
      </c>
      <c r="D2329" s="81" t="s">
        <v>152</v>
      </c>
      <c r="E2329" s="81" t="s">
        <v>50</v>
      </c>
      <c r="F2329" s="81" t="s">
        <v>1</v>
      </c>
    </row>
    <row r="2330" spans="1:6" x14ac:dyDescent="0.25">
      <c r="A2330" s="14">
        <v>46146.977777777778</v>
      </c>
      <c r="B2330" s="81" t="s">
        <v>149</v>
      </c>
      <c r="C2330" s="81" t="s">
        <v>171</v>
      </c>
      <c r="D2330" s="81" t="s">
        <v>157</v>
      </c>
      <c r="E2330" s="81" t="s">
        <v>50</v>
      </c>
      <c r="F2330" s="81" t="s">
        <v>1</v>
      </c>
    </row>
    <row r="2331" spans="1:6" x14ac:dyDescent="0.25">
      <c r="A2331" s="14">
        <v>46146.977777777778</v>
      </c>
      <c r="B2331" s="81" t="s">
        <v>149</v>
      </c>
      <c r="C2331" s="81" t="s">
        <v>182</v>
      </c>
      <c r="D2331" s="81" t="s">
        <v>152</v>
      </c>
      <c r="E2331" s="81" t="s">
        <v>50</v>
      </c>
      <c r="F2331" s="81" t="s">
        <v>1</v>
      </c>
    </row>
    <row r="2332" spans="1:6" x14ac:dyDescent="0.25">
      <c r="A2332" s="14">
        <v>46146.977777777778</v>
      </c>
      <c r="B2332" s="81" t="s">
        <v>149</v>
      </c>
      <c r="C2332" s="81" t="s">
        <v>151</v>
      </c>
      <c r="D2332" s="81" t="s">
        <v>152</v>
      </c>
      <c r="E2332" s="81" t="s">
        <v>50</v>
      </c>
      <c r="F2332" s="81" t="s">
        <v>1</v>
      </c>
    </row>
    <row r="2333" spans="1:6" x14ac:dyDescent="0.25">
      <c r="A2333" s="14">
        <v>46146.977777777778</v>
      </c>
      <c r="B2333" s="81" t="s">
        <v>149</v>
      </c>
      <c r="C2333" s="81" t="s">
        <v>182</v>
      </c>
      <c r="D2333" s="81" t="s">
        <v>152</v>
      </c>
      <c r="E2333" s="81" t="s">
        <v>50</v>
      </c>
      <c r="F2333" s="81" t="s">
        <v>1</v>
      </c>
    </row>
    <row r="2334" spans="1:6" x14ac:dyDescent="0.25">
      <c r="A2334" s="14">
        <v>46146.977777777778</v>
      </c>
      <c r="B2334" s="81" t="s">
        <v>149</v>
      </c>
      <c r="C2334" s="81" t="s">
        <v>173</v>
      </c>
      <c r="D2334" s="81" t="s">
        <v>152</v>
      </c>
      <c r="E2334" s="81" t="s">
        <v>50</v>
      </c>
      <c r="F2334" s="81" t="s">
        <v>1</v>
      </c>
    </row>
    <row r="2335" spans="1:6" x14ac:dyDescent="0.25">
      <c r="A2335" s="14">
        <v>46146.977777777778</v>
      </c>
      <c r="B2335" s="81" t="s">
        <v>149</v>
      </c>
      <c r="C2335" s="81" t="s">
        <v>182</v>
      </c>
      <c r="D2335" s="81" t="s">
        <v>152</v>
      </c>
      <c r="E2335" s="81" t="s">
        <v>50</v>
      </c>
      <c r="F2335" s="81" t="s">
        <v>1</v>
      </c>
    </row>
    <row r="2336" spans="1:6" x14ac:dyDescent="0.25">
      <c r="A2336" s="14">
        <v>46146.977777777778</v>
      </c>
      <c r="B2336" s="81" t="s">
        <v>149</v>
      </c>
      <c r="C2336" s="81" t="s">
        <v>177</v>
      </c>
      <c r="D2336" s="81" t="s">
        <v>152</v>
      </c>
      <c r="E2336" s="81" t="s">
        <v>50</v>
      </c>
      <c r="F2336" s="81" t="s">
        <v>1</v>
      </c>
    </row>
    <row r="2337" spans="1:6" x14ac:dyDescent="0.25">
      <c r="A2337" s="14">
        <v>46146.977777777778</v>
      </c>
      <c r="B2337" s="81" t="s">
        <v>149</v>
      </c>
      <c r="C2337" s="81" t="s">
        <v>173</v>
      </c>
      <c r="D2337" s="81" t="s">
        <v>152</v>
      </c>
      <c r="E2337" s="81" t="s">
        <v>50</v>
      </c>
      <c r="F2337" s="81" t="s">
        <v>1</v>
      </c>
    </row>
    <row r="2338" spans="1:6" x14ac:dyDescent="0.25">
      <c r="A2338" s="14">
        <v>46146.977777777778</v>
      </c>
      <c r="B2338" s="81" t="s">
        <v>149</v>
      </c>
      <c r="C2338" s="81" t="s">
        <v>158</v>
      </c>
      <c r="D2338" s="81" t="s">
        <v>152</v>
      </c>
      <c r="E2338" s="81" t="s">
        <v>50</v>
      </c>
      <c r="F2338" s="81" t="s">
        <v>1</v>
      </c>
    </row>
    <row r="2339" spans="1:6" x14ac:dyDescent="0.25">
      <c r="A2339" s="14">
        <v>46146.977777777778</v>
      </c>
      <c r="B2339" s="81" t="s">
        <v>149</v>
      </c>
      <c r="C2339" s="81" t="s">
        <v>158</v>
      </c>
      <c r="D2339" s="81" t="s">
        <v>152</v>
      </c>
      <c r="E2339" s="81" t="s">
        <v>50</v>
      </c>
      <c r="F2339" s="81" t="s">
        <v>1</v>
      </c>
    </row>
    <row r="2340" spans="1:6" x14ac:dyDescent="0.25">
      <c r="A2340" s="14">
        <v>46146.977777777778</v>
      </c>
      <c r="B2340" s="81" t="s">
        <v>149</v>
      </c>
      <c r="C2340" s="81" t="s">
        <v>182</v>
      </c>
      <c r="D2340" s="81" t="s">
        <v>152</v>
      </c>
      <c r="E2340" s="81" t="s">
        <v>50</v>
      </c>
      <c r="F2340" s="81" t="s">
        <v>1</v>
      </c>
    </row>
    <row r="2341" spans="1:6" x14ac:dyDescent="0.25">
      <c r="A2341" s="14">
        <v>46146.977777777778</v>
      </c>
      <c r="B2341" s="81" t="s">
        <v>149</v>
      </c>
      <c r="C2341" s="81" t="s">
        <v>190</v>
      </c>
      <c r="D2341" s="81" t="s">
        <v>152</v>
      </c>
      <c r="E2341" s="81" t="s">
        <v>50</v>
      </c>
      <c r="F2341" s="81" t="s">
        <v>1</v>
      </c>
    </row>
    <row r="2342" spans="1:6" x14ac:dyDescent="0.25">
      <c r="A2342" s="14">
        <v>46146.977777777778</v>
      </c>
      <c r="B2342" s="81" t="s">
        <v>149</v>
      </c>
      <c r="C2342" s="81" t="s">
        <v>184</v>
      </c>
      <c r="D2342" s="81" t="s">
        <v>152</v>
      </c>
      <c r="E2342" s="81" t="s">
        <v>50</v>
      </c>
      <c r="F2342" s="81" t="s">
        <v>1</v>
      </c>
    </row>
    <row r="2343" spans="1:6" x14ac:dyDescent="0.25">
      <c r="A2343" s="14">
        <v>46146.977777777778</v>
      </c>
      <c r="B2343" s="81" t="s">
        <v>149</v>
      </c>
      <c r="C2343" s="81" t="s">
        <v>182</v>
      </c>
      <c r="D2343" s="81" t="s">
        <v>152</v>
      </c>
      <c r="E2343" s="81" t="s">
        <v>50</v>
      </c>
      <c r="F2343" s="81" t="s">
        <v>1</v>
      </c>
    </row>
    <row r="2344" spans="1:6" x14ac:dyDescent="0.25">
      <c r="A2344" s="14">
        <v>46146.977777777778</v>
      </c>
      <c r="B2344" s="81" t="s">
        <v>149</v>
      </c>
      <c r="C2344" s="81" t="s">
        <v>192</v>
      </c>
      <c r="D2344" s="81" t="s">
        <v>266</v>
      </c>
      <c r="E2344" s="81" t="s">
        <v>60</v>
      </c>
      <c r="F2344" s="81" t="s">
        <v>28</v>
      </c>
    </row>
    <row r="2345" spans="1:6" x14ac:dyDescent="0.25">
      <c r="A2345" s="14">
        <v>46146.977777777778</v>
      </c>
      <c r="B2345" s="81" t="s">
        <v>149</v>
      </c>
      <c r="C2345" s="81" t="s">
        <v>190</v>
      </c>
      <c r="D2345" s="81" t="s">
        <v>152</v>
      </c>
      <c r="E2345" s="81" t="s">
        <v>50</v>
      </c>
      <c r="F2345" s="81" t="s">
        <v>1</v>
      </c>
    </row>
    <row r="2346" spans="1:6" x14ac:dyDescent="0.25">
      <c r="A2346" s="14">
        <v>46146.977777777778</v>
      </c>
      <c r="B2346" s="81" t="s">
        <v>149</v>
      </c>
      <c r="C2346" s="81" t="s">
        <v>175</v>
      </c>
      <c r="D2346" s="81" t="s">
        <v>152</v>
      </c>
      <c r="E2346" s="81" t="s">
        <v>50</v>
      </c>
      <c r="F2346" s="81" t="s">
        <v>1</v>
      </c>
    </row>
    <row r="2347" spans="1:6" x14ac:dyDescent="0.25">
      <c r="A2347" s="14">
        <v>46146.977777777778</v>
      </c>
      <c r="B2347" s="81" t="s">
        <v>149</v>
      </c>
      <c r="C2347" s="81" t="s">
        <v>183</v>
      </c>
      <c r="D2347" s="81" t="s">
        <v>152</v>
      </c>
      <c r="E2347" s="81" t="s">
        <v>50</v>
      </c>
      <c r="F2347" s="81" t="s">
        <v>1</v>
      </c>
    </row>
    <row r="2348" spans="1:6" x14ac:dyDescent="0.25">
      <c r="A2348" s="14">
        <v>46146.977777777778</v>
      </c>
      <c r="B2348" s="81" t="s">
        <v>149</v>
      </c>
      <c r="C2348" s="81" t="s">
        <v>177</v>
      </c>
      <c r="D2348" s="81" t="s">
        <v>156</v>
      </c>
      <c r="E2348" s="81" t="s">
        <v>49</v>
      </c>
      <c r="F2348" s="81" t="s">
        <v>2</v>
      </c>
    </row>
    <row r="2349" spans="1:6" x14ac:dyDescent="0.25">
      <c r="A2349" s="14">
        <v>46146.977777777778</v>
      </c>
      <c r="B2349" s="81" t="s">
        <v>149</v>
      </c>
      <c r="C2349" s="81" t="s">
        <v>175</v>
      </c>
      <c r="D2349" s="81" t="s">
        <v>152</v>
      </c>
      <c r="E2349" s="81" t="s">
        <v>50</v>
      </c>
      <c r="F2349" s="81" t="s">
        <v>1</v>
      </c>
    </row>
    <row r="2350" spans="1:6" x14ac:dyDescent="0.25">
      <c r="A2350" s="14">
        <v>46146.977777777778</v>
      </c>
      <c r="B2350" s="81" t="s">
        <v>149</v>
      </c>
      <c r="C2350" s="81" t="s">
        <v>173</v>
      </c>
      <c r="D2350" s="81" t="s">
        <v>152</v>
      </c>
      <c r="E2350" s="81" t="s">
        <v>50</v>
      </c>
      <c r="F2350" s="81" t="s">
        <v>1</v>
      </c>
    </row>
    <row r="2351" spans="1:6" x14ac:dyDescent="0.25">
      <c r="A2351" s="14">
        <v>46146.977777777778</v>
      </c>
      <c r="B2351" s="81" t="s">
        <v>149</v>
      </c>
      <c r="C2351" s="81" t="s">
        <v>175</v>
      </c>
      <c r="D2351" s="81" t="s">
        <v>152</v>
      </c>
      <c r="E2351" s="81" t="s">
        <v>50</v>
      </c>
      <c r="F2351" s="81" t="s">
        <v>1</v>
      </c>
    </row>
    <row r="2352" spans="1:6" x14ac:dyDescent="0.25">
      <c r="A2352" s="14">
        <v>46146.977777777778</v>
      </c>
      <c r="B2352" s="81" t="s">
        <v>149</v>
      </c>
      <c r="C2352" s="81" t="s">
        <v>190</v>
      </c>
      <c r="D2352" s="81" t="s">
        <v>152</v>
      </c>
      <c r="E2352" s="81" t="s">
        <v>50</v>
      </c>
      <c r="F2352" s="81" t="s">
        <v>1</v>
      </c>
    </row>
    <row r="2353" spans="1:6" x14ac:dyDescent="0.25">
      <c r="A2353" s="14">
        <v>46146.977777777778</v>
      </c>
      <c r="B2353" s="81" t="s">
        <v>149</v>
      </c>
      <c r="C2353" s="81" t="s">
        <v>158</v>
      </c>
      <c r="D2353" s="81" t="s">
        <v>152</v>
      </c>
      <c r="E2353" s="81" t="s">
        <v>50</v>
      </c>
      <c r="F2353" s="81" t="s">
        <v>1</v>
      </c>
    </row>
    <row r="2354" spans="1:6" x14ac:dyDescent="0.25">
      <c r="A2354" s="14">
        <v>46146.977777777778</v>
      </c>
      <c r="B2354" s="81" t="s">
        <v>149</v>
      </c>
      <c r="C2354" s="81" t="s">
        <v>183</v>
      </c>
      <c r="D2354" s="81" t="s">
        <v>152</v>
      </c>
      <c r="E2354" s="81" t="s">
        <v>50</v>
      </c>
      <c r="F2354" s="81" t="s">
        <v>1</v>
      </c>
    </row>
    <row r="2355" spans="1:6" x14ac:dyDescent="0.25">
      <c r="A2355" s="14">
        <v>46146.977777777778</v>
      </c>
      <c r="B2355" s="81" t="s">
        <v>149</v>
      </c>
      <c r="C2355" s="81" t="s">
        <v>183</v>
      </c>
      <c r="D2355" s="81" t="s">
        <v>233</v>
      </c>
      <c r="E2355" s="81" t="s">
        <v>52</v>
      </c>
      <c r="F2355" s="81" t="s">
        <v>0</v>
      </c>
    </row>
    <row r="2356" spans="1:6" x14ac:dyDescent="0.25">
      <c r="A2356" s="14">
        <v>46146.977777777778</v>
      </c>
      <c r="B2356" s="81" t="s">
        <v>149</v>
      </c>
      <c r="C2356" s="81" t="s">
        <v>185</v>
      </c>
      <c r="D2356" s="81" t="s">
        <v>233</v>
      </c>
      <c r="E2356" s="81" t="s">
        <v>52</v>
      </c>
      <c r="F2356" s="81" t="s">
        <v>0</v>
      </c>
    </row>
    <row r="2357" spans="1:6" x14ac:dyDescent="0.25">
      <c r="A2357" s="14">
        <v>46146.977777777778</v>
      </c>
      <c r="B2357" s="81" t="s">
        <v>195</v>
      </c>
      <c r="C2357" s="81" t="s">
        <v>196</v>
      </c>
      <c r="D2357" s="81" t="s">
        <v>265</v>
      </c>
      <c r="E2357" s="81" t="s">
        <v>24</v>
      </c>
      <c r="F2357" s="81" t="s">
        <v>24</v>
      </c>
    </row>
    <row r="2358" spans="1:6" x14ac:dyDescent="0.25">
      <c r="A2358" s="14">
        <v>46146.977777777778</v>
      </c>
      <c r="B2358" s="81" t="s">
        <v>195</v>
      </c>
      <c r="C2358" s="81" t="s">
        <v>196</v>
      </c>
      <c r="D2358" s="81" t="s">
        <v>265</v>
      </c>
      <c r="E2358" s="81" t="s">
        <v>24</v>
      </c>
      <c r="F2358" s="81" t="s">
        <v>24</v>
      </c>
    </row>
    <row r="2359" spans="1:6" x14ac:dyDescent="0.25">
      <c r="A2359" s="14">
        <v>46146.977777777778</v>
      </c>
      <c r="B2359" s="81" t="s">
        <v>195</v>
      </c>
      <c r="C2359" s="81" t="s">
        <v>196</v>
      </c>
      <c r="D2359" s="81" t="s">
        <v>265</v>
      </c>
      <c r="E2359" s="81" t="s">
        <v>24</v>
      </c>
      <c r="F2359" s="81" t="s">
        <v>24</v>
      </c>
    </row>
    <row r="2360" spans="1:6" x14ac:dyDescent="0.25">
      <c r="A2360" s="14">
        <v>46146.977777777778</v>
      </c>
      <c r="B2360" s="81" t="s">
        <v>195</v>
      </c>
      <c r="C2360" s="81" t="s">
        <v>197</v>
      </c>
      <c r="D2360" s="81" t="s">
        <v>265</v>
      </c>
      <c r="E2360" s="81" t="s">
        <v>24</v>
      </c>
      <c r="F2360" s="81" t="s">
        <v>24</v>
      </c>
    </row>
    <row r="2361" spans="1:6" x14ac:dyDescent="0.25">
      <c r="A2361" s="14">
        <v>46146.977777777778</v>
      </c>
      <c r="B2361" s="81" t="s">
        <v>195</v>
      </c>
      <c r="C2361" s="81" t="s">
        <v>197</v>
      </c>
      <c r="D2361" s="81" t="s">
        <v>265</v>
      </c>
      <c r="E2361" s="81" t="s">
        <v>24</v>
      </c>
      <c r="F2361" s="81" t="s">
        <v>24</v>
      </c>
    </row>
    <row r="2362" spans="1:6" x14ac:dyDescent="0.25">
      <c r="A2362" s="14">
        <v>46146.977777777778</v>
      </c>
      <c r="B2362" s="81" t="s">
        <v>195</v>
      </c>
      <c r="C2362" s="81" t="s">
        <v>197</v>
      </c>
      <c r="D2362" s="81" t="s">
        <v>265</v>
      </c>
      <c r="E2362" s="81" t="s">
        <v>24</v>
      </c>
      <c r="F2362" s="81" t="s">
        <v>24</v>
      </c>
    </row>
    <row r="2363" spans="1:6" x14ac:dyDescent="0.25">
      <c r="A2363" s="14">
        <v>46146.977777777778</v>
      </c>
      <c r="B2363" s="81" t="s">
        <v>195</v>
      </c>
      <c r="C2363" s="81" t="s">
        <v>198</v>
      </c>
      <c r="D2363" s="81" t="s">
        <v>163</v>
      </c>
      <c r="E2363" s="81" t="s">
        <v>24</v>
      </c>
      <c r="F2363" s="81" t="s">
        <v>24</v>
      </c>
    </row>
    <row r="2364" spans="1:6" x14ac:dyDescent="0.25">
      <c r="A2364" s="14">
        <v>46146.977777777778</v>
      </c>
      <c r="B2364" s="81" t="s">
        <v>195</v>
      </c>
      <c r="C2364" s="81" t="s">
        <v>198</v>
      </c>
      <c r="D2364" s="81" t="s">
        <v>163</v>
      </c>
      <c r="E2364" s="81" t="s">
        <v>24</v>
      </c>
      <c r="F2364" s="81" t="s">
        <v>24</v>
      </c>
    </row>
    <row r="2365" spans="1:6" x14ac:dyDescent="0.25">
      <c r="A2365" s="14">
        <v>46146.977777777778</v>
      </c>
      <c r="B2365" s="81" t="s">
        <v>195</v>
      </c>
      <c r="C2365" s="81" t="s">
        <v>198</v>
      </c>
      <c r="D2365" s="81" t="s">
        <v>163</v>
      </c>
      <c r="E2365" s="81" t="s">
        <v>24</v>
      </c>
      <c r="F2365" s="81" t="s">
        <v>24</v>
      </c>
    </row>
    <row r="2366" spans="1:6" x14ac:dyDescent="0.25">
      <c r="A2366" s="14">
        <v>46147.019444444442</v>
      </c>
      <c r="B2366" s="81" t="s">
        <v>149</v>
      </c>
      <c r="C2366" s="81" t="s">
        <v>181</v>
      </c>
      <c r="D2366" s="81" t="s">
        <v>152</v>
      </c>
      <c r="E2366" s="81" t="s">
        <v>50</v>
      </c>
      <c r="F2366" s="81" t="s">
        <v>1</v>
      </c>
    </row>
    <row r="2367" spans="1:6" x14ac:dyDescent="0.25">
      <c r="A2367" s="14">
        <v>46147.019444444442</v>
      </c>
      <c r="B2367" s="81" t="s">
        <v>149</v>
      </c>
      <c r="C2367" s="81" t="s">
        <v>177</v>
      </c>
      <c r="D2367" s="81" t="s">
        <v>157</v>
      </c>
      <c r="E2367" s="81" t="s">
        <v>50</v>
      </c>
      <c r="F2367" s="81" t="s">
        <v>1</v>
      </c>
    </row>
    <row r="2368" spans="1:6" x14ac:dyDescent="0.25">
      <c r="A2368" s="14">
        <v>46147.019444444442</v>
      </c>
      <c r="B2368" s="81" t="s">
        <v>149</v>
      </c>
      <c r="C2368" s="81" t="s">
        <v>181</v>
      </c>
      <c r="D2368" s="81" t="s">
        <v>221</v>
      </c>
      <c r="E2368" s="81" t="s">
        <v>50</v>
      </c>
      <c r="F2368" s="81" t="s">
        <v>1</v>
      </c>
    </row>
    <row r="2369" spans="1:6" x14ac:dyDescent="0.25">
      <c r="A2369" s="14">
        <v>46147.019444444442</v>
      </c>
      <c r="B2369" s="81" t="s">
        <v>149</v>
      </c>
      <c r="C2369" s="81" t="s">
        <v>182</v>
      </c>
      <c r="D2369" s="81" t="s">
        <v>253</v>
      </c>
      <c r="E2369" s="81" t="s">
        <v>50</v>
      </c>
      <c r="F2369" s="81" t="s">
        <v>1</v>
      </c>
    </row>
    <row r="2370" spans="1:6" x14ac:dyDescent="0.25">
      <c r="A2370" s="14">
        <v>46147.019444444442</v>
      </c>
      <c r="B2370" s="81" t="s">
        <v>149</v>
      </c>
      <c r="C2370" s="81" t="s">
        <v>177</v>
      </c>
      <c r="D2370" s="81" t="s">
        <v>253</v>
      </c>
      <c r="E2370" s="81" t="s">
        <v>50</v>
      </c>
      <c r="F2370" s="81" t="s">
        <v>1</v>
      </c>
    </row>
    <row r="2371" spans="1:6" x14ac:dyDescent="0.25">
      <c r="A2371" s="14">
        <v>46147.019444444442</v>
      </c>
      <c r="B2371" s="81" t="s">
        <v>149</v>
      </c>
      <c r="C2371" s="81" t="s">
        <v>190</v>
      </c>
      <c r="D2371" s="81" t="s">
        <v>266</v>
      </c>
      <c r="E2371" s="81" t="s">
        <v>52</v>
      </c>
      <c r="F2371" s="81" t="s">
        <v>0</v>
      </c>
    </row>
    <row r="2372" spans="1:6" x14ac:dyDescent="0.25">
      <c r="A2372" s="14">
        <v>46147.019444444442</v>
      </c>
      <c r="B2372" s="81" t="s">
        <v>149</v>
      </c>
      <c r="C2372" s="81" t="s">
        <v>175</v>
      </c>
      <c r="D2372" s="81" t="s">
        <v>156</v>
      </c>
      <c r="E2372" s="81" t="s">
        <v>49</v>
      </c>
      <c r="F2372" s="81" t="s">
        <v>2</v>
      </c>
    </row>
    <row r="2373" spans="1:6" x14ac:dyDescent="0.25">
      <c r="A2373" s="14">
        <v>46147.019444444442</v>
      </c>
      <c r="B2373" s="81" t="s">
        <v>149</v>
      </c>
      <c r="C2373" s="81" t="s">
        <v>175</v>
      </c>
      <c r="D2373" s="81" t="s">
        <v>157</v>
      </c>
      <c r="E2373" s="81" t="s">
        <v>50</v>
      </c>
      <c r="F2373" s="81" t="s">
        <v>1</v>
      </c>
    </row>
    <row r="2374" spans="1:6" x14ac:dyDescent="0.25">
      <c r="A2374" s="14">
        <v>46147.019444444442</v>
      </c>
      <c r="B2374" s="81" t="s">
        <v>149</v>
      </c>
      <c r="C2374" s="81" t="s">
        <v>151</v>
      </c>
      <c r="D2374" s="81" t="s">
        <v>253</v>
      </c>
      <c r="E2374" s="81" t="s">
        <v>50</v>
      </c>
      <c r="F2374" s="81" t="s">
        <v>1</v>
      </c>
    </row>
    <row r="2375" spans="1:6" x14ac:dyDescent="0.25">
      <c r="A2375" s="14">
        <v>46147.019444444442</v>
      </c>
      <c r="B2375" s="81" t="s">
        <v>149</v>
      </c>
      <c r="C2375" s="81" t="s">
        <v>177</v>
      </c>
      <c r="D2375" s="81" t="s">
        <v>841</v>
      </c>
      <c r="E2375" s="81" t="s">
        <v>52</v>
      </c>
      <c r="F2375" s="81" t="s">
        <v>0</v>
      </c>
    </row>
    <row r="2376" spans="1:6" x14ac:dyDescent="0.25">
      <c r="A2376" s="14">
        <v>46147.019444444442</v>
      </c>
      <c r="B2376" s="81" t="s">
        <v>149</v>
      </c>
      <c r="C2376" s="81" t="s">
        <v>177</v>
      </c>
      <c r="D2376" s="81" t="s">
        <v>253</v>
      </c>
      <c r="E2376" s="81" t="s">
        <v>52</v>
      </c>
      <c r="F2376" s="81" t="s">
        <v>0</v>
      </c>
    </row>
    <row r="2377" spans="1:6" x14ac:dyDescent="0.25">
      <c r="A2377" s="14">
        <v>46147.019444444442</v>
      </c>
      <c r="B2377" s="81" t="s">
        <v>149</v>
      </c>
      <c r="C2377" s="81" t="s">
        <v>176</v>
      </c>
      <c r="D2377" s="81" t="s">
        <v>222</v>
      </c>
      <c r="E2377" s="81" t="s">
        <v>44</v>
      </c>
      <c r="F2377" s="81" t="s">
        <v>17</v>
      </c>
    </row>
    <row r="2378" spans="1:6" x14ac:dyDescent="0.25">
      <c r="A2378" s="14">
        <v>46147.019444444442</v>
      </c>
      <c r="B2378" s="81" t="s">
        <v>149</v>
      </c>
      <c r="C2378" s="81" t="s">
        <v>158</v>
      </c>
      <c r="D2378" s="81" t="s">
        <v>253</v>
      </c>
      <c r="E2378" s="81" t="s">
        <v>52</v>
      </c>
      <c r="F2378" s="81" t="s">
        <v>0</v>
      </c>
    </row>
    <row r="2379" spans="1:6" x14ac:dyDescent="0.25">
      <c r="A2379" s="14">
        <v>46147.019444444442</v>
      </c>
      <c r="B2379" s="81" t="s">
        <v>149</v>
      </c>
      <c r="C2379" s="81" t="s">
        <v>177</v>
      </c>
      <c r="D2379" s="81" t="s">
        <v>157</v>
      </c>
      <c r="E2379" s="81" t="s">
        <v>48</v>
      </c>
      <c r="F2379" s="81" t="s">
        <v>3</v>
      </c>
    </row>
    <row r="2380" spans="1:6" x14ac:dyDescent="0.25">
      <c r="A2380" s="14">
        <v>46147.019444444442</v>
      </c>
      <c r="B2380" s="81" t="s">
        <v>149</v>
      </c>
      <c r="C2380" s="81" t="s">
        <v>190</v>
      </c>
      <c r="D2380" s="81" t="s">
        <v>156</v>
      </c>
      <c r="E2380" s="81" t="s">
        <v>49</v>
      </c>
      <c r="F2380" s="81" t="s">
        <v>2</v>
      </c>
    </row>
    <row r="2381" spans="1:6" x14ac:dyDescent="0.25">
      <c r="A2381" s="14">
        <v>46147.019444444442</v>
      </c>
      <c r="B2381" s="81" t="s">
        <v>149</v>
      </c>
      <c r="C2381" s="81" t="s">
        <v>175</v>
      </c>
      <c r="D2381" s="81" t="s">
        <v>156</v>
      </c>
      <c r="E2381" s="81" t="s">
        <v>49</v>
      </c>
      <c r="F2381" s="81" t="s">
        <v>2</v>
      </c>
    </row>
    <row r="2382" spans="1:6" x14ac:dyDescent="0.25">
      <c r="A2382" s="14">
        <v>46147.019444444442</v>
      </c>
      <c r="B2382" s="81" t="s">
        <v>149</v>
      </c>
      <c r="C2382" s="81" t="s">
        <v>175</v>
      </c>
      <c r="D2382" s="81" t="s">
        <v>202</v>
      </c>
      <c r="E2382" s="81" t="s">
        <v>49</v>
      </c>
      <c r="F2382" s="81" t="s">
        <v>2</v>
      </c>
    </row>
    <row r="2383" spans="1:6" x14ac:dyDescent="0.25">
      <c r="A2383" s="14">
        <v>46147.019444444442</v>
      </c>
      <c r="B2383" s="81" t="s">
        <v>149</v>
      </c>
      <c r="C2383" s="81" t="s">
        <v>171</v>
      </c>
      <c r="D2383" s="81" t="s">
        <v>163</v>
      </c>
      <c r="E2383" s="81" t="s">
        <v>52</v>
      </c>
      <c r="F2383" s="81" t="s">
        <v>0</v>
      </c>
    </row>
    <row r="2384" spans="1:6" x14ac:dyDescent="0.25">
      <c r="A2384" s="14">
        <v>46147.019444444442</v>
      </c>
      <c r="B2384" s="81" t="s">
        <v>149</v>
      </c>
      <c r="C2384" s="81" t="s">
        <v>182</v>
      </c>
      <c r="D2384" s="81" t="s">
        <v>156</v>
      </c>
      <c r="E2384" s="81" t="s">
        <v>49</v>
      </c>
      <c r="F2384" s="81" t="s">
        <v>2</v>
      </c>
    </row>
    <row r="2385" spans="1:6" x14ac:dyDescent="0.25">
      <c r="A2385" s="14">
        <v>46147.019444444442</v>
      </c>
      <c r="B2385" s="81" t="s">
        <v>149</v>
      </c>
      <c r="C2385" s="81" t="s">
        <v>190</v>
      </c>
      <c r="D2385" s="81" t="s">
        <v>264</v>
      </c>
      <c r="E2385" s="81" t="s">
        <v>52</v>
      </c>
      <c r="F2385" s="81" t="s">
        <v>0</v>
      </c>
    </row>
    <row r="2386" spans="1:6" x14ac:dyDescent="0.25">
      <c r="A2386" s="14">
        <v>46147.019444444442</v>
      </c>
      <c r="B2386" s="81" t="s">
        <v>149</v>
      </c>
      <c r="C2386" s="81" t="s">
        <v>171</v>
      </c>
      <c r="D2386" s="81" t="s">
        <v>156</v>
      </c>
      <c r="E2386" s="81" t="s">
        <v>49</v>
      </c>
      <c r="F2386" s="81" t="s">
        <v>2</v>
      </c>
    </row>
    <row r="2387" spans="1:6" x14ac:dyDescent="0.25">
      <c r="A2387" s="14">
        <v>46147.019444444442</v>
      </c>
      <c r="B2387" s="81" t="s">
        <v>149</v>
      </c>
      <c r="C2387" s="81" t="s">
        <v>232</v>
      </c>
      <c r="D2387" s="81" t="s">
        <v>222</v>
      </c>
      <c r="E2387" s="81" t="s">
        <v>44</v>
      </c>
      <c r="F2387" s="81" t="s">
        <v>17</v>
      </c>
    </row>
    <row r="2388" spans="1:6" x14ac:dyDescent="0.25">
      <c r="A2388" s="14">
        <v>46147.019444444442</v>
      </c>
      <c r="B2388" s="81" t="s">
        <v>149</v>
      </c>
      <c r="C2388" s="81" t="s">
        <v>181</v>
      </c>
      <c r="D2388" s="81" t="s">
        <v>156</v>
      </c>
      <c r="E2388" s="81" t="s">
        <v>49</v>
      </c>
      <c r="F2388" s="81" t="s">
        <v>2</v>
      </c>
    </row>
    <row r="2389" spans="1:6" x14ac:dyDescent="0.25">
      <c r="A2389" s="14">
        <v>46147.019444444442</v>
      </c>
      <c r="B2389" s="81" t="s">
        <v>149</v>
      </c>
      <c r="C2389" s="81" t="s">
        <v>185</v>
      </c>
      <c r="D2389" s="81" t="s">
        <v>163</v>
      </c>
      <c r="E2389" s="81" t="s">
        <v>50</v>
      </c>
      <c r="F2389" s="81" t="s">
        <v>1</v>
      </c>
    </row>
    <row r="2390" spans="1:6" x14ac:dyDescent="0.25">
      <c r="A2390" s="14">
        <v>46147.019444444442</v>
      </c>
      <c r="B2390" s="81" t="s">
        <v>149</v>
      </c>
      <c r="C2390" s="81" t="s">
        <v>185</v>
      </c>
      <c r="D2390" s="81" t="s">
        <v>156</v>
      </c>
      <c r="E2390" s="81" t="s">
        <v>49</v>
      </c>
      <c r="F2390" s="81" t="s">
        <v>2</v>
      </c>
    </row>
    <row r="2391" spans="1:6" x14ac:dyDescent="0.25">
      <c r="A2391" s="14">
        <v>46147.019444444442</v>
      </c>
      <c r="B2391" s="81" t="s">
        <v>149</v>
      </c>
      <c r="C2391" s="81" t="s">
        <v>158</v>
      </c>
      <c r="D2391" s="81" t="s">
        <v>156</v>
      </c>
      <c r="E2391" s="81" t="s">
        <v>49</v>
      </c>
      <c r="F2391" s="81" t="s">
        <v>2</v>
      </c>
    </row>
    <row r="2392" spans="1:6" x14ac:dyDescent="0.25">
      <c r="A2392" s="14">
        <v>46147.019444444442</v>
      </c>
      <c r="B2392" s="81" t="s">
        <v>149</v>
      </c>
      <c r="C2392" s="81" t="s">
        <v>175</v>
      </c>
      <c r="D2392" s="81" t="s">
        <v>152</v>
      </c>
      <c r="E2392" s="81" t="s">
        <v>50</v>
      </c>
      <c r="F2392" s="81" t="s">
        <v>1</v>
      </c>
    </row>
    <row r="2393" spans="1:6" x14ac:dyDescent="0.25">
      <c r="A2393" s="14">
        <v>46147.019444444442</v>
      </c>
      <c r="B2393" s="81" t="s">
        <v>149</v>
      </c>
      <c r="C2393" s="81" t="s">
        <v>171</v>
      </c>
      <c r="D2393" s="81" t="s">
        <v>156</v>
      </c>
      <c r="E2393" s="81" t="s">
        <v>49</v>
      </c>
      <c r="F2393" s="81" t="s">
        <v>2</v>
      </c>
    </row>
    <row r="2394" spans="1:6" x14ac:dyDescent="0.25">
      <c r="A2394" s="14">
        <v>46147.019444444442</v>
      </c>
      <c r="B2394" s="81" t="s">
        <v>149</v>
      </c>
      <c r="C2394" s="81" t="s">
        <v>185</v>
      </c>
      <c r="D2394" s="81" t="s">
        <v>156</v>
      </c>
      <c r="E2394" s="81" t="s">
        <v>49</v>
      </c>
      <c r="F2394" s="81" t="s">
        <v>2</v>
      </c>
    </row>
    <row r="2395" spans="1:6" x14ac:dyDescent="0.25">
      <c r="A2395" s="14">
        <v>46147.019444444442</v>
      </c>
      <c r="B2395" s="81" t="s">
        <v>149</v>
      </c>
      <c r="C2395" s="81" t="s">
        <v>185</v>
      </c>
      <c r="D2395" s="81" t="s">
        <v>156</v>
      </c>
      <c r="E2395" s="81" t="s">
        <v>49</v>
      </c>
      <c r="F2395" s="81" t="s">
        <v>2</v>
      </c>
    </row>
    <row r="2396" spans="1:6" x14ac:dyDescent="0.25">
      <c r="A2396" s="14">
        <v>46147.019444444442</v>
      </c>
      <c r="B2396" s="81" t="s">
        <v>149</v>
      </c>
      <c r="C2396" s="81" t="s">
        <v>158</v>
      </c>
      <c r="D2396" s="81" t="s">
        <v>156</v>
      </c>
      <c r="E2396" s="81" t="s">
        <v>49</v>
      </c>
      <c r="F2396" s="81" t="s">
        <v>2</v>
      </c>
    </row>
    <row r="2397" spans="1:6" x14ac:dyDescent="0.25">
      <c r="A2397" s="14">
        <v>46147.019444444442</v>
      </c>
      <c r="B2397" s="81" t="s">
        <v>149</v>
      </c>
      <c r="C2397" s="81" t="s">
        <v>190</v>
      </c>
      <c r="D2397" s="81" t="s">
        <v>156</v>
      </c>
      <c r="E2397" s="81" t="s">
        <v>49</v>
      </c>
      <c r="F2397" s="81" t="s">
        <v>2</v>
      </c>
    </row>
    <row r="2398" spans="1:6" x14ac:dyDescent="0.25">
      <c r="A2398" s="14">
        <v>46147.019444444442</v>
      </c>
      <c r="B2398" s="81" t="s">
        <v>149</v>
      </c>
      <c r="C2398" s="81" t="s">
        <v>181</v>
      </c>
      <c r="D2398" s="81" t="s">
        <v>157</v>
      </c>
      <c r="E2398" s="81" t="s">
        <v>50</v>
      </c>
      <c r="F2398" s="81" t="s">
        <v>1</v>
      </c>
    </row>
    <row r="2399" spans="1:6" x14ac:dyDescent="0.25">
      <c r="A2399" s="14">
        <v>46147.019444444442</v>
      </c>
      <c r="B2399" s="81" t="s">
        <v>149</v>
      </c>
      <c r="C2399" s="81" t="s">
        <v>171</v>
      </c>
      <c r="D2399" s="81" t="s">
        <v>156</v>
      </c>
      <c r="E2399" s="81" t="s">
        <v>49</v>
      </c>
      <c r="F2399" s="81" t="s">
        <v>2</v>
      </c>
    </row>
    <row r="2400" spans="1:6" x14ac:dyDescent="0.25">
      <c r="A2400" s="14">
        <v>46147.019444444442</v>
      </c>
      <c r="B2400" s="81" t="s">
        <v>149</v>
      </c>
      <c r="C2400" s="81" t="s">
        <v>173</v>
      </c>
      <c r="D2400" s="81" t="s">
        <v>156</v>
      </c>
      <c r="E2400" s="81" t="s">
        <v>49</v>
      </c>
      <c r="F2400" s="81" t="s">
        <v>2</v>
      </c>
    </row>
    <row r="2401" spans="1:6" x14ac:dyDescent="0.25">
      <c r="A2401" s="14">
        <v>46147.019444444442</v>
      </c>
      <c r="B2401" s="81" t="s">
        <v>195</v>
      </c>
      <c r="C2401" s="81" t="s">
        <v>198</v>
      </c>
      <c r="D2401" s="81" t="s">
        <v>222</v>
      </c>
      <c r="E2401" s="81" t="s">
        <v>24</v>
      </c>
      <c r="F2401" s="81" t="s">
        <v>24</v>
      </c>
    </row>
    <row r="2402" spans="1:6" x14ac:dyDescent="0.25">
      <c r="A2402" s="14">
        <v>46147.019444444442</v>
      </c>
      <c r="B2402" s="81" t="s">
        <v>195</v>
      </c>
      <c r="C2402" s="81" t="s">
        <v>198</v>
      </c>
      <c r="D2402" s="81" t="s">
        <v>222</v>
      </c>
      <c r="E2402" s="81" t="s">
        <v>24</v>
      </c>
      <c r="F2402" s="81" t="s">
        <v>24</v>
      </c>
    </row>
    <row r="2403" spans="1:6" x14ac:dyDescent="0.25">
      <c r="A2403" s="14">
        <v>46147.019444444442</v>
      </c>
      <c r="B2403" s="81" t="s">
        <v>195</v>
      </c>
      <c r="C2403" s="81" t="s">
        <v>198</v>
      </c>
      <c r="D2403" s="81" t="s">
        <v>222</v>
      </c>
      <c r="E2403" s="81" t="s">
        <v>24</v>
      </c>
      <c r="F2403" s="81" t="s">
        <v>24</v>
      </c>
    </row>
    <row r="2404" spans="1:6" x14ac:dyDescent="0.25">
      <c r="A2404" s="14">
        <v>46147.019444444442</v>
      </c>
      <c r="B2404" s="81" t="s">
        <v>195</v>
      </c>
      <c r="C2404" s="81" t="s">
        <v>210</v>
      </c>
      <c r="D2404" s="81" t="s">
        <v>222</v>
      </c>
      <c r="E2404" s="81" t="s">
        <v>24</v>
      </c>
      <c r="F2404" s="81" t="s">
        <v>24</v>
      </c>
    </row>
    <row r="2405" spans="1:6" x14ac:dyDescent="0.25">
      <c r="A2405" s="14">
        <v>46147.019444444442</v>
      </c>
      <c r="B2405" s="81" t="s">
        <v>195</v>
      </c>
      <c r="C2405" s="81" t="s">
        <v>210</v>
      </c>
      <c r="D2405" s="81" t="s">
        <v>222</v>
      </c>
      <c r="E2405" s="81" t="s">
        <v>24</v>
      </c>
      <c r="F2405" s="81" t="s">
        <v>24</v>
      </c>
    </row>
    <row r="2406" spans="1:6" x14ac:dyDescent="0.25">
      <c r="A2406" s="14">
        <v>46147.019444444442</v>
      </c>
      <c r="B2406" s="81" t="s">
        <v>195</v>
      </c>
      <c r="C2406" s="81" t="s">
        <v>210</v>
      </c>
      <c r="D2406" s="81" t="s">
        <v>222</v>
      </c>
      <c r="E2406" s="81" t="s">
        <v>24</v>
      </c>
      <c r="F2406" s="81" t="s">
        <v>24</v>
      </c>
    </row>
    <row r="2407" spans="1:6" x14ac:dyDescent="0.25">
      <c r="A2407" s="14">
        <v>46147.040972222225</v>
      </c>
      <c r="B2407" s="81" t="s">
        <v>149</v>
      </c>
      <c r="C2407" s="81" t="s">
        <v>171</v>
      </c>
      <c r="D2407" s="81" t="s">
        <v>157</v>
      </c>
      <c r="E2407" s="81" t="s">
        <v>50</v>
      </c>
      <c r="F2407" s="81" t="s">
        <v>1</v>
      </c>
    </row>
    <row r="2408" spans="1:6" x14ac:dyDescent="0.25">
      <c r="A2408" s="14">
        <v>46147.040972222225</v>
      </c>
      <c r="B2408" s="81" t="s">
        <v>149</v>
      </c>
      <c r="C2408" s="81" t="s">
        <v>183</v>
      </c>
      <c r="D2408" s="81" t="s">
        <v>152</v>
      </c>
      <c r="E2408" s="81" t="s">
        <v>50</v>
      </c>
      <c r="F2408" s="81" t="s">
        <v>1</v>
      </c>
    </row>
    <row r="2409" spans="1:6" x14ac:dyDescent="0.25">
      <c r="A2409" s="14">
        <v>46147.040972222225</v>
      </c>
      <c r="B2409" s="81" t="s">
        <v>149</v>
      </c>
      <c r="C2409" s="81" t="s">
        <v>184</v>
      </c>
      <c r="D2409" s="81" t="s">
        <v>152</v>
      </c>
      <c r="E2409" s="81" t="s">
        <v>50</v>
      </c>
      <c r="F2409" s="81" t="s">
        <v>1</v>
      </c>
    </row>
    <row r="2410" spans="1:6" x14ac:dyDescent="0.25">
      <c r="A2410" s="14">
        <v>46147.040972222225</v>
      </c>
      <c r="B2410" s="81" t="s">
        <v>149</v>
      </c>
      <c r="C2410" s="81" t="s">
        <v>181</v>
      </c>
      <c r="D2410" s="81" t="s">
        <v>152</v>
      </c>
      <c r="E2410" s="81" t="s">
        <v>50</v>
      </c>
      <c r="F2410" s="81" t="s">
        <v>1</v>
      </c>
    </row>
    <row r="2411" spans="1:6" x14ac:dyDescent="0.25">
      <c r="A2411" s="14">
        <v>46147.040972222225</v>
      </c>
      <c r="B2411" s="81" t="s">
        <v>149</v>
      </c>
      <c r="C2411" s="81" t="s">
        <v>158</v>
      </c>
      <c r="D2411" s="81" t="s">
        <v>152</v>
      </c>
      <c r="E2411" s="81" t="s">
        <v>50</v>
      </c>
      <c r="F2411" s="81" t="s">
        <v>1</v>
      </c>
    </row>
    <row r="2412" spans="1:6" x14ac:dyDescent="0.25">
      <c r="A2412" s="14">
        <v>46147.040972222225</v>
      </c>
      <c r="B2412" s="81" t="s">
        <v>149</v>
      </c>
      <c r="C2412" s="81" t="s">
        <v>176</v>
      </c>
      <c r="D2412" s="81" t="s">
        <v>159</v>
      </c>
      <c r="E2412" s="81" t="s">
        <v>70</v>
      </c>
      <c r="F2412" s="81" t="s">
        <v>15</v>
      </c>
    </row>
    <row r="2413" spans="1:6" x14ac:dyDescent="0.25">
      <c r="A2413" s="14">
        <v>46147.040972222225</v>
      </c>
      <c r="B2413" s="81" t="s">
        <v>149</v>
      </c>
      <c r="C2413" s="81" t="s">
        <v>158</v>
      </c>
      <c r="D2413" s="81" t="s">
        <v>156</v>
      </c>
      <c r="E2413" s="81" t="s">
        <v>49</v>
      </c>
      <c r="F2413" s="81" t="s">
        <v>2</v>
      </c>
    </row>
    <row r="2414" spans="1:6" x14ac:dyDescent="0.25">
      <c r="A2414" s="14">
        <v>46147.040972222225</v>
      </c>
      <c r="B2414" s="81" t="s">
        <v>149</v>
      </c>
      <c r="C2414" s="81" t="s">
        <v>184</v>
      </c>
      <c r="D2414" s="81" t="s">
        <v>156</v>
      </c>
      <c r="E2414" s="81" t="s">
        <v>49</v>
      </c>
      <c r="F2414" s="81" t="s">
        <v>2</v>
      </c>
    </row>
    <row r="2415" spans="1:6" x14ac:dyDescent="0.25">
      <c r="A2415" s="14">
        <v>46147.040972222225</v>
      </c>
      <c r="B2415" s="81" t="s">
        <v>149</v>
      </c>
      <c r="C2415" s="81" t="s">
        <v>158</v>
      </c>
      <c r="D2415" s="81" t="s">
        <v>152</v>
      </c>
      <c r="E2415" s="81" t="s">
        <v>50</v>
      </c>
      <c r="F2415" s="81" t="s">
        <v>1</v>
      </c>
    </row>
    <row r="2416" spans="1:6" x14ac:dyDescent="0.25">
      <c r="A2416" s="14">
        <v>46147.06527777778</v>
      </c>
      <c r="B2416" s="81" t="s">
        <v>149</v>
      </c>
      <c r="C2416" s="81" t="s">
        <v>181</v>
      </c>
      <c r="D2416" s="81" t="s">
        <v>152</v>
      </c>
      <c r="E2416" s="81" t="s">
        <v>49</v>
      </c>
      <c r="F2416" s="81" t="s">
        <v>2</v>
      </c>
    </row>
    <row r="2417" spans="1:6" x14ac:dyDescent="0.25">
      <c r="A2417" s="14">
        <v>46147.06527777778</v>
      </c>
      <c r="B2417" s="81" t="s">
        <v>149</v>
      </c>
      <c r="C2417" s="81" t="s">
        <v>184</v>
      </c>
      <c r="D2417" s="81" t="s">
        <v>152</v>
      </c>
      <c r="E2417" s="81" t="s">
        <v>49</v>
      </c>
      <c r="F2417" s="81" t="s">
        <v>2</v>
      </c>
    </row>
    <row r="2418" spans="1:6" x14ac:dyDescent="0.25">
      <c r="A2418" s="14">
        <v>46147.06527777778</v>
      </c>
      <c r="B2418" s="81" t="s">
        <v>149</v>
      </c>
      <c r="C2418" s="81" t="s">
        <v>173</v>
      </c>
      <c r="D2418" s="81" t="s">
        <v>152</v>
      </c>
      <c r="E2418" s="81" t="s">
        <v>49</v>
      </c>
      <c r="F2418" s="81" t="s">
        <v>2</v>
      </c>
    </row>
    <row r="2419" spans="1:6" x14ac:dyDescent="0.25">
      <c r="A2419" s="14">
        <v>46147.06527777778</v>
      </c>
      <c r="B2419" s="81" t="s">
        <v>149</v>
      </c>
      <c r="C2419" s="81" t="s">
        <v>177</v>
      </c>
      <c r="D2419" s="81" t="s">
        <v>152</v>
      </c>
      <c r="E2419" s="81" t="s">
        <v>49</v>
      </c>
      <c r="F2419" s="81" t="s">
        <v>2</v>
      </c>
    </row>
    <row r="2420" spans="1:6" x14ac:dyDescent="0.25">
      <c r="A2420" s="14">
        <v>46147.06527777778</v>
      </c>
      <c r="B2420" s="81" t="s">
        <v>149</v>
      </c>
      <c r="C2420" s="81" t="s">
        <v>175</v>
      </c>
      <c r="D2420" s="81" t="s">
        <v>152</v>
      </c>
      <c r="E2420" s="81" t="s">
        <v>49</v>
      </c>
      <c r="F2420" s="81" t="s">
        <v>2</v>
      </c>
    </row>
    <row r="2421" spans="1:6" x14ac:dyDescent="0.25">
      <c r="A2421" s="14">
        <v>46147.06527777778</v>
      </c>
      <c r="B2421" s="81" t="s">
        <v>149</v>
      </c>
      <c r="C2421" s="81" t="s">
        <v>173</v>
      </c>
      <c r="D2421" s="81" t="s">
        <v>152</v>
      </c>
      <c r="E2421" s="81" t="s">
        <v>49</v>
      </c>
      <c r="F2421" s="81" t="s">
        <v>2</v>
      </c>
    </row>
    <row r="2422" spans="1:6" x14ac:dyDescent="0.25">
      <c r="A2422" s="14">
        <v>46147.06527777778</v>
      </c>
      <c r="B2422" s="81" t="s">
        <v>149</v>
      </c>
      <c r="C2422" s="81" t="s">
        <v>173</v>
      </c>
      <c r="D2422" s="81" t="s">
        <v>152</v>
      </c>
      <c r="E2422" s="81" t="s">
        <v>49</v>
      </c>
      <c r="F2422" s="81" t="s">
        <v>2</v>
      </c>
    </row>
    <row r="2423" spans="1:6" x14ac:dyDescent="0.25">
      <c r="A2423" s="14">
        <v>46147.06527777778</v>
      </c>
      <c r="B2423" s="81" t="s">
        <v>149</v>
      </c>
      <c r="C2423" s="81" t="s">
        <v>184</v>
      </c>
      <c r="D2423" s="81" t="s">
        <v>152</v>
      </c>
      <c r="E2423" s="81" t="s">
        <v>49</v>
      </c>
      <c r="F2423" s="81" t="s">
        <v>2</v>
      </c>
    </row>
    <row r="2424" spans="1:6" x14ac:dyDescent="0.25">
      <c r="A2424" s="14">
        <v>46147.06527777778</v>
      </c>
      <c r="B2424" s="81" t="s">
        <v>149</v>
      </c>
      <c r="C2424" s="81" t="s">
        <v>175</v>
      </c>
      <c r="D2424" s="81" t="s">
        <v>152</v>
      </c>
      <c r="E2424" s="81" t="s">
        <v>49</v>
      </c>
      <c r="F2424" s="81" t="s">
        <v>2</v>
      </c>
    </row>
    <row r="2425" spans="1:6" x14ac:dyDescent="0.25">
      <c r="A2425" s="14">
        <v>46147.06527777778</v>
      </c>
      <c r="B2425" s="81" t="s">
        <v>149</v>
      </c>
      <c r="C2425" s="81" t="s">
        <v>181</v>
      </c>
      <c r="D2425" s="81" t="s">
        <v>152</v>
      </c>
      <c r="E2425" s="81" t="s">
        <v>49</v>
      </c>
      <c r="F2425" s="81" t="s">
        <v>2</v>
      </c>
    </row>
    <row r="2426" spans="1:6" x14ac:dyDescent="0.25">
      <c r="A2426" s="14">
        <v>46147.06527777778</v>
      </c>
      <c r="B2426" s="81" t="s">
        <v>149</v>
      </c>
      <c r="C2426" s="81" t="s">
        <v>175</v>
      </c>
      <c r="D2426" s="81" t="s">
        <v>152</v>
      </c>
      <c r="E2426" s="81" t="s">
        <v>49</v>
      </c>
      <c r="F2426" s="81" t="s">
        <v>2</v>
      </c>
    </row>
    <row r="2427" spans="1:6" x14ac:dyDescent="0.25">
      <c r="A2427" s="14">
        <v>46147.06527777778</v>
      </c>
      <c r="B2427" s="81" t="s">
        <v>149</v>
      </c>
      <c r="C2427" s="81" t="s">
        <v>177</v>
      </c>
      <c r="D2427" s="81" t="s">
        <v>152</v>
      </c>
      <c r="E2427" s="81" t="s">
        <v>49</v>
      </c>
      <c r="F2427" s="81" t="s">
        <v>2</v>
      </c>
    </row>
    <row r="2428" spans="1:6" x14ac:dyDescent="0.25">
      <c r="A2428" s="14">
        <v>46147.06527777778</v>
      </c>
      <c r="B2428" s="81" t="s">
        <v>149</v>
      </c>
      <c r="C2428" s="81" t="s">
        <v>184</v>
      </c>
      <c r="D2428" s="81" t="s">
        <v>152</v>
      </c>
      <c r="E2428" s="81" t="s">
        <v>49</v>
      </c>
      <c r="F2428" s="81" t="s">
        <v>2</v>
      </c>
    </row>
    <row r="2429" spans="1:6" x14ac:dyDescent="0.25">
      <c r="A2429" s="14">
        <v>46147.06527777778</v>
      </c>
      <c r="B2429" s="81" t="s">
        <v>149</v>
      </c>
      <c r="C2429" s="81" t="s">
        <v>175</v>
      </c>
      <c r="D2429" s="81" t="s">
        <v>261</v>
      </c>
      <c r="E2429" s="81" t="s">
        <v>50</v>
      </c>
      <c r="F2429" s="81" t="s">
        <v>1</v>
      </c>
    </row>
    <row r="2430" spans="1:6" x14ac:dyDescent="0.25">
      <c r="A2430" s="14">
        <v>46147.06527777778</v>
      </c>
      <c r="B2430" s="81" t="s">
        <v>149</v>
      </c>
      <c r="C2430" s="81" t="s">
        <v>158</v>
      </c>
      <c r="D2430" s="81" t="s">
        <v>152</v>
      </c>
      <c r="E2430" s="81" t="s">
        <v>49</v>
      </c>
      <c r="F2430" s="81" t="s">
        <v>2</v>
      </c>
    </row>
    <row r="2431" spans="1:6" x14ac:dyDescent="0.25">
      <c r="A2431" s="14">
        <v>46147.06527777778</v>
      </c>
      <c r="B2431" s="81" t="s">
        <v>149</v>
      </c>
      <c r="C2431" s="81" t="s">
        <v>175</v>
      </c>
      <c r="D2431" s="81" t="s">
        <v>152</v>
      </c>
      <c r="E2431" s="81" t="s">
        <v>49</v>
      </c>
      <c r="F2431" s="81" t="s">
        <v>2</v>
      </c>
    </row>
    <row r="2432" spans="1:6" x14ac:dyDescent="0.25">
      <c r="A2432" s="14">
        <v>46147.06527777778</v>
      </c>
      <c r="B2432" s="81" t="s">
        <v>149</v>
      </c>
      <c r="C2432" s="81" t="s">
        <v>184</v>
      </c>
      <c r="D2432" s="81" t="s">
        <v>152</v>
      </c>
      <c r="E2432" s="81" t="s">
        <v>49</v>
      </c>
      <c r="F2432" s="81" t="s">
        <v>2</v>
      </c>
    </row>
    <row r="2433" spans="1:6" x14ac:dyDescent="0.25">
      <c r="A2433" s="14">
        <v>46147.06527777778</v>
      </c>
      <c r="B2433" s="81" t="s">
        <v>149</v>
      </c>
      <c r="C2433" s="81" t="s">
        <v>175</v>
      </c>
      <c r="D2433" s="81" t="s">
        <v>152</v>
      </c>
      <c r="E2433" s="81" t="s">
        <v>49</v>
      </c>
      <c r="F2433" s="81" t="s">
        <v>2</v>
      </c>
    </row>
    <row r="2434" spans="1:6" x14ac:dyDescent="0.25">
      <c r="A2434" s="14">
        <v>46147.06527777778</v>
      </c>
      <c r="B2434" s="81" t="s">
        <v>149</v>
      </c>
      <c r="C2434" s="81" t="s">
        <v>185</v>
      </c>
      <c r="D2434" s="81" t="s">
        <v>152</v>
      </c>
      <c r="E2434" s="81" t="s">
        <v>49</v>
      </c>
      <c r="F2434" s="81" t="s">
        <v>2</v>
      </c>
    </row>
    <row r="2435" spans="1:6" x14ac:dyDescent="0.25">
      <c r="A2435" s="14">
        <v>46147.06527777778</v>
      </c>
      <c r="B2435" s="81" t="s">
        <v>149</v>
      </c>
      <c r="C2435" s="81" t="s">
        <v>177</v>
      </c>
      <c r="D2435" s="81" t="s">
        <v>152</v>
      </c>
      <c r="E2435" s="81" t="s">
        <v>49</v>
      </c>
      <c r="F2435" s="81" t="s">
        <v>2</v>
      </c>
    </row>
    <row r="2436" spans="1:6" x14ac:dyDescent="0.25">
      <c r="A2436" s="14">
        <v>46147.06527777778</v>
      </c>
      <c r="B2436" s="81" t="s">
        <v>149</v>
      </c>
      <c r="C2436" s="81" t="s">
        <v>158</v>
      </c>
      <c r="D2436" s="81" t="s">
        <v>152</v>
      </c>
      <c r="E2436" s="81" t="s">
        <v>49</v>
      </c>
      <c r="F2436" s="81" t="s">
        <v>2</v>
      </c>
    </row>
    <row r="2437" spans="1:6" x14ac:dyDescent="0.25">
      <c r="A2437" s="14">
        <v>46147.06527777778</v>
      </c>
      <c r="B2437" s="81" t="s">
        <v>149</v>
      </c>
      <c r="C2437" s="81" t="s">
        <v>176</v>
      </c>
      <c r="D2437" s="81" t="s">
        <v>222</v>
      </c>
      <c r="E2437" s="81" t="s">
        <v>44</v>
      </c>
      <c r="F2437" s="81" t="s">
        <v>17</v>
      </c>
    </row>
    <row r="2438" spans="1:6" x14ac:dyDescent="0.25">
      <c r="A2438" s="14">
        <v>46147.06527777778</v>
      </c>
      <c r="B2438" s="81" t="s">
        <v>149</v>
      </c>
      <c r="C2438" s="81" t="s">
        <v>181</v>
      </c>
      <c r="D2438" s="81" t="s">
        <v>152</v>
      </c>
      <c r="E2438" s="81" t="s">
        <v>49</v>
      </c>
      <c r="F2438" s="81" t="s">
        <v>2</v>
      </c>
    </row>
    <row r="2439" spans="1:6" x14ac:dyDescent="0.25">
      <c r="A2439" s="14">
        <v>46147.06527777778</v>
      </c>
      <c r="B2439" s="81" t="s">
        <v>149</v>
      </c>
      <c r="C2439" s="81" t="s">
        <v>184</v>
      </c>
      <c r="D2439" s="81" t="s">
        <v>152</v>
      </c>
      <c r="E2439" s="81" t="s">
        <v>49</v>
      </c>
      <c r="F2439" s="81" t="s">
        <v>2</v>
      </c>
    </row>
    <row r="2440" spans="1:6" x14ac:dyDescent="0.25">
      <c r="A2440" s="14">
        <v>46147.06527777778</v>
      </c>
      <c r="B2440" s="81" t="s">
        <v>149</v>
      </c>
      <c r="C2440" s="81" t="s">
        <v>176</v>
      </c>
      <c r="D2440" s="81" t="s">
        <v>222</v>
      </c>
      <c r="E2440" s="81" t="s">
        <v>70</v>
      </c>
      <c r="F2440" s="81" t="s">
        <v>15</v>
      </c>
    </row>
    <row r="2441" spans="1:6" x14ac:dyDescent="0.25">
      <c r="A2441" s="14">
        <v>46147.570833333331</v>
      </c>
      <c r="B2441" s="81" t="s">
        <v>149</v>
      </c>
      <c r="C2441" s="81" t="s">
        <v>185</v>
      </c>
      <c r="D2441" s="81" t="s">
        <v>842</v>
      </c>
      <c r="E2441" s="81" t="s">
        <v>52</v>
      </c>
      <c r="F2441" s="81" t="s">
        <v>0</v>
      </c>
    </row>
    <row r="2442" spans="1:6" x14ac:dyDescent="0.25">
      <c r="A2442" s="14">
        <v>46147.570833333331</v>
      </c>
      <c r="B2442" s="81" t="s">
        <v>149</v>
      </c>
      <c r="C2442" s="81" t="s">
        <v>173</v>
      </c>
      <c r="D2442" s="81" t="s">
        <v>283</v>
      </c>
      <c r="E2442" s="81" t="s">
        <v>52</v>
      </c>
      <c r="F2442" s="81" t="s">
        <v>0</v>
      </c>
    </row>
    <row r="2443" spans="1:6" x14ac:dyDescent="0.25">
      <c r="A2443" s="14">
        <v>46147.570833333331</v>
      </c>
      <c r="B2443" s="81" t="s">
        <v>149</v>
      </c>
      <c r="C2443" s="81" t="s">
        <v>151</v>
      </c>
      <c r="D2443" s="81" t="s">
        <v>842</v>
      </c>
      <c r="E2443" s="81" t="s">
        <v>52</v>
      </c>
      <c r="F2443" s="81" t="s">
        <v>0</v>
      </c>
    </row>
    <row r="2444" spans="1:6" x14ac:dyDescent="0.25">
      <c r="A2444" s="14">
        <v>46147.570833333331</v>
      </c>
      <c r="B2444" s="81" t="s">
        <v>149</v>
      </c>
      <c r="C2444" s="81" t="s">
        <v>177</v>
      </c>
      <c r="D2444" s="81" t="s">
        <v>842</v>
      </c>
      <c r="E2444" s="81" t="s">
        <v>52</v>
      </c>
      <c r="F2444" s="81" t="s">
        <v>0</v>
      </c>
    </row>
    <row r="2445" spans="1:6" x14ac:dyDescent="0.25">
      <c r="A2445" s="14">
        <v>46147.570833333331</v>
      </c>
      <c r="B2445" s="81" t="s">
        <v>149</v>
      </c>
      <c r="C2445" s="81" t="s">
        <v>181</v>
      </c>
      <c r="D2445" s="81" t="s">
        <v>222</v>
      </c>
      <c r="E2445" s="81" t="s">
        <v>49</v>
      </c>
      <c r="F2445" s="81" t="s">
        <v>2</v>
      </c>
    </row>
    <row r="2446" spans="1:6" x14ac:dyDescent="0.25">
      <c r="A2446" s="14">
        <v>46147.570833333331</v>
      </c>
      <c r="B2446" s="81" t="s">
        <v>149</v>
      </c>
      <c r="C2446" s="81" t="s">
        <v>177</v>
      </c>
      <c r="D2446" s="81" t="s">
        <v>152</v>
      </c>
      <c r="E2446" s="81" t="s">
        <v>49</v>
      </c>
      <c r="F2446" s="81" t="s">
        <v>2</v>
      </c>
    </row>
    <row r="2447" spans="1:6" x14ac:dyDescent="0.25">
      <c r="A2447" s="14">
        <v>46147.570833333331</v>
      </c>
      <c r="B2447" s="81" t="s">
        <v>149</v>
      </c>
      <c r="C2447" s="81" t="s">
        <v>151</v>
      </c>
      <c r="D2447" s="81" t="s">
        <v>152</v>
      </c>
      <c r="E2447" s="81" t="s">
        <v>49</v>
      </c>
      <c r="F2447" s="81" t="s">
        <v>2</v>
      </c>
    </row>
    <row r="2448" spans="1:6" x14ac:dyDescent="0.25">
      <c r="A2448" s="14">
        <v>46147.570833333331</v>
      </c>
      <c r="B2448" s="81" t="s">
        <v>149</v>
      </c>
      <c r="C2448" s="81" t="s">
        <v>158</v>
      </c>
      <c r="D2448" s="81" t="s">
        <v>842</v>
      </c>
      <c r="E2448" s="81" t="s">
        <v>52</v>
      </c>
      <c r="F2448" s="81" t="s">
        <v>0</v>
      </c>
    </row>
    <row r="2449" spans="1:6" x14ac:dyDescent="0.25">
      <c r="A2449" s="14">
        <v>46147.570833333331</v>
      </c>
      <c r="B2449" s="81" t="s">
        <v>149</v>
      </c>
      <c r="C2449" s="81" t="s">
        <v>151</v>
      </c>
      <c r="D2449" s="81" t="s">
        <v>152</v>
      </c>
      <c r="E2449" s="81" t="s">
        <v>49</v>
      </c>
      <c r="F2449" s="81" t="s">
        <v>2</v>
      </c>
    </row>
    <row r="2450" spans="1:6" x14ac:dyDescent="0.25">
      <c r="A2450" s="14">
        <v>46147.570833333331</v>
      </c>
      <c r="B2450" s="81" t="s">
        <v>149</v>
      </c>
      <c r="C2450" s="81" t="s">
        <v>181</v>
      </c>
      <c r="D2450" s="81" t="s">
        <v>152</v>
      </c>
      <c r="E2450" s="81" t="s">
        <v>49</v>
      </c>
      <c r="F2450" s="81" t="s">
        <v>2</v>
      </c>
    </row>
    <row r="2451" spans="1:6" x14ac:dyDescent="0.25">
      <c r="A2451" s="14">
        <v>46147.570833333331</v>
      </c>
      <c r="B2451" s="81" t="s">
        <v>149</v>
      </c>
      <c r="C2451" s="81" t="s">
        <v>173</v>
      </c>
      <c r="D2451" s="81" t="s">
        <v>240</v>
      </c>
      <c r="E2451" s="81" t="s">
        <v>52</v>
      </c>
      <c r="F2451" s="81" t="s">
        <v>0</v>
      </c>
    </row>
    <row r="2452" spans="1:6" x14ac:dyDescent="0.25">
      <c r="A2452" s="14">
        <v>46147.570833333331</v>
      </c>
      <c r="B2452" s="81" t="s">
        <v>149</v>
      </c>
      <c r="C2452" s="81" t="s">
        <v>181</v>
      </c>
      <c r="D2452" s="81" t="s">
        <v>842</v>
      </c>
      <c r="E2452" s="81" t="s">
        <v>52</v>
      </c>
      <c r="F2452" s="81" t="s">
        <v>0</v>
      </c>
    </row>
    <row r="2453" spans="1:6" x14ac:dyDescent="0.25">
      <c r="A2453" s="14">
        <v>46147.570833333331</v>
      </c>
      <c r="B2453" s="81" t="s">
        <v>149</v>
      </c>
      <c r="C2453" s="81" t="s">
        <v>177</v>
      </c>
      <c r="D2453" s="81" t="s">
        <v>842</v>
      </c>
      <c r="E2453" s="81" t="s">
        <v>52</v>
      </c>
      <c r="F2453" s="81" t="s">
        <v>0</v>
      </c>
    </row>
    <row r="2454" spans="1:6" x14ac:dyDescent="0.25">
      <c r="A2454" s="14">
        <v>46147.570833333331</v>
      </c>
      <c r="B2454" s="81" t="s">
        <v>149</v>
      </c>
      <c r="C2454" s="81" t="s">
        <v>181</v>
      </c>
      <c r="D2454" s="81" t="s">
        <v>842</v>
      </c>
      <c r="E2454" s="81" t="s">
        <v>52</v>
      </c>
      <c r="F2454" s="81" t="s">
        <v>0</v>
      </c>
    </row>
    <row r="2455" spans="1:6" x14ac:dyDescent="0.25">
      <c r="A2455" s="14">
        <v>46147.570833333331</v>
      </c>
      <c r="B2455" s="81" t="s">
        <v>149</v>
      </c>
      <c r="C2455" s="81" t="s">
        <v>183</v>
      </c>
      <c r="D2455" s="81" t="s">
        <v>842</v>
      </c>
      <c r="E2455" s="81" t="s">
        <v>52</v>
      </c>
      <c r="F2455" s="81" t="s">
        <v>0</v>
      </c>
    </row>
    <row r="2456" spans="1:6" x14ac:dyDescent="0.25">
      <c r="A2456" s="14">
        <v>46147.570833333331</v>
      </c>
      <c r="B2456" s="81" t="s">
        <v>149</v>
      </c>
      <c r="C2456" s="81" t="s">
        <v>190</v>
      </c>
      <c r="D2456" s="81" t="s">
        <v>842</v>
      </c>
      <c r="E2456" s="81" t="s">
        <v>52</v>
      </c>
      <c r="F2456" s="81" t="s">
        <v>0</v>
      </c>
    </row>
    <row r="2457" spans="1:6" x14ac:dyDescent="0.25">
      <c r="A2457" s="14">
        <v>46147.570833333331</v>
      </c>
      <c r="B2457" s="81" t="s">
        <v>149</v>
      </c>
      <c r="C2457" s="81" t="s">
        <v>181</v>
      </c>
      <c r="D2457" s="81" t="s">
        <v>842</v>
      </c>
      <c r="E2457" s="81" t="s">
        <v>52</v>
      </c>
      <c r="F2457" s="81" t="s">
        <v>0</v>
      </c>
    </row>
    <row r="2458" spans="1:6" x14ac:dyDescent="0.25">
      <c r="A2458" s="14">
        <v>46147.570833333331</v>
      </c>
      <c r="B2458" s="81" t="s">
        <v>149</v>
      </c>
      <c r="C2458" s="81" t="s">
        <v>151</v>
      </c>
      <c r="D2458" s="81" t="s">
        <v>842</v>
      </c>
      <c r="E2458" s="81" t="s">
        <v>52</v>
      </c>
      <c r="F2458" s="81" t="s">
        <v>0</v>
      </c>
    </row>
    <row r="2459" spans="1:6" x14ac:dyDescent="0.25">
      <c r="A2459" s="14">
        <v>46147.570833333331</v>
      </c>
      <c r="B2459" s="81" t="s">
        <v>149</v>
      </c>
      <c r="C2459" s="81" t="s">
        <v>181</v>
      </c>
      <c r="D2459" s="81" t="s">
        <v>842</v>
      </c>
      <c r="E2459" s="81" t="s">
        <v>52</v>
      </c>
      <c r="F2459" s="81" t="s">
        <v>0</v>
      </c>
    </row>
    <row r="2460" spans="1:6" x14ac:dyDescent="0.25">
      <c r="A2460" s="14">
        <v>46147.570833333331</v>
      </c>
      <c r="B2460" s="81" t="s">
        <v>149</v>
      </c>
      <c r="C2460" s="81" t="s">
        <v>171</v>
      </c>
      <c r="D2460" s="81" t="s">
        <v>842</v>
      </c>
      <c r="E2460" s="81" t="s">
        <v>52</v>
      </c>
      <c r="F2460" s="81" t="s">
        <v>0</v>
      </c>
    </row>
    <row r="2461" spans="1:6" x14ac:dyDescent="0.25">
      <c r="A2461" s="14">
        <v>46147.570833333331</v>
      </c>
      <c r="B2461" s="81" t="s">
        <v>149</v>
      </c>
      <c r="C2461" s="81" t="s">
        <v>175</v>
      </c>
      <c r="D2461" s="81" t="s">
        <v>261</v>
      </c>
      <c r="E2461" s="81" t="s">
        <v>52</v>
      </c>
      <c r="F2461" s="81" t="s">
        <v>0</v>
      </c>
    </row>
    <row r="2462" spans="1:6" x14ac:dyDescent="0.25">
      <c r="A2462" s="14">
        <v>46147.570833333331</v>
      </c>
      <c r="B2462" s="81" t="s">
        <v>149</v>
      </c>
      <c r="C2462" s="81" t="s">
        <v>171</v>
      </c>
      <c r="D2462" s="81" t="s">
        <v>261</v>
      </c>
      <c r="E2462" s="81" t="s">
        <v>50</v>
      </c>
      <c r="F2462" s="81" t="s">
        <v>1</v>
      </c>
    </row>
    <row r="2463" spans="1:6" x14ac:dyDescent="0.25">
      <c r="A2463" s="14">
        <v>46147.570833333331</v>
      </c>
      <c r="B2463" s="81" t="s">
        <v>149</v>
      </c>
      <c r="C2463" s="81" t="s">
        <v>185</v>
      </c>
      <c r="D2463" s="81" t="s">
        <v>261</v>
      </c>
      <c r="E2463" s="81" t="s">
        <v>52</v>
      </c>
      <c r="F2463" s="81" t="s">
        <v>0</v>
      </c>
    </row>
    <row r="2464" spans="1:6" x14ac:dyDescent="0.25">
      <c r="A2464" s="14">
        <v>46147.570833333331</v>
      </c>
      <c r="B2464" s="81" t="s">
        <v>149</v>
      </c>
      <c r="C2464" s="81" t="s">
        <v>192</v>
      </c>
      <c r="D2464" s="81" t="s">
        <v>166</v>
      </c>
      <c r="E2464" s="81" t="s">
        <v>60</v>
      </c>
      <c r="F2464" s="81" t="s">
        <v>28</v>
      </c>
    </row>
    <row r="2465" spans="1:6" x14ac:dyDescent="0.25">
      <c r="A2465" s="14">
        <v>46147.570833333331</v>
      </c>
      <c r="B2465" s="81" t="s">
        <v>149</v>
      </c>
      <c r="C2465" s="81" t="s">
        <v>184</v>
      </c>
      <c r="D2465" s="81" t="s">
        <v>179</v>
      </c>
      <c r="E2465" s="81" t="s">
        <v>52</v>
      </c>
      <c r="F2465" s="81" t="s">
        <v>0</v>
      </c>
    </row>
    <row r="2466" spans="1:6" x14ac:dyDescent="0.25">
      <c r="A2466" s="14">
        <v>46147.570833333331</v>
      </c>
      <c r="B2466" s="81" t="s">
        <v>149</v>
      </c>
      <c r="C2466" s="81" t="s">
        <v>171</v>
      </c>
      <c r="D2466" s="81" t="s">
        <v>166</v>
      </c>
      <c r="E2466" s="81" t="s">
        <v>50</v>
      </c>
      <c r="F2466" s="81" t="s">
        <v>1</v>
      </c>
    </row>
    <row r="2467" spans="1:6" x14ac:dyDescent="0.25">
      <c r="A2467" s="14">
        <v>46147.570833333331</v>
      </c>
      <c r="B2467" s="81" t="s">
        <v>149</v>
      </c>
      <c r="C2467" s="81" t="s">
        <v>190</v>
      </c>
      <c r="D2467" s="81" t="s">
        <v>261</v>
      </c>
      <c r="E2467" s="81" t="s">
        <v>50</v>
      </c>
      <c r="F2467" s="81" t="s">
        <v>1</v>
      </c>
    </row>
    <row r="2468" spans="1:6" x14ac:dyDescent="0.25">
      <c r="A2468" s="14">
        <v>46147.570833333331</v>
      </c>
      <c r="B2468" s="81" t="s">
        <v>149</v>
      </c>
      <c r="C2468" s="81" t="s">
        <v>185</v>
      </c>
      <c r="D2468" s="81" t="s">
        <v>261</v>
      </c>
      <c r="E2468" s="81" t="s">
        <v>52</v>
      </c>
      <c r="F2468" s="81" t="s">
        <v>0</v>
      </c>
    </row>
    <row r="2469" spans="1:6" x14ac:dyDescent="0.25">
      <c r="A2469" s="14">
        <v>46147.570833333331</v>
      </c>
      <c r="B2469" s="81" t="s">
        <v>149</v>
      </c>
      <c r="C2469" s="81" t="s">
        <v>171</v>
      </c>
      <c r="D2469" s="81" t="s">
        <v>261</v>
      </c>
      <c r="E2469" s="81" t="s">
        <v>52</v>
      </c>
      <c r="F2469" s="81" t="s">
        <v>0</v>
      </c>
    </row>
    <row r="2470" spans="1:6" x14ac:dyDescent="0.25">
      <c r="A2470" s="14">
        <v>46147.570833333331</v>
      </c>
      <c r="B2470" s="81" t="s">
        <v>149</v>
      </c>
      <c r="C2470" s="81" t="s">
        <v>151</v>
      </c>
      <c r="D2470" s="81" t="s">
        <v>261</v>
      </c>
      <c r="E2470" s="81" t="s">
        <v>52</v>
      </c>
      <c r="F2470" s="81" t="s">
        <v>0</v>
      </c>
    </row>
    <row r="2471" spans="1:6" x14ac:dyDescent="0.25">
      <c r="A2471" s="14">
        <v>46147.570833333331</v>
      </c>
      <c r="B2471" s="81" t="s">
        <v>149</v>
      </c>
      <c r="C2471" s="81" t="s">
        <v>151</v>
      </c>
      <c r="D2471" s="81" t="s">
        <v>166</v>
      </c>
      <c r="E2471" s="81" t="s">
        <v>50</v>
      </c>
      <c r="F2471" s="81" t="s">
        <v>1</v>
      </c>
    </row>
    <row r="2472" spans="1:6" x14ac:dyDescent="0.25">
      <c r="A2472" s="14">
        <v>46147.570833333331</v>
      </c>
      <c r="B2472" s="81" t="s">
        <v>149</v>
      </c>
      <c r="C2472" s="81" t="s">
        <v>192</v>
      </c>
      <c r="D2472" s="81" t="s">
        <v>261</v>
      </c>
      <c r="E2472" s="81" t="s">
        <v>60</v>
      </c>
      <c r="F2472" s="81" t="s">
        <v>28</v>
      </c>
    </row>
    <row r="2473" spans="1:6" x14ac:dyDescent="0.25">
      <c r="A2473" s="14">
        <v>46147.570833333331</v>
      </c>
      <c r="B2473" s="81" t="s">
        <v>149</v>
      </c>
      <c r="C2473" s="81" t="s">
        <v>171</v>
      </c>
      <c r="D2473" s="81" t="s">
        <v>166</v>
      </c>
      <c r="E2473" s="81" t="s">
        <v>50</v>
      </c>
      <c r="F2473" s="81" t="s">
        <v>1</v>
      </c>
    </row>
    <row r="2474" spans="1:6" x14ac:dyDescent="0.25">
      <c r="A2474" s="14">
        <v>46147.570833333331</v>
      </c>
      <c r="B2474" s="81" t="s">
        <v>149</v>
      </c>
      <c r="C2474" s="81" t="s">
        <v>151</v>
      </c>
      <c r="D2474" s="81" t="s">
        <v>166</v>
      </c>
      <c r="E2474" s="81" t="s">
        <v>50</v>
      </c>
      <c r="F2474" s="81" t="s">
        <v>1</v>
      </c>
    </row>
    <row r="2475" spans="1:6" x14ac:dyDescent="0.25">
      <c r="A2475" s="14">
        <v>46147.570833333331</v>
      </c>
      <c r="B2475" s="81" t="s">
        <v>149</v>
      </c>
      <c r="C2475" s="81" t="s">
        <v>184</v>
      </c>
      <c r="D2475" s="81" t="s">
        <v>166</v>
      </c>
      <c r="E2475" s="81" t="s">
        <v>50</v>
      </c>
      <c r="F2475" s="81" t="s">
        <v>1</v>
      </c>
    </row>
    <row r="2476" spans="1:6" x14ac:dyDescent="0.25">
      <c r="A2476" s="14">
        <v>46147.570833333331</v>
      </c>
      <c r="B2476" s="81" t="s">
        <v>149</v>
      </c>
      <c r="C2476" s="81" t="s">
        <v>151</v>
      </c>
      <c r="D2476" s="81" t="s">
        <v>842</v>
      </c>
      <c r="E2476" s="81" t="s">
        <v>52</v>
      </c>
      <c r="F2476" s="81" t="s">
        <v>0</v>
      </c>
    </row>
    <row r="2477" spans="1:6" x14ac:dyDescent="0.25">
      <c r="A2477" s="14">
        <v>46147.570833333331</v>
      </c>
      <c r="B2477" s="81" t="s">
        <v>149</v>
      </c>
      <c r="C2477" s="81" t="s">
        <v>190</v>
      </c>
      <c r="D2477" s="81" t="s">
        <v>166</v>
      </c>
      <c r="E2477" s="81" t="s">
        <v>50</v>
      </c>
      <c r="F2477" s="81" t="s">
        <v>1</v>
      </c>
    </row>
    <row r="2478" spans="1:6" x14ac:dyDescent="0.25">
      <c r="A2478" s="14">
        <v>46147.570833333331</v>
      </c>
      <c r="B2478" s="81" t="s">
        <v>149</v>
      </c>
      <c r="C2478" s="81" t="s">
        <v>185</v>
      </c>
      <c r="D2478" s="81" t="s">
        <v>842</v>
      </c>
      <c r="E2478" s="81" t="s">
        <v>52</v>
      </c>
      <c r="F2478" s="81" t="s">
        <v>0</v>
      </c>
    </row>
    <row r="2479" spans="1:6" x14ac:dyDescent="0.25">
      <c r="A2479" s="14">
        <v>46147.570833333331</v>
      </c>
      <c r="B2479" s="81" t="s">
        <v>149</v>
      </c>
      <c r="C2479" s="81" t="s">
        <v>185</v>
      </c>
      <c r="D2479" s="81" t="s">
        <v>166</v>
      </c>
      <c r="E2479" s="81" t="s">
        <v>50</v>
      </c>
      <c r="F2479" s="81" t="s">
        <v>1</v>
      </c>
    </row>
    <row r="2480" spans="1:6" x14ac:dyDescent="0.25">
      <c r="A2480" s="14">
        <v>46147.570833333331</v>
      </c>
      <c r="B2480" s="81" t="s">
        <v>149</v>
      </c>
      <c r="C2480" s="81" t="s">
        <v>175</v>
      </c>
      <c r="D2480" s="81" t="s">
        <v>842</v>
      </c>
      <c r="E2480" s="81" t="s">
        <v>52</v>
      </c>
      <c r="F2480" s="81" t="s">
        <v>0</v>
      </c>
    </row>
    <row r="2481" spans="1:6" x14ac:dyDescent="0.25">
      <c r="A2481" s="14">
        <v>46147.570833333331</v>
      </c>
      <c r="B2481" s="81" t="s">
        <v>149</v>
      </c>
      <c r="C2481" s="81" t="s">
        <v>173</v>
      </c>
      <c r="D2481" s="81" t="s">
        <v>842</v>
      </c>
      <c r="E2481" s="81" t="s">
        <v>52</v>
      </c>
      <c r="F2481" s="81" t="s">
        <v>0</v>
      </c>
    </row>
    <row r="2482" spans="1:6" x14ac:dyDescent="0.25">
      <c r="A2482" s="14">
        <v>46147.570833333331</v>
      </c>
      <c r="B2482" s="81" t="s">
        <v>149</v>
      </c>
      <c r="C2482" s="81" t="s">
        <v>175</v>
      </c>
      <c r="D2482" s="81" t="s">
        <v>842</v>
      </c>
      <c r="E2482" s="81" t="s">
        <v>52</v>
      </c>
      <c r="F2482" s="81" t="s">
        <v>0</v>
      </c>
    </row>
    <row r="2483" spans="1:6" x14ac:dyDescent="0.25">
      <c r="A2483" s="14">
        <v>46147.570833333331</v>
      </c>
      <c r="B2483" s="81" t="s">
        <v>149</v>
      </c>
      <c r="C2483" s="81" t="s">
        <v>173</v>
      </c>
      <c r="D2483" s="81" t="s">
        <v>166</v>
      </c>
      <c r="E2483" s="81" t="s">
        <v>50</v>
      </c>
      <c r="F2483" s="81" t="s">
        <v>1</v>
      </c>
    </row>
    <row r="2484" spans="1:6" x14ac:dyDescent="0.25">
      <c r="A2484" s="14">
        <v>46147.570833333331</v>
      </c>
      <c r="B2484" s="81" t="s">
        <v>149</v>
      </c>
      <c r="C2484" s="81" t="s">
        <v>177</v>
      </c>
      <c r="D2484" s="81" t="s">
        <v>166</v>
      </c>
      <c r="E2484" s="81" t="s">
        <v>50</v>
      </c>
      <c r="F2484" s="81" t="s">
        <v>1</v>
      </c>
    </row>
    <row r="2485" spans="1:6" x14ac:dyDescent="0.25">
      <c r="A2485" s="14">
        <v>46147.570833333331</v>
      </c>
      <c r="B2485" s="81" t="s">
        <v>149</v>
      </c>
      <c r="C2485" s="81" t="s">
        <v>181</v>
      </c>
      <c r="D2485" s="81" t="s">
        <v>166</v>
      </c>
      <c r="E2485" s="81" t="s">
        <v>50</v>
      </c>
      <c r="F2485" s="81" t="s">
        <v>1</v>
      </c>
    </row>
    <row r="2486" spans="1:6" x14ac:dyDescent="0.25">
      <c r="A2486" s="14">
        <v>46147.570833333331</v>
      </c>
      <c r="B2486" s="81" t="s">
        <v>149</v>
      </c>
      <c r="C2486" s="81" t="s">
        <v>176</v>
      </c>
      <c r="D2486" s="81" t="s">
        <v>166</v>
      </c>
      <c r="E2486" s="81" t="s">
        <v>70</v>
      </c>
      <c r="F2486" s="81" t="s">
        <v>15</v>
      </c>
    </row>
    <row r="2487" spans="1:6" x14ac:dyDescent="0.25">
      <c r="A2487" s="14">
        <v>46147.570833333331</v>
      </c>
      <c r="B2487" s="81" t="s">
        <v>149</v>
      </c>
      <c r="C2487" s="81" t="s">
        <v>151</v>
      </c>
      <c r="D2487" s="81" t="s">
        <v>166</v>
      </c>
      <c r="E2487" s="81" t="s">
        <v>50</v>
      </c>
      <c r="F2487" s="81" t="s">
        <v>1</v>
      </c>
    </row>
    <row r="2488" spans="1:6" x14ac:dyDescent="0.25">
      <c r="A2488" s="14">
        <v>46147.570833333331</v>
      </c>
      <c r="B2488" s="81" t="s">
        <v>149</v>
      </c>
      <c r="C2488" s="81" t="s">
        <v>187</v>
      </c>
      <c r="D2488" s="81" t="s">
        <v>166</v>
      </c>
      <c r="E2488" s="81" t="s">
        <v>75</v>
      </c>
      <c r="F2488" s="81" t="s">
        <v>93</v>
      </c>
    </row>
    <row r="2489" spans="1:6" x14ac:dyDescent="0.25">
      <c r="A2489" s="14">
        <v>46147.570833333331</v>
      </c>
      <c r="B2489" s="81" t="s">
        <v>149</v>
      </c>
      <c r="C2489" s="81" t="s">
        <v>151</v>
      </c>
      <c r="D2489" s="81" t="s">
        <v>166</v>
      </c>
      <c r="E2489" s="81" t="s">
        <v>50</v>
      </c>
      <c r="F2489" s="81" t="s">
        <v>1</v>
      </c>
    </row>
    <row r="2490" spans="1:6" x14ac:dyDescent="0.25">
      <c r="A2490" s="14">
        <v>46147.570833333331</v>
      </c>
      <c r="B2490" s="81" t="s">
        <v>149</v>
      </c>
      <c r="C2490" s="81" t="s">
        <v>183</v>
      </c>
      <c r="D2490" s="81" t="s">
        <v>261</v>
      </c>
      <c r="E2490" s="81" t="s">
        <v>52</v>
      </c>
      <c r="F2490" s="81" t="s">
        <v>0</v>
      </c>
    </row>
    <row r="2491" spans="1:6" x14ac:dyDescent="0.25">
      <c r="A2491" s="14">
        <v>46147.570833333331</v>
      </c>
      <c r="B2491" s="81" t="s">
        <v>149</v>
      </c>
      <c r="C2491" s="81" t="s">
        <v>190</v>
      </c>
      <c r="D2491" s="81" t="s">
        <v>257</v>
      </c>
      <c r="E2491" s="81" t="s">
        <v>52</v>
      </c>
      <c r="F2491" s="81" t="s">
        <v>0</v>
      </c>
    </row>
    <row r="2492" spans="1:6" x14ac:dyDescent="0.25">
      <c r="A2492" s="14">
        <v>46147.570833333331</v>
      </c>
      <c r="B2492" s="81" t="s">
        <v>149</v>
      </c>
      <c r="C2492" s="81" t="s">
        <v>158</v>
      </c>
      <c r="D2492" s="81" t="s">
        <v>204</v>
      </c>
      <c r="E2492" s="81" t="s">
        <v>50</v>
      </c>
      <c r="F2492" s="81" t="s">
        <v>1</v>
      </c>
    </row>
    <row r="2493" spans="1:6" x14ac:dyDescent="0.25">
      <c r="A2493" s="14">
        <v>46147.570833333331</v>
      </c>
      <c r="B2493" s="81" t="s">
        <v>149</v>
      </c>
      <c r="C2493" s="81" t="s">
        <v>177</v>
      </c>
      <c r="D2493" s="81" t="s">
        <v>204</v>
      </c>
      <c r="E2493" s="81" t="s">
        <v>50</v>
      </c>
      <c r="F2493" s="81" t="s">
        <v>1</v>
      </c>
    </row>
    <row r="2494" spans="1:6" x14ac:dyDescent="0.25">
      <c r="A2494" s="14">
        <v>46147.570833333331</v>
      </c>
      <c r="B2494" s="81" t="s">
        <v>149</v>
      </c>
      <c r="C2494" s="81" t="s">
        <v>182</v>
      </c>
      <c r="D2494" s="81" t="s">
        <v>204</v>
      </c>
      <c r="E2494" s="81" t="s">
        <v>49</v>
      </c>
      <c r="F2494" s="81" t="s">
        <v>2</v>
      </c>
    </row>
    <row r="2495" spans="1:6" x14ac:dyDescent="0.25">
      <c r="A2495" s="14">
        <v>46147.570833333331</v>
      </c>
      <c r="B2495" s="81" t="s">
        <v>149</v>
      </c>
      <c r="C2495" s="81" t="s">
        <v>181</v>
      </c>
      <c r="D2495" s="81" t="s">
        <v>261</v>
      </c>
      <c r="E2495" s="81" t="s">
        <v>52</v>
      </c>
      <c r="F2495" s="81" t="s">
        <v>0</v>
      </c>
    </row>
    <row r="2496" spans="1:6" x14ac:dyDescent="0.25">
      <c r="A2496" s="14">
        <v>46147.570833333331</v>
      </c>
      <c r="B2496" s="81" t="s">
        <v>149</v>
      </c>
      <c r="C2496" s="81" t="s">
        <v>176</v>
      </c>
      <c r="D2496" s="81" t="s">
        <v>283</v>
      </c>
      <c r="E2496" s="81" t="s">
        <v>70</v>
      </c>
      <c r="F2496" s="81" t="s">
        <v>15</v>
      </c>
    </row>
    <row r="2497" spans="1:6" x14ac:dyDescent="0.25">
      <c r="A2497" s="14">
        <v>46147.570833333331</v>
      </c>
      <c r="B2497" s="81" t="s">
        <v>149</v>
      </c>
      <c r="C2497" s="81" t="s">
        <v>176</v>
      </c>
      <c r="D2497" s="81" t="s">
        <v>166</v>
      </c>
      <c r="E2497" s="81" t="s">
        <v>70</v>
      </c>
      <c r="F2497" s="81" t="s">
        <v>15</v>
      </c>
    </row>
    <row r="2498" spans="1:6" x14ac:dyDescent="0.25">
      <c r="A2498" s="14">
        <v>46147.570833333331</v>
      </c>
      <c r="B2498" s="81" t="s">
        <v>149</v>
      </c>
      <c r="C2498" s="81" t="s">
        <v>173</v>
      </c>
      <c r="D2498" s="81" t="s">
        <v>231</v>
      </c>
      <c r="E2498" s="81" t="s">
        <v>50</v>
      </c>
      <c r="F2498" s="81" t="s">
        <v>1</v>
      </c>
    </row>
    <row r="2499" spans="1:6" x14ac:dyDescent="0.25">
      <c r="A2499" s="14">
        <v>46147.570833333331</v>
      </c>
      <c r="B2499" s="81" t="s">
        <v>149</v>
      </c>
      <c r="C2499" s="81" t="s">
        <v>158</v>
      </c>
      <c r="D2499" s="81" t="s">
        <v>231</v>
      </c>
      <c r="E2499" s="81" t="s">
        <v>50</v>
      </c>
      <c r="F2499" s="81" t="s">
        <v>1</v>
      </c>
    </row>
    <row r="2500" spans="1:6" x14ac:dyDescent="0.25">
      <c r="A2500" s="14">
        <v>46147.570833333331</v>
      </c>
      <c r="B2500" s="81" t="s">
        <v>149</v>
      </c>
      <c r="C2500" s="81" t="s">
        <v>158</v>
      </c>
      <c r="D2500" s="81" t="s">
        <v>231</v>
      </c>
      <c r="E2500" s="81" t="s">
        <v>50</v>
      </c>
      <c r="F2500" s="81" t="s">
        <v>1</v>
      </c>
    </row>
    <row r="2501" spans="1:6" x14ac:dyDescent="0.25">
      <c r="A2501" s="14">
        <v>46147.570833333331</v>
      </c>
      <c r="B2501" s="81" t="s">
        <v>149</v>
      </c>
      <c r="C2501" s="81" t="s">
        <v>171</v>
      </c>
      <c r="D2501" s="81" t="s">
        <v>231</v>
      </c>
      <c r="E2501" s="81" t="s">
        <v>50</v>
      </c>
      <c r="F2501" s="81" t="s">
        <v>1</v>
      </c>
    </row>
    <row r="2502" spans="1:6" x14ac:dyDescent="0.25">
      <c r="A2502" s="14">
        <v>46147.570833333331</v>
      </c>
      <c r="B2502" s="81" t="s">
        <v>149</v>
      </c>
      <c r="C2502" s="81" t="s">
        <v>185</v>
      </c>
      <c r="D2502" s="81" t="s">
        <v>179</v>
      </c>
      <c r="E2502" s="81" t="s">
        <v>50</v>
      </c>
      <c r="F2502" s="81" t="s">
        <v>1</v>
      </c>
    </row>
    <row r="2503" spans="1:6" x14ac:dyDescent="0.25">
      <c r="A2503" s="14">
        <v>46147.570833333331</v>
      </c>
      <c r="B2503" s="81" t="s">
        <v>149</v>
      </c>
      <c r="C2503" s="81" t="s">
        <v>183</v>
      </c>
      <c r="D2503" s="81" t="s">
        <v>180</v>
      </c>
      <c r="E2503" s="81" t="s">
        <v>50</v>
      </c>
      <c r="F2503" s="81" t="s">
        <v>1</v>
      </c>
    </row>
    <row r="2504" spans="1:6" x14ac:dyDescent="0.25">
      <c r="A2504" s="14">
        <v>46147.570833333331</v>
      </c>
      <c r="B2504" s="81" t="s">
        <v>149</v>
      </c>
      <c r="C2504" s="81" t="s">
        <v>173</v>
      </c>
      <c r="D2504" s="81" t="s">
        <v>166</v>
      </c>
      <c r="E2504" s="81" t="s">
        <v>50</v>
      </c>
      <c r="F2504" s="81" t="s">
        <v>1</v>
      </c>
    </row>
    <row r="2505" spans="1:6" x14ac:dyDescent="0.25">
      <c r="A2505" s="14">
        <v>46147.570833333331</v>
      </c>
      <c r="B2505" s="81" t="s">
        <v>149</v>
      </c>
      <c r="C2505" s="81" t="s">
        <v>175</v>
      </c>
      <c r="D2505" s="81" t="s">
        <v>163</v>
      </c>
      <c r="E2505" s="81" t="s">
        <v>50</v>
      </c>
      <c r="F2505" s="81" t="s">
        <v>1</v>
      </c>
    </row>
    <row r="2506" spans="1:6" x14ac:dyDescent="0.25">
      <c r="A2506" s="14">
        <v>46147.570833333331</v>
      </c>
      <c r="B2506" s="81" t="s">
        <v>149</v>
      </c>
      <c r="C2506" s="81" t="s">
        <v>173</v>
      </c>
      <c r="D2506" s="81" t="s">
        <v>166</v>
      </c>
      <c r="E2506" s="81" t="s">
        <v>49</v>
      </c>
      <c r="F2506" s="81" t="s">
        <v>2</v>
      </c>
    </row>
    <row r="2507" spans="1:6" x14ac:dyDescent="0.25">
      <c r="A2507" s="14">
        <v>46147.570833333331</v>
      </c>
      <c r="B2507" s="81" t="s">
        <v>149</v>
      </c>
      <c r="C2507" s="81" t="s">
        <v>187</v>
      </c>
      <c r="D2507" s="81" t="s">
        <v>166</v>
      </c>
      <c r="E2507" s="81" t="s">
        <v>75</v>
      </c>
      <c r="F2507" s="81" t="s">
        <v>93</v>
      </c>
    </row>
    <row r="2508" spans="1:6" x14ac:dyDescent="0.25">
      <c r="A2508" s="14">
        <v>46147.570833333331</v>
      </c>
      <c r="B2508" s="81" t="s">
        <v>149</v>
      </c>
      <c r="C2508" s="81" t="s">
        <v>175</v>
      </c>
      <c r="D2508" s="81" t="s">
        <v>261</v>
      </c>
      <c r="E2508" s="81" t="s">
        <v>52</v>
      </c>
      <c r="F2508" s="81" t="s">
        <v>0</v>
      </c>
    </row>
    <row r="2509" spans="1:6" x14ac:dyDescent="0.25">
      <c r="A2509" s="14">
        <v>46147.570833333331</v>
      </c>
      <c r="B2509" s="81" t="s">
        <v>149</v>
      </c>
      <c r="C2509" s="81" t="s">
        <v>173</v>
      </c>
      <c r="D2509" s="81" t="s">
        <v>179</v>
      </c>
      <c r="E2509" s="81" t="s">
        <v>50</v>
      </c>
      <c r="F2509" s="81" t="s">
        <v>1</v>
      </c>
    </row>
    <row r="2510" spans="1:6" x14ac:dyDescent="0.25">
      <c r="A2510" s="14">
        <v>46147.570833333331</v>
      </c>
      <c r="B2510" s="81" t="s">
        <v>149</v>
      </c>
      <c r="C2510" s="81" t="s">
        <v>190</v>
      </c>
      <c r="D2510" s="81" t="s">
        <v>179</v>
      </c>
      <c r="E2510" s="81" t="s">
        <v>50</v>
      </c>
      <c r="F2510" s="81" t="s">
        <v>1</v>
      </c>
    </row>
    <row r="2511" spans="1:6" x14ac:dyDescent="0.25">
      <c r="A2511" s="14">
        <v>46147.570833333331</v>
      </c>
      <c r="B2511" s="81" t="s">
        <v>149</v>
      </c>
      <c r="C2511" s="81" t="s">
        <v>185</v>
      </c>
      <c r="D2511" s="81" t="s">
        <v>179</v>
      </c>
      <c r="E2511" s="81" t="s">
        <v>50</v>
      </c>
      <c r="F2511" s="81" t="s">
        <v>1</v>
      </c>
    </row>
    <row r="2512" spans="1:6" x14ac:dyDescent="0.25">
      <c r="A2512" s="14">
        <v>46147.570833333331</v>
      </c>
      <c r="B2512" s="81" t="s">
        <v>149</v>
      </c>
      <c r="C2512" s="81" t="s">
        <v>151</v>
      </c>
      <c r="D2512" s="81" t="s">
        <v>842</v>
      </c>
      <c r="E2512" s="81" t="s">
        <v>52</v>
      </c>
      <c r="F2512" s="81" t="s">
        <v>0</v>
      </c>
    </row>
    <row r="2513" spans="1:6" x14ac:dyDescent="0.25">
      <c r="A2513" s="14">
        <v>46147.570833333331</v>
      </c>
      <c r="B2513" s="81" t="s">
        <v>149</v>
      </c>
      <c r="C2513" s="81" t="s">
        <v>184</v>
      </c>
      <c r="D2513" s="81" t="s">
        <v>842</v>
      </c>
      <c r="E2513" s="81" t="s">
        <v>52</v>
      </c>
      <c r="F2513" s="81" t="s">
        <v>0</v>
      </c>
    </row>
    <row r="2514" spans="1:6" x14ac:dyDescent="0.25">
      <c r="A2514" s="14">
        <v>46147.570833333331</v>
      </c>
      <c r="B2514" s="81" t="s">
        <v>149</v>
      </c>
      <c r="C2514" s="81" t="s">
        <v>185</v>
      </c>
      <c r="D2514" s="81" t="s">
        <v>842</v>
      </c>
      <c r="E2514" s="81" t="s">
        <v>52</v>
      </c>
      <c r="F2514" s="81" t="s">
        <v>0</v>
      </c>
    </row>
    <row r="2515" spans="1:6" x14ac:dyDescent="0.25">
      <c r="A2515" s="14">
        <v>46147.570833333331</v>
      </c>
      <c r="B2515" s="81" t="s">
        <v>149</v>
      </c>
      <c r="C2515" s="81" t="s">
        <v>184</v>
      </c>
      <c r="D2515" s="81" t="s">
        <v>842</v>
      </c>
      <c r="E2515" s="81" t="s">
        <v>50</v>
      </c>
      <c r="F2515" s="81" t="s">
        <v>1</v>
      </c>
    </row>
    <row r="2516" spans="1:6" x14ac:dyDescent="0.25">
      <c r="A2516" s="14">
        <v>46147.570833333331</v>
      </c>
      <c r="B2516" s="81" t="s">
        <v>149</v>
      </c>
      <c r="C2516" s="81" t="s">
        <v>185</v>
      </c>
      <c r="D2516" s="81" t="s">
        <v>842</v>
      </c>
      <c r="E2516" s="81" t="s">
        <v>52</v>
      </c>
      <c r="F2516" s="81" t="s">
        <v>0</v>
      </c>
    </row>
    <row r="2517" spans="1:6" x14ac:dyDescent="0.25">
      <c r="A2517" s="14">
        <v>46147.570833333331</v>
      </c>
      <c r="B2517" s="81" t="s">
        <v>149</v>
      </c>
      <c r="C2517" s="81" t="s">
        <v>175</v>
      </c>
      <c r="D2517" s="81" t="s">
        <v>258</v>
      </c>
      <c r="E2517" s="81" t="s">
        <v>52</v>
      </c>
      <c r="F2517" s="81" t="s">
        <v>0</v>
      </c>
    </row>
    <row r="2518" spans="1:6" x14ac:dyDescent="0.25">
      <c r="A2518" s="14">
        <v>46147.570833333331</v>
      </c>
      <c r="B2518" s="81" t="s">
        <v>149</v>
      </c>
      <c r="C2518" s="81" t="s">
        <v>182</v>
      </c>
      <c r="D2518" s="81" t="s">
        <v>179</v>
      </c>
      <c r="E2518" s="81" t="s">
        <v>50</v>
      </c>
      <c r="F2518" s="81" t="s">
        <v>1</v>
      </c>
    </row>
    <row r="2519" spans="1:6" x14ac:dyDescent="0.25">
      <c r="A2519" s="14">
        <v>46147.570833333331</v>
      </c>
      <c r="B2519" s="81" t="s">
        <v>149</v>
      </c>
      <c r="C2519" s="81" t="s">
        <v>185</v>
      </c>
      <c r="D2519" s="81" t="s">
        <v>179</v>
      </c>
      <c r="E2519" s="81" t="s">
        <v>50</v>
      </c>
      <c r="F2519" s="81" t="s">
        <v>1</v>
      </c>
    </row>
    <row r="2520" spans="1:6" x14ac:dyDescent="0.25">
      <c r="A2520" s="14">
        <v>46147.570833333331</v>
      </c>
      <c r="B2520" s="81" t="s">
        <v>149</v>
      </c>
      <c r="C2520" s="81" t="s">
        <v>175</v>
      </c>
      <c r="D2520" s="81" t="s">
        <v>193</v>
      </c>
      <c r="E2520" s="81" t="s">
        <v>50</v>
      </c>
      <c r="F2520" s="81" t="s">
        <v>1</v>
      </c>
    </row>
    <row r="2521" spans="1:6" x14ac:dyDescent="0.25">
      <c r="A2521" s="14">
        <v>46147.570833333331</v>
      </c>
      <c r="B2521" s="81" t="s">
        <v>149</v>
      </c>
      <c r="C2521" s="81" t="s">
        <v>184</v>
      </c>
      <c r="D2521" s="81" t="s">
        <v>842</v>
      </c>
      <c r="E2521" s="81" t="s">
        <v>52</v>
      </c>
      <c r="F2521" s="81" t="s">
        <v>0</v>
      </c>
    </row>
    <row r="2522" spans="1:6" x14ac:dyDescent="0.25">
      <c r="A2522" s="14">
        <v>46147.570833333331</v>
      </c>
      <c r="B2522" s="81" t="s">
        <v>149</v>
      </c>
      <c r="C2522" s="81" t="s">
        <v>192</v>
      </c>
      <c r="D2522" s="81" t="s">
        <v>261</v>
      </c>
      <c r="E2522" s="81" t="s">
        <v>60</v>
      </c>
      <c r="F2522" s="81" t="s">
        <v>28</v>
      </c>
    </row>
    <row r="2523" spans="1:6" x14ac:dyDescent="0.25">
      <c r="A2523" s="14">
        <v>46147.570833333331</v>
      </c>
      <c r="B2523" s="81" t="s">
        <v>149</v>
      </c>
      <c r="C2523" s="81" t="s">
        <v>187</v>
      </c>
      <c r="D2523" s="81" t="s">
        <v>167</v>
      </c>
      <c r="E2523" s="81" t="s">
        <v>75</v>
      </c>
      <c r="F2523" s="81" t="s">
        <v>93</v>
      </c>
    </row>
    <row r="2524" spans="1:6" x14ac:dyDescent="0.25">
      <c r="A2524" s="14">
        <v>46147.570833333331</v>
      </c>
      <c r="B2524" s="81" t="s">
        <v>149</v>
      </c>
      <c r="C2524" s="81" t="s">
        <v>182</v>
      </c>
      <c r="D2524" s="81" t="s">
        <v>167</v>
      </c>
      <c r="E2524" s="81" t="s">
        <v>50</v>
      </c>
      <c r="F2524" s="81" t="s">
        <v>1</v>
      </c>
    </row>
    <row r="2525" spans="1:6" x14ac:dyDescent="0.25">
      <c r="A2525" s="14">
        <v>46147.570833333331</v>
      </c>
      <c r="B2525" s="81" t="s">
        <v>149</v>
      </c>
      <c r="C2525" s="81" t="s">
        <v>176</v>
      </c>
      <c r="D2525" s="81" t="s">
        <v>166</v>
      </c>
      <c r="E2525" s="81" t="s">
        <v>70</v>
      </c>
      <c r="F2525" s="81" t="s">
        <v>15</v>
      </c>
    </row>
    <row r="2526" spans="1:6" x14ac:dyDescent="0.25">
      <c r="A2526" s="14">
        <v>46147.570833333331</v>
      </c>
      <c r="B2526" s="81" t="s">
        <v>149</v>
      </c>
      <c r="C2526" s="81" t="s">
        <v>187</v>
      </c>
      <c r="D2526" s="81" t="s">
        <v>167</v>
      </c>
      <c r="E2526" s="81" t="s">
        <v>75</v>
      </c>
      <c r="F2526" s="81" t="s">
        <v>93</v>
      </c>
    </row>
    <row r="2527" spans="1:6" x14ac:dyDescent="0.25">
      <c r="A2527" s="14">
        <v>46147.570833333331</v>
      </c>
      <c r="B2527" s="81" t="s">
        <v>149</v>
      </c>
      <c r="C2527" s="81" t="s">
        <v>176</v>
      </c>
      <c r="D2527" s="81" t="s">
        <v>231</v>
      </c>
      <c r="E2527" s="81" t="s">
        <v>70</v>
      </c>
      <c r="F2527" s="81" t="s">
        <v>15</v>
      </c>
    </row>
    <row r="2528" spans="1:6" x14ac:dyDescent="0.25">
      <c r="A2528" s="14">
        <v>46147.570833333331</v>
      </c>
      <c r="B2528" s="81" t="s">
        <v>149</v>
      </c>
      <c r="C2528" s="81" t="s">
        <v>185</v>
      </c>
      <c r="D2528" s="81" t="s">
        <v>193</v>
      </c>
      <c r="E2528" s="81" t="s">
        <v>50</v>
      </c>
      <c r="F2528" s="81" t="s">
        <v>1</v>
      </c>
    </row>
    <row r="2529" spans="1:6" x14ac:dyDescent="0.25">
      <c r="A2529" s="14">
        <v>46147.570833333331</v>
      </c>
      <c r="B2529" s="81" t="s">
        <v>149</v>
      </c>
      <c r="C2529" s="81" t="s">
        <v>183</v>
      </c>
      <c r="D2529" s="81" t="s">
        <v>193</v>
      </c>
      <c r="E2529" s="81" t="s">
        <v>50</v>
      </c>
      <c r="F2529" s="81" t="s">
        <v>1</v>
      </c>
    </row>
    <row r="2530" spans="1:6" x14ac:dyDescent="0.25">
      <c r="A2530" s="14">
        <v>46147.570833333331</v>
      </c>
      <c r="B2530" s="81" t="s">
        <v>149</v>
      </c>
      <c r="C2530" s="81" t="s">
        <v>176</v>
      </c>
      <c r="D2530" s="81" t="s">
        <v>231</v>
      </c>
      <c r="E2530" s="81" t="s">
        <v>63</v>
      </c>
      <c r="F2530" s="81" t="s">
        <v>16</v>
      </c>
    </row>
    <row r="2531" spans="1:6" x14ac:dyDescent="0.25">
      <c r="A2531" s="14">
        <v>46147.570833333331</v>
      </c>
      <c r="B2531" s="81" t="s">
        <v>149</v>
      </c>
      <c r="C2531" s="81" t="s">
        <v>184</v>
      </c>
      <c r="D2531" s="81" t="s">
        <v>193</v>
      </c>
      <c r="E2531" s="81" t="s">
        <v>50</v>
      </c>
      <c r="F2531" s="81" t="s">
        <v>1</v>
      </c>
    </row>
    <row r="2532" spans="1:6" x14ac:dyDescent="0.25">
      <c r="A2532" s="14">
        <v>46147.570833333331</v>
      </c>
      <c r="B2532" s="81" t="s">
        <v>149</v>
      </c>
      <c r="C2532" s="81" t="s">
        <v>176</v>
      </c>
      <c r="D2532" s="81" t="s">
        <v>231</v>
      </c>
      <c r="E2532" s="81" t="s">
        <v>63</v>
      </c>
      <c r="F2532" s="81" t="s">
        <v>16</v>
      </c>
    </row>
    <row r="2533" spans="1:6" x14ac:dyDescent="0.25">
      <c r="A2533" s="14">
        <v>46147.570833333331</v>
      </c>
      <c r="B2533" s="81" t="s">
        <v>149</v>
      </c>
      <c r="C2533" s="81" t="s">
        <v>214</v>
      </c>
      <c r="D2533" s="81" t="s">
        <v>167</v>
      </c>
      <c r="E2533" s="81" t="s">
        <v>64</v>
      </c>
      <c r="F2533" s="81" t="s">
        <v>98</v>
      </c>
    </row>
    <row r="2534" spans="1:6" x14ac:dyDescent="0.25">
      <c r="A2534" s="14">
        <v>46147.570833333331</v>
      </c>
      <c r="B2534" s="81" t="s">
        <v>149</v>
      </c>
      <c r="C2534" s="81" t="s">
        <v>226</v>
      </c>
      <c r="D2534" s="81" t="s">
        <v>167</v>
      </c>
      <c r="E2534" s="81" t="s">
        <v>64</v>
      </c>
      <c r="F2534" s="81" t="s">
        <v>98</v>
      </c>
    </row>
    <row r="2535" spans="1:6" x14ac:dyDescent="0.25">
      <c r="A2535" s="14">
        <v>46147.570833333331</v>
      </c>
      <c r="B2535" s="81" t="s">
        <v>149</v>
      </c>
      <c r="C2535" s="81" t="s">
        <v>176</v>
      </c>
      <c r="D2535" s="81" t="s">
        <v>231</v>
      </c>
      <c r="E2535" s="81" t="s">
        <v>63</v>
      </c>
      <c r="F2535" s="81" t="s">
        <v>16</v>
      </c>
    </row>
    <row r="2536" spans="1:6" x14ac:dyDescent="0.25">
      <c r="A2536" s="14">
        <v>46147.570833333331</v>
      </c>
      <c r="B2536" s="81" t="s">
        <v>149</v>
      </c>
      <c r="C2536" s="81" t="s">
        <v>173</v>
      </c>
      <c r="D2536" s="81" t="s">
        <v>258</v>
      </c>
      <c r="E2536" s="81" t="s">
        <v>52</v>
      </c>
      <c r="F2536" s="81" t="s">
        <v>0</v>
      </c>
    </row>
    <row r="2537" spans="1:6" x14ac:dyDescent="0.25">
      <c r="A2537" s="14">
        <v>46147.570833333331</v>
      </c>
      <c r="B2537" s="81" t="s">
        <v>149</v>
      </c>
      <c r="C2537" s="81" t="s">
        <v>181</v>
      </c>
      <c r="D2537" s="81" t="s">
        <v>258</v>
      </c>
      <c r="E2537" s="81" t="s">
        <v>52</v>
      </c>
      <c r="F2537" s="81" t="s">
        <v>0</v>
      </c>
    </row>
    <row r="2538" spans="1:6" x14ac:dyDescent="0.25">
      <c r="A2538" s="14">
        <v>46147.570833333331</v>
      </c>
      <c r="B2538" s="81" t="s">
        <v>149</v>
      </c>
      <c r="C2538" s="81" t="s">
        <v>176</v>
      </c>
      <c r="D2538" s="81" t="s">
        <v>231</v>
      </c>
      <c r="E2538" s="81" t="s">
        <v>70</v>
      </c>
      <c r="F2538" s="81" t="s">
        <v>15</v>
      </c>
    </row>
    <row r="2539" spans="1:6" x14ac:dyDescent="0.25">
      <c r="A2539" s="14">
        <v>46147.570833333331</v>
      </c>
      <c r="B2539" s="81" t="s">
        <v>149</v>
      </c>
      <c r="C2539" s="81" t="s">
        <v>181</v>
      </c>
      <c r="D2539" s="81" t="s">
        <v>238</v>
      </c>
      <c r="E2539" s="81" t="s">
        <v>50</v>
      </c>
      <c r="F2539" s="81" t="s">
        <v>1</v>
      </c>
    </row>
    <row r="2540" spans="1:6" x14ac:dyDescent="0.25">
      <c r="A2540" s="14">
        <v>46147.570833333331</v>
      </c>
      <c r="B2540" s="81" t="s">
        <v>149</v>
      </c>
      <c r="C2540" s="81" t="s">
        <v>175</v>
      </c>
      <c r="D2540" s="81" t="s">
        <v>842</v>
      </c>
      <c r="E2540" s="81" t="s">
        <v>50</v>
      </c>
      <c r="F2540" s="81" t="s">
        <v>1</v>
      </c>
    </row>
    <row r="2541" spans="1:6" x14ac:dyDescent="0.25">
      <c r="A2541" s="14">
        <v>46147.570833333331</v>
      </c>
      <c r="B2541" s="81" t="s">
        <v>149</v>
      </c>
      <c r="C2541" s="81" t="s">
        <v>176</v>
      </c>
      <c r="D2541" s="81" t="s">
        <v>231</v>
      </c>
      <c r="E2541" s="81" t="s">
        <v>63</v>
      </c>
      <c r="F2541" s="81" t="s">
        <v>16</v>
      </c>
    </row>
    <row r="2542" spans="1:6" x14ac:dyDescent="0.25">
      <c r="A2542" s="14">
        <v>46147.570833333331</v>
      </c>
      <c r="B2542" s="81" t="s">
        <v>149</v>
      </c>
      <c r="C2542" s="81" t="s">
        <v>173</v>
      </c>
      <c r="D2542" s="81" t="s">
        <v>842</v>
      </c>
      <c r="E2542" s="81" t="s">
        <v>52</v>
      </c>
      <c r="F2542" s="81" t="s">
        <v>0</v>
      </c>
    </row>
    <row r="2543" spans="1:6" x14ac:dyDescent="0.25">
      <c r="A2543" s="14">
        <v>46147.570833333331</v>
      </c>
      <c r="B2543" s="81" t="s">
        <v>149</v>
      </c>
      <c r="C2543" s="81" t="s">
        <v>190</v>
      </c>
      <c r="D2543" s="81" t="s">
        <v>842</v>
      </c>
      <c r="E2543" s="81" t="s">
        <v>52</v>
      </c>
      <c r="F2543" s="81" t="s">
        <v>0</v>
      </c>
    </row>
    <row r="2544" spans="1:6" x14ac:dyDescent="0.25">
      <c r="A2544" s="14">
        <v>46147.570833333331</v>
      </c>
      <c r="B2544" s="81" t="s">
        <v>149</v>
      </c>
      <c r="C2544" s="81" t="s">
        <v>181</v>
      </c>
      <c r="D2544" s="81" t="s">
        <v>842</v>
      </c>
      <c r="E2544" s="81" t="s">
        <v>52</v>
      </c>
      <c r="F2544" s="81" t="s">
        <v>0</v>
      </c>
    </row>
    <row r="2545" spans="1:6" x14ac:dyDescent="0.25">
      <c r="A2545" s="14">
        <v>46147.570833333331</v>
      </c>
      <c r="B2545" s="81" t="s">
        <v>149</v>
      </c>
      <c r="C2545" s="81" t="s">
        <v>187</v>
      </c>
      <c r="D2545" s="81" t="s">
        <v>231</v>
      </c>
      <c r="E2545" s="81" t="s">
        <v>71</v>
      </c>
      <c r="F2545" s="81" t="s">
        <v>94</v>
      </c>
    </row>
    <row r="2546" spans="1:6" x14ac:dyDescent="0.25">
      <c r="A2546" s="14">
        <v>46147.570833333331</v>
      </c>
      <c r="B2546" s="81" t="s">
        <v>149</v>
      </c>
      <c r="C2546" s="81" t="s">
        <v>187</v>
      </c>
      <c r="D2546" s="81" t="s">
        <v>231</v>
      </c>
      <c r="E2546" s="81" t="s">
        <v>75</v>
      </c>
      <c r="F2546" s="81" t="s">
        <v>93</v>
      </c>
    </row>
    <row r="2547" spans="1:6" x14ac:dyDescent="0.25">
      <c r="A2547" s="14">
        <v>46147.570833333331</v>
      </c>
      <c r="B2547" s="81" t="s">
        <v>149</v>
      </c>
      <c r="C2547" s="81" t="s">
        <v>187</v>
      </c>
      <c r="D2547" s="81" t="s">
        <v>231</v>
      </c>
      <c r="E2547" s="81" t="s">
        <v>71</v>
      </c>
      <c r="F2547" s="81" t="s">
        <v>94</v>
      </c>
    </row>
    <row r="2548" spans="1:6" x14ac:dyDescent="0.25">
      <c r="A2548" s="14">
        <v>46147.570833333331</v>
      </c>
      <c r="B2548" s="81" t="s">
        <v>149</v>
      </c>
      <c r="C2548" s="81" t="s">
        <v>171</v>
      </c>
      <c r="D2548" s="81" t="s">
        <v>842</v>
      </c>
      <c r="E2548" s="81" t="s">
        <v>52</v>
      </c>
      <c r="F2548" s="81" t="s">
        <v>0</v>
      </c>
    </row>
    <row r="2549" spans="1:6" x14ac:dyDescent="0.25">
      <c r="A2549" s="14">
        <v>46147.570833333331</v>
      </c>
      <c r="B2549" s="81" t="s">
        <v>149</v>
      </c>
      <c r="C2549" s="81" t="s">
        <v>187</v>
      </c>
      <c r="D2549" s="81" t="s">
        <v>231</v>
      </c>
      <c r="E2549" s="81" t="s">
        <v>71</v>
      </c>
      <c r="F2549" s="81" t="s">
        <v>94</v>
      </c>
    </row>
    <row r="2550" spans="1:6" x14ac:dyDescent="0.25">
      <c r="A2550" s="14">
        <v>46147.570833333331</v>
      </c>
      <c r="B2550" s="81" t="s">
        <v>149</v>
      </c>
      <c r="C2550" s="81" t="s">
        <v>158</v>
      </c>
      <c r="D2550" s="81" t="s">
        <v>842</v>
      </c>
      <c r="E2550" s="81" t="s">
        <v>52</v>
      </c>
      <c r="F2550" s="81" t="s">
        <v>0</v>
      </c>
    </row>
    <row r="2551" spans="1:6" x14ac:dyDescent="0.25">
      <c r="A2551" s="14">
        <v>46147.570833333331</v>
      </c>
      <c r="B2551" s="81" t="s">
        <v>149</v>
      </c>
      <c r="C2551" s="81" t="s">
        <v>175</v>
      </c>
      <c r="D2551" s="81" t="s">
        <v>842</v>
      </c>
      <c r="E2551" s="81" t="s">
        <v>52</v>
      </c>
      <c r="F2551" s="81" t="s">
        <v>0</v>
      </c>
    </row>
    <row r="2552" spans="1:6" x14ac:dyDescent="0.25">
      <c r="A2552" s="14">
        <v>46147.570833333331</v>
      </c>
      <c r="B2552" s="81" t="s">
        <v>149</v>
      </c>
      <c r="C2552" s="81" t="s">
        <v>177</v>
      </c>
      <c r="D2552" s="81" t="s">
        <v>842</v>
      </c>
      <c r="E2552" s="81" t="s">
        <v>52</v>
      </c>
      <c r="F2552" s="81" t="s">
        <v>0</v>
      </c>
    </row>
    <row r="2553" spans="1:6" x14ac:dyDescent="0.25">
      <c r="A2553" s="14">
        <v>46147.570833333331</v>
      </c>
      <c r="B2553" s="81" t="s">
        <v>149</v>
      </c>
      <c r="C2553" s="81" t="s">
        <v>151</v>
      </c>
      <c r="D2553" s="81" t="s">
        <v>157</v>
      </c>
      <c r="E2553" s="81" t="s">
        <v>50</v>
      </c>
      <c r="F2553" s="81" t="s">
        <v>1</v>
      </c>
    </row>
    <row r="2554" spans="1:6" x14ac:dyDescent="0.25">
      <c r="A2554" s="14">
        <v>46147.570833333331</v>
      </c>
      <c r="B2554" s="81" t="s">
        <v>149</v>
      </c>
      <c r="C2554" s="81" t="s">
        <v>171</v>
      </c>
      <c r="D2554" s="81" t="s">
        <v>157</v>
      </c>
      <c r="E2554" s="81" t="s">
        <v>50</v>
      </c>
      <c r="F2554" s="81" t="s">
        <v>1</v>
      </c>
    </row>
    <row r="2555" spans="1:6" x14ac:dyDescent="0.25">
      <c r="A2555" s="14">
        <v>46147.570833333331</v>
      </c>
      <c r="B2555" s="81" t="s">
        <v>149</v>
      </c>
      <c r="C2555" s="81" t="s">
        <v>185</v>
      </c>
      <c r="D2555" s="81" t="s">
        <v>157</v>
      </c>
      <c r="E2555" s="81" t="s">
        <v>50</v>
      </c>
      <c r="F2555" s="81" t="s">
        <v>1</v>
      </c>
    </row>
    <row r="2556" spans="1:6" x14ac:dyDescent="0.25">
      <c r="A2556" s="14">
        <v>46147.570833333331</v>
      </c>
      <c r="B2556" s="81" t="s">
        <v>149</v>
      </c>
      <c r="C2556" s="81" t="s">
        <v>181</v>
      </c>
      <c r="D2556" s="81" t="s">
        <v>236</v>
      </c>
      <c r="E2556" s="81" t="s">
        <v>49</v>
      </c>
      <c r="F2556" s="81" t="s">
        <v>2</v>
      </c>
    </row>
    <row r="2557" spans="1:6" x14ac:dyDescent="0.25">
      <c r="A2557" s="14">
        <v>46147.570833333331</v>
      </c>
      <c r="B2557" s="81" t="s">
        <v>149</v>
      </c>
      <c r="C2557" s="81" t="s">
        <v>175</v>
      </c>
      <c r="D2557" s="81" t="s">
        <v>157</v>
      </c>
      <c r="E2557" s="81" t="s">
        <v>50</v>
      </c>
      <c r="F2557" s="81" t="s">
        <v>1</v>
      </c>
    </row>
    <row r="2558" spans="1:6" x14ac:dyDescent="0.25">
      <c r="A2558" s="14">
        <v>46147.570833333331</v>
      </c>
      <c r="B2558" s="81" t="s">
        <v>149</v>
      </c>
      <c r="C2558" s="81" t="s">
        <v>188</v>
      </c>
      <c r="D2558" s="81" t="s">
        <v>179</v>
      </c>
      <c r="E2558" s="81" t="s">
        <v>45</v>
      </c>
      <c r="F2558" s="81" t="s">
        <v>28</v>
      </c>
    </row>
    <row r="2559" spans="1:6" x14ac:dyDescent="0.25">
      <c r="A2559" s="14">
        <v>46147.570833333331</v>
      </c>
      <c r="B2559" s="81" t="s">
        <v>149</v>
      </c>
      <c r="C2559" s="81" t="s">
        <v>189</v>
      </c>
      <c r="D2559" s="81" t="s">
        <v>179</v>
      </c>
      <c r="E2559" s="81" t="s">
        <v>45</v>
      </c>
      <c r="F2559" s="81" t="s">
        <v>28</v>
      </c>
    </row>
    <row r="2560" spans="1:6" x14ac:dyDescent="0.25">
      <c r="A2560" s="14">
        <v>46147.570833333331</v>
      </c>
      <c r="B2560" s="81" t="s">
        <v>149</v>
      </c>
      <c r="C2560" s="81" t="s">
        <v>239</v>
      </c>
      <c r="D2560" s="81" t="s">
        <v>179</v>
      </c>
      <c r="E2560" s="81" t="s">
        <v>45</v>
      </c>
      <c r="F2560" s="81" t="s">
        <v>28</v>
      </c>
    </row>
    <row r="2561" spans="1:6" x14ac:dyDescent="0.25">
      <c r="A2561" s="14">
        <v>46147.570833333331</v>
      </c>
      <c r="B2561" s="81" t="s">
        <v>149</v>
      </c>
      <c r="C2561" s="81" t="s">
        <v>171</v>
      </c>
      <c r="D2561" s="81" t="s">
        <v>261</v>
      </c>
      <c r="E2561" s="81" t="s">
        <v>52</v>
      </c>
      <c r="F2561" s="81" t="s">
        <v>0</v>
      </c>
    </row>
    <row r="2562" spans="1:6" x14ac:dyDescent="0.25">
      <c r="A2562" s="14">
        <v>46147.570833333331</v>
      </c>
      <c r="B2562" s="81" t="s">
        <v>149</v>
      </c>
      <c r="C2562" s="81" t="s">
        <v>151</v>
      </c>
      <c r="D2562" s="81" t="s">
        <v>179</v>
      </c>
      <c r="E2562" s="81" t="s">
        <v>50</v>
      </c>
      <c r="F2562" s="81" t="s">
        <v>1</v>
      </c>
    </row>
    <row r="2563" spans="1:6" x14ac:dyDescent="0.25">
      <c r="A2563" s="14">
        <v>46147.570833333331</v>
      </c>
      <c r="B2563" s="81" t="s">
        <v>149</v>
      </c>
      <c r="C2563" s="81" t="s">
        <v>171</v>
      </c>
      <c r="D2563" s="81" t="s">
        <v>842</v>
      </c>
      <c r="E2563" s="81" t="s">
        <v>52</v>
      </c>
      <c r="F2563" s="81" t="s">
        <v>0</v>
      </c>
    </row>
    <row r="2564" spans="1:6" x14ac:dyDescent="0.25">
      <c r="A2564" s="14">
        <v>46147.570833333331</v>
      </c>
      <c r="B2564" s="81" t="s">
        <v>149</v>
      </c>
      <c r="C2564" s="81" t="s">
        <v>175</v>
      </c>
      <c r="D2564" s="81" t="s">
        <v>842</v>
      </c>
      <c r="E2564" s="81" t="s">
        <v>52</v>
      </c>
      <c r="F2564" s="81" t="s">
        <v>0</v>
      </c>
    </row>
    <row r="2565" spans="1:6" x14ac:dyDescent="0.25">
      <c r="A2565" s="14">
        <v>46147.570833333331</v>
      </c>
      <c r="B2565" s="81" t="s">
        <v>149</v>
      </c>
      <c r="C2565" s="81" t="s">
        <v>182</v>
      </c>
      <c r="D2565" s="81" t="s">
        <v>842</v>
      </c>
      <c r="E2565" s="81" t="s">
        <v>50</v>
      </c>
      <c r="F2565" s="81" t="s">
        <v>1</v>
      </c>
    </row>
    <row r="2566" spans="1:6" x14ac:dyDescent="0.25">
      <c r="A2566" s="14">
        <v>46147.570833333331</v>
      </c>
      <c r="B2566" s="81" t="s">
        <v>149</v>
      </c>
      <c r="C2566" s="81" t="s">
        <v>175</v>
      </c>
      <c r="D2566" s="81" t="s">
        <v>266</v>
      </c>
      <c r="E2566" s="81" t="s">
        <v>52</v>
      </c>
      <c r="F2566" s="81" t="s">
        <v>0</v>
      </c>
    </row>
    <row r="2567" spans="1:6" x14ac:dyDescent="0.25">
      <c r="A2567" s="14">
        <v>46147.570833333331</v>
      </c>
      <c r="B2567" s="81" t="s">
        <v>149</v>
      </c>
      <c r="C2567" s="81" t="s">
        <v>185</v>
      </c>
      <c r="D2567" s="81" t="s">
        <v>193</v>
      </c>
      <c r="E2567" s="81" t="s">
        <v>50</v>
      </c>
      <c r="F2567" s="81" t="s">
        <v>1</v>
      </c>
    </row>
    <row r="2568" spans="1:6" x14ac:dyDescent="0.25">
      <c r="A2568" s="14">
        <v>46147.570833333331</v>
      </c>
      <c r="B2568" s="81" t="s">
        <v>149</v>
      </c>
      <c r="C2568" s="81" t="s">
        <v>184</v>
      </c>
      <c r="D2568" s="81" t="s">
        <v>193</v>
      </c>
      <c r="E2568" s="81" t="s">
        <v>50</v>
      </c>
      <c r="F2568" s="81" t="s">
        <v>1</v>
      </c>
    </row>
    <row r="2569" spans="1:6" x14ac:dyDescent="0.25">
      <c r="A2569" s="14">
        <v>46147.570833333331</v>
      </c>
      <c r="B2569" s="81" t="s">
        <v>149</v>
      </c>
      <c r="C2569" s="81" t="s">
        <v>175</v>
      </c>
      <c r="D2569" s="81" t="s">
        <v>193</v>
      </c>
      <c r="E2569" s="81" t="s">
        <v>50</v>
      </c>
      <c r="F2569" s="81" t="s">
        <v>1</v>
      </c>
    </row>
    <row r="2570" spans="1:6" x14ac:dyDescent="0.25">
      <c r="A2570" s="14">
        <v>46147.570833333331</v>
      </c>
      <c r="B2570" s="81" t="s">
        <v>149</v>
      </c>
      <c r="C2570" s="81" t="s">
        <v>183</v>
      </c>
      <c r="D2570" s="81" t="s">
        <v>193</v>
      </c>
      <c r="E2570" s="81" t="s">
        <v>50</v>
      </c>
      <c r="F2570" s="81" t="s">
        <v>1</v>
      </c>
    </row>
    <row r="2571" spans="1:6" x14ac:dyDescent="0.25">
      <c r="A2571" s="14">
        <v>46147.570833333331</v>
      </c>
      <c r="B2571" s="81" t="s">
        <v>149</v>
      </c>
      <c r="C2571" s="81" t="s">
        <v>158</v>
      </c>
      <c r="D2571" s="81" t="s">
        <v>555</v>
      </c>
      <c r="E2571" s="81" t="s">
        <v>52</v>
      </c>
      <c r="F2571" s="81" t="s">
        <v>0</v>
      </c>
    </row>
    <row r="2572" spans="1:6" x14ac:dyDescent="0.25">
      <c r="A2572" s="14">
        <v>46147.570833333331</v>
      </c>
      <c r="B2572" s="81" t="s">
        <v>149</v>
      </c>
      <c r="C2572" s="81" t="s">
        <v>190</v>
      </c>
      <c r="D2572" s="81" t="s">
        <v>555</v>
      </c>
      <c r="E2572" s="81" t="s">
        <v>50</v>
      </c>
      <c r="F2572" s="81" t="s">
        <v>1</v>
      </c>
    </row>
    <row r="2573" spans="1:6" x14ac:dyDescent="0.25">
      <c r="A2573" s="14">
        <v>46147.570833333331</v>
      </c>
      <c r="B2573" s="81" t="s">
        <v>149</v>
      </c>
      <c r="C2573" s="81" t="s">
        <v>175</v>
      </c>
      <c r="D2573" s="81" t="s">
        <v>555</v>
      </c>
      <c r="E2573" s="81" t="s">
        <v>52</v>
      </c>
      <c r="F2573" s="81" t="s">
        <v>0</v>
      </c>
    </row>
    <row r="2574" spans="1:6" x14ac:dyDescent="0.25">
      <c r="A2574" s="14">
        <v>46147.570833333331</v>
      </c>
      <c r="B2574" s="81" t="s">
        <v>149</v>
      </c>
      <c r="C2574" s="81" t="s">
        <v>185</v>
      </c>
      <c r="D2574" s="81" t="s">
        <v>259</v>
      </c>
      <c r="E2574" s="81" t="s">
        <v>50</v>
      </c>
      <c r="F2574" s="81" t="s">
        <v>1</v>
      </c>
    </row>
    <row r="2575" spans="1:6" x14ac:dyDescent="0.25">
      <c r="A2575" s="14">
        <v>46147.570833333331</v>
      </c>
      <c r="B2575" s="81" t="s">
        <v>149</v>
      </c>
      <c r="C2575" s="81" t="s">
        <v>184</v>
      </c>
      <c r="D2575" s="81" t="s">
        <v>259</v>
      </c>
      <c r="E2575" s="81" t="s">
        <v>50</v>
      </c>
      <c r="F2575" s="81" t="s">
        <v>1</v>
      </c>
    </row>
    <row r="2576" spans="1:6" x14ac:dyDescent="0.25">
      <c r="A2576" s="14">
        <v>46147.570833333331</v>
      </c>
      <c r="B2576" s="81" t="s">
        <v>149</v>
      </c>
      <c r="C2576" s="81" t="s">
        <v>181</v>
      </c>
      <c r="D2576" s="81" t="s">
        <v>221</v>
      </c>
      <c r="E2576" s="81" t="s">
        <v>52</v>
      </c>
      <c r="F2576" s="81" t="s">
        <v>0</v>
      </c>
    </row>
    <row r="2577" spans="1:6" x14ac:dyDescent="0.25">
      <c r="A2577" s="14">
        <v>46147.570833333331</v>
      </c>
      <c r="B2577" s="81" t="s">
        <v>149</v>
      </c>
      <c r="C2577" s="81" t="s">
        <v>176</v>
      </c>
      <c r="D2577" s="81" t="s">
        <v>156</v>
      </c>
      <c r="E2577" s="81" t="s">
        <v>70</v>
      </c>
      <c r="F2577" s="81" t="s">
        <v>15</v>
      </c>
    </row>
    <row r="2578" spans="1:6" x14ac:dyDescent="0.25">
      <c r="A2578" s="14">
        <v>46147.570833333331</v>
      </c>
      <c r="B2578" s="81" t="s">
        <v>149</v>
      </c>
      <c r="C2578" s="81" t="s">
        <v>175</v>
      </c>
      <c r="D2578" s="81" t="s">
        <v>258</v>
      </c>
      <c r="E2578" s="81" t="s">
        <v>52</v>
      </c>
      <c r="F2578" s="81" t="s">
        <v>0</v>
      </c>
    </row>
    <row r="2579" spans="1:6" x14ac:dyDescent="0.25">
      <c r="A2579" s="14">
        <v>46147.570833333331</v>
      </c>
      <c r="B2579" s="81" t="s">
        <v>195</v>
      </c>
      <c r="C2579" s="81" t="s">
        <v>198</v>
      </c>
      <c r="D2579" s="81" t="s">
        <v>261</v>
      </c>
      <c r="E2579" s="81" t="s">
        <v>24</v>
      </c>
      <c r="F2579" s="81" t="s">
        <v>24</v>
      </c>
    </row>
    <row r="2580" spans="1:6" x14ac:dyDescent="0.25">
      <c r="A2580" s="14">
        <v>46147.570833333331</v>
      </c>
      <c r="B2580" s="81" t="s">
        <v>195</v>
      </c>
      <c r="C2580" s="81" t="s">
        <v>198</v>
      </c>
      <c r="D2580" s="81" t="s">
        <v>261</v>
      </c>
      <c r="E2580" s="81" t="s">
        <v>24</v>
      </c>
      <c r="F2580" s="81" t="s">
        <v>24</v>
      </c>
    </row>
    <row r="2581" spans="1:6" x14ac:dyDescent="0.25">
      <c r="A2581" s="14">
        <v>46147.570833333331</v>
      </c>
      <c r="B2581" s="81" t="s">
        <v>195</v>
      </c>
      <c r="C2581" s="81" t="s">
        <v>198</v>
      </c>
      <c r="D2581" s="81" t="s">
        <v>261</v>
      </c>
      <c r="E2581" s="81" t="s">
        <v>24</v>
      </c>
      <c r="F2581" s="81" t="s">
        <v>24</v>
      </c>
    </row>
    <row r="2582" spans="1:6" x14ac:dyDescent="0.25">
      <c r="A2582" s="14">
        <v>46147.570833333331</v>
      </c>
      <c r="B2582" s="81" t="s">
        <v>195</v>
      </c>
      <c r="C2582" s="81" t="s">
        <v>198</v>
      </c>
      <c r="D2582" s="81" t="s">
        <v>231</v>
      </c>
      <c r="E2582" s="81" t="s">
        <v>24</v>
      </c>
      <c r="F2582" s="81" t="s">
        <v>24</v>
      </c>
    </row>
    <row r="2583" spans="1:6" x14ac:dyDescent="0.25">
      <c r="A2583" s="14">
        <v>46147.570833333331</v>
      </c>
      <c r="B2583" s="81" t="s">
        <v>195</v>
      </c>
      <c r="C2583" s="81" t="s">
        <v>198</v>
      </c>
      <c r="D2583" s="81" t="s">
        <v>231</v>
      </c>
      <c r="E2583" s="81" t="s">
        <v>24</v>
      </c>
      <c r="F2583" s="81" t="s">
        <v>24</v>
      </c>
    </row>
    <row r="2584" spans="1:6" x14ac:dyDescent="0.25">
      <c r="A2584" s="14">
        <v>46147.570833333331</v>
      </c>
      <c r="B2584" s="81" t="s">
        <v>195</v>
      </c>
      <c r="C2584" s="81" t="s">
        <v>198</v>
      </c>
      <c r="D2584" s="81" t="s">
        <v>231</v>
      </c>
      <c r="E2584" s="81" t="s">
        <v>24</v>
      </c>
      <c r="F2584" s="81" t="s">
        <v>24</v>
      </c>
    </row>
    <row r="2585" spans="1:6" x14ac:dyDescent="0.25">
      <c r="A2585" s="14">
        <v>46147.570833333331</v>
      </c>
      <c r="B2585" s="81" t="s">
        <v>195</v>
      </c>
      <c r="C2585" s="81" t="s">
        <v>196</v>
      </c>
      <c r="D2585" s="81" t="s">
        <v>162</v>
      </c>
      <c r="E2585" s="81" t="s">
        <v>24</v>
      </c>
      <c r="F2585" s="81" t="s">
        <v>24</v>
      </c>
    </row>
    <row r="2586" spans="1:6" x14ac:dyDescent="0.25">
      <c r="A2586" s="14">
        <v>46147.570833333331</v>
      </c>
      <c r="B2586" s="81" t="s">
        <v>195</v>
      </c>
      <c r="C2586" s="81" t="s">
        <v>196</v>
      </c>
      <c r="D2586" s="81" t="s">
        <v>162</v>
      </c>
      <c r="E2586" s="81" t="s">
        <v>24</v>
      </c>
      <c r="F2586" s="81" t="s">
        <v>24</v>
      </c>
    </row>
    <row r="2587" spans="1:6" x14ac:dyDescent="0.25">
      <c r="A2587" s="14">
        <v>46147.570833333331</v>
      </c>
      <c r="B2587" s="81" t="s">
        <v>195</v>
      </c>
      <c r="C2587" s="81" t="s">
        <v>196</v>
      </c>
      <c r="D2587" s="81" t="s">
        <v>162</v>
      </c>
      <c r="E2587" s="81" t="s">
        <v>24</v>
      </c>
      <c r="F2587" s="81" t="s">
        <v>24</v>
      </c>
    </row>
    <row r="2588" spans="1:6" x14ac:dyDescent="0.25">
      <c r="A2588" s="14">
        <v>46147.570833333331</v>
      </c>
      <c r="B2588" s="81" t="s">
        <v>195</v>
      </c>
      <c r="C2588" s="81" t="s">
        <v>196</v>
      </c>
      <c r="D2588" s="81" t="s">
        <v>231</v>
      </c>
      <c r="E2588" s="81" t="s">
        <v>24</v>
      </c>
      <c r="F2588" s="81" t="s">
        <v>24</v>
      </c>
    </row>
    <row r="2589" spans="1:6" x14ac:dyDescent="0.25">
      <c r="A2589" s="14">
        <v>46147.570833333331</v>
      </c>
      <c r="B2589" s="81" t="s">
        <v>195</v>
      </c>
      <c r="C2589" s="81" t="s">
        <v>196</v>
      </c>
      <c r="D2589" s="81" t="s">
        <v>231</v>
      </c>
      <c r="E2589" s="81" t="s">
        <v>24</v>
      </c>
      <c r="F2589" s="81" t="s">
        <v>24</v>
      </c>
    </row>
    <row r="2590" spans="1:6" x14ac:dyDescent="0.25">
      <c r="A2590" s="14">
        <v>46147.570833333331</v>
      </c>
      <c r="B2590" s="81" t="s">
        <v>195</v>
      </c>
      <c r="C2590" s="81" t="s">
        <v>196</v>
      </c>
      <c r="D2590" s="81" t="s">
        <v>231</v>
      </c>
      <c r="E2590" s="81" t="s">
        <v>24</v>
      </c>
      <c r="F2590" s="81" t="s">
        <v>24</v>
      </c>
    </row>
    <row r="2591" spans="1:6" x14ac:dyDescent="0.25">
      <c r="A2591" s="14">
        <v>46147.570833333331</v>
      </c>
      <c r="B2591" s="81" t="s">
        <v>195</v>
      </c>
      <c r="C2591" s="81" t="s">
        <v>198</v>
      </c>
      <c r="D2591" s="81" t="s">
        <v>162</v>
      </c>
      <c r="E2591" s="81" t="s">
        <v>24</v>
      </c>
      <c r="F2591" s="81" t="s">
        <v>24</v>
      </c>
    </row>
    <row r="2592" spans="1:6" x14ac:dyDescent="0.25">
      <c r="A2592" s="14">
        <v>46147.570833333331</v>
      </c>
      <c r="B2592" s="81" t="s">
        <v>195</v>
      </c>
      <c r="C2592" s="81" t="s">
        <v>198</v>
      </c>
      <c r="D2592" s="81" t="s">
        <v>162</v>
      </c>
      <c r="E2592" s="81" t="s">
        <v>24</v>
      </c>
      <c r="F2592" s="81" t="s">
        <v>24</v>
      </c>
    </row>
    <row r="2593" spans="1:6" x14ac:dyDescent="0.25">
      <c r="A2593" s="14">
        <v>46147.570833333331</v>
      </c>
      <c r="B2593" s="81" t="s">
        <v>195</v>
      </c>
      <c r="C2593" s="81" t="s">
        <v>198</v>
      </c>
      <c r="D2593" s="81" t="s">
        <v>162</v>
      </c>
      <c r="E2593" s="81" t="s">
        <v>24</v>
      </c>
      <c r="F2593" s="81" t="s">
        <v>24</v>
      </c>
    </row>
    <row r="2594" spans="1:6" x14ac:dyDescent="0.25">
      <c r="A2594" s="14">
        <v>46147.570833333331</v>
      </c>
      <c r="B2594" s="81" t="s">
        <v>195</v>
      </c>
      <c r="C2594" s="81" t="s">
        <v>197</v>
      </c>
      <c r="D2594" s="81" t="s">
        <v>162</v>
      </c>
      <c r="E2594" s="81" t="s">
        <v>24</v>
      </c>
      <c r="F2594" s="81" t="s">
        <v>24</v>
      </c>
    </row>
    <row r="2595" spans="1:6" x14ac:dyDescent="0.25">
      <c r="A2595" s="14">
        <v>46147.570833333331</v>
      </c>
      <c r="B2595" s="81" t="s">
        <v>195</v>
      </c>
      <c r="C2595" s="81" t="s">
        <v>197</v>
      </c>
      <c r="D2595" s="81" t="s">
        <v>162</v>
      </c>
      <c r="E2595" s="81" t="s">
        <v>24</v>
      </c>
      <c r="F2595" s="81" t="s">
        <v>24</v>
      </c>
    </row>
    <row r="2596" spans="1:6" x14ac:dyDescent="0.25">
      <c r="A2596" s="14">
        <v>46147.570833333331</v>
      </c>
      <c r="B2596" s="81" t="s">
        <v>195</v>
      </c>
      <c r="C2596" s="81" t="s">
        <v>197</v>
      </c>
      <c r="D2596" s="81" t="s">
        <v>162</v>
      </c>
      <c r="E2596" s="81" t="s">
        <v>24</v>
      </c>
      <c r="F2596" s="81" t="s">
        <v>24</v>
      </c>
    </row>
    <row r="2597" spans="1:6" x14ac:dyDescent="0.25">
      <c r="A2597" s="14">
        <v>46147.570833333331</v>
      </c>
      <c r="B2597" s="81" t="s">
        <v>195</v>
      </c>
      <c r="C2597" s="81" t="s">
        <v>198</v>
      </c>
      <c r="D2597" s="81" t="s">
        <v>162</v>
      </c>
      <c r="E2597" s="81" t="s">
        <v>24</v>
      </c>
      <c r="F2597" s="81" t="s">
        <v>24</v>
      </c>
    </row>
    <row r="2598" spans="1:6" x14ac:dyDescent="0.25">
      <c r="A2598" s="14">
        <v>46147.570833333331</v>
      </c>
      <c r="B2598" s="81" t="s">
        <v>195</v>
      </c>
      <c r="C2598" s="81" t="s">
        <v>198</v>
      </c>
      <c r="D2598" s="81" t="s">
        <v>162</v>
      </c>
      <c r="E2598" s="81" t="s">
        <v>24</v>
      </c>
      <c r="F2598" s="81" t="s">
        <v>24</v>
      </c>
    </row>
    <row r="2599" spans="1:6" x14ac:dyDescent="0.25">
      <c r="A2599" s="14">
        <v>46147.570833333331</v>
      </c>
      <c r="B2599" s="81" t="s">
        <v>195</v>
      </c>
      <c r="C2599" s="81" t="s">
        <v>198</v>
      </c>
      <c r="D2599" s="81" t="s">
        <v>162</v>
      </c>
      <c r="E2599" s="81" t="s">
        <v>24</v>
      </c>
      <c r="F2599" s="81" t="s">
        <v>24</v>
      </c>
    </row>
    <row r="2600" spans="1:6" x14ac:dyDescent="0.25">
      <c r="A2600" s="14">
        <v>46147.570833333331</v>
      </c>
      <c r="B2600" s="81" t="s">
        <v>195</v>
      </c>
      <c r="C2600" s="81" t="s">
        <v>197</v>
      </c>
      <c r="D2600" s="81" t="s">
        <v>162</v>
      </c>
      <c r="E2600" s="81" t="s">
        <v>24</v>
      </c>
      <c r="F2600" s="81" t="s">
        <v>24</v>
      </c>
    </row>
    <row r="2601" spans="1:6" x14ac:dyDescent="0.25">
      <c r="A2601" s="14">
        <v>46147.570833333331</v>
      </c>
      <c r="B2601" s="81" t="s">
        <v>195</v>
      </c>
      <c r="C2601" s="81" t="s">
        <v>197</v>
      </c>
      <c r="D2601" s="81" t="s">
        <v>162</v>
      </c>
      <c r="E2601" s="81" t="s">
        <v>24</v>
      </c>
      <c r="F2601" s="81" t="s">
        <v>24</v>
      </c>
    </row>
    <row r="2602" spans="1:6" x14ac:dyDescent="0.25">
      <c r="A2602" s="14">
        <v>46147.570833333331</v>
      </c>
      <c r="B2602" s="81" t="s">
        <v>195</v>
      </c>
      <c r="C2602" s="81" t="s">
        <v>197</v>
      </c>
      <c r="D2602" s="81" t="s">
        <v>162</v>
      </c>
      <c r="E2602" s="81" t="s">
        <v>24</v>
      </c>
      <c r="F2602" s="81" t="s">
        <v>24</v>
      </c>
    </row>
    <row r="2603" spans="1:6" x14ac:dyDescent="0.25">
      <c r="A2603" s="14">
        <v>46147.570833333331</v>
      </c>
      <c r="B2603" s="81" t="s">
        <v>195</v>
      </c>
      <c r="C2603" s="81" t="s">
        <v>209</v>
      </c>
      <c r="D2603" s="81" t="s">
        <v>162</v>
      </c>
      <c r="E2603" s="81" t="s">
        <v>24</v>
      </c>
      <c r="F2603" s="81" t="s">
        <v>24</v>
      </c>
    </row>
    <row r="2604" spans="1:6" x14ac:dyDescent="0.25">
      <c r="A2604" s="14">
        <v>46147.570833333331</v>
      </c>
      <c r="B2604" s="81" t="s">
        <v>195</v>
      </c>
      <c r="C2604" s="81" t="s">
        <v>209</v>
      </c>
      <c r="D2604" s="81" t="s">
        <v>162</v>
      </c>
      <c r="E2604" s="81" t="s">
        <v>24</v>
      </c>
      <c r="F2604" s="81" t="s">
        <v>24</v>
      </c>
    </row>
    <row r="2605" spans="1:6" x14ac:dyDescent="0.25">
      <c r="A2605" s="14">
        <v>46147.570833333331</v>
      </c>
      <c r="B2605" s="81" t="s">
        <v>195</v>
      </c>
      <c r="C2605" s="81" t="s">
        <v>209</v>
      </c>
      <c r="D2605" s="81" t="s">
        <v>162</v>
      </c>
      <c r="E2605" s="81" t="s">
        <v>24</v>
      </c>
      <c r="F2605" s="81" t="s">
        <v>24</v>
      </c>
    </row>
    <row r="2606" spans="1:6" x14ac:dyDescent="0.25">
      <c r="A2606" s="14">
        <v>46147.570833333331</v>
      </c>
      <c r="B2606" s="81" t="s">
        <v>195</v>
      </c>
      <c r="C2606" s="81" t="s">
        <v>198</v>
      </c>
      <c r="D2606" s="81" t="s">
        <v>193</v>
      </c>
      <c r="E2606" s="81" t="s">
        <v>24</v>
      </c>
      <c r="F2606" s="81" t="s">
        <v>24</v>
      </c>
    </row>
    <row r="2607" spans="1:6" x14ac:dyDescent="0.25">
      <c r="A2607" s="14">
        <v>46147.570833333331</v>
      </c>
      <c r="B2607" s="81" t="s">
        <v>195</v>
      </c>
      <c r="C2607" s="81" t="s">
        <v>198</v>
      </c>
      <c r="D2607" s="81" t="s">
        <v>193</v>
      </c>
      <c r="E2607" s="81" t="s">
        <v>24</v>
      </c>
      <c r="F2607" s="81" t="s">
        <v>24</v>
      </c>
    </row>
    <row r="2608" spans="1:6" x14ac:dyDescent="0.25">
      <c r="A2608" s="14">
        <v>46147.570833333331</v>
      </c>
      <c r="B2608" s="81" t="s">
        <v>195</v>
      </c>
      <c r="C2608" s="81" t="s">
        <v>198</v>
      </c>
      <c r="D2608" s="81" t="s">
        <v>193</v>
      </c>
      <c r="E2608" s="81" t="s">
        <v>24</v>
      </c>
      <c r="F2608" s="81" t="s">
        <v>24</v>
      </c>
    </row>
    <row r="2609" spans="1:6" x14ac:dyDescent="0.25">
      <c r="A2609" s="14">
        <v>46147.570833333331</v>
      </c>
      <c r="B2609" s="81" t="s">
        <v>195</v>
      </c>
      <c r="C2609" s="81" t="s">
        <v>196</v>
      </c>
      <c r="D2609" s="81" t="s">
        <v>229</v>
      </c>
      <c r="E2609" s="81" t="s">
        <v>24</v>
      </c>
      <c r="F2609" s="81" t="s">
        <v>24</v>
      </c>
    </row>
    <row r="2610" spans="1:6" x14ac:dyDescent="0.25">
      <c r="A2610" s="14">
        <v>46147.570833333331</v>
      </c>
      <c r="B2610" s="81" t="s">
        <v>195</v>
      </c>
      <c r="C2610" s="81" t="s">
        <v>196</v>
      </c>
      <c r="D2610" s="81" t="s">
        <v>229</v>
      </c>
      <c r="E2610" s="81" t="s">
        <v>24</v>
      </c>
      <c r="F2610" s="81" t="s">
        <v>24</v>
      </c>
    </row>
    <row r="2611" spans="1:6" x14ac:dyDescent="0.25">
      <c r="A2611" s="14">
        <v>46147.570833333331</v>
      </c>
      <c r="B2611" s="81" t="s">
        <v>195</v>
      </c>
      <c r="C2611" s="81" t="s">
        <v>196</v>
      </c>
      <c r="D2611" s="81" t="s">
        <v>229</v>
      </c>
      <c r="E2611" s="81" t="s">
        <v>24</v>
      </c>
      <c r="F2611" s="81" t="s">
        <v>24</v>
      </c>
    </row>
    <row r="2612" spans="1:6" x14ac:dyDescent="0.25">
      <c r="A2612" s="14">
        <v>46147.781944444447</v>
      </c>
      <c r="B2612" s="81" t="s">
        <v>149</v>
      </c>
      <c r="C2612" s="81" t="s">
        <v>184</v>
      </c>
      <c r="D2612" s="81" t="s">
        <v>231</v>
      </c>
      <c r="E2612" s="81" t="s">
        <v>52</v>
      </c>
      <c r="F2612" s="81" t="s">
        <v>0</v>
      </c>
    </row>
    <row r="2613" spans="1:6" x14ac:dyDescent="0.25">
      <c r="A2613" s="14">
        <v>46147.781944444447</v>
      </c>
      <c r="B2613" s="81" t="s">
        <v>149</v>
      </c>
      <c r="C2613" s="81" t="s">
        <v>183</v>
      </c>
      <c r="D2613" s="81" t="s">
        <v>842</v>
      </c>
      <c r="E2613" s="81" t="s">
        <v>52</v>
      </c>
      <c r="F2613" s="81" t="s">
        <v>0</v>
      </c>
    </row>
    <row r="2614" spans="1:6" x14ac:dyDescent="0.25">
      <c r="A2614" s="14">
        <v>46147.781944444447</v>
      </c>
      <c r="B2614" s="81" t="s">
        <v>149</v>
      </c>
      <c r="C2614" s="81" t="s">
        <v>171</v>
      </c>
      <c r="D2614" s="81" t="s">
        <v>252</v>
      </c>
      <c r="E2614" s="81" t="s">
        <v>50</v>
      </c>
      <c r="F2614" s="81" t="s">
        <v>1</v>
      </c>
    </row>
    <row r="2615" spans="1:6" x14ac:dyDescent="0.25">
      <c r="A2615" s="14">
        <v>46147.781944444447</v>
      </c>
      <c r="B2615" s="81" t="s">
        <v>149</v>
      </c>
      <c r="C2615" s="81" t="s">
        <v>182</v>
      </c>
      <c r="D2615" s="81" t="s">
        <v>842</v>
      </c>
      <c r="E2615" s="81" t="s">
        <v>50</v>
      </c>
      <c r="F2615" s="81" t="s">
        <v>1</v>
      </c>
    </row>
    <row r="2616" spans="1:6" x14ac:dyDescent="0.25">
      <c r="A2616" s="14">
        <v>46147.781944444447</v>
      </c>
      <c r="B2616" s="81" t="s">
        <v>149</v>
      </c>
      <c r="C2616" s="81" t="s">
        <v>184</v>
      </c>
      <c r="D2616" s="81" t="s">
        <v>231</v>
      </c>
      <c r="E2616" s="81" t="s">
        <v>50</v>
      </c>
      <c r="F2616" s="81" t="s">
        <v>1</v>
      </c>
    </row>
    <row r="2617" spans="1:6" x14ac:dyDescent="0.25">
      <c r="A2617" s="14">
        <v>46147.781944444447</v>
      </c>
      <c r="B2617" s="81" t="s">
        <v>149</v>
      </c>
      <c r="C2617" s="81" t="s">
        <v>184</v>
      </c>
      <c r="D2617" s="81" t="s">
        <v>283</v>
      </c>
      <c r="E2617" s="81" t="s">
        <v>50</v>
      </c>
      <c r="F2617" s="81" t="s">
        <v>1</v>
      </c>
    </row>
    <row r="2618" spans="1:6" x14ac:dyDescent="0.25">
      <c r="A2618" s="14">
        <v>46147.781944444447</v>
      </c>
      <c r="B2618" s="81" t="s">
        <v>149</v>
      </c>
      <c r="C2618" s="81" t="s">
        <v>158</v>
      </c>
      <c r="D2618" s="81" t="s">
        <v>231</v>
      </c>
      <c r="E2618" s="81" t="s">
        <v>50</v>
      </c>
      <c r="F2618" s="81" t="s">
        <v>1</v>
      </c>
    </row>
    <row r="2619" spans="1:6" x14ac:dyDescent="0.25">
      <c r="A2619" s="14">
        <v>46147.781944444447</v>
      </c>
      <c r="B2619" s="81" t="s">
        <v>149</v>
      </c>
      <c r="C2619" s="81" t="s">
        <v>843</v>
      </c>
      <c r="D2619" s="81" t="s">
        <v>162</v>
      </c>
      <c r="E2619" s="81" t="s">
        <v>844</v>
      </c>
      <c r="F2619" s="81" t="s">
        <v>28</v>
      </c>
    </row>
    <row r="2620" spans="1:6" x14ac:dyDescent="0.25">
      <c r="A2620" s="14">
        <v>46147.781944444447</v>
      </c>
      <c r="B2620" s="81" t="s">
        <v>149</v>
      </c>
      <c r="C2620" s="81" t="s">
        <v>220</v>
      </c>
      <c r="D2620" s="81" t="s">
        <v>201</v>
      </c>
      <c r="E2620" s="81" t="s">
        <v>64</v>
      </c>
      <c r="F2620" s="81" t="s">
        <v>98</v>
      </c>
    </row>
    <row r="2621" spans="1:6" x14ac:dyDescent="0.25">
      <c r="A2621" s="14">
        <v>46147.781944444447</v>
      </c>
      <c r="B2621" s="81" t="s">
        <v>149</v>
      </c>
      <c r="C2621" s="81" t="s">
        <v>184</v>
      </c>
      <c r="D2621" s="81" t="s">
        <v>268</v>
      </c>
      <c r="E2621" s="81" t="s">
        <v>50</v>
      </c>
      <c r="F2621" s="81" t="s">
        <v>1</v>
      </c>
    </row>
    <row r="2622" spans="1:6" x14ac:dyDescent="0.25">
      <c r="A2622" s="14">
        <v>46147.781944444447</v>
      </c>
      <c r="B2622" s="81" t="s">
        <v>149</v>
      </c>
      <c r="C2622" s="81" t="s">
        <v>158</v>
      </c>
      <c r="D2622" s="81" t="s">
        <v>258</v>
      </c>
      <c r="E2622" s="81" t="s">
        <v>52</v>
      </c>
      <c r="F2622" s="81" t="s">
        <v>0</v>
      </c>
    </row>
    <row r="2623" spans="1:6" x14ac:dyDescent="0.25">
      <c r="A2623" s="14">
        <v>46147.781944444447</v>
      </c>
      <c r="B2623" s="81" t="s">
        <v>149</v>
      </c>
      <c r="C2623" s="81" t="s">
        <v>173</v>
      </c>
      <c r="D2623" s="81" t="s">
        <v>161</v>
      </c>
      <c r="E2623" s="81" t="s">
        <v>50</v>
      </c>
      <c r="F2623" s="81" t="s">
        <v>1</v>
      </c>
    </row>
    <row r="2624" spans="1:6" x14ac:dyDescent="0.25">
      <c r="A2624" s="14">
        <v>46147.781944444447</v>
      </c>
      <c r="B2624" s="81" t="s">
        <v>149</v>
      </c>
      <c r="C2624" s="81" t="s">
        <v>190</v>
      </c>
      <c r="D2624" s="81" t="s">
        <v>268</v>
      </c>
      <c r="E2624" s="81" t="s">
        <v>50</v>
      </c>
      <c r="F2624" s="81" t="s">
        <v>1</v>
      </c>
    </row>
    <row r="2625" spans="1:6" x14ac:dyDescent="0.25">
      <c r="A2625" s="14">
        <v>46147.781944444447</v>
      </c>
      <c r="B2625" s="81" t="s">
        <v>149</v>
      </c>
      <c r="C2625" s="81" t="s">
        <v>176</v>
      </c>
      <c r="D2625" s="81" t="s">
        <v>269</v>
      </c>
      <c r="E2625" s="81" t="s">
        <v>70</v>
      </c>
      <c r="F2625" s="81" t="s">
        <v>15</v>
      </c>
    </row>
    <row r="2626" spans="1:6" x14ac:dyDescent="0.25">
      <c r="A2626" s="14">
        <v>46147.781944444447</v>
      </c>
      <c r="B2626" s="81" t="s">
        <v>149</v>
      </c>
      <c r="C2626" s="81" t="s">
        <v>177</v>
      </c>
      <c r="D2626" s="81" t="s">
        <v>240</v>
      </c>
      <c r="E2626" s="81" t="s">
        <v>52</v>
      </c>
      <c r="F2626" s="81" t="s">
        <v>0</v>
      </c>
    </row>
    <row r="2627" spans="1:6" x14ac:dyDescent="0.25">
      <c r="A2627" s="14">
        <v>46147.781944444447</v>
      </c>
      <c r="B2627" s="81" t="s">
        <v>149</v>
      </c>
      <c r="C2627" s="81" t="s">
        <v>190</v>
      </c>
      <c r="D2627" s="81" t="s">
        <v>205</v>
      </c>
      <c r="E2627" s="81" t="s">
        <v>50</v>
      </c>
      <c r="F2627" s="81" t="s">
        <v>1</v>
      </c>
    </row>
    <row r="2628" spans="1:6" x14ac:dyDescent="0.25">
      <c r="A2628" s="14">
        <v>46147.781944444447</v>
      </c>
      <c r="B2628" s="81" t="s">
        <v>149</v>
      </c>
      <c r="C2628" s="81" t="s">
        <v>181</v>
      </c>
      <c r="D2628" s="81" t="s">
        <v>259</v>
      </c>
      <c r="E2628" s="81" t="s">
        <v>52</v>
      </c>
      <c r="F2628" s="81" t="s">
        <v>0</v>
      </c>
    </row>
    <row r="2629" spans="1:6" x14ac:dyDescent="0.25">
      <c r="A2629" s="14">
        <v>46147.781944444447</v>
      </c>
      <c r="B2629" s="81" t="s">
        <v>149</v>
      </c>
      <c r="C2629" s="81" t="s">
        <v>192</v>
      </c>
      <c r="D2629" s="81" t="s">
        <v>266</v>
      </c>
      <c r="E2629" s="81" t="s">
        <v>60</v>
      </c>
      <c r="F2629" s="81" t="s">
        <v>28</v>
      </c>
    </row>
    <row r="2630" spans="1:6" x14ac:dyDescent="0.25">
      <c r="A2630" s="14">
        <v>46147.781944444447</v>
      </c>
      <c r="B2630" s="81" t="s">
        <v>149</v>
      </c>
      <c r="C2630" s="81" t="s">
        <v>173</v>
      </c>
      <c r="D2630" s="81" t="s">
        <v>180</v>
      </c>
      <c r="E2630" s="81" t="s">
        <v>49</v>
      </c>
      <c r="F2630" s="81" t="s">
        <v>2</v>
      </c>
    </row>
    <row r="2631" spans="1:6" x14ac:dyDescent="0.25">
      <c r="A2631" s="14">
        <v>46147.781944444447</v>
      </c>
      <c r="B2631" s="81" t="s">
        <v>149</v>
      </c>
      <c r="C2631" s="81" t="s">
        <v>845</v>
      </c>
      <c r="D2631" s="81" t="s">
        <v>162</v>
      </c>
      <c r="E2631" s="81" t="s">
        <v>846</v>
      </c>
      <c r="F2631" s="81" t="s">
        <v>28</v>
      </c>
    </row>
    <row r="2632" spans="1:6" x14ac:dyDescent="0.25">
      <c r="A2632" s="14">
        <v>46147.781944444447</v>
      </c>
      <c r="B2632" s="81" t="s">
        <v>149</v>
      </c>
      <c r="C2632" s="81" t="s">
        <v>845</v>
      </c>
      <c r="D2632" s="81" t="s">
        <v>157</v>
      </c>
      <c r="E2632" s="81" t="s">
        <v>846</v>
      </c>
      <c r="F2632" s="81" t="s">
        <v>28</v>
      </c>
    </row>
    <row r="2633" spans="1:6" x14ac:dyDescent="0.25">
      <c r="A2633" s="14">
        <v>46147.781944444447</v>
      </c>
      <c r="B2633" s="81" t="s">
        <v>149</v>
      </c>
      <c r="C2633" s="81" t="s">
        <v>184</v>
      </c>
      <c r="D2633" s="81" t="s">
        <v>267</v>
      </c>
      <c r="E2633" s="81" t="s">
        <v>52</v>
      </c>
      <c r="F2633" s="81" t="s">
        <v>0</v>
      </c>
    </row>
    <row r="2634" spans="1:6" x14ac:dyDescent="0.25">
      <c r="A2634" s="14">
        <v>46147.781944444447</v>
      </c>
      <c r="B2634" s="81" t="s">
        <v>149</v>
      </c>
      <c r="C2634" s="81" t="s">
        <v>158</v>
      </c>
      <c r="D2634" s="81" t="s">
        <v>267</v>
      </c>
      <c r="E2634" s="81" t="s">
        <v>52</v>
      </c>
      <c r="F2634" s="81" t="s">
        <v>0</v>
      </c>
    </row>
    <row r="2635" spans="1:6" x14ac:dyDescent="0.25">
      <c r="A2635" s="14">
        <v>46147.781944444447</v>
      </c>
      <c r="B2635" s="81" t="s">
        <v>149</v>
      </c>
      <c r="C2635" s="81" t="s">
        <v>843</v>
      </c>
      <c r="D2635" s="81" t="s">
        <v>162</v>
      </c>
      <c r="E2635" s="81" t="s">
        <v>847</v>
      </c>
      <c r="F2635" s="81" t="s">
        <v>28</v>
      </c>
    </row>
    <row r="2636" spans="1:6" x14ac:dyDescent="0.25">
      <c r="A2636" s="14">
        <v>46147.781944444447</v>
      </c>
      <c r="B2636" s="81" t="s">
        <v>149</v>
      </c>
      <c r="C2636" s="81" t="s">
        <v>171</v>
      </c>
      <c r="D2636" s="81" t="s">
        <v>267</v>
      </c>
      <c r="E2636" s="81" t="s">
        <v>52</v>
      </c>
      <c r="F2636" s="81" t="s">
        <v>0</v>
      </c>
    </row>
    <row r="2637" spans="1:6" x14ac:dyDescent="0.25">
      <c r="A2637" s="14">
        <v>46147.781944444447</v>
      </c>
      <c r="B2637" s="81" t="s">
        <v>149</v>
      </c>
      <c r="C2637" s="81" t="s">
        <v>175</v>
      </c>
      <c r="D2637" s="81" t="s">
        <v>168</v>
      </c>
      <c r="E2637" s="81" t="s">
        <v>50</v>
      </c>
      <c r="F2637" s="81" t="s">
        <v>1</v>
      </c>
    </row>
    <row r="2638" spans="1:6" x14ac:dyDescent="0.25">
      <c r="A2638" s="14">
        <v>46147.781944444447</v>
      </c>
      <c r="B2638" s="81" t="s">
        <v>149</v>
      </c>
      <c r="C2638" s="81" t="s">
        <v>171</v>
      </c>
      <c r="D2638" s="81" t="s">
        <v>168</v>
      </c>
      <c r="E2638" s="81" t="s">
        <v>50</v>
      </c>
      <c r="F2638" s="81" t="s">
        <v>1</v>
      </c>
    </row>
    <row r="2639" spans="1:6" x14ac:dyDescent="0.25">
      <c r="A2639" s="14">
        <v>46147.781944444447</v>
      </c>
      <c r="B2639" s="81" t="s">
        <v>149</v>
      </c>
      <c r="C2639" s="81" t="s">
        <v>175</v>
      </c>
      <c r="D2639" s="81" t="s">
        <v>168</v>
      </c>
      <c r="E2639" s="81" t="s">
        <v>52</v>
      </c>
      <c r="F2639" s="81" t="s">
        <v>0</v>
      </c>
    </row>
    <row r="2640" spans="1:6" x14ac:dyDescent="0.25">
      <c r="A2640" s="14">
        <v>46147.781944444447</v>
      </c>
      <c r="B2640" s="81" t="s">
        <v>149</v>
      </c>
      <c r="C2640" s="81" t="s">
        <v>184</v>
      </c>
      <c r="D2640" s="81" t="s">
        <v>259</v>
      </c>
      <c r="E2640" s="81" t="s">
        <v>52</v>
      </c>
      <c r="F2640" s="81" t="s">
        <v>0</v>
      </c>
    </row>
    <row r="2641" spans="1:6" x14ac:dyDescent="0.25">
      <c r="A2641" s="14">
        <v>46147.781944444447</v>
      </c>
      <c r="B2641" s="81" t="s">
        <v>149</v>
      </c>
      <c r="C2641" s="81" t="s">
        <v>843</v>
      </c>
      <c r="D2641" s="81" t="s">
        <v>157</v>
      </c>
      <c r="E2641" s="81" t="s">
        <v>844</v>
      </c>
      <c r="F2641" s="81" t="s">
        <v>28</v>
      </c>
    </row>
    <row r="2642" spans="1:6" x14ac:dyDescent="0.25">
      <c r="A2642" s="14">
        <v>46147.781944444447</v>
      </c>
      <c r="B2642" s="81" t="s">
        <v>149</v>
      </c>
      <c r="C2642" s="81" t="s">
        <v>182</v>
      </c>
      <c r="D2642" s="81" t="s">
        <v>204</v>
      </c>
      <c r="E2642" s="81" t="s">
        <v>49</v>
      </c>
      <c r="F2642" s="81" t="s">
        <v>2</v>
      </c>
    </row>
    <row r="2643" spans="1:6" x14ac:dyDescent="0.25">
      <c r="A2643" s="14">
        <v>46147.781944444447</v>
      </c>
      <c r="B2643" s="81" t="s">
        <v>149</v>
      </c>
      <c r="C2643" s="81" t="s">
        <v>182</v>
      </c>
      <c r="D2643" s="81" t="s">
        <v>167</v>
      </c>
      <c r="E2643" s="81" t="s">
        <v>52</v>
      </c>
      <c r="F2643" s="81" t="s">
        <v>0</v>
      </c>
    </row>
    <row r="2644" spans="1:6" x14ac:dyDescent="0.25">
      <c r="A2644" s="14">
        <v>46147.781944444447</v>
      </c>
      <c r="B2644" s="81" t="s">
        <v>149</v>
      </c>
      <c r="C2644" s="81" t="s">
        <v>184</v>
      </c>
      <c r="D2644" s="81" t="s">
        <v>204</v>
      </c>
      <c r="E2644" s="81" t="s">
        <v>49</v>
      </c>
      <c r="F2644" s="81" t="s">
        <v>2</v>
      </c>
    </row>
    <row r="2645" spans="1:6" x14ac:dyDescent="0.25">
      <c r="A2645" s="14">
        <v>46147.781944444447</v>
      </c>
      <c r="B2645" s="81" t="s">
        <v>149</v>
      </c>
      <c r="C2645" s="81" t="s">
        <v>192</v>
      </c>
      <c r="D2645" s="81" t="s">
        <v>254</v>
      </c>
      <c r="E2645" s="81" t="s">
        <v>60</v>
      </c>
      <c r="F2645" s="81" t="s">
        <v>28</v>
      </c>
    </row>
    <row r="2646" spans="1:6" x14ac:dyDescent="0.25">
      <c r="A2646" s="14">
        <v>46147.781944444447</v>
      </c>
      <c r="B2646" s="81" t="s">
        <v>149</v>
      </c>
      <c r="C2646" s="81" t="s">
        <v>843</v>
      </c>
      <c r="D2646" s="81" t="s">
        <v>162</v>
      </c>
      <c r="E2646" s="81" t="s">
        <v>844</v>
      </c>
      <c r="F2646" s="81" t="s">
        <v>28</v>
      </c>
    </row>
    <row r="2647" spans="1:6" x14ac:dyDescent="0.25">
      <c r="A2647" s="14">
        <v>46147.781944444447</v>
      </c>
      <c r="B2647" s="81" t="s">
        <v>149</v>
      </c>
      <c r="C2647" s="81" t="s">
        <v>175</v>
      </c>
      <c r="D2647" s="81" t="s">
        <v>204</v>
      </c>
      <c r="E2647" s="81" t="s">
        <v>49</v>
      </c>
      <c r="F2647" s="81" t="s">
        <v>2</v>
      </c>
    </row>
    <row r="2648" spans="1:6" x14ac:dyDescent="0.25">
      <c r="A2648" s="14">
        <v>46147.781944444447</v>
      </c>
      <c r="B2648" s="81" t="s">
        <v>149</v>
      </c>
      <c r="C2648" s="81" t="s">
        <v>192</v>
      </c>
      <c r="D2648" s="81" t="s">
        <v>240</v>
      </c>
      <c r="E2648" s="81" t="s">
        <v>60</v>
      </c>
      <c r="F2648" s="81" t="s">
        <v>28</v>
      </c>
    </row>
    <row r="2649" spans="1:6" x14ac:dyDescent="0.25">
      <c r="A2649" s="14">
        <v>46147.781944444447</v>
      </c>
      <c r="B2649" s="81" t="s">
        <v>149</v>
      </c>
      <c r="C2649" s="81" t="s">
        <v>845</v>
      </c>
      <c r="D2649" s="81" t="s">
        <v>157</v>
      </c>
      <c r="E2649" s="81" t="s">
        <v>846</v>
      </c>
      <c r="F2649" s="81" t="s">
        <v>28</v>
      </c>
    </row>
    <row r="2650" spans="1:6" x14ac:dyDescent="0.25">
      <c r="A2650" s="14">
        <v>46147.781944444447</v>
      </c>
      <c r="B2650" s="81" t="s">
        <v>149</v>
      </c>
      <c r="C2650" s="81" t="s">
        <v>845</v>
      </c>
      <c r="D2650" s="81" t="s">
        <v>162</v>
      </c>
      <c r="E2650" s="81" t="s">
        <v>846</v>
      </c>
      <c r="F2650" s="81" t="s">
        <v>28</v>
      </c>
    </row>
    <row r="2651" spans="1:6" x14ac:dyDescent="0.25">
      <c r="A2651" s="14">
        <v>46147.781944444447</v>
      </c>
      <c r="B2651" s="81" t="s">
        <v>149</v>
      </c>
      <c r="C2651" s="81" t="s">
        <v>176</v>
      </c>
      <c r="D2651" s="81" t="s">
        <v>254</v>
      </c>
      <c r="E2651" s="81" t="s">
        <v>70</v>
      </c>
      <c r="F2651" s="81" t="s">
        <v>15</v>
      </c>
    </row>
    <row r="2652" spans="1:6" x14ac:dyDescent="0.25">
      <c r="A2652" s="14">
        <v>46147.781944444447</v>
      </c>
      <c r="B2652" s="81" t="s">
        <v>149</v>
      </c>
      <c r="C2652" s="81" t="s">
        <v>843</v>
      </c>
      <c r="D2652" s="81" t="s">
        <v>162</v>
      </c>
      <c r="E2652" s="81" t="s">
        <v>847</v>
      </c>
      <c r="F2652" s="81" t="s">
        <v>28</v>
      </c>
    </row>
    <row r="2653" spans="1:6" x14ac:dyDescent="0.25">
      <c r="A2653" s="14">
        <v>46147.781944444447</v>
      </c>
      <c r="B2653" s="81" t="s">
        <v>149</v>
      </c>
      <c r="C2653" s="81" t="s">
        <v>176</v>
      </c>
      <c r="D2653" s="81" t="s">
        <v>254</v>
      </c>
      <c r="E2653" s="81" t="s">
        <v>70</v>
      </c>
      <c r="F2653" s="81" t="s">
        <v>15</v>
      </c>
    </row>
    <row r="2654" spans="1:6" x14ac:dyDescent="0.25">
      <c r="A2654" s="14">
        <v>46147.781944444447</v>
      </c>
      <c r="B2654" s="81" t="s">
        <v>149</v>
      </c>
      <c r="C2654" s="81" t="s">
        <v>182</v>
      </c>
      <c r="D2654" s="81" t="s">
        <v>167</v>
      </c>
      <c r="E2654" s="81" t="s">
        <v>50</v>
      </c>
      <c r="F2654" s="81" t="s">
        <v>1</v>
      </c>
    </row>
    <row r="2655" spans="1:6" x14ac:dyDescent="0.25">
      <c r="A2655" s="14">
        <v>46147.781944444447</v>
      </c>
      <c r="B2655" s="81" t="s">
        <v>149</v>
      </c>
      <c r="C2655" s="81" t="s">
        <v>176</v>
      </c>
      <c r="D2655" s="81" t="s">
        <v>254</v>
      </c>
      <c r="E2655" s="81" t="s">
        <v>70</v>
      </c>
      <c r="F2655" s="81" t="s">
        <v>15</v>
      </c>
    </row>
    <row r="2656" spans="1:6" x14ac:dyDescent="0.25">
      <c r="A2656" s="14">
        <v>46147.781944444447</v>
      </c>
      <c r="B2656" s="81" t="s">
        <v>149</v>
      </c>
      <c r="C2656" s="81" t="s">
        <v>158</v>
      </c>
      <c r="D2656" s="81" t="s">
        <v>246</v>
      </c>
      <c r="E2656" s="81" t="s">
        <v>52</v>
      </c>
      <c r="F2656" s="81" t="s">
        <v>0</v>
      </c>
    </row>
    <row r="2657" spans="1:6" x14ac:dyDescent="0.25">
      <c r="A2657" s="14">
        <v>46147.781944444447</v>
      </c>
      <c r="B2657" s="81" t="s">
        <v>149</v>
      </c>
      <c r="C2657" s="81" t="s">
        <v>845</v>
      </c>
      <c r="D2657" s="81" t="s">
        <v>157</v>
      </c>
      <c r="E2657" s="81" t="s">
        <v>846</v>
      </c>
      <c r="F2657" s="81" t="s">
        <v>28</v>
      </c>
    </row>
    <row r="2658" spans="1:6" x14ac:dyDescent="0.25">
      <c r="A2658" s="14">
        <v>46147.781944444447</v>
      </c>
      <c r="B2658" s="81" t="s">
        <v>149</v>
      </c>
      <c r="C2658" s="81" t="s">
        <v>177</v>
      </c>
      <c r="D2658" s="81" t="s">
        <v>157</v>
      </c>
      <c r="E2658" s="81" t="s">
        <v>50</v>
      </c>
      <c r="F2658" s="81" t="s">
        <v>1</v>
      </c>
    </row>
    <row r="2659" spans="1:6" x14ac:dyDescent="0.25">
      <c r="A2659" s="14">
        <v>46147.781944444447</v>
      </c>
      <c r="B2659" s="81" t="s">
        <v>149</v>
      </c>
      <c r="C2659" s="81" t="s">
        <v>184</v>
      </c>
      <c r="D2659" s="81" t="s">
        <v>157</v>
      </c>
      <c r="E2659" s="81" t="s">
        <v>50</v>
      </c>
      <c r="F2659" s="81" t="s">
        <v>1</v>
      </c>
    </row>
    <row r="2660" spans="1:6" x14ac:dyDescent="0.25">
      <c r="A2660" s="14">
        <v>46147.781944444447</v>
      </c>
      <c r="B2660" s="81" t="s">
        <v>149</v>
      </c>
      <c r="C2660" s="81" t="s">
        <v>181</v>
      </c>
      <c r="D2660" s="81" t="s">
        <v>169</v>
      </c>
      <c r="E2660" s="81" t="s">
        <v>50</v>
      </c>
      <c r="F2660" s="81" t="s">
        <v>1</v>
      </c>
    </row>
    <row r="2661" spans="1:6" x14ac:dyDescent="0.25">
      <c r="A2661" s="14">
        <v>46147.781944444447</v>
      </c>
      <c r="B2661" s="81" t="s">
        <v>149</v>
      </c>
      <c r="C2661" s="81" t="s">
        <v>177</v>
      </c>
      <c r="D2661" s="81" t="s">
        <v>169</v>
      </c>
      <c r="E2661" s="81" t="s">
        <v>50</v>
      </c>
      <c r="F2661" s="81" t="s">
        <v>1</v>
      </c>
    </row>
    <row r="2662" spans="1:6" x14ac:dyDescent="0.25">
      <c r="A2662" s="14">
        <v>46147.781944444447</v>
      </c>
      <c r="B2662" s="81" t="s">
        <v>149</v>
      </c>
      <c r="C2662" s="81" t="s">
        <v>223</v>
      </c>
      <c r="D2662" s="81" t="s">
        <v>231</v>
      </c>
      <c r="E2662" s="81" t="s">
        <v>64</v>
      </c>
      <c r="F2662" s="81" t="s">
        <v>98</v>
      </c>
    </row>
    <row r="2663" spans="1:6" x14ac:dyDescent="0.25">
      <c r="A2663" s="14">
        <v>46147.781944444447</v>
      </c>
      <c r="B2663" s="81" t="s">
        <v>149</v>
      </c>
      <c r="C2663" s="81" t="s">
        <v>181</v>
      </c>
      <c r="D2663" s="81" t="s">
        <v>231</v>
      </c>
      <c r="E2663" s="81" t="s">
        <v>49</v>
      </c>
      <c r="F2663" s="81" t="s">
        <v>2</v>
      </c>
    </row>
    <row r="2664" spans="1:6" x14ac:dyDescent="0.25">
      <c r="A2664" s="14">
        <v>46147.781944444447</v>
      </c>
      <c r="B2664" s="81" t="s">
        <v>149</v>
      </c>
      <c r="C2664" s="81" t="s">
        <v>151</v>
      </c>
      <c r="D2664" s="81" t="s">
        <v>156</v>
      </c>
      <c r="E2664" s="81" t="s">
        <v>49</v>
      </c>
      <c r="F2664" s="81" t="s">
        <v>2</v>
      </c>
    </row>
    <row r="2665" spans="1:6" x14ac:dyDescent="0.25">
      <c r="A2665" s="14">
        <v>46147.781944444447</v>
      </c>
      <c r="B2665" s="81" t="s">
        <v>149</v>
      </c>
      <c r="C2665" s="81" t="s">
        <v>187</v>
      </c>
      <c r="D2665" s="81" t="s">
        <v>231</v>
      </c>
      <c r="E2665" s="81" t="s">
        <v>71</v>
      </c>
      <c r="F2665" s="81" t="s">
        <v>94</v>
      </c>
    </row>
    <row r="2666" spans="1:6" x14ac:dyDescent="0.25">
      <c r="A2666" s="14">
        <v>46147.781944444447</v>
      </c>
      <c r="B2666" s="81" t="s">
        <v>149</v>
      </c>
      <c r="C2666" s="81" t="s">
        <v>151</v>
      </c>
      <c r="D2666" s="81" t="s">
        <v>156</v>
      </c>
      <c r="E2666" s="81" t="s">
        <v>49</v>
      </c>
      <c r="F2666" s="81" t="s">
        <v>2</v>
      </c>
    </row>
    <row r="2667" spans="1:6" x14ac:dyDescent="0.25">
      <c r="A2667" s="14">
        <v>46147.781944444447</v>
      </c>
      <c r="B2667" s="81" t="s">
        <v>149</v>
      </c>
      <c r="C2667" s="81" t="s">
        <v>187</v>
      </c>
      <c r="D2667" s="81" t="s">
        <v>231</v>
      </c>
      <c r="E2667" s="81" t="s">
        <v>75</v>
      </c>
      <c r="F2667" s="81" t="s">
        <v>93</v>
      </c>
    </row>
    <row r="2668" spans="1:6" x14ac:dyDescent="0.25">
      <c r="A2668" s="14">
        <v>46147.781944444447</v>
      </c>
      <c r="B2668" s="81" t="s">
        <v>149</v>
      </c>
      <c r="C2668" s="81" t="s">
        <v>187</v>
      </c>
      <c r="D2668" s="81" t="s">
        <v>231</v>
      </c>
      <c r="E2668" s="81" t="s">
        <v>71</v>
      </c>
      <c r="F2668" s="81" t="s">
        <v>94</v>
      </c>
    </row>
    <row r="2669" spans="1:6" x14ac:dyDescent="0.25">
      <c r="A2669" s="14">
        <v>46147.781944444447</v>
      </c>
      <c r="B2669" s="81" t="s">
        <v>149</v>
      </c>
      <c r="C2669" s="81" t="s">
        <v>190</v>
      </c>
      <c r="D2669" s="81" t="s">
        <v>259</v>
      </c>
      <c r="E2669" s="81" t="s">
        <v>50</v>
      </c>
      <c r="F2669" s="81" t="s">
        <v>1</v>
      </c>
    </row>
    <row r="2670" spans="1:6" x14ac:dyDescent="0.25">
      <c r="A2670" s="14">
        <v>46147.781944444447</v>
      </c>
      <c r="B2670" s="81" t="s">
        <v>149</v>
      </c>
      <c r="C2670" s="81" t="s">
        <v>183</v>
      </c>
      <c r="D2670" s="81" t="s">
        <v>168</v>
      </c>
      <c r="E2670" s="81" t="s">
        <v>50</v>
      </c>
      <c r="F2670" s="81" t="s">
        <v>1</v>
      </c>
    </row>
    <row r="2671" spans="1:6" x14ac:dyDescent="0.25">
      <c r="A2671" s="14">
        <v>46147.781944444447</v>
      </c>
      <c r="B2671" s="81" t="s">
        <v>149</v>
      </c>
      <c r="C2671" s="81" t="s">
        <v>158</v>
      </c>
      <c r="D2671" s="81" t="s">
        <v>168</v>
      </c>
      <c r="E2671" s="81" t="s">
        <v>49</v>
      </c>
      <c r="F2671" s="81" t="s">
        <v>2</v>
      </c>
    </row>
    <row r="2672" spans="1:6" x14ac:dyDescent="0.25">
      <c r="A2672" s="14">
        <v>46147.781944444447</v>
      </c>
      <c r="B2672" s="81" t="s">
        <v>149</v>
      </c>
      <c r="C2672" s="81" t="s">
        <v>183</v>
      </c>
      <c r="D2672" s="81" t="s">
        <v>168</v>
      </c>
      <c r="E2672" s="81" t="s">
        <v>49</v>
      </c>
      <c r="F2672" s="81" t="s">
        <v>2</v>
      </c>
    </row>
    <row r="2673" spans="1:6" x14ac:dyDescent="0.25">
      <c r="A2673" s="14">
        <v>46147.781944444447</v>
      </c>
      <c r="B2673" s="81" t="s">
        <v>149</v>
      </c>
      <c r="C2673" s="81" t="s">
        <v>184</v>
      </c>
      <c r="D2673" s="81" t="s">
        <v>168</v>
      </c>
      <c r="E2673" s="81" t="s">
        <v>49</v>
      </c>
      <c r="F2673" s="81" t="s">
        <v>2</v>
      </c>
    </row>
    <row r="2674" spans="1:6" x14ac:dyDescent="0.25">
      <c r="A2674" s="14">
        <v>46147.781944444447</v>
      </c>
      <c r="B2674" s="81" t="s">
        <v>149</v>
      </c>
      <c r="C2674" s="81" t="s">
        <v>185</v>
      </c>
      <c r="D2674" s="81" t="s">
        <v>168</v>
      </c>
      <c r="E2674" s="81" t="s">
        <v>49</v>
      </c>
      <c r="F2674" s="81" t="s">
        <v>2</v>
      </c>
    </row>
    <row r="2675" spans="1:6" x14ac:dyDescent="0.25">
      <c r="A2675" s="14">
        <v>46147.781944444447</v>
      </c>
      <c r="B2675" s="81" t="s">
        <v>149</v>
      </c>
      <c r="C2675" s="81" t="s">
        <v>184</v>
      </c>
      <c r="D2675" s="81" t="s">
        <v>168</v>
      </c>
      <c r="E2675" s="81" t="s">
        <v>50</v>
      </c>
      <c r="F2675" s="81" t="s">
        <v>1</v>
      </c>
    </row>
    <row r="2676" spans="1:6" x14ac:dyDescent="0.25">
      <c r="A2676" s="14">
        <v>46147.781944444447</v>
      </c>
      <c r="B2676" s="81" t="s">
        <v>149</v>
      </c>
      <c r="C2676" s="81" t="s">
        <v>185</v>
      </c>
      <c r="D2676" s="81" t="s">
        <v>168</v>
      </c>
      <c r="E2676" s="81" t="s">
        <v>50</v>
      </c>
      <c r="F2676" s="81" t="s">
        <v>1</v>
      </c>
    </row>
    <row r="2677" spans="1:6" x14ac:dyDescent="0.25">
      <c r="A2677" s="14">
        <v>46147.781944444447</v>
      </c>
      <c r="B2677" s="81" t="s">
        <v>149</v>
      </c>
      <c r="C2677" s="81" t="s">
        <v>177</v>
      </c>
      <c r="D2677" s="81" t="s">
        <v>168</v>
      </c>
      <c r="E2677" s="81" t="s">
        <v>50</v>
      </c>
      <c r="F2677" s="81" t="s">
        <v>1</v>
      </c>
    </row>
    <row r="2678" spans="1:6" x14ac:dyDescent="0.25">
      <c r="A2678" s="14">
        <v>46147.781944444447</v>
      </c>
      <c r="B2678" s="81" t="s">
        <v>149</v>
      </c>
      <c r="C2678" s="81" t="s">
        <v>151</v>
      </c>
      <c r="D2678" s="81" t="s">
        <v>156</v>
      </c>
      <c r="E2678" s="81" t="s">
        <v>49</v>
      </c>
      <c r="F2678" s="81" t="s">
        <v>2</v>
      </c>
    </row>
    <row r="2679" spans="1:6" x14ac:dyDescent="0.25">
      <c r="A2679" s="14">
        <v>46147.781944444447</v>
      </c>
      <c r="B2679" s="81" t="s">
        <v>149</v>
      </c>
      <c r="C2679" s="81" t="s">
        <v>190</v>
      </c>
      <c r="D2679" s="81" t="s">
        <v>168</v>
      </c>
      <c r="E2679" s="81" t="s">
        <v>49</v>
      </c>
      <c r="F2679" s="81" t="s">
        <v>2</v>
      </c>
    </row>
    <row r="2680" spans="1:6" x14ac:dyDescent="0.25">
      <c r="A2680" s="14">
        <v>46147.781944444447</v>
      </c>
      <c r="B2680" s="81" t="s">
        <v>149</v>
      </c>
      <c r="C2680" s="81" t="s">
        <v>175</v>
      </c>
      <c r="D2680" s="81" t="s">
        <v>168</v>
      </c>
      <c r="E2680" s="81" t="s">
        <v>50</v>
      </c>
      <c r="F2680" s="81" t="s">
        <v>1</v>
      </c>
    </row>
    <row r="2681" spans="1:6" x14ac:dyDescent="0.25">
      <c r="A2681" s="14">
        <v>46147.781944444447</v>
      </c>
      <c r="B2681" s="81" t="s">
        <v>149</v>
      </c>
      <c r="C2681" s="81" t="s">
        <v>185</v>
      </c>
      <c r="D2681" s="81" t="s">
        <v>168</v>
      </c>
      <c r="E2681" s="81" t="s">
        <v>50</v>
      </c>
      <c r="F2681" s="81" t="s">
        <v>1</v>
      </c>
    </row>
    <row r="2682" spans="1:6" x14ac:dyDescent="0.25">
      <c r="A2682" s="14">
        <v>46147.781944444447</v>
      </c>
      <c r="B2682" s="81" t="s">
        <v>149</v>
      </c>
      <c r="C2682" s="81" t="s">
        <v>183</v>
      </c>
      <c r="D2682" s="81" t="s">
        <v>168</v>
      </c>
      <c r="E2682" s="81" t="s">
        <v>50</v>
      </c>
      <c r="F2682" s="81" t="s">
        <v>1</v>
      </c>
    </row>
    <row r="2683" spans="1:6" x14ac:dyDescent="0.25">
      <c r="A2683" s="14">
        <v>46147.781944444447</v>
      </c>
      <c r="B2683" s="81" t="s">
        <v>149</v>
      </c>
      <c r="C2683" s="81" t="s">
        <v>151</v>
      </c>
      <c r="D2683" s="81" t="s">
        <v>168</v>
      </c>
      <c r="E2683" s="81" t="s">
        <v>50</v>
      </c>
      <c r="F2683" s="81" t="s">
        <v>1</v>
      </c>
    </row>
    <row r="2684" spans="1:6" x14ac:dyDescent="0.25">
      <c r="A2684" s="14">
        <v>46147.781944444447</v>
      </c>
      <c r="B2684" s="81" t="s">
        <v>149</v>
      </c>
      <c r="C2684" s="81" t="s">
        <v>173</v>
      </c>
      <c r="D2684" s="81" t="s">
        <v>168</v>
      </c>
      <c r="E2684" s="81" t="s">
        <v>50</v>
      </c>
      <c r="F2684" s="81" t="s">
        <v>1</v>
      </c>
    </row>
    <row r="2685" spans="1:6" x14ac:dyDescent="0.25">
      <c r="A2685" s="14">
        <v>46147.781944444447</v>
      </c>
      <c r="B2685" s="81" t="s">
        <v>149</v>
      </c>
      <c r="C2685" s="81" t="s">
        <v>183</v>
      </c>
      <c r="D2685" s="81" t="s">
        <v>202</v>
      </c>
      <c r="E2685" s="81" t="s">
        <v>49</v>
      </c>
      <c r="F2685" s="81" t="s">
        <v>2</v>
      </c>
    </row>
    <row r="2686" spans="1:6" x14ac:dyDescent="0.25">
      <c r="A2686" s="14">
        <v>46147.781944444447</v>
      </c>
      <c r="B2686" s="81" t="s">
        <v>149</v>
      </c>
      <c r="C2686" s="81" t="s">
        <v>175</v>
      </c>
      <c r="D2686" s="81" t="s">
        <v>168</v>
      </c>
      <c r="E2686" s="81" t="s">
        <v>52</v>
      </c>
      <c r="F2686" s="81" t="s">
        <v>0</v>
      </c>
    </row>
    <row r="2687" spans="1:6" x14ac:dyDescent="0.25">
      <c r="A2687" s="14">
        <v>46147.781944444447</v>
      </c>
      <c r="B2687" s="81" t="s">
        <v>149</v>
      </c>
      <c r="C2687" s="81" t="s">
        <v>158</v>
      </c>
      <c r="D2687" s="81" t="s">
        <v>168</v>
      </c>
      <c r="E2687" s="81" t="s">
        <v>52</v>
      </c>
      <c r="F2687" s="81" t="s">
        <v>0</v>
      </c>
    </row>
    <row r="2688" spans="1:6" x14ac:dyDescent="0.25">
      <c r="A2688" s="14">
        <v>46147.781944444447</v>
      </c>
      <c r="B2688" s="81" t="s">
        <v>149</v>
      </c>
      <c r="C2688" s="81" t="s">
        <v>190</v>
      </c>
      <c r="D2688" s="81" t="s">
        <v>263</v>
      </c>
      <c r="E2688" s="81" t="s">
        <v>50</v>
      </c>
      <c r="F2688" s="81" t="s">
        <v>1</v>
      </c>
    </row>
    <row r="2689" spans="1:6" x14ac:dyDescent="0.25">
      <c r="A2689" s="14">
        <v>46147.781944444447</v>
      </c>
      <c r="B2689" s="81" t="s">
        <v>149</v>
      </c>
      <c r="C2689" s="81" t="s">
        <v>184</v>
      </c>
      <c r="D2689" s="81" t="s">
        <v>168</v>
      </c>
      <c r="E2689" s="81" t="s">
        <v>50</v>
      </c>
      <c r="F2689" s="81" t="s">
        <v>1</v>
      </c>
    </row>
    <row r="2690" spans="1:6" x14ac:dyDescent="0.25">
      <c r="A2690" s="14">
        <v>46147.781944444447</v>
      </c>
      <c r="B2690" s="81" t="s">
        <v>149</v>
      </c>
      <c r="C2690" s="81" t="s">
        <v>185</v>
      </c>
      <c r="D2690" s="81" t="s">
        <v>168</v>
      </c>
      <c r="E2690" s="81" t="s">
        <v>52</v>
      </c>
      <c r="F2690" s="81" t="s">
        <v>0</v>
      </c>
    </row>
    <row r="2691" spans="1:6" x14ac:dyDescent="0.25">
      <c r="A2691" s="14">
        <v>46147.781944444447</v>
      </c>
      <c r="B2691" s="81" t="s">
        <v>149</v>
      </c>
      <c r="C2691" s="81" t="s">
        <v>185</v>
      </c>
      <c r="D2691" s="81" t="s">
        <v>168</v>
      </c>
      <c r="E2691" s="81" t="s">
        <v>52</v>
      </c>
      <c r="F2691" s="81" t="s">
        <v>0</v>
      </c>
    </row>
    <row r="2692" spans="1:6" x14ac:dyDescent="0.25">
      <c r="A2692" s="14">
        <v>46147.781944444447</v>
      </c>
      <c r="B2692" s="81" t="s">
        <v>149</v>
      </c>
      <c r="C2692" s="81" t="s">
        <v>182</v>
      </c>
      <c r="D2692" s="81" t="s">
        <v>168</v>
      </c>
      <c r="E2692" s="81" t="s">
        <v>50</v>
      </c>
      <c r="F2692" s="81" t="s">
        <v>1</v>
      </c>
    </row>
    <row r="2693" spans="1:6" x14ac:dyDescent="0.25">
      <c r="A2693" s="14">
        <v>46147.781944444447</v>
      </c>
      <c r="B2693" s="81" t="s">
        <v>149</v>
      </c>
      <c r="C2693" s="81" t="s">
        <v>151</v>
      </c>
      <c r="D2693" s="81" t="s">
        <v>156</v>
      </c>
      <c r="E2693" s="81" t="s">
        <v>49</v>
      </c>
      <c r="F2693" s="81" t="s">
        <v>2</v>
      </c>
    </row>
    <row r="2694" spans="1:6" x14ac:dyDescent="0.25">
      <c r="A2694" s="14">
        <v>46147.781944444447</v>
      </c>
      <c r="B2694" s="81" t="s">
        <v>149</v>
      </c>
      <c r="C2694" s="81" t="s">
        <v>184</v>
      </c>
      <c r="D2694" s="81" t="s">
        <v>168</v>
      </c>
      <c r="E2694" s="81" t="s">
        <v>52</v>
      </c>
      <c r="F2694" s="81" t="s">
        <v>0</v>
      </c>
    </row>
    <row r="2695" spans="1:6" x14ac:dyDescent="0.25">
      <c r="A2695" s="14">
        <v>46147.781944444447</v>
      </c>
      <c r="B2695" s="81" t="s">
        <v>149</v>
      </c>
      <c r="C2695" s="81" t="s">
        <v>181</v>
      </c>
      <c r="D2695" s="81" t="s">
        <v>156</v>
      </c>
      <c r="E2695" s="81" t="s">
        <v>50</v>
      </c>
      <c r="F2695" s="81" t="s">
        <v>1</v>
      </c>
    </row>
    <row r="2696" spans="1:6" x14ac:dyDescent="0.25">
      <c r="A2696" s="14">
        <v>46147.781944444447</v>
      </c>
      <c r="B2696" s="81" t="s">
        <v>149</v>
      </c>
      <c r="C2696" s="81" t="s">
        <v>845</v>
      </c>
      <c r="D2696" s="81" t="s">
        <v>202</v>
      </c>
      <c r="E2696" s="81" t="s">
        <v>846</v>
      </c>
      <c r="F2696" s="81" t="s">
        <v>28</v>
      </c>
    </row>
    <row r="2697" spans="1:6" x14ac:dyDescent="0.25">
      <c r="A2697" s="14">
        <v>46147.781944444447</v>
      </c>
      <c r="B2697" s="81" t="s">
        <v>149</v>
      </c>
      <c r="C2697" s="81" t="s">
        <v>182</v>
      </c>
      <c r="D2697" s="81" t="s">
        <v>168</v>
      </c>
      <c r="E2697" s="81" t="s">
        <v>52</v>
      </c>
      <c r="F2697" s="81" t="s">
        <v>0</v>
      </c>
    </row>
    <row r="2698" spans="1:6" x14ac:dyDescent="0.25">
      <c r="A2698" s="14">
        <v>46147.781944444447</v>
      </c>
      <c r="B2698" s="81" t="s">
        <v>149</v>
      </c>
      <c r="C2698" s="81" t="s">
        <v>181</v>
      </c>
      <c r="D2698" s="81" t="s">
        <v>156</v>
      </c>
      <c r="E2698" s="81" t="s">
        <v>50</v>
      </c>
      <c r="F2698" s="81" t="s">
        <v>1</v>
      </c>
    </row>
    <row r="2699" spans="1:6" x14ac:dyDescent="0.25">
      <c r="A2699" s="14">
        <v>46147.781944444447</v>
      </c>
      <c r="B2699" s="81" t="s">
        <v>149</v>
      </c>
      <c r="C2699" s="81" t="s">
        <v>188</v>
      </c>
      <c r="D2699" s="81" t="s">
        <v>179</v>
      </c>
      <c r="E2699" s="81" t="s">
        <v>45</v>
      </c>
      <c r="F2699" s="81" t="s">
        <v>28</v>
      </c>
    </row>
    <row r="2700" spans="1:6" x14ac:dyDescent="0.25">
      <c r="A2700" s="14">
        <v>46147.781944444447</v>
      </c>
      <c r="B2700" s="81" t="s">
        <v>149</v>
      </c>
      <c r="C2700" s="81" t="s">
        <v>189</v>
      </c>
      <c r="D2700" s="81" t="s">
        <v>179</v>
      </c>
      <c r="E2700" s="81" t="s">
        <v>45</v>
      </c>
      <c r="F2700" s="81" t="s">
        <v>28</v>
      </c>
    </row>
    <row r="2701" spans="1:6" x14ac:dyDescent="0.25">
      <c r="A2701" s="14">
        <v>46147.781944444447</v>
      </c>
      <c r="B2701" s="81" t="s">
        <v>149</v>
      </c>
      <c r="C2701" s="81" t="s">
        <v>239</v>
      </c>
      <c r="D2701" s="81" t="s">
        <v>179</v>
      </c>
      <c r="E2701" s="81" t="s">
        <v>45</v>
      </c>
      <c r="F2701" s="81" t="s">
        <v>28</v>
      </c>
    </row>
    <row r="2702" spans="1:6" x14ac:dyDescent="0.25">
      <c r="A2702" s="14">
        <v>46147.781944444447</v>
      </c>
      <c r="B2702" s="81" t="s">
        <v>149</v>
      </c>
      <c r="C2702" s="81" t="s">
        <v>185</v>
      </c>
      <c r="D2702" s="81" t="s">
        <v>168</v>
      </c>
      <c r="E2702" s="81" t="s">
        <v>52</v>
      </c>
      <c r="F2702" s="81" t="s">
        <v>0</v>
      </c>
    </row>
    <row r="2703" spans="1:6" x14ac:dyDescent="0.25">
      <c r="A2703" s="14">
        <v>46147.781944444447</v>
      </c>
      <c r="B2703" s="81" t="s">
        <v>149</v>
      </c>
      <c r="C2703" s="81" t="s">
        <v>175</v>
      </c>
      <c r="D2703" s="81" t="s">
        <v>168</v>
      </c>
      <c r="E2703" s="81" t="s">
        <v>52</v>
      </c>
      <c r="F2703" s="81" t="s">
        <v>0</v>
      </c>
    </row>
    <row r="2704" spans="1:6" x14ac:dyDescent="0.25">
      <c r="A2704" s="14">
        <v>46147.781944444447</v>
      </c>
      <c r="B2704" s="81" t="s">
        <v>149</v>
      </c>
      <c r="C2704" s="81" t="s">
        <v>183</v>
      </c>
      <c r="D2704" s="81" t="s">
        <v>168</v>
      </c>
      <c r="E2704" s="81" t="s">
        <v>50</v>
      </c>
      <c r="F2704" s="81" t="s">
        <v>1</v>
      </c>
    </row>
    <row r="2705" spans="1:6" x14ac:dyDescent="0.25">
      <c r="A2705" s="14">
        <v>46147.781944444447</v>
      </c>
      <c r="B2705" s="81" t="s">
        <v>149</v>
      </c>
      <c r="C2705" s="81" t="s">
        <v>183</v>
      </c>
      <c r="D2705" s="81" t="s">
        <v>168</v>
      </c>
      <c r="E2705" s="81" t="s">
        <v>52</v>
      </c>
      <c r="F2705" s="81" t="s">
        <v>0</v>
      </c>
    </row>
    <row r="2706" spans="1:6" x14ac:dyDescent="0.25">
      <c r="A2706" s="14">
        <v>46147.781944444447</v>
      </c>
      <c r="B2706" s="81" t="s">
        <v>149</v>
      </c>
      <c r="C2706" s="81" t="s">
        <v>187</v>
      </c>
      <c r="D2706" s="81" t="s">
        <v>156</v>
      </c>
      <c r="E2706" s="81" t="s">
        <v>75</v>
      </c>
      <c r="F2706" s="81" t="s">
        <v>93</v>
      </c>
    </row>
    <row r="2707" spans="1:6" x14ac:dyDescent="0.25">
      <c r="A2707" s="14">
        <v>46147.781944444447</v>
      </c>
      <c r="B2707" s="81" t="s">
        <v>149</v>
      </c>
      <c r="C2707" s="81" t="s">
        <v>190</v>
      </c>
      <c r="D2707" s="81" t="s">
        <v>168</v>
      </c>
      <c r="E2707" s="81" t="s">
        <v>52</v>
      </c>
      <c r="F2707" s="81" t="s">
        <v>0</v>
      </c>
    </row>
    <row r="2708" spans="1:6" x14ac:dyDescent="0.25">
      <c r="A2708" s="14">
        <v>46147.781944444447</v>
      </c>
      <c r="B2708" s="81" t="s">
        <v>149</v>
      </c>
      <c r="C2708" s="81" t="s">
        <v>177</v>
      </c>
      <c r="D2708" s="81" t="s">
        <v>168</v>
      </c>
      <c r="E2708" s="81" t="s">
        <v>52</v>
      </c>
      <c r="F2708" s="81" t="s">
        <v>0</v>
      </c>
    </row>
    <row r="2709" spans="1:6" x14ac:dyDescent="0.25">
      <c r="A2709" s="14">
        <v>46147.781944444447</v>
      </c>
      <c r="B2709" s="81" t="s">
        <v>149</v>
      </c>
      <c r="C2709" s="81" t="s">
        <v>175</v>
      </c>
      <c r="D2709" s="81" t="s">
        <v>179</v>
      </c>
      <c r="E2709" s="81" t="s">
        <v>50</v>
      </c>
      <c r="F2709" s="81" t="s">
        <v>1</v>
      </c>
    </row>
    <row r="2710" spans="1:6" x14ac:dyDescent="0.25">
      <c r="A2710" s="14">
        <v>46147.781944444447</v>
      </c>
      <c r="B2710" s="81" t="s">
        <v>149</v>
      </c>
      <c r="C2710" s="81" t="s">
        <v>187</v>
      </c>
      <c r="D2710" s="81" t="s">
        <v>168</v>
      </c>
      <c r="E2710" s="81" t="s">
        <v>75</v>
      </c>
      <c r="F2710" s="81" t="s">
        <v>93</v>
      </c>
    </row>
    <row r="2711" spans="1:6" x14ac:dyDescent="0.25">
      <c r="A2711" s="14">
        <v>46147.781944444447</v>
      </c>
      <c r="B2711" s="81" t="s">
        <v>149</v>
      </c>
      <c r="C2711" s="81" t="s">
        <v>182</v>
      </c>
      <c r="D2711" s="81" t="s">
        <v>168</v>
      </c>
      <c r="E2711" s="81" t="s">
        <v>52</v>
      </c>
      <c r="F2711" s="81" t="s">
        <v>0</v>
      </c>
    </row>
    <row r="2712" spans="1:6" x14ac:dyDescent="0.25">
      <c r="A2712" s="14">
        <v>46147.781944444447</v>
      </c>
      <c r="B2712" s="81" t="s">
        <v>149</v>
      </c>
      <c r="C2712" s="81" t="s">
        <v>181</v>
      </c>
      <c r="D2712" s="81" t="s">
        <v>168</v>
      </c>
      <c r="E2712" s="81" t="s">
        <v>50</v>
      </c>
      <c r="F2712" s="81" t="s">
        <v>1</v>
      </c>
    </row>
    <row r="2713" spans="1:6" x14ac:dyDescent="0.25">
      <c r="A2713" s="14">
        <v>46147.781944444447</v>
      </c>
      <c r="B2713" s="81" t="s">
        <v>149</v>
      </c>
      <c r="C2713" s="81" t="s">
        <v>183</v>
      </c>
      <c r="D2713" s="81" t="s">
        <v>250</v>
      </c>
      <c r="E2713" s="81" t="s">
        <v>52</v>
      </c>
      <c r="F2713" s="81" t="s">
        <v>0</v>
      </c>
    </row>
    <row r="2714" spans="1:6" x14ac:dyDescent="0.25">
      <c r="A2714" s="14">
        <v>46147.781944444447</v>
      </c>
      <c r="B2714" s="81" t="s">
        <v>149</v>
      </c>
      <c r="C2714" s="81" t="s">
        <v>183</v>
      </c>
      <c r="D2714" s="81" t="s">
        <v>168</v>
      </c>
      <c r="E2714" s="81" t="s">
        <v>50</v>
      </c>
      <c r="F2714" s="81" t="s">
        <v>1</v>
      </c>
    </row>
    <row r="2715" spans="1:6" x14ac:dyDescent="0.25">
      <c r="A2715" s="14">
        <v>46147.781944444447</v>
      </c>
      <c r="B2715" s="81" t="s">
        <v>149</v>
      </c>
      <c r="C2715" s="81" t="s">
        <v>184</v>
      </c>
      <c r="D2715" s="81" t="s">
        <v>168</v>
      </c>
      <c r="E2715" s="81" t="s">
        <v>50</v>
      </c>
      <c r="F2715" s="81" t="s">
        <v>1</v>
      </c>
    </row>
    <row r="2716" spans="1:6" x14ac:dyDescent="0.25">
      <c r="A2716" s="14">
        <v>46147.781944444447</v>
      </c>
      <c r="B2716" s="81" t="s">
        <v>149</v>
      </c>
      <c r="C2716" s="81" t="s">
        <v>185</v>
      </c>
      <c r="D2716" s="81" t="s">
        <v>168</v>
      </c>
      <c r="E2716" s="81" t="s">
        <v>50</v>
      </c>
      <c r="F2716" s="81" t="s">
        <v>1</v>
      </c>
    </row>
    <row r="2717" spans="1:6" x14ac:dyDescent="0.25">
      <c r="A2717" s="14">
        <v>46147.781944444447</v>
      </c>
      <c r="B2717" s="81" t="s">
        <v>149</v>
      </c>
      <c r="C2717" s="81" t="s">
        <v>176</v>
      </c>
      <c r="D2717" s="81" t="s">
        <v>156</v>
      </c>
      <c r="E2717" s="81" t="s">
        <v>70</v>
      </c>
      <c r="F2717" s="81" t="s">
        <v>15</v>
      </c>
    </row>
    <row r="2718" spans="1:6" x14ac:dyDescent="0.25">
      <c r="A2718" s="14">
        <v>46147.781944444447</v>
      </c>
      <c r="B2718" s="81" t="s">
        <v>149</v>
      </c>
      <c r="C2718" s="81" t="s">
        <v>185</v>
      </c>
      <c r="D2718" s="81" t="s">
        <v>168</v>
      </c>
      <c r="E2718" s="81" t="s">
        <v>50</v>
      </c>
      <c r="F2718" s="81" t="s">
        <v>1</v>
      </c>
    </row>
    <row r="2719" spans="1:6" x14ac:dyDescent="0.25">
      <c r="A2719" s="14">
        <v>46147.781944444447</v>
      </c>
      <c r="B2719" s="81" t="s">
        <v>149</v>
      </c>
      <c r="C2719" s="81" t="s">
        <v>158</v>
      </c>
      <c r="D2719" s="81" t="s">
        <v>168</v>
      </c>
      <c r="E2719" s="81" t="s">
        <v>50</v>
      </c>
      <c r="F2719" s="81" t="s">
        <v>1</v>
      </c>
    </row>
    <row r="2720" spans="1:6" x14ac:dyDescent="0.25">
      <c r="A2720" s="14">
        <v>46147.781944444447</v>
      </c>
      <c r="B2720" s="81" t="s">
        <v>149</v>
      </c>
      <c r="C2720" s="81" t="s">
        <v>171</v>
      </c>
      <c r="D2720" s="81" t="s">
        <v>168</v>
      </c>
      <c r="E2720" s="81" t="s">
        <v>50</v>
      </c>
      <c r="F2720" s="81" t="s">
        <v>1</v>
      </c>
    </row>
    <row r="2721" spans="1:6" x14ac:dyDescent="0.25">
      <c r="A2721" s="14">
        <v>46147.781944444447</v>
      </c>
      <c r="B2721" s="81" t="s">
        <v>149</v>
      </c>
      <c r="C2721" s="81" t="s">
        <v>182</v>
      </c>
      <c r="D2721" s="81" t="s">
        <v>168</v>
      </c>
      <c r="E2721" s="81" t="s">
        <v>52</v>
      </c>
      <c r="F2721" s="81" t="s">
        <v>0</v>
      </c>
    </row>
    <row r="2722" spans="1:6" x14ac:dyDescent="0.25">
      <c r="A2722" s="14">
        <v>46147.781944444447</v>
      </c>
      <c r="B2722" s="81" t="s">
        <v>149</v>
      </c>
      <c r="C2722" s="81" t="s">
        <v>183</v>
      </c>
      <c r="D2722" s="81" t="s">
        <v>168</v>
      </c>
      <c r="E2722" s="81" t="s">
        <v>52</v>
      </c>
      <c r="F2722" s="81" t="s">
        <v>0</v>
      </c>
    </row>
    <row r="2723" spans="1:6" x14ac:dyDescent="0.25">
      <c r="A2723" s="14">
        <v>46147.781944444447</v>
      </c>
      <c r="B2723" s="81" t="s">
        <v>149</v>
      </c>
      <c r="C2723" s="81" t="s">
        <v>183</v>
      </c>
      <c r="D2723" s="81" t="s">
        <v>168</v>
      </c>
      <c r="E2723" s="81" t="s">
        <v>52</v>
      </c>
      <c r="F2723" s="81" t="s">
        <v>0</v>
      </c>
    </row>
    <row r="2724" spans="1:6" x14ac:dyDescent="0.25">
      <c r="A2724" s="14">
        <v>46147.781944444447</v>
      </c>
      <c r="B2724" s="81" t="s">
        <v>149</v>
      </c>
      <c r="C2724" s="81" t="s">
        <v>171</v>
      </c>
      <c r="D2724" s="81" t="s">
        <v>168</v>
      </c>
      <c r="E2724" s="81" t="s">
        <v>50</v>
      </c>
      <c r="F2724" s="81" t="s">
        <v>1</v>
      </c>
    </row>
    <row r="2725" spans="1:6" x14ac:dyDescent="0.25">
      <c r="A2725" s="14">
        <v>46147.781944444447</v>
      </c>
      <c r="B2725" s="81" t="s">
        <v>149</v>
      </c>
      <c r="C2725" s="81" t="s">
        <v>175</v>
      </c>
      <c r="D2725" s="81" t="s">
        <v>250</v>
      </c>
      <c r="E2725" s="81" t="s">
        <v>50</v>
      </c>
      <c r="F2725" s="81" t="s">
        <v>1</v>
      </c>
    </row>
    <row r="2726" spans="1:6" x14ac:dyDescent="0.25">
      <c r="A2726" s="14">
        <v>46147.781944444447</v>
      </c>
      <c r="B2726" s="81" t="s">
        <v>149</v>
      </c>
      <c r="C2726" s="81" t="s">
        <v>173</v>
      </c>
      <c r="D2726" s="81" t="s">
        <v>168</v>
      </c>
      <c r="E2726" s="81" t="s">
        <v>50</v>
      </c>
      <c r="F2726" s="81" t="s">
        <v>1</v>
      </c>
    </row>
    <row r="2727" spans="1:6" x14ac:dyDescent="0.25">
      <c r="A2727" s="14">
        <v>46147.781944444447</v>
      </c>
      <c r="B2727" s="81" t="s">
        <v>149</v>
      </c>
      <c r="C2727" s="81" t="s">
        <v>177</v>
      </c>
      <c r="D2727" s="81" t="s">
        <v>168</v>
      </c>
      <c r="E2727" s="81" t="s">
        <v>52</v>
      </c>
      <c r="F2727" s="81" t="s">
        <v>0</v>
      </c>
    </row>
    <row r="2728" spans="1:6" x14ac:dyDescent="0.25">
      <c r="A2728" s="14">
        <v>46147.781944444447</v>
      </c>
      <c r="B2728" s="81" t="s">
        <v>149</v>
      </c>
      <c r="C2728" s="81" t="s">
        <v>183</v>
      </c>
      <c r="D2728" s="81" t="s">
        <v>168</v>
      </c>
      <c r="E2728" s="81" t="s">
        <v>52</v>
      </c>
      <c r="F2728" s="81" t="s">
        <v>0</v>
      </c>
    </row>
    <row r="2729" spans="1:6" x14ac:dyDescent="0.25">
      <c r="A2729" s="14">
        <v>46147.781944444447</v>
      </c>
      <c r="B2729" s="81" t="s">
        <v>149</v>
      </c>
      <c r="C2729" s="81" t="s">
        <v>183</v>
      </c>
      <c r="D2729" s="81" t="s">
        <v>267</v>
      </c>
      <c r="E2729" s="81" t="s">
        <v>52</v>
      </c>
      <c r="F2729" s="81" t="s">
        <v>0</v>
      </c>
    </row>
    <row r="2730" spans="1:6" x14ac:dyDescent="0.25">
      <c r="A2730" s="14">
        <v>46147.781944444447</v>
      </c>
      <c r="B2730" s="81" t="s">
        <v>149</v>
      </c>
      <c r="C2730" s="81" t="s">
        <v>173</v>
      </c>
      <c r="D2730" s="81" t="s">
        <v>267</v>
      </c>
      <c r="E2730" s="81" t="s">
        <v>52</v>
      </c>
      <c r="F2730" s="81" t="s">
        <v>0</v>
      </c>
    </row>
    <row r="2731" spans="1:6" x14ac:dyDescent="0.25">
      <c r="A2731" s="14">
        <v>46147.781944444447</v>
      </c>
      <c r="B2731" s="81" t="s">
        <v>149</v>
      </c>
      <c r="C2731" s="81" t="s">
        <v>175</v>
      </c>
      <c r="D2731" s="81" t="s">
        <v>168</v>
      </c>
      <c r="E2731" s="81" t="s">
        <v>50</v>
      </c>
      <c r="F2731" s="81" t="s">
        <v>1</v>
      </c>
    </row>
    <row r="2732" spans="1:6" x14ac:dyDescent="0.25">
      <c r="A2732" s="14">
        <v>46147.781944444447</v>
      </c>
      <c r="B2732" s="81" t="s">
        <v>149</v>
      </c>
      <c r="C2732" s="81" t="s">
        <v>190</v>
      </c>
      <c r="D2732" s="81" t="s">
        <v>168</v>
      </c>
      <c r="E2732" s="81" t="s">
        <v>52</v>
      </c>
      <c r="F2732" s="81" t="s">
        <v>0</v>
      </c>
    </row>
    <row r="2733" spans="1:6" x14ac:dyDescent="0.25">
      <c r="A2733" s="14">
        <v>46147.781944444447</v>
      </c>
      <c r="B2733" s="81" t="s">
        <v>149</v>
      </c>
      <c r="C2733" s="81" t="s">
        <v>151</v>
      </c>
      <c r="D2733" s="81" t="s">
        <v>168</v>
      </c>
      <c r="E2733" s="81" t="s">
        <v>52</v>
      </c>
      <c r="F2733" s="81" t="s">
        <v>0</v>
      </c>
    </row>
    <row r="2734" spans="1:6" x14ac:dyDescent="0.25">
      <c r="A2734" s="14">
        <v>46147.781944444447</v>
      </c>
      <c r="B2734" s="81" t="s">
        <v>149</v>
      </c>
      <c r="C2734" s="81" t="s">
        <v>184</v>
      </c>
      <c r="D2734" s="81" t="s">
        <v>168</v>
      </c>
      <c r="E2734" s="81" t="s">
        <v>50</v>
      </c>
      <c r="F2734" s="81" t="s">
        <v>1</v>
      </c>
    </row>
    <row r="2735" spans="1:6" x14ac:dyDescent="0.25">
      <c r="A2735" s="14">
        <v>46147.781944444447</v>
      </c>
      <c r="B2735" s="81" t="s">
        <v>149</v>
      </c>
      <c r="C2735" s="81" t="s">
        <v>845</v>
      </c>
      <c r="D2735" s="81" t="s">
        <v>199</v>
      </c>
      <c r="E2735" s="81" t="s">
        <v>846</v>
      </c>
      <c r="F2735" s="81" t="s">
        <v>28</v>
      </c>
    </row>
    <row r="2736" spans="1:6" x14ac:dyDescent="0.25">
      <c r="A2736" s="14">
        <v>46147.781944444447</v>
      </c>
      <c r="B2736" s="81" t="s">
        <v>149</v>
      </c>
      <c r="C2736" s="81" t="s">
        <v>158</v>
      </c>
      <c r="D2736" s="81" t="s">
        <v>168</v>
      </c>
      <c r="E2736" s="81" t="s">
        <v>52</v>
      </c>
      <c r="F2736" s="81" t="s">
        <v>0</v>
      </c>
    </row>
    <row r="2737" spans="1:6" x14ac:dyDescent="0.25">
      <c r="A2737" s="14">
        <v>46147.781944444447</v>
      </c>
      <c r="B2737" s="81" t="s">
        <v>149</v>
      </c>
      <c r="C2737" s="81" t="s">
        <v>177</v>
      </c>
      <c r="D2737" s="81" t="s">
        <v>168</v>
      </c>
      <c r="E2737" s="81" t="s">
        <v>50</v>
      </c>
      <c r="F2737" s="81" t="s">
        <v>1</v>
      </c>
    </row>
    <row r="2738" spans="1:6" x14ac:dyDescent="0.25">
      <c r="A2738" s="14">
        <v>46147.781944444447</v>
      </c>
      <c r="B2738" s="81" t="s">
        <v>149</v>
      </c>
      <c r="C2738" s="81" t="s">
        <v>175</v>
      </c>
      <c r="D2738" s="81" t="s">
        <v>168</v>
      </c>
      <c r="E2738" s="81" t="s">
        <v>50</v>
      </c>
      <c r="F2738" s="81" t="s">
        <v>1</v>
      </c>
    </row>
    <row r="2739" spans="1:6" x14ac:dyDescent="0.25">
      <c r="A2739" s="14">
        <v>46147.781944444447</v>
      </c>
      <c r="B2739" s="81" t="s">
        <v>149</v>
      </c>
      <c r="C2739" s="81" t="s">
        <v>184</v>
      </c>
      <c r="D2739" s="81" t="s">
        <v>168</v>
      </c>
      <c r="E2739" s="81" t="s">
        <v>50</v>
      </c>
      <c r="F2739" s="81" t="s">
        <v>1</v>
      </c>
    </row>
    <row r="2740" spans="1:6" x14ac:dyDescent="0.25">
      <c r="A2740" s="14">
        <v>46147.781944444447</v>
      </c>
      <c r="B2740" s="81" t="s">
        <v>149</v>
      </c>
      <c r="C2740" s="81" t="s">
        <v>158</v>
      </c>
      <c r="D2740" s="81" t="s">
        <v>168</v>
      </c>
      <c r="E2740" s="81" t="s">
        <v>50</v>
      </c>
      <c r="F2740" s="81" t="s">
        <v>1</v>
      </c>
    </row>
    <row r="2741" spans="1:6" x14ac:dyDescent="0.25">
      <c r="A2741" s="14">
        <v>46147.781944444447</v>
      </c>
      <c r="B2741" s="81" t="s">
        <v>149</v>
      </c>
      <c r="C2741" s="81" t="s">
        <v>185</v>
      </c>
      <c r="D2741" s="81" t="s">
        <v>179</v>
      </c>
      <c r="E2741" s="81" t="s">
        <v>50</v>
      </c>
      <c r="F2741" s="81" t="s">
        <v>1</v>
      </c>
    </row>
    <row r="2742" spans="1:6" x14ac:dyDescent="0.25">
      <c r="A2742" s="14">
        <v>46147.781944444447</v>
      </c>
      <c r="B2742" s="81" t="s">
        <v>149</v>
      </c>
      <c r="C2742" s="81" t="s">
        <v>151</v>
      </c>
      <c r="D2742" s="81" t="s">
        <v>168</v>
      </c>
      <c r="E2742" s="81" t="s">
        <v>50</v>
      </c>
      <c r="F2742" s="81" t="s">
        <v>1</v>
      </c>
    </row>
    <row r="2743" spans="1:6" x14ac:dyDescent="0.25">
      <c r="A2743" s="14">
        <v>46147.781944444447</v>
      </c>
      <c r="B2743" s="81" t="s">
        <v>149</v>
      </c>
      <c r="C2743" s="81" t="s">
        <v>173</v>
      </c>
      <c r="D2743" s="81" t="s">
        <v>168</v>
      </c>
      <c r="E2743" s="81" t="s">
        <v>52</v>
      </c>
      <c r="F2743" s="81" t="s">
        <v>0</v>
      </c>
    </row>
    <row r="2744" spans="1:6" x14ac:dyDescent="0.25">
      <c r="A2744" s="14">
        <v>46147.781944444447</v>
      </c>
      <c r="B2744" s="81" t="s">
        <v>149</v>
      </c>
      <c r="C2744" s="81" t="s">
        <v>171</v>
      </c>
      <c r="D2744" s="81" t="s">
        <v>168</v>
      </c>
      <c r="E2744" s="81" t="s">
        <v>50</v>
      </c>
      <c r="F2744" s="81" t="s">
        <v>1</v>
      </c>
    </row>
    <row r="2745" spans="1:6" x14ac:dyDescent="0.25">
      <c r="A2745" s="14">
        <v>46147.781944444447</v>
      </c>
      <c r="B2745" s="81" t="s">
        <v>149</v>
      </c>
      <c r="C2745" s="81" t="s">
        <v>175</v>
      </c>
      <c r="D2745" s="81" t="s">
        <v>168</v>
      </c>
      <c r="E2745" s="81" t="s">
        <v>52</v>
      </c>
      <c r="F2745" s="81" t="s">
        <v>0</v>
      </c>
    </row>
    <row r="2746" spans="1:6" x14ac:dyDescent="0.25">
      <c r="A2746" s="14">
        <v>46147.781944444447</v>
      </c>
      <c r="B2746" s="81" t="s">
        <v>149</v>
      </c>
      <c r="C2746" s="81" t="s">
        <v>176</v>
      </c>
      <c r="D2746" s="81" t="s">
        <v>156</v>
      </c>
      <c r="E2746" s="81" t="s">
        <v>70</v>
      </c>
      <c r="F2746" s="81" t="s">
        <v>15</v>
      </c>
    </row>
    <row r="2747" spans="1:6" x14ac:dyDescent="0.25">
      <c r="A2747" s="14">
        <v>46147.781944444447</v>
      </c>
      <c r="B2747" s="81" t="s">
        <v>149</v>
      </c>
      <c r="C2747" s="81" t="s">
        <v>173</v>
      </c>
      <c r="D2747" s="81" t="s">
        <v>231</v>
      </c>
      <c r="E2747" s="81" t="s">
        <v>49</v>
      </c>
      <c r="F2747" s="81" t="s">
        <v>2</v>
      </c>
    </row>
    <row r="2748" spans="1:6" x14ac:dyDescent="0.25">
      <c r="A2748" s="14">
        <v>46147.781944444447</v>
      </c>
      <c r="B2748" s="81" t="s">
        <v>149</v>
      </c>
      <c r="C2748" s="81" t="s">
        <v>151</v>
      </c>
      <c r="D2748" s="81" t="s">
        <v>250</v>
      </c>
      <c r="E2748" s="81" t="s">
        <v>50</v>
      </c>
      <c r="F2748" s="81" t="s">
        <v>1</v>
      </c>
    </row>
    <row r="2749" spans="1:6" x14ac:dyDescent="0.25">
      <c r="A2749" s="14">
        <v>46147.781944444447</v>
      </c>
      <c r="B2749" s="81" t="s">
        <v>195</v>
      </c>
      <c r="C2749" s="81" t="s">
        <v>209</v>
      </c>
      <c r="D2749" s="81" t="s">
        <v>265</v>
      </c>
      <c r="E2749" s="81" t="s">
        <v>24</v>
      </c>
      <c r="F2749" s="81" t="s">
        <v>24</v>
      </c>
    </row>
    <row r="2750" spans="1:6" x14ac:dyDescent="0.25">
      <c r="A2750" s="14">
        <v>46147.781944444447</v>
      </c>
      <c r="B2750" s="81" t="s">
        <v>195</v>
      </c>
      <c r="C2750" s="81" t="s">
        <v>209</v>
      </c>
      <c r="D2750" s="81" t="s">
        <v>265</v>
      </c>
      <c r="E2750" s="81" t="s">
        <v>24</v>
      </c>
      <c r="F2750" s="81" t="s">
        <v>24</v>
      </c>
    </row>
    <row r="2751" spans="1:6" x14ac:dyDescent="0.25">
      <c r="A2751" s="14">
        <v>46147.781944444447</v>
      </c>
      <c r="B2751" s="81" t="s">
        <v>195</v>
      </c>
      <c r="C2751" s="81" t="s">
        <v>209</v>
      </c>
      <c r="D2751" s="81" t="s">
        <v>265</v>
      </c>
      <c r="E2751" s="81" t="s">
        <v>24</v>
      </c>
      <c r="F2751" s="81" t="s">
        <v>24</v>
      </c>
    </row>
    <row r="2752" spans="1:6" x14ac:dyDescent="0.25">
      <c r="A2752" s="14">
        <v>46147.781944444447</v>
      </c>
      <c r="B2752" s="81" t="s">
        <v>195</v>
      </c>
      <c r="C2752" s="81" t="s">
        <v>196</v>
      </c>
      <c r="D2752" s="81" t="s">
        <v>254</v>
      </c>
      <c r="E2752" s="81" t="s">
        <v>24</v>
      </c>
      <c r="F2752" s="81" t="s">
        <v>24</v>
      </c>
    </row>
    <row r="2753" spans="1:6" x14ac:dyDescent="0.25">
      <c r="A2753" s="14">
        <v>46147.781944444447</v>
      </c>
      <c r="B2753" s="81" t="s">
        <v>195</v>
      </c>
      <c r="C2753" s="81" t="s">
        <v>196</v>
      </c>
      <c r="D2753" s="81" t="s">
        <v>254</v>
      </c>
      <c r="E2753" s="81" t="s">
        <v>24</v>
      </c>
      <c r="F2753" s="81" t="s">
        <v>24</v>
      </c>
    </row>
    <row r="2754" spans="1:6" x14ac:dyDescent="0.25">
      <c r="A2754" s="14">
        <v>46147.781944444447</v>
      </c>
      <c r="B2754" s="81" t="s">
        <v>195</v>
      </c>
      <c r="C2754" s="81" t="s">
        <v>196</v>
      </c>
      <c r="D2754" s="81" t="s">
        <v>254</v>
      </c>
      <c r="E2754" s="81" t="s">
        <v>24</v>
      </c>
      <c r="F2754" s="81" t="s">
        <v>24</v>
      </c>
    </row>
    <row r="2755" spans="1:6" x14ac:dyDescent="0.25">
      <c r="A2755" s="14">
        <v>46147.781944444447</v>
      </c>
      <c r="B2755" s="81" t="s">
        <v>195</v>
      </c>
      <c r="C2755" s="81" t="s">
        <v>198</v>
      </c>
      <c r="D2755" s="81" t="s">
        <v>156</v>
      </c>
      <c r="E2755" s="81" t="s">
        <v>24</v>
      </c>
      <c r="F2755" s="81" t="s">
        <v>24</v>
      </c>
    </row>
    <row r="2756" spans="1:6" x14ac:dyDescent="0.25">
      <c r="A2756" s="14">
        <v>46147.781944444447</v>
      </c>
      <c r="B2756" s="81" t="s">
        <v>195</v>
      </c>
      <c r="C2756" s="81" t="s">
        <v>198</v>
      </c>
      <c r="D2756" s="81" t="s">
        <v>156</v>
      </c>
      <c r="E2756" s="81" t="s">
        <v>24</v>
      </c>
      <c r="F2756" s="81" t="s">
        <v>24</v>
      </c>
    </row>
    <row r="2757" spans="1:6" x14ac:dyDescent="0.25">
      <c r="A2757" s="14">
        <v>46147.781944444447</v>
      </c>
      <c r="B2757" s="81" t="s">
        <v>195</v>
      </c>
      <c r="C2757" s="81" t="s">
        <v>198</v>
      </c>
      <c r="D2757" s="81" t="s">
        <v>156</v>
      </c>
      <c r="E2757" s="81" t="s">
        <v>24</v>
      </c>
      <c r="F2757" s="81" t="s">
        <v>24</v>
      </c>
    </row>
    <row r="2758" spans="1:6" x14ac:dyDescent="0.25">
      <c r="A2758" s="14">
        <v>46147.781944444447</v>
      </c>
      <c r="B2758" s="81" t="s">
        <v>195</v>
      </c>
      <c r="C2758" s="81" t="s">
        <v>196</v>
      </c>
      <c r="D2758" s="81" t="s">
        <v>250</v>
      </c>
      <c r="E2758" s="81" t="s">
        <v>24</v>
      </c>
      <c r="F2758" s="81" t="s">
        <v>24</v>
      </c>
    </row>
    <row r="2759" spans="1:6" x14ac:dyDescent="0.25">
      <c r="A2759" s="14">
        <v>46147.781944444447</v>
      </c>
      <c r="B2759" s="81" t="s">
        <v>195</v>
      </c>
      <c r="C2759" s="81" t="s">
        <v>196</v>
      </c>
      <c r="D2759" s="81" t="s">
        <v>250</v>
      </c>
      <c r="E2759" s="81" t="s">
        <v>24</v>
      </c>
      <c r="F2759" s="81" t="s">
        <v>24</v>
      </c>
    </row>
    <row r="2760" spans="1:6" x14ac:dyDescent="0.25">
      <c r="A2760" s="14">
        <v>46147.781944444447</v>
      </c>
      <c r="B2760" s="81" t="s">
        <v>195</v>
      </c>
      <c r="C2760" s="81" t="s">
        <v>196</v>
      </c>
      <c r="D2760" s="81" t="s">
        <v>250</v>
      </c>
      <c r="E2760" s="81" t="s">
        <v>24</v>
      </c>
      <c r="F2760" s="81" t="s">
        <v>24</v>
      </c>
    </row>
    <row r="2761" spans="1:6" x14ac:dyDescent="0.25">
      <c r="A2761" s="14">
        <v>46147.900694444441</v>
      </c>
      <c r="B2761" s="81" t="s">
        <v>149</v>
      </c>
      <c r="C2761" s="81" t="s">
        <v>183</v>
      </c>
      <c r="D2761" s="81" t="s">
        <v>199</v>
      </c>
      <c r="E2761" s="81" t="s">
        <v>49</v>
      </c>
      <c r="F2761" s="81" t="s">
        <v>2</v>
      </c>
    </row>
    <row r="2762" spans="1:6" x14ac:dyDescent="0.25">
      <c r="A2762" s="14">
        <v>46147.900694444441</v>
      </c>
      <c r="B2762" s="81" t="s">
        <v>149</v>
      </c>
      <c r="C2762" s="81" t="s">
        <v>181</v>
      </c>
      <c r="D2762" s="81" t="s">
        <v>251</v>
      </c>
      <c r="E2762" s="81" t="s">
        <v>49</v>
      </c>
      <c r="F2762" s="81" t="s">
        <v>2</v>
      </c>
    </row>
    <row r="2763" spans="1:6" x14ac:dyDescent="0.25">
      <c r="A2763" s="14">
        <v>46147.900694444441</v>
      </c>
      <c r="B2763" s="81" t="s">
        <v>149</v>
      </c>
      <c r="C2763" s="81" t="s">
        <v>184</v>
      </c>
      <c r="D2763" s="81" t="s">
        <v>250</v>
      </c>
      <c r="E2763" s="81" t="s">
        <v>50</v>
      </c>
      <c r="F2763" s="81" t="s">
        <v>1</v>
      </c>
    </row>
    <row r="2764" spans="1:6" x14ac:dyDescent="0.25">
      <c r="A2764" s="14">
        <v>46147.900694444441</v>
      </c>
      <c r="B2764" s="81" t="s">
        <v>149</v>
      </c>
      <c r="C2764" s="81" t="s">
        <v>177</v>
      </c>
      <c r="D2764" s="81" t="s">
        <v>250</v>
      </c>
      <c r="E2764" s="81" t="s">
        <v>50</v>
      </c>
      <c r="F2764" s="81" t="s">
        <v>1</v>
      </c>
    </row>
    <row r="2765" spans="1:6" x14ac:dyDescent="0.25">
      <c r="A2765" s="14">
        <v>46147.900694444441</v>
      </c>
      <c r="B2765" s="81" t="s">
        <v>149</v>
      </c>
      <c r="C2765" s="81" t="s">
        <v>176</v>
      </c>
      <c r="D2765" s="81" t="s">
        <v>167</v>
      </c>
      <c r="E2765" s="81" t="s">
        <v>70</v>
      </c>
      <c r="F2765" s="81" t="s">
        <v>15</v>
      </c>
    </row>
    <row r="2766" spans="1:6" x14ac:dyDescent="0.25">
      <c r="A2766" s="14">
        <v>46147.900694444441</v>
      </c>
      <c r="B2766" s="81" t="s">
        <v>149</v>
      </c>
      <c r="C2766" s="81" t="s">
        <v>182</v>
      </c>
      <c r="D2766" s="81" t="s">
        <v>250</v>
      </c>
      <c r="E2766" s="81" t="s">
        <v>50</v>
      </c>
      <c r="F2766" s="81" t="s">
        <v>1</v>
      </c>
    </row>
    <row r="2767" spans="1:6" x14ac:dyDescent="0.25">
      <c r="A2767" s="14">
        <v>46147.900694444441</v>
      </c>
      <c r="B2767" s="81" t="s">
        <v>149</v>
      </c>
      <c r="C2767" s="81" t="s">
        <v>158</v>
      </c>
      <c r="D2767" s="81" t="s">
        <v>250</v>
      </c>
      <c r="E2767" s="81" t="s">
        <v>50</v>
      </c>
      <c r="F2767" s="81" t="s">
        <v>1</v>
      </c>
    </row>
    <row r="2768" spans="1:6" x14ac:dyDescent="0.25">
      <c r="A2768" s="14">
        <v>46147.900694444441</v>
      </c>
      <c r="B2768" s="81" t="s">
        <v>149</v>
      </c>
      <c r="C2768" s="81" t="s">
        <v>158</v>
      </c>
      <c r="D2768" s="81" t="s">
        <v>250</v>
      </c>
      <c r="E2768" s="81" t="s">
        <v>50</v>
      </c>
      <c r="F2768" s="81" t="s">
        <v>1</v>
      </c>
    </row>
    <row r="2769" spans="1:6" x14ac:dyDescent="0.25">
      <c r="A2769" s="14">
        <v>46147.900694444441</v>
      </c>
      <c r="B2769" s="81" t="s">
        <v>149</v>
      </c>
      <c r="C2769" s="81" t="s">
        <v>182</v>
      </c>
      <c r="D2769" s="81" t="s">
        <v>250</v>
      </c>
      <c r="E2769" s="81" t="s">
        <v>50</v>
      </c>
      <c r="F2769" s="81" t="s">
        <v>1</v>
      </c>
    </row>
    <row r="2770" spans="1:6" x14ac:dyDescent="0.25">
      <c r="A2770" s="14">
        <v>46147.900694444441</v>
      </c>
      <c r="B2770" s="81" t="s">
        <v>149</v>
      </c>
      <c r="C2770" s="81" t="s">
        <v>171</v>
      </c>
      <c r="D2770" s="81" t="s">
        <v>250</v>
      </c>
      <c r="E2770" s="81" t="s">
        <v>50</v>
      </c>
      <c r="F2770" s="81" t="s">
        <v>1</v>
      </c>
    </row>
    <row r="2771" spans="1:6" x14ac:dyDescent="0.25">
      <c r="A2771" s="14">
        <v>46147.900694444441</v>
      </c>
      <c r="B2771" s="81" t="s">
        <v>149</v>
      </c>
      <c r="C2771" s="81" t="s">
        <v>182</v>
      </c>
      <c r="D2771" s="81" t="s">
        <v>205</v>
      </c>
      <c r="E2771" s="81" t="s">
        <v>50</v>
      </c>
      <c r="F2771" s="81" t="s">
        <v>1</v>
      </c>
    </row>
    <row r="2772" spans="1:6" x14ac:dyDescent="0.25">
      <c r="A2772" s="14">
        <v>46147.900694444441</v>
      </c>
      <c r="B2772" s="81" t="s">
        <v>149</v>
      </c>
      <c r="C2772" s="81" t="s">
        <v>187</v>
      </c>
      <c r="D2772" s="81" t="s">
        <v>205</v>
      </c>
      <c r="E2772" s="81" t="s">
        <v>75</v>
      </c>
      <c r="F2772" s="81" t="s">
        <v>93</v>
      </c>
    </row>
    <row r="2773" spans="1:6" x14ac:dyDescent="0.25">
      <c r="A2773" s="14">
        <v>46147.900694444441</v>
      </c>
      <c r="B2773" s="81" t="s">
        <v>149</v>
      </c>
      <c r="C2773" s="81" t="s">
        <v>176</v>
      </c>
      <c r="D2773" s="81" t="s">
        <v>202</v>
      </c>
      <c r="E2773" s="81" t="s">
        <v>70</v>
      </c>
      <c r="F2773" s="81" t="s">
        <v>15</v>
      </c>
    </row>
    <row r="2774" spans="1:6" x14ac:dyDescent="0.25">
      <c r="A2774" s="14">
        <v>46147.900694444441</v>
      </c>
      <c r="B2774" s="81" t="s">
        <v>149</v>
      </c>
      <c r="C2774" s="81" t="s">
        <v>177</v>
      </c>
      <c r="D2774" s="81" t="s">
        <v>251</v>
      </c>
      <c r="E2774" s="81" t="s">
        <v>49</v>
      </c>
      <c r="F2774" s="81" t="s">
        <v>2</v>
      </c>
    </row>
    <row r="2775" spans="1:6" x14ac:dyDescent="0.25">
      <c r="A2775" s="14">
        <v>46147.900694444441</v>
      </c>
      <c r="B2775" s="81" t="s">
        <v>149</v>
      </c>
      <c r="C2775" s="81" t="s">
        <v>176</v>
      </c>
      <c r="D2775" s="81" t="s">
        <v>167</v>
      </c>
      <c r="E2775" s="81" t="s">
        <v>70</v>
      </c>
      <c r="F2775" s="81" t="s">
        <v>15</v>
      </c>
    </row>
    <row r="2776" spans="1:6" x14ac:dyDescent="0.25">
      <c r="A2776" s="14">
        <v>46147.900694444441</v>
      </c>
      <c r="B2776" s="81" t="s">
        <v>149</v>
      </c>
      <c r="C2776" s="81" t="s">
        <v>187</v>
      </c>
      <c r="D2776" s="81" t="s">
        <v>202</v>
      </c>
      <c r="E2776" s="81" t="s">
        <v>75</v>
      </c>
      <c r="F2776" s="81" t="s">
        <v>93</v>
      </c>
    </row>
    <row r="2777" spans="1:6" x14ac:dyDescent="0.25">
      <c r="A2777" s="14">
        <v>46147.900694444441</v>
      </c>
      <c r="B2777" s="81" t="s">
        <v>149</v>
      </c>
      <c r="C2777" s="81" t="s">
        <v>845</v>
      </c>
      <c r="D2777" s="81" t="s">
        <v>205</v>
      </c>
      <c r="E2777" s="81" t="s">
        <v>846</v>
      </c>
      <c r="F2777" s="81" t="s">
        <v>28</v>
      </c>
    </row>
    <row r="2778" spans="1:6" x14ac:dyDescent="0.25">
      <c r="A2778" s="14">
        <v>46147.900694444441</v>
      </c>
      <c r="B2778" s="81" t="s">
        <v>149</v>
      </c>
      <c r="C2778" s="81" t="s">
        <v>187</v>
      </c>
      <c r="D2778" s="81" t="s">
        <v>202</v>
      </c>
      <c r="E2778" s="81" t="s">
        <v>75</v>
      </c>
      <c r="F2778" s="81" t="s">
        <v>93</v>
      </c>
    </row>
    <row r="2779" spans="1:6" x14ac:dyDescent="0.25">
      <c r="A2779" s="14">
        <v>46147.900694444441</v>
      </c>
      <c r="B2779" s="81" t="s">
        <v>149</v>
      </c>
      <c r="C2779" s="81" t="s">
        <v>182</v>
      </c>
      <c r="D2779" s="81" t="s">
        <v>167</v>
      </c>
      <c r="E2779" s="81" t="s">
        <v>50</v>
      </c>
      <c r="F2779" s="81" t="s">
        <v>1</v>
      </c>
    </row>
    <row r="2780" spans="1:6" x14ac:dyDescent="0.25">
      <c r="A2780" s="14">
        <v>46147.900694444441</v>
      </c>
      <c r="B2780" s="81" t="s">
        <v>149</v>
      </c>
      <c r="C2780" s="81" t="s">
        <v>187</v>
      </c>
      <c r="D2780" s="81" t="s">
        <v>167</v>
      </c>
      <c r="E2780" s="81" t="s">
        <v>75</v>
      </c>
      <c r="F2780" s="81" t="s">
        <v>93</v>
      </c>
    </row>
    <row r="2781" spans="1:6" x14ac:dyDescent="0.25">
      <c r="A2781" s="14">
        <v>46147.900694444441</v>
      </c>
      <c r="B2781" s="81" t="s">
        <v>149</v>
      </c>
      <c r="C2781" s="81" t="s">
        <v>192</v>
      </c>
      <c r="D2781" s="81" t="s">
        <v>191</v>
      </c>
      <c r="E2781" s="81" t="s">
        <v>60</v>
      </c>
      <c r="F2781" s="81" t="s">
        <v>28</v>
      </c>
    </row>
    <row r="2782" spans="1:6" x14ac:dyDescent="0.25">
      <c r="A2782" s="14">
        <v>46147.900694444441</v>
      </c>
      <c r="B2782" s="81" t="s">
        <v>149</v>
      </c>
      <c r="C2782" s="81" t="s">
        <v>187</v>
      </c>
      <c r="D2782" s="81" t="s">
        <v>167</v>
      </c>
      <c r="E2782" s="81" t="s">
        <v>75</v>
      </c>
      <c r="F2782" s="81" t="s">
        <v>93</v>
      </c>
    </row>
    <row r="2783" spans="1:6" x14ac:dyDescent="0.25">
      <c r="A2783" s="14">
        <v>46147.900694444441</v>
      </c>
      <c r="B2783" s="81" t="s">
        <v>149</v>
      </c>
      <c r="C2783" s="81" t="s">
        <v>190</v>
      </c>
      <c r="D2783" s="81" t="s">
        <v>267</v>
      </c>
      <c r="E2783" s="81" t="s">
        <v>52</v>
      </c>
      <c r="F2783" s="81" t="s">
        <v>0</v>
      </c>
    </row>
    <row r="2784" spans="1:6" x14ac:dyDescent="0.25">
      <c r="A2784" s="14">
        <v>46147.900694444441</v>
      </c>
      <c r="B2784" s="81" t="s">
        <v>149</v>
      </c>
      <c r="C2784" s="81" t="s">
        <v>214</v>
      </c>
      <c r="D2784" s="81" t="s">
        <v>205</v>
      </c>
      <c r="E2784" s="81" t="s">
        <v>64</v>
      </c>
      <c r="F2784" s="81" t="s">
        <v>98</v>
      </c>
    </row>
    <row r="2785" spans="1:6" x14ac:dyDescent="0.25">
      <c r="A2785" s="14">
        <v>46147.900694444441</v>
      </c>
      <c r="B2785" s="81" t="s">
        <v>149</v>
      </c>
      <c r="C2785" s="81" t="s">
        <v>182</v>
      </c>
      <c r="D2785" s="81" t="s">
        <v>167</v>
      </c>
      <c r="E2785" s="81" t="s">
        <v>50</v>
      </c>
      <c r="F2785" s="81" t="s">
        <v>1</v>
      </c>
    </row>
    <row r="2786" spans="1:6" x14ac:dyDescent="0.25">
      <c r="A2786" s="14">
        <v>46147.900694444441</v>
      </c>
      <c r="B2786" s="81" t="s">
        <v>149</v>
      </c>
      <c r="C2786" s="81" t="s">
        <v>845</v>
      </c>
      <c r="D2786" s="81" t="s">
        <v>205</v>
      </c>
      <c r="E2786" s="81" t="s">
        <v>846</v>
      </c>
      <c r="F2786" s="81" t="s">
        <v>28</v>
      </c>
    </row>
    <row r="2787" spans="1:6" x14ac:dyDescent="0.25">
      <c r="A2787" s="14">
        <v>46147.900694444441</v>
      </c>
      <c r="B2787" s="81" t="s">
        <v>149</v>
      </c>
      <c r="C2787" s="81" t="s">
        <v>187</v>
      </c>
      <c r="D2787" s="81" t="s">
        <v>166</v>
      </c>
      <c r="E2787" s="81" t="s">
        <v>75</v>
      </c>
      <c r="F2787" s="81" t="s">
        <v>93</v>
      </c>
    </row>
    <row r="2788" spans="1:6" x14ac:dyDescent="0.25">
      <c r="A2788" s="14">
        <v>46147.900694444441</v>
      </c>
      <c r="B2788" s="81" t="s">
        <v>149</v>
      </c>
      <c r="C2788" s="81" t="s">
        <v>185</v>
      </c>
      <c r="D2788" s="81" t="s">
        <v>165</v>
      </c>
      <c r="E2788" s="81" t="s">
        <v>50</v>
      </c>
      <c r="F2788" s="81" t="s">
        <v>1</v>
      </c>
    </row>
    <row r="2789" spans="1:6" x14ac:dyDescent="0.25">
      <c r="A2789" s="14">
        <v>46147.900694444441</v>
      </c>
      <c r="B2789" s="81" t="s">
        <v>149</v>
      </c>
      <c r="C2789" s="81" t="s">
        <v>182</v>
      </c>
      <c r="D2789" s="81" t="s">
        <v>167</v>
      </c>
      <c r="E2789" s="81" t="s">
        <v>50</v>
      </c>
      <c r="F2789" s="81" t="s">
        <v>1</v>
      </c>
    </row>
    <row r="2790" spans="1:6" x14ac:dyDescent="0.25">
      <c r="A2790" s="14">
        <v>46147.900694444441</v>
      </c>
      <c r="B2790" s="81" t="s">
        <v>149</v>
      </c>
      <c r="C2790" s="81" t="s">
        <v>181</v>
      </c>
      <c r="D2790" s="81" t="s">
        <v>165</v>
      </c>
      <c r="E2790" s="81" t="s">
        <v>50</v>
      </c>
      <c r="F2790" s="81" t="s">
        <v>1</v>
      </c>
    </row>
    <row r="2791" spans="1:6" x14ac:dyDescent="0.25">
      <c r="A2791" s="14">
        <v>46147.900694444441</v>
      </c>
      <c r="B2791" s="81" t="s">
        <v>149</v>
      </c>
      <c r="C2791" s="81" t="s">
        <v>845</v>
      </c>
      <c r="D2791" s="81" t="s">
        <v>205</v>
      </c>
      <c r="E2791" s="81" t="s">
        <v>846</v>
      </c>
      <c r="F2791" s="81" t="s">
        <v>28</v>
      </c>
    </row>
    <row r="2792" spans="1:6" x14ac:dyDescent="0.25">
      <c r="A2792" s="14">
        <v>46147.900694444441</v>
      </c>
      <c r="B2792" s="81" t="s">
        <v>149</v>
      </c>
      <c r="C2792" s="81" t="s">
        <v>190</v>
      </c>
      <c r="D2792" s="81" t="s">
        <v>166</v>
      </c>
      <c r="E2792" s="81" t="s">
        <v>50</v>
      </c>
      <c r="F2792" s="81" t="s">
        <v>1</v>
      </c>
    </row>
    <row r="2793" spans="1:6" x14ac:dyDescent="0.25">
      <c r="A2793" s="14">
        <v>46147.900694444441</v>
      </c>
      <c r="B2793" s="81" t="s">
        <v>149</v>
      </c>
      <c r="C2793" s="81" t="s">
        <v>845</v>
      </c>
      <c r="D2793" s="81" t="s">
        <v>250</v>
      </c>
      <c r="E2793" s="81" t="s">
        <v>846</v>
      </c>
      <c r="F2793" s="81" t="s">
        <v>28</v>
      </c>
    </row>
    <row r="2794" spans="1:6" x14ac:dyDescent="0.25">
      <c r="A2794" s="14">
        <v>46147.900694444441</v>
      </c>
      <c r="B2794" s="81" t="s">
        <v>149</v>
      </c>
      <c r="C2794" s="81" t="s">
        <v>177</v>
      </c>
      <c r="D2794" s="81" t="s">
        <v>191</v>
      </c>
      <c r="E2794" s="81" t="s">
        <v>52</v>
      </c>
      <c r="F2794" s="81" t="s">
        <v>0</v>
      </c>
    </row>
    <row r="2795" spans="1:6" x14ac:dyDescent="0.25">
      <c r="A2795" s="14">
        <v>46147.900694444441</v>
      </c>
      <c r="B2795" s="81" t="s">
        <v>149</v>
      </c>
      <c r="C2795" s="81" t="s">
        <v>190</v>
      </c>
      <c r="D2795" s="81" t="s">
        <v>191</v>
      </c>
      <c r="E2795" s="81" t="s">
        <v>52</v>
      </c>
      <c r="F2795" s="81" t="s">
        <v>0</v>
      </c>
    </row>
    <row r="2796" spans="1:6" x14ac:dyDescent="0.25">
      <c r="A2796" s="14">
        <v>46147.900694444441</v>
      </c>
      <c r="B2796" s="81" t="s">
        <v>149</v>
      </c>
      <c r="C2796" s="81" t="s">
        <v>190</v>
      </c>
      <c r="D2796" s="81" t="s">
        <v>191</v>
      </c>
      <c r="E2796" s="81" t="s">
        <v>50</v>
      </c>
      <c r="F2796" s="81" t="s">
        <v>1</v>
      </c>
    </row>
    <row r="2797" spans="1:6" x14ac:dyDescent="0.25">
      <c r="A2797" s="14">
        <v>46147.900694444441</v>
      </c>
      <c r="B2797" s="81" t="s">
        <v>149</v>
      </c>
      <c r="C2797" s="81" t="s">
        <v>175</v>
      </c>
      <c r="D2797" s="81" t="s">
        <v>191</v>
      </c>
      <c r="E2797" s="81" t="s">
        <v>50</v>
      </c>
      <c r="F2797" s="81" t="s">
        <v>1</v>
      </c>
    </row>
    <row r="2798" spans="1:6" x14ac:dyDescent="0.25">
      <c r="A2798" s="14">
        <v>46147.900694444441</v>
      </c>
      <c r="B2798" s="81" t="s">
        <v>149</v>
      </c>
      <c r="C2798" s="81" t="s">
        <v>190</v>
      </c>
      <c r="D2798" s="81" t="s">
        <v>191</v>
      </c>
      <c r="E2798" s="81" t="s">
        <v>50</v>
      </c>
      <c r="F2798" s="81" t="s">
        <v>1</v>
      </c>
    </row>
    <row r="2799" spans="1:6" x14ac:dyDescent="0.25">
      <c r="A2799" s="14">
        <v>46147.900694444441</v>
      </c>
      <c r="B2799" s="81" t="s">
        <v>149</v>
      </c>
      <c r="C2799" s="81" t="s">
        <v>175</v>
      </c>
      <c r="D2799" s="81" t="s">
        <v>231</v>
      </c>
      <c r="E2799" s="81" t="s">
        <v>49</v>
      </c>
      <c r="F2799" s="81" t="s">
        <v>2</v>
      </c>
    </row>
    <row r="2800" spans="1:6" x14ac:dyDescent="0.25">
      <c r="A2800" s="14">
        <v>46147.900694444441</v>
      </c>
      <c r="B2800" s="81" t="s">
        <v>149</v>
      </c>
      <c r="C2800" s="81" t="s">
        <v>173</v>
      </c>
      <c r="D2800" s="81" t="s">
        <v>231</v>
      </c>
      <c r="E2800" s="81" t="s">
        <v>52</v>
      </c>
      <c r="F2800" s="81" t="s">
        <v>0</v>
      </c>
    </row>
    <row r="2801" spans="1:6" x14ac:dyDescent="0.25">
      <c r="A2801" s="14">
        <v>46147.900694444441</v>
      </c>
      <c r="B2801" s="81" t="s">
        <v>149</v>
      </c>
      <c r="C2801" s="81" t="s">
        <v>190</v>
      </c>
      <c r="D2801" s="81" t="s">
        <v>191</v>
      </c>
      <c r="E2801" s="81" t="s">
        <v>49</v>
      </c>
      <c r="F2801" s="81" t="s">
        <v>2</v>
      </c>
    </row>
    <row r="2802" spans="1:6" x14ac:dyDescent="0.25">
      <c r="A2802" s="14">
        <v>46147.900694444441</v>
      </c>
      <c r="B2802" s="81" t="s">
        <v>149</v>
      </c>
      <c r="C2802" s="81" t="s">
        <v>217</v>
      </c>
      <c r="D2802" s="81" t="s">
        <v>231</v>
      </c>
      <c r="E2802" s="81" t="s">
        <v>64</v>
      </c>
      <c r="F2802" s="81" t="s">
        <v>98</v>
      </c>
    </row>
    <row r="2803" spans="1:6" x14ac:dyDescent="0.25">
      <c r="A2803" s="14">
        <v>46147.900694444441</v>
      </c>
      <c r="B2803" s="81" t="s">
        <v>149</v>
      </c>
      <c r="C2803" s="81" t="s">
        <v>174</v>
      </c>
      <c r="D2803" s="81" t="s">
        <v>231</v>
      </c>
      <c r="E2803" s="81" t="s">
        <v>64</v>
      </c>
      <c r="F2803" s="81" t="s">
        <v>98</v>
      </c>
    </row>
    <row r="2804" spans="1:6" x14ac:dyDescent="0.25">
      <c r="A2804" s="14">
        <v>46147.900694444441</v>
      </c>
      <c r="B2804" s="81" t="s">
        <v>149</v>
      </c>
      <c r="C2804" s="81" t="s">
        <v>190</v>
      </c>
      <c r="D2804" s="81" t="s">
        <v>191</v>
      </c>
      <c r="E2804" s="81" t="s">
        <v>50</v>
      </c>
      <c r="F2804" s="81" t="s">
        <v>1</v>
      </c>
    </row>
    <row r="2805" spans="1:6" x14ac:dyDescent="0.25">
      <c r="A2805" s="14">
        <v>46147.900694444441</v>
      </c>
      <c r="B2805" s="81" t="s">
        <v>149</v>
      </c>
      <c r="C2805" s="81" t="s">
        <v>173</v>
      </c>
      <c r="D2805" s="81" t="s">
        <v>231</v>
      </c>
      <c r="E2805" s="81" t="s">
        <v>49</v>
      </c>
      <c r="F2805" s="81" t="s">
        <v>2</v>
      </c>
    </row>
    <row r="2806" spans="1:6" x14ac:dyDescent="0.25">
      <c r="A2806" s="14">
        <v>46147.900694444441</v>
      </c>
      <c r="B2806" s="81" t="s">
        <v>149</v>
      </c>
      <c r="C2806" s="81" t="s">
        <v>184</v>
      </c>
      <c r="D2806" s="81" t="s">
        <v>231</v>
      </c>
      <c r="E2806" s="81" t="s">
        <v>50</v>
      </c>
      <c r="F2806" s="81" t="s">
        <v>1</v>
      </c>
    </row>
    <row r="2807" spans="1:6" x14ac:dyDescent="0.25">
      <c r="A2807" s="14">
        <v>46147.900694444441</v>
      </c>
      <c r="B2807" s="81" t="s">
        <v>149</v>
      </c>
      <c r="C2807" s="81" t="s">
        <v>185</v>
      </c>
      <c r="D2807" s="81" t="s">
        <v>166</v>
      </c>
      <c r="E2807" s="81" t="s">
        <v>50</v>
      </c>
      <c r="F2807" s="81" t="s">
        <v>1</v>
      </c>
    </row>
    <row r="2808" spans="1:6" x14ac:dyDescent="0.25">
      <c r="A2808" s="14">
        <v>46147.900694444441</v>
      </c>
      <c r="B2808" s="81" t="s">
        <v>149</v>
      </c>
      <c r="C2808" s="81" t="s">
        <v>211</v>
      </c>
      <c r="D2808" s="81" t="s">
        <v>231</v>
      </c>
      <c r="E2808" s="81" t="s">
        <v>64</v>
      </c>
      <c r="F2808" s="81" t="s">
        <v>98</v>
      </c>
    </row>
    <row r="2809" spans="1:6" x14ac:dyDescent="0.25">
      <c r="A2809" s="14">
        <v>46147.900694444441</v>
      </c>
      <c r="B2809" s="81" t="s">
        <v>149</v>
      </c>
      <c r="C2809" s="81" t="s">
        <v>176</v>
      </c>
      <c r="D2809" s="81" t="s">
        <v>167</v>
      </c>
      <c r="E2809" s="81" t="s">
        <v>70</v>
      </c>
      <c r="F2809" s="81" t="s">
        <v>15</v>
      </c>
    </row>
    <row r="2810" spans="1:6" x14ac:dyDescent="0.25">
      <c r="A2810" s="14">
        <v>46147.900694444441</v>
      </c>
      <c r="B2810" s="81" t="s">
        <v>149</v>
      </c>
      <c r="C2810" s="81" t="s">
        <v>182</v>
      </c>
      <c r="D2810" s="81" t="s">
        <v>252</v>
      </c>
      <c r="E2810" s="81" t="s">
        <v>50</v>
      </c>
      <c r="F2810" s="81" t="s">
        <v>1</v>
      </c>
    </row>
    <row r="2811" spans="1:6" x14ac:dyDescent="0.25">
      <c r="A2811" s="14">
        <v>46147.900694444441</v>
      </c>
      <c r="B2811" s="81" t="s">
        <v>149</v>
      </c>
      <c r="C2811" s="81" t="s">
        <v>175</v>
      </c>
      <c r="D2811" s="81" t="s">
        <v>157</v>
      </c>
      <c r="E2811" s="81" t="s">
        <v>50</v>
      </c>
      <c r="F2811" s="81" t="s">
        <v>1</v>
      </c>
    </row>
    <row r="2812" spans="1:6" x14ac:dyDescent="0.25">
      <c r="A2812" s="14">
        <v>46147.900694444441</v>
      </c>
      <c r="B2812" s="81" t="s">
        <v>149</v>
      </c>
      <c r="C2812" s="81" t="s">
        <v>176</v>
      </c>
      <c r="D2812" s="81" t="s">
        <v>167</v>
      </c>
      <c r="E2812" s="81" t="s">
        <v>70</v>
      </c>
      <c r="F2812" s="81" t="s">
        <v>15</v>
      </c>
    </row>
    <row r="2813" spans="1:6" x14ac:dyDescent="0.25">
      <c r="A2813" s="14">
        <v>46147.900694444441</v>
      </c>
      <c r="B2813" s="81" t="s">
        <v>149</v>
      </c>
      <c r="C2813" s="81" t="s">
        <v>176</v>
      </c>
      <c r="D2813" s="81" t="s">
        <v>166</v>
      </c>
      <c r="E2813" s="81" t="s">
        <v>70</v>
      </c>
      <c r="F2813" s="81" t="s">
        <v>15</v>
      </c>
    </row>
    <row r="2814" spans="1:6" x14ac:dyDescent="0.25">
      <c r="A2814" s="14">
        <v>46147.900694444441</v>
      </c>
      <c r="B2814" s="81" t="s">
        <v>149</v>
      </c>
      <c r="C2814" s="81" t="s">
        <v>845</v>
      </c>
      <c r="D2814" s="81" t="s">
        <v>199</v>
      </c>
      <c r="E2814" s="81" t="s">
        <v>846</v>
      </c>
      <c r="F2814" s="81" t="s">
        <v>28</v>
      </c>
    </row>
    <row r="2815" spans="1:6" x14ac:dyDescent="0.25">
      <c r="A2815" s="14">
        <v>46147.900694444441</v>
      </c>
      <c r="B2815" s="81" t="s">
        <v>149</v>
      </c>
      <c r="C2815" s="81" t="s">
        <v>187</v>
      </c>
      <c r="D2815" s="81" t="s">
        <v>167</v>
      </c>
      <c r="E2815" s="81" t="s">
        <v>75</v>
      </c>
      <c r="F2815" s="81" t="s">
        <v>93</v>
      </c>
    </row>
    <row r="2816" spans="1:6" x14ac:dyDescent="0.25">
      <c r="A2816" s="14">
        <v>46147.900694444441</v>
      </c>
      <c r="B2816" s="81" t="s">
        <v>195</v>
      </c>
      <c r="C2816" s="81" t="s">
        <v>198</v>
      </c>
      <c r="D2816" s="81" t="s">
        <v>166</v>
      </c>
      <c r="E2816" s="81" t="s">
        <v>24</v>
      </c>
      <c r="F2816" s="81" t="s">
        <v>24</v>
      </c>
    </row>
    <row r="2817" spans="1:6" x14ac:dyDescent="0.25">
      <c r="A2817" s="14">
        <v>46147.900694444441</v>
      </c>
      <c r="B2817" s="81" t="s">
        <v>195</v>
      </c>
      <c r="C2817" s="81" t="s">
        <v>198</v>
      </c>
      <c r="D2817" s="81" t="s">
        <v>166</v>
      </c>
      <c r="E2817" s="81" t="s">
        <v>24</v>
      </c>
      <c r="F2817" s="81" t="s">
        <v>24</v>
      </c>
    </row>
    <row r="2818" spans="1:6" x14ac:dyDescent="0.25">
      <c r="A2818" s="14">
        <v>46147.900694444441</v>
      </c>
      <c r="B2818" s="81" t="s">
        <v>195</v>
      </c>
      <c r="C2818" s="81" t="s">
        <v>198</v>
      </c>
      <c r="D2818" s="81" t="s">
        <v>166</v>
      </c>
      <c r="E2818" s="81" t="s">
        <v>24</v>
      </c>
      <c r="F2818" s="81" t="s">
        <v>24</v>
      </c>
    </row>
    <row r="2819" spans="1:6" x14ac:dyDescent="0.25">
      <c r="A2819" s="14">
        <v>46147.900694444441</v>
      </c>
      <c r="B2819" s="81" t="s">
        <v>195</v>
      </c>
      <c r="C2819" s="81" t="s">
        <v>196</v>
      </c>
      <c r="D2819" s="81" t="s">
        <v>166</v>
      </c>
      <c r="E2819" s="81" t="s">
        <v>24</v>
      </c>
      <c r="F2819" s="81" t="s">
        <v>24</v>
      </c>
    </row>
    <row r="2820" spans="1:6" x14ac:dyDescent="0.25">
      <c r="A2820" s="14">
        <v>46147.900694444441</v>
      </c>
      <c r="B2820" s="81" t="s">
        <v>195</v>
      </c>
      <c r="C2820" s="81" t="s">
        <v>196</v>
      </c>
      <c r="D2820" s="81" t="s">
        <v>166</v>
      </c>
      <c r="E2820" s="81" t="s">
        <v>24</v>
      </c>
      <c r="F2820" s="81" t="s">
        <v>24</v>
      </c>
    </row>
    <row r="2821" spans="1:6" x14ac:dyDescent="0.25">
      <c r="A2821" s="14">
        <v>46147.900694444441</v>
      </c>
      <c r="B2821" s="81" t="s">
        <v>195</v>
      </c>
      <c r="C2821" s="81" t="s">
        <v>196</v>
      </c>
      <c r="D2821" s="81" t="s">
        <v>166</v>
      </c>
      <c r="E2821" s="81" t="s">
        <v>24</v>
      </c>
      <c r="F2821" s="81" t="s">
        <v>24</v>
      </c>
    </row>
    <row r="2822" spans="1:6" x14ac:dyDescent="0.25">
      <c r="A2822" s="14">
        <v>46147.936111111114</v>
      </c>
      <c r="B2822" s="81" t="s">
        <v>149</v>
      </c>
      <c r="C2822" s="81" t="s">
        <v>187</v>
      </c>
      <c r="D2822" s="81" t="s">
        <v>167</v>
      </c>
      <c r="E2822" s="81" t="s">
        <v>75</v>
      </c>
      <c r="F2822" s="81" t="s">
        <v>93</v>
      </c>
    </row>
    <row r="2823" spans="1:6" x14ac:dyDescent="0.25">
      <c r="A2823" s="14">
        <v>46147.936111111114</v>
      </c>
      <c r="B2823" s="81" t="s">
        <v>149</v>
      </c>
      <c r="C2823" s="81" t="s">
        <v>845</v>
      </c>
      <c r="D2823" s="81" t="s">
        <v>231</v>
      </c>
      <c r="E2823" s="81" t="s">
        <v>846</v>
      </c>
      <c r="F2823" s="81" t="s">
        <v>28</v>
      </c>
    </row>
    <row r="2824" spans="1:6" x14ac:dyDescent="0.25">
      <c r="A2824" s="14">
        <v>46147.936111111114</v>
      </c>
      <c r="B2824" s="81" t="s">
        <v>149</v>
      </c>
      <c r="C2824" s="81" t="s">
        <v>173</v>
      </c>
      <c r="D2824" s="81" t="s">
        <v>165</v>
      </c>
      <c r="E2824" s="81" t="s">
        <v>50</v>
      </c>
      <c r="F2824" s="81" t="s">
        <v>1</v>
      </c>
    </row>
    <row r="2825" spans="1:6" x14ac:dyDescent="0.25">
      <c r="A2825" s="14">
        <v>46147.936111111114</v>
      </c>
      <c r="B2825" s="81" t="s">
        <v>195</v>
      </c>
      <c r="C2825" s="81" t="s">
        <v>198</v>
      </c>
      <c r="D2825" s="81" t="s">
        <v>152</v>
      </c>
      <c r="E2825" s="81" t="s">
        <v>24</v>
      </c>
      <c r="F2825" s="81" t="s">
        <v>24</v>
      </c>
    </row>
    <row r="2826" spans="1:6" x14ac:dyDescent="0.25">
      <c r="A2826" s="14">
        <v>46147.936111111114</v>
      </c>
      <c r="B2826" s="81" t="s">
        <v>195</v>
      </c>
      <c r="C2826" s="81" t="s">
        <v>198</v>
      </c>
      <c r="D2826" s="81" t="s">
        <v>152</v>
      </c>
      <c r="E2826" s="81" t="s">
        <v>24</v>
      </c>
      <c r="F2826" s="81" t="s">
        <v>24</v>
      </c>
    </row>
    <row r="2827" spans="1:6" x14ac:dyDescent="0.25">
      <c r="A2827" s="14">
        <v>46147.936111111114</v>
      </c>
      <c r="B2827" s="81" t="s">
        <v>195</v>
      </c>
      <c r="C2827" s="81" t="s">
        <v>198</v>
      </c>
      <c r="D2827" s="81" t="s">
        <v>152</v>
      </c>
      <c r="E2827" s="81" t="s">
        <v>24</v>
      </c>
      <c r="F2827" s="81" t="s">
        <v>24</v>
      </c>
    </row>
    <row r="2828" spans="1:6" x14ac:dyDescent="0.25">
      <c r="A2828" s="14">
        <v>46148.45</v>
      </c>
      <c r="B2828" s="81" t="s">
        <v>149</v>
      </c>
      <c r="C2828" s="81" t="s">
        <v>182</v>
      </c>
      <c r="D2828" s="81" t="s">
        <v>165</v>
      </c>
      <c r="E2828" s="81" t="s">
        <v>50</v>
      </c>
      <c r="F2828" s="81" t="s">
        <v>1</v>
      </c>
    </row>
    <row r="2829" spans="1:6" x14ac:dyDescent="0.25">
      <c r="A2829" s="14">
        <v>46148.45</v>
      </c>
      <c r="B2829" s="81" t="s">
        <v>149</v>
      </c>
      <c r="C2829" s="81" t="s">
        <v>177</v>
      </c>
      <c r="D2829" s="81" t="s">
        <v>264</v>
      </c>
      <c r="E2829" s="81" t="s">
        <v>50</v>
      </c>
      <c r="F2829" s="81" t="s">
        <v>1</v>
      </c>
    </row>
    <row r="2830" spans="1:6" x14ac:dyDescent="0.25">
      <c r="A2830" s="14">
        <v>46148.45</v>
      </c>
      <c r="B2830" s="81" t="s">
        <v>149</v>
      </c>
      <c r="C2830" s="81" t="s">
        <v>187</v>
      </c>
      <c r="D2830" s="81" t="s">
        <v>165</v>
      </c>
      <c r="E2830" s="81" t="s">
        <v>75</v>
      </c>
      <c r="F2830" s="81" t="s">
        <v>93</v>
      </c>
    </row>
    <row r="2831" spans="1:6" x14ac:dyDescent="0.25">
      <c r="A2831" s="14">
        <v>46148.45</v>
      </c>
      <c r="B2831" s="81" t="s">
        <v>149</v>
      </c>
      <c r="C2831" s="81" t="s">
        <v>845</v>
      </c>
      <c r="D2831" s="81" t="s">
        <v>265</v>
      </c>
      <c r="E2831" s="81" t="s">
        <v>846</v>
      </c>
      <c r="F2831" s="81" t="s">
        <v>28</v>
      </c>
    </row>
    <row r="2832" spans="1:6" x14ac:dyDescent="0.25">
      <c r="A2832" s="14">
        <v>46148.45</v>
      </c>
      <c r="B2832" s="81" t="s">
        <v>149</v>
      </c>
      <c r="C2832" s="81" t="s">
        <v>184</v>
      </c>
      <c r="D2832" s="81" t="s">
        <v>242</v>
      </c>
      <c r="E2832" s="81" t="s">
        <v>50</v>
      </c>
      <c r="F2832" s="81" t="s">
        <v>1</v>
      </c>
    </row>
    <row r="2833" spans="1:6" x14ac:dyDescent="0.25">
      <c r="A2833" s="14">
        <v>46148.45</v>
      </c>
      <c r="B2833" s="81" t="s">
        <v>149</v>
      </c>
      <c r="C2833" s="81" t="s">
        <v>184</v>
      </c>
      <c r="D2833" s="81" t="s">
        <v>242</v>
      </c>
      <c r="E2833" s="81" t="s">
        <v>50</v>
      </c>
      <c r="F2833" s="81" t="s">
        <v>1</v>
      </c>
    </row>
    <row r="2834" spans="1:6" x14ac:dyDescent="0.25">
      <c r="A2834" s="14">
        <v>46148.45</v>
      </c>
      <c r="B2834" s="81" t="s">
        <v>149</v>
      </c>
      <c r="C2834" s="81" t="s">
        <v>184</v>
      </c>
      <c r="D2834" s="81" t="s">
        <v>242</v>
      </c>
      <c r="E2834" s="81" t="s">
        <v>50</v>
      </c>
      <c r="F2834" s="81" t="s">
        <v>1</v>
      </c>
    </row>
    <row r="2835" spans="1:6" x14ac:dyDescent="0.25">
      <c r="A2835" s="14">
        <v>46148.45</v>
      </c>
      <c r="B2835" s="81" t="s">
        <v>149</v>
      </c>
      <c r="C2835" s="81" t="s">
        <v>184</v>
      </c>
      <c r="D2835" s="81" t="s">
        <v>242</v>
      </c>
      <c r="E2835" s="81" t="s">
        <v>50</v>
      </c>
      <c r="F2835" s="81" t="s">
        <v>1</v>
      </c>
    </row>
    <row r="2836" spans="1:6" x14ac:dyDescent="0.25">
      <c r="A2836" s="14">
        <v>46148.45</v>
      </c>
      <c r="B2836" s="81" t="s">
        <v>149</v>
      </c>
      <c r="C2836" s="81" t="s">
        <v>184</v>
      </c>
      <c r="D2836" s="81" t="s">
        <v>242</v>
      </c>
      <c r="E2836" s="81" t="s">
        <v>50</v>
      </c>
      <c r="F2836" s="81" t="s">
        <v>1</v>
      </c>
    </row>
    <row r="2837" spans="1:6" x14ac:dyDescent="0.25">
      <c r="A2837" s="14">
        <v>46148.45</v>
      </c>
      <c r="B2837" s="81" t="s">
        <v>149</v>
      </c>
      <c r="C2837" s="81" t="s">
        <v>184</v>
      </c>
      <c r="D2837" s="81" t="s">
        <v>242</v>
      </c>
      <c r="E2837" s="81" t="s">
        <v>50</v>
      </c>
      <c r="F2837" s="81" t="s">
        <v>1</v>
      </c>
    </row>
    <row r="2838" spans="1:6" x14ac:dyDescent="0.25">
      <c r="A2838" s="14">
        <v>46148.45</v>
      </c>
      <c r="B2838" s="81" t="s">
        <v>149</v>
      </c>
      <c r="C2838" s="81" t="s">
        <v>184</v>
      </c>
      <c r="D2838" s="81" t="s">
        <v>242</v>
      </c>
      <c r="E2838" s="81" t="s">
        <v>50</v>
      </c>
      <c r="F2838" s="81" t="s">
        <v>1</v>
      </c>
    </row>
    <row r="2839" spans="1:6" x14ac:dyDescent="0.25">
      <c r="A2839" s="14">
        <v>46148.45</v>
      </c>
      <c r="B2839" s="81" t="s">
        <v>149</v>
      </c>
      <c r="C2839" s="81" t="s">
        <v>184</v>
      </c>
      <c r="D2839" s="81" t="s">
        <v>242</v>
      </c>
      <c r="E2839" s="81" t="s">
        <v>50</v>
      </c>
      <c r="F2839" s="81" t="s">
        <v>1</v>
      </c>
    </row>
    <row r="2840" spans="1:6" x14ac:dyDescent="0.25">
      <c r="A2840" s="14">
        <v>46148.45</v>
      </c>
      <c r="B2840" s="81" t="s">
        <v>149</v>
      </c>
      <c r="C2840" s="81" t="s">
        <v>184</v>
      </c>
      <c r="D2840" s="81" t="s">
        <v>242</v>
      </c>
      <c r="E2840" s="81" t="s">
        <v>50</v>
      </c>
      <c r="F2840" s="81" t="s">
        <v>1</v>
      </c>
    </row>
    <row r="2841" spans="1:6" x14ac:dyDescent="0.25">
      <c r="A2841" s="14">
        <v>46148.45</v>
      </c>
      <c r="B2841" s="81" t="s">
        <v>149</v>
      </c>
      <c r="C2841" s="81" t="s">
        <v>184</v>
      </c>
      <c r="D2841" s="81" t="s">
        <v>242</v>
      </c>
      <c r="E2841" s="81" t="s">
        <v>50</v>
      </c>
      <c r="F2841" s="81" t="s">
        <v>1</v>
      </c>
    </row>
    <row r="2842" spans="1:6" x14ac:dyDescent="0.25">
      <c r="A2842" s="14">
        <v>46148.45</v>
      </c>
      <c r="B2842" s="81" t="s">
        <v>149</v>
      </c>
      <c r="C2842" s="81" t="s">
        <v>184</v>
      </c>
      <c r="D2842" s="81" t="s">
        <v>242</v>
      </c>
      <c r="E2842" s="81" t="s">
        <v>50</v>
      </c>
      <c r="F2842" s="81" t="s">
        <v>1</v>
      </c>
    </row>
    <row r="2843" spans="1:6" x14ac:dyDescent="0.25">
      <c r="A2843" s="14">
        <v>46148.45</v>
      </c>
      <c r="B2843" s="81" t="s">
        <v>149</v>
      </c>
      <c r="C2843" s="81" t="s">
        <v>184</v>
      </c>
      <c r="D2843" s="81" t="s">
        <v>242</v>
      </c>
      <c r="E2843" s="81" t="s">
        <v>50</v>
      </c>
      <c r="F2843" s="81" t="s">
        <v>1</v>
      </c>
    </row>
    <row r="2844" spans="1:6" x14ac:dyDescent="0.25">
      <c r="A2844" s="14">
        <v>46148.45</v>
      </c>
      <c r="B2844" s="81" t="s">
        <v>149</v>
      </c>
      <c r="C2844" s="81" t="s">
        <v>184</v>
      </c>
      <c r="D2844" s="81" t="s">
        <v>242</v>
      </c>
      <c r="E2844" s="81" t="s">
        <v>50</v>
      </c>
      <c r="F2844" s="81" t="s">
        <v>1</v>
      </c>
    </row>
    <row r="2845" spans="1:6" x14ac:dyDescent="0.25">
      <c r="A2845" s="14">
        <v>46148.45</v>
      </c>
      <c r="B2845" s="81" t="s">
        <v>149</v>
      </c>
      <c r="C2845" s="81" t="s">
        <v>184</v>
      </c>
      <c r="D2845" s="81" t="s">
        <v>242</v>
      </c>
      <c r="E2845" s="81" t="s">
        <v>50</v>
      </c>
      <c r="F2845" s="81" t="s">
        <v>1</v>
      </c>
    </row>
    <row r="2846" spans="1:6" x14ac:dyDescent="0.25">
      <c r="A2846" s="14">
        <v>46148.45</v>
      </c>
      <c r="B2846" s="81" t="s">
        <v>149</v>
      </c>
      <c r="C2846" s="81" t="s">
        <v>184</v>
      </c>
      <c r="D2846" s="81" t="s">
        <v>242</v>
      </c>
      <c r="E2846" s="81" t="s">
        <v>50</v>
      </c>
      <c r="F2846" s="81" t="s">
        <v>1</v>
      </c>
    </row>
    <row r="2847" spans="1:6" x14ac:dyDescent="0.25">
      <c r="A2847" s="14">
        <v>46148.45</v>
      </c>
      <c r="B2847" s="81" t="s">
        <v>149</v>
      </c>
      <c r="C2847" s="81" t="s">
        <v>184</v>
      </c>
      <c r="D2847" s="81" t="s">
        <v>242</v>
      </c>
      <c r="E2847" s="81" t="s">
        <v>50</v>
      </c>
      <c r="F2847" s="81" t="s">
        <v>1</v>
      </c>
    </row>
    <row r="2848" spans="1:6" x14ac:dyDescent="0.25">
      <c r="A2848" s="14">
        <v>46148.45</v>
      </c>
      <c r="B2848" s="81" t="s">
        <v>149</v>
      </c>
      <c r="C2848" s="81" t="s">
        <v>184</v>
      </c>
      <c r="D2848" s="81" t="s">
        <v>242</v>
      </c>
      <c r="E2848" s="81" t="s">
        <v>50</v>
      </c>
      <c r="F2848" s="81" t="s">
        <v>1</v>
      </c>
    </row>
    <row r="2849" spans="1:6" x14ac:dyDescent="0.25">
      <c r="A2849" s="14">
        <v>46148.45</v>
      </c>
      <c r="B2849" s="81" t="s">
        <v>149</v>
      </c>
      <c r="C2849" s="81" t="s">
        <v>184</v>
      </c>
      <c r="D2849" s="81" t="s">
        <v>242</v>
      </c>
      <c r="E2849" s="81" t="s">
        <v>50</v>
      </c>
      <c r="F2849" s="81" t="s">
        <v>1</v>
      </c>
    </row>
    <row r="2850" spans="1:6" x14ac:dyDescent="0.25">
      <c r="A2850" s="14">
        <v>46148.45</v>
      </c>
      <c r="B2850" s="81" t="s">
        <v>149</v>
      </c>
      <c r="C2850" s="81" t="s">
        <v>184</v>
      </c>
      <c r="D2850" s="81" t="s">
        <v>242</v>
      </c>
      <c r="E2850" s="81" t="s">
        <v>50</v>
      </c>
      <c r="F2850" s="81" t="s">
        <v>1</v>
      </c>
    </row>
    <row r="2851" spans="1:6" x14ac:dyDescent="0.25">
      <c r="A2851" s="14">
        <v>46148.45</v>
      </c>
      <c r="B2851" s="81" t="s">
        <v>149</v>
      </c>
      <c r="C2851" s="81" t="s">
        <v>184</v>
      </c>
      <c r="D2851" s="81" t="s">
        <v>242</v>
      </c>
      <c r="E2851" s="81" t="s">
        <v>50</v>
      </c>
      <c r="F2851" s="81" t="s">
        <v>1</v>
      </c>
    </row>
    <row r="2852" spans="1:6" x14ac:dyDescent="0.25">
      <c r="A2852" s="14">
        <v>46148.45</v>
      </c>
      <c r="B2852" s="81" t="s">
        <v>149</v>
      </c>
      <c r="C2852" s="81" t="s">
        <v>184</v>
      </c>
      <c r="D2852" s="81" t="s">
        <v>242</v>
      </c>
      <c r="E2852" s="81" t="s">
        <v>50</v>
      </c>
      <c r="F2852" s="81" t="s">
        <v>1</v>
      </c>
    </row>
    <row r="2853" spans="1:6" x14ac:dyDescent="0.25">
      <c r="A2853" s="14">
        <v>46148.45</v>
      </c>
      <c r="B2853" s="81" t="s">
        <v>149</v>
      </c>
      <c r="C2853" s="81" t="s">
        <v>184</v>
      </c>
      <c r="D2853" s="81" t="s">
        <v>242</v>
      </c>
      <c r="E2853" s="81" t="s">
        <v>50</v>
      </c>
      <c r="F2853" s="81" t="s">
        <v>1</v>
      </c>
    </row>
    <row r="2854" spans="1:6" x14ac:dyDescent="0.25">
      <c r="A2854" s="14">
        <v>46148.45</v>
      </c>
      <c r="B2854" s="81" t="s">
        <v>149</v>
      </c>
      <c r="C2854" s="81" t="s">
        <v>184</v>
      </c>
      <c r="D2854" s="81" t="s">
        <v>242</v>
      </c>
      <c r="E2854" s="81" t="s">
        <v>50</v>
      </c>
      <c r="F2854" s="81" t="s">
        <v>1</v>
      </c>
    </row>
    <row r="2855" spans="1:6" x14ac:dyDescent="0.25">
      <c r="A2855" s="14">
        <v>46148.45</v>
      </c>
      <c r="B2855" s="81" t="s">
        <v>149</v>
      </c>
      <c r="C2855" s="81" t="s">
        <v>184</v>
      </c>
      <c r="D2855" s="81" t="s">
        <v>242</v>
      </c>
      <c r="E2855" s="81" t="s">
        <v>50</v>
      </c>
      <c r="F2855" s="81" t="s">
        <v>1</v>
      </c>
    </row>
    <row r="2856" spans="1:6" x14ac:dyDescent="0.25">
      <c r="A2856" s="14">
        <v>46148.45</v>
      </c>
      <c r="B2856" s="81" t="s">
        <v>149</v>
      </c>
      <c r="C2856" s="81" t="s">
        <v>184</v>
      </c>
      <c r="D2856" s="81" t="s">
        <v>242</v>
      </c>
      <c r="E2856" s="81" t="s">
        <v>50</v>
      </c>
      <c r="F2856" s="81" t="s">
        <v>1</v>
      </c>
    </row>
    <row r="2857" spans="1:6" x14ac:dyDescent="0.25">
      <c r="A2857" s="14">
        <v>46148.45</v>
      </c>
      <c r="B2857" s="81" t="s">
        <v>149</v>
      </c>
      <c r="C2857" s="81" t="s">
        <v>184</v>
      </c>
      <c r="D2857" s="81" t="s">
        <v>242</v>
      </c>
      <c r="E2857" s="81" t="s">
        <v>50</v>
      </c>
      <c r="F2857" s="81" t="s">
        <v>1</v>
      </c>
    </row>
    <row r="2858" spans="1:6" x14ac:dyDescent="0.25">
      <c r="A2858" s="14">
        <v>46148.45</v>
      </c>
      <c r="B2858" s="81" t="s">
        <v>149</v>
      </c>
      <c r="C2858" s="81" t="s">
        <v>184</v>
      </c>
      <c r="D2858" s="81" t="s">
        <v>242</v>
      </c>
      <c r="E2858" s="81" t="s">
        <v>50</v>
      </c>
      <c r="F2858" s="81" t="s">
        <v>1</v>
      </c>
    </row>
    <row r="2859" spans="1:6" x14ac:dyDescent="0.25">
      <c r="A2859" s="14">
        <v>46148.45</v>
      </c>
      <c r="B2859" s="81" t="s">
        <v>149</v>
      </c>
      <c r="C2859" s="81" t="s">
        <v>184</v>
      </c>
      <c r="D2859" s="81" t="s">
        <v>242</v>
      </c>
      <c r="E2859" s="81" t="s">
        <v>50</v>
      </c>
      <c r="F2859" s="81" t="s">
        <v>1</v>
      </c>
    </row>
    <row r="2860" spans="1:6" x14ac:dyDescent="0.25">
      <c r="A2860" s="14">
        <v>46148.45</v>
      </c>
      <c r="B2860" s="81" t="s">
        <v>149</v>
      </c>
      <c r="C2860" s="81" t="s">
        <v>184</v>
      </c>
      <c r="D2860" s="81" t="s">
        <v>242</v>
      </c>
      <c r="E2860" s="81" t="s">
        <v>50</v>
      </c>
      <c r="F2860" s="81" t="s">
        <v>1</v>
      </c>
    </row>
    <row r="2861" spans="1:6" x14ac:dyDescent="0.25">
      <c r="A2861" s="14">
        <v>46148.45</v>
      </c>
      <c r="B2861" s="81" t="s">
        <v>149</v>
      </c>
      <c r="C2861" s="81" t="s">
        <v>184</v>
      </c>
      <c r="D2861" s="81" t="s">
        <v>242</v>
      </c>
      <c r="E2861" s="81" t="s">
        <v>50</v>
      </c>
      <c r="F2861" s="81" t="s">
        <v>1</v>
      </c>
    </row>
    <row r="2862" spans="1:6" x14ac:dyDescent="0.25">
      <c r="A2862" s="14">
        <v>46148.45</v>
      </c>
      <c r="B2862" s="81" t="s">
        <v>149</v>
      </c>
      <c r="C2862" s="81" t="s">
        <v>184</v>
      </c>
      <c r="D2862" s="81" t="s">
        <v>242</v>
      </c>
      <c r="E2862" s="81" t="s">
        <v>50</v>
      </c>
      <c r="F2862" s="81" t="s">
        <v>1</v>
      </c>
    </row>
    <row r="2863" spans="1:6" x14ac:dyDescent="0.25">
      <c r="A2863" s="14">
        <v>46148.45</v>
      </c>
      <c r="B2863" s="81" t="s">
        <v>149</v>
      </c>
      <c r="C2863" s="81" t="s">
        <v>184</v>
      </c>
      <c r="D2863" s="81" t="s">
        <v>242</v>
      </c>
      <c r="E2863" s="81" t="s">
        <v>50</v>
      </c>
      <c r="F2863" s="81" t="s">
        <v>1</v>
      </c>
    </row>
    <row r="2864" spans="1:6" x14ac:dyDescent="0.25">
      <c r="A2864" s="14">
        <v>46148.45</v>
      </c>
      <c r="B2864" s="81" t="s">
        <v>149</v>
      </c>
      <c r="C2864" s="81" t="s">
        <v>184</v>
      </c>
      <c r="D2864" s="81" t="s">
        <v>242</v>
      </c>
      <c r="E2864" s="81" t="s">
        <v>50</v>
      </c>
      <c r="F2864" s="81" t="s">
        <v>1</v>
      </c>
    </row>
    <row r="2865" spans="1:6" x14ac:dyDescent="0.25">
      <c r="A2865" s="14">
        <v>46148.45</v>
      </c>
      <c r="B2865" s="81" t="s">
        <v>149</v>
      </c>
      <c r="C2865" s="81" t="s">
        <v>184</v>
      </c>
      <c r="D2865" s="81" t="s">
        <v>242</v>
      </c>
      <c r="E2865" s="81" t="s">
        <v>50</v>
      </c>
      <c r="F2865" s="81" t="s">
        <v>1</v>
      </c>
    </row>
    <row r="2866" spans="1:6" x14ac:dyDescent="0.25">
      <c r="A2866" s="14">
        <v>46148.45</v>
      </c>
      <c r="B2866" s="81" t="s">
        <v>149</v>
      </c>
      <c r="C2866" s="81" t="s">
        <v>184</v>
      </c>
      <c r="D2866" s="81" t="s">
        <v>242</v>
      </c>
      <c r="E2866" s="81" t="s">
        <v>50</v>
      </c>
      <c r="F2866" s="81" t="s">
        <v>1</v>
      </c>
    </row>
    <row r="2867" spans="1:6" x14ac:dyDescent="0.25">
      <c r="A2867" s="14">
        <v>46148.45</v>
      </c>
      <c r="B2867" s="81" t="s">
        <v>149</v>
      </c>
      <c r="C2867" s="81" t="s">
        <v>184</v>
      </c>
      <c r="D2867" s="81" t="s">
        <v>242</v>
      </c>
      <c r="E2867" s="81" t="s">
        <v>50</v>
      </c>
      <c r="F2867" s="81" t="s">
        <v>1</v>
      </c>
    </row>
    <row r="2868" spans="1:6" x14ac:dyDescent="0.25">
      <c r="A2868" s="14">
        <v>46148.45</v>
      </c>
      <c r="B2868" s="81" t="s">
        <v>149</v>
      </c>
      <c r="C2868" s="81" t="s">
        <v>184</v>
      </c>
      <c r="D2868" s="81" t="s">
        <v>242</v>
      </c>
      <c r="E2868" s="81" t="s">
        <v>50</v>
      </c>
      <c r="F2868" s="81" t="s">
        <v>1</v>
      </c>
    </row>
    <row r="2869" spans="1:6" x14ac:dyDescent="0.25">
      <c r="A2869" s="14">
        <v>46148.45</v>
      </c>
      <c r="B2869" s="81" t="s">
        <v>149</v>
      </c>
      <c r="C2869" s="81" t="s">
        <v>184</v>
      </c>
      <c r="D2869" s="81" t="s">
        <v>242</v>
      </c>
      <c r="E2869" s="81" t="s">
        <v>50</v>
      </c>
      <c r="F2869" s="81" t="s">
        <v>1</v>
      </c>
    </row>
    <row r="2870" spans="1:6" x14ac:dyDescent="0.25">
      <c r="A2870" s="14">
        <v>46148.45</v>
      </c>
      <c r="B2870" s="81" t="s">
        <v>149</v>
      </c>
      <c r="C2870" s="81" t="s">
        <v>158</v>
      </c>
      <c r="D2870" s="81" t="s">
        <v>242</v>
      </c>
      <c r="E2870" s="81" t="s">
        <v>49</v>
      </c>
      <c r="F2870" s="81" t="s">
        <v>2</v>
      </c>
    </row>
    <row r="2871" spans="1:6" x14ac:dyDescent="0.25">
      <c r="A2871" s="14">
        <v>46148.45</v>
      </c>
      <c r="B2871" s="81" t="s">
        <v>149</v>
      </c>
      <c r="C2871" s="81" t="s">
        <v>176</v>
      </c>
      <c r="D2871" s="81" t="s">
        <v>156</v>
      </c>
      <c r="E2871" s="81" t="s">
        <v>70</v>
      </c>
      <c r="F2871" s="81" t="s">
        <v>15</v>
      </c>
    </row>
    <row r="2872" spans="1:6" x14ac:dyDescent="0.25">
      <c r="A2872" s="14">
        <v>46148.45</v>
      </c>
      <c r="B2872" s="81" t="s">
        <v>149</v>
      </c>
      <c r="C2872" s="81" t="s">
        <v>158</v>
      </c>
      <c r="D2872" s="81" t="s">
        <v>156</v>
      </c>
      <c r="E2872" s="81" t="s">
        <v>49</v>
      </c>
      <c r="F2872" s="81" t="s">
        <v>2</v>
      </c>
    </row>
    <row r="2873" spans="1:6" x14ac:dyDescent="0.25">
      <c r="A2873" s="14">
        <v>46148.45</v>
      </c>
      <c r="B2873" s="81" t="s">
        <v>149</v>
      </c>
      <c r="C2873" s="81" t="s">
        <v>187</v>
      </c>
      <c r="D2873" s="81" t="s">
        <v>156</v>
      </c>
      <c r="E2873" s="81" t="s">
        <v>75</v>
      </c>
      <c r="F2873" s="81" t="s">
        <v>93</v>
      </c>
    </row>
    <row r="2874" spans="1:6" x14ac:dyDescent="0.25">
      <c r="A2874" s="14">
        <v>46148.45</v>
      </c>
      <c r="B2874" s="81" t="s">
        <v>149</v>
      </c>
      <c r="C2874" s="81" t="s">
        <v>187</v>
      </c>
      <c r="D2874" s="81" t="s">
        <v>156</v>
      </c>
      <c r="E2874" s="81" t="s">
        <v>75</v>
      </c>
      <c r="F2874" s="81" t="s">
        <v>93</v>
      </c>
    </row>
    <row r="2875" spans="1:6" x14ac:dyDescent="0.25">
      <c r="A2875" s="14">
        <v>46148.45</v>
      </c>
      <c r="B2875" s="81" t="s">
        <v>149</v>
      </c>
      <c r="C2875" s="81" t="s">
        <v>187</v>
      </c>
      <c r="D2875" s="81" t="s">
        <v>156</v>
      </c>
      <c r="E2875" s="81" t="s">
        <v>75</v>
      </c>
      <c r="F2875" s="81" t="s">
        <v>93</v>
      </c>
    </row>
    <row r="2876" spans="1:6" x14ac:dyDescent="0.25">
      <c r="A2876" s="14">
        <v>46148.45</v>
      </c>
      <c r="B2876" s="81" t="s">
        <v>149</v>
      </c>
      <c r="C2876" s="81" t="s">
        <v>188</v>
      </c>
      <c r="D2876" s="81" t="s">
        <v>156</v>
      </c>
      <c r="E2876" s="81" t="s">
        <v>45</v>
      </c>
      <c r="F2876" s="81" t="s">
        <v>28</v>
      </c>
    </row>
    <row r="2877" spans="1:6" x14ac:dyDescent="0.25">
      <c r="A2877" s="14">
        <v>46148.45</v>
      </c>
      <c r="B2877" s="81" t="s">
        <v>149</v>
      </c>
      <c r="C2877" s="81" t="s">
        <v>189</v>
      </c>
      <c r="D2877" s="81" t="s">
        <v>156</v>
      </c>
      <c r="E2877" s="81" t="s">
        <v>45</v>
      </c>
      <c r="F2877" s="81" t="s">
        <v>28</v>
      </c>
    </row>
    <row r="2878" spans="1:6" x14ac:dyDescent="0.25">
      <c r="A2878" s="14">
        <v>46148.45</v>
      </c>
      <c r="B2878" s="81" t="s">
        <v>149</v>
      </c>
      <c r="C2878" s="81" t="s">
        <v>845</v>
      </c>
      <c r="D2878" s="81" t="s">
        <v>268</v>
      </c>
      <c r="E2878" s="81" t="s">
        <v>846</v>
      </c>
      <c r="F2878" s="81" t="s">
        <v>28</v>
      </c>
    </row>
    <row r="2879" spans="1:6" x14ac:dyDescent="0.25">
      <c r="A2879" s="14">
        <v>46148.45</v>
      </c>
      <c r="B2879" s="81" t="s">
        <v>149</v>
      </c>
      <c r="C2879" s="81" t="s">
        <v>845</v>
      </c>
      <c r="D2879" s="81" t="s">
        <v>268</v>
      </c>
      <c r="E2879" s="81" t="s">
        <v>846</v>
      </c>
      <c r="F2879" s="81" t="s">
        <v>28</v>
      </c>
    </row>
    <row r="2880" spans="1:6" x14ac:dyDescent="0.25">
      <c r="A2880" s="14">
        <v>46148.45</v>
      </c>
      <c r="B2880" s="81" t="s">
        <v>149</v>
      </c>
      <c r="C2880" s="81" t="s">
        <v>845</v>
      </c>
      <c r="D2880" s="81" t="s">
        <v>268</v>
      </c>
      <c r="E2880" s="81" t="s">
        <v>846</v>
      </c>
      <c r="F2880" s="81" t="s">
        <v>28</v>
      </c>
    </row>
    <row r="2881" spans="1:6" x14ac:dyDescent="0.25">
      <c r="A2881" s="14">
        <v>46148.45</v>
      </c>
      <c r="B2881" s="81" t="s">
        <v>149</v>
      </c>
      <c r="C2881" s="81" t="s">
        <v>182</v>
      </c>
      <c r="D2881" s="81" t="s">
        <v>240</v>
      </c>
      <c r="E2881" s="81" t="s">
        <v>52</v>
      </c>
      <c r="F2881" s="81" t="s">
        <v>0</v>
      </c>
    </row>
    <row r="2882" spans="1:6" x14ac:dyDescent="0.25">
      <c r="A2882" s="14">
        <v>46148.45</v>
      </c>
      <c r="B2882" s="81" t="s">
        <v>149</v>
      </c>
      <c r="C2882" s="81" t="s">
        <v>845</v>
      </c>
      <c r="D2882" s="81" t="s">
        <v>268</v>
      </c>
      <c r="E2882" s="81" t="s">
        <v>846</v>
      </c>
      <c r="F2882" s="81" t="s">
        <v>28</v>
      </c>
    </row>
    <row r="2883" spans="1:6" x14ac:dyDescent="0.25">
      <c r="A2883" s="14">
        <v>46148.45</v>
      </c>
      <c r="B2883" s="81" t="s">
        <v>149</v>
      </c>
      <c r="C2883" s="81" t="s">
        <v>173</v>
      </c>
      <c r="D2883" s="81" t="s">
        <v>253</v>
      </c>
      <c r="E2883" s="81" t="s">
        <v>52</v>
      </c>
      <c r="F2883" s="81" t="s">
        <v>0</v>
      </c>
    </row>
    <row r="2884" spans="1:6" x14ac:dyDescent="0.25">
      <c r="A2884" s="14">
        <v>46148.45</v>
      </c>
      <c r="B2884" s="81" t="s">
        <v>149</v>
      </c>
      <c r="C2884" s="81" t="s">
        <v>151</v>
      </c>
      <c r="D2884" s="81" t="s">
        <v>166</v>
      </c>
      <c r="E2884" s="81" t="s">
        <v>50</v>
      </c>
      <c r="F2884" s="81" t="s">
        <v>1</v>
      </c>
    </row>
    <row r="2885" spans="1:6" x14ac:dyDescent="0.25">
      <c r="A2885" s="14">
        <v>46148.45</v>
      </c>
      <c r="B2885" s="81" t="s">
        <v>149</v>
      </c>
      <c r="C2885" s="81" t="s">
        <v>185</v>
      </c>
      <c r="D2885" s="81" t="s">
        <v>253</v>
      </c>
      <c r="E2885" s="81" t="s">
        <v>52</v>
      </c>
      <c r="F2885" s="81" t="s">
        <v>0</v>
      </c>
    </row>
    <row r="2886" spans="1:6" x14ac:dyDescent="0.25">
      <c r="A2886" s="14">
        <v>46148.45</v>
      </c>
      <c r="B2886" s="81" t="s">
        <v>149</v>
      </c>
      <c r="C2886" s="81" t="s">
        <v>172</v>
      </c>
      <c r="D2886" s="81" t="s">
        <v>166</v>
      </c>
      <c r="E2886" s="81" t="s">
        <v>64</v>
      </c>
      <c r="F2886" s="81" t="s">
        <v>98</v>
      </c>
    </row>
    <row r="2887" spans="1:6" x14ac:dyDescent="0.25">
      <c r="A2887" s="14">
        <v>46148.45</v>
      </c>
      <c r="B2887" s="81" t="s">
        <v>149</v>
      </c>
      <c r="C2887" s="81" t="s">
        <v>848</v>
      </c>
      <c r="D2887" s="81" t="s">
        <v>166</v>
      </c>
      <c r="E2887" s="81" t="s">
        <v>64</v>
      </c>
      <c r="F2887" s="81" t="s">
        <v>98</v>
      </c>
    </row>
    <row r="2888" spans="1:6" x14ac:dyDescent="0.25">
      <c r="A2888" s="14">
        <v>46148.45</v>
      </c>
      <c r="B2888" s="81" t="s">
        <v>149</v>
      </c>
      <c r="C2888" s="81" t="s">
        <v>172</v>
      </c>
      <c r="D2888" s="81" t="s">
        <v>166</v>
      </c>
      <c r="E2888" s="81" t="s">
        <v>64</v>
      </c>
      <c r="F2888" s="81" t="s">
        <v>98</v>
      </c>
    </row>
    <row r="2889" spans="1:6" x14ac:dyDescent="0.25">
      <c r="A2889" s="14">
        <v>46148.45</v>
      </c>
      <c r="B2889" s="81" t="s">
        <v>149</v>
      </c>
      <c r="C2889" s="81" t="s">
        <v>187</v>
      </c>
      <c r="D2889" s="81" t="s">
        <v>166</v>
      </c>
      <c r="E2889" s="81" t="s">
        <v>75</v>
      </c>
      <c r="F2889" s="81" t="s">
        <v>93</v>
      </c>
    </row>
    <row r="2890" spans="1:6" x14ac:dyDescent="0.25">
      <c r="A2890" s="14">
        <v>46148.45</v>
      </c>
      <c r="B2890" s="81" t="s">
        <v>149</v>
      </c>
      <c r="C2890" s="81" t="s">
        <v>177</v>
      </c>
      <c r="D2890" s="81" t="s">
        <v>261</v>
      </c>
      <c r="E2890" s="81" t="s">
        <v>52</v>
      </c>
      <c r="F2890" s="81" t="s">
        <v>0</v>
      </c>
    </row>
    <row r="2891" spans="1:6" x14ac:dyDescent="0.25">
      <c r="A2891" s="14">
        <v>46148.45</v>
      </c>
      <c r="B2891" s="81" t="s">
        <v>149</v>
      </c>
      <c r="C2891" s="81" t="s">
        <v>173</v>
      </c>
      <c r="D2891" s="81" t="s">
        <v>159</v>
      </c>
      <c r="E2891" s="81" t="s">
        <v>52</v>
      </c>
      <c r="F2891" s="81" t="s">
        <v>0</v>
      </c>
    </row>
    <row r="2892" spans="1:6" x14ac:dyDescent="0.25">
      <c r="A2892" s="14">
        <v>46148.45</v>
      </c>
      <c r="B2892" s="81" t="s">
        <v>149</v>
      </c>
      <c r="C2892" s="81" t="s">
        <v>181</v>
      </c>
      <c r="D2892" s="81" t="s">
        <v>159</v>
      </c>
      <c r="E2892" s="81" t="s">
        <v>50</v>
      </c>
      <c r="F2892" s="81" t="s">
        <v>1</v>
      </c>
    </row>
    <row r="2893" spans="1:6" x14ac:dyDescent="0.25">
      <c r="A2893" s="14">
        <v>46148.45</v>
      </c>
      <c r="B2893" s="81" t="s">
        <v>149</v>
      </c>
      <c r="C2893" s="81" t="s">
        <v>173</v>
      </c>
      <c r="D2893" s="81" t="s">
        <v>179</v>
      </c>
      <c r="E2893" s="81" t="s">
        <v>52</v>
      </c>
      <c r="F2893" s="81" t="s">
        <v>0</v>
      </c>
    </row>
    <row r="2894" spans="1:6" x14ac:dyDescent="0.25">
      <c r="A2894" s="14">
        <v>46148.45</v>
      </c>
      <c r="B2894" s="81" t="s">
        <v>149</v>
      </c>
      <c r="C2894" s="81" t="s">
        <v>151</v>
      </c>
      <c r="D2894" s="81" t="s">
        <v>261</v>
      </c>
      <c r="E2894" s="81" t="s">
        <v>52</v>
      </c>
      <c r="F2894" s="81" t="s">
        <v>0</v>
      </c>
    </row>
    <row r="2895" spans="1:6" x14ac:dyDescent="0.25">
      <c r="A2895" s="14">
        <v>46148.45</v>
      </c>
      <c r="B2895" s="81" t="s">
        <v>149</v>
      </c>
      <c r="C2895" s="81" t="s">
        <v>184</v>
      </c>
      <c r="D2895" s="81" t="s">
        <v>193</v>
      </c>
      <c r="E2895" s="81" t="s">
        <v>50</v>
      </c>
      <c r="F2895" s="81" t="s">
        <v>1</v>
      </c>
    </row>
    <row r="2896" spans="1:6" x14ac:dyDescent="0.25">
      <c r="A2896" s="14">
        <v>46148.45</v>
      </c>
      <c r="B2896" s="81" t="s">
        <v>149</v>
      </c>
      <c r="C2896" s="81" t="s">
        <v>182</v>
      </c>
      <c r="D2896" s="81" t="s">
        <v>261</v>
      </c>
      <c r="E2896" s="81" t="s">
        <v>52</v>
      </c>
      <c r="F2896" s="81" t="s">
        <v>0</v>
      </c>
    </row>
    <row r="2897" spans="1:6" x14ac:dyDescent="0.25">
      <c r="A2897" s="14">
        <v>46148.45</v>
      </c>
      <c r="B2897" s="81" t="s">
        <v>149</v>
      </c>
      <c r="C2897" s="81" t="s">
        <v>181</v>
      </c>
      <c r="D2897" s="81" t="s">
        <v>261</v>
      </c>
      <c r="E2897" s="81" t="s">
        <v>52</v>
      </c>
      <c r="F2897" s="81" t="s">
        <v>0</v>
      </c>
    </row>
    <row r="2898" spans="1:6" x14ac:dyDescent="0.25">
      <c r="A2898" s="14">
        <v>46148.45</v>
      </c>
      <c r="B2898" s="81" t="s">
        <v>149</v>
      </c>
      <c r="C2898" s="81" t="s">
        <v>182</v>
      </c>
      <c r="D2898" s="81" t="s">
        <v>193</v>
      </c>
      <c r="E2898" s="81" t="s">
        <v>50</v>
      </c>
      <c r="F2898" s="81" t="s">
        <v>1</v>
      </c>
    </row>
    <row r="2899" spans="1:6" x14ac:dyDescent="0.25">
      <c r="A2899" s="14">
        <v>46148.45</v>
      </c>
      <c r="B2899" s="81" t="s">
        <v>149</v>
      </c>
      <c r="C2899" s="81" t="s">
        <v>190</v>
      </c>
      <c r="D2899" s="81" t="s">
        <v>193</v>
      </c>
      <c r="E2899" s="81" t="s">
        <v>50</v>
      </c>
      <c r="F2899" s="81" t="s">
        <v>1</v>
      </c>
    </row>
    <row r="2900" spans="1:6" x14ac:dyDescent="0.25">
      <c r="A2900" s="14">
        <v>46148.45</v>
      </c>
      <c r="B2900" s="81" t="s">
        <v>149</v>
      </c>
      <c r="C2900" s="81" t="s">
        <v>158</v>
      </c>
      <c r="D2900" s="81" t="s">
        <v>162</v>
      </c>
      <c r="E2900" s="81" t="s">
        <v>49</v>
      </c>
      <c r="F2900" s="81" t="s">
        <v>2</v>
      </c>
    </row>
    <row r="2901" spans="1:6" x14ac:dyDescent="0.25">
      <c r="A2901" s="14">
        <v>46148.45</v>
      </c>
      <c r="B2901" s="81" t="s">
        <v>149</v>
      </c>
      <c r="C2901" s="81" t="s">
        <v>177</v>
      </c>
      <c r="D2901" s="81" t="s">
        <v>162</v>
      </c>
      <c r="E2901" s="81" t="s">
        <v>50</v>
      </c>
      <c r="F2901" s="81" t="s">
        <v>1</v>
      </c>
    </row>
    <row r="2902" spans="1:6" x14ac:dyDescent="0.25">
      <c r="A2902" s="14">
        <v>46148.45</v>
      </c>
      <c r="B2902" s="81" t="s">
        <v>149</v>
      </c>
      <c r="C2902" s="81" t="s">
        <v>181</v>
      </c>
      <c r="D2902" s="81" t="s">
        <v>162</v>
      </c>
      <c r="E2902" s="81" t="s">
        <v>50</v>
      </c>
      <c r="F2902" s="81" t="s">
        <v>1</v>
      </c>
    </row>
    <row r="2903" spans="1:6" x14ac:dyDescent="0.25">
      <c r="A2903" s="14">
        <v>46148.45</v>
      </c>
      <c r="B2903" s="81" t="s">
        <v>149</v>
      </c>
      <c r="C2903" s="81" t="s">
        <v>171</v>
      </c>
      <c r="D2903" s="81" t="s">
        <v>162</v>
      </c>
      <c r="E2903" s="81" t="s">
        <v>49</v>
      </c>
      <c r="F2903" s="81" t="s">
        <v>2</v>
      </c>
    </row>
    <row r="2904" spans="1:6" x14ac:dyDescent="0.25">
      <c r="A2904" s="14">
        <v>46148.45</v>
      </c>
      <c r="B2904" s="81" t="s">
        <v>149</v>
      </c>
      <c r="C2904" s="81" t="s">
        <v>183</v>
      </c>
      <c r="D2904" s="81" t="s">
        <v>162</v>
      </c>
      <c r="E2904" s="81" t="s">
        <v>50</v>
      </c>
      <c r="F2904" s="81" t="s">
        <v>1</v>
      </c>
    </row>
    <row r="2905" spans="1:6" x14ac:dyDescent="0.25">
      <c r="A2905" s="14">
        <v>46148.45</v>
      </c>
      <c r="B2905" s="81" t="s">
        <v>149</v>
      </c>
      <c r="C2905" s="81" t="s">
        <v>177</v>
      </c>
      <c r="D2905" s="81" t="s">
        <v>162</v>
      </c>
      <c r="E2905" s="81" t="s">
        <v>50</v>
      </c>
      <c r="F2905" s="81" t="s">
        <v>1</v>
      </c>
    </row>
    <row r="2906" spans="1:6" x14ac:dyDescent="0.25">
      <c r="A2906" s="14">
        <v>46148.45</v>
      </c>
      <c r="B2906" s="81" t="s">
        <v>149</v>
      </c>
      <c r="C2906" s="81" t="s">
        <v>181</v>
      </c>
      <c r="D2906" s="81" t="s">
        <v>162</v>
      </c>
      <c r="E2906" s="81" t="s">
        <v>50</v>
      </c>
      <c r="F2906" s="81" t="s">
        <v>1</v>
      </c>
    </row>
    <row r="2907" spans="1:6" x14ac:dyDescent="0.25">
      <c r="A2907" s="14">
        <v>46148.45</v>
      </c>
      <c r="B2907" s="81" t="s">
        <v>149</v>
      </c>
      <c r="C2907" s="81" t="s">
        <v>183</v>
      </c>
      <c r="D2907" s="81" t="s">
        <v>162</v>
      </c>
      <c r="E2907" s="81" t="s">
        <v>49</v>
      </c>
      <c r="F2907" s="81" t="s">
        <v>2</v>
      </c>
    </row>
    <row r="2908" spans="1:6" x14ac:dyDescent="0.25">
      <c r="A2908" s="14">
        <v>46148.45</v>
      </c>
      <c r="B2908" s="81" t="s">
        <v>149</v>
      </c>
      <c r="C2908" s="81" t="s">
        <v>182</v>
      </c>
      <c r="D2908" s="81" t="s">
        <v>162</v>
      </c>
      <c r="E2908" s="81" t="s">
        <v>49</v>
      </c>
      <c r="F2908" s="81" t="s">
        <v>2</v>
      </c>
    </row>
    <row r="2909" spans="1:6" x14ac:dyDescent="0.25">
      <c r="A2909" s="14">
        <v>46148.45</v>
      </c>
      <c r="B2909" s="81" t="s">
        <v>149</v>
      </c>
      <c r="C2909" s="81" t="s">
        <v>173</v>
      </c>
      <c r="D2909" s="81" t="s">
        <v>162</v>
      </c>
      <c r="E2909" s="81" t="s">
        <v>50</v>
      </c>
      <c r="F2909" s="81" t="s">
        <v>1</v>
      </c>
    </row>
    <row r="2910" spans="1:6" x14ac:dyDescent="0.25">
      <c r="A2910" s="14">
        <v>46148.45</v>
      </c>
      <c r="B2910" s="81" t="s">
        <v>149</v>
      </c>
      <c r="C2910" s="81" t="s">
        <v>175</v>
      </c>
      <c r="D2910" s="81" t="s">
        <v>162</v>
      </c>
      <c r="E2910" s="81" t="s">
        <v>50</v>
      </c>
      <c r="F2910" s="81" t="s">
        <v>1</v>
      </c>
    </row>
    <row r="2911" spans="1:6" x14ac:dyDescent="0.25">
      <c r="A2911" s="14">
        <v>46148.45</v>
      </c>
      <c r="B2911" s="81" t="s">
        <v>149</v>
      </c>
      <c r="C2911" s="81" t="s">
        <v>182</v>
      </c>
      <c r="D2911" s="81" t="s">
        <v>162</v>
      </c>
      <c r="E2911" s="81" t="s">
        <v>49</v>
      </c>
      <c r="F2911" s="81" t="s">
        <v>2</v>
      </c>
    </row>
    <row r="2912" spans="1:6" x14ac:dyDescent="0.25">
      <c r="A2912" s="14">
        <v>46148.45</v>
      </c>
      <c r="B2912" s="81" t="s">
        <v>149</v>
      </c>
      <c r="C2912" s="81" t="s">
        <v>151</v>
      </c>
      <c r="D2912" s="81" t="s">
        <v>162</v>
      </c>
      <c r="E2912" s="81" t="s">
        <v>49</v>
      </c>
      <c r="F2912" s="81" t="s">
        <v>2</v>
      </c>
    </row>
    <row r="2913" spans="1:6" x14ac:dyDescent="0.25">
      <c r="A2913" s="14">
        <v>46148.45</v>
      </c>
      <c r="B2913" s="81" t="s">
        <v>149</v>
      </c>
      <c r="C2913" s="81" t="s">
        <v>171</v>
      </c>
      <c r="D2913" s="81" t="s">
        <v>162</v>
      </c>
      <c r="E2913" s="81" t="s">
        <v>49</v>
      </c>
      <c r="F2913" s="81" t="s">
        <v>2</v>
      </c>
    </row>
    <row r="2914" spans="1:6" x14ac:dyDescent="0.25">
      <c r="A2914" s="14">
        <v>46148.45</v>
      </c>
      <c r="B2914" s="81" t="s">
        <v>149</v>
      </c>
      <c r="C2914" s="81" t="s">
        <v>175</v>
      </c>
      <c r="D2914" s="81" t="s">
        <v>162</v>
      </c>
      <c r="E2914" s="81" t="s">
        <v>50</v>
      </c>
      <c r="F2914" s="81" t="s">
        <v>1</v>
      </c>
    </row>
    <row r="2915" spans="1:6" x14ac:dyDescent="0.25">
      <c r="A2915" s="14">
        <v>46148.45</v>
      </c>
      <c r="B2915" s="81" t="s">
        <v>149</v>
      </c>
      <c r="C2915" s="81" t="s">
        <v>173</v>
      </c>
      <c r="D2915" s="81" t="s">
        <v>162</v>
      </c>
      <c r="E2915" s="81" t="s">
        <v>50</v>
      </c>
      <c r="F2915" s="81" t="s">
        <v>1</v>
      </c>
    </row>
    <row r="2916" spans="1:6" x14ac:dyDescent="0.25">
      <c r="A2916" s="14">
        <v>46148.45</v>
      </c>
      <c r="B2916" s="81" t="s">
        <v>149</v>
      </c>
      <c r="C2916" s="81" t="s">
        <v>175</v>
      </c>
      <c r="D2916" s="81" t="s">
        <v>162</v>
      </c>
      <c r="E2916" s="81" t="s">
        <v>49</v>
      </c>
      <c r="F2916" s="81" t="s">
        <v>2</v>
      </c>
    </row>
    <row r="2917" spans="1:6" x14ac:dyDescent="0.25">
      <c r="A2917" s="14">
        <v>46148.45</v>
      </c>
      <c r="B2917" s="81" t="s">
        <v>149</v>
      </c>
      <c r="C2917" s="81" t="s">
        <v>177</v>
      </c>
      <c r="D2917" s="81" t="s">
        <v>153</v>
      </c>
      <c r="E2917" s="81" t="s">
        <v>49</v>
      </c>
      <c r="F2917" s="81" t="s">
        <v>2</v>
      </c>
    </row>
    <row r="2918" spans="1:6" x14ac:dyDescent="0.25">
      <c r="A2918" s="14">
        <v>46148.45</v>
      </c>
      <c r="B2918" s="81" t="s">
        <v>149</v>
      </c>
      <c r="C2918" s="81" t="s">
        <v>183</v>
      </c>
      <c r="D2918" s="81" t="s">
        <v>153</v>
      </c>
      <c r="E2918" s="81" t="s">
        <v>52</v>
      </c>
      <c r="F2918" s="81" t="s">
        <v>0</v>
      </c>
    </row>
    <row r="2919" spans="1:6" x14ac:dyDescent="0.25">
      <c r="A2919" s="14">
        <v>46148.45</v>
      </c>
      <c r="B2919" s="81" t="s">
        <v>149</v>
      </c>
      <c r="C2919" s="81" t="s">
        <v>175</v>
      </c>
      <c r="D2919" s="81" t="s">
        <v>153</v>
      </c>
      <c r="E2919" s="81" t="s">
        <v>52</v>
      </c>
      <c r="F2919" s="81" t="s">
        <v>0</v>
      </c>
    </row>
    <row r="2920" spans="1:6" x14ac:dyDescent="0.25">
      <c r="A2920" s="14">
        <v>46148.45</v>
      </c>
      <c r="B2920" s="81" t="s">
        <v>149</v>
      </c>
      <c r="C2920" s="81" t="s">
        <v>176</v>
      </c>
      <c r="D2920" s="81" t="s">
        <v>153</v>
      </c>
      <c r="E2920" s="81" t="s">
        <v>70</v>
      </c>
      <c r="F2920" s="81" t="s">
        <v>15</v>
      </c>
    </row>
    <row r="2921" spans="1:6" x14ac:dyDescent="0.25">
      <c r="A2921" s="14">
        <v>46148.45</v>
      </c>
      <c r="B2921" s="81" t="s">
        <v>149</v>
      </c>
      <c r="C2921" s="81" t="s">
        <v>187</v>
      </c>
      <c r="D2921" s="81" t="s">
        <v>153</v>
      </c>
      <c r="E2921" s="81" t="s">
        <v>75</v>
      </c>
      <c r="F2921" s="81" t="s">
        <v>93</v>
      </c>
    </row>
    <row r="2922" spans="1:6" x14ac:dyDescent="0.25">
      <c r="A2922" s="14">
        <v>46148.45</v>
      </c>
      <c r="B2922" s="81" t="s">
        <v>149</v>
      </c>
      <c r="C2922" s="81" t="s">
        <v>181</v>
      </c>
      <c r="D2922" s="81" t="s">
        <v>236</v>
      </c>
      <c r="E2922" s="81" t="s">
        <v>50</v>
      </c>
      <c r="F2922" s="81" t="s">
        <v>1</v>
      </c>
    </row>
    <row r="2923" spans="1:6" x14ac:dyDescent="0.25">
      <c r="A2923" s="14">
        <v>46148.45</v>
      </c>
      <c r="B2923" s="81" t="s">
        <v>149</v>
      </c>
      <c r="C2923" s="81" t="s">
        <v>151</v>
      </c>
      <c r="D2923" s="81" t="s">
        <v>153</v>
      </c>
      <c r="E2923" s="81" t="s">
        <v>50</v>
      </c>
      <c r="F2923" s="81" t="s">
        <v>1</v>
      </c>
    </row>
    <row r="2924" spans="1:6" x14ac:dyDescent="0.25">
      <c r="A2924" s="14">
        <v>46148.45</v>
      </c>
      <c r="B2924" s="81" t="s">
        <v>149</v>
      </c>
      <c r="C2924" s="81" t="s">
        <v>177</v>
      </c>
      <c r="D2924" s="81" t="s">
        <v>153</v>
      </c>
      <c r="E2924" s="81" t="s">
        <v>50</v>
      </c>
      <c r="F2924" s="81" t="s">
        <v>1</v>
      </c>
    </row>
    <row r="2925" spans="1:6" x14ac:dyDescent="0.25">
      <c r="A2925" s="14">
        <v>46148.45</v>
      </c>
      <c r="B2925" s="81" t="s">
        <v>149</v>
      </c>
      <c r="C2925" s="81" t="s">
        <v>171</v>
      </c>
      <c r="D2925" s="81" t="s">
        <v>261</v>
      </c>
      <c r="E2925" s="81" t="s">
        <v>50</v>
      </c>
      <c r="F2925" s="81" t="s">
        <v>1</v>
      </c>
    </row>
    <row r="2926" spans="1:6" x14ac:dyDescent="0.25">
      <c r="A2926" s="14">
        <v>46148.45</v>
      </c>
      <c r="B2926" s="81" t="s">
        <v>149</v>
      </c>
      <c r="C2926" s="81" t="s">
        <v>171</v>
      </c>
      <c r="D2926" s="81" t="s">
        <v>261</v>
      </c>
      <c r="E2926" s="81" t="s">
        <v>52</v>
      </c>
      <c r="F2926" s="81" t="s">
        <v>0</v>
      </c>
    </row>
    <row r="2927" spans="1:6" x14ac:dyDescent="0.25">
      <c r="A2927" s="14">
        <v>46148.45</v>
      </c>
      <c r="B2927" s="81" t="s">
        <v>149</v>
      </c>
      <c r="C2927" s="81" t="s">
        <v>173</v>
      </c>
      <c r="D2927" s="81" t="s">
        <v>261</v>
      </c>
      <c r="E2927" s="81" t="s">
        <v>52</v>
      </c>
      <c r="F2927" s="81" t="s">
        <v>0</v>
      </c>
    </row>
    <row r="2928" spans="1:6" x14ac:dyDescent="0.25">
      <c r="A2928" s="14">
        <v>46148.45</v>
      </c>
      <c r="B2928" s="81" t="s">
        <v>149</v>
      </c>
      <c r="C2928" s="81" t="s">
        <v>175</v>
      </c>
      <c r="D2928" s="81" t="s">
        <v>261</v>
      </c>
      <c r="E2928" s="81" t="s">
        <v>50</v>
      </c>
      <c r="F2928" s="81" t="s">
        <v>1</v>
      </c>
    </row>
    <row r="2929" spans="1:6" x14ac:dyDescent="0.25">
      <c r="A2929" s="14">
        <v>46148.45</v>
      </c>
      <c r="B2929" s="81" t="s">
        <v>149</v>
      </c>
      <c r="C2929" s="81" t="s">
        <v>151</v>
      </c>
      <c r="D2929" s="81" t="s">
        <v>261</v>
      </c>
      <c r="E2929" s="81" t="s">
        <v>50</v>
      </c>
      <c r="F2929" s="81" t="s">
        <v>1</v>
      </c>
    </row>
    <row r="2930" spans="1:6" x14ac:dyDescent="0.25">
      <c r="A2930" s="14">
        <v>46148.45</v>
      </c>
      <c r="B2930" s="81" t="s">
        <v>149</v>
      </c>
      <c r="C2930" s="81" t="s">
        <v>158</v>
      </c>
      <c r="D2930" s="81" t="s">
        <v>261</v>
      </c>
      <c r="E2930" s="81" t="s">
        <v>50</v>
      </c>
      <c r="F2930" s="81" t="s">
        <v>1</v>
      </c>
    </row>
    <row r="2931" spans="1:6" x14ac:dyDescent="0.25">
      <c r="A2931" s="14">
        <v>46148.45</v>
      </c>
      <c r="B2931" s="81" t="s">
        <v>149</v>
      </c>
      <c r="C2931" s="81" t="s">
        <v>190</v>
      </c>
      <c r="D2931" s="81" t="s">
        <v>261</v>
      </c>
      <c r="E2931" s="81" t="s">
        <v>50</v>
      </c>
      <c r="F2931" s="81" t="s">
        <v>1</v>
      </c>
    </row>
    <row r="2932" spans="1:6" x14ac:dyDescent="0.25">
      <c r="A2932" s="14">
        <v>46148.45</v>
      </c>
      <c r="B2932" s="81" t="s">
        <v>149</v>
      </c>
      <c r="C2932" s="81" t="s">
        <v>183</v>
      </c>
      <c r="D2932" s="81" t="s">
        <v>261</v>
      </c>
      <c r="E2932" s="81" t="s">
        <v>50</v>
      </c>
      <c r="F2932" s="81" t="s">
        <v>1</v>
      </c>
    </row>
    <row r="2933" spans="1:6" x14ac:dyDescent="0.25">
      <c r="A2933" s="14">
        <v>46148.45</v>
      </c>
      <c r="B2933" s="81" t="s">
        <v>149</v>
      </c>
      <c r="C2933" s="81" t="s">
        <v>185</v>
      </c>
      <c r="D2933" s="81" t="s">
        <v>261</v>
      </c>
      <c r="E2933" s="81" t="s">
        <v>52</v>
      </c>
      <c r="F2933" s="81" t="s">
        <v>0</v>
      </c>
    </row>
    <row r="2934" spans="1:6" x14ac:dyDescent="0.25">
      <c r="A2934" s="14">
        <v>46148.45</v>
      </c>
      <c r="B2934" s="81" t="s">
        <v>149</v>
      </c>
      <c r="C2934" s="81" t="s">
        <v>183</v>
      </c>
      <c r="D2934" s="81" t="s">
        <v>261</v>
      </c>
      <c r="E2934" s="81" t="s">
        <v>50</v>
      </c>
      <c r="F2934" s="81" t="s">
        <v>1</v>
      </c>
    </row>
    <row r="2935" spans="1:6" x14ac:dyDescent="0.25">
      <c r="A2935" s="14">
        <v>46148.45</v>
      </c>
      <c r="B2935" s="81" t="s">
        <v>149</v>
      </c>
      <c r="C2935" s="81" t="s">
        <v>190</v>
      </c>
      <c r="D2935" s="81" t="s">
        <v>231</v>
      </c>
      <c r="E2935" s="81" t="s">
        <v>50</v>
      </c>
      <c r="F2935" s="81" t="s">
        <v>1</v>
      </c>
    </row>
    <row r="2936" spans="1:6" x14ac:dyDescent="0.25">
      <c r="A2936" s="14">
        <v>46148.45</v>
      </c>
      <c r="B2936" s="81" t="s">
        <v>149</v>
      </c>
      <c r="C2936" s="81" t="s">
        <v>173</v>
      </c>
      <c r="D2936" s="81" t="s">
        <v>231</v>
      </c>
      <c r="E2936" s="81" t="s">
        <v>50</v>
      </c>
      <c r="F2936" s="81" t="s">
        <v>1</v>
      </c>
    </row>
    <row r="2937" spans="1:6" x14ac:dyDescent="0.25">
      <c r="A2937" s="14">
        <v>46148.45</v>
      </c>
      <c r="B2937" s="81" t="s">
        <v>149</v>
      </c>
      <c r="C2937" s="81" t="s">
        <v>173</v>
      </c>
      <c r="D2937" s="81" t="s">
        <v>231</v>
      </c>
      <c r="E2937" s="81" t="s">
        <v>49</v>
      </c>
      <c r="F2937" s="81" t="s">
        <v>2</v>
      </c>
    </row>
    <row r="2938" spans="1:6" x14ac:dyDescent="0.25">
      <c r="A2938" s="14">
        <v>46148.45</v>
      </c>
      <c r="B2938" s="81" t="s">
        <v>149</v>
      </c>
      <c r="C2938" s="81" t="s">
        <v>151</v>
      </c>
      <c r="D2938" s="81" t="s">
        <v>261</v>
      </c>
      <c r="E2938" s="81" t="s">
        <v>52</v>
      </c>
      <c r="F2938" s="81" t="s">
        <v>0</v>
      </c>
    </row>
    <row r="2939" spans="1:6" x14ac:dyDescent="0.25">
      <c r="A2939" s="14">
        <v>46148.45</v>
      </c>
      <c r="B2939" s="81" t="s">
        <v>149</v>
      </c>
      <c r="C2939" s="81" t="s">
        <v>158</v>
      </c>
      <c r="D2939" s="81" t="s">
        <v>231</v>
      </c>
      <c r="E2939" s="81" t="s">
        <v>50</v>
      </c>
      <c r="F2939" s="81" t="s">
        <v>1</v>
      </c>
    </row>
    <row r="2940" spans="1:6" x14ac:dyDescent="0.25">
      <c r="A2940" s="14">
        <v>46148.45</v>
      </c>
      <c r="B2940" s="81" t="s">
        <v>149</v>
      </c>
      <c r="C2940" s="81" t="s">
        <v>190</v>
      </c>
      <c r="D2940" s="81" t="s">
        <v>261</v>
      </c>
      <c r="E2940" s="81" t="s">
        <v>50</v>
      </c>
      <c r="F2940" s="81" t="s">
        <v>1</v>
      </c>
    </row>
    <row r="2941" spans="1:6" x14ac:dyDescent="0.25">
      <c r="A2941" s="14">
        <v>46148.45</v>
      </c>
      <c r="B2941" s="81" t="s">
        <v>149</v>
      </c>
      <c r="C2941" s="81" t="s">
        <v>177</v>
      </c>
      <c r="D2941" s="81" t="s">
        <v>162</v>
      </c>
      <c r="E2941" s="81" t="s">
        <v>49</v>
      </c>
      <c r="F2941" s="81" t="s">
        <v>2</v>
      </c>
    </row>
    <row r="2942" spans="1:6" x14ac:dyDescent="0.25">
      <c r="A2942" s="14">
        <v>46148.45</v>
      </c>
      <c r="B2942" s="81" t="s">
        <v>149</v>
      </c>
      <c r="C2942" s="81" t="s">
        <v>151</v>
      </c>
      <c r="D2942" s="81" t="s">
        <v>162</v>
      </c>
      <c r="E2942" s="81" t="s">
        <v>50</v>
      </c>
      <c r="F2942" s="81" t="s">
        <v>1</v>
      </c>
    </row>
    <row r="2943" spans="1:6" x14ac:dyDescent="0.25">
      <c r="A2943" s="14">
        <v>46148.45</v>
      </c>
      <c r="B2943" s="81" t="s">
        <v>149</v>
      </c>
      <c r="C2943" s="81" t="s">
        <v>183</v>
      </c>
      <c r="D2943" s="81" t="s">
        <v>162</v>
      </c>
      <c r="E2943" s="81" t="s">
        <v>50</v>
      </c>
      <c r="F2943" s="81" t="s">
        <v>1</v>
      </c>
    </row>
    <row r="2944" spans="1:6" x14ac:dyDescent="0.25">
      <c r="A2944" s="14">
        <v>46148.45</v>
      </c>
      <c r="B2944" s="81" t="s">
        <v>149</v>
      </c>
      <c r="C2944" s="81" t="s">
        <v>173</v>
      </c>
      <c r="D2944" s="81" t="s">
        <v>162</v>
      </c>
      <c r="E2944" s="81" t="s">
        <v>50</v>
      </c>
      <c r="F2944" s="81" t="s">
        <v>1</v>
      </c>
    </row>
    <row r="2945" spans="1:6" x14ac:dyDescent="0.25">
      <c r="A2945" s="14">
        <v>46148.45</v>
      </c>
      <c r="B2945" s="81" t="s">
        <v>149</v>
      </c>
      <c r="C2945" s="81" t="s">
        <v>151</v>
      </c>
      <c r="D2945" s="81" t="s">
        <v>162</v>
      </c>
      <c r="E2945" s="81" t="s">
        <v>49</v>
      </c>
      <c r="F2945" s="81" t="s">
        <v>2</v>
      </c>
    </row>
    <row r="2946" spans="1:6" x14ac:dyDescent="0.25">
      <c r="A2946" s="14">
        <v>46148.45</v>
      </c>
      <c r="B2946" s="81" t="s">
        <v>149</v>
      </c>
      <c r="C2946" s="81" t="s">
        <v>181</v>
      </c>
      <c r="D2946" s="81" t="s">
        <v>162</v>
      </c>
      <c r="E2946" s="81" t="s">
        <v>50</v>
      </c>
      <c r="F2946" s="81" t="s">
        <v>1</v>
      </c>
    </row>
    <row r="2947" spans="1:6" x14ac:dyDescent="0.25">
      <c r="A2947" s="14">
        <v>46148.45</v>
      </c>
      <c r="B2947" s="81" t="s">
        <v>149</v>
      </c>
      <c r="C2947" s="81" t="s">
        <v>184</v>
      </c>
      <c r="D2947" s="81" t="s">
        <v>162</v>
      </c>
      <c r="E2947" s="81" t="s">
        <v>50</v>
      </c>
      <c r="F2947" s="81" t="s">
        <v>1</v>
      </c>
    </row>
    <row r="2948" spans="1:6" x14ac:dyDescent="0.25">
      <c r="A2948" s="14">
        <v>46148.45</v>
      </c>
      <c r="B2948" s="81" t="s">
        <v>149</v>
      </c>
      <c r="C2948" s="81" t="s">
        <v>182</v>
      </c>
      <c r="D2948" s="81" t="s">
        <v>162</v>
      </c>
      <c r="E2948" s="81" t="s">
        <v>49</v>
      </c>
      <c r="F2948" s="81" t="s">
        <v>2</v>
      </c>
    </row>
    <row r="2949" spans="1:6" x14ac:dyDescent="0.25">
      <c r="A2949" s="14">
        <v>46148.45</v>
      </c>
      <c r="B2949" s="81" t="s">
        <v>149</v>
      </c>
      <c r="C2949" s="81" t="s">
        <v>190</v>
      </c>
      <c r="D2949" s="81" t="s">
        <v>162</v>
      </c>
      <c r="E2949" s="81" t="s">
        <v>50</v>
      </c>
      <c r="F2949" s="81" t="s">
        <v>1</v>
      </c>
    </row>
    <row r="2950" spans="1:6" x14ac:dyDescent="0.25">
      <c r="A2950" s="14">
        <v>46148.45</v>
      </c>
      <c r="B2950" s="81" t="s">
        <v>149</v>
      </c>
      <c r="C2950" s="81" t="s">
        <v>182</v>
      </c>
      <c r="D2950" s="81" t="s">
        <v>261</v>
      </c>
      <c r="E2950" s="81" t="s">
        <v>52</v>
      </c>
      <c r="F2950" s="81" t="s">
        <v>0</v>
      </c>
    </row>
    <row r="2951" spans="1:6" x14ac:dyDescent="0.25">
      <c r="A2951" s="14">
        <v>46148.45</v>
      </c>
      <c r="B2951" s="81" t="s">
        <v>149</v>
      </c>
      <c r="C2951" s="81" t="s">
        <v>151</v>
      </c>
      <c r="D2951" s="81" t="s">
        <v>162</v>
      </c>
      <c r="E2951" s="81" t="s">
        <v>48</v>
      </c>
      <c r="F2951" s="81" t="s">
        <v>3</v>
      </c>
    </row>
    <row r="2952" spans="1:6" x14ac:dyDescent="0.25">
      <c r="A2952" s="14">
        <v>46148.45</v>
      </c>
      <c r="B2952" s="81" t="s">
        <v>149</v>
      </c>
      <c r="C2952" s="81" t="s">
        <v>184</v>
      </c>
      <c r="D2952" s="81" t="s">
        <v>162</v>
      </c>
      <c r="E2952" s="81" t="s">
        <v>50</v>
      </c>
      <c r="F2952" s="81" t="s">
        <v>1</v>
      </c>
    </row>
    <row r="2953" spans="1:6" x14ac:dyDescent="0.25">
      <c r="A2953" s="14">
        <v>46148.45</v>
      </c>
      <c r="B2953" s="81" t="s">
        <v>149</v>
      </c>
      <c r="C2953" s="81" t="s">
        <v>175</v>
      </c>
      <c r="D2953" s="81" t="s">
        <v>162</v>
      </c>
      <c r="E2953" s="81" t="s">
        <v>50</v>
      </c>
      <c r="F2953" s="81" t="s">
        <v>1</v>
      </c>
    </row>
    <row r="2954" spans="1:6" x14ac:dyDescent="0.25">
      <c r="A2954" s="14">
        <v>46148.45</v>
      </c>
      <c r="B2954" s="81" t="s">
        <v>149</v>
      </c>
      <c r="C2954" s="81" t="s">
        <v>171</v>
      </c>
      <c r="D2954" s="81" t="s">
        <v>162</v>
      </c>
      <c r="E2954" s="81" t="s">
        <v>50</v>
      </c>
      <c r="F2954" s="81" t="s">
        <v>1</v>
      </c>
    </row>
    <row r="2955" spans="1:6" x14ac:dyDescent="0.25">
      <c r="A2955" s="14">
        <v>46148.45</v>
      </c>
      <c r="B2955" s="81" t="s">
        <v>149</v>
      </c>
      <c r="C2955" s="81" t="s">
        <v>185</v>
      </c>
      <c r="D2955" s="81" t="s">
        <v>261</v>
      </c>
      <c r="E2955" s="81" t="s">
        <v>52</v>
      </c>
      <c r="F2955" s="81" t="s">
        <v>0</v>
      </c>
    </row>
    <row r="2956" spans="1:6" x14ac:dyDescent="0.25">
      <c r="A2956" s="14">
        <v>46148.45</v>
      </c>
      <c r="B2956" s="81" t="s">
        <v>149</v>
      </c>
      <c r="C2956" s="81" t="s">
        <v>190</v>
      </c>
      <c r="D2956" s="81" t="s">
        <v>162</v>
      </c>
      <c r="E2956" s="81" t="s">
        <v>49</v>
      </c>
      <c r="F2956" s="81" t="s">
        <v>2</v>
      </c>
    </row>
    <row r="2957" spans="1:6" x14ac:dyDescent="0.25">
      <c r="A2957" s="14">
        <v>46148.45</v>
      </c>
      <c r="B2957" s="81" t="s">
        <v>149</v>
      </c>
      <c r="C2957" s="81" t="s">
        <v>184</v>
      </c>
      <c r="D2957" s="81" t="s">
        <v>162</v>
      </c>
      <c r="E2957" s="81" t="s">
        <v>50</v>
      </c>
      <c r="F2957" s="81" t="s">
        <v>1</v>
      </c>
    </row>
    <row r="2958" spans="1:6" x14ac:dyDescent="0.25">
      <c r="A2958" s="14">
        <v>46148.45</v>
      </c>
      <c r="B2958" s="81" t="s">
        <v>149</v>
      </c>
      <c r="C2958" s="81" t="s">
        <v>184</v>
      </c>
      <c r="D2958" s="81" t="s">
        <v>162</v>
      </c>
      <c r="E2958" s="81" t="s">
        <v>49</v>
      </c>
      <c r="F2958" s="81" t="s">
        <v>2</v>
      </c>
    </row>
    <row r="2959" spans="1:6" x14ac:dyDescent="0.25">
      <c r="A2959" s="14">
        <v>46148.45</v>
      </c>
      <c r="B2959" s="81" t="s">
        <v>149</v>
      </c>
      <c r="C2959" s="81" t="s">
        <v>181</v>
      </c>
      <c r="D2959" s="81" t="s">
        <v>162</v>
      </c>
      <c r="E2959" s="81" t="s">
        <v>49</v>
      </c>
      <c r="F2959" s="81" t="s">
        <v>2</v>
      </c>
    </row>
    <row r="2960" spans="1:6" x14ac:dyDescent="0.25">
      <c r="A2960" s="14">
        <v>46148.45</v>
      </c>
      <c r="B2960" s="81" t="s">
        <v>149</v>
      </c>
      <c r="C2960" s="81" t="s">
        <v>184</v>
      </c>
      <c r="D2960" s="81" t="s">
        <v>162</v>
      </c>
      <c r="E2960" s="81" t="s">
        <v>49</v>
      </c>
      <c r="F2960" s="81" t="s">
        <v>2</v>
      </c>
    </row>
    <row r="2961" spans="1:6" x14ac:dyDescent="0.25">
      <c r="A2961" s="14">
        <v>46148.45</v>
      </c>
      <c r="B2961" s="81" t="s">
        <v>149</v>
      </c>
      <c r="C2961" s="81" t="s">
        <v>183</v>
      </c>
      <c r="D2961" s="81" t="s">
        <v>162</v>
      </c>
      <c r="E2961" s="81" t="s">
        <v>49</v>
      </c>
      <c r="F2961" s="81" t="s">
        <v>2</v>
      </c>
    </row>
    <row r="2962" spans="1:6" x14ac:dyDescent="0.25">
      <c r="A2962" s="14">
        <v>46148.45</v>
      </c>
      <c r="B2962" s="81" t="s">
        <v>149</v>
      </c>
      <c r="C2962" s="81" t="s">
        <v>185</v>
      </c>
      <c r="D2962" s="81" t="s">
        <v>162</v>
      </c>
      <c r="E2962" s="81" t="s">
        <v>49</v>
      </c>
      <c r="F2962" s="81" t="s">
        <v>2</v>
      </c>
    </row>
    <row r="2963" spans="1:6" x14ac:dyDescent="0.25">
      <c r="A2963" s="14">
        <v>46148.45</v>
      </c>
      <c r="B2963" s="81" t="s">
        <v>149</v>
      </c>
      <c r="C2963" s="81" t="s">
        <v>181</v>
      </c>
      <c r="D2963" s="81" t="s">
        <v>162</v>
      </c>
      <c r="E2963" s="81" t="s">
        <v>49</v>
      </c>
      <c r="F2963" s="81" t="s">
        <v>2</v>
      </c>
    </row>
    <row r="2964" spans="1:6" x14ac:dyDescent="0.25">
      <c r="A2964" s="14">
        <v>46148.45</v>
      </c>
      <c r="B2964" s="81" t="s">
        <v>149</v>
      </c>
      <c r="C2964" s="81" t="s">
        <v>171</v>
      </c>
      <c r="D2964" s="81" t="s">
        <v>162</v>
      </c>
      <c r="E2964" s="81" t="s">
        <v>49</v>
      </c>
      <c r="F2964" s="81" t="s">
        <v>2</v>
      </c>
    </row>
    <row r="2965" spans="1:6" x14ac:dyDescent="0.25">
      <c r="A2965" s="14">
        <v>46148.45</v>
      </c>
      <c r="B2965" s="81" t="s">
        <v>149</v>
      </c>
      <c r="C2965" s="81" t="s">
        <v>183</v>
      </c>
      <c r="D2965" s="81" t="s">
        <v>162</v>
      </c>
      <c r="E2965" s="81" t="s">
        <v>48</v>
      </c>
      <c r="F2965" s="81" t="s">
        <v>3</v>
      </c>
    </row>
    <row r="2966" spans="1:6" x14ac:dyDescent="0.25">
      <c r="A2966" s="14">
        <v>46148.45</v>
      </c>
      <c r="B2966" s="81" t="s">
        <v>149</v>
      </c>
      <c r="C2966" s="81" t="s">
        <v>173</v>
      </c>
      <c r="D2966" s="81" t="s">
        <v>257</v>
      </c>
      <c r="E2966" s="81" t="s">
        <v>50</v>
      </c>
      <c r="F2966" s="81" t="s">
        <v>1</v>
      </c>
    </row>
    <row r="2967" spans="1:6" x14ac:dyDescent="0.25">
      <c r="A2967" s="14">
        <v>46148.45</v>
      </c>
      <c r="B2967" s="81" t="s">
        <v>149</v>
      </c>
      <c r="C2967" s="81" t="s">
        <v>173</v>
      </c>
      <c r="D2967" s="81" t="s">
        <v>257</v>
      </c>
      <c r="E2967" s="81" t="s">
        <v>52</v>
      </c>
      <c r="F2967" s="81" t="s">
        <v>0</v>
      </c>
    </row>
    <row r="2968" spans="1:6" x14ac:dyDescent="0.25">
      <c r="A2968" s="14">
        <v>46148.45</v>
      </c>
      <c r="B2968" s="81" t="s">
        <v>149</v>
      </c>
      <c r="C2968" s="81" t="s">
        <v>151</v>
      </c>
      <c r="D2968" s="81" t="s">
        <v>266</v>
      </c>
      <c r="E2968" s="81" t="s">
        <v>52</v>
      </c>
      <c r="F2968" s="81" t="s">
        <v>0</v>
      </c>
    </row>
    <row r="2969" spans="1:6" x14ac:dyDescent="0.25">
      <c r="A2969" s="14">
        <v>46148.45</v>
      </c>
      <c r="B2969" s="81" t="s">
        <v>149</v>
      </c>
      <c r="C2969" s="81" t="s">
        <v>845</v>
      </c>
      <c r="D2969" s="81" t="s">
        <v>231</v>
      </c>
      <c r="E2969" s="81" t="s">
        <v>846</v>
      </c>
      <c r="F2969" s="81" t="s">
        <v>28</v>
      </c>
    </row>
    <row r="2970" spans="1:6" x14ac:dyDescent="0.25">
      <c r="A2970" s="14">
        <v>46148.45</v>
      </c>
      <c r="B2970" s="81" t="s">
        <v>149</v>
      </c>
      <c r="C2970" s="81" t="s">
        <v>151</v>
      </c>
      <c r="D2970" s="81" t="s">
        <v>261</v>
      </c>
      <c r="E2970" s="81" t="s">
        <v>52</v>
      </c>
      <c r="F2970" s="81" t="s">
        <v>0</v>
      </c>
    </row>
    <row r="2971" spans="1:6" x14ac:dyDescent="0.25">
      <c r="A2971" s="14">
        <v>46148.45</v>
      </c>
      <c r="B2971" s="81" t="s">
        <v>149</v>
      </c>
      <c r="C2971" s="81" t="s">
        <v>176</v>
      </c>
      <c r="D2971" s="81" t="s">
        <v>163</v>
      </c>
      <c r="E2971" s="81" t="s">
        <v>70</v>
      </c>
      <c r="F2971" s="81" t="s">
        <v>15</v>
      </c>
    </row>
    <row r="2972" spans="1:6" x14ac:dyDescent="0.25">
      <c r="A2972" s="14">
        <v>46148.45</v>
      </c>
      <c r="B2972" s="81" t="s">
        <v>149</v>
      </c>
      <c r="C2972" s="81" t="s">
        <v>183</v>
      </c>
      <c r="D2972" s="81" t="s">
        <v>261</v>
      </c>
      <c r="E2972" s="81" t="s">
        <v>52</v>
      </c>
      <c r="F2972" s="81" t="s">
        <v>0</v>
      </c>
    </row>
    <row r="2973" spans="1:6" x14ac:dyDescent="0.25">
      <c r="A2973" s="14">
        <v>46148.45</v>
      </c>
      <c r="B2973" s="81" t="s">
        <v>149</v>
      </c>
      <c r="C2973" s="81" t="s">
        <v>182</v>
      </c>
      <c r="D2973" s="81" t="s">
        <v>261</v>
      </c>
      <c r="E2973" s="81" t="s">
        <v>52</v>
      </c>
      <c r="F2973" s="81" t="s">
        <v>0</v>
      </c>
    </row>
    <row r="2974" spans="1:6" x14ac:dyDescent="0.25">
      <c r="A2974" s="14">
        <v>46148.45</v>
      </c>
      <c r="B2974" s="81" t="s">
        <v>149</v>
      </c>
      <c r="C2974" s="81" t="s">
        <v>183</v>
      </c>
      <c r="D2974" s="81" t="s">
        <v>244</v>
      </c>
      <c r="E2974" s="81" t="s">
        <v>52</v>
      </c>
      <c r="F2974" s="81" t="s">
        <v>0</v>
      </c>
    </row>
    <row r="2975" spans="1:6" x14ac:dyDescent="0.25">
      <c r="A2975" s="14">
        <v>46148.45</v>
      </c>
      <c r="B2975" s="81" t="s">
        <v>149</v>
      </c>
      <c r="C2975" s="81" t="s">
        <v>171</v>
      </c>
      <c r="D2975" s="81" t="s">
        <v>261</v>
      </c>
      <c r="E2975" s="81" t="s">
        <v>50</v>
      </c>
      <c r="F2975" s="81" t="s">
        <v>1</v>
      </c>
    </row>
    <row r="2976" spans="1:6" x14ac:dyDescent="0.25">
      <c r="A2976" s="14">
        <v>46148.45</v>
      </c>
      <c r="B2976" s="81" t="s">
        <v>149</v>
      </c>
      <c r="C2976" s="81" t="s">
        <v>182</v>
      </c>
      <c r="D2976" s="81" t="s">
        <v>261</v>
      </c>
      <c r="E2976" s="81" t="s">
        <v>50</v>
      </c>
      <c r="F2976" s="81" t="s">
        <v>1</v>
      </c>
    </row>
    <row r="2977" spans="1:6" x14ac:dyDescent="0.25">
      <c r="A2977" s="14">
        <v>46148.45</v>
      </c>
      <c r="B2977" s="81" t="s">
        <v>149</v>
      </c>
      <c r="C2977" s="81" t="s">
        <v>182</v>
      </c>
      <c r="D2977" s="81" t="s">
        <v>261</v>
      </c>
      <c r="E2977" s="81" t="s">
        <v>52</v>
      </c>
      <c r="F2977" s="81" t="s">
        <v>0</v>
      </c>
    </row>
    <row r="2978" spans="1:6" x14ac:dyDescent="0.25">
      <c r="A2978" s="14">
        <v>46148.45</v>
      </c>
      <c r="B2978" s="81" t="s">
        <v>149</v>
      </c>
      <c r="C2978" s="81" t="s">
        <v>175</v>
      </c>
      <c r="D2978" s="81" t="s">
        <v>261</v>
      </c>
      <c r="E2978" s="81" t="s">
        <v>52</v>
      </c>
      <c r="F2978" s="81" t="s">
        <v>0</v>
      </c>
    </row>
    <row r="2979" spans="1:6" x14ac:dyDescent="0.25">
      <c r="A2979" s="14">
        <v>46148.45</v>
      </c>
      <c r="B2979" s="81" t="s">
        <v>149</v>
      </c>
      <c r="C2979" s="81" t="s">
        <v>175</v>
      </c>
      <c r="D2979" s="81" t="s">
        <v>261</v>
      </c>
      <c r="E2979" s="81" t="s">
        <v>52</v>
      </c>
      <c r="F2979" s="81" t="s">
        <v>0</v>
      </c>
    </row>
    <row r="2980" spans="1:6" x14ac:dyDescent="0.25">
      <c r="A2980" s="14">
        <v>46148.45</v>
      </c>
      <c r="B2980" s="81" t="s">
        <v>149</v>
      </c>
      <c r="C2980" s="81" t="s">
        <v>181</v>
      </c>
      <c r="D2980" s="81" t="s">
        <v>221</v>
      </c>
      <c r="E2980" s="81" t="s">
        <v>50</v>
      </c>
      <c r="F2980" s="81" t="s">
        <v>1</v>
      </c>
    </row>
    <row r="2981" spans="1:6" x14ac:dyDescent="0.25">
      <c r="A2981" s="14">
        <v>46148.45</v>
      </c>
      <c r="B2981" s="81" t="s">
        <v>149</v>
      </c>
      <c r="C2981" s="81" t="s">
        <v>177</v>
      </c>
      <c r="D2981" s="81" t="s">
        <v>152</v>
      </c>
      <c r="E2981" s="81" t="s">
        <v>49</v>
      </c>
      <c r="F2981" s="81" t="s">
        <v>2</v>
      </c>
    </row>
    <row r="2982" spans="1:6" x14ac:dyDescent="0.25">
      <c r="A2982" s="14">
        <v>46148.45</v>
      </c>
      <c r="B2982" s="81" t="s">
        <v>149</v>
      </c>
      <c r="C2982" s="81" t="s">
        <v>151</v>
      </c>
      <c r="D2982" s="81" t="s">
        <v>152</v>
      </c>
      <c r="E2982" s="81" t="s">
        <v>49</v>
      </c>
      <c r="F2982" s="81" t="s">
        <v>2</v>
      </c>
    </row>
    <row r="2983" spans="1:6" x14ac:dyDescent="0.25">
      <c r="A2983" s="14">
        <v>46148.45</v>
      </c>
      <c r="B2983" s="81" t="s">
        <v>149</v>
      </c>
      <c r="C2983" s="81" t="s">
        <v>151</v>
      </c>
      <c r="D2983" s="81" t="s">
        <v>152</v>
      </c>
      <c r="E2983" s="81" t="s">
        <v>49</v>
      </c>
      <c r="F2983" s="81" t="s">
        <v>2</v>
      </c>
    </row>
    <row r="2984" spans="1:6" x14ac:dyDescent="0.25">
      <c r="A2984" s="14">
        <v>46148.45</v>
      </c>
      <c r="B2984" s="81" t="s">
        <v>149</v>
      </c>
      <c r="C2984" s="81" t="s">
        <v>181</v>
      </c>
      <c r="D2984" s="81" t="s">
        <v>152</v>
      </c>
      <c r="E2984" s="81" t="s">
        <v>49</v>
      </c>
      <c r="F2984" s="81" t="s">
        <v>2</v>
      </c>
    </row>
    <row r="2985" spans="1:6" x14ac:dyDescent="0.25">
      <c r="A2985" s="14">
        <v>46148.45</v>
      </c>
      <c r="B2985" s="81" t="s">
        <v>149</v>
      </c>
      <c r="C2985" s="81" t="s">
        <v>151</v>
      </c>
      <c r="D2985" s="81" t="s">
        <v>152</v>
      </c>
      <c r="E2985" s="81" t="s">
        <v>49</v>
      </c>
      <c r="F2985" s="81" t="s">
        <v>2</v>
      </c>
    </row>
    <row r="2986" spans="1:6" x14ac:dyDescent="0.25">
      <c r="A2986" s="14">
        <v>46148.45</v>
      </c>
      <c r="B2986" s="81" t="s">
        <v>149</v>
      </c>
      <c r="C2986" s="81" t="s">
        <v>171</v>
      </c>
      <c r="D2986" s="81" t="s">
        <v>261</v>
      </c>
      <c r="E2986" s="81" t="s">
        <v>52</v>
      </c>
      <c r="F2986" s="81" t="s">
        <v>0</v>
      </c>
    </row>
    <row r="2987" spans="1:6" x14ac:dyDescent="0.25">
      <c r="A2987" s="14">
        <v>46148.45</v>
      </c>
      <c r="B2987" s="81" t="s">
        <v>149</v>
      </c>
      <c r="C2987" s="81" t="s">
        <v>175</v>
      </c>
      <c r="D2987" s="81" t="s">
        <v>152</v>
      </c>
      <c r="E2987" s="81" t="s">
        <v>49</v>
      </c>
      <c r="F2987" s="81" t="s">
        <v>2</v>
      </c>
    </row>
    <row r="2988" spans="1:6" x14ac:dyDescent="0.25">
      <c r="A2988" s="14">
        <v>46148.45</v>
      </c>
      <c r="B2988" s="81" t="s">
        <v>149</v>
      </c>
      <c r="C2988" s="81" t="s">
        <v>181</v>
      </c>
      <c r="D2988" s="81" t="s">
        <v>152</v>
      </c>
      <c r="E2988" s="81" t="s">
        <v>49</v>
      </c>
      <c r="F2988" s="81" t="s">
        <v>2</v>
      </c>
    </row>
    <row r="2989" spans="1:6" x14ac:dyDescent="0.25">
      <c r="A2989" s="14">
        <v>46148.45</v>
      </c>
      <c r="B2989" s="81" t="s">
        <v>149</v>
      </c>
      <c r="C2989" s="81" t="s">
        <v>173</v>
      </c>
      <c r="D2989" s="81" t="s">
        <v>231</v>
      </c>
      <c r="E2989" s="81" t="s">
        <v>50</v>
      </c>
      <c r="F2989" s="81" t="s">
        <v>1</v>
      </c>
    </row>
    <row r="2990" spans="1:6" x14ac:dyDescent="0.25">
      <c r="A2990" s="14">
        <v>46148.45</v>
      </c>
      <c r="B2990" s="81" t="s">
        <v>149</v>
      </c>
      <c r="C2990" s="81" t="s">
        <v>175</v>
      </c>
      <c r="D2990" s="81" t="s">
        <v>261</v>
      </c>
      <c r="E2990" s="81" t="s">
        <v>52</v>
      </c>
      <c r="F2990" s="81" t="s">
        <v>0</v>
      </c>
    </row>
    <row r="2991" spans="1:6" x14ac:dyDescent="0.25">
      <c r="A2991" s="14">
        <v>46148.45</v>
      </c>
      <c r="B2991" s="81" t="s">
        <v>149</v>
      </c>
      <c r="C2991" s="81" t="s">
        <v>151</v>
      </c>
      <c r="D2991" s="81" t="s">
        <v>259</v>
      </c>
      <c r="E2991" s="81" t="s">
        <v>52</v>
      </c>
      <c r="F2991" s="81" t="s">
        <v>0</v>
      </c>
    </row>
    <row r="2992" spans="1:6" x14ac:dyDescent="0.25">
      <c r="A2992" s="14">
        <v>46148.45</v>
      </c>
      <c r="B2992" s="81" t="s">
        <v>149</v>
      </c>
      <c r="C2992" s="81" t="s">
        <v>190</v>
      </c>
      <c r="D2992" s="81" t="s">
        <v>261</v>
      </c>
      <c r="E2992" s="81" t="s">
        <v>52</v>
      </c>
      <c r="F2992" s="81" t="s">
        <v>0</v>
      </c>
    </row>
    <row r="2993" spans="1:6" x14ac:dyDescent="0.25">
      <c r="A2993" s="14">
        <v>46148.45</v>
      </c>
      <c r="B2993" s="81" t="s">
        <v>149</v>
      </c>
      <c r="C2993" s="81" t="s">
        <v>173</v>
      </c>
      <c r="D2993" s="81" t="s">
        <v>231</v>
      </c>
      <c r="E2993" s="81" t="s">
        <v>52</v>
      </c>
      <c r="F2993" s="81" t="s">
        <v>0</v>
      </c>
    </row>
    <row r="2994" spans="1:6" x14ac:dyDescent="0.25">
      <c r="A2994" s="14">
        <v>46148.45</v>
      </c>
      <c r="B2994" s="81" t="s">
        <v>149</v>
      </c>
      <c r="C2994" s="81" t="s">
        <v>182</v>
      </c>
      <c r="D2994" s="81" t="s">
        <v>261</v>
      </c>
      <c r="E2994" s="81" t="s">
        <v>52</v>
      </c>
      <c r="F2994" s="81" t="s">
        <v>0</v>
      </c>
    </row>
    <row r="2995" spans="1:6" x14ac:dyDescent="0.25">
      <c r="A2995" s="14">
        <v>46148.45</v>
      </c>
      <c r="B2995" s="81" t="s">
        <v>149</v>
      </c>
      <c r="C2995" s="81" t="s">
        <v>182</v>
      </c>
      <c r="D2995" s="81" t="s">
        <v>161</v>
      </c>
      <c r="E2995" s="81" t="s">
        <v>50</v>
      </c>
      <c r="F2995" s="81" t="s">
        <v>1</v>
      </c>
    </row>
    <row r="2996" spans="1:6" x14ac:dyDescent="0.25">
      <c r="A2996" s="14">
        <v>46148.45</v>
      </c>
      <c r="B2996" s="81" t="s">
        <v>149</v>
      </c>
      <c r="C2996" s="81" t="s">
        <v>845</v>
      </c>
      <c r="D2996" s="81" t="s">
        <v>261</v>
      </c>
      <c r="E2996" s="81" t="s">
        <v>846</v>
      </c>
      <c r="F2996" s="81" t="s">
        <v>28</v>
      </c>
    </row>
    <row r="2997" spans="1:6" x14ac:dyDescent="0.25">
      <c r="A2997" s="14">
        <v>46148.45</v>
      </c>
      <c r="B2997" s="81" t="s">
        <v>149</v>
      </c>
      <c r="C2997" s="81" t="s">
        <v>158</v>
      </c>
      <c r="D2997" s="81" t="s">
        <v>161</v>
      </c>
      <c r="E2997" s="81" t="s">
        <v>52</v>
      </c>
      <c r="F2997" s="81" t="s">
        <v>0</v>
      </c>
    </row>
    <row r="2998" spans="1:6" x14ac:dyDescent="0.25">
      <c r="A2998" s="14">
        <v>46148.45</v>
      </c>
      <c r="B2998" s="81" t="s">
        <v>149</v>
      </c>
      <c r="C2998" s="81" t="s">
        <v>173</v>
      </c>
      <c r="D2998" s="81" t="s">
        <v>261</v>
      </c>
      <c r="E2998" s="81" t="s">
        <v>52</v>
      </c>
      <c r="F2998" s="81" t="s">
        <v>0</v>
      </c>
    </row>
    <row r="2999" spans="1:6" x14ac:dyDescent="0.25">
      <c r="A2999" s="14">
        <v>46148.45</v>
      </c>
      <c r="B2999" s="81" t="s">
        <v>149</v>
      </c>
      <c r="C2999" s="81" t="s">
        <v>182</v>
      </c>
      <c r="D2999" s="81" t="s">
        <v>161</v>
      </c>
      <c r="E2999" s="81" t="s">
        <v>52</v>
      </c>
      <c r="F2999" s="81" t="s">
        <v>0</v>
      </c>
    </row>
    <row r="3000" spans="1:6" x14ac:dyDescent="0.25">
      <c r="A3000" s="14">
        <v>46148.45</v>
      </c>
      <c r="B3000" s="81" t="s">
        <v>149</v>
      </c>
      <c r="C3000" s="81" t="s">
        <v>177</v>
      </c>
      <c r="D3000" s="81" t="s">
        <v>261</v>
      </c>
      <c r="E3000" s="81" t="s">
        <v>52</v>
      </c>
      <c r="F3000" s="81" t="s">
        <v>0</v>
      </c>
    </row>
    <row r="3001" spans="1:6" x14ac:dyDescent="0.25">
      <c r="A3001" s="14">
        <v>46148.45</v>
      </c>
      <c r="B3001" s="81" t="s">
        <v>149</v>
      </c>
      <c r="C3001" s="81" t="s">
        <v>185</v>
      </c>
      <c r="D3001" s="81" t="s">
        <v>261</v>
      </c>
      <c r="E3001" s="81" t="s">
        <v>52</v>
      </c>
      <c r="F3001" s="81" t="s">
        <v>0</v>
      </c>
    </row>
    <row r="3002" spans="1:6" x14ac:dyDescent="0.25">
      <c r="A3002" s="14">
        <v>46148.45</v>
      </c>
      <c r="B3002" s="81" t="s">
        <v>149</v>
      </c>
      <c r="C3002" s="81" t="s">
        <v>173</v>
      </c>
      <c r="D3002" s="81" t="s">
        <v>231</v>
      </c>
      <c r="E3002" s="81" t="s">
        <v>50</v>
      </c>
      <c r="F3002" s="81" t="s">
        <v>1</v>
      </c>
    </row>
    <row r="3003" spans="1:6" x14ac:dyDescent="0.25">
      <c r="A3003" s="14">
        <v>46148.45</v>
      </c>
      <c r="B3003" s="81" t="s">
        <v>149</v>
      </c>
      <c r="C3003" s="81" t="s">
        <v>173</v>
      </c>
      <c r="D3003" s="81" t="s">
        <v>261</v>
      </c>
      <c r="E3003" s="81" t="s">
        <v>52</v>
      </c>
      <c r="F3003" s="81" t="s">
        <v>0</v>
      </c>
    </row>
    <row r="3004" spans="1:6" x14ac:dyDescent="0.25">
      <c r="A3004" s="14">
        <v>46148.45</v>
      </c>
      <c r="B3004" s="81" t="s">
        <v>149</v>
      </c>
      <c r="C3004" s="81" t="s">
        <v>184</v>
      </c>
      <c r="D3004" s="81" t="s">
        <v>231</v>
      </c>
      <c r="E3004" s="81" t="s">
        <v>52</v>
      </c>
      <c r="F3004" s="81" t="s">
        <v>0</v>
      </c>
    </row>
    <row r="3005" spans="1:6" x14ac:dyDescent="0.25">
      <c r="A3005" s="14">
        <v>46148.45</v>
      </c>
      <c r="B3005" s="81" t="s">
        <v>149</v>
      </c>
      <c r="C3005" s="81" t="s">
        <v>177</v>
      </c>
      <c r="D3005" s="81" t="s">
        <v>261</v>
      </c>
      <c r="E3005" s="81" t="s">
        <v>52</v>
      </c>
      <c r="F3005" s="81" t="s">
        <v>0</v>
      </c>
    </row>
    <row r="3006" spans="1:6" x14ac:dyDescent="0.25">
      <c r="A3006" s="14">
        <v>46148.45</v>
      </c>
      <c r="B3006" s="81" t="s">
        <v>149</v>
      </c>
      <c r="C3006" s="81" t="s">
        <v>151</v>
      </c>
      <c r="D3006" s="81" t="s">
        <v>231</v>
      </c>
      <c r="E3006" s="81" t="s">
        <v>49</v>
      </c>
      <c r="F3006" s="81" t="s">
        <v>2</v>
      </c>
    </row>
    <row r="3007" spans="1:6" x14ac:dyDescent="0.25">
      <c r="A3007" s="14">
        <v>46148.45</v>
      </c>
      <c r="B3007" s="81" t="s">
        <v>149</v>
      </c>
      <c r="C3007" s="81" t="s">
        <v>171</v>
      </c>
      <c r="D3007" s="81" t="s">
        <v>163</v>
      </c>
      <c r="E3007" s="81" t="s">
        <v>50</v>
      </c>
      <c r="F3007" s="81" t="s">
        <v>1</v>
      </c>
    </row>
    <row r="3008" spans="1:6" x14ac:dyDescent="0.25">
      <c r="A3008" s="14">
        <v>46148.45</v>
      </c>
      <c r="B3008" s="81" t="s">
        <v>149</v>
      </c>
      <c r="C3008" s="81" t="s">
        <v>158</v>
      </c>
      <c r="D3008" s="81" t="s">
        <v>842</v>
      </c>
      <c r="E3008" s="81" t="s">
        <v>52</v>
      </c>
      <c r="F3008" s="81" t="s">
        <v>0</v>
      </c>
    </row>
    <row r="3009" spans="1:6" x14ac:dyDescent="0.25">
      <c r="A3009" s="14">
        <v>46148.45</v>
      </c>
      <c r="B3009" s="81" t="s">
        <v>149</v>
      </c>
      <c r="C3009" s="81" t="s">
        <v>182</v>
      </c>
      <c r="D3009" s="81" t="s">
        <v>842</v>
      </c>
      <c r="E3009" s="81" t="s">
        <v>52</v>
      </c>
      <c r="F3009" s="81" t="s">
        <v>0</v>
      </c>
    </row>
    <row r="3010" spans="1:6" x14ac:dyDescent="0.25">
      <c r="A3010" s="14">
        <v>46148.45</v>
      </c>
      <c r="B3010" s="81" t="s">
        <v>149</v>
      </c>
      <c r="C3010" s="81" t="s">
        <v>171</v>
      </c>
      <c r="D3010" s="81" t="s">
        <v>164</v>
      </c>
      <c r="E3010" s="81" t="s">
        <v>50</v>
      </c>
      <c r="F3010" s="81" t="s">
        <v>1</v>
      </c>
    </row>
    <row r="3011" spans="1:6" x14ac:dyDescent="0.25">
      <c r="A3011" s="14">
        <v>46148.45</v>
      </c>
      <c r="B3011" s="81" t="s">
        <v>149</v>
      </c>
      <c r="C3011" s="81" t="s">
        <v>175</v>
      </c>
      <c r="D3011" s="81" t="s">
        <v>842</v>
      </c>
      <c r="E3011" s="81" t="s">
        <v>52</v>
      </c>
      <c r="F3011" s="81" t="s">
        <v>0</v>
      </c>
    </row>
    <row r="3012" spans="1:6" x14ac:dyDescent="0.25">
      <c r="A3012" s="14">
        <v>46148.45</v>
      </c>
      <c r="B3012" s="81" t="s">
        <v>149</v>
      </c>
      <c r="C3012" s="81" t="s">
        <v>158</v>
      </c>
      <c r="D3012" s="81" t="s">
        <v>238</v>
      </c>
      <c r="E3012" s="81" t="s">
        <v>49</v>
      </c>
      <c r="F3012" s="81" t="s">
        <v>2</v>
      </c>
    </row>
    <row r="3013" spans="1:6" x14ac:dyDescent="0.25">
      <c r="A3013" s="14">
        <v>46148.45</v>
      </c>
      <c r="B3013" s="81" t="s">
        <v>149</v>
      </c>
      <c r="C3013" s="81" t="s">
        <v>190</v>
      </c>
      <c r="D3013" s="81" t="s">
        <v>238</v>
      </c>
      <c r="E3013" s="81" t="s">
        <v>49</v>
      </c>
      <c r="F3013" s="81" t="s">
        <v>2</v>
      </c>
    </row>
    <row r="3014" spans="1:6" x14ac:dyDescent="0.25">
      <c r="A3014" s="14">
        <v>46148.45</v>
      </c>
      <c r="B3014" s="81" t="s">
        <v>149</v>
      </c>
      <c r="C3014" s="81" t="s">
        <v>158</v>
      </c>
      <c r="D3014" s="81" t="s">
        <v>238</v>
      </c>
      <c r="E3014" s="81" t="s">
        <v>49</v>
      </c>
      <c r="F3014" s="81" t="s">
        <v>2</v>
      </c>
    </row>
    <row r="3015" spans="1:6" x14ac:dyDescent="0.25">
      <c r="A3015" s="14">
        <v>46148.45</v>
      </c>
      <c r="B3015" s="81" t="s">
        <v>149</v>
      </c>
      <c r="C3015" s="81" t="s">
        <v>178</v>
      </c>
      <c r="D3015" s="81" t="s">
        <v>238</v>
      </c>
      <c r="E3015" s="81" t="s">
        <v>137</v>
      </c>
      <c r="F3015" s="81" t="s">
        <v>28</v>
      </c>
    </row>
    <row r="3016" spans="1:6" x14ac:dyDescent="0.25">
      <c r="A3016" s="14">
        <v>46148.45</v>
      </c>
      <c r="B3016" s="81" t="s">
        <v>149</v>
      </c>
      <c r="C3016" s="81" t="s">
        <v>845</v>
      </c>
      <c r="D3016" s="81" t="s">
        <v>841</v>
      </c>
      <c r="E3016" s="81" t="s">
        <v>846</v>
      </c>
      <c r="F3016" s="81" t="s">
        <v>28</v>
      </c>
    </row>
    <row r="3017" spans="1:6" x14ac:dyDescent="0.25">
      <c r="A3017" s="14">
        <v>46148.45</v>
      </c>
      <c r="B3017" s="81" t="s">
        <v>149</v>
      </c>
      <c r="C3017" s="81" t="s">
        <v>171</v>
      </c>
      <c r="D3017" s="81" t="s">
        <v>162</v>
      </c>
      <c r="E3017" s="81" t="s">
        <v>48</v>
      </c>
      <c r="F3017" s="81" t="s">
        <v>3</v>
      </c>
    </row>
    <row r="3018" spans="1:6" x14ac:dyDescent="0.25">
      <c r="A3018" s="14">
        <v>46148.45</v>
      </c>
      <c r="B3018" s="81" t="s">
        <v>149</v>
      </c>
      <c r="C3018" s="81" t="s">
        <v>171</v>
      </c>
      <c r="D3018" s="81" t="s">
        <v>162</v>
      </c>
      <c r="E3018" s="81" t="s">
        <v>48</v>
      </c>
      <c r="F3018" s="81" t="s">
        <v>3</v>
      </c>
    </row>
    <row r="3019" spans="1:6" x14ac:dyDescent="0.25">
      <c r="A3019" s="14">
        <v>46148.45</v>
      </c>
      <c r="B3019" s="81" t="s">
        <v>149</v>
      </c>
      <c r="C3019" s="81" t="s">
        <v>171</v>
      </c>
      <c r="D3019" s="81" t="s">
        <v>162</v>
      </c>
      <c r="E3019" s="81" t="s">
        <v>48</v>
      </c>
      <c r="F3019" s="81" t="s">
        <v>3</v>
      </c>
    </row>
    <row r="3020" spans="1:6" x14ac:dyDescent="0.25">
      <c r="A3020" s="14">
        <v>46148.45</v>
      </c>
      <c r="B3020" s="81" t="s">
        <v>149</v>
      </c>
      <c r="C3020" s="81" t="s">
        <v>171</v>
      </c>
      <c r="D3020" s="81" t="s">
        <v>162</v>
      </c>
      <c r="E3020" s="81" t="s">
        <v>48</v>
      </c>
      <c r="F3020" s="81" t="s">
        <v>3</v>
      </c>
    </row>
    <row r="3021" spans="1:6" x14ac:dyDescent="0.25">
      <c r="A3021" s="14">
        <v>46148.45</v>
      </c>
      <c r="B3021" s="81" t="s">
        <v>149</v>
      </c>
      <c r="C3021" s="81" t="s">
        <v>171</v>
      </c>
      <c r="D3021" s="81" t="s">
        <v>162</v>
      </c>
      <c r="E3021" s="81" t="s">
        <v>48</v>
      </c>
      <c r="F3021" s="81" t="s">
        <v>3</v>
      </c>
    </row>
    <row r="3022" spans="1:6" x14ac:dyDescent="0.25">
      <c r="A3022" s="14">
        <v>46148.45</v>
      </c>
      <c r="B3022" s="81" t="s">
        <v>149</v>
      </c>
      <c r="C3022" s="81" t="s">
        <v>171</v>
      </c>
      <c r="D3022" s="81" t="s">
        <v>162</v>
      </c>
      <c r="E3022" s="81" t="s">
        <v>48</v>
      </c>
      <c r="F3022" s="81" t="s">
        <v>3</v>
      </c>
    </row>
    <row r="3023" spans="1:6" x14ac:dyDescent="0.25">
      <c r="A3023" s="14">
        <v>46148.45</v>
      </c>
      <c r="B3023" s="81" t="s">
        <v>149</v>
      </c>
      <c r="C3023" s="81" t="s">
        <v>171</v>
      </c>
      <c r="D3023" s="81" t="s">
        <v>162</v>
      </c>
      <c r="E3023" s="81" t="s">
        <v>48</v>
      </c>
      <c r="F3023" s="81" t="s">
        <v>3</v>
      </c>
    </row>
    <row r="3024" spans="1:6" x14ac:dyDescent="0.25">
      <c r="A3024" s="14">
        <v>46148.45</v>
      </c>
      <c r="B3024" s="81" t="s">
        <v>149</v>
      </c>
      <c r="C3024" s="81" t="s">
        <v>151</v>
      </c>
      <c r="D3024" s="81" t="s">
        <v>162</v>
      </c>
      <c r="E3024" s="81" t="s">
        <v>49</v>
      </c>
      <c r="F3024" s="81" t="s">
        <v>2</v>
      </c>
    </row>
    <row r="3025" spans="1:6" x14ac:dyDescent="0.25">
      <c r="A3025" s="14">
        <v>46148.45</v>
      </c>
      <c r="B3025" s="81" t="s">
        <v>149</v>
      </c>
      <c r="C3025" s="81" t="s">
        <v>151</v>
      </c>
      <c r="D3025" s="81" t="s">
        <v>162</v>
      </c>
      <c r="E3025" s="81" t="s">
        <v>49</v>
      </c>
      <c r="F3025" s="81" t="s">
        <v>2</v>
      </c>
    </row>
    <row r="3026" spans="1:6" x14ac:dyDescent="0.25">
      <c r="A3026" s="14">
        <v>46148.45</v>
      </c>
      <c r="B3026" s="81" t="s">
        <v>149</v>
      </c>
      <c r="C3026" s="81" t="s">
        <v>151</v>
      </c>
      <c r="D3026" s="81" t="s">
        <v>162</v>
      </c>
      <c r="E3026" s="81" t="s">
        <v>49</v>
      </c>
      <c r="F3026" s="81" t="s">
        <v>2</v>
      </c>
    </row>
    <row r="3027" spans="1:6" x14ac:dyDescent="0.25">
      <c r="A3027" s="14">
        <v>46148.45</v>
      </c>
      <c r="B3027" s="81" t="s">
        <v>149</v>
      </c>
      <c r="C3027" s="81" t="s">
        <v>151</v>
      </c>
      <c r="D3027" s="81" t="s">
        <v>162</v>
      </c>
      <c r="E3027" s="81" t="s">
        <v>49</v>
      </c>
      <c r="F3027" s="81" t="s">
        <v>2</v>
      </c>
    </row>
    <row r="3028" spans="1:6" x14ac:dyDescent="0.25">
      <c r="A3028" s="14">
        <v>46148.45</v>
      </c>
      <c r="B3028" s="81" t="s">
        <v>149</v>
      </c>
      <c r="C3028" s="81" t="s">
        <v>151</v>
      </c>
      <c r="D3028" s="81" t="s">
        <v>162</v>
      </c>
      <c r="E3028" s="81" t="s">
        <v>49</v>
      </c>
      <c r="F3028" s="81" t="s">
        <v>2</v>
      </c>
    </row>
    <row r="3029" spans="1:6" x14ac:dyDescent="0.25">
      <c r="A3029" s="14">
        <v>46148.45</v>
      </c>
      <c r="B3029" s="81" t="s">
        <v>149</v>
      </c>
      <c r="C3029" s="81" t="s">
        <v>151</v>
      </c>
      <c r="D3029" s="81" t="s">
        <v>162</v>
      </c>
      <c r="E3029" s="81" t="s">
        <v>49</v>
      </c>
      <c r="F3029" s="81" t="s">
        <v>2</v>
      </c>
    </row>
    <row r="3030" spans="1:6" x14ac:dyDescent="0.25">
      <c r="A3030" s="14">
        <v>46148.45</v>
      </c>
      <c r="B3030" s="81" t="s">
        <v>149</v>
      </c>
      <c r="C3030" s="81" t="s">
        <v>151</v>
      </c>
      <c r="D3030" s="81" t="s">
        <v>162</v>
      </c>
      <c r="E3030" s="81" t="s">
        <v>49</v>
      </c>
      <c r="F3030" s="81" t="s">
        <v>2</v>
      </c>
    </row>
    <row r="3031" spans="1:6" x14ac:dyDescent="0.25">
      <c r="A3031" s="14">
        <v>46148.45</v>
      </c>
      <c r="B3031" s="81" t="s">
        <v>149</v>
      </c>
      <c r="C3031" s="81" t="s">
        <v>151</v>
      </c>
      <c r="D3031" s="81" t="s">
        <v>162</v>
      </c>
      <c r="E3031" s="81" t="s">
        <v>49</v>
      </c>
      <c r="F3031" s="81" t="s">
        <v>2</v>
      </c>
    </row>
    <row r="3032" spans="1:6" x14ac:dyDescent="0.25">
      <c r="A3032" s="14">
        <v>46148.45</v>
      </c>
      <c r="B3032" s="81" t="s">
        <v>149</v>
      </c>
      <c r="C3032" s="81" t="s">
        <v>151</v>
      </c>
      <c r="D3032" s="81" t="s">
        <v>162</v>
      </c>
      <c r="E3032" s="81" t="s">
        <v>49</v>
      </c>
      <c r="F3032" s="81" t="s">
        <v>2</v>
      </c>
    </row>
    <row r="3033" spans="1:6" x14ac:dyDescent="0.25">
      <c r="A3033" s="14">
        <v>46148.45</v>
      </c>
      <c r="B3033" s="81" t="s">
        <v>149</v>
      </c>
      <c r="C3033" s="81" t="s">
        <v>151</v>
      </c>
      <c r="D3033" s="81" t="s">
        <v>162</v>
      </c>
      <c r="E3033" s="81" t="s">
        <v>49</v>
      </c>
      <c r="F3033" s="81" t="s">
        <v>2</v>
      </c>
    </row>
    <row r="3034" spans="1:6" x14ac:dyDescent="0.25">
      <c r="A3034" s="14">
        <v>46148.45</v>
      </c>
      <c r="B3034" s="81" t="s">
        <v>149</v>
      </c>
      <c r="C3034" s="81" t="s">
        <v>151</v>
      </c>
      <c r="D3034" s="81" t="s">
        <v>162</v>
      </c>
      <c r="E3034" s="81" t="s">
        <v>49</v>
      </c>
      <c r="F3034" s="81" t="s">
        <v>2</v>
      </c>
    </row>
    <row r="3035" spans="1:6" x14ac:dyDescent="0.25">
      <c r="A3035" s="14">
        <v>46148.45</v>
      </c>
      <c r="B3035" s="81" t="s">
        <v>149</v>
      </c>
      <c r="C3035" s="81" t="s">
        <v>151</v>
      </c>
      <c r="D3035" s="81" t="s">
        <v>162</v>
      </c>
      <c r="E3035" s="81" t="s">
        <v>49</v>
      </c>
      <c r="F3035" s="81" t="s">
        <v>2</v>
      </c>
    </row>
    <row r="3036" spans="1:6" x14ac:dyDescent="0.25">
      <c r="A3036" s="14">
        <v>46148.45</v>
      </c>
      <c r="B3036" s="81" t="s">
        <v>149</v>
      </c>
      <c r="C3036" s="81" t="s">
        <v>151</v>
      </c>
      <c r="D3036" s="81" t="s">
        <v>162</v>
      </c>
      <c r="E3036" s="81" t="s">
        <v>49</v>
      </c>
      <c r="F3036" s="81" t="s">
        <v>2</v>
      </c>
    </row>
    <row r="3037" spans="1:6" x14ac:dyDescent="0.25">
      <c r="A3037" s="14">
        <v>46148.45</v>
      </c>
      <c r="B3037" s="81" t="s">
        <v>149</v>
      </c>
      <c r="C3037" s="81" t="s">
        <v>151</v>
      </c>
      <c r="D3037" s="81" t="s">
        <v>162</v>
      </c>
      <c r="E3037" s="81" t="s">
        <v>49</v>
      </c>
      <c r="F3037" s="81" t="s">
        <v>2</v>
      </c>
    </row>
    <row r="3038" spans="1:6" x14ac:dyDescent="0.25">
      <c r="A3038" s="14">
        <v>46148.45</v>
      </c>
      <c r="B3038" s="81" t="s">
        <v>149</v>
      </c>
      <c r="C3038" s="81" t="s">
        <v>151</v>
      </c>
      <c r="D3038" s="81" t="s">
        <v>162</v>
      </c>
      <c r="E3038" s="81" t="s">
        <v>49</v>
      </c>
      <c r="F3038" s="81" t="s">
        <v>2</v>
      </c>
    </row>
    <row r="3039" spans="1:6" x14ac:dyDescent="0.25">
      <c r="A3039" s="14">
        <v>46148.45</v>
      </c>
      <c r="B3039" s="81" t="s">
        <v>149</v>
      </c>
      <c r="C3039" s="81" t="s">
        <v>151</v>
      </c>
      <c r="D3039" s="81" t="s">
        <v>162</v>
      </c>
      <c r="E3039" s="81" t="s">
        <v>49</v>
      </c>
      <c r="F3039" s="81" t="s">
        <v>2</v>
      </c>
    </row>
    <row r="3040" spans="1:6" x14ac:dyDescent="0.25">
      <c r="A3040" s="14">
        <v>46148.45</v>
      </c>
      <c r="B3040" s="81" t="s">
        <v>149</v>
      </c>
      <c r="C3040" s="81" t="s">
        <v>223</v>
      </c>
      <c r="D3040" s="81" t="s">
        <v>162</v>
      </c>
      <c r="E3040" s="81" t="s">
        <v>64</v>
      </c>
      <c r="F3040" s="81" t="s">
        <v>98</v>
      </c>
    </row>
    <row r="3041" spans="1:6" x14ac:dyDescent="0.25">
      <c r="A3041" s="14">
        <v>46148.45</v>
      </c>
      <c r="B3041" s="81" t="s">
        <v>149</v>
      </c>
      <c r="C3041" s="81" t="s">
        <v>223</v>
      </c>
      <c r="D3041" s="81" t="s">
        <v>162</v>
      </c>
      <c r="E3041" s="81" t="s">
        <v>64</v>
      </c>
      <c r="F3041" s="81" t="s">
        <v>98</v>
      </c>
    </row>
    <row r="3042" spans="1:6" x14ac:dyDescent="0.25">
      <c r="A3042" s="14">
        <v>46148.45</v>
      </c>
      <c r="B3042" s="81" t="s">
        <v>149</v>
      </c>
      <c r="C3042" s="81" t="s">
        <v>226</v>
      </c>
      <c r="D3042" s="81" t="s">
        <v>166</v>
      </c>
      <c r="E3042" s="81" t="s">
        <v>64</v>
      </c>
      <c r="F3042" s="81" t="s">
        <v>98</v>
      </c>
    </row>
    <row r="3043" spans="1:6" x14ac:dyDescent="0.25">
      <c r="A3043" s="14">
        <v>46148.45</v>
      </c>
      <c r="B3043" s="81" t="s">
        <v>149</v>
      </c>
      <c r="C3043" s="81" t="s">
        <v>230</v>
      </c>
      <c r="D3043" s="81" t="s">
        <v>166</v>
      </c>
      <c r="E3043" s="81" t="s">
        <v>64</v>
      </c>
      <c r="F3043" s="81" t="s">
        <v>98</v>
      </c>
    </row>
    <row r="3044" spans="1:6" x14ac:dyDescent="0.25">
      <c r="A3044" s="14">
        <v>46148.45</v>
      </c>
      <c r="B3044" s="81" t="s">
        <v>149</v>
      </c>
      <c r="C3044" s="81" t="s">
        <v>174</v>
      </c>
      <c r="D3044" s="81" t="s">
        <v>166</v>
      </c>
      <c r="E3044" s="81" t="s">
        <v>64</v>
      </c>
      <c r="F3044" s="81" t="s">
        <v>98</v>
      </c>
    </row>
    <row r="3045" spans="1:6" x14ac:dyDescent="0.25">
      <c r="A3045" s="14">
        <v>46148.45</v>
      </c>
      <c r="B3045" s="81" t="s">
        <v>149</v>
      </c>
      <c r="C3045" s="81" t="s">
        <v>185</v>
      </c>
      <c r="D3045" s="81" t="s">
        <v>268</v>
      </c>
      <c r="E3045" s="81" t="s">
        <v>49</v>
      </c>
      <c r="F3045" s="81" t="s">
        <v>2</v>
      </c>
    </row>
    <row r="3046" spans="1:6" x14ac:dyDescent="0.25">
      <c r="A3046" s="14">
        <v>46148.45</v>
      </c>
      <c r="B3046" s="81" t="s">
        <v>149</v>
      </c>
      <c r="C3046" s="81" t="s">
        <v>177</v>
      </c>
      <c r="D3046" s="81" t="s">
        <v>266</v>
      </c>
      <c r="E3046" s="81" t="s">
        <v>52</v>
      </c>
      <c r="F3046" s="81" t="s">
        <v>0</v>
      </c>
    </row>
    <row r="3047" spans="1:6" x14ac:dyDescent="0.25">
      <c r="A3047" s="14">
        <v>46148.45</v>
      </c>
      <c r="B3047" s="81" t="s">
        <v>149</v>
      </c>
      <c r="C3047" s="81" t="s">
        <v>188</v>
      </c>
      <c r="D3047" s="81" t="s">
        <v>156</v>
      </c>
      <c r="E3047" s="81" t="s">
        <v>45</v>
      </c>
      <c r="F3047" s="81" t="s">
        <v>28</v>
      </c>
    </row>
    <row r="3048" spans="1:6" x14ac:dyDescent="0.25">
      <c r="A3048" s="14">
        <v>46148.45</v>
      </c>
      <c r="B3048" s="81" t="s">
        <v>149</v>
      </c>
      <c r="C3048" s="81" t="s">
        <v>189</v>
      </c>
      <c r="D3048" s="81" t="s">
        <v>156</v>
      </c>
      <c r="E3048" s="81" t="s">
        <v>45</v>
      </c>
      <c r="F3048" s="81" t="s">
        <v>28</v>
      </c>
    </row>
    <row r="3049" spans="1:6" x14ac:dyDescent="0.25">
      <c r="A3049" s="14">
        <v>46148.45</v>
      </c>
      <c r="B3049" s="81" t="s">
        <v>149</v>
      </c>
      <c r="C3049" s="81" t="s">
        <v>239</v>
      </c>
      <c r="D3049" s="81" t="s">
        <v>156</v>
      </c>
      <c r="E3049" s="81" t="s">
        <v>45</v>
      </c>
      <c r="F3049" s="81" t="s">
        <v>28</v>
      </c>
    </row>
    <row r="3050" spans="1:6" x14ac:dyDescent="0.25">
      <c r="A3050" s="14">
        <v>46148.45</v>
      </c>
      <c r="B3050" s="81" t="s">
        <v>149</v>
      </c>
      <c r="C3050" s="81" t="s">
        <v>176</v>
      </c>
      <c r="D3050" s="81" t="s">
        <v>166</v>
      </c>
      <c r="E3050" s="81" t="s">
        <v>70</v>
      </c>
      <c r="F3050" s="81" t="s">
        <v>15</v>
      </c>
    </row>
    <row r="3051" spans="1:6" x14ac:dyDescent="0.25">
      <c r="A3051" s="14">
        <v>46148.45</v>
      </c>
      <c r="B3051" s="81" t="s">
        <v>149</v>
      </c>
      <c r="C3051" s="81" t="s">
        <v>175</v>
      </c>
      <c r="D3051" s="81" t="s">
        <v>268</v>
      </c>
      <c r="E3051" s="81" t="s">
        <v>49</v>
      </c>
      <c r="F3051" s="81" t="s">
        <v>2</v>
      </c>
    </row>
    <row r="3052" spans="1:6" x14ac:dyDescent="0.25">
      <c r="A3052" s="14">
        <v>46148.45</v>
      </c>
      <c r="B3052" s="81" t="s">
        <v>149</v>
      </c>
      <c r="C3052" s="81" t="s">
        <v>187</v>
      </c>
      <c r="D3052" s="81" t="s">
        <v>165</v>
      </c>
      <c r="E3052" s="81" t="s">
        <v>75</v>
      </c>
      <c r="F3052" s="81" t="s">
        <v>93</v>
      </c>
    </row>
    <row r="3053" spans="1:6" x14ac:dyDescent="0.25">
      <c r="A3053" s="14">
        <v>46148.45</v>
      </c>
      <c r="B3053" s="81" t="s">
        <v>149</v>
      </c>
      <c r="C3053" s="81" t="s">
        <v>158</v>
      </c>
      <c r="D3053" s="81" t="s">
        <v>165</v>
      </c>
      <c r="E3053" s="81" t="s">
        <v>52</v>
      </c>
      <c r="F3053" s="81" t="s">
        <v>0</v>
      </c>
    </row>
    <row r="3054" spans="1:6" x14ac:dyDescent="0.25">
      <c r="A3054" s="14">
        <v>46148.45</v>
      </c>
      <c r="B3054" s="81" t="s">
        <v>149</v>
      </c>
      <c r="C3054" s="81" t="s">
        <v>845</v>
      </c>
      <c r="D3054" s="81" t="s">
        <v>156</v>
      </c>
      <c r="E3054" s="81" t="s">
        <v>846</v>
      </c>
      <c r="F3054" s="81" t="s">
        <v>28</v>
      </c>
    </row>
    <row r="3055" spans="1:6" x14ac:dyDescent="0.25">
      <c r="A3055" s="14">
        <v>46148.45</v>
      </c>
      <c r="B3055" s="81" t="s">
        <v>149</v>
      </c>
      <c r="C3055" s="81" t="s">
        <v>158</v>
      </c>
      <c r="D3055" s="81" t="s">
        <v>165</v>
      </c>
      <c r="E3055" s="81" t="s">
        <v>50</v>
      </c>
      <c r="F3055" s="81" t="s">
        <v>1</v>
      </c>
    </row>
    <row r="3056" spans="1:6" x14ac:dyDescent="0.25">
      <c r="A3056" s="14">
        <v>46148.45</v>
      </c>
      <c r="B3056" s="81" t="s">
        <v>149</v>
      </c>
      <c r="C3056" s="81" t="s">
        <v>177</v>
      </c>
      <c r="D3056" s="81" t="s">
        <v>268</v>
      </c>
      <c r="E3056" s="81" t="s">
        <v>50</v>
      </c>
      <c r="F3056" s="81" t="s">
        <v>1</v>
      </c>
    </row>
    <row r="3057" spans="1:6" x14ac:dyDescent="0.25">
      <c r="A3057" s="14">
        <v>46148.45</v>
      </c>
      <c r="B3057" s="81" t="s">
        <v>149</v>
      </c>
      <c r="C3057" s="81" t="s">
        <v>187</v>
      </c>
      <c r="D3057" s="81" t="s">
        <v>165</v>
      </c>
      <c r="E3057" s="81" t="s">
        <v>75</v>
      </c>
      <c r="F3057" s="81" t="s">
        <v>93</v>
      </c>
    </row>
    <row r="3058" spans="1:6" x14ac:dyDescent="0.25">
      <c r="A3058" s="14">
        <v>46148.45</v>
      </c>
      <c r="B3058" s="81" t="s">
        <v>149</v>
      </c>
      <c r="C3058" s="81" t="s">
        <v>175</v>
      </c>
      <c r="D3058" s="81" t="s">
        <v>165</v>
      </c>
      <c r="E3058" s="81" t="s">
        <v>50</v>
      </c>
      <c r="F3058" s="81" t="s">
        <v>1</v>
      </c>
    </row>
    <row r="3059" spans="1:6" x14ac:dyDescent="0.25">
      <c r="A3059" s="14">
        <v>46148.45</v>
      </c>
      <c r="B3059" s="81" t="s">
        <v>149</v>
      </c>
      <c r="C3059" s="81" t="s">
        <v>187</v>
      </c>
      <c r="D3059" s="81" t="s">
        <v>165</v>
      </c>
      <c r="E3059" s="81" t="s">
        <v>75</v>
      </c>
      <c r="F3059" s="81" t="s">
        <v>93</v>
      </c>
    </row>
    <row r="3060" spans="1:6" x14ac:dyDescent="0.25">
      <c r="A3060" s="14">
        <v>46148.45</v>
      </c>
      <c r="B3060" s="81" t="s">
        <v>149</v>
      </c>
      <c r="C3060" s="81" t="s">
        <v>158</v>
      </c>
      <c r="D3060" s="81" t="s">
        <v>165</v>
      </c>
      <c r="E3060" s="81" t="s">
        <v>50</v>
      </c>
      <c r="F3060" s="81" t="s">
        <v>1</v>
      </c>
    </row>
    <row r="3061" spans="1:6" x14ac:dyDescent="0.25">
      <c r="A3061" s="14">
        <v>46148.45</v>
      </c>
      <c r="B3061" s="81" t="s">
        <v>149</v>
      </c>
      <c r="C3061" s="81" t="s">
        <v>192</v>
      </c>
      <c r="D3061" s="81" t="s">
        <v>224</v>
      </c>
      <c r="E3061" s="81" t="s">
        <v>60</v>
      </c>
      <c r="F3061" s="81" t="s">
        <v>28</v>
      </c>
    </row>
    <row r="3062" spans="1:6" x14ac:dyDescent="0.25">
      <c r="A3062" s="14">
        <v>46148.45</v>
      </c>
      <c r="B3062" s="81" t="s">
        <v>149</v>
      </c>
      <c r="C3062" s="81" t="s">
        <v>183</v>
      </c>
      <c r="D3062" s="81" t="s">
        <v>268</v>
      </c>
      <c r="E3062" s="81" t="s">
        <v>50</v>
      </c>
      <c r="F3062" s="81" t="s">
        <v>1</v>
      </c>
    </row>
    <row r="3063" spans="1:6" x14ac:dyDescent="0.25">
      <c r="A3063" s="14">
        <v>46148.45</v>
      </c>
      <c r="B3063" s="81" t="s">
        <v>149</v>
      </c>
      <c r="C3063" s="81" t="s">
        <v>173</v>
      </c>
      <c r="D3063" s="81" t="s">
        <v>224</v>
      </c>
      <c r="E3063" s="81" t="s">
        <v>52</v>
      </c>
      <c r="F3063" s="81" t="s">
        <v>0</v>
      </c>
    </row>
    <row r="3064" spans="1:6" x14ac:dyDescent="0.25">
      <c r="A3064" s="14">
        <v>46148.45</v>
      </c>
      <c r="B3064" s="81" t="s">
        <v>149</v>
      </c>
      <c r="C3064" s="81" t="s">
        <v>177</v>
      </c>
      <c r="D3064" s="81" t="s">
        <v>165</v>
      </c>
      <c r="E3064" s="81" t="s">
        <v>50</v>
      </c>
      <c r="F3064" s="81" t="s">
        <v>1</v>
      </c>
    </row>
    <row r="3065" spans="1:6" x14ac:dyDescent="0.25">
      <c r="A3065" s="14">
        <v>46148.45</v>
      </c>
      <c r="B3065" s="81" t="s">
        <v>149</v>
      </c>
      <c r="C3065" s="81" t="s">
        <v>173</v>
      </c>
      <c r="D3065" s="81" t="s">
        <v>224</v>
      </c>
      <c r="E3065" s="81" t="s">
        <v>50</v>
      </c>
      <c r="F3065" s="81" t="s">
        <v>1</v>
      </c>
    </row>
    <row r="3066" spans="1:6" x14ac:dyDescent="0.25">
      <c r="A3066" s="14">
        <v>46148.45</v>
      </c>
      <c r="B3066" s="81" t="s">
        <v>195</v>
      </c>
      <c r="C3066" s="81" t="s">
        <v>198</v>
      </c>
      <c r="D3066" s="81" t="s">
        <v>242</v>
      </c>
      <c r="E3066" s="81" t="s">
        <v>24</v>
      </c>
      <c r="F3066" s="81" t="s">
        <v>24</v>
      </c>
    </row>
    <row r="3067" spans="1:6" x14ac:dyDescent="0.25">
      <c r="A3067" s="14">
        <v>46148.45</v>
      </c>
      <c r="B3067" s="81" t="s">
        <v>195</v>
      </c>
      <c r="C3067" s="81" t="s">
        <v>198</v>
      </c>
      <c r="D3067" s="81" t="s">
        <v>242</v>
      </c>
      <c r="E3067" s="81" t="s">
        <v>24</v>
      </c>
      <c r="F3067" s="81" t="s">
        <v>24</v>
      </c>
    </row>
    <row r="3068" spans="1:6" x14ac:dyDescent="0.25">
      <c r="A3068" s="14">
        <v>46148.45</v>
      </c>
      <c r="B3068" s="81" t="s">
        <v>195</v>
      </c>
      <c r="C3068" s="81" t="s">
        <v>198</v>
      </c>
      <c r="D3068" s="81" t="s">
        <v>242</v>
      </c>
      <c r="E3068" s="81" t="s">
        <v>24</v>
      </c>
      <c r="F3068" s="81" t="s">
        <v>24</v>
      </c>
    </row>
    <row r="3069" spans="1:6" x14ac:dyDescent="0.25">
      <c r="A3069" s="14">
        <v>46148.45</v>
      </c>
      <c r="B3069" s="81" t="s">
        <v>195</v>
      </c>
      <c r="C3069" s="81" t="s">
        <v>198</v>
      </c>
      <c r="D3069" s="81" t="s">
        <v>242</v>
      </c>
      <c r="E3069" s="81" t="s">
        <v>24</v>
      </c>
      <c r="F3069" s="81" t="s">
        <v>24</v>
      </c>
    </row>
    <row r="3070" spans="1:6" x14ac:dyDescent="0.25">
      <c r="A3070" s="14">
        <v>46148.45</v>
      </c>
      <c r="B3070" s="81" t="s">
        <v>195</v>
      </c>
      <c r="C3070" s="81" t="s">
        <v>198</v>
      </c>
      <c r="D3070" s="81" t="s">
        <v>242</v>
      </c>
      <c r="E3070" s="81" t="s">
        <v>24</v>
      </c>
      <c r="F3070" s="81" t="s">
        <v>24</v>
      </c>
    </row>
    <row r="3071" spans="1:6" x14ac:dyDescent="0.25">
      <c r="A3071" s="14">
        <v>46148.45</v>
      </c>
      <c r="B3071" s="81" t="s">
        <v>195</v>
      </c>
      <c r="C3071" s="81" t="s">
        <v>198</v>
      </c>
      <c r="D3071" s="81" t="s">
        <v>242</v>
      </c>
      <c r="E3071" s="81" t="s">
        <v>24</v>
      </c>
      <c r="F3071" s="81" t="s">
        <v>24</v>
      </c>
    </row>
    <row r="3072" spans="1:6" x14ac:dyDescent="0.25">
      <c r="A3072" s="14">
        <v>46148.45</v>
      </c>
      <c r="B3072" s="81" t="s">
        <v>195</v>
      </c>
      <c r="C3072" s="81" t="s">
        <v>197</v>
      </c>
      <c r="D3072" s="81" t="s">
        <v>242</v>
      </c>
      <c r="E3072" s="81" t="s">
        <v>24</v>
      </c>
      <c r="F3072" s="81" t="s">
        <v>24</v>
      </c>
    </row>
    <row r="3073" spans="1:6" x14ac:dyDescent="0.25">
      <c r="A3073" s="14">
        <v>46148.45</v>
      </c>
      <c r="B3073" s="81" t="s">
        <v>195</v>
      </c>
      <c r="C3073" s="81" t="s">
        <v>197</v>
      </c>
      <c r="D3073" s="81" t="s">
        <v>242</v>
      </c>
      <c r="E3073" s="81" t="s">
        <v>24</v>
      </c>
      <c r="F3073" s="81" t="s">
        <v>24</v>
      </c>
    </row>
    <row r="3074" spans="1:6" x14ac:dyDescent="0.25">
      <c r="A3074" s="14">
        <v>46148.45</v>
      </c>
      <c r="B3074" s="81" t="s">
        <v>195</v>
      </c>
      <c r="C3074" s="81" t="s">
        <v>197</v>
      </c>
      <c r="D3074" s="81" t="s">
        <v>242</v>
      </c>
      <c r="E3074" s="81" t="s">
        <v>24</v>
      </c>
      <c r="F3074" s="81" t="s">
        <v>24</v>
      </c>
    </row>
    <row r="3075" spans="1:6" x14ac:dyDescent="0.25">
      <c r="A3075" s="14">
        <v>46148.45</v>
      </c>
      <c r="B3075" s="81" t="s">
        <v>195</v>
      </c>
      <c r="C3075" s="81" t="s">
        <v>198</v>
      </c>
      <c r="D3075" s="81" t="s">
        <v>156</v>
      </c>
      <c r="E3075" s="81" t="s">
        <v>24</v>
      </c>
      <c r="F3075" s="81" t="s">
        <v>24</v>
      </c>
    </row>
    <row r="3076" spans="1:6" x14ac:dyDescent="0.25">
      <c r="A3076" s="14">
        <v>46148.45</v>
      </c>
      <c r="B3076" s="81" t="s">
        <v>195</v>
      </c>
      <c r="C3076" s="81" t="s">
        <v>198</v>
      </c>
      <c r="D3076" s="81" t="s">
        <v>156</v>
      </c>
      <c r="E3076" s="81" t="s">
        <v>24</v>
      </c>
      <c r="F3076" s="81" t="s">
        <v>24</v>
      </c>
    </row>
    <row r="3077" spans="1:6" x14ac:dyDescent="0.25">
      <c r="A3077" s="14">
        <v>46148.45</v>
      </c>
      <c r="B3077" s="81" t="s">
        <v>195</v>
      </c>
      <c r="C3077" s="81" t="s">
        <v>198</v>
      </c>
      <c r="D3077" s="81" t="s">
        <v>156</v>
      </c>
      <c r="E3077" s="81" t="s">
        <v>24</v>
      </c>
      <c r="F3077" s="81" t="s">
        <v>24</v>
      </c>
    </row>
    <row r="3078" spans="1:6" x14ac:dyDescent="0.25">
      <c r="A3078" s="14">
        <v>46148.45</v>
      </c>
      <c r="B3078" s="81" t="s">
        <v>195</v>
      </c>
      <c r="C3078" s="81" t="s">
        <v>197</v>
      </c>
      <c r="D3078" s="81" t="s">
        <v>231</v>
      </c>
      <c r="E3078" s="81" t="s">
        <v>24</v>
      </c>
      <c r="F3078" s="81" t="s">
        <v>24</v>
      </c>
    </row>
    <row r="3079" spans="1:6" x14ac:dyDescent="0.25">
      <c r="A3079" s="14">
        <v>46148.45</v>
      </c>
      <c r="B3079" s="81" t="s">
        <v>195</v>
      </c>
      <c r="C3079" s="81" t="s">
        <v>197</v>
      </c>
      <c r="D3079" s="81" t="s">
        <v>231</v>
      </c>
      <c r="E3079" s="81" t="s">
        <v>24</v>
      </c>
      <c r="F3079" s="81" t="s">
        <v>24</v>
      </c>
    </row>
    <row r="3080" spans="1:6" x14ac:dyDescent="0.25">
      <c r="A3080" s="14">
        <v>46148.45</v>
      </c>
      <c r="B3080" s="81" t="s">
        <v>195</v>
      </c>
      <c r="C3080" s="81" t="s">
        <v>197</v>
      </c>
      <c r="D3080" s="81" t="s">
        <v>231</v>
      </c>
      <c r="E3080" s="81" t="s">
        <v>24</v>
      </c>
      <c r="F3080" s="81" t="s">
        <v>24</v>
      </c>
    </row>
    <row r="3081" spans="1:6" x14ac:dyDescent="0.25">
      <c r="A3081" s="14">
        <v>46148.481249999997</v>
      </c>
      <c r="B3081" s="81" t="s">
        <v>149</v>
      </c>
      <c r="C3081" s="81" t="s">
        <v>175</v>
      </c>
      <c r="D3081" s="81" t="s">
        <v>165</v>
      </c>
      <c r="E3081" s="81" t="s">
        <v>50</v>
      </c>
      <c r="F3081" s="81" t="s">
        <v>1</v>
      </c>
    </row>
    <row r="3082" spans="1:6" x14ac:dyDescent="0.25">
      <c r="A3082" s="14">
        <v>46148.481249999997</v>
      </c>
      <c r="B3082" s="81" t="s">
        <v>149</v>
      </c>
      <c r="C3082" s="81" t="s">
        <v>173</v>
      </c>
      <c r="D3082" s="81" t="s">
        <v>231</v>
      </c>
      <c r="E3082" s="81" t="s">
        <v>49</v>
      </c>
      <c r="F3082" s="81" t="s">
        <v>2</v>
      </c>
    </row>
    <row r="3083" spans="1:6" x14ac:dyDescent="0.25">
      <c r="A3083" s="14">
        <v>46148.481249999997</v>
      </c>
      <c r="B3083" s="81" t="s">
        <v>149</v>
      </c>
      <c r="C3083" s="81" t="s">
        <v>175</v>
      </c>
      <c r="D3083" s="81" t="s">
        <v>231</v>
      </c>
      <c r="E3083" s="81" t="s">
        <v>52</v>
      </c>
      <c r="F3083" s="81" t="s">
        <v>0</v>
      </c>
    </row>
    <row r="3084" spans="1:6" x14ac:dyDescent="0.25">
      <c r="A3084" s="14">
        <v>46148.481249999997</v>
      </c>
      <c r="B3084" s="81" t="s">
        <v>149</v>
      </c>
      <c r="C3084" s="81" t="s">
        <v>177</v>
      </c>
      <c r="D3084" s="81" t="s">
        <v>165</v>
      </c>
      <c r="E3084" s="81" t="s">
        <v>50</v>
      </c>
      <c r="F3084" s="81" t="s">
        <v>1</v>
      </c>
    </row>
    <row r="3085" spans="1:6" x14ac:dyDescent="0.25">
      <c r="A3085" s="14">
        <v>46148.481249999997</v>
      </c>
      <c r="B3085" s="81" t="s">
        <v>149</v>
      </c>
      <c r="C3085" s="81" t="s">
        <v>192</v>
      </c>
      <c r="D3085" s="81" t="s">
        <v>165</v>
      </c>
      <c r="E3085" s="81" t="s">
        <v>60</v>
      </c>
      <c r="F3085" s="81" t="s">
        <v>28</v>
      </c>
    </row>
    <row r="3086" spans="1:6" x14ac:dyDescent="0.25">
      <c r="A3086" s="14">
        <v>46148.481249999997</v>
      </c>
      <c r="B3086" s="81" t="s">
        <v>149</v>
      </c>
      <c r="C3086" s="81" t="s">
        <v>151</v>
      </c>
      <c r="D3086" s="81" t="s">
        <v>165</v>
      </c>
      <c r="E3086" s="81" t="s">
        <v>50</v>
      </c>
      <c r="F3086" s="81" t="s">
        <v>1</v>
      </c>
    </row>
    <row r="3087" spans="1:6" x14ac:dyDescent="0.25">
      <c r="A3087" s="14">
        <v>46148.481249999997</v>
      </c>
      <c r="B3087" s="81" t="s">
        <v>149</v>
      </c>
      <c r="C3087" s="81" t="s">
        <v>183</v>
      </c>
      <c r="D3087" s="81" t="s">
        <v>179</v>
      </c>
      <c r="E3087" s="81" t="s">
        <v>50</v>
      </c>
      <c r="F3087" s="81" t="s">
        <v>1</v>
      </c>
    </row>
    <row r="3088" spans="1:6" x14ac:dyDescent="0.25">
      <c r="A3088" s="14">
        <v>46148.481249999997</v>
      </c>
      <c r="B3088" s="81" t="s">
        <v>149</v>
      </c>
      <c r="C3088" s="81" t="s">
        <v>173</v>
      </c>
      <c r="D3088" s="81" t="s">
        <v>165</v>
      </c>
      <c r="E3088" s="81" t="s">
        <v>50</v>
      </c>
      <c r="F3088" s="81" t="s">
        <v>1</v>
      </c>
    </row>
    <row r="3089" spans="1:6" x14ac:dyDescent="0.25">
      <c r="A3089" s="14">
        <v>46148.544444444444</v>
      </c>
      <c r="B3089" s="81" t="s">
        <v>149</v>
      </c>
      <c r="C3089" s="81" t="s">
        <v>175</v>
      </c>
      <c r="D3089" s="81" t="s">
        <v>165</v>
      </c>
      <c r="E3089" s="81" t="s">
        <v>50</v>
      </c>
      <c r="F3089" s="81" t="s">
        <v>1</v>
      </c>
    </row>
    <row r="3090" spans="1:6" x14ac:dyDescent="0.25">
      <c r="A3090" s="14">
        <v>46148.544444444444</v>
      </c>
      <c r="B3090" s="81" t="s">
        <v>149</v>
      </c>
      <c r="C3090" s="81" t="s">
        <v>187</v>
      </c>
      <c r="D3090" s="81" t="s">
        <v>165</v>
      </c>
      <c r="E3090" s="81" t="s">
        <v>75</v>
      </c>
      <c r="F3090" s="81" t="s">
        <v>93</v>
      </c>
    </row>
    <row r="3091" spans="1:6" x14ac:dyDescent="0.25">
      <c r="A3091" s="14">
        <v>46148.544444444444</v>
      </c>
      <c r="B3091" s="81" t="s">
        <v>149</v>
      </c>
      <c r="C3091" s="81" t="s">
        <v>176</v>
      </c>
      <c r="D3091" s="81" t="s">
        <v>165</v>
      </c>
      <c r="E3091" s="81" t="s">
        <v>70</v>
      </c>
      <c r="F3091" s="81" t="s">
        <v>15</v>
      </c>
    </row>
    <row r="3092" spans="1:6" x14ac:dyDescent="0.25">
      <c r="A3092" s="14">
        <v>46148.544444444444</v>
      </c>
      <c r="B3092" s="81" t="s">
        <v>149</v>
      </c>
      <c r="C3092" s="81" t="s">
        <v>187</v>
      </c>
      <c r="D3092" s="81" t="s">
        <v>165</v>
      </c>
      <c r="E3092" s="81" t="s">
        <v>75</v>
      </c>
      <c r="F3092" s="81" t="s">
        <v>93</v>
      </c>
    </row>
    <row r="3093" spans="1:6" x14ac:dyDescent="0.25">
      <c r="A3093" s="14">
        <v>46148.544444444444</v>
      </c>
      <c r="B3093" s="81" t="s">
        <v>149</v>
      </c>
      <c r="C3093" s="81" t="s">
        <v>151</v>
      </c>
      <c r="D3093" s="81" t="s">
        <v>165</v>
      </c>
      <c r="E3093" s="81" t="s">
        <v>50</v>
      </c>
      <c r="F3093" s="81" t="s">
        <v>1</v>
      </c>
    </row>
    <row r="3094" spans="1:6" x14ac:dyDescent="0.25">
      <c r="A3094" s="14">
        <v>46148.544444444444</v>
      </c>
      <c r="B3094" s="81" t="s">
        <v>149</v>
      </c>
      <c r="C3094" s="81" t="s">
        <v>158</v>
      </c>
      <c r="D3094" s="81" t="s">
        <v>165</v>
      </c>
      <c r="E3094" s="81" t="s">
        <v>50</v>
      </c>
      <c r="F3094" s="81" t="s">
        <v>1</v>
      </c>
    </row>
    <row r="3095" spans="1:6" x14ac:dyDescent="0.25">
      <c r="A3095" s="14">
        <v>46148.544444444444</v>
      </c>
      <c r="B3095" s="81" t="s">
        <v>149</v>
      </c>
      <c r="C3095" s="81" t="s">
        <v>171</v>
      </c>
      <c r="D3095" s="81" t="s">
        <v>165</v>
      </c>
      <c r="E3095" s="81" t="s">
        <v>50</v>
      </c>
      <c r="F3095" s="81" t="s">
        <v>1</v>
      </c>
    </row>
    <row r="3096" spans="1:6" x14ac:dyDescent="0.25">
      <c r="A3096" s="14">
        <v>46148.544444444444</v>
      </c>
      <c r="B3096" s="81" t="s">
        <v>149</v>
      </c>
      <c r="C3096" s="81" t="s">
        <v>173</v>
      </c>
      <c r="D3096" s="81" t="s">
        <v>231</v>
      </c>
      <c r="E3096" s="81" t="s">
        <v>49</v>
      </c>
      <c r="F3096" s="81" t="s">
        <v>2</v>
      </c>
    </row>
    <row r="3097" spans="1:6" x14ac:dyDescent="0.25">
      <c r="A3097" s="14">
        <v>46148.544444444444</v>
      </c>
      <c r="B3097" s="81" t="s">
        <v>149</v>
      </c>
      <c r="C3097" s="81" t="s">
        <v>173</v>
      </c>
      <c r="D3097" s="81" t="s">
        <v>231</v>
      </c>
      <c r="E3097" s="81" t="s">
        <v>50</v>
      </c>
      <c r="F3097" s="81" t="s">
        <v>1</v>
      </c>
    </row>
    <row r="3098" spans="1:6" x14ac:dyDescent="0.25">
      <c r="A3098" s="14">
        <v>46148.544444444444</v>
      </c>
      <c r="B3098" s="81" t="s">
        <v>149</v>
      </c>
      <c r="C3098" s="81" t="s">
        <v>176</v>
      </c>
      <c r="D3098" s="81" t="s">
        <v>254</v>
      </c>
      <c r="E3098" s="81" t="s">
        <v>70</v>
      </c>
      <c r="F3098" s="81" t="s">
        <v>15</v>
      </c>
    </row>
    <row r="3099" spans="1:6" x14ac:dyDescent="0.25">
      <c r="A3099" s="14">
        <v>46148.544444444444</v>
      </c>
      <c r="B3099" s="81" t="s">
        <v>149</v>
      </c>
      <c r="C3099" s="81" t="s">
        <v>184</v>
      </c>
      <c r="D3099" s="81" t="s">
        <v>165</v>
      </c>
      <c r="E3099" s="81" t="s">
        <v>50</v>
      </c>
      <c r="F3099" s="81" t="s">
        <v>1</v>
      </c>
    </row>
    <row r="3100" spans="1:6" x14ac:dyDescent="0.25">
      <c r="A3100" s="14">
        <v>46148.544444444444</v>
      </c>
      <c r="B3100" s="81" t="s">
        <v>149</v>
      </c>
      <c r="C3100" s="81" t="s">
        <v>176</v>
      </c>
      <c r="D3100" s="81" t="s">
        <v>254</v>
      </c>
      <c r="E3100" s="81" t="s">
        <v>70</v>
      </c>
      <c r="F3100" s="81" t="s">
        <v>15</v>
      </c>
    </row>
    <row r="3101" spans="1:6" x14ac:dyDescent="0.25">
      <c r="A3101" s="14">
        <v>46148.544444444444</v>
      </c>
      <c r="B3101" s="81" t="s">
        <v>149</v>
      </c>
      <c r="C3101" s="81" t="s">
        <v>181</v>
      </c>
      <c r="D3101" s="81" t="s">
        <v>240</v>
      </c>
      <c r="E3101" s="81" t="s">
        <v>52</v>
      </c>
      <c r="F3101" s="81" t="s">
        <v>0</v>
      </c>
    </row>
    <row r="3102" spans="1:6" x14ac:dyDescent="0.25">
      <c r="A3102" s="14">
        <v>46148.544444444444</v>
      </c>
      <c r="B3102" s="81" t="s">
        <v>149</v>
      </c>
      <c r="C3102" s="81" t="s">
        <v>184</v>
      </c>
      <c r="D3102" s="81" t="s">
        <v>246</v>
      </c>
      <c r="E3102" s="81" t="s">
        <v>50</v>
      </c>
      <c r="F3102" s="81" t="s">
        <v>1</v>
      </c>
    </row>
    <row r="3103" spans="1:6" x14ac:dyDescent="0.25">
      <c r="A3103" s="14">
        <v>46148.544444444444</v>
      </c>
      <c r="B3103" s="81" t="s">
        <v>149</v>
      </c>
      <c r="C3103" s="81" t="s">
        <v>173</v>
      </c>
      <c r="D3103" s="81" t="s">
        <v>231</v>
      </c>
      <c r="E3103" s="81" t="s">
        <v>50</v>
      </c>
      <c r="F3103" s="81" t="s">
        <v>1</v>
      </c>
    </row>
    <row r="3104" spans="1:6" x14ac:dyDescent="0.25">
      <c r="A3104" s="14">
        <v>46148.544444444444</v>
      </c>
      <c r="B3104" s="81" t="s">
        <v>149</v>
      </c>
      <c r="C3104" s="81" t="s">
        <v>213</v>
      </c>
      <c r="D3104" s="81" t="s">
        <v>254</v>
      </c>
      <c r="E3104" s="81" t="s">
        <v>64</v>
      </c>
      <c r="F3104" s="81" t="s">
        <v>98</v>
      </c>
    </row>
    <row r="3105" spans="1:6" x14ac:dyDescent="0.25">
      <c r="A3105" s="14">
        <v>46148.544444444444</v>
      </c>
      <c r="B3105" s="81" t="s">
        <v>149</v>
      </c>
      <c r="C3105" s="81" t="s">
        <v>176</v>
      </c>
      <c r="D3105" s="81" t="s">
        <v>165</v>
      </c>
      <c r="E3105" s="81" t="s">
        <v>70</v>
      </c>
      <c r="F3105" s="81" t="s">
        <v>15</v>
      </c>
    </row>
    <row r="3106" spans="1:6" x14ac:dyDescent="0.25">
      <c r="A3106" s="14">
        <v>46148.544444444444</v>
      </c>
      <c r="B3106" s="81" t="s">
        <v>149</v>
      </c>
      <c r="C3106" s="81" t="s">
        <v>185</v>
      </c>
      <c r="D3106" s="81" t="s">
        <v>165</v>
      </c>
      <c r="E3106" s="81" t="s">
        <v>50</v>
      </c>
      <c r="F3106" s="81" t="s">
        <v>1</v>
      </c>
    </row>
    <row r="3107" spans="1:6" x14ac:dyDescent="0.25">
      <c r="A3107" s="14">
        <v>46148.544444444444</v>
      </c>
      <c r="B3107" s="81" t="s">
        <v>195</v>
      </c>
      <c r="C3107" s="81" t="s">
        <v>209</v>
      </c>
      <c r="D3107" s="81" t="s">
        <v>162</v>
      </c>
      <c r="E3107" s="81" t="s">
        <v>24</v>
      </c>
      <c r="F3107" s="81" t="s">
        <v>24</v>
      </c>
    </row>
    <row r="3108" spans="1:6" x14ac:dyDescent="0.25">
      <c r="A3108" s="14">
        <v>46148.544444444444</v>
      </c>
      <c r="B3108" s="81" t="s">
        <v>195</v>
      </c>
      <c r="C3108" s="81" t="s">
        <v>209</v>
      </c>
      <c r="D3108" s="81" t="s">
        <v>162</v>
      </c>
      <c r="E3108" s="81" t="s">
        <v>24</v>
      </c>
      <c r="F3108" s="81" t="s">
        <v>24</v>
      </c>
    </row>
    <row r="3109" spans="1:6" x14ac:dyDescent="0.25">
      <c r="A3109" s="14">
        <v>46148.544444444444</v>
      </c>
      <c r="B3109" s="81" t="s">
        <v>195</v>
      </c>
      <c r="C3109" s="81" t="s">
        <v>209</v>
      </c>
      <c r="D3109" s="81" t="s">
        <v>162</v>
      </c>
      <c r="E3109" s="81" t="s">
        <v>24</v>
      </c>
      <c r="F3109" s="81" t="s">
        <v>24</v>
      </c>
    </row>
    <row r="3110" spans="1:6" x14ac:dyDescent="0.25">
      <c r="A3110" s="14">
        <v>46148.586111111108</v>
      </c>
      <c r="B3110" s="81" t="s">
        <v>149</v>
      </c>
      <c r="C3110" s="81" t="s">
        <v>181</v>
      </c>
      <c r="D3110" s="81" t="s">
        <v>199</v>
      </c>
      <c r="E3110" s="81" t="s">
        <v>50</v>
      </c>
      <c r="F3110" s="81" t="s">
        <v>1</v>
      </c>
    </row>
    <row r="3111" spans="1:6" x14ac:dyDescent="0.25">
      <c r="A3111" s="14">
        <v>46148.586111111108</v>
      </c>
      <c r="B3111" s="81" t="s">
        <v>149</v>
      </c>
      <c r="C3111" s="81" t="s">
        <v>185</v>
      </c>
      <c r="D3111" s="81" t="s">
        <v>199</v>
      </c>
      <c r="E3111" s="81" t="s">
        <v>52</v>
      </c>
      <c r="F3111" s="81" t="s">
        <v>0</v>
      </c>
    </row>
    <row r="3112" spans="1:6" x14ac:dyDescent="0.25">
      <c r="A3112" s="14">
        <v>46148.586111111108</v>
      </c>
      <c r="B3112" s="81" t="s">
        <v>149</v>
      </c>
      <c r="C3112" s="81" t="s">
        <v>181</v>
      </c>
      <c r="D3112" s="81" t="s">
        <v>165</v>
      </c>
      <c r="E3112" s="81" t="s">
        <v>50</v>
      </c>
      <c r="F3112" s="81" t="s">
        <v>1</v>
      </c>
    </row>
    <row r="3113" spans="1:6" x14ac:dyDescent="0.25">
      <c r="A3113" s="14">
        <v>46148.586111111108</v>
      </c>
      <c r="B3113" s="81" t="s">
        <v>149</v>
      </c>
      <c r="C3113" s="81" t="s">
        <v>185</v>
      </c>
      <c r="D3113" s="81" t="s">
        <v>165</v>
      </c>
      <c r="E3113" s="81" t="s">
        <v>50</v>
      </c>
      <c r="F3113" s="81" t="s">
        <v>1</v>
      </c>
    </row>
    <row r="3114" spans="1:6" x14ac:dyDescent="0.25">
      <c r="A3114" s="14">
        <v>46148.586111111108</v>
      </c>
      <c r="B3114" s="81" t="s">
        <v>149</v>
      </c>
      <c r="C3114" s="81" t="s">
        <v>174</v>
      </c>
      <c r="D3114" s="81" t="s">
        <v>162</v>
      </c>
      <c r="E3114" s="81" t="s">
        <v>64</v>
      </c>
      <c r="F3114" s="81" t="s">
        <v>98</v>
      </c>
    </row>
    <row r="3115" spans="1:6" x14ac:dyDescent="0.25">
      <c r="A3115" s="14">
        <v>46148.586111111108</v>
      </c>
      <c r="B3115" s="81" t="s">
        <v>149</v>
      </c>
      <c r="C3115" s="81" t="s">
        <v>181</v>
      </c>
      <c r="D3115" s="81" t="s">
        <v>199</v>
      </c>
      <c r="E3115" s="81" t="s">
        <v>49</v>
      </c>
      <c r="F3115" s="81" t="s">
        <v>2</v>
      </c>
    </row>
    <row r="3116" spans="1:6" x14ac:dyDescent="0.25">
      <c r="A3116" s="14">
        <v>46148.586111111108</v>
      </c>
      <c r="B3116" s="81" t="s">
        <v>149</v>
      </c>
      <c r="C3116" s="81" t="s">
        <v>174</v>
      </c>
      <c r="D3116" s="81" t="s">
        <v>162</v>
      </c>
      <c r="E3116" s="81" t="s">
        <v>64</v>
      </c>
      <c r="F3116" s="81" t="s">
        <v>98</v>
      </c>
    </row>
    <row r="3117" spans="1:6" x14ac:dyDescent="0.25">
      <c r="A3117" s="14">
        <v>46148.586111111108</v>
      </c>
      <c r="B3117" s="81" t="s">
        <v>149</v>
      </c>
      <c r="C3117" s="81" t="s">
        <v>192</v>
      </c>
      <c r="D3117" s="81" t="s">
        <v>199</v>
      </c>
      <c r="E3117" s="81" t="s">
        <v>60</v>
      </c>
      <c r="F3117" s="81" t="s">
        <v>28</v>
      </c>
    </row>
    <row r="3118" spans="1:6" x14ac:dyDescent="0.25">
      <c r="A3118" s="14">
        <v>46148.586111111108</v>
      </c>
      <c r="B3118" s="81" t="s">
        <v>149</v>
      </c>
      <c r="C3118" s="81" t="s">
        <v>171</v>
      </c>
      <c r="D3118" s="81" t="s">
        <v>199</v>
      </c>
      <c r="E3118" s="81" t="s">
        <v>49</v>
      </c>
      <c r="F3118" s="81" t="s">
        <v>2</v>
      </c>
    </row>
    <row r="3119" spans="1:6" x14ac:dyDescent="0.25">
      <c r="A3119" s="14">
        <v>46148.586111111108</v>
      </c>
      <c r="B3119" s="81" t="s">
        <v>149</v>
      </c>
      <c r="C3119" s="81" t="s">
        <v>158</v>
      </c>
      <c r="D3119" s="81" t="s">
        <v>199</v>
      </c>
      <c r="E3119" s="81" t="s">
        <v>49</v>
      </c>
      <c r="F3119" s="81" t="s">
        <v>2</v>
      </c>
    </row>
    <row r="3120" spans="1:6" x14ac:dyDescent="0.25">
      <c r="A3120" s="14">
        <v>46148.586111111108</v>
      </c>
      <c r="B3120" s="81" t="s">
        <v>149</v>
      </c>
      <c r="C3120" s="81" t="s">
        <v>185</v>
      </c>
      <c r="D3120" s="81" t="s">
        <v>199</v>
      </c>
      <c r="E3120" s="81" t="s">
        <v>50</v>
      </c>
      <c r="F3120" s="81" t="s">
        <v>1</v>
      </c>
    </row>
    <row r="3121" spans="1:6" x14ac:dyDescent="0.25">
      <c r="A3121" s="14">
        <v>46148.586111111108</v>
      </c>
      <c r="B3121" s="81" t="s">
        <v>149</v>
      </c>
      <c r="C3121" s="81" t="s">
        <v>185</v>
      </c>
      <c r="D3121" s="81" t="s">
        <v>163</v>
      </c>
      <c r="E3121" s="81" t="s">
        <v>52</v>
      </c>
      <c r="F3121" s="81" t="s">
        <v>0</v>
      </c>
    </row>
    <row r="3122" spans="1:6" x14ac:dyDescent="0.25">
      <c r="A3122" s="14">
        <v>46148.586111111108</v>
      </c>
      <c r="B3122" s="81" t="s">
        <v>149</v>
      </c>
      <c r="C3122" s="81" t="s">
        <v>151</v>
      </c>
      <c r="D3122" s="81" t="s">
        <v>841</v>
      </c>
      <c r="E3122" s="81" t="s">
        <v>49</v>
      </c>
      <c r="F3122" s="81" t="s">
        <v>2</v>
      </c>
    </row>
    <row r="3123" spans="1:6" x14ac:dyDescent="0.25">
      <c r="A3123" s="14">
        <v>46148.586111111108</v>
      </c>
      <c r="B3123" s="81" t="s">
        <v>149</v>
      </c>
      <c r="C3123" s="81" t="s">
        <v>182</v>
      </c>
      <c r="D3123" s="81" t="s">
        <v>199</v>
      </c>
      <c r="E3123" s="81" t="s">
        <v>52</v>
      </c>
      <c r="F3123" s="81" t="s">
        <v>0</v>
      </c>
    </row>
    <row r="3124" spans="1:6" x14ac:dyDescent="0.25">
      <c r="A3124" s="14">
        <v>46148.586111111108</v>
      </c>
      <c r="B3124" s="81" t="s">
        <v>149</v>
      </c>
      <c r="C3124" s="81" t="s">
        <v>843</v>
      </c>
      <c r="D3124" s="81" t="s">
        <v>205</v>
      </c>
      <c r="E3124" s="81" t="s">
        <v>844</v>
      </c>
      <c r="F3124" s="81" t="s">
        <v>28</v>
      </c>
    </row>
    <row r="3125" spans="1:6" x14ac:dyDescent="0.25">
      <c r="A3125" s="14">
        <v>46148.586111111108</v>
      </c>
      <c r="B3125" s="81" t="s">
        <v>149</v>
      </c>
      <c r="C3125" s="81" t="s">
        <v>190</v>
      </c>
      <c r="D3125" s="81" t="s">
        <v>199</v>
      </c>
      <c r="E3125" s="81" t="s">
        <v>50</v>
      </c>
      <c r="F3125" s="81" t="s">
        <v>1</v>
      </c>
    </row>
    <row r="3126" spans="1:6" x14ac:dyDescent="0.25">
      <c r="A3126" s="14">
        <v>46148.586111111108</v>
      </c>
      <c r="B3126" s="81" t="s">
        <v>149</v>
      </c>
      <c r="C3126" s="81" t="s">
        <v>226</v>
      </c>
      <c r="D3126" s="81" t="s">
        <v>162</v>
      </c>
      <c r="E3126" s="81" t="s">
        <v>64</v>
      </c>
      <c r="F3126" s="81" t="s">
        <v>98</v>
      </c>
    </row>
    <row r="3127" spans="1:6" x14ac:dyDescent="0.25">
      <c r="A3127" s="14">
        <v>46148.586111111108</v>
      </c>
      <c r="B3127" s="81" t="s">
        <v>149</v>
      </c>
      <c r="C3127" s="81" t="s">
        <v>181</v>
      </c>
      <c r="D3127" s="81" t="s">
        <v>179</v>
      </c>
      <c r="E3127" s="81" t="s">
        <v>50</v>
      </c>
      <c r="F3127" s="81" t="s">
        <v>1</v>
      </c>
    </row>
    <row r="3128" spans="1:6" x14ac:dyDescent="0.25">
      <c r="A3128" s="14">
        <v>46148.586111111108</v>
      </c>
      <c r="B3128" s="81" t="s">
        <v>149</v>
      </c>
      <c r="C3128" s="81" t="s">
        <v>226</v>
      </c>
      <c r="D3128" s="81" t="s">
        <v>162</v>
      </c>
      <c r="E3128" s="81" t="s">
        <v>65</v>
      </c>
      <c r="F3128" s="81" t="s">
        <v>99</v>
      </c>
    </row>
    <row r="3129" spans="1:6" x14ac:dyDescent="0.25">
      <c r="A3129" s="14">
        <v>46148.586111111108</v>
      </c>
      <c r="B3129" s="81" t="s">
        <v>149</v>
      </c>
      <c r="C3129" s="81" t="s">
        <v>173</v>
      </c>
      <c r="D3129" s="81" t="s">
        <v>179</v>
      </c>
      <c r="E3129" s="81" t="s">
        <v>50</v>
      </c>
      <c r="F3129" s="81" t="s">
        <v>1</v>
      </c>
    </row>
    <row r="3130" spans="1:6" x14ac:dyDescent="0.25">
      <c r="A3130" s="14">
        <v>46148.586111111108</v>
      </c>
      <c r="B3130" s="81" t="s">
        <v>149</v>
      </c>
      <c r="C3130" s="81" t="s">
        <v>220</v>
      </c>
      <c r="D3130" s="81" t="s">
        <v>162</v>
      </c>
      <c r="E3130" s="81" t="s">
        <v>65</v>
      </c>
      <c r="F3130" s="81" t="s">
        <v>99</v>
      </c>
    </row>
    <row r="3131" spans="1:6" x14ac:dyDescent="0.25">
      <c r="A3131" s="14">
        <v>46148.586111111108</v>
      </c>
      <c r="B3131" s="81" t="s">
        <v>149</v>
      </c>
      <c r="C3131" s="81" t="s">
        <v>845</v>
      </c>
      <c r="D3131" s="81" t="s">
        <v>199</v>
      </c>
      <c r="E3131" s="81" t="s">
        <v>846</v>
      </c>
      <c r="F3131" s="81" t="s">
        <v>28</v>
      </c>
    </row>
    <row r="3132" spans="1:6" x14ac:dyDescent="0.25">
      <c r="A3132" s="14">
        <v>46148.586111111108</v>
      </c>
      <c r="B3132" s="81" t="s">
        <v>149</v>
      </c>
      <c r="C3132" s="81" t="s">
        <v>173</v>
      </c>
      <c r="D3132" s="81" t="s">
        <v>163</v>
      </c>
      <c r="E3132" s="81" t="s">
        <v>52</v>
      </c>
      <c r="F3132" s="81" t="s">
        <v>0</v>
      </c>
    </row>
    <row r="3133" spans="1:6" x14ac:dyDescent="0.25">
      <c r="A3133" s="14">
        <v>46148.586111111108</v>
      </c>
      <c r="B3133" s="81" t="s">
        <v>149</v>
      </c>
      <c r="C3133" s="81" t="s">
        <v>173</v>
      </c>
      <c r="D3133" s="81" t="s">
        <v>231</v>
      </c>
      <c r="E3133" s="81" t="s">
        <v>52</v>
      </c>
      <c r="F3133" s="81" t="s">
        <v>0</v>
      </c>
    </row>
    <row r="3134" spans="1:6" x14ac:dyDescent="0.25">
      <c r="A3134" s="14">
        <v>46148.586111111108</v>
      </c>
      <c r="B3134" s="81" t="s">
        <v>195</v>
      </c>
      <c r="C3134" s="81" t="s">
        <v>197</v>
      </c>
      <c r="D3134" s="81" t="s">
        <v>254</v>
      </c>
      <c r="E3134" s="81" t="s">
        <v>24</v>
      </c>
      <c r="F3134" s="81" t="s">
        <v>24</v>
      </c>
    </row>
    <row r="3135" spans="1:6" x14ac:dyDescent="0.25">
      <c r="A3135" s="14">
        <v>46148.586111111108</v>
      </c>
      <c r="B3135" s="81" t="s">
        <v>195</v>
      </c>
      <c r="C3135" s="81" t="s">
        <v>197</v>
      </c>
      <c r="D3135" s="81" t="s">
        <v>254</v>
      </c>
      <c r="E3135" s="81" t="s">
        <v>24</v>
      </c>
      <c r="F3135" s="81" t="s">
        <v>24</v>
      </c>
    </row>
    <row r="3136" spans="1:6" x14ac:dyDescent="0.25">
      <c r="A3136" s="14">
        <v>46148.586111111108</v>
      </c>
      <c r="B3136" s="81" t="s">
        <v>195</v>
      </c>
      <c r="C3136" s="81" t="s">
        <v>197</v>
      </c>
      <c r="D3136" s="81" t="s">
        <v>254</v>
      </c>
      <c r="E3136" s="81" t="s">
        <v>24</v>
      </c>
      <c r="F3136" s="81" t="s">
        <v>24</v>
      </c>
    </row>
    <row r="3137" spans="1:6" x14ac:dyDescent="0.25">
      <c r="A3137" s="14">
        <v>46148.586111111108</v>
      </c>
      <c r="B3137" s="81" t="s">
        <v>195</v>
      </c>
      <c r="C3137" s="81" t="s">
        <v>197</v>
      </c>
      <c r="D3137" s="81" t="s">
        <v>163</v>
      </c>
      <c r="E3137" s="81" t="s">
        <v>24</v>
      </c>
      <c r="F3137" s="81" t="s">
        <v>24</v>
      </c>
    </row>
    <row r="3138" spans="1:6" x14ac:dyDescent="0.25">
      <c r="A3138" s="14">
        <v>46148.586111111108</v>
      </c>
      <c r="B3138" s="81" t="s">
        <v>195</v>
      </c>
      <c r="C3138" s="81" t="s">
        <v>197</v>
      </c>
      <c r="D3138" s="81" t="s">
        <v>163</v>
      </c>
      <c r="E3138" s="81" t="s">
        <v>24</v>
      </c>
      <c r="F3138" s="81" t="s">
        <v>24</v>
      </c>
    </row>
    <row r="3139" spans="1:6" x14ac:dyDescent="0.25">
      <c r="A3139" s="14">
        <v>46148.586111111108</v>
      </c>
      <c r="B3139" s="81" t="s">
        <v>195</v>
      </c>
      <c r="C3139" s="81" t="s">
        <v>197</v>
      </c>
      <c r="D3139" s="81" t="s">
        <v>163</v>
      </c>
      <c r="E3139" s="81" t="s">
        <v>24</v>
      </c>
      <c r="F3139" s="81" t="s">
        <v>24</v>
      </c>
    </row>
    <row r="3140" spans="1:6" x14ac:dyDescent="0.25">
      <c r="A3140" s="14">
        <v>46148.856944444444</v>
      </c>
      <c r="B3140" s="81" t="s">
        <v>149</v>
      </c>
      <c r="C3140" s="81" t="s">
        <v>177</v>
      </c>
      <c r="D3140" s="81" t="s">
        <v>231</v>
      </c>
      <c r="E3140" s="81" t="s">
        <v>52</v>
      </c>
      <c r="F3140" s="81" t="s">
        <v>0</v>
      </c>
    </row>
    <row r="3141" spans="1:6" x14ac:dyDescent="0.25">
      <c r="A3141" s="14">
        <v>46148.856944444444</v>
      </c>
      <c r="B3141" s="81" t="s">
        <v>149</v>
      </c>
      <c r="C3141" s="81" t="s">
        <v>173</v>
      </c>
      <c r="D3141" s="81" t="s">
        <v>231</v>
      </c>
      <c r="E3141" s="81" t="s">
        <v>50</v>
      </c>
      <c r="F3141" s="81" t="s">
        <v>1</v>
      </c>
    </row>
    <row r="3142" spans="1:6" x14ac:dyDescent="0.25">
      <c r="A3142" s="14">
        <v>46148.856944444444</v>
      </c>
      <c r="B3142" s="81" t="s">
        <v>149</v>
      </c>
      <c r="C3142" s="81" t="s">
        <v>171</v>
      </c>
      <c r="D3142" s="81" t="s">
        <v>163</v>
      </c>
      <c r="E3142" s="81" t="s">
        <v>52</v>
      </c>
      <c r="F3142" s="81" t="s">
        <v>0</v>
      </c>
    </row>
    <row r="3143" spans="1:6" x14ac:dyDescent="0.25">
      <c r="A3143" s="14">
        <v>46148.856944444444</v>
      </c>
      <c r="B3143" s="81" t="s">
        <v>149</v>
      </c>
      <c r="C3143" s="81" t="s">
        <v>151</v>
      </c>
      <c r="D3143" s="81" t="s">
        <v>164</v>
      </c>
      <c r="E3143" s="81" t="s">
        <v>50</v>
      </c>
      <c r="F3143" s="81" t="s">
        <v>1</v>
      </c>
    </row>
    <row r="3144" spans="1:6" x14ac:dyDescent="0.25">
      <c r="A3144" s="14">
        <v>46148.856944444444</v>
      </c>
      <c r="B3144" s="81" t="s">
        <v>149</v>
      </c>
      <c r="C3144" s="81" t="s">
        <v>181</v>
      </c>
      <c r="D3144" s="81" t="s">
        <v>842</v>
      </c>
      <c r="E3144" s="81" t="s">
        <v>52</v>
      </c>
      <c r="F3144" s="81" t="s">
        <v>0</v>
      </c>
    </row>
    <row r="3145" spans="1:6" x14ac:dyDescent="0.25">
      <c r="A3145" s="14">
        <v>46148.856944444444</v>
      </c>
      <c r="B3145" s="81" t="s">
        <v>149</v>
      </c>
      <c r="C3145" s="81" t="s">
        <v>177</v>
      </c>
      <c r="D3145" s="81" t="s">
        <v>267</v>
      </c>
      <c r="E3145" s="81" t="s">
        <v>50</v>
      </c>
      <c r="F3145" s="81" t="s">
        <v>1</v>
      </c>
    </row>
    <row r="3146" spans="1:6" x14ac:dyDescent="0.25">
      <c r="A3146" s="14">
        <v>46148.856944444444</v>
      </c>
      <c r="B3146" s="81" t="s">
        <v>149</v>
      </c>
      <c r="C3146" s="81" t="s">
        <v>177</v>
      </c>
      <c r="D3146" s="81" t="s">
        <v>179</v>
      </c>
      <c r="E3146" s="81" t="s">
        <v>50</v>
      </c>
      <c r="F3146" s="81" t="s">
        <v>1</v>
      </c>
    </row>
    <row r="3147" spans="1:6" x14ac:dyDescent="0.25">
      <c r="A3147" s="14">
        <v>46148.856944444444</v>
      </c>
      <c r="B3147" s="81" t="s">
        <v>149</v>
      </c>
      <c r="C3147" s="81" t="s">
        <v>184</v>
      </c>
      <c r="D3147" s="81" t="s">
        <v>842</v>
      </c>
      <c r="E3147" s="81" t="s">
        <v>50</v>
      </c>
      <c r="F3147" s="81" t="s">
        <v>1</v>
      </c>
    </row>
    <row r="3148" spans="1:6" x14ac:dyDescent="0.25">
      <c r="A3148" s="14">
        <v>46148.856944444444</v>
      </c>
      <c r="B3148" s="81" t="s">
        <v>149</v>
      </c>
      <c r="C3148" s="81" t="s">
        <v>183</v>
      </c>
      <c r="D3148" s="81" t="s">
        <v>163</v>
      </c>
      <c r="E3148" s="81" t="s">
        <v>52</v>
      </c>
      <c r="F3148" s="81" t="s">
        <v>0</v>
      </c>
    </row>
    <row r="3149" spans="1:6" x14ac:dyDescent="0.25">
      <c r="A3149" s="14">
        <v>46148.856944444444</v>
      </c>
      <c r="B3149" s="81" t="s">
        <v>149</v>
      </c>
      <c r="C3149" s="81" t="s">
        <v>192</v>
      </c>
      <c r="D3149" s="81" t="s">
        <v>267</v>
      </c>
      <c r="E3149" s="81" t="s">
        <v>60</v>
      </c>
      <c r="F3149" s="81" t="s">
        <v>28</v>
      </c>
    </row>
    <row r="3150" spans="1:6" x14ac:dyDescent="0.25">
      <c r="A3150" s="14">
        <v>46148.856944444444</v>
      </c>
      <c r="B3150" s="81" t="s">
        <v>149</v>
      </c>
      <c r="C3150" s="81" t="s">
        <v>843</v>
      </c>
      <c r="D3150" s="81" t="s">
        <v>152</v>
      </c>
      <c r="E3150" s="81" t="s">
        <v>844</v>
      </c>
      <c r="F3150" s="81" t="s">
        <v>28</v>
      </c>
    </row>
    <row r="3151" spans="1:6" x14ac:dyDescent="0.25">
      <c r="A3151" s="14">
        <v>46148.856944444444</v>
      </c>
      <c r="B3151" s="81" t="s">
        <v>149</v>
      </c>
      <c r="C3151" s="81" t="s">
        <v>184</v>
      </c>
      <c r="D3151" s="81" t="s">
        <v>842</v>
      </c>
      <c r="E3151" s="81" t="s">
        <v>50</v>
      </c>
      <c r="F3151" s="81" t="s">
        <v>1</v>
      </c>
    </row>
    <row r="3152" spans="1:6" x14ac:dyDescent="0.25">
      <c r="A3152" s="14">
        <v>46148.856944444444</v>
      </c>
      <c r="B3152" s="81" t="s">
        <v>149</v>
      </c>
      <c r="C3152" s="81" t="s">
        <v>181</v>
      </c>
      <c r="D3152" s="81" t="s">
        <v>265</v>
      </c>
      <c r="E3152" s="81" t="s">
        <v>49</v>
      </c>
      <c r="F3152" s="81" t="s">
        <v>2</v>
      </c>
    </row>
    <row r="3153" spans="1:6" x14ac:dyDescent="0.25">
      <c r="A3153" s="14">
        <v>46148.856944444444</v>
      </c>
      <c r="B3153" s="81" t="s">
        <v>149</v>
      </c>
      <c r="C3153" s="81" t="s">
        <v>190</v>
      </c>
      <c r="D3153" s="81" t="s">
        <v>163</v>
      </c>
      <c r="E3153" s="81" t="s">
        <v>50</v>
      </c>
      <c r="F3153" s="81" t="s">
        <v>1</v>
      </c>
    </row>
    <row r="3154" spans="1:6" x14ac:dyDescent="0.25">
      <c r="A3154" s="14">
        <v>46148.856944444444</v>
      </c>
      <c r="B3154" s="81" t="s">
        <v>149</v>
      </c>
      <c r="C3154" s="81" t="s">
        <v>192</v>
      </c>
      <c r="D3154" s="81" t="s">
        <v>265</v>
      </c>
      <c r="E3154" s="81" t="s">
        <v>60</v>
      </c>
      <c r="F3154" s="81" t="s">
        <v>28</v>
      </c>
    </row>
    <row r="3155" spans="1:6" x14ac:dyDescent="0.25">
      <c r="A3155" s="14">
        <v>46148.856944444444</v>
      </c>
      <c r="B3155" s="81" t="s">
        <v>149</v>
      </c>
      <c r="C3155" s="81" t="s">
        <v>171</v>
      </c>
      <c r="D3155" s="81" t="s">
        <v>258</v>
      </c>
      <c r="E3155" s="81" t="s">
        <v>52</v>
      </c>
      <c r="F3155" s="81" t="s">
        <v>0</v>
      </c>
    </row>
    <row r="3156" spans="1:6" x14ac:dyDescent="0.25">
      <c r="A3156" s="14">
        <v>46148.856944444444</v>
      </c>
      <c r="B3156" s="81" t="s">
        <v>149</v>
      </c>
      <c r="C3156" s="81" t="s">
        <v>176</v>
      </c>
      <c r="D3156" s="81" t="s">
        <v>231</v>
      </c>
      <c r="E3156" s="81" t="s">
        <v>70</v>
      </c>
      <c r="F3156" s="81" t="s">
        <v>15</v>
      </c>
    </row>
    <row r="3157" spans="1:6" x14ac:dyDescent="0.25">
      <c r="A3157" s="14">
        <v>46148.856944444444</v>
      </c>
      <c r="B3157" s="81" t="s">
        <v>149</v>
      </c>
      <c r="C3157" s="81" t="s">
        <v>187</v>
      </c>
      <c r="D3157" s="81" t="s">
        <v>231</v>
      </c>
      <c r="E3157" s="81" t="s">
        <v>75</v>
      </c>
      <c r="F3157" s="81" t="s">
        <v>93</v>
      </c>
    </row>
    <row r="3158" spans="1:6" x14ac:dyDescent="0.25">
      <c r="A3158" s="14">
        <v>46148.856944444444</v>
      </c>
      <c r="B3158" s="81" t="s">
        <v>149</v>
      </c>
      <c r="C3158" s="81" t="s">
        <v>184</v>
      </c>
      <c r="D3158" s="81" t="s">
        <v>231</v>
      </c>
      <c r="E3158" s="81" t="s">
        <v>50</v>
      </c>
      <c r="F3158" s="81" t="s">
        <v>1</v>
      </c>
    </row>
    <row r="3159" spans="1:6" x14ac:dyDescent="0.25">
      <c r="A3159" s="14">
        <v>46148.856944444444</v>
      </c>
      <c r="B3159" s="81" t="s">
        <v>149</v>
      </c>
      <c r="C3159" s="81" t="s">
        <v>171</v>
      </c>
      <c r="D3159" s="81" t="s">
        <v>165</v>
      </c>
      <c r="E3159" s="81" t="s">
        <v>50</v>
      </c>
      <c r="F3159" s="81" t="s">
        <v>1</v>
      </c>
    </row>
    <row r="3160" spans="1:6" x14ac:dyDescent="0.25">
      <c r="A3160" s="14">
        <v>46148.856944444444</v>
      </c>
      <c r="B3160" s="81" t="s">
        <v>149</v>
      </c>
      <c r="C3160" s="81" t="s">
        <v>190</v>
      </c>
      <c r="D3160" s="81" t="s">
        <v>165</v>
      </c>
      <c r="E3160" s="81" t="s">
        <v>50</v>
      </c>
      <c r="F3160" s="81" t="s">
        <v>1</v>
      </c>
    </row>
    <row r="3161" spans="1:6" x14ac:dyDescent="0.25">
      <c r="A3161" s="14">
        <v>46148.856944444444</v>
      </c>
      <c r="B3161" s="81" t="s">
        <v>149</v>
      </c>
      <c r="C3161" s="81" t="s">
        <v>192</v>
      </c>
      <c r="D3161" s="81" t="s">
        <v>156</v>
      </c>
      <c r="E3161" s="81" t="s">
        <v>60</v>
      </c>
      <c r="F3161" s="81" t="s">
        <v>28</v>
      </c>
    </row>
    <row r="3162" spans="1:6" x14ac:dyDescent="0.25">
      <c r="A3162" s="14">
        <v>46148.856944444444</v>
      </c>
      <c r="B3162" s="81" t="s">
        <v>149</v>
      </c>
      <c r="C3162" s="81" t="s">
        <v>177</v>
      </c>
      <c r="D3162" s="81" t="s">
        <v>156</v>
      </c>
      <c r="E3162" s="81" t="s">
        <v>49</v>
      </c>
      <c r="F3162" s="81" t="s">
        <v>2</v>
      </c>
    </row>
    <row r="3163" spans="1:6" x14ac:dyDescent="0.25">
      <c r="A3163" s="14">
        <v>46148.856944444444</v>
      </c>
      <c r="B3163" s="81" t="s">
        <v>149</v>
      </c>
      <c r="C3163" s="81" t="s">
        <v>181</v>
      </c>
      <c r="D3163" s="81" t="s">
        <v>156</v>
      </c>
      <c r="E3163" s="81" t="s">
        <v>50</v>
      </c>
      <c r="F3163" s="81" t="s">
        <v>1</v>
      </c>
    </row>
    <row r="3164" spans="1:6" x14ac:dyDescent="0.25">
      <c r="A3164" s="14">
        <v>46148.856944444444</v>
      </c>
      <c r="B3164" s="81" t="s">
        <v>149</v>
      </c>
      <c r="C3164" s="81" t="s">
        <v>177</v>
      </c>
      <c r="D3164" s="81" t="s">
        <v>156</v>
      </c>
      <c r="E3164" s="81" t="s">
        <v>49</v>
      </c>
      <c r="F3164" s="81" t="s">
        <v>2</v>
      </c>
    </row>
    <row r="3165" spans="1:6" x14ac:dyDescent="0.25">
      <c r="A3165" s="14">
        <v>46148.856944444444</v>
      </c>
      <c r="B3165" s="81" t="s">
        <v>149</v>
      </c>
      <c r="C3165" s="81" t="s">
        <v>185</v>
      </c>
      <c r="D3165" s="81" t="s">
        <v>165</v>
      </c>
      <c r="E3165" s="81" t="s">
        <v>50</v>
      </c>
      <c r="F3165" s="81" t="s">
        <v>1</v>
      </c>
    </row>
    <row r="3166" spans="1:6" x14ac:dyDescent="0.25">
      <c r="A3166" s="14">
        <v>46148.856944444444</v>
      </c>
      <c r="B3166" s="81" t="s">
        <v>149</v>
      </c>
      <c r="C3166" s="81" t="s">
        <v>184</v>
      </c>
      <c r="D3166" s="81" t="s">
        <v>156</v>
      </c>
      <c r="E3166" s="81" t="s">
        <v>49</v>
      </c>
      <c r="F3166" s="81" t="s">
        <v>2</v>
      </c>
    </row>
    <row r="3167" spans="1:6" x14ac:dyDescent="0.25">
      <c r="A3167" s="14">
        <v>46148.856944444444</v>
      </c>
      <c r="B3167" s="81" t="s">
        <v>149</v>
      </c>
      <c r="C3167" s="81" t="s">
        <v>185</v>
      </c>
      <c r="D3167" s="81" t="s">
        <v>156</v>
      </c>
      <c r="E3167" s="81" t="s">
        <v>49</v>
      </c>
      <c r="F3167" s="81" t="s">
        <v>2</v>
      </c>
    </row>
    <row r="3168" spans="1:6" x14ac:dyDescent="0.25">
      <c r="A3168" s="14">
        <v>46148.856944444444</v>
      </c>
      <c r="B3168" s="81" t="s">
        <v>149</v>
      </c>
      <c r="C3168" s="81" t="s">
        <v>158</v>
      </c>
      <c r="D3168" s="81" t="s">
        <v>156</v>
      </c>
      <c r="E3168" s="81" t="s">
        <v>49</v>
      </c>
      <c r="F3168" s="81" t="s">
        <v>2</v>
      </c>
    </row>
    <row r="3169" spans="1:6" x14ac:dyDescent="0.25">
      <c r="A3169" s="14">
        <v>46148.856944444444</v>
      </c>
      <c r="B3169" s="81" t="s">
        <v>149</v>
      </c>
      <c r="C3169" s="81" t="s">
        <v>173</v>
      </c>
      <c r="D3169" s="81" t="s">
        <v>165</v>
      </c>
      <c r="E3169" s="81" t="s">
        <v>50</v>
      </c>
      <c r="F3169" s="81" t="s">
        <v>1</v>
      </c>
    </row>
    <row r="3170" spans="1:6" x14ac:dyDescent="0.25">
      <c r="A3170" s="14">
        <v>46148.856944444444</v>
      </c>
      <c r="B3170" s="81" t="s">
        <v>149</v>
      </c>
      <c r="C3170" s="81" t="s">
        <v>181</v>
      </c>
      <c r="D3170" s="81" t="s">
        <v>156</v>
      </c>
      <c r="E3170" s="81" t="s">
        <v>49</v>
      </c>
      <c r="F3170" s="81" t="s">
        <v>2</v>
      </c>
    </row>
    <row r="3171" spans="1:6" x14ac:dyDescent="0.25">
      <c r="A3171" s="14">
        <v>46148.856944444444</v>
      </c>
      <c r="B3171" s="81" t="s">
        <v>149</v>
      </c>
      <c r="C3171" s="81" t="s">
        <v>173</v>
      </c>
      <c r="D3171" s="81" t="s">
        <v>268</v>
      </c>
      <c r="E3171" s="81" t="s">
        <v>50</v>
      </c>
      <c r="F3171" s="81" t="s">
        <v>1</v>
      </c>
    </row>
    <row r="3172" spans="1:6" x14ac:dyDescent="0.25">
      <c r="A3172" s="14">
        <v>46148.856944444444</v>
      </c>
      <c r="B3172" s="81" t="s">
        <v>149</v>
      </c>
      <c r="C3172" s="81" t="s">
        <v>183</v>
      </c>
      <c r="D3172" s="81" t="s">
        <v>268</v>
      </c>
      <c r="E3172" s="81" t="s">
        <v>52</v>
      </c>
      <c r="F3172" s="81" t="s">
        <v>0</v>
      </c>
    </row>
    <row r="3173" spans="1:6" x14ac:dyDescent="0.25">
      <c r="A3173" s="14">
        <v>46148.856944444444</v>
      </c>
      <c r="B3173" s="81" t="s">
        <v>149</v>
      </c>
      <c r="C3173" s="81" t="s">
        <v>175</v>
      </c>
      <c r="D3173" s="81" t="s">
        <v>268</v>
      </c>
      <c r="E3173" s="81" t="s">
        <v>50</v>
      </c>
      <c r="F3173" s="81" t="s">
        <v>1</v>
      </c>
    </row>
    <row r="3174" spans="1:6" x14ac:dyDescent="0.25">
      <c r="A3174" s="14">
        <v>46148.856944444444</v>
      </c>
      <c r="B3174" s="81" t="s">
        <v>149</v>
      </c>
      <c r="C3174" s="81" t="s">
        <v>174</v>
      </c>
      <c r="D3174" s="81" t="s">
        <v>156</v>
      </c>
      <c r="E3174" s="81" t="s">
        <v>64</v>
      </c>
      <c r="F3174" s="81" t="s">
        <v>98</v>
      </c>
    </row>
    <row r="3175" spans="1:6" x14ac:dyDescent="0.25">
      <c r="A3175" s="14">
        <v>46148.856944444444</v>
      </c>
      <c r="B3175" s="81" t="s">
        <v>149</v>
      </c>
      <c r="C3175" s="81" t="s">
        <v>218</v>
      </c>
      <c r="D3175" s="81" t="s">
        <v>156</v>
      </c>
      <c r="E3175" s="81" t="s">
        <v>64</v>
      </c>
      <c r="F3175" s="81" t="s">
        <v>98</v>
      </c>
    </row>
    <row r="3176" spans="1:6" x14ac:dyDescent="0.25">
      <c r="A3176" s="14">
        <v>46148.856944444444</v>
      </c>
      <c r="B3176" s="81" t="s">
        <v>149</v>
      </c>
      <c r="C3176" s="81" t="s">
        <v>183</v>
      </c>
      <c r="D3176" s="81" t="s">
        <v>269</v>
      </c>
      <c r="E3176" s="81" t="s">
        <v>49</v>
      </c>
      <c r="F3176" s="81" t="s">
        <v>2</v>
      </c>
    </row>
    <row r="3177" spans="1:6" x14ac:dyDescent="0.25">
      <c r="A3177" s="14">
        <v>46148.856944444444</v>
      </c>
      <c r="B3177" s="81" t="s">
        <v>149</v>
      </c>
      <c r="C3177" s="81" t="s">
        <v>172</v>
      </c>
      <c r="D3177" s="81" t="s">
        <v>254</v>
      </c>
      <c r="E3177" s="81" t="s">
        <v>64</v>
      </c>
      <c r="F3177" s="81" t="s">
        <v>98</v>
      </c>
    </row>
    <row r="3178" spans="1:6" x14ac:dyDescent="0.25">
      <c r="A3178" s="14">
        <v>46148.856944444444</v>
      </c>
      <c r="B3178" s="81" t="s">
        <v>149</v>
      </c>
      <c r="C3178" s="81" t="s">
        <v>192</v>
      </c>
      <c r="D3178" s="81" t="s">
        <v>842</v>
      </c>
      <c r="E3178" s="81" t="s">
        <v>60</v>
      </c>
      <c r="F3178" s="81" t="s">
        <v>28</v>
      </c>
    </row>
    <row r="3179" spans="1:6" x14ac:dyDescent="0.25">
      <c r="A3179" s="14">
        <v>46148.856944444444</v>
      </c>
      <c r="B3179" s="81" t="s">
        <v>149</v>
      </c>
      <c r="C3179" s="81" t="s">
        <v>173</v>
      </c>
      <c r="D3179" s="81" t="s">
        <v>201</v>
      </c>
      <c r="E3179" s="81" t="s">
        <v>48</v>
      </c>
      <c r="F3179" s="81" t="s">
        <v>3</v>
      </c>
    </row>
    <row r="3180" spans="1:6" x14ac:dyDescent="0.25">
      <c r="A3180" s="14">
        <v>46148.856944444444</v>
      </c>
      <c r="B3180" s="81" t="s">
        <v>149</v>
      </c>
      <c r="C3180" s="81" t="s">
        <v>187</v>
      </c>
      <c r="D3180" s="81" t="s">
        <v>269</v>
      </c>
      <c r="E3180" s="81" t="s">
        <v>75</v>
      </c>
      <c r="F3180" s="81" t="s">
        <v>93</v>
      </c>
    </row>
    <row r="3181" spans="1:6" x14ac:dyDescent="0.25">
      <c r="A3181" s="14">
        <v>46148.856944444444</v>
      </c>
      <c r="B3181" s="81" t="s">
        <v>149</v>
      </c>
      <c r="C3181" s="81" t="s">
        <v>187</v>
      </c>
      <c r="D3181" s="81" t="s">
        <v>269</v>
      </c>
      <c r="E3181" s="81" t="s">
        <v>75</v>
      </c>
      <c r="F3181" s="81" t="s">
        <v>93</v>
      </c>
    </row>
    <row r="3182" spans="1:6" x14ac:dyDescent="0.25">
      <c r="A3182" s="14">
        <v>46148.856944444444</v>
      </c>
      <c r="B3182" s="81" t="s">
        <v>149</v>
      </c>
      <c r="C3182" s="81" t="s">
        <v>187</v>
      </c>
      <c r="D3182" s="81" t="s">
        <v>269</v>
      </c>
      <c r="E3182" s="81" t="s">
        <v>75</v>
      </c>
      <c r="F3182" s="81" t="s">
        <v>93</v>
      </c>
    </row>
    <row r="3183" spans="1:6" x14ac:dyDescent="0.25">
      <c r="A3183" s="14">
        <v>46148.856944444444</v>
      </c>
      <c r="B3183" s="81" t="s">
        <v>149</v>
      </c>
      <c r="C3183" s="81" t="s">
        <v>187</v>
      </c>
      <c r="D3183" s="81" t="s">
        <v>269</v>
      </c>
      <c r="E3183" s="81" t="s">
        <v>75</v>
      </c>
      <c r="F3183" s="81" t="s">
        <v>93</v>
      </c>
    </row>
    <row r="3184" spans="1:6" x14ac:dyDescent="0.25">
      <c r="A3184" s="14">
        <v>46148.856944444444</v>
      </c>
      <c r="B3184" s="81" t="s">
        <v>149</v>
      </c>
      <c r="C3184" s="81" t="s">
        <v>187</v>
      </c>
      <c r="D3184" s="81" t="s">
        <v>269</v>
      </c>
      <c r="E3184" s="81" t="s">
        <v>75</v>
      </c>
      <c r="F3184" s="81" t="s">
        <v>93</v>
      </c>
    </row>
    <row r="3185" spans="1:6" x14ac:dyDescent="0.25">
      <c r="A3185" s="14">
        <v>46148.856944444444</v>
      </c>
      <c r="B3185" s="81" t="s">
        <v>149</v>
      </c>
      <c r="C3185" s="81" t="s">
        <v>187</v>
      </c>
      <c r="D3185" s="81" t="s">
        <v>269</v>
      </c>
      <c r="E3185" s="81" t="s">
        <v>75</v>
      </c>
      <c r="F3185" s="81" t="s">
        <v>93</v>
      </c>
    </row>
    <row r="3186" spans="1:6" x14ac:dyDescent="0.25">
      <c r="A3186" s="14">
        <v>46148.856944444444</v>
      </c>
      <c r="B3186" s="81" t="s">
        <v>149</v>
      </c>
      <c r="C3186" s="81" t="s">
        <v>187</v>
      </c>
      <c r="D3186" s="81" t="s">
        <v>269</v>
      </c>
      <c r="E3186" s="81" t="s">
        <v>75</v>
      </c>
      <c r="F3186" s="81" t="s">
        <v>93</v>
      </c>
    </row>
    <row r="3187" spans="1:6" x14ac:dyDescent="0.25">
      <c r="A3187" s="14">
        <v>46148.856944444444</v>
      </c>
      <c r="B3187" s="81" t="s">
        <v>149</v>
      </c>
      <c r="C3187" s="81" t="s">
        <v>187</v>
      </c>
      <c r="D3187" s="81" t="s">
        <v>269</v>
      </c>
      <c r="E3187" s="81" t="s">
        <v>75</v>
      </c>
      <c r="F3187" s="81" t="s">
        <v>93</v>
      </c>
    </row>
    <row r="3188" spans="1:6" x14ac:dyDescent="0.25">
      <c r="A3188" s="14">
        <v>46148.856944444444</v>
      </c>
      <c r="B3188" s="81" t="s">
        <v>149</v>
      </c>
      <c r="C3188" s="81" t="s">
        <v>187</v>
      </c>
      <c r="D3188" s="81" t="s">
        <v>269</v>
      </c>
      <c r="E3188" s="81" t="s">
        <v>75</v>
      </c>
      <c r="F3188" s="81" t="s">
        <v>93</v>
      </c>
    </row>
    <row r="3189" spans="1:6" x14ac:dyDescent="0.25">
      <c r="A3189" s="14">
        <v>46148.856944444444</v>
      </c>
      <c r="B3189" s="81" t="s">
        <v>149</v>
      </c>
      <c r="C3189" s="81" t="s">
        <v>187</v>
      </c>
      <c r="D3189" s="81" t="s">
        <v>269</v>
      </c>
      <c r="E3189" s="81" t="s">
        <v>75</v>
      </c>
      <c r="F3189" s="81" t="s">
        <v>93</v>
      </c>
    </row>
    <row r="3190" spans="1:6" x14ac:dyDescent="0.25">
      <c r="A3190" s="14">
        <v>46148.856944444444</v>
      </c>
      <c r="B3190" s="81" t="s">
        <v>149</v>
      </c>
      <c r="C3190" s="81" t="s">
        <v>182</v>
      </c>
      <c r="D3190" s="81" t="s">
        <v>266</v>
      </c>
      <c r="E3190" s="81" t="s">
        <v>52</v>
      </c>
      <c r="F3190" s="81" t="s">
        <v>0</v>
      </c>
    </row>
    <row r="3191" spans="1:6" x14ac:dyDescent="0.25">
      <c r="A3191" s="14">
        <v>46148.856944444444</v>
      </c>
      <c r="B3191" s="81" t="s">
        <v>149</v>
      </c>
      <c r="C3191" s="81" t="s">
        <v>192</v>
      </c>
      <c r="D3191" s="81" t="s">
        <v>191</v>
      </c>
      <c r="E3191" s="81" t="s">
        <v>60</v>
      </c>
      <c r="F3191" s="81" t="s">
        <v>28</v>
      </c>
    </row>
    <row r="3192" spans="1:6" x14ac:dyDescent="0.25">
      <c r="A3192" s="14">
        <v>46148.856944444444</v>
      </c>
      <c r="B3192" s="81" t="s">
        <v>149</v>
      </c>
      <c r="C3192" s="81" t="s">
        <v>175</v>
      </c>
      <c r="D3192" s="81" t="s">
        <v>150</v>
      </c>
      <c r="E3192" s="81" t="s">
        <v>49</v>
      </c>
      <c r="F3192" s="81" t="s">
        <v>2</v>
      </c>
    </row>
    <row r="3193" spans="1:6" x14ac:dyDescent="0.25">
      <c r="A3193" s="14">
        <v>46148.856944444444</v>
      </c>
      <c r="B3193" s="81" t="s">
        <v>149</v>
      </c>
      <c r="C3193" s="81" t="s">
        <v>183</v>
      </c>
      <c r="D3193" s="81" t="s">
        <v>179</v>
      </c>
      <c r="E3193" s="81" t="s">
        <v>50</v>
      </c>
      <c r="F3193" s="81" t="s">
        <v>1</v>
      </c>
    </row>
    <row r="3194" spans="1:6" x14ac:dyDescent="0.25">
      <c r="A3194" s="14">
        <v>46148.856944444444</v>
      </c>
      <c r="B3194" s="81" t="s">
        <v>149</v>
      </c>
      <c r="C3194" s="81" t="s">
        <v>183</v>
      </c>
      <c r="D3194" s="81" t="s">
        <v>266</v>
      </c>
      <c r="E3194" s="81" t="s">
        <v>52</v>
      </c>
      <c r="F3194" s="81" t="s">
        <v>0</v>
      </c>
    </row>
    <row r="3195" spans="1:6" x14ac:dyDescent="0.25">
      <c r="A3195" s="14">
        <v>46148.856944444444</v>
      </c>
      <c r="B3195" s="81" t="s">
        <v>149</v>
      </c>
      <c r="C3195" s="81" t="s">
        <v>173</v>
      </c>
      <c r="D3195" s="81" t="s">
        <v>266</v>
      </c>
      <c r="E3195" s="81" t="s">
        <v>52</v>
      </c>
      <c r="F3195" s="81" t="s">
        <v>0</v>
      </c>
    </row>
    <row r="3196" spans="1:6" x14ac:dyDescent="0.25">
      <c r="A3196" s="14">
        <v>46148.856944444444</v>
      </c>
      <c r="B3196" s="81" t="s">
        <v>149</v>
      </c>
      <c r="C3196" s="81" t="s">
        <v>175</v>
      </c>
      <c r="D3196" s="81" t="s">
        <v>150</v>
      </c>
      <c r="E3196" s="81" t="s">
        <v>49</v>
      </c>
      <c r="F3196" s="81" t="s">
        <v>2</v>
      </c>
    </row>
    <row r="3197" spans="1:6" x14ac:dyDescent="0.25">
      <c r="A3197" s="14">
        <v>46148.856944444444</v>
      </c>
      <c r="B3197" s="81" t="s">
        <v>149</v>
      </c>
      <c r="C3197" s="81" t="s">
        <v>151</v>
      </c>
      <c r="D3197" s="81" t="s">
        <v>150</v>
      </c>
      <c r="E3197" s="81" t="s">
        <v>49</v>
      </c>
      <c r="F3197" s="81" t="s">
        <v>2</v>
      </c>
    </row>
    <row r="3198" spans="1:6" x14ac:dyDescent="0.25">
      <c r="A3198" s="14">
        <v>46148.856944444444</v>
      </c>
      <c r="B3198" s="81" t="s">
        <v>149</v>
      </c>
      <c r="C3198" s="81" t="s">
        <v>177</v>
      </c>
      <c r="D3198" s="81" t="s">
        <v>168</v>
      </c>
      <c r="E3198" s="81" t="s">
        <v>49</v>
      </c>
      <c r="F3198" s="81" t="s">
        <v>2</v>
      </c>
    </row>
    <row r="3199" spans="1:6" x14ac:dyDescent="0.25">
      <c r="A3199" s="14">
        <v>46148.856944444444</v>
      </c>
      <c r="B3199" s="81" t="s">
        <v>149</v>
      </c>
      <c r="C3199" s="81" t="s">
        <v>175</v>
      </c>
      <c r="D3199" s="81" t="s">
        <v>168</v>
      </c>
      <c r="E3199" s="81" t="s">
        <v>49</v>
      </c>
      <c r="F3199" s="81" t="s">
        <v>2</v>
      </c>
    </row>
    <row r="3200" spans="1:6" x14ac:dyDescent="0.25">
      <c r="A3200" s="14">
        <v>46148.856944444444</v>
      </c>
      <c r="B3200" s="81" t="s">
        <v>149</v>
      </c>
      <c r="C3200" s="81" t="s">
        <v>158</v>
      </c>
      <c r="D3200" s="81" t="s">
        <v>168</v>
      </c>
      <c r="E3200" s="81" t="s">
        <v>50</v>
      </c>
      <c r="F3200" s="81" t="s">
        <v>1</v>
      </c>
    </row>
    <row r="3201" spans="1:6" x14ac:dyDescent="0.25">
      <c r="A3201" s="14">
        <v>46148.856944444444</v>
      </c>
      <c r="B3201" s="81" t="s">
        <v>149</v>
      </c>
      <c r="C3201" s="81" t="s">
        <v>190</v>
      </c>
      <c r="D3201" s="81" t="s">
        <v>204</v>
      </c>
      <c r="E3201" s="81" t="s">
        <v>49</v>
      </c>
      <c r="F3201" s="81" t="s">
        <v>2</v>
      </c>
    </row>
    <row r="3202" spans="1:6" x14ac:dyDescent="0.25">
      <c r="A3202" s="14">
        <v>46148.856944444444</v>
      </c>
      <c r="B3202" s="81" t="s">
        <v>149</v>
      </c>
      <c r="C3202" s="81" t="s">
        <v>175</v>
      </c>
      <c r="D3202" s="81" t="s">
        <v>168</v>
      </c>
      <c r="E3202" s="81" t="s">
        <v>50</v>
      </c>
      <c r="F3202" s="81" t="s">
        <v>1</v>
      </c>
    </row>
    <row r="3203" spans="1:6" x14ac:dyDescent="0.25">
      <c r="A3203" s="14">
        <v>46148.856944444444</v>
      </c>
      <c r="B3203" s="81" t="s">
        <v>149</v>
      </c>
      <c r="C3203" s="81" t="s">
        <v>190</v>
      </c>
      <c r="D3203" s="81" t="s">
        <v>168</v>
      </c>
      <c r="E3203" s="81" t="s">
        <v>50</v>
      </c>
      <c r="F3203" s="81" t="s">
        <v>1</v>
      </c>
    </row>
    <row r="3204" spans="1:6" x14ac:dyDescent="0.25">
      <c r="A3204" s="14">
        <v>46148.856944444444</v>
      </c>
      <c r="B3204" s="81" t="s">
        <v>149</v>
      </c>
      <c r="C3204" s="81" t="s">
        <v>181</v>
      </c>
      <c r="D3204" s="81" t="s">
        <v>168</v>
      </c>
      <c r="E3204" s="81" t="s">
        <v>50</v>
      </c>
      <c r="F3204" s="81" t="s">
        <v>1</v>
      </c>
    </row>
    <row r="3205" spans="1:6" x14ac:dyDescent="0.25">
      <c r="A3205" s="14">
        <v>46148.856944444444</v>
      </c>
      <c r="B3205" s="81" t="s">
        <v>149</v>
      </c>
      <c r="C3205" s="81" t="s">
        <v>182</v>
      </c>
      <c r="D3205" s="81" t="s">
        <v>168</v>
      </c>
      <c r="E3205" s="81" t="s">
        <v>50</v>
      </c>
      <c r="F3205" s="81" t="s">
        <v>1</v>
      </c>
    </row>
    <row r="3206" spans="1:6" x14ac:dyDescent="0.25">
      <c r="A3206" s="14">
        <v>46148.856944444444</v>
      </c>
      <c r="B3206" s="81" t="s">
        <v>149</v>
      </c>
      <c r="C3206" s="81" t="s">
        <v>183</v>
      </c>
      <c r="D3206" s="81" t="s">
        <v>168</v>
      </c>
      <c r="E3206" s="81" t="s">
        <v>50</v>
      </c>
      <c r="F3206" s="81" t="s">
        <v>1</v>
      </c>
    </row>
    <row r="3207" spans="1:6" x14ac:dyDescent="0.25">
      <c r="A3207" s="14">
        <v>46148.856944444444</v>
      </c>
      <c r="B3207" s="81" t="s">
        <v>149</v>
      </c>
      <c r="C3207" s="81" t="s">
        <v>176</v>
      </c>
      <c r="D3207" s="81" t="s">
        <v>201</v>
      </c>
      <c r="E3207" s="81" t="s">
        <v>70</v>
      </c>
      <c r="F3207" s="81" t="s">
        <v>15</v>
      </c>
    </row>
    <row r="3208" spans="1:6" x14ac:dyDescent="0.25">
      <c r="A3208" s="14">
        <v>46148.856944444444</v>
      </c>
      <c r="B3208" s="81" t="s">
        <v>149</v>
      </c>
      <c r="C3208" s="81" t="s">
        <v>182</v>
      </c>
      <c r="D3208" s="81" t="s">
        <v>168</v>
      </c>
      <c r="E3208" s="81" t="s">
        <v>50</v>
      </c>
      <c r="F3208" s="81" t="s">
        <v>1</v>
      </c>
    </row>
    <row r="3209" spans="1:6" x14ac:dyDescent="0.25">
      <c r="A3209" s="14">
        <v>46148.856944444444</v>
      </c>
      <c r="B3209" s="81" t="s">
        <v>149</v>
      </c>
      <c r="C3209" s="81" t="s">
        <v>184</v>
      </c>
      <c r="D3209" s="81" t="s">
        <v>168</v>
      </c>
      <c r="E3209" s="81" t="s">
        <v>50</v>
      </c>
      <c r="F3209" s="81" t="s">
        <v>1</v>
      </c>
    </row>
    <row r="3210" spans="1:6" x14ac:dyDescent="0.25">
      <c r="A3210" s="14">
        <v>46148.856944444444</v>
      </c>
      <c r="B3210" s="81" t="s">
        <v>149</v>
      </c>
      <c r="C3210" s="81" t="s">
        <v>183</v>
      </c>
      <c r="D3210" s="81" t="s">
        <v>161</v>
      </c>
      <c r="E3210" s="81" t="s">
        <v>50</v>
      </c>
      <c r="F3210" s="81" t="s">
        <v>1</v>
      </c>
    </row>
    <row r="3211" spans="1:6" x14ac:dyDescent="0.25">
      <c r="A3211" s="14">
        <v>46148.856944444444</v>
      </c>
      <c r="B3211" s="81" t="s">
        <v>149</v>
      </c>
      <c r="C3211" s="81" t="s">
        <v>177</v>
      </c>
      <c r="D3211" s="81" t="s">
        <v>266</v>
      </c>
      <c r="E3211" s="81" t="s">
        <v>50</v>
      </c>
      <c r="F3211" s="81" t="s">
        <v>1</v>
      </c>
    </row>
    <row r="3212" spans="1:6" x14ac:dyDescent="0.25">
      <c r="A3212" s="14">
        <v>46148.856944444444</v>
      </c>
      <c r="B3212" s="81" t="s">
        <v>149</v>
      </c>
      <c r="C3212" s="81" t="s">
        <v>213</v>
      </c>
      <c r="D3212" s="81" t="s">
        <v>250</v>
      </c>
      <c r="E3212" s="81" t="s">
        <v>64</v>
      </c>
      <c r="F3212" s="81" t="s">
        <v>98</v>
      </c>
    </row>
    <row r="3213" spans="1:6" x14ac:dyDescent="0.25">
      <c r="A3213" s="14">
        <v>46148.856944444444</v>
      </c>
      <c r="B3213" s="81" t="s">
        <v>149</v>
      </c>
      <c r="C3213" s="81" t="s">
        <v>181</v>
      </c>
      <c r="D3213" s="81" t="s">
        <v>165</v>
      </c>
      <c r="E3213" s="81" t="s">
        <v>50</v>
      </c>
      <c r="F3213" s="81" t="s">
        <v>1</v>
      </c>
    </row>
    <row r="3214" spans="1:6" x14ac:dyDescent="0.25">
      <c r="A3214" s="14">
        <v>46148.856944444444</v>
      </c>
      <c r="B3214" s="81" t="s">
        <v>149</v>
      </c>
      <c r="C3214" s="81" t="s">
        <v>176</v>
      </c>
      <c r="D3214" s="81" t="s">
        <v>201</v>
      </c>
      <c r="E3214" s="81" t="s">
        <v>70</v>
      </c>
      <c r="F3214" s="81" t="s">
        <v>15</v>
      </c>
    </row>
    <row r="3215" spans="1:6" x14ac:dyDescent="0.25">
      <c r="A3215" s="14">
        <v>46148.856944444444</v>
      </c>
      <c r="B3215" s="81" t="s">
        <v>149</v>
      </c>
      <c r="C3215" s="81" t="s">
        <v>176</v>
      </c>
      <c r="D3215" s="81" t="s">
        <v>201</v>
      </c>
      <c r="E3215" s="81" t="s">
        <v>70</v>
      </c>
      <c r="F3215" s="81" t="s">
        <v>15</v>
      </c>
    </row>
    <row r="3216" spans="1:6" x14ac:dyDescent="0.25">
      <c r="A3216" s="14">
        <v>46148.856944444444</v>
      </c>
      <c r="B3216" s="81" t="s">
        <v>149</v>
      </c>
      <c r="C3216" s="81" t="s">
        <v>158</v>
      </c>
      <c r="D3216" s="81" t="s">
        <v>257</v>
      </c>
      <c r="E3216" s="81" t="s">
        <v>52</v>
      </c>
      <c r="F3216" s="81" t="s">
        <v>0</v>
      </c>
    </row>
    <row r="3217" spans="1:6" x14ac:dyDescent="0.25">
      <c r="A3217" s="14">
        <v>46148.856944444444</v>
      </c>
      <c r="B3217" s="81" t="s">
        <v>149</v>
      </c>
      <c r="C3217" s="81" t="s">
        <v>177</v>
      </c>
      <c r="D3217" s="81" t="s">
        <v>163</v>
      </c>
      <c r="E3217" s="81" t="s">
        <v>50</v>
      </c>
      <c r="F3217" s="81" t="s">
        <v>1</v>
      </c>
    </row>
    <row r="3218" spans="1:6" x14ac:dyDescent="0.25">
      <c r="A3218" s="14">
        <v>46148.856944444444</v>
      </c>
      <c r="B3218" s="81" t="s">
        <v>149</v>
      </c>
      <c r="C3218" s="81" t="s">
        <v>190</v>
      </c>
      <c r="D3218" s="81" t="s">
        <v>165</v>
      </c>
      <c r="E3218" s="81" t="s">
        <v>50</v>
      </c>
      <c r="F3218" s="81" t="s">
        <v>1</v>
      </c>
    </row>
    <row r="3219" spans="1:6" x14ac:dyDescent="0.25">
      <c r="A3219" s="14">
        <v>46148.856944444444</v>
      </c>
      <c r="B3219" s="81" t="s">
        <v>149</v>
      </c>
      <c r="C3219" s="81" t="s">
        <v>185</v>
      </c>
      <c r="D3219" s="81" t="s">
        <v>257</v>
      </c>
      <c r="E3219" s="81" t="s">
        <v>50</v>
      </c>
      <c r="F3219" s="81" t="s">
        <v>1</v>
      </c>
    </row>
    <row r="3220" spans="1:6" x14ac:dyDescent="0.25">
      <c r="A3220" s="14">
        <v>46148.856944444444</v>
      </c>
      <c r="B3220" s="81" t="s">
        <v>149</v>
      </c>
      <c r="C3220" s="81" t="s">
        <v>151</v>
      </c>
      <c r="D3220" s="81" t="s">
        <v>246</v>
      </c>
      <c r="E3220" s="81" t="s">
        <v>50</v>
      </c>
      <c r="F3220" s="81" t="s">
        <v>1</v>
      </c>
    </row>
    <row r="3221" spans="1:6" x14ac:dyDescent="0.25">
      <c r="A3221" s="14">
        <v>46148.856944444444</v>
      </c>
      <c r="B3221" s="81" t="s">
        <v>149</v>
      </c>
      <c r="C3221" s="81" t="s">
        <v>184</v>
      </c>
      <c r="D3221" s="81" t="s">
        <v>153</v>
      </c>
      <c r="E3221" s="81" t="s">
        <v>52</v>
      </c>
      <c r="F3221" s="81" t="s">
        <v>0</v>
      </c>
    </row>
    <row r="3222" spans="1:6" x14ac:dyDescent="0.25">
      <c r="A3222" s="14">
        <v>46148.856944444444</v>
      </c>
      <c r="B3222" s="81" t="s">
        <v>149</v>
      </c>
      <c r="C3222" s="81" t="s">
        <v>177</v>
      </c>
      <c r="D3222" s="81" t="s">
        <v>153</v>
      </c>
      <c r="E3222" s="81" t="s">
        <v>52</v>
      </c>
      <c r="F3222" s="81" t="s">
        <v>0</v>
      </c>
    </row>
    <row r="3223" spans="1:6" x14ac:dyDescent="0.25">
      <c r="A3223" s="14">
        <v>46148.856944444444</v>
      </c>
      <c r="B3223" s="81" t="s">
        <v>149</v>
      </c>
      <c r="C3223" s="81" t="s">
        <v>183</v>
      </c>
      <c r="D3223" s="81" t="s">
        <v>251</v>
      </c>
      <c r="E3223" s="81" t="s">
        <v>49</v>
      </c>
      <c r="F3223" s="81" t="s">
        <v>2</v>
      </c>
    </row>
    <row r="3224" spans="1:6" x14ac:dyDescent="0.25">
      <c r="A3224" s="14">
        <v>46148.856944444444</v>
      </c>
      <c r="B3224" s="81" t="s">
        <v>149</v>
      </c>
      <c r="C3224" s="81" t="s">
        <v>213</v>
      </c>
      <c r="D3224" s="81" t="s">
        <v>153</v>
      </c>
      <c r="E3224" s="81" t="s">
        <v>64</v>
      </c>
      <c r="F3224" s="81" t="s">
        <v>98</v>
      </c>
    </row>
    <row r="3225" spans="1:6" x14ac:dyDescent="0.25">
      <c r="A3225" s="14">
        <v>46148.856944444444</v>
      </c>
      <c r="B3225" s="81" t="s">
        <v>149</v>
      </c>
      <c r="C3225" s="81" t="s">
        <v>151</v>
      </c>
      <c r="D3225" s="81" t="s">
        <v>153</v>
      </c>
      <c r="E3225" s="81" t="s">
        <v>49</v>
      </c>
      <c r="F3225" s="81" t="s">
        <v>2</v>
      </c>
    </row>
    <row r="3226" spans="1:6" x14ac:dyDescent="0.25">
      <c r="A3226" s="14">
        <v>46148.856944444444</v>
      </c>
      <c r="B3226" s="81" t="s">
        <v>149</v>
      </c>
      <c r="C3226" s="81" t="s">
        <v>173</v>
      </c>
      <c r="D3226" s="81" t="s">
        <v>257</v>
      </c>
      <c r="E3226" s="81" t="s">
        <v>52</v>
      </c>
      <c r="F3226" s="81" t="s">
        <v>0</v>
      </c>
    </row>
    <row r="3227" spans="1:6" x14ac:dyDescent="0.25">
      <c r="A3227" s="14">
        <v>46148.856944444444</v>
      </c>
      <c r="B3227" s="81" t="s">
        <v>149</v>
      </c>
      <c r="C3227" s="81" t="s">
        <v>177</v>
      </c>
      <c r="D3227" s="81" t="s">
        <v>153</v>
      </c>
      <c r="E3227" s="81" t="s">
        <v>50</v>
      </c>
      <c r="F3227" s="81" t="s">
        <v>1</v>
      </c>
    </row>
    <row r="3228" spans="1:6" x14ac:dyDescent="0.25">
      <c r="A3228" s="14">
        <v>46148.856944444444</v>
      </c>
      <c r="B3228" s="81" t="s">
        <v>149</v>
      </c>
      <c r="C3228" s="81" t="s">
        <v>176</v>
      </c>
      <c r="D3228" s="81" t="s">
        <v>201</v>
      </c>
      <c r="E3228" s="81" t="s">
        <v>70</v>
      </c>
      <c r="F3228" s="81" t="s">
        <v>15</v>
      </c>
    </row>
    <row r="3229" spans="1:6" x14ac:dyDescent="0.25">
      <c r="A3229" s="14">
        <v>46148.856944444444</v>
      </c>
      <c r="B3229" s="81" t="s">
        <v>149</v>
      </c>
      <c r="C3229" s="81" t="s">
        <v>176</v>
      </c>
      <c r="D3229" s="81" t="s">
        <v>201</v>
      </c>
      <c r="E3229" s="81" t="s">
        <v>70</v>
      </c>
      <c r="F3229" s="81" t="s">
        <v>15</v>
      </c>
    </row>
    <row r="3230" spans="1:6" x14ac:dyDescent="0.25">
      <c r="A3230" s="14">
        <v>46148.856944444444</v>
      </c>
      <c r="B3230" s="81" t="s">
        <v>149</v>
      </c>
      <c r="C3230" s="81" t="s">
        <v>187</v>
      </c>
      <c r="D3230" s="81" t="s">
        <v>251</v>
      </c>
      <c r="E3230" s="81" t="s">
        <v>75</v>
      </c>
      <c r="F3230" s="81" t="s">
        <v>93</v>
      </c>
    </row>
    <row r="3231" spans="1:6" x14ac:dyDescent="0.25">
      <c r="A3231" s="14">
        <v>46148.856944444444</v>
      </c>
      <c r="B3231" s="81" t="s">
        <v>149</v>
      </c>
      <c r="C3231" s="81" t="s">
        <v>171</v>
      </c>
      <c r="D3231" s="81" t="s">
        <v>266</v>
      </c>
      <c r="E3231" s="81" t="s">
        <v>52</v>
      </c>
      <c r="F3231" s="81" t="s">
        <v>0</v>
      </c>
    </row>
    <row r="3232" spans="1:6" x14ac:dyDescent="0.25">
      <c r="A3232" s="14">
        <v>46148.856944444444</v>
      </c>
      <c r="B3232" s="81" t="s">
        <v>149</v>
      </c>
      <c r="C3232" s="81" t="s">
        <v>171</v>
      </c>
      <c r="D3232" s="81" t="s">
        <v>258</v>
      </c>
      <c r="E3232" s="81" t="s">
        <v>50</v>
      </c>
      <c r="F3232" s="81" t="s">
        <v>1</v>
      </c>
    </row>
    <row r="3233" spans="1:6" x14ac:dyDescent="0.25">
      <c r="A3233" s="14">
        <v>46148.856944444444</v>
      </c>
      <c r="B3233" s="81" t="s">
        <v>149</v>
      </c>
      <c r="C3233" s="81" t="s">
        <v>182</v>
      </c>
      <c r="D3233" s="81" t="s">
        <v>263</v>
      </c>
      <c r="E3233" s="81" t="s">
        <v>52</v>
      </c>
      <c r="F3233" s="81" t="s">
        <v>0</v>
      </c>
    </row>
    <row r="3234" spans="1:6" x14ac:dyDescent="0.25">
      <c r="A3234" s="14">
        <v>46148.856944444444</v>
      </c>
      <c r="B3234" s="81" t="s">
        <v>149</v>
      </c>
      <c r="C3234" s="81" t="s">
        <v>185</v>
      </c>
      <c r="D3234" s="81" t="s">
        <v>257</v>
      </c>
      <c r="E3234" s="81" t="s">
        <v>50</v>
      </c>
      <c r="F3234" s="81" t="s">
        <v>1</v>
      </c>
    </row>
    <row r="3235" spans="1:6" x14ac:dyDescent="0.25">
      <c r="A3235" s="14">
        <v>46148.856944444444</v>
      </c>
      <c r="B3235" s="81" t="s">
        <v>149</v>
      </c>
      <c r="C3235" s="81" t="s">
        <v>192</v>
      </c>
      <c r="D3235" s="81" t="s">
        <v>266</v>
      </c>
      <c r="E3235" s="81" t="s">
        <v>60</v>
      </c>
      <c r="F3235" s="81" t="s">
        <v>28</v>
      </c>
    </row>
    <row r="3236" spans="1:6" x14ac:dyDescent="0.25">
      <c r="A3236" s="14">
        <v>46148.856944444444</v>
      </c>
      <c r="B3236" s="81" t="s">
        <v>149</v>
      </c>
      <c r="C3236" s="81" t="s">
        <v>181</v>
      </c>
      <c r="D3236" s="81" t="s">
        <v>263</v>
      </c>
      <c r="E3236" s="81" t="s">
        <v>50</v>
      </c>
      <c r="F3236" s="81" t="s">
        <v>1</v>
      </c>
    </row>
    <row r="3237" spans="1:6" x14ac:dyDescent="0.25">
      <c r="A3237" s="14">
        <v>46148.856944444444</v>
      </c>
      <c r="B3237" s="81" t="s">
        <v>149</v>
      </c>
      <c r="C3237" s="81" t="s">
        <v>176</v>
      </c>
      <c r="D3237" s="81" t="s">
        <v>201</v>
      </c>
      <c r="E3237" s="81" t="s">
        <v>70</v>
      </c>
      <c r="F3237" s="81" t="s">
        <v>15</v>
      </c>
    </row>
    <row r="3238" spans="1:6" x14ac:dyDescent="0.25">
      <c r="A3238" s="14">
        <v>46148.856944444444</v>
      </c>
      <c r="B3238" s="81" t="s">
        <v>149</v>
      </c>
      <c r="C3238" s="81" t="s">
        <v>175</v>
      </c>
      <c r="D3238" s="81" t="s">
        <v>266</v>
      </c>
      <c r="E3238" s="81" t="s">
        <v>52</v>
      </c>
      <c r="F3238" s="81" t="s">
        <v>0</v>
      </c>
    </row>
    <row r="3239" spans="1:6" x14ac:dyDescent="0.25">
      <c r="A3239" s="14">
        <v>46148.856944444444</v>
      </c>
      <c r="B3239" s="81" t="s">
        <v>149</v>
      </c>
      <c r="C3239" s="81" t="s">
        <v>228</v>
      </c>
      <c r="D3239" s="81" t="s">
        <v>152</v>
      </c>
      <c r="E3239" s="81" t="s">
        <v>65</v>
      </c>
      <c r="F3239" s="81" t="s">
        <v>99</v>
      </c>
    </row>
    <row r="3240" spans="1:6" x14ac:dyDescent="0.25">
      <c r="A3240" s="14">
        <v>46148.856944444444</v>
      </c>
      <c r="B3240" s="81" t="s">
        <v>149</v>
      </c>
      <c r="C3240" s="81" t="s">
        <v>192</v>
      </c>
      <c r="D3240" s="81" t="s">
        <v>266</v>
      </c>
      <c r="E3240" s="81" t="s">
        <v>60</v>
      </c>
      <c r="F3240" s="81" t="s">
        <v>28</v>
      </c>
    </row>
    <row r="3241" spans="1:6" x14ac:dyDescent="0.25">
      <c r="A3241" s="14">
        <v>46148.856944444444</v>
      </c>
      <c r="B3241" s="81" t="s">
        <v>149</v>
      </c>
      <c r="C3241" s="81" t="s">
        <v>187</v>
      </c>
      <c r="D3241" s="81" t="s">
        <v>152</v>
      </c>
      <c r="E3241" s="81" t="s">
        <v>75</v>
      </c>
      <c r="F3241" s="81" t="s">
        <v>93</v>
      </c>
    </row>
    <row r="3242" spans="1:6" x14ac:dyDescent="0.25">
      <c r="A3242" s="14">
        <v>46148.856944444444</v>
      </c>
      <c r="B3242" s="81" t="s">
        <v>149</v>
      </c>
      <c r="C3242" s="81" t="s">
        <v>188</v>
      </c>
      <c r="D3242" s="81" t="s">
        <v>156</v>
      </c>
      <c r="E3242" s="81" t="s">
        <v>45</v>
      </c>
      <c r="F3242" s="81" t="s">
        <v>28</v>
      </c>
    </row>
    <row r="3243" spans="1:6" x14ac:dyDescent="0.25">
      <c r="A3243" s="14">
        <v>46148.856944444444</v>
      </c>
      <c r="B3243" s="81" t="s">
        <v>149</v>
      </c>
      <c r="C3243" s="81" t="s">
        <v>189</v>
      </c>
      <c r="D3243" s="81" t="s">
        <v>156</v>
      </c>
      <c r="E3243" s="81" t="s">
        <v>45</v>
      </c>
      <c r="F3243" s="81" t="s">
        <v>28</v>
      </c>
    </row>
    <row r="3244" spans="1:6" x14ac:dyDescent="0.25">
      <c r="A3244" s="14">
        <v>46148.856944444444</v>
      </c>
      <c r="B3244" s="81" t="s">
        <v>149</v>
      </c>
      <c r="C3244" s="81" t="s">
        <v>239</v>
      </c>
      <c r="D3244" s="81" t="s">
        <v>156</v>
      </c>
      <c r="E3244" s="81" t="s">
        <v>45</v>
      </c>
      <c r="F3244" s="81" t="s">
        <v>28</v>
      </c>
    </row>
    <row r="3245" spans="1:6" x14ac:dyDescent="0.25">
      <c r="A3245" s="14">
        <v>46148.856944444444</v>
      </c>
      <c r="B3245" s="81" t="s">
        <v>149</v>
      </c>
      <c r="C3245" s="81" t="s">
        <v>190</v>
      </c>
      <c r="D3245" s="81" t="s">
        <v>167</v>
      </c>
      <c r="E3245" s="81" t="s">
        <v>50</v>
      </c>
      <c r="F3245" s="81" t="s">
        <v>1</v>
      </c>
    </row>
    <row r="3246" spans="1:6" x14ac:dyDescent="0.25">
      <c r="A3246" s="14">
        <v>46148.856944444444</v>
      </c>
      <c r="B3246" s="81" t="s">
        <v>149</v>
      </c>
      <c r="C3246" s="81" t="s">
        <v>190</v>
      </c>
      <c r="D3246" s="81" t="s">
        <v>167</v>
      </c>
      <c r="E3246" s="81" t="s">
        <v>50</v>
      </c>
      <c r="F3246" s="81" t="s">
        <v>1</v>
      </c>
    </row>
    <row r="3247" spans="1:6" x14ac:dyDescent="0.25">
      <c r="A3247" s="14">
        <v>46148.856944444444</v>
      </c>
      <c r="B3247" s="81" t="s">
        <v>149</v>
      </c>
      <c r="C3247" s="81" t="s">
        <v>190</v>
      </c>
      <c r="D3247" s="81" t="s">
        <v>167</v>
      </c>
      <c r="E3247" s="81" t="s">
        <v>50</v>
      </c>
      <c r="F3247" s="81" t="s">
        <v>1</v>
      </c>
    </row>
    <row r="3248" spans="1:6" x14ac:dyDescent="0.25">
      <c r="A3248" s="14">
        <v>46148.856944444444</v>
      </c>
      <c r="B3248" s="81" t="s">
        <v>149</v>
      </c>
      <c r="C3248" s="81" t="s">
        <v>151</v>
      </c>
      <c r="D3248" s="81" t="s">
        <v>258</v>
      </c>
      <c r="E3248" s="81" t="s">
        <v>50</v>
      </c>
      <c r="F3248" s="81" t="s">
        <v>1</v>
      </c>
    </row>
    <row r="3249" spans="1:6" x14ac:dyDescent="0.25">
      <c r="A3249" s="14">
        <v>46148.856944444444</v>
      </c>
      <c r="B3249" s="81" t="s">
        <v>149</v>
      </c>
      <c r="C3249" s="81" t="s">
        <v>190</v>
      </c>
      <c r="D3249" s="81" t="s">
        <v>167</v>
      </c>
      <c r="E3249" s="81" t="s">
        <v>50</v>
      </c>
      <c r="F3249" s="81" t="s">
        <v>1</v>
      </c>
    </row>
    <row r="3250" spans="1:6" x14ac:dyDescent="0.25">
      <c r="A3250" s="14">
        <v>46148.856944444444</v>
      </c>
      <c r="B3250" s="81" t="s">
        <v>149</v>
      </c>
      <c r="C3250" s="81" t="s">
        <v>183</v>
      </c>
      <c r="D3250" s="81" t="s">
        <v>252</v>
      </c>
      <c r="E3250" s="81" t="s">
        <v>50</v>
      </c>
      <c r="F3250" s="81" t="s">
        <v>1</v>
      </c>
    </row>
    <row r="3251" spans="1:6" x14ac:dyDescent="0.25">
      <c r="A3251" s="14">
        <v>46148.856944444444</v>
      </c>
      <c r="B3251" s="81" t="s">
        <v>149</v>
      </c>
      <c r="C3251" s="81" t="s">
        <v>187</v>
      </c>
      <c r="D3251" s="81" t="s">
        <v>164</v>
      </c>
      <c r="E3251" s="81" t="s">
        <v>75</v>
      </c>
      <c r="F3251" s="81" t="s">
        <v>93</v>
      </c>
    </row>
    <row r="3252" spans="1:6" x14ac:dyDescent="0.25">
      <c r="A3252" s="14">
        <v>46148.856944444444</v>
      </c>
      <c r="B3252" s="81" t="s">
        <v>149</v>
      </c>
      <c r="C3252" s="81" t="s">
        <v>173</v>
      </c>
      <c r="D3252" s="81" t="s">
        <v>252</v>
      </c>
      <c r="E3252" s="81" t="s">
        <v>50</v>
      </c>
      <c r="F3252" s="81" t="s">
        <v>1</v>
      </c>
    </row>
    <row r="3253" spans="1:6" x14ac:dyDescent="0.25">
      <c r="A3253" s="14">
        <v>46148.856944444444</v>
      </c>
      <c r="B3253" s="81" t="s">
        <v>149</v>
      </c>
      <c r="C3253" s="81" t="s">
        <v>185</v>
      </c>
      <c r="D3253" s="81" t="s">
        <v>157</v>
      </c>
      <c r="E3253" s="81" t="s">
        <v>49</v>
      </c>
      <c r="F3253" s="81" t="s">
        <v>2</v>
      </c>
    </row>
    <row r="3254" spans="1:6" x14ac:dyDescent="0.25">
      <c r="A3254" s="14">
        <v>46148.856944444444</v>
      </c>
      <c r="B3254" s="81" t="s">
        <v>149</v>
      </c>
      <c r="C3254" s="81" t="s">
        <v>182</v>
      </c>
      <c r="D3254" s="81" t="s">
        <v>157</v>
      </c>
      <c r="E3254" s="81" t="s">
        <v>49</v>
      </c>
      <c r="F3254" s="81" t="s">
        <v>2</v>
      </c>
    </row>
    <row r="3255" spans="1:6" x14ac:dyDescent="0.25">
      <c r="A3255" s="14">
        <v>46148.856944444444</v>
      </c>
      <c r="B3255" s="81" t="s">
        <v>149</v>
      </c>
      <c r="C3255" s="81" t="s">
        <v>176</v>
      </c>
      <c r="D3255" s="81" t="s">
        <v>167</v>
      </c>
      <c r="E3255" s="81" t="s">
        <v>70</v>
      </c>
      <c r="F3255" s="81" t="s">
        <v>15</v>
      </c>
    </row>
    <row r="3256" spans="1:6" x14ac:dyDescent="0.25">
      <c r="A3256" s="14">
        <v>46148.856944444444</v>
      </c>
      <c r="B3256" s="81" t="s">
        <v>149</v>
      </c>
      <c r="C3256" s="81" t="s">
        <v>185</v>
      </c>
      <c r="D3256" s="81" t="s">
        <v>165</v>
      </c>
      <c r="E3256" s="81" t="s">
        <v>50</v>
      </c>
      <c r="F3256" s="81" t="s">
        <v>1</v>
      </c>
    </row>
    <row r="3257" spans="1:6" x14ac:dyDescent="0.25">
      <c r="A3257" s="14">
        <v>46148.856944444444</v>
      </c>
      <c r="B3257" s="81" t="s">
        <v>149</v>
      </c>
      <c r="C3257" s="81" t="s">
        <v>181</v>
      </c>
      <c r="D3257" s="81" t="s">
        <v>250</v>
      </c>
      <c r="E3257" s="81" t="s">
        <v>49</v>
      </c>
      <c r="F3257" s="81" t="s">
        <v>2</v>
      </c>
    </row>
    <row r="3258" spans="1:6" x14ac:dyDescent="0.25">
      <c r="A3258" s="14">
        <v>46148.856944444444</v>
      </c>
      <c r="B3258" s="81" t="s">
        <v>149</v>
      </c>
      <c r="C3258" s="81" t="s">
        <v>176</v>
      </c>
      <c r="D3258" s="81" t="s">
        <v>167</v>
      </c>
      <c r="E3258" s="81" t="s">
        <v>70</v>
      </c>
      <c r="F3258" s="81" t="s">
        <v>15</v>
      </c>
    </row>
    <row r="3259" spans="1:6" x14ac:dyDescent="0.25">
      <c r="A3259" s="14">
        <v>46148.856944444444</v>
      </c>
      <c r="B3259" s="81" t="s">
        <v>149</v>
      </c>
      <c r="C3259" s="81" t="s">
        <v>182</v>
      </c>
      <c r="D3259" s="81" t="s">
        <v>165</v>
      </c>
      <c r="E3259" s="81" t="s">
        <v>50</v>
      </c>
      <c r="F3259" s="81" t="s">
        <v>1</v>
      </c>
    </row>
    <row r="3260" spans="1:6" x14ac:dyDescent="0.25">
      <c r="A3260" s="14">
        <v>46148.856944444444</v>
      </c>
      <c r="B3260" s="81" t="s">
        <v>149</v>
      </c>
      <c r="C3260" s="81" t="s">
        <v>190</v>
      </c>
      <c r="D3260" s="81" t="s">
        <v>180</v>
      </c>
      <c r="E3260" s="81" t="s">
        <v>50</v>
      </c>
      <c r="F3260" s="81" t="s">
        <v>1</v>
      </c>
    </row>
    <row r="3261" spans="1:6" x14ac:dyDescent="0.25">
      <c r="A3261" s="14">
        <v>46148.856944444444</v>
      </c>
      <c r="B3261" s="81" t="s">
        <v>195</v>
      </c>
      <c r="C3261" s="81" t="s">
        <v>198</v>
      </c>
      <c r="D3261" s="81" t="s">
        <v>266</v>
      </c>
      <c r="E3261" s="81" t="s">
        <v>24</v>
      </c>
      <c r="F3261" s="81" t="s">
        <v>24</v>
      </c>
    </row>
    <row r="3262" spans="1:6" x14ac:dyDescent="0.25">
      <c r="A3262" s="14">
        <v>46148.856944444444</v>
      </c>
      <c r="B3262" s="81" t="s">
        <v>195</v>
      </c>
      <c r="C3262" s="81" t="s">
        <v>198</v>
      </c>
      <c r="D3262" s="81" t="s">
        <v>266</v>
      </c>
      <c r="E3262" s="81" t="s">
        <v>24</v>
      </c>
      <c r="F3262" s="81" t="s">
        <v>24</v>
      </c>
    </row>
    <row r="3263" spans="1:6" x14ac:dyDescent="0.25">
      <c r="A3263" s="14">
        <v>46148.856944444444</v>
      </c>
      <c r="B3263" s="81" t="s">
        <v>195</v>
      </c>
      <c r="C3263" s="81" t="s">
        <v>198</v>
      </c>
      <c r="D3263" s="81" t="s">
        <v>266</v>
      </c>
      <c r="E3263" s="81" t="s">
        <v>24</v>
      </c>
      <c r="F3263" s="81" t="s">
        <v>24</v>
      </c>
    </row>
    <row r="3264" spans="1:6" x14ac:dyDescent="0.25">
      <c r="A3264" s="14">
        <v>46148.856944444444</v>
      </c>
      <c r="B3264" s="81" t="s">
        <v>195</v>
      </c>
      <c r="C3264" s="81" t="s">
        <v>209</v>
      </c>
      <c r="D3264" s="81" t="s">
        <v>162</v>
      </c>
      <c r="E3264" s="81" t="s">
        <v>24</v>
      </c>
      <c r="F3264" s="81" t="s">
        <v>24</v>
      </c>
    </row>
    <row r="3265" spans="1:6" x14ac:dyDescent="0.25">
      <c r="A3265" s="14">
        <v>46148.856944444444</v>
      </c>
      <c r="B3265" s="81" t="s">
        <v>195</v>
      </c>
      <c r="C3265" s="81" t="s">
        <v>209</v>
      </c>
      <c r="D3265" s="81" t="s">
        <v>162</v>
      </c>
      <c r="E3265" s="81" t="s">
        <v>24</v>
      </c>
      <c r="F3265" s="81" t="s">
        <v>24</v>
      </c>
    </row>
    <row r="3266" spans="1:6" x14ac:dyDescent="0.25">
      <c r="A3266" s="14">
        <v>46148.856944444444</v>
      </c>
      <c r="B3266" s="81" t="s">
        <v>195</v>
      </c>
      <c r="C3266" s="81" t="s">
        <v>209</v>
      </c>
      <c r="D3266" s="81" t="s">
        <v>162</v>
      </c>
      <c r="E3266" s="81" t="s">
        <v>24</v>
      </c>
      <c r="F3266" s="81" t="s">
        <v>24</v>
      </c>
    </row>
    <row r="3267" spans="1:6" x14ac:dyDescent="0.25">
      <c r="A3267" s="14">
        <v>46148.856944444444</v>
      </c>
      <c r="B3267" s="81" t="s">
        <v>195</v>
      </c>
      <c r="C3267" s="81" t="s">
        <v>198</v>
      </c>
      <c r="D3267" s="81" t="s">
        <v>156</v>
      </c>
      <c r="E3267" s="81" t="s">
        <v>24</v>
      </c>
      <c r="F3267" s="81" t="s">
        <v>24</v>
      </c>
    </row>
    <row r="3268" spans="1:6" x14ac:dyDescent="0.25">
      <c r="A3268" s="14">
        <v>46148.856944444444</v>
      </c>
      <c r="B3268" s="81" t="s">
        <v>195</v>
      </c>
      <c r="C3268" s="81" t="s">
        <v>198</v>
      </c>
      <c r="D3268" s="81" t="s">
        <v>156</v>
      </c>
      <c r="E3268" s="81" t="s">
        <v>24</v>
      </c>
      <c r="F3268" s="81" t="s">
        <v>24</v>
      </c>
    </row>
    <row r="3269" spans="1:6" x14ac:dyDescent="0.25">
      <c r="A3269" s="14">
        <v>46148.856944444444</v>
      </c>
      <c r="B3269" s="81" t="s">
        <v>195</v>
      </c>
      <c r="C3269" s="81" t="s">
        <v>198</v>
      </c>
      <c r="D3269" s="81" t="s">
        <v>156</v>
      </c>
      <c r="E3269" s="81" t="s">
        <v>24</v>
      </c>
      <c r="F3269" s="81" t="s">
        <v>24</v>
      </c>
    </row>
    <row r="3270" spans="1:6" x14ac:dyDescent="0.25">
      <c r="A3270" s="14">
        <v>46148.856944444444</v>
      </c>
      <c r="B3270" s="81" t="s">
        <v>195</v>
      </c>
      <c r="C3270" s="81" t="s">
        <v>198</v>
      </c>
      <c r="D3270" s="81" t="s">
        <v>269</v>
      </c>
      <c r="E3270" s="81" t="s">
        <v>24</v>
      </c>
      <c r="F3270" s="81" t="s">
        <v>24</v>
      </c>
    </row>
    <row r="3271" spans="1:6" x14ac:dyDescent="0.25">
      <c r="A3271" s="14">
        <v>46148.856944444444</v>
      </c>
      <c r="B3271" s="81" t="s">
        <v>195</v>
      </c>
      <c r="C3271" s="81" t="s">
        <v>198</v>
      </c>
      <c r="D3271" s="81" t="s">
        <v>269</v>
      </c>
      <c r="E3271" s="81" t="s">
        <v>24</v>
      </c>
      <c r="F3271" s="81" t="s">
        <v>24</v>
      </c>
    </row>
    <row r="3272" spans="1:6" x14ac:dyDescent="0.25">
      <c r="A3272" s="14">
        <v>46148.856944444444</v>
      </c>
      <c r="B3272" s="81" t="s">
        <v>195</v>
      </c>
      <c r="C3272" s="81" t="s">
        <v>198</v>
      </c>
      <c r="D3272" s="81" t="s">
        <v>269</v>
      </c>
      <c r="E3272" s="81" t="s">
        <v>24</v>
      </c>
      <c r="F3272" s="81" t="s">
        <v>24</v>
      </c>
    </row>
    <row r="3273" spans="1:6" x14ac:dyDescent="0.25">
      <c r="A3273" s="14">
        <v>46148.856944444444</v>
      </c>
      <c r="B3273" s="81" t="s">
        <v>195</v>
      </c>
      <c r="C3273" s="81" t="s">
        <v>198</v>
      </c>
      <c r="D3273" s="81" t="s">
        <v>242</v>
      </c>
      <c r="E3273" s="81" t="s">
        <v>24</v>
      </c>
      <c r="F3273" s="81" t="s">
        <v>24</v>
      </c>
    </row>
    <row r="3274" spans="1:6" x14ac:dyDescent="0.25">
      <c r="A3274" s="14">
        <v>46148.856944444444</v>
      </c>
      <c r="B3274" s="81" t="s">
        <v>195</v>
      </c>
      <c r="C3274" s="81" t="s">
        <v>198</v>
      </c>
      <c r="D3274" s="81" t="s">
        <v>242</v>
      </c>
      <c r="E3274" s="81" t="s">
        <v>24</v>
      </c>
      <c r="F3274" s="81" t="s">
        <v>24</v>
      </c>
    </row>
    <row r="3275" spans="1:6" x14ac:dyDescent="0.25">
      <c r="A3275" s="14">
        <v>46148.856944444444</v>
      </c>
      <c r="B3275" s="81" t="s">
        <v>195</v>
      </c>
      <c r="C3275" s="81" t="s">
        <v>198</v>
      </c>
      <c r="D3275" s="81" t="s">
        <v>242</v>
      </c>
      <c r="E3275" s="81" t="s">
        <v>24</v>
      </c>
      <c r="F3275" s="81" t="s">
        <v>24</v>
      </c>
    </row>
    <row r="3276" spans="1:6" x14ac:dyDescent="0.25">
      <c r="A3276" s="14">
        <v>46148.856944444444</v>
      </c>
      <c r="B3276" s="81" t="s">
        <v>195</v>
      </c>
      <c r="C3276" s="81" t="s">
        <v>196</v>
      </c>
      <c r="D3276" s="81" t="s">
        <v>242</v>
      </c>
      <c r="E3276" s="81" t="s">
        <v>24</v>
      </c>
      <c r="F3276" s="81" t="s">
        <v>24</v>
      </c>
    </row>
    <row r="3277" spans="1:6" x14ac:dyDescent="0.25">
      <c r="A3277" s="14">
        <v>46148.856944444444</v>
      </c>
      <c r="B3277" s="81" t="s">
        <v>195</v>
      </c>
      <c r="C3277" s="81" t="s">
        <v>196</v>
      </c>
      <c r="D3277" s="81" t="s">
        <v>242</v>
      </c>
      <c r="E3277" s="81" t="s">
        <v>24</v>
      </c>
      <c r="F3277" s="81" t="s">
        <v>24</v>
      </c>
    </row>
    <row r="3278" spans="1:6" x14ac:dyDescent="0.25">
      <c r="A3278" s="14">
        <v>46148.856944444444</v>
      </c>
      <c r="B3278" s="81" t="s">
        <v>195</v>
      </c>
      <c r="C3278" s="81" t="s">
        <v>196</v>
      </c>
      <c r="D3278" s="81" t="s">
        <v>242</v>
      </c>
      <c r="E3278" s="81" t="s">
        <v>24</v>
      </c>
      <c r="F3278" s="81" t="s">
        <v>24</v>
      </c>
    </row>
    <row r="3279" spans="1:6" x14ac:dyDescent="0.25">
      <c r="A3279" s="14">
        <v>46148.922222222223</v>
      </c>
      <c r="B3279" s="81" t="s">
        <v>149</v>
      </c>
      <c r="C3279" s="81" t="s">
        <v>182</v>
      </c>
      <c r="D3279" s="81" t="s">
        <v>168</v>
      </c>
      <c r="E3279" s="81" t="s">
        <v>50</v>
      </c>
      <c r="F3279" s="81" t="s">
        <v>1</v>
      </c>
    </row>
    <row r="3280" spans="1:6" x14ac:dyDescent="0.25">
      <c r="A3280" s="14">
        <v>46148.922222222223</v>
      </c>
      <c r="B3280" s="81" t="s">
        <v>149</v>
      </c>
      <c r="C3280" s="81" t="s">
        <v>175</v>
      </c>
      <c r="D3280" s="81" t="s">
        <v>168</v>
      </c>
      <c r="E3280" s="81" t="s">
        <v>52</v>
      </c>
      <c r="F3280" s="81" t="s">
        <v>0</v>
      </c>
    </row>
    <row r="3281" spans="1:6" x14ac:dyDescent="0.25">
      <c r="A3281" s="14">
        <v>46148.922222222223</v>
      </c>
      <c r="B3281" s="81" t="s">
        <v>149</v>
      </c>
      <c r="C3281" s="81" t="s">
        <v>175</v>
      </c>
      <c r="D3281" s="81" t="s">
        <v>849</v>
      </c>
      <c r="E3281" s="81" t="s">
        <v>50</v>
      </c>
      <c r="F3281" s="81" t="s">
        <v>1</v>
      </c>
    </row>
    <row r="3282" spans="1:6" x14ac:dyDescent="0.25">
      <c r="A3282" s="14">
        <v>46148.922222222223</v>
      </c>
      <c r="B3282" s="81" t="s">
        <v>149</v>
      </c>
      <c r="C3282" s="81" t="s">
        <v>181</v>
      </c>
      <c r="D3282" s="81" t="s">
        <v>168</v>
      </c>
      <c r="E3282" s="81" t="s">
        <v>52</v>
      </c>
      <c r="F3282" s="81" t="s">
        <v>0</v>
      </c>
    </row>
    <row r="3283" spans="1:6" x14ac:dyDescent="0.25">
      <c r="A3283" s="14">
        <v>46148.922222222223</v>
      </c>
      <c r="B3283" s="81" t="s">
        <v>149</v>
      </c>
      <c r="C3283" s="81" t="s">
        <v>175</v>
      </c>
      <c r="D3283" s="81" t="s">
        <v>849</v>
      </c>
      <c r="E3283" s="81" t="s">
        <v>49</v>
      </c>
      <c r="F3283" s="81" t="s">
        <v>2</v>
      </c>
    </row>
    <row r="3284" spans="1:6" x14ac:dyDescent="0.25">
      <c r="A3284" s="14">
        <v>46148.922222222223</v>
      </c>
      <c r="B3284" s="81" t="s">
        <v>149</v>
      </c>
      <c r="C3284" s="81" t="s">
        <v>173</v>
      </c>
      <c r="D3284" s="81" t="s">
        <v>168</v>
      </c>
      <c r="E3284" s="81" t="s">
        <v>52</v>
      </c>
      <c r="F3284" s="81" t="s">
        <v>0</v>
      </c>
    </row>
    <row r="3285" spans="1:6" x14ac:dyDescent="0.25">
      <c r="A3285" s="14">
        <v>46148.922222222223</v>
      </c>
      <c r="B3285" s="81" t="s">
        <v>149</v>
      </c>
      <c r="C3285" s="81" t="s">
        <v>182</v>
      </c>
      <c r="D3285" s="81" t="s">
        <v>168</v>
      </c>
      <c r="E3285" s="81" t="s">
        <v>50</v>
      </c>
      <c r="F3285" s="81" t="s">
        <v>1</v>
      </c>
    </row>
    <row r="3286" spans="1:6" x14ac:dyDescent="0.25">
      <c r="A3286" s="14">
        <v>46148.922222222223</v>
      </c>
      <c r="B3286" s="81" t="s">
        <v>149</v>
      </c>
      <c r="C3286" s="81" t="s">
        <v>203</v>
      </c>
      <c r="D3286" s="81" t="s">
        <v>180</v>
      </c>
      <c r="E3286" s="81" t="s">
        <v>72</v>
      </c>
      <c r="F3286" s="81" t="s">
        <v>28</v>
      </c>
    </row>
    <row r="3287" spans="1:6" x14ac:dyDescent="0.25">
      <c r="A3287" s="14">
        <v>46148.922222222223</v>
      </c>
      <c r="B3287" s="81" t="s">
        <v>149</v>
      </c>
      <c r="C3287" s="81" t="s">
        <v>203</v>
      </c>
      <c r="D3287" s="81" t="s">
        <v>180</v>
      </c>
      <c r="E3287" s="81" t="s">
        <v>72</v>
      </c>
      <c r="F3287" s="81" t="s">
        <v>28</v>
      </c>
    </row>
    <row r="3288" spans="1:6" x14ac:dyDescent="0.25">
      <c r="A3288" s="14">
        <v>46148.922222222223</v>
      </c>
      <c r="B3288" s="81" t="s">
        <v>149</v>
      </c>
      <c r="C3288" s="81" t="s">
        <v>203</v>
      </c>
      <c r="D3288" s="81" t="s">
        <v>180</v>
      </c>
      <c r="E3288" s="81" t="s">
        <v>72</v>
      </c>
      <c r="F3288" s="81" t="s">
        <v>28</v>
      </c>
    </row>
    <row r="3289" spans="1:6" x14ac:dyDescent="0.25">
      <c r="A3289" s="14">
        <v>46148.922222222223</v>
      </c>
      <c r="B3289" s="81" t="s">
        <v>149</v>
      </c>
      <c r="C3289" s="81" t="s">
        <v>158</v>
      </c>
      <c r="D3289" s="81" t="s">
        <v>168</v>
      </c>
      <c r="E3289" s="81" t="s">
        <v>50</v>
      </c>
      <c r="F3289" s="81" t="s">
        <v>1</v>
      </c>
    </row>
    <row r="3290" spans="1:6" x14ac:dyDescent="0.25">
      <c r="A3290" s="14">
        <v>46148.922222222223</v>
      </c>
      <c r="B3290" s="81" t="s">
        <v>149</v>
      </c>
      <c r="C3290" s="81" t="s">
        <v>203</v>
      </c>
      <c r="D3290" s="81" t="s">
        <v>167</v>
      </c>
      <c r="E3290" s="81" t="s">
        <v>72</v>
      </c>
      <c r="F3290" s="81" t="s">
        <v>28</v>
      </c>
    </row>
    <row r="3291" spans="1:6" x14ac:dyDescent="0.25">
      <c r="A3291" s="14">
        <v>46148.922222222223</v>
      </c>
      <c r="B3291" s="81" t="s">
        <v>149</v>
      </c>
      <c r="C3291" s="81" t="s">
        <v>203</v>
      </c>
      <c r="D3291" s="81" t="s">
        <v>167</v>
      </c>
      <c r="E3291" s="81" t="s">
        <v>72</v>
      </c>
      <c r="F3291" s="81" t="s">
        <v>28</v>
      </c>
    </row>
    <row r="3292" spans="1:6" x14ac:dyDescent="0.25">
      <c r="A3292" s="14">
        <v>46148.922222222223</v>
      </c>
      <c r="B3292" s="81" t="s">
        <v>149</v>
      </c>
      <c r="C3292" s="81" t="s">
        <v>203</v>
      </c>
      <c r="D3292" s="81" t="s">
        <v>167</v>
      </c>
      <c r="E3292" s="81" t="s">
        <v>72</v>
      </c>
      <c r="F3292" s="81" t="s">
        <v>28</v>
      </c>
    </row>
    <row r="3293" spans="1:6" x14ac:dyDescent="0.25">
      <c r="A3293" s="14">
        <v>46148.922222222223</v>
      </c>
      <c r="B3293" s="81" t="s">
        <v>149</v>
      </c>
      <c r="C3293" s="81" t="s">
        <v>151</v>
      </c>
      <c r="D3293" s="81" t="s">
        <v>168</v>
      </c>
      <c r="E3293" s="81" t="s">
        <v>50</v>
      </c>
      <c r="F3293" s="81" t="s">
        <v>1</v>
      </c>
    </row>
    <row r="3294" spans="1:6" x14ac:dyDescent="0.25">
      <c r="A3294" s="14">
        <v>46148.922222222223</v>
      </c>
      <c r="B3294" s="81" t="s">
        <v>149</v>
      </c>
      <c r="C3294" s="81" t="s">
        <v>203</v>
      </c>
      <c r="D3294" s="81" t="s">
        <v>250</v>
      </c>
      <c r="E3294" s="81" t="s">
        <v>72</v>
      </c>
      <c r="F3294" s="81" t="s">
        <v>28</v>
      </c>
    </row>
    <row r="3295" spans="1:6" x14ac:dyDescent="0.25">
      <c r="A3295" s="14">
        <v>46148.922222222223</v>
      </c>
      <c r="B3295" s="81" t="s">
        <v>149</v>
      </c>
      <c r="C3295" s="81" t="s">
        <v>203</v>
      </c>
      <c r="D3295" s="81" t="s">
        <v>250</v>
      </c>
      <c r="E3295" s="81" t="s">
        <v>72</v>
      </c>
      <c r="F3295" s="81" t="s">
        <v>28</v>
      </c>
    </row>
    <row r="3296" spans="1:6" x14ac:dyDescent="0.25">
      <c r="A3296" s="14">
        <v>46148.922222222223</v>
      </c>
      <c r="B3296" s="81" t="s">
        <v>149</v>
      </c>
      <c r="C3296" s="81" t="s">
        <v>203</v>
      </c>
      <c r="D3296" s="81" t="s">
        <v>250</v>
      </c>
      <c r="E3296" s="81" t="s">
        <v>72</v>
      </c>
      <c r="F3296" s="81" t="s">
        <v>28</v>
      </c>
    </row>
    <row r="3297" spans="1:6" x14ac:dyDescent="0.25">
      <c r="A3297" s="14">
        <v>46148.922222222223</v>
      </c>
      <c r="B3297" s="81" t="s">
        <v>149</v>
      </c>
      <c r="C3297" s="81" t="s">
        <v>182</v>
      </c>
      <c r="D3297" s="81" t="s">
        <v>250</v>
      </c>
      <c r="E3297" s="81" t="s">
        <v>49</v>
      </c>
      <c r="F3297" s="81" t="s">
        <v>2</v>
      </c>
    </row>
    <row r="3298" spans="1:6" x14ac:dyDescent="0.25">
      <c r="A3298" s="14">
        <v>46148.922222222223</v>
      </c>
      <c r="B3298" s="81" t="s">
        <v>149</v>
      </c>
      <c r="C3298" s="81" t="s">
        <v>151</v>
      </c>
      <c r="D3298" s="81" t="s">
        <v>168</v>
      </c>
      <c r="E3298" s="81" t="s">
        <v>50</v>
      </c>
      <c r="F3298" s="81" t="s">
        <v>1</v>
      </c>
    </row>
    <row r="3299" spans="1:6" x14ac:dyDescent="0.25">
      <c r="A3299" s="14">
        <v>46148.922222222223</v>
      </c>
      <c r="B3299" s="81" t="s">
        <v>149</v>
      </c>
      <c r="C3299" s="81" t="s">
        <v>177</v>
      </c>
      <c r="D3299" s="81" t="s">
        <v>250</v>
      </c>
      <c r="E3299" s="81" t="s">
        <v>50</v>
      </c>
      <c r="F3299" s="81" t="s">
        <v>1</v>
      </c>
    </row>
    <row r="3300" spans="1:6" x14ac:dyDescent="0.25">
      <c r="A3300" s="14">
        <v>46148.922222222223</v>
      </c>
      <c r="B3300" s="81" t="s">
        <v>149</v>
      </c>
      <c r="C3300" s="81" t="s">
        <v>203</v>
      </c>
      <c r="D3300" s="81" t="s">
        <v>157</v>
      </c>
      <c r="E3300" s="81" t="s">
        <v>72</v>
      </c>
      <c r="F3300" s="81" t="s">
        <v>28</v>
      </c>
    </row>
    <row r="3301" spans="1:6" x14ac:dyDescent="0.25">
      <c r="A3301" s="14">
        <v>46148.922222222223</v>
      </c>
      <c r="B3301" s="81" t="s">
        <v>149</v>
      </c>
      <c r="C3301" s="81" t="s">
        <v>203</v>
      </c>
      <c r="D3301" s="81" t="s">
        <v>157</v>
      </c>
      <c r="E3301" s="81" t="s">
        <v>72</v>
      </c>
      <c r="F3301" s="81" t="s">
        <v>28</v>
      </c>
    </row>
    <row r="3302" spans="1:6" x14ac:dyDescent="0.25">
      <c r="A3302" s="14">
        <v>46148.922222222223</v>
      </c>
      <c r="B3302" s="81" t="s">
        <v>149</v>
      </c>
      <c r="C3302" s="81" t="s">
        <v>203</v>
      </c>
      <c r="D3302" s="81" t="s">
        <v>157</v>
      </c>
      <c r="E3302" s="81" t="s">
        <v>72</v>
      </c>
      <c r="F3302" s="81" t="s">
        <v>28</v>
      </c>
    </row>
    <row r="3303" spans="1:6" x14ac:dyDescent="0.25">
      <c r="A3303" s="14">
        <v>46148.922222222223</v>
      </c>
      <c r="B3303" s="81" t="s">
        <v>149</v>
      </c>
      <c r="C3303" s="81" t="s">
        <v>171</v>
      </c>
      <c r="D3303" s="81" t="s">
        <v>238</v>
      </c>
      <c r="E3303" s="81" t="s">
        <v>50</v>
      </c>
      <c r="F3303" s="81" t="s">
        <v>1</v>
      </c>
    </row>
    <row r="3304" spans="1:6" x14ac:dyDescent="0.25">
      <c r="A3304" s="14">
        <v>46148.922222222223</v>
      </c>
      <c r="B3304" s="81" t="s">
        <v>149</v>
      </c>
      <c r="C3304" s="81" t="s">
        <v>173</v>
      </c>
      <c r="D3304" s="81" t="s">
        <v>168</v>
      </c>
      <c r="E3304" s="81" t="s">
        <v>50</v>
      </c>
      <c r="F3304" s="81" t="s">
        <v>1</v>
      </c>
    </row>
    <row r="3305" spans="1:6" x14ac:dyDescent="0.25">
      <c r="A3305" s="14">
        <v>46148.922222222223</v>
      </c>
      <c r="B3305" s="81" t="s">
        <v>149</v>
      </c>
      <c r="C3305" s="81" t="s">
        <v>185</v>
      </c>
      <c r="D3305" s="81" t="s">
        <v>250</v>
      </c>
      <c r="E3305" s="81" t="s">
        <v>50</v>
      </c>
      <c r="F3305" s="81" t="s">
        <v>1</v>
      </c>
    </row>
    <row r="3306" spans="1:6" x14ac:dyDescent="0.25">
      <c r="A3306" s="14">
        <v>46148.922222222223</v>
      </c>
      <c r="B3306" s="81" t="s">
        <v>149</v>
      </c>
      <c r="C3306" s="81" t="s">
        <v>182</v>
      </c>
      <c r="D3306" s="81" t="s">
        <v>168</v>
      </c>
      <c r="E3306" s="81" t="s">
        <v>49</v>
      </c>
      <c r="F3306" s="81" t="s">
        <v>2</v>
      </c>
    </row>
    <row r="3307" spans="1:6" x14ac:dyDescent="0.25">
      <c r="A3307" s="14">
        <v>46148.922222222223</v>
      </c>
      <c r="B3307" s="81" t="s">
        <v>149</v>
      </c>
      <c r="C3307" s="81" t="s">
        <v>171</v>
      </c>
      <c r="D3307" s="81" t="s">
        <v>168</v>
      </c>
      <c r="E3307" s="81" t="s">
        <v>50</v>
      </c>
      <c r="F3307" s="81" t="s">
        <v>1</v>
      </c>
    </row>
    <row r="3308" spans="1:6" x14ac:dyDescent="0.25">
      <c r="A3308" s="14">
        <v>46148.922222222223</v>
      </c>
      <c r="B3308" s="81" t="s">
        <v>149</v>
      </c>
      <c r="C3308" s="81" t="s">
        <v>158</v>
      </c>
      <c r="D3308" s="81" t="s">
        <v>168</v>
      </c>
      <c r="E3308" s="81" t="s">
        <v>52</v>
      </c>
      <c r="F3308" s="81" t="s">
        <v>0</v>
      </c>
    </row>
    <row r="3309" spans="1:6" x14ac:dyDescent="0.25">
      <c r="A3309" s="14">
        <v>46148.922222222223</v>
      </c>
      <c r="B3309" s="81" t="s">
        <v>149</v>
      </c>
      <c r="C3309" s="81" t="s">
        <v>211</v>
      </c>
      <c r="D3309" s="81" t="s">
        <v>238</v>
      </c>
      <c r="E3309" s="81" t="s">
        <v>64</v>
      </c>
      <c r="F3309" s="81" t="s">
        <v>98</v>
      </c>
    </row>
    <row r="3310" spans="1:6" x14ac:dyDescent="0.25">
      <c r="A3310" s="14">
        <v>46148.922222222223</v>
      </c>
      <c r="B3310" s="81" t="s">
        <v>149</v>
      </c>
      <c r="C3310" s="81" t="s">
        <v>185</v>
      </c>
      <c r="D3310" s="81" t="s">
        <v>238</v>
      </c>
      <c r="E3310" s="81" t="s">
        <v>52</v>
      </c>
      <c r="F3310" s="81" t="s">
        <v>0</v>
      </c>
    </row>
    <row r="3311" spans="1:6" x14ac:dyDescent="0.25">
      <c r="A3311" s="14">
        <v>46148.922222222223</v>
      </c>
      <c r="B3311" s="81" t="s">
        <v>149</v>
      </c>
      <c r="C3311" s="81" t="s">
        <v>203</v>
      </c>
      <c r="D3311" s="81" t="s">
        <v>168</v>
      </c>
      <c r="E3311" s="81" t="s">
        <v>72</v>
      </c>
      <c r="F3311" s="81" t="s">
        <v>28</v>
      </c>
    </row>
    <row r="3312" spans="1:6" x14ac:dyDescent="0.25">
      <c r="A3312" s="14">
        <v>46148.922222222223</v>
      </c>
      <c r="B3312" s="81" t="s">
        <v>149</v>
      </c>
      <c r="C3312" s="81" t="s">
        <v>203</v>
      </c>
      <c r="D3312" s="81" t="s">
        <v>168</v>
      </c>
      <c r="E3312" s="81" t="s">
        <v>72</v>
      </c>
      <c r="F3312" s="81" t="s">
        <v>28</v>
      </c>
    </row>
    <row r="3313" spans="1:6" x14ac:dyDescent="0.25">
      <c r="A3313" s="14">
        <v>46148.922222222223</v>
      </c>
      <c r="B3313" s="81" t="s">
        <v>149</v>
      </c>
      <c r="C3313" s="81" t="s">
        <v>203</v>
      </c>
      <c r="D3313" s="81" t="s">
        <v>168</v>
      </c>
      <c r="E3313" s="81" t="s">
        <v>72</v>
      </c>
      <c r="F3313" s="81" t="s">
        <v>28</v>
      </c>
    </row>
    <row r="3314" spans="1:6" x14ac:dyDescent="0.25">
      <c r="A3314" s="14">
        <v>46148.922222222223</v>
      </c>
      <c r="B3314" s="81" t="s">
        <v>149</v>
      </c>
      <c r="C3314" s="81" t="s">
        <v>203</v>
      </c>
      <c r="D3314" s="81" t="s">
        <v>261</v>
      </c>
      <c r="E3314" s="81" t="s">
        <v>72</v>
      </c>
      <c r="F3314" s="81" t="s">
        <v>28</v>
      </c>
    </row>
    <row r="3315" spans="1:6" x14ac:dyDescent="0.25">
      <c r="A3315" s="14">
        <v>46148.922222222223</v>
      </c>
      <c r="B3315" s="81" t="s">
        <v>149</v>
      </c>
      <c r="C3315" s="81" t="s">
        <v>203</v>
      </c>
      <c r="D3315" s="81" t="s">
        <v>261</v>
      </c>
      <c r="E3315" s="81" t="s">
        <v>72</v>
      </c>
      <c r="F3315" s="81" t="s">
        <v>28</v>
      </c>
    </row>
    <row r="3316" spans="1:6" x14ac:dyDescent="0.25">
      <c r="A3316" s="14">
        <v>46148.922222222223</v>
      </c>
      <c r="B3316" s="81" t="s">
        <v>149</v>
      </c>
      <c r="C3316" s="81" t="s">
        <v>203</v>
      </c>
      <c r="D3316" s="81" t="s">
        <v>261</v>
      </c>
      <c r="E3316" s="81" t="s">
        <v>72</v>
      </c>
      <c r="F3316" s="81" t="s">
        <v>28</v>
      </c>
    </row>
    <row r="3317" spans="1:6" x14ac:dyDescent="0.25">
      <c r="A3317" s="14">
        <v>46148.922222222223</v>
      </c>
      <c r="B3317" s="81" t="s">
        <v>149</v>
      </c>
      <c r="C3317" s="81" t="s">
        <v>187</v>
      </c>
      <c r="D3317" s="81" t="s">
        <v>165</v>
      </c>
      <c r="E3317" s="81" t="s">
        <v>75</v>
      </c>
      <c r="F3317" s="81" t="s">
        <v>93</v>
      </c>
    </row>
    <row r="3318" spans="1:6" x14ac:dyDescent="0.25">
      <c r="A3318" s="14">
        <v>46148.922222222223</v>
      </c>
      <c r="B3318" s="81" t="s">
        <v>149</v>
      </c>
      <c r="C3318" s="81" t="s">
        <v>171</v>
      </c>
      <c r="D3318" s="81" t="s">
        <v>157</v>
      </c>
      <c r="E3318" s="81" t="s">
        <v>50</v>
      </c>
      <c r="F3318" s="81" t="s">
        <v>1</v>
      </c>
    </row>
    <row r="3319" spans="1:6" x14ac:dyDescent="0.25">
      <c r="A3319" s="14">
        <v>46148.922222222223</v>
      </c>
      <c r="B3319" s="81" t="s">
        <v>149</v>
      </c>
      <c r="C3319" s="81" t="s">
        <v>203</v>
      </c>
      <c r="D3319" s="81" t="s">
        <v>205</v>
      </c>
      <c r="E3319" s="81" t="s">
        <v>72</v>
      </c>
      <c r="F3319" s="81" t="s">
        <v>28</v>
      </c>
    </row>
    <row r="3320" spans="1:6" x14ac:dyDescent="0.25">
      <c r="A3320" s="14">
        <v>46148.922222222223</v>
      </c>
      <c r="B3320" s="81" t="s">
        <v>149</v>
      </c>
      <c r="C3320" s="81" t="s">
        <v>203</v>
      </c>
      <c r="D3320" s="81" t="s">
        <v>205</v>
      </c>
      <c r="E3320" s="81" t="s">
        <v>72</v>
      </c>
      <c r="F3320" s="81" t="s">
        <v>28</v>
      </c>
    </row>
    <row r="3321" spans="1:6" x14ac:dyDescent="0.25">
      <c r="A3321" s="14">
        <v>46148.922222222223</v>
      </c>
      <c r="B3321" s="81" t="s">
        <v>149</v>
      </c>
      <c r="C3321" s="81" t="s">
        <v>203</v>
      </c>
      <c r="D3321" s="81" t="s">
        <v>205</v>
      </c>
      <c r="E3321" s="81" t="s">
        <v>72</v>
      </c>
      <c r="F3321" s="81" t="s">
        <v>28</v>
      </c>
    </row>
    <row r="3322" spans="1:6" x14ac:dyDescent="0.25">
      <c r="A3322" s="14">
        <v>46148.922222222223</v>
      </c>
      <c r="B3322" s="81" t="s">
        <v>149</v>
      </c>
      <c r="C3322" s="81" t="s">
        <v>181</v>
      </c>
      <c r="D3322" s="81" t="s">
        <v>205</v>
      </c>
      <c r="E3322" s="81" t="s">
        <v>50</v>
      </c>
      <c r="F3322" s="81" t="s">
        <v>1</v>
      </c>
    </row>
    <row r="3323" spans="1:6" x14ac:dyDescent="0.25">
      <c r="A3323" s="14">
        <v>46148.922222222223</v>
      </c>
      <c r="B3323" s="81" t="s">
        <v>149</v>
      </c>
      <c r="C3323" s="81" t="s">
        <v>177</v>
      </c>
      <c r="D3323" s="81" t="s">
        <v>205</v>
      </c>
      <c r="E3323" s="81" t="s">
        <v>50</v>
      </c>
      <c r="F3323" s="81" t="s">
        <v>1</v>
      </c>
    </row>
    <row r="3324" spans="1:6" x14ac:dyDescent="0.25">
      <c r="A3324" s="14">
        <v>46148.922222222223</v>
      </c>
      <c r="B3324" s="81" t="s">
        <v>149</v>
      </c>
      <c r="C3324" s="81" t="s">
        <v>203</v>
      </c>
      <c r="D3324" s="81" t="s">
        <v>201</v>
      </c>
      <c r="E3324" s="81" t="s">
        <v>72</v>
      </c>
      <c r="F3324" s="81" t="s">
        <v>28</v>
      </c>
    </row>
    <row r="3325" spans="1:6" x14ac:dyDescent="0.25">
      <c r="A3325" s="14">
        <v>46148.922222222223</v>
      </c>
      <c r="B3325" s="81" t="s">
        <v>149</v>
      </c>
      <c r="C3325" s="81" t="s">
        <v>203</v>
      </c>
      <c r="D3325" s="81" t="s">
        <v>201</v>
      </c>
      <c r="E3325" s="81" t="s">
        <v>72</v>
      </c>
      <c r="F3325" s="81" t="s">
        <v>28</v>
      </c>
    </row>
    <row r="3326" spans="1:6" x14ac:dyDescent="0.25">
      <c r="A3326" s="14">
        <v>46148.922222222223</v>
      </c>
      <c r="B3326" s="81" t="s">
        <v>149</v>
      </c>
      <c r="C3326" s="81" t="s">
        <v>203</v>
      </c>
      <c r="D3326" s="81" t="s">
        <v>201</v>
      </c>
      <c r="E3326" s="81" t="s">
        <v>72</v>
      </c>
      <c r="F3326" s="81" t="s">
        <v>28</v>
      </c>
    </row>
    <row r="3327" spans="1:6" x14ac:dyDescent="0.25">
      <c r="A3327" s="14">
        <v>46148.922222222223</v>
      </c>
      <c r="B3327" s="81" t="s">
        <v>149</v>
      </c>
      <c r="C3327" s="81" t="s">
        <v>176</v>
      </c>
      <c r="D3327" s="81" t="s">
        <v>201</v>
      </c>
      <c r="E3327" s="81" t="s">
        <v>70</v>
      </c>
      <c r="F3327" s="81" t="s">
        <v>15</v>
      </c>
    </row>
    <row r="3328" spans="1:6" x14ac:dyDescent="0.25">
      <c r="A3328" s="14">
        <v>46148.922222222223</v>
      </c>
      <c r="B3328" s="81" t="s">
        <v>149</v>
      </c>
      <c r="C3328" s="81" t="s">
        <v>203</v>
      </c>
      <c r="D3328" s="81" t="s">
        <v>254</v>
      </c>
      <c r="E3328" s="81" t="s">
        <v>72</v>
      </c>
      <c r="F3328" s="81" t="s">
        <v>28</v>
      </c>
    </row>
    <row r="3329" spans="1:6" x14ac:dyDescent="0.25">
      <c r="A3329" s="14">
        <v>46148.922222222223</v>
      </c>
      <c r="B3329" s="81" t="s">
        <v>149</v>
      </c>
      <c r="C3329" s="81" t="s">
        <v>203</v>
      </c>
      <c r="D3329" s="81" t="s">
        <v>254</v>
      </c>
      <c r="E3329" s="81" t="s">
        <v>72</v>
      </c>
      <c r="F3329" s="81" t="s">
        <v>28</v>
      </c>
    </row>
    <row r="3330" spans="1:6" x14ac:dyDescent="0.25">
      <c r="A3330" s="14">
        <v>46148.922222222223</v>
      </c>
      <c r="B3330" s="81" t="s">
        <v>149</v>
      </c>
      <c r="C3330" s="81" t="s">
        <v>203</v>
      </c>
      <c r="D3330" s="81" t="s">
        <v>254</v>
      </c>
      <c r="E3330" s="81" t="s">
        <v>72</v>
      </c>
      <c r="F3330" s="81" t="s">
        <v>28</v>
      </c>
    </row>
    <row r="3331" spans="1:6" x14ac:dyDescent="0.25">
      <c r="A3331" s="14">
        <v>46148.922222222223</v>
      </c>
      <c r="B3331" s="81" t="s">
        <v>195</v>
      </c>
      <c r="C3331" s="81" t="s">
        <v>197</v>
      </c>
      <c r="D3331" s="81" t="s">
        <v>157</v>
      </c>
      <c r="E3331" s="81" t="s">
        <v>24</v>
      </c>
      <c r="F3331" s="81" t="s">
        <v>24</v>
      </c>
    </row>
    <row r="3332" spans="1:6" x14ac:dyDescent="0.25">
      <c r="A3332" s="14">
        <v>46148.922222222223</v>
      </c>
      <c r="B3332" s="81" t="s">
        <v>195</v>
      </c>
      <c r="C3332" s="81" t="s">
        <v>197</v>
      </c>
      <c r="D3332" s="81" t="s">
        <v>157</v>
      </c>
      <c r="E3332" s="81" t="s">
        <v>24</v>
      </c>
      <c r="F3332" s="81" t="s">
        <v>24</v>
      </c>
    </row>
    <row r="3333" spans="1:6" x14ac:dyDescent="0.25">
      <c r="A3333" s="14">
        <v>46148.922222222223</v>
      </c>
      <c r="B3333" s="81" t="s">
        <v>195</v>
      </c>
      <c r="C3333" s="81" t="s">
        <v>197</v>
      </c>
      <c r="D3333" s="81" t="s">
        <v>157</v>
      </c>
      <c r="E3333" s="81" t="s">
        <v>24</v>
      </c>
      <c r="F3333" s="81" t="s">
        <v>24</v>
      </c>
    </row>
    <row r="3334" spans="1:6" x14ac:dyDescent="0.25">
      <c r="A3334" s="14">
        <v>46148.922222222223</v>
      </c>
      <c r="B3334" s="81" t="s">
        <v>195</v>
      </c>
      <c r="C3334" s="81" t="s">
        <v>196</v>
      </c>
      <c r="D3334" s="81" t="s">
        <v>250</v>
      </c>
      <c r="E3334" s="81" t="s">
        <v>24</v>
      </c>
      <c r="F3334" s="81" t="s">
        <v>24</v>
      </c>
    </row>
    <row r="3335" spans="1:6" x14ac:dyDescent="0.25">
      <c r="A3335" s="14">
        <v>46148.922222222223</v>
      </c>
      <c r="B3335" s="81" t="s">
        <v>195</v>
      </c>
      <c r="C3335" s="81" t="s">
        <v>196</v>
      </c>
      <c r="D3335" s="81" t="s">
        <v>250</v>
      </c>
      <c r="E3335" s="81" t="s">
        <v>24</v>
      </c>
      <c r="F3335" s="81" t="s">
        <v>24</v>
      </c>
    </row>
    <row r="3336" spans="1:6" x14ac:dyDescent="0.25">
      <c r="A3336" s="14">
        <v>46148.922222222223</v>
      </c>
      <c r="B3336" s="81" t="s">
        <v>195</v>
      </c>
      <c r="C3336" s="81" t="s">
        <v>196</v>
      </c>
      <c r="D3336" s="81" t="s">
        <v>250</v>
      </c>
      <c r="E3336" s="81" t="s">
        <v>24</v>
      </c>
      <c r="F3336" s="81" t="s">
        <v>24</v>
      </c>
    </row>
    <row r="3337" spans="1:6" x14ac:dyDescent="0.25">
      <c r="A3337" s="14">
        <v>46148.927777777775</v>
      </c>
      <c r="B3337" s="81" t="s">
        <v>149</v>
      </c>
      <c r="C3337" s="81" t="s">
        <v>203</v>
      </c>
      <c r="D3337" s="81" t="s">
        <v>152</v>
      </c>
      <c r="E3337" s="81" t="s">
        <v>72</v>
      </c>
      <c r="F3337" s="81" t="s">
        <v>28</v>
      </c>
    </row>
    <row r="3338" spans="1:6" x14ac:dyDescent="0.25">
      <c r="A3338" s="14">
        <v>46148.927777777775</v>
      </c>
      <c r="B3338" s="81" t="s">
        <v>149</v>
      </c>
      <c r="C3338" s="81" t="s">
        <v>203</v>
      </c>
      <c r="D3338" s="81" t="s">
        <v>152</v>
      </c>
      <c r="E3338" s="81" t="s">
        <v>72</v>
      </c>
      <c r="F3338" s="81" t="s">
        <v>28</v>
      </c>
    </row>
    <row r="3339" spans="1:6" x14ac:dyDescent="0.25">
      <c r="A3339" s="14">
        <v>46148.927777777775</v>
      </c>
      <c r="B3339" s="81" t="s">
        <v>149</v>
      </c>
      <c r="C3339" s="81" t="s">
        <v>203</v>
      </c>
      <c r="D3339" s="81" t="s">
        <v>152</v>
      </c>
      <c r="E3339" s="81" t="s">
        <v>72</v>
      </c>
      <c r="F3339" s="81" t="s">
        <v>28</v>
      </c>
    </row>
    <row r="3340" spans="1:6" x14ac:dyDescent="0.25">
      <c r="A3340" s="14">
        <v>46148.927777777775</v>
      </c>
      <c r="B3340" s="81" t="s">
        <v>149</v>
      </c>
      <c r="C3340" s="81" t="s">
        <v>203</v>
      </c>
      <c r="D3340" s="81" t="s">
        <v>231</v>
      </c>
      <c r="E3340" s="81" t="s">
        <v>72</v>
      </c>
      <c r="F3340" s="81" t="s">
        <v>28</v>
      </c>
    </row>
    <row r="3341" spans="1:6" x14ac:dyDescent="0.25">
      <c r="A3341" s="14">
        <v>46148.927777777775</v>
      </c>
      <c r="B3341" s="81" t="s">
        <v>149</v>
      </c>
      <c r="C3341" s="81" t="s">
        <v>203</v>
      </c>
      <c r="D3341" s="81" t="s">
        <v>231</v>
      </c>
      <c r="E3341" s="81" t="s">
        <v>72</v>
      </c>
      <c r="F3341" s="81" t="s">
        <v>28</v>
      </c>
    </row>
    <row r="3342" spans="1:6" x14ac:dyDescent="0.25">
      <c r="A3342" s="14">
        <v>46148.927777777775</v>
      </c>
      <c r="B3342" s="81" t="s">
        <v>149</v>
      </c>
      <c r="C3342" s="81" t="s">
        <v>203</v>
      </c>
      <c r="D3342" s="81" t="s">
        <v>231</v>
      </c>
      <c r="E3342" s="81" t="s">
        <v>72</v>
      </c>
      <c r="F3342" s="81" t="s">
        <v>28</v>
      </c>
    </row>
    <row r="3343" spans="1:6" x14ac:dyDescent="0.25">
      <c r="A3343" s="14">
        <v>46148.927777777775</v>
      </c>
      <c r="B3343" s="81" t="s">
        <v>149</v>
      </c>
      <c r="C3343" s="81" t="s">
        <v>203</v>
      </c>
      <c r="D3343" s="81" t="s">
        <v>202</v>
      </c>
      <c r="E3343" s="81" t="s">
        <v>72</v>
      </c>
      <c r="F3343" s="81" t="s">
        <v>28</v>
      </c>
    </row>
    <row r="3344" spans="1:6" x14ac:dyDescent="0.25">
      <c r="A3344" s="14">
        <v>46148.927777777775</v>
      </c>
      <c r="B3344" s="81" t="s">
        <v>149</v>
      </c>
      <c r="C3344" s="81" t="s">
        <v>203</v>
      </c>
      <c r="D3344" s="81" t="s">
        <v>202</v>
      </c>
      <c r="E3344" s="81" t="s">
        <v>72</v>
      </c>
      <c r="F3344" s="81" t="s">
        <v>28</v>
      </c>
    </row>
    <row r="3345" spans="1:6" x14ac:dyDescent="0.25">
      <c r="A3345" s="14">
        <v>46148.927777777775</v>
      </c>
      <c r="B3345" s="81" t="s">
        <v>149</v>
      </c>
      <c r="C3345" s="81" t="s">
        <v>203</v>
      </c>
      <c r="D3345" s="81" t="s">
        <v>202</v>
      </c>
      <c r="E3345" s="81" t="s">
        <v>72</v>
      </c>
      <c r="F3345" s="81" t="s">
        <v>28</v>
      </c>
    </row>
    <row r="3346" spans="1:6" x14ac:dyDescent="0.25">
      <c r="A3346" s="14">
        <v>46149.445833333331</v>
      </c>
      <c r="B3346" s="81" t="s">
        <v>149</v>
      </c>
      <c r="C3346" s="81" t="s">
        <v>190</v>
      </c>
      <c r="D3346" s="81" t="s">
        <v>250</v>
      </c>
      <c r="E3346" s="81" t="s">
        <v>49</v>
      </c>
      <c r="F3346" s="81" t="s">
        <v>2</v>
      </c>
    </row>
    <row r="3347" spans="1:6" x14ac:dyDescent="0.25">
      <c r="A3347" s="14">
        <v>46149.445833333331</v>
      </c>
      <c r="B3347" s="81" t="s">
        <v>149</v>
      </c>
      <c r="C3347" s="81" t="s">
        <v>184</v>
      </c>
      <c r="D3347" s="81" t="s">
        <v>152</v>
      </c>
      <c r="E3347" s="81" t="s">
        <v>48</v>
      </c>
      <c r="F3347" s="81" t="s">
        <v>3</v>
      </c>
    </row>
    <row r="3348" spans="1:6" x14ac:dyDescent="0.25">
      <c r="A3348" s="14">
        <v>46149.445833333331</v>
      </c>
      <c r="B3348" s="81" t="s">
        <v>149</v>
      </c>
      <c r="C3348" s="81" t="s">
        <v>181</v>
      </c>
      <c r="D3348" s="81" t="s">
        <v>152</v>
      </c>
      <c r="E3348" s="81" t="s">
        <v>49</v>
      </c>
      <c r="F3348" s="81" t="s">
        <v>2</v>
      </c>
    </row>
    <row r="3349" spans="1:6" x14ac:dyDescent="0.25">
      <c r="A3349" s="14">
        <v>46149.445833333331</v>
      </c>
      <c r="B3349" s="81" t="s">
        <v>149</v>
      </c>
      <c r="C3349" s="81" t="s">
        <v>185</v>
      </c>
      <c r="D3349" s="81" t="s">
        <v>152</v>
      </c>
      <c r="E3349" s="81" t="s">
        <v>49</v>
      </c>
      <c r="F3349" s="81" t="s">
        <v>2</v>
      </c>
    </row>
    <row r="3350" spans="1:6" x14ac:dyDescent="0.25">
      <c r="A3350" s="14">
        <v>46149.445833333331</v>
      </c>
      <c r="B3350" s="81" t="s">
        <v>149</v>
      </c>
      <c r="C3350" s="81" t="s">
        <v>183</v>
      </c>
      <c r="D3350" s="81" t="s">
        <v>152</v>
      </c>
      <c r="E3350" s="81" t="s">
        <v>49</v>
      </c>
      <c r="F3350" s="81" t="s">
        <v>2</v>
      </c>
    </row>
    <row r="3351" spans="1:6" x14ac:dyDescent="0.25">
      <c r="A3351" s="14">
        <v>46149.445833333331</v>
      </c>
      <c r="B3351" s="81" t="s">
        <v>149</v>
      </c>
      <c r="C3351" s="81" t="s">
        <v>203</v>
      </c>
      <c r="D3351" s="81" t="s">
        <v>841</v>
      </c>
      <c r="E3351" s="81" t="s">
        <v>72</v>
      </c>
      <c r="F3351" s="81" t="s">
        <v>28</v>
      </c>
    </row>
    <row r="3352" spans="1:6" x14ac:dyDescent="0.25">
      <c r="A3352" s="14">
        <v>46149.445833333331</v>
      </c>
      <c r="B3352" s="81" t="s">
        <v>149</v>
      </c>
      <c r="C3352" s="81" t="s">
        <v>203</v>
      </c>
      <c r="D3352" s="81" t="s">
        <v>841</v>
      </c>
      <c r="E3352" s="81" t="s">
        <v>72</v>
      </c>
      <c r="F3352" s="81" t="s">
        <v>28</v>
      </c>
    </row>
    <row r="3353" spans="1:6" x14ac:dyDescent="0.25">
      <c r="A3353" s="14">
        <v>46149.445833333331</v>
      </c>
      <c r="B3353" s="81" t="s">
        <v>149</v>
      </c>
      <c r="C3353" s="81" t="s">
        <v>203</v>
      </c>
      <c r="D3353" s="81" t="s">
        <v>841</v>
      </c>
      <c r="E3353" s="81" t="s">
        <v>72</v>
      </c>
      <c r="F3353" s="81" t="s">
        <v>28</v>
      </c>
    </row>
    <row r="3354" spans="1:6" x14ac:dyDescent="0.25">
      <c r="A3354" s="14">
        <v>46149.445833333331</v>
      </c>
      <c r="B3354" s="81" t="s">
        <v>149</v>
      </c>
      <c r="C3354" s="81" t="s">
        <v>177</v>
      </c>
      <c r="D3354" s="81" t="s">
        <v>242</v>
      </c>
      <c r="E3354" s="81" t="s">
        <v>49</v>
      </c>
      <c r="F3354" s="81" t="s">
        <v>2</v>
      </c>
    </row>
    <row r="3355" spans="1:6" x14ac:dyDescent="0.25">
      <c r="A3355" s="14">
        <v>46149.445833333331</v>
      </c>
      <c r="B3355" s="81" t="s">
        <v>149</v>
      </c>
      <c r="C3355" s="81" t="s">
        <v>175</v>
      </c>
      <c r="D3355" s="81" t="s">
        <v>152</v>
      </c>
      <c r="E3355" s="81" t="s">
        <v>49</v>
      </c>
      <c r="F3355" s="81" t="s">
        <v>2</v>
      </c>
    </row>
    <row r="3356" spans="1:6" x14ac:dyDescent="0.25">
      <c r="A3356" s="14">
        <v>46149.445833333331</v>
      </c>
      <c r="B3356" s="81" t="s">
        <v>149</v>
      </c>
      <c r="C3356" s="81" t="s">
        <v>183</v>
      </c>
      <c r="D3356" s="81" t="s">
        <v>152</v>
      </c>
      <c r="E3356" s="81" t="s">
        <v>49</v>
      </c>
      <c r="F3356" s="81" t="s">
        <v>2</v>
      </c>
    </row>
    <row r="3357" spans="1:6" x14ac:dyDescent="0.25">
      <c r="A3357" s="14">
        <v>46149.445833333331</v>
      </c>
      <c r="B3357" s="81" t="s">
        <v>149</v>
      </c>
      <c r="C3357" s="81" t="s">
        <v>175</v>
      </c>
      <c r="D3357" s="81" t="s">
        <v>242</v>
      </c>
      <c r="E3357" s="81" t="s">
        <v>49</v>
      </c>
      <c r="F3357" s="81" t="s">
        <v>2</v>
      </c>
    </row>
    <row r="3358" spans="1:6" x14ac:dyDescent="0.25">
      <c r="A3358" s="14">
        <v>46149.445833333331</v>
      </c>
      <c r="B3358" s="81" t="s">
        <v>149</v>
      </c>
      <c r="C3358" s="81" t="s">
        <v>185</v>
      </c>
      <c r="D3358" s="81" t="s">
        <v>233</v>
      </c>
      <c r="E3358" s="81" t="s">
        <v>52</v>
      </c>
      <c r="F3358" s="81" t="s">
        <v>0</v>
      </c>
    </row>
    <row r="3359" spans="1:6" x14ac:dyDescent="0.25">
      <c r="A3359" s="14">
        <v>46149.445833333331</v>
      </c>
      <c r="B3359" s="81" t="s">
        <v>149</v>
      </c>
      <c r="C3359" s="81" t="s">
        <v>184</v>
      </c>
      <c r="D3359" s="81" t="s">
        <v>157</v>
      </c>
      <c r="E3359" s="81" t="s">
        <v>50</v>
      </c>
      <c r="F3359" s="81" t="s">
        <v>1</v>
      </c>
    </row>
    <row r="3360" spans="1:6" x14ac:dyDescent="0.25">
      <c r="A3360" s="14">
        <v>46149.445833333331</v>
      </c>
      <c r="B3360" s="81" t="s">
        <v>149</v>
      </c>
      <c r="C3360" s="81" t="s">
        <v>183</v>
      </c>
      <c r="D3360" s="81" t="s">
        <v>152</v>
      </c>
      <c r="E3360" s="81" t="s">
        <v>49</v>
      </c>
      <c r="F3360" s="81" t="s">
        <v>2</v>
      </c>
    </row>
    <row r="3361" spans="1:6" x14ac:dyDescent="0.25">
      <c r="A3361" s="14">
        <v>46149.445833333331</v>
      </c>
      <c r="B3361" s="81" t="s">
        <v>149</v>
      </c>
      <c r="C3361" s="81" t="s">
        <v>151</v>
      </c>
      <c r="D3361" s="81" t="s">
        <v>157</v>
      </c>
      <c r="E3361" s="81" t="s">
        <v>50</v>
      </c>
      <c r="F3361" s="81" t="s">
        <v>1</v>
      </c>
    </row>
    <row r="3362" spans="1:6" x14ac:dyDescent="0.25">
      <c r="A3362" s="14">
        <v>46149.445833333331</v>
      </c>
      <c r="B3362" s="81" t="s">
        <v>149</v>
      </c>
      <c r="C3362" s="81" t="s">
        <v>185</v>
      </c>
      <c r="D3362" s="81" t="s">
        <v>152</v>
      </c>
      <c r="E3362" s="81" t="s">
        <v>49</v>
      </c>
      <c r="F3362" s="81" t="s">
        <v>2</v>
      </c>
    </row>
    <row r="3363" spans="1:6" x14ac:dyDescent="0.25">
      <c r="A3363" s="14">
        <v>46149.445833333331</v>
      </c>
      <c r="B3363" s="81" t="s">
        <v>149</v>
      </c>
      <c r="C3363" s="81" t="s">
        <v>182</v>
      </c>
      <c r="D3363" s="81" t="s">
        <v>152</v>
      </c>
      <c r="E3363" s="81" t="s">
        <v>49</v>
      </c>
      <c r="F3363" s="81" t="s">
        <v>2</v>
      </c>
    </row>
    <row r="3364" spans="1:6" x14ac:dyDescent="0.25">
      <c r="A3364" s="14">
        <v>46149.445833333331</v>
      </c>
      <c r="B3364" s="81" t="s">
        <v>149</v>
      </c>
      <c r="C3364" s="81" t="s">
        <v>183</v>
      </c>
      <c r="D3364" s="81" t="s">
        <v>157</v>
      </c>
      <c r="E3364" s="81" t="s">
        <v>50</v>
      </c>
      <c r="F3364" s="81" t="s">
        <v>1</v>
      </c>
    </row>
    <row r="3365" spans="1:6" x14ac:dyDescent="0.25">
      <c r="A3365" s="14">
        <v>46149.445833333331</v>
      </c>
      <c r="B3365" s="81" t="s">
        <v>149</v>
      </c>
      <c r="C3365" s="81" t="s">
        <v>184</v>
      </c>
      <c r="D3365" s="81" t="s">
        <v>157</v>
      </c>
      <c r="E3365" s="81" t="s">
        <v>50</v>
      </c>
      <c r="F3365" s="81" t="s">
        <v>1</v>
      </c>
    </row>
    <row r="3366" spans="1:6" x14ac:dyDescent="0.25">
      <c r="A3366" s="14">
        <v>46149.445833333331</v>
      </c>
      <c r="B3366" s="81" t="s">
        <v>149</v>
      </c>
      <c r="C3366" s="81" t="s">
        <v>184</v>
      </c>
      <c r="D3366" s="81" t="s">
        <v>152</v>
      </c>
      <c r="E3366" s="81" t="s">
        <v>49</v>
      </c>
      <c r="F3366" s="81" t="s">
        <v>2</v>
      </c>
    </row>
    <row r="3367" spans="1:6" x14ac:dyDescent="0.25">
      <c r="A3367" s="14">
        <v>46149.445833333331</v>
      </c>
      <c r="B3367" s="81" t="s">
        <v>149</v>
      </c>
      <c r="C3367" s="81" t="s">
        <v>151</v>
      </c>
      <c r="D3367" s="81" t="s">
        <v>152</v>
      </c>
      <c r="E3367" s="81" t="s">
        <v>49</v>
      </c>
      <c r="F3367" s="81" t="s">
        <v>2</v>
      </c>
    </row>
    <row r="3368" spans="1:6" x14ac:dyDescent="0.25">
      <c r="A3368" s="14">
        <v>46149.445833333331</v>
      </c>
      <c r="B3368" s="81" t="s">
        <v>149</v>
      </c>
      <c r="C3368" s="81" t="s">
        <v>181</v>
      </c>
      <c r="D3368" s="81" t="s">
        <v>261</v>
      </c>
      <c r="E3368" s="81" t="s">
        <v>52</v>
      </c>
      <c r="F3368" s="81" t="s">
        <v>0</v>
      </c>
    </row>
    <row r="3369" spans="1:6" x14ac:dyDescent="0.25">
      <c r="A3369" s="14">
        <v>46149.445833333331</v>
      </c>
      <c r="B3369" s="81" t="s">
        <v>149</v>
      </c>
      <c r="C3369" s="81" t="s">
        <v>185</v>
      </c>
      <c r="D3369" s="81" t="s">
        <v>165</v>
      </c>
      <c r="E3369" s="81" t="s">
        <v>50</v>
      </c>
      <c r="F3369" s="81" t="s">
        <v>1</v>
      </c>
    </row>
    <row r="3370" spans="1:6" x14ac:dyDescent="0.25">
      <c r="A3370" s="14">
        <v>46149.445833333331</v>
      </c>
      <c r="B3370" s="81" t="s">
        <v>149</v>
      </c>
      <c r="C3370" s="81" t="s">
        <v>203</v>
      </c>
      <c r="D3370" s="81" t="s">
        <v>165</v>
      </c>
      <c r="E3370" s="81" t="s">
        <v>72</v>
      </c>
      <c r="F3370" s="81" t="s">
        <v>28</v>
      </c>
    </row>
    <row r="3371" spans="1:6" x14ac:dyDescent="0.25">
      <c r="A3371" s="14">
        <v>46149.445833333331</v>
      </c>
      <c r="B3371" s="81" t="s">
        <v>149</v>
      </c>
      <c r="C3371" s="81" t="s">
        <v>203</v>
      </c>
      <c r="D3371" s="81" t="s">
        <v>165</v>
      </c>
      <c r="E3371" s="81" t="s">
        <v>72</v>
      </c>
      <c r="F3371" s="81" t="s">
        <v>28</v>
      </c>
    </row>
    <row r="3372" spans="1:6" x14ac:dyDescent="0.25">
      <c r="A3372" s="14">
        <v>46149.445833333331</v>
      </c>
      <c r="B3372" s="81" t="s">
        <v>149</v>
      </c>
      <c r="C3372" s="81" t="s">
        <v>203</v>
      </c>
      <c r="D3372" s="81" t="s">
        <v>165</v>
      </c>
      <c r="E3372" s="81" t="s">
        <v>72</v>
      </c>
      <c r="F3372" s="81" t="s">
        <v>28</v>
      </c>
    </row>
    <row r="3373" spans="1:6" x14ac:dyDescent="0.25">
      <c r="A3373" s="14">
        <v>46149.445833333331</v>
      </c>
      <c r="B3373" s="81" t="s">
        <v>149</v>
      </c>
      <c r="C3373" s="81" t="s">
        <v>182</v>
      </c>
      <c r="D3373" s="81" t="s">
        <v>152</v>
      </c>
      <c r="E3373" s="81" t="s">
        <v>49</v>
      </c>
      <c r="F3373" s="81" t="s">
        <v>2</v>
      </c>
    </row>
    <row r="3374" spans="1:6" x14ac:dyDescent="0.25">
      <c r="A3374" s="14">
        <v>46149.445833333331</v>
      </c>
      <c r="B3374" s="81" t="s">
        <v>149</v>
      </c>
      <c r="C3374" s="81" t="s">
        <v>203</v>
      </c>
      <c r="D3374" s="81" t="s">
        <v>222</v>
      </c>
      <c r="E3374" s="81" t="s">
        <v>72</v>
      </c>
      <c r="F3374" s="81" t="s">
        <v>28</v>
      </c>
    </row>
    <row r="3375" spans="1:6" x14ac:dyDescent="0.25">
      <c r="A3375" s="14">
        <v>46149.445833333331</v>
      </c>
      <c r="B3375" s="81" t="s">
        <v>149</v>
      </c>
      <c r="C3375" s="81" t="s">
        <v>203</v>
      </c>
      <c r="D3375" s="81" t="s">
        <v>222</v>
      </c>
      <c r="E3375" s="81" t="s">
        <v>72</v>
      </c>
      <c r="F3375" s="81" t="s">
        <v>28</v>
      </c>
    </row>
    <row r="3376" spans="1:6" x14ac:dyDescent="0.25">
      <c r="A3376" s="14">
        <v>46149.445833333331</v>
      </c>
      <c r="B3376" s="81" t="s">
        <v>149</v>
      </c>
      <c r="C3376" s="81" t="s">
        <v>203</v>
      </c>
      <c r="D3376" s="81" t="s">
        <v>222</v>
      </c>
      <c r="E3376" s="81" t="s">
        <v>72</v>
      </c>
      <c r="F3376" s="81" t="s">
        <v>28</v>
      </c>
    </row>
    <row r="3377" spans="1:6" x14ac:dyDescent="0.25">
      <c r="A3377" s="14">
        <v>46149.445833333331</v>
      </c>
      <c r="B3377" s="81" t="s">
        <v>149</v>
      </c>
      <c r="C3377" s="81" t="s">
        <v>203</v>
      </c>
      <c r="D3377" s="81" t="s">
        <v>199</v>
      </c>
      <c r="E3377" s="81" t="s">
        <v>72</v>
      </c>
      <c r="F3377" s="81" t="s">
        <v>28</v>
      </c>
    </row>
    <row r="3378" spans="1:6" x14ac:dyDescent="0.25">
      <c r="A3378" s="14">
        <v>46149.445833333331</v>
      </c>
      <c r="B3378" s="81" t="s">
        <v>149</v>
      </c>
      <c r="C3378" s="81" t="s">
        <v>203</v>
      </c>
      <c r="D3378" s="81" t="s">
        <v>199</v>
      </c>
      <c r="E3378" s="81" t="s">
        <v>72</v>
      </c>
      <c r="F3378" s="81" t="s">
        <v>28</v>
      </c>
    </row>
    <row r="3379" spans="1:6" x14ac:dyDescent="0.25">
      <c r="A3379" s="14">
        <v>46149.445833333331</v>
      </c>
      <c r="B3379" s="81" t="s">
        <v>149</v>
      </c>
      <c r="C3379" s="81" t="s">
        <v>203</v>
      </c>
      <c r="D3379" s="81" t="s">
        <v>199</v>
      </c>
      <c r="E3379" s="81" t="s">
        <v>72</v>
      </c>
      <c r="F3379" s="81" t="s">
        <v>28</v>
      </c>
    </row>
    <row r="3380" spans="1:6" x14ac:dyDescent="0.25">
      <c r="A3380" s="14">
        <v>46149.445833333331</v>
      </c>
      <c r="B3380" s="81" t="s">
        <v>149</v>
      </c>
      <c r="C3380" s="81" t="s">
        <v>158</v>
      </c>
      <c r="D3380" s="81" t="s">
        <v>242</v>
      </c>
      <c r="E3380" s="81" t="s">
        <v>50</v>
      </c>
      <c r="F3380" s="81" t="s">
        <v>1</v>
      </c>
    </row>
    <row r="3381" spans="1:6" x14ac:dyDescent="0.25">
      <c r="A3381" s="14">
        <v>46149.445833333331</v>
      </c>
      <c r="B3381" s="81" t="s">
        <v>149</v>
      </c>
      <c r="C3381" s="81" t="s">
        <v>203</v>
      </c>
      <c r="D3381" s="81" t="s">
        <v>265</v>
      </c>
      <c r="E3381" s="81" t="s">
        <v>72</v>
      </c>
      <c r="F3381" s="81" t="s">
        <v>28</v>
      </c>
    </row>
    <row r="3382" spans="1:6" x14ac:dyDescent="0.25">
      <c r="A3382" s="14">
        <v>46149.445833333331</v>
      </c>
      <c r="B3382" s="81" t="s">
        <v>149</v>
      </c>
      <c r="C3382" s="81" t="s">
        <v>203</v>
      </c>
      <c r="D3382" s="81" t="s">
        <v>265</v>
      </c>
      <c r="E3382" s="81" t="s">
        <v>72</v>
      </c>
      <c r="F3382" s="81" t="s">
        <v>28</v>
      </c>
    </row>
    <row r="3383" spans="1:6" x14ac:dyDescent="0.25">
      <c r="A3383" s="14">
        <v>46149.445833333331</v>
      </c>
      <c r="B3383" s="81" t="s">
        <v>149</v>
      </c>
      <c r="C3383" s="81" t="s">
        <v>203</v>
      </c>
      <c r="D3383" s="81" t="s">
        <v>265</v>
      </c>
      <c r="E3383" s="81" t="s">
        <v>72</v>
      </c>
      <c r="F3383" s="81" t="s">
        <v>28</v>
      </c>
    </row>
    <row r="3384" spans="1:6" x14ac:dyDescent="0.25">
      <c r="A3384" s="14">
        <v>46149.445833333331</v>
      </c>
      <c r="B3384" s="81" t="s">
        <v>149</v>
      </c>
      <c r="C3384" s="81" t="s">
        <v>184</v>
      </c>
      <c r="D3384" s="81" t="s">
        <v>242</v>
      </c>
      <c r="E3384" s="81" t="s">
        <v>49</v>
      </c>
      <c r="F3384" s="81" t="s">
        <v>2</v>
      </c>
    </row>
    <row r="3385" spans="1:6" x14ac:dyDescent="0.25">
      <c r="A3385" s="14">
        <v>46149.445833333331</v>
      </c>
      <c r="B3385" s="81" t="s">
        <v>149</v>
      </c>
      <c r="C3385" s="81" t="s">
        <v>177</v>
      </c>
      <c r="D3385" s="81" t="s">
        <v>152</v>
      </c>
      <c r="E3385" s="81" t="s">
        <v>49</v>
      </c>
      <c r="F3385" s="81" t="s">
        <v>2</v>
      </c>
    </row>
    <row r="3386" spans="1:6" x14ac:dyDescent="0.25">
      <c r="A3386" s="14">
        <v>46149.445833333331</v>
      </c>
      <c r="B3386" s="81" t="s">
        <v>149</v>
      </c>
      <c r="C3386" s="81" t="s">
        <v>203</v>
      </c>
      <c r="D3386" s="81" t="s">
        <v>264</v>
      </c>
      <c r="E3386" s="81" t="s">
        <v>72</v>
      </c>
      <c r="F3386" s="81" t="s">
        <v>28</v>
      </c>
    </row>
    <row r="3387" spans="1:6" x14ac:dyDescent="0.25">
      <c r="A3387" s="14">
        <v>46149.445833333331</v>
      </c>
      <c r="B3387" s="81" t="s">
        <v>149</v>
      </c>
      <c r="C3387" s="81" t="s">
        <v>203</v>
      </c>
      <c r="D3387" s="81" t="s">
        <v>264</v>
      </c>
      <c r="E3387" s="81" t="s">
        <v>72</v>
      </c>
      <c r="F3387" s="81" t="s">
        <v>28</v>
      </c>
    </row>
    <row r="3388" spans="1:6" x14ac:dyDescent="0.25">
      <c r="A3388" s="14">
        <v>46149.445833333331</v>
      </c>
      <c r="B3388" s="81" t="s">
        <v>149</v>
      </c>
      <c r="C3388" s="81" t="s">
        <v>203</v>
      </c>
      <c r="D3388" s="81" t="s">
        <v>264</v>
      </c>
      <c r="E3388" s="81" t="s">
        <v>72</v>
      </c>
      <c r="F3388" s="81" t="s">
        <v>28</v>
      </c>
    </row>
    <row r="3389" spans="1:6" x14ac:dyDescent="0.25">
      <c r="A3389" s="14">
        <v>46149.445833333331</v>
      </c>
      <c r="B3389" s="81" t="s">
        <v>149</v>
      </c>
      <c r="C3389" s="81" t="s">
        <v>181</v>
      </c>
      <c r="D3389" s="81" t="s">
        <v>152</v>
      </c>
      <c r="E3389" s="81" t="s">
        <v>49</v>
      </c>
      <c r="F3389" s="81" t="s">
        <v>2</v>
      </c>
    </row>
    <row r="3390" spans="1:6" x14ac:dyDescent="0.25">
      <c r="A3390" s="14">
        <v>46149.445833333331</v>
      </c>
      <c r="B3390" s="81" t="s">
        <v>149</v>
      </c>
      <c r="C3390" s="81" t="s">
        <v>158</v>
      </c>
      <c r="D3390" s="81" t="s">
        <v>157</v>
      </c>
      <c r="E3390" s="81" t="s">
        <v>50</v>
      </c>
      <c r="F3390" s="81" t="s">
        <v>1</v>
      </c>
    </row>
    <row r="3391" spans="1:6" x14ac:dyDescent="0.25">
      <c r="A3391" s="14">
        <v>46149.445833333331</v>
      </c>
      <c r="B3391" s="81" t="s">
        <v>149</v>
      </c>
      <c r="C3391" s="81" t="s">
        <v>190</v>
      </c>
      <c r="D3391" s="81" t="s">
        <v>242</v>
      </c>
      <c r="E3391" s="81" t="s">
        <v>50</v>
      </c>
      <c r="F3391" s="81" t="s">
        <v>1</v>
      </c>
    </row>
    <row r="3392" spans="1:6" x14ac:dyDescent="0.25">
      <c r="A3392" s="14">
        <v>46149.445833333331</v>
      </c>
      <c r="B3392" s="81" t="s">
        <v>149</v>
      </c>
      <c r="C3392" s="81" t="s">
        <v>173</v>
      </c>
      <c r="D3392" s="81" t="s">
        <v>152</v>
      </c>
      <c r="E3392" s="81" t="s">
        <v>49</v>
      </c>
      <c r="F3392" s="81" t="s">
        <v>2</v>
      </c>
    </row>
    <row r="3393" spans="1:6" x14ac:dyDescent="0.25">
      <c r="A3393" s="14">
        <v>46149.445833333331</v>
      </c>
      <c r="B3393" s="81" t="s">
        <v>149</v>
      </c>
      <c r="C3393" s="81" t="s">
        <v>182</v>
      </c>
      <c r="D3393" s="81" t="s">
        <v>242</v>
      </c>
      <c r="E3393" s="81" t="s">
        <v>50</v>
      </c>
      <c r="F3393" s="81" t="s">
        <v>1</v>
      </c>
    </row>
    <row r="3394" spans="1:6" x14ac:dyDescent="0.25">
      <c r="A3394" s="14">
        <v>46149.445833333331</v>
      </c>
      <c r="B3394" s="81" t="s">
        <v>149</v>
      </c>
      <c r="C3394" s="81" t="s">
        <v>177</v>
      </c>
      <c r="D3394" s="81" t="s">
        <v>152</v>
      </c>
      <c r="E3394" s="81" t="s">
        <v>49</v>
      </c>
      <c r="F3394" s="81" t="s">
        <v>2</v>
      </c>
    </row>
    <row r="3395" spans="1:6" x14ac:dyDescent="0.25">
      <c r="A3395" s="14">
        <v>46149.445833333331</v>
      </c>
      <c r="B3395" s="81" t="s">
        <v>149</v>
      </c>
      <c r="C3395" s="81" t="s">
        <v>190</v>
      </c>
      <c r="D3395" s="81" t="s">
        <v>152</v>
      </c>
      <c r="E3395" s="81" t="s">
        <v>49</v>
      </c>
      <c r="F3395" s="81" t="s">
        <v>2</v>
      </c>
    </row>
    <row r="3396" spans="1:6" x14ac:dyDescent="0.25">
      <c r="A3396" s="14">
        <v>46149.445833333331</v>
      </c>
      <c r="B3396" s="81" t="s">
        <v>149</v>
      </c>
      <c r="C3396" s="81" t="s">
        <v>173</v>
      </c>
      <c r="D3396" s="81" t="s">
        <v>242</v>
      </c>
      <c r="E3396" s="81" t="s">
        <v>50</v>
      </c>
      <c r="F3396" s="81" t="s">
        <v>1</v>
      </c>
    </row>
    <row r="3397" spans="1:6" x14ac:dyDescent="0.25">
      <c r="A3397" s="14">
        <v>46149.445833333331</v>
      </c>
      <c r="B3397" s="81" t="s">
        <v>149</v>
      </c>
      <c r="C3397" s="81" t="s">
        <v>174</v>
      </c>
      <c r="D3397" s="81" t="s">
        <v>152</v>
      </c>
      <c r="E3397" s="81" t="s">
        <v>64</v>
      </c>
      <c r="F3397" s="81" t="s">
        <v>98</v>
      </c>
    </row>
    <row r="3398" spans="1:6" x14ac:dyDescent="0.25">
      <c r="A3398" s="14">
        <v>46149.445833333331</v>
      </c>
      <c r="B3398" s="81" t="s">
        <v>149</v>
      </c>
      <c r="C3398" s="81" t="s">
        <v>190</v>
      </c>
      <c r="D3398" s="81" t="s">
        <v>242</v>
      </c>
      <c r="E3398" s="81" t="s">
        <v>50</v>
      </c>
      <c r="F3398" s="81" t="s">
        <v>1</v>
      </c>
    </row>
    <row r="3399" spans="1:6" x14ac:dyDescent="0.25">
      <c r="A3399" s="14">
        <v>46149.445833333331</v>
      </c>
      <c r="B3399" s="81" t="s">
        <v>149</v>
      </c>
      <c r="C3399" s="81" t="s">
        <v>185</v>
      </c>
      <c r="D3399" s="81" t="s">
        <v>157</v>
      </c>
      <c r="E3399" s="81" t="s">
        <v>50</v>
      </c>
      <c r="F3399" s="81" t="s">
        <v>1</v>
      </c>
    </row>
    <row r="3400" spans="1:6" x14ac:dyDescent="0.25">
      <c r="A3400" s="14">
        <v>46149.445833333331</v>
      </c>
      <c r="B3400" s="81" t="s">
        <v>149</v>
      </c>
      <c r="C3400" s="81" t="s">
        <v>176</v>
      </c>
      <c r="D3400" s="81" t="s">
        <v>242</v>
      </c>
      <c r="E3400" s="81" t="s">
        <v>70</v>
      </c>
      <c r="F3400" s="81" t="s">
        <v>15</v>
      </c>
    </row>
    <row r="3401" spans="1:6" x14ac:dyDescent="0.25">
      <c r="A3401" s="14">
        <v>46149.445833333331</v>
      </c>
      <c r="B3401" s="81" t="s">
        <v>149</v>
      </c>
      <c r="C3401" s="81" t="s">
        <v>184</v>
      </c>
      <c r="D3401" s="81" t="s">
        <v>152</v>
      </c>
      <c r="E3401" s="81" t="s">
        <v>49</v>
      </c>
      <c r="F3401" s="81" t="s">
        <v>2</v>
      </c>
    </row>
    <row r="3402" spans="1:6" x14ac:dyDescent="0.25">
      <c r="A3402" s="14">
        <v>46149.445833333331</v>
      </c>
      <c r="B3402" s="81" t="s">
        <v>149</v>
      </c>
      <c r="C3402" s="81" t="s">
        <v>173</v>
      </c>
      <c r="D3402" s="81" t="s">
        <v>157</v>
      </c>
      <c r="E3402" s="81" t="s">
        <v>50</v>
      </c>
      <c r="F3402" s="81" t="s">
        <v>1</v>
      </c>
    </row>
    <row r="3403" spans="1:6" x14ac:dyDescent="0.25">
      <c r="A3403" s="14">
        <v>46149.445833333331</v>
      </c>
      <c r="B3403" s="81" t="s">
        <v>149</v>
      </c>
      <c r="C3403" s="81" t="s">
        <v>176</v>
      </c>
      <c r="D3403" s="81" t="s">
        <v>242</v>
      </c>
      <c r="E3403" s="81" t="s">
        <v>70</v>
      </c>
      <c r="F3403" s="81" t="s">
        <v>15</v>
      </c>
    </row>
    <row r="3404" spans="1:6" x14ac:dyDescent="0.25">
      <c r="A3404" s="14">
        <v>46149.445833333331</v>
      </c>
      <c r="B3404" s="81" t="s">
        <v>149</v>
      </c>
      <c r="C3404" s="81" t="s">
        <v>203</v>
      </c>
      <c r="D3404" s="81" t="s">
        <v>238</v>
      </c>
      <c r="E3404" s="81" t="s">
        <v>72</v>
      </c>
      <c r="F3404" s="81" t="s">
        <v>28</v>
      </c>
    </row>
    <row r="3405" spans="1:6" x14ac:dyDescent="0.25">
      <c r="A3405" s="14">
        <v>46149.445833333331</v>
      </c>
      <c r="B3405" s="81" t="s">
        <v>149</v>
      </c>
      <c r="C3405" s="81" t="s">
        <v>203</v>
      </c>
      <c r="D3405" s="81" t="s">
        <v>238</v>
      </c>
      <c r="E3405" s="81" t="s">
        <v>72</v>
      </c>
      <c r="F3405" s="81" t="s">
        <v>28</v>
      </c>
    </row>
    <row r="3406" spans="1:6" x14ac:dyDescent="0.25">
      <c r="A3406" s="14">
        <v>46149.445833333331</v>
      </c>
      <c r="B3406" s="81" t="s">
        <v>149</v>
      </c>
      <c r="C3406" s="81" t="s">
        <v>203</v>
      </c>
      <c r="D3406" s="81" t="s">
        <v>238</v>
      </c>
      <c r="E3406" s="81" t="s">
        <v>72</v>
      </c>
      <c r="F3406" s="81" t="s">
        <v>28</v>
      </c>
    </row>
    <row r="3407" spans="1:6" x14ac:dyDescent="0.25">
      <c r="A3407" s="14">
        <v>46149.445833333331</v>
      </c>
      <c r="B3407" s="81" t="s">
        <v>149</v>
      </c>
      <c r="C3407" s="81" t="s">
        <v>171</v>
      </c>
      <c r="D3407" s="81" t="s">
        <v>265</v>
      </c>
      <c r="E3407" s="81" t="s">
        <v>50</v>
      </c>
      <c r="F3407" s="81" t="s">
        <v>1</v>
      </c>
    </row>
    <row r="3408" spans="1:6" x14ac:dyDescent="0.25">
      <c r="A3408" s="14">
        <v>46149.445833333331</v>
      </c>
      <c r="B3408" s="81" t="s">
        <v>149</v>
      </c>
      <c r="C3408" s="81" t="s">
        <v>175</v>
      </c>
      <c r="D3408" s="81" t="s">
        <v>265</v>
      </c>
      <c r="E3408" s="81" t="s">
        <v>50</v>
      </c>
      <c r="F3408" s="81" t="s">
        <v>1</v>
      </c>
    </row>
    <row r="3409" spans="1:6" x14ac:dyDescent="0.25">
      <c r="A3409" s="14">
        <v>46149.445833333331</v>
      </c>
      <c r="B3409" s="81" t="s">
        <v>149</v>
      </c>
      <c r="C3409" s="81" t="s">
        <v>848</v>
      </c>
      <c r="D3409" s="81" t="s">
        <v>238</v>
      </c>
      <c r="E3409" s="81" t="s">
        <v>64</v>
      </c>
      <c r="F3409" s="81" t="s">
        <v>98</v>
      </c>
    </row>
    <row r="3410" spans="1:6" x14ac:dyDescent="0.25">
      <c r="A3410" s="14">
        <v>46149.445833333331</v>
      </c>
      <c r="B3410" s="81" t="s">
        <v>149</v>
      </c>
      <c r="C3410" s="81" t="s">
        <v>184</v>
      </c>
      <c r="D3410" s="81" t="s">
        <v>238</v>
      </c>
      <c r="E3410" s="81" t="s">
        <v>50</v>
      </c>
      <c r="F3410" s="81" t="s">
        <v>1</v>
      </c>
    </row>
    <row r="3411" spans="1:6" x14ac:dyDescent="0.25">
      <c r="A3411" s="14">
        <v>46149.445833333331</v>
      </c>
      <c r="B3411" s="81" t="s">
        <v>149</v>
      </c>
      <c r="C3411" s="81" t="s">
        <v>176</v>
      </c>
      <c r="D3411" s="81" t="s">
        <v>201</v>
      </c>
      <c r="E3411" s="81" t="s">
        <v>70</v>
      </c>
      <c r="F3411" s="81" t="s">
        <v>15</v>
      </c>
    </row>
    <row r="3412" spans="1:6" x14ac:dyDescent="0.25">
      <c r="A3412" s="14">
        <v>46149.445833333331</v>
      </c>
      <c r="B3412" s="81" t="s">
        <v>149</v>
      </c>
      <c r="C3412" s="81" t="s">
        <v>176</v>
      </c>
      <c r="D3412" s="81" t="s">
        <v>201</v>
      </c>
      <c r="E3412" s="81" t="s">
        <v>70</v>
      </c>
      <c r="F3412" s="81" t="s">
        <v>15</v>
      </c>
    </row>
    <row r="3413" spans="1:6" x14ac:dyDescent="0.25">
      <c r="A3413" s="14">
        <v>46149.445833333331</v>
      </c>
      <c r="B3413" s="81" t="s">
        <v>149</v>
      </c>
      <c r="C3413" s="81" t="s">
        <v>187</v>
      </c>
      <c r="D3413" s="81" t="s">
        <v>201</v>
      </c>
      <c r="E3413" s="81" t="s">
        <v>75</v>
      </c>
      <c r="F3413" s="81" t="s">
        <v>93</v>
      </c>
    </row>
    <row r="3414" spans="1:6" x14ac:dyDescent="0.25">
      <c r="A3414" s="14">
        <v>46149.445833333331</v>
      </c>
      <c r="B3414" s="81" t="s">
        <v>149</v>
      </c>
      <c r="C3414" s="81" t="s">
        <v>187</v>
      </c>
      <c r="D3414" s="81" t="s">
        <v>201</v>
      </c>
      <c r="E3414" s="81" t="s">
        <v>75</v>
      </c>
      <c r="F3414" s="81" t="s">
        <v>93</v>
      </c>
    </row>
    <row r="3415" spans="1:6" x14ac:dyDescent="0.25">
      <c r="A3415" s="14">
        <v>46149.445833333331</v>
      </c>
      <c r="B3415" s="81" t="s">
        <v>149</v>
      </c>
      <c r="C3415" s="81" t="s">
        <v>203</v>
      </c>
      <c r="D3415" s="81" t="s">
        <v>268</v>
      </c>
      <c r="E3415" s="81" t="s">
        <v>72</v>
      </c>
      <c r="F3415" s="81" t="s">
        <v>28</v>
      </c>
    </row>
    <row r="3416" spans="1:6" x14ac:dyDescent="0.25">
      <c r="A3416" s="14">
        <v>46149.445833333331</v>
      </c>
      <c r="B3416" s="81" t="s">
        <v>149</v>
      </c>
      <c r="C3416" s="81" t="s">
        <v>203</v>
      </c>
      <c r="D3416" s="81" t="s">
        <v>268</v>
      </c>
      <c r="E3416" s="81" t="s">
        <v>72</v>
      </c>
      <c r="F3416" s="81" t="s">
        <v>28</v>
      </c>
    </row>
    <row r="3417" spans="1:6" x14ac:dyDescent="0.25">
      <c r="A3417" s="14">
        <v>46149.445833333331</v>
      </c>
      <c r="B3417" s="81" t="s">
        <v>149</v>
      </c>
      <c r="C3417" s="81" t="s">
        <v>203</v>
      </c>
      <c r="D3417" s="81" t="s">
        <v>268</v>
      </c>
      <c r="E3417" s="81" t="s">
        <v>72</v>
      </c>
      <c r="F3417" s="81" t="s">
        <v>28</v>
      </c>
    </row>
    <row r="3418" spans="1:6" x14ac:dyDescent="0.25">
      <c r="A3418" s="14">
        <v>46149.445833333331</v>
      </c>
      <c r="B3418" s="81" t="s">
        <v>149</v>
      </c>
      <c r="C3418" s="81" t="s">
        <v>203</v>
      </c>
      <c r="D3418" s="81" t="s">
        <v>150</v>
      </c>
      <c r="E3418" s="81" t="s">
        <v>72</v>
      </c>
      <c r="F3418" s="81" t="s">
        <v>28</v>
      </c>
    </row>
    <row r="3419" spans="1:6" x14ac:dyDescent="0.25">
      <c r="A3419" s="14">
        <v>46149.445833333331</v>
      </c>
      <c r="B3419" s="81" t="s">
        <v>149</v>
      </c>
      <c r="C3419" s="81" t="s">
        <v>203</v>
      </c>
      <c r="D3419" s="81" t="s">
        <v>150</v>
      </c>
      <c r="E3419" s="81" t="s">
        <v>72</v>
      </c>
      <c r="F3419" s="81" t="s">
        <v>28</v>
      </c>
    </row>
    <row r="3420" spans="1:6" x14ac:dyDescent="0.25">
      <c r="A3420" s="14">
        <v>46149.445833333331</v>
      </c>
      <c r="B3420" s="81" t="s">
        <v>149</v>
      </c>
      <c r="C3420" s="81" t="s">
        <v>203</v>
      </c>
      <c r="D3420" s="81" t="s">
        <v>150</v>
      </c>
      <c r="E3420" s="81" t="s">
        <v>72</v>
      </c>
      <c r="F3420" s="81" t="s">
        <v>28</v>
      </c>
    </row>
    <row r="3421" spans="1:6" x14ac:dyDescent="0.25">
      <c r="A3421" s="14">
        <v>46149.445833333331</v>
      </c>
      <c r="B3421" s="81" t="s">
        <v>149</v>
      </c>
      <c r="C3421" s="81" t="s">
        <v>203</v>
      </c>
      <c r="D3421" s="81" t="s">
        <v>156</v>
      </c>
      <c r="E3421" s="81" t="s">
        <v>72</v>
      </c>
      <c r="F3421" s="81" t="s">
        <v>28</v>
      </c>
    </row>
    <row r="3422" spans="1:6" x14ac:dyDescent="0.25">
      <c r="A3422" s="14">
        <v>46149.445833333331</v>
      </c>
      <c r="B3422" s="81" t="s">
        <v>149</v>
      </c>
      <c r="C3422" s="81" t="s">
        <v>203</v>
      </c>
      <c r="D3422" s="81" t="s">
        <v>156</v>
      </c>
      <c r="E3422" s="81" t="s">
        <v>72</v>
      </c>
      <c r="F3422" s="81" t="s">
        <v>28</v>
      </c>
    </row>
    <row r="3423" spans="1:6" x14ac:dyDescent="0.25">
      <c r="A3423" s="14">
        <v>46149.445833333331</v>
      </c>
      <c r="B3423" s="81" t="s">
        <v>149</v>
      </c>
      <c r="C3423" s="81" t="s">
        <v>203</v>
      </c>
      <c r="D3423" s="81" t="s">
        <v>156</v>
      </c>
      <c r="E3423" s="81" t="s">
        <v>72</v>
      </c>
      <c r="F3423" s="81" t="s">
        <v>28</v>
      </c>
    </row>
    <row r="3424" spans="1:6" x14ac:dyDescent="0.25">
      <c r="A3424" s="14">
        <v>46149.445833333331</v>
      </c>
      <c r="B3424" s="81" t="s">
        <v>149</v>
      </c>
      <c r="C3424" s="81" t="s">
        <v>185</v>
      </c>
      <c r="D3424" s="81" t="s">
        <v>253</v>
      </c>
      <c r="E3424" s="81" t="s">
        <v>52</v>
      </c>
      <c r="F3424" s="81" t="s">
        <v>0</v>
      </c>
    </row>
    <row r="3425" spans="1:6" x14ac:dyDescent="0.25">
      <c r="A3425" s="14">
        <v>46149.445833333331</v>
      </c>
      <c r="B3425" s="81" t="s">
        <v>149</v>
      </c>
      <c r="C3425" s="81" t="s">
        <v>187</v>
      </c>
      <c r="D3425" s="81" t="s">
        <v>268</v>
      </c>
      <c r="E3425" s="81" t="s">
        <v>75</v>
      </c>
      <c r="F3425" s="81" t="s">
        <v>93</v>
      </c>
    </row>
    <row r="3426" spans="1:6" x14ac:dyDescent="0.25">
      <c r="A3426" s="14">
        <v>46149.445833333331</v>
      </c>
      <c r="B3426" s="81" t="s">
        <v>149</v>
      </c>
      <c r="C3426" s="81" t="s">
        <v>176</v>
      </c>
      <c r="D3426" s="81" t="s">
        <v>842</v>
      </c>
      <c r="E3426" s="81" t="s">
        <v>70</v>
      </c>
      <c r="F3426" s="81" t="s">
        <v>15</v>
      </c>
    </row>
    <row r="3427" spans="1:6" x14ac:dyDescent="0.25">
      <c r="A3427" s="14">
        <v>46149.445833333331</v>
      </c>
      <c r="B3427" s="81" t="s">
        <v>149</v>
      </c>
      <c r="C3427" s="81" t="s">
        <v>220</v>
      </c>
      <c r="D3427" s="81" t="s">
        <v>238</v>
      </c>
      <c r="E3427" s="81" t="s">
        <v>64</v>
      </c>
      <c r="F3427" s="81" t="s">
        <v>98</v>
      </c>
    </row>
    <row r="3428" spans="1:6" x14ac:dyDescent="0.25">
      <c r="A3428" s="14">
        <v>46149.445833333331</v>
      </c>
      <c r="B3428" s="81" t="s">
        <v>149</v>
      </c>
      <c r="C3428" s="81" t="s">
        <v>158</v>
      </c>
      <c r="D3428" s="81" t="s">
        <v>238</v>
      </c>
      <c r="E3428" s="81" t="s">
        <v>50</v>
      </c>
      <c r="F3428" s="81" t="s">
        <v>1</v>
      </c>
    </row>
    <row r="3429" spans="1:6" x14ac:dyDescent="0.25">
      <c r="A3429" s="14">
        <v>46149.445833333331</v>
      </c>
      <c r="B3429" s="81" t="s">
        <v>149</v>
      </c>
      <c r="C3429" s="81" t="s">
        <v>228</v>
      </c>
      <c r="D3429" s="81" t="s">
        <v>238</v>
      </c>
      <c r="E3429" s="81" t="s">
        <v>64</v>
      </c>
      <c r="F3429" s="81" t="s">
        <v>98</v>
      </c>
    </row>
    <row r="3430" spans="1:6" x14ac:dyDescent="0.25">
      <c r="A3430" s="14">
        <v>46149.445833333331</v>
      </c>
      <c r="B3430" s="81" t="s">
        <v>149</v>
      </c>
      <c r="C3430" s="81" t="s">
        <v>151</v>
      </c>
      <c r="D3430" s="81" t="s">
        <v>238</v>
      </c>
      <c r="E3430" s="81" t="s">
        <v>50</v>
      </c>
      <c r="F3430" s="81" t="s">
        <v>1</v>
      </c>
    </row>
    <row r="3431" spans="1:6" x14ac:dyDescent="0.25">
      <c r="A3431" s="14">
        <v>46149.445833333331</v>
      </c>
      <c r="B3431" s="81" t="s">
        <v>149</v>
      </c>
      <c r="C3431" s="81" t="s">
        <v>173</v>
      </c>
      <c r="D3431" s="81" t="s">
        <v>238</v>
      </c>
      <c r="E3431" s="81" t="s">
        <v>49</v>
      </c>
      <c r="F3431" s="81" t="s">
        <v>2</v>
      </c>
    </row>
    <row r="3432" spans="1:6" x14ac:dyDescent="0.25">
      <c r="A3432" s="14">
        <v>46149.445833333331</v>
      </c>
      <c r="B3432" s="81" t="s">
        <v>149</v>
      </c>
      <c r="C3432" s="81" t="s">
        <v>190</v>
      </c>
      <c r="D3432" s="81" t="s">
        <v>238</v>
      </c>
      <c r="E3432" s="81" t="s">
        <v>50</v>
      </c>
      <c r="F3432" s="81" t="s">
        <v>1</v>
      </c>
    </row>
    <row r="3433" spans="1:6" x14ac:dyDescent="0.25">
      <c r="A3433" s="14">
        <v>46149.445833333331</v>
      </c>
      <c r="B3433" s="81" t="s">
        <v>149</v>
      </c>
      <c r="C3433" s="81" t="s">
        <v>176</v>
      </c>
      <c r="D3433" s="81" t="s">
        <v>254</v>
      </c>
      <c r="E3433" s="81" t="s">
        <v>70</v>
      </c>
      <c r="F3433" s="81" t="s">
        <v>15</v>
      </c>
    </row>
    <row r="3434" spans="1:6" x14ac:dyDescent="0.25">
      <c r="A3434" s="14">
        <v>46149.445833333331</v>
      </c>
      <c r="B3434" s="81" t="s">
        <v>149</v>
      </c>
      <c r="C3434" s="81" t="s">
        <v>176</v>
      </c>
      <c r="D3434" s="81" t="s">
        <v>254</v>
      </c>
      <c r="E3434" s="81" t="s">
        <v>70</v>
      </c>
      <c r="F3434" s="81" t="s">
        <v>15</v>
      </c>
    </row>
    <row r="3435" spans="1:6" x14ac:dyDescent="0.25">
      <c r="A3435" s="14">
        <v>46149.445833333331</v>
      </c>
      <c r="B3435" s="81" t="s">
        <v>149</v>
      </c>
      <c r="C3435" s="81" t="s">
        <v>151</v>
      </c>
      <c r="D3435" s="81" t="s">
        <v>159</v>
      </c>
      <c r="E3435" s="81" t="s">
        <v>50</v>
      </c>
      <c r="F3435" s="81" t="s">
        <v>1</v>
      </c>
    </row>
    <row r="3436" spans="1:6" x14ac:dyDescent="0.25">
      <c r="A3436" s="14">
        <v>46149.445833333331</v>
      </c>
      <c r="B3436" s="81" t="s">
        <v>149</v>
      </c>
      <c r="C3436" s="81" t="s">
        <v>171</v>
      </c>
      <c r="D3436" s="81" t="s">
        <v>159</v>
      </c>
      <c r="E3436" s="81" t="s">
        <v>50</v>
      </c>
      <c r="F3436" s="81" t="s">
        <v>1</v>
      </c>
    </row>
    <row r="3437" spans="1:6" x14ac:dyDescent="0.25">
      <c r="A3437" s="14">
        <v>46149.445833333331</v>
      </c>
      <c r="B3437" s="81" t="s">
        <v>149</v>
      </c>
      <c r="C3437" s="81" t="s">
        <v>181</v>
      </c>
      <c r="D3437" s="81" t="s">
        <v>250</v>
      </c>
      <c r="E3437" s="81" t="s">
        <v>50</v>
      </c>
      <c r="F3437" s="81" t="s">
        <v>1</v>
      </c>
    </row>
    <row r="3438" spans="1:6" x14ac:dyDescent="0.25">
      <c r="A3438" s="14">
        <v>46149.445833333331</v>
      </c>
      <c r="B3438" s="81" t="s">
        <v>149</v>
      </c>
      <c r="C3438" s="81" t="s">
        <v>203</v>
      </c>
      <c r="D3438" s="81" t="s">
        <v>193</v>
      </c>
      <c r="E3438" s="81" t="s">
        <v>72</v>
      </c>
      <c r="F3438" s="81" t="s">
        <v>28</v>
      </c>
    </row>
    <row r="3439" spans="1:6" x14ac:dyDescent="0.25">
      <c r="A3439" s="14">
        <v>46149.445833333331</v>
      </c>
      <c r="B3439" s="81" t="s">
        <v>149</v>
      </c>
      <c r="C3439" s="81" t="s">
        <v>203</v>
      </c>
      <c r="D3439" s="81" t="s">
        <v>193</v>
      </c>
      <c r="E3439" s="81" t="s">
        <v>72</v>
      </c>
      <c r="F3439" s="81" t="s">
        <v>28</v>
      </c>
    </row>
    <row r="3440" spans="1:6" x14ac:dyDescent="0.25">
      <c r="A3440" s="14">
        <v>46149.445833333331</v>
      </c>
      <c r="B3440" s="81" t="s">
        <v>149</v>
      </c>
      <c r="C3440" s="81" t="s">
        <v>203</v>
      </c>
      <c r="D3440" s="81" t="s">
        <v>193</v>
      </c>
      <c r="E3440" s="81" t="s">
        <v>72</v>
      </c>
      <c r="F3440" s="81" t="s">
        <v>28</v>
      </c>
    </row>
    <row r="3441" spans="1:6" x14ac:dyDescent="0.25">
      <c r="A3441" s="14">
        <v>46149.445833333331</v>
      </c>
      <c r="B3441" s="81" t="s">
        <v>149</v>
      </c>
      <c r="C3441" s="81" t="s">
        <v>183</v>
      </c>
      <c r="D3441" s="81" t="s">
        <v>250</v>
      </c>
      <c r="E3441" s="81" t="s">
        <v>52</v>
      </c>
      <c r="F3441" s="81" t="s">
        <v>0</v>
      </c>
    </row>
    <row r="3442" spans="1:6" x14ac:dyDescent="0.25">
      <c r="A3442" s="14">
        <v>46149.445833333331</v>
      </c>
      <c r="B3442" s="81" t="s">
        <v>149</v>
      </c>
      <c r="C3442" s="81" t="s">
        <v>188</v>
      </c>
      <c r="D3442" s="81" t="s">
        <v>156</v>
      </c>
      <c r="E3442" s="81" t="s">
        <v>45</v>
      </c>
      <c r="F3442" s="81" t="s">
        <v>28</v>
      </c>
    </row>
    <row r="3443" spans="1:6" x14ac:dyDescent="0.25">
      <c r="A3443" s="14">
        <v>46149.445833333331</v>
      </c>
      <c r="B3443" s="81" t="s">
        <v>149</v>
      </c>
      <c r="C3443" s="81" t="s">
        <v>189</v>
      </c>
      <c r="D3443" s="81" t="s">
        <v>156</v>
      </c>
      <c r="E3443" s="81" t="s">
        <v>45</v>
      </c>
      <c r="F3443" s="81" t="s">
        <v>28</v>
      </c>
    </row>
    <row r="3444" spans="1:6" x14ac:dyDescent="0.25">
      <c r="A3444" s="14">
        <v>46149.445833333331</v>
      </c>
      <c r="B3444" s="81" t="s">
        <v>149</v>
      </c>
      <c r="C3444" s="81" t="s">
        <v>239</v>
      </c>
      <c r="D3444" s="81" t="s">
        <v>156</v>
      </c>
      <c r="E3444" s="81" t="s">
        <v>45</v>
      </c>
      <c r="F3444" s="81" t="s">
        <v>28</v>
      </c>
    </row>
    <row r="3445" spans="1:6" x14ac:dyDescent="0.25">
      <c r="A3445" s="14">
        <v>46149.445833333331</v>
      </c>
      <c r="B3445" s="81" t="s">
        <v>149</v>
      </c>
      <c r="C3445" s="81" t="s">
        <v>158</v>
      </c>
      <c r="D3445" s="81" t="s">
        <v>193</v>
      </c>
      <c r="E3445" s="81" t="s">
        <v>50</v>
      </c>
      <c r="F3445" s="81" t="s">
        <v>1</v>
      </c>
    </row>
    <row r="3446" spans="1:6" x14ac:dyDescent="0.25">
      <c r="A3446" s="14">
        <v>46149.445833333331</v>
      </c>
      <c r="B3446" s="81" t="s">
        <v>149</v>
      </c>
      <c r="C3446" s="81" t="s">
        <v>173</v>
      </c>
      <c r="D3446" s="81" t="s">
        <v>193</v>
      </c>
      <c r="E3446" s="81" t="s">
        <v>50</v>
      </c>
      <c r="F3446" s="81" t="s">
        <v>1</v>
      </c>
    </row>
    <row r="3447" spans="1:6" x14ac:dyDescent="0.25">
      <c r="A3447" s="14">
        <v>46149.445833333331</v>
      </c>
      <c r="B3447" s="81" t="s">
        <v>149</v>
      </c>
      <c r="C3447" s="81" t="s">
        <v>176</v>
      </c>
      <c r="D3447" s="81" t="s">
        <v>254</v>
      </c>
      <c r="E3447" s="81" t="s">
        <v>70</v>
      </c>
      <c r="F3447" s="81" t="s">
        <v>15</v>
      </c>
    </row>
    <row r="3448" spans="1:6" x14ac:dyDescent="0.25">
      <c r="A3448" s="14">
        <v>46149.445833333331</v>
      </c>
      <c r="B3448" s="81" t="s">
        <v>149</v>
      </c>
      <c r="C3448" s="81" t="s">
        <v>176</v>
      </c>
      <c r="D3448" s="81" t="s">
        <v>254</v>
      </c>
      <c r="E3448" s="81" t="s">
        <v>70</v>
      </c>
      <c r="F3448" s="81" t="s">
        <v>15</v>
      </c>
    </row>
    <row r="3449" spans="1:6" x14ac:dyDescent="0.25">
      <c r="A3449" s="14">
        <v>46149.445833333331</v>
      </c>
      <c r="B3449" s="81" t="s">
        <v>149</v>
      </c>
      <c r="C3449" s="81" t="s">
        <v>151</v>
      </c>
      <c r="D3449" s="81" t="s">
        <v>246</v>
      </c>
      <c r="E3449" s="81" t="s">
        <v>52</v>
      </c>
      <c r="F3449" s="81" t="s">
        <v>0</v>
      </c>
    </row>
    <row r="3450" spans="1:6" x14ac:dyDescent="0.25">
      <c r="A3450" s="14">
        <v>46149.445833333331</v>
      </c>
      <c r="B3450" s="81" t="s">
        <v>149</v>
      </c>
      <c r="C3450" s="81" t="s">
        <v>203</v>
      </c>
      <c r="D3450" s="81" t="s">
        <v>241</v>
      </c>
      <c r="E3450" s="81" t="s">
        <v>72</v>
      </c>
      <c r="F3450" s="81" t="s">
        <v>28</v>
      </c>
    </row>
    <row r="3451" spans="1:6" x14ac:dyDescent="0.25">
      <c r="A3451" s="14">
        <v>46149.445833333331</v>
      </c>
      <c r="B3451" s="81" t="s">
        <v>149</v>
      </c>
      <c r="C3451" s="81" t="s">
        <v>203</v>
      </c>
      <c r="D3451" s="81" t="s">
        <v>241</v>
      </c>
      <c r="E3451" s="81" t="s">
        <v>72</v>
      </c>
      <c r="F3451" s="81" t="s">
        <v>28</v>
      </c>
    </row>
    <row r="3452" spans="1:6" x14ac:dyDescent="0.25">
      <c r="A3452" s="14">
        <v>46149.445833333331</v>
      </c>
      <c r="B3452" s="81" t="s">
        <v>149</v>
      </c>
      <c r="C3452" s="81" t="s">
        <v>203</v>
      </c>
      <c r="D3452" s="81" t="s">
        <v>241</v>
      </c>
      <c r="E3452" s="81" t="s">
        <v>72</v>
      </c>
      <c r="F3452" s="81" t="s">
        <v>28</v>
      </c>
    </row>
    <row r="3453" spans="1:6" x14ac:dyDescent="0.25">
      <c r="A3453" s="14">
        <v>46149.445833333331</v>
      </c>
      <c r="B3453" s="81" t="s">
        <v>149</v>
      </c>
      <c r="C3453" s="81" t="s">
        <v>203</v>
      </c>
      <c r="D3453" s="81" t="s">
        <v>162</v>
      </c>
      <c r="E3453" s="81" t="s">
        <v>72</v>
      </c>
      <c r="F3453" s="81" t="s">
        <v>28</v>
      </c>
    </row>
    <row r="3454" spans="1:6" x14ac:dyDescent="0.25">
      <c r="A3454" s="14">
        <v>46149.445833333331</v>
      </c>
      <c r="B3454" s="81" t="s">
        <v>149</v>
      </c>
      <c r="C3454" s="81" t="s">
        <v>203</v>
      </c>
      <c r="D3454" s="81" t="s">
        <v>162</v>
      </c>
      <c r="E3454" s="81" t="s">
        <v>72</v>
      </c>
      <c r="F3454" s="81" t="s">
        <v>28</v>
      </c>
    </row>
    <row r="3455" spans="1:6" x14ac:dyDescent="0.25">
      <c r="A3455" s="14">
        <v>46149.445833333331</v>
      </c>
      <c r="B3455" s="81" t="s">
        <v>149</v>
      </c>
      <c r="C3455" s="81" t="s">
        <v>203</v>
      </c>
      <c r="D3455" s="81" t="s">
        <v>162</v>
      </c>
      <c r="E3455" s="81" t="s">
        <v>72</v>
      </c>
      <c r="F3455" s="81" t="s">
        <v>28</v>
      </c>
    </row>
    <row r="3456" spans="1:6" x14ac:dyDescent="0.25">
      <c r="A3456" s="14">
        <v>46149.445833333331</v>
      </c>
      <c r="B3456" s="81" t="s">
        <v>149</v>
      </c>
      <c r="C3456" s="81" t="s">
        <v>176</v>
      </c>
      <c r="D3456" s="81" t="s">
        <v>254</v>
      </c>
      <c r="E3456" s="81" t="s">
        <v>237</v>
      </c>
      <c r="F3456" s="81" t="s">
        <v>28</v>
      </c>
    </row>
    <row r="3457" spans="1:6" x14ac:dyDescent="0.25">
      <c r="A3457" s="14">
        <v>46149.445833333331</v>
      </c>
      <c r="B3457" s="81" t="s">
        <v>149</v>
      </c>
      <c r="C3457" s="81" t="s">
        <v>187</v>
      </c>
      <c r="D3457" s="81" t="s">
        <v>167</v>
      </c>
      <c r="E3457" s="81" t="s">
        <v>75</v>
      </c>
      <c r="F3457" s="81" t="s">
        <v>93</v>
      </c>
    </row>
    <row r="3458" spans="1:6" x14ac:dyDescent="0.25">
      <c r="A3458" s="14">
        <v>46149.445833333331</v>
      </c>
      <c r="B3458" s="81" t="s">
        <v>149</v>
      </c>
      <c r="C3458" s="81" t="s">
        <v>187</v>
      </c>
      <c r="D3458" s="81" t="s">
        <v>167</v>
      </c>
      <c r="E3458" s="81" t="s">
        <v>75</v>
      </c>
      <c r="F3458" s="81" t="s">
        <v>93</v>
      </c>
    </row>
    <row r="3459" spans="1:6" x14ac:dyDescent="0.25">
      <c r="A3459" s="14">
        <v>46149.445833333331</v>
      </c>
      <c r="B3459" s="81" t="s">
        <v>149</v>
      </c>
      <c r="C3459" s="81" t="s">
        <v>171</v>
      </c>
      <c r="D3459" s="81" t="s">
        <v>161</v>
      </c>
      <c r="E3459" s="81" t="s">
        <v>50</v>
      </c>
      <c r="F3459" s="81" t="s">
        <v>1</v>
      </c>
    </row>
    <row r="3460" spans="1:6" x14ac:dyDescent="0.25">
      <c r="A3460" s="14">
        <v>46149.445833333331</v>
      </c>
      <c r="B3460" s="81" t="s">
        <v>149</v>
      </c>
      <c r="C3460" s="81" t="s">
        <v>184</v>
      </c>
      <c r="D3460" s="81" t="s">
        <v>162</v>
      </c>
      <c r="E3460" s="81" t="s">
        <v>50</v>
      </c>
      <c r="F3460" s="81" t="s">
        <v>1</v>
      </c>
    </row>
    <row r="3461" spans="1:6" x14ac:dyDescent="0.25">
      <c r="A3461" s="14">
        <v>46149.445833333331</v>
      </c>
      <c r="B3461" s="81" t="s">
        <v>149</v>
      </c>
      <c r="C3461" s="81" t="s">
        <v>173</v>
      </c>
      <c r="D3461" s="81" t="s">
        <v>162</v>
      </c>
      <c r="E3461" s="81" t="s">
        <v>50</v>
      </c>
      <c r="F3461" s="81" t="s">
        <v>1</v>
      </c>
    </row>
    <row r="3462" spans="1:6" x14ac:dyDescent="0.25">
      <c r="A3462" s="14">
        <v>46149.445833333331</v>
      </c>
      <c r="B3462" s="81" t="s">
        <v>149</v>
      </c>
      <c r="C3462" s="81" t="s">
        <v>175</v>
      </c>
      <c r="D3462" s="81" t="s">
        <v>162</v>
      </c>
      <c r="E3462" s="81" t="s">
        <v>49</v>
      </c>
      <c r="F3462" s="81" t="s">
        <v>2</v>
      </c>
    </row>
    <row r="3463" spans="1:6" x14ac:dyDescent="0.25">
      <c r="A3463" s="14">
        <v>46149.445833333331</v>
      </c>
      <c r="B3463" s="81" t="s">
        <v>149</v>
      </c>
      <c r="C3463" s="81" t="s">
        <v>183</v>
      </c>
      <c r="D3463" s="81" t="s">
        <v>162</v>
      </c>
      <c r="E3463" s="81" t="s">
        <v>50</v>
      </c>
      <c r="F3463" s="81" t="s">
        <v>1</v>
      </c>
    </row>
    <row r="3464" spans="1:6" x14ac:dyDescent="0.25">
      <c r="A3464" s="14">
        <v>46149.445833333331</v>
      </c>
      <c r="B3464" s="81" t="s">
        <v>149</v>
      </c>
      <c r="C3464" s="81" t="s">
        <v>158</v>
      </c>
      <c r="D3464" s="81" t="s">
        <v>162</v>
      </c>
      <c r="E3464" s="81" t="s">
        <v>50</v>
      </c>
      <c r="F3464" s="81" t="s">
        <v>1</v>
      </c>
    </row>
    <row r="3465" spans="1:6" x14ac:dyDescent="0.25">
      <c r="A3465" s="14">
        <v>46149.445833333331</v>
      </c>
      <c r="B3465" s="81" t="s">
        <v>149</v>
      </c>
      <c r="C3465" s="81" t="s">
        <v>183</v>
      </c>
      <c r="D3465" s="81" t="s">
        <v>167</v>
      </c>
      <c r="E3465" s="81" t="s">
        <v>50</v>
      </c>
      <c r="F3465" s="81" t="s">
        <v>1</v>
      </c>
    </row>
    <row r="3466" spans="1:6" x14ac:dyDescent="0.25">
      <c r="A3466" s="14">
        <v>46149.445833333331</v>
      </c>
      <c r="B3466" s="81" t="s">
        <v>149</v>
      </c>
      <c r="C3466" s="81" t="s">
        <v>177</v>
      </c>
      <c r="D3466" s="81" t="s">
        <v>162</v>
      </c>
      <c r="E3466" s="81" t="s">
        <v>50</v>
      </c>
      <c r="F3466" s="81" t="s">
        <v>1</v>
      </c>
    </row>
    <row r="3467" spans="1:6" x14ac:dyDescent="0.25">
      <c r="A3467" s="14">
        <v>46149.445833333331</v>
      </c>
      <c r="B3467" s="81" t="s">
        <v>149</v>
      </c>
      <c r="C3467" s="81" t="s">
        <v>181</v>
      </c>
      <c r="D3467" s="81" t="s">
        <v>162</v>
      </c>
      <c r="E3467" s="81" t="s">
        <v>49</v>
      </c>
      <c r="F3467" s="81" t="s">
        <v>2</v>
      </c>
    </row>
    <row r="3468" spans="1:6" x14ac:dyDescent="0.25">
      <c r="A3468" s="14">
        <v>46149.445833333331</v>
      </c>
      <c r="B3468" s="81" t="s">
        <v>149</v>
      </c>
      <c r="C3468" s="81" t="s">
        <v>151</v>
      </c>
      <c r="D3468" s="81" t="s">
        <v>162</v>
      </c>
      <c r="E3468" s="81" t="s">
        <v>50</v>
      </c>
      <c r="F3468" s="81" t="s">
        <v>1</v>
      </c>
    </row>
    <row r="3469" spans="1:6" x14ac:dyDescent="0.25">
      <c r="A3469" s="14">
        <v>46149.445833333331</v>
      </c>
      <c r="B3469" s="81" t="s">
        <v>149</v>
      </c>
      <c r="C3469" s="81" t="s">
        <v>177</v>
      </c>
      <c r="D3469" s="81" t="s">
        <v>161</v>
      </c>
      <c r="E3469" s="81" t="s">
        <v>50</v>
      </c>
      <c r="F3469" s="81" t="s">
        <v>1</v>
      </c>
    </row>
    <row r="3470" spans="1:6" x14ac:dyDescent="0.25">
      <c r="A3470" s="14">
        <v>46149.445833333331</v>
      </c>
      <c r="B3470" s="81" t="s">
        <v>149</v>
      </c>
      <c r="C3470" s="81" t="s">
        <v>184</v>
      </c>
      <c r="D3470" s="81" t="s">
        <v>162</v>
      </c>
      <c r="E3470" s="81" t="s">
        <v>49</v>
      </c>
      <c r="F3470" s="81" t="s">
        <v>2</v>
      </c>
    </row>
    <row r="3471" spans="1:6" x14ac:dyDescent="0.25">
      <c r="A3471" s="14">
        <v>46149.445833333331</v>
      </c>
      <c r="B3471" s="81" t="s">
        <v>149</v>
      </c>
      <c r="C3471" s="81" t="s">
        <v>175</v>
      </c>
      <c r="D3471" s="81" t="s">
        <v>162</v>
      </c>
      <c r="E3471" s="81" t="s">
        <v>50</v>
      </c>
      <c r="F3471" s="81" t="s">
        <v>1</v>
      </c>
    </row>
    <row r="3472" spans="1:6" x14ac:dyDescent="0.25">
      <c r="A3472" s="14">
        <v>46149.445833333331</v>
      </c>
      <c r="B3472" s="81" t="s">
        <v>149</v>
      </c>
      <c r="C3472" s="81" t="s">
        <v>181</v>
      </c>
      <c r="D3472" s="81" t="s">
        <v>162</v>
      </c>
      <c r="E3472" s="81" t="s">
        <v>50</v>
      </c>
      <c r="F3472" s="81" t="s">
        <v>1</v>
      </c>
    </row>
    <row r="3473" spans="1:6" x14ac:dyDescent="0.25">
      <c r="A3473" s="14">
        <v>46149.445833333331</v>
      </c>
      <c r="B3473" s="81" t="s">
        <v>149</v>
      </c>
      <c r="C3473" s="81" t="s">
        <v>190</v>
      </c>
      <c r="D3473" s="81" t="s">
        <v>162</v>
      </c>
      <c r="E3473" s="81" t="s">
        <v>50</v>
      </c>
      <c r="F3473" s="81" t="s">
        <v>1</v>
      </c>
    </row>
    <row r="3474" spans="1:6" x14ac:dyDescent="0.25">
      <c r="A3474" s="14">
        <v>46149.445833333331</v>
      </c>
      <c r="B3474" s="81" t="s">
        <v>149</v>
      </c>
      <c r="C3474" s="81" t="s">
        <v>181</v>
      </c>
      <c r="D3474" s="81" t="s">
        <v>162</v>
      </c>
      <c r="E3474" s="81" t="s">
        <v>50</v>
      </c>
      <c r="F3474" s="81" t="s">
        <v>1</v>
      </c>
    </row>
    <row r="3475" spans="1:6" x14ac:dyDescent="0.25">
      <c r="A3475" s="14">
        <v>46149.445833333331</v>
      </c>
      <c r="B3475" s="81" t="s">
        <v>149</v>
      </c>
      <c r="C3475" s="81" t="s">
        <v>183</v>
      </c>
      <c r="D3475" s="81" t="s">
        <v>162</v>
      </c>
      <c r="E3475" s="81" t="s">
        <v>49</v>
      </c>
      <c r="F3475" s="81" t="s">
        <v>2</v>
      </c>
    </row>
    <row r="3476" spans="1:6" x14ac:dyDescent="0.25">
      <c r="A3476" s="14">
        <v>46149.445833333331</v>
      </c>
      <c r="B3476" s="81" t="s">
        <v>149</v>
      </c>
      <c r="C3476" s="81" t="s">
        <v>171</v>
      </c>
      <c r="D3476" s="81" t="s">
        <v>162</v>
      </c>
      <c r="E3476" s="81" t="s">
        <v>50</v>
      </c>
      <c r="F3476" s="81" t="s">
        <v>1</v>
      </c>
    </row>
    <row r="3477" spans="1:6" x14ac:dyDescent="0.25">
      <c r="A3477" s="14">
        <v>46149.445833333331</v>
      </c>
      <c r="B3477" s="81" t="s">
        <v>149</v>
      </c>
      <c r="C3477" s="81" t="s">
        <v>181</v>
      </c>
      <c r="D3477" s="81" t="s">
        <v>162</v>
      </c>
      <c r="E3477" s="81" t="s">
        <v>50</v>
      </c>
      <c r="F3477" s="81" t="s">
        <v>1</v>
      </c>
    </row>
    <row r="3478" spans="1:6" x14ac:dyDescent="0.25">
      <c r="A3478" s="14">
        <v>46149.445833333331</v>
      </c>
      <c r="B3478" s="81" t="s">
        <v>149</v>
      </c>
      <c r="C3478" s="81" t="s">
        <v>151</v>
      </c>
      <c r="D3478" s="81" t="s">
        <v>162</v>
      </c>
      <c r="E3478" s="81" t="s">
        <v>50</v>
      </c>
      <c r="F3478" s="81" t="s">
        <v>1</v>
      </c>
    </row>
    <row r="3479" spans="1:6" x14ac:dyDescent="0.25">
      <c r="A3479" s="14">
        <v>46149.445833333331</v>
      </c>
      <c r="B3479" s="81" t="s">
        <v>149</v>
      </c>
      <c r="C3479" s="81" t="s">
        <v>184</v>
      </c>
      <c r="D3479" s="81" t="s">
        <v>162</v>
      </c>
      <c r="E3479" s="81" t="s">
        <v>49</v>
      </c>
      <c r="F3479" s="81" t="s">
        <v>2</v>
      </c>
    </row>
    <row r="3480" spans="1:6" x14ac:dyDescent="0.25">
      <c r="A3480" s="14">
        <v>46149.445833333331</v>
      </c>
      <c r="B3480" s="81" t="s">
        <v>149</v>
      </c>
      <c r="C3480" s="81" t="s">
        <v>185</v>
      </c>
      <c r="D3480" s="81" t="s">
        <v>162</v>
      </c>
      <c r="E3480" s="81" t="s">
        <v>50</v>
      </c>
      <c r="F3480" s="81" t="s">
        <v>1</v>
      </c>
    </row>
    <row r="3481" spans="1:6" x14ac:dyDescent="0.25">
      <c r="A3481" s="14">
        <v>46149.445833333331</v>
      </c>
      <c r="B3481" s="81" t="s">
        <v>149</v>
      </c>
      <c r="C3481" s="81" t="s">
        <v>182</v>
      </c>
      <c r="D3481" s="81" t="s">
        <v>162</v>
      </c>
      <c r="E3481" s="81" t="s">
        <v>50</v>
      </c>
      <c r="F3481" s="81" t="s">
        <v>1</v>
      </c>
    </row>
    <row r="3482" spans="1:6" x14ac:dyDescent="0.25">
      <c r="A3482" s="14">
        <v>46149.445833333331</v>
      </c>
      <c r="B3482" s="81" t="s">
        <v>149</v>
      </c>
      <c r="C3482" s="81" t="s">
        <v>175</v>
      </c>
      <c r="D3482" s="81" t="s">
        <v>162</v>
      </c>
      <c r="E3482" s="81" t="s">
        <v>49</v>
      </c>
      <c r="F3482" s="81" t="s">
        <v>2</v>
      </c>
    </row>
    <row r="3483" spans="1:6" x14ac:dyDescent="0.25">
      <c r="A3483" s="14">
        <v>46149.445833333331</v>
      </c>
      <c r="B3483" s="81" t="s">
        <v>149</v>
      </c>
      <c r="C3483" s="81" t="s">
        <v>151</v>
      </c>
      <c r="D3483" s="81" t="s">
        <v>162</v>
      </c>
      <c r="E3483" s="81" t="s">
        <v>49</v>
      </c>
      <c r="F3483" s="81" t="s">
        <v>2</v>
      </c>
    </row>
    <row r="3484" spans="1:6" x14ac:dyDescent="0.25">
      <c r="A3484" s="14">
        <v>46149.445833333331</v>
      </c>
      <c r="B3484" s="81" t="s">
        <v>149</v>
      </c>
      <c r="C3484" s="81" t="s">
        <v>183</v>
      </c>
      <c r="D3484" s="81" t="s">
        <v>162</v>
      </c>
      <c r="E3484" s="81" t="s">
        <v>48</v>
      </c>
      <c r="F3484" s="81" t="s">
        <v>3</v>
      </c>
    </row>
    <row r="3485" spans="1:6" x14ac:dyDescent="0.25">
      <c r="A3485" s="14">
        <v>46149.445833333331</v>
      </c>
      <c r="B3485" s="81" t="s">
        <v>149</v>
      </c>
      <c r="C3485" s="81" t="s">
        <v>151</v>
      </c>
      <c r="D3485" s="81" t="s">
        <v>162</v>
      </c>
      <c r="E3485" s="81" t="s">
        <v>49</v>
      </c>
      <c r="F3485" s="81" t="s">
        <v>2</v>
      </c>
    </row>
    <row r="3486" spans="1:6" x14ac:dyDescent="0.25">
      <c r="A3486" s="14">
        <v>46149.445833333331</v>
      </c>
      <c r="B3486" s="81" t="s">
        <v>149</v>
      </c>
      <c r="C3486" s="81" t="s">
        <v>171</v>
      </c>
      <c r="D3486" s="81" t="s">
        <v>162</v>
      </c>
      <c r="E3486" s="81" t="s">
        <v>50</v>
      </c>
      <c r="F3486" s="81" t="s">
        <v>1</v>
      </c>
    </row>
    <row r="3487" spans="1:6" x14ac:dyDescent="0.25">
      <c r="A3487" s="14">
        <v>46149.445833333331</v>
      </c>
      <c r="B3487" s="81" t="s">
        <v>149</v>
      </c>
      <c r="C3487" s="81" t="s">
        <v>183</v>
      </c>
      <c r="D3487" s="81" t="s">
        <v>162</v>
      </c>
      <c r="E3487" s="81" t="s">
        <v>50</v>
      </c>
      <c r="F3487" s="81" t="s">
        <v>1</v>
      </c>
    </row>
    <row r="3488" spans="1:6" x14ac:dyDescent="0.25">
      <c r="A3488" s="14">
        <v>46149.445833333331</v>
      </c>
      <c r="B3488" s="81" t="s">
        <v>149</v>
      </c>
      <c r="C3488" s="81" t="s">
        <v>173</v>
      </c>
      <c r="D3488" s="81" t="s">
        <v>162</v>
      </c>
      <c r="E3488" s="81" t="s">
        <v>49</v>
      </c>
      <c r="F3488" s="81" t="s">
        <v>2</v>
      </c>
    </row>
    <row r="3489" spans="1:6" x14ac:dyDescent="0.25">
      <c r="A3489" s="14">
        <v>46149.445833333331</v>
      </c>
      <c r="B3489" s="81" t="s">
        <v>149</v>
      </c>
      <c r="C3489" s="81" t="s">
        <v>173</v>
      </c>
      <c r="D3489" s="81" t="s">
        <v>162</v>
      </c>
      <c r="E3489" s="81" t="s">
        <v>49</v>
      </c>
      <c r="F3489" s="81" t="s">
        <v>2</v>
      </c>
    </row>
    <row r="3490" spans="1:6" x14ac:dyDescent="0.25">
      <c r="A3490" s="14">
        <v>46149.445833333331</v>
      </c>
      <c r="B3490" s="81" t="s">
        <v>149</v>
      </c>
      <c r="C3490" s="81" t="s">
        <v>181</v>
      </c>
      <c r="D3490" s="81" t="s">
        <v>162</v>
      </c>
      <c r="E3490" s="81" t="s">
        <v>49</v>
      </c>
      <c r="F3490" s="81" t="s">
        <v>2</v>
      </c>
    </row>
    <row r="3491" spans="1:6" x14ac:dyDescent="0.25">
      <c r="A3491" s="14">
        <v>46149.445833333331</v>
      </c>
      <c r="B3491" s="81" t="s">
        <v>149</v>
      </c>
      <c r="C3491" s="81" t="s">
        <v>203</v>
      </c>
      <c r="D3491" s="81" t="s">
        <v>212</v>
      </c>
      <c r="E3491" s="81" t="s">
        <v>72</v>
      </c>
      <c r="F3491" s="81" t="s">
        <v>28</v>
      </c>
    </row>
    <row r="3492" spans="1:6" x14ac:dyDescent="0.25">
      <c r="A3492" s="14">
        <v>46149.445833333331</v>
      </c>
      <c r="B3492" s="81" t="s">
        <v>149</v>
      </c>
      <c r="C3492" s="81" t="s">
        <v>203</v>
      </c>
      <c r="D3492" s="81" t="s">
        <v>212</v>
      </c>
      <c r="E3492" s="81" t="s">
        <v>72</v>
      </c>
      <c r="F3492" s="81" t="s">
        <v>28</v>
      </c>
    </row>
    <row r="3493" spans="1:6" x14ac:dyDescent="0.25">
      <c r="A3493" s="14">
        <v>46149.445833333331</v>
      </c>
      <c r="B3493" s="81" t="s">
        <v>149</v>
      </c>
      <c r="C3493" s="81" t="s">
        <v>203</v>
      </c>
      <c r="D3493" s="81" t="s">
        <v>212</v>
      </c>
      <c r="E3493" s="81" t="s">
        <v>72</v>
      </c>
      <c r="F3493" s="81" t="s">
        <v>28</v>
      </c>
    </row>
    <row r="3494" spans="1:6" x14ac:dyDescent="0.25">
      <c r="A3494" s="14">
        <v>46149.445833333331</v>
      </c>
      <c r="B3494" s="81" t="s">
        <v>149</v>
      </c>
      <c r="C3494" s="81" t="s">
        <v>183</v>
      </c>
      <c r="D3494" s="81" t="s">
        <v>221</v>
      </c>
      <c r="E3494" s="81" t="s">
        <v>52</v>
      </c>
      <c r="F3494" s="81" t="s">
        <v>0</v>
      </c>
    </row>
    <row r="3495" spans="1:6" x14ac:dyDescent="0.25">
      <c r="A3495" s="14">
        <v>46149.445833333331</v>
      </c>
      <c r="B3495" s="81" t="s">
        <v>149</v>
      </c>
      <c r="C3495" s="81" t="s">
        <v>177</v>
      </c>
      <c r="D3495" s="81" t="s">
        <v>221</v>
      </c>
      <c r="E3495" s="81" t="s">
        <v>49</v>
      </c>
      <c r="F3495" s="81" t="s">
        <v>2</v>
      </c>
    </row>
    <row r="3496" spans="1:6" x14ac:dyDescent="0.25">
      <c r="A3496" s="14">
        <v>46149.445833333331</v>
      </c>
      <c r="B3496" s="81" t="s">
        <v>149</v>
      </c>
      <c r="C3496" s="81" t="s">
        <v>218</v>
      </c>
      <c r="D3496" s="81" t="s">
        <v>236</v>
      </c>
      <c r="E3496" s="81" t="s">
        <v>64</v>
      </c>
      <c r="F3496" s="81" t="s">
        <v>98</v>
      </c>
    </row>
    <row r="3497" spans="1:6" x14ac:dyDescent="0.25">
      <c r="A3497" s="14">
        <v>46149.445833333331</v>
      </c>
      <c r="B3497" s="81" t="s">
        <v>149</v>
      </c>
      <c r="C3497" s="81" t="s">
        <v>181</v>
      </c>
      <c r="D3497" s="81" t="s">
        <v>221</v>
      </c>
      <c r="E3497" s="81" t="s">
        <v>49</v>
      </c>
      <c r="F3497" s="81" t="s">
        <v>2</v>
      </c>
    </row>
    <row r="3498" spans="1:6" x14ac:dyDescent="0.25">
      <c r="A3498" s="14">
        <v>46149.445833333331</v>
      </c>
      <c r="B3498" s="81" t="s">
        <v>149</v>
      </c>
      <c r="C3498" s="81" t="s">
        <v>203</v>
      </c>
      <c r="D3498" s="81" t="s">
        <v>153</v>
      </c>
      <c r="E3498" s="81" t="s">
        <v>72</v>
      </c>
      <c r="F3498" s="81" t="s">
        <v>28</v>
      </c>
    </row>
    <row r="3499" spans="1:6" x14ac:dyDescent="0.25">
      <c r="A3499" s="14">
        <v>46149.445833333331</v>
      </c>
      <c r="B3499" s="81" t="s">
        <v>149</v>
      </c>
      <c r="C3499" s="81" t="s">
        <v>203</v>
      </c>
      <c r="D3499" s="81" t="s">
        <v>153</v>
      </c>
      <c r="E3499" s="81" t="s">
        <v>72</v>
      </c>
      <c r="F3499" s="81" t="s">
        <v>28</v>
      </c>
    </row>
    <row r="3500" spans="1:6" x14ac:dyDescent="0.25">
      <c r="A3500" s="14">
        <v>46149.445833333331</v>
      </c>
      <c r="B3500" s="81" t="s">
        <v>149</v>
      </c>
      <c r="C3500" s="81" t="s">
        <v>203</v>
      </c>
      <c r="D3500" s="81" t="s">
        <v>153</v>
      </c>
      <c r="E3500" s="81" t="s">
        <v>72</v>
      </c>
      <c r="F3500" s="81" t="s">
        <v>28</v>
      </c>
    </row>
    <row r="3501" spans="1:6" x14ac:dyDescent="0.25">
      <c r="A3501" s="14">
        <v>46149.445833333331</v>
      </c>
      <c r="B3501" s="81" t="s">
        <v>149</v>
      </c>
      <c r="C3501" s="81" t="s">
        <v>181</v>
      </c>
      <c r="D3501" s="81" t="s">
        <v>254</v>
      </c>
      <c r="E3501" s="81" t="s">
        <v>49</v>
      </c>
      <c r="F3501" s="81" t="s">
        <v>2</v>
      </c>
    </row>
    <row r="3502" spans="1:6" x14ac:dyDescent="0.25">
      <c r="A3502" s="14">
        <v>46149.445833333331</v>
      </c>
      <c r="B3502" s="81" t="s">
        <v>149</v>
      </c>
      <c r="C3502" s="81" t="s">
        <v>183</v>
      </c>
      <c r="D3502" s="81" t="s">
        <v>257</v>
      </c>
      <c r="E3502" s="81" t="s">
        <v>52</v>
      </c>
      <c r="F3502" s="81" t="s">
        <v>0</v>
      </c>
    </row>
    <row r="3503" spans="1:6" x14ac:dyDescent="0.25">
      <c r="A3503" s="14">
        <v>46149.445833333331</v>
      </c>
      <c r="B3503" s="81" t="s">
        <v>149</v>
      </c>
      <c r="C3503" s="81" t="s">
        <v>173</v>
      </c>
      <c r="D3503" s="81" t="s">
        <v>257</v>
      </c>
      <c r="E3503" s="81" t="s">
        <v>52</v>
      </c>
      <c r="F3503" s="81" t="s">
        <v>0</v>
      </c>
    </row>
    <row r="3504" spans="1:6" x14ac:dyDescent="0.25">
      <c r="A3504" s="14">
        <v>46149.445833333331</v>
      </c>
      <c r="B3504" s="81" t="s">
        <v>149</v>
      </c>
      <c r="C3504" s="81" t="s">
        <v>176</v>
      </c>
      <c r="D3504" s="81" t="s">
        <v>261</v>
      </c>
      <c r="E3504" s="81" t="s">
        <v>70</v>
      </c>
      <c r="F3504" s="81" t="s">
        <v>15</v>
      </c>
    </row>
    <row r="3505" spans="1:6" x14ac:dyDescent="0.25">
      <c r="A3505" s="14">
        <v>46149.445833333331</v>
      </c>
      <c r="B3505" s="81" t="s">
        <v>149</v>
      </c>
      <c r="C3505" s="81" t="s">
        <v>183</v>
      </c>
      <c r="D3505" s="81" t="s">
        <v>257</v>
      </c>
      <c r="E3505" s="81" t="s">
        <v>52</v>
      </c>
      <c r="F3505" s="81" t="s">
        <v>0</v>
      </c>
    </row>
    <row r="3506" spans="1:6" x14ac:dyDescent="0.25">
      <c r="A3506" s="14">
        <v>46149.445833333331</v>
      </c>
      <c r="B3506" s="81" t="s">
        <v>149</v>
      </c>
      <c r="C3506" s="81" t="s">
        <v>190</v>
      </c>
      <c r="D3506" s="81" t="s">
        <v>254</v>
      </c>
      <c r="E3506" s="81" t="s">
        <v>49</v>
      </c>
      <c r="F3506" s="81" t="s">
        <v>2</v>
      </c>
    </row>
    <row r="3507" spans="1:6" x14ac:dyDescent="0.25">
      <c r="A3507" s="14">
        <v>46149.445833333331</v>
      </c>
      <c r="B3507" s="81" t="s">
        <v>149</v>
      </c>
      <c r="C3507" s="81" t="s">
        <v>173</v>
      </c>
      <c r="D3507" s="81" t="s">
        <v>257</v>
      </c>
      <c r="E3507" s="81" t="s">
        <v>52</v>
      </c>
      <c r="F3507" s="81" t="s">
        <v>0</v>
      </c>
    </row>
    <row r="3508" spans="1:6" x14ac:dyDescent="0.25">
      <c r="A3508" s="14">
        <v>46149.445833333331</v>
      </c>
      <c r="B3508" s="81" t="s">
        <v>149</v>
      </c>
      <c r="C3508" s="81" t="s">
        <v>171</v>
      </c>
      <c r="D3508" s="81" t="s">
        <v>257</v>
      </c>
      <c r="E3508" s="81" t="s">
        <v>52</v>
      </c>
      <c r="F3508" s="81" t="s">
        <v>0</v>
      </c>
    </row>
    <row r="3509" spans="1:6" x14ac:dyDescent="0.25">
      <c r="A3509" s="14">
        <v>46149.445833333331</v>
      </c>
      <c r="B3509" s="81" t="s">
        <v>149</v>
      </c>
      <c r="C3509" s="81" t="s">
        <v>173</v>
      </c>
      <c r="D3509" s="81" t="s">
        <v>257</v>
      </c>
      <c r="E3509" s="81" t="s">
        <v>52</v>
      </c>
      <c r="F3509" s="81" t="s">
        <v>0</v>
      </c>
    </row>
    <row r="3510" spans="1:6" x14ac:dyDescent="0.25">
      <c r="A3510" s="14">
        <v>46149.445833333331</v>
      </c>
      <c r="B3510" s="81" t="s">
        <v>149</v>
      </c>
      <c r="C3510" s="81" t="s">
        <v>151</v>
      </c>
      <c r="D3510" s="81" t="s">
        <v>152</v>
      </c>
      <c r="E3510" s="81" t="s">
        <v>49</v>
      </c>
      <c r="F3510" s="81" t="s">
        <v>2</v>
      </c>
    </row>
    <row r="3511" spans="1:6" x14ac:dyDescent="0.25">
      <c r="A3511" s="14">
        <v>46149.445833333331</v>
      </c>
      <c r="B3511" s="81" t="s">
        <v>149</v>
      </c>
      <c r="C3511" s="81" t="s">
        <v>177</v>
      </c>
      <c r="D3511" s="81" t="s">
        <v>152</v>
      </c>
      <c r="E3511" s="81" t="s">
        <v>49</v>
      </c>
      <c r="F3511" s="81" t="s">
        <v>2</v>
      </c>
    </row>
    <row r="3512" spans="1:6" x14ac:dyDescent="0.25">
      <c r="A3512" s="14">
        <v>46149.445833333331</v>
      </c>
      <c r="B3512" s="81" t="s">
        <v>149</v>
      </c>
      <c r="C3512" s="81" t="s">
        <v>178</v>
      </c>
      <c r="D3512" s="81" t="s">
        <v>238</v>
      </c>
      <c r="E3512" s="81" t="s">
        <v>137</v>
      </c>
      <c r="F3512" s="81" t="s">
        <v>28</v>
      </c>
    </row>
    <row r="3513" spans="1:6" x14ac:dyDescent="0.25">
      <c r="A3513" s="14">
        <v>46149.445833333331</v>
      </c>
      <c r="B3513" s="81" t="s">
        <v>149</v>
      </c>
      <c r="C3513" s="81" t="s">
        <v>181</v>
      </c>
      <c r="D3513" s="81" t="s">
        <v>152</v>
      </c>
      <c r="E3513" s="81" t="s">
        <v>49</v>
      </c>
      <c r="F3513" s="81" t="s">
        <v>2</v>
      </c>
    </row>
    <row r="3514" spans="1:6" x14ac:dyDescent="0.25">
      <c r="A3514" s="14">
        <v>46149.445833333331</v>
      </c>
      <c r="B3514" s="81" t="s">
        <v>149</v>
      </c>
      <c r="C3514" s="81" t="s">
        <v>175</v>
      </c>
      <c r="D3514" s="81" t="s">
        <v>152</v>
      </c>
      <c r="E3514" s="81" t="s">
        <v>49</v>
      </c>
      <c r="F3514" s="81" t="s">
        <v>2</v>
      </c>
    </row>
    <row r="3515" spans="1:6" x14ac:dyDescent="0.25">
      <c r="A3515" s="14">
        <v>46149.445833333331</v>
      </c>
      <c r="B3515" s="81" t="s">
        <v>149</v>
      </c>
      <c r="C3515" s="81" t="s">
        <v>181</v>
      </c>
      <c r="D3515" s="81" t="s">
        <v>261</v>
      </c>
      <c r="E3515" s="81" t="s">
        <v>52</v>
      </c>
      <c r="F3515" s="81" t="s">
        <v>0</v>
      </c>
    </row>
    <row r="3516" spans="1:6" x14ac:dyDescent="0.25">
      <c r="A3516" s="14">
        <v>46149.445833333331</v>
      </c>
      <c r="B3516" s="81" t="s">
        <v>149</v>
      </c>
      <c r="C3516" s="81" t="s">
        <v>158</v>
      </c>
      <c r="D3516" s="81" t="s">
        <v>238</v>
      </c>
      <c r="E3516" s="81" t="s">
        <v>49</v>
      </c>
      <c r="F3516" s="81" t="s">
        <v>2</v>
      </c>
    </row>
    <row r="3517" spans="1:6" x14ac:dyDescent="0.25">
      <c r="A3517" s="14">
        <v>46149.445833333331</v>
      </c>
      <c r="B3517" s="81" t="s">
        <v>149</v>
      </c>
      <c r="C3517" s="81" t="s">
        <v>184</v>
      </c>
      <c r="D3517" s="81" t="s">
        <v>152</v>
      </c>
      <c r="E3517" s="81" t="s">
        <v>49</v>
      </c>
      <c r="F3517" s="81" t="s">
        <v>2</v>
      </c>
    </row>
    <row r="3518" spans="1:6" x14ac:dyDescent="0.25">
      <c r="A3518" s="14">
        <v>46149.445833333331</v>
      </c>
      <c r="B3518" s="81" t="s">
        <v>149</v>
      </c>
      <c r="C3518" s="81" t="s">
        <v>173</v>
      </c>
      <c r="D3518" s="81" t="s">
        <v>238</v>
      </c>
      <c r="E3518" s="81" t="s">
        <v>50</v>
      </c>
      <c r="F3518" s="81" t="s">
        <v>1</v>
      </c>
    </row>
    <row r="3519" spans="1:6" x14ac:dyDescent="0.25">
      <c r="A3519" s="14">
        <v>46149.445833333331</v>
      </c>
      <c r="B3519" s="81" t="s">
        <v>149</v>
      </c>
      <c r="C3519" s="81" t="s">
        <v>183</v>
      </c>
      <c r="D3519" s="81" t="s">
        <v>238</v>
      </c>
      <c r="E3519" s="81" t="s">
        <v>50</v>
      </c>
      <c r="F3519" s="81" t="s">
        <v>1</v>
      </c>
    </row>
    <row r="3520" spans="1:6" x14ac:dyDescent="0.25">
      <c r="A3520" s="14">
        <v>46149.445833333331</v>
      </c>
      <c r="B3520" s="81" t="s">
        <v>149</v>
      </c>
      <c r="C3520" s="81" t="s">
        <v>171</v>
      </c>
      <c r="D3520" s="81" t="s">
        <v>238</v>
      </c>
      <c r="E3520" s="81" t="s">
        <v>49</v>
      </c>
      <c r="F3520" s="81" t="s">
        <v>2</v>
      </c>
    </row>
    <row r="3521" spans="1:6" x14ac:dyDescent="0.25">
      <c r="A3521" s="14">
        <v>46149.445833333331</v>
      </c>
      <c r="B3521" s="81" t="s">
        <v>149</v>
      </c>
      <c r="C3521" s="81" t="s">
        <v>192</v>
      </c>
      <c r="D3521" s="81" t="s">
        <v>261</v>
      </c>
      <c r="E3521" s="81" t="s">
        <v>60</v>
      </c>
      <c r="F3521" s="81" t="s">
        <v>28</v>
      </c>
    </row>
    <row r="3522" spans="1:6" x14ac:dyDescent="0.25">
      <c r="A3522" s="14">
        <v>46149.445833333331</v>
      </c>
      <c r="B3522" s="81" t="s">
        <v>149</v>
      </c>
      <c r="C3522" s="81" t="s">
        <v>184</v>
      </c>
      <c r="D3522" s="81" t="s">
        <v>153</v>
      </c>
      <c r="E3522" s="81" t="s">
        <v>50</v>
      </c>
      <c r="F3522" s="81" t="s">
        <v>1</v>
      </c>
    </row>
    <row r="3523" spans="1:6" x14ac:dyDescent="0.25">
      <c r="A3523" s="14">
        <v>46149.445833333331</v>
      </c>
      <c r="B3523" s="81" t="s">
        <v>149</v>
      </c>
      <c r="C3523" s="81" t="s">
        <v>183</v>
      </c>
      <c r="D3523" s="81" t="s">
        <v>153</v>
      </c>
      <c r="E3523" s="81" t="s">
        <v>52</v>
      </c>
      <c r="F3523" s="81" t="s">
        <v>0</v>
      </c>
    </row>
    <row r="3524" spans="1:6" x14ac:dyDescent="0.25">
      <c r="A3524" s="14">
        <v>46149.445833333331</v>
      </c>
      <c r="B3524" s="81" t="s">
        <v>149</v>
      </c>
      <c r="C3524" s="81" t="s">
        <v>185</v>
      </c>
      <c r="D3524" s="81" t="s">
        <v>153</v>
      </c>
      <c r="E3524" s="81" t="s">
        <v>52</v>
      </c>
      <c r="F3524" s="81" t="s">
        <v>0</v>
      </c>
    </row>
    <row r="3525" spans="1:6" x14ac:dyDescent="0.25">
      <c r="A3525" s="14">
        <v>46149.445833333331</v>
      </c>
      <c r="B3525" s="81" t="s">
        <v>149</v>
      </c>
      <c r="C3525" s="81" t="s">
        <v>171</v>
      </c>
      <c r="D3525" s="81" t="s">
        <v>153</v>
      </c>
      <c r="E3525" s="81" t="s">
        <v>52</v>
      </c>
      <c r="F3525" s="81" t="s">
        <v>0</v>
      </c>
    </row>
    <row r="3526" spans="1:6" x14ac:dyDescent="0.25">
      <c r="A3526" s="14">
        <v>46149.445833333331</v>
      </c>
      <c r="B3526" s="81" t="s">
        <v>149</v>
      </c>
      <c r="C3526" s="81" t="s">
        <v>185</v>
      </c>
      <c r="D3526" s="81" t="s">
        <v>153</v>
      </c>
      <c r="E3526" s="81" t="s">
        <v>52</v>
      </c>
      <c r="F3526" s="81" t="s">
        <v>0</v>
      </c>
    </row>
    <row r="3527" spans="1:6" x14ac:dyDescent="0.25">
      <c r="A3527" s="14">
        <v>46149.445833333331</v>
      </c>
      <c r="B3527" s="81" t="s">
        <v>149</v>
      </c>
      <c r="C3527" s="81" t="s">
        <v>158</v>
      </c>
      <c r="D3527" s="81" t="s">
        <v>153</v>
      </c>
      <c r="E3527" s="81" t="s">
        <v>50</v>
      </c>
      <c r="F3527" s="81" t="s">
        <v>1</v>
      </c>
    </row>
    <row r="3528" spans="1:6" x14ac:dyDescent="0.25">
      <c r="A3528" s="14">
        <v>46149.445833333331</v>
      </c>
      <c r="B3528" s="81" t="s">
        <v>149</v>
      </c>
      <c r="C3528" s="81" t="s">
        <v>174</v>
      </c>
      <c r="D3528" s="81" t="s">
        <v>152</v>
      </c>
      <c r="E3528" s="81" t="s">
        <v>64</v>
      </c>
      <c r="F3528" s="81" t="s">
        <v>98</v>
      </c>
    </row>
    <row r="3529" spans="1:6" x14ac:dyDescent="0.25">
      <c r="A3529" s="14">
        <v>46149.445833333331</v>
      </c>
      <c r="B3529" s="81" t="s">
        <v>149</v>
      </c>
      <c r="C3529" s="81" t="s">
        <v>203</v>
      </c>
      <c r="D3529" s="81" t="s">
        <v>251</v>
      </c>
      <c r="E3529" s="81" t="s">
        <v>72</v>
      </c>
      <c r="F3529" s="81" t="s">
        <v>28</v>
      </c>
    </row>
    <row r="3530" spans="1:6" x14ac:dyDescent="0.25">
      <c r="A3530" s="14">
        <v>46149.445833333331</v>
      </c>
      <c r="B3530" s="81" t="s">
        <v>149</v>
      </c>
      <c r="C3530" s="81" t="s">
        <v>203</v>
      </c>
      <c r="D3530" s="81" t="s">
        <v>251</v>
      </c>
      <c r="E3530" s="81" t="s">
        <v>72</v>
      </c>
      <c r="F3530" s="81" t="s">
        <v>28</v>
      </c>
    </row>
    <row r="3531" spans="1:6" x14ac:dyDescent="0.25">
      <c r="A3531" s="14">
        <v>46149.445833333331</v>
      </c>
      <c r="B3531" s="81" t="s">
        <v>149</v>
      </c>
      <c r="C3531" s="81" t="s">
        <v>203</v>
      </c>
      <c r="D3531" s="81" t="s">
        <v>251</v>
      </c>
      <c r="E3531" s="81" t="s">
        <v>72</v>
      </c>
      <c r="F3531" s="81" t="s">
        <v>28</v>
      </c>
    </row>
    <row r="3532" spans="1:6" x14ac:dyDescent="0.25">
      <c r="A3532" s="14">
        <v>46149.445833333331</v>
      </c>
      <c r="B3532" s="81" t="s">
        <v>149</v>
      </c>
      <c r="C3532" s="81" t="s">
        <v>173</v>
      </c>
      <c r="D3532" s="81" t="s">
        <v>152</v>
      </c>
      <c r="E3532" s="81" t="s">
        <v>49</v>
      </c>
      <c r="F3532" s="81" t="s">
        <v>2</v>
      </c>
    </row>
    <row r="3533" spans="1:6" x14ac:dyDescent="0.25">
      <c r="A3533" s="14">
        <v>46149.445833333331</v>
      </c>
      <c r="B3533" s="81" t="s">
        <v>149</v>
      </c>
      <c r="C3533" s="81" t="s">
        <v>185</v>
      </c>
      <c r="D3533" s="81" t="s">
        <v>153</v>
      </c>
      <c r="E3533" s="81" t="s">
        <v>49</v>
      </c>
      <c r="F3533" s="81" t="s">
        <v>2</v>
      </c>
    </row>
    <row r="3534" spans="1:6" x14ac:dyDescent="0.25">
      <c r="A3534" s="14">
        <v>46149.445833333331</v>
      </c>
      <c r="B3534" s="81" t="s">
        <v>149</v>
      </c>
      <c r="C3534" s="81" t="s">
        <v>171</v>
      </c>
      <c r="D3534" s="81" t="s">
        <v>153</v>
      </c>
      <c r="E3534" s="81" t="s">
        <v>50</v>
      </c>
      <c r="F3534" s="81" t="s">
        <v>1</v>
      </c>
    </row>
    <row r="3535" spans="1:6" x14ac:dyDescent="0.25">
      <c r="A3535" s="14">
        <v>46149.445833333331</v>
      </c>
      <c r="B3535" s="81" t="s">
        <v>149</v>
      </c>
      <c r="C3535" s="81" t="s">
        <v>171</v>
      </c>
      <c r="D3535" s="81" t="s">
        <v>157</v>
      </c>
      <c r="E3535" s="81" t="s">
        <v>50</v>
      </c>
      <c r="F3535" s="81" t="s">
        <v>1</v>
      </c>
    </row>
    <row r="3536" spans="1:6" x14ac:dyDescent="0.25">
      <c r="A3536" s="14">
        <v>46149.445833333331</v>
      </c>
      <c r="B3536" s="81" t="s">
        <v>149</v>
      </c>
      <c r="C3536" s="81" t="s">
        <v>182</v>
      </c>
      <c r="D3536" s="81" t="s">
        <v>157</v>
      </c>
      <c r="E3536" s="81" t="s">
        <v>50</v>
      </c>
      <c r="F3536" s="81" t="s">
        <v>1</v>
      </c>
    </row>
    <row r="3537" spans="1:6" x14ac:dyDescent="0.25">
      <c r="A3537" s="14">
        <v>46149.445833333331</v>
      </c>
      <c r="B3537" s="81" t="s">
        <v>149</v>
      </c>
      <c r="C3537" s="81" t="s">
        <v>183</v>
      </c>
      <c r="D3537" s="81" t="s">
        <v>157</v>
      </c>
      <c r="E3537" s="81" t="s">
        <v>50</v>
      </c>
      <c r="F3537" s="81" t="s">
        <v>1</v>
      </c>
    </row>
    <row r="3538" spans="1:6" x14ac:dyDescent="0.25">
      <c r="A3538" s="14">
        <v>46149.445833333331</v>
      </c>
      <c r="B3538" s="81" t="s">
        <v>149</v>
      </c>
      <c r="C3538" s="81" t="s">
        <v>173</v>
      </c>
      <c r="D3538" s="81" t="s">
        <v>157</v>
      </c>
      <c r="E3538" s="81" t="s">
        <v>50</v>
      </c>
      <c r="F3538" s="81" t="s">
        <v>1</v>
      </c>
    </row>
    <row r="3539" spans="1:6" x14ac:dyDescent="0.25">
      <c r="A3539" s="14">
        <v>46149.445833333331</v>
      </c>
      <c r="B3539" s="81" t="s">
        <v>149</v>
      </c>
      <c r="C3539" s="81" t="s">
        <v>151</v>
      </c>
      <c r="D3539" s="81" t="s">
        <v>165</v>
      </c>
      <c r="E3539" s="81" t="s">
        <v>50</v>
      </c>
      <c r="F3539" s="81" t="s">
        <v>1</v>
      </c>
    </row>
    <row r="3540" spans="1:6" x14ac:dyDescent="0.25">
      <c r="A3540" s="14">
        <v>46149.445833333331</v>
      </c>
      <c r="B3540" s="81" t="s">
        <v>149</v>
      </c>
      <c r="C3540" s="81" t="s">
        <v>203</v>
      </c>
      <c r="D3540" s="81" t="s">
        <v>204</v>
      </c>
      <c r="E3540" s="81" t="s">
        <v>72</v>
      </c>
      <c r="F3540" s="81" t="s">
        <v>28</v>
      </c>
    </row>
    <row r="3541" spans="1:6" x14ac:dyDescent="0.25">
      <c r="A3541" s="14">
        <v>46149.445833333331</v>
      </c>
      <c r="B3541" s="81" t="s">
        <v>149</v>
      </c>
      <c r="C3541" s="81" t="s">
        <v>203</v>
      </c>
      <c r="D3541" s="81" t="s">
        <v>204</v>
      </c>
      <c r="E3541" s="81" t="s">
        <v>72</v>
      </c>
      <c r="F3541" s="81" t="s">
        <v>28</v>
      </c>
    </row>
    <row r="3542" spans="1:6" x14ac:dyDescent="0.25">
      <c r="A3542" s="14">
        <v>46149.445833333331</v>
      </c>
      <c r="B3542" s="81" t="s">
        <v>149</v>
      </c>
      <c r="C3542" s="81" t="s">
        <v>203</v>
      </c>
      <c r="D3542" s="81" t="s">
        <v>204</v>
      </c>
      <c r="E3542" s="81" t="s">
        <v>72</v>
      </c>
      <c r="F3542" s="81" t="s">
        <v>28</v>
      </c>
    </row>
    <row r="3543" spans="1:6" x14ac:dyDescent="0.25">
      <c r="A3543" s="14">
        <v>46149.445833333331</v>
      </c>
      <c r="B3543" s="81" t="s">
        <v>149</v>
      </c>
      <c r="C3543" s="81" t="s">
        <v>190</v>
      </c>
      <c r="D3543" s="81" t="s">
        <v>850</v>
      </c>
      <c r="E3543" s="81" t="s">
        <v>50</v>
      </c>
      <c r="F3543" s="81" t="s">
        <v>1</v>
      </c>
    </row>
    <row r="3544" spans="1:6" x14ac:dyDescent="0.25">
      <c r="A3544" s="14">
        <v>46149.445833333331</v>
      </c>
      <c r="B3544" s="81" t="s">
        <v>149</v>
      </c>
      <c r="C3544" s="81" t="s">
        <v>176</v>
      </c>
      <c r="D3544" s="81" t="s">
        <v>212</v>
      </c>
      <c r="E3544" s="81" t="s">
        <v>70</v>
      </c>
      <c r="F3544" s="81" t="s">
        <v>15</v>
      </c>
    </row>
    <row r="3545" spans="1:6" x14ac:dyDescent="0.25">
      <c r="A3545" s="14">
        <v>46149.445833333331</v>
      </c>
      <c r="B3545" s="81" t="s">
        <v>149</v>
      </c>
      <c r="C3545" s="81" t="s">
        <v>183</v>
      </c>
      <c r="D3545" s="81" t="s">
        <v>179</v>
      </c>
      <c r="E3545" s="81" t="s">
        <v>50</v>
      </c>
      <c r="F3545" s="81" t="s">
        <v>1</v>
      </c>
    </row>
    <row r="3546" spans="1:6" x14ac:dyDescent="0.25">
      <c r="A3546" s="14">
        <v>46149.445833333331</v>
      </c>
      <c r="B3546" s="81" t="s">
        <v>149</v>
      </c>
      <c r="C3546" s="81" t="s">
        <v>176</v>
      </c>
      <c r="D3546" s="81" t="s">
        <v>254</v>
      </c>
      <c r="E3546" s="81" t="s">
        <v>237</v>
      </c>
      <c r="F3546" s="81" t="s">
        <v>28</v>
      </c>
    </row>
    <row r="3547" spans="1:6" x14ac:dyDescent="0.25">
      <c r="A3547" s="14">
        <v>46149.445833333331</v>
      </c>
      <c r="B3547" s="81" t="s">
        <v>149</v>
      </c>
      <c r="C3547" s="81" t="s">
        <v>177</v>
      </c>
      <c r="D3547" s="81" t="s">
        <v>179</v>
      </c>
      <c r="E3547" s="81" t="s">
        <v>50</v>
      </c>
      <c r="F3547" s="81" t="s">
        <v>1</v>
      </c>
    </row>
    <row r="3548" spans="1:6" x14ac:dyDescent="0.25">
      <c r="A3548" s="14">
        <v>46149.445833333331</v>
      </c>
      <c r="B3548" s="81" t="s">
        <v>149</v>
      </c>
      <c r="C3548" s="81" t="s">
        <v>182</v>
      </c>
      <c r="D3548" s="81" t="s">
        <v>179</v>
      </c>
      <c r="E3548" s="81" t="s">
        <v>50</v>
      </c>
      <c r="F3548" s="81" t="s">
        <v>1</v>
      </c>
    </row>
    <row r="3549" spans="1:6" x14ac:dyDescent="0.25">
      <c r="A3549" s="14">
        <v>46149.445833333331</v>
      </c>
      <c r="B3549" s="81" t="s">
        <v>149</v>
      </c>
      <c r="C3549" s="81" t="s">
        <v>175</v>
      </c>
      <c r="D3549" s="81" t="s">
        <v>179</v>
      </c>
      <c r="E3549" s="81" t="s">
        <v>50</v>
      </c>
      <c r="F3549" s="81" t="s">
        <v>1</v>
      </c>
    </row>
    <row r="3550" spans="1:6" x14ac:dyDescent="0.25">
      <c r="A3550" s="14">
        <v>46149.445833333331</v>
      </c>
      <c r="B3550" s="81" t="s">
        <v>149</v>
      </c>
      <c r="C3550" s="81" t="s">
        <v>175</v>
      </c>
      <c r="D3550" s="81" t="s">
        <v>251</v>
      </c>
      <c r="E3550" s="81" t="s">
        <v>49</v>
      </c>
      <c r="F3550" s="81" t="s">
        <v>2</v>
      </c>
    </row>
    <row r="3551" spans="1:6" x14ac:dyDescent="0.25">
      <c r="A3551" s="14">
        <v>46149.445833333331</v>
      </c>
      <c r="B3551" s="81" t="s">
        <v>149</v>
      </c>
      <c r="C3551" s="81" t="s">
        <v>175</v>
      </c>
      <c r="D3551" s="81" t="s">
        <v>179</v>
      </c>
      <c r="E3551" s="81" t="s">
        <v>50</v>
      </c>
      <c r="F3551" s="81" t="s">
        <v>1</v>
      </c>
    </row>
    <row r="3552" spans="1:6" x14ac:dyDescent="0.25">
      <c r="A3552" s="14">
        <v>46149.445833333331</v>
      </c>
      <c r="B3552" s="81" t="s">
        <v>149</v>
      </c>
      <c r="C3552" s="81" t="s">
        <v>185</v>
      </c>
      <c r="D3552" s="81" t="s">
        <v>179</v>
      </c>
      <c r="E3552" s="81" t="s">
        <v>50</v>
      </c>
      <c r="F3552" s="81" t="s">
        <v>1</v>
      </c>
    </row>
    <row r="3553" spans="1:6" x14ac:dyDescent="0.25">
      <c r="A3553" s="14">
        <v>46149.445833333331</v>
      </c>
      <c r="B3553" s="81" t="s">
        <v>149</v>
      </c>
      <c r="C3553" s="81" t="s">
        <v>203</v>
      </c>
      <c r="D3553" s="81" t="s">
        <v>219</v>
      </c>
      <c r="E3553" s="81" t="s">
        <v>72</v>
      </c>
      <c r="F3553" s="81" t="s">
        <v>28</v>
      </c>
    </row>
    <row r="3554" spans="1:6" x14ac:dyDescent="0.25">
      <c r="A3554" s="14">
        <v>46149.445833333331</v>
      </c>
      <c r="B3554" s="81" t="s">
        <v>149</v>
      </c>
      <c r="C3554" s="81" t="s">
        <v>203</v>
      </c>
      <c r="D3554" s="81" t="s">
        <v>219</v>
      </c>
      <c r="E3554" s="81" t="s">
        <v>72</v>
      </c>
      <c r="F3554" s="81" t="s">
        <v>28</v>
      </c>
    </row>
    <row r="3555" spans="1:6" x14ac:dyDescent="0.25">
      <c r="A3555" s="14">
        <v>46149.445833333331</v>
      </c>
      <c r="B3555" s="81" t="s">
        <v>149</v>
      </c>
      <c r="C3555" s="81" t="s">
        <v>203</v>
      </c>
      <c r="D3555" s="81" t="s">
        <v>219</v>
      </c>
      <c r="E3555" s="81" t="s">
        <v>72</v>
      </c>
      <c r="F3555" s="81" t="s">
        <v>28</v>
      </c>
    </row>
    <row r="3556" spans="1:6" x14ac:dyDescent="0.25">
      <c r="A3556" s="14">
        <v>46149.445833333331</v>
      </c>
      <c r="B3556" s="81" t="s">
        <v>149</v>
      </c>
      <c r="C3556" s="81" t="s">
        <v>171</v>
      </c>
      <c r="D3556" s="81" t="s">
        <v>179</v>
      </c>
      <c r="E3556" s="81" t="s">
        <v>50</v>
      </c>
      <c r="F3556" s="81" t="s">
        <v>1</v>
      </c>
    </row>
    <row r="3557" spans="1:6" x14ac:dyDescent="0.25">
      <c r="A3557" s="14">
        <v>46149.445833333331</v>
      </c>
      <c r="B3557" s="81" t="s">
        <v>149</v>
      </c>
      <c r="C3557" s="81" t="s">
        <v>175</v>
      </c>
      <c r="D3557" s="81" t="s">
        <v>165</v>
      </c>
      <c r="E3557" s="81" t="s">
        <v>50</v>
      </c>
      <c r="F3557" s="81" t="s">
        <v>1</v>
      </c>
    </row>
    <row r="3558" spans="1:6" x14ac:dyDescent="0.25">
      <c r="A3558" s="14">
        <v>46149.445833333331</v>
      </c>
      <c r="B3558" s="81" t="s">
        <v>149</v>
      </c>
      <c r="C3558" s="81" t="s">
        <v>182</v>
      </c>
      <c r="D3558" s="81" t="s">
        <v>165</v>
      </c>
      <c r="E3558" s="81" t="s">
        <v>50</v>
      </c>
      <c r="F3558" s="81" t="s">
        <v>1</v>
      </c>
    </row>
    <row r="3559" spans="1:6" x14ac:dyDescent="0.25">
      <c r="A3559" s="14">
        <v>46149.445833333331</v>
      </c>
      <c r="B3559" s="81" t="s">
        <v>149</v>
      </c>
      <c r="C3559" s="81" t="s">
        <v>181</v>
      </c>
      <c r="D3559" s="81" t="s">
        <v>179</v>
      </c>
      <c r="E3559" s="81" t="s">
        <v>50</v>
      </c>
      <c r="F3559" s="81" t="s">
        <v>1</v>
      </c>
    </row>
    <row r="3560" spans="1:6" x14ac:dyDescent="0.25">
      <c r="A3560" s="14">
        <v>46149.445833333331</v>
      </c>
      <c r="B3560" s="81" t="s">
        <v>149</v>
      </c>
      <c r="C3560" s="81" t="s">
        <v>185</v>
      </c>
      <c r="D3560" s="81" t="s">
        <v>257</v>
      </c>
      <c r="E3560" s="81" t="s">
        <v>52</v>
      </c>
      <c r="F3560" s="81" t="s">
        <v>0</v>
      </c>
    </row>
    <row r="3561" spans="1:6" x14ac:dyDescent="0.25">
      <c r="A3561" s="14">
        <v>46149.445833333331</v>
      </c>
      <c r="B3561" s="81" t="s">
        <v>149</v>
      </c>
      <c r="C3561" s="81" t="s">
        <v>184</v>
      </c>
      <c r="D3561" s="81" t="s">
        <v>165</v>
      </c>
      <c r="E3561" s="81" t="s">
        <v>50</v>
      </c>
      <c r="F3561" s="81" t="s">
        <v>1</v>
      </c>
    </row>
    <row r="3562" spans="1:6" x14ac:dyDescent="0.25">
      <c r="A3562" s="14">
        <v>46149.445833333331</v>
      </c>
      <c r="B3562" s="81" t="s">
        <v>149</v>
      </c>
      <c r="C3562" s="81" t="s">
        <v>188</v>
      </c>
      <c r="D3562" s="81" t="s">
        <v>156</v>
      </c>
      <c r="E3562" s="81" t="s">
        <v>45</v>
      </c>
      <c r="F3562" s="81" t="s">
        <v>28</v>
      </c>
    </row>
    <row r="3563" spans="1:6" x14ac:dyDescent="0.25">
      <c r="A3563" s="14">
        <v>46149.445833333331</v>
      </c>
      <c r="B3563" s="81" t="s">
        <v>149</v>
      </c>
      <c r="C3563" s="81" t="s">
        <v>189</v>
      </c>
      <c r="D3563" s="81" t="s">
        <v>156</v>
      </c>
      <c r="E3563" s="81" t="s">
        <v>45</v>
      </c>
      <c r="F3563" s="81" t="s">
        <v>28</v>
      </c>
    </row>
    <row r="3564" spans="1:6" x14ac:dyDescent="0.25">
      <c r="A3564" s="14">
        <v>46149.445833333331</v>
      </c>
      <c r="B3564" s="81" t="s">
        <v>149</v>
      </c>
      <c r="C3564" s="81" t="s">
        <v>239</v>
      </c>
      <c r="D3564" s="81" t="s">
        <v>156</v>
      </c>
      <c r="E3564" s="81" t="s">
        <v>45</v>
      </c>
      <c r="F3564" s="81" t="s">
        <v>28</v>
      </c>
    </row>
    <row r="3565" spans="1:6" x14ac:dyDescent="0.25">
      <c r="A3565" s="14">
        <v>46149.445833333331</v>
      </c>
      <c r="B3565" s="81" t="s">
        <v>149</v>
      </c>
      <c r="C3565" s="81" t="s">
        <v>182</v>
      </c>
      <c r="D3565" s="81" t="s">
        <v>157</v>
      </c>
      <c r="E3565" s="81" t="s">
        <v>50</v>
      </c>
      <c r="F3565" s="81" t="s">
        <v>1</v>
      </c>
    </row>
    <row r="3566" spans="1:6" x14ac:dyDescent="0.25">
      <c r="A3566" s="14">
        <v>46149.445833333331</v>
      </c>
      <c r="B3566" s="81" t="s">
        <v>149</v>
      </c>
      <c r="C3566" s="81" t="s">
        <v>181</v>
      </c>
      <c r="D3566" s="81" t="s">
        <v>165</v>
      </c>
      <c r="E3566" s="81" t="s">
        <v>50</v>
      </c>
      <c r="F3566" s="81" t="s">
        <v>1</v>
      </c>
    </row>
    <row r="3567" spans="1:6" x14ac:dyDescent="0.25">
      <c r="A3567" s="14">
        <v>46149.445833333331</v>
      </c>
      <c r="B3567" s="81" t="s">
        <v>149</v>
      </c>
      <c r="C3567" s="81" t="s">
        <v>182</v>
      </c>
      <c r="D3567" s="81" t="s">
        <v>179</v>
      </c>
      <c r="E3567" s="81" t="s">
        <v>50</v>
      </c>
      <c r="F3567" s="81" t="s">
        <v>1</v>
      </c>
    </row>
    <row r="3568" spans="1:6" x14ac:dyDescent="0.25">
      <c r="A3568" s="14">
        <v>46149.445833333331</v>
      </c>
      <c r="B3568" s="81" t="s">
        <v>149</v>
      </c>
      <c r="C3568" s="81" t="s">
        <v>192</v>
      </c>
      <c r="D3568" s="81" t="s">
        <v>157</v>
      </c>
      <c r="E3568" s="81" t="s">
        <v>60</v>
      </c>
      <c r="F3568" s="81" t="s">
        <v>28</v>
      </c>
    </row>
    <row r="3569" spans="1:6" x14ac:dyDescent="0.25">
      <c r="A3569" s="14">
        <v>46149.445833333331</v>
      </c>
      <c r="B3569" s="81" t="s">
        <v>149</v>
      </c>
      <c r="C3569" s="81" t="s">
        <v>181</v>
      </c>
      <c r="D3569" s="81" t="s">
        <v>157</v>
      </c>
      <c r="E3569" s="81" t="s">
        <v>50</v>
      </c>
      <c r="F3569" s="81" t="s">
        <v>1</v>
      </c>
    </row>
    <row r="3570" spans="1:6" x14ac:dyDescent="0.25">
      <c r="A3570" s="14">
        <v>46149.445833333331</v>
      </c>
      <c r="B3570" s="81" t="s">
        <v>149</v>
      </c>
      <c r="C3570" s="81" t="s">
        <v>190</v>
      </c>
      <c r="D3570" s="81" t="s">
        <v>179</v>
      </c>
      <c r="E3570" s="81" t="s">
        <v>50</v>
      </c>
      <c r="F3570" s="81" t="s">
        <v>1</v>
      </c>
    </row>
    <row r="3571" spans="1:6" x14ac:dyDescent="0.25">
      <c r="A3571" s="14">
        <v>46149.445833333331</v>
      </c>
      <c r="B3571" s="81" t="s">
        <v>195</v>
      </c>
      <c r="C3571" s="81" t="s">
        <v>198</v>
      </c>
      <c r="D3571" s="81" t="s">
        <v>242</v>
      </c>
      <c r="E3571" s="81" t="s">
        <v>24</v>
      </c>
      <c r="F3571" s="81" t="s">
        <v>24</v>
      </c>
    </row>
    <row r="3572" spans="1:6" x14ac:dyDescent="0.25">
      <c r="A3572" s="14">
        <v>46149.445833333331</v>
      </c>
      <c r="B3572" s="81" t="s">
        <v>195</v>
      </c>
      <c r="C3572" s="81" t="s">
        <v>198</v>
      </c>
      <c r="D3572" s="81" t="s">
        <v>242</v>
      </c>
      <c r="E3572" s="81" t="s">
        <v>24</v>
      </c>
      <c r="F3572" s="81" t="s">
        <v>24</v>
      </c>
    </row>
    <row r="3573" spans="1:6" x14ac:dyDescent="0.25">
      <c r="A3573" s="14">
        <v>46149.445833333331</v>
      </c>
      <c r="B3573" s="81" t="s">
        <v>195</v>
      </c>
      <c r="C3573" s="81" t="s">
        <v>198</v>
      </c>
      <c r="D3573" s="81" t="s">
        <v>242</v>
      </c>
      <c r="E3573" s="81" t="s">
        <v>24</v>
      </c>
      <c r="F3573" s="81" t="s">
        <v>24</v>
      </c>
    </row>
    <row r="3574" spans="1:6" x14ac:dyDescent="0.25">
      <c r="A3574" s="14">
        <v>46149.445833333331</v>
      </c>
      <c r="B3574" s="81" t="s">
        <v>195</v>
      </c>
      <c r="C3574" s="81" t="s">
        <v>196</v>
      </c>
      <c r="D3574" s="81" t="s">
        <v>242</v>
      </c>
      <c r="E3574" s="81" t="s">
        <v>24</v>
      </c>
      <c r="F3574" s="81" t="s">
        <v>24</v>
      </c>
    </row>
    <row r="3575" spans="1:6" x14ac:dyDescent="0.25">
      <c r="A3575" s="14">
        <v>46149.445833333331</v>
      </c>
      <c r="B3575" s="81" t="s">
        <v>195</v>
      </c>
      <c r="C3575" s="81" t="s">
        <v>196</v>
      </c>
      <c r="D3575" s="81" t="s">
        <v>242</v>
      </c>
      <c r="E3575" s="81" t="s">
        <v>24</v>
      </c>
      <c r="F3575" s="81" t="s">
        <v>24</v>
      </c>
    </row>
    <row r="3576" spans="1:6" x14ac:dyDescent="0.25">
      <c r="A3576" s="14">
        <v>46149.445833333331</v>
      </c>
      <c r="B3576" s="81" t="s">
        <v>195</v>
      </c>
      <c r="C3576" s="81" t="s">
        <v>196</v>
      </c>
      <c r="D3576" s="81" t="s">
        <v>242</v>
      </c>
      <c r="E3576" s="81" t="s">
        <v>24</v>
      </c>
      <c r="F3576" s="81" t="s">
        <v>24</v>
      </c>
    </row>
    <row r="3577" spans="1:6" x14ac:dyDescent="0.25">
      <c r="A3577" s="14">
        <v>46149.445833333331</v>
      </c>
      <c r="B3577" s="81" t="s">
        <v>195</v>
      </c>
      <c r="C3577" s="81" t="s">
        <v>197</v>
      </c>
      <c r="D3577" s="81" t="s">
        <v>254</v>
      </c>
      <c r="E3577" s="81" t="s">
        <v>24</v>
      </c>
      <c r="F3577" s="81" t="s">
        <v>24</v>
      </c>
    </row>
    <row r="3578" spans="1:6" x14ac:dyDescent="0.25">
      <c r="A3578" s="14">
        <v>46149.445833333331</v>
      </c>
      <c r="B3578" s="81" t="s">
        <v>195</v>
      </c>
      <c r="C3578" s="81" t="s">
        <v>197</v>
      </c>
      <c r="D3578" s="81" t="s">
        <v>254</v>
      </c>
      <c r="E3578" s="81" t="s">
        <v>24</v>
      </c>
      <c r="F3578" s="81" t="s">
        <v>24</v>
      </c>
    </row>
    <row r="3579" spans="1:6" x14ac:dyDescent="0.25">
      <c r="A3579" s="14">
        <v>46149.445833333331</v>
      </c>
      <c r="B3579" s="81" t="s">
        <v>195</v>
      </c>
      <c r="C3579" s="81" t="s">
        <v>197</v>
      </c>
      <c r="D3579" s="81" t="s">
        <v>254</v>
      </c>
      <c r="E3579" s="81" t="s">
        <v>24</v>
      </c>
      <c r="F3579" s="81" t="s">
        <v>24</v>
      </c>
    </row>
    <row r="3580" spans="1:6" x14ac:dyDescent="0.25">
      <c r="A3580" s="14">
        <v>46149.445833333331</v>
      </c>
      <c r="B3580" s="81" t="s">
        <v>195</v>
      </c>
      <c r="C3580" s="81" t="s">
        <v>197</v>
      </c>
      <c r="D3580" s="81" t="s">
        <v>254</v>
      </c>
      <c r="E3580" s="81" t="s">
        <v>24</v>
      </c>
      <c r="F3580" s="81" t="s">
        <v>24</v>
      </c>
    </row>
    <row r="3581" spans="1:6" x14ac:dyDescent="0.25">
      <c r="A3581" s="14">
        <v>46149.445833333331</v>
      </c>
      <c r="B3581" s="81" t="s">
        <v>195</v>
      </c>
      <c r="C3581" s="81" t="s">
        <v>197</v>
      </c>
      <c r="D3581" s="81" t="s">
        <v>254</v>
      </c>
      <c r="E3581" s="81" t="s">
        <v>24</v>
      </c>
      <c r="F3581" s="81" t="s">
        <v>24</v>
      </c>
    </row>
    <row r="3582" spans="1:6" x14ac:dyDescent="0.25">
      <c r="A3582" s="14">
        <v>46149.445833333331</v>
      </c>
      <c r="B3582" s="81" t="s">
        <v>195</v>
      </c>
      <c r="C3582" s="81" t="s">
        <v>197</v>
      </c>
      <c r="D3582" s="81" t="s">
        <v>254</v>
      </c>
      <c r="E3582" s="81" t="s">
        <v>24</v>
      </c>
      <c r="F3582" s="81" t="s">
        <v>24</v>
      </c>
    </row>
    <row r="3583" spans="1:6" x14ac:dyDescent="0.25">
      <c r="A3583" s="14">
        <v>46149.833333333336</v>
      </c>
      <c r="B3583" s="81" t="s">
        <v>149</v>
      </c>
      <c r="C3583" s="81" t="s">
        <v>173</v>
      </c>
      <c r="D3583" s="81" t="s">
        <v>257</v>
      </c>
      <c r="E3583" s="81" t="s">
        <v>52</v>
      </c>
      <c r="F3583" s="81" t="s">
        <v>0</v>
      </c>
    </row>
    <row r="3584" spans="1:6" x14ac:dyDescent="0.25">
      <c r="A3584" s="14">
        <v>46149.833333333336</v>
      </c>
      <c r="B3584" s="81" t="s">
        <v>149</v>
      </c>
      <c r="C3584" s="81" t="s">
        <v>184</v>
      </c>
      <c r="D3584" s="81" t="s">
        <v>157</v>
      </c>
      <c r="E3584" s="81" t="s">
        <v>50</v>
      </c>
      <c r="F3584" s="81" t="s">
        <v>1</v>
      </c>
    </row>
    <row r="3585" spans="1:6" x14ac:dyDescent="0.25">
      <c r="A3585" s="14">
        <v>46149.833333333336</v>
      </c>
      <c r="B3585" s="81" t="s">
        <v>149</v>
      </c>
      <c r="C3585" s="81" t="s">
        <v>176</v>
      </c>
      <c r="D3585" s="81" t="s">
        <v>254</v>
      </c>
      <c r="E3585" s="81" t="s">
        <v>237</v>
      </c>
      <c r="F3585" s="81" t="s">
        <v>28</v>
      </c>
    </row>
    <row r="3586" spans="1:6" x14ac:dyDescent="0.25">
      <c r="A3586" s="14">
        <v>46149.833333333336</v>
      </c>
      <c r="B3586" s="81" t="s">
        <v>149</v>
      </c>
      <c r="C3586" s="81" t="s">
        <v>177</v>
      </c>
      <c r="D3586" s="81" t="s">
        <v>165</v>
      </c>
      <c r="E3586" s="81" t="s">
        <v>50</v>
      </c>
      <c r="F3586" s="81" t="s">
        <v>1</v>
      </c>
    </row>
    <row r="3587" spans="1:6" x14ac:dyDescent="0.25">
      <c r="A3587" s="14">
        <v>46149.833333333336</v>
      </c>
      <c r="B3587" s="81" t="s">
        <v>149</v>
      </c>
      <c r="C3587" s="81" t="s">
        <v>171</v>
      </c>
      <c r="D3587" s="81" t="s">
        <v>157</v>
      </c>
      <c r="E3587" s="81" t="s">
        <v>50</v>
      </c>
      <c r="F3587" s="81" t="s">
        <v>1</v>
      </c>
    </row>
    <row r="3588" spans="1:6" x14ac:dyDescent="0.25">
      <c r="A3588" s="14">
        <v>46149.833333333336</v>
      </c>
      <c r="B3588" s="81" t="s">
        <v>149</v>
      </c>
      <c r="C3588" s="81" t="s">
        <v>192</v>
      </c>
      <c r="D3588" s="81" t="s">
        <v>257</v>
      </c>
      <c r="E3588" s="81" t="s">
        <v>60</v>
      </c>
      <c r="F3588" s="81" t="s">
        <v>28</v>
      </c>
    </row>
    <row r="3589" spans="1:6" x14ac:dyDescent="0.25">
      <c r="A3589" s="14">
        <v>46149.833333333336</v>
      </c>
      <c r="B3589" s="81" t="s">
        <v>149</v>
      </c>
      <c r="C3589" s="81" t="s">
        <v>175</v>
      </c>
      <c r="D3589" s="81" t="s">
        <v>165</v>
      </c>
      <c r="E3589" s="81" t="s">
        <v>50</v>
      </c>
      <c r="F3589" s="81" t="s">
        <v>1</v>
      </c>
    </row>
    <row r="3590" spans="1:6" x14ac:dyDescent="0.25">
      <c r="A3590" s="14">
        <v>46149.833333333336</v>
      </c>
      <c r="B3590" s="81" t="s">
        <v>149</v>
      </c>
      <c r="C3590" s="81" t="s">
        <v>173</v>
      </c>
      <c r="D3590" s="81" t="s">
        <v>165</v>
      </c>
      <c r="E3590" s="81" t="s">
        <v>50</v>
      </c>
      <c r="F3590" s="81" t="s">
        <v>1</v>
      </c>
    </row>
    <row r="3591" spans="1:6" x14ac:dyDescent="0.25">
      <c r="A3591" s="14">
        <v>46149.833333333336</v>
      </c>
      <c r="B3591" s="81" t="s">
        <v>149</v>
      </c>
      <c r="C3591" s="81" t="s">
        <v>181</v>
      </c>
      <c r="D3591" s="81" t="s">
        <v>261</v>
      </c>
      <c r="E3591" s="81" t="s">
        <v>52</v>
      </c>
      <c r="F3591" s="81" t="s">
        <v>0</v>
      </c>
    </row>
    <row r="3592" spans="1:6" x14ac:dyDescent="0.25">
      <c r="A3592" s="14">
        <v>46149.833333333336</v>
      </c>
      <c r="B3592" s="81" t="s">
        <v>149</v>
      </c>
      <c r="C3592" s="81" t="s">
        <v>176</v>
      </c>
      <c r="D3592" s="81" t="s">
        <v>254</v>
      </c>
      <c r="E3592" s="81" t="s">
        <v>237</v>
      </c>
      <c r="F3592" s="81" t="s">
        <v>28</v>
      </c>
    </row>
    <row r="3593" spans="1:6" x14ac:dyDescent="0.25">
      <c r="A3593" s="14">
        <v>46149.833333333336</v>
      </c>
      <c r="B3593" s="81" t="s">
        <v>149</v>
      </c>
      <c r="C3593" s="81" t="s">
        <v>185</v>
      </c>
      <c r="D3593" s="81" t="s">
        <v>261</v>
      </c>
      <c r="E3593" s="81" t="s">
        <v>52</v>
      </c>
      <c r="F3593" s="81" t="s">
        <v>0</v>
      </c>
    </row>
    <row r="3594" spans="1:6" x14ac:dyDescent="0.25">
      <c r="A3594" s="14">
        <v>46149.833333333336</v>
      </c>
      <c r="B3594" s="81" t="s">
        <v>149</v>
      </c>
      <c r="C3594" s="81" t="s">
        <v>235</v>
      </c>
      <c r="D3594" s="81" t="s">
        <v>201</v>
      </c>
      <c r="E3594" s="81" t="s">
        <v>73</v>
      </c>
      <c r="F3594" s="81" t="s">
        <v>28</v>
      </c>
    </row>
    <row r="3595" spans="1:6" x14ac:dyDescent="0.25">
      <c r="A3595" s="14">
        <v>46149.833333333336</v>
      </c>
      <c r="B3595" s="81" t="s">
        <v>149</v>
      </c>
      <c r="C3595" s="81" t="s">
        <v>182</v>
      </c>
      <c r="D3595" s="81" t="s">
        <v>165</v>
      </c>
      <c r="E3595" s="81" t="s">
        <v>50</v>
      </c>
      <c r="F3595" s="81" t="s">
        <v>1</v>
      </c>
    </row>
    <row r="3596" spans="1:6" x14ac:dyDescent="0.25">
      <c r="A3596" s="14">
        <v>46149.833333333336</v>
      </c>
      <c r="B3596" s="81" t="s">
        <v>149</v>
      </c>
      <c r="C3596" s="81" t="s">
        <v>187</v>
      </c>
      <c r="D3596" s="81" t="s">
        <v>165</v>
      </c>
      <c r="E3596" s="81" t="s">
        <v>75</v>
      </c>
      <c r="F3596" s="81" t="s">
        <v>93</v>
      </c>
    </row>
    <row r="3597" spans="1:6" x14ac:dyDescent="0.25">
      <c r="A3597" s="14">
        <v>46149.833333333336</v>
      </c>
      <c r="B3597" s="81" t="s">
        <v>149</v>
      </c>
      <c r="C3597" s="81" t="s">
        <v>181</v>
      </c>
      <c r="D3597" s="81" t="s">
        <v>266</v>
      </c>
      <c r="E3597" s="81" t="s">
        <v>52</v>
      </c>
      <c r="F3597" s="81" t="s">
        <v>0</v>
      </c>
    </row>
    <row r="3598" spans="1:6" x14ac:dyDescent="0.25">
      <c r="A3598" s="14">
        <v>46149.833333333336</v>
      </c>
      <c r="B3598" s="81" t="s">
        <v>149</v>
      </c>
      <c r="C3598" s="81" t="s">
        <v>187</v>
      </c>
      <c r="D3598" s="81" t="s">
        <v>201</v>
      </c>
      <c r="E3598" s="81" t="s">
        <v>75</v>
      </c>
      <c r="F3598" s="81" t="s">
        <v>93</v>
      </c>
    </row>
    <row r="3599" spans="1:6" x14ac:dyDescent="0.25">
      <c r="A3599" s="14">
        <v>46149.833333333336</v>
      </c>
      <c r="B3599" s="81" t="s">
        <v>149</v>
      </c>
      <c r="C3599" s="81" t="s">
        <v>187</v>
      </c>
      <c r="D3599" s="81" t="s">
        <v>201</v>
      </c>
      <c r="E3599" s="81" t="s">
        <v>75</v>
      </c>
      <c r="F3599" s="81" t="s">
        <v>93</v>
      </c>
    </row>
    <row r="3600" spans="1:6" x14ac:dyDescent="0.25">
      <c r="A3600" s="14">
        <v>46149.833333333336</v>
      </c>
      <c r="B3600" s="81" t="s">
        <v>149</v>
      </c>
      <c r="C3600" s="81" t="s">
        <v>181</v>
      </c>
      <c r="D3600" s="81" t="s">
        <v>153</v>
      </c>
      <c r="E3600" s="81" t="s">
        <v>49</v>
      </c>
      <c r="F3600" s="81" t="s">
        <v>2</v>
      </c>
    </row>
    <row r="3601" spans="1:6" x14ac:dyDescent="0.25">
      <c r="A3601" s="14">
        <v>46149.833333333336</v>
      </c>
      <c r="B3601" s="81" t="s">
        <v>149</v>
      </c>
      <c r="C3601" s="81" t="s">
        <v>187</v>
      </c>
      <c r="D3601" s="81" t="s">
        <v>201</v>
      </c>
      <c r="E3601" s="81" t="s">
        <v>75</v>
      </c>
      <c r="F3601" s="81" t="s">
        <v>93</v>
      </c>
    </row>
    <row r="3602" spans="1:6" x14ac:dyDescent="0.25">
      <c r="A3602" s="14">
        <v>46149.833333333336</v>
      </c>
      <c r="B3602" s="81" t="s">
        <v>149</v>
      </c>
      <c r="C3602" s="81" t="s">
        <v>183</v>
      </c>
      <c r="D3602" s="81" t="s">
        <v>153</v>
      </c>
      <c r="E3602" s="81" t="s">
        <v>49</v>
      </c>
      <c r="F3602" s="81" t="s">
        <v>2</v>
      </c>
    </row>
    <row r="3603" spans="1:6" x14ac:dyDescent="0.25">
      <c r="A3603" s="14">
        <v>46149.833333333336</v>
      </c>
      <c r="B3603" s="81" t="s">
        <v>149</v>
      </c>
      <c r="C3603" s="81" t="s">
        <v>190</v>
      </c>
      <c r="D3603" s="81" t="s">
        <v>165</v>
      </c>
      <c r="E3603" s="81" t="s">
        <v>50</v>
      </c>
      <c r="F3603" s="81" t="s">
        <v>1</v>
      </c>
    </row>
    <row r="3604" spans="1:6" x14ac:dyDescent="0.25">
      <c r="A3604" s="14">
        <v>46149.833333333336</v>
      </c>
      <c r="B3604" s="81" t="s">
        <v>149</v>
      </c>
      <c r="C3604" s="81" t="s">
        <v>187</v>
      </c>
      <c r="D3604" s="81" t="s">
        <v>165</v>
      </c>
      <c r="E3604" s="81" t="s">
        <v>75</v>
      </c>
      <c r="F3604" s="81" t="s">
        <v>93</v>
      </c>
    </row>
    <row r="3605" spans="1:6" x14ac:dyDescent="0.25">
      <c r="A3605" s="14">
        <v>46149.833333333336</v>
      </c>
      <c r="B3605" s="81" t="s">
        <v>149</v>
      </c>
      <c r="C3605" s="81" t="s">
        <v>187</v>
      </c>
      <c r="D3605" s="81" t="s">
        <v>254</v>
      </c>
      <c r="E3605" s="81" t="s">
        <v>71</v>
      </c>
      <c r="F3605" s="81" t="s">
        <v>94</v>
      </c>
    </row>
    <row r="3606" spans="1:6" x14ac:dyDescent="0.25">
      <c r="A3606" s="14">
        <v>46149.833333333336</v>
      </c>
      <c r="B3606" s="81" t="s">
        <v>149</v>
      </c>
      <c r="C3606" s="81" t="s">
        <v>181</v>
      </c>
      <c r="D3606" s="81" t="s">
        <v>179</v>
      </c>
      <c r="E3606" s="81" t="s">
        <v>50</v>
      </c>
      <c r="F3606" s="81" t="s">
        <v>1</v>
      </c>
    </row>
    <row r="3607" spans="1:6" x14ac:dyDescent="0.25">
      <c r="A3607" s="14">
        <v>46149.833333333336</v>
      </c>
      <c r="B3607" s="81" t="s">
        <v>149</v>
      </c>
      <c r="C3607" s="81" t="s">
        <v>175</v>
      </c>
      <c r="D3607" s="81" t="s">
        <v>254</v>
      </c>
      <c r="E3607" s="81" t="s">
        <v>49</v>
      </c>
      <c r="F3607" s="81" t="s">
        <v>2</v>
      </c>
    </row>
    <row r="3608" spans="1:6" x14ac:dyDescent="0.25">
      <c r="A3608" s="14">
        <v>46149.833333333336</v>
      </c>
      <c r="B3608" s="81" t="s">
        <v>149</v>
      </c>
      <c r="C3608" s="81" t="s">
        <v>183</v>
      </c>
      <c r="D3608" s="81" t="s">
        <v>254</v>
      </c>
      <c r="E3608" s="81" t="s">
        <v>49</v>
      </c>
      <c r="F3608" s="81" t="s">
        <v>2</v>
      </c>
    </row>
    <row r="3609" spans="1:6" x14ac:dyDescent="0.25">
      <c r="A3609" s="14">
        <v>46149.833333333336</v>
      </c>
      <c r="B3609" s="81" t="s">
        <v>149</v>
      </c>
      <c r="C3609" s="81" t="s">
        <v>185</v>
      </c>
      <c r="D3609" s="81" t="s">
        <v>254</v>
      </c>
      <c r="E3609" s="81" t="s">
        <v>49</v>
      </c>
      <c r="F3609" s="81" t="s">
        <v>2</v>
      </c>
    </row>
    <row r="3610" spans="1:6" x14ac:dyDescent="0.25">
      <c r="A3610" s="14">
        <v>46149.833333333336</v>
      </c>
      <c r="B3610" s="81" t="s">
        <v>149</v>
      </c>
      <c r="C3610" s="81" t="s">
        <v>173</v>
      </c>
      <c r="D3610" s="81" t="s">
        <v>165</v>
      </c>
      <c r="E3610" s="81" t="s">
        <v>50</v>
      </c>
      <c r="F3610" s="81" t="s">
        <v>1</v>
      </c>
    </row>
    <row r="3611" spans="1:6" x14ac:dyDescent="0.25">
      <c r="A3611" s="14">
        <v>46149.833333333336</v>
      </c>
      <c r="B3611" s="81" t="s">
        <v>149</v>
      </c>
      <c r="C3611" s="81" t="s">
        <v>184</v>
      </c>
      <c r="D3611" s="81" t="s">
        <v>165</v>
      </c>
      <c r="E3611" s="81" t="s">
        <v>50</v>
      </c>
      <c r="F3611" s="81" t="s">
        <v>1</v>
      </c>
    </row>
    <row r="3612" spans="1:6" x14ac:dyDescent="0.25">
      <c r="A3612" s="14">
        <v>46149.833333333336</v>
      </c>
      <c r="B3612" s="81" t="s">
        <v>149</v>
      </c>
      <c r="C3612" s="81" t="s">
        <v>187</v>
      </c>
      <c r="D3612" s="81" t="s">
        <v>165</v>
      </c>
      <c r="E3612" s="81" t="s">
        <v>75</v>
      </c>
      <c r="F3612" s="81" t="s">
        <v>93</v>
      </c>
    </row>
    <row r="3613" spans="1:6" x14ac:dyDescent="0.25">
      <c r="A3613" s="14">
        <v>46149.833333333336</v>
      </c>
      <c r="B3613" s="81" t="s">
        <v>149</v>
      </c>
      <c r="C3613" s="81" t="s">
        <v>182</v>
      </c>
      <c r="D3613" s="81" t="s">
        <v>165</v>
      </c>
      <c r="E3613" s="81" t="s">
        <v>50</v>
      </c>
      <c r="F3613" s="81" t="s">
        <v>1</v>
      </c>
    </row>
    <row r="3614" spans="1:6" x14ac:dyDescent="0.25">
      <c r="A3614" s="14">
        <v>46149.833333333336</v>
      </c>
      <c r="B3614" s="81" t="s">
        <v>149</v>
      </c>
      <c r="C3614" s="81" t="s">
        <v>183</v>
      </c>
      <c r="D3614" s="81" t="s">
        <v>254</v>
      </c>
      <c r="E3614" s="81" t="s">
        <v>49</v>
      </c>
      <c r="F3614" s="81" t="s">
        <v>2</v>
      </c>
    </row>
    <row r="3615" spans="1:6" x14ac:dyDescent="0.25">
      <c r="A3615" s="14">
        <v>46149.833333333336</v>
      </c>
      <c r="B3615" s="81" t="s">
        <v>149</v>
      </c>
      <c r="C3615" s="81" t="s">
        <v>158</v>
      </c>
      <c r="D3615" s="81" t="s">
        <v>165</v>
      </c>
      <c r="E3615" s="81" t="s">
        <v>50</v>
      </c>
      <c r="F3615" s="81" t="s">
        <v>1</v>
      </c>
    </row>
    <row r="3616" spans="1:6" x14ac:dyDescent="0.25">
      <c r="A3616" s="14">
        <v>46149.833333333336</v>
      </c>
      <c r="B3616" s="81" t="s">
        <v>149</v>
      </c>
      <c r="C3616" s="81" t="s">
        <v>185</v>
      </c>
      <c r="D3616" s="81" t="s">
        <v>254</v>
      </c>
      <c r="E3616" s="81" t="s">
        <v>49</v>
      </c>
      <c r="F3616" s="81" t="s">
        <v>2</v>
      </c>
    </row>
    <row r="3617" spans="1:6" x14ac:dyDescent="0.25">
      <c r="A3617" s="14">
        <v>46149.833333333336</v>
      </c>
      <c r="B3617" s="81" t="s">
        <v>149</v>
      </c>
      <c r="C3617" s="81" t="s">
        <v>190</v>
      </c>
      <c r="D3617" s="81" t="s">
        <v>165</v>
      </c>
      <c r="E3617" s="81" t="s">
        <v>50</v>
      </c>
      <c r="F3617" s="81" t="s">
        <v>1</v>
      </c>
    </row>
    <row r="3618" spans="1:6" x14ac:dyDescent="0.25">
      <c r="A3618" s="14">
        <v>46149.833333333336</v>
      </c>
      <c r="B3618" s="81" t="s">
        <v>149</v>
      </c>
      <c r="C3618" s="81" t="s">
        <v>190</v>
      </c>
      <c r="D3618" s="81" t="s">
        <v>162</v>
      </c>
      <c r="E3618" s="81" t="s">
        <v>48</v>
      </c>
      <c r="F3618" s="81" t="s">
        <v>3</v>
      </c>
    </row>
    <row r="3619" spans="1:6" x14ac:dyDescent="0.25">
      <c r="A3619" s="14">
        <v>46149.833333333336</v>
      </c>
      <c r="B3619" s="81" t="s">
        <v>149</v>
      </c>
      <c r="C3619" s="81" t="s">
        <v>176</v>
      </c>
      <c r="D3619" s="81" t="s">
        <v>254</v>
      </c>
      <c r="E3619" s="81" t="s">
        <v>237</v>
      </c>
      <c r="F3619" s="81" t="s">
        <v>28</v>
      </c>
    </row>
    <row r="3620" spans="1:6" x14ac:dyDescent="0.25">
      <c r="A3620" s="14">
        <v>46149.833333333336</v>
      </c>
      <c r="B3620" s="81" t="s">
        <v>149</v>
      </c>
      <c r="C3620" s="81" t="s">
        <v>183</v>
      </c>
      <c r="D3620" s="81" t="s">
        <v>162</v>
      </c>
      <c r="E3620" s="81" t="s">
        <v>49</v>
      </c>
      <c r="F3620" s="81" t="s">
        <v>2</v>
      </c>
    </row>
    <row r="3621" spans="1:6" x14ac:dyDescent="0.25">
      <c r="A3621" s="14">
        <v>46149.833333333336</v>
      </c>
      <c r="B3621" s="81" t="s">
        <v>149</v>
      </c>
      <c r="C3621" s="81" t="s">
        <v>183</v>
      </c>
      <c r="D3621" s="81" t="s">
        <v>162</v>
      </c>
      <c r="E3621" s="81" t="s">
        <v>49</v>
      </c>
      <c r="F3621" s="81" t="s">
        <v>2</v>
      </c>
    </row>
    <row r="3622" spans="1:6" x14ac:dyDescent="0.25">
      <c r="A3622" s="14">
        <v>46149.833333333336</v>
      </c>
      <c r="B3622" s="81" t="s">
        <v>149</v>
      </c>
      <c r="C3622" s="81" t="s">
        <v>183</v>
      </c>
      <c r="D3622" s="81" t="s">
        <v>162</v>
      </c>
      <c r="E3622" s="81" t="s">
        <v>49</v>
      </c>
      <c r="F3622" s="81" t="s">
        <v>2</v>
      </c>
    </row>
    <row r="3623" spans="1:6" x14ac:dyDescent="0.25">
      <c r="A3623" s="14">
        <v>46149.833333333336</v>
      </c>
      <c r="B3623" s="81" t="s">
        <v>149</v>
      </c>
      <c r="C3623" s="81" t="s">
        <v>183</v>
      </c>
      <c r="D3623" s="81" t="s">
        <v>162</v>
      </c>
      <c r="E3623" s="81" t="s">
        <v>49</v>
      </c>
      <c r="F3623" s="81" t="s">
        <v>2</v>
      </c>
    </row>
    <row r="3624" spans="1:6" x14ac:dyDescent="0.25">
      <c r="A3624" s="14">
        <v>46149.833333333336</v>
      </c>
      <c r="B3624" s="81" t="s">
        <v>149</v>
      </c>
      <c r="C3624" s="81" t="s">
        <v>183</v>
      </c>
      <c r="D3624" s="81" t="s">
        <v>162</v>
      </c>
      <c r="E3624" s="81" t="s">
        <v>49</v>
      </c>
      <c r="F3624" s="81" t="s">
        <v>2</v>
      </c>
    </row>
    <row r="3625" spans="1:6" x14ac:dyDescent="0.25">
      <c r="A3625" s="14">
        <v>46149.833333333336</v>
      </c>
      <c r="B3625" s="81" t="s">
        <v>149</v>
      </c>
      <c r="C3625" s="81" t="s">
        <v>183</v>
      </c>
      <c r="D3625" s="81" t="s">
        <v>162</v>
      </c>
      <c r="E3625" s="81" t="s">
        <v>49</v>
      </c>
      <c r="F3625" s="81" t="s">
        <v>2</v>
      </c>
    </row>
    <row r="3626" spans="1:6" x14ac:dyDescent="0.25">
      <c r="A3626" s="14">
        <v>46149.833333333336</v>
      </c>
      <c r="B3626" s="81" t="s">
        <v>149</v>
      </c>
      <c r="C3626" s="81" t="s">
        <v>183</v>
      </c>
      <c r="D3626" s="81" t="s">
        <v>162</v>
      </c>
      <c r="E3626" s="81" t="s">
        <v>49</v>
      </c>
      <c r="F3626" s="81" t="s">
        <v>2</v>
      </c>
    </row>
    <row r="3627" spans="1:6" x14ac:dyDescent="0.25">
      <c r="A3627" s="14">
        <v>46149.833333333336</v>
      </c>
      <c r="B3627" s="81" t="s">
        <v>149</v>
      </c>
      <c r="C3627" s="81" t="s">
        <v>183</v>
      </c>
      <c r="D3627" s="81" t="s">
        <v>162</v>
      </c>
      <c r="E3627" s="81" t="s">
        <v>49</v>
      </c>
      <c r="F3627" s="81" t="s">
        <v>2</v>
      </c>
    </row>
    <row r="3628" spans="1:6" x14ac:dyDescent="0.25">
      <c r="A3628" s="14">
        <v>46149.833333333336</v>
      </c>
      <c r="B3628" s="81" t="s">
        <v>149</v>
      </c>
      <c r="C3628" s="81" t="s">
        <v>183</v>
      </c>
      <c r="D3628" s="81" t="s">
        <v>162</v>
      </c>
      <c r="E3628" s="81" t="s">
        <v>49</v>
      </c>
      <c r="F3628" s="81" t="s">
        <v>2</v>
      </c>
    </row>
    <row r="3629" spans="1:6" x14ac:dyDescent="0.25">
      <c r="A3629" s="14">
        <v>46149.833333333336</v>
      </c>
      <c r="B3629" s="81" t="s">
        <v>149</v>
      </c>
      <c r="C3629" s="81" t="s">
        <v>183</v>
      </c>
      <c r="D3629" s="81" t="s">
        <v>162</v>
      </c>
      <c r="E3629" s="81" t="s">
        <v>49</v>
      </c>
      <c r="F3629" s="81" t="s">
        <v>2</v>
      </c>
    </row>
    <row r="3630" spans="1:6" x14ac:dyDescent="0.25">
      <c r="A3630" s="14">
        <v>46149.833333333336</v>
      </c>
      <c r="B3630" s="81" t="s">
        <v>149</v>
      </c>
      <c r="C3630" s="81" t="s">
        <v>183</v>
      </c>
      <c r="D3630" s="81" t="s">
        <v>162</v>
      </c>
      <c r="E3630" s="81" t="s">
        <v>49</v>
      </c>
      <c r="F3630" s="81" t="s">
        <v>2</v>
      </c>
    </row>
    <row r="3631" spans="1:6" x14ac:dyDescent="0.25">
      <c r="A3631" s="14">
        <v>46149.833333333336</v>
      </c>
      <c r="B3631" s="81" t="s">
        <v>149</v>
      </c>
      <c r="C3631" s="81" t="s">
        <v>183</v>
      </c>
      <c r="D3631" s="81" t="s">
        <v>162</v>
      </c>
      <c r="E3631" s="81" t="s">
        <v>49</v>
      </c>
      <c r="F3631" s="81" t="s">
        <v>2</v>
      </c>
    </row>
    <row r="3632" spans="1:6" x14ac:dyDescent="0.25">
      <c r="A3632" s="14">
        <v>46149.833333333336</v>
      </c>
      <c r="B3632" s="81" t="s">
        <v>149</v>
      </c>
      <c r="C3632" s="81" t="s">
        <v>183</v>
      </c>
      <c r="D3632" s="81" t="s">
        <v>162</v>
      </c>
      <c r="E3632" s="81" t="s">
        <v>49</v>
      </c>
      <c r="F3632" s="81" t="s">
        <v>2</v>
      </c>
    </row>
    <row r="3633" spans="1:6" x14ac:dyDescent="0.25">
      <c r="A3633" s="14">
        <v>46149.833333333336</v>
      </c>
      <c r="B3633" s="81" t="s">
        <v>149</v>
      </c>
      <c r="C3633" s="81" t="s">
        <v>183</v>
      </c>
      <c r="D3633" s="81" t="s">
        <v>162</v>
      </c>
      <c r="E3633" s="81" t="s">
        <v>49</v>
      </c>
      <c r="F3633" s="81" t="s">
        <v>2</v>
      </c>
    </row>
    <row r="3634" spans="1:6" x14ac:dyDescent="0.25">
      <c r="A3634" s="14">
        <v>46149.833333333336</v>
      </c>
      <c r="B3634" s="81" t="s">
        <v>149</v>
      </c>
      <c r="C3634" s="81" t="s">
        <v>183</v>
      </c>
      <c r="D3634" s="81" t="s">
        <v>162</v>
      </c>
      <c r="E3634" s="81" t="s">
        <v>49</v>
      </c>
      <c r="F3634" s="81" t="s">
        <v>2</v>
      </c>
    </row>
    <row r="3635" spans="1:6" x14ac:dyDescent="0.25">
      <c r="A3635" s="14">
        <v>46149.833333333336</v>
      </c>
      <c r="B3635" s="81" t="s">
        <v>149</v>
      </c>
      <c r="C3635" s="81" t="s">
        <v>183</v>
      </c>
      <c r="D3635" s="81" t="s">
        <v>162</v>
      </c>
      <c r="E3635" s="81" t="s">
        <v>49</v>
      </c>
      <c r="F3635" s="81" t="s">
        <v>2</v>
      </c>
    </row>
    <row r="3636" spans="1:6" x14ac:dyDescent="0.25">
      <c r="A3636" s="14">
        <v>46149.833333333336</v>
      </c>
      <c r="B3636" s="81" t="s">
        <v>149</v>
      </c>
      <c r="C3636" s="81" t="s">
        <v>190</v>
      </c>
      <c r="D3636" s="81" t="s">
        <v>250</v>
      </c>
      <c r="E3636" s="81" t="s">
        <v>52</v>
      </c>
      <c r="F3636" s="81" t="s">
        <v>0</v>
      </c>
    </row>
    <row r="3637" spans="1:6" x14ac:dyDescent="0.25">
      <c r="A3637" s="14">
        <v>46149.833333333336</v>
      </c>
      <c r="B3637" s="81" t="s">
        <v>149</v>
      </c>
      <c r="C3637" s="81" t="s">
        <v>181</v>
      </c>
      <c r="D3637" s="81" t="s">
        <v>165</v>
      </c>
      <c r="E3637" s="81" t="s">
        <v>50</v>
      </c>
      <c r="F3637" s="81" t="s">
        <v>1</v>
      </c>
    </row>
    <row r="3638" spans="1:6" x14ac:dyDescent="0.25">
      <c r="A3638" s="14">
        <v>46149.833333333336</v>
      </c>
      <c r="B3638" s="81" t="s">
        <v>149</v>
      </c>
      <c r="C3638" s="81" t="s">
        <v>187</v>
      </c>
      <c r="D3638" s="81" t="s">
        <v>269</v>
      </c>
      <c r="E3638" s="81" t="s">
        <v>75</v>
      </c>
      <c r="F3638" s="81" t="s">
        <v>93</v>
      </c>
    </row>
    <row r="3639" spans="1:6" x14ac:dyDescent="0.25">
      <c r="A3639" s="14">
        <v>46149.833333333336</v>
      </c>
      <c r="B3639" s="81" t="s">
        <v>149</v>
      </c>
      <c r="C3639" s="81" t="s">
        <v>185</v>
      </c>
      <c r="D3639" s="81" t="s">
        <v>269</v>
      </c>
      <c r="E3639" s="81" t="s">
        <v>52</v>
      </c>
      <c r="F3639" s="81" t="s">
        <v>0</v>
      </c>
    </row>
    <row r="3640" spans="1:6" x14ac:dyDescent="0.25">
      <c r="A3640" s="14">
        <v>46149.833333333336</v>
      </c>
      <c r="B3640" s="81" t="s">
        <v>149</v>
      </c>
      <c r="C3640" s="81" t="s">
        <v>187</v>
      </c>
      <c r="D3640" s="81" t="s">
        <v>165</v>
      </c>
      <c r="E3640" s="81" t="s">
        <v>75</v>
      </c>
      <c r="F3640" s="81" t="s">
        <v>93</v>
      </c>
    </row>
    <row r="3641" spans="1:6" x14ac:dyDescent="0.25">
      <c r="A3641" s="14">
        <v>46149.833333333336</v>
      </c>
      <c r="B3641" s="81" t="s">
        <v>149</v>
      </c>
      <c r="C3641" s="81" t="s">
        <v>175</v>
      </c>
      <c r="D3641" s="81" t="s">
        <v>269</v>
      </c>
      <c r="E3641" s="81" t="s">
        <v>52</v>
      </c>
      <c r="F3641" s="81" t="s">
        <v>0</v>
      </c>
    </row>
    <row r="3642" spans="1:6" x14ac:dyDescent="0.25">
      <c r="A3642" s="14">
        <v>46149.833333333336</v>
      </c>
      <c r="B3642" s="81" t="s">
        <v>149</v>
      </c>
      <c r="C3642" s="81" t="s">
        <v>158</v>
      </c>
      <c r="D3642" s="81" t="s">
        <v>165</v>
      </c>
      <c r="E3642" s="81" t="s">
        <v>50</v>
      </c>
      <c r="F3642" s="81" t="s">
        <v>1</v>
      </c>
    </row>
    <row r="3643" spans="1:6" x14ac:dyDescent="0.25">
      <c r="A3643" s="14">
        <v>46149.833333333336</v>
      </c>
      <c r="B3643" s="81" t="s">
        <v>149</v>
      </c>
      <c r="C3643" s="81" t="s">
        <v>190</v>
      </c>
      <c r="D3643" s="81" t="s">
        <v>165</v>
      </c>
      <c r="E3643" s="81" t="s">
        <v>50</v>
      </c>
      <c r="F3643" s="81" t="s">
        <v>1</v>
      </c>
    </row>
    <row r="3644" spans="1:6" x14ac:dyDescent="0.25">
      <c r="A3644" s="14">
        <v>46149.833333333336</v>
      </c>
      <c r="B3644" s="81" t="s">
        <v>149</v>
      </c>
      <c r="C3644" s="81" t="s">
        <v>183</v>
      </c>
      <c r="D3644" s="81" t="s">
        <v>165</v>
      </c>
      <c r="E3644" s="81" t="s">
        <v>50</v>
      </c>
      <c r="F3644" s="81" t="s">
        <v>1</v>
      </c>
    </row>
    <row r="3645" spans="1:6" x14ac:dyDescent="0.25">
      <c r="A3645" s="14">
        <v>46149.833333333336</v>
      </c>
      <c r="B3645" s="81" t="s">
        <v>149</v>
      </c>
      <c r="C3645" s="81" t="s">
        <v>175</v>
      </c>
      <c r="D3645" s="81" t="s">
        <v>165</v>
      </c>
      <c r="E3645" s="81" t="s">
        <v>50</v>
      </c>
      <c r="F3645" s="81" t="s">
        <v>1</v>
      </c>
    </row>
    <row r="3646" spans="1:6" x14ac:dyDescent="0.25">
      <c r="A3646" s="14">
        <v>46149.833333333336</v>
      </c>
      <c r="B3646" s="81" t="s">
        <v>149</v>
      </c>
      <c r="C3646" s="81" t="s">
        <v>177</v>
      </c>
      <c r="D3646" s="81" t="s">
        <v>165</v>
      </c>
      <c r="E3646" s="81" t="s">
        <v>50</v>
      </c>
      <c r="F3646" s="81" t="s">
        <v>1</v>
      </c>
    </row>
    <row r="3647" spans="1:6" x14ac:dyDescent="0.25">
      <c r="A3647" s="14">
        <v>46149.833333333336</v>
      </c>
      <c r="B3647" s="81" t="s">
        <v>149</v>
      </c>
      <c r="C3647" s="81" t="s">
        <v>200</v>
      </c>
      <c r="D3647" s="81" t="s">
        <v>162</v>
      </c>
      <c r="E3647" s="81" t="s">
        <v>125</v>
      </c>
      <c r="F3647" s="81" t="s">
        <v>124</v>
      </c>
    </row>
    <row r="3648" spans="1:6" x14ac:dyDescent="0.25">
      <c r="A3648" s="14">
        <v>46149.833333333336</v>
      </c>
      <c r="B3648" s="81" t="s">
        <v>149</v>
      </c>
      <c r="C3648" s="81" t="s">
        <v>151</v>
      </c>
      <c r="D3648" s="81" t="s">
        <v>163</v>
      </c>
      <c r="E3648" s="81" t="s">
        <v>50</v>
      </c>
      <c r="F3648" s="81" t="s">
        <v>1</v>
      </c>
    </row>
    <row r="3649" spans="1:6" x14ac:dyDescent="0.25">
      <c r="A3649" s="14">
        <v>46149.833333333336</v>
      </c>
      <c r="B3649" s="81" t="s">
        <v>149</v>
      </c>
      <c r="C3649" s="81" t="s">
        <v>226</v>
      </c>
      <c r="D3649" s="81" t="s">
        <v>265</v>
      </c>
      <c r="E3649" s="81" t="s">
        <v>64</v>
      </c>
      <c r="F3649" s="81" t="s">
        <v>98</v>
      </c>
    </row>
    <row r="3650" spans="1:6" x14ac:dyDescent="0.25">
      <c r="A3650" s="14">
        <v>46149.833333333336</v>
      </c>
      <c r="B3650" s="81" t="s">
        <v>149</v>
      </c>
      <c r="C3650" s="81" t="s">
        <v>182</v>
      </c>
      <c r="D3650" s="81" t="s">
        <v>156</v>
      </c>
      <c r="E3650" s="81" t="s">
        <v>49</v>
      </c>
      <c r="F3650" s="81" t="s">
        <v>2</v>
      </c>
    </row>
    <row r="3651" spans="1:6" x14ac:dyDescent="0.25">
      <c r="A3651" s="14">
        <v>46149.833333333336</v>
      </c>
      <c r="B3651" s="81" t="s">
        <v>149</v>
      </c>
      <c r="C3651" s="81" t="s">
        <v>183</v>
      </c>
      <c r="D3651" s="81" t="s">
        <v>156</v>
      </c>
      <c r="E3651" s="81" t="s">
        <v>49</v>
      </c>
      <c r="F3651" s="81" t="s">
        <v>2</v>
      </c>
    </row>
    <row r="3652" spans="1:6" x14ac:dyDescent="0.25">
      <c r="A3652" s="14">
        <v>46149.833333333336</v>
      </c>
      <c r="B3652" s="81" t="s">
        <v>149</v>
      </c>
      <c r="C3652" s="81" t="s">
        <v>190</v>
      </c>
      <c r="D3652" s="81" t="s">
        <v>156</v>
      </c>
      <c r="E3652" s="81" t="s">
        <v>49</v>
      </c>
      <c r="F3652" s="81" t="s">
        <v>2</v>
      </c>
    </row>
    <row r="3653" spans="1:6" x14ac:dyDescent="0.25">
      <c r="A3653" s="14">
        <v>46149.833333333336</v>
      </c>
      <c r="B3653" s="81" t="s">
        <v>149</v>
      </c>
      <c r="C3653" s="81" t="s">
        <v>151</v>
      </c>
      <c r="D3653" s="81" t="s">
        <v>156</v>
      </c>
      <c r="E3653" s="81" t="s">
        <v>49</v>
      </c>
      <c r="F3653" s="81" t="s">
        <v>2</v>
      </c>
    </row>
    <row r="3654" spans="1:6" x14ac:dyDescent="0.25">
      <c r="A3654" s="14">
        <v>46149.833333333336</v>
      </c>
      <c r="B3654" s="81" t="s">
        <v>149</v>
      </c>
      <c r="C3654" s="81" t="s">
        <v>190</v>
      </c>
      <c r="D3654" s="81" t="s">
        <v>156</v>
      </c>
      <c r="E3654" s="81" t="s">
        <v>49</v>
      </c>
      <c r="F3654" s="81" t="s">
        <v>2</v>
      </c>
    </row>
    <row r="3655" spans="1:6" x14ac:dyDescent="0.25">
      <c r="A3655" s="14">
        <v>46149.833333333336</v>
      </c>
      <c r="B3655" s="81" t="s">
        <v>149</v>
      </c>
      <c r="C3655" s="81" t="s">
        <v>184</v>
      </c>
      <c r="D3655" s="81" t="s">
        <v>268</v>
      </c>
      <c r="E3655" s="81" t="s">
        <v>50</v>
      </c>
      <c r="F3655" s="81" t="s">
        <v>1</v>
      </c>
    </row>
    <row r="3656" spans="1:6" x14ac:dyDescent="0.25">
      <c r="A3656" s="14">
        <v>46149.833333333336</v>
      </c>
      <c r="B3656" s="81" t="s">
        <v>149</v>
      </c>
      <c r="C3656" s="81" t="s">
        <v>200</v>
      </c>
      <c r="D3656" s="81" t="s">
        <v>264</v>
      </c>
      <c r="E3656" s="81" t="s">
        <v>125</v>
      </c>
      <c r="F3656" s="81" t="s">
        <v>124</v>
      </c>
    </row>
    <row r="3657" spans="1:6" x14ac:dyDescent="0.25">
      <c r="A3657" s="14">
        <v>46149.833333333336</v>
      </c>
      <c r="B3657" s="81" t="s">
        <v>149</v>
      </c>
      <c r="C3657" s="81" t="s">
        <v>173</v>
      </c>
      <c r="D3657" s="81" t="s">
        <v>842</v>
      </c>
      <c r="E3657" s="81" t="s">
        <v>52</v>
      </c>
      <c r="F3657" s="81" t="s">
        <v>0</v>
      </c>
    </row>
    <row r="3658" spans="1:6" x14ac:dyDescent="0.25">
      <c r="A3658" s="14">
        <v>46149.833333333336</v>
      </c>
      <c r="B3658" s="81" t="s">
        <v>149</v>
      </c>
      <c r="C3658" s="81" t="s">
        <v>182</v>
      </c>
      <c r="D3658" s="81" t="s">
        <v>240</v>
      </c>
      <c r="E3658" s="81" t="s">
        <v>52</v>
      </c>
      <c r="F3658" s="81" t="s">
        <v>0</v>
      </c>
    </row>
    <row r="3659" spans="1:6" x14ac:dyDescent="0.25">
      <c r="A3659" s="14">
        <v>46149.833333333336</v>
      </c>
      <c r="B3659" s="81" t="s">
        <v>149</v>
      </c>
      <c r="C3659" s="81" t="s">
        <v>158</v>
      </c>
      <c r="D3659" s="81" t="s">
        <v>268</v>
      </c>
      <c r="E3659" s="81" t="s">
        <v>50</v>
      </c>
      <c r="F3659" s="81" t="s">
        <v>1</v>
      </c>
    </row>
    <row r="3660" spans="1:6" x14ac:dyDescent="0.25">
      <c r="A3660" s="14">
        <v>46149.833333333336</v>
      </c>
      <c r="B3660" s="81" t="s">
        <v>149</v>
      </c>
      <c r="C3660" s="81" t="s">
        <v>185</v>
      </c>
      <c r="D3660" s="81" t="s">
        <v>268</v>
      </c>
      <c r="E3660" s="81" t="s">
        <v>49</v>
      </c>
      <c r="F3660" s="81" t="s">
        <v>2</v>
      </c>
    </row>
    <row r="3661" spans="1:6" x14ac:dyDescent="0.25">
      <c r="A3661" s="14">
        <v>46149.833333333336</v>
      </c>
      <c r="B3661" s="81" t="s">
        <v>149</v>
      </c>
      <c r="C3661" s="81" t="s">
        <v>200</v>
      </c>
      <c r="D3661" s="81" t="s">
        <v>162</v>
      </c>
      <c r="E3661" s="81" t="s">
        <v>125</v>
      </c>
      <c r="F3661" s="81" t="s">
        <v>124</v>
      </c>
    </row>
    <row r="3662" spans="1:6" x14ac:dyDescent="0.25">
      <c r="A3662" s="14">
        <v>46149.833333333336</v>
      </c>
      <c r="B3662" s="81" t="s">
        <v>149</v>
      </c>
      <c r="C3662" s="81" t="s">
        <v>182</v>
      </c>
      <c r="D3662" s="81" t="s">
        <v>157</v>
      </c>
      <c r="E3662" s="81" t="s">
        <v>50</v>
      </c>
      <c r="F3662" s="81" t="s">
        <v>1</v>
      </c>
    </row>
    <row r="3663" spans="1:6" x14ac:dyDescent="0.25">
      <c r="A3663" s="14">
        <v>46149.833333333336</v>
      </c>
      <c r="B3663" s="81" t="s">
        <v>149</v>
      </c>
      <c r="C3663" s="81" t="s">
        <v>176</v>
      </c>
      <c r="D3663" s="81" t="s">
        <v>257</v>
      </c>
      <c r="E3663" s="81" t="s">
        <v>70</v>
      </c>
      <c r="F3663" s="81" t="s">
        <v>15</v>
      </c>
    </row>
    <row r="3664" spans="1:6" x14ac:dyDescent="0.25">
      <c r="A3664" s="14">
        <v>46149.833333333336</v>
      </c>
      <c r="B3664" s="81" t="s">
        <v>149</v>
      </c>
      <c r="C3664" s="81" t="s">
        <v>171</v>
      </c>
      <c r="D3664" s="81" t="s">
        <v>157</v>
      </c>
      <c r="E3664" s="81" t="s">
        <v>50</v>
      </c>
      <c r="F3664" s="81" t="s">
        <v>1</v>
      </c>
    </row>
    <row r="3665" spans="1:6" x14ac:dyDescent="0.25">
      <c r="A3665" s="14">
        <v>46149.833333333336</v>
      </c>
      <c r="B3665" s="81" t="s">
        <v>149</v>
      </c>
      <c r="C3665" s="81" t="s">
        <v>200</v>
      </c>
      <c r="D3665" s="81" t="s">
        <v>163</v>
      </c>
      <c r="E3665" s="81" t="s">
        <v>123</v>
      </c>
      <c r="F3665" s="81" t="s">
        <v>124</v>
      </c>
    </row>
    <row r="3666" spans="1:6" x14ac:dyDescent="0.25">
      <c r="A3666" s="14">
        <v>46149.833333333336</v>
      </c>
      <c r="B3666" s="81" t="s">
        <v>149</v>
      </c>
      <c r="C3666" s="81" t="s">
        <v>177</v>
      </c>
      <c r="D3666" s="81" t="s">
        <v>157</v>
      </c>
      <c r="E3666" s="81" t="s">
        <v>50</v>
      </c>
      <c r="F3666" s="81" t="s">
        <v>1</v>
      </c>
    </row>
    <row r="3667" spans="1:6" x14ac:dyDescent="0.25">
      <c r="A3667" s="14">
        <v>46149.833333333336</v>
      </c>
      <c r="B3667" s="81" t="s">
        <v>149</v>
      </c>
      <c r="C3667" s="81" t="s">
        <v>192</v>
      </c>
      <c r="D3667" s="81" t="s">
        <v>263</v>
      </c>
      <c r="E3667" s="81" t="s">
        <v>60</v>
      </c>
      <c r="F3667" s="81" t="s">
        <v>28</v>
      </c>
    </row>
    <row r="3668" spans="1:6" x14ac:dyDescent="0.25">
      <c r="A3668" s="14">
        <v>46149.833333333336</v>
      </c>
      <c r="B3668" s="81" t="s">
        <v>149</v>
      </c>
      <c r="C3668" s="81" t="s">
        <v>182</v>
      </c>
      <c r="D3668" s="81" t="s">
        <v>842</v>
      </c>
      <c r="E3668" s="81" t="s">
        <v>49</v>
      </c>
      <c r="F3668" s="81" t="s">
        <v>2</v>
      </c>
    </row>
    <row r="3669" spans="1:6" x14ac:dyDescent="0.25">
      <c r="A3669" s="14">
        <v>46149.833333333336</v>
      </c>
      <c r="B3669" s="81" t="s">
        <v>149</v>
      </c>
      <c r="C3669" s="81" t="s">
        <v>158</v>
      </c>
      <c r="D3669" s="81" t="s">
        <v>157</v>
      </c>
      <c r="E3669" s="81" t="s">
        <v>50</v>
      </c>
      <c r="F3669" s="81" t="s">
        <v>1</v>
      </c>
    </row>
    <row r="3670" spans="1:6" x14ac:dyDescent="0.25">
      <c r="A3670" s="14">
        <v>46149.833333333336</v>
      </c>
      <c r="B3670" s="81" t="s">
        <v>149</v>
      </c>
      <c r="C3670" s="81" t="s">
        <v>151</v>
      </c>
      <c r="D3670" s="81" t="s">
        <v>231</v>
      </c>
      <c r="E3670" s="81" t="s">
        <v>50</v>
      </c>
      <c r="F3670" s="81" t="s">
        <v>1</v>
      </c>
    </row>
    <row r="3671" spans="1:6" x14ac:dyDescent="0.25">
      <c r="A3671" s="14">
        <v>46149.833333333336</v>
      </c>
      <c r="B3671" s="81" t="s">
        <v>149</v>
      </c>
      <c r="C3671" s="81" t="s">
        <v>192</v>
      </c>
      <c r="D3671" s="81" t="s">
        <v>842</v>
      </c>
      <c r="E3671" s="81" t="s">
        <v>60</v>
      </c>
      <c r="F3671" s="81" t="s">
        <v>28</v>
      </c>
    </row>
    <row r="3672" spans="1:6" x14ac:dyDescent="0.25">
      <c r="A3672" s="14">
        <v>46149.833333333336</v>
      </c>
      <c r="B3672" s="81" t="s">
        <v>149</v>
      </c>
      <c r="C3672" s="81" t="s">
        <v>177</v>
      </c>
      <c r="D3672" s="81" t="s">
        <v>246</v>
      </c>
      <c r="E3672" s="81" t="s">
        <v>52</v>
      </c>
      <c r="F3672" s="81" t="s">
        <v>0</v>
      </c>
    </row>
    <row r="3673" spans="1:6" x14ac:dyDescent="0.25">
      <c r="A3673" s="14">
        <v>46149.833333333336</v>
      </c>
      <c r="B3673" s="81" t="s">
        <v>149</v>
      </c>
      <c r="C3673" s="81" t="s">
        <v>176</v>
      </c>
      <c r="D3673" s="81" t="s">
        <v>166</v>
      </c>
      <c r="E3673" s="81" t="s">
        <v>70</v>
      </c>
      <c r="F3673" s="81" t="s">
        <v>15</v>
      </c>
    </row>
    <row r="3674" spans="1:6" x14ac:dyDescent="0.25">
      <c r="A3674" s="14">
        <v>46149.833333333336</v>
      </c>
      <c r="B3674" s="81" t="s">
        <v>149</v>
      </c>
      <c r="C3674" s="81" t="s">
        <v>200</v>
      </c>
      <c r="D3674" s="81" t="s">
        <v>162</v>
      </c>
      <c r="E3674" s="81" t="s">
        <v>125</v>
      </c>
      <c r="F3674" s="81" t="s">
        <v>124</v>
      </c>
    </row>
    <row r="3675" spans="1:6" x14ac:dyDescent="0.25">
      <c r="A3675" s="14">
        <v>46149.833333333336</v>
      </c>
      <c r="B3675" s="81" t="s">
        <v>149</v>
      </c>
      <c r="C3675" s="81" t="s">
        <v>184</v>
      </c>
      <c r="D3675" s="81" t="s">
        <v>157</v>
      </c>
      <c r="E3675" s="81" t="s">
        <v>50</v>
      </c>
      <c r="F3675" s="81" t="s">
        <v>1</v>
      </c>
    </row>
    <row r="3676" spans="1:6" x14ac:dyDescent="0.25">
      <c r="A3676" s="14">
        <v>46149.833333333336</v>
      </c>
      <c r="B3676" s="81" t="s">
        <v>149</v>
      </c>
      <c r="C3676" s="81" t="s">
        <v>171</v>
      </c>
      <c r="D3676" s="81" t="s">
        <v>231</v>
      </c>
      <c r="E3676" s="81" t="s">
        <v>52</v>
      </c>
      <c r="F3676" s="81" t="s">
        <v>0</v>
      </c>
    </row>
    <row r="3677" spans="1:6" x14ac:dyDescent="0.25">
      <c r="A3677" s="14">
        <v>46149.833333333336</v>
      </c>
      <c r="B3677" s="81" t="s">
        <v>149</v>
      </c>
      <c r="C3677" s="81" t="s">
        <v>158</v>
      </c>
      <c r="D3677" s="81" t="s">
        <v>231</v>
      </c>
      <c r="E3677" s="81" t="s">
        <v>52</v>
      </c>
      <c r="F3677" s="81" t="s">
        <v>0</v>
      </c>
    </row>
    <row r="3678" spans="1:6" x14ac:dyDescent="0.25">
      <c r="A3678" s="14">
        <v>46149.833333333336</v>
      </c>
      <c r="B3678" s="81" t="s">
        <v>149</v>
      </c>
      <c r="C3678" s="81" t="s">
        <v>200</v>
      </c>
      <c r="D3678" s="81" t="s">
        <v>231</v>
      </c>
      <c r="E3678" s="81" t="s">
        <v>125</v>
      </c>
      <c r="F3678" s="81" t="s">
        <v>124</v>
      </c>
    </row>
    <row r="3679" spans="1:6" x14ac:dyDescent="0.25">
      <c r="A3679" s="14">
        <v>46149.833333333336</v>
      </c>
      <c r="B3679" s="81" t="s">
        <v>149</v>
      </c>
      <c r="C3679" s="81" t="s">
        <v>184</v>
      </c>
      <c r="D3679" s="81" t="s">
        <v>266</v>
      </c>
      <c r="E3679" s="81" t="s">
        <v>52</v>
      </c>
      <c r="F3679" s="81" t="s">
        <v>0</v>
      </c>
    </row>
    <row r="3680" spans="1:6" x14ac:dyDescent="0.25">
      <c r="A3680" s="14">
        <v>46149.833333333336</v>
      </c>
      <c r="B3680" s="81" t="s">
        <v>149</v>
      </c>
      <c r="C3680" s="81" t="s">
        <v>171</v>
      </c>
      <c r="D3680" s="81" t="s">
        <v>266</v>
      </c>
      <c r="E3680" s="81" t="s">
        <v>52</v>
      </c>
      <c r="F3680" s="81" t="s">
        <v>0</v>
      </c>
    </row>
    <row r="3681" spans="1:6" x14ac:dyDescent="0.25">
      <c r="A3681" s="14">
        <v>46149.833333333336</v>
      </c>
      <c r="B3681" s="81" t="s">
        <v>149</v>
      </c>
      <c r="C3681" s="81" t="s">
        <v>200</v>
      </c>
      <c r="D3681" s="81" t="s">
        <v>162</v>
      </c>
      <c r="E3681" s="81" t="s">
        <v>125</v>
      </c>
      <c r="F3681" s="81" t="s">
        <v>124</v>
      </c>
    </row>
    <row r="3682" spans="1:6" x14ac:dyDescent="0.25">
      <c r="A3682" s="14">
        <v>46149.833333333336</v>
      </c>
      <c r="B3682" s="81" t="s">
        <v>149</v>
      </c>
      <c r="C3682" s="81" t="s">
        <v>185</v>
      </c>
      <c r="D3682" s="81" t="s">
        <v>157</v>
      </c>
      <c r="E3682" s="81" t="s">
        <v>50</v>
      </c>
      <c r="F3682" s="81" t="s">
        <v>1</v>
      </c>
    </row>
    <row r="3683" spans="1:6" x14ac:dyDescent="0.25">
      <c r="A3683" s="14">
        <v>46149.833333333336</v>
      </c>
      <c r="B3683" s="81" t="s">
        <v>149</v>
      </c>
      <c r="C3683" s="81" t="s">
        <v>200</v>
      </c>
      <c r="D3683" s="81" t="s">
        <v>168</v>
      </c>
      <c r="E3683" s="81" t="s">
        <v>125</v>
      </c>
      <c r="F3683" s="81" t="s">
        <v>124</v>
      </c>
    </row>
    <row r="3684" spans="1:6" x14ac:dyDescent="0.25">
      <c r="A3684" s="14">
        <v>46149.833333333336</v>
      </c>
      <c r="B3684" s="81" t="s">
        <v>149</v>
      </c>
      <c r="C3684" s="81" t="s">
        <v>192</v>
      </c>
      <c r="D3684" s="81" t="s">
        <v>250</v>
      </c>
      <c r="E3684" s="81" t="s">
        <v>60</v>
      </c>
      <c r="F3684" s="81" t="s">
        <v>28</v>
      </c>
    </row>
    <row r="3685" spans="1:6" x14ac:dyDescent="0.25">
      <c r="A3685" s="14">
        <v>46149.833333333336</v>
      </c>
      <c r="B3685" s="81" t="s">
        <v>149</v>
      </c>
      <c r="C3685" s="81" t="s">
        <v>183</v>
      </c>
      <c r="D3685" s="81" t="s">
        <v>167</v>
      </c>
      <c r="E3685" s="81" t="s">
        <v>49</v>
      </c>
      <c r="F3685" s="81" t="s">
        <v>2</v>
      </c>
    </row>
    <row r="3686" spans="1:6" x14ac:dyDescent="0.25">
      <c r="A3686" s="14">
        <v>46149.833333333336</v>
      </c>
      <c r="B3686" s="81" t="s">
        <v>149</v>
      </c>
      <c r="C3686" s="81" t="s">
        <v>173</v>
      </c>
      <c r="D3686" s="81" t="s">
        <v>167</v>
      </c>
      <c r="E3686" s="81" t="s">
        <v>49</v>
      </c>
      <c r="F3686" s="81" t="s">
        <v>2</v>
      </c>
    </row>
    <row r="3687" spans="1:6" x14ac:dyDescent="0.25">
      <c r="A3687" s="14">
        <v>46149.833333333336</v>
      </c>
      <c r="B3687" s="81" t="s">
        <v>149</v>
      </c>
      <c r="C3687" s="81" t="s">
        <v>200</v>
      </c>
      <c r="D3687" s="81" t="s">
        <v>162</v>
      </c>
      <c r="E3687" s="81" t="s">
        <v>126</v>
      </c>
      <c r="F3687" s="81" t="s">
        <v>124</v>
      </c>
    </row>
    <row r="3688" spans="1:6" x14ac:dyDescent="0.25">
      <c r="A3688" s="14">
        <v>46149.833333333336</v>
      </c>
      <c r="B3688" s="81" t="s">
        <v>149</v>
      </c>
      <c r="C3688" s="81" t="s">
        <v>200</v>
      </c>
      <c r="D3688" s="81" t="s">
        <v>162</v>
      </c>
      <c r="E3688" s="81" t="s">
        <v>125</v>
      </c>
      <c r="F3688" s="81" t="s">
        <v>124</v>
      </c>
    </row>
    <row r="3689" spans="1:6" x14ac:dyDescent="0.25">
      <c r="A3689" s="14">
        <v>46149.833333333336</v>
      </c>
      <c r="B3689" s="81" t="s">
        <v>149</v>
      </c>
      <c r="C3689" s="81" t="s">
        <v>203</v>
      </c>
      <c r="D3689" s="81" t="s">
        <v>168</v>
      </c>
      <c r="E3689" s="81" t="s">
        <v>72</v>
      </c>
      <c r="F3689" s="81" t="s">
        <v>28</v>
      </c>
    </row>
    <row r="3690" spans="1:6" x14ac:dyDescent="0.25">
      <c r="A3690" s="14">
        <v>46149.833333333336</v>
      </c>
      <c r="B3690" s="81" t="s">
        <v>149</v>
      </c>
      <c r="C3690" s="81" t="s">
        <v>184</v>
      </c>
      <c r="D3690" s="81" t="s">
        <v>261</v>
      </c>
      <c r="E3690" s="81" t="s">
        <v>52</v>
      </c>
      <c r="F3690" s="81" t="s">
        <v>0</v>
      </c>
    </row>
    <row r="3691" spans="1:6" x14ac:dyDescent="0.25">
      <c r="A3691" s="14">
        <v>46149.833333333336</v>
      </c>
      <c r="B3691" s="81" t="s">
        <v>149</v>
      </c>
      <c r="C3691" s="81" t="s">
        <v>200</v>
      </c>
      <c r="D3691" s="81" t="s">
        <v>162</v>
      </c>
      <c r="E3691" s="81" t="s">
        <v>125</v>
      </c>
      <c r="F3691" s="81" t="s">
        <v>124</v>
      </c>
    </row>
    <row r="3692" spans="1:6" x14ac:dyDescent="0.25">
      <c r="A3692" s="14">
        <v>46149.833333333336</v>
      </c>
      <c r="B3692" s="81" t="s">
        <v>149</v>
      </c>
      <c r="C3692" s="81" t="s">
        <v>190</v>
      </c>
      <c r="D3692" s="81" t="s">
        <v>259</v>
      </c>
      <c r="E3692" s="81" t="s">
        <v>50</v>
      </c>
      <c r="F3692" s="81" t="s">
        <v>1</v>
      </c>
    </row>
    <row r="3693" spans="1:6" x14ac:dyDescent="0.25">
      <c r="A3693" s="14">
        <v>46149.833333333336</v>
      </c>
      <c r="B3693" s="81" t="s">
        <v>149</v>
      </c>
      <c r="C3693" s="81" t="s">
        <v>151</v>
      </c>
      <c r="D3693" s="81" t="s">
        <v>157</v>
      </c>
      <c r="E3693" s="81" t="s">
        <v>50</v>
      </c>
      <c r="F3693" s="81" t="s">
        <v>1</v>
      </c>
    </row>
    <row r="3694" spans="1:6" x14ac:dyDescent="0.25">
      <c r="A3694" s="14">
        <v>46149.833333333336</v>
      </c>
      <c r="B3694" s="81" t="s">
        <v>149</v>
      </c>
      <c r="C3694" s="81" t="s">
        <v>200</v>
      </c>
      <c r="D3694" s="81" t="s">
        <v>204</v>
      </c>
      <c r="E3694" s="81" t="s">
        <v>125</v>
      </c>
      <c r="F3694" s="81" t="s">
        <v>124</v>
      </c>
    </row>
    <row r="3695" spans="1:6" x14ac:dyDescent="0.25">
      <c r="A3695" s="14">
        <v>46149.833333333336</v>
      </c>
      <c r="B3695" s="81" t="s">
        <v>149</v>
      </c>
      <c r="C3695" s="81" t="s">
        <v>177</v>
      </c>
      <c r="D3695" s="81" t="s">
        <v>153</v>
      </c>
      <c r="E3695" s="81" t="s">
        <v>52</v>
      </c>
      <c r="F3695" s="81" t="s">
        <v>0</v>
      </c>
    </row>
    <row r="3696" spans="1:6" x14ac:dyDescent="0.25">
      <c r="A3696" s="14">
        <v>46149.833333333336</v>
      </c>
      <c r="B3696" s="81" t="s">
        <v>149</v>
      </c>
      <c r="C3696" s="81" t="s">
        <v>185</v>
      </c>
      <c r="D3696" s="81" t="s">
        <v>153</v>
      </c>
      <c r="E3696" s="81" t="s">
        <v>50</v>
      </c>
      <c r="F3696" s="81" t="s">
        <v>1</v>
      </c>
    </row>
    <row r="3697" spans="1:6" x14ac:dyDescent="0.25">
      <c r="A3697" s="14">
        <v>46149.833333333336</v>
      </c>
      <c r="B3697" s="81" t="s">
        <v>149</v>
      </c>
      <c r="C3697" s="81" t="s">
        <v>158</v>
      </c>
      <c r="D3697" s="81" t="s">
        <v>153</v>
      </c>
      <c r="E3697" s="81" t="s">
        <v>50</v>
      </c>
      <c r="F3697" s="81" t="s">
        <v>1</v>
      </c>
    </row>
    <row r="3698" spans="1:6" x14ac:dyDescent="0.25">
      <c r="A3698" s="14">
        <v>46149.833333333336</v>
      </c>
      <c r="B3698" s="81" t="s">
        <v>149</v>
      </c>
      <c r="C3698" s="81" t="s">
        <v>158</v>
      </c>
      <c r="D3698" s="81" t="s">
        <v>201</v>
      </c>
      <c r="E3698" s="81" t="s">
        <v>49</v>
      </c>
      <c r="F3698" s="81" t="s">
        <v>2</v>
      </c>
    </row>
    <row r="3699" spans="1:6" x14ac:dyDescent="0.25">
      <c r="A3699" s="14">
        <v>46149.833333333336</v>
      </c>
      <c r="B3699" s="81" t="s">
        <v>149</v>
      </c>
      <c r="C3699" s="81" t="s">
        <v>184</v>
      </c>
      <c r="D3699" s="81" t="s">
        <v>266</v>
      </c>
      <c r="E3699" s="81" t="s">
        <v>52</v>
      </c>
      <c r="F3699" s="81" t="s">
        <v>0</v>
      </c>
    </row>
    <row r="3700" spans="1:6" x14ac:dyDescent="0.25">
      <c r="A3700" s="14">
        <v>46149.833333333336</v>
      </c>
      <c r="B3700" s="81" t="s">
        <v>149</v>
      </c>
      <c r="C3700" s="81" t="s">
        <v>200</v>
      </c>
      <c r="D3700" s="81" t="s">
        <v>162</v>
      </c>
      <c r="E3700" s="81" t="s">
        <v>123</v>
      </c>
      <c r="F3700" s="81" t="s">
        <v>124</v>
      </c>
    </row>
    <row r="3701" spans="1:6" x14ac:dyDescent="0.25">
      <c r="A3701" s="14">
        <v>46149.833333333336</v>
      </c>
      <c r="B3701" s="81" t="s">
        <v>149</v>
      </c>
      <c r="C3701" s="81" t="s">
        <v>151</v>
      </c>
      <c r="D3701" s="81" t="s">
        <v>201</v>
      </c>
      <c r="E3701" s="81" t="s">
        <v>49</v>
      </c>
      <c r="F3701" s="81" t="s">
        <v>2</v>
      </c>
    </row>
    <row r="3702" spans="1:6" x14ac:dyDescent="0.25">
      <c r="A3702" s="14">
        <v>46149.833333333336</v>
      </c>
      <c r="B3702" s="81" t="s">
        <v>149</v>
      </c>
      <c r="C3702" s="81" t="s">
        <v>158</v>
      </c>
      <c r="D3702" s="81" t="s">
        <v>267</v>
      </c>
      <c r="E3702" s="81" t="s">
        <v>52</v>
      </c>
      <c r="F3702" s="81" t="s">
        <v>0</v>
      </c>
    </row>
    <row r="3703" spans="1:6" x14ac:dyDescent="0.25">
      <c r="A3703" s="14">
        <v>46149.833333333336</v>
      </c>
      <c r="B3703" s="81" t="s">
        <v>149</v>
      </c>
      <c r="C3703" s="81" t="s">
        <v>188</v>
      </c>
      <c r="D3703" s="81" t="s">
        <v>157</v>
      </c>
      <c r="E3703" s="81" t="s">
        <v>45</v>
      </c>
      <c r="F3703" s="81" t="s">
        <v>28</v>
      </c>
    </row>
    <row r="3704" spans="1:6" x14ac:dyDescent="0.25">
      <c r="A3704" s="14">
        <v>46149.833333333336</v>
      </c>
      <c r="B3704" s="81" t="s">
        <v>149</v>
      </c>
      <c r="C3704" s="81" t="s">
        <v>189</v>
      </c>
      <c r="D3704" s="81" t="s">
        <v>157</v>
      </c>
      <c r="E3704" s="81" t="s">
        <v>45</v>
      </c>
      <c r="F3704" s="81" t="s">
        <v>28</v>
      </c>
    </row>
    <row r="3705" spans="1:6" x14ac:dyDescent="0.25">
      <c r="A3705" s="14">
        <v>46149.833333333336</v>
      </c>
      <c r="B3705" s="81" t="s">
        <v>149</v>
      </c>
      <c r="C3705" s="81" t="s">
        <v>239</v>
      </c>
      <c r="D3705" s="81" t="s">
        <v>157</v>
      </c>
      <c r="E3705" s="81" t="s">
        <v>45</v>
      </c>
      <c r="F3705" s="81" t="s">
        <v>28</v>
      </c>
    </row>
    <row r="3706" spans="1:6" x14ac:dyDescent="0.25">
      <c r="A3706" s="14">
        <v>46149.833333333336</v>
      </c>
      <c r="B3706" s="81" t="s">
        <v>149</v>
      </c>
      <c r="C3706" s="81" t="s">
        <v>158</v>
      </c>
      <c r="D3706" s="81" t="s">
        <v>157</v>
      </c>
      <c r="E3706" s="81" t="s">
        <v>50</v>
      </c>
      <c r="F3706" s="81" t="s">
        <v>1</v>
      </c>
    </row>
    <row r="3707" spans="1:6" x14ac:dyDescent="0.25">
      <c r="A3707" s="14">
        <v>46149.833333333336</v>
      </c>
      <c r="B3707" s="81" t="s">
        <v>149</v>
      </c>
      <c r="C3707" s="81" t="s">
        <v>151</v>
      </c>
      <c r="D3707" s="81" t="s">
        <v>162</v>
      </c>
      <c r="E3707" s="81" t="s">
        <v>48</v>
      </c>
      <c r="F3707" s="81" t="s">
        <v>3</v>
      </c>
    </row>
    <row r="3708" spans="1:6" x14ac:dyDescent="0.25">
      <c r="A3708" s="14">
        <v>46149.833333333336</v>
      </c>
      <c r="B3708" s="81" t="s">
        <v>149</v>
      </c>
      <c r="C3708" s="81" t="s">
        <v>200</v>
      </c>
      <c r="D3708" s="81" t="s">
        <v>162</v>
      </c>
      <c r="E3708" s="81" t="s">
        <v>126</v>
      </c>
      <c r="F3708" s="81" t="s">
        <v>124</v>
      </c>
    </row>
    <row r="3709" spans="1:6" x14ac:dyDescent="0.25">
      <c r="A3709" s="14">
        <v>46149.833333333336</v>
      </c>
      <c r="B3709" s="81" t="s">
        <v>149</v>
      </c>
      <c r="C3709" s="81" t="s">
        <v>171</v>
      </c>
      <c r="D3709" s="81" t="s">
        <v>267</v>
      </c>
      <c r="E3709" s="81" t="s">
        <v>50</v>
      </c>
      <c r="F3709" s="81" t="s">
        <v>1</v>
      </c>
    </row>
    <row r="3710" spans="1:6" x14ac:dyDescent="0.25">
      <c r="A3710" s="14">
        <v>46149.833333333336</v>
      </c>
      <c r="B3710" s="81" t="s">
        <v>149</v>
      </c>
      <c r="C3710" s="81" t="s">
        <v>200</v>
      </c>
      <c r="D3710" s="81" t="s">
        <v>162</v>
      </c>
      <c r="E3710" s="81" t="s">
        <v>126</v>
      </c>
      <c r="F3710" s="81" t="s">
        <v>124</v>
      </c>
    </row>
    <row r="3711" spans="1:6" x14ac:dyDescent="0.25">
      <c r="A3711" s="14">
        <v>46149.833333333336</v>
      </c>
      <c r="B3711" s="81" t="s">
        <v>149</v>
      </c>
      <c r="C3711" s="81" t="s">
        <v>200</v>
      </c>
      <c r="D3711" s="81" t="s">
        <v>162</v>
      </c>
      <c r="E3711" s="81" t="s">
        <v>126</v>
      </c>
      <c r="F3711" s="81" t="s">
        <v>124</v>
      </c>
    </row>
    <row r="3712" spans="1:6" x14ac:dyDescent="0.25">
      <c r="A3712" s="14">
        <v>46149.833333333336</v>
      </c>
      <c r="B3712" s="81" t="s">
        <v>149</v>
      </c>
      <c r="C3712" s="81" t="s">
        <v>200</v>
      </c>
      <c r="D3712" s="81" t="s">
        <v>162</v>
      </c>
      <c r="E3712" s="81" t="s">
        <v>126</v>
      </c>
      <c r="F3712" s="81" t="s">
        <v>124</v>
      </c>
    </row>
    <row r="3713" spans="1:6" x14ac:dyDescent="0.25">
      <c r="A3713" s="14">
        <v>46149.833333333336</v>
      </c>
      <c r="B3713" s="81" t="s">
        <v>149</v>
      </c>
      <c r="C3713" s="81" t="s">
        <v>182</v>
      </c>
      <c r="D3713" s="81" t="s">
        <v>153</v>
      </c>
      <c r="E3713" s="81" t="s">
        <v>50</v>
      </c>
      <c r="F3713" s="81" t="s">
        <v>1</v>
      </c>
    </row>
    <row r="3714" spans="1:6" x14ac:dyDescent="0.25">
      <c r="A3714" s="14">
        <v>46149.833333333336</v>
      </c>
      <c r="B3714" s="81" t="s">
        <v>149</v>
      </c>
      <c r="C3714" s="81" t="s">
        <v>158</v>
      </c>
      <c r="D3714" s="81" t="s">
        <v>153</v>
      </c>
      <c r="E3714" s="81" t="s">
        <v>52</v>
      </c>
      <c r="F3714" s="81" t="s">
        <v>0</v>
      </c>
    </row>
    <row r="3715" spans="1:6" x14ac:dyDescent="0.25">
      <c r="A3715" s="14">
        <v>46149.833333333336</v>
      </c>
      <c r="B3715" s="81" t="s">
        <v>149</v>
      </c>
      <c r="C3715" s="81" t="s">
        <v>185</v>
      </c>
      <c r="D3715" s="81" t="s">
        <v>153</v>
      </c>
      <c r="E3715" s="81" t="s">
        <v>52</v>
      </c>
      <c r="F3715" s="81" t="s">
        <v>0</v>
      </c>
    </row>
    <row r="3716" spans="1:6" x14ac:dyDescent="0.25">
      <c r="A3716" s="14">
        <v>46149.833333333336</v>
      </c>
      <c r="B3716" s="81" t="s">
        <v>149</v>
      </c>
      <c r="C3716" s="81" t="s">
        <v>200</v>
      </c>
      <c r="D3716" s="81" t="s">
        <v>153</v>
      </c>
      <c r="E3716" s="81" t="s">
        <v>123</v>
      </c>
      <c r="F3716" s="81" t="s">
        <v>124</v>
      </c>
    </row>
    <row r="3717" spans="1:6" x14ac:dyDescent="0.25">
      <c r="A3717" s="14">
        <v>46149.833333333336</v>
      </c>
      <c r="B3717" s="81" t="s">
        <v>149</v>
      </c>
      <c r="C3717" s="81" t="s">
        <v>184</v>
      </c>
      <c r="D3717" s="81" t="s">
        <v>157</v>
      </c>
      <c r="E3717" s="81" t="s">
        <v>50</v>
      </c>
      <c r="F3717" s="81" t="s">
        <v>1</v>
      </c>
    </row>
    <row r="3718" spans="1:6" x14ac:dyDescent="0.25">
      <c r="A3718" s="14">
        <v>46149.833333333336</v>
      </c>
      <c r="B3718" s="81" t="s">
        <v>149</v>
      </c>
      <c r="C3718" s="81" t="s">
        <v>200</v>
      </c>
      <c r="D3718" s="81" t="s">
        <v>157</v>
      </c>
      <c r="E3718" s="81" t="s">
        <v>123</v>
      </c>
      <c r="F3718" s="81" t="s">
        <v>124</v>
      </c>
    </row>
    <row r="3719" spans="1:6" x14ac:dyDescent="0.25">
      <c r="A3719" s="14">
        <v>46149.833333333336</v>
      </c>
      <c r="B3719" s="81" t="s">
        <v>149</v>
      </c>
      <c r="C3719" s="81" t="s">
        <v>190</v>
      </c>
      <c r="D3719" s="81" t="s">
        <v>157</v>
      </c>
      <c r="E3719" s="81" t="s">
        <v>50</v>
      </c>
      <c r="F3719" s="81" t="s">
        <v>1</v>
      </c>
    </row>
    <row r="3720" spans="1:6" x14ac:dyDescent="0.25">
      <c r="A3720" s="14">
        <v>46149.833333333336</v>
      </c>
      <c r="B3720" s="81" t="s">
        <v>149</v>
      </c>
      <c r="C3720" s="81" t="s">
        <v>185</v>
      </c>
      <c r="D3720" s="81" t="s">
        <v>157</v>
      </c>
      <c r="E3720" s="81" t="s">
        <v>50</v>
      </c>
      <c r="F3720" s="81" t="s">
        <v>1</v>
      </c>
    </row>
    <row r="3721" spans="1:6" x14ac:dyDescent="0.25">
      <c r="A3721" s="14">
        <v>46149.833333333336</v>
      </c>
      <c r="B3721" s="81" t="s">
        <v>149</v>
      </c>
      <c r="C3721" s="81" t="s">
        <v>227</v>
      </c>
      <c r="D3721" s="81" t="s">
        <v>238</v>
      </c>
      <c r="E3721" s="81" t="s">
        <v>64</v>
      </c>
      <c r="F3721" s="81" t="s">
        <v>98</v>
      </c>
    </row>
    <row r="3722" spans="1:6" x14ac:dyDescent="0.25">
      <c r="A3722" s="14">
        <v>46149.833333333336</v>
      </c>
      <c r="B3722" s="81" t="s">
        <v>149</v>
      </c>
      <c r="C3722" s="81" t="s">
        <v>184</v>
      </c>
      <c r="D3722" s="81" t="s">
        <v>238</v>
      </c>
      <c r="E3722" s="81" t="s">
        <v>50</v>
      </c>
      <c r="F3722" s="81" t="s">
        <v>1</v>
      </c>
    </row>
    <row r="3723" spans="1:6" x14ac:dyDescent="0.25">
      <c r="A3723" s="14">
        <v>46149.833333333336</v>
      </c>
      <c r="B3723" s="81" t="s">
        <v>149</v>
      </c>
      <c r="C3723" s="81" t="s">
        <v>151</v>
      </c>
      <c r="D3723" s="81" t="s">
        <v>165</v>
      </c>
      <c r="E3723" s="81" t="s">
        <v>50</v>
      </c>
      <c r="F3723" s="81" t="s">
        <v>1</v>
      </c>
    </row>
    <row r="3724" spans="1:6" x14ac:dyDescent="0.25">
      <c r="A3724" s="14">
        <v>46149.833333333336</v>
      </c>
      <c r="B3724" s="81" t="s">
        <v>149</v>
      </c>
      <c r="C3724" s="81" t="s">
        <v>175</v>
      </c>
      <c r="D3724" s="81" t="s">
        <v>168</v>
      </c>
      <c r="E3724" s="81" t="s">
        <v>50</v>
      </c>
      <c r="F3724" s="81" t="s">
        <v>1</v>
      </c>
    </row>
    <row r="3725" spans="1:6" x14ac:dyDescent="0.25">
      <c r="A3725" s="14">
        <v>46149.833333333336</v>
      </c>
      <c r="B3725" s="81" t="s">
        <v>149</v>
      </c>
      <c r="C3725" s="81" t="s">
        <v>200</v>
      </c>
      <c r="D3725" s="81" t="s">
        <v>201</v>
      </c>
      <c r="E3725" s="81" t="s">
        <v>123</v>
      </c>
      <c r="F3725" s="81" t="s">
        <v>124</v>
      </c>
    </row>
    <row r="3726" spans="1:6" x14ac:dyDescent="0.25">
      <c r="A3726" s="14">
        <v>46149.833333333336</v>
      </c>
      <c r="B3726" s="81" t="s">
        <v>149</v>
      </c>
      <c r="C3726" s="81" t="s">
        <v>173</v>
      </c>
      <c r="D3726" s="81" t="s">
        <v>250</v>
      </c>
      <c r="E3726" s="81" t="s">
        <v>50</v>
      </c>
      <c r="F3726" s="81" t="s">
        <v>1</v>
      </c>
    </row>
    <row r="3727" spans="1:6" x14ac:dyDescent="0.25">
      <c r="A3727" s="14">
        <v>46149.833333333336</v>
      </c>
      <c r="B3727" s="81" t="s">
        <v>149</v>
      </c>
      <c r="C3727" s="81" t="s">
        <v>171</v>
      </c>
      <c r="D3727" s="81" t="s">
        <v>168</v>
      </c>
      <c r="E3727" s="81" t="s">
        <v>50</v>
      </c>
      <c r="F3727" s="81" t="s">
        <v>1</v>
      </c>
    </row>
    <row r="3728" spans="1:6" x14ac:dyDescent="0.25">
      <c r="A3728" s="14">
        <v>46149.833333333336</v>
      </c>
      <c r="B3728" s="81" t="s">
        <v>149</v>
      </c>
      <c r="C3728" s="81" t="s">
        <v>177</v>
      </c>
      <c r="D3728" s="81" t="s">
        <v>168</v>
      </c>
      <c r="E3728" s="81" t="s">
        <v>49</v>
      </c>
      <c r="F3728" s="81" t="s">
        <v>2</v>
      </c>
    </row>
    <row r="3729" spans="1:6" x14ac:dyDescent="0.25">
      <c r="A3729" s="14">
        <v>46149.833333333336</v>
      </c>
      <c r="B3729" s="81" t="s">
        <v>149</v>
      </c>
      <c r="C3729" s="81" t="s">
        <v>182</v>
      </c>
      <c r="D3729" s="81" t="s">
        <v>168</v>
      </c>
      <c r="E3729" s="81" t="s">
        <v>50</v>
      </c>
      <c r="F3729" s="81" t="s">
        <v>1</v>
      </c>
    </row>
    <row r="3730" spans="1:6" x14ac:dyDescent="0.25">
      <c r="A3730" s="14">
        <v>46149.833333333336</v>
      </c>
      <c r="B3730" s="81" t="s">
        <v>149</v>
      </c>
      <c r="C3730" s="81" t="s">
        <v>151</v>
      </c>
      <c r="D3730" s="81" t="s">
        <v>250</v>
      </c>
      <c r="E3730" s="81" t="s">
        <v>52</v>
      </c>
      <c r="F3730" s="81" t="s">
        <v>0</v>
      </c>
    </row>
    <row r="3731" spans="1:6" x14ac:dyDescent="0.25">
      <c r="A3731" s="14">
        <v>46149.833333333336</v>
      </c>
      <c r="B3731" s="81" t="s">
        <v>149</v>
      </c>
      <c r="C3731" s="81" t="s">
        <v>183</v>
      </c>
      <c r="D3731" s="81" t="s">
        <v>168</v>
      </c>
      <c r="E3731" s="81" t="s">
        <v>49</v>
      </c>
      <c r="F3731" s="81" t="s">
        <v>2</v>
      </c>
    </row>
    <row r="3732" spans="1:6" x14ac:dyDescent="0.25">
      <c r="A3732" s="14">
        <v>46149.833333333336</v>
      </c>
      <c r="B3732" s="81" t="s">
        <v>149</v>
      </c>
      <c r="C3732" s="81" t="s">
        <v>151</v>
      </c>
      <c r="D3732" s="81" t="s">
        <v>168</v>
      </c>
      <c r="E3732" s="81" t="s">
        <v>50</v>
      </c>
      <c r="F3732" s="81" t="s">
        <v>1</v>
      </c>
    </row>
    <row r="3733" spans="1:6" x14ac:dyDescent="0.25">
      <c r="A3733" s="14">
        <v>46149.833333333336</v>
      </c>
      <c r="B3733" s="81" t="s">
        <v>149</v>
      </c>
      <c r="C3733" s="81" t="s">
        <v>181</v>
      </c>
      <c r="D3733" s="81" t="s">
        <v>250</v>
      </c>
      <c r="E3733" s="81" t="s">
        <v>52</v>
      </c>
      <c r="F3733" s="81" t="s">
        <v>0</v>
      </c>
    </row>
    <row r="3734" spans="1:6" x14ac:dyDescent="0.25">
      <c r="A3734" s="14">
        <v>46149.833333333336</v>
      </c>
      <c r="B3734" s="81" t="s">
        <v>149</v>
      </c>
      <c r="C3734" s="81" t="s">
        <v>175</v>
      </c>
      <c r="D3734" s="81" t="s">
        <v>250</v>
      </c>
      <c r="E3734" s="81" t="s">
        <v>52</v>
      </c>
      <c r="F3734" s="81" t="s">
        <v>0</v>
      </c>
    </row>
    <row r="3735" spans="1:6" x14ac:dyDescent="0.25">
      <c r="A3735" s="14">
        <v>46149.833333333336</v>
      </c>
      <c r="B3735" s="81" t="s">
        <v>149</v>
      </c>
      <c r="C3735" s="81" t="s">
        <v>190</v>
      </c>
      <c r="D3735" s="81" t="s">
        <v>168</v>
      </c>
      <c r="E3735" s="81" t="s">
        <v>50</v>
      </c>
      <c r="F3735" s="81" t="s">
        <v>1</v>
      </c>
    </row>
    <row r="3736" spans="1:6" x14ac:dyDescent="0.25">
      <c r="A3736" s="14">
        <v>46149.833333333336</v>
      </c>
      <c r="B3736" s="81" t="s">
        <v>149</v>
      </c>
      <c r="C3736" s="81" t="s">
        <v>171</v>
      </c>
      <c r="D3736" s="81" t="s">
        <v>250</v>
      </c>
      <c r="E3736" s="81" t="s">
        <v>50</v>
      </c>
      <c r="F3736" s="81" t="s">
        <v>1</v>
      </c>
    </row>
    <row r="3737" spans="1:6" x14ac:dyDescent="0.25">
      <c r="A3737" s="14">
        <v>46149.833333333336</v>
      </c>
      <c r="B3737" s="81" t="s">
        <v>149</v>
      </c>
      <c r="C3737" s="81" t="s">
        <v>171</v>
      </c>
      <c r="D3737" s="81" t="s">
        <v>168</v>
      </c>
      <c r="E3737" s="81" t="s">
        <v>49</v>
      </c>
      <c r="F3737" s="81" t="s">
        <v>2</v>
      </c>
    </row>
    <row r="3738" spans="1:6" x14ac:dyDescent="0.25">
      <c r="A3738" s="14">
        <v>46149.833333333336</v>
      </c>
      <c r="B3738" s="81" t="s">
        <v>149</v>
      </c>
      <c r="C3738" s="81" t="s">
        <v>185</v>
      </c>
      <c r="D3738" s="81" t="s">
        <v>168</v>
      </c>
      <c r="E3738" s="81" t="s">
        <v>50</v>
      </c>
      <c r="F3738" s="81" t="s">
        <v>1</v>
      </c>
    </row>
    <row r="3739" spans="1:6" x14ac:dyDescent="0.25">
      <c r="A3739" s="14">
        <v>46149.833333333336</v>
      </c>
      <c r="B3739" s="81" t="s">
        <v>149</v>
      </c>
      <c r="C3739" s="81" t="s">
        <v>183</v>
      </c>
      <c r="D3739" s="81" t="s">
        <v>168</v>
      </c>
      <c r="E3739" s="81" t="s">
        <v>50</v>
      </c>
      <c r="F3739" s="81" t="s">
        <v>1</v>
      </c>
    </row>
    <row r="3740" spans="1:6" x14ac:dyDescent="0.25">
      <c r="A3740" s="14">
        <v>46149.833333333336</v>
      </c>
      <c r="B3740" s="81" t="s">
        <v>149</v>
      </c>
      <c r="C3740" s="81" t="s">
        <v>151</v>
      </c>
      <c r="D3740" s="81" t="s">
        <v>168</v>
      </c>
      <c r="E3740" s="81" t="s">
        <v>50</v>
      </c>
      <c r="F3740" s="81" t="s">
        <v>1</v>
      </c>
    </row>
    <row r="3741" spans="1:6" x14ac:dyDescent="0.25">
      <c r="A3741" s="14">
        <v>46149.833333333336</v>
      </c>
      <c r="B3741" s="81" t="s">
        <v>149</v>
      </c>
      <c r="C3741" s="81" t="s">
        <v>181</v>
      </c>
      <c r="D3741" s="81" t="s">
        <v>252</v>
      </c>
      <c r="E3741" s="81" t="s">
        <v>50</v>
      </c>
      <c r="F3741" s="81" t="s">
        <v>1</v>
      </c>
    </row>
    <row r="3742" spans="1:6" x14ac:dyDescent="0.25">
      <c r="A3742" s="14">
        <v>46149.833333333336</v>
      </c>
      <c r="B3742" s="81" t="s">
        <v>149</v>
      </c>
      <c r="C3742" s="81" t="s">
        <v>176</v>
      </c>
      <c r="D3742" s="81" t="s">
        <v>168</v>
      </c>
      <c r="E3742" s="81" t="s">
        <v>63</v>
      </c>
      <c r="F3742" s="81" t="s">
        <v>16</v>
      </c>
    </row>
    <row r="3743" spans="1:6" x14ac:dyDescent="0.25">
      <c r="A3743" s="14">
        <v>46149.833333333336</v>
      </c>
      <c r="B3743" s="81" t="s">
        <v>149</v>
      </c>
      <c r="C3743" s="81" t="s">
        <v>187</v>
      </c>
      <c r="D3743" s="81" t="s">
        <v>201</v>
      </c>
      <c r="E3743" s="81" t="s">
        <v>75</v>
      </c>
      <c r="F3743" s="81" t="s">
        <v>93</v>
      </c>
    </row>
    <row r="3744" spans="1:6" x14ac:dyDescent="0.25">
      <c r="A3744" s="14">
        <v>46149.833333333336</v>
      </c>
      <c r="B3744" s="81" t="s">
        <v>149</v>
      </c>
      <c r="C3744" s="81" t="s">
        <v>200</v>
      </c>
      <c r="D3744" s="81" t="s">
        <v>201</v>
      </c>
      <c r="E3744" s="81" t="s">
        <v>123</v>
      </c>
      <c r="F3744" s="81" t="s">
        <v>124</v>
      </c>
    </row>
    <row r="3745" spans="1:6" x14ac:dyDescent="0.25">
      <c r="A3745" s="14">
        <v>46149.833333333336</v>
      </c>
      <c r="B3745" s="81" t="s">
        <v>149</v>
      </c>
      <c r="C3745" s="81" t="s">
        <v>177</v>
      </c>
      <c r="D3745" s="81" t="s">
        <v>250</v>
      </c>
      <c r="E3745" s="81" t="s">
        <v>52</v>
      </c>
      <c r="F3745" s="81" t="s">
        <v>0</v>
      </c>
    </row>
    <row r="3746" spans="1:6" x14ac:dyDescent="0.25">
      <c r="A3746" s="14">
        <v>46149.833333333336</v>
      </c>
      <c r="B3746" s="81" t="s">
        <v>149</v>
      </c>
      <c r="C3746" s="81" t="s">
        <v>192</v>
      </c>
      <c r="D3746" s="81" t="s">
        <v>165</v>
      </c>
      <c r="E3746" s="81" t="s">
        <v>60</v>
      </c>
      <c r="F3746" s="81" t="s">
        <v>28</v>
      </c>
    </row>
    <row r="3747" spans="1:6" x14ac:dyDescent="0.25">
      <c r="A3747" s="14">
        <v>46149.833333333336</v>
      </c>
      <c r="B3747" s="81" t="s">
        <v>149</v>
      </c>
      <c r="C3747" s="81" t="s">
        <v>181</v>
      </c>
      <c r="D3747" s="81" t="s">
        <v>165</v>
      </c>
      <c r="E3747" s="81" t="s">
        <v>50</v>
      </c>
      <c r="F3747" s="81" t="s">
        <v>1</v>
      </c>
    </row>
    <row r="3748" spans="1:6" x14ac:dyDescent="0.25">
      <c r="A3748" s="14">
        <v>46149.833333333336</v>
      </c>
      <c r="B3748" s="81" t="s">
        <v>149</v>
      </c>
      <c r="C3748" s="81" t="s">
        <v>171</v>
      </c>
      <c r="D3748" s="81" t="s">
        <v>252</v>
      </c>
      <c r="E3748" s="81" t="s">
        <v>50</v>
      </c>
      <c r="F3748" s="81" t="s">
        <v>1</v>
      </c>
    </row>
    <row r="3749" spans="1:6" x14ac:dyDescent="0.25">
      <c r="A3749" s="14">
        <v>46149.833333333336</v>
      </c>
      <c r="B3749" s="81" t="s">
        <v>149</v>
      </c>
      <c r="C3749" s="81" t="s">
        <v>181</v>
      </c>
      <c r="D3749" s="81" t="s">
        <v>263</v>
      </c>
      <c r="E3749" s="81" t="s">
        <v>50</v>
      </c>
      <c r="F3749" s="81" t="s">
        <v>1</v>
      </c>
    </row>
    <row r="3750" spans="1:6" x14ac:dyDescent="0.25">
      <c r="A3750" s="14">
        <v>46149.833333333336</v>
      </c>
      <c r="B3750" s="81" t="s">
        <v>149</v>
      </c>
      <c r="C3750" s="81" t="s">
        <v>177</v>
      </c>
      <c r="D3750" s="81" t="s">
        <v>242</v>
      </c>
      <c r="E3750" s="81" t="s">
        <v>49</v>
      </c>
      <c r="F3750" s="81" t="s">
        <v>2</v>
      </c>
    </row>
    <row r="3751" spans="1:6" x14ac:dyDescent="0.25">
      <c r="A3751" s="14">
        <v>46149.833333333336</v>
      </c>
      <c r="B3751" s="81" t="s">
        <v>149</v>
      </c>
      <c r="C3751" s="81" t="s">
        <v>184</v>
      </c>
      <c r="D3751" s="81" t="s">
        <v>165</v>
      </c>
      <c r="E3751" s="81" t="s">
        <v>50</v>
      </c>
      <c r="F3751" s="81" t="s">
        <v>1</v>
      </c>
    </row>
    <row r="3752" spans="1:6" x14ac:dyDescent="0.25">
      <c r="A3752" s="14">
        <v>46149.833333333336</v>
      </c>
      <c r="B3752" s="81" t="s">
        <v>149</v>
      </c>
      <c r="C3752" s="81" t="s">
        <v>190</v>
      </c>
      <c r="D3752" s="81" t="s">
        <v>263</v>
      </c>
      <c r="E3752" s="81" t="s">
        <v>52</v>
      </c>
      <c r="F3752" s="81" t="s">
        <v>0</v>
      </c>
    </row>
    <row r="3753" spans="1:6" x14ac:dyDescent="0.25">
      <c r="A3753" s="14">
        <v>46149.833333333336</v>
      </c>
      <c r="B3753" s="81" t="s">
        <v>149</v>
      </c>
      <c r="C3753" s="81" t="s">
        <v>187</v>
      </c>
      <c r="D3753" s="81" t="s">
        <v>165</v>
      </c>
      <c r="E3753" s="81" t="s">
        <v>75</v>
      </c>
      <c r="F3753" s="81" t="s">
        <v>93</v>
      </c>
    </row>
    <row r="3754" spans="1:6" x14ac:dyDescent="0.25">
      <c r="A3754" s="14">
        <v>46149.833333333336</v>
      </c>
      <c r="B3754" s="81" t="s">
        <v>149</v>
      </c>
      <c r="C3754" s="81" t="s">
        <v>190</v>
      </c>
      <c r="D3754" s="81" t="s">
        <v>267</v>
      </c>
      <c r="E3754" s="81" t="s">
        <v>52</v>
      </c>
      <c r="F3754" s="81" t="s">
        <v>0</v>
      </c>
    </row>
    <row r="3755" spans="1:6" x14ac:dyDescent="0.25">
      <c r="A3755" s="14">
        <v>46149.833333333336</v>
      </c>
      <c r="B3755" s="81" t="s">
        <v>149</v>
      </c>
      <c r="C3755" s="81" t="s">
        <v>184</v>
      </c>
      <c r="D3755" s="81" t="s">
        <v>165</v>
      </c>
      <c r="E3755" s="81" t="s">
        <v>50</v>
      </c>
      <c r="F3755" s="81" t="s">
        <v>1</v>
      </c>
    </row>
    <row r="3756" spans="1:6" x14ac:dyDescent="0.25">
      <c r="A3756" s="14">
        <v>46149.833333333336</v>
      </c>
      <c r="B3756" s="81" t="s">
        <v>195</v>
      </c>
      <c r="C3756" s="81" t="s">
        <v>198</v>
      </c>
      <c r="D3756" s="81" t="s">
        <v>254</v>
      </c>
      <c r="E3756" s="81" t="s">
        <v>24</v>
      </c>
      <c r="F3756" s="81" t="s">
        <v>24</v>
      </c>
    </row>
    <row r="3757" spans="1:6" x14ac:dyDescent="0.25">
      <c r="A3757" s="14">
        <v>46149.833333333336</v>
      </c>
      <c r="B3757" s="81" t="s">
        <v>195</v>
      </c>
      <c r="C3757" s="81" t="s">
        <v>198</v>
      </c>
      <c r="D3757" s="81" t="s">
        <v>254</v>
      </c>
      <c r="E3757" s="81" t="s">
        <v>24</v>
      </c>
      <c r="F3757" s="81" t="s">
        <v>24</v>
      </c>
    </row>
    <row r="3758" spans="1:6" x14ac:dyDescent="0.25">
      <c r="A3758" s="14">
        <v>46149.833333333336</v>
      </c>
      <c r="B3758" s="81" t="s">
        <v>195</v>
      </c>
      <c r="C3758" s="81" t="s">
        <v>198</v>
      </c>
      <c r="D3758" s="81" t="s">
        <v>254</v>
      </c>
      <c r="E3758" s="81" t="s">
        <v>24</v>
      </c>
      <c r="F3758" s="81" t="s">
        <v>24</v>
      </c>
    </row>
    <row r="3759" spans="1:6" x14ac:dyDescent="0.25">
      <c r="A3759" s="14">
        <v>46149.833333333336</v>
      </c>
      <c r="B3759" s="81" t="s">
        <v>195</v>
      </c>
      <c r="C3759" s="81" t="s">
        <v>196</v>
      </c>
      <c r="D3759" s="81" t="s">
        <v>167</v>
      </c>
      <c r="E3759" s="81" t="s">
        <v>24</v>
      </c>
      <c r="F3759" s="81" t="s">
        <v>24</v>
      </c>
    </row>
    <row r="3760" spans="1:6" x14ac:dyDescent="0.25">
      <c r="A3760" s="14">
        <v>46149.833333333336</v>
      </c>
      <c r="B3760" s="81" t="s">
        <v>195</v>
      </c>
      <c r="C3760" s="81" t="s">
        <v>196</v>
      </c>
      <c r="D3760" s="81" t="s">
        <v>167</v>
      </c>
      <c r="E3760" s="81" t="s">
        <v>24</v>
      </c>
      <c r="F3760" s="81" t="s">
        <v>24</v>
      </c>
    </row>
    <row r="3761" spans="1:6" x14ac:dyDescent="0.25">
      <c r="A3761" s="14">
        <v>46149.833333333336</v>
      </c>
      <c r="B3761" s="81" t="s">
        <v>195</v>
      </c>
      <c r="C3761" s="81" t="s">
        <v>196</v>
      </c>
      <c r="D3761" s="81" t="s">
        <v>167</v>
      </c>
      <c r="E3761" s="81" t="s">
        <v>24</v>
      </c>
      <c r="F3761" s="81" t="s">
        <v>24</v>
      </c>
    </row>
    <row r="3762" spans="1:6" x14ac:dyDescent="0.25">
      <c r="A3762" s="14">
        <v>46149.984722222223</v>
      </c>
      <c r="B3762" s="81" t="s">
        <v>149</v>
      </c>
      <c r="C3762" s="81" t="s">
        <v>200</v>
      </c>
      <c r="D3762" s="81" t="s">
        <v>222</v>
      </c>
      <c r="E3762" s="81" t="s">
        <v>125</v>
      </c>
      <c r="F3762" s="81" t="s">
        <v>124</v>
      </c>
    </row>
    <row r="3763" spans="1:6" x14ac:dyDescent="0.25">
      <c r="A3763" s="14">
        <v>46149.984722222223</v>
      </c>
      <c r="B3763" s="81" t="s">
        <v>149</v>
      </c>
      <c r="C3763" s="81" t="s">
        <v>171</v>
      </c>
      <c r="D3763" s="81" t="s">
        <v>161</v>
      </c>
      <c r="E3763" s="81" t="s">
        <v>50</v>
      </c>
      <c r="F3763" s="81" t="s">
        <v>1</v>
      </c>
    </row>
    <row r="3764" spans="1:6" x14ac:dyDescent="0.25">
      <c r="A3764" s="14">
        <v>46149.984722222223</v>
      </c>
      <c r="B3764" s="81" t="s">
        <v>149</v>
      </c>
      <c r="C3764" s="81" t="s">
        <v>173</v>
      </c>
      <c r="D3764" s="81" t="s">
        <v>165</v>
      </c>
      <c r="E3764" s="81" t="s">
        <v>50</v>
      </c>
      <c r="F3764" s="81" t="s">
        <v>1</v>
      </c>
    </row>
    <row r="3765" spans="1:6" x14ac:dyDescent="0.25">
      <c r="A3765" s="14">
        <v>46149.984722222223</v>
      </c>
      <c r="B3765" s="81" t="s">
        <v>149</v>
      </c>
      <c r="C3765" s="81" t="s">
        <v>215</v>
      </c>
      <c r="D3765" s="81" t="s">
        <v>199</v>
      </c>
      <c r="E3765" s="81" t="s">
        <v>64</v>
      </c>
      <c r="F3765" s="81" t="s">
        <v>98</v>
      </c>
    </row>
    <row r="3766" spans="1:6" x14ac:dyDescent="0.25">
      <c r="A3766" s="14">
        <v>46149.984722222223</v>
      </c>
      <c r="B3766" s="81" t="s">
        <v>149</v>
      </c>
      <c r="C3766" s="81" t="s">
        <v>171</v>
      </c>
      <c r="D3766" s="81" t="s">
        <v>251</v>
      </c>
      <c r="E3766" s="81" t="s">
        <v>49</v>
      </c>
      <c r="F3766" s="81" t="s">
        <v>2</v>
      </c>
    </row>
    <row r="3767" spans="1:6" x14ac:dyDescent="0.25">
      <c r="A3767" s="14">
        <v>46149.984722222223</v>
      </c>
      <c r="B3767" s="81" t="s">
        <v>149</v>
      </c>
      <c r="C3767" s="81" t="s">
        <v>173</v>
      </c>
      <c r="D3767" s="81" t="s">
        <v>219</v>
      </c>
      <c r="E3767" s="81" t="s">
        <v>52</v>
      </c>
      <c r="F3767" s="81" t="s">
        <v>0</v>
      </c>
    </row>
    <row r="3768" spans="1:6" x14ac:dyDescent="0.25">
      <c r="A3768" s="14">
        <v>46149.984722222223</v>
      </c>
      <c r="B3768" s="81" t="s">
        <v>149</v>
      </c>
      <c r="C3768" s="81" t="s">
        <v>176</v>
      </c>
      <c r="D3768" s="81" t="s">
        <v>202</v>
      </c>
      <c r="E3768" s="81" t="s">
        <v>70</v>
      </c>
      <c r="F3768" s="81" t="s">
        <v>15</v>
      </c>
    </row>
    <row r="3769" spans="1:6" x14ac:dyDescent="0.25">
      <c r="A3769" s="14">
        <v>46149.984722222223</v>
      </c>
      <c r="B3769" s="81" t="s">
        <v>149</v>
      </c>
      <c r="C3769" s="81" t="s">
        <v>151</v>
      </c>
      <c r="D3769" s="81" t="s">
        <v>166</v>
      </c>
      <c r="E3769" s="81" t="s">
        <v>50</v>
      </c>
      <c r="F3769" s="81" t="s">
        <v>1</v>
      </c>
    </row>
    <row r="3770" spans="1:6" x14ac:dyDescent="0.25">
      <c r="A3770" s="14">
        <v>46149.984722222223</v>
      </c>
      <c r="B3770" s="81" t="s">
        <v>149</v>
      </c>
      <c r="C3770" s="81" t="s">
        <v>175</v>
      </c>
      <c r="D3770" s="81" t="s">
        <v>261</v>
      </c>
      <c r="E3770" s="81" t="s">
        <v>50</v>
      </c>
      <c r="F3770" s="81" t="s">
        <v>1</v>
      </c>
    </row>
    <row r="3771" spans="1:6" x14ac:dyDescent="0.25">
      <c r="A3771" s="14">
        <v>46149.984722222223</v>
      </c>
      <c r="B3771" s="81" t="s">
        <v>149</v>
      </c>
      <c r="C3771" s="81" t="s">
        <v>151</v>
      </c>
      <c r="D3771" s="81" t="s">
        <v>851</v>
      </c>
      <c r="E3771" s="81" t="s">
        <v>49</v>
      </c>
      <c r="F3771" s="81" t="s">
        <v>2</v>
      </c>
    </row>
    <row r="3772" spans="1:6" x14ac:dyDescent="0.25">
      <c r="A3772" s="14">
        <v>46149.984722222223</v>
      </c>
      <c r="B3772" s="81" t="s">
        <v>149</v>
      </c>
      <c r="C3772" s="81" t="s">
        <v>151</v>
      </c>
      <c r="D3772" s="81" t="s">
        <v>159</v>
      </c>
      <c r="E3772" s="81" t="s">
        <v>50</v>
      </c>
      <c r="F3772" s="81" t="s">
        <v>1</v>
      </c>
    </row>
    <row r="3773" spans="1:6" x14ac:dyDescent="0.25">
      <c r="A3773" s="14">
        <v>46149.984722222223</v>
      </c>
      <c r="B3773" s="81" t="s">
        <v>149</v>
      </c>
      <c r="C3773" s="81" t="s">
        <v>176</v>
      </c>
      <c r="D3773" s="81" t="s">
        <v>159</v>
      </c>
      <c r="E3773" s="81" t="s">
        <v>70</v>
      </c>
      <c r="F3773" s="81" t="s">
        <v>15</v>
      </c>
    </row>
    <row r="3774" spans="1:6" x14ac:dyDescent="0.25">
      <c r="A3774" s="14">
        <v>46149.984722222223</v>
      </c>
      <c r="B3774" s="81" t="s">
        <v>149</v>
      </c>
      <c r="C3774" s="81" t="s">
        <v>151</v>
      </c>
      <c r="D3774" s="81" t="s">
        <v>238</v>
      </c>
      <c r="E3774" s="81" t="s">
        <v>52</v>
      </c>
      <c r="F3774" s="81" t="s">
        <v>0</v>
      </c>
    </row>
    <row r="3775" spans="1:6" x14ac:dyDescent="0.25">
      <c r="A3775" s="14">
        <v>46149.984722222223</v>
      </c>
      <c r="B3775" s="81" t="s">
        <v>149</v>
      </c>
      <c r="C3775" s="81" t="s">
        <v>176</v>
      </c>
      <c r="D3775" s="81" t="s">
        <v>166</v>
      </c>
      <c r="E3775" s="81" t="s">
        <v>237</v>
      </c>
      <c r="F3775" s="81" t="s">
        <v>28</v>
      </c>
    </row>
    <row r="3776" spans="1:6" x14ac:dyDescent="0.25">
      <c r="A3776" s="14">
        <v>46149.984722222223</v>
      </c>
      <c r="B3776" s="81" t="s">
        <v>149</v>
      </c>
      <c r="C3776" s="81" t="s">
        <v>187</v>
      </c>
      <c r="D3776" s="81" t="s">
        <v>166</v>
      </c>
      <c r="E3776" s="81" t="s">
        <v>71</v>
      </c>
      <c r="F3776" s="81" t="s">
        <v>94</v>
      </c>
    </row>
    <row r="3777" spans="1:6" x14ac:dyDescent="0.25">
      <c r="A3777" s="14">
        <v>46149.984722222223</v>
      </c>
      <c r="B3777" s="81" t="s">
        <v>149</v>
      </c>
      <c r="C3777" s="81" t="s">
        <v>211</v>
      </c>
      <c r="D3777" s="81" t="s">
        <v>238</v>
      </c>
      <c r="E3777" s="81" t="s">
        <v>64</v>
      </c>
      <c r="F3777" s="81" t="s">
        <v>98</v>
      </c>
    </row>
    <row r="3778" spans="1:6" x14ac:dyDescent="0.25">
      <c r="A3778" s="14">
        <v>46149.984722222223</v>
      </c>
      <c r="B3778" s="81" t="s">
        <v>149</v>
      </c>
      <c r="C3778" s="81" t="s">
        <v>177</v>
      </c>
      <c r="D3778" s="81" t="s">
        <v>238</v>
      </c>
      <c r="E3778" s="81" t="s">
        <v>50</v>
      </c>
      <c r="F3778" s="81" t="s">
        <v>1</v>
      </c>
    </row>
    <row r="3779" spans="1:6" x14ac:dyDescent="0.25">
      <c r="A3779" s="14">
        <v>46150.397916666669</v>
      </c>
      <c r="B3779" s="81" t="s">
        <v>149</v>
      </c>
      <c r="C3779" s="81" t="s">
        <v>190</v>
      </c>
      <c r="D3779" s="81" t="s">
        <v>238</v>
      </c>
      <c r="E3779" s="81" t="s">
        <v>50</v>
      </c>
      <c r="F3779" s="81" t="s">
        <v>1</v>
      </c>
    </row>
    <row r="3780" spans="1:6" x14ac:dyDescent="0.25">
      <c r="A3780" s="14">
        <v>46150.397916666669</v>
      </c>
      <c r="B3780" s="81" t="s">
        <v>149</v>
      </c>
      <c r="C3780" s="81" t="s">
        <v>183</v>
      </c>
      <c r="D3780" s="81" t="s">
        <v>238</v>
      </c>
      <c r="E3780" s="81" t="s">
        <v>50</v>
      </c>
      <c r="F3780" s="81" t="s">
        <v>1</v>
      </c>
    </row>
    <row r="3781" spans="1:6" x14ac:dyDescent="0.25">
      <c r="A3781" s="14">
        <v>46150.397916666669</v>
      </c>
      <c r="B3781" s="81" t="s">
        <v>149</v>
      </c>
      <c r="C3781" s="81" t="s">
        <v>177</v>
      </c>
      <c r="D3781" s="81" t="s">
        <v>233</v>
      </c>
      <c r="E3781" s="81" t="s">
        <v>52</v>
      </c>
      <c r="F3781" s="81" t="s">
        <v>0</v>
      </c>
    </row>
    <row r="3782" spans="1:6" x14ac:dyDescent="0.25">
      <c r="A3782" s="14">
        <v>46150.397916666669</v>
      </c>
      <c r="B3782" s="81" t="s">
        <v>149</v>
      </c>
      <c r="C3782" s="81" t="s">
        <v>158</v>
      </c>
      <c r="D3782" s="81" t="s">
        <v>238</v>
      </c>
      <c r="E3782" s="81" t="s">
        <v>52</v>
      </c>
      <c r="F3782" s="81" t="s">
        <v>0</v>
      </c>
    </row>
    <row r="3783" spans="1:6" x14ac:dyDescent="0.25">
      <c r="A3783" s="14">
        <v>46150.397916666669</v>
      </c>
      <c r="B3783" s="81" t="s">
        <v>149</v>
      </c>
      <c r="C3783" s="81" t="s">
        <v>175</v>
      </c>
      <c r="D3783" s="81" t="s">
        <v>233</v>
      </c>
      <c r="E3783" s="81" t="s">
        <v>52</v>
      </c>
      <c r="F3783" s="81" t="s">
        <v>0</v>
      </c>
    </row>
    <row r="3784" spans="1:6" x14ac:dyDescent="0.25">
      <c r="A3784" s="14">
        <v>46150.397916666669</v>
      </c>
      <c r="B3784" s="81" t="s">
        <v>149</v>
      </c>
      <c r="C3784" s="81" t="s">
        <v>188</v>
      </c>
      <c r="D3784" s="81" t="s">
        <v>152</v>
      </c>
      <c r="E3784" s="81" t="s">
        <v>45</v>
      </c>
      <c r="F3784" s="81" t="s">
        <v>28</v>
      </c>
    </row>
    <row r="3785" spans="1:6" x14ac:dyDescent="0.25">
      <c r="A3785" s="14">
        <v>46150.397916666669</v>
      </c>
      <c r="B3785" s="81" t="s">
        <v>149</v>
      </c>
      <c r="C3785" s="81" t="s">
        <v>189</v>
      </c>
      <c r="D3785" s="81" t="s">
        <v>152</v>
      </c>
      <c r="E3785" s="81" t="s">
        <v>45</v>
      </c>
      <c r="F3785" s="81" t="s">
        <v>28</v>
      </c>
    </row>
    <row r="3786" spans="1:6" x14ac:dyDescent="0.25">
      <c r="A3786" s="14">
        <v>46150.397916666669</v>
      </c>
      <c r="B3786" s="81" t="s">
        <v>149</v>
      </c>
      <c r="C3786" s="81" t="s">
        <v>175</v>
      </c>
      <c r="D3786" s="81" t="s">
        <v>233</v>
      </c>
      <c r="E3786" s="81" t="s">
        <v>52</v>
      </c>
      <c r="F3786" s="81" t="s">
        <v>0</v>
      </c>
    </row>
    <row r="3787" spans="1:6" x14ac:dyDescent="0.25">
      <c r="A3787" s="14">
        <v>46150.397916666669</v>
      </c>
      <c r="B3787" s="81" t="s">
        <v>149</v>
      </c>
      <c r="C3787" s="81" t="s">
        <v>200</v>
      </c>
      <c r="D3787" s="81" t="s">
        <v>152</v>
      </c>
      <c r="E3787" s="81" t="s">
        <v>123</v>
      </c>
      <c r="F3787" s="81" t="s">
        <v>124</v>
      </c>
    </row>
    <row r="3788" spans="1:6" x14ac:dyDescent="0.25">
      <c r="A3788" s="14">
        <v>46150.397916666669</v>
      </c>
      <c r="B3788" s="81" t="s">
        <v>149</v>
      </c>
      <c r="C3788" s="81" t="s">
        <v>200</v>
      </c>
      <c r="D3788" s="81" t="s">
        <v>152</v>
      </c>
      <c r="E3788" s="81" t="s">
        <v>125</v>
      </c>
      <c r="F3788" s="81" t="s">
        <v>124</v>
      </c>
    </row>
    <row r="3789" spans="1:6" x14ac:dyDescent="0.25">
      <c r="A3789" s="14">
        <v>46150.397916666669</v>
      </c>
      <c r="B3789" s="81" t="s">
        <v>149</v>
      </c>
      <c r="C3789" s="81" t="s">
        <v>187</v>
      </c>
      <c r="D3789" s="81" t="s">
        <v>202</v>
      </c>
      <c r="E3789" s="81" t="s">
        <v>75</v>
      </c>
      <c r="F3789" s="81" t="s">
        <v>93</v>
      </c>
    </row>
    <row r="3790" spans="1:6" x14ac:dyDescent="0.25">
      <c r="A3790" s="14">
        <v>46150.397916666669</v>
      </c>
      <c r="B3790" s="81" t="s">
        <v>149</v>
      </c>
      <c r="C3790" s="81" t="s">
        <v>181</v>
      </c>
      <c r="D3790" s="81" t="s">
        <v>250</v>
      </c>
      <c r="E3790" s="81" t="s">
        <v>50</v>
      </c>
      <c r="F3790" s="81" t="s">
        <v>1</v>
      </c>
    </row>
    <row r="3791" spans="1:6" x14ac:dyDescent="0.25">
      <c r="A3791" s="14">
        <v>46150.397916666669</v>
      </c>
      <c r="B3791" s="81" t="s">
        <v>149</v>
      </c>
      <c r="C3791" s="81" t="s">
        <v>187</v>
      </c>
      <c r="D3791" s="81" t="s">
        <v>222</v>
      </c>
      <c r="E3791" s="81" t="s">
        <v>71</v>
      </c>
      <c r="F3791" s="81" t="s">
        <v>94</v>
      </c>
    </row>
    <row r="3792" spans="1:6" x14ac:dyDescent="0.25">
      <c r="A3792" s="14">
        <v>46150.397916666669</v>
      </c>
      <c r="B3792" s="81" t="s">
        <v>149</v>
      </c>
      <c r="C3792" s="81" t="s">
        <v>226</v>
      </c>
      <c r="D3792" s="81" t="s">
        <v>268</v>
      </c>
      <c r="E3792" s="81" t="s">
        <v>64</v>
      </c>
      <c r="F3792" s="81" t="s">
        <v>98</v>
      </c>
    </row>
    <row r="3793" spans="1:6" x14ac:dyDescent="0.25">
      <c r="A3793" s="14">
        <v>46150.397916666669</v>
      </c>
      <c r="B3793" s="81" t="s">
        <v>149</v>
      </c>
      <c r="C3793" s="81" t="s">
        <v>174</v>
      </c>
      <c r="D3793" s="81" t="s">
        <v>268</v>
      </c>
      <c r="E3793" s="81" t="s">
        <v>64</v>
      </c>
      <c r="F3793" s="81" t="s">
        <v>98</v>
      </c>
    </row>
    <row r="3794" spans="1:6" x14ac:dyDescent="0.25">
      <c r="A3794" s="14">
        <v>46150.397916666669</v>
      </c>
      <c r="B3794" s="81" t="s">
        <v>149</v>
      </c>
      <c r="C3794" s="81" t="s">
        <v>223</v>
      </c>
      <c r="D3794" s="81" t="s">
        <v>236</v>
      </c>
      <c r="E3794" s="81" t="s">
        <v>64</v>
      </c>
      <c r="F3794" s="81" t="s">
        <v>98</v>
      </c>
    </row>
    <row r="3795" spans="1:6" x14ac:dyDescent="0.25">
      <c r="A3795" s="14">
        <v>46150.397916666669</v>
      </c>
      <c r="B3795" s="81" t="s">
        <v>149</v>
      </c>
      <c r="C3795" s="81" t="s">
        <v>151</v>
      </c>
      <c r="D3795" s="81" t="s">
        <v>261</v>
      </c>
      <c r="E3795" s="81" t="s">
        <v>52</v>
      </c>
      <c r="F3795" s="81" t="s">
        <v>0</v>
      </c>
    </row>
    <row r="3796" spans="1:6" x14ac:dyDescent="0.25">
      <c r="A3796" s="14">
        <v>46150.397916666669</v>
      </c>
      <c r="B3796" s="81" t="s">
        <v>149</v>
      </c>
      <c r="C3796" s="81" t="s">
        <v>175</v>
      </c>
      <c r="D3796" s="81" t="s">
        <v>267</v>
      </c>
      <c r="E3796" s="81" t="s">
        <v>52</v>
      </c>
      <c r="F3796" s="81" t="s">
        <v>0</v>
      </c>
    </row>
    <row r="3797" spans="1:6" x14ac:dyDescent="0.25">
      <c r="A3797" s="14">
        <v>46150.397916666669</v>
      </c>
      <c r="B3797" s="81" t="s">
        <v>149</v>
      </c>
      <c r="C3797" s="81" t="s">
        <v>151</v>
      </c>
      <c r="D3797" s="81" t="s">
        <v>842</v>
      </c>
      <c r="E3797" s="81" t="s">
        <v>50</v>
      </c>
      <c r="F3797" s="81" t="s">
        <v>1</v>
      </c>
    </row>
    <row r="3798" spans="1:6" x14ac:dyDescent="0.25">
      <c r="A3798" s="14">
        <v>46150.397916666669</v>
      </c>
      <c r="B3798" s="81" t="s">
        <v>149</v>
      </c>
      <c r="C3798" s="81" t="s">
        <v>181</v>
      </c>
      <c r="D3798" s="81" t="s">
        <v>150</v>
      </c>
      <c r="E3798" s="81" t="s">
        <v>50</v>
      </c>
      <c r="F3798" s="81" t="s">
        <v>1</v>
      </c>
    </row>
    <row r="3799" spans="1:6" x14ac:dyDescent="0.25">
      <c r="A3799" s="14">
        <v>46150.397916666669</v>
      </c>
      <c r="B3799" s="81" t="s">
        <v>149</v>
      </c>
      <c r="C3799" s="81" t="s">
        <v>181</v>
      </c>
      <c r="D3799" s="81" t="s">
        <v>150</v>
      </c>
      <c r="E3799" s="81" t="s">
        <v>49</v>
      </c>
      <c r="F3799" s="81" t="s">
        <v>2</v>
      </c>
    </row>
    <row r="3800" spans="1:6" x14ac:dyDescent="0.25">
      <c r="A3800" s="14">
        <v>46150.397916666669</v>
      </c>
      <c r="B3800" s="81" t="s">
        <v>149</v>
      </c>
      <c r="C3800" s="81" t="s">
        <v>187</v>
      </c>
      <c r="D3800" s="81" t="s">
        <v>163</v>
      </c>
      <c r="E3800" s="81" t="s">
        <v>75</v>
      </c>
      <c r="F3800" s="81" t="s">
        <v>93</v>
      </c>
    </row>
    <row r="3801" spans="1:6" x14ac:dyDescent="0.25">
      <c r="A3801" s="14">
        <v>46150.397916666669</v>
      </c>
      <c r="B3801" s="81" t="s">
        <v>149</v>
      </c>
      <c r="C3801" s="81" t="s">
        <v>181</v>
      </c>
      <c r="D3801" s="81" t="s">
        <v>267</v>
      </c>
      <c r="E3801" s="81" t="s">
        <v>50</v>
      </c>
      <c r="F3801" s="81" t="s">
        <v>1</v>
      </c>
    </row>
    <row r="3802" spans="1:6" x14ac:dyDescent="0.25">
      <c r="A3802" s="14">
        <v>46150.397916666669</v>
      </c>
      <c r="B3802" s="81" t="s">
        <v>149</v>
      </c>
      <c r="C3802" s="81" t="s">
        <v>182</v>
      </c>
      <c r="D3802" s="81" t="s">
        <v>150</v>
      </c>
      <c r="E3802" s="81" t="s">
        <v>50</v>
      </c>
      <c r="F3802" s="81" t="s">
        <v>1</v>
      </c>
    </row>
    <row r="3803" spans="1:6" x14ac:dyDescent="0.25">
      <c r="A3803" s="14">
        <v>46150.397916666669</v>
      </c>
      <c r="B3803" s="81" t="s">
        <v>149</v>
      </c>
      <c r="C3803" s="81" t="s">
        <v>185</v>
      </c>
      <c r="D3803" s="81" t="s">
        <v>191</v>
      </c>
      <c r="E3803" s="81" t="s">
        <v>50</v>
      </c>
      <c r="F3803" s="81" t="s">
        <v>1</v>
      </c>
    </row>
    <row r="3804" spans="1:6" x14ac:dyDescent="0.25">
      <c r="A3804" s="14">
        <v>46150.397916666669</v>
      </c>
      <c r="B3804" s="81" t="s">
        <v>149</v>
      </c>
      <c r="C3804" s="81" t="s">
        <v>175</v>
      </c>
      <c r="D3804" s="81" t="s">
        <v>150</v>
      </c>
      <c r="E3804" s="81" t="s">
        <v>50</v>
      </c>
      <c r="F3804" s="81" t="s">
        <v>1</v>
      </c>
    </row>
    <row r="3805" spans="1:6" x14ac:dyDescent="0.25">
      <c r="A3805" s="14">
        <v>46150.397916666669</v>
      </c>
      <c r="B3805" s="81" t="s">
        <v>149</v>
      </c>
      <c r="C3805" s="81" t="s">
        <v>181</v>
      </c>
      <c r="D3805" s="81" t="s">
        <v>191</v>
      </c>
      <c r="E3805" s="81" t="s">
        <v>49</v>
      </c>
      <c r="F3805" s="81" t="s">
        <v>2</v>
      </c>
    </row>
    <row r="3806" spans="1:6" x14ac:dyDescent="0.25">
      <c r="A3806" s="14">
        <v>46150.397916666669</v>
      </c>
      <c r="B3806" s="81" t="s">
        <v>149</v>
      </c>
      <c r="C3806" s="81" t="s">
        <v>176</v>
      </c>
      <c r="D3806" s="81" t="s">
        <v>261</v>
      </c>
      <c r="E3806" s="81" t="s">
        <v>70</v>
      </c>
      <c r="F3806" s="81" t="s">
        <v>15</v>
      </c>
    </row>
    <row r="3807" spans="1:6" x14ac:dyDescent="0.25">
      <c r="A3807" s="14">
        <v>46150.397916666669</v>
      </c>
      <c r="B3807" s="81" t="s">
        <v>149</v>
      </c>
      <c r="C3807" s="81" t="s">
        <v>176</v>
      </c>
      <c r="D3807" s="81" t="s">
        <v>150</v>
      </c>
      <c r="E3807" s="81" t="s">
        <v>70</v>
      </c>
      <c r="F3807" s="81" t="s">
        <v>15</v>
      </c>
    </row>
    <row r="3808" spans="1:6" x14ac:dyDescent="0.25">
      <c r="A3808" s="14">
        <v>46150.397916666669</v>
      </c>
      <c r="B3808" s="81" t="s">
        <v>149</v>
      </c>
      <c r="C3808" s="81" t="s">
        <v>190</v>
      </c>
      <c r="D3808" s="81" t="s">
        <v>246</v>
      </c>
      <c r="E3808" s="81" t="s">
        <v>50</v>
      </c>
      <c r="F3808" s="81" t="s">
        <v>1</v>
      </c>
    </row>
    <row r="3809" spans="1:6" x14ac:dyDescent="0.25">
      <c r="A3809" s="14">
        <v>46150.397916666669</v>
      </c>
      <c r="B3809" s="81" t="s">
        <v>149</v>
      </c>
      <c r="C3809" s="81" t="s">
        <v>183</v>
      </c>
      <c r="D3809" s="81" t="s">
        <v>204</v>
      </c>
      <c r="E3809" s="81" t="s">
        <v>49</v>
      </c>
      <c r="F3809" s="81" t="s">
        <v>2</v>
      </c>
    </row>
    <row r="3810" spans="1:6" x14ac:dyDescent="0.25">
      <c r="A3810" s="14">
        <v>46150.397916666669</v>
      </c>
      <c r="B3810" s="81" t="s">
        <v>149</v>
      </c>
      <c r="C3810" s="81" t="s">
        <v>176</v>
      </c>
      <c r="D3810" s="81" t="s">
        <v>150</v>
      </c>
      <c r="E3810" s="81" t="s">
        <v>70</v>
      </c>
      <c r="F3810" s="81" t="s">
        <v>15</v>
      </c>
    </row>
    <row r="3811" spans="1:6" x14ac:dyDescent="0.25">
      <c r="A3811" s="14">
        <v>46150.397916666669</v>
      </c>
      <c r="B3811" s="81" t="s">
        <v>149</v>
      </c>
      <c r="C3811" s="81" t="s">
        <v>182</v>
      </c>
      <c r="D3811" s="81" t="s">
        <v>163</v>
      </c>
      <c r="E3811" s="81" t="s">
        <v>52</v>
      </c>
      <c r="F3811" s="81" t="s">
        <v>0</v>
      </c>
    </row>
    <row r="3812" spans="1:6" x14ac:dyDescent="0.25">
      <c r="A3812" s="14">
        <v>46150.397916666669</v>
      </c>
      <c r="B3812" s="81" t="s">
        <v>149</v>
      </c>
      <c r="C3812" s="81" t="s">
        <v>177</v>
      </c>
      <c r="D3812" s="81" t="s">
        <v>246</v>
      </c>
      <c r="E3812" s="81" t="s">
        <v>52</v>
      </c>
      <c r="F3812" s="81" t="s">
        <v>0</v>
      </c>
    </row>
    <row r="3813" spans="1:6" x14ac:dyDescent="0.25">
      <c r="A3813" s="14">
        <v>46150.397916666669</v>
      </c>
      <c r="B3813" s="81" t="s">
        <v>149</v>
      </c>
      <c r="C3813" s="81" t="s">
        <v>181</v>
      </c>
      <c r="D3813" s="81" t="s">
        <v>222</v>
      </c>
      <c r="E3813" s="81" t="s">
        <v>50</v>
      </c>
      <c r="F3813" s="81" t="s">
        <v>1</v>
      </c>
    </row>
    <row r="3814" spans="1:6" x14ac:dyDescent="0.25">
      <c r="A3814" s="14">
        <v>46150.397916666669</v>
      </c>
      <c r="B3814" s="81" t="s">
        <v>149</v>
      </c>
      <c r="C3814" s="81" t="s">
        <v>183</v>
      </c>
      <c r="D3814" s="81" t="s">
        <v>261</v>
      </c>
      <c r="E3814" s="81" t="s">
        <v>52</v>
      </c>
      <c r="F3814" s="81" t="s">
        <v>0</v>
      </c>
    </row>
    <row r="3815" spans="1:6" x14ac:dyDescent="0.25">
      <c r="A3815" s="14">
        <v>46150.397916666669</v>
      </c>
      <c r="B3815" s="81" t="s">
        <v>149</v>
      </c>
      <c r="C3815" s="81" t="s">
        <v>175</v>
      </c>
      <c r="D3815" s="81" t="s">
        <v>179</v>
      </c>
      <c r="E3815" s="81" t="s">
        <v>50</v>
      </c>
      <c r="F3815" s="81" t="s">
        <v>1</v>
      </c>
    </row>
    <row r="3816" spans="1:6" x14ac:dyDescent="0.25">
      <c r="A3816" s="14">
        <v>46150.397916666669</v>
      </c>
      <c r="B3816" s="81" t="s">
        <v>149</v>
      </c>
      <c r="C3816" s="81" t="s">
        <v>183</v>
      </c>
      <c r="D3816" s="81" t="s">
        <v>266</v>
      </c>
      <c r="E3816" s="81" t="s">
        <v>52</v>
      </c>
      <c r="F3816" s="81" t="s">
        <v>0</v>
      </c>
    </row>
    <row r="3817" spans="1:6" x14ac:dyDescent="0.25">
      <c r="A3817" s="14">
        <v>46150.397916666669</v>
      </c>
      <c r="B3817" s="81" t="s">
        <v>149</v>
      </c>
      <c r="C3817" s="81" t="s">
        <v>183</v>
      </c>
      <c r="D3817" s="81" t="s">
        <v>258</v>
      </c>
      <c r="E3817" s="81" t="s">
        <v>50</v>
      </c>
      <c r="F3817" s="81" t="s">
        <v>1</v>
      </c>
    </row>
    <row r="3818" spans="1:6" x14ac:dyDescent="0.25">
      <c r="A3818" s="14">
        <v>46150.397916666669</v>
      </c>
      <c r="B3818" s="81" t="s">
        <v>149</v>
      </c>
      <c r="C3818" s="81" t="s">
        <v>177</v>
      </c>
      <c r="D3818" s="81" t="s">
        <v>179</v>
      </c>
      <c r="E3818" s="81" t="s">
        <v>50</v>
      </c>
      <c r="F3818" s="81" t="s">
        <v>1</v>
      </c>
    </row>
    <row r="3819" spans="1:6" x14ac:dyDescent="0.25">
      <c r="A3819" s="14">
        <v>46150.397916666669</v>
      </c>
      <c r="B3819" s="81" t="s">
        <v>149</v>
      </c>
      <c r="C3819" s="81" t="s">
        <v>175</v>
      </c>
      <c r="D3819" s="81" t="s">
        <v>266</v>
      </c>
      <c r="E3819" s="81" t="s">
        <v>52</v>
      </c>
      <c r="F3819" s="81" t="s">
        <v>0</v>
      </c>
    </row>
    <row r="3820" spans="1:6" x14ac:dyDescent="0.25">
      <c r="A3820" s="14">
        <v>46150.397916666669</v>
      </c>
      <c r="B3820" s="81" t="s">
        <v>149</v>
      </c>
      <c r="C3820" s="81" t="s">
        <v>184</v>
      </c>
      <c r="D3820" s="81" t="s">
        <v>179</v>
      </c>
      <c r="E3820" s="81" t="s">
        <v>50</v>
      </c>
      <c r="F3820" s="81" t="s">
        <v>1</v>
      </c>
    </row>
    <row r="3821" spans="1:6" x14ac:dyDescent="0.25">
      <c r="A3821" s="14">
        <v>46150.397916666669</v>
      </c>
      <c r="B3821" s="81" t="s">
        <v>149</v>
      </c>
      <c r="C3821" s="81" t="s">
        <v>192</v>
      </c>
      <c r="D3821" s="81" t="s">
        <v>261</v>
      </c>
      <c r="E3821" s="81" t="s">
        <v>60</v>
      </c>
      <c r="F3821" s="81" t="s">
        <v>28</v>
      </c>
    </row>
    <row r="3822" spans="1:6" x14ac:dyDescent="0.25">
      <c r="A3822" s="14">
        <v>46150.397916666669</v>
      </c>
      <c r="B3822" s="81" t="s">
        <v>149</v>
      </c>
      <c r="C3822" s="81" t="s">
        <v>177</v>
      </c>
      <c r="D3822" s="81" t="s">
        <v>261</v>
      </c>
      <c r="E3822" s="81" t="s">
        <v>52</v>
      </c>
      <c r="F3822" s="81" t="s">
        <v>0</v>
      </c>
    </row>
    <row r="3823" spans="1:6" x14ac:dyDescent="0.25">
      <c r="A3823" s="14">
        <v>46150.397916666669</v>
      </c>
      <c r="B3823" s="81" t="s">
        <v>149</v>
      </c>
      <c r="C3823" s="81" t="s">
        <v>182</v>
      </c>
      <c r="D3823" s="81" t="s">
        <v>258</v>
      </c>
      <c r="E3823" s="81" t="s">
        <v>50</v>
      </c>
      <c r="F3823" s="81" t="s">
        <v>1</v>
      </c>
    </row>
    <row r="3824" spans="1:6" x14ac:dyDescent="0.25">
      <c r="A3824" s="14">
        <v>46150.397916666669</v>
      </c>
      <c r="B3824" s="81" t="s">
        <v>149</v>
      </c>
      <c r="C3824" s="81" t="s">
        <v>151</v>
      </c>
      <c r="D3824" s="81" t="s">
        <v>261</v>
      </c>
      <c r="E3824" s="81" t="s">
        <v>52</v>
      </c>
      <c r="F3824" s="81" t="s">
        <v>0</v>
      </c>
    </row>
    <row r="3825" spans="1:6" x14ac:dyDescent="0.25">
      <c r="A3825" s="14">
        <v>46150.397916666669</v>
      </c>
      <c r="B3825" s="81" t="s">
        <v>149</v>
      </c>
      <c r="C3825" s="81" t="s">
        <v>181</v>
      </c>
      <c r="D3825" s="81" t="s">
        <v>261</v>
      </c>
      <c r="E3825" s="81" t="s">
        <v>50</v>
      </c>
      <c r="F3825" s="81" t="s">
        <v>1</v>
      </c>
    </row>
    <row r="3826" spans="1:6" x14ac:dyDescent="0.25">
      <c r="A3826" s="14">
        <v>46150.397916666669</v>
      </c>
      <c r="B3826" s="81" t="s">
        <v>149</v>
      </c>
      <c r="C3826" s="81" t="s">
        <v>158</v>
      </c>
      <c r="D3826" s="81" t="s">
        <v>261</v>
      </c>
      <c r="E3826" s="81" t="s">
        <v>52</v>
      </c>
      <c r="F3826" s="81" t="s">
        <v>0</v>
      </c>
    </row>
    <row r="3827" spans="1:6" x14ac:dyDescent="0.25">
      <c r="A3827" s="14">
        <v>46150.397916666669</v>
      </c>
      <c r="B3827" s="81" t="s">
        <v>149</v>
      </c>
      <c r="C3827" s="81" t="s">
        <v>177</v>
      </c>
      <c r="D3827" s="81" t="s">
        <v>261</v>
      </c>
      <c r="E3827" s="81" t="s">
        <v>52</v>
      </c>
      <c r="F3827" s="81" t="s">
        <v>0</v>
      </c>
    </row>
    <row r="3828" spans="1:6" x14ac:dyDescent="0.25">
      <c r="A3828" s="14">
        <v>46150.397916666669</v>
      </c>
      <c r="B3828" s="81" t="s">
        <v>149</v>
      </c>
      <c r="C3828" s="81" t="s">
        <v>192</v>
      </c>
      <c r="D3828" s="81" t="s">
        <v>266</v>
      </c>
      <c r="E3828" s="81" t="s">
        <v>60</v>
      </c>
      <c r="F3828" s="81" t="s">
        <v>28</v>
      </c>
    </row>
    <row r="3829" spans="1:6" x14ac:dyDescent="0.25">
      <c r="A3829" s="14">
        <v>46150.397916666669</v>
      </c>
      <c r="B3829" s="81" t="s">
        <v>149</v>
      </c>
      <c r="C3829" s="81" t="s">
        <v>182</v>
      </c>
      <c r="D3829" s="81" t="s">
        <v>259</v>
      </c>
      <c r="E3829" s="81" t="s">
        <v>52</v>
      </c>
      <c r="F3829" s="81" t="s">
        <v>0</v>
      </c>
    </row>
    <row r="3830" spans="1:6" x14ac:dyDescent="0.25">
      <c r="A3830" s="14">
        <v>46150.397916666669</v>
      </c>
      <c r="B3830" s="81" t="s">
        <v>149</v>
      </c>
      <c r="C3830" s="81" t="s">
        <v>176</v>
      </c>
      <c r="D3830" s="81" t="s">
        <v>150</v>
      </c>
      <c r="E3830" s="81" t="s">
        <v>70</v>
      </c>
      <c r="F3830" s="81" t="s">
        <v>15</v>
      </c>
    </row>
    <row r="3831" spans="1:6" x14ac:dyDescent="0.25">
      <c r="A3831" s="14">
        <v>46150.397916666669</v>
      </c>
      <c r="B3831" s="81" t="s">
        <v>149</v>
      </c>
      <c r="C3831" s="81" t="s">
        <v>158</v>
      </c>
      <c r="D3831" s="81" t="s">
        <v>163</v>
      </c>
      <c r="E3831" s="81" t="s">
        <v>52</v>
      </c>
      <c r="F3831" s="81" t="s">
        <v>0</v>
      </c>
    </row>
    <row r="3832" spans="1:6" x14ac:dyDescent="0.25">
      <c r="A3832" s="14">
        <v>46150.397916666669</v>
      </c>
      <c r="B3832" s="81" t="s">
        <v>149</v>
      </c>
      <c r="C3832" s="81" t="s">
        <v>151</v>
      </c>
      <c r="D3832" s="81" t="s">
        <v>163</v>
      </c>
      <c r="E3832" s="81" t="s">
        <v>50</v>
      </c>
      <c r="F3832" s="81" t="s">
        <v>1</v>
      </c>
    </row>
    <row r="3833" spans="1:6" x14ac:dyDescent="0.25">
      <c r="A3833" s="14">
        <v>46150.397916666669</v>
      </c>
      <c r="B3833" s="81" t="s">
        <v>149</v>
      </c>
      <c r="C3833" s="81" t="s">
        <v>171</v>
      </c>
      <c r="D3833" s="81" t="s">
        <v>163</v>
      </c>
      <c r="E3833" s="81" t="s">
        <v>52</v>
      </c>
      <c r="F3833" s="81" t="s">
        <v>0</v>
      </c>
    </row>
    <row r="3834" spans="1:6" x14ac:dyDescent="0.25">
      <c r="A3834" s="14">
        <v>46150.397916666669</v>
      </c>
      <c r="B3834" s="81" t="s">
        <v>149</v>
      </c>
      <c r="C3834" s="81" t="s">
        <v>176</v>
      </c>
      <c r="D3834" s="81" t="s">
        <v>150</v>
      </c>
      <c r="E3834" s="81" t="s">
        <v>70</v>
      </c>
      <c r="F3834" s="81" t="s">
        <v>15</v>
      </c>
    </row>
    <row r="3835" spans="1:6" x14ac:dyDescent="0.25">
      <c r="A3835" s="14">
        <v>46150.397916666669</v>
      </c>
      <c r="B3835" s="81" t="s">
        <v>149</v>
      </c>
      <c r="C3835" s="81" t="s">
        <v>176</v>
      </c>
      <c r="D3835" s="81" t="s">
        <v>150</v>
      </c>
      <c r="E3835" s="81" t="s">
        <v>70</v>
      </c>
      <c r="F3835" s="81" t="s">
        <v>15</v>
      </c>
    </row>
    <row r="3836" spans="1:6" x14ac:dyDescent="0.25">
      <c r="A3836" s="14">
        <v>46150.397916666669</v>
      </c>
      <c r="B3836" s="81" t="s">
        <v>149</v>
      </c>
      <c r="C3836" s="81" t="s">
        <v>176</v>
      </c>
      <c r="D3836" s="81" t="s">
        <v>150</v>
      </c>
      <c r="E3836" s="81" t="s">
        <v>70</v>
      </c>
      <c r="F3836" s="81" t="s">
        <v>15</v>
      </c>
    </row>
    <row r="3837" spans="1:6" x14ac:dyDescent="0.25">
      <c r="A3837" s="14">
        <v>46150.397916666669</v>
      </c>
      <c r="B3837" s="81" t="s">
        <v>149</v>
      </c>
      <c r="C3837" s="81" t="s">
        <v>173</v>
      </c>
      <c r="D3837" s="81" t="s">
        <v>257</v>
      </c>
      <c r="E3837" s="81" t="s">
        <v>52</v>
      </c>
      <c r="F3837" s="81" t="s">
        <v>0</v>
      </c>
    </row>
    <row r="3838" spans="1:6" x14ac:dyDescent="0.25">
      <c r="A3838" s="14">
        <v>46150.397916666669</v>
      </c>
      <c r="B3838" s="81" t="s">
        <v>149</v>
      </c>
      <c r="C3838" s="81" t="s">
        <v>173</v>
      </c>
      <c r="D3838" s="81" t="s">
        <v>257</v>
      </c>
      <c r="E3838" s="81" t="s">
        <v>50</v>
      </c>
      <c r="F3838" s="81" t="s">
        <v>1</v>
      </c>
    </row>
    <row r="3839" spans="1:6" x14ac:dyDescent="0.25">
      <c r="A3839" s="14">
        <v>46150.397916666669</v>
      </c>
      <c r="B3839" s="81" t="s">
        <v>149</v>
      </c>
      <c r="C3839" s="81" t="s">
        <v>176</v>
      </c>
      <c r="D3839" s="81" t="s">
        <v>204</v>
      </c>
      <c r="E3839" s="81" t="s">
        <v>70</v>
      </c>
      <c r="F3839" s="81" t="s">
        <v>15</v>
      </c>
    </row>
    <row r="3840" spans="1:6" x14ac:dyDescent="0.25">
      <c r="A3840" s="14">
        <v>46150.397916666669</v>
      </c>
      <c r="B3840" s="81" t="s">
        <v>149</v>
      </c>
      <c r="C3840" s="81" t="s">
        <v>200</v>
      </c>
      <c r="D3840" s="81" t="s">
        <v>162</v>
      </c>
      <c r="E3840" s="81" t="s">
        <v>125</v>
      </c>
      <c r="F3840" s="81" t="s">
        <v>124</v>
      </c>
    </row>
    <row r="3841" spans="1:6" x14ac:dyDescent="0.25">
      <c r="A3841" s="14">
        <v>46150.397916666669</v>
      </c>
      <c r="B3841" s="81" t="s">
        <v>149</v>
      </c>
      <c r="C3841" s="81" t="s">
        <v>185</v>
      </c>
      <c r="D3841" s="81" t="s">
        <v>257</v>
      </c>
      <c r="E3841" s="81" t="s">
        <v>50</v>
      </c>
      <c r="F3841" s="81" t="s">
        <v>1</v>
      </c>
    </row>
    <row r="3842" spans="1:6" x14ac:dyDescent="0.25">
      <c r="A3842" s="14">
        <v>46150.397916666669</v>
      </c>
      <c r="B3842" s="81" t="s">
        <v>149</v>
      </c>
      <c r="C3842" s="81" t="s">
        <v>181</v>
      </c>
      <c r="D3842" s="81" t="s">
        <v>204</v>
      </c>
      <c r="E3842" s="81" t="s">
        <v>50</v>
      </c>
      <c r="F3842" s="81" t="s">
        <v>1</v>
      </c>
    </row>
    <row r="3843" spans="1:6" x14ac:dyDescent="0.25">
      <c r="A3843" s="14">
        <v>46150.397916666669</v>
      </c>
      <c r="B3843" s="81" t="s">
        <v>149</v>
      </c>
      <c r="C3843" s="81" t="s">
        <v>200</v>
      </c>
      <c r="D3843" s="81" t="s">
        <v>231</v>
      </c>
      <c r="E3843" s="81" t="s">
        <v>125</v>
      </c>
      <c r="F3843" s="81" t="s">
        <v>124</v>
      </c>
    </row>
    <row r="3844" spans="1:6" x14ac:dyDescent="0.25">
      <c r="A3844" s="14">
        <v>46150.397916666669</v>
      </c>
      <c r="B3844" s="81" t="s">
        <v>149</v>
      </c>
      <c r="C3844" s="81" t="s">
        <v>151</v>
      </c>
      <c r="D3844" s="81" t="s">
        <v>204</v>
      </c>
      <c r="E3844" s="81" t="s">
        <v>50</v>
      </c>
      <c r="F3844" s="81" t="s">
        <v>1</v>
      </c>
    </row>
    <row r="3845" spans="1:6" x14ac:dyDescent="0.25">
      <c r="A3845" s="14">
        <v>46150.397916666669</v>
      </c>
      <c r="B3845" s="81" t="s">
        <v>149</v>
      </c>
      <c r="C3845" s="81" t="s">
        <v>173</v>
      </c>
      <c r="D3845" s="81" t="s">
        <v>204</v>
      </c>
      <c r="E3845" s="81" t="s">
        <v>50</v>
      </c>
      <c r="F3845" s="81" t="s">
        <v>1</v>
      </c>
    </row>
    <row r="3846" spans="1:6" x14ac:dyDescent="0.25">
      <c r="A3846" s="14">
        <v>46150.397916666669</v>
      </c>
      <c r="B3846" s="81" t="s">
        <v>149</v>
      </c>
      <c r="C3846" s="81" t="s">
        <v>190</v>
      </c>
      <c r="D3846" s="81" t="s">
        <v>204</v>
      </c>
      <c r="E3846" s="81" t="s">
        <v>49</v>
      </c>
      <c r="F3846" s="81" t="s">
        <v>2</v>
      </c>
    </row>
    <row r="3847" spans="1:6" x14ac:dyDescent="0.25">
      <c r="A3847" s="14">
        <v>46150.397916666669</v>
      </c>
      <c r="B3847" s="81" t="s">
        <v>149</v>
      </c>
      <c r="C3847" s="81" t="s">
        <v>183</v>
      </c>
      <c r="D3847" s="81" t="s">
        <v>852</v>
      </c>
      <c r="E3847" s="81" t="s">
        <v>50</v>
      </c>
      <c r="F3847" s="81" t="s">
        <v>1</v>
      </c>
    </row>
    <row r="3848" spans="1:6" x14ac:dyDescent="0.25">
      <c r="A3848" s="14">
        <v>46150.397916666669</v>
      </c>
      <c r="B3848" s="81" t="s">
        <v>149</v>
      </c>
      <c r="C3848" s="81" t="s">
        <v>192</v>
      </c>
      <c r="D3848" s="81" t="s">
        <v>246</v>
      </c>
      <c r="E3848" s="81" t="s">
        <v>60</v>
      </c>
      <c r="F3848" s="81" t="s">
        <v>28</v>
      </c>
    </row>
    <row r="3849" spans="1:6" x14ac:dyDescent="0.25">
      <c r="A3849" s="14">
        <v>46150.397916666669</v>
      </c>
      <c r="B3849" s="81" t="s">
        <v>149</v>
      </c>
      <c r="C3849" s="81" t="s">
        <v>175</v>
      </c>
      <c r="D3849" s="81" t="s">
        <v>236</v>
      </c>
      <c r="E3849" s="81" t="s">
        <v>49</v>
      </c>
      <c r="F3849" s="81" t="s">
        <v>2</v>
      </c>
    </row>
    <row r="3850" spans="1:6" x14ac:dyDescent="0.25">
      <c r="A3850" s="14">
        <v>46150.397916666669</v>
      </c>
      <c r="B3850" s="81" t="s">
        <v>149</v>
      </c>
      <c r="C3850" s="81" t="s">
        <v>181</v>
      </c>
      <c r="D3850" s="81" t="s">
        <v>204</v>
      </c>
      <c r="E3850" s="81" t="s">
        <v>49</v>
      </c>
      <c r="F3850" s="81" t="s">
        <v>2</v>
      </c>
    </row>
    <row r="3851" spans="1:6" x14ac:dyDescent="0.25">
      <c r="A3851" s="14">
        <v>46150.397916666669</v>
      </c>
      <c r="B3851" s="81" t="s">
        <v>149</v>
      </c>
      <c r="C3851" s="81" t="s">
        <v>158</v>
      </c>
      <c r="D3851" s="81" t="s">
        <v>269</v>
      </c>
      <c r="E3851" s="81" t="s">
        <v>52</v>
      </c>
      <c r="F3851" s="81" t="s">
        <v>0</v>
      </c>
    </row>
    <row r="3852" spans="1:6" x14ac:dyDescent="0.25">
      <c r="A3852" s="14">
        <v>46150.397916666669</v>
      </c>
      <c r="B3852" s="81" t="s">
        <v>149</v>
      </c>
      <c r="C3852" s="81" t="s">
        <v>203</v>
      </c>
      <c r="D3852" s="81" t="s">
        <v>236</v>
      </c>
      <c r="E3852" s="81" t="s">
        <v>72</v>
      </c>
      <c r="F3852" s="81" t="s">
        <v>28</v>
      </c>
    </row>
    <row r="3853" spans="1:6" x14ac:dyDescent="0.25">
      <c r="A3853" s="14">
        <v>46150.397916666669</v>
      </c>
      <c r="B3853" s="81" t="s">
        <v>149</v>
      </c>
      <c r="C3853" s="81" t="s">
        <v>203</v>
      </c>
      <c r="D3853" s="81" t="s">
        <v>236</v>
      </c>
      <c r="E3853" s="81" t="s">
        <v>72</v>
      </c>
      <c r="F3853" s="81" t="s">
        <v>28</v>
      </c>
    </row>
    <row r="3854" spans="1:6" x14ac:dyDescent="0.25">
      <c r="A3854" s="14">
        <v>46150.397916666669</v>
      </c>
      <c r="B3854" s="81" t="s">
        <v>149</v>
      </c>
      <c r="C3854" s="81" t="s">
        <v>203</v>
      </c>
      <c r="D3854" s="81" t="s">
        <v>236</v>
      </c>
      <c r="E3854" s="81" t="s">
        <v>72</v>
      </c>
      <c r="F3854" s="81" t="s">
        <v>28</v>
      </c>
    </row>
    <row r="3855" spans="1:6" x14ac:dyDescent="0.25">
      <c r="A3855" s="14">
        <v>46150.397916666669</v>
      </c>
      <c r="B3855" s="81" t="s">
        <v>149</v>
      </c>
      <c r="C3855" s="81" t="s">
        <v>203</v>
      </c>
      <c r="D3855" s="81" t="s">
        <v>236</v>
      </c>
      <c r="E3855" s="81" t="s">
        <v>72</v>
      </c>
      <c r="F3855" s="81" t="s">
        <v>28</v>
      </c>
    </row>
    <row r="3856" spans="1:6" x14ac:dyDescent="0.25">
      <c r="A3856" s="14">
        <v>46150.397916666669</v>
      </c>
      <c r="B3856" s="81" t="s">
        <v>149</v>
      </c>
      <c r="C3856" s="81" t="s">
        <v>203</v>
      </c>
      <c r="D3856" s="81" t="s">
        <v>236</v>
      </c>
      <c r="E3856" s="81" t="s">
        <v>72</v>
      </c>
      <c r="F3856" s="81" t="s">
        <v>28</v>
      </c>
    </row>
    <row r="3857" spans="1:6" x14ac:dyDescent="0.25">
      <c r="A3857" s="14">
        <v>46150.397916666669</v>
      </c>
      <c r="B3857" s="81" t="s">
        <v>149</v>
      </c>
      <c r="C3857" s="81" t="s">
        <v>203</v>
      </c>
      <c r="D3857" s="81" t="s">
        <v>236</v>
      </c>
      <c r="E3857" s="81" t="s">
        <v>72</v>
      </c>
      <c r="F3857" s="81" t="s">
        <v>28</v>
      </c>
    </row>
    <row r="3858" spans="1:6" x14ac:dyDescent="0.25">
      <c r="A3858" s="14">
        <v>46150.397916666669</v>
      </c>
      <c r="B3858" s="81" t="s">
        <v>149</v>
      </c>
      <c r="C3858" s="81" t="s">
        <v>203</v>
      </c>
      <c r="D3858" s="81" t="s">
        <v>236</v>
      </c>
      <c r="E3858" s="81" t="s">
        <v>72</v>
      </c>
      <c r="F3858" s="81" t="s">
        <v>28</v>
      </c>
    </row>
    <row r="3859" spans="1:6" x14ac:dyDescent="0.25">
      <c r="A3859" s="14">
        <v>46150.397916666669</v>
      </c>
      <c r="B3859" s="81" t="s">
        <v>149</v>
      </c>
      <c r="C3859" s="81" t="s">
        <v>203</v>
      </c>
      <c r="D3859" s="81" t="s">
        <v>236</v>
      </c>
      <c r="E3859" s="81" t="s">
        <v>72</v>
      </c>
      <c r="F3859" s="81" t="s">
        <v>28</v>
      </c>
    </row>
    <row r="3860" spans="1:6" x14ac:dyDescent="0.25">
      <c r="A3860" s="14">
        <v>46150.397916666669</v>
      </c>
      <c r="B3860" s="81" t="s">
        <v>149</v>
      </c>
      <c r="C3860" s="81" t="s">
        <v>203</v>
      </c>
      <c r="D3860" s="81" t="s">
        <v>236</v>
      </c>
      <c r="E3860" s="81" t="s">
        <v>72</v>
      </c>
      <c r="F3860" s="81" t="s">
        <v>28</v>
      </c>
    </row>
    <row r="3861" spans="1:6" x14ac:dyDescent="0.25">
      <c r="A3861" s="14">
        <v>46150.397916666669</v>
      </c>
      <c r="B3861" s="81" t="s">
        <v>149</v>
      </c>
      <c r="C3861" s="81" t="s">
        <v>176</v>
      </c>
      <c r="D3861" s="81" t="s">
        <v>150</v>
      </c>
      <c r="E3861" s="81" t="s">
        <v>70</v>
      </c>
      <c r="F3861" s="81" t="s">
        <v>15</v>
      </c>
    </row>
    <row r="3862" spans="1:6" x14ac:dyDescent="0.25">
      <c r="A3862" s="14">
        <v>46150.397916666669</v>
      </c>
      <c r="B3862" s="81" t="s">
        <v>149</v>
      </c>
      <c r="C3862" s="81" t="s">
        <v>176</v>
      </c>
      <c r="D3862" s="81" t="s">
        <v>150</v>
      </c>
      <c r="E3862" s="81" t="s">
        <v>70</v>
      </c>
      <c r="F3862" s="81" t="s">
        <v>15</v>
      </c>
    </row>
    <row r="3863" spans="1:6" x14ac:dyDescent="0.25">
      <c r="A3863" s="14">
        <v>46150.397916666669</v>
      </c>
      <c r="B3863" s="81" t="s">
        <v>149</v>
      </c>
      <c r="C3863" s="81" t="s">
        <v>200</v>
      </c>
      <c r="D3863" s="81" t="s">
        <v>236</v>
      </c>
      <c r="E3863" s="81" t="s">
        <v>125</v>
      </c>
      <c r="F3863" s="81" t="s">
        <v>124</v>
      </c>
    </row>
    <row r="3864" spans="1:6" x14ac:dyDescent="0.25">
      <c r="A3864" s="14">
        <v>46150.397916666669</v>
      </c>
      <c r="B3864" s="81" t="s">
        <v>149</v>
      </c>
      <c r="C3864" s="81" t="s">
        <v>200</v>
      </c>
      <c r="D3864" s="81" t="s">
        <v>236</v>
      </c>
      <c r="E3864" s="81" t="s">
        <v>125</v>
      </c>
      <c r="F3864" s="81" t="s">
        <v>124</v>
      </c>
    </row>
    <row r="3865" spans="1:6" x14ac:dyDescent="0.25">
      <c r="A3865" s="14">
        <v>46150.397916666669</v>
      </c>
      <c r="B3865" s="81" t="s">
        <v>195</v>
      </c>
      <c r="C3865" s="81" t="s">
        <v>209</v>
      </c>
      <c r="D3865" s="81" t="s">
        <v>222</v>
      </c>
      <c r="E3865" s="81" t="s">
        <v>24</v>
      </c>
      <c r="F3865" s="81" t="s">
        <v>24</v>
      </c>
    </row>
    <row r="3866" spans="1:6" x14ac:dyDescent="0.25">
      <c r="A3866" s="14">
        <v>46150.397916666669</v>
      </c>
      <c r="B3866" s="81" t="s">
        <v>195</v>
      </c>
      <c r="C3866" s="81" t="s">
        <v>209</v>
      </c>
      <c r="D3866" s="81" t="s">
        <v>222</v>
      </c>
      <c r="E3866" s="81" t="s">
        <v>24</v>
      </c>
      <c r="F3866" s="81" t="s">
        <v>24</v>
      </c>
    </row>
    <row r="3867" spans="1:6" x14ac:dyDescent="0.25">
      <c r="A3867" s="14">
        <v>46150.397916666669</v>
      </c>
      <c r="B3867" s="81" t="s">
        <v>195</v>
      </c>
      <c r="C3867" s="81" t="s">
        <v>209</v>
      </c>
      <c r="D3867" s="81" t="s">
        <v>222</v>
      </c>
      <c r="E3867" s="81" t="s">
        <v>24</v>
      </c>
      <c r="F3867" s="81" t="s">
        <v>24</v>
      </c>
    </row>
    <row r="3868" spans="1:6" x14ac:dyDescent="0.25">
      <c r="A3868" s="14">
        <v>46150.397916666669</v>
      </c>
      <c r="B3868" s="81" t="s">
        <v>195</v>
      </c>
      <c r="C3868" s="81" t="s">
        <v>209</v>
      </c>
      <c r="D3868" s="81" t="s">
        <v>222</v>
      </c>
      <c r="E3868" s="81" t="s">
        <v>24</v>
      </c>
      <c r="F3868" s="81" t="s">
        <v>24</v>
      </c>
    </row>
    <row r="3869" spans="1:6" x14ac:dyDescent="0.25">
      <c r="A3869" s="14">
        <v>46150.397916666669</v>
      </c>
      <c r="B3869" s="81" t="s">
        <v>195</v>
      </c>
      <c r="C3869" s="81" t="s">
        <v>209</v>
      </c>
      <c r="D3869" s="81" t="s">
        <v>222</v>
      </c>
      <c r="E3869" s="81" t="s">
        <v>24</v>
      </c>
      <c r="F3869" s="81" t="s">
        <v>24</v>
      </c>
    </row>
    <row r="3870" spans="1:6" x14ac:dyDescent="0.25">
      <c r="A3870" s="14">
        <v>46150.397916666669</v>
      </c>
      <c r="B3870" s="81" t="s">
        <v>195</v>
      </c>
      <c r="C3870" s="81" t="s">
        <v>209</v>
      </c>
      <c r="D3870" s="81" t="s">
        <v>222</v>
      </c>
      <c r="E3870" s="81" t="s">
        <v>24</v>
      </c>
      <c r="F3870" s="81" t="s">
        <v>24</v>
      </c>
    </row>
    <row r="3871" spans="1:6" x14ac:dyDescent="0.25">
      <c r="A3871" s="14">
        <v>46150.397916666669</v>
      </c>
      <c r="B3871" s="81" t="s">
        <v>195</v>
      </c>
      <c r="C3871" s="81" t="s">
        <v>209</v>
      </c>
      <c r="D3871" s="81" t="s">
        <v>222</v>
      </c>
      <c r="E3871" s="81" t="s">
        <v>24</v>
      </c>
      <c r="F3871" s="81" t="s">
        <v>24</v>
      </c>
    </row>
    <row r="3872" spans="1:6" x14ac:dyDescent="0.25">
      <c r="A3872" s="14">
        <v>46150.397916666669</v>
      </c>
      <c r="B3872" s="81" t="s">
        <v>195</v>
      </c>
      <c r="C3872" s="81" t="s">
        <v>209</v>
      </c>
      <c r="D3872" s="81" t="s">
        <v>222</v>
      </c>
      <c r="E3872" s="81" t="s">
        <v>24</v>
      </c>
      <c r="F3872" s="81" t="s">
        <v>24</v>
      </c>
    </row>
    <row r="3873" spans="1:6" x14ac:dyDescent="0.25">
      <c r="A3873" s="14">
        <v>46150.397916666669</v>
      </c>
      <c r="B3873" s="81" t="s">
        <v>195</v>
      </c>
      <c r="C3873" s="81" t="s">
        <v>209</v>
      </c>
      <c r="D3873" s="81" t="s">
        <v>222</v>
      </c>
      <c r="E3873" s="81" t="s">
        <v>24</v>
      </c>
      <c r="F3873" s="81" t="s">
        <v>24</v>
      </c>
    </row>
    <row r="3874" spans="1:6" x14ac:dyDescent="0.25">
      <c r="A3874" s="14">
        <v>46150.397916666669</v>
      </c>
      <c r="B3874" s="81" t="s">
        <v>195</v>
      </c>
      <c r="C3874" s="81" t="s">
        <v>209</v>
      </c>
      <c r="D3874" s="81" t="s">
        <v>222</v>
      </c>
      <c r="E3874" s="81" t="s">
        <v>24</v>
      </c>
      <c r="F3874" s="81" t="s">
        <v>24</v>
      </c>
    </row>
    <row r="3875" spans="1:6" x14ac:dyDescent="0.25">
      <c r="A3875" s="14">
        <v>46150.397916666669</v>
      </c>
      <c r="B3875" s="81" t="s">
        <v>195</v>
      </c>
      <c r="C3875" s="81" t="s">
        <v>209</v>
      </c>
      <c r="D3875" s="81" t="s">
        <v>222</v>
      </c>
      <c r="E3875" s="81" t="s">
        <v>24</v>
      </c>
      <c r="F3875" s="81" t="s">
        <v>24</v>
      </c>
    </row>
    <row r="3876" spans="1:6" x14ac:dyDescent="0.25">
      <c r="A3876" s="14">
        <v>46150.397916666669</v>
      </c>
      <c r="B3876" s="81" t="s">
        <v>195</v>
      </c>
      <c r="C3876" s="81" t="s">
        <v>209</v>
      </c>
      <c r="D3876" s="81" t="s">
        <v>222</v>
      </c>
      <c r="E3876" s="81" t="s">
        <v>24</v>
      </c>
      <c r="F3876" s="81" t="s">
        <v>24</v>
      </c>
    </row>
    <row r="3877" spans="1:6" x14ac:dyDescent="0.25">
      <c r="A3877" s="14">
        <v>46150.397916666669</v>
      </c>
      <c r="B3877" s="81" t="s">
        <v>195</v>
      </c>
      <c r="C3877" s="81" t="s">
        <v>209</v>
      </c>
      <c r="D3877" s="81" t="s">
        <v>222</v>
      </c>
      <c r="E3877" s="81" t="s">
        <v>24</v>
      </c>
      <c r="F3877" s="81" t="s">
        <v>24</v>
      </c>
    </row>
    <row r="3878" spans="1:6" x14ac:dyDescent="0.25">
      <c r="A3878" s="14">
        <v>46150.397916666669</v>
      </c>
      <c r="B3878" s="81" t="s">
        <v>195</v>
      </c>
      <c r="C3878" s="81" t="s">
        <v>209</v>
      </c>
      <c r="D3878" s="81" t="s">
        <v>222</v>
      </c>
      <c r="E3878" s="81" t="s">
        <v>24</v>
      </c>
      <c r="F3878" s="81" t="s">
        <v>24</v>
      </c>
    </row>
    <row r="3879" spans="1:6" x14ac:dyDescent="0.25">
      <c r="A3879" s="14">
        <v>46150.397916666669</v>
      </c>
      <c r="B3879" s="81" t="s">
        <v>195</v>
      </c>
      <c r="C3879" s="81" t="s">
        <v>209</v>
      </c>
      <c r="D3879" s="81" t="s">
        <v>222</v>
      </c>
      <c r="E3879" s="81" t="s">
        <v>24</v>
      </c>
      <c r="F3879" s="81" t="s">
        <v>24</v>
      </c>
    </row>
    <row r="3880" spans="1:6" x14ac:dyDescent="0.25">
      <c r="A3880" s="14">
        <v>46150.397916666669</v>
      </c>
      <c r="B3880" s="81" t="s">
        <v>195</v>
      </c>
      <c r="C3880" s="81" t="s">
        <v>209</v>
      </c>
      <c r="D3880" s="81" t="s">
        <v>222</v>
      </c>
      <c r="E3880" s="81" t="s">
        <v>24</v>
      </c>
      <c r="F3880" s="81" t="s">
        <v>24</v>
      </c>
    </row>
    <row r="3881" spans="1:6" x14ac:dyDescent="0.25">
      <c r="A3881" s="14">
        <v>46150.397916666669</v>
      </c>
      <c r="B3881" s="81" t="s">
        <v>195</v>
      </c>
      <c r="C3881" s="81" t="s">
        <v>209</v>
      </c>
      <c r="D3881" s="81" t="s">
        <v>222</v>
      </c>
      <c r="E3881" s="81" t="s">
        <v>24</v>
      </c>
      <c r="F3881" s="81" t="s">
        <v>24</v>
      </c>
    </row>
    <row r="3882" spans="1:6" x14ac:dyDescent="0.25">
      <c r="A3882" s="14">
        <v>46150.397916666669</v>
      </c>
      <c r="B3882" s="81" t="s">
        <v>195</v>
      </c>
      <c r="C3882" s="81" t="s">
        <v>209</v>
      </c>
      <c r="D3882" s="81" t="s">
        <v>222</v>
      </c>
      <c r="E3882" s="81" t="s">
        <v>24</v>
      </c>
      <c r="F3882" s="81" t="s">
        <v>24</v>
      </c>
    </row>
    <row r="3883" spans="1:6" x14ac:dyDescent="0.25">
      <c r="A3883" s="14">
        <v>46150.397916666669</v>
      </c>
      <c r="B3883" s="81" t="s">
        <v>195</v>
      </c>
      <c r="C3883" s="81" t="s">
        <v>209</v>
      </c>
      <c r="D3883" s="81" t="s">
        <v>222</v>
      </c>
      <c r="E3883" s="81" t="s">
        <v>24</v>
      </c>
      <c r="F3883" s="81" t="s">
        <v>24</v>
      </c>
    </row>
    <row r="3884" spans="1:6" x14ac:dyDescent="0.25">
      <c r="A3884" s="14">
        <v>46150.397916666669</v>
      </c>
      <c r="B3884" s="81" t="s">
        <v>195</v>
      </c>
      <c r="C3884" s="81" t="s">
        <v>209</v>
      </c>
      <c r="D3884" s="81" t="s">
        <v>222</v>
      </c>
      <c r="E3884" s="81" t="s">
        <v>24</v>
      </c>
      <c r="F3884" s="81" t="s">
        <v>24</v>
      </c>
    </row>
    <row r="3885" spans="1:6" x14ac:dyDescent="0.25">
      <c r="A3885" s="14">
        <v>46150.397916666669</v>
      </c>
      <c r="B3885" s="81" t="s">
        <v>195</v>
      </c>
      <c r="C3885" s="81" t="s">
        <v>209</v>
      </c>
      <c r="D3885" s="81" t="s">
        <v>222</v>
      </c>
      <c r="E3885" s="81" t="s">
        <v>24</v>
      </c>
      <c r="F3885" s="81" t="s">
        <v>24</v>
      </c>
    </row>
    <row r="3886" spans="1:6" x14ac:dyDescent="0.25">
      <c r="A3886" s="14">
        <v>46150.397916666669</v>
      </c>
      <c r="B3886" s="81" t="s">
        <v>195</v>
      </c>
      <c r="C3886" s="81" t="s">
        <v>209</v>
      </c>
      <c r="D3886" s="81" t="s">
        <v>222</v>
      </c>
      <c r="E3886" s="81" t="s">
        <v>24</v>
      </c>
      <c r="F3886" s="81" t="s">
        <v>24</v>
      </c>
    </row>
    <row r="3887" spans="1:6" x14ac:dyDescent="0.25">
      <c r="A3887" s="14">
        <v>46150.397916666669</v>
      </c>
      <c r="B3887" s="81" t="s">
        <v>195</v>
      </c>
      <c r="C3887" s="81" t="s">
        <v>209</v>
      </c>
      <c r="D3887" s="81" t="s">
        <v>222</v>
      </c>
      <c r="E3887" s="81" t="s">
        <v>24</v>
      </c>
      <c r="F3887" s="81" t="s">
        <v>24</v>
      </c>
    </row>
    <row r="3888" spans="1:6" x14ac:dyDescent="0.25">
      <c r="A3888" s="14">
        <v>46150.397916666669</v>
      </c>
      <c r="B3888" s="81" t="s">
        <v>195</v>
      </c>
      <c r="C3888" s="81" t="s">
        <v>209</v>
      </c>
      <c r="D3888" s="81" t="s">
        <v>222</v>
      </c>
      <c r="E3888" s="81" t="s">
        <v>24</v>
      </c>
      <c r="F3888" s="81" t="s">
        <v>24</v>
      </c>
    </row>
    <row r="3889" spans="1:6" x14ac:dyDescent="0.25">
      <c r="A3889" s="14">
        <v>46150.397916666669</v>
      </c>
      <c r="B3889" s="81" t="s">
        <v>195</v>
      </c>
      <c r="C3889" s="81" t="s">
        <v>209</v>
      </c>
      <c r="D3889" s="81" t="s">
        <v>222</v>
      </c>
      <c r="E3889" s="81" t="s">
        <v>24</v>
      </c>
      <c r="F3889" s="81" t="s">
        <v>24</v>
      </c>
    </row>
    <row r="3890" spans="1:6" x14ac:dyDescent="0.25">
      <c r="A3890" s="14">
        <v>46150.397916666669</v>
      </c>
      <c r="B3890" s="81" t="s">
        <v>195</v>
      </c>
      <c r="C3890" s="81" t="s">
        <v>209</v>
      </c>
      <c r="D3890" s="81" t="s">
        <v>222</v>
      </c>
      <c r="E3890" s="81" t="s">
        <v>24</v>
      </c>
      <c r="F3890" s="81" t="s">
        <v>24</v>
      </c>
    </row>
    <row r="3891" spans="1:6" x14ac:dyDescent="0.25">
      <c r="A3891" s="14">
        <v>46150.397916666669</v>
      </c>
      <c r="B3891" s="81" t="s">
        <v>195</v>
      </c>
      <c r="C3891" s="81" t="s">
        <v>209</v>
      </c>
      <c r="D3891" s="81" t="s">
        <v>222</v>
      </c>
      <c r="E3891" s="81" t="s">
        <v>24</v>
      </c>
      <c r="F3891" s="81" t="s">
        <v>24</v>
      </c>
    </row>
    <row r="3892" spans="1:6" x14ac:dyDescent="0.25">
      <c r="A3892" s="14">
        <v>46150.397916666669</v>
      </c>
      <c r="B3892" s="81" t="s">
        <v>195</v>
      </c>
      <c r="C3892" s="81" t="s">
        <v>209</v>
      </c>
      <c r="D3892" s="81" t="s">
        <v>222</v>
      </c>
      <c r="E3892" s="81" t="s">
        <v>24</v>
      </c>
      <c r="F3892" s="81" t="s">
        <v>24</v>
      </c>
    </row>
    <row r="3893" spans="1:6" x14ac:dyDescent="0.25">
      <c r="A3893" s="14">
        <v>46150.397916666669</v>
      </c>
      <c r="B3893" s="81" t="s">
        <v>195</v>
      </c>
      <c r="C3893" s="81" t="s">
        <v>209</v>
      </c>
      <c r="D3893" s="81" t="s">
        <v>222</v>
      </c>
      <c r="E3893" s="81" t="s">
        <v>24</v>
      </c>
      <c r="F3893" s="81" t="s">
        <v>24</v>
      </c>
    </row>
    <row r="3894" spans="1:6" x14ac:dyDescent="0.25">
      <c r="A3894" s="14">
        <v>46150.397916666669</v>
      </c>
      <c r="B3894" s="81" t="s">
        <v>195</v>
      </c>
      <c r="C3894" s="81" t="s">
        <v>209</v>
      </c>
      <c r="D3894" s="81" t="s">
        <v>222</v>
      </c>
      <c r="E3894" s="81" t="s">
        <v>24</v>
      </c>
      <c r="F3894" s="81" t="s">
        <v>24</v>
      </c>
    </row>
    <row r="3895" spans="1:6" x14ac:dyDescent="0.25">
      <c r="A3895" s="14">
        <v>46150.397916666669</v>
      </c>
      <c r="B3895" s="81" t="s">
        <v>195</v>
      </c>
      <c r="C3895" s="81" t="s">
        <v>198</v>
      </c>
      <c r="D3895" s="81" t="s">
        <v>264</v>
      </c>
      <c r="E3895" s="81" t="s">
        <v>24</v>
      </c>
      <c r="F3895" s="81" t="s">
        <v>24</v>
      </c>
    </row>
    <row r="3896" spans="1:6" x14ac:dyDescent="0.25">
      <c r="A3896" s="14">
        <v>46150.397916666669</v>
      </c>
      <c r="B3896" s="81" t="s">
        <v>195</v>
      </c>
      <c r="C3896" s="81" t="s">
        <v>198</v>
      </c>
      <c r="D3896" s="81" t="s">
        <v>264</v>
      </c>
      <c r="E3896" s="81" t="s">
        <v>24</v>
      </c>
      <c r="F3896" s="81" t="s">
        <v>24</v>
      </c>
    </row>
    <row r="3897" spans="1:6" x14ac:dyDescent="0.25">
      <c r="A3897" s="14">
        <v>46150.397916666669</v>
      </c>
      <c r="B3897" s="81" t="s">
        <v>195</v>
      </c>
      <c r="C3897" s="81" t="s">
        <v>198</v>
      </c>
      <c r="D3897" s="81" t="s">
        <v>264</v>
      </c>
      <c r="E3897" s="81" t="s">
        <v>24</v>
      </c>
      <c r="F3897" s="81" t="s">
        <v>24</v>
      </c>
    </row>
    <row r="3898" spans="1:6" x14ac:dyDescent="0.25">
      <c r="A3898" s="14">
        <v>46150.397916666669</v>
      </c>
      <c r="B3898" s="81" t="s">
        <v>195</v>
      </c>
      <c r="C3898" s="81" t="s">
        <v>209</v>
      </c>
      <c r="D3898" s="81" t="s">
        <v>162</v>
      </c>
      <c r="E3898" s="81" t="s">
        <v>24</v>
      </c>
      <c r="F3898" s="81" t="s">
        <v>24</v>
      </c>
    </row>
    <row r="3899" spans="1:6" x14ac:dyDescent="0.25">
      <c r="A3899" s="14">
        <v>46150.397916666669</v>
      </c>
      <c r="B3899" s="81" t="s">
        <v>195</v>
      </c>
      <c r="C3899" s="81" t="s">
        <v>209</v>
      </c>
      <c r="D3899" s="81" t="s">
        <v>162</v>
      </c>
      <c r="E3899" s="81" t="s">
        <v>24</v>
      </c>
      <c r="F3899" s="81" t="s">
        <v>24</v>
      </c>
    </row>
    <row r="3900" spans="1:6" x14ac:dyDescent="0.25">
      <c r="A3900" s="14">
        <v>46150.397916666669</v>
      </c>
      <c r="B3900" s="81" t="s">
        <v>195</v>
      </c>
      <c r="C3900" s="81" t="s">
        <v>209</v>
      </c>
      <c r="D3900" s="81" t="s">
        <v>162</v>
      </c>
      <c r="E3900" s="81" t="s">
        <v>24</v>
      </c>
      <c r="F3900" s="81" t="s">
        <v>24</v>
      </c>
    </row>
    <row r="3901" spans="1:6" x14ac:dyDescent="0.25">
      <c r="A3901" s="14">
        <v>46150.438194444447</v>
      </c>
      <c r="B3901" s="81" t="s">
        <v>149</v>
      </c>
      <c r="C3901" s="81" t="s">
        <v>173</v>
      </c>
      <c r="D3901" s="81" t="s">
        <v>161</v>
      </c>
      <c r="E3901" s="81" t="s">
        <v>50</v>
      </c>
      <c r="F3901" s="81" t="s">
        <v>1</v>
      </c>
    </row>
    <row r="3902" spans="1:6" x14ac:dyDescent="0.25">
      <c r="A3902" s="14">
        <v>46150.438194444447</v>
      </c>
      <c r="B3902" s="81" t="s">
        <v>149</v>
      </c>
      <c r="C3902" s="81" t="s">
        <v>200</v>
      </c>
      <c r="D3902" s="81" t="s">
        <v>152</v>
      </c>
      <c r="E3902" s="81" t="s">
        <v>125</v>
      </c>
      <c r="F3902" s="81" t="s">
        <v>124</v>
      </c>
    </row>
    <row r="3903" spans="1:6" x14ac:dyDescent="0.25">
      <c r="A3903" s="14">
        <v>46150.438194444447</v>
      </c>
      <c r="B3903" s="81" t="s">
        <v>149</v>
      </c>
      <c r="C3903" s="81" t="s">
        <v>175</v>
      </c>
      <c r="D3903" s="81" t="s">
        <v>150</v>
      </c>
      <c r="E3903" s="81" t="s">
        <v>50</v>
      </c>
      <c r="F3903" s="81" t="s">
        <v>1</v>
      </c>
    </row>
    <row r="3904" spans="1:6" x14ac:dyDescent="0.25">
      <c r="A3904" s="14">
        <v>46150.438194444447</v>
      </c>
      <c r="B3904" s="81" t="s">
        <v>149</v>
      </c>
      <c r="C3904" s="81" t="s">
        <v>175</v>
      </c>
      <c r="D3904" s="81" t="s">
        <v>150</v>
      </c>
      <c r="E3904" s="81" t="s">
        <v>50</v>
      </c>
      <c r="F3904" s="81" t="s">
        <v>1</v>
      </c>
    </row>
    <row r="3905" spans="1:6" x14ac:dyDescent="0.25">
      <c r="A3905" s="14">
        <v>46150.438194444447</v>
      </c>
      <c r="B3905" s="81" t="s">
        <v>149</v>
      </c>
      <c r="C3905" s="81" t="s">
        <v>181</v>
      </c>
      <c r="D3905" s="81" t="s">
        <v>150</v>
      </c>
      <c r="E3905" s="81" t="s">
        <v>50</v>
      </c>
      <c r="F3905" s="81" t="s">
        <v>1</v>
      </c>
    </row>
    <row r="3906" spans="1:6" x14ac:dyDescent="0.25">
      <c r="A3906" s="14">
        <v>46150.438194444447</v>
      </c>
      <c r="B3906" s="81" t="s">
        <v>149</v>
      </c>
      <c r="C3906" s="81" t="s">
        <v>181</v>
      </c>
      <c r="D3906" s="81" t="s">
        <v>150</v>
      </c>
      <c r="E3906" s="81" t="s">
        <v>50</v>
      </c>
      <c r="F3906" s="81" t="s">
        <v>1</v>
      </c>
    </row>
    <row r="3907" spans="1:6" x14ac:dyDescent="0.25">
      <c r="A3907" s="14">
        <v>46150.438194444447</v>
      </c>
      <c r="B3907" s="81" t="s">
        <v>149</v>
      </c>
      <c r="C3907" s="81" t="s">
        <v>151</v>
      </c>
      <c r="D3907" s="81" t="s">
        <v>150</v>
      </c>
      <c r="E3907" s="81" t="s">
        <v>50</v>
      </c>
      <c r="F3907" s="81" t="s">
        <v>1</v>
      </c>
    </row>
    <row r="3908" spans="1:6" x14ac:dyDescent="0.25">
      <c r="A3908" s="14">
        <v>46150.438194444447</v>
      </c>
      <c r="B3908" s="81" t="s">
        <v>149</v>
      </c>
      <c r="C3908" s="81" t="s">
        <v>151</v>
      </c>
      <c r="D3908" s="81" t="s">
        <v>150</v>
      </c>
      <c r="E3908" s="81" t="s">
        <v>50</v>
      </c>
      <c r="F3908" s="81" t="s">
        <v>1</v>
      </c>
    </row>
    <row r="3909" spans="1:6" x14ac:dyDescent="0.25">
      <c r="A3909" s="14">
        <v>46150.438194444447</v>
      </c>
      <c r="B3909" s="81" t="s">
        <v>149</v>
      </c>
      <c r="C3909" s="81" t="s">
        <v>171</v>
      </c>
      <c r="D3909" s="81" t="s">
        <v>266</v>
      </c>
      <c r="E3909" s="81" t="s">
        <v>52</v>
      </c>
      <c r="F3909" s="81" t="s">
        <v>0</v>
      </c>
    </row>
    <row r="3910" spans="1:6" x14ac:dyDescent="0.25">
      <c r="A3910" s="14">
        <v>46150.438194444447</v>
      </c>
      <c r="B3910" s="81" t="s">
        <v>149</v>
      </c>
      <c r="C3910" s="81" t="s">
        <v>171</v>
      </c>
      <c r="D3910" s="81" t="s">
        <v>150</v>
      </c>
      <c r="E3910" s="81" t="s">
        <v>50</v>
      </c>
      <c r="F3910" s="81" t="s">
        <v>1</v>
      </c>
    </row>
    <row r="3911" spans="1:6" x14ac:dyDescent="0.25">
      <c r="A3911" s="14">
        <v>46150.438194444447</v>
      </c>
      <c r="B3911" s="81" t="s">
        <v>149</v>
      </c>
      <c r="C3911" s="81" t="s">
        <v>192</v>
      </c>
      <c r="D3911" s="81" t="s">
        <v>266</v>
      </c>
      <c r="E3911" s="81" t="s">
        <v>60</v>
      </c>
      <c r="F3911" s="81" t="s">
        <v>28</v>
      </c>
    </row>
    <row r="3912" spans="1:6" x14ac:dyDescent="0.25">
      <c r="A3912" s="14">
        <v>46150.438194444447</v>
      </c>
      <c r="B3912" s="81" t="s">
        <v>149</v>
      </c>
      <c r="C3912" s="81" t="s">
        <v>176</v>
      </c>
      <c r="D3912" s="81" t="s">
        <v>150</v>
      </c>
      <c r="E3912" s="81" t="s">
        <v>70</v>
      </c>
      <c r="F3912" s="81" t="s">
        <v>15</v>
      </c>
    </row>
    <row r="3913" spans="1:6" x14ac:dyDescent="0.25">
      <c r="A3913" s="14">
        <v>46150.438194444447</v>
      </c>
      <c r="B3913" s="81" t="s">
        <v>149</v>
      </c>
      <c r="C3913" s="81" t="s">
        <v>177</v>
      </c>
      <c r="D3913" s="81" t="s">
        <v>253</v>
      </c>
      <c r="E3913" s="81" t="s">
        <v>52</v>
      </c>
      <c r="F3913" s="81" t="s">
        <v>0</v>
      </c>
    </row>
    <row r="3914" spans="1:6" x14ac:dyDescent="0.25">
      <c r="A3914" s="14">
        <v>46150.438194444447</v>
      </c>
      <c r="B3914" s="81" t="s">
        <v>149</v>
      </c>
      <c r="C3914" s="81" t="s">
        <v>190</v>
      </c>
      <c r="D3914" s="81" t="s">
        <v>261</v>
      </c>
      <c r="E3914" s="81" t="s">
        <v>50</v>
      </c>
      <c r="F3914" s="81" t="s">
        <v>1</v>
      </c>
    </row>
    <row r="3915" spans="1:6" x14ac:dyDescent="0.25">
      <c r="A3915" s="14">
        <v>46150.438194444447</v>
      </c>
      <c r="B3915" s="81" t="s">
        <v>149</v>
      </c>
      <c r="C3915" s="81" t="s">
        <v>200</v>
      </c>
      <c r="D3915" s="81" t="s">
        <v>152</v>
      </c>
      <c r="E3915" s="81" t="s">
        <v>125</v>
      </c>
      <c r="F3915" s="81" t="s">
        <v>124</v>
      </c>
    </row>
    <row r="3916" spans="1:6" x14ac:dyDescent="0.25">
      <c r="A3916" s="14">
        <v>46150.438194444447</v>
      </c>
      <c r="B3916" s="81" t="s">
        <v>149</v>
      </c>
      <c r="C3916" s="81" t="s">
        <v>185</v>
      </c>
      <c r="D3916" s="81" t="s">
        <v>261</v>
      </c>
      <c r="E3916" s="81" t="s">
        <v>50</v>
      </c>
      <c r="F3916" s="81" t="s">
        <v>1</v>
      </c>
    </row>
    <row r="3917" spans="1:6" x14ac:dyDescent="0.25">
      <c r="A3917" s="14">
        <v>46150.438194444447</v>
      </c>
      <c r="B3917" s="81" t="s">
        <v>149</v>
      </c>
      <c r="C3917" s="81" t="s">
        <v>200</v>
      </c>
      <c r="D3917" s="81" t="s">
        <v>231</v>
      </c>
      <c r="E3917" s="81" t="s">
        <v>125</v>
      </c>
      <c r="F3917" s="81" t="s">
        <v>124</v>
      </c>
    </row>
    <row r="3918" spans="1:6" x14ac:dyDescent="0.25">
      <c r="A3918" s="14">
        <v>46150.438194444447</v>
      </c>
      <c r="B3918" s="81" t="s">
        <v>149</v>
      </c>
      <c r="C3918" s="81" t="s">
        <v>192</v>
      </c>
      <c r="D3918" s="81" t="s">
        <v>261</v>
      </c>
      <c r="E3918" s="81" t="s">
        <v>60</v>
      </c>
      <c r="F3918" s="81" t="s">
        <v>28</v>
      </c>
    </row>
    <row r="3919" spans="1:6" x14ac:dyDescent="0.25">
      <c r="A3919" s="14">
        <v>46150.438194444447</v>
      </c>
      <c r="B3919" s="81" t="s">
        <v>149</v>
      </c>
      <c r="C3919" s="81" t="s">
        <v>200</v>
      </c>
      <c r="D3919" s="81" t="s">
        <v>201</v>
      </c>
      <c r="E3919" s="81" t="s">
        <v>125</v>
      </c>
      <c r="F3919" s="81" t="s">
        <v>124</v>
      </c>
    </row>
    <row r="3920" spans="1:6" x14ac:dyDescent="0.25">
      <c r="A3920" s="14">
        <v>46150.438194444447</v>
      </c>
      <c r="B3920" s="81" t="s">
        <v>149</v>
      </c>
      <c r="C3920" s="81" t="s">
        <v>200</v>
      </c>
      <c r="D3920" s="81" t="s">
        <v>201</v>
      </c>
      <c r="E3920" s="81" t="s">
        <v>125</v>
      </c>
      <c r="F3920" s="81" t="s">
        <v>124</v>
      </c>
    </row>
    <row r="3921" spans="1:6" x14ac:dyDescent="0.25">
      <c r="A3921" s="14">
        <v>46150.438194444447</v>
      </c>
      <c r="B3921" s="81" t="s">
        <v>149</v>
      </c>
      <c r="C3921" s="81" t="s">
        <v>200</v>
      </c>
      <c r="D3921" s="81" t="s">
        <v>201</v>
      </c>
      <c r="E3921" s="81" t="s">
        <v>125</v>
      </c>
      <c r="F3921" s="81" t="s">
        <v>124</v>
      </c>
    </row>
    <row r="3922" spans="1:6" x14ac:dyDescent="0.25">
      <c r="A3922" s="14">
        <v>46150.438194444447</v>
      </c>
      <c r="B3922" s="81" t="s">
        <v>149</v>
      </c>
      <c r="C3922" s="81" t="s">
        <v>200</v>
      </c>
      <c r="D3922" s="81" t="s">
        <v>152</v>
      </c>
      <c r="E3922" s="81" t="s">
        <v>125</v>
      </c>
      <c r="F3922" s="81" t="s">
        <v>124</v>
      </c>
    </row>
    <row r="3923" spans="1:6" x14ac:dyDescent="0.25">
      <c r="A3923" s="14">
        <v>46150.438194444447</v>
      </c>
      <c r="B3923" s="81" t="s">
        <v>149</v>
      </c>
      <c r="C3923" s="81" t="s">
        <v>188</v>
      </c>
      <c r="D3923" s="81" t="s">
        <v>157</v>
      </c>
      <c r="E3923" s="81" t="s">
        <v>45</v>
      </c>
      <c r="F3923" s="81" t="s">
        <v>28</v>
      </c>
    </row>
    <row r="3924" spans="1:6" x14ac:dyDescent="0.25">
      <c r="A3924" s="14">
        <v>46150.438194444447</v>
      </c>
      <c r="B3924" s="81" t="s">
        <v>149</v>
      </c>
      <c r="C3924" s="81" t="s">
        <v>189</v>
      </c>
      <c r="D3924" s="81" t="s">
        <v>157</v>
      </c>
      <c r="E3924" s="81" t="s">
        <v>45</v>
      </c>
      <c r="F3924" s="81" t="s">
        <v>28</v>
      </c>
    </row>
    <row r="3925" spans="1:6" x14ac:dyDescent="0.25">
      <c r="A3925" s="14">
        <v>46150.438194444447</v>
      </c>
      <c r="B3925" s="81" t="s">
        <v>149</v>
      </c>
      <c r="C3925" s="81" t="s">
        <v>239</v>
      </c>
      <c r="D3925" s="81" t="s">
        <v>157</v>
      </c>
      <c r="E3925" s="81" t="s">
        <v>45</v>
      </c>
      <c r="F3925" s="81" t="s">
        <v>28</v>
      </c>
    </row>
    <row r="3926" spans="1:6" x14ac:dyDescent="0.25">
      <c r="A3926" s="14">
        <v>46150.534722222219</v>
      </c>
      <c r="B3926" s="81" t="s">
        <v>149</v>
      </c>
      <c r="C3926" s="81" t="s">
        <v>176</v>
      </c>
      <c r="D3926" s="81" t="s">
        <v>201</v>
      </c>
      <c r="E3926" s="81" t="s">
        <v>63</v>
      </c>
      <c r="F3926" s="81" t="s">
        <v>16</v>
      </c>
    </row>
    <row r="3927" spans="1:6" x14ac:dyDescent="0.25">
      <c r="A3927" s="14">
        <v>46150.534722222219</v>
      </c>
      <c r="B3927" s="81" t="s">
        <v>149</v>
      </c>
      <c r="C3927" s="81" t="s">
        <v>178</v>
      </c>
      <c r="D3927" s="81" t="s">
        <v>191</v>
      </c>
      <c r="E3927" s="81" t="s">
        <v>137</v>
      </c>
      <c r="F3927" s="81" t="s">
        <v>28</v>
      </c>
    </row>
    <row r="3928" spans="1:6" x14ac:dyDescent="0.25">
      <c r="A3928" s="14">
        <v>46150.534722222219</v>
      </c>
      <c r="B3928" s="81" t="s">
        <v>149</v>
      </c>
      <c r="C3928" s="81" t="s">
        <v>187</v>
      </c>
      <c r="D3928" s="81" t="s">
        <v>201</v>
      </c>
      <c r="E3928" s="81" t="s">
        <v>71</v>
      </c>
      <c r="F3928" s="81" t="s">
        <v>94</v>
      </c>
    </row>
    <row r="3929" spans="1:6" x14ac:dyDescent="0.25">
      <c r="A3929" s="14">
        <v>46150.534722222219</v>
      </c>
      <c r="B3929" s="81" t="s">
        <v>149</v>
      </c>
      <c r="C3929" s="81" t="s">
        <v>200</v>
      </c>
      <c r="D3929" s="81" t="s">
        <v>152</v>
      </c>
      <c r="E3929" s="81" t="s">
        <v>123</v>
      </c>
      <c r="F3929" s="81" t="s">
        <v>124</v>
      </c>
    </row>
    <row r="3930" spans="1:6" x14ac:dyDescent="0.25">
      <c r="A3930" s="14">
        <v>46150.534722222219</v>
      </c>
      <c r="B3930" s="81" t="s">
        <v>149</v>
      </c>
      <c r="C3930" s="81" t="s">
        <v>200</v>
      </c>
      <c r="D3930" s="81" t="s">
        <v>152</v>
      </c>
      <c r="E3930" s="81" t="s">
        <v>125</v>
      </c>
      <c r="F3930" s="81" t="s">
        <v>124</v>
      </c>
    </row>
    <row r="3931" spans="1:6" x14ac:dyDescent="0.25">
      <c r="A3931" s="14">
        <v>46150.534722222219</v>
      </c>
      <c r="B3931" s="81" t="s">
        <v>149</v>
      </c>
      <c r="C3931" s="81" t="s">
        <v>184</v>
      </c>
      <c r="D3931" s="81" t="s">
        <v>268</v>
      </c>
      <c r="E3931" s="81" t="s">
        <v>49</v>
      </c>
      <c r="F3931" s="81" t="s">
        <v>2</v>
      </c>
    </row>
    <row r="3932" spans="1:6" x14ac:dyDescent="0.25">
      <c r="A3932" s="14">
        <v>46150.534722222219</v>
      </c>
      <c r="B3932" s="81" t="s">
        <v>149</v>
      </c>
      <c r="C3932" s="81" t="s">
        <v>176</v>
      </c>
      <c r="D3932" s="81" t="s">
        <v>199</v>
      </c>
      <c r="E3932" s="81" t="s">
        <v>70</v>
      </c>
      <c r="F3932" s="81" t="s">
        <v>15</v>
      </c>
    </row>
    <row r="3933" spans="1:6" x14ac:dyDescent="0.25">
      <c r="A3933" s="14">
        <v>46150.534722222219</v>
      </c>
      <c r="B3933" s="81" t="s">
        <v>149</v>
      </c>
      <c r="C3933" s="81" t="s">
        <v>176</v>
      </c>
      <c r="D3933" s="81" t="s">
        <v>201</v>
      </c>
      <c r="E3933" s="81" t="s">
        <v>63</v>
      </c>
      <c r="F3933" s="81" t="s">
        <v>16</v>
      </c>
    </row>
    <row r="3934" spans="1:6" x14ac:dyDescent="0.25">
      <c r="A3934" s="14">
        <v>46150.534722222219</v>
      </c>
      <c r="B3934" s="81" t="s">
        <v>149</v>
      </c>
      <c r="C3934" s="81" t="s">
        <v>200</v>
      </c>
      <c r="D3934" s="81" t="s">
        <v>162</v>
      </c>
      <c r="E3934" s="81" t="s">
        <v>125</v>
      </c>
      <c r="F3934" s="81" t="s">
        <v>124</v>
      </c>
    </row>
    <row r="3935" spans="1:6" x14ac:dyDescent="0.25">
      <c r="A3935" s="14">
        <v>46150.534722222219</v>
      </c>
      <c r="B3935" s="81" t="s">
        <v>149</v>
      </c>
      <c r="C3935" s="81" t="s">
        <v>200</v>
      </c>
      <c r="D3935" s="81" t="s">
        <v>162</v>
      </c>
      <c r="E3935" s="81" t="s">
        <v>125</v>
      </c>
      <c r="F3935" s="81" t="s">
        <v>124</v>
      </c>
    </row>
    <row r="3936" spans="1:6" x14ac:dyDescent="0.25">
      <c r="A3936" s="14">
        <v>46150.534722222219</v>
      </c>
      <c r="B3936" s="81" t="s">
        <v>149</v>
      </c>
      <c r="C3936" s="81" t="s">
        <v>175</v>
      </c>
      <c r="D3936" s="81" t="s">
        <v>259</v>
      </c>
      <c r="E3936" s="81" t="s">
        <v>50</v>
      </c>
      <c r="F3936" s="81" t="s">
        <v>1</v>
      </c>
    </row>
    <row r="3937" spans="1:6" x14ac:dyDescent="0.25">
      <c r="A3937" s="14">
        <v>46150.534722222219</v>
      </c>
      <c r="B3937" s="81" t="s">
        <v>149</v>
      </c>
      <c r="C3937" s="81" t="s">
        <v>182</v>
      </c>
      <c r="D3937" s="81" t="s">
        <v>261</v>
      </c>
      <c r="E3937" s="81" t="s">
        <v>52</v>
      </c>
      <c r="F3937" s="81" t="s">
        <v>0</v>
      </c>
    </row>
    <row r="3938" spans="1:6" x14ac:dyDescent="0.25">
      <c r="A3938" s="14">
        <v>46150.534722222219</v>
      </c>
      <c r="B3938" s="81" t="s">
        <v>149</v>
      </c>
      <c r="C3938" s="81" t="s">
        <v>173</v>
      </c>
      <c r="D3938" s="81" t="s">
        <v>165</v>
      </c>
      <c r="E3938" s="81" t="s">
        <v>50</v>
      </c>
      <c r="F3938" s="81" t="s">
        <v>1</v>
      </c>
    </row>
    <row r="3939" spans="1:6" x14ac:dyDescent="0.25">
      <c r="A3939" s="14">
        <v>46150.534722222219</v>
      </c>
      <c r="B3939" s="81" t="s">
        <v>149</v>
      </c>
      <c r="C3939" s="81" t="s">
        <v>187</v>
      </c>
      <c r="D3939" s="81" t="s">
        <v>165</v>
      </c>
      <c r="E3939" s="81" t="s">
        <v>75</v>
      </c>
      <c r="F3939" s="81" t="s">
        <v>93</v>
      </c>
    </row>
    <row r="3940" spans="1:6" x14ac:dyDescent="0.25">
      <c r="A3940" s="14">
        <v>46150.534722222219</v>
      </c>
      <c r="B3940" s="81" t="s">
        <v>149</v>
      </c>
      <c r="C3940" s="81" t="s">
        <v>184</v>
      </c>
      <c r="D3940" s="81" t="s">
        <v>253</v>
      </c>
      <c r="E3940" s="81" t="s">
        <v>50</v>
      </c>
      <c r="F3940" s="81" t="s">
        <v>1</v>
      </c>
    </row>
    <row r="3941" spans="1:6" x14ac:dyDescent="0.25">
      <c r="A3941" s="14">
        <v>46150.534722222219</v>
      </c>
      <c r="B3941" s="81" t="s">
        <v>149</v>
      </c>
      <c r="C3941" s="81" t="s">
        <v>182</v>
      </c>
      <c r="D3941" s="81" t="s">
        <v>165</v>
      </c>
      <c r="E3941" s="81" t="s">
        <v>50</v>
      </c>
      <c r="F3941" s="81" t="s">
        <v>1</v>
      </c>
    </row>
    <row r="3942" spans="1:6" x14ac:dyDescent="0.25">
      <c r="A3942" s="14">
        <v>46150.534722222219</v>
      </c>
      <c r="B3942" s="81" t="s">
        <v>149</v>
      </c>
      <c r="C3942" s="81" t="s">
        <v>182</v>
      </c>
      <c r="D3942" s="81" t="s">
        <v>165</v>
      </c>
      <c r="E3942" s="81" t="s">
        <v>50</v>
      </c>
      <c r="F3942" s="81" t="s">
        <v>1</v>
      </c>
    </row>
    <row r="3943" spans="1:6" x14ac:dyDescent="0.25">
      <c r="A3943" s="14">
        <v>46150.534722222219</v>
      </c>
      <c r="B3943" s="81" t="s">
        <v>149</v>
      </c>
      <c r="C3943" s="81" t="s">
        <v>175</v>
      </c>
      <c r="D3943" s="81" t="s">
        <v>165</v>
      </c>
      <c r="E3943" s="81" t="s">
        <v>50</v>
      </c>
      <c r="F3943" s="81" t="s">
        <v>1</v>
      </c>
    </row>
    <row r="3944" spans="1:6" x14ac:dyDescent="0.25">
      <c r="A3944" s="14">
        <v>46150.534722222219</v>
      </c>
      <c r="B3944" s="81" t="s">
        <v>149</v>
      </c>
      <c r="C3944" s="81" t="s">
        <v>187</v>
      </c>
      <c r="D3944" s="81" t="s">
        <v>165</v>
      </c>
      <c r="E3944" s="81" t="s">
        <v>75</v>
      </c>
      <c r="F3944" s="81" t="s">
        <v>93</v>
      </c>
    </row>
    <row r="3945" spans="1:6" x14ac:dyDescent="0.25">
      <c r="A3945" s="14">
        <v>46150.534722222219</v>
      </c>
      <c r="B3945" s="81" t="s">
        <v>149</v>
      </c>
      <c r="C3945" s="81" t="s">
        <v>184</v>
      </c>
      <c r="D3945" s="81" t="s">
        <v>842</v>
      </c>
      <c r="E3945" s="81" t="s">
        <v>52</v>
      </c>
      <c r="F3945" s="81" t="s">
        <v>0</v>
      </c>
    </row>
    <row r="3946" spans="1:6" x14ac:dyDescent="0.25">
      <c r="A3946" s="14">
        <v>46150.534722222219</v>
      </c>
      <c r="B3946" s="81" t="s">
        <v>149</v>
      </c>
      <c r="C3946" s="81" t="s">
        <v>200</v>
      </c>
      <c r="D3946" s="81" t="s">
        <v>236</v>
      </c>
      <c r="E3946" s="81" t="s">
        <v>125</v>
      </c>
      <c r="F3946" s="81" t="s">
        <v>124</v>
      </c>
    </row>
    <row r="3947" spans="1:6" x14ac:dyDescent="0.25">
      <c r="A3947" s="14">
        <v>46150.534722222219</v>
      </c>
      <c r="B3947" s="81" t="s">
        <v>149</v>
      </c>
      <c r="C3947" s="81" t="s">
        <v>187</v>
      </c>
      <c r="D3947" s="81" t="s">
        <v>164</v>
      </c>
      <c r="E3947" s="81" t="s">
        <v>75</v>
      </c>
      <c r="F3947" s="81" t="s">
        <v>93</v>
      </c>
    </row>
    <row r="3948" spans="1:6" x14ac:dyDescent="0.25">
      <c r="A3948" s="14">
        <v>46150.534722222219</v>
      </c>
      <c r="B3948" s="81" t="s">
        <v>195</v>
      </c>
      <c r="C3948" s="81" t="s">
        <v>198</v>
      </c>
      <c r="D3948" s="81" t="s">
        <v>254</v>
      </c>
      <c r="E3948" s="81" t="s">
        <v>24</v>
      </c>
      <c r="F3948" s="81" t="s">
        <v>24</v>
      </c>
    </row>
    <row r="3949" spans="1:6" x14ac:dyDescent="0.25">
      <c r="A3949" s="14">
        <v>46150.534722222219</v>
      </c>
      <c r="B3949" s="81" t="s">
        <v>195</v>
      </c>
      <c r="C3949" s="81" t="s">
        <v>198</v>
      </c>
      <c r="D3949" s="81" t="s">
        <v>254</v>
      </c>
      <c r="E3949" s="81" t="s">
        <v>24</v>
      </c>
      <c r="F3949" s="81" t="s">
        <v>24</v>
      </c>
    </row>
    <row r="3950" spans="1:6" x14ac:dyDescent="0.25">
      <c r="A3950" s="14">
        <v>46150.534722222219</v>
      </c>
      <c r="B3950" s="81" t="s">
        <v>195</v>
      </c>
      <c r="C3950" s="81" t="s">
        <v>198</v>
      </c>
      <c r="D3950" s="81" t="s">
        <v>254</v>
      </c>
      <c r="E3950" s="81" t="s">
        <v>24</v>
      </c>
      <c r="F3950" s="81" t="s">
        <v>24</v>
      </c>
    </row>
    <row r="3951" spans="1:6" x14ac:dyDescent="0.25">
      <c r="A3951" s="14">
        <v>46150.534722222219</v>
      </c>
      <c r="B3951" s="81" t="s">
        <v>195</v>
      </c>
      <c r="C3951" s="81" t="s">
        <v>198</v>
      </c>
      <c r="D3951" s="81" t="s">
        <v>254</v>
      </c>
      <c r="E3951" s="81" t="s">
        <v>24</v>
      </c>
      <c r="F3951" s="81" t="s">
        <v>24</v>
      </c>
    </row>
    <row r="3952" spans="1:6" x14ac:dyDescent="0.25">
      <c r="A3952" s="14">
        <v>46150.534722222219</v>
      </c>
      <c r="B3952" s="81" t="s">
        <v>195</v>
      </c>
      <c r="C3952" s="81" t="s">
        <v>198</v>
      </c>
      <c r="D3952" s="81" t="s">
        <v>254</v>
      </c>
      <c r="E3952" s="81" t="s">
        <v>24</v>
      </c>
      <c r="F3952" s="81" t="s">
        <v>24</v>
      </c>
    </row>
    <row r="3953" spans="1:6" x14ac:dyDescent="0.25">
      <c r="A3953" s="14">
        <v>46150.534722222219</v>
      </c>
      <c r="B3953" s="81" t="s">
        <v>195</v>
      </c>
      <c r="C3953" s="81" t="s">
        <v>198</v>
      </c>
      <c r="D3953" s="81" t="s">
        <v>254</v>
      </c>
      <c r="E3953" s="81" t="s">
        <v>24</v>
      </c>
      <c r="F3953" s="81" t="s">
        <v>24</v>
      </c>
    </row>
    <row r="3954" spans="1:6" x14ac:dyDescent="0.25">
      <c r="A3954" s="14">
        <v>46150.572916666664</v>
      </c>
      <c r="B3954" s="81" t="s">
        <v>149</v>
      </c>
      <c r="C3954" s="81" t="s">
        <v>200</v>
      </c>
      <c r="D3954" s="81" t="s">
        <v>162</v>
      </c>
      <c r="E3954" s="81" t="s">
        <v>126</v>
      </c>
      <c r="F3954" s="81" t="s">
        <v>124</v>
      </c>
    </row>
    <row r="3955" spans="1:6" x14ac:dyDescent="0.25">
      <c r="A3955" s="14">
        <v>46150.572916666664</v>
      </c>
      <c r="B3955" s="81" t="s">
        <v>149</v>
      </c>
      <c r="C3955" s="81" t="s">
        <v>200</v>
      </c>
      <c r="D3955" s="81" t="s">
        <v>162</v>
      </c>
      <c r="E3955" s="81" t="s">
        <v>126</v>
      </c>
      <c r="F3955" s="81" t="s">
        <v>124</v>
      </c>
    </row>
    <row r="3956" spans="1:6" x14ac:dyDescent="0.25">
      <c r="A3956" s="14">
        <v>46150.572916666664</v>
      </c>
      <c r="B3956" s="81" t="s">
        <v>149</v>
      </c>
      <c r="C3956" s="81" t="s">
        <v>200</v>
      </c>
      <c r="D3956" s="81" t="s">
        <v>162</v>
      </c>
      <c r="E3956" s="81" t="s">
        <v>126</v>
      </c>
      <c r="F3956" s="81" t="s">
        <v>124</v>
      </c>
    </row>
    <row r="3957" spans="1:6" x14ac:dyDescent="0.25">
      <c r="A3957" s="14">
        <v>46150.572916666664</v>
      </c>
      <c r="B3957" s="81" t="s">
        <v>149</v>
      </c>
      <c r="C3957" s="81" t="s">
        <v>200</v>
      </c>
      <c r="D3957" s="81" t="s">
        <v>162</v>
      </c>
      <c r="E3957" s="81" t="s">
        <v>126</v>
      </c>
      <c r="F3957" s="81" t="s">
        <v>124</v>
      </c>
    </row>
    <row r="3958" spans="1:6" x14ac:dyDescent="0.25">
      <c r="A3958" s="14">
        <v>46150.572916666664</v>
      </c>
      <c r="B3958" s="81" t="s">
        <v>149</v>
      </c>
      <c r="C3958" s="81" t="s">
        <v>184</v>
      </c>
      <c r="D3958" s="81" t="s">
        <v>254</v>
      </c>
      <c r="E3958" s="81" t="s">
        <v>49</v>
      </c>
      <c r="F3958" s="81" t="s">
        <v>2</v>
      </c>
    </row>
    <row r="3959" spans="1:6" x14ac:dyDescent="0.25">
      <c r="A3959" s="14">
        <v>46150.572916666664</v>
      </c>
      <c r="B3959" s="81" t="s">
        <v>149</v>
      </c>
      <c r="C3959" s="81" t="s">
        <v>173</v>
      </c>
      <c r="D3959" s="81" t="s">
        <v>254</v>
      </c>
      <c r="E3959" s="81" t="s">
        <v>49</v>
      </c>
      <c r="F3959" s="81" t="s">
        <v>2</v>
      </c>
    </row>
    <row r="3960" spans="1:6" x14ac:dyDescent="0.25">
      <c r="A3960" s="14">
        <v>46150.572916666664</v>
      </c>
      <c r="B3960" s="81" t="s">
        <v>195</v>
      </c>
      <c r="C3960" s="81" t="s">
        <v>196</v>
      </c>
      <c r="D3960" s="81" t="s">
        <v>259</v>
      </c>
      <c r="E3960" s="81" t="s">
        <v>24</v>
      </c>
      <c r="F3960" s="81" t="s">
        <v>24</v>
      </c>
    </row>
    <row r="3961" spans="1:6" x14ac:dyDescent="0.25">
      <c r="A3961" s="14">
        <v>46150.572916666664</v>
      </c>
      <c r="B3961" s="81" t="s">
        <v>195</v>
      </c>
      <c r="C3961" s="81" t="s">
        <v>196</v>
      </c>
      <c r="D3961" s="81" t="s">
        <v>259</v>
      </c>
      <c r="E3961" s="81" t="s">
        <v>24</v>
      </c>
      <c r="F3961" s="81" t="s">
        <v>24</v>
      </c>
    </row>
    <row r="3962" spans="1:6" x14ac:dyDescent="0.25">
      <c r="A3962" s="14">
        <v>46150.572916666664</v>
      </c>
      <c r="B3962" s="81" t="s">
        <v>195</v>
      </c>
      <c r="C3962" s="81" t="s">
        <v>196</v>
      </c>
      <c r="D3962" s="81" t="s">
        <v>259</v>
      </c>
      <c r="E3962" s="81" t="s">
        <v>24</v>
      </c>
      <c r="F3962" s="81" t="s">
        <v>24</v>
      </c>
    </row>
    <row r="3963" spans="1:6" x14ac:dyDescent="0.25">
      <c r="A3963" s="14">
        <v>46150.576388888891</v>
      </c>
      <c r="B3963" s="81" t="s">
        <v>195</v>
      </c>
      <c r="C3963" s="81" t="s">
        <v>209</v>
      </c>
      <c r="D3963" s="81" t="s">
        <v>152</v>
      </c>
      <c r="E3963" s="81" t="s">
        <v>24</v>
      </c>
      <c r="F3963" s="81" t="s">
        <v>24</v>
      </c>
    </row>
    <row r="3964" spans="1:6" x14ac:dyDescent="0.25">
      <c r="A3964" s="14">
        <v>46150.576388888891</v>
      </c>
      <c r="B3964" s="81" t="s">
        <v>195</v>
      </c>
      <c r="C3964" s="81" t="s">
        <v>209</v>
      </c>
      <c r="D3964" s="81" t="s">
        <v>152</v>
      </c>
      <c r="E3964" s="81" t="s">
        <v>24</v>
      </c>
      <c r="F3964" s="81" t="s">
        <v>24</v>
      </c>
    </row>
    <row r="3965" spans="1:6" x14ac:dyDescent="0.25">
      <c r="A3965" s="14">
        <v>46150.576388888891</v>
      </c>
      <c r="B3965" s="81" t="s">
        <v>195</v>
      </c>
      <c r="C3965" s="81" t="s">
        <v>209</v>
      </c>
      <c r="D3965" s="81" t="s">
        <v>152</v>
      </c>
      <c r="E3965" s="81" t="s">
        <v>24</v>
      </c>
      <c r="F3965" s="81" t="s">
        <v>24</v>
      </c>
    </row>
    <row r="3966" spans="1:6" x14ac:dyDescent="0.25">
      <c r="A3966" s="14">
        <v>46150.665972222225</v>
      </c>
      <c r="B3966" s="81" t="s">
        <v>149</v>
      </c>
      <c r="C3966" s="81" t="s">
        <v>181</v>
      </c>
      <c r="D3966" s="81" t="s">
        <v>842</v>
      </c>
      <c r="E3966" s="81" t="s">
        <v>50</v>
      </c>
      <c r="F3966" s="81" t="s">
        <v>1</v>
      </c>
    </row>
    <row r="3967" spans="1:6" x14ac:dyDescent="0.25">
      <c r="A3967" s="14">
        <v>46150.665972222225</v>
      </c>
      <c r="B3967" s="81" t="s">
        <v>149</v>
      </c>
      <c r="C3967" s="81" t="s">
        <v>182</v>
      </c>
      <c r="D3967" s="81" t="s">
        <v>265</v>
      </c>
      <c r="E3967" s="81" t="s">
        <v>50</v>
      </c>
      <c r="F3967" s="81" t="s">
        <v>1</v>
      </c>
    </row>
    <row r="3968" spans="1:6" x14ac:dyDescent="0.25">
      <c r="A3968" s="14">
        <v>46150.665972222225</v>
      </c>
      <c r="B3968" s="81" t="s">
        <v>149</v>
      </c>
      <c r="C3968" s="81" t="s">
        <v>184</v>
      </c>
      <c r="D3968" s="81" t="s">
        <v>193</v>
      </c>
      <c r="E3968" s="81" t="s">
        <v>50</v>
      </c>
      <c r="F3968" s="81" t="s">
        <v>1</v>
      </c>
    </row>
    <row r="3969" spans="1:6" x14ac:dyDescent="0.25">
      <c r="A3969" s="14">
        <v>46150.665972222225</v>
      </c>
      <c r="B3969" s="81" t="s">
        <v>149</v>
      </c>
      <c r="C3969" s="81" t="s">
        <v>206</v>
      </c>
      <c r="D3969" s="81" t="s">
        <v>162</v>
      </c>
      <c r="E3969" s="81" t="s">
        <v>67</v>
      </c>
      <c r="F3969" s="81" t="s">
        <v>35</v>
      </c>
    </row>
    <row r="3970" spans="1:6" x14ac:dyDescent="0.25">
      <c r="A3970" s="14">
        <v>46150.665972222225</v>
      </c>
      <c r="B3970" s="81" t="s">
        <v>149</v>
      </c>
      <c r="C3970" s="81" t="s">
        <v>206</v>
      </c>
      <c r="D3970" s="81" t="s">
        <v>162</v>
      </c>
      <c r="E3970" s="81" t="s">
        <v>67</v>
      </c>
      <c r="F3970" s="81" t="s">
        <v>35</v>
      </c>
    </row>
    <row r="3971" spans="1:6" x14ac:dyDescent="0.25">
      <c r="A3971" s="14">
        <v>46150.665972222225</v>
      </c>
      <c r="B3971" s="81" t="s">
        <v>149</v>
      </c>
      <c r="C3971" s="81" t="s">
        <v>206</v>
      </c>
      <c r="D3971" s="81" t="s">
        <v>162</v>
      </c>
      <c r="E3971" s="81" t="s">
        <v>67</v>
      </c>
      <c r="F3971" s="81" t="s">
        <v>35</v>
      </c>
    </row>
    <row r="3972" spans="1:6" x14ac:dyDescent="0.25">
      <c r="A3972" s="14">
        <v>46150.665972222225</v>
      </c>
      <c r="B3972" s="81" t="s">
        <v>149</v>
      </c>
      <c r="C3972" s="81" t="s">
        <v>206</v>
      </c>
      <c r="D3972" s="81" t="s">
        <v>162</v>
      </c>
      <c r="E3972" s="81" t="s">
        <v>67</v>
      </c>
      <c r="F3972" s="81" t="s">
        <v>35</v>
      </c>
    </row>
    <row r="3973" spans="1:6" x14ac:dyDescent="0.25">
      <c r="A3973" s="14">
        <v>46150.665972222225</v>
      </c>
      <c r="B3973" s="81" t="s">
        <v>149</v>
      </c>
      <c r="C3973" s="81" t="s">
        <v>206</v>
      </c>
      <c r="D3973" s="81" t="s">
        <v>162</v>
      </c>
      <c r="E3973" s="81" t="s">
        <v>67</v>
      </c>
      <c r="F3973" s="81" t="s">
        <v>35</v>
      </c>
    </row>
    <row r="3974" spans="1:6" x14ac:dyDescent="0.25">
      <c r="A3974" s="14">
        <v>46150.665972222225</v>
      </c>
      <c r="B3974" s="81" t="s">
        <v>149</v>
      </c>
      <c r="C3974" s="81" t="s">
        <v>206</v>
      </c>
      <c r="D3974" s="81" t="s">
        <v>162</v>
      </c>
      <c r="E3974" s="81" t="s">
        <v>67</v>
      </c>
      <c r="F3974" s="81" t="s">
        <v>35</v>
      </c>
    </row>
    <row r="3975" spans="1:6" x14ac:dyDescent="0.25">
      <c r="A3975" s="14">
        <v>46150.665972222225</v>
      </c>
      <c r="B3975" s="81" t="s">
        <v>149</v>
      </c>
      <c r="C3975" s="81" t="s">
        <v>206</v>
      </c>
      <c r="D3975" s="81" t="s">
        <v>162</v>
      </c>
      <c r="E3975" s="81" t="s">
        <v>67</v>
      </c>
      <c r="F3975" s="81" t="s">
        <v>35</v>
      </c>
    </row>
    <row r="3976" spans="1:6" x14ac:dyDescent="0.25">
      <c r="A3976" s="14">
        <v>46150.665972222225</v>
      </c>
      <c r="B3976" s="81" t="s">
        <v>149</v>
      </c>
      <c r="C3976" s="81" t="s">
        <v>206</v>
      </c>
      <c r="D3976" s="81" t="s">
        <v>162</v>
      </c>
      <c r="E3976" s="81" t="s">
        <v>67</v>
      </c>
      <c r="F3976" s="81" t="s">
        <v>35</v>
      </c>
    </row>
    <row r="3977" spans="1:6" x14ac:dyDescent="0.25">
      <c r="A3977" s="14">
        <v>46150.665972222225</v>
      </c>
      <c r="B3977" s="81" t="s">
        <v>149</v>
      </c>
      <c r="C3977" s="81" t="s">
        <v>206</v>
      </c>
      <c r="D3977" s="81" t="s">
        <v>162</v>
      </c>
      <c r="E3977" s="81" t="s">
        <v>67</v>
      </c>
      <c r="F3977" s="81" t="s">
        <v>35</v>
      </c>
    </row>
    <row r="3978" spans="1:6" x14ac:dyDescent="0.25">
      <c r="A3978" s="14">
        <v>46150.665972222225</v>
      </c>
      <c r="B3978" s="81" t="s">
        <v>149</v>
      </c>
      <c r="C3978" s="81" t="s">
        <v>206</v>
      </c>
      <c r="D3978" s="81" t="s">
        <v>162</v>
      </c>
      <c r="E3978" s="81" t="s">
        <v>67</v>
      </c>
      <c r="F3978" s="81" t="s">
        <v>35</v>
      </c>
    </row>
    <row r="3979" spans="1:6" x14ac:dyDescent="0.25">
      <c r="A3979" s="14">
        <v>46150.665972222225</v>
      </c>
      <c r="B3979" s="81" t="s">
        <v>149</v>
      </c>
      <c r="C3979" s="81" t="s">
        <v>206</v>
      </c>
      <c r="D3979" s="81" t="s">
        <v>162</v>
      </c>
      <c r="E3979" s="81" t="s">
        <v>67</v>
      </c>
      <c r="F3979" s="81" t="s">
        <v>35</v>
      </c>
    </row>
    <row r="3980" spans="1:6" x14ac:dyDescent="0.25">
      <c r="A3980" s="14">
        <v>46150.665972222225</v>
      </c>
      <c r="B3980" s="81" t="s">
        <v>149</v>
      </c>
      <c r="C3980" s="81" t="s">
        <v>206</v>
      </c>
      <c r="D3980" s="81" t="s">
        <v>162</v>
      </c>
      <c r="E3980" s="81" t="s">
        <v>67</v>
      </c>
      <c r="F3980" s="81" t="s">
        <v>35</v>
      </c>
    </row>
    <row r="3981" spans="1:6" x14ac:dyDescent="0.25">
      <c r="A3981" s="14">
        <v>46150.665972222225</v>
      </c>
      <c r="B3981" s="81" t="s">
        <v>149</v>
      </c>
      <c r="C3981" s="81" t="s">
        <v>207</v>
      </c>
      <c r="D3981" s="81" t="s">
        <v>162</v>
      </c>
      <c r="E3981" s="81" t="s">
        <v>66</v>
      </c>
      <c r="F3981" s="81" t="s">
        <v>35</v>
      </c>
    </row>
    <row r="3982" spans="1:6" x14ac:dyDescent="0.25">
      <c r="A3982" s="14">
        <v>46150.665972222225</v>
      </c>
      <c r="B3982" s="81" t="s">
        <v>149</v>
      </c>
      <c r="C3982" s="81" t="s">
        <v>207</v>
      </c>
      <c r="D3982" s="81" t="s">
        <v>162</v>
      </c>
      <c r="E3982" s="81" t="s">
        <v>66</v>
      </c>
      <c r="F3982" s="81" t="s">
        <v>35</v>
      </c>
    </row>
    <row r="3983" spans="1:6" x14ac:dyDescent="0.25">
      <c r="A3983" s="14">
        <v>46150.665972222225</v>
      </c>
      <c r="B3983" s="81" t="s">
        <v>149</v>
      </c>
      <c r="C3983" s="81" t="s">
        <v>207</v>
      </c>
      <c r="D3983" s="81" t="s">
        <v>162</v>
      </c>
      <c r="E3983" s="81" t="s">
        <v>66</v>
      </c>
      <c r="F3983" s="81" t="s">
        <v>35</v>
      </c>
    </row>
    <row r="3984" spans="1:6" x14ac:dyDescent="0.25">
      <c r="A3984" s="14">
        <v>46150.665972222225</v>
      </c>
      <c r="B3984" s="81" t="s">
        <v>149</v>
      </c>
      <c r="C3984" s="81" t="s">
        <v>207</v>
      </c>
      <c r="D3984" s="81" t="s">
        <v>162</v>
      </c>
      <c r="E3984" s="81" t="s">
        <v>66</v>
      </c>
      <c r="F3984" s="81" t="s">
        <v>35</v>
      </c>
    </row>
    <row r="3985" spans="1:6" x14ac:dyDescent="0.25">
      <c r="A3985" s="14">
        <v>46150.665972222225</v>
      </c>
      <c r="B3985" s="81" t="s">
        <v>149</v>
      </c>
      <c r="C3985" s="81" t="s">
        <v>208</v>
      </c>
      <c r="D3985" s="81" t="s">
        <v>162</v>
      </c>
      <c r="E3985" s="81" t="s">
        <v>66</v>
      </c>
      <c r="F3985" s="81" t="s">
        <v>35</v>
      </c>
    </row>
    <row r="3986" spans="1:6" x14ac:dyDescent="0.25">
      <c r="A3986" s="14">
        <v>46150.665972222225</v>
      </c>
      <c r="B3986" s="81" t="s">
        <v>149</v>
      </c>
      <c r="C3986" s="81" t="s">
        <v>207</v>
      </c>
      <c r="D3986" s="81" t="s">
        <v>162</v>
      </c>
      <c r="E3986" s="81" t="s">
        <v>66</v>
      </c>
      <c r="F3986" s="81" t="s">
        <v>35</v>
      </c>
    </row>
    <row r="3987" spans="1:6" x14ac:dyDescent="0.25">
      <c r="A3987" s="14">
        <v>46150.665972222225</v>
      </c>
      <c r="B3987" s="81" t="s">
        <v>149</v>
      </c>
      <c r="C3987" s="81" t="s">
        <v>207</v>
      </c>
      <c r="D3987" s="81" t="s">
        <v>162</v>
      </c>
      <c r="E3987" s="81" t="s">
        <v>66</v>
      </c>
      <c r="F3987" s="81" t="s">
        <v>35</v>
      </c>
    </row>
    <row r="3988" spans="1:6" x14ac:dyDescent="0.25">
      <c r="A3988" s="14">
        <v>46150.665972222225</v>
      </c>
      <c r="B3988" s="81" t="s">
        <v>149</v>
      </c>
      <c r="C3988" s="81" t="s">
        <v>207</v>
      </c>
      <c r="D3988" s="81" t="s">
        <v>162</v>
      </c>
      <c r="E3988" s="81" t="s">
        <v>66</v>
      </c>
      <c r="F3988" s="81" t="s">
        <v>35</v>
      </c>
    </row>
    <row r="3989" spans="1:6" x14ac:dyDescent="0.25">
      <c r="A3989" s="14">
        <v>46150.665972222225</v>
      </c>
      <c r="B3989" s="81" t="s">
        <v>149</v>
      </c>
      <c r="C3989" s="81" t="s">
        <v>207</v>
      </c>
      <c r="D3989" s="81" t="s">
        <v>162</v>
      </c>
      <c r="E3989" s="81" t="s">
        <v>66</v>
      </c>
      <c r="F3989" s="81" t="s">
        <v>35</v>
      </c>
    </row>
    <row r="3990" spans="1:6" x14ac:dyDescent="0.25">
      <c r="A3990" s="14">
        <v>46150.665972222225</v>
      </c>
      <c r="B3990" s="81" t="s">
        <v>149</v>
      </c>
      <c r="C3990" s="81" t="s">
        <v>207</v>
      </c>
      <c r="D3990" s="81" t="s">
        <v>162</v>
      </c>
      <c r="E3990" s="81" t="s">
        <v>66</v>
      </c>
      <c r="F3990" s="81" t="s">
        <v>35</v>
      </c>
    </row>
    <row r="3991" spans="1:6" x14ac:dyDescent="0.25">
      <c r="A3991" s="14">
        <v>46150.665972222225</v>
      </c>
      <c r="B3991" s="81" t="s">
        <v>149</v>
      </c>
      <c r="C3991" s="81" t="s">
        <v>207</v>
      </c>
      <c r="D3991" s="81" t="s">
        <v>162</v>
      </c>
      <c r="E3991" s="81" t="s">
        <v>66</v>
      </c>
      <c r="F3991" s="81" t="s">
        <v>35</v>
      </c>
    </row>
    <row r="3992" spans="1:6" x14ac:dyDescent="0.25">
      <c r="A3992" s="14">
        <v>46150.665972222225</v>
      </c>
      <c r="B3992" s="81" t="s">
        <v>149</v>
      </c>
      <c r="C3992" s="81" t="s">
        <v>207</v>
      </c>
      <c r="D3992" s="81" t="s">
        <v>162</v>
      </c>
      <c r="E3992" s="81" t="s">
        <v>66</v>
      </c>
      <c r="F3992" s="81" t="s">
        <v>35</v>
      </c>
    </row>
    <row r="3993" spans="1:6" x14ac:dyDescent="0.25">
      <c r="A3993" s="14">
        <v>46150.665972222225</v>
      </c>
      <c r="B3993" s="81" t="s">
        <v>149</v>
      </c>
      <c r="C3993" s="81" t="s">
        <v>207</v>
      </c>
      <c r="D3993" s="81" t="s">
        <v>162</v>
      </c>
      <c r="E3993" s="81" t="s">
        <v>66</v>
      </c>
      <c r="F3993" s="81" t="s">
        <v>35</v>
      </c>
    </row>
    <row r="3994" spans="1:6" x14ac:dyDescent="0.25">
      <c r="A3994" s="14">
        <v>46150.665972222225</v>
      </c>
      <c r="B3994" s="81" t="s">
        <v>149</v>
      </c>
      <c r="C3994" s="81" t="s">
        <v>207</v>
      </c>
      <c r="D3994" s="81" t="s">
        <v>157</v>
      </c>
      <c r="E3994" s="81" t="s">
        <v>66</v>
      </c>
      <c r="F3994" s="81" t="s">
        <v>35</v>
      </c>
    </row>
    <row r="3995" spans="1:6" x14ac:dyDescent="0.25">
      <c r="A3995" s="14">
        <v>46150.665972222225</v>
      </c>
      <c r="B3995" s="81" t="s">
        <v>149</v>
      </c>
      <c r="C3995" s="81" t="s">
        <v>207</v>
      </c>
      <c r="D3995" s="81" t="s">
        <v>157</v>
      </c>
      <c r="E3995" s="81" t="s">
        <v>66</v>
      </c>
      <c r="F3995" s="81" t="s">
        <v>35</v>
      </c>
    </row>
    <row r="3996" spans="1:6" x14ac:dyDescent="0.25">
      <c r="A3996" s="14">
        <v>46150.665972222225</v>
      </c>
      <c r="B3996" s="81" t="s">
        <v>149</v>
      </c>
      <c r="C3996" s="81" t="s">
        <v>207</v>
      </c>
      <c r="D3996" s="81" t="s">
        <v>157</v>
      </c>
      <c r="E3996" s="81" t="s">
        <v>66</v>
      </c>
      <c r="F3996" s="81" t="s">
        <v>35</v>
      </c>
    </row>
    <row r="3997" spans="1:6" x14ac:dyDescent="0.25">
      <c r="A3997" s="14">
        <v>46150.665972222225</v>
      </c>
      <c r="B3997" s="81" t="s">
        <v>149</v>
      </c>
      <c r="C3997" s="81" t="s">
        <v>207</v>
      </c>
      <c r="D3997" s="81" t="s">
        <v>157</v>
      </c>
      <c r="E3997" s="81" t="s">
        <v>66</v>
      </c>
      <c r="F3997" s="81" t="s">
        <v>35</v>
      </c>
    </row>
    <row r="3998" spans="1:6" x14ac:dyDescent="0.25">
      <c r="A3998" s="14">
        <v>46150.665972222225</v>
      </c>
      <c r="B3998" s="81" t="s">
        <v>149</v>
      </c>
      <c r="C3998" s="81" t="s">
        <v>207</v>
      </c>
      <c r="D3998" s="81" t="s">
        <v>250</v>
      </c>
      <c r="E3998" s="81" t="s">
        <v>66</v>
      </c>
      <c r="F3998" s="81" t="s">
        <v>35</v>
      </c>
    </row>
    <row r="3999" spans="1:6" x14ac:dyDescent="0.25">
      <c r="A3999" s="14">
        <v>46150.665972222225</v>
      </c>
      <c r="B3999" s="81" t="s">
        <v>149</v>
      </c>
      <c r="C3999" s="81" t="s">
        <v>207</v>
      </c>
      <c r="D3999" s="81" t="s">
        <v>250</v>
      </c>
      <c r="E3999" s="81" t="s">
        <v>66</v>
      </c>
      <c r="F3999" s="81" t="s">
        <v>35</v>
      </c>
    </row>
    <row r="4000" spans="1:6" x14ac:dyDescent="0.25">
      <c r="A4000" s="14">
        <v>46150.665972222225</v>
      </c>
      <c r="B4000" s="81" t="s">
        <v>149</v>
      </c>
      <c r="C4000" s="81" t="s">
        <v>207</v>
      </c>
      <c r="D4000" s="81" t="s">
        <v>250</v>
      </c>
      <c r="E4000" s="81" t="s">
        <v>66</v>
      </c>
      <c r="F4000" s="81" t="s">
        <v>35</v>
      </c>
    </row>
    <row r="4001" spans="1:6" x14ac:dyDescent="0.25">
      <c r="A4001" s="14">
        <v>46150.665972222225</v>
      </c>
      <c r="B4001" s="81" t="s">
        <v>149</v>
      </c>
      <c r="C4001" s="81" t="s">
        <v>207</v>
      </c>
      <c r="D4001" s="81" t="s">
        <v>250</v>
      </c>
      <c r="E4001" s="81" t="s">
        <v>66</v>
      </c>
      <c r="F4001" s="81" t="s">
        <v>35</v>
      </c>
    </row>
    <row r="4002" spans="1:6" x14ac:dyDescent="0.25">
      <c r="A4002" s="14">
        <v>46150.665972222225</v>
      </c>
      <c r="B4002" s="81" t="s">
        <v>149</v>
      </c>
      <c r="C4002" s="81" t="s">
        <v>208</v>
      </c>
      <c r="D4002" s="81" t="s">
        <v>250</v>
      </c>
      <c r="E4002" s="81" t="s">
        <v>66</v>
      </c>
      <c r="F4002" s="81" t="s">
        <v>35</v>
      </c>
    </row>
    <row r="4003" spans="1:6" x14ac:dyDescent="0.25">
      <c r="A4003" s="14">
        <v>46150.665972222225</v>
      </c>
      <c r="B4003" s="81" t="s">
        <v>149</v>
      </c>
      <c r="C4003" s="81" t="s">
        <v>190</v>
      </c>
      <c r="D4003" s="81" t="s">
        <v>193</v>
      </c>
      <c r="E4003" s="81" t="s">
        <v>50</v>
      </c>
      <c r="F4003" s="81" t="s">
        <v>1</v>
      </c>
    </row>
    <row r="4004" spans="1:6" x14ac:dyDescent="0.25">
      <c r="A4004" s="14">
        <v>46150.665972222225</v>
      </c>
      <c r="B4004" s="81" t="s">
        <v>149</v>
      </c>
      <c r="C4004" s="81" t="s">
        <v>190</v>
      </c>
      <c r="D4004" s="81" t="s">
        <v>231</v>
      </c>
      <c r="E4004" s="81" t="s">
        <v>50</v>
      </c>
      <c r="F4004" s="81" t="s">
        <v>1</v>
      </c>
    </row>
    <row r="4005" spans="1:6" x14ac:dyDescent="0.25">
      <c r="A4005" s="14">
        <v>46150.665972222225</v>
      </c>
      <c r="B4005" s="81" t="s">
        <v>149</v>
      </c>
      <c r="C4005" s="81" t="s">
        <v>177</v>
      </c>
      <c r="D4005" s="81" t="s">
        <v>231</v>
      </c>
      <c r="E4005" s="81" t="s">
        <v>50</v>
      </c>
      <c r="F4005" s="81" t="s">
        <v>1</v>
      </c>
    </row>
    <row r="4006" spans="1:6" x14ac:dyDescent="0.25">
      <c r="A4006" s="14">
        <v>46150.665972222225</v>
      </c>
      <c r="B4006" s="81" t="s">
        <v>149</v>
      </c>
      <c r="C4006" s="81" t="s">
        <v>181</v>
      </c>
      <c r="D4006" s="81" t="s">
        <v>193</v>
      </c>
      <c r="E4006" s="81" t="s">
        <v>50</v>
      </c>
      <c r="F4006" s="81" t="s">
        <v>1</v>
      </c>
    </row>
    <row r="4007" spans="1:6" x14ac:dyDescent="0.25">
      <c r="A4007" s="14">
        <v>46150.665972222225</v>
      </c>
      <c r="B4007" s="81" t="s">
        <v>149</v>
      </c>
      <c r="C4007" s="81" t="s">
        <v>185</v>
      </c>
      <c r="D4007" s="81" t="s">
        <v>257</v>
      </c>
      <c r="E4007" s="81" t="s">
        <v>52</v>
      </c>
      <c r="F4007" s="81" t="s">
        <v>0</v>
      </c>
    </row>
    <row r="4008" spans="1:6" x14ac:dyDescent="0.25">
      <c r="A4008" s="14">
        <v>46150.665972222225</v>
      </c>
      <c r="B4008" s="81" t="s">
        <v>149</v>
      </c>
      <c r="C4008" s="81" t="s">
        <v>177</v>
      </c>
      <c r="D4008" s="81" t="s">
        <v>268</v>
      </c>
      <c r="E4008" s="81" t="s">
        <v>50</v>
      </c>
      <c r="F4008" s="81" t="s">
        <v>1</v>
      </c>
    </row>
    <row r="4009" spans="1:6" x14ac:dyDescent="0.25">
      <c r="A4009" s="14">
        <v>46150.665972222225</v>
      </c>
      <c r="B4009" s="81" t="s">
        <v>149</v>
      </c>
      <c r="C4009" s="81" t="s">
        <v>177</v>
      </c>
      <c r="D4009" s="81" t="s">
        <v>231</v>
      </c>
      <c r="E4009" s="81" t="s">
        <v>50</v>
      </c>
      <c r="F4009" s="81" t="s">
        <v>1</v>
      </c>
    </row>
    <row r="4010" spans="1:6" x14ac:dyDescent="0.25">
      <c r="A4010" s="14">
        <v>46150.665972222225</v>
      </c>
      <c r="B4010" s="81" t="s">
        <v>149</v>
      </c>
      <c r="C4010" s="81" t="s">
        <v>184</v>
      </c>
      <c r="D4010" s="81" t="s">
        <v>268</v>
      </c>
      <c r="E4010" s="81" t="s">
        <v>50</v>
      </c>
      <c r="F4010" s="81" t="s">
        <v>1</v>
      </c>
    </row>
    <row r="4011" spans="1:6" x14ac:dyDescent="0.25">
      <c r="A4011" s="14">
        <v>46150.665972222225</v>
      </c>
      <c r="B4011" s="81" t="s">
        <v>149</v>
      </c>
      <c r="C4011" s="81" t="s">
        <v>158</v>
      </c>
      <c r="D4011" s="81" t="s">
        <v>257</v>
      </c>
      <c r="E4011" s="81" t="s">
        <v>52</v>
      </c>
      <c r="F4011" s="81" t="s">
        <v>0</v>
      </c>
    </row>
    <row r="4012" spans="1:6" x14ac:dyDescent="0.25">
      <c r="A4012" s="14">
        <v>46150.665972222225</v>
      </c>
      <c r="B4012" s="81" t="s">
        <v>149</v>
      </c>
      <c r="C4012" s="81" t="s">
        <v>177</v>
      </c>
      <c r="D4012" s="81" t="s">
        <v>257</v>
      </c>
      <c r="E4012" s="81" t="s">
        <v>52</v>
      </c>
      <c r="F4012" s="81" t="s">
        <v>0</v>
      </c>
    </row>
    <row r="4013" spans="1:6" x14ac:dyDescent="0.25">
      <c r="A4013" s="14">
        <v>46150.665972222225</v>
      </c>
      <c r="B4013" s="81" t="s">
        <v>149</v>
      </c>
      <c r="C4013" s="81" t="s">
        <v>151</v>
      </c>
      <c r="D4013" s="81" t="s">
        <v>193</v>
      </c>
      <c r="E4013" s="81" t="s">
        <v>50</v>
      </c>
      <c r="F4013" s="81" t="s">
        <v>1</v>
      </c>
    </row>
    <row r="4014" spans="1:6" x14ac:dyDescent="0.25">
      <c r="A4014" s="14">
        <v>46150.665972222225</v>
      </c>
      <c r="B4014" s="81" t="s">
        <v>149</v>
      </c>
      <c r="C4014" s="81" t="s">
        <v>171</v>
      </c>
      <c r="D4014" s="81" t="s">
        <v>268</v>
      </c>
      <c r="E4014" s="81" t="s">
        <v>49</v>
      </c>
      <c r="F4014" s="81" t="s">
        <v>2</v>
      </c>
    </row>
    <row r="4015" spans="1:6" x14ac:dyDescent="0.25">
      <c r="A4015" s="14">
        <v>46150.665972222225</v>
      </c>
      <c r="B4015" s="81" t="s">
        <v>149</v>
      </c>
      <c r="C4015" s="81" t="s">
        <v>190</v>
      </c>
      <c r="D4015" s="81" t="s">
        <v>268</v>
      </c>
      <c r="E4015" s="81" t="s">
        <v>49</v>
      </c>
      <c r="F4015" s="81" t="s">
        <v>2</v>
      </c>
    </row>
    <row r="4016" spans="1:6" x14ac:dyDescent="0.25">
      <c r="A4016" s="14">
        <v>46150.665972222225</v>
      </c>
      <c r="B4016" s="81" t="s">
        <v>149</v>
      </c>
      <c r="C4016" s="81" t="s">
        <v>173</v>
      </c>
      <c r="D4016" s="81" t="s">
        <v>257</v>
      </c>
      <c r="E4016" s="81" t="s">
        <v>50</v>
      </c>
      <c r="F4016" s="81" t="s">
        <v>1</v>
      </c>
    </row>
    <row r="4017" spans="1:6" x14ac:dyDescent="0.25">
      <c r="A4017" s="14">
        <v>46150.665972222225</v>
      </c>
      <c r="B4017" s="81" t="s">
        <v>149</v>
      </c>
      <c r="C4017" s="81" t="s">
        <v>183</v>
      </c>
      <c r="D4017" s="81" t="s">
        <v>257</v>
      </c>
      <c r="E4017" s="81" t="s">
        <v>52</v>
      </c>
      <c r="F4017" s="81" t="s">
        <v>0</v>
      </c>
    </row>
    <row r="4018" spans="1:6" x14ac:dyDescent="0.25">
      <c r="A4018" s="14">
        <v>46150.665972222225</v>
      </c>
      <c r="B4018" s="81" t="s">
        <v>149</v>
      </c>
      <c r="C4018" s="81" t="s">
        <v>171</v>
      </c>
      <c r="D4018" s="81" t="s">
        <v>193</v>
      </c>
      <c r="E4018" s="81" t="s">
        <v>50</v>
      </c>
      <c r="F4018" s="81" t="s">
        <v>1</v>
      </c>
    </row>
    <row r="4019" spans="1:6" x14ac:dyDescent="0.25">
      <c r="A4019" s="14">
        <v>46150.665972222225</v>
      </c>
      <c r="B4019" s="81" t="s">
        <v>149</v>
      </c>
      <c r="C4019" s="81" t="s">
        <v>185</v>
      </c>
      <c r="D4019" s="81" t="s">
        <v>257</v>
      </c>
      <c r="E4019" s="81" t="s">
        <v>52</v>
      </c>
      <c r="F4019" s="81" t="s">
        <v>0</v>
      </c>
    </row>
    <row r="4020" spans="1:6" x14ac:dyDescent="0.25">
      <c r="A4020" s="14">
        <v>46150.665972222225</v>
      </c>
      <c r="B4020" s="81" t="s">
        <v>149</v>
      </c>
      <c r="C4020" s="81" t="s">
        <v>176</v>
      </c>
      <c r="D4020" s="81" t="s">
        <v>231</v>
      </c>
      <c r="E4020" s="81" t="s">
        <v>63</v>
      </c>
      <c r="F4020" s="81" t="s">
        <v>16</v>
      </c>
    </row>
    <row r="4021" spans="1:6" x14ac:dyDescent="0.25">
      <c r="A4021" s="14">
        <v>46150.665972222225</v>
      </c>
      <c r="B4021" s="81" t="s">
        <v>149</v>
      </c>
      <c r="C4021" s="81" t="s">
        <v>187</v>
      </c>
      <c r="D4021" s="81" t="s">
        <v>231</v>
      </c>
      <c r="E4021" s="81" t="s">
        <v>71</v>
      </c>
      <c r="F4021" s="81" t="s">
        <v>94</v>
      </c>
    </row>
    <row r="4022" spans="1:6" x14ac:dyDescent="0.25">
      <c r="A4022" s="14">
        <v>46150.665972222225</v>
      </c>
      <c r="B4022" s="81" t="s">
        <v>149</v>
      </c>
      <c r="C4022" s="81" t="s">
        <v>192</v>
      </c>
      <c r="D4022" s="81" t="s">
        <v>202</v>
      </c>
      <c r="E4022" s="81" t="s">
        <v>60</v>
      </c>
      <c r="F4022" s="81" t="s">
        <v>28</v>
      </c>
    </row>
    <row r="4023" spans="1:6" x14ac:dyDescent="0.25">
      <c r="A4023" s="14">
        <v>46150.665972222225</v>
      </c>
      <c r="B4023" s="81" t="s">
        <v>149</v>
      </c>
      <c r="C4023" s="81" t="s">
        <v>182</v>
      </c>
      <c r="D4023" s="81" t="s">
        <v>252</v>
      </c>
      <c r="E4023" s="81" t="s">
        <v>50</v>
      </c>
      <c r="F4023" s="81" t="s">
        <v>1</v>
      </c>
    </row>
    <row r="4024" spans="1:6" x14ac:dyDescent="0.25">
      <c r="A4024" s="14">
        <v>46150.665972222225</v>
      </c>
      <c r="B4024" s="81" t="s">
        <v>149</v>
      </c>
      <c r="C4024" s="81" t="s">
        <v>183</v>
      </c>
      <c r="D4024" s="81" t="s">
        <v>193</v>
      </c>
      <c r="E4024" s="81" t="s">
        <v>50</v>
      </c>
      <c r="F4024" s="81" t="s">
        <v>1</v>
      </c>
    </row>
    <row r="4025" spans="1:6" x14ac:dyDescent="0.25">
      <c r="A4025" s="14">
        <v>46150.665972222225</v>
      </c>
      <c r="B4025" s="81" t="s">
        <v>149</v>
      </c>
      <c r="C4025" s="81" t="s">
        <v>158</v>
      </c>
      <c r="D4025" s="81" t="s">
        <v>254</v>
      </c>
      <c r="E4025" s="81" t="s">
        <v>49</v>
      </c>
      <c r="F4025" s="81" t="s">
        <v>2</v>
      </c>
    </row>
    <row r="4026" spans="1:6" x14ac:dyDescent="0.25">
      <c r="A4026" s="14">
        <v>46150.665972222225</v>
      </c>
      <c r="B4026" s="81" t="s">
        <v>149</v>
      </c>
      <c r="C4026" s="81" t="s">
        <v>176</v>
      </c>
      <c r="D4026" s="81" t="s">
        <v>254</v>
      </c>
      <c r="E4026" s="81" t="s">
        <v>63</v>
      </c>
      <c r="F4026" s="81" t="s">
        <v>16</v>
      </c>
    </row>
    <row r="4027" spans="1:6" x14ac:dyDescent="0.25">
      <c r="A4027" s="14">
        <v>46150.665972222225</v>
      </c>
      <c r="B4027" s="81" t="s">
        <v>149</v>
      </c>
      <c r="C4027" s="81" t="s">
        <v>151</v>
      </c>
      <c r="D4027" s="81" t="s">
        <v>193</v>
      </c>
      <c r="E4027" s="81" t="s">
        <v>50</v>
      </c>
      <c r="F4027" s="81" t="s">
        <v>1</v>
      </c>
    </row>
    <row r="4028" spans="1:6" x14ac:dyDescent="0.25">
      <c r="A4028" s="14">
        <v>46150.665972222225</v>
      </c>
      <c r="B4028" s="81" t="s">
        <v>149</v>
      </c>
      <c r="C4028" s="81" t="s">
        <v>176</v>
      </c>
      <c r="D4028" s="81" t="s">
        <v>254</v>
      </c>
      <c r="E4028" s="81" t="s">
        <v>63</v>
      </c>
      <c r="F4028" s="81" t="s">
        <v>16</v>
      </c>
    </row>
    <row r="4029" spans="1:6" x14ac:dyDescent="0.25">
      <c r="A4029" s="14">
        <v>46150.665972222225</v>
      </c>
      <c r="B4029" s="81" t="s">
        <v>149</v>
      </c>
      <c r="C4029" s="81" t="s">
        <v>173</v>
      </c>
      <c r="D4029" s="81" t="s">
        <v>267</v>
      </c>
      <c r="E4029" s="81" t="s">
        <v>50</v>
      </c>
      <c r="F4029" s="81" t="s">
        <v>1</v>
      </c>
    </row>
    <row r="4030" spans="1:6" x14ac:dyDescent="0.25">
      <c r="A4030" s="14">
        <v>46150.665972222225</v>
      </c>
      <c r="B4030" s="81" t="s">
        <v>149</v>
      </c>
      <c r="C4030" s="81" t="s">
        <v>181</v>
      </c>
      <c r="D4030" s="81" t="s">
        <v>165</v>
      </c>
      <c r="E4030" s="81" t="s">
        <v>50</v>
      </c>
      <c r="F4030" s="81" t="s">
        <v>1</v>
      </c>
    </row>
    <row r="4031" spans="1:6" x14ac:dyDescent="0.25">
      <c r="A4031" s="14">
        <v>46150.665972222225</v>
      </c>
      <c r="B4031" s="81" t="s">
        <v>149</v>
      </c>
      <c r="C4031" s="81" t="s">
        <v>182</v>
      </c>
      <c r="D4031" s="81" t="s">
        <v>167</v>
      </c>
      <c r="E4031" s="81" t="s">
        <v>50</v>
      </c>
      <c r="F4031" s="81" t="s">
        <v>1</v>
      </c>
    </row>
    <row r="4032" spans="1:6" x14ac:dyDescent="0.25">
      <c r="A4032" s="14">
        <v>46150.665972222225</v>
      </c>
      <c r="B4032" s="81" t="s">
        <v>149</v>
      </c>
      <c r="C4032" s="81" t="s">
        <v>182</v>
      </c>
      <c r="D4032" s="81" t="s">
        <v>167</v>
      </c>
      <c r="E4032" s="81" t="s">
        <v>50</v>
      </c>
      <c r="F4032" s="81" t="s">
        <v>1</v>
      </c>
    </row>
    <row r="4033" spans="1:6" x14ac:dyDescent="0.25">
      <c r="A4033" s="14">
        <v>46150.665972222225</v>
      </c>
      <c r="B4033" s="81" t="s">
        <v>195</v>
      </c>
      <c r="C4033" s="81" t="s">
        <v>209</v>
      </c>
      <c r="D4033" s="81" t="s">
        <v>251</v>
      </c>
      <c r="E4033" s="81" t="s">
        <v>24</v>
      </c>
      <c r="F4033" s="81" t="s">
        <v>24</v>
      </c>
    </row>
    <row r="4034" spans="1:6" x14ac:dyDescent="0.25">
      <c r="A4034" s="14">
        <v>46150.665972222225</v>
      </c>
      <c r="B4034" s="81" t="s">
        <v>195</v>
      </c>
      <c r="C4034" s="81" t="s">
        <v>209</v>
      </c>
      <c r="D4034" s="81" t="s">
        <v>251</v>
      </c>
      <c r="E4034" s="81" t="s">
        <v>24</v>
      </c>
      <c r="F4034" s="81" t="s">
        <v>24</v>
      </c>
    </row>
    <row r="4035" spans="1:6" x14ac:dyDescent="0.25">
      <c r="A4035" s="14">
        <v>46150.665972222225</v>
      </c>
      <c r="B4035" s="81" t="s">
        <v>195</v>
      </c>
      <c r="C4035" s="81" t="s">
        <v>209</v>
      </c>
      <c r="D4035" s="81" t="s">
        <v>251</v>
      </c>
      <c r="E4035" s="81" t="s">
        <v>24</v>
      </c>
      <c r="F4035" s="81" t="s">
        <v>24</v>
      </c>
    </row>
    <row r="4036" spans="1:6" x14ac:dyDescent="0.25">
      <c r="A4036" s="14">
        <v>46150.674305555556</v>
      </c>
      <c r="B4036" s="81" t="s">
        <v>149</v>
      </c>
      <c r="C4036" s="81" t="s">
        <v>207</v>
      </c>
      <c r="D4036" s="81" t="s">
        <v>250</v>
      </c>
      <c r="E4036" s="81" t="s">
        <v>66</v>
      </c>
      <c r="F4036" s="81" t="s">
        <v>35</v>
      </c>
    </row>
    <row r="4037" spans="1:6" x14ac:dyDescent="0.25">
      <c r="A4037" s="14">
        <v>46150.674305555556</v>
      </c>
      <c r="B4037" s="81" t="s">
        <v>149</v>
      </c>
      <c r="C4037" s="81" t="s">
        <v>207</v>
      </c>
      <c r="D4037" s="81" t="s">
        <v>250</v>
      </c>
      <c r="E4037" s="81" t="s">
        <v>66</v>
      </c>
      <c r="F4037" s="81" t="s">
        <v>35</v>
      </c>
    </row>
    <row r="4038" spans="1:6" x14ac:dyDescent="0.25">
      <c r="A4038" s="14">
        <v>46150.674305555556</v>
      </c>
      <c r="B4038" s="81" t="s">
        <v>149</v>
      </c>
      <c r="C4038" s="81" t="s">
        <v>207</v>
      </c>
      <c r="D4038" s="81" t="s">
        <v>250</v>
      </c>
      <c r="E4038" s="81" t="s">
        <v>66</v>
      </c>
      <c r="F4038" s="81" t="s">
        <v>35</v>
      </c>
    </row>
    <row r="4039" spans="1:6" x14ac:dyDescent="0.25">
      <c r="A4039" s="14">
        <v>46150.674305555556</v>
      </c>
      <c r="B4039" s="81" t="s">
        <v>149</v>
      </c>
      <c r="C4039" s="81" t="s">
        <v>207</v>
      </c>
      <c r="D4039" s="81" t="s">
        <v>250</v>
      </c>
      <c r="E4039" s="81" t="s">
        <v>66</v>
      </c>
      <c r="F4039" s="81" t="s">
        <v>35</v>
      </c>
    </row>
    <row r="4040" spans="1:6" x14ac:dyDescent="0.25">
      <c r="A4040" s="14">
        <v>46150.674305555556</v>
      </c>
      <c r="B4040" s="81" t="s">
        <v>149</v>
      </c>
      <c r="C4040" s="81" t="s">
        <v>207</v>
      </c>
      <c r="D4040" s="81" t="s">
        <v>250</v>
      </c>
      <c r="E4040" s="81" t="s">
        <v>66</v>
      </c>
      <c r="F4040" s="81" t="s">
        <v>35</v>
      </c>
    </row>
    <row r="4041" spans="1:6" x14ac:dyDescent="0.25">
      <c r="A4041" s="14">
        <v>46150.674305555556</v>
      </c>
      <c r="B4041" s="81" t="s">
        <v>149</v>
      </c>
      <c r="C4041" s="81" t="s">
        <v>207</v>
      </c>
      <c r="D4041" s="81" t="s">
        <v>250</v>
      </c>
      <c r="E4041" s="81" t="s">
        <v>66</v>
      </c>
      <c r="F4041" s="81" t="s">
        <v>35</v>
      </c>
    </row>
    <row r="4042" spans="1:6" x14ac:dyDescent="0.25">
      <c r="A4042" s="14">
        <v>46150.674305555556</v>
      </c>
      <c r="B4042" s="81" t="s">
        <v>149</v>
      </c>
      <c r="C4042" s="81" t="s">
        <v>207</v>
      </c>
      <c r="D4042" s="81" t="s">
        <v>250</v>
      </c>
      <c r="E4042" s="81" t="s">
        <v>66</v>
      </c>
      <c r="F4042" s="81" t="s">
        <v>35</v>
      </c>
    </row>
    <row r="4043" spans="1:6" x14ac:dyDescent="0.25">
      <c r="A4043" s="14">
        <v>46150.674305555556</v>
      </c>
      <c r="B4043" s="81" t="s">
        <v>149</v>
      </c>
      <c r="C4043" s="81" t="s">
        <v>207</v>
      </c>
      <c r="D4043" s="81" t="s">
        <v>250</v>
      </c>
      <c r="E4043" s="81" t="s">
        <v>66</v>
      </c>
      <c r="F4043" s="81" t="s">
        <v>35</v>
      </c>
    </row>
    <row r="4044" spans="1:6" x14ac:dyDescent="0.25">
      <c r="A4044" s="14">
        <v>46150.674305555556</v>
      </c>
      <c r="B4044" s="81" t="s">
        <v>149</v>
      </c>
      <c r="C4044" s="81" t="s">
        <v>207</v>
      </c>
      <c r="D4044" s="81" t="s">
        <v>283</v>
      </c>
      <c r="E4044" s="81" t="s">
        <v>66</v>
      </c>
      <c r="F4044" s="81" t="s">
        <v>35</v>
      </c>
    </row>
    <row r="4045" spans="1:6" x14ac:dyDescent="0.25">
      <c r="A4045" s="14">
        <v>46150.674305555556</v>
      </c>
      <c r="B4045" s="81" t="s">
        <v>149</v>
      </c>
      <c r="C4045" s="81" t="s">
        <v>207</v>
      </c>
      <c r="D4045" s="81" t="s">
        <v>283</v>
      </c>
      <c r="E4045" s="81" t="s">
        <v>66</v>
      </c>
      <c r="F4045" s="81" t="s">
        <v>35</v>
      </c>
    </row>
    <row r="4046" spans="1:6" x14ac:dyDescent="0.25">
      <c r="A4046" s="14">
        <v>46150.674305555556</v>
      </c>
      <c r="B4046" s="81" t="s">
        <v>149</v>
      </c>
      <c r="C4046" s="81" t="s">
        <v>207</v>
      </c>
      <c r="D4046" s="81" t="s">
        <v>283</v>
      </c>
      <c r="E4046" s="81" t="s">
        <v>66</v>
      </c>
      <c r="F4046" s="81" t="s">
        <v>35</v>
      </c>
    </row>
    <row r="4047" spans="1:6" x14ac:dyDescent="0.25">
      <c r="A4047" s="14">
        <v>46150.674305555556</v>
      </c>
      <c r="B4047" s="81" t="s">
        <v>149</v>
      </c>
      <c r="C4047" s="81" t="s">
        <v>207</v>
      </c>
      <c r="D4047" s="81" t="s">
        <v>283</v>
      </c>
      <c r="E4047" s="81" t="s">
        <v>66</v>
      </c>
      <c r="F4047" s="81" t="s">
        <v>35</v>
      </c>
    </row>
    <row r="4048" spans="1:6" x14ac:dyDescent="0.25">
      <c r="A4048" s="14">
        <v>46150.674305555556</v>
      </c>
      <c r="B4048" s="81" t="s">
        <v>149</v>
      </c>
      <c r="C4048" s="81" t="s">
        <v>207</v>
      </c>
      <c r="D4048" s="81" t="s">
        <v>231</v>
      </c>
      <c r="E4048" s="81" t="s">
        <v>66</v>
      </c>
      <c r="F4048" s="81" t="s">
        <v>35</v>
      </c>
    </row>
    <row r="4049" spans="1:6" x14ac:dyDescent="0.25">
      <c r="A4049" s="14">
        <v>46150.674305555556</v>
      </c>
      <c r="B4049" s="81" t="s">
        <v>149</v>
      </c>
      <c r="C4049" s="81" t="s">
        <v>207</v>
      </c>
      <c r="D4049" s="81" t="s">
        <v>231</v>
      </c>
      <c r="E4049" s="81" t="s">
        <v>66</v>
      </c>
      <c r="F4049" s="81" t="s">
        <v>35</v>
      </c>
    </row>
    <row r="4050" spans="1:6" x14ac:dyDescent="0.25">
      <c r="A4050" s="14">
        <v>46150.674305555556</v>
      </c>
      <c r="B4050" s="81" t="s">
        <v>149</v>
      </c>
      <c r="C4050" s="81" t="s">
        <v>207</v>
      </c>
      <c r="D4050" s="81" t="s">
        <v>231</v>
      </c>
      <c r="E4050" s="81" t="s">
        <v>66</v>
      </c>
      <c r="F4050" s="81" t="s">
        <v>35</v>
      </c>
    </row>
    <row r="4051" spans="1:6" x14ac:dyDescent="0.25">
      <c r="A4051" s="14">
        <v>46150.674305555556</v>
      </c>
      <c r="B4051" s="81" t="s">
        <v>149</v>
      </c>
      <c r="C4051" s="81" t="s">
        <v>207</v>
      </c>
      <c r="D4051" s="81" t="s">
        <v>231</v>
      </c>
      <c r="E4051" s="81" t="s">
        <v>66</v>
      </c>
      <c r="F4051" s="81" t="s">
        <v>35</v>
      </c>
    </row>
    <row r="4052" spans="1:6" x14ac:dyDescent="0.25">
      <c r="A4052" s="14">
        <v>46150.674305555556</v>
      </c>
      <c r="B4052" s="81" t="s">
        <v>149</v>
      </c>
      <c r="C4052" s="81" t="s">
        <v>207</v>
      </c>
      <c r="D4052" s="81" t="s">
        <v>246</v>
      </c>
      <c r="E4052" s="81" t="s">
        <v>66</v>
      </c>
      <c r="F4052" s="81" t="s">
        <v>35</v>
      </c>
    </row>
    <row r="4053" spans="1:6" x14ac:dyDescent="0.25">
      <c r="A4053" s="14">
        <v>46150.674305555556</v>
      </c>
      <c r="B4053" s="81" t="s">
        <v>149</v>
      </c>
      <c r="C4053" s="81" t="s">
        <v>207</v>
      </c>
      <c r="D4053" s="81" t="s">
        <v>246</v>
      </c>
      <c r="E4053" s="81" t="s">
        <v>66</v>
      </c>
      <c r="F4053" s="81" t="s">
        <v>35</v>
      </c>
    </row>
    <row r="4054" spans="1:6" x14ac:dyDescent="0.25">
      <c r="A4054" s="14">
        <v>46150.674305555556</v>
      </c>
      <c r="B4054" s="81" t="s">
        <v>149</v>
      </c>
      <c r="C4054" s="81" t="s">
        <v>207</v>
      </c>
      <c r="D4054" s="81" t="s">
        <v>246</v>
      </c>
      <c r="E4054" s="81" t="s">
        <v>66</v>
      </c>
      <c r="F4054" s="81" t="s">
        <v>35</v>
      </c>
    </row>
    <row r="4055" spans="1:6" x14ac:dyDescent="0.25">
      <c r="A4055" s="14">
        <v>46150.674305555556</v>
      </c>
      <c r="B4055" s="81" t="s">
        <v>149</v>
      </c>
      <c r="C4055" s="81" t="s">
        <v>207</v>
      </c>
      <c r="D4055" s="81" t="s">
        <v>246</v>
      </c>
      <c r="E4055" s="81" t="s">
        <v>66</v>
      </c>
      <c r="F4055" s="81" t="s">
        <v>35</v>
      </c>
    </row>
    <row r="4056" spans="1:6" x14ac:dyDescent="0.25">
      <c r="A4056" s="14">
        <v>46150.674305555556</v>
      </c>
      <c r="B4056" s="81" t="s">
        <v>149</v>
      </c>
      <c r="C4056" s="81" t="s">
        <v>207</v>
      </c>
      <c r="D4056" s="81" t="s">
        <v>268</v>
      </c>
      <c r="E4056" s="81" t="s">
        <v>66</v>
      </c>
      <c r="F4056" s="81" t="s">
        <v>35</v>
      </c>
    </row>
    <row r="4057" spans="1:6" x14ac:dyDescent="0.25">
      <c r="A4057" s="14">
        <v>46150.674305555556</v>
      </c>
      <c r="B4057" s="81" t="s">
        <v>149</v>
      </c>
      <c r="C4057" s="81" t="s">
        <v>207</v>
      </c>
      <c r="D4057" s="81" t="s">
        <v>268</v>
      </c>
      <c r="E4057" s="81" t="s">
        <v>66</v>
      </c>
      <c r="F4057" s="81" t="s">
        <v>35</v>
      </c>
    </row>
    <row r="4058" spans="1:6" x14ac:dyDescent="0.25">
      <c r="A4058" s="14">
        <v>46150.674305555556</v>
      </c>
      <c r="B4058" s="81" t="s">
        <v>149</v>
      </c>
      <c r="C4058" s="81" t="s">
        <v>207</v>
      </c>
      <c r="D4058" s="81" t="s">
        <v>268</v>
      </c>
      <c r="E4058" s="81" t="s">
        <v>66</v>
      </c>
      <c r="F4058" s="81" t="s">
        <v>35</v>
      </c>
    </row>
    <row r="4059" spans="1:6" x14ac:dyDescent="0.25">
      <c r="A4059" s="14">
        <v>46150.674305555556</v>
      </c>
      <c r="B4059" s="81" t="s">
        <v>149</v>
      </c>
      <c r="C4059" s="81" t="s">
        <v>207</v>
      </c>
      <c r="D4059" s="81" t="s">
        <v>268</v>
      </c>
      <c r="E4059" s="81" t="s">
        <v>66</v>
      </c>
      <c r="F4059" s="81" t="s">
        <v>35</v>
      </c>
    </row>
    <row r="4060" spans="1:6" x14ac:dyDescent="0.25">
      <c r="A4060" s="14">
        <v>46150.674305555556</v>
      </c>
      <c r="B4060" s="81" t="s">
        <v>149</v>
      </c>
      <c r="C4060" s="81" t="s">
        <v>208</v>
      </c>
      <c r="D4060" s="81" t="s">
        <v>268</v>
      </c>
      <c r="E4060" s="81" t="s">
        <v>66</v>
      </c>
      <c r="F4060" s="81" t="s">
        <v>35</v>
      </c>
    </row>
    <row r="4061" spans="1:6" x14ac:dyDescent="0.25">
      <c r="A4061" s="14">
        <v>46150.674305555556</v>
      </c>
      <c r="B4061" s="81" t="s">
        <v>149</v>
      </c>
      <c r="C4061" s="81" t="s">
        <v>207</v>
      </c>
      <c r="D4061" s="81" t="s">
        <v>254</v>
      </c>
      <c r="E4061" s="81" t="s">
        <v>66</v>
      </c>
      <c r="F4061" s="81" t="s">
        <v>35</v>
      </c>
    </row>
    <row r="4062" spans="1:6" x14ac:dyDescent="0.25">
      <c r="A4062" s="14">
        <v>46150.674305555556</v>
      </c>
      <c r="B4062" s="81" t="s">
        <v>149</v>
      </c>
      <c r="C4062" s="81" t="s">
        <v>207</v>
      </c>
      <c r="D4062" s="81" t="s">
        <v>254</v>
      </c>
      <c r="E4062" s="81" t="s">
        <v>66</v>
      </c>
      <c r="F4062" s="81" t="s">
        <v>35</v>
      </c>
    </row>
    <row r="4063" spans="1:6" x14ac:dyDescent="0.25">
      <c r="A4063" s="14">
        <v>46150.674305555556</v>
      </c>
      <c r="B4063" s="81" t="s">
        <v>149</v>
      </c>
      <c r="C4063" s="81" t="s">
        <v>207</v>
      </c>
      <c r="D4063" s="81" t="s">
        <v>254</v>
      </c>
      <c r="E4063" s="81" t="s">
        <v>66</v>
      </c>
      <c r="F4063" s="81" t="s">
        <v>35</v>
      </c>
    </row>
    <row r="4064" spans="1:6" x14ac:dyDescent="0.25">
      <c r="A4064" s="14">
        <v>46150.674305555556</v>
      </c>
      <c r="B4064" s="81" t="s">
        <v>149</v>
      </c>
      <c r="C4064" s="81" t="s">
        <v>207</v>
      </c>
      <c r="D4064" s="81" t="s">
        <v>254</v>
      </c>
      <c r="E4064" s="81" t="s">
        <v>66</v>
      </c>
      <c r="F4064" s="81" t="s">
        <v>35</v>
      </c>
    </row>
    <row r="4065" spans="1:6" x14ac:dyDescent="0.25">
      <c r="A4065" s="14">
        <v>46150.674305555556</v>
      </c>
      <c r="B4065" s="81" t="s">
        <v>149</v>
      </c>
      <c r="C4065" s="81" t="s">
        <v>207</v>
      </c>
      <c r="D4065" s="81" t="s">
        <v>165</v>
      </c>
      <c r="E4065" s="81" t="s">
        <v>66</v>
      </c>
      <c r="F4065" s="81" t="s">
        <v>35</v>
      </c>
    </row>
    <row r="4066" spans="1:6" x14ac:dyDescent="0.25">
      <c r="A4066" s="14">
        <v>46150.674305555556</v>
      </c>
      <c r="B4066" s="81" t="s">
        <v>149</v>
      </c>
      <c r="C4066" s="81" t="s">
        <v>207</v>
      </c>
      <c r="D4066" s="81" t="s">
        <v>165</v>
      </c>
      <c r="E4066" s="81" t="s">
        <v>66</v>
      </c>
      <c r="F4066" s="81" t="s">
        <v>35</v>
      </c>
    </row>
    <row r="4067" spans="1:6" x14ac:dyDescent="0.25">
      <c r="A4067" s="14">
        <v>46150.674305555556</v>
      </c>
      <c r="B4067" s="81" t="s">
        <v>149</v>
      </c>
      <c r="C4067" s="81" t="s">
        <v>207</v>
      </c>
      <c r="D4067" s="81" t="s">
        <v>165</v>
      </c>
      <c r="E4067" s="81" t="s">
        <v>66</v>
      </c>
      <c r="F4067" s="81" t="s">
        <v>35</v>
      </c>
    </row>
    <row r="4068" spans="1:6" x14ac:dyDescent="0.25">
      <c r="A4068" s="14">
        <v>46150.674305555556</v>
      </c>
      <c r="B4068" s="81" t="s">
        <v>149</v>
      </c>
      <c r="C4068" s="81" t="s">
        <v>207</v>
      </c>
      <c r="D4068" s="81" t="s">
        <v>165</v>
      </c>
      <c r="E4068" s="81" t="s">
        <v>66</v>
      </c>
      <c r="F4068" s="81" t="s">
        <v>35</v>
      </c>
    </row>
    <row r="4069" spans="1:6" x14ac:dyDescent="0.25">
      <c r="A4069" s="14">
        <v>46150.674305555556</v>
      </c>
      <c r="B4069" s="81" t="s">
        <v>149</v>
      </c>
      <c r="C4069" s="81" t="s">
        <v>208</v>
      </c>
      <c r="D4069" s="81" t="s">
        <v>165</v>
      </c>
      <c r="E4069" s="81" t="s">
        <v>66</v>
      </c>
      <c r="F4069" s="81" t="s">
        <v>35</v>
      </c>
    </row>
    <row r="4070" spans="1:6" x14ac:dyDescent="0.25">
      <c r="A4070" s="14">
        <v>46150.674305555556</v>
      </c>
      <c r="B4070" s="81" t="s">
        <v>149</v>
      </c>
      <c r="C4070" s="81" t="s">
        <v>207</v>
      </c>
      <c r="D4070" s="81" t="s">
        <v>165</v>
      </c>
      <c r="E4070" s="81" t="s">
        <v>66</v>
      </c>
      <c r="F4070" s="81" t="s">
        <v>35</v>
      </c>
    </row>
    <row r="4071" spans="1:6" x14ac:dyDescent="0.25">
      <c r="A4071" s="14">
        <v>46150.674305555556</v>
      </c>
      <c r="B4071" s="81" t="s">
        <v>149</v>
      </c>
      <c r="C4071" s="81" t="s">
        <v>207</v>
      </c>
      <c r="D4071" s="81" t="s">
        <v>165</v>
      </c>
      <c r="E4071" s="81" t="s">
        <v>66</v>
      </c>
      <c r="F4071" s="81" t="s">
        <v>35</v>
      </c>
    </row>
    <row r="4072" spans="1:6" x14ac:dyDescent="0.25">
      <c r="A4072" s="14">
        <v>46150.674305555556</v>
      </c>
      <c r="B4072" s="81" t="s">
        <v>149</v>
      </c>
      <c r="C4072" s="81" t="s">
        <v>207</v>
      </c>
      <c r="D4072" s="81" t="s">
        <v>165</v>
      </c>
      <c r="E4072" s="81" t="s">
        <v>66</v>
      </c>
      <c r="F4072" s="81" t="s">
        <v>35</v>
      </c>
    </row>
    <row r="4073" spans="1:6" x14ac:dyDescent="0.25">
      <c r="A4073" s="14">
        <v>46150.674305555556</v>
      </c>
      <c r="B4073" s="81" t="s">
        <v>149</v>
      </c>
      <c r="C4073" s="81" t="s">
        <v>207</v>
      </c>
      <c r="D4073" s="81" t="s">
        <v>165</v>
      </c>
      <c r="E4073" s="81" t="s">
        <v>66</v>
      </c>
      <c r="F4073" s="81" t="s">
        <v>35</v>
      </c>
    </row>
    <row r="4074" spans="1:6" x14ac:dyDescent="0.25">
      <c r="A4074" s="14">
        <v>46150.674305555556</v>
      </c>
      <c r="B4074" s="81" t="s">
        <v>149</v>
      </c>
      <c r="C4074" s="81" t="s">
        <v>207</v>
      </c>
      <c r="D4074" s="81" t="s">
        <v>165</v>
      </c>
      <c r="E4074" s="81" t="s">
        <v>66</v>
      </c>
      <c r="F4074" s="81" t="s">
        <v>35</v>
      </c>
    </row>
    <row r="4075" spans="1:6" x14ac:dyDescent="0.25">
      <c r="A4075" s="14">
        <v>46150.674305555556</v>
      </c>
      <c r="B4075" s="81" t="s">
        <v>149</v>
      </c>
      <c r="C4075" s="81" t="s">
        <v>207</v>
      </c>
      <c r="D4075" s="81" t="s">
        <v>165</v>
      </c>
      <c r="E4075" s="81" t="s">
        <v>66</v>
      </c>
      <c r="F4075" s="81" t="s">
        <v>35</v>
      </c>
    </row>
    <row r="4076" spans="1:6" x14ac:dyDescent="0.25">
      <c r="A4076" s="14">
        <v>46150.674305555556</v>
      </c>
      <c r="B4076" s="81" t="s">
        <v>149</v>
      </c>
      <c r="C4076" s="81" t="s">
        <v>207</v>
      </c>
      <c r="D4076" s="81" t="s">
        <v>165</v>
      </c>
      <c r="E4076" s="81" t="s">
        <v>66</v>
      </c>
      <c r="F4076" s="81" t="s">
        <v>35</v>
      </c>
    </row>
    <row r="4077" spans="1:6" x14ac:dyDescent="0.25">
      <c r="A4077" s="14">
        <v>46150.674305555556</v>
      </c>
      <c r="B4077" s="81" t="s">
        <v>149</v>
      </c>
      <c r="C4077" s="81" t="s">
        <v>207</v>
      </c>
      <c r="D4077" s="81" t="s">
        <v>165</v>
      </c>
      <c r="E4077" s="81" t="s">
        <v>66</v>
      </c>
      <c r="F4077" s="81" t="s">
        <v>35</v>
      </c>
    </row>
    <row r="4078" spans="1:6" x14ac:dyDescent="0.25">
      <c r="A4078" s="14">
        <v>46150.674305555556</v>
      </c>
      <c r="B4078" s="81" t="s">
        <v>149</v>
      </c>
      <c r="C4078" s="81" t="s">
        <v>208</v>
      </c>
      <c r="D4078" s="81" t="s">
        <v>231</v>
      </c>
      <c r="E4078" s="81" t="s">
        <v>66</v>
      </c>
      <c r="F4078" s="81" t="s">
        <v>35</v>
      </c>
    </row>
    <row r="4079" spans="1:6" x14ac:dyDescent="0.25">
      <c r="A4079" s="14">
        <v>46150.674305555556</v>
      </c>
      <c r="B4079" s="81" t="s">
        <v>149</v>
      </c>
      <c r="C4079" s="81" t="s">
        <v>208</v>
      </c>
      <c r="D4079" s="81" t="s">
        <v>254</v>
      </c>
      <c r="E4079" s="81" t="s">
        <v>66</v>
      </c>
      <c r="F4079" s="81" t="s">
        <v>35</v>
      </c>
    </row>
    <row r="4080" spans="1:6" x14ac:dyDescent="0.25">
      <c r="A4080" s="14">
        <v>46150.674305555556</v>
      </c>
      <c r="B4080" s="81" t="s">
        <v>149</v>
      </c>
      <c r="C4080" s="81" t="s">
        <v>207</v>
      </c>
      <c r="D4080" s="81" t="s">
        <v>268</v>
      </c>
      <c r="E4080" s="81" t="s">
        <v>66</v>
      </c>
      <c r="F4080" s="81" t="s">
        <v>35</v>
      </c>
    </row>
    <row r="4081" spans="1:6" x14ac:dyDescent="0.25">
      <c r="A4081" s="14">
        <v>46150.674305555556</v>
      </c>
      <c r="B4081" s="81" t="s">
        <v>149</v>
      </c>
      <c r="C4081" s="81" t="s">
        <v>207</v>
      </c>
      <c r="D4081" s="81" t="s">
        <v>268</v>
      </c>
      <c r="E4081" s="81" t="s">
        <v>66</v>
      </c>
      <c r="F4081" s="81" t="s">
        <v>35</v>
      </c>
    </row>
    <row r="4082" spans="1:6" x14ac:dyDescent="0.25">
      <c r="A4082" s="14">
        <v>46150.674305555556</v>
      </c>
      <c r="B4082" s="81" t="s">
        <v>149</v>
      </c>
      <c r="C4082" s="81" t="s">
        <v>207</v>
      </c>
      <c r="D4082" s="81" t="s">
        <v>268</v>
      </c>
      <c r="E4082" s="81" t="s">
        <v>66</v>
      </c>
      <c r="F4082" s="81" t="s">
        <v>35</v>
      </c>
    </row>
    <row r="4083" spans="1:6" x14ac:dyDescent="0.25">
      <c r="A4083" s="14">
        <v>46150.674305555556</v>
      </c>
      <c r="B4083" s="81" t="s">
        <v>149</v>
      </c>
      <c r="C4083" s="81" t="s">
        <v>207</v>
      </c>
      <c r="D4083" s="81" t="s">
        <v>268</v>
      </c>
      <c r="E4083" s="81" t="s">
        <v>66</v>
      </c>
      <c r="F4083" s="81" t="s">
        <v>35</v>
      </c>
    </row>
    <row r="4084" spans="1:6" x14ac:dyDescent="0.25">
      <c r="A4084" s="14">
        <v>46150.674305555556</v>
      </c>
      <c r="B4084" s="81" t="s">
        <v>149</v>
      </c>
      <c r="C4084" s="81" t="s">
        <v>207</v>
      </c>
      <c r="D4084" s="81" t="s">
        <v>268</v>
      </c>
      <c r="E4084" s="81" t="s">
        <v>66</v>
      </c>
      <c r="F4084" s="81" t="s">
        <v>35</v>
      </c>
    </row>
    <row r="4085" spans="1:6" x14ac:dyDescent="0.25">
      <c r="A4085" s="14">
        <v>46150.674305555556</v>
      </c>
      <c r="B4085" s="81" t="s">
        <v>149</v>
      </c>
      <c r="C4085" s="81" t="s">
        <v>207</v>
      </c>
      <c r="D4085" s="81" t="s">
        <v>268</v>
      </c>
      <c r="E4085" s="81" t="s">
        <v>66</v>
      </c>
      <c r="F4085" s="81" t="s">
        <v>35</v>
      </c>
    </row>
    <row r="4086" spans="1:6" x14ac:dyDescent="0.25">
      <c r="A4086" s="14">
        <v>46150.674305555556</v>
      </c>
      <c r="B4086" s="81" t="s">
        <v>149</v>
      </c>
      <c r="C4086" s="81" t="s">
        <v>207</v>
      </c>
      <c r="D4086" s="81" t="s">
        <v>268</v>
      </c>
      <c r="E4086" s="81" t="s">
        <v>66</v>
      </c>
      <c r="F4086" s="81" t="s">
        <v>35</v>
      </c>
    </row>
    <row r="4087" spans="1:6" x14ac:dyDescent="0.25">
      <c r="A4087" s="14">
        <v>46150.674305555556</v>
      </c>
      <c r="B4087" s="81" t="s">
        <v>149</v>
      </c>
      <c r="C4087" s="81" t="s">
        <v>207</v>
      </c>
      <c r="D4087" s="81" t="s">
        <v>268</v>
      </c>
      <c r="E4087" s="81" t="s">
        <v>66</v>
      </c>
      <c r="F4087" s="81" t="s">
        <v>35</v>
      </c>
    </row>
    <row r="4088" spans="1:6" x14ac:dyDescent="0.25">
      <c r="A4088" s="14">
        <v>46150.674305555556</v>
      </c>
      <c r="B4088" s="81" t="s">
        <v>149</v>
      </c>
      <c r="C4088" s="81" t="s">
        <v>171</v>
      </c>
      <c r="D4088" s="81" t="s">
        <v>269</v>
      </c>
      <c r="E4088" s="81" t="s">
        <v>50</v>
      </c>
      <c r="F4088" s="81" t="s">
        <v>1</v>
      </c>
    </row>
    <row r="4089" spans="1:6" x14ac:dyDescent="0.25">
      <c r="A4089" s="14">
        <v>46150.674305555556</v>
      </c>
      <c r="B4089" s="81" t="s">
        <v>149</v>
      </c>
      <c r="C4089" s="81" t="s">
        <v>207</v>
      </c>
      <c r="D4089" s="81" t="s">
        <v>180</v>
      </c>
      <c r="E4089" s="81" t="s">
        <v>66</v>
      </c>
      <c r="F4089" s="81" t="s">
        <v>35</v>
      </c>
    </row>
    <row r="4090" spans="1:6" x14ac:dyDescent="0.25">
      <c r="A4090" s="14">
        <v>46150.674305555556</v>
      </c>
      <c r="B4090" s="81" t="s">
        <v>149</v>
      </c>
      <c r="C4090" s="81" t="s">
        <v>207</v>
      </c>
      <c r="D4090" s="81" t="s">
        <v>180</v>
      </c>
      <c r="E4090" s="81" t="s">
        <v>66</v>
      </c>
      <c r="F4090" s="81" t="s">
        <v>35</v>
      </c>
    </row>
    <row r="4091" spans="1:6" x14ac:dyDescent="0.25">
      <c r="A4091" s="14">
        <v>46150.674305555556</v>
      </c>
      <c r="B4091" s="81" t="s">
        <v>149</v>
      </c>
      <c r="C4091" s="81" t="s">
        <v>207</v>
      </c>
      <c r="D4091" s="81" t="s">
        <v>180</v>
      </c>
      <c r="E4091" s="81" t="s">
        <v>66</v>
      </c>
      <c r="F4091" s="81" t="s">
        <v>35</v>
      </c>
    </row>
    <row r="4092" spans="1:6" x14ac:dyDescent="0.25">
      <c r="A4092" s="14">
        <v>46150.674305555556</v>
      </c>
      <c r="B4092" s="81" t="s">
        <v>149</v>
      </c>
      <c r="C4092" s="81" t="s">
        <v>207</v>
      </c>
      <c r="D4092" s="81" t="s">
        <v>180</v>
      </c>
      <c r="E4092" s="81" t="s">
        <v>66</v>
      </c>
      <c r="F4092" s="81" t="s">
        <v>35</v>
      </c>
    </row>
    <row r="4093" spans="1:6" x14ac:dyDescent="0.25">
      <c r="A4093" s="14">
        <v>46150.674305555556</v>
      </c>
      <c r="B4093" s="81" t="s">
        <v>149</v>
      </c>
      <c r="C4093" s="81" t="s">
        <v>207</v>
      </c>
      <c r="D4093" s="81" t="s">
        <v>852</v>
      </c>
      <c r="E4093" s="81" t="s">
        <v>66</v>
      </c>
      <c r="F4093" s="81" t="s">
        <v>35</v>
      </c>
    </row>
    <row r="4094" spans="1:6" x14ac:dyDescent="0.25">
      <c r="A4094" s="14">
        <v>46150.674305555556</v>
      </c>
      <c r="B4094" s="81" t="s">
        <v>149</v>
      </c>
      <c r="C4094" s="81" t="s">
        <v>207</v>
      </c>
      <c r="D4094" s="81" t="s">
        <v>852</v>
      </c>
      <c r="E4094" s="81" t="s">
        <v>66</v>
      </c>
      <c r="F4094" s="81" t="s">
        <v>35</v>
      </c>
    </row>
    <row r="4095" spans="1:6" x14ac:dyDescent="0.25">
      <c r="A4095" s="14">
        <v>46150.674305555556</v>
      </c>
      <c r="B4095" s="81" t="s">
        <v>149</v>
      </c>
      <c r="C4095" s="81" t="s">
        <v>207</v>
      </c>
      <c r="D4095" s="81" t="s">
        <v>852</v>
      </c>
      <c r="E4095" s="81" t="s">
        <v>66</v>
      </c>
      <c r="F4095" s="81" t="s">
        <v>35</v>
      </c>
    </row>
    <row r="4096" spans="1:6" x14ac:dyDescent="0.25">
      <c r="A4096" s="14">
        <v>46150.674305555556</v>
      </c>
      <c r="B4096" s="81" t="s">
        <v>149</v>
      </c>
      <c r="C4096" s="81" t="s">
        <v>207</v>
      </c>
      <c r="D4096" s="81" t="s">
        <v>852</v>
      </c>
      <c r="E4096" s="81" t="s">
        <v>66</v>
      </c>
      <c r="F4096" s="81" t="s">
        <v>35</v>
      </c>
    </row>
    <row r="4097" spans="1:6" x14ac:dyDescent="0.25">
      <c r="A4097" s="14">
        <v>46150.674305555556</v>
      </c>
      <c r="B4097" s="81" t="s">
        <v>149</v>
      </c>
      <c r="C4097" s="81" t="s">
        <v>208</v>
      </c>
      <c r="D4097" s="81" t="s">
        <v>180</v>
      </c>
      <c r="E4097" s="81" t="s">
        <v>66</v>
      </c>
      <c r="F4097" s="81" t="s">
        <v>35</v>
      </c>
    </row>
    <row r="4098" spans="1:6" x14ac:dyDescent="0.25">
      <c r="A4098" s="14">
        <v>46150.674305555556</v>
      </c>
      <c r="B4098" s="81" t="s">
        <v>149</v>
      </c>
      <c r="C4098" s="81" t="s">
        <v>207</v>
      </c>
      <c r="D4098" s="81" t="s">
        <v>221</v>
      </c>
      <c r="E4098" s="81" t="s">
        <v>66</v>
      </c>
      <c r="F4098" s="81" t="s">
        <v>35</v>
      </c>
    </row>
    <row r="4099" spans="1:6" x14ac:dyDescent="0.25">
      <c r="A4099" s="14">
        <v>46150.674305555556</v>
      </c>
      <c r="B4099" s="81" t="s">
        <v>149</v>
      </c>
      <c r="C4099" s="81" t="s">
        <v>207</v>
      </c>
      <c r="D4099" s="81" t="s">
        <v>221</v>
      </c>
      <c r="E4099" s="81" t="s">
        <v>66</v>
      </c>
      <c r="F4099" s="81" t="s">
        <v>35</v>
      </c>
    </row>
    <row r="4100" spans="1:6" x14ac:dyDescent="0.25">
      <c r="A4100" s="14">
        <v>46150.674305555556</v>
      </c>
      <c r="B4100" s="81" t="s">
        <v>149</v>
      </c>
      <c r="C4100" s="81" t="s">
        <v>207</v>
      </c>
      <c r="D4100" s="81" t="s">
        <v>221</v>
      </c>
      <c r="E4100" s="81" t="s">
        <v>66</v>
      </c>
      <c r="F4100" s="81" t="s">
        <v>35</v>
      </c>
    </row>
    <row r="4101" spans="1:6" x14ac:dyDescent="0.25">
      <c r="A4101" s="14">
        <v>46150.674305555556</v>
      </c>
      <c r="B4101" s="81" t="s">
        <v>149</v>
      </c>
      <c r="C4101" s="81" t="s">
        <v>207</v>
      </c>
      <c r="D4101" s="81" t="s">
        <v>221</v>
      </c>
      <c r="E4101" s="81" t="s">
        <v>66</v>
      </c>
      <c r="F4101" s="81" t="s">
        <v>35</v>
      </c>
    </row>
    <row r="4102" spans="1:6" x14ac:dyDescent="0.25">
      <c r="A4102" s="14">
        <v>46150.674305555556</v>
      </c>
      <c r="B4102" s="81" t="s">
        <v>149</v>
      </c>
      <c r="C4102" s="81" t="s">
        <v>208</v>
      </c>
      <c r="D4102" s="81" t="s">
        <v>221</v>
      </c>
      <c r="E4102" s="81" t="s">
        <v>66</v>
      </c>
      <c r="F4102" s="81" t="s">
        <v>35</v>
      </c>
    </row>
    <row r="4103" spans="1:6" x14ac:dyDescent="0.25">
      <c r="A4103" s="14">
        <v>46150.674305555556</v>
      </c>
      <c r="B4103" s="81" t="s">
        <v>149</v>
      </c>
      <c r="C4103" s="81" t="s">
        <v>207</v>
      </c>
      <c r="D4103" s="81" t="s">
        <v>152</v>
      </c>
      <c r="E4103" s="81" t="s">
        <v>66</v>
      </c>
      <c r="F4103" s="81" t="s">
        <v>35</v>
      </c>
    </row>
    <row r="4104" spans="1:6" x14ac:dyDescent="0.25">
      <c r="A4104" s="14">
        <v>46150.674305555556</v>
      </c>
      <c r="B4104" s="81" t="s">
        <v>149</v>
      </c>
      <c r="C4104" s="81" t="s">
        <v>207</v>
      </c>
      <c r="D4104" s="81" t="s">
        <v>152</v>
      </c>
      <c r="E4104" s="81" t="s">
        <v>66</v>
      </c>
      <c r="F4104" s="81" t="s">
        <v>35</v>
      </c>
    </row>
    <row r="4105" spans="1:6" x14ac:dyDescent="0.25">
      <c r="A4105" s="14">
        <v>46150.674305555556</v>
      </c>
      <c r="B4105" s="81" t="s">
        <v>149</v>
      </c>
      <c r="C4105" s="81" t="s">
        <v>207</v>
      </c>
      <c r="D4105" s="81" t="s">
        <v>152</v>
      </c>
      <c r="E4105" s="81" t="s">
        <v>66</v>
      </c>
      <c r="F4105" s="81" t="s">
        <v>35</v>
      </c>
    </row>
    <row r="4106" spans="1:6" x14ac:dyDescent="0.25">
      <c r="A4106" s="14">
        <v>46150.674305555556</v>
      </c>
      <c r="B4106" s="81" t="s">
        <v>149</v>
      </c>
      <c r="C4106" s="81" t="s">
        <v>207</v>
      </c>
      <c r="D4106" s="81" t="s">
        <v>152</v>
      </c>
      <c r="E4106" s="81" t="s">
        <v>66</v>
      </c>
      <c r="F4106" s="81" t="s">
        <v>35</v>
      </c>
    </row>
    <row r="4107" spans="1:6" x14ac:dyDescent="0.25">
      <c r="A4107" s="14">
        <v>46150.674305555556</v>
      </c>
      <c r="B4107" s="81" t="s">
        <v>149</v>
      </c>
      <c r="C4107" s="81" t="s">
        <v>207</v>
      </c>
      <c r="D4107" s="81" t="s">
        <v>202</v>
      </c>
      <c r="E4107" s="81" t="s">
        <v>66</v>
      </c>
      <c r="F4107" s="81" t="s">
        <v>35</v>
      </c>
    </row>
    <row r="4108" spans="1:6" x14ac:dyDescent="0.25">
      <c r="A4108" s="14">
        <v>46150.674305555556</v>
      </c>
      <c r="B4108" s="81" t="s">
        <v>149</v>
      </c>
      <c r="C4108" s="81" t="s">
        <v>207</v>
      </c>
      <c r="D4108" s="81" t="s">
        <v>202</v>
      </c>
      <c r="E4108" s="81" t="s">
        <v>66</v>
      </c>
      <c r="F4108" s="81" t="s">
        <v>35</v>
      </c>
    </row>
    <row r="4109" spans="1:6" x14ac:dyDescent="0.25">
      <c r="A4109" s="14">
        <v>46150.674305555556</v>
      </c>
      <c r="B4109" s="81" t="s">
        <v>149</v>
      </c>
      <c r="C4109" s="81" t="s">
        <v>207</v>
      </c>
      <c r="D4109" s="81" t="s">
        <v>202</v>
      </c>
      <c r="E4109" s="81" t="s">
        <v>66</v>
      </c>
      <c r="F4109" s="81" t="s">
        <v>35</v>
      </c>
    </row>
    <row r="4110" spans="1:6" x14ac:dyDescent="0.25">
      <c r="A4110" s="14">
        <v>46150.674305555556</v>
      </c>
      <c r="B4110" s="81" t="s">
        <v>149</v>
      </c>
      <c r="C4110" s="81" t="s">
        <v>207</v>
      </c>
      <c r="D4110" s="81" t="s">
        <v>202</v>
      </c>
      <c r="E4110" s="81" t="s">
        <v>66</v>
      </c>
      <c r="F4110" s="81" t="s">
        <v>35</v>
      </c>
    </row>
    <row r="4111" spans="1:6" x14ac:dyDescent="0.25">
      <c r="A4111" s="14">
        <v>46150.674305555556</v>
      </c>
      <c r="B4111" s="81" t="s">
        <v>149</v>
      </c>
      <c r="C4111" s="81" t="s">
        <v>208</v>
      </c>
      <c r="D4111" s="81" t="s">
        <v>202</v>
      </c>
      <c r="E4111" s="81" t="s">
        <v>66</v>
      </c>
      <c r="F4111" s="81" t="s">
        <v>35</v>
      </c>
    </row>
    <row r="4112" spans="1:6" x14ac:dyDescent="0.25">
      <c r="A4112" s="14">
        <v>46150.674305555556</v>
      </c>
      <c r="B4112" s="81" t="s">
        <v>149</v>
      </c>
      <c r="C4112" s="81" t="s">
        <v>207</v>
      </c>
      <c r="D4112" s="81" t="s">
        <v>202</v>
      </c>
      <c r="E4112" s="81" t="s">
        <v>66</v>
      </c>
      <c r="F4112" s="81" t="s">
        <v>35</v>
      </c>
    </row>
    <row r="4113" spans="1:6" x14ac:dyDescent="0.25">
      <c r="A4113" s="14">
        <v>46150.674305555556</v>
      </c>
      <c r="B4113" s="81" t="s">
        <v>149</v>
      </c>
      <c r="C4113" s="81" t="s">
        <v>207</v>
      </c>
      <c r="D4113" s="81" t="s">
        <v>202</v>
      </c>
      <c r="E4113" s="81" t="s">
        <v>66</v>
      </c>
      <c r="F4113" s="81" t="s">
        <v>35</v>
      </c>
    </row>
    <row r="4114" spans="1:6" x14ac:dyDescent="0.25">
      <c r="A4114" s="14">
        <v>46150.674305555556</v>
      </c>
      <c r="B4114" s="81" t="s">
        <v>149</v>
      </c>
      <c r="C4114" s="81" t="s">
        <v>207</v>
      </c>
      <c r="D4114" s="81" t="s">
        <v>202</v>
      </c>
      <c r="E4114" s="81" t="s">
        <v>66</v>
      </c>
      <c r="F4114" s="81" t="s">
        <v>35</v>
      </c>
    </row>
    <row r="4115" spans="1:6" x14ac:dyDescent="0.25">
      <c r="A4115" s="14">
        <v>46150.674305555556</v>
      </c>
      <c r="B4115" s="81" t="s">
        <v>149</v>
      </c>
      <c r="C4115" s="81" t="s">
        <v>207</v>
      </c>
      <c r="D4115" s="81" t="s">
        <v>202</v>
      </c>
      <c r="E4115" s="81" t="s">
        <v>66</v>
      </c>
      <c r="F4115" s="81" t="s">
        <v>35</v>
      </c>
    </row>
    <row r="4116" spans="1:6" x14ac:dyDescent="0.25">
      <c r="A4116" s="14">
        <v>46150.674305555556</v>
      </c>
      <c r="B4116" s="81" t="s">
        <v>149</v>
      </c>
      <c r="C4116" s="81" t="s">
        <v>207</v>
      </c>
      <c r="D4116" s="81" t="s">
        <v>202</v>
      </c>
      <c r="E4116" s="81" t="s">
        <v>66</v>
      </c>
      <c r="F4116" s="81" t="s">
        <v>35</v>
      </c>
    </row>
    <row r="4117" spans="1:6" x14ac:dyDescent="0.25">
      <c r="A4117" s="14">
        <v>46150.674305555556</v>
      </c>
      <c r="B4117" s="81" t="s">
        <v>149</v>
      </c>
      <c r="C4117" s="81" t="s">
        <v>207</v>
      </c>
      <c r="D4117" s="81" t="s">
        <v>202</v>
      </c>
      <c r="E4117" s="81" t="s">
        <v>66</v>
      </c>
      <c r="F4117" s="81" t="s">
        <v>35</v>
      </c>
    </row>
    <row r="4118" spans="1:6" x14ac:dyDescent="0.25">
      <c r="A4118" s="14">
        <v>46150.674305555556</v>
      </c>
      <c r="B4118" s="81" t="s">
        <v>149</v>
      </c>
      <c r="C4118" s="81" t="s">
        <v>207</v>
      </c>
      <c r="D4118" s="81" t="s">
        <v>202</v>
      </c>
      <c r="E4118" s="81" t="s">
        <v>66</v>
      </c>
      <c r="F4118" s="81" t="s">
        <v>35</v>
      </c>
    </row>
    <row r="4119" spans="1:6" x14ac:dyDescent="0.25">
      <c r="A4119" s="14">
        <v>46150.674305555556</v>
      </c>
      <c r="B4119" s="81" t="s">
        <v>149</v>
      </c>
      <c r="C4119" s="81" t="s">
        <v>207</v>
      </c>
      <c r="D4119" s="81" t="s">
        <v>202</v>
      </c>
      <c r="E4119" s="81" t="s">
        <v>66</v>
      </c>
      <c r="F4119" s="81" t="s">
        <v>35</v>
      </c>
    </row>
    <row r="4120" spans="1:6" x14ac:dyDescent="0.25">
      <c r="A4120" s="14">
        <v>46150.793749999997</v>
      </c>
      <c r="B4120" s="81" t="s">
        <v>149</v>
      </c>
      <c r="C4120" s="81" t="s">
        <v>207</v>
      </c>
      <c r="D4120" s="81" t="s">
        <v>156</v>
      </c>
      <c r="E4120" s="81" t="s">
        <v>66</v>
      </c>
      <c r="F4120" s="81" t="s">
        <v>35</v>
      </c>
    </row>
    <row r="4121" spans="1:6" x14ac:dyDescent="0.25">
      <c r="A4121" s="14">
        <v>46150.793749999997</v>
      </c>
      <c r="B4121" s="81" t="s">
        <v>149</v>
      </c>
      <c r="C4121" s="81" t="s">
        <v>207</v>
      </c>
      <c r="D4121" s="81" t="s">
        <v>156</v>
      </c>
      <c r="E4121" s="81" t="s">
        <v>66</v>
      </c>
      <c r="F4121" s="81" t="s">
        <v>35</v>
      </c>
    </row>
    <row r="4122" spans="1:6" x14ac:dyDescent="0.25">
      <c r="A4122" s="14">
        <v>46150.793749999997</v>
      </c>
      <c r="B4122" s="81" t="s">
        <v>149</v>
      </c>
      <c r="C4122" s="81" t="s">
        <v>207</v>
      </c>
      <c r="D4122" s="81" t="s">
        <v>156</v>
      </c>
      <c r="E4122" s="81" t="s">
        <v>66</v>
      </c>
      <c r="F4122" s="81" t="s">
        <v>35</v>
      </c>
    </row>
    <row r="4123" spans="1:6" x14ac:dyDescent="0.25">
      <c r="A4123" s="14">
        <v>46150.793749999997</v>
      </c>
      <c r="B4123" s="81" t="s">
        <v>149</v>
      </c>
      <c r="C4123" s="81" t="s">
        <v>207</v>
      </c>
      <c r="D4123" s="81" t="s">
        <v>156</v>
      </c>
      <c r="E4123" s="81" t="s">
        <v>66</v>
      </c>
      <c r="F4123" s="81" t="s">
        <v>35</v>
      </c>
    </row>
    <row r="4124" spans="1:6" x14ac:dyDescent="0.25">
      <c r="A4124" s="14">
        <v>46150.793749999997</v>
      </c>
      <c r="B4124" s="81" t="s">
        <v>149</v>
      </c>
      <c r="C4124" s="81" t="s">
        <v>185</v>
      </c>
      <c r="D4124" s="81" t="s">
        <v>179</v>
      </c>
      <c r="E4124" s="81" t="s">
        <v>50</v>
      </c>
      <c r="F4124" s="81" t="s">
        <v>1</v>
      </c>
    </row>
    <row r="4125" spans="1:6" x14ac:dyDescent="0.25">
      <c r="A4125" s="14">
        <v>46150.793749999997</v>
      </c>
      <c r="B4125" s="81" t="s">
        <v>149</v>
      </c>
      <c r="C4125" s="81" t="s">
        <v>173</v>
      </c>
      <c r="D4125" s="81" t="s">
        <v>257</v>
      </c>
      <c r="E4125" s="81" t="s">
        <v>52</v>
      </c>
      <c r="F4125" s="81" t="s">
        <v>0</v>
      </c>
    </row>
    <row r="4126" spans="1:6" x14ac:dyDescent="0.25">
      <c r="A4126" s="14">
        <v>46150.793749999997</v>
      </c>
      <c r="B4126" s="81" t="s">
        <v>149</v>
      </c>
      <c r="C4126" s="81" t="s">
        <v>230</v>
      </c>
      <c r="D4126" s="81" t="s">
        <v>254</v>
      </c>
      <c r="E4126" s="81" t="s">
        <v>64</v>
      </c>
      <c r="F4126" s="81" t="s">
        <v>98</v>
      </c>
    </row>
    <row r="4127" spans="1:6" x14ac:dyDescent="0.25">
      <c r="A4127" s="14">
        <v>46150.793749999997</v>
      </c>
      <c r="B4127" s="81" t="s">
        <v>149</v>
      </c>
      <c r="C4127" s="81" t="s">
        <v>158</v>
      </c>
      <c r="D4127" s="81" t="s">
        <v>179</v>
      </c>
      <c r="E4127" s="81" t="s">
        <v>50</v>
      </c>
      <c r="F4127" s="81" t="s">
        <v>1</v>
      </c>
    </row>
    <row r="4128" spans="1:6" x14ac:dyDescent="0.25">
      <c r="A4128" s="14">
        <v>46150.793749999997</v>
      </c>
      <c r="B4128" s="81" t="s">
        <v>149</v>
      </c>
      <c r="C4128" s="81" t="s">
        <v>187</v>
      </c>
      <c r="D4128" s="81" t="s">
        <v>269</v>
      </c>
      <c r="E4128" s="81" t="s">
        <v>71</v>
      </c>
      <c r="F4128" s="81" t="s">
        <v>94</v>
      </c>
    </row>
    <row r="4129" spans="1:6" x14ac:dyDescent="0.25">
      <c r="A4129" s="14">
        <v>46150.793749999997</v>
      </c>
      <c r="B4129" s="81" t="s">
        <v>149</v>
      </c>
      <c r="C4129" s="81" t="s">
        <v>176</v>
      </c>
      <c r="D4129" s="81" t="s">
        <v>259</v>
      </c>
      <c r="E4129" s="81" t="s">
        <v>70</v>
      </c>
      <c r="F4129" s="81" t="s">
        <v>15</v>
      </c>
    </row>
    <row r="4130" spans="1:6" x14ac:dyDescent="0.25">
      <c r="A4130" s="14">
        <v>46150.793749999997</v>
      </c>
      <c r="B4130" s="81" t="s">
        <v>149</v>
      </c>
      <c r="C4130" s="81" t="s">
        <v>187</v>
      </c>
      <c r="D4130" s="81" t="s">
        <v>254</v>
      </c>
      <c r="E4130" s="81" t="s">
        <v>71</v>
      </c>
      <c r="F4130" s="81" t="s">
        <v>94</v>
      </c>
    </row>
    <row r="4131" spans="1:6" x14ac:dyDescent="0.25">
      <c r="A4131" s="14">
        <v>46150.793749999997</v>
      </c>
      <c r="B4131" s="81" t="s">
        <v>149</v>
      </c>
      <c r="C4131" s="81" t="s">
        <v>176</v>
      </c>
      <c r="D4131" s="81" t="s">
        <v>254</v>
      </c>
      <c r="E4131" s="81" t="s">
        <v>63</v>
      </c>
      <c r="F4131" s="81" t="s">
        <v>16</v>
      </c>
    </row>
    <row r="4132" spans="1:6" x14ac:dyDescent="0.25">
      <c r="A4132" s="14">
        <v>46150.793749999997</v>
      </c>
      <c r="B4132" s="81" t="s">
        <v>149</v>
      </c>
      <c r="C4132" s="81" t="s">
        <v>182</v>
      </c>
      <c r="D4132" s="81" t="s">
        <v>167</v>
      </c>
      <c r="E4132" s="81" t="s">
        <v>50</v>
      </c>
      <c r="F4132" s="81" t="s">
        <v>1</v>
      </c>
    </row>
    <row r="4133" spans="1:6" x14ac:dyDescent="0.25">
      <c r="A4133" s="14">
        <v>46150.793749999997</v>
      </c>
      <c r="B4133" s="81" t="s">
        <v>149</v>
      </c>
      <c r="C4133" s="81" t="s">
        <v>190</v>
      </c>
      <c r="D4133" s="81" t="s">
        <v>259</v>
      </c>
      <c r="E4133" s="81" t="s">
        <v>50</v>
      </c>
      <c r="F4133" s="81" t="s">
        <v>1</v>
      </c>
    </row>
    <row r="4134" spans="1:6" x14ac:dyDescent="0.25">
      <c r="A4134" s="14">
        <v>46150.793749999997</v>
      </c>
      <c r="B4134" s="81" t="s">
        <v>149</v>
      </c>
      <c r="C4134" s="81" t="s">
        <v>182</v>
      </c>
      <c r="D4134" s="81" t="s">
        <v>167</v>
      </c>
      <c r="E4134" s="81" t="s">
        <v>49</v>
      </c>
      <c r="F4134" s="81" t="s">
        <v>2</v>
      </c>
    </row>
    <row r="4135" spans="1:6" x14ac:dyDescent="0.25">
      <c r="A4135" s="14">
        <v>46150.793749999997</v>
      </c>
      <c r="B4135" s="81" t="s">
        <v>149</v>
      </c>
      <c r="C4135" s="81" t="s">
        <v>182</v>
      </c>
      <c r="D4135" s="81" t="s">
        <v>167</v>
      </c>
      <c r="E4135" s="81" t="s">
        <v>49</v>
      </c>
      <c r="F4135" s="81" t="s">
        <v>2</v>
      </c>
    </row>
    <row r="4136" spans="1:6" x14ac:dyDescent="0.25">
      <c r="A4136" s="14">
        <v>46150.793749999997</v>
      </c>
      <c r="B4136" s="81" t="s">
        <v>149</v>
      </c>
      <c r="C4136" s="81" t="s">
        <v>185</v>
      </c>
      <c r="D4136" s="81" t="s">
        <v>259</v>
      </c>
      <c r="E4136" s="81" t="s">
        <v>50</v>
      </c>
      <c r="F4136" s="81" t="s">
        <v>1</v>
      </c>
    </row>
    <row r="4137" spans="1:6" x14ac:dyDescent="0.25">
      <c r="A4137" s="14">
        <v>46150.793749999997</v>
      </c>
      <c r="B4137" s="81" t="s">
        <v>149</v>
      </c>
      <c r="C4137" s="81" t="s">
        <v>185</v>
      </c>
      <c r="D4137" s="81" t="s">
        <v>168</v>
      </c>
      <c r="E4137" s="81" t="s">
        <v>50</v>
      </c>
      <c r="F4137" s="81" t="s">
        <v>1</v>
      </c>
    </row>
    <row r="4138" spans="1:6" x14ac:dyDescent="0.25">
      <c r="A4138" s="14">
        <v>46150.793749999997</v>
      </c>
      <c r="B4138" s="81" t="s">
        <v>149</v>
      </c>
      <c r="C4138" s="81" t="s">
        <v>177</v>
      </c>
      <c r="D4138" s="81" t="s">
        <v>168</v>
      </c>
      <c r="E4138" s="81" t="s">
        <v>49</v>
      </c>
      <c r="F4138" s="81" t="s">
        <v>2</v>
      </c>
    </row>
    <row r="4139" spans="1:6" x14ac:dyDescent="0.25">
      <c r="A4139" s="14">
        <v>46150.793749999997</v>
      </c>
      <c r="B4139" s="81" t="s">
        <v>149</v>
      </c>
      <c r="C4139" s="81" t="s">
        <v>158</v>
      </c>
      <c r="D4139" s="81" t="s">
        <v>283</v>
      </c>
      <c r="E4139" s="81" t="s">
        <v>49</v>
      </c>
      <c r="F4139" s="81" t="s">
        <v>2</v>
      </c>
    </row>
    <row r="4140" spans="1:6" x14ac:dyDescent="0.25">
      <c r="A4140" s="14">
        <v>46150.793749999997</v>
      </c>
      <c r="B4140" s="81" t="s">
        <v>149</v>
      </c>
      <c r="C4140" s="81" t="s">
        <v>190</v>
      </c>
      <c r="D4140" s="81" t="s">
        <v>168</v>
      </c>
      <c r="E4140" s="81" t="s">
        <v>49</v>
      </c>
      <c r="F4140" s="81" t="s">
        <v>2</v>
      </c>
    </row>
    <row r="4141" spans="1:6" x14ac:dyDescent="0.25">
      <c r="A4141" s="14">
        <v>46150.793749999997</v>
      </c>
      <c r="B4141" s="81" t="s">
        <v>149</v>
      </c>
      <c r="C4141" s="81" t="s">
        <v>211</v>
      </c>
      <c r="D4141" s="81" t="s">
        <v>168</v>
      </c>
      <c r="E4141" s="81" t="s">
        <v>64</v>
      </c>
      <c r="F4141" s="81" t="s">
        <v>98</v>
      </c>
    </row>
    <row r="4142" spans="1:6" x14ac:dyDescent="0.25">
      <c r="A4142" s="14">
        <v>46150.793749999997</v>
      </c>
      <c r="B4142" s="81" t="s">
        <v>149</v>
      </c>
      <c r="C4142" s="81" t="s">
        <v>187</v>
      </c>
      <c r="D4142" s="81" t="s">
        <v>254</v>
      </c>
      <c r="E4142" s="81" t="s">
        <v>71</v>
      </c>
      <c r="F4142" s="81" t="s">
        <v>94</v>
      </c>
    </row>
    <row r="4143" spans="1:6" x14ac:dyDescent="0.25">
      <c r="A4143" s="14">
        <v>46150.793749999997</v>
      </c>
      <c r="B4143" s="81" t="s">
        <v>149</v>
      </c>
      <c r="C4143" s="81" t="s">
        <v>173</v>
      </c>
      <c r="D4143" s="81" t="s">
        <v>168</v>
      </c>
      <c r="E4143" s="81" t="s">
        <v>49</v>
      </c>
      <c r="F4143" s="81" t="s">
        <v>2</v>
      </c>
    </row>
    <row r="4144" spans="1:6" x14ac:dyDescent="0.25">
      <c r="A4144" s="14">
        <v>46150.793749999997</v>
      </c>
      <c r="B4144" s="81" t="s">
        <v>149</v>
      </c>
      <c r="C4144" s="81" t="s">
        <v>158</v>
      </c>
      <c r="D4144" s="81" t="s">
        <v>168</v>
      </c>
      <c r="E4144" s="81" t="s">
        <v>50</v>
      </c>
      <c r="F4144" s="81" t="s">
        <v>1</v>
      </c>
    </row>
    <row r="4145" spans="1:6" x14ac:dyDescent="0.25">
      <c r="A4145" s="14">
        <v>46150.793749999997</v>
      </c>
      <c r="B4145" s="81" t="s">
        <v>149</v>
      </c>
      <c r="C4145" s="81" t="s">
        <v>171</v>
      </c>
      <c r="D4145" s="81" t="s">
        <v>168</v>
      </c>
      <c r="E4145" s="81" t="s">
        <v>50</v>
      </c>
      <c r="F4145" s="81" t="s">
        <v>1</v>
      </c>
    </row>
    <row r="4146" spans="1:6" x14ac:dyDescent="0.25">
      <c r="A4146" s="14">
        <v>46150.793749999997</v>
      </c>
      <c r="B4146" s="81" t="s">
        <v>149</v>
      </c>
      <c r="C4146" s="81" t="s">
        <v>187</v>
      </c>
      <c r="D4146" s="81" t="s">
        <v>168</v>
      </c>
      <c r="E4146" s="81" t="s">
        <v>71</v>
      </c>
      <c r="F4146" s="81" t="s">
        <v>94</v>
      </c>
    </row>
    <row r="4147" spans="1:6" x14ac:dyDescent="0.25">
      <c r="A4147" s="14">
        <v>46150.793749999997</v>
      </c>
      <c r="B4147" s="81" t="s">
        <v>149</v>
      </c>
      <c r="C4147" s="81" t="s">
        <v>181</v>
      </c>
      <c r="D4147" s="81" t="s">
        <v>168</v>
      </c>
      <c r="E4147" s="81" t="s">
        <v>49</v>
      </c>
      <c r="F4147" s="81" t="s">
        <v>2</v>
      </c>
    </row>
    <row r="4148" spans="1:6" x14ac:dyDescent="0.25">
      <c r="A4148" s="14">
        <v>46150.793749999997</v>
      </c>
      <c r="B4148" s="81" t="s">
        <v>149</v>
      </c>
      <c r="C4148" s="81" t="s">
        <v>175</v>
      </c>
      <c r="D4148" s="81" t="s">
        <v>168</v>
      </c>
      <c r="E4148" s="81" t="s">
        <v>49</v>
      </c>
      <c r="F4148" s="81" t="s">
        <v>2</v>
      </c>
    </row>
    <row r="4149" spans="1:6" x14ac:dyDescent="0.25">
      <c r="A4149" s="14">
        <v>46150.793749999997</v>
      </c>
      <c r="B4149" s="81" t="s">
        <v>149</v>
      </c>
      <c r="C4149" s="81" t="s">
        <v>190</v>
      </c>
      <c r="D4149" s="81" t="s">
        <v>267</v>
      </c>
      <c r="E4149" s="81" t="s">
        <v>52</v>
      </c>
      <c r="F4149" s="81" t="s">
        <v>0</v>
      </c>
    </row>
    <row r="4150" spans="1:6" x14ac:dyDescent="0.25">
      <c r="A4150" s="14">
        <v>46150.793749999997</v>
      </c>
      <c r="B4150" s="81" t="s">
        <v>149</v>
      </c>
      <c r="C4150" s="81" t="s">
        <v>171</v>
      </c>
      <c r="D4150" s="81" t="s">
        <v>168</v>
      </c>
      <c r="E4150" s="81" t="s">
        <v>49</v>
      </c>
      <c r="F4150" s="81" t="s">
        <v>2</v>
      </c>
    </row>
    <row r="4151" spans="1:6" x14ac:dyDescent="0.25">
      <c r="A4151" s="14">
        <v>46150.793749999997</v>
      </c>
      <c r="B4151" s="81" t="s">
        <v>149</v>
      </c>
      <c r="C4151" s="81" t="s">
        <v>176</v>
      </c>
      <c r="D4151" s="81" t="s">
        <v>265</v>
      </c>
      <c r="E4151" s="81" t="s">
        <v>63</v>
      </c>
      <c r="F4151" s="81" t="s">
        <v>16</v>
      </c>
    </row>
    <row r="4152" spans="1:6" x14ac:dyDescent="0.25">
      <c r="A4152" s="14">
        <v>46150.793749999997</v>
      </c>
      <c r="B4152" s="81" t="s">
        <v>149</v>
      </c>
      <c r="C4152" s="81" t="s">
        <v>158</v>
      </c>
      <c r="D4152" s="81" t="s">
        <v>250</v>
      </c>
      <c r="E4152" s="81" t="s">
        <v>52</v>
      </c>
      <c r="F4152" s="81" t="s">
        <v>0</v>
      </c>
    </row>
    <row r="4153" spans="1:6" x14ac:dyDescent="0.25">
      <c r="A4153" s="14">
        <v>46150.793749999997</v>
      </c>
      <c r="B4153" s="81" t="s">
        <v>149</v>
      </c>
      <c r="C4153" s="81" t="s">
        <v>158</v>
      </c>
      <c r="D4153" s="81" t="s">
        <v>250</v>
      </c>
      <c r="E4153" s="81" t="s">
        <v>50</v>
      </c>
      <c r="F4153" s="81" t="s">
        <v>1</v>
      </c>
    </row>
    <row r="4154" spans="1:6" x14ac:dyDescent="0.25">
      <c r="A4154" s="14">
        <v>46150.793749999997</v>
      </c>
      <c r="B4154" s="81" t="s">
        <v>149</v>
      </c>
      <c r="C4154" s="81" t="s">
        <v>182</v>
      </c>
      <c r="D4154" s="81" t="s">
        <v>150</v>
      </c>
      <c r="E4154" s="81" t="s">
        <v>50</v>
      </c>
      <c r="F4154" s="81" t="s">
        <v>1</v>
      </c>
    </row>
    <row r="4155" spans="1:6" x14ac:dyDescent="0.25">
      <c r="A4155" s="14">
        <v>46150.793749999997</v>
      </c>
      <c r="B4155" s="81" t="s">
        <v>149</v>
      </c>
      <c r="C4155" s="81" t="s">
        <v>171</v>
      </c>
      <c r="D4155" s="81" t="s">
        <v>150</v>
      </c>
      <c r="E4155" s="81" t="s">
        <v>50</v>
      </c>
      <c r="F4155" s="81" t="s">
        <v>1</v>
      </c>
    </row>
    <row r="4156" spans="1:6" x14ac:dyDescent="0.25">
      <c r="A4156" s="14">
        <v>46150.793749999997</v>
      </c>
      <c r="B4156" s="81" t="s">
        <v>149</v>
      </c>
      <c r="C4156" s="81" t="s">
        <v>181</v>
      </c>
      <c r="D4156" s="81" t="s">
        <v>150</v>
      </c>
      <c r="E4156" s="81" t="s">
        <v>50</v>
      </c>
      <c r="F4156" s="81" t="s">
        <v>1</v>
      </c>
    </row>
    <row r="4157" spans="1:6" x14ac:dyDescent="0.25">
      <c r="A4157" s="14">
        <v>46150.793749999997</v>
      </c>
      <c r="B4157" s="81" t="s">
        <v>149</v>
      </c>
      <c r="C4157" s="81" t="s">
        <v>151</v>
      </c>
      <c r="D4157" s="81" t="s">
        <v>150</v>
      </c>
      <c r="E4157" s="81" t="s">
        <v>50</v>
      </c>
      <c r="F4157" s="81" t="s">
        <v>1</v>
      </c>
    </row>
    <row r="4158" spans="1:6" x14ac:dyDescent="0.25">
      <c r="A4158" s="14">
        <v>46150.793749999997</v>
      </c>
      <c r="B4158" s="81" t="s">
        <v>149</v>
      </c>
      <c r="C4158" s="81" t="s">
        <v>190</v>
      </c>
      <c r="D4158" s="81" t="s">
        <v>150</v>
      </c>
      <c r="E4158" s="81" t="s">
        <v>50</v>
      </c>
      <c r="F4158" s="81" t="s">
        <v>1</v>
      </c>
    </row>
    <row r="4159" spans="1:6" x14ac:dyDescent="0.25">
      <c r="A4159" s="14">
        <v>46150.793749999997</v>
      </c>
      <c r="B4159" s="81" t="s">
        <v>149</v>
      </c>
      <c r="C4159" s="81" t="s">
        <v>188</v>
      </c>
      <c r="D4159" s="81" t="s">
        <v>157</v>
      </c>
      <c r="E4159" s="81" t="s">
        <v>45</v>
      </c>
      <c r="F4159" s="81" t="s">
        <v>28</v>
      </c>
    </row>
    <row r="4160" spans="1:6" x14ac:dyDescent="0.25">
      <c r="A4160" s="14">
        <v>46150.793749999997</v>
      </c>
      <c r="B4160" s="81" t="s">
        <v>149</v>
      </c>
      <c r="C4160" s="81" t="s">
        <v>189</v>
      </c>
      <c r="D4160" s="81" t="s">
        <v>157</v>
      </c>
      <c r="E4160" s="81" t="s">
        <v>45</v>
      </c>
      <c r="F4160" s="81" t="s">
        <v>28</v>
      </c>
    </row>
    <row r="4161" spans="1:6" x14ac:dyDescent="0.25">
      <c r="A4161" s="14">
        <v>46150.793749999997</v>
      </c>
      <c r="B4161" s="81" t="s">
        <v>149</v>
      </c>
      <c r="C4161" s="81" t="s">
        <v>239</v>
      </c>
      <c r="D4161" s="81" t="s">
        <v>157</v>
      </c>
      <c r="E4161" s="81" t="s">
        <v>45</v>
      </c>
      <c r="F4161" s="81" t="s">
        <v>28</v>
      </c>
    </row>
    <row r="4162" spans="1:6" x14ac:dyDescent="0.25">
      <c r="A4162" s="14">
        <v>46150.793749999997</v>
      </c>
      <c r="B4162" s="81" t="s">
        <v>149</v>
      </c>
      <c r="C4162" s="81" t="s">
        <v>185</v>
      </c>
      <c r="D4162" s="81" t="s">
        <v>250</v>
      </c>
      <c r="E4162" s="81" t="s">
        <v>50</v>
      </c>
      <c r="F4162" s="81" t="s">
        <v>1</v>
      </c>
    </row>
    <row r="4163" spans="1:6" x14ac:dyDescent="0.25">
      <c r="A4163" s="14">
        <v>46150.793749999997</v>
      </c>
      <c r="B4163" s="81" t="s">
        <v>195</v>
      </c>
      <c r="C4163" s="81" t="s">
        <v>196</v>
      </c>
      <c r="D4163" s="81" t="s">
        <v>250</v>
      </c>
      <c r="E4163" s="81" t="s">
        <v>24</v>
      </c>
      <c r="F4163" s="81" t="s">
        <v>24</v>
      </c>
    </row>
    <row r="4164" spans="1:6" x14ac:dyDescent="0.25">
      <c r="A4164" s="14">
        <v>46150.793749999997</v>
      </c>
      <c r="B4164" s="81" t="s">
        <v>195</v>
      </c>
      <c r="C4164" s="81" t="s">
        <v>196</v>
      </c>
      <c r="D4164" s="81" t="s">
        <v>250</v>
      </c>
      <c r="E4164" s="81" t="s">
        <v>24</v>
      </c>
      <c r="F4164" s="81" t="s">
        <v>24</v>
      </c>
    </row>
    <row r="4165" spans="1:6" x14ac:dyDescent="0.25">
      <c r="A4165" s="14">
        <v>46150.793749999997</v>
      </c>
      <c r="B4165" s="81" t="s">
        <v>195</v>
      </c>
      <c r="C4165" s="81" t="s">
        <v>196</v>
      </c>
      <c r="D4165" s="81" t="s">
        <v>250</v>
      </c>
      <c r="E4165" s="81" t="s">
        <v>24</v>
      </c>
      <c r="F4165" s="81" t="s">
        <v>24</v>
      </c>
    </row>
    <row r="4166" spans="1:6" x14ac:dyDescent="0.25">
      <c r="A4166" s="14">
        <v>46150.943749999999</v>
      </c>
      <c r="B4166" s="81" t="s">
        <v>149</v>
      </c>
      <c r="C4166" s="81" t="s">
        <v>183</v>
      </c>
      <c r="D4166" s="81" t="s">
        <v>257</v>
      </c>
      <c r="E4166" s="81" t="s">
        <v>52</v>
      </c>
      <c r="F4166" s="81" t="s">
        <v>0</v>
      </c>
    </row>
    <row r="4167" spans="1:6" x14ac:dyDescent="0.25">
      <c r="A4167" s="14">
        <v>46150.943749999999</v>
      </c>
      <c r="B4167" s="81" t="s">
        <v>149</v>
      </c>
      <c r="C4167" s="81" t="s">
        <v>182</v>
      </c>
      <c r="D4167" s="81" t="s">
        <v>265</v>
      </c>
      <c r="E4167" s="81" t="s">
        <v>50</v>
      </c>
      <c r="F4167" s="81" t="s">
        <v>1</v>
      </c>
    </row>
    <row r="4168" spans="1:6" x14ac:dyDescent="0.25">
      <c r="A4168" s="14">
        <v>46150.943749999999</v>
      </c>
      <c r="B4168" s="81" t="s">
        <v>149</v>
      </c>
      <c r="C4168" s="81" t="s">
        <v>182</v>
      </c>
      <c r="D4168" s="81" t="s">
        <v>265</v>
      </c>
      <c r="E4168" s="81" t="s">
        <v>49</v>
      </c>
      <c r="F4168" s="81" t="s">
        <v>2</v>
      </c>
    </row>
    <row r="4169" spans="1:6" x14ac:dyDescent="0.25">
      <c r="A4169" s="14">
        <v>46150.943749999999</v>
      </c>
      <c r="B4169" s="81" t="s">
        <v>149</v>
      </c>
      <c r="C4169" s="81" t="s">
        <v>220</v>
      </c>
      <c r="D4169" s="81" t="s">
        <v>265</v>
      </c>
      <c r="E4169" s="81" t="s">
        <v>64</v>
      </c>
      <c r="F4169" s="81" t="s">
        <v>98</v>
      </c>
    </row>
    <row r="4170" spans="1:6" x14ac:dyDescent="0.25">
      <c r="A4170" s="14">
        <v>46150.943749999999</v>
      </c>
      <c r="B4170" s="81" t="s">
        <v>149</v>
      </c>
      <c r="C4170" s="81" t="s">
        <v>171</v>
      </c>
      <c r="D4170" s="81" t="s">
        <v>267</v>
      </c>
      <c r="E4170" s="81" t="s">
        <v>52</v>
      </c>
      <c r="F4170" s="81" t="s">
        <v>0</v>
      </c>
    </row>
    <row r="4171" spans="1:6" x14ac:dyDescent="0.25">
      <c r="A4171" s="14">
        <v>46150.943749999999</v>
      </c>
      <c r="B4171" s="81" t="s">
        <v>149</v>
      </c>
      <c r="C4171" s="81" t="s">
        <v>175</v>
      </c>
      <c r="D4171" s="81" t="s">
        <v>267</v>
      </c>
      <c r="E4171" s="81" t="s">
        <v>52</v>
      </c>
      <c r="F4171" s="81" t="s">
        <v>0</v>
      </c>
    </row>
    <row r="4172" spans="1:6" x14ac:dyDescent="0.25">
      <c r="A4172" s="14">
        <v>46150.943749999999</v>
      </c>
      <c r="B4172" s="81" t="s">
        <v>149</v>
      </c>
      <c r="C4172" s="81" t="s">
        <v>183</v>
      </c>
      <c r="D4172" s="81" t="s">
        <v>199</v>
      </c>
      <c r="E4172" s="81" t="s">
        <v>50</v>
      </c>
      <c r="F4172" s="81" t="s">
        <v>1</v>
      </c>
    </row>
    <row r="4173" spans="1:6" x14ac:dyDescent="0.25">
      <c r="A4173" s="14">
        <v>46150.943749999999</v>
      </c>
      <c r="B4173" s="81" t="s">
        <v>149</v>
      </c>
      <c r="C4173" s="81" t="s">
        <v>158</v>
      </c>
      <c r="D4173" s="81" t="s">
        <v>165</v>
      </c>
      <c r="E4173" s="81" t="s">
        <v>50</v>
      </c>
      <c r="F4173" s="81" t="s">
        <v>1</v>
      </c>
    </row>
    <row r="4174" spans="1:6" x14ac:dyDescent="0.25">
      <c r="A4174" s="14">
        <v>46150.943749999999</v>
      </c>
      <c r="B4174" s="81" t="s">
        <v>149</v>
      </c>
      <c r="C4174" s="81" t="s">
        <v>173</v>
      </c>
      <c r="D4174" s="81" t="s">
        <v>167</v>
      </c>
      <c r="E4174" s="81" t="s">
        <v>50</v>
      </c>
      <c r="F4174" s="81" t="s">
        <v>1</v>
      </c>
    </row>
    <row r="4175" spans="1:6" x14ac:dyDescent="0.25">
      <c r="A4175" s="14">
        <v>46150.943749999999</v>
      </c>
      <c r="B4175" s="81" t="s">
        <v>149</v>
      </c>
      <c r="C4175" s="81" t="s">
        <v>173</v>
      </c>
      <c r="D4175" s="81" t="s">
        <v>167</v>
      </c>
      <c r="E4175" s="81" t="s">
        <v>50</v>
      </c>
      <c r="F4175" s="81" t="s">
        <v>1</v>
      </c>
    </row>
    <row r="4176" spans="1:6" x14ac:dyDescent="0.25">
      <c r="A4176" s="14">
        <v>46150.943749999999</v>
      </c>
      <c r="B4176" s="81" t="s">
        <v>149</v>
      </c>
      <c r="C4176" s="81" t="s">
        <v>176</v>
      </c>
      <c r="D4176" s="81" t="s">
        <v>166</v>
      </c>
      <c r="E4176" s="81" t="s">
        <v>70</v>
      </c>
      <c r="F4176" s="81" t="s">
        <v>15</v>
      </c>
    </row>
    <row r="4177" spans="1:6" x14ac:dyDescent="0.25">
      <c r="A4177" s="14">
        <v>46150.943749999999</v>
      </c>
      <c r="B4177" s="81" t="s">
        <v>149</v>
      </c>
      <c r="C4177" s="81" t="s">
        <v>173</v>
      </c>
      <c r="D4177" s="81" t="s">
        <v>167</v>
      </c>
      <c r="E4177" s="81" t="s">
        <v>50</v>
      </c>
      <c r="F4177" s="81" t="s">
        <v>1</v>
      </c>
    </row>
    <row r="4178" spans="1:6" x14ac:dyDescent="0.25">
      <c r="A4178" s="14">
        <v>46150.943749999999</v>
      </c>
      <c r="B4178" s="81" t="s">
        <v>149</v>
      </c>
      <c r="C4178" s="81" t="s">
        <v>185</v>
      </c>
      <c r="D4178" s="81" t="s">
        <v>166</v>
      </c>
      <c r="E4178" s="81" t="s">
        <v>50</v>
      </c>
      <c r="F4178" s="81" t="s">
        <v>1</v>
      </c>
    </row>
    <row r="4179" spans="1:6" x14ac:dyDescent="0.25">
      <c r="A4179" s="14">
        <v>46150.943749999999</v>
      </c>
      <c r="B4179" s="81" t="s">
        <v>149</v>
      </c>
      <c r="C4179" s="81" t="s">
        <v>173</v>
      </c>
      <c r="D4179" s="81" t="s">
        <v>166</v>
      </c>
      <c r="E4179" s="81" t="s">
        <v>49</v>
      </c>
      <c r="F4179" s="81" t="s">
        <v>2</v>
      </c>
    </row>
    <row r="4180" spans="1:6" x14ac:dyDescent="0.25">
      <c r="A4180" s="14">
        <v>46150.943749999999</v>
      </c>
      <c r="B4180" s="81" t="s">
        <v>149</v>
      </c>
      <c r="C4180" s="81" t="s">
        <v>173</v>
      </c>
      <c r="D4180" s="81" t="s">
        <v>167</v>
      </c>
      <c r="E4180" s="81" t="s">
        <v>50</v>
      </c>
      <c r="F4180" s="81" t="s">
        <v>1</v>
      </c>
    </row>
    <row r="4181" spans="1:6" x14ac:dyDescent="0.25">
      <c r="A4181" s="14">
        <v>46150.943749999999</v>
      </c>
      <c r="B4181" s="81" t="s">
        <v>149</v>
      </c>
      <c r="C4181" s="81" t="s">
        <v>173</v>
      </c>
      <c r="D4181" s="81" t="s">
        <v>167</v>
      </c>
      <c r="E4181" s="81" t="s">
        <v>50</v>
      </c>
      <c r="F4181" s="81" t="s">
        <v>1</v>
      </c>
    </row>
    <row r="4182" spans="1:6" x14ac:dyDescent="0.25">
      <c r="A4182" s="14">
        <v>46150.943749999999</v>
      </c>
      <c r="B4182" s="81" t="s">
        <v>149</v>
      </c>
      <c r="C4182" s="81" t="s">
        <v>173</v>
      </c>
      <c r="D4182" s="81" t="s">
        <v>167</v>
      </c>
      <c r="E4182" s="81" t="s">
        <v>50</v>
      </c>
      <c r="F4182" s="81" t="s">
        <v>1</v>
      </c>
    </row>
    <row r="4183" spans="1:6" x14ac:dyDescent="0.25">
      <c r="A4183" s="14">
        <v>46150.943749999999</v>
      </c>
      <c r="B4183" s="81" t="s">
        <v>195</v>
      </c>
      <c r="C4183" s="81" t="s">
        <v>196</v>
      </c>
      <c r="D4183" s="81" t="s">
        <v>263</v>
      </c>
      <c r="E4183" s="81" t="s">
        <v>24</v>
      </c>
      <c r="F4183" s="81" t="s">
        <v>24</v>
      </c>
    </row>
    <row r="4184" spans="1:6" x14ac:dyDescent="0.25">
      <c r="A4184" s="14">
        <v>46150.943749999999</v>
      </c>
      <c r="B4184" s="81" t="s">
        <v>195</v>
      </c>
      <c r="C4184" s="81" t="s">
        <v>196</v>
      </c>
      <c r="D4184" s="81" t="s">
        <v>263</v>
      </c>
      <c r="E4184" s="81" t="s">
        <v>24</v>
      </c>
      <c r="F4184" s="81" t="s">
        <v>24</v>
      </c>
    </row>
    <row r="4185" spans="1:6" x14ac:dyDescent="0.25">
      <c r="A4185" s="14">
        <v>46150.943749999999</v>
      </c>
      <c r="B4185" s="81" t="s">
        <v>195</v>
      </c>
      <c r="C4185" s="81" t="s">
        <v>196</v>
      </c>
      <c r="D4185" s="81" t="s">
        <v>263</v>
      </c>
      <c r="E4185" s="81" t="s">
        <v>24</v>
      </c>
      <c r="F4185" s="81" t="s">
        <v>24</v>
      </c>
    </row>
    <row r="4186" spans="1:6" x14ac:dyDescent="0.25">
      <c r="A4186" s="14">
        <v>46151.084722222222</v>
      </c>
      <c r="B4186" s="81" t="s">
        <v>149</v>
      </c>
      <c r="C4186" s="81" t="s">
        <v>173</v>
      </c>
      <c r="D4186" s="81" t="s">
        <v>167</v>
      </c>
      <c r="E4186" s="81" t="s">
        <v>50</v>
      </c>
      <c r="F4186" s="81" t="s">
        <v>1</v>
      </c>
    </row>
    <row r="4187" spans="1:6" x14ac:dyDescent="0.25">
      <c r="A4187" s="14">
        <v>46151.084722222222</v>
      </c>
      <c r="B4187" s="81" t="s">
        <v>149</v>
      </c>
      <c r="C4187" s="81" t="s">
        <v>173</v>
      </c>
      <c r="D4187" s="81" t="s">
        <v>167</v>
      </c>
      <c r="E4187" s="81" t="s">
        <v>50</v>
      </c>
      <c r="F4187" s="81" t="s">
        <v>1</v>
      </c>
    </row>
    <row r="4188" spans="1:6" x14ac:dyDescent="0.25">
      <c r="A4188" s="14">
        <v>46151.084722222222</v>
      </c>
      <c r="B4188" s="81" t="s">
        <v>149</v>
      </c>
      <c r="C4188" s="81" t="s">
        <v>840</v>
      </c>
      <c r="D4188" s="81" t="s">
        <v>265</v>
      </c>
      <c r="E4188" s="81" t="s">
        <v>64</v>
      </c>
      <c r="F4188" s="81" t="s">
        <v>98</v>
      </c>
    </row>
    <row r="4189" spans="1:6" x14ac:dyDescent="0.25">
      <c r="A4189" s="14">
        <v>46151.084722222222</v>
      </c>
      <c r="B4189" s="81" t="s">
        <v>149</v>
      </c>
      <c r="C4189" s="81" t="s">
        <v>176</v>
      </c>
      <c r="D4189" s="81" t="s">
        <v>222</v>
      </c>
      <c r="E4189" s="81" t="s">
        <v>63</v>
      </c>
      <c r="F4189" s="81" t="s">
        <v>16</v>
      </c>
    </row>
    <row r="4190" spans="1:6" x14ac:dyDescent="0.25">
      <c r="A4190" s="14">
        <v>46151.084722222222</v>
      </c>
      <c r="B4190" s="81" t="s">
        <v>149</v>
      </c>
      <c r="C4190" s="81" t="s">
        <v>176</v>
      </c>
      <c r="D4190" s="81" t="s">
        <v>222</v>
      </c>
      <c r="E4190" s="81" t="s">
        <v>63</v>
      </c>
      <c r="F4190" s="81" t="s">
        <v>16</v>
      </c>
    </row>
    <row r="4191" spans="1:6" x14ac:dyDescent="0.25">
      <c r="A4191" s="14">
        <v>46151.084722222222</v>
      </c>
      <c r="B4191" s="81" t="s">
        <v>149</v>
      </c>
      <c r="C4191" s="81" t="s">
        <v>171</v>
      </c>
      <c r="D4191" s="81" t="s">
        <v>253</v>
      </c>
      <c r="E4191" s="81" t="s">
        <v>50</v>
      </c>
      <c r="F4191" s="81" t="s">
        <v>1</v>
      </c>
    </row>
    <row r="4192" spans="1:6" x14ac:dyDescent="0.25">
      <c r="A4192" s="14">
        <v>46151.084722222222</v>
      </c>
      <c r="B4192" s="81" t="s">
        <v>149</v>
      </c>
      <c r="C4192" s="81" t="s">
        <v>190</v>
      </c>
      <c r="D4192" s="81" t="s">
        <v>253</v>
      </c>
      <c r="E4192" s="81" t="s">
        <v>50</v>
      </c>
      <c r="F4192" s="81" t="s">
        <v>1</v>
      </c>
    </row>
    <row r="4193" spans="1:6" x14ac:dyDescent="0.25">
      <c r="A4193" s="14">
        <v>46151.084722222222</v>
      </c>
      <c r="B4193" s="81" t="s">
        <v>149</v>
      </c>
      <c r="C4193" s="81" t="s">
        <v>177</v>
      </c>
      <c r="D4193" s="81" t="s">
        <v>253</v>
      </c>
      <c r="E4193" s="81" t="s">
        <v>52</v>
      </c>
      <c r="F4193" s="81" t="s">
        <v>0</v>
      </c>
    </row>
    <row r="4194" spans="1:6" x14ac:dyDescent="0.25">
      <c r="A4194" s="14">
        <v>46151.084722222222</v>
      </c>
      <c r="B4194" s="81" t="s">
        <v>149</v>
      </c>
      <c r="C4194" s="81" t="s">
        <v>173</v>
      </c>
      <c r="D4194" s="81" t="s">
        <v>265</v>
      </c>
      <c r="E4194" s="81" t="s">
        <v>50</v>
      </c>
      <c r="F4194" s="81" t="s">
        <v>1</v>
      </c>
    </row>
    <row r="4195" spans="1:6" x14ac:dyDescent="0.25">
      <c r="A4195" s="14">
        <v>46151.084722222222</v>
      </c>
      <c r="B4195" s="81" t="s">
        <v>149</v>
      </c>
      <c r="C4195" s="81" t="s">
        <v>190</v>
      </c>
      <c r="D4195" s="81" t="s">
        <v>265</v>
      </c>
      <c r="E4195" s="81" t="s">
        <v>50</v>
      </c>
      <c r="F4195" s="81" t="s">
        <v>1</v>
      </c>
    </row>
    <row r="4196" spans="1:6" x14ac:dyDescent="0.25">
      <c r="A4196" s="14">
        <v>46151.084722222222</v>
      </c>
      <c r="B4196" s="81" t="s">
        <v>149</v>
      </c>
      <c r="C4196" s="81" t="s">
        <v>171</v>
      </c>
      <c r="D4196" s="81" t="s">
        <v>265</v>
      </c>
      <c r="E4196" s="81" t="s">
        <v>49</v>
      </c>
      <c r="F4196" s="81" t="s">
        <v>2</v>
      </c>
    </row>
    <row r="4197" spans="1:6" x14ac:dyDescent="0.25">
      <c r="A4197" s="14">
        <v>46151.084722222222</v>
      </c>
      <c r="B4197" s="81" t="s">
        <v>149</v>
      </c>
      <c r="C4197" s="81" t="s">
        <v>184</v>
      </c>
      <c r="D4197" s="81" t="s">
        <v>156</v>
      </c>
      <c r="E4197" s="81" t="s">
        <v>49</v>
      </c>
      <c r="F4197" s="81" t="s">
        <v>2</v>
      </c>
    </row>
    <row r="4198" spans="1:6" x14ac:dyDescent="0.25">
      <c r="A4198" s="14">
        <v>46151.084722222222</v>
      </c>
      <c r="B4198" s="81" t="s">
        <v>149</v>
      </c>
      <c r="C4198" s="81" t="s">
        <v>185</v>
      </c>
      <c r="D4198" s="81" t="s">
        <v>156</v>
      </c>
      <c r="E4198" s="81" t="s">
        <v>50</v>
      </c>
      <c r="F4198" s="81" t="s">
        <v>1</v>
      </c>
    </row>
    <row r="4199" spans="1:6" x14ac:dyDescent="0.25">
      <c r="A4199" s="14">
        <v>46151.084722222222</v>
      </c>
      <c r="B4199" s="81" t="s">
        <v>149</v>
      </c>
      <c r="C4199" s="81" t="s">
        <v>188</v>
      </c>
      <c r="D4199" s="81" t="s">
        <v>156</v>
      </c>
      <c r="E4199" s="81" t="s">
        <v>45</v>
      </c>
      <c r="F4199" s="81" t="s">
        <v>28</v>
      </c>
    </row>
    <row r="4200" spans="1:6" x14ac:dyDescent="0.25">
      <c r="A4200" s="14">
        <v>46151.084722222222</v>
      </c>
      <c r="B4200" s="81" t="s">
        <v>149</v>
      </c>
      <c r="C4200" s="81" t="s">
        <v>189</v>
      </c>
      <c r="D4200" s="81" t="s">
        <v>156</v>
      </c>
      <c r="E4200" s="81" t="s">
        <v>45</v>
      </c>
      <c r="F4200" s="81" t="s">
        <v>28</v>
      </c>
    </row>
    <row r="4201" spans="1:6" x14ac:dyDescent="0.25">
      <c r="A4201" s="14">
        <v>46151.084722222222</v>
      </c>
      <c r="B4201" s="81" t="s">
        <v>149</v>
      </c>
      <c r="C4201" s="81" t="s">
        <v>239</v>
      </c>
      <c r="D4201" s="81" t="s">
        <v>156</v>
      </c>
      <c r="E4201" s="81" t="s">
        <v>45</v>
      </c>
      <c r="F4201" s="81" t="s">
        <v>28</v>
      </c>
    </row>
    <row r="4202" spans="1:6" x14ac:dyDescent="0.25">
      <c r="A4202" s="14">
        <v>46151.084722222222</v>
      </c>
      <c r="B4202" s="81" t="s">
        <v>149</v>
      </c>
      <c r="C4202" s="81" t="s">
        <v>176</v>
      </c>
      <c r="D4202" s="81" t="s">
        <v>166</v>
      </c>
      <c r="E4202" s="81" t="s">
        <v>63</v>
      </c>
      <c r="F4202" s="81" t="s">
        <v>16</v>
      </c>
    </row>
    <row r="4203" spans="1:6" x14ac:dyDescent="0.25">
      <c r="A4203" s="14">
        <v>46151.084722222222</v>
      </c>
      <c r="B4203" s="81" t="s">
        <v>149</v>
      </c>
      <c r="C4203" s="81" t="s">
        <v>187</v>
      </c>
      <c r="D4203" s="81" t="s">
        <v>201</v>
      </c>
      <c r="E4203" s="81" t="s">
        <v>75</v>
      </c>
      <c r="F4203" s="81" t="s">
        <v>93</v>
      </c>
    </row>
    <row r="4204" spans="1:6" x14ac:dyDescent="0.25">
      <c r="A4204" s="14">
        <v>46151.084722222222</v>
      </c>
      <c r="B4204" s="81" t="s">
        <v>149</v>
      </c>
      <c r="C4204" s="81" t="s">
        <v>176</v>
      </c>
      <c r="D4204" s="81" t="s">
        <v>166</v>
      </c>
      <c r="E4204" s="81" t="s">
        <v>70</v>
      </c>
      <c r="F4204" s="81" t="s">
        <v>15</v>
      </c>
    </row>
    <row r="4205" spans="1:6" x14ac:dyDescent="0.25">
      <c r="A4205" s="14">
        <v>46151.084722222222</v>
      </c>
      <c r="B4205" s="81" t="s">
        <v>149</v>
      </c>
      <c r="C4205" s="81" t="s">
        <v>187</v>
      </c>
      <c r="D4205" s="81" t="s">
        <v>166</v>
      </c>
      <c r="E4205" s="81" t="s">
        <v>75</v>
      </c>
      <c r="F4205" s="81" t="s">
        <v>93</v>
      </c>
    </row>
    <row r="4206" spans="1:6" x14ac:dyDescent="0.25">
      <c r="A4206" s="14">
        <v>46151.084722222222</v>
      </c>
      <c r="B4206" s="81" t="s">
        <v>149</v>
      </c>
      <c r="C4206" s="81" t="s">
        <v>187</v>
      </c>
      <c r="D4206" s="81" t="s">
        <v>166</v>
      </c>
      <c r="E4206" s="81" t="s">
        <v>75</v>
      </c>
      <c r="F4206" s="81" t="s">
        <v>93</v>
      </c>
    </row>
    <row r="4207" spans="1:6" x14ac:dyDescent="0.25">
      <c r="A4207" s="14">
        <v>46151.084722222222</v>
      </c>
      <c r="B4207" s="81" t="s">
        <v>149</v>
      </c>
      <c r="C4207" s="81" t="s">
        <v>177</v>
      </c>
      <c r="D4207" s="81" t="s">
        <v>163</v>
      </c>
      <c r="E4207" s="81" t="s">
        <v>50</v>
      </c>
      <c r="F4207" s="81" t="s">
        <v>1</v>
      </c>
    </row>
    <row r="4208" spans="1:6" x14ac:dyDescent="0.25">
      <c r="A4208" s="14">
        <v>46151.084722222222</v>
      </c>
      <c r="B4208" s="81" t="s">
        <v>149</v>
      </c>
      <c r="C4208" s="81" t="s">
        <v>158</v>
      </c>
      <c r="D4208" s="81" t="s">
        <v>253</v>
      </c>
      <c r="E4208" s="81" t="s">
        <v>52</v>
      </c>
      <c r="F4208" s="81" t="s">
        <v>0</v>
      </c>
    </row>
    <row r="4209" spans="1:6" x14ac:dyDescent="0.25">
      <c r="A4209" s="14">
        <v>46151.084722222222</v>
      </c>
      <c r="B4209" s="81" t="s">
        <v>149</v>
      </c>
      <c r="C4209" s="81" t="s">
        <v>187</v>
      </c>
      <c r="D4209" s="81" t="s">
        <v>222</v>
      </c>
      <c r="E4209" s="81" t="s">
        <v>54</v>
      </c>
      <c r="F4209" s="81" t="s">
        <v>95</v>
      </c>
    </row>
    <row r="4210" spans="1:6" x14ac:dyDescent="0.25">
      <c r="A4210" s="14">
        <v>46151.084722222222</v>
      </c>
      <c r="B4210" s="81" t="s">
        <v>149</v>
      </c>
      <c r="C4210" s="81" t="s">
        <v>184</v>
      </c>
      <c r="D4210" s="81" t="s">
        <v>253</v>
      </c>
      <c r="E4210" s="81" t="s">
        <v>52</v>
      </c>
      <c r="F4210" s="81" t="s">
        <v>0</v>
      </c>
    </row>
    <row r="4211" spans="1:6" x14ac:dyDescent="0.25">
      <c r="A4211" s="14">
        <v>46151.084722222222</v>
      </c>
      <c r="B4211" s="81" t="s">
        <v>149</v>
      </c>
      <c r="C4211" s="81" t="s">
        <v>187</v>
      </c>
      <c r="D4211" s="81" t="s">
        <v>166</v>
      </c>
      <c r="E4211" s="81" t="s">
        <v>71</v>
      </c>
      <c r="F4211" s="81" t="s">
        <v>94</v>
      </c>
    </row>
    <row r="4212" spans="1:6" x14ac:dyDescent="0.25">
      <c r="A4212" s="14">
        <v>46151.084722222222</v>
      </c>
      <c r="B4212" s="81" t="s">
        <v>149</v>
      </c>
      <c r="C4212" s="81" t="s">
        <v>175</v>
      </c>
      <c r="D4212" s="81" t="s">
        <v>253</v>
      </c>
      <c r="E4212" s="81" t="s">
        <v>52</v>
      </c>
      <c r="F4212" s="81" t="s">
        <v>0</v>
      </c>
    </row>
    <row r="4213" spans="1:6" x14ac:dyDescent="0.25">
      <c r="A4213" s="14">
        <v>46151.084722222222</v>
      </c>
      <c r="B4213" s="81" t="s">
        <v>195</v>
      </c>
      <c r="C4213" s="81" t="s">
        <v>209</v>
      </c>
      <c r="D4213" s="81" t="s">
        <v>231</v>
      </c>
      <c r="E4213" s="81" t="s">
        <v>24</v>
      </c>
      <c r="F4213" s="81" t="s">
        <v>24</v>
      </c>
    </row>
    <row r="4214" spans="1:6" x14ac:dyDescent="0.25">
      <c r="A4214" s="14">
        <v>46151.084722222222</v>
      </c>
      <c r="B4214" s="81" t="s">
        <v>195</v>
      </c>
      <c r="C4214" s="81" t="s">
        <v>209</v>
      </c>
      <c r="D4214" s="81" t="s">
        <v>231</v>
      </c>
      <c r="E4214" s="81" t="s">
        <v>24</v>
      </c>
      <c r="F4214" s="81" t="s">
        <v>24</v>
      </c>
    </row>
    <row r="4215" spans="1:6" x14ac:dyDescent="0.25">
      <c r="A4215" s="14">
        <v>46151.084722222222</v>
      </c>
      <c r="B4215" s="81" t="s">
        <v>195</v>
      </c>
      <c r="C4215" s="81" t="s">
        <v>209</v>
      </c>
      <c r="D4215" s="81" t="s">
        <v>231</v>
      </c>
      <c r="E4215" s="81" t="s">
        <v>24</v>
      </c>
      <c r="F4215" s="81" t="s">
        <v>24</v>
      </c>
    </row>
    <row r="4216" spans="1:6" x14ac:dyDescent="0.25">
      <c r="A4216" s="14">
        <v>46151.084722222222</v>
      </c>
      <c r="B4216" s="81" t="s">
        <v>195</v>
      </c>
      <c r="C4216" s="81" t="s">
        <v>209</v>
      </c>
      <c r="D4216" s="81" t="s">
        <v>231</v>
      </c>
      <c r="E4216" s="81" t="s">
        <v>24</v>
      </c>
      <c r="F4216" s="81" t="s">
        <v>24</v>
      </c>
    </row>
    <row r="4217" spans="1:6" x14ac:dyDescent="0.25">
      <c r="A4217" s="14">
        <v>46151.084722222222</v>
      </c>
      <c r="B4217" s="81" t="s">
        <v>195</v>
      </c>
      <c r="C4217" s="81" t="s">
        <v>209</v>
      </c>
      <c r="D4217" s="81" t="s">
        <v>231</v>
      </c>
      <c r="E4217" s="81" t="s">
        <v>24</v>
      </c>
      <c r="F4217" s="81" t="s">
        <v>24</v>
      </c>
    </row>
    <row r="4218" spans="1:6" x14ac:dyDescent="0.25">
      <c r="A4218" s="14">
        <v>46151.084722222222</v>
      </c>
      <c r="B4218" s="81" t="s">
        <v>195</v>
      </c>
      <c r="C4218" s="81" t="s">
        <v>209</v>
      </c>
      <c r="D4218" s="81" t="s">
        <v>231</v>
      </c>
      <c r="E4218" s="81" t="s">
        <v>24</v>
      </c>
      <c r="F4218" s="81" t="s">
        <v>24</v>
      </c>
    </row>
    <row r="4219" spans="1:6" x14ac:dyDescent="0.25">
      <c r="A4219" s="14">
        <v>46151.379861111112</v>
      </c>
      <c r="B4219" s="81" t="s">
        <v>149</v>
      </c>
      <c r="C4219" s="81" t="s">
        <v>185</v>
      </c>
      <c r="D4219" s="81" t="s">
        <v>266</v>
      </c>
      <c r="E4219" s="81" t="s">
        <v>52</v>
      </c>
      <c r="F4219" s="81" t="s">
        <v>0</v>
      </c>
    </row>
    <row r="4220" spans="1:6" x14ac:dyDescent="0.25">
      <c r="A4220" s="14">
        <v>46151.379861111112</v>
      </c>
      <c r="B4220" s="81" t="s">
        <v>149</v>
      </c>
      <c r="C4220" s="81" t="s">
        <v>173</v>
      </c>
      <c r="D4220" s="81" t="s">
        <v>265</v>
      </c>
      <c r="E4220" s="81" t="s">
        <v>50</v>
      </c>
      <c r="F4220" s="81" t="s">
        <v>1</v>
      </c>
    </row>
    <row r="4221" spans="1:6" x14ac:dyDescent="0.25">
      <c r="A4221" s="14">
        <v>46151.379861111112</v>
      </c>
      <c r="B4221" s="81" t="s">
        <v>149</v>
      </c>
      <c r="C4221" s="81" t="s">
        <v>184</v>
      </c>
      <c r="D4221" s="81" t="s">
        <v>266</v>
      </c>
      <c r="E4221" s="81" t="s">
        <v>50</v>
      </c>
      <c r="F4221" s="81" t="s">
        <v>1</v>
      </c>
    </row>
    <row r="4222" spans="1:6" x14ac:dyDescent="0.25">
      <c r="A4222" s="14">
        <v>46151.379861111112</v>
      </c>
      <c r="B4222" s="81" t="s">
        <v>149</v>
      </c>
      <c r="C4222" s="81" t="s">
        <v>187</v>
      </c>
      <c r="D4222" s="81" t="s">
        <v>166</v>
      </c>
      <c r="E4222" s="81" t="s">
        <v>75</v>
      </c>
      <c r="F4222" s="81" t="s">
        <v>93</v>
      </c>
    </row>
    <row r="4223" spans="1:6" x14ac:dyDescent="0.25">
      <c r="A4223" s="14">
        <v>46151.379861111112</v>
      </c>
      <c r="B4223" s="81" t="s">
        <v>149</v>
      </c>
      <c r="C4223" s="81" t="s">
        <v>177</v>
      </c>
      <c r="D4223" s="81" t="s">
        <v>266</v>
      </c>
      <c r="E4223" s="81" t="s">
        <v>52</v>
      </c>
      <c r="F4223" s="81" t="s">
        <v>0</v>
      </c>
    </row>
    <row r="4224" spans="1:6" x14ac:dyDescent="0.25">
      <c r="A4224" s="14">
        <v>46151.379861111112</v>
      </c>
      <c r="B4224" s="81" t="s">
        <v>149</v>
      </c>
      <c r="C4224" s="81" t="s">
        <v>177</v>
      </c>
      <c r="D4224" s="81" t="s">
        <v>166</v>
      </c>
      <c r="E4224" s="81" t="s">
        <v>52</v>
      </c>
      <c r="F4224" s="81" t="s">
        <v>0</v>
      </c>
    </row>
    <row r="4225" spans="1:6" x14ac:dyDescent="0.25">
      <c r="A4225" s="14">
        <v>46151.379861111112</v>
      </c>
      <c r="B4225" s="81" t="s">
        <v>149</v>
      </c>
      <c r="C4225" s="81" t="s">
        <v>184</v>
      </c>
      <c r="D4225" s="81" t="s">
        <v>250</v>
      </c>
      <c r="E4225" s="81" t="s">
        <v>50</v>
      </c>
      <c r="F4225" s="81" t="s">
        <v>1</v>
      </c>
    </row>
    <row r="4226" spans="1:6" x14ac:dyDescent="0.25">
      <c r="A4226" s="14">
        <v>46151.379861111112</v>
      </c>
      <c r="B4226" s="81" t="s">
        <v>149</v>
      </c>
      <c r="C4226" s="81" t="s">
        <v>158</v>
      </c>
      <c r="D4226" s="81" t="s">
        <v>221</v>
      </c>
      <c r="E4226" s="81" t="s">
        <v>50</v>
      </c>
      <c r="F4226" s="81" t="s">
        <v>1</v>
      </c>
    </row>
    <row r="4227" spans="1:6" x14ac:dyDescent="0.25">
      <c r="A4227" s="14">
        <v>46151.379861111112</v>
      </c>
      <c r="B4227" s="81" t="s">
        <v>149</v>
      </c>
      <c r="C4227" s="81" t="s">
        <v>190</v>
      </c>
      <c r="D4227" s="81" t="s">
        <v>250</v>
      </c>
      <c r="E4227" s="81" t="s">
        <v>50</v>
      </c>
      <c r="F4227" s="81" t="s">
        <v>1</v>
      </c>
    </row>
    <row r="4228" spans="1:6" x14ac:dyDescent="0.25">
      <c r="A4228" s="14">
        <v>46151.379861111112</v>
      </c>
      <c r="B4228" s="81" t="s">
        <v>149</v>
      </c>
      <c r="C4228" s="81" t="s">
        <v>185</v>
      </c>
      <c r="D4228" s="81" t="s">
        <v>250</v>
      </c>
      <c r="E4228" s="81" t="s">
        <v>49</v>
      </c>
      <c r="F4228" s="81" t="s">
        <v>2</v>
      </c>
    </row>
    <row r="4229" spans="1:6" x14ac:dyDescent="0.25">
      <c r="A4229" s="14">
        <v>46151.379861111112</v>
      </c>
      <c r="B4229" s="81" t="s">
        <v>149</v>
      </c>
      <c r="C4229" s="81" t="s">
        <v>176</v>
      </c>
      <c r="D4229" s="81" t="s">
        <v>163</v>
      </c>
      <c r="E4229" s="81" t="s">
        <v>70</v>
      </c>
      <c r="F4229" s="81" t="s">
        <v>15</v>
      </c>
    </row>
    <row r="4230" spans="1:6" x14ac:dyDescent="0.25">
      <c r="A4230" s="14">
        <v>46151.379861111112</v>
      </c>
      <c r="B4230" s="81" t="s">
        <v>149</v>
      </c>
      <c r="C4230" s="81" t="s">
        <v>171</v>
      </c>
      <c r="D4230" s="81" t="s">
        <v>250</v>
      </c>
      <c r="E4230" s="81" t="s">
        <v>50</v>
      </c>
      <c r="F4230" s="81" t="s">
        <v>1</v>
      </c>
    </row>
    <row r="4231" spans="1:6" x14ac:dyDescent="0.25">
      <c r="A4231" s="14">
        <v>46151.379861111112</v>
      </c>
      <c r="B4231" s="81" t="s">
        <v>149</v>
      </c>
      <c r="C4231" s="81" t="s">
        <v>185</v>
      </c>
      <c r="D4231" s="81" t="s">
        <v>250</v>
      </c>
      <c r="E4231" s="81" t="s">
        <v>49</v>
      </c>
      <c r="F4231" s="81" t="s">
        <v>2</v>
      </c>
    </row>
    <row r="4232" spans="1:6" x14ac:dyDescent="0.25">
      <c r="A4232" s="14">
        <v>46151.379861111112</v>
      </c>
      <c r="B4232" s="81" t="s">
        <v>149</v>
      </c>
      <c r="C4232" s="81" t="s">
        <v>158</v>
      </c>
      <c r="D4232" s="81" t="s">
        <v>265</v>
      </c>
      <c r="E4232" s="81" t="s">
        <v>50</v>
      </c>
      <c r="F4232" s="81" t="s">
        <v>1</v>
      </c>
    </row>
    <row r="4233" spans="1:6" x14ac:dyDescent="0.25">
      <c r="A4233" s="14">
        <v>46151.379861111112</v>
      </c>
      <c r="B4233" s="81" t="s">
        <v>149</v>
      </c>
      <c r="C4233" s="81" t="s">
        <v>190</v>
      </c>
      <c r="D4233" s="81" t="s">
        <v>163</v>
      </c>
      <c r="E4233" s="81" t="s">
        <v>50</v>
      </c>
      <c r="F4233" s="81" t="s">
        <v>1</v>
      </c>
    </row>
    <row r="4234" spans="1:6" x14ac:dyDescent="0.25">
      <c r="A4234" s="14">
        <v>46151.379861111112</v>
      </c>
      <c r="B4234" s="81" t="s">
        <v>149</v>
      </c>
      <c r="C4234" s="81" t="s">
        <v>177</v>
      </c>
      <c r="D4234" s="81" t="s">
        <v>250</v>
      </c>
      <c r="E4234" s="81" t="s">
        <v>52</v>
      </c>
      <c r="F4234" s="81" t="s">
        <v>0</v>
      </c>
    </row>
    <row r="4235" spans="1:6" x14ac:dyDescent="0.25">
      <c r="A4235" s="14">
        <v>46151.379861111112</v>
      </c>
      <c r="B4235" s="81" t="s">
        <v>149</v>
      </c>
      <c r="C4235" s="81" t="s">
        <v>848</v>
      </c>
      <c r="D4235" s="81" t="s">
        <v>250</v>
      </c>
      <c r="E4235" s="81" t="s">
        <v>64</v>
      </c>
      <c r="F4235" s="81" t="s">
        <v>98</v>
      </c>
    </row>
    <row r="4236" spans="1:6" x14ac:dyDescent="0.25">
      <c r="A4236" s="14">
        <v>46151.379861111112</v>
      </c>
      <c r="B4236" s="81" t="s">
        <v>149</v>
      </c>
      <c r="C4236" s="81" t="s">
        <v>177</v>
      </c>
      <c r="D4236" s="81" t="s">
        <v>265</v>
      </c>
      <c r="E4236" s="81" t="s">
        <v>50</v>
      </c>
      <c r="F4236" s="81" t="s">
        <v>1</v>
      </c>
    </row>
    <row r="4237" spans="1:6" x14ac:dyDescent="0.25">
      <c r="A4237" s="14">
        <v>46151.379861111112</v>
      </c>
      <c r="B4237" s="81" t="s">
        <v>149</v>
      </c>
      <c r="C4237" s="81" t="s">
        <v>183</v>
      </c>
      <c r="D4237" s="81" t="s">
        <v>265</v>
      </c>
      <c r="E4237" s="81" t="s">
        <v>49</v>
      </c>
      <c r="F4237" s="81" t="s">
        <v>2</v>
      </c>
    </row>
    <row r="4238" spans="1:6" x14ac:dyDescent="0.25">
      <c r="A4238" s="14">
        <v>46151.379861111112</v>
      </c>
      <c r="B4238" s="81" t="s">
        <v>149</v>
      </c>
      <c r="C4238" s="81" t="s">
        <v>181</v>
      </c>
      <c r="D4238" s="81" t="s">
        <v>250</v>
      </c>
      <c r="E4238" s="81" t="s">
        <v>52</v>
      </c>
      <c r="F4238" s="81" t="s">
        <v>0</v>
      </c>
    </row>
    <row r="4239" spans="1:6" x14ac:dyDescent="0.25">
      <c r="A4239" s="14">
        <v>46151.379861111112</v>
      </c>
      <c r="B4239" s="81" t="s">
        <v>149</v>
      </c>
      <c r="C4239" s="81" t="s">
        <v>173</v>
      </c>
      <c r="D4239" s="81" t="s">
        <v>265</v>
      </c>
      <c r="E4239" s="81" t="s">
        <v>50</v>
      </c>
      <c r="F4239" s="81" t="s">
        <v>1</v>
      </c>
    </row>
    <row r="4240" spans="1:6" x14ac:dyDescent="0.25">
      <c r="A4240" s="14">
        <v>46151.379861111112</v>
      </c>
      <c r="B4240" s="81" t="s">
        <v>149</v>
      </c>
      <c r="C4240" s="81" t="s">
        <v>177</v>
      </c>
      <c r="D4240" s="81" t="s">
        <v>250</v>
      </c>
      <c r="E4240" s="81" t="s">
        <v>50</v>
      </c>
      <c r="F4240" s="81" t="s">
        <v>1</v>
      </c>
    </row>
    <row r="4241" spans="1:6" x14ac:dyDescent="0.25">
      <c r="A4241" s="14">
        <v>46151.379861111112</v>
      </c>
      <c r="B4241" s="81" t="s">
        <v>149</v>
      </c>
      <c r="C4241" s="81" t="s">
        <v>228</v>
      </c>
      <c r="D4241" s="81" t="s">
        <v>265</v>
      </c>
      <c r="E4241" s="81" t="s">
        <v>64</v>
      </c>
      <c r="F4241" s="81" t="s">
        <v>98</v>
      </c>
    </row>
    <row r="4242" spans="1:6" x14ac:dyDescent="0.25">
      <c r="A4242" s="14">
        <v>46151.379861111112</v>
      </c>
      <c r="B4242" s="81" t="s">
        <v>149</v>
      </c>
      <c r="C4242" s="81" t="s">
        <v>182</v>
      </c>
      <c r="D4242" s="81" t="s">
        <v>250</v>
      </c>
      <c r="E4242" s="81" t="s">
        <v>52</v>
      </c>
      <c r="F4242" s="81" t="s">
        <v>0</v>
      </c>
    </row>
    <row r="4243" spans="1:6" x14ac:dyDescent="0.25">
      <c r="A4243" s="14">
        <v>46151.379861111112</v>
      </c>
      <c r="B4243" s="81" t="s">
        <v>149</v>
      </c>
      <c r="C4243" s="81" t="s">
        <v>182</v>
      </c>
      <c r="D4243" s="81" t="s">
        <v>261</v>
      </c>
      <c r="E4243" s="81" t="s">
        <v>50</v>
      </c>
      <c r="F4243" s="81" t="s">
        <v>1</v>
      </c>
    </row>
    <row r="4244" spans="1:6" x14ac:dyDescent="0.25">
      <c r="A4244" s="14">
        <v>46151.379861111112</v>
      </c>
      <c r="B4244" s="81" t="s">
        <v>149</v>
      </c>
      <c r="C4244" s="81" t="s">
        <v>177</v>
      </c>
      <c r="D4244" s="81" t="s">
        <v>250</v>
      </c>
      <c r="E4244" s="81" t="s">
        <v>52</v>
      </c>
      <c r="F4244" s="81" t="s">
        <v>0</v>
      </c>
    </row>
    <row r="4245" spans="1:6" x14ac:dyDescent="0.25">
      <c r="A4245" s="14">
        <v>46151.379861111112</v>
      </c>
      <c r="B4245" s="81" t="s">
        <v>149</v>
      </c>
      <c r="C4245" s="81" t="s">
        <v>151</v>
      </c>
      <c r="D4245" s="81" t="s">
        <v>261</v>
      </c>
      <c r="E4245" s="81" t="s">
        <v>50</v>
      </c>
      <c r="F4245" s="81" t="s">
        <v>1</v>
      </c>
    </row>
    <row r="4246" spans="1:6" x14ac:dyDescent="0.25">
      <c r="A4246" s="14">
        <v>46151.379861111112</v>
      </c>
      <c r="B4246" s="81" t="s">
        <v>149</v>
      </c>
      <c r="C4246" s="81" t="s">
        <v>175</v>
      </c>
      <c r="D4246" s="81" t="s">
        <v>261</v>
      </c>
      <c r="E4246" s="81" t="s">
        <v>50</v>
      </c>
      <c r="F4246" s="81" t="s">
        <v>1</v>
      </c>
    </row>
    <row r="4247" spans="1:6" x14ac:dyDescent="0.25">
      <c r="A4247" s="14">
        <v>46151.379861111112</v>
      </c>
      <c r="B4247" s="81" t="s">
        <v>149</v>
      </c>
      <c r="C4247" s="81" t="s">
        <v>187</v>
      </c>
      <c r="D4247" s="81" t="s">
        <v>261</v>
      </c>
      <c r="E4247" s="81" t="s">
        <v>75</v>
      </c>
      <c r="F4247" s="81" t="s">
        <v>93</v>
      </c>
    </row>
    <row r="4248" spans="1:6" x14ac:dyDescent="0.25">
      <c r="A4248" s="14">
        <v>46151.379861111112</v>
      </c>
      <c r="B4248" s="81" t="s">
        <v>149</v>
      </c>
      <c r="C4248" s="81" t="s">
        <v>158</v>
      </c>
      <c r="D4248" s="81" t="s">
        <v>261</v>
      </c>
      <c r="E4248" s="81" t="s">
        <v>50</v>
      </c>
      <c r="F4248" s="81" t="s">
        <v>1</v>
      </c>
    </row>
    <row r="4249" spans="1:6" x14ac:dyDescent="0.25">
      <c r="A4249" s="14">
        <v>46151.379861111112</v>
      </c>
      <c r="B4249" s="81" t="s">
        <v>149</v>
      </c>
      <c r="C4249" s="81" t="s">
        <v>177</v>
      </c>
      <c r="D4249" s="81" t="s">
        <v>265</v>
      </c>
      <c r="E4249" s="81" t="s">
        <v>52</v>
      </c>
      <c r="F4249" s="81" t="s">
        <v>0</v>
      </c>
    </row>
    <row r="4250" spans="1:6" x14ac:dyDescent="0.25">
      <c r="A4250" s="14">
        <v>46151.379861111112</v>
      </c>
      <c r="B4250" s="81" t="s">
        <v>149</v>
      </c>
      <c r="C4250" s="81" t="s">
        <v>151</v>
      </c>
      <c r="D4250" s="81" t="s">
        <v>261</v>
      </c>
      <c r="E4250" s="81" t="s">
        <v>52</v>
      </c>
      <c r="F4250" s="81" t="s">
        <v>0</v>
      </c>
    </row>
    <row r="4251" spans="1:6" x14ac:dyDescent="0.25">
      <c r="A4251" s="14">
        <v>46151.379861111112</v>
      </c>
      <c r="B4251" s="81" t="s">
        <v>149</v>
      </c>
      <c r="C4251" s="81" t="s">
        <v>171</v>
      </c>
      <c r="D4251" s="81" t="s">
        <v>265</v>
      </c>
      <c r="E4251" s="81" t="s">
        <v>52</v>
      </c>
      <c r="F4251" s="81" t="s">
        <v>0</v>
      </c>
    </row>
    <row r="4252" spans="1:6" x14ac:dyDescent="0.25">
      <c r="A4252" s="14">
        <v>46151.379861111112</v>
      </c>
      <c r="B4252" s="81" t="s">
        <v>149</v>
      </c>
      <c r="C4252" s="81" t="s">
        <v>187</v>
      </c>
      <c r="D4252" s="81" t="s">
        <v>163</v>
      </c>
      <c r="E4252" s="81" t="s">
        <v>75</v>
      </c>
      <c r="F4252" s="81" t="s">
        <v>93</v>
      </c>
    </row>
    <row r="4253" spans="1:6" x14ac:dyDescent="0.25">
      <c r="A4253" s="14">
        <v>46151.379861111112</v>
      </c>
      <c r="B4253" s="81" t="s">
        <v>149</v>
      </c>
      <c r="C4253" s="81" t="s">
        <v>181</v>
      </c>
      <c r="D4253" s="81" t="s">
        <v>261</v>
      </c>
      <c r="E4253" s="81" t="s">
        <v>52</v>
      </c>
      <c r="F4253" s="81" t="s">
        <v>0</v>
      </c>
    </row>
    <row r="4254" spans="1:6" x14ac:dyDescent="0.25">
      <c r="A4254" s="14">
        <v>46151.379861111112</v>
      </c>
      <c r="B4254" s="81" t="s">
        <v>149</v>
      </c>
      <c r="C4254" s="81" t="s">
        <v>176</v>
      </c>
      <c r="D4254" s="81" t="s">
        <v>261</v>
      </c>
      <c r="E4254" s="81" t="s">
        <v>70</v>
      </c>
      <c r="F4254" s="81" t="s">
        <v>15</v>
      </c>
    </row>
    <row r="4255" spans="1:6" x14ac:dyDescent="0.25">
      <c r="A4255" s="14">
        <v>46151.379861111112</v>
      </c>
      <c r="B4255" s="81" t="s">
        <v>149</v>
      </c>
      <c r="C4255" s="81" t="s">
        <v>158</v>
      </c>
      <c r="D4255" s="81" t="s">
        <v>266</v>
      </c>
      <c r="E4255" s="81" t="s">
        <v>52</v>
      </c>
      <c r="F4255" s="81" t="s">
        <v>0</v>
      </c>
    </row>
    <row r="4256" spans="1:6" x14ac:dyDescent="0.25">
      <c r="A4256" s="14">
        <v>46151.379861111112</v>
      </c>
      <c r="B4256" s="81" t="s">
        <v>149</v>
      </c>
      <c r="C4256" s="81" t="s">
        <v>151</v>
      </c>
      <c r="D4256" s="81" t="s">
        <v>261</v>
      </c>
      <c r="E4256" s="81" t="s">
        <v>50</v>
      </c>
      <c r="F4256" s="81" t="s">
        <v>1</v>
      </c>
    </row>
    <row r="4257" spans="1:6" x14ac:dyDescent="0.25">
      <c r="A4257" s="14">
        <v>46151.379861111112</v>
      </c>
      <c r="B4257" s="81" t="s">
        <v>149</v>
      </c>
      <c r="C4257" s="81" t="s">
        <v>207</v>
      </c>
      <c r="D4257" s="81" t="s">
        <v>163</v>
      </c>
      <c r="E4257" s="81" t="s">
        <v>66</v>
      </c>
      <c r="F4257" s="81" t="s">
        <v>35</v>
      </c>
    </row>
    <row r="4258" spans="1:6" x14ac:dyDescent="0.25">
      <c r="A4258" s="14">
        <v>46151.379861111112</v>
      </c>
      <c r="B4258" s="81" t="s">
        <v>149</v>
      </c>
      <c r="C4258" s="81" t="s">
        <v>207</v>
      </c>
      <c r="D4258" s="81" t="s">
        <v>163</v>
      </c>
      <c r="E4258" s="81" t="s">
        <v>66</v>
      </c>
      <c r="F4258" s="81" t="s">
        <v>35</v>
      </c>
    </row>
    <row r="4259" spans="1:6" x14ac:dyDescent="0.25">
      <c r="A4259" s="14">
        <v>46151.379861111112</v>
      </c>
      <c r="B4259" s="81" t="s">
        <v>149</v>
      </c>
      <c r="C4259" s="81" t="s">
        <v>207</v>
      </c>
      <c r="D4259" s="81" t="s">
        <v>163</v>
      </c>
      <c r="E4259" s="81" t="s">
        <v>66</v>
      </c>
      <c r="F4259" s="81" t="s">
        <v>35</v>
      </c>
    </row>
    <row r="4260" spans="1:6" x14ac:dyDescent="0.25">
      <c r="A4260" s="14">
        <v>46151.379861111112</v>
      </c>
      <c r="B4260" s="81" t="s">
        <v>149</v>
      </c>
      <c r="C4260" s="81" t="s">
        <v>207</v>
      </c>
      <c r="D4260" s="81" t="s">
        <v>163</v>
      </c>
      <c r="E4260" s="81" t="s">
        <v>66</v>
      </c>
      <c r="F4260" s="81" t="s">
        <v>35</v>
      </c>
    </row>
    <row r="4261" spans="1:6" x14ac:dyDescent="0.25">
      <c r="A4261" s="14">
        <v>46151.379861111112</v>
      </c>
      <c r="B4261" s="81" t="s">
        <v>149</v>
      </c>
      <c r="C4261" s="81" t="s">
        <v>208</v>
      </c>
      <c r="D4261" s="81" t="s">
        <v>163</v>
      </c>
      <c r="E4261" s="81" t="s">
        <v>66</v>
      </c>
      <c r="F4261" s="81" t="s">
        <v>35</v>
      </c>
    </row>
    <row r="4262" spans="1:6" x14ac:dyDescent="0.25">
      <c r="A4262" s="14">
        <v>46151.379861111112</v>
      </c>
      <c r="B4262" s="81" t="s">
        <v>149</v>
      </c>
      <c r="C4262" s="81" t="s">
        <v>173</v>
      </c>
      <c r="D4262" s="81" t="s">
        <v>266</v>
      </c>
      <c r="E4262" s="81" t="s">
        <v>52</v>
      </c>
      <c r="F4262" s="81" t="s">
        <v>0</v>
      </c>
    </row>
    <row r="4263" spans="1:6" x14ac:dyDescent="0.25">
      <c r="A4263" s="14">
        <v>46151.379861111112</v>
      </c>
      <c r="B4263" s="81" t="s">
        <v>149</v>
      </c>
      <c r="C4263" s="81" t="s">
        <v>190</v>
      </c>
      <c r="D4263" s="81" t="s">
        <v>179</v>
      </c>
      <c r="E4263" s="81" t="s">
        <v>50</v>
      </c>
      <c r="F4263" s="81" t="s">
        <v>1</v>
      </c>
    </row>
    <row r="4264" spans="1:6" x14ac:dyDescent="0.25">
      <c r="A4264" s="14">
        <v>46151.379861111112</v>
      </c>
      <c r="B4264" s="81" t="s">
        <v>149</v>
      </c>
      <c r="C4264" s="81" t="s">
        <v>207</v>
      </c>
      <c r="D4264" s="81" t="s">
        <v>167</v>
      </c>
      <c r="E4264" s="81" t="s">
        <v>66</v>
      </c>
      <c r="F4264" s="81" t="s">
        <v>35</v>
      </c>
    </row>
    <row r="4265" spans="1:6" x14ac:dyDescent="0.25">
      <c r="A4265" s="14">
        <v>46151.379861111112</v>
      </c>
      <c r="B4265" s="81" t="s">
        <v>149</v>
      </c>
      <c r="C4265" s="81" t="s">
        <v>207</v>
      </c>
      <c r="D4265" s="81" t="s">
        <v>167</v>
      </c>
      <c r="E4265" s="81" t="s">
        <v>66</v>
      </c>
      <c r="F4265" s="81" t="s">
        <v>35</v>
      </c>
    </row>
    <row r="4266" spans="1:6" x14ac:dyDescent="0.25">
      <c r="A4266" s="14">
        <v>46151.379861111112</v>
      </c>
      <c r="B4266" s="81" t="s">
        <v>149</v>
      </c>
      <c r="C4266" s="81" t="s">
        <v>207</v>
      </c>
      <c r="D4266" s="81" t="s">
        <v>167</v>
      </c>
      <c r="E4266" s="81" t="s">
        <v>66</v>
      </c>
      <c r="F4266" s="81" t="s">
        <v>35</v>
      </c>
    </row>
    <row r="4267" spans="1:6" x14ac:dyDescent="0.25">
      <c r="A4267" s="14">
        <v>46151.379861111112</v>
      </c>
      <c r="B4267" s="81" t="s">
        <v>149</v>
      </c>
      <c r="C4267" s="81" t="s">
        <v>207</v>
      </c>
      <c r="D4267" s="81" t="s">
        <v>167</v>
      </c>
      <c r="E4267" s="81" t="s">
        <v>66</v>
      </c>
      <c r="F4267" s="81" t="s">
        <v>35</v>
      </c>
    </row>
    <row r="4268" spans="1:6" x14ac:dyDescent="0.25">
      <c r="A4268" s="14">
        <v>46151.379861111112</v>
      </c>
      <c r="B4268" s="81" t="s">
        <v>149</v>
      </c>
      <c r="C4268" s="81" t="s">
        <v>190</v>
      </c>
      <c r="D4268" s="81" t="s">
        <v>261</v>
      </c>
      <c r="E4268" s="81" t="s">
        <v>50</v>
      </c>
      <c r="F4268" s="81" t="s">
        <v>1</v>
      </c>
    </row>
    <row r="4269" spans="1:6" x14ac:dyDescent="0.25">
      <c r="A4269" s="14">
        <v>46151.379861111112</v>
      </c>
      <c r="B4269" s="81" t="s">
        <v>149</v>
      </c>
      <c r="C4269" s="81" t="s">
        <v>176</v>
      </c>
      <c r="D4269" s="81" t="s">
        <v>167</v>
      </c>
      <c r="E4269" s="81" t="s">
        <v>70</v>
      </c>
      <c r="F4269" s="81" t="s">
        <v>15</v>
      </c>
    </row>
    <row r="4270" spans="1:6" x14ac:dyDescent="0.25">
      <c r="A4270" s="14">
        <v>46151.379861111112</v>
      </c>
      <c r="B4270" s="81" t="s">
        <v>149</v>
      </c>
      <c r="C4270" s="81" t="s">
        <v>181</v>
      </c>
      <c r="D4270" s="81" t="s">
        <v>850</v>
      </c>
      <c r="E4270" s="81" t="s">
        <v>50</v>
      </c>
      <c r="F4270" s="81" t="s">
        <v>1</v>
      </c>
    </row>
    <row r="4271" spans="1:6" x14ac:dyDescent="0.25">
      <c r="A4271" s="14">
        <v>46151.379861111112</v>
      </c>
      <c r="B4271" s="81" t="s">
        <v>149</v>
      </c>
      <c r="C4271" s="81" t="s">
        <v>176</v>
      </c>
      <c r="D4271" s="81" t="s">
        <v>167</v>
      </c>
      <c r="E4271" s="81" t="s">
        <v>70</v>
      </c>
      <c r="F4271" s="81" t="s">
        <v>15</v>
      </c>
    </row>
    <row r="4272" spans="1:6" x14ac:dyDescent="0.25">
      <c r="A4272" s="14">
        <v>46151.379861111112</v>
      </c>
      <c r="B4272" s="81" t="s">
        <v>149</v>
      </c>
      <c r="C4272" s="81" t="s">
        <v>151</v>
      </c>
      <c r="D4272" s="81" t="s">
        <v>179</v>
      </c>
      <c r="E4272" s="81" t="s">
        <v>50</v>
      </c>
      <c r="F4272" s="81" t="s">
        <v>1</v>
      </c>
    </row>
    <row r="4273" spans="1:6" x14ac:dyDescent="0.25">
      <c r="A4273" s="14">
        <v>46151.379861111112</v>
      </c>
      <c r="B4273" s="81" t="s">
        <v>149</v>
      </c>
      <c r="C4273" s="81" t="s">
        <v>187</v>
      </c>
      <c r="D4273" s="81" t="s">
        <v>167</v>
      </c>
      <c r="E4273" s="81" t="s">
        <v>75</v>
      </c>
      <c r="F4273" s="81" t="s">
        <v>93</v>
      </c>
    </row>
    <row r="4274" spans="1:6" x14ac:dyDescent="0.25">
      <c r="A4274" s="14">
        <v>46151.379861111112</v>
      </c>
      <c r="B4274" s="81" t="s">
        <v>149</v>
      </c>
      <c r="C4274" s="81" t="s">
        <v>187</v>
      </c>
      <c r="D4274" s="81" t="s">
        <v>167</v>
      </c>
      <c r="E4274" s="81" t="s">
        <v>75</v>
      </c>
      <c r="F4274" s="81" t="s">
        <v>93</v>
      </c>
    </row>
    <row r="4275" spans="1:6" x14ac:dyDescent="0.25">
      <c r="A4275" s="14">
        <v>46151.379861111112</v>
      </c>
      <c r="B4275" s="81" t="s">
        <v>149</v>
      </c>
      <c r="C4275" s="81" t="s">
        <v>176</v>
      </c>
      <c r="D4275" s="81" t="s">
        <v>254</v>
      </c>
      <c r="E4275" s="81" t="s">
        <v>237</v>
      </c>
      <c r="F4275" s="81" t="s">
        <v>28</v>
      </c>
    </row>
    <row r="4276" spans="1:6" x14ac:dyDescent="0.25">
      <c r="A4276" s="14">
        <v>46151.379861111112</v>
      </c>
      <c r="B4276" s="81" t="s">
        <v>149</v>
      </c>
      <c r="C4276" s="81" t="s">
        <v>158</v>
      </c>
      <c r="D4276" s="81" t="s">
        <v>261</v>
      </c>
      <c r="E4276" s="81" t="s">
        <v>50</v>
      </c>
      <c r="F4276" s="81" t="s">
        <v>1</v>
      </c>
    </row>
    <row r="4277" spans="1:6" x14ac:dyDescent="0.25">
      <c r="A4277" s="14">
        <v>46151.379861111112</v>
      </c>
      <c r="B4277" s="81" t="s">
        <v>149</v>
      </c>
      <c r="C4277" s="81" t="s">
        <v>173</v>
      </c>
      <c r="D4277" s="81" t="s">
        <v>167</v>
      </c>
      <c r="E4277" s="81" t="s">
        <v>50</v>
      </c>
      <c r="F4277" s="81" t="s">
        <v>1</v>
      </c>
    </row>
    <row r="4278" spans="1:6" x14ac:dyDescent="0.25">
      <c r="A4278" s="14">
        <v>46151.379861111112</v>
      </c>
      <c r="B4278" s="81" t="s">
        <v>149</v>
      </c>
      <c r="C4278" s="81" t="s">
        <v>173</v>
      </c>
      <c r="D4278" s="81" t="s">
        <v>261</v>
      </c>
      <c r="E4278" s="81" t="s">
        <v>50</v>
      </c>
      <c r="F4278" s="81" t="s">
        <v>1</v>
      </c>
    </row>
    <row r="4279" spans="1:6" x14ac:dyDescent="0.25">
      <c r="A4279" s="14">
        <v>46151.379861111112</v>
      </c>
      <c r="B4279" s="81" t="s">
        <v>149</v>
      </c>
      <c r="C4279" s="81" t="s">
        <v>175</v>
      </c>
      <c r="D4279" s="81" t="s">
        <v>261</v>
      </c>
      <c r="E4279" s="81" t="s">
        <v>52</v>
      </c>
      <c r="F4279" s="81" t="s">
        <v>0</v>
      </c>
    </row>
    <row r="4280" spans="1:6" x14ac:dyDescent="0.25">
      <c r="A4280" s="14">
        <v>46151.379861111112</v>
      </c>
      <c r="B4280" s="81" t="s">
        <v>149</v>
      </c>
      <c r="C4280" s="81" t="s">
        <v>173</v>
      </c>
      <c r="D4280" s="81" t="s">
        <v>167</v>
      </c>
      <c r="E4280" s="81" t="s">
        <v>50</v>
      </c>
      <c r="F4280" s="81" t="s">
        <v>1</v>
      </c>
    </row>
    <row r="4281" spans="1:6" x14ac:dyDescent="0.25">
      <c r="A4281" s="14">
        <v>46151.379861111112</v>
      </c>
      <c r="B4281" s="81" t="s">
        <v>149</v>
      </c>
      <c r="C4281" s="81" t="s">
        <v>183</v>
      </c>
      <c r="D4281" s="81" t="s">
        <v>261</v>
      </c>
      <c r="E4281" s="81" t="s">
        <v>52</v>
      </c>
      <c r="F4281" s="81" t="s">
        <v>0</v>
      </c>
    </row>
    <row r="4282" spans="1:6" x14ac:dyDescent="0.25">
      <c r="A4282" s="14">
        <v>46151.379861111112</v>
      </c>
      <c r="B4282" s="81" t="s">
        <v>149</v>
      </c>
      <c r="C4282" s="81" t="s">
        <v>173</v>
      </c>
      <c r="D4282" s="81" t="s">
        <v>167</v>
      </c>
      <c r="E4282" s="81" t="s">
        <v>50</v>
      </c>
      <c r="F4282" s="81" t="s">
        <v>1</v>
      </c>
    </row>
    <row r="4283" spans="1:6" x14ac:dyDescent="0.25">
      <c r="A4283" s="14">
        <v>46151.379861111112</v>
      </c>
      <c r="B4283" s="81" t="s">
        <v>149</v>
      </c>
      <c r="C4283" s="81" t="s">
        <v>185</v>
      </c>
      <c r="D4283" s="81" t="s">
        <v>179</v>
      </c>
      <c r="E4283" s="81" t="s">
        <v>50</v>
      </c>
      <c r="F4283" s="81" t="s">
        <v>1</v>
      </c>
    </row>
    <row r="4284" spans="1:6" x14ac:dyDescent="0.25">
      <c r="A4284" s="14">
        <v>46151.379861111112</v>
      </c>
      <c r="B4284" s="81" t="s">
        <v>149</v>
      </c>
      <c r="C4284" s="81" t="s">
        <v>214</v>
      </c>
      <c r="D4284" s="81" t="s">
        <v>167</v>
      </c>
      <c r="E4284" s="81" t="s">
        <v>64</v>
      </c>
      <c r="F4284" s="81" t="s">
        <v>98</v>
      </c>
    </row>
    <row r="4285" spans="1:6" x14ac:dyDescent="0.25">
      <c r="A4285" s="14">
        <v>46151.379861111112</v>
      </c>
      <c r="B4285" s="81" t="s">
        <v>149</v>
      </c>
      <c r="C4285" s="81" t="s">
        <v>217</v>
      </c>
      <c r="D4285" s="81" t="s">
        <v>167</v>
      </c>
      <c r="E4285" s="81" t="s">
        <v>64</v>
      </c>
      <c r="F4285" s="81" t="s">
        <v>98</v>
      </c>
    </row>
    <row r="4286" spans="1:6" x14ac:dyDescent="0.25">
      <c r="A4286" s="14">
        <v>46151.379861111112</v>
      </c>
      <c r="B4286" s="81" t="s">
        <v>149</v>
      </c>
      <c r="C4286" s="81" t="s">
        <v>183</v>
      </c>
      <c r="D4286" s="81" t="s">
        <v>179</v>
      </c>
      <c r="E4286" s="81" t="s">
        <v>50</v>
      </c>
      <c r="F4286" s="81" t="s">
        <v>1</v>
      </c>
    </row>
    <row r="4287" spans="1:6" x14ac:dyDescent="0.25">
      <c r="A4287" s="14">
        <v>46151.379861111112</v>
      </c>
      <c r="B4287" s="81" t="s">
        <v>149</v>
      </c>
      <c r="C4287" s="81" t="s">
        <v>181</v>
      </c>
      <c r="D4287" s="81" t="s">
        <v>258</v>
      </c>
      <c r="E4287" s="81" t="s">
        <v>50</v>
      </c>
      <c r="F4287" s="81" t="s">
        <v>1</v>
      </c>
    </row>
    <row r="4288" spans="1:6" x14ac:dyDescent="0.25">
      <c r="A4288" s="14">
        <v>46151.379861111112</v>
      </c>
      <c r="B4288" s="81" t="s">
        <v>149</v>
      </c>
      <c r="C4288" s="81" t="s">
        <v>176</v>
      </c>
      <c r="D4288" s="81" t="s">
        <v>167</v>
      </c>
      <c r="E4288" s="81" t="s">
        <v>70</v>
      </c>
      <c r="F4288" s="81" t="s">
        <v>15</v>
      </c>
    </row>
    <row r="4289" spans="1:6" x14ac:dyDescent="0.25">
      <c r="A4289" s="14">
        <v>46151.379861111112</v>
      </c>
      <c r="B4289" s="81" t="s">
        <v>149</v>
      </c>
      <c r="C4289" s="81" t="s">
        <v>176</v>
      </c>
      <c r="D4289" s="81" t="s">
        <v>167</v>
      </c>
      <c r="E4289" s="81" t="s">
        <v>70</v>
      </c>
      <c r="F4289" s="81" t="s">
        <v>15</v>
      </c>
    </row>
    <row r="4290" spans="1:6" x14ac:dyDescent="0.25">
      <c r="A4290" s="14">
        <v>46151.379861111112</v>
      </c>
      <c r="B4290" s="81" t="s">
        <v>149</v>
      </c>
      <c r="C4290" s="81" t="s">
        <v>181</v>
      </c>
      <c r="D4290" s="81" t="s">
        <v>179</v>
      </c>
      <c r="E4290" s="81" t="s">
        <v>50</v>
      </c>
      <c r="F4290" s="81" t="s">
        <v>1</v>
      </c>
    </row>
    <row r="4291" spans="1:6" x14ac:dyDescent="0.25">
      <c r="A4291" s="14">
        <v>46151.379861111112</v>
      </c>
      <c r="B4291" s="81" t="s">
        <v>149</v>
      </c>
      <c r="C4291" s="81" t="s">
        <v>176</v>
      </c>
      <c r="D4291" s="81" t="s">
        <v>167</v>
      </c>
      <c r="E4291" s="81" t="s">
        <v>70</v>
      </c>
      <c r="F4291" s="81" t="s">
        <v>15</v>
      </c>
    </row>
    <row r="4292" spans="1:6" x14ac:dyDescent="0.25">
      <c r="A4292" s="14">
        <v>46151.379861111112</v>
      </c>
      <c r="B4292" s="81" t="s">
        <v>149</v>
      </c>
      <c r="C4292" s="81" t="s">
        <v>176</v>
      </c>
      <c r="D4292" s="81" t="s">
        <v>167</v>
      </c>
      <c r="E4292" s="81" t="s">
        <v>70</v>
      </c>
      <c r="F4292" s="81" t="s">
        <v>15</v>
      </c>
    </row>
    <row r="4293" spans="1:6" x14ac:dyDescent="0.25">
      <c r="A4293" s="14">
        <v>46151.379861111112</v>
      </c>
      <c r="B4293" s="81" t="s">
        <v>149</v>
      </c>
      <c r="C4293" s="81" t="s">
        <v>184</v>
      </c>
      <c r="D4293" s="81" t="s">
        <v>261</v>
      </c>
      <c r="E4293" s="81" t="s">
        <v>52</v>
      </c>
      <c r="F4293" s="81" t="s">
        <v>0</v>
      </c>
    </row>
    <row r="4294" spans="1:6" x14ac:dyDescent="0.25">
      <c r="A4294" s="14">
        <v>46151.379861111112</v>
      </c>
      <c r="B4294" s="81" t="s">
        <v>149</v>
      </c>
      <c r="C4294" s="81" t="s">
        <v>182</v>
      </c>
      <c r="D4294" s="81" t="s">
        <v>179</v>
      </c>
      <c r="E4294" s="81" t="s">
        <v>50</v>
      </c>
      <c r="F4294" s="81" t="s">
        <v>1</v>
      </c>
    </row>
    <row r="4295" spans="1:6" x14ac:dyDescent="0.25">
      <c r="A4295" s="14">
        <v>46151.379861111112</v>
      </c>
      <c r="B4295" s="81" t="s">
        <v>149</v>
      </c>
      <c r="C4295" s="81" t="s">
        <v>192</v>
      </c>
      <c r="D4295" s="81" t="s">
        <v>254</v>
      </c>
      <c r="E4295" s="81" t="s">
        <v>60</v>
      </c>
      <c r="F4295" s="81" t="s">
        <v>28</v>
      </c>
    </row>
    <row r="4296" spans="1:6" x14ac:dyDescent="0.25">
      <c r="A4296" s="14">
        <v>46151.379861111112</v>
      </c>
      <c r="B4296" s="81" t="s">
        <v>149</v>
      </c>
      <c r="C4296" s="81" t="s">
        <v>158</v>
      </c>
      <c r="D4296" s="81" t="s">
        <v>179</v>
      </c>
      <c r="E4296" s="81" t="s">
        <v>50</v>
      </c>
      <c r="F4296" s="81" t="s">
        <v>1</v>
      </c>
    </row>
    <row r="4297" spans="1:6" x14ac:dyDescent="0.25">
      <c r="A4297" s="14">
        <v>46151.379861111112</v>
      </c>
      <c r="B4297" s="81" t="s">
        <v>149</v>
      </c>
      <c r="C4297" s="81" t="s">
        <v>184</v>
      </c>
      <c r="D4297" s="81" t="s">
        <v>179</v>
      </c>
      <c r="E4297" s="81" t="s">
        <v>50</v>
      </c>
      <c r="F4297" s="81" t="s">
        <v>1</v>
      </c>
    </row>
    <row r="4298" spans="1:6" x14ac:dyDescent="0.25">
      <c r="A4298" s="14">
        <v>46151.379861111112</v>
      </c>
      <c r="B4298" s="81" t="s">
        <v>149</v>
      </c>
      <c r="C4298" s="81" t="s">
        <v>185</v>
      </c>
      <c r="D4298" s="81" t="s">
        <v>179</v>
      </c>
      <c r="E4298" s="81" t="s">
        <v>50</v>
      </c>
      <c r="F4298" s="81" t="s">
        <v>1</v>
      </c>
    </row>
    <row r="4299" spans="1:6" x14ac:dyDescent="0.25">
      <c r="A4299" s="14">
        <v>46151.379861111112</v>
      </c>
      <c r="B4299" s="81" t="s">
        <v>149</v>
      </c>
      <c r="C4299" s="81" t="s">
        <v>173</v>
      </c>
      <c r="D4299" s="81" t="s">
        <v>257</v>
      </c>
      <c r="E4299" s="81" t="s">
        <v>52</v>
      </c>
      <c r="F4299" s="81" t="s">
        <v>0</v>
      </c>
    </row>
    <row r="4300" spans="1:6" x14ac:dyDescent="0.25">
      <c r="A4300" s="14">
        <v>46151.379861111112</v>
      </c>
      <c r="B4300" s="81" t="s">
        <v>149</v>
      </c>
      <c r="C4300" s="81" t="s">
        <v>176</v>
      </c>
      <c r="D4300" s="81" t="s">
        <v>167</v>
      </c>
      <c r="E4300" s="81" t="s">
        <v>70</v>
      </c>
      <c r="F4300" s="81" t="s">
        <v>15</v>
      </c>
    </row>
    <row r="4301" spans="1:6" x14ac:dyDescent="0.25">
      <c r="A4301" s="14">
        <v>46151.379861111112</v>
      </c>
      <c r="B4301" s="81" t="s">
        <v>149</v>
      </c>
      <c r="C4301" s="81" t="s">
        <v>177</v>
      </c>
      <c r="D4301" s="81" t="s">
        <v>179</v>
      </c>
      <c r="E4301" s="81" t="s">
        <v>50</v>
      </c>
      <c r="F4301" s="81" t="s">
        <v>1</v>
      </c>
    </row>
    <row r="4302" spans="1:6" x14ac:dyDescent="0.25">
      <c r="A4302" s="14">
        <v>46151.379861111112</v>
      </c>
      <c r="B4302" s="81" t="s">
        <v>149</v>
      </c>
      <c r="C4302" s="81" t="s">
        <v>175</v>
      </c>
      <c r="D4302" s="81" t="s">
        <v>261</v>
      </c>
      <c r="E4302" s="81" t="s">
        <v>50</v>
      </c>
      <c r="F4302" s="81" t="s">
        <v>1</v>
      </c>
    </row>
    <row r="4303" spans="1:6" x14ac:dyDescent="0.25">
      <c r="A4303" s="14">
        <v>46151.379861111112</v>
      </c>
      <c r="B4303" s="81" t="s">
        <v>149</v>
      </c>
      <c r="C4303" s="81" t="s">
        <v>176</v>
      </c>
      <c r="D4303" s="81" t="s">
        <v>254</v>
      </c>
      <c r="E4303" s="81" t="s">
        <v>237</v>
      </c>
      <c r="F4303" s="81" t="s">
        <v>28</v>
      </c>
    </row>
    <row r="4304" spans="1:6" x14ac:dyDescent="0.25">
      <c r="A4304" s="14">
        <v>46151.379861111112</v>
      </c>
      <c r="B4304" s="81" t="s">
        <v>149</v>
      </c>
      <c r="C4304" s="81" t="s">
        <v>173</v>
      </c>
      <c r="D4304" s="81" t="s">
        <v>179</v>
      </c>
      <c r="E4304" s="81" t="s">
        <v>50</v>
      </c>
      <c r="F4304" s="81" t="s">
        <v>1</v>
      </c>
    </row>
    <row r="4305" spans="1:6" x14ac:dyDescent="0.25">
      <c r="A4305" s="14">
        <v>46151.379861111112</v>
      </c>
      <c r="B4305" s="81" t="s">
        <v>149</v>
      </c>
      <c r="C4305" s="81" t="s">
        <v>187</v>
      </c>
      <c r="D4305" s="81" t="s">
        <v>167</v>
      </c>
      <c r="E4305" s="81" t="s">
        <v>75</v>
      </c>
      <c r="F4305" s="81" t="s">
        <v>93</v>
      </c>
    </row>
    <row r="4306" spans="1:6" x14ac:dyDescent="0.25">
      <c r="A4306" s="14">
        <v>46151.379861111112</v>
      </c>
      <c r="B4306" s="81" t="s">
        <v>149</v>
      </c>
      <c r="C4306" s="81" t="s">
        <v>187</v>
      </c>
      <c r="D4306" s="81" t="s">
        <v>167</v>
      </c>
      <c r="E4306" s="81" t="s">
        <v>75</v>
      </c>
      <c r="F4306" s="81" t="s">
        <v>93</v>
      </c>
    </row>
    <row r="4307" spans="1:6" x14ac:dyDescent="0.25">
      <c r="A4307" s="14">
        <v>46151.379861111112</v>
      </c>
      <c r="B4307" s="81" t="s">
        <v>149</v>
      </c>
      <c r="C4307" s="81" t="s">
        <v>187</v>
      </c>
      <c r="D4307" s="81" t="s">
        <v>167</v>
      </c>
      <c r="E4307" s="81" t="s">
        <v>75</v>
      </c>
      <c r="F4307" s="81" t="s">
        <v>93</v>
      </c>
    </row>
    <row r="4308" spans="1:6" x14ac:dyDescent="0.25">
      <c r="A4308" s="14">
        <v>46151.379861111112</v>
      </c>
      <c r="B4308" s="81" t="s">
        <v>149</v>
      </c>
      <c r="C4308" s="81" t="s">
        <v>187</v>
      </c>
      <c r="D4308" s="81" t="s">
        <v>167</v>
      </c>
      <c r="E4308" s="81" t="s">
        <v>75</v>
      </c>
      <c r="F4308" s="81" t="s">
        <v>93</v>
      </c>
    </row>
    <row r="4309" spans="1:6" x14ac:dyDescent="0.25">
      <c r="A4309" s="14">
        <v>46151.379861111112</v>
      </c>
      <c r="B4309" s="81" t="s">
        <v>149</v>
      </c>
      <c r="C4309" s="81" t="s">
        <v>175</v>
      </c>
      <c r="D4309" s="81" t="s">
        <v>193</v>
      </c>
      <c r="E4309" s="81" t="s">
        <v>50</v>
      </c>
      <c r="F4309" s="81" t="s">
        <v>1</v>
      </c>
    </row>
    <row r="4310" spans="1:6" x14ac:dyDescent="0.25">
      <c r="A4310" s="14">
        <v>46151.379861111112</v>
      </c>
      <c r="B4310" s="81" t="s">
        <v>149</v>
      </c>
      <c r="C4310" s="81" t="s">
        <v>187</v>
      </c>
      <c r="D4310" s="81" t="s">
        <v>167</v>
      </c>
      <c r="E4310" s="81" t="s">
        <v>75</v>
      </c>
      <c r="F4310" s="81" t="s">
        <v>93</v>
      </c>
    </row>
    <row r="4311" spans="1:6" x14ac:dyDescent="0.25">
      <c r="A4311" s="14">
        <v>46151.379861111112</v>
      </c>
      <c r="B4311" s="81" t="s">
        <v>149</v>
      </c>
      <c r="C4311" s="81" t="s">
        <v>185</v>
      </c>
      <c r="D4311" s="81" t="s">
        <v>193</v>
      </c>
      <c r="E4311" s="81" t="s">
        <v>50</v>
      </c>
      <c r="F4311" s="81" t="s">
        <v>1</v>
      </c>
    </row>
    <row r="4312" spans="1:6" x14ac:dyDescent="0.25">
      <c r="A4312" s="14">
        <v>46151.379861111112</v>
      </c>
      <c r="B4312" s="81" t="s">
        <v>149</v>
      </c>
      <c r="C4312" s="81" t="s">
        <v>185</v>
      </c>
      <c r="D4312" s="81" t="s">
        <v>193</v>
      </c>
      <c r="E4312" s="81" t="s">
        <v>50</v>
      </c>
      <c r="F4312" s="81" t="s">
        <v>1</v>
      </c>
    </row>
    <row r="4313" spans="1:6" x14ac:dyDescent="0.25">
      <c r="A4313" s="14">
        <v>46151.379861111112</v>
      </c>
      <c r="B4313" s="81" t="s">
        <v>149</v>
      </c>
      <c r="C4313" s="81" t="s">
        <v>181</v>
      </c>
      <c r="D4313" s="81" t="s">
        <v>193</v>
      </c>
      <c r="E4313" s="81" t="s">
        <v>50</v>
      </c>
      <c r="F4313" s="81" t="s">
        <v>1</v>
      </c>
    </row>
    <row r="4314" spans="1:6" x14ac:dyDescent="0.25">
      <c r="A4314" s="14">
        <v>46151.379861111112</v>
      </c>
      <c r="B4314" s="81" t="s">
        <v>149</v>
      </c>
      <c r="C4314" s="81" t="s">
        <v>181</v>
      </c>
      <c r="D4314" s="81" t="s">
        <v>193</v>
      </c>
      <c r="E4314" s="81" t="s">
        <v>50</v>
      </c>
      <c r="F4314" s="81" t="s">
        <v>1</v>
      </c>
    </row>
    <row r="4315" spans="1:6" x14ac:dyDescent="0.25">
      <c r="A4315" s="14">
        <v>46151.379861111112</v>
      </c>
      <c r="B4315" s="81" t="s">
        <v>149</v>
      </c>
      <c r="C4315" s="81" t="s">
        <v>151</v>
      </c>
      <c r="D4315" s="81" t="s">
        <v>261</v>
      </c>
      <c r="E4315" s="81" t="s">
        <v>52</v>
      </c>
      <c r="F4315" s="81" t="s">
        <v>0</v>
      </c>
    </row>
    <row r="4316" spans="1:6" x14ac:dyDescent="0.25">
      <c r="A4316" s="14">
        <v>46151.379861111112</v>
      </c>
      <c r="B4316" s="81" t="s">
        <v>149</v>
      </c>
      <c r="C4316" s="81" t="s">
        <v>158</v>
      </c>
      <c r="D4316" s="81" t="s">
        <v>193</v>
      </c>
      <c r="E4316" s="81" t="s">
        <v>52</v>
      </c>
      <c r="F4316" s="81" t="s">
        <v>0</v>
      </c>
    </row>
    <row r="4317" spans="1:6" x14ac:dyDescent="0.25">
      <c r="A4317" s="14">
        <v>46151.379861111112</v>
      </c>
      <c r="B4317" s="81" t="s">
        <v>149</v>
      </c>
      <c r="C4317" s="81" t="s">
        <v>188</v>
      </c>
      <c r="D4317" s="81" t="s">
        <v>157</v>
      </c>
      <c r="E4317" s="81" t="s">
        <v>45</v>
      </c>
      <c r="F4317" s="81" t="s">
        <v>28</v>
      </c>
    </row>
    <row r="4318" spans="1:6" x14ac:dyDescent="0.25">
      <c r="A4318" s="14">
        <v>46151.379861111112</v>
      </c>
      <c r="B4318" s="81" t="s">
        <v>149</v>
      </c>
      <c r="C4318" s="81" t="s">
        <v>189</v>
      </c>
      <c r="D4318" s="81" t="s">
        <v>157</v>
      </c>
      <c r="E4318" s="81" t="s">
        <v>45</v>
      </c>
      <c r="F4318" s="81" t="s">
        <v>28</v>
      </c>
    </row>
    <row r="4319" spans="1:6" x14ac:dyDescent="0.25">
      <c r="A4319" s="14">
        <v>46151.379861111112</v>
      </c>
      <c r="B4319" s="81" t="s">
        <v>149</v>
      </c>
      <c r="C4319" s="81" t="s">
        <v>190</v>
      </c>
      <c r="D4319" s="81" t="s">
        <v>264</v>
      </c>
      <c r="E4319" s="81" t="s">
        <v>50</v>
      </c>
      <c r="F4319" s="81" t="s">
        <v>1</v>
      </c>
    </row>
    <row r="4320" spans="1:6" x14ac:dyDescent="0.25">
      <c r="A4320" s="14">
        <v>46151.379861111112</v>
      </c>
      <c r="B4320" s="81" t="s">
        <v>149</v>
      </c>
      <c r="C4320" s="81" t="s">
        <v>173</v>
      </c>
      <c r="D4320" s="81" t="s">
        <v>193</v>
      </c>
      <c r="E4320" s="81" t="s">
        <v>50</v>
      </c>
      <c r="F4320" s="81" t="s">
        <v>1</v>
      </c>
    </row>
    <row r="4321" spans="1:6" x14ac:dyDescent="0.25">
      <c r="A4321" s="14">
        <v>46151.379861111112</v>
      </c>
      <c r="B4321" s="81" t="s">
        <v>149</v>
      </c>
      <c r="C4321" s="81" t="s">
        <v>182</v>
      </c>
      <c r="D4321" s="81" t="s">
        <v>193</v>
      </c>
      <c r="E4321" s="81" t="s">
        <v>50</v>
      </c>
      <c r="F4321" s="81" t="s">
        <v>1</v>
      </c>
    </row>
    <row r="4322" spans="1:6" x14ac:dyDescent="0.25">
      <c r="A4322" s="14">
        <v>46151.379861111112</v>
      </c>
      <c r="B4322" s="81" t="s">
        <v>149</v>
      </c>
      <c r="C4322" s="81" t="s">
        <v>151</v>
      </c>
      <c r="D4322" s="81" t="s">
        <v>261</v>
      </c>
      <c r="E4322" s="81" t="s">
        <v>50</v>
      </c>
      <c r="F4322" s="81" t="s">
        <v>1</v>
      </c>
    </row>
    <row r="4323" spans="1:6" x14ac:dyDescent="0.25">
      <c r="A4323" s="14">
        <v>46151.379861111112</v>
      </c>
      <c r="B4323" s="81" t="s">
        <v>149</v>
      </c>
      <c r="C4323" s="81" t="s">
        <v>158</v>
      </c>
      <c r="D4323" s="81" t="s">
        <v>261</v>
      </c>
      <c r="E4323" s="81" t="s">
        <v>50</v>
      </c>
      <c r="F4323" s="81" t="s">
        <v>1</v>
      </c>
    </row>
    <row r="4324" spans="1:6" x14ac:dyDescent="0.25">
      <c r="A4324" s="14">
        <v>46151.379861111112</v>
      </c>
      <c r="B4324" s="81" t="s">
        <v>149</v>
      </c>
      <c r="C4324" s="81" t="s">
        <v>183</v>
      </c>
      <c r="D4324" s="81" t="s">
        <v>193</v>
      </c>
      <c r="E4324" s="81" t="s">
        <v>50</v>
      </c>
      <c r="F4324" s="81" t="s">
        <v>1</v>
      </c>
    </row>
    <row r="4325" spans="1:6" x14ac:dyDescent="0.25">
      <c r="A4325" s="14">
        <v>46151.379861111112</v>
      </c>
      <c r="B4325" s="81" t="s">
        <v>149</v>
      </c>
      <c r="C4325" s="81" t="s">
        <v>176</v>
      </c>
      <c r="D4325" s="81" t="s">
        <v>254</v>
      </c>
      <c r="E4325" s="81" t="s">
        <v>237</v>
      </c>
      <c r="F4325" s="81" t="s">
        <v>28</v>
      </c>
    </row>
    <row r="4326" spans="1:6" x14ac:dyDescent="0.25">
      <c r="A4326" s="14">
        <v>46151.379861111112</v>
      </c>
      <c r="B4326" s="81" t="s">
        <v>149</v>
      </c>
      <c r="C4326" s="81" t="s">
        <v>190</v>
      </c>
      <c r="D4326" s="81" t="s">
        <v>193</v>
      </c>
      <c r="E4326" s="81" t="s">
        <v>50</v>
      </c>
      <c r="F4326" s="81" t="s">
        <v>1</v>
      </c>
    </row>
    <row r="4327" spans="1:6" x14ac:dyDescent="0.25">
      <c r="A4327" s="14">
        <v>46151.379861111112</v>
      </c>
      <c r="B4327" s="81" t="s">
        <v>195</v>
      </c>
      <c r="C4327" s="81" t="s">
        <v>198</v>
      </c>
      <c r="D4327" s="81" t="s">
        <v>250</v>
      </c>
      <c r="E4327" s="81" t="s">
        <v>24</v>
      </c>
      <c r="F4327" s="81" t="s">
        <v>24</v>
      </c>
    </row>
    <row r="4328" spans="1:6" x14ac:dyDescent="0.25">
      <c r="A4328" s="14">
        <v>46151.379861111112</v>
      </c>
      <c r="B4328" s="81" t="s">
        <v>195</v>
      </c>
      <c r="C4328" s="81" t="s">
        <v>198</v>
      </c>
      <c r="D4328" s="81" t="s">
        <v>250</v>
      </c>
      <c r="E4328" s="81" t="s">
        <v>24</v>
      </c>
      <c r="F4328" s="81" t="s">
        <v>24</v>
      </c>
    </row>
    <row r="4329" spans="1:6" x14ac:dyDescent="0.25">
      <c r="A4329" s="14">
        <v>46151.379861111112</v>
      </c>
      <c r="B4329" s="81" t="s">
        <v>195</v>
      </c>
      <c r="C4329" s="81" t="s">
        <v>198</v>
      </c>
      <c r="D4329" s="81" t="s">
        <v>250</v>
      </c>
      <c r="E4329" s="81" t="s">
        <v>24</v>
      </c>
      <c r="F4329" s="81" t="s">
        <v>24</v>
      </c>
    </row>
    <row r="4330" spans="1:6" x14ac:dyDescent="0.25">
      <c r="A4330" s="14">
        <v>46151.379861111112</v>
      </c>
      <c r="B4330" s="81" t="s">
        <v>195</v>
      </c>
      <c r="C4330" s="81" t="s">
        <v>197</v>
      </c>
      <c r="D4330" s="81" t="s">
        <v>163</v>
      </c>
      <c r="E4330" s="81" t="s">
        <v>24</v>
      </c>
      <c r="F4330" s="81" t="s">
        <v>24</v>
      </c>
    </row>
    <row r="4331" spans="1:6" x14ac:dyDescent="0.25">
      <c r="A4331" s="14">
        <v>46151.379861111112</v>
      </c>
      <c r="B4331" s="81" t="s">
        <v>195</v>
      </c>
      <c r="C4331" s="81" t="s">
        <v>197</v>
      </c>
      <c r="D4331" s="81" t="s">
        <v>163</v>
      </c>
      <c r="E4331" s="81" t="s">
        <v>24</v>
      </c>
      <c r="F4331" s="81" t="s">
        <v>24</v>
      </c>
    </row>
    <row r="4332" spans="1:6" x14ac:dyDescent="0.25">
      <c r="A4332" s="14">
        <v>46151.379861111112</v>
      </c>
      <c r="B4332" s="81" t="s">
        <v>195</v>
      </c>
      <c r="C4332" s="81" t="s">
        <v>197</v>
      </c>
      <c r="D4332" s="81" t="s">
        <v>163</v>
      </c>
      <c r="E4332" s="81" t="s">
        <v>24</v>
      </c>
      <c r="F4332" s="81" t="s">
        <v>24</v>
      </c>
    </row>
    <row r="4333" spans="1:6" x14ac:dyDescent="0.25">
      <c r="A4333" s="14">
        <v>46151.379861111112</v>
      </c>
      <c r="B4333" s="81" t="s">
        <v>195</v>
      </c>
      <c r="C4333" s="81" t="s">
        <v>198</v>
      </c>
      <c r="D4333" s="81" t="s">
        <v>163</v>
      </c>
      <c r="E4333" s="81" t="s">
        <v>24</v>
      </c>
      <c r="F4333" s="81" t="s">
        <v>24</v>
      </c>
    </row>
    <row r="4334" spans="1:6" x14ac:dyDescent="0.25">
      <c r="A4334" s="14">
        <v>46151.379861111112</v>
      </c>
      <c r="B4334" s="81" t="s">
        <v>195</v>
      </c>
      <c r="C4334" s="81" t="s">
        <v>198</v>
      </c>
      <c r="D4334" s="81" t="s">
        <v>163</v>
      </c>
      <c r="E4334" s="81" t="s">
        <v>24</v>
      </c>
      <c r="F4334" s="81" t="s">
        <v>24</v>
      </c>
    </row>
    <row r="4335" spans="1:6" x14ac:dyDescent="0.25">
      <c r="A4335" s="14">
        <v>46151.379861111112</v>
      </c>
      <c r="B4335" s="81" t="s">
        <v>195</v>
      </c>
      <c r="C4335" s="81" t="s">
        <v>198</v>
      </c>
      <c r="D4335" s="81" t="s">
        <v>163</v>
      </c>
      <c r="E4335" s="81" t="s">
        <v>24</v>
      </c>
      <c r="F4335" s="81" t="s">
        <v>24</v>
      </c>
    </row>
    <row r="4336" spans="1:6" x14ac:dyDescent="0.25">
      <c r="A4336" s="14">
        <v>46151.559027777781</v>
      </c>
      <c r="B4336" s="81" t="s">
        <v>149</v>
      </c>
      <c r="C4336" s="81" t="s">
        <v>185</v>
      </c>
      <c r="D4336" s="81" t="s">
        <v>266</v>
      </c>
      <c r="E4336" s="81" t="s">
        <v>52</v>
      </c>
      <c r="F4336" s="81" t="s">
        <v>0</v>
      </c>
    </row>
    <row r="4337" spans="1:6" x14ac:dyDescent="0.25">
      <c r="A4337" s="14">
        <v>46151.559027777781</v>
      </c>
      <c r="B4337" s="81" t="s">
        <v>149</v>
      </c>
      <c r="C4337" s="81" t="s">
        <v>171</v>
      </c>
      <c r="D4337" s="81" t="s">
        <v>266</v>
      </c>
      <c r="E4337" s="81" t="s">
        <v>52</v>
      </c>
      <c r="F4337" s="81" t="s">
        <v>0</v>
      </c>
    </row>
    <row r="4338" spans="1:6" x14ac:dyDescent="0.25">
      <c r="A4338" s="14">
        <v>46151.559027777781</v>
      </c>
      <c r="B4338" s="81" t="s">
        <v>149</v>
      </c>
      <c r="C4338" s="81" t="s">
        <v>176</v>
      </c>
      <c r="D4338" s="81" t="s">
        <v>231</v>
      </c>
      <c r="E4338" s="81" t="s">
        <v>63</v>
      </c>
      <c r="F4338" s="81" t="s">
        <v>16</v>
      </c>
    </row>
    <row r="4339" spans="1:6" x14ac:dyDescent="0.25">
      <c r="A4339" s="14">
        <v>46151.559027777781</v>
      </c>
      <c r="B4339" s="81" t="s">
        <v>149</v>
      </c>
      <c r="C4339" s="81" t="s">
        <v>176</v>
      </c>
      <c r="D4339" s="81" t="s">
        <v>231</v>
      </c>
      <c r="E4339" s="81" t="s">
        <v>63</v>
      </c>
      <c r="F4339" s="81" t="s">
        <v>16</v>
      </c>
    </row>
    <row r="4340" spans="1:6" x14ac:dyDescent="0.25">
      <c r="A4340" s="14">
        <v>46151.559027777781</v>
      </c>
      <c r="B4340" s="81" t="s">
        <v>149</v>
      </c>
      <c r="C4340" s="81" t="s">
        <v>177</v>
      </c>
      <c r="D4340" s="81" t="s">
        <v>152</v>
      </c>
      <c r="E4340" s="81" t="s">
        <v>50</v>
      </c>
      <c r="F4340" s="81" t="s">
        <v>1</v>
      </c>
    </row>
    <row r="4341" spans="1:6" x14ac:dyDescent="0.25">
      <c r="A4341" s="14">
        <v>46151.559027777781</v>
      </c>
      <c r="B4341" s="81" t="s">
        <v>149</v>
      </c>
      <c r="C4341" s="81" t="s">
        <v>176</v>
      </c>
      <c r="D4341" s="81" t="s">
        <v>231</v>
      </c>
      <c r="E4341" s="81" t="s">
        <v>70</v>
      </c>
      <c r="F4341" s="81" t="s">
        <v>15</v>
      </c>
    </row>
    <row r="4342" spans="1:6" x14ac:dyDescent="0.25">
      <c r="A4342" s="14">
        <v>46151.559027777781</v>
      </c>
      <c r="B4342" s="81" t="s">
        <v>149</v>
      </c>
      <c r="C4342" s="81" t="s">
        <v>211</v>
      </c>
      <c r="D4342" s="81" t="s">
        <v>231</v>
      </c>
      <c r="E4342" s="81" t="s">
        <v>64</v>
      </c>
      <c r="F4342" s="81" t="s">
        <v>98</v>
      </c>
    </row>
    <row r="4343" spans="1:6" x14ac:dyDescent="0.25">
      <c r="A4343" s="14">
        <v>46151.559027777781</v>
      </c>
      <c r="B4343" s="81" t="s">
        <v>149</v>
      </c>
      <c r="C4343" s="81" t="s">
        <v>175</v>
      </c>
      <c r="D4343" s="81" t="s">
        <v>231</v>
      </c>
      <c r="E4343" s="81" t="s">
        <v>50</v>
      </c>
      <c r="F4343" s="81" t="s">
        <v>1</v>
      </c>
    </row>
    <row r="4344" spans="1:6" x14ac:dyDescent="0.25">
      <c r="A4344" s="14">
        <v>46151.559027777781</v>
      </c>
      <c r="B4344" s="81" t="s">
        <v>149</v>
      </c>
      <c r="C4344" s="81" t="s">
        <v>177</v>
      </c>
      <c r="D4344" s="81" t="s">
        <v>231</v>
      </c>
      <c r="E4344" s="81" t="s">
        <v>50</v>
      </c>
      <c r="F4344" s="81" t="s">
        <v>1</v>
      </c>
    </row>
    <row r="4345" spans="1:6" x14ac:dyDescent="0.25">
      <c r="A4345" s="14">
        <v>46151.559027777781</v>
      </c>
      <c r="B4345" s="81" t="s">
        <v>149</v>
      </c>
      <c r="C4345" s="81" t="s">
        <v>187</v>
      </c>
      <c r="D4345" s="81" t="s">
        <v>231</v>
      </c>
      <c r="E4345" s="81" t="s">
        <v>71</v>
      </c>
      <c r="F4345" s="81" t="s">
        <v>94</v>
      </c>
    </row>
    <row r="4346" spans="1:6" x14ac:dyDescent="0.25">
      <c r="A4346" s="14">
        <v>46151.559027777781</v>
      </c>
      <c r="B4346" s="81" t="s">
        <v>149</v>
      </c>
      <c r="C4346" s="81" t="s">
        <v>171</v>
      </c>
      <c r="D4346" s="81" t="s">
        <v>165</v>
      </c>
      <c r="E4346" s="81" t="s">
        <v>50</v>
      </c>
      <c r="F4346" s="81" t="s">
        <v>1</v>
      </c>
    </row>
    <row r="4347" spans="1:6" x14ac:dyDescent="0.25">
      <c r="A4347" s="14">
        <v>46151.559027777781</v>
      </c>
      <c r="B4347" s="81" t="s">
        <v>149</v>
      </c>
      <c r="C4347" s="81" t="s">
        <v>187</v>
      </c>
      <c r="D4347" s="81" t="s">
        <v>231</v>
      </c>
      <c r="E4347" s="81" t="s">
        <v>71</v>
      </c>
      <c r="F4347" s="81" t="s">
        <v>94</v>
      </c>
    </row>
    <row r="4348" spans="1:6" x14ac:dyDescent="0.25">
      <c r="A4348" s="14">
        <v>46151.559027777781</v>
      </c>
      <c r="B4348" s="81" t="s">
        <v>149</v>
      </c>
      <c r="C4348" s="81" t="s">
        <v>185</v>
      </c>
      <c r="D4348" s="81" t="s">
        <v>165</v>
      </c>
      <c r="E4348" s="81" t="s">
        <v>50</v>
      </c>
      <c r="F4348" s="81" t="s">
        <v>1</v>
      </c>
    </row>
    <row r="4349" spans="1:6" x14ac:dyDescent="0.25">
      <c r="A4349" s="14">
        <v>46151.559027777781</v>
      </c>
      <c r="B4349" s="81" t="s">
        <v>149</v>
      </c>
      <c r="C4349" s="81" t="s">
        <v>177</v>
      </c>
      <c r="D4349" s="81" t="s">
        <v>165</v>
      </c>
      <c r="E4349" s="81" t="s">
        <v>50</v>
      </c>
      <c r="F4349" s="81" t="s">
        <v>1</v>
      </c>
    </row>
    <row r="4350" spans="1:6" x14ac:dyDescent="0.25">
      <c r="A4350" s="14">
        <v>46151.559027777781</v>
      </c>
      <c r="B4350" s="81" t="s">
        <v>149</v>
      </c>
      <c r="C4350" s="81" t="s">
        <v>192</v>
      </c>
      <c r="D4350" s="81" t="s">
        <v>165</v>
      </c>
      <c r="E4350" s="81" t="s">
        <v>60</v>
      </c>
      <c r="F4350" s="81" t="s">
        <v>28</v>
      </c>
    </row>
    <row r="4351" spans="1:6" x14ac:dyDescent="0.25">
      <c r="A4351" s="14">
        <v>46151.559027777781</v>
      </c>
      <c r="B4351" s="81" t="s">
        <v>149</v>
      </c>
      <c r="C4351" s="81" t="s">
        <v>176</v>
      </c>
      <c r="D4351" s="81" t="s">
        <v>254</v>
      </c>
      <c r="E4351" s="81" t="s">
        <v>237</v>
      </c>
      <c r="F4351" s="81" t="s">
        <v>28</v>
      </c>
    </row>
    <row r="4352" spans="1:6" x14ac:dyDescent="0.25">
      <c r="A4352" s="14">
        <v>46151.559027777781</v>
      </c>
      <c r="B4352" s="81" t="s">
        <v>149</v>
      </c>
      <c r="C4352" s="81" t="s">
        <v>178</v>
      </c>
      <c r="D4352" s="81" t="s">
        <v>191</v>
      </c>
      <c r="E4352" s="81" t="s">
        <v>137</v>
      </c>
      <c r="F4352" s="81" t="s">
        <v>28</v>
      </c>
    </row>
    <row r="4353" spans="1:6" x14ac:dyDescent="0.25">
      <c r="A4353" s="14">
        <v>46151.559027777781</v>
      </c>
      <c r="B4353" s="81" t="s">
        <v>149</v>
      </c>
      <c r="C4353" s="81" t="s">
        <v>184</v>
      </c>
      <c r="D4353" s="81" t="s">
        <v>165</v>
      </c>
      <c r="E4353" s="81" t="s">
        <v>50</v>
      </c>
      <c r="F4353" s="81" t="s">
        <v>1</v>
      </c>
    </row>
    <row r="4354" spans="1:6" x14ac:dyDescent="0.25">
      <c r="A4354" s="14">
        <v>46151.559027777781</v>
      </c>
      <c r="B4354" s="81" t="s">
        <v>149</v>
      </c>
      <c r="C4354" s="81" t="s">
        <v>184</v>
      </c>
      <c r="D4354" s="81" t="s">
        <v>180</v>
      </c>
      <c r="E4354" s="81" t="s">
        <v>50</v>
      </c>
      <c r="F4354" s="81" t="s">
        <v>1</v>
      </c>
    </row>
    <row r="4355" spans="1:6" x14ac:dyDescent="0.25">
      <c r="A4355" s="14">
        <v>46151.559027777781</v>
      </c>
      <c r="B4355" s="81" t="s">
        <v>149</v>
      </c>
      <c r="C4355" s="81" t="s">
        <v>175</v>
      </c>
      <c r="D4355" s="81" t="s">
        <v>180</v>
      </c>
      <c r="E4355" s="81" t="s">
        <v>49</v>
      </c>
      <c r="F4355" s="81" t="s">
        <v>2</v>
      </c>
    </row>
    <row r="4356" spans="1:6" x14ac:dyDescent="0.25">
      <c r="A4356" s="14">
        <v>46151.559027777781</v>
      </c>
      <c r="B4356" s="81" t="s">
        <v>149</v>
      </c>
      <c r="C4356" s="81" t="s">
        <v>211</v>
      </c>
      <c r="D4356" s="81" t="s">
        <v>180</v>
      </c>
      <c r="E4356" s="81" t="s">
        <v>64</v>
      </c>
      <c r="F4356" s="81" t="s">
        <v>98</v>
      </c>
    </row>
    <row r="4357" spans="1:6" x14ac:dyDescent="0.25">
      <c r="A4357" s="14">
        <v>46151.559027777781</v>
      </c>
      <c r="B4357" s="81" t="s">
        <v>149</v>
      </c>
      <c r="C4357" s="81" t="s">
        <v>187</v>
      </c>
      <c r="D4357" s="81" t="s">
        <v>254</v>
      </c>
      <c r="E4357" s="81" t="s">
        <v>71</v>
      </c>
      <c r="F4357" s="81" t="s">
        <v>94</v>
      </c>
    </row>
    <row r="4358" spans="1:6" x14ac:dyDescent="0.25">
      <c r="A4358" s="14">
        <v>46151.559027777781</v>
      </c>
      <c r="B4358" s="81" t="s">
        <v>149</v>
      </c>
      <c r="C4358" s="81" t="s">
        <v>151</v>
      </c>
      <c r="D4358" s="81" t="s">
        <v>180</v>
      </c>
      <c r="E4358" s="81" t="s">
        <v>49</v>
      </c>
      <c r="F4358" s="81" t="s">
        <v>2</v>
      </c>
    </row>
    <row r="4359" spans="1:6" x14ac:dyDescent="0.25">
      <c r="A4359" s="14">
        <v>46151.559027777781</v>
      </c>
      <c r="B4359" s="81" t="s">
        <v>149</v>
      </c>
      <c r="C4359" s="81" t="s">
        <v>173</v>
      </c>
      <c r="D4359" s="81" t="s">
        <v>180</v>
      </c>
      <c r="E4359" s="81" t="s">
        <v>49</v>
      </c>
      <c r="F4359" s="81" t="s">
        <v>2</v>
      </c>
    </row>
    <row r="4360" spans="1:6" x14ac:dyDescent="0.25">
      <c r="A4360" s="14">
        <v>46151.559027777781</v>
      </c>
      <c r="B4360" s="81" t="s">
        <v>149</v>
      </c>
      <c r="C4360" s="81" t="s">
        <v>185</v>
      </c>
      <c r="D4360" s="81" t="s">
        <v>180</v>
      </c>
      <c r="E4360" s="81" t="s">
        <v>50</v>
      </c>
      <c r="F4360" s="81" t="s">
        <v>1</v>
      </c>
    </row>
    <row r="4361" spans="1:6" x14ac:dyDescent="0.25">
      <c r="A4361" s="14">
        <v>46151.559027777781</v>
      </c>
      <c r="B4361" s="81" t="s">
        <v>149</v>
      </c>
      <c r="C4361" s="81" t="s">
        <v>175</v>
      </c>
      <c r="D4361" s="81" t="s">
        <v>180</v>
      </c>
      <c r="E4361" s="81" t="s">
        <v>49</v>
      </c>
      <c r="F4361" s="81" t="s">
        <v>2</v>
      </c>
    </row>
    <row r="4362" spans="1:6" x14ac:dyDescent="0.25">
      <c r="A4362" s="14">
        <v>46151.559027777781</v>
      </c>
      <c r="B4362" s="81" t="s">
        <v>149</v>
      </c>
      <c r="C4362" s="81" t="s">
        <v>176</v>
      </c>
      <c r="D4362" s="81" t="s">
        <v>254</v>
      </c>
      <c r="E4362" s="81" t="s">
        <v>70</v>
      </c>
      <c r="F4362" s="81" t="s">
        <v>15</v>
      </c>
    </row>
    <row r="4363" spans="1:6" x14ac:dyDescent="0.25">
      <c r="A4363" s="14">
        <v>46151.559027777781</v>
      </c>
      <c r="B4363" s="81" t="s">
        <v>149</v>
      </c>
      <c r="C4363" s="81" t="s">
        <v>158</v>
      </c>
      <c r="D4363" s="81" t="s">
        <v>257</v>
      </c>
      <c r="E4363" s="81" t="s">
        <v>52</v>
      </c>
      <c r="F4363" s="81" t="s">
        <v>0</v>
      </c>
    </row>
    <row r="4364" spans="1:6" x14ac:dyDescent="0.25">
      <c r="A4364" s="14">
        <v>46151.559027777781</v>
      </c>
      <c r="B4364" s="81" t="s">
        <v>149</v>
      </c>
      <c r="C4364" s="81" t="s">
        <v>177</v>
      </c>
      <c r="D4364" s="81" t="s">
        <v>193</v>
      </c>
      <c r="E4364" s="81" t="s">
        <v>50</v>
      </c>
      <c r="F4364" s="81" t="s">
        <v>1</v>
      </c>
    </row>
    <row r="4365" spans="1:6" x14ac:dyDescent="0.25">
      <c r="A4365" s="14">
        <v>46151.559027777781</v>
      </c>
      <c r="B4365" s="81" t="s">
        <v>149</v>
      </c>
      <c r="C4365" s="81" t="s">
        <v>184</v>
      </c>
      <c r="D4365" s="81" t="s">
        <v>853</v>
      </c>
      <c r="E4365" s="81" t="s">
        <v>50</v>
      </c>
      <c r="F4365" s="81" t="s">
        <v>1</v>
      </c>
    </row>
    <row r="4366" spans="1:6" x14ac:dyDescent="0.25">
      <c r="A4366" s="14">
        <v>46151.559027777781</v>
      </c>
      <c r="B4366" s="81" t="s">
        <v>149</v>
      </c>
      <c r="C4366" s="81" t="s">
        <v>173</v>
      </c>
      <c r="D4366" s="81" t="s">
        <v>193</v>
      </c>
      <c r="E4366" s="81" t="s">
        <v>52</v>
      </c>
      <c r="F4366" s="81" t="s">
        <v>0</v>
      </c>
    </row>
    <row r="4367" spans="1:6" x14ac:dyDescent="0.25">
      <c r="A4367" s="14">
        <v>46151.559027777781</v>
      </c>
      <c r="B4367" s="81" t="s">
        <v>149</v>
      </c>
      <c r="C4367" s="81" t="s">
        <v>176</v>
      </c>
      <c r="D4367" s="81" t="s">
        <v>167</v>
      </c>
      <c r="E4367" s="81" t="s">
        <v>70</v>
      </c>
      <c r="F4367" s="81" t="s">
        <v>15</v>
      </c>
    </row>
    <row r="4368" spans="1:6" x14ac:dyDescent="0.25">
      <c r="A4368" s="14">
        <v>46151.559027777781</v>
      </c>
      <c r="B4368" s="81" t="s">
        <v>149</v>
      </c>
      <c r="C4368" s="81" t="s">
        <v>183</v>
      </c>
      <c r="D4368" s="81" t="s">
        <v>193</v>
      </c>
      <c r="E4368" s="81" t="s">
        <v>50</v>
      </c>
      <c r="F4368" s="81" t="s">
        <v>1</v>
      </c>
    </row>
    <row r="4369" spans="1:6" x14ac:dyDescent="0.25">
      <c r="A4369" s="14">
        <v>46151.559027777781</v>
      </c>
      <c r="B4369" s="81" t="s">
        <v>149</v>
      </c>
      <c r="C4369" s="81" t="s">
        <v>176</v>
      </c>
      <c r="D4369" s="81" t="s">
        <v>167</v>
      </c>
      <c r="E4369" s="81" t="s">
        <v>70</v>
      </c>
      <c r="F4369" s="81" t="s">
        <v>15</v>
      </c>
    </row>
    <row r="4370" spans="1:6" x14ac:dyDescent="0.25">
      <c r="A4370" s="14">
        <v>46151.559027777781</v>
      </c>
      <c r="B4370" s="81" t="s">
        <v>149</v>
      </c>
      <c r="C4370" s="81" t="s">
        <v>184</v>
      </c>
      <c r="D4370" s="81" t="s">
        <v>193</v>
      </c>
      <c r="E4370" s="81" t="s">
        <v>50</v>
      </c>
      <c r="F4370" s="81" t="s">
        <v>1</v>
      </c>
    </row>
    <row r="4371" spans="1:6" x14ac:dyDescent="0.25">
      <c r="A4371" s="14">
        <v>46151.559027777781</v>
      </c>
      <c r="B4371" s="81" t="s">
        <v>149</v>
      </c>
      <c r="C4371" s="81" t="s">
        <v>176</v>
      </c>
      <c r="D4371" s="81" t="s">
        <v>167</v>
      </c>
      <c r="E4371" s="81" t="s">
        <v>70</v>
      </c>
      <c r="F4371" s="81" t="s">
        <v>15</v>
      </c>
    </row>
    <row r="4372" spans="1:6" x14ac:dyDescent="0.25">
      <c r="A4372" s="14">
        <v>46151.559027777781</v>
      </c>
      <c r="B4372" s="81" t="s">
        <v>149</v>
      </c>
      <c r="C4372" s="81" t="s">
        <v>185</v>
      </c>
      <c r="D4372" s="81" t="s">
        <v>193</v>
      </c>
      <c r="E4372" s="81" t="s">
        <v>50</v>
      </c>
      <c r="F4372" s="81" t="s">
        <v>1</v>
      </c>
    </row>
    <row r="4373" spans="1:6" x14ac:dyDescent="0.25">
      <c r="A4373" s="14">
        <v>46151.559027777781</v>
      </c>
      <c r="B4373" s="81" t="s">
        <v>149</v>
      </c>
      <c r="C4373" s="81" t="s">
        <v>176</v>
      </c>
      <c r="D4373" s="81" t="s">
        <v>167</v>
      </c>
      <c r="E4373" s="81" t="s">
        <v>70</v>
      </c>
      <c r="F4373" s="81" t="s">
        <v>15</v>
      </c>
    </row>
    <row r="4374" spans="1:6" x14ac:dyDescent="0.25">
      <c r="A4374" s="14">
        <v>46151.559027777781</v>
      </c>
      <c r="B4374" s="81" t="s">
        <v>149</v>
      </c>
      <c r="C4374" s="81" t="s">
        <v>207</v>
      </c>
      <c r="D4374" s="81" t="s">
        <v>204</v>
      </c>
      <c r="E4374" s="81" t="s">
        <v>66</v>
      </c>
      <c r="F4374" s="81" t="s">
        <v>35</v>
      </c>
    </row>
    <row r="4375" spans="1:6" x14ac:dyDescent="0.25">
      <c r="A4375" s="14">
        <v>46151.559027777781</v>
      </c>
      <c r="B4375" s="81" t="s">
        <v>149</v>
      </c>
      <c r="C4375" s="81" t="s">
        <v>207</v>
      </c>
      <c r="D4375" s="81" t="s">
        <v>204</v>
      </c>
      <c r="E4375" s="81" t="s">
        <v>66</v>
      </c>
      <c r="F4375" s="81" t="s">
        <v>35</v>
      </c>
    </row>
    <row r="4376" spans="1:6" x14ac:dyDescent="0.25">
      <c r="A4376" s="14">
        <v>46151.559027777781</v>
      </c>
      <c r="B4376" s="81" t="s">
        <v>149</v>
      </c>
      <c r="C4376" s="81" t="s">
        <v>207</v>
      </c>
      <c r="D4376" s="81" t="s">
        <v>204</v>
      </c>
      <c r="E4376" s="81" t="s">
        <v>66</v>
      </c>
      <c r="F4376" s="81" t="s">
        <v>35</v>
      </c>
    </row>
    <row r="4377" spans="1:6" x14ac:dyDescent="0.25">
      <c r="A4377" s="14">
        <v>46151.559027777781</v>
      </c>
      <c r="B4377" s="81" t="s">
        <v>149</v>
      </c>
      <c r="C4377" s="81" t="s">
        <v>207</v>
      </c>
      <c r="D4377" s="81" t="s">
        <v>204</v>
      </c>
      <c r="E4377" s="81" t="s">
        <v>66</v>
      </c>
      <c r="F4377" s="81" t="s">
        <v>35</v>
      </c>
    </row>
    <row r="4378" spans="1:6" x14ac:dyDescent="0.25">
      <c r="A4378" s="14">
        <v>46151.559027777781</v>
      </c>
      <c r="B4378" s="81" t="s">
        <v>149</v>
      </c>
      <c r="C4378" s="81" t="s">
        <v>208</v>
      </c>
      <c r="D4378" s="81" t="s">
        <v>204</v>
      </c>
      <c r="E4378" s="81" t="s">
        <v>66</v>
      </c>
      <c r="F4378" s="81" t="s">
        <v>35</v>
      </c>
    </row>
    <row r="4379" spans="1:6" x14ac:dyDescent="0.25">
      <c r="A4379" s="14">
        <v>46151.559027777781</v>
      </c>
      <c r="B4379" s="81" t="s">
        <v>149</v>
      </c>
      <c r="C4379" s="81" t="s">
        <v>207</v>
      </c>
      <c r="D4379" s="81" t="s">
        <v>841</v>
      </c>
      <c r="E4379" s="81" t="s">
        <v>66</v>
      </c>
      <c r="F4379" s="81" t="s">
        <v>35</v>
      </c>
    </row>
    <row r="4380" spans="1:6" x14ac:dyDescent="0.25">
      <c r="A4380" s="14">
        <v>46151.559027777781</v>
      </c>
      <c r="B4380" s="81" t="s">
        <v>149</v>
      </c>
      <c r="C4380" s="81" t="s">
        <v>207</v>
      </c>
      <c r="D4380" s="81" t="s">
        <v>841</v>
      </c>
      <c r="E4380" s="81" t="s">
        <v>66</v>
      </c>
      <c r="F4380" s="81" t="s">
        <v>35</v>
      </c>
    </row>
    <row r="4381" spans="1:6" x14ac:dyDescent="0.25">
      <c r="A4381" s="14">
        <v>46151.559027777781</v>
      </c>
      <c r="B4381" s="81" t="s">
        <v>149</v>
      </c>
      <c r="C4381" s="81" t="s">
        <v>207</v>
      </c>
      <c r="D4381" s="81" t="s">
        <v>841</v>
      </c>
      <c r="E4381" s="81" t="s">
        <v>66</v>
      </c>
      <c r="F4381" s="81" t="s">
        <v>35</v>
      </c>
    </row>
    <row r="4382" spans="1:6" x14ac:dyDescent="0.25">
      <c r="A4382" s="14">
        <v>46151.559027777781</v>
      </c>
      <c r="B4382" s="81" t="s">
        <v>149</v>
      </c>
      <c r="C4382" s="81" t="s">
        <v>207</v>
      </c>
      <c r="D4382" s="81" t="s">
        <v>841</v>
      </c>
      <c r="E4382" s="81" t="s">
        <v>66</v>
      </c>
      <c r="F4382" s="81" t="s">
        <v>35</v>
      </c>
    </row>
    <row r="4383" spans="1:6" x14ac:dyDescent="0.25">
      <c r="A4383" s="14">
        <v>46151.559027777781</v>
      </c>
      <c r="B4383" s="81" t="s">
        <v>149</v>
      </c>
      <c r="C4383" s="81" t="s">
        <v>207</v>
      </c>
      <c r="D4383" s="81" t="s">
        <v>150</v>
      </c>
      <c r="E4383" s="81" t="s">
        <v>66</v>
      </c>
      <c r="F4383" s="81" t="s">
        <v>35</v>
      </c>
    </row>
    <row r="4384" spans="1:6" x14ac:dyDescent="0.25">
      <c r="A4384" s="14">
        <v>46151.559027777781</v>
      </c>
      <c r="B4384" s="81" t="s">
        <v>149</v>
      </c>
      <c r="C4384" s="81" t="s">
        <v>207</v>
      </c>
      <c r="D4384" s="81" t="s">
        <v>150</v>
      </c>
      <c r="E4384" s="81" t="s">
        <v>66</v>
      </c>
      <c r="F4384" s="81" t="s">
        <v>35</v>
      </c>
    </row>
    <row r="4385" spans="1:6" x14ac:dyDescent="0.25">
      <c r="A4385" s="14">
        <v>46151.559027777781</v>
      </c>
      <c r="B4385" s="81" t="s">
        <v>149</v>
      </c>
      <c r="C4385" s="81" t="s">
        <v>207</v>
      </c>
      <c r="D4385" s="81" t="s">
        <v>150</v>
      </c>
      <c r="E4385" s="81" t="s">
        <v>66</v>
      </c>
      <c r="F4385" s="81" t="s">
        <v>35</v>
      </c>
    </row>
    <row r="4386" spans="1:6" x14ac:dyDescent="0.25">
      <c r="A4386" s="14">
        <v>46151.559027777781</v>
      </c>
      <c r="B4386" s="81" t="s">
        <v>149</v>
      </c>
      <c r="C4386" s="81" t="s">
        <v>207</v>
      </c>
      <c r="D4386" s="81" t="s">
        <v>150</v>
      </c>
      <c r="E4386" s="81" t="s">
        <v>66</v>
      </c>
      <c r="F4386" s="81" t="s">
        <v>35</v>
      </c>
    </row>
    <row r="4387" spans="1:6" x14ac:dyDescent="0.25">
      <c r="A4387" s="14">
        <v>46151.559027777781</v>
      </c>
      <c r="B4387" s="81" t="s">
        <v>149</v>
      </c>
      <c r="C4387" s="81" t="s">
        <v>208</v>
      </c>
      <c r="D4387" s="81" t="s">
        <v>841</v>
      </c>
      <c r="E4387" s="81" t="s">
        <v>66</v>
      </c>
      <c r="F4387" s="81" t="s">
        <v>35</v>
      </c>
    </row>
    <row r="4388" spans="1:6" x14ac:dyDescent="0.25">
      <c r="A4388" s="14">
        <v>46151.559027777781</v>
      </c>
      <c r="B4388" s="81" t="s">
        <v>149</v>
      </c>
      <c r="C4388" s="81" t="s">
        <v>208</v>
      </c>
      <c r="D4388" s="81" t="s">
        <v>150</v>
      </c>
      <c r="E4388" s="81" t="s">
        <v>66</v>
      </c>
      <c r="F4388" s="81" t="s">
        <v>35</v>
      </c>
    </row>
    <row r="4389" spans="1:6" x14ac:dyDescent="0.25">
      <c r="A4389" s="14">
        <v>46151.559027777781</v>
      </c>
      <c r="B4389" s="81" t="s">
        <v>149</v>
      </c>
      <c r="C4389" s="81" t="s">
        <v>207</v>
      </c>
      <c r="D4389" s="81" t="s">
        <v>257</v>
      </c>
      <c r="E4389" s="81" t="s">
        <v>66</v>
      </c>
      <c r="F4389" s="81" t="s">
        <v>35</v>
      </c>
    </row>
    <row r="4390" spans="1:6" x14ac:dyDescent="0.25">
      <c r="A4390" s="14">
        <v>46151.559027777781</v>
      </c>
      <c r="B4390" s="81" t="s">
        <v>149</v>
      </c>
      <c r="C4390" s="81" t="s">
        <v>207</v>
      </c>
      <c r="D4390" s="81" t="s">
        <v>257</v>
      </c>
      <c r="E4390" s="81" t="s">
        <v>66</v>
      </c>
      <c r="F4390" s="81" t="s">
        <v>35</v>
      </c>
    </row>
    <row r="4391" spans="1:6" x14ac:dyDescent="0.25">
      <c r="A4391" s="14">
        <v>46151.559027777781</v>
      </c>
      <c r="B4391" s="81" t="s">
        <v>149</v>
      </c>
      <c r="C4391" s="81" t="s">
        <v>207</v>
      </c>
      <c r="D4391" s="81" t="s">
        <v>257</v>
      </c>
      <c r="E4391" s="81" t="s">
        <v>66</v>
      </c>
      <c r="F4391" s="81" t="s">
        <v>35</v>
      </c>
    </row>
    <row r="4392" spans="1:6" x14ac:dyDescent="0.25">
      <c r="A4392" s="14">
        <v>46151.559027777781</v>
      </c>
      <c r="B4392" s="81" t="s">
        <v>149</v>
      </c>
      <c r="C4392" s="81" t="s">
        <v>207</v>
      </c>
      <c r="D4392" s="81" t="s">
        <v>257</v>
      </c>
      <c r="E4392" s="81" t="s">
        <v>66</v>
      </c>
      <c r="F4392" s="81" t="s">
        <v>35</v>
      </c>
    </row>
    <row r="4393" spans="1:6" x14ac:dyDescent="0.25">
      <c r="A4393" s="14">
        <v>46151.559027777781</v>
      </c>
      <c r="B4393" s="81" t="s">
        <v>149</v>
      </c>
      <c r="C4393" s="81" t="s">
        <v>207</v>
      </c>
      <c r="D4393" s="81" t="s">
        <v>150</v>
      </c>
      <c r="E4393" s="81" t="s">
        <v>66</v>
      </c>
      <c r="F4393" s="81" t="s">
        <v>35</v>
      </c>
    </row>
    <row r="4394" spans="1:6" x14ac:dyDescent="0.25">
      <c r="A4394" s="14">
        <v>46151.559027777781</v>
      </c>
      <c r="B4394" s="81" t="s">
        <v>149</v>
      </c>
      <c r="C4394" s="81" t="s">
        <v>207</v>
      </c>
      <c r="D4394" s="81" t="s">
        <v>150</v>
      </c>
      <c r="E4394" s="81" t="s">
        <v>66</v>
      </c>
      <c r="F4394" s="81" t="s">
        <v>35</v>
      </c>
    </row>
    <row r="4395" spans="1:6" x14ac:dyDescent="0.25">
      <c r="A4395" s="14">
        <v>46151.559027777781</v>
      </c>
      <c r="B4395" s="81" t="s">
        <v>149</v>
      </c>
      <c r="C4395" s="81" t="s">
        <v>207</v>
      </c>
      <c r="D4395" s="81" t="s">
        <v>150</v>
      </c>
      <c r="E4395" s="81" t="s">
        <v>66</v>
      </c>
      <c r="F4395" s="81" t="s">
        <v>35</v>
      </c>
    </row>
    <row r="4396" spans="1:6" x14ac:dyDescent="0.25">
      <c r="A4396" s="14">
        <v>46151.559027777781</v>
      </c>
      <c r="B4396" s="81" t="s">
        <v>149</v>
      </c>
      <c r="C4396" s="81" t="s">
        <v>207</v>
      </c>
      <c r="D4396" s="81" t="s">
        <v>150</v>
      </c>
      <c r="E4396" s="81" t="s">
        <v>66</v>
      </c>
      <c r="F4396" s="81" t="s">
        <v>35</v>
      </c>
    </row>
    <row r="4397" spans="1:6" x14ac:dyDescent="0.25">
      <c r="A4397" s="14">
        <v>46151.559027777781</v>
      </c>
      <c r="B4397" s="81" t="s">
        <v>149</v>
      </c>
      <c r="C4397" s="81" t="s">
        <v>207</v>
      </c>
      <c r="D4397" s="81" t="s">
        <v>150</v>
      </c>
      <c r="E4397" s="81" t="s">
        <v>66</v>
      </c>
      <c r="F4397" s="81" t="s">
        <v>35</v>
      </c>
    </row>
    <row r="4398" spans="1:6" x14ac:dyDescent="0.25">
      <c r="A4398" s="14">
        <v>46151.559027777781</v>
      </c>
      <c r="B4398" s="81" t="s">
        <v>149</v>
      </c>
      <c r="C4398" s="81" t="s">
        <v>207</v>
      </c>
      <c r="D4398" s="81" t="s">
        <v>150</v>
      </c>
      <c r="E4398" s="81" t="s">
        <v>66</v>
      </c>
      <c r="F4398" s="81" t="s">
        <v>35</v>
      </c>
    </row>
    <row r="4399" spans="1:6" x14ac:dyDescent="0.25">
      <c r="A4399" s="14">
        <v>46151.559027777781</v>
      </c>
      <c r="B4399" s="81" t="s">
        <v>149</v>
      </c>
      <c r="C4399" s="81" t="s">
        <v>207</v>
      </c>
      <c r="D4399" s="81" t="s">
        <v>150</v>
      </c>
      <c r="E4399" s="81" t="s">
        <v>66</v>
      </c>
      <c r="F4399" s="81" t="s">
        <v>35</v>
      </c>
    </row>
    <row r="4400" spans="1:6" x14ac:dyDescent="0.25">
      <c r="A4400" s="14">
        <v>46151.559027777781</v>
      </c>
      <c r="B4400" s="81" t="s">
        <v>149</v>
      </c>
      <c r="C4400" s="81" t="s">
        <v>207</v>
      </c>
      <c r="D4400" s="81" t="s">
        <v>150</v>
      </c>
      <c r="E4400" s="81" t="s">
        <v>66</v>
      </c>
      <c r="F4400" s="81" t="s">
        <v>35</v>
      </c>
    </row>
    <row r="4401" spans="1:6" x14ac:dyDescent="0.25">
      <c r="A4401" s="14">
        <v>46151.559027777781</v>
      </c>
      <c r="B4401" s="81" t="s">
        <v>149</v>
      </c>
      <c r="C4401" s="81" t="s">
        <v>207</v>
      </c>
      <c r="D4401" s="81" t="s">
        <v>168</v>
      </c>
      <c r="E4401" s="81" t="s">
        <v>66</v>
      </c>
      <c r="F4401" s="81" t="s">
        <v>35</v>
      </c>
    </row>
    <row r="4402" spans="1:6" x14ac:dyDescent="0.25">
      <c r="A4402" s="14">
        <v>46151.559027777781</v>
      </c>
      <c r="B4402" s="81" t="s">
        <v>149</v>
      </c>
      <c r="C4402" s="81" t="s">
        <v>207</v>
      </c>
      <c r="D4402" s="81" t="s">
        <v>168</v>
      </c>
      <c r="E4402" s="81" t="s">
        <v>66</v>
      </c>
      <c r="F4402" s="81" t="s">
        <v>35</v>
      </c>
    </row>
    <row r="4403" spans="1:6" x14ac:dyDescent="0.25">
      <c r="A4403" s="14">
        <v>46151.559027777781</v>
      </c>
      <c r="B4403" s="81" t="s">
        <v>149</v>
      </c>
      <c r="C4403" s="81" t="s">
        <v>207</v>
      </c>
      <c r="D4403" s="81" t="s">
        <v>168</v>
      </c>
      <c r="E4403" s="81" t="s">
        <v>66</v>
      </c>
      <c r="F4403" s="81" t="s">
        <v>35</v>
      </c>
    </row>
    <row r="4404" spans="1:6" x14ac:dyDescent="0.25">
      <c r="A4404" s="14">
        <v>46151.559027777781</v>
      </c>
      <c r="B4404" s="81" t="s">
        <v>149</v>
      </c>
      <c r="C4404" s="81" t="s">
        <v>207</v>
      </c>
      <c r="D4404" s="81" t="s">
        <v>168</v>
      </c>
      <c r="E4404" s="81" t="s">
        <v>66</v>
      </c>
      <c r="F4404" s="81" t="s">
        <v>35</v>
      </c>
    </row>
    <row r="4405" spans="1:6" x14ac:dyDescent="0.25">
      <c r="A4405" s="14">
        <v>46151.559027777781</v>
      </c>
      <c r="B4405" s="81" t="s">
        <v>149</v>
      </c>
      <c r="C4405" s="81" t="s">
        <v>207</v>
      </c>
      <c r="D4405" s="81" t="s">
        <v>841</v>
      </c>
      <c r="E4405" s="81" t="s">
        <v>66</v>
      </c>
      <c r="F4405" s="81" t="s">
        <v>35</v>
      </c>
    </row>
    <row r="4406" spans="1:6" x14ac:dyDescent="0.25">
      <c r="A4406" s="14">
        <v>46151.559027777781</v>
      </c>
      <c r="B4406" s="81" t="s">
        <v>149</v>
      </c>
      <c r="C4406" s="81" t="s">
        <v>207</v>
      </c>
      <c r="D4406" s="81" t="s">
        <v>841</v>
      </c>
      <c r="E4406" s="81" t="s">
        <v>66</v>
      </c>
      <c r="F4406" s="81" t="s">
        <v>35</v>
      </c>
    </row>
    <row r="4407" spans="1:6" x14ac:dyDescent="0.25">
      <c r="A4407" s="14">
        <v>46151.559027777781</v>
      </c>
      <c r="B4407" s="81" t="s">
        <v>149</v>
      </c>
      <c r="C4407" s="81" t="s">
        <v>207</v>
      </c>
      <c r="D4407" s="81" t="s">
        <v>841</v>
      </c>
      <c r="E4407" s="81" t="s">
        <v>66</v>
      </c>
      <c r="F4407" s="81" t="s">
        <v>35</v>
      </c>
    </row>
    <row r="4408" spans="1:6" x14ac:dyDescent="0.25">
      <c r="A4408" s="14">
        <v>46151.559027777781</v>
      </c>
      <c r="B4408" s="81" t="s">
        <v>149</v>
      </c>
      <c r="C4408" s="81" t="s">
        <v>207</v>
      </c>
      <c r="D4408" s="81" t="s">
        <v>841</v>
      </c>
      <c r="E4408" s="81" t="s">
        <v>66</v>
      </c>
      <c r="F4408" s="81" t="s">
        <v>35</v>
      </c>
    </row>
    <row r="4409" spans="1:6" x14ac:dyDescent="0.25">
      <c r="A4409" s="14">
        <v>46151.559027777781</v>
      </c>
      <c r="B4409" s="81" t="s">
        <v>149</v>
      </c>
      <c r="C4409" s="81" t="s">
        <v>207</v>
      </c>
      <c r="D4409" s="81" t="s">
        <v>841</v>
      </c>
      <c r="E4409" s="81" t="s">
        <v>66</v>
      </c>
      <c r="F4409" s="81" t="s">
        <v>35</v>
      </c>
    </row>
    <row r="4410" spans="1:6" x14ac:dyDescent="0.25">
      <c r="A4410" s="14">
        <v>46151.559027777781</v>
      </c>
      <c r="B4410" s="81" t="s">
        <v>149</v>
      </c>
      <c r="C4410" s="81" t="s">
        <v>207</v>
      </c>
      <c r="D4410" s="81" t="s">
        <v>841</v>
      </c>
      <c r="E4410" s="81" t="s">
        <v>66</v>
      </c>
      <c r="F4410" s="81" t="s">
        <v>35</v>
      </c>
    </row>
    <row r="4411" spans="1:6" x14ac:dyDescent="0.25">
      <c r="A4411" s="14">
        <v>46151.559027777781</v>
      </c>
      <c r="B4411" s="81" t="s">
        <v>149</v>
      </c>
      <c r="C4411" s="81" t="s">
        <v>207</v>
      </c>
      <c r="D4411" s="81" t="s">
        <v>841</v>
      </c>
      <c r="E4411" s="81" t="s">
        <v>66</v>
      </c>
      <c r="F4411" s="81" t="s">
        <v>35</v>
      </c>
    </row>
    <row r="4412" spans="1:6" x14ac:dyDescent="0.25">
      <c r="A4412" s="14">
        <v>46151.559027777781</v>
      </c>
      <c r="B4412" s="81" t="s">
        <v>149</v>
      </c>
      <c r="C4412" s="81" t="s">
        <v>207</v>
      </c>
      <c r="D4412" s="81" t="s">
        <v>841</v>
      </c>
      <c r="E4412" s="81" t="s">
        <v>66</v>
      </c>
      <c r="F4412" s="81" t="s">
        <v>35</v>
      </c>
    </row>
    <row r="4413" spans="1:6" x14ac:dyDescent="0.25">
      <c r="A4413" s="14">
        <v>46151.559027777781</v>
      </c>
      <c r="B4413" s="81" t="s">
        <v>149</v>
      </c>
      <c r="C4413" s="81" t="s">
        <v>207</v>
      </c>
      <c r="D4413" s="81" t="s">
        <v>199</v>
      </c>
      <c r="E4413" s="81" t="s">
        <v>66</v>
      </c>
      <c r="F4413" s="81" t="s">
        <v>35</v>
      </c>
    </row>
    <row r="4414" spans="1:6" x14ac:dyDescent="0.25">
      <c r="A4414" s="14">
        <v>46151.559027777781</v>
      </c>
      <c r="B4414" s="81" t="s">
        <v>149</v>
      </c>
      <c r="C4414" s="81" t="s">
        <v>207</v>
      </c>
      <c r="D4414" s="81" t="s">
        <v>199</v>
      </c>
      <c r="E4414" s="81" t="s">
        <v>66</v>
      </c>
      <c r="F4414" s="81" t="s">
        <v>35</v>
      </c>
    </row>
    <row r="4415" spans="1:6" x14ac:dyDescent="0.25">
      <c r="A4415" s="14">
        <v>46151.559027777781</v>
      </c>
      <c r="B4415" s="81" t="s">
        <v>149</v>
      </c>
      <c r="C4415" s="81" t="s">
        <v>207</v>
      </c>
      <c r="D4415" s="81" t="s">
        <v>199</v>
      </c>
      <c r="E4415" s="81" t="s">
        <v>66</v>
      </c>
      <c r="F4415" s="81" t="s">
        <v>35</v>
      </c>
    </row>
    <row r="4416" spans="1:6" x14ac:dyDescent="0.25">
      <c r="A4416" s="14">
        <v>46151.559027777781</v>
      </c>
      <c r="B4416" s="81" t="s">
        <v>149</v>
      </c>
      <c r="C4416" s="81" t="s">
        <v>207</v>
      </c>
      <c r="D4416" s="81" t="s">
        <v>199</v>
      </c>
      <c r="E4416" s="81" t="s">
        <v>66</v>
      </c>
      <c r="F4416" s="81" t="s">
        <v>35</v>
      </c>
    </row>
    <row r="4417" spans="1:6" x14ac:dyDescent="0.25">
      <c r="A4417" s="14">
        <v>46151.559027777781</v>
      </c>
      <c r="B4417" s="81" t="s">
        <v>149</v>
      </c>
      <c r="C4417" s="81" t="s">
        <v>208</v>
      </c>
      <c r="D4417" s="81" t="s">
        <v>257</v>
      </c>
      <c r="E4417" s="81" t="s">
        <v>66</v>
      </c>
      <c r="F4417" s="81" t="s">
        <v>35</v>
      </c>
    </row>
    <row r="4418" spans="1:6" x14ac:dyDescent="0.25">
      <c r="A4418" s="14">
        <v>46151.559027777781</v>
      </c>
      <c r="B4418" s="81" t="s">
        <v>149</v>
      </c>
      <c r="C4418" s="81" t="s">
        <v>207</v>
      </c>
      <c r="D4418" s="81" t="s">
        <v>266</v>
      </c>
      <c r="E4418" s="81" t="s">
        <v>66</v>
      </c>
      <c r="F4418" s="81" t="s">
        <v>35</v>
      </c>
    </row>
    <row r="4419" spans="1:6" x14ac:dyDescent="0.25">
      <c r="A4419" s="14">
        <v>46151.559027777781</v>
      </c>
      <c r="B4419" s="81" t="s">
        <v>149</v>
      </c>
      <c r="C4419" s="81" t="s">
        <v>207</v>
      </c>
      <c r="D4419" s="81" t="s">
        <v>266</v>
      </c>
      <c r="E4419" s="81" t="s">
        <v>66</v>
      </c>
      <c r="F4419" s="81" t="s">
        <v>35</v>
      </c>
    </row>
    <row r="4420" spans="1:6" x14ac:dyDescent="0.25">
      <c r="A4420" s="14">
        <v>46151.559027777781</v>
      </c>
      <c r="B4420" s="81" t="s">
        <v>149</v>
      </c>
      <c r="C4420" s="81" t="s">
        <v>207</v>
      </c>
      <c r="D4420" s="81" t="s">
        <v>266</v>
      </c>
      <c r="E4420" s="81" t="s">
        <v>66</v>
      </c>
      <c r="F4420" s="81" t="s">
        <v>35</v>
      </c>
    </row>
    <row r="4421" spans="1:6" x14ac:dyDescent="0.25">
      <c r="A4421" s="14">
        <v>46151.559027777781</v>
      </c>
      <c r="B4421" s="81" t="s">
        <v>149</v>
      </c>
      <c r="C4421" s="81" t="s">
        <v>207</v>
      </c>
      <c r="D4421" s="81" t="s">
        <v>266</v>
      </c>
      <c r="E4421" s="81" t="s">
        <v>66</v>
      </c>
      <c r="F4421" s="81" t="s">
        <v>35</v>
      </c>
    </row>
    <row r="4422" spans="1:6" x14ac:dyDescent="0.25">
      <c r="A4422" s="14">
        <v>46151.559027777781</v>
      </c>
      <c r="B4422" s="81" t="s">
        <v>149</v>
      </c>
      <c r="C4422" s="81" t="s">
        <v>151</v>
      </c>
      <c r="D4422" s="81" t="s">
        <v>204</v>
      </c>
      <c r="E4422" s="81" t="s">
        <v>50</v>
      </c>
      <c r="F4422" s="81" t="s">
        <v>1</v>
      </c>
    </row>
    <row r="4423" spans="1:6" x14ac:dyDescent="0.25">
      <c r="A4423" s="14">
        <v>46151.559027777781</v>
      </c>
      <c r="B4423" s="81" t="s">
        <v>149</v>
      </c>
      <c r="C4423" s="81" t="s">
        <v>183</v>
      </c>
      <c r="D4423" s="81" t="s">
        <v>204</v>
      </c>
      <c r="E4423" s="81" t="s">
        <v>50</v>
      </c>
      <c r="F4423" s="81" t="s">
        <v>1</v>
      </c>
    </row>
    <row r="4424" spans="1:6" x14ac:dyDescent="0.25">
      <c r="A4424" s="14">
        <v>46151.559027777781</v>
      </c>
      <c r="B4424" s="81" t="s">
        <v>149</v>
      </c>
      <c r="C4424" s="81" t="s">
        <v>184</v>
      </c>
      <c r="D4424" s="81" t="s">
        <v>204</v>
      </c>
      <c r="E4424" s="81" t="s">
        <v>50</v>
      </c>
      <c r="F4424" s="81" t="s">
        <v>1</v>
      </c>
    </row>
    <row r="4425" spans="1:6" x14ac:dyDescent="0.25">
      <c r="A4425" s="14">
        <v>46151.559027777781</v>
      </c>
      <c r="B4425" s="81" t="s">
        <v>149</v>
      </c>
      <c r="C4425" s="81" t="s">
        <v>151</v>
      </c>
      <c r="D4425" s="81" t="s">
        <v>204</v>
      </c>
      <c r="E4425" s="81" t="s">
        <v>50</v>
      </c>
      <c r="F4425" s="81" t="s">
        <v>1</v>
      </c>
    </row>
    <row r="4426" spans="1:6" x14ac:dyDescent="0.25">
      <c r="A4426" s="14">
        <v>46151.559027777781</v>
      </c>
      <c r="B4426" s="81" t="s">
        <v>149</v>
      </c>
      <c r="C4426" s="81" t="s">
        <v>176</v>
      </c>
      <c r="D4426" s="81" t="s">
        <v>167</v>
      </c>
      <c r="E4426" s="81" t="s">
        <v>70</v>
      </c>
      <c r="F4426" s="81" t="s">
        <v>15</v>
      </c>
    </row>
    <row r="4427" spans="1:6" x14ac:dyDescent="0.25">
      <c r="A4427" s="14">
        <v>46151.559027777781</v>
      </c>
      <c r="B4427" s="81" t="s">
        <v>149</v>
      </c>
      <c r="C4427" s="81" t="s">
        <v>207</v>
      </c>
      <c r="D4427" s="81" t="s">
        <v>231</v>
      </c>
      <c r="E4427" s="81" t="s">
        <v>66</v>
      </c>
      <c r="F4427" s="81" t="s">
        <v>35</v>
      </c>
    </row>
    <row r="4428" spans="1:6" x14ac:dyDescent="0.25">
      <c r="A4428" s="14">
        <v>46151.559027777781</v>
      </c>
      <c r="B4428" s="81" t="s">
        <v>149</v>
      </c>
      <c r="C4428" s="81" t="s">
        <v>207</v>
      </c>
      <c r="D4428" s="81" t="s">
        <v>231</v>
      </c>
      <c r="E4428" s="81" t="s">
        <v>66</v>
      </c>
      <c r="F4428" s="81" t="s">
        <v>35</v>
      </c>
    </row>
    <row r="4429" spans="1:6" x14ac:dyDescent="0.25">
      <c r="A4429" s="14">
        <v>46151.559027777781</v>
      </c>
      <c r="B4429" s="81" t="s">
        <v>149</v>
      </c>
      <c r="C4429" s="81" t="s">
        <v>207</v>
      </c>
      <c r="D4429" s="81" t="s">
        <v>231</v>
      </c>
      <c r="E4429" s="81" t="s">
        <v>66</v>
      </c>
      <c r="F4429" s="81" t="s">
        <v>35</v>
      </c>
    </row>
    <row r="4430" spans="1:6" x14ac:dyDescent="0.25">
      <c r="A4430" s="14">
        <v>46151.559027777781</v>
      </c>
      <c r="B4430" s="81" t="s">
        <v>149</v>
      </c>
      <c r="C4430" s="81" t="s">
        <v>207</v>
      </c>
      <c r="D4430" s="81" t="s">
        <v>231</v>
      </c>
      <c r="E4430" s="81" t="s">
        <v>66</v>
      </c>
      <c r="F4430" s="81" t="s">
        <v>35</v>
      </c>
    </row>
    <row r="4431" spans="1:6" x14ac:dyDescent="0.25">
      <c r="A4431" s="14">
        <v>46151.559027777781</v>
      </c>
      <c r="B4431" s="81" t="s">
        <v>149</v>
      </c>
      <c r="C4431" s="81" t="s">
        <v>207</v>
      </c>
      <c r="D4431" s="81" t="s">
        <v>231</v>
      </c>
      <c r="E4431" s="81" t="s">
        <v>66</v>
      </c>
      <c r="F4431" s="81" t="s">
        <v>35</v>
      </c>
    </row>
    <row r="4432" spans="1:6" x14ac:dyDescent="0.25">
      <c r="A4432" s="14">
        <v>46151.559027777781</v>
      </c>
      <c r="B4432" s="81" t="s">
        <v>149</v>
      </c>
      <c r="C4432" s="81" t="s">
        <v>207</v>
      </c>
      <c r="D4432" s="81" t="s">
        <v>231</v>
      </c>
      <c r="E4432" s="81" t="s">
        <v>66</v>
      </c>
      <c r="F4432" s="81" t="s">
        <v>35</v>
      </c>
    </row>
    <row r="4433" spans="1:6" x14ac:dyDescent="0.25">
      <c r="A4433" s="14">
        <v>46151.559027777781</v>
      </c>
      <c r="B4433" s="81" t="s">
        <v>149</v>
      </c>
      <c r="C4433" s="81" t="s">
        <v>207</v>
      </c>
      <c r="D4433" s="81" t="s">
        <v>231</v>
      </c>
      <c r="E4433" s="81" t="s">
        <v>66</v>
      </c>
      <c r="F4433" s="81" t="s">
        <v>35</v>
      </c>
    </row>
    <row r="4434" spans="1:6" x14ac:dyDescent="0.25">
      <c r="A4434" s="14">
        <v>46151.559027777781</v>
      </c>
      <c r="B4434" s="81" t="s">
        <v>149</v>
      </c>
      <c r="C4434" s="81" t="s">
        <v>207</v>
      </c>
      <c r="D4434" s="81" t="s">
        <v>231</v>
      </c>
      <c r="E4434" s="81" t="s">
        <v>66</v>
      </c>
      <c r="F4434" s="81" t="s">
        <v>35</v>
      </c>
    </row>
    <row r="4435" spans="1:6" x14ac:dyDescent="0.25">
      <c r="A4435" s="14">
        <v>46151.565972222219</v>
      </c>
      <c r="B4435" s="81" t="s">
        <v>149</v>
      </c>
      <c r="C4435" s="81" t="s">
        <v>158</v>
      </c>
      <c r="D4435" s="81" t="s">
        <v>257</v>
      </c>
      <c r="E4435" s="81" t="s">
        <v>52</v>
      </c>
      <c r="F4435" s="81" t="s">
        <v>0</v>
      </c>
    </row>
    <row r="4436" spans="1:6" x14ac:dyDescent="0.25">
      <c r="A4436" s="14">
        <v>46151.565972222219</v>
      </c>
      <c r="B4436" s="81" t="s">
        <v>149</v>
      </c>
      <c r="C4436" s="81" t="s">
        <v>176</v>
      </c>
      <c r="D4436" s="81" t="s">
        <v>167</v>
      </c>
      <c r="E4436" s="81" t="s">
        <v>70</v>
      </c>
      <c r="F4436" s="81" t="s">
        <v>15</v>
      </c>
    </row>
    <row r="4437" spans="1:6" x14ac:dyDescent="0.25">
      <c r="A4437" s="14">
        <v>46151.565972222219</v>
      </c>
      <c r="B4437" s="81" t="s">
        <v>149</v>
      </c>
      <c r="C4437" s="81" t="s">
        <v>151</v>
      </c>
      <c r="D4437" s="81" t="s">
        <v>199</v>
      </c>
      <c r="E4437" s="81" t="s">
        <v>50</v>
      </c>
      <c r="F4437" s="81" t="s">
        <v>1</v>
      </c>
    </row>
    <row r="4438" spans="1:6" x14ac:dyDescent="0.25">
      <c r="A4438" s="14">
        <v>46151.565972222219</v>
      </c>
      <c r="B4438" s="81" t="s">
        <v>149</v>
      </c>
      <c r="C4438" s="81" t="s">
        <v>208</v>
      </c>
      <c r="D4438" s="81" t="s">
        <v>152</v>
      </c>
      <c r="E4438" s="81" t="s">
        <v>66</v>
      </c>
      <c r="F4438" s="81" t="s">
        <v>35</v>
      </c>
    </row>
    <row r="4439" spans="1:6" x14ac:dyDescent="0.25">
      <c r="A4439" s="14">
        <v>46151.814583333333</v>
      </c>
      <c r="B4439" s="81" t="s">
        <v>149</v>
      </c>
      <c r="C4439" s="81" t="s">
        <v>176</v>
      </c>
      <c r="D4439" s="81" t="s">
        <v>167</v>
      </c>
      <c r="E4439" s="81" t="s">
        <v>70</v>
      </c>
      <c r="F4439" s="81" t="s">
        <v>15</v>
      </c>
    </row>
    <row r="4440" spans="1:6" x14ac:dyDescent="0.25">
      <c r="A4440" s="14">
        <v>46151.814583333333</v>
      </c>
      <c r="B4440" s="81" t="s">
        <v>149</v>
      </c>
      <c r="C4440" s="81" t="s">
        <v>175</v>
      </c>
      <c r="D4440" s="81" t="s">
        <v>841</v>
      </c>
      <c r="E4440" s="81" t="s">
        <v>52</v>
      </c>
      <c r="F4440" s="81" t="s">
        <v>0</v>
      </c>
    </row>
    <row r="4441" spans="1:6" x14ac:dyDescent="0.25">
      <c r="A4441" s="14">
        <v>46151.814583333333</v>
      </c>
      <c r="B4441" s="81" t="s">
        <v>149</v>
      </c>
      <c r="C4441" s="81" t="s">
        <v>176</v>
      </c>
      <c r="D4441" s="81" t="s">
        <v>167</v>
      </c>
      <c r="E4441" s="81" t="s">
        <v>70</v>
      </c>
      <c r="F4441" s="81" t="s">
        <v>15</v>
      </c>
    </row>
    <row r="4442" spans="1:6" x14ac:dyDescent="0.25">
      <c r="A4442" s="14">
        <v>46151.814583333333</v>
      </c>
      <c r="B4442" s="81" t="s">
        <v>149</v>
      </c>
      <c r="C4442" s="81" t="s">
        <v>183</v>
      </c>
      <c r="D4442" s="81" t="s">
        <v>267</v>
      </c>
      <c r="E4442" s="81" t="s">
        <v>52</v>
      </c>
      <c r="F4442" s="81" t="s">
        <v>0</v>
      </c>
    </row>
    <row r="4443" spans="1:6" x14ac:dyDescent="0.25">
      <c r="A4443" s="14">
        <v>46151.814583333333</v>
      </c>
      <c r="B4443" s="81" t="s">
        <v>149</v>
      </c>
      <c r="C4443" s="81" t="s">
        <v>183</v>
      </c>
      <c r="D4443" s="81" t="s">
        <v>165</v>
      </c>
      <c r="E4443" s="81" t="s">
        <v>50</v>
      </c>
      <c r="F4443" s="81" t="s">
        <v>1</v>
      </c>
    </row>
    <row r="4444" spans="1:6" x14ac:dyDescent="0.25">
      <c r="A4444" s="14">
        <v>46151.814583333333</v>
      </c>
      <c r="B4444" s="81" t="s">
        <v>149</v>
      </c>
      <c r="C4444" s="81" t="s">
        <v>173</v>
      </c>
      <c r="D4444" s="81" t="s">
        <v>250</v>
      </c>
      <c r="E4444" s="81" t="s">
        <v>52</v>
      </c>
      <c r="F4444" s="81" t="s">
        <v>0</v>
      </c>
    </row>
    <row r="4445" spans="1:6" x14ac:dyDescent="0.25">
      <c r="A4445" s="14">
        <v>46151.814583333333</v>
      </c>
      <c r="B4445" s="81" t="s">
        <v>149</v>
      </c>
      <c r="C4445" s="81" t="s">
        <v>183</v>
      </c>
      <c r="D4445" s="81" t="s">
        <v>165</v>
      </c>
      <c r="E4445" s="81" t="s">
        <v>50</v>
      </c>
      <c r="F4445" s="81" t="s">
        <v>1</v>
      </c>
    </row>
    <row r="4446" spans="1:6" x14ac:dyDescent="0.25">
      <c r="A4446" s="14">
        <v>46151.814583333333</v>
      </c>
      <c r="B4446" s="81" t="s">
        <v>149</v>
      </c>
      <c r="C4446" s="81" t="s">
        <v>203</v>
      </c>
      <c r="D4446" s="81" t="s">
        <v>193</v>
      </c>
      <c r="E4446" s="81" t="s">
        <v>72</v>
      </c>
      <c r="F4446" s="81" t="s">
        <v>28</v>
      </c>
    </row>
    <row r="4447" spans="1:6" x14ac:dyDescent="0.25">
      <c r="A4447" s="14">
        <v>46151.814583333333</v>
      </c>
      <c r="B4447" s="81" t="s">
        <v>149</v>
      </c>
      <c r="C4447" s="81" t="s">
        <v>192</v>
      </c>
      <c r="D4447" s="81" t="s">
        <v>265</v>
      </c>
      <c r="E4447" s="81" t="s">
        <v>60</v>
      </c>
      <c r="F4447" s="81" t="s">
        <v>28</v>
      </c>
    </row>
    <row r="4448" spans="1:6" x14ac:dyDescent="0.25">
      <c r="A4448" s="14">
        <v>46151.814583333333</v>
      </c>
      <c r="B4448" s="81" t="s">
        <v>149</v>
      </c>
      <c r="C4448" s="81" t="s">
        <v>158</v>
      </c>
      <c r="D4448" s="81" t="s">
        <v>165</v>
      </c>
      <c r="E4448" s="81" t="s">
        <v>50</v>
      </c>
      <c r="F4448" s="81" t="s">
        <v>1</v>
      </c>
    </row>
    <row r="4449" spans="1:6" x14ac:dyDescent="0.25">
      <c r="A4449" s="14">
        <v>46151.814583333333</v>
      </c>
      <c r="B4449" s="81" t="s">
        <v>149</v>
      </c>
      <c r="C4449" s="81" t="s">
        <v>171</v>
      </c>
      <c r="D4449" s="81" t="s">
        <v>265</v>
      </c>
      <c r="E4449" s="81" t="s">
        <v>49</v>
      </c>
      <c r="F4449" s="81" t="s">
        <v>2</v>
      </c>
    </row>
    <row r="4450" spans="1:6" x14ac:dyDescent="0.25">
      <c r="A4450" s="14">
        <v>46151.814583333333</v>
      </c>
      <c r="B4450" s="81" t="s">
        <v>149</v>
      </c>
      <c r="C4450" s="81" t="s">
        <v>181</v>
      </c>
      <c r="D4450" s="81" t="s">
        <v>268</v>
      </c>
      <c r="E4450" s="81" t="s">
        <v>50</v>
      </c>
      <c r="F4450" s="81" t="s">
        <v>1</v>
      </c>
    </row>
    <row r="4451" spans="1:6" x14ac:dyDescent="0.25">
      <c r="A4451" s="14">
        <v>46151.814583333333</v>
      </c>
      <c r="B4451" s="81" t="s">
        <v>149</v>
      </c>
      <c r="C4451" s="81" t="s">
        <v>158</v>
      </c>
      <c r="D4451" s="81" t="s">
        <v>193</v>
      </c>
      <c r="E4451" s="81" t="s">
        <v>50</v>
      </c>
      <c r="F4451" s="81" t="s">
        <v>1</v>
      </c>
    </row>
    <row r="4452" spans="1:6" x14ac:dyDescent="0.25">
      <c r="A4452" s="14">
        <v>46151.814583333333</v>
      </c>
      <c r="B4452" s="81" t="s">
        <v>149</v>
      </c>
      <c r="C4452" s="81" t="s">
        <v>173</v>
      </c>
      <c r="D4452" s="81" t="s">
        <v>268</v>
      </c>
      <c r="E4452" s="81" t="s">
        <v>50</v>
      </c>
      <c r="F4452" s="81" t="s">
        <v>1</v>
      </c>
    </row>
    <row r="4453" spans="1:6" x14ac:dyDescent="0.25">
      <c r="A4453" s="14">
        <v>46151.814583333333</v>
      </c>
      <c r="B4453" s="81" t="s">
        <v>149</v>
      </c>
      <c r="C4453" s="81" t="s">
        <v>183</v>
      </c>
      <c r="D4453" s="81" t="s">
        <v>252</v>
      </c>
      <c r="E4453" s="81" t="s">
        <v>50</v>
      </c>
      <c r="F4453" s="81" t="s">
        <v>1</v>
      </c>
    </row>
    <row r="4454" spans="1:6" x14ac:dyDescent="0.25">
      <c r="A4454" s="14">
        <v>46151.814583333333</v>
      </c>
      <c r="B4454" s="81" t="s">
        <v>149</v>
      </c>
      <c r="C4454" s="81" t="s">
        <v>176</v>
      </c>
      <c r="D4454" s="81" t="s">
        <v>167</v>
      </c>
      <c r="E4454" s="81" t="s">
        <v>70</v>
      </c>
      <c r="F4454" s="81" t="s">
        <v>15</v>
      </c>
    </row>
    <row r="4455" spans="1:6" x14ac:dyDescent="0.25">
      <c r="A4455" s="14">
        <v>46151.814583333333</v>
      </c>
      <c r="B4455" s="81" t="s">
        <v>149</v>
      </c>
      <c r="C4455" s="81" t="s">
        <v>192</v>
      </c>
      <c r="D4455" s="81" t="s">
        <v>165</v>
      </c>
      <c r="E4455" s="81" t="s">
        <v>60</v>
      </c>
      <c r="F4455" s="81" t="s">
        <v>28</v>
      </c>
    </row>
    <row r="4456" spans="1:6" x14ac:dyDescent="0.25">
      <c r="A4456" s="14">
        <v>46151.814583333333</v>
      </c>
      <c r="B4456" s="81" t="s">
        <v>149</v>
      </c>
      <c r="C4456" s="81" t="s">
        <v>190</v>
      </c>
      <c r="D4456" s="81" t="s">
        <v>165</v>
      </c>
      <c r="E4456" s="81" t="s">
        <v>50</v>
      </c>
      <c r="F4456" s="81" t="s">
        <v>1</v>
      </c>
    </row>
    <row r="4457" spans="1:6" x14ac:dyDescent="0.25">
      <c r="A4457" s="14">
        <v>46151.814583333333</v>
      </c>
      <c r="B4457" s="81" t="s">
        <v>149</v>
      </c>
      <c r="C4457" s="81" t="s">
        <v>192</v>
      </c>
      <c r="D4457" s="81" t="s">
        <v>163</v>
      </c>
      <c r="E4457" s="81" t="s">
        <v>60</v>
      </c>
      <c r="F4457" s="81" t="s">
        <v>28</v>
      </c>
    </row>
    <row r="4458" spans="1:6" x14ac:dyDescent="0.25">
      <c r="A4458" s="14">
        <v>46151.814583333333</v>
      </c>
      <c r="B4458" s="81" t="s">
        <v>149</v>
      </c>
      <c r="C4458" s="81" t="s">
        <v>181</v>
      </c>
      <c r="D4458" s="81" t="s">
        <v>165</v>
      </c>
      <c r="E4458" s="81" t="s">
        <v>50</v>
      </c>
      <c r="F4458" s="81" t="s">
        <v>1</v>
      </c>
    </row>
    <row r="4459" spans="1:6" x14ac:dyDescent="0.25">
      <c r="A4459" s="14">
        <v>46151.814583333333</v>
      </c>
      <c r="B4459" s="81" t="s">
        <v>149</v>
      </c>
      <c r="C4459" s="81" t="s">
        <v>176</v>
      </c>
      <c r="D4459" s="81" t="s">
        <v>167</v>
      </c>
      <c r="E4459" s="81" t="s">
        <v>70</v>
      </c>
      <c r="F4459" s="81" t="s">
        <v>15</v>
      </c>
    </row>
    <row r="4460" spans="1:6" x14ac:dyDescent="0.25">
      <c r="A4460" s="14">
        <v>46151.814583333333</v>
      </c>
      <c r="B4460" s="81" t="s">
        <v>149</v>
      </c>
      <c r="C4460" s="81" t="s">
        <v>187</v>
      </c>
      <c r="D4460" s="81" t="s">
        <v>165</v>
      </c>
      <c r="E4460" s="81" t="s">
        <v>75</v>
      </c>
      <c r="F4460" s="81" t="s">
        <v>93</v>
      </c>
    </row>
    <row r="4461" spans="1:6" x14ac:dyDescent="0.25">
      <c r="A4461" s="14">
        <v>46151.814583333333</v>
      </c>
      <c r="B4461" s="81" t="s">
        <v>149</v>
      </c>
      <c r="C4461" s="81" t="s">
        <v>173</v>
      </c>
      <c r="D4461" s="81" t="s">
        <v>257</v>
      </c>
      <c r="E4461" s="81" t="s">
        <v>52</v>
      </c>
      <c r="F4461" s="81" t="s">
        <v>0</v>
      </c>
    </row>
    <row r="4462" spans="1:6" x14ac:dyDescent="0.25">
      <c r="A4462" s="14">
        <v>46151.814583333333</v>
      </c>
      <c r="B4462" s="81" t="s">
        <v>149</v>
      </c>
      <c r="C4462" s="81" t="s">
        <v>190</v>
      </c>
      <c r="D4462" s="81" t="s">
        <v>269</v>
      </c>
      <c r="E4462" s="81" t="s">
        <v>49</v>
      </c>
      <c r="F4462" s="81" t="s">
        <v>2</v>
      </c>
    </row>
    <row r="4463" spans="1:6" x14ac:dyDescent="0.25">
      <c r="A4463" s="14">
        <v>46151.814583333333</v>
      </c>
      <c r="B4463" s="81" t="s">
        <v>149</v>
      </c>
      <c r="C4463" s="81" t="s">
        <v>176</v>
      </c>
      <c r="D4463" s="81" t="s">
        <v>167</v>
      </c>
      <c r="E4463" s="81" t="s">
        <v>70</v>
      </c>
      <c r="F4463" s="81" t="s">
        <v>15</v>
      </c>
    </row>
    <row r="4464" spans="1:6" x14ac:dyDescent="0.25">
      <c r="A4464" s="14">
        <v>46151.814583333333</v>
      </c>
      <c r="B4464" s="81" t="s">
        <v>149</v>
      </c>
      <c r="C4464" s="81" t="s">
        <v>182</v>
      </c>
      <c r="D4464" s="81" t="s">
        <v>257</v>
      </c>
      <c r="E4464" s="81" t="s">
        <v>52</v>
      </c>
      <c r="F4464" s="81" t="s">
        <v>0</v>
      </c>
    </row>
    <row r="4465" spans="1:6" x14ac:dyDescent="0.25">
      <c r="A4465" s="14">
        <v>46151.814583333333</v>
      </c>
      <c r="B4465" s="81" t="s">
        <v>149</v>
      </c>
      <c r="C4465" s="81" t="s">
        <v>173</v>
      </c>
      <c r="D4465" s="81" t="s">
        <v>167</v>
      </c>
      <c r="E4465" s="81" t="s">
        <v>50</v>
      </c>
      <c r="F4465" s="81" t="s">
        <v>1</v>
      </c>
    </row>
    <row r="4466" spans="1:6" x14ac:dyDescent="0.25">
      <c r="A4466" s="14">
        <v>46151.814583333333</v>
      </c>
      <c r="B4466" s="81" t="s">
        <v>149</v>
      </c>
      <c r="C4466" s="81" t="s">
        <v>185</v>
      </c>
      <c r="D4466" s="81" t="s">
        <v>240</v>
      </c>
      <c r="E4466" s="81" t="s">
        <v>52</v>
      </c>
      <c r="F4466" s="81" t="s">
        <v>0</v>
      </c>
    </row>
    <row r="4467" spans="1:6" x14ac:dyDescent="0.25">
      <c r="A4467" s="14">
        <v>46151.814583333333</v>
      </c>
      <c r="B4467" s="81" t="s">
        <v>149</v>
      </c>
      <c r="C4467" s="81" t="s">
        <v>182</v>
      </c>
      <c r="D4467" s="81" t="s">
        <v>167</v>
      </c>
      <c r="E4467" s="81" t="s">
        <v>50</v>
      </c>
      <c r="F4467" s="81" t="s">
        <v>1</v>
      </c>
    </row>
    <row r="4468" spans="1:6" x14ac:dyDescent="0.25">
      <c r="A4468" s="14">
        <v>46151.814583333333</v>
      </c>
      <c r="B4468" s="81" t="s">
        <v>149</v>
      </c>
      <c r="C4468" s="81" t="s">
        <v>181</v>
      </c>
      <c r="D4468" s="81" t="s">
        <v>240</v>
      </c>
      <c r="E4468" s="81" t="s">
        <v>52</v>
      </c>
      <c r="F4468" s="81" t="s">
        <v>0</v>
      </c>
    </row>
    <row r="4469" spans="1:6" x14ac:dyDescent="0.25">
      <c r="A4469" s="14">
        <v>46151.814583333333</v>
      </c>
      <c r="B4469" s="81" t="s">
        <v>149</v>
      </c>
      <c r="C4469" s="81" t="s">
        <v>188</v>
      </c>
      <c r="D4469" s="81" t="s">
        <v>157</v>
      </c>
      <c r="E4469" s="81" t="s">
        <v>45</v>
      </c>
      <c r="F4469" s="81" t="s">
        <v>28</v>
      </c>
    </row>
    <row r="4470" spans="1:6" x14ac:dyDescent="0.25">
      <c r="A4470" s="14">
        <v>46151.814583333333</v>
      </c>
      <c r="B4470" s="81" t="s">
        <v>149</v>
      </c>
      <c r="C4470" s="81" t="s">
        <v>189</v>
      </c>
      <c r="D4470" s="81" t="s">
        <v>157</v>
      </c>
      <c r="E4470" s="81" t="s">
        <v>45</v>
      </c>
      <c r="F4470" s="81" t="s">
        <v>28</v>
      </c>
    </row>
    <row r="4471" spans="1:6" x14ac:dyDescent="0.25">
      <c r="A4471" s="14">
        <v>46151.814583333333</v>
      </c>
      <c r="B4471" s="81" t="s">
        <v>149</v>
      </c>
      <c r="C4471" s="81" t="s">
        <v>239</v>
      </c>
      <c r="D4471" s="81" t="s">
        <v>157</v>
      </c>
      <c r="E4471" s="81" t="s">
        <v>45</v>
      </c>
      <c r="F4471" s="81" t="s">
        <v>28</v>
      </c>
    </row>
    <row r="4472" spans="1:6" x14ac:dyDescent="0.25">
      <c r="A4472" s="14">
        <v>46151.814583333333</v>
      </c>
      <c r="B4472" s="81" t="s">
        <v>149</v>
      </c>
      <c r="C4472" s="81" t="s">
        <v>181</v>
      </c>
      <c r="D4472" s="81" t="s">
        <v>167</v>
      </c>
      <c r="E4472" s="81" t="s">
        <v>50</v>
      </c>
      <c r="F4472" s="81" t="s">
        <v>1</v>
      </c>
    </row>
    <row r="4473" spans="1:6" x14ac:dyDescent="0.25">
      <c r="A4473" s="14">
        <v>46151.814583333333</v>
      </c>
      <c r="B4473" s="81" t="s">
        <v>149</v>
      </c>
      <c r="C4473" s="81" t="s">
        <v>182</v>
      </c>
      <c r="D4473" s="81" t="s">
        <v>164</v>
      </c>
      <c r="E4473" s="81" t="s">
        <v>50</v>
      </c>
      <c r="F4473" s="81" t="s">
        <v>1</v>
      </c>
    </row>
    <row r="4474" spans="1:6" x14ac:dyDescent="0.25">
      <c r="A4474" s="14">
        <v>46151.814583333333</v>
      </c>
      <c r="B4474" s="81" t="s">
        <v>149</v>
      </c>
      <c r="C4474" s="81" t="s">
        <v>183</v>
      </c>
      <c r="D4474" s="81" t="s">
        <v>266</v>
      </c>
      <c r="E4474" s="81" t="s">
        <v>52</v>
      </c>
      <c r="F4474" s="81" t="s">
        <v>0</v>
      </c>
    </row>
    <row r="4475" spans="1:6" x14ac:dyDescent="0.25">
      <c r="A4475" s="14">
        <v>46151.814583333333</v>
      </c>
      <c r="B4475" s="81" t="s">
        <v>149</v>
      </c>
      <c r="C4475" s="81" t="s">
        <v>187</v>
      </c>
      <c r="D4475" s="81" t="s">
        <v>167</v>
      </c>
      <c r="E4475" s="81" t="s">
        <v>75</v>
      </c>
      <c r="F4475" s="81" t="s">
        <v>93</v>
      </c>
    </row>
    <row r="4476" spans="1:6" x14ac:dyDescent="0.25">
      <c r="A4476" s="14">
        <v>46151.814583333333</v>
      </c>
      <c r="B4476" s="81" t="s">
        <v>149</v>
      </c>
      <c r="C4476" s="81" t="s">
        <v>187</v>
      </c>
      <c r="D4476" s="81" t="s">
        <v>167</v>
      </c>
      <c r="E4476" s="81" t="s">
        <v>75</v>
      </c>
      <c r="F4476" s="81" t="s">
        <v>93</v>
      </c>
    </row>
    <row r="4477" spans="1:6" x14ac:dyDescent="0.25">
      <c r="A4477" s="14">
        <v>46151.814583333333</v>
      </c>
      <c r="B4477" s="81" t="s">
        <v>149</v>
      </c>
      <c r="C4477" s="81" t="s">
        <v>171</v>
      </c>
      <c r="D4477" s="81" t="s">
        <v>164</v>
      </c>
      <c r="E4477" s="81" t="s">
        <v>50</v>
      </c>
      <c r="F4477" s="81" t="s">
        <v>1</v>
      </c>
    </row>
    <row r="4478" spans="1:6" x14ac:dyDescent="0.25">
      <c r="A4478" s="14">
        <v>46151.814583333333</v>
      </c>
      <c r="B4478" s="81" t="s">
        <v>149</v>
      </c>
      <c r="C4478" s="81" t="s">
        <v>185</v>
      </c>
      <c r="D4478" s="81" t="s">
        <v>164</v>
      </c>
      <c r="E4478" s="81" t="s">
        <v>50</v>
      </c>
      <c r="F4478" s="81" t="s">
        <v>1</v>
      </c>
    </row>
    <row r="4479" spans="1:6" x14ac:dyDescent="0.25">
      <c r="A4479" s="14">
        <v>46151.814583333333</v>
      </c>
      <c r="B4479" s="81" t="s">
        <v>149</v>
      </c>
      <c r="C4479" s="81" t="s">
        <v>171</v>
      </c>
      <c r="D4479" s="81" t="s">
        <v>266</v>
      </c>
      <c r="E4479" s="81" t="s">
        <v>52</v>
      </c>
      <c r="F4479" s="81" t="s">
        <v>0</v>
      </c>
    </row>
    <row r="4480" spans="1:6" x14ac:dyDescent="0.25">
      <c r="A4480" s="14">
        <v>46151.814583333333</v>
      </c>
      <c r="B4480" s="81" t="s">
        <v>149</v>
      </c>
      <c r="C4480" s="81" t="s">
        <v>174</v>
      </c>
      <c r="D4480" s="81" t="s">
        <v>199</v>
      </c>
      <c r="E4480" s="81" t="s">
        <v>64</v>
      </c>
      <c r="F4480" s="81" t="s">
        <v>98</v>
      </c>
    </row>
    <row r="4481" spans="1:6" x14ac:dyDescent="0.25">
      <c r="A4481" s="14">
        <v>46151.814583333333</v>
      </c>
      <c r="B4481" s="81" t="s">
        <v>149</v>
      </c>
      <c r="C4481" s="81" t="s">
        <v>173</v>
      </c>
      <c r="D4481" s="81" t="s">
        <v>199</v>
      </c>
      <c r="E4481" s="81" t="s">
        <v>49</v>
      </c>
      <c r="F4481" s="81" t="s">
        <v>2</v>
      </c>
    </row>
    <row r="4482" spans="1:6" x14ac:dyDescent="0.25">
      <c r="A4482" s="14">
        <v>46151.814583333333</v>
      </c>
      <c r="B4482" s="81" t="s">
        <v>149</v>
      </c>
      <c r="C4482" s="81" t="s">
        <v>187</v>
      </c>
      <c r="D4482" s="81" t="s">
        <v>261</v>
      </c>
      <c r="E4482" s="81" t="s">
        <v>75</v>
      </c>
      <c r="F4482" s="81" t="s">
        <v>93</v>
      </c>
    </row>
    <row r="4483" spans="1:6" x14ac:dyDescent="0.25">
      <c r="A4483" s="14">
        <v>46151.814583333333</v>
      </c>
      <c r="B4483" s="81" t="s">
        <v>149</v>
      </c>
      <c r="C4483" s="81" t="s">
        <v>177</v>
      </c>
      <c r="D4483" s="81" t="s">
        <v>231</v>
      </c>
      <c r="E4483" s="81" t="s">
        <v>50</v>
      </c>
      <c r="F4483" s="81" t="s">
        <v>1</v>
      </c>
    </row>
    <row r="4484" spans="1:6" x14ac:dyDescent="0.25">
      <c r="A4484" s="14">
        <v>46151.814583333333</v>
      </c>
      <c r="B4484" s="81" t="s">
        <v>149</v>
      </c>
      <c r="C4484" s="81" t="s">
        <v>177</v>
      </c>
      <c r="D4484" s="81" t="s">
        <v>261</v>
      </c>
      <c r="E4484" s="81" t="s">
        <v>52</v>
      </c>
      <c r="F4484" s="81" t="s">
        <v>0</v>
      </c>
    </row>
    <row r="4485" spans="1:6" x14ac:dyDescent="0.25">
      <c r="A4485" s="14">
        <v>46151.814583333333</v>
      </c>
      <c r="B4485" s="81" t="s">
        <v>149</v>
      </c>
      <c r="C4485" s="81" t="s">
        <v>177</v>
      </c>
      <c r="D4485" s="81" t="s">
        <v>231</v>
      </c>
      <c r="E4485" s="81" t="s">
        <v>50</v>
      </c>
      <c r="F4485" s="81" t="s">
        <v>1</v>
      </c>
    </row>
    <row r="4486" spans="1:6" x14ac:dyDescent="0.25">
      <c r="A4486" s="14">
        <v>46151.814583333333</v>
      </c>
      <c r="B4486" s="81" t="s">
        <v>149</v>
      </c>
      <c r="C4486" s="81" t="s">
        <v>173</v>
      </c>
      <c r="D4486" s="81" t="s">
        <v>231</v>
      </c>
      <c r="E4486" s="81" t="s">
        <v>50</v>
      </c>
      <c r="F4486" s="81" t="s">
        <v>1</v>
      </c>
    </row>
    <row r="4487" spans="1:6" x14ac:dyDescent="0.25">
      <c r="A4487" s="14">
        <v>46151.814583333333</v>
      </c>
      <c r="B4487" s="81" t="s">
        <v>149</v>
      </c>
      <c r="C4487" s="81" t="s">
        <v>183</v>
      </c>
      <c r="D4487" s="81" t="s">
        <v>199</v>
      </c>
      <c r="E4487" s="81" t="s">
        <v>49</v>
      </c>
      <c r="F4487" s="81" t="s">
        <v>2</v>
      </c>
    </row>
    <row r="4488" spans="1:6" x14ac:dyDescent="0.25">
      <c r="A4488" s="14">
        <v>46151.814583333333</v>
      </c>
      <c r="B4488" s="81" t="s">
        <v>149</v>
      </c>
      <c r="C4488" s="81" t="s">
        <v>190</v>
      </c>
      <c r="D4488" s="81" t="s">
        <v>231</v>
      </c>
      <c r="E4488" s="81" t="s">
        <v>50</v>
      </c>
      <c r="F4488" s="81" t="s">
        <v>1</v>
      </c>
    </row>
    <row r="4489" spans="1:6" x14ac:dyDescent="0.25">
      <c r="A4489" s="14">
        <v>46151.814583333333</v>
      </c>
      <c r="B4489" s="81" t="s">
        <v>149</v>
      </c>
      <c r="C4489" s="81" t="s">
        <v>171</v>
      </c>
      <c r="D4489" s="81" t="s">
        <v>261</v>
      </c>
      <c r="E4489" s="81" t="s">
        <v>50</v>
      </c>
      <c r="F4489" s="81" t="s">
        <v>1</v>
      </c>
    </row>
    <row r="4490" spans="1:6" x14ac:dyDescent="0.25">
      <c r="A4490" s="14">
        <v>46151.814583333333</v>
      </c>
      <c r="B4490" s="81" t="s">
        <v>149</v>
      </c>
      <c r="C4490" s="81" t="s">
        <v>171</v>
      </c>
      <c r="D4490" s="81" t="s">
        <v>231</v>
      </c>
      <c r="E4490" s="81" t="s">
        <v>50</v>
      </c>
      <c r="F4490" s="81" t="s">
        <v>1</v>
      </c>
    </row>
    <row r="4491" spans="1:6" x14ac:dyDescent="0.25">
      <c r="A4491" s="14">
        <v>46151.814583333333</v>
      </c>
      <c r="B4491" s="81" t="s">
        <v>149</v>
      </c>
      <c r="C4491" s="81" t="s">
        <v>187</v>
      </c>
      <c r="D4491" s="81" t="s">
        <v>257</v>
      </c>
      <c r="E4491" s="81" t="s">
        <v>75</v>
      </c>
      <c r="F4491" s="81" t="s">
        <v>93</v>
      </c>
    </row>
    <row r="4492" spans="1:6" x14ac:dyDescent="0.25">
      <c r="A4492" s="14">
        <v>46151.814583333333</v>
      </c>
      <c r="B4492" s="81" t="s">
        <v>149</v>
      </c>
      <c r="C4492" s="81" t="s">
        <v>176</v>
      </c>
      <c r="D4492" s="81" t="s">
        <v>231</v>
      </c>
      <c r="E4492" s="81" t="s">
        <v>63</v>
      </c>
      <c r="F4492" s="81" t="s">
        <v>16</v>
      </c>
    </row>
    <row r="4493" spans="1:6" x14ac:dyDescent="0.25">
      <c r="A4493" s="14">
        <v>46151.814583333333</v>
      </c>
      <c r="B4493" s="81" t="s">
        <v>149</v>
      </c>
      <c r="C4493" s="81" t="s">
        <v>192</v>
      </c>
      <c r="D4493" s="81" t="s">
        <v>266</v>
      </c>
      <c r="E4493" s="81" t="s">
        <v>60</v>
      </c>
      <c r="F4493" s="81" t="s">
        <v>28</v>
      </c>
    </row>
    <row r="4494" spans="1:6" x14ac:dyDescent="0.25">
      <c r="A4494" s="14">
        <v>46151.814583333333</v>
      </c>
      <c r="B4494" s="81" t="s">
        <v>149</v>
      </c>
      <c r="C4494" s="81" t="s">
        <v>185</v>
      </c>
      <c r="D4494" s="81" t="s">
        <v>231</v>
      </c>
      <c r="E4494" s="81" t="s">
        <v>49</v>
      </c>
      <c r="F4494" s="81" t="s">
        <v>2</v>
      </c>
    </row>
    <row r="4495" spans="1:6" x14ac:dyDescent="0.25">
      <c r="A4495" s="14">
        <v>46151.814583333333</v>
      </c>
      <c r="B4495" s="81" t="s">
        <v>149</v>
      </c>
      <c r="C4495" s="81" t="s">
        <v>183</v>
      </c>
      <c r="D4495" s="81" t="s">
        <v>231</v>
      </c>
      <c r="E4495" s="81" t="s">
        <v>49</v>
      </c>
      <c r="F4495" s="81" t="s">
        <v>2</v>
      </c>
    </row>
    <row r="4496" spans="1:6" x14ac:dyDescent="0.25">
      <c r="A4496" s="14">
        <v>46151.814583333333</v>
      </c>
      <c r="B4496" s="81" t="s">
        <v>149</v>
      </c>
      <c r="C4496" s="81" t="s">
        <v>187</v>
      </c>
      <c r="D4496" s="81" t="s">
        <v>265</v>
      </c>
      <c r="E4496" s="81" t="s">
        <v>71</v>
      </c>
      <c r="F4496" s="81" t="s">
        <v>94</v>
      </c>
    </row>
    <row r="4497" spans="1:6" x14ac:dyDescent="0.25">
      <c r="A4497" s="14">
        <v>46151.814583333333</v>
      </c>
      <c r="B4497" s="81" t="s">
        <v>149</v>
      </c>
      <c r="C4497" s="81" t="s">
        <v>171</v>
      </c>
      <c r="D4497" s="81" t="s">
        <v>261</v>
      </c>
      <c r="E4497" s="81" t="s">
        <v>50</v>
      </c>
      <c r="F4497" s="81" t="s">
        <v>1</v>
      </c>
    </row>
    <row r="4498" spans="1:6" x14ac:dyDescent="0.25">
      <c r="A4498" s="14">
        <v>46151.814583333333</v>
      </c>
      <c r="B4498" s="81" t="s">
        <v>149</v>
      </c>
      <c r="C4498" s="81" t="s">
        <v>171</v>
      </c>
      <c r="D4498" s="81" t="s">
        <v>150</v>
      </c>
      <c r="E4498" s="81" t="s">
        <v>49</v>
      </c>
      <c r="F4498" s="81" t="s">
        <v>2</v>
      </c>
    </row>
    <row r="4499" spans="1:6" x14ac:dyDescent="0.25">
      <c r="A4499" s="14">
        <v>46151.814583333333</v>
      </c>
      <c r="B4499" s="81" t="s">
        <v>149</v>
      </c>
      <c r="C4499" s="81" t="s">
        <v>158</v>
      </c>
      <c r="D4499" s="81" t="s">
        <v>854</v>
      </c>
      <c r="E4499" s="81" t="s">
        <v>50</v>
      </c>
      <c r="F4499" s="81" t="s">
        <v>1</v>
      </c>
    </row>
    <row r="4500" spans="1:6" x14ac:dyDescent="0.25">
      <c r="A4500" s="14">
        <v>46151.814583333333</v>
      </c>
      <c r="B4500" s="81" t="s">
        <v>149</v>
      </c>
      <c r="C4500" s="81" t="s">
        <v>187</v>
      </c>
      <c r="D4500" s="81" t="s">
        <v>167</v>
      </c>
      <c r="E4500" s="81" t="s">
        <v>75</v>
      </c>
      <c r="F4500" s="81" t="s">
        <v>93</v>
      </c>
    </row>
    <row r="4501" spans="1:6" x14ac:dyDescent="0.25">
      <c r="A4501" s="14">
        <v>46151.814583333333</v>
      </c>
      <c r="B4501" s="81" t="s">
        <v>149</v>
      </c>
      <c r="C4501" s="81" t="s">
        <v>187</v>
      </c>
      <c r="D4501" s="81" t="s">
        <v>167</v>
      </c>
      <c r="E4501" s="81" t="s">
        <v>75</v>
      </c>
      <c r="F4501" s="81" t="s">
        <v>93</v>
      </c>
    </row>
    <row r="4502" spans="1:6" x14ac:dyDescent="0.25">
      <c r="A4502" s="14">
        <v>46151.814583333333</v>
      </c>
      <c r="B4502" s="81" t="s">
        <v>149</v>
      </c>
      <c r="C4502" s="81" t="s">
        <v>187</v>
      </c>
      <c r="D4502" s="81" t="s">
        <v>167</v>
      </c>
      <c r="E4502" s="81" t="s">
        <v>75</v>
      </c>
      <c r="F4502" s="81" t="s">
        <v>93</v>
      </c>
    </row>
    <row r="4503" spans="1:6" x14ac:dyDescent="0.25">
      <c r="A4503" s="14">
        <v>46151.814583333333</v>
      </c>
      <c r="B4503" s="81" t="s">
        <v>149</v>
      </c>
      <c r="C4503" s="81" t="s">
        <v>187</v>
      </c>
      <c r="D4503" s="81" t="s">
        <v>167</v>
      </c>
      <c r="E4503" s="81" t="s">
        <v>75</v>
      </c>
      <c r="F4503" s="81" t="s">
        <v>93</v>
      </c>
    </row>
    <row r="4504" spans="1:6" x14ac:dyDescent="0.25">
      <c r="A4504" s="14">
        <v>46151.814583333333</v>
      </c>
      <c r="B4504" s="81" t="s">
        <v>149</v>
      </c>
      <c r="C4504" s="81" t="s">
        <v>187</v>
      </c>
      <c r="D4504" s="81" t="s">
        <v>167</v>
      </c>
      <c r="E4504" s="81" t="s">
        <v>75</v>
      </c>
      <c r="F4504" s="81" t="s">
        <v>93</v>
      </c>
    </row>
    <row r="4505" spans="1:6" x14ac:dyDescent="0.25">
      <c r="A4505" s="14">
        <v>46151.814583333333</v>
      </c>
      <c r="B4505" s="81" t="s">
        <v>149</v>
      </c>
      <c r="C4505" s="81" t="s">
        <v>187</v>
      </c>
      <c r="D4505" s="81" t="s">
        <v>167</v>
      </c>
      <c r="E4505" s="81" t="s">
        <v>75</v>
      </c>
      <c r="F4505" s="81" t="s">
        <v>93</v>
      </c>
    </row>
    <row r="4506" spans="1:6" x14ac:dyDescent="0.25">
      <c r="A4506" s="14">
        <v>46151.814583333333</v>
      </c>
      <c r="B4506" s="81" t="s">
        <v>149</v>
      </c>
      <c r="C4506" s="81" t="s">
        <v>187</v>
      </c>
      <c r="D4506" s="81" t="s">
        <v>167</v>
      </c>
      <c r="E4506" s="81" t="s">
        <v>75</v>
      </c>
      <c r="F4506" s="81" t="s">
        <v>93</v>
      </c>
    </row>
    <row r="4507" spans="1:6" x14ac:dyDescent="0.25">
      <c r="A4507" s="14">
        <v>46151.814583333333</v>
      </c>
      <c r="B4507" s="81" t="s">
        <v>149</v>
      </c>
      <c r="C4507" s="81" t="s">
        <v>187</v>
      </c>
      <c r="D4507" s="81" t="s">
        <v>167</v>
      </c>
      <c r="E4507" s="81" t="s">
        <v>75</v>
      </c>
      <c r="F4507" s="81" t="s">
        <v>93</v>
      </c>
    </row>
    <row r="4508" spans="1:6" x14ac:dyDescent="0.25">
      <c r="A4508" s="14">
        <v>46151.814583333333</v>
      </c>
      <c r="B4508" s="81" t="s">
        <v>149</v>
      </c>
      <c r="C4508" s="81" t="s">
        <v>187</v>
      </c>
      <c r="D4508" s="81" t="s">
        <v>167</v>
      </c>
      <c r="E4508" s="81" t="s">
        <v>75</v>
      </c>
      <c r="F4508" s="81" t="s">
        <v>93</v>
      </c>
    </row>
    <row r="4509" spans="1:6" x14ac:dyDescent="0.25">
      <c r="A4509" s="14">
        <v>46151.814583333333</v>
      </c>
      <c r="B4509" s="81" t="s">
        <v>149</v>
      </c>
      <c r="C4509" s="81" t="s">
        <v>175</v>
      </c>
      <c r="D4509" s="81" t="s">
        <v>168</v>
      </c>
      <c r="E4509" s="81" t="s">
        <v>50</v>
      </c>
      <c r="F4509" s="81" t="s">
        <v>1</v>
      </c>
    </row>
    <row r="4510" spans="1:6" x14ac:dyDescent="0.25">
      <c r="A4510" s="14">
        <v>46151.814583333333</v>
      </c>
      <c r="B4510" s="81" t="s">
        <v>149</v>
      </c>
      <c r="C4510" s="81" t="s">
        <v>185</v>
      </c>
      <c r="D4510" s="81" t="s">
        <v>168</v>
      </c>
      <c r="E4510" s="81" t="s">
        <v>50</v>
      </c>
      <c r="F4510" s="81" t="s">
        <v>1</v>
      </c>
    </row>
    <row r="4511" spans="1:6" x14ac:dyDescent="0.25">
      <c r="A4511" s="14">
        <v>46151.814583333333</v>
      </c>
      <c r="B4511" s="81" t="s">
        <v>149</v>
      </c>
      <c r="C4511" s="81" t="s">
        <v>175</v>
      </c>
      <c r="D4511" s="81" t="s">
        <v>168</v>
      </c>
      <c r="E4511" s="81" t="s">
        <v>50</v>
      </c>
      <c r="F4511" s="81" t="s">
        <v>1</v>
      </c>
    </row>
    <row r="4512" spans="1:6" x14ac:dyDescent="0.25">
      <c r="A4512" s="14">
        <v>46151.814583333333</v>
      </c>
      <c r="B4512" s="81" t="s">
        <v>149</v>
      </c>
      <c r="C4512" s="81" t="s">
        <v>184</v>
      </c>
      <c r="D4512" s="81" t="s">
        <v>168</v>
      </c>
      <c r="E4512" s="81" t="s">
        <v>49</v>
      </c>
      <c r="F4512" s="81" t="s">
        <v>2</v>
      </c>
    </row>
    <row r="4513" spans="1:6" x14ac:dyDescent="0.25">
      <c r="A4513" s="14">
        <v>46151.814583333333</v>
      </c>
      <c r="B4513" s="81" t="s">
        <v>149</v>
      </c>
      <c r="C4513" s="81" t="s">
        <v>183</v>
      </c>
      <c r="D4513" s="81" t="s">
        <v>168</v>
      </c>
      <c r="E4513" s="81" t="s">
        <v>49</v>
      </c>
      <c r="F4513" s="81" t="s">
        <v>2</v>
      </c>
    </row>
    <row r="4514" spans="1:6" x14ac:dyDescent="0.25">
      <c r="A4514" s="14">
        <v>46151.814583333333</v>
      </c>
      <c r="B4514" s="81" t="s">
        <v>149</v>
      </c>
      <c r="C4514" s="81" t="s">
        <v>185</v>
      </c>
      <c r="D4514" s="81" t="s">
        <v>841</v>
      </c>
      <c r="E4514" s="81" t="s">
        <v>50</v>
      </c>
      <c r="F4514" s="81" t="s">
        <v>1</v>
      </c>
    </row>
    <row r="4515" spans="1:6" x14ac:dyDescent="0.25">
      <c r="A4515" s="14">
        <v>46151.814583333333</v>
      </c>
      <c r="B4515" s="81" t="s">
        <v>149</v>
      </c>
      <c r="C4515" s="81" t="s">
        <v>183</v>
      </c>
      <c r="D4515" s="81" t="s">
        <v>168</v>
      </c>
      <c r="E4515" s="81" t="s">
        <v>49</v>
      </c>
      <c r="F4515" s="81" t="s">
        <v>2</v>
      </c>
    </row>
    <row r="4516" spans="1:6" x14ac:dyDescent="0.25">
      <c r="A4516" s="14">
        <v>46151.814583333333</v>
      </c>
      <c r="B4516" s="81" t="s">
        <v>149</v>
      </c>
      <c r="C4516" s="81" t="s">
        <v>175</v>
      </c>
      <c r="D4516" s="81" t="s">
        <v>165</v>
      </c>
      <c r="E4516" s="81" t="s">
        <v>50</v>
      </c>
      <c r="F4516" s="81" t="s">
        <v>1</v>
      </c>
    </row>
    <row r="4517" spans="1:6" x14ac:dyDescent="0.25">
      <c r="A4517" s="14">
        <v>46151.814583333333</v>
      </c>
      <c r="B4517" s="81" t="s">
        <v>149</v>
      </c>
      <c r="C4517" s="81" t="s">
        <v>151</v>
      </c>
      <c r="D4517" s="81" t="s">
        <v>168</v>
      </c>
      <c r="E4517" s="81" t="s">
        <v>50</v>
      </c>
      <c r="F4517" s="81" t="s">
        <v>1</v>
      </c>
    </row>
    <row r="4518" spans="1:6" x14ac:dyDescent="0.25">
      <c r="A4518" s="14">
        <v>46151.814583333333</v>
      </c>
      <c r="B4518" s="81" t="s">
        <v>149</v>
      </c>
      <c r="C4518" s="81" t="s">
        <v>184</v>
      </c>
      <c r="D4518" s="81" t="s">
        <v>168</v>
      </c>
      <c r="E4518" s="81" t="s">
        <v>50</v>
      </c>
      <c r="F4518" s="81" t="s">
        <v>1</v>
      </c>
    </row>
    <row r="4519" spans="1:6" x14ac:dyDescent="0.25">
      <c r="A4519" s="14">
        <v>46151.814583333333</v>
      </c>
      <c r="B4519" s="81" t="s">
        <v>149</v>
      </c>
      <c r="C4519" s="81" t="s">
        <v>184</v>
      </c>
      <c r="D4519" s="81" t="s">
        <v>168</v>
      </c>
      <c r="E4519" s="81" t="s">
        <v>50</v>
      </c>
      <c r="F4519" s="81" t="s">
        <v>1</v>
      </c>
    </row>
    <row r="4520" spans="1:6" x14ac:dyDescent="0.25">
      <c r="A4520" s="14">
        <v>46151.814583333333</v>
      </c>
      <c r="B4520" s="81" t="s">
        <v>149</v>
      </c>
      <c r="C4520" s="81" t="s">
        <v>190</v>
      </c>
      <c r="D4520" s="81" t="s">
        <v>168</v>
      </c>
      <c r="E4520" s="81" t="s">
        <v>52</v>
      </c>
      <c r="F4520" s="81" t="s">
        <v>0</v>
      </c>
    </row>
    <row r="4521" spans="1:6" x14ac:dyDescent="0.25">
      <c r="A4521" s="14">
        <v>46151.814583333333</v>
      </c>
      <c r="B4521" s="81" t="s">
        <v>149</v>
      </c>
      <c r="C4521" s="81" t="s">
        <v>184</v>
      </c>
      <c r="D4521" s="81" t="s">
        <v>168</v>
      </c>
      <c r="E4521" s="81" t="s">
        <v>50</v>
      </c>
      <c r="F4521" s="81" t="s">
        <v>1</v>
      </c>
    </row>
    <row r="4522" spans="1:6" x14ac:dyDescent="0.25">
      <c r="A4522" s="14">
        <v>46151.814583333333</v>
      </c>
      <c r="B4522" s="81" t="s">
        <v>149</v>
      </c>
      <c r="C4522" s="81" t="s">
        <v>171</v>
      </c>
      <c r="D4522" s="81" t="s">
        <v>165</v>
      </c>
      <c r="E4522" s="81" t="s">
        <v>50</v>
      </c>
      <c r="F4522" s="81" t="s">
        <v>1</v>
      </c>
    </row>
    <row r="4523" spans="1:6" x14ac:dyDescent="0.25">
      <c r="A4523" s="14">
        <v>46151.814583333333</v>
      </c>
      <c r="B4523" s="81" t="s">
        <v>149</v>
      </c>
      <c r="C4523" s="81" t="s">
        <v>182</v>
      </c>
      <c r="D4523" s="81" t="s">
        <v>266</v>
      </c>
      <c r="E4523" s="81" t="s">
        <v>52</v>
      </c>
      <c r="F4523" s="81" t="s">
        <v>0</v>
      </c>
    </row>
    <row r="4524" spans="1:6" x14ac:dyDescent="0.25">
      <c r="A4524" s="14">
        <v>46151.814583333333</v>
      </c>
      <c r="B4524" s="81" t="s">
        <v>149</v>
      </c>
      <c r="C4524" s="81" t="s">
        <v>151</v>
      </c>
      <c r="D4524" s="81" t="s">
        <v>261</v>
      </c>
      <c r="E4524" s="81" t="s">
        <v>50</v>
      </c>
      <c r="F4524" s="81" t="s">
        <v>1</v>
      </c>
    </row>
    <row r="4525" spans="1:6" x14ac:dyDescent="0.25">
      <c r="A4525" s="14">
        <v>46151.814583333333</v>
      </c>
      <c r="B4525" s="81" t="s">
        <v>149</v>
      </c>
      <c r="C4525" s="81" t="s">
        <v>182</v>
      </c>
      <c r="D4525" s="81" t="s">
        <v>261</v>
      </c>
      <c r="E4525" s="81" t="s">
        <v>52</v>
      </c>
      <c r="F4525" s="81" t="s">
        <v>0</v>
      </c>
    </row>
    <row r="4526" spans="1:6" x14ac:dyDescent="0.25">
      <c r="A4526" s="14">
        <v>46151.814583333333</v>
      </c>
      <c r="B4526" s="81" t="s">
        <v>149</v>
      </c>
      <c r="C4526" s="81" t="s">
        <v>181</v>
      </c>
      <c r="D4526" s="81" t="s">
        <v>165</v>
      </c>
      <c r="E4526" s="81" t="s">
        <v>50</v>
      </c>
      <c r="F4526" s="81" t="s">
        <v>1</v>
      </c>
    </row>
    <row r="4527" spans="1:6" x14ac:dyDescent="0.25">
      <c r="A4527" s="14">
        <v>46151.814583333333</v>
      </c>
      <c r="B4527" s="81" t="s">
        <v>149</v>
      </c>
      <c r="C4527" s="81" t="s">
        <v>173</v>
      </c>
      <c r="D4527" s="81" t="s">
        <v>283</v>
      </c>
      <c r="E4527" s="81" t="s">
        <v>52</v>
      </c>
      <c r="F4527" s="81" t="s">
        <v>0</v>
      </c>
    </row>
    <row r="4528" spans="1:6" x14ac:dyDescent="0.25">
      <c r="A4528" s="14">
        <v>46151.814583333333</v>
      </c>
      <c r="B4528" s="81" t="s">
        <v>149</v>
      </c>
      <c r="C4528" s="81" t="s">
        <v>158</v>
      </c>
      <c r="D4528" s="81" t="s">
        <v>165</v>
      </c>
      <c r="E4528" s="81" t="s">
        <v>50</v>
      </c>
      <c r="F4528" s="81" t="s">
        <v>1</v>
      </c>
    </row>
    <row r="4529" spans="1:6" x14ac:dyDescent="0.25">
      <c r="A4529" s="14">
        <v>46151.814583333333</v>
      </c>
      <c r="B4529" s="81" t="s">
        <v>149</v>
      </c>
      <c r="C4529" s="81" t="s">
        <v>181</v>
      </c>
      <c r="D4529" s="81" t="s">
        <v>261</v>
      </c>
      <c r="E4529" s="81" t="s">
        <v>50</v>
      </c>
      <c r="F4529" s="81" t="s">
        <v>1</v>
      </c>
    </row>
    <row r="4530" spans="1:6" x14ac:dyDescent="0.25">
      <c r="A4530" s="14">
        <v>46151.814583333333</v>
      </c>
      <c r="B4530" s="81" t="s">
        <v>149</v>
      </c>
      <c r="C4530" s="81" t="s">
        <v>185</v>
      </c>
      <c r="D4530" s="81" t="s">
        <v>261</v>
      </c>
      <c r="E4530" s="81" t="s">
        <v>50</v>
      </c>
      <c r="F4530" s="81" t="s">
        <v>1</v>
      </c>
    </row>
    <row r="4531" spans="1:6" x14ac:dyDescent="0.25">
      <c r="A4531" s="14">
        <v>46151.814583333333</v>
      </c>
      <c r="B4531" s="81" t="s">
        <v>149</v>
      </c>
      <c r="C4531" s="81" t="s">
        <v>192</v>
      </c>
      <c r="D4531" s="81" t="s">
        <v>259</v>
      </c>
      <c r="E4531" s="81" t="s">
        <v>60</v>
      </c>
      <c r="F4531" s="81" t="s">
        <v>28</v>
      </c>
    </row>
    <row r="4532" spans="1:6" x14ac:dyDescent="0.25">
      <c r="A4532" s="14">
        <v>46151.814583333333</v>
      </c>
      <c r="B4532" s="81" t="s">
        <v>149</v>
      </c>
      <c r="C4532" s="81" t="s">
        <v>183</v>
      </c>
      <c r="D4532" s="81" t="s">
        <v>165</v>
      </c>
      <c r="E4532" s="81" t="s">
        <v>50</v>
      </c>
      <c r="F4532" s="81" t="s">
        <v>1</v>
      </c>
    </row>
    <row r="4533" spans="1:6" x14ac:dyDescent="0.25">
      <c r="A4533" s="14">
        <v>46151.814583333333</v>
      </c>
      <c r="B4533" s="81" t="s">
        <v>149</v>
      </c>
      <c r="C4533" s="81" t="s">
        <v>176</v>
      </c>
      <c r="D4533" s="81" t="s">
        <v>167</v>
      </c>
      <c r="E4533" s="81" t="s">
        <v>70</v>
      </c>
      <c r="F4533" s="81" t="s">
        <v>15</v>
      </c>
    </row>
    <row r="4534" spans="1:6" x14ac:dyDescent="0.25">
      <c r="A4534" s="14">
        <v>46151.814583333333</v>
      </c>
      <c r="B4534" s="81" t="s">
        <v>149</v>
      </c>
      <c r="C4534" s="81" t="s">
        <v>176</v>
      </c>
      <c r="D4534" s="81" t="s">
        <v>167</v>
      </c>
      <c r="E4534" s="81" t="s">
        <v>70</v>
      </c>
      <c r="F4534" s="81" t="s">
        <v>15</v>
      </c>
    </row>
    <row r="4535" spans="1:6" x14ac:dyDescent="0.25">
      <c r="A4535" s="14">
        <v>46151.814583333333</v>
      </c>
      <c r="B4535" s="81" t="s">
        <v>149</v>
      </c>
      <c r="C4535" s="81" t="s">
        <v>192</v>
      </c>
      <c r="D4535" s="81" t="s">
        <v>165</v>
      </c>
      <c r="E4535" s="81" t="s">
        <v>60</v>
      </c>
      <c r="F4535" s="81" t="s">
        <v>28</v>
      </c>
    </row>
    <row r="4536" spans="1:6" x14ac:dyDescent="0.25">
      <c r="A4536" s="14">
        <v>46151.814583333333</v>
      </c>
      <c r="B4536" s="81" t="s">
        <v>149</v>
      </c>
      <c r="C4536" s="81" t="s">
        <v>187</v>
      </c>
      <c r="D4536" s="81" t="s">
        <v>165</v>
      </c>
      <c r="E4536" s="81" t="s">
        <v>75</v>
      </c>
      <c r="F4536" s="81" t="s">
        <v>93</v>
      </c>
    </row>
    <row r="4537" spans="1:6" x14ac:dyDescent="0.25">
      <c r="A4537" s="14">
        <v>46151.814583333333</v>
      </c>
      <c r="B4537" s="81" t="s">
        <v>149</v>
      </c>
      <c r="C4537" s="81" t="s">
        <v>182</v>
      </c>
      <c r="D4537" s="81" t="s">
        <v>199</v>
      </c>
      <c r="E4537" s="81" t="s">
        <v>49</v>
      </c>
      <c r="F4537" s="81" t="s">
        <v>2</v>
      </c>
    </row>
    <row r="4538" spans="1:6" x14ac:dyDescent="0.25">
      <c r="A4538" s="14">
        <v>46151.814583333333</v>
      </c>
      <c r="B4538" s="81" t="s">
        <v>149</v>
      </c>
      <c r="C4538" s="81" t="s">
        <v>181</v>
      </c>
      <c r="D4538" s="81" t="s">
        <v>257</v>
      </c>
      <c r="E4538" s="81" t="s">
        <v>52</v>
      </c>
      <c r="F4538" s="81" t="s">
        <v>0</v>
      </c>
    </row>
    <row r="4539" spans="1:6" x14ac:dyDescent="0.25">
      <c r="A4539" s="14">
        <v>46151.814583333333</v>
      </c>
      <c r="B4539" s="81" t="s">
        <v>149</v>
      </c>
      <c r="C4539" s="81" t="s">
        <v>227</v>
      </c>
      <c r="D4539" s="81" t="s">
        <v>199</v>
      </c>
      <c r="E4539" s="81" t="s">
        <v>64</v>
      </c>
      <c r="F4539" s="81" t="s">
        <v>98</v>
      </c>
    </row>
    <row r="4540" spans="1:6" x14ac:dyDescent="0.25">
      <c r="A4540" s="14">
        <v>46151.814583333333</v>
      </c>
      <c r="B4540" s="81" t="s">
        <v>195</v>
      </c>
      <c r="C4540" s="81" t="s">
        <v>198</v>
      </c>
      <c r="D4540" s="81" t="s">
        <v>254</v>
      </c>
      <c r="E4540" s="81" t="s">
        <v>24</v>
      </c>
      <c r="F4540" s="81" t="s">
        <v>24</v>
      </c>
    </row>
    <row r="4541" spans="1:6" x14ac:dyDescent="0.25">
      <c r="A4541" s="14">
        <v>46151.814583333333</v>
      </c>
      <c r="B4541" s="81" t="s">
        <v>195</v>
      </c>
      <c r="C4541" s="81" t="s">
        <v>198</v>
      </c>
      <c r="D4541" s="81" t="s">
        <v>254</v>
      </c>
      <c r="E4541" s="81" t="s">
        <v>24</v>
      </c>
      <c r="F4541" s="81" t="s">
        <v>24</v>
      </c>
    </row>
    <row r="4542" spans="1:6" x14ac:dyDescent="0.25">
      <c r="A4542" s="14">
        <v>46151.814583333333</v>
      </c>
      <c r="B4542" s="81" t="s">
        <v>195</v>
      </c>
      <c r="C4542" s="81" t="s">
        <v>198</v>
      </c>
      <c r="D4542" s="81" t="s">
        <v>254</v>
      </c>
      <c r="E4542" s="81" t="s">
        <v>24</v>
      </c>
      <c r="F4542" s="81" t="s">
        <v>24</v>
      </c>
    </row>
    <row r="4543" spans="1:6" x14ac:dyDescent="0.25">
      <c r="A4543" s="14">
        <v>46151.814583333333</v>
      </c>
      <c r="B4543" s="81" t="s">
        <v>195</v>
      </c>
      <c r="C4543" s="81" t="s">
        <v>198</v>
      </c>
      <c r="D4543" s="81" t="s">
        <v>254</v>
      </c>
      <c r="E4543" s="81" t="s">
        <v>24</v>
      </c>
      <c r="F4543" s="81" t="s">
        <v>24</v>
      </c>
    </row>
    <row r="4544" spans="1:6" x14ac:dyDescent="0.25">
      <c r="A4544" s="14">
        <v>46151.814583333333</v>
      </c>
      <c r="B4544" s="81" t="s">
        <v>195</v>
      </c>
      <c r="C4544" s="81" t="s">
        <v>198</v>
      </c>
      <c r="D4544" s="81" t="s">
        <v>254</v>
      </c>
      <c r="E4544" s="81" t="s">
        <v>24</v>
      </c>
      <c r="F4544" s="81" t="s">
        <v>24</v>
      </c>
    </row>
    <row r="4545" spans="1:6" x14ac:dyDescent="0.25">
      <c r="A4545" s="14">
        <v>46151.814583333333</v>
      </c>
      <c r="B4545" s="81" t="s">
        <v>195</v>
      </c>
      <c r="C4545" s="81" t="s">
        <v>198</v>
      </c>
      <c r="D4545" s="81" t="s">
        <v>254</v>
      </c>
      <c r="E4545" s="81" t="s">
        <v>24</v>
      </c>
      <c r="F4545" s="81" t="s">
        <v>24</v>
      </c>
    </row>
    <row r="4546" spans="1:6" x14ac:dyDescent="0.25">
      <c r="A4546" s="14">
        <v>46151.814583333333</v>
      </c>
      <c r="B4546" s="81" t="s">
        <v>195</v>
      </c>
      <c r="C4546" s="81" t="s">
        <v>209</v>
      </c>
      <c r="D4546" s="81" t="s">
        <v>162</v>
      </c>
      <c r="E4546" s="81" t="s">
        <v>24</v>
      </c>
      <c r="F4546" s="81" t="s">
        <v>24</v>
      </c>
    </row>
    <row r="4547" spans="1:6" x14ac:dyDescent="0.25">
      <c r="A4547" s="14">
        <v>46151.814583333333</v>
      </c>
      <c r="B4547" s="81" t="s">
        <v>195</v>
      </c>
      <c r="C4547" s="81" t="s">
        <v>209</v>
      </c>
      <c r="D4547" s="81" t="s">
        <v>162</v>
      </c>
      <c r="E4547" s="81" t="s">
        <v>24</v>
      </c>
      <c r="F4547" s="81" t="s">
        <v>24</v>
      </c>
    </row>
    <row r="4548" spans="1:6" x14ac:dyDescent="0.25">
      <c r="A4548" s="14">
        <v>46151.814583333333</v>
      </c>
      <c r="B4548" s="81" t="s">
        <v>195</v>
      </c>
      <c r="C4548" s="81" t="s">
        <v>209</v>
      </c>
      <c r="D4548" s="81" t="s">
        <v>162</v>
      </c>
      <c r="E4548" s="81" t="s">
        <v>24</v>
      </c>
      <c r="F4548" s="81" t="s">
        <v>24</v>
      </c>
    </row>
    <row r="4549" spans="1:6" x14ac:dyDescent="0.25">
      <c r="A4549" s="14">
        <v>46151.814583333333</v>
      </c>
      <c r="B4549" s="81" t="s">
        <v>195</v>
      </c>
      <c r="C4549" s="81" t="s">
        <v>197</v>
      </c>
      <c r="D4549" s="81" t="s">
        <v>162</v>
      </c>
      <c r="E4549" s="81" t="s">
        <v>24</v>
      </c>
      <c r="F4549" s="81" t="s">
        <v>24</v>
      </c>
    </row>
    <row r="4550" spans="1:6" x14ac:dyDescent="0.25">
      <c r="A4550" s="14">
        <v>46151.814583333333</v>
      </c>
      <c r="B4550" s="81" t="s">
        <v>195</v>
      </c>
      <c r="C4550" s="81" t="s">
        <v>197</v>
      </c>
      <c r="D4550" s="81" t="s">
        <v>162</v>
      </c>
      <c r="E4550" s="81" t="s">
        <v>24</v>
      </c>
      <c r="F4550" s="81" t="s">
        <v>24</v>
      </c>
    </row>
    <row r="4551" spans="1:6" x14ac:dyDescent="0.25">
      <c r="A4551" s="14">
        <v>46151.814583333333</v>
      </c>
      <c r="B4551" s="81" t="s">
        <v>195</v>
      </c>
      <c r="C4551" s="81" t="s">
        <v>197</v>
      </c>
      <c r="D4551" s="81" t="s">
        <v>162</v>
      </c>
      <c r="E4551" s="81" t="s">
        <v>24</v>
      </c>
      <c r="F4551" s="81" t="s">
        <v>24</v>
      </c>
    </row>
    <row r="4552" spans="1:6" x14ac:dyDescent="0.25">
      <c r="A4552" s="14">
        <v>46151.814583333333</v>
      </c>
      <c r="B4552" s="81" t="s">
        <v>195</v>
      </c>
      <c r="C4552" s="81" t="s">
        <v>209</v>
      </c>
      <c r="D4552" s="81" t="s">
        <v>168</v>
      </c>
      <c r="E4552" s="81" t="s">
        <v>24</v>
      </c>
      <c r="F4552" s="81" t="s">
        <v>24</v>
      </c>
    </row>
    <row r="4553" spans="1:6" x14ac:dyDescent="0.25">
      <c r="A4553" s="14">
        <v>46151.814583333333</v>
      </c>
      <c r="B4553" s="81" t="s">
        <v>195</v>
      </c>
      <c r="C4553" s="81" t="s">
        <v>209</v>
      </c>
      <c r="D4553" s="81" t="s">
        <v>168</v>
      </c>
      <c r="E4553" s="81" t="s">
        <v>24</v>
      </c>
      <c r="F4553" s="81" t="s">
        <v>24</v>
      </c>
    </row>
    <row r="4554" spans="1:6" x14ac:dyDescent="0.25">
      <c r="A4554" s="14">
        <v>46151.814583333333</v>
      </c>
      <c r="B4554" s="81" t="s">
        <v>195</v>
      </c>
      <c r="C4554" s="81" t="s">
        <v>209</v>
      </c>
      <c r="D4554" s="81" t="s">
        <v>168</v>
      </c>
      <c r="E4554" s="81" t="s">
        <v>24</v>
      </c>
      <c r="F4554" s="81" t="s">
        <v>24</v>
      </c>
    </row>
    <row r="4555" spans="1:6" x14ac:dyDescent="0.25">
      <c r="A4555" s="14">
        <v>46151.886805555558</v>
      </c>
      <c r="B4555" s="81" t="s">
        <v>149</v>
      </c>
      <c r="C4555" s="81" t="s">
        <v>158</v>
      </c>
      <c r="D4555" s="81" t="s">
        <v>191</v>
      </c>
      <c r="E4555" s="81" t="s">
        <v>49</v>
      </c>
      <c r="F4555" s="81" t="s">
        <v>2</v>
      </c>
    </row>
    <row r="4556" spans="1:6" x14ac:dyDescent="0.25">
      <c r="A4556" s="14">
        <v>46151.886805555558</v>
      </c>
      <c r="B4556" s="81" t="s">
        <v>149</v>
      </c>
      <c r="C4556" s="81" t="s">
        <v>192</v>
      </c>
      <c r="D4556" s="81" t="s">
        <v>266</v>
      </c>
      <c r="E4556" s="81" t="s">
        <v>60</v>
      </c>
      <c r="F4556" s="81" t="s">
        <v>28</v>
      </c>
    </row>
    <row r="4557" spans="1:6" x14ac:dyDescent="0.25">
      <c r="A4557" s="14">
        <v>46151.886805555558</v>
      </c>
      <c r="B4557" s="81" t="s">
        <v>149</v>
      </c>
      <c r="C4557" s="81" t="s">
        <v>183</v>
      </c>
      <c r="D4557" s="81" t="s">
        <v>191</v>
      </c>
      <c r="E4557" s="81" t="s">
        <v>52</v>
      </c>
      <c r="F4557" s="81" t="s">
        <v>0</v>
      </c>
    </row>
    <row r="4558" spans="1:6" x14ac:dyDescent="0.25">
      <c r="A4558" s="14">
        <v>46151.886805555558</v>
      </c>
      <c r="B4558" s="81" t="s">
        <v>149</v>
      </c>
      <c r="C4558" s="81" t="s">
        <v>158</v>
      </c>
      <c r="D4558" s="81" t="s">
        <v>167</v>
      </c>
      <c r="E4558" s="81" t="s">
        <v>49</v>
      </c>
      <c r="F4558" s="81" t="s">
        <v>2</v>
      </c>
    </row>
    <row r="4559" spans="1:6" x14ac:dyDescent="0.25">
      <c r="A4559" s="14">
        <v>46151.886805555558</v>
      </c>
      <c r="B4559" s="81" t="s">
        <v>149</v>
      </c>
      <c r="C4559" s="81" t="s">
        <v>185</v>
      </c>
      <c r="D4559" s="81" t="s">
        <v>252</v>
      </c>
      <c r="E4559" s="81" t="s">
        <v>52</v>
      </c>
      <c r="F4559" s="81" t="s">
        <v>0</v>
      </c>
    </row>
    <row r="4560" spans="1:6" x14ac:dyDescent="0.25">
      <c r="A4560" s="14">
        <v>46151.886805555558</v>
      </c>
      <c r="B4560" s="81" t="s">
        <v>149</v>
      </c>
      <c r="C4560" s="81" t="s">
        <v>158</v>
      </c>
      <c r="D4560" s="81" t="s">
        <v>261</v>
      </c>
      <c r="E4560" s="81" t="s">
        <v>50</v>
      </c>
      <c r="F4560" s="81" t="s">
        <v>1</v>
      </c>
    </row>
    <row r="4561" spans="1:6" x14ac:dyDescent="0.25">
      <c r="A4561" s="14">
        <v>46151.886805555558</v>
      </c>
      <c r="B4561" s="81" t="s">
        <v>149</v>
      </c>
      <c r="C4561" s="81" t="s">
        <v>187</v>
      </c>
      <c r="D4561" s="81" t="s">
        <v>261</v>
      </c>
      <c r="E4561" s="81" t="s">
        <v>75</v>
      </c>
      <c r="F4561" s="81" t="s">
        <v>93</v>
      </c>
    </row>
    <row r="4562" spans="1:6" x14ac:dyDescent="0.25">
      <c r="A4562" s="14">
        <v>46151.945833333331</v>
      </c>
      <c r="B4562" s="81" t="s">
        <v>149</v>
      </c>
      <c r="C4562" s="81" t="s">
        <v>190</v>
      </c>
      <c r="D4562" s="81" t="s">
        <v>167</v>
      </c>
      <c r="E4562" s="81" t="s">
        <v>50</v>
      </c>
      <c r="F4562" s="81" t="s">
        <v>1</v>
      </c>
    </row>
    <row r="4563" spans="1:6" x14ac:dyDescent="0.25">
      <c r="A4563" s="14">
        <v>46151.945833333331</v>
      </c>
      <c r="B4563" s="81" t="s">
        <v>149</v>
      </c>
      <c r="C4563" s="81" t="s">
        <v>190</v>
      </c>
      <c r="D4563" s="81" t="s">
        <v>167</v>
      </c>
      <c r="E4563" s="81" t="s">
        <v>50</v>
      </c>
      <c r="F4563" s="81" t="s">
        <v>1</v>
      </c>
    </row>
    <row r="4564" spans="1:6" x14ac:dyDescent="0.25">
      <c r="A4564" s="14">
        <v>46151.945833333331</v>
      </c>
      <c r="B4564" s="81" t="s">
        <v>149</v>
      </c>
      <c r="C4564" s="81" t="s">
        <v>187</v>
      </c>
      <c r="D4564" s="81" t="s">
        <v>167</v>
      </c>
      <c r="E4564" s="81" t="s">
        <v>75</v>
      </c>
      <c r="F4564" s="81" t="s">
        <v>93</v>
      </c>
    </row>
    <row r="4565" spans="1:6" x14ac:dyDescent="0.25">
      <c r="A4565" s="14">
        <v>46151.945833333331</v>
      </c>
      <c r="B4565" s="81" t="s">
        <v>149</v>
      </c>
      <c r="C4565" s="81" t="s">
        <v>187</v>
      </c>
      <c r="D4565" s="81" t="s">
        <v>167</v>
      </c>
      <c r="E4565" s="81" t="s">
        <v>75</v>
      </c>
      <c r="F4565" s="81" t="s">
        <v>93</v>
      </c>
    </row>
    <row r="4566" spans="1:6" x14ac:dyDescent="0.25">
      <c r="A4566" s="14">
        <v>46151.945833333331</v>
      </c>
      <c r="B4566" s="81" t="s">
        <v>149</v>
      </c>
      <c r="C4566" s="81" t="s">
        <v>184</v>
      </c>
      <c r="D4566" s="81" t="s">
        <v>233</v>
      </c>
      <c r="E4566" s="81" t="s">
        <v>52</v>
      </c>
      <c r="F4566" s="81" t="s">
        <v>0</v>
      </c>
    </row>
    <row r="4567" spans="1:6" x14ac:dyDescent="0.25">
      <c r="A4567" s="14">
        <v>46151.945833333331</v>
      </c>
      <c r="B4567" s="81" t="s">
        <v>149</v>
      </c>
      <c r="C4567" s="81" t="s">
        <v>173</v>
      </c>
      <c r="D4567" s="81" t="s">
        <v>233</v>
      </c>
      <c r="E4567" s="81" t="s">
        <v>52</v>
      </c>
      <c r="F4567" s="81" t="s">
        <v>0</v>
      </c>
    </row>
    <row r="4568" spans="1:6" x14ac:dyDescent="0.25">
      <c r="A4568" s="14">
        <v>46151.945833333331</v>
      </c>
      <c r="B4568" s="81" t="s">
        <v>149</v>
      </c>
      <c r="C4568" s="81" t="s">
        <v>183</v>
      </c>
      <c r="D4568" s="81" t="s">
        <v>199</v>
      </c>
      <c r="E4568" s="81" t="s">
        <v>49</v>
      </c>
      <c r="F4568" s="81" t="s">
        <v>2</v>
      </c>
    </row>
    <row r="4569" spans="1:6" x14ac:dyDescent="0.25">
      <c r="A4569" s="14">
        <v>46151.945833333331</v>
      </c>
      <c r="B4569" s="81" t="s">
        <v>149</v>
      </c>
      <c r="C4569" s="81" t="s">
        <v>173</v>
      </c>
      <c r="D4569" s="81" t="s">
        <v>233</v>
      </c>
      <c r="E4569" s="81" t="s">
        <v>52</v>
      </c>
      <c r="F4569" s="81" t="s">
        <v>0</v>
      </c>
    </row>
    <row r="4570" spans="1:6" x14ac:dyDescent="0.25">
      <c r="A4570" s="14">
        <v>46151.945833333331</v>
      </c>
      <c r="B4570" s="81" t="s">
        <v>149</v>
      </c>
      <c r="C4570" s="81" t="s">
        <v>173</v>
      </c>
      <c r="D4570" s="81" t="s">
        <v>250</v>
      </c>
      <c r="E4570" s="81" t="s">
        <v>52</v>
      </c>
      <c r="F4570" s="81" t="s">
        <v>0</v>
      </c>
    </row>
    <row r="4571" spans="1:6" x14ac:dyDescent="0.25">
      <c r="A4571" s="14">
        <v>46151.945833333331</v>
      </c>
      <c r="B4571" s="81" t="s">
        <v>149</v>
      </c>
      <c r="C4571" s="81" t="s">
        <v>182</v>
      </c>
      <c r="D4571" s="81" t="s">
        <v>199</v>
      </c>
      <c r="E4571" s="81" t="s">
        <v>49</v>
      </c>
      <c r="F4571" s="81" t="s">
        <v>2</v>
      </c>
    </row>
    <row r="4572" spans="1:6" x14ac:dyDescent="0.25">
      <c r="A4572" s="14">
        <v>46151.945833333331</v>
      </c>
      <c r="B4572" s="81" t="s">
        <v>149</v>
      </c>
      <c r="C4572" s="81" t="s">
        <v>190</v>
      </c>
      <c r="D4572" s="81" t="s">
        <v>233</v>
      </c>
      <c r="E4572" s="81" t="s">
        <v>52</v>
      </c>
      <c r="F4572" s="81" t="s">
        <v>0</v>
      </c>
    </row>
    <row r="4573" spans="1:6" x14ac:dyDescent="0.25">
      <c r="A4573" s="14">
        <v>46151.945833333331</v>
      </c>
      <c r="B4573" s="81" t="s">
        <v>149</v>
      </c>
      <c r="C4573" s="81" t="s">
        <v>184</v>
      </c>
      <c r="D4573" s="81" t="s">
        <v>199</v>
      </c>
      <c r="E4573" s="81" t="s">
        <v>49</v>
      </c>
      <c r="F4573" s="81" t="s">
        <v>2</v>
      </c>
    </row>
    <row r="4574" spans="1:6" x14ac:dyDescent="0.25">
      <c r="A4574" s="14">
        <v>46151.945833333331</v>
      </c>
      <c r="B4574" s="81" t="s">
        <v>149</v>
      </c>
      <c r="C4574" s="81" t="s">
        <v>151</v>
      </c>
      <c r="D4574" s="81" t="s">
        <v>250</v>
      </c>
      <c r="E4574" s="81" t="s">
        <v>52</v>
      </c>
      <c r="F4574" s="81" t="s">
        <v>0</v>
      </c>
    </row>
    <row r="4575" spans="1:6" x14ac:dyDescent="0.25">
      <c r="A4575" s="14">
        <v>46151.945833333331</v>
      </c>
      <c r="B4575" s="81" t="s">
        <v>149</v>
      </c>
      <c r="C4575" s="81" t="s">
        <v>173</v>
      </c>
      <c r="D4575" s="81" t="s">
        <v>199</v>
      </c>
      <c r="E4575" s="81" t="s">
        <v>50</v>
      </c>
      <c r="F4575" s="81" t="s">
        <v>1</v>
      </c>
    </row>
    <row r="4576" spans="1:6" x14ac:dyDescent="0.25">
      <c r="A4576" s="14">
        <v>46151.945833333331</v>
      </c>
      <c r="B4576" s="81" t="s">
        <v>149</v>
      </c>
      <c r="C4576" s="81" t="s">
        <v>190</v>
      </c>
      <c r="D4576" s="81" t="s">
        <v>199</v>
      </c>
      <c r="E4576" s="81" t="s">
        <v>50</v>
      </c>
      <c r="F4576" s="81" t="s">
        <v>1</v>
      </c>
    </row>
    <row r="4577" spans="1:6" x14ac:dyDescent="0.25">
      <c r="A4577" s="14">
        <v>46151.945833333331</v>
      </c>
      <c r="B4577" s="81" t="s">
        <v>149</v>
      </c>
      <c r="C4577" s="81" t="s">
        <v>184</v>
      </c>
      <c r="D4577" s="81" t="s">
        <v>199</v>
      </c>
      <c r="E4577" s="81" t="s">
        <v>52</v>
      </c>
      <c r="F4577" s="81" t="s">
        <v>0</v>
      </c>
    </row>
    <row r="4578" spans="1:6" x14ac:dyDescent="0.25">
      <c r="A4578" s="14">
        <v>46151.945833333331</v>
      </c>
      <c r="B4578" s="81" t="s">
        <v>149</v>
      </c>
      <c r="C4578" s="81" t="s">
        <v>190</v>
      </c>
      <c r="D4578" s="81" t="s">
        <v>199</v>
      </c>
      <c r="E4578" s="81" t="s">
        <v>50</v>
      </c>
      <c r="F4578" s="81" t="s">
        <v>1</v>
      </c>
    </row>
    <row r="4579" spans="1:6" x14ac:dyDescent="0.25">
      <c r="A4579" s="14">
        <v>46151.945833333331</v>
      </c>
      <c r="B4579" s="81" t="s">
        <v>149</v>
      </c>
      <c r="C4579" s="81" t="s">
        <v>158</v>
      </c>
      <c r="D4579" s="81" t="s">
        <v>250</v>
      </c>
      <c r="E4579" s="81" t="s">
        <v>50</v>
      </c>
      <c r="F4579" s="81" t="s">
        <v>1</v>
      </c>
    </row>
    <row r="4580" spans="1:6" x14ac:dyDescent="0.25">
      <c r="A4580" s="14">
        <v>46151.945833333331</v>
      </c>
      <c r="B4580" s="81" t="s">
        <v>149</v>
      </c>
      <c r="C4580" s="81" t="s">
        <v>171</v>
      </c>
      <c r="D4580" s="81" t="s">
        <v>199</v>
      </c>
      <c r="E4580" s="81" t="s">
        <v>50</v>
      </c>
      <c r="F4580" s="81" t="s">
        <v>1</v>
      </c>
    </row>
    <row r="4581" spans="1:6" x14ac:dyDescent="0.25">
      <c r="A4581" s="14">
        <v>46151.945833333331</v>
      </c>
      <c r="B4581" s="81" t="s">
        <v>149</v>
      </c>
      <c r="C4581" s="81" t="s">
        <v>190</v>
      </c>
      <c r="D4581" s="81" t="s">
        <v>199</v>
      </c>
      <c r="E4581" s="81" t="s">
        <v>49</v>
      </c>
      <c r="F4581" s="81" t="s">
        <v>2</v>
      </c>
    </row>
    <row r="4582" spans="1:6" x14ac:dyDescent="0.25">
      <c r="A4582" s="14">
        <v>46151.945833333331</v>
      </c>
      <c r="B4582" s="81" t="s">
        <v>149</v>
      </c>
      <c r="C4582" s="81" t="s">
        <v>151</v>
      </c>
      <c r="D4582" s="81" t="s">
        <v>250</v>
      </c>
      <c r="E4582" s="81" t="s">
        <v>52</v>
      </c>
      <c r="F4582" s="81" t="s">
        <v>0</v>
      </c>
    </row>
    <row r="4583" spans="1:6" x14ac:dyDescent="0.25">
      <c r="A4583" s="14">
        <v>46151.945833333331</v>
      </c>
      <c r="B4583" s="81" t="s">
        <v>149</v>
      </c>
      <c r="C4583" s="81" t="s">
        <v>158</v>
      </c>
      <c r="D4583" s="81" t="s">
        <v>199</v>
      </c>
      <c r="E4583" s="81" t="s">
        <v>52</v>
      </c>
      <c r="F4583" s="81" t="s">
        <v>0</v>
      </c>
    </row>
    <row r="4584" spans="1:6" x14ac:dyDescent="0.25">
      <c r="A4584" s="14">
        <v>46151.945833333331</v>
      </c>
      <c r="B4584" s="81" t="s">
        <v>149</v>
      </c>
      <c r="C4584" s="81" t="s">
        <v>184</v>
      </c>
      <c r="D4584" s="81" t="s">
        <v>250</v>
      </c>
      <c r="E4584" s="81" t="s">
        <v>50</v>
      </c>
      <c r="F4584" s="81" t="s">
        <v>1</v>
      </c>
    </row>
    <row r="4585" spans="1:6" x14ac:dyDescent="0.25">
      <c r="A4585" s="14">
        <v>46151.945833333331</v>
      </c>
      <c r="B4585" s="81" t="s">
        <v>149</v>
      </c>
      <c r="C4585" s="81" t="s">
        <v>185</v>
      </c>
      <c r="D4585" s="81" t="s">
        <v>199</v>
      </c>
      <c r="E4585" s="81" t="s">
        <v>52</v>
      </c>
      <c r="F4585" s="81" t="s">
        <v>0</v>
      </c>
    </row>
    <row r="4586" spans="1:6" x14ac:dyDescent="0.25">
      <c r="A4586" s="14">
        <v>46151.945833333331</v>
      </c>
      <c r="B4586" s="81" t="s">
        <v>149</v>
      </c>
      <c r="C4586" s="81" t="s">
        <v>215</v>
      </c>
      <c r="D4586" s="81" t="s">
        <v>199</v>
      </c>
      <c r="E4586" s="81" t="s">
        <v>64</v>
      </c>
      <c r="F4586" s="81" t="s">
        <v>98</v>
      </c>
    </row>
    <row r="4587" spans="1:6" x14ac:dyDescent="0.25">
      <c r="A4587" s="14">
        <v>46151.945833333331</v>
      </c>
      <c r="B4587" s="81" t="s">
        <v>149</v>
      </c>
      <c r="C4587" s="81" t="s">
        <v>190</v>
      </c>
      <c r="D4587" s="81" t="s">
        <v>250</v>
      </c>
      <c r="E4587" s="81" t="s">
        <v>50</v>
      </c>
      <c r="F4587" s="81" t="s">
        <v>1</v>
      </c>
    </row>
    <row r="4588" spans="1:6" x14ac:dyDescent="0.25">
      <c r="A4588" s="14">
        <v>46151.945833333331</v>
      </c>
      <c r="B4588" s="81" t="s">
        <v>149</v>
      </c>
      <c r="C4588" s="81" t="s">
        <v>181</v>
      </c>
      <c r="D4588" s="81" t="s">
        <v>250</v>
      </c>
      <c r="E4588" s="81" t="s">
        <v>50</v>
      </c>
      <c r="F4588" s="81" t="s">
        <v>1</v>
      </c>
    </row>
    <row r="4589" spans="1:6" x14ac:dyDescent="0.25">
      <c r="A4589" s="14">
        <v>46151.945833333331</v>
      </c>
      <c r="B4589" s="81" t="s">
        <v>149</v>
      </c>
      <c r="C4589" s="81" t="s">
        <v>185</v>
      </c>
      <c r="D4589" s="81" t="s">
        <v>250</v>
      </c>
      <c r="E4589" s="81" t="s">
        <v>50</v>
      </c>
      <c r="F4589" s="81" t="s">
        <v>1</v>
      </c>
    </row>
    <row r="4590" spans="1:6" x14ac:dyDescent="0.25">
      <c r="A4590" s="14">
        <v>46151.945833333331</v>
      </c>
      <c r="B4590" s="81" t="s">
        <v>149</v>
      </c>
      <c r="C4590" s="81" t="s">
        <v>181</v>
      </c>
      <c r="D4590" s="81" t="s">
        <v>233</v>
      </c>
      <c r="E4590" s="81" t="s">
        <v>52</v>
      </c>
      <c r="F4590" s="81" t="s">
        <v>0</v>
      </c>
    </row>
    <row r="4591" spans="1:6" x14ac:dyDescent="0.25">
      <c r="A4591" s="14">
        <v>46151.945833333331</v>
      </c>
      <c r="B4591" s="81" t="s">
        <v>195</v>
      </c>
      <c r="C4591" s="81" t="s">
        <v>196</v>
      </c>
      <c r="D4591" s="81" t="s">
        <v>841</v>
      </c>
      <c r="E4591" s="81" t="s">
        <v>24</v>
      </c>
      <c r="F4591" s="81" t="s">
        <v>24</v>
      </c>
    </row>
    <row r="4592" spans="1:6" x14ac:dyDescent="0.25">
      <c r="A4592" s="14">
        <v>46151.945833333331</v>
      </c>
      <c r="B4592" s="81" t="s">
        <v>195</v>
      </c>
      <c r="C4592" s="81" t="s">
        <v>196</v>
      </c>
      <c r="D4592" s="81" t="s">
        <v>841</v>
      </c>
      <c r="E4592" s="81" t="s">
        <v>24</v>
      </c>
      <c r="F4592" s="81" t="s">
        <v>24</v>
      </c>
    </row>
    <row r="4593" spans="1:6" x14ac:dyDescent="0.25">
      <c r="A4593" s="14">
        <v>46151.945833333331</v>
      </c>
      <c r="B4593" s="81" t="s">
        <v>195</v>
      </c>
      <c r="C4593" s="81" t="s">
        <v>196</v>
      </c>
      <c r="D4593" s="81" t="s">
        <v>841</v>
      </c>
      <c r="E4593" s="81" t="s">
        <v>24</v>
      </c>
      <c r="F4593" s="81" t="s">
        <v>24</v>
      </c>
    </row>
    <row r="4594" spans="1:6" x14ac:dyDescent="0.25">
      <c r="A4594" s="14">
        <v>46152.056944444441</v>
      </c>
      <c r="B4594" s="81" t="s">
        <v>149</v>
      </c>
      <c r="C4594" s="81" t="s">
        <v>188</v>
      </c>
      <c r="D4594" s="81" t="s">
        <v>157</v>
      </c>
      <c r="E4594" s="81" t="s">
        <v>45</v>
      </c>
      <c r="F4594" s="81" t="s">
        <v>28</v>
      </c>
    </row>
    <row r="4595" spans="1:6" x14ac:dyDescent="0.25">
      <c r="A4595" s="14">
        <v>46152.056944444441</v>
      </c>
      <c r="B4595" s="81" t="s">
        <v>149</v>
      </c>
      <c r="C4595" s="81" t="s">
        <v>189</v>
      </c>
      <c r="D4595" s="81" t="s">
        <v>157</v>
      </c>
      <c r="E4595" s="81" t="s">
        <v>45</v>
      </c>
      <c r="F4595" s="81" t="s">
        <v>28</v>
      </c>
    </row>
    <row r="4596" spans="1:6" x14ac:dyDescent="0.25">
      <c r="A4596" s="14">
        <v>46152.056944444441</v>
      </c>
      <c r="B4596" s="81" t="s">
        <v>149</v>
      </c>
      <c r="C4596" s="81" t="s">
        <v>239</v>
      </c>
      <c r="D4596" s="81" t="s">
        <v>157</v>
      </c>
      <c r="E4596" s="81" t="s">
        <v>45</v>
      </c>
      <c r="F4596" s="81" t="s">
        <v>28</v>
      </c>
    </row>
    <row r="4597" spans="1:6" x14ac:dyDescent="0.25">
      <c r="A4597" s="14">
        <v>46152.056944444441</v>
      </c>
      <c r="B4597" s="81" t="s">
        <v>149</v>
      </c>
      <c r="C4597" s="81" t="s">
        <v>192</v>
      </c>
      <c r="D4597" s="81" t="s">
        <v>165</v>
      </c>
      <c r="E4597" s="81" t="s">
        <v>60</v>
      </c>
      <c r="F4597" s="81" t="s">
        <v>28</v>
      </c>
    </row>
    <row r="4598" spans="1:6" x14ac:dyDescent="0.25">
      <c r="A4598" s="14">
        <v>46152.056944444441</v>
      </c>
      <c r="B4598" s="81" t="s">
        <v>149</v>
      </c>
      <c r="C4598" s="81" t="s">
        <v>175</v>
      </c>
      <c r="D4598" s="81" t="s">
        <v>261</v>
      </c>
      <c r="E4598" s="81" t="s">
        <v>50</v>
      </c>
      <c r="F4598" s="81" t="s">
        <v>1</v>
      </c>
    </row>
    <row r="4599" spans="1:6" x14ac:dyDescent="0.25">
      <c r="A4599" s="14">
        <v>46152.056944444441</v>
      </c>
      <c r="B4599" s="81" t="s">
        <v>149</v>
      </c>
      <c r="C4599" s="81" t="s">
        <v>183</v>
      </c>
      <c r="D4599" s="81" t="s">
        <v>261</v>
      </c>
      <c r="E4599" s="81" t="s">
        <v>50</v>
      </c>
      <c r="F4599" s="81" t="s">
        <v>1</v>
      </c>
    </row>
    <row r="4600" spans="1:6" x14ac:dyDescent="0.25">
      <c r="A4600" s="14">
        <v>46152.056944444441</v>
      </c>
      <c r="B4600" s="81" t="s">
        <v>149</v>
      </c>
      <c r="C4600" s="81" t="s">
        <v>181</v>
      </c>
      <c r="D4600" s="81" t="s">
        <v>261</v>
      </c>
      <c r="E4600" s="81" t="s">
        <v>50</v>
      </c>
      <c r="F4600" s="81" t="s">
        <v>1</v>
      </c>
    </row>
    <row r="4601" spans="1:6" x14ac:dyDescent="0.25">
      <c r="A4601" s="14">
        <v>46152.056944444441</v>
      </c>
      <c r="B4601" s="81" t="s">
        <v>149</v>
      </c>
      <c r="C4601" s="81" t="s">
        <v>181</v>
      </c>
      <c r="D4601" s="81" t="s">
        <v>250</v>
      </c>
      <c r="E4601" s="81" t="s">
        <v>52</v>
      </c>
      <c r="F4601" s="81" t="s">
        <v>0</v>
      </c>
    </row>
    <row r="4602" spans="1:6" x14ac:dyDescent="0.25">
      <c r="A4602" s="14">
        <v>46152.056944444441</v>
      </c>
      <c r="B4602" s="81" t="s">
        <v>149</v>
      </c>
      <c r="C4602" s="81" t="s">
        <v>190</v>
      </c>
      <c r="D4602" s="81" t="s">
        <v>250</v>
      </c>
      <c r="E4602" s="81" t="s">
        <v>50</v>
      </c>
      <c r="F4602" s="81" t="s">
        <v>1</v>
      </c>
    </row>
    <row r="4603" spans="1:6" x14ac:dyDescent="0.25">
      <c r="A4603" s="14">
        <v>46152.056944444441</v>
      </c>
      <c r="B4603" s="81" t="s">
        <v>149</v>
      </c>
      <c r="C4603" s="81" t="s">
        <v>171</v>
      </c>
      <c r="D4603" s="81" t="s">
        <v>250</v>
      </c>
      <c r="E4603" s="81" t="s">
        <v>50</v>
      </c>
      <c r="F4603" s="81" t="s">
        <v>1</v>
      </c>
    </row>
    <row r="4604" spans="1:6" x14ac:dyDescent="0.25">
      <c r="A4604" s="14">
        <v>46152.056944444441</v>
      </c>
      <c r="B4604" s="81" t="s">
        <v>149</v>
      </c>
      <c r="C4604" s="81" t="s">
        <v>151</v>
      </c>
      <c r="D4604" s="81" t="s">
        <v>250</v>
      </c>
      <c r="E4604" s="81" t="s">
        <v>52</v>
      </c>
      <c r="F4604" s="81" t="s">
        <v>0</v>
      </c>
    </row>
    <row r="4605" spans="1:6" x14ac:dyDescent="0.25">
      <c r="A4605" s="14">
        <v>46152.056944444441</v>
      </c>
      <c r="B4605" s="81" t="s">
        <v>149</v>
      </c>
      <c r="C4605" s="81" t="s">
        <v>187</v>
      </c>
      <c r="D4605" s="81" t="s">
        <v>165</v>
      </c>
      <c r="E4605" s="81" t="s">
        <v>75</v>
      </c>
      <c r="F4605" s="81" t="s">
        <v>93</v>
      </c>
    </row>
    <row r="4606" spans="1:6" x14ac:dyDescent="0.25">
      <c r="A4606" s="14">
        <v>46152.056944444441</v>
      </c>
      <c r="B4606" s="81" t="s">
        <v>149</v>
      </c>
      <c r="C4606" s="81" t="s">
        <v>840</v>
      </c>
      <c r="D4606" s="81" t="s">
        <v>152</v>
      </c>
      <c r="E4606" s="81" t="s">
        <v>64</v>
      </c>
      <c r="F4606" s="81" t="s">
        <v>98</v>
      </c>
    </row>
    <row r="4607" spans="1:6" x14ac:dyDescent="0.25">
      <c r="A4607" s="14">
        <v>46152.056944444441</v>
      </c>
      <c r="B4607" s="81" t="s">
        <v>149</v>
      </c>
      <c r="C4607" s="81" t="s">
        <v>190</v>
      </c>
      <c r="D4607" s="81" t="s">
        <v>261</v>
      </c>
      <c r="E4607" s="81" t="s">
        <v>50</v>
      </c>
      <c r="F4607" s="81" t="s">
        <v>1</v>
      </c>
    </row>
    <row r="4608" spans="1:6" x14ac:dyDescent="0.25">
      <c r="A4608" s="14">
        <v>46152.056944444441</v>
      </c>
      <c r="B4608" s="81" t="s">
        <v>149</v>
      </c>
      <c r="C4608" s="81" t="s">
        <v>158</v>
      </c>
      <c r="D4608" s="81" t="s">
        <v>165</v>
      </c>
      <c r="E4608" s="81" t="s">
        <v>50</v>
      </c>
      <c r="F4608" s="81" t="s">
        <v>1</v>
      </c>
    </row>
    <row r="4609" spans="1:6" x14ac:dyDescent="0.25">
      <c r="A4609" s="14">
        <v>46152.056944444441</v>
      </c>
      <c r="B4609" s="81" t="s">
        <v>149</v>
      </c>
      <c r="C4609" s="81" t="s">
        <v>183</v>
      </c>
      <c r="D4609" s="81" t="s">
        <v>219</v>
      </c>
      <c r="E4609" s="81" t="s">
        <v>52</v>
      </c>
      <c r="F4609" s="81" t="s">
        <v>0</v>
      </c>
    </row>
    <row r="4610" spans="1:6" x14ac:dyDescent="0.25">
      <c r="A4610" s="14">
        <v>46152.056944444441</v>
      </c>
      <c r="B4610" s="81" t="s">
        <v>149</v>
      </c>
      <c r="C4610" s="81" t="s">
        <v>171</v>
      </c>
      <c r="D4610" s="81" t="s">
        <v>261</v>
      </c>
      <c r="E4610" s="81" t="s">
        <v>50</v>
      </c>
      <c r="F4610" s="81" t="s">
        <v>1</v>
      </c>
    </row>
    <row r="4611" spans="1:6" x14ac:dyDescent="0.25">
      <c r="A4611" s="14">
        <v>46152.056944444441</v>
      </c>
      <c r="B4611" s="81" t="s">
        <v>149</v>
      </c>
      <c r="C4611" s="81" t="s">
        <v>151</v>
      </c>
      <c r="D4611" s="81" t="s">
        <v>268</v>
      </c>
      <c r="E4611" s="81" t="s">
        <v>50</v>
      </c>
      <c r="F4611" s="81" t="s">
        <v>1</v>
      </c>
    </row>
    <row r="4612" spans="1:6" x14ac:dyDescent="0.25">
      <c r="A4612" s="14">
        <v>46152.056944444441</v>
      </c>
      <c r="B4612" s="81" t="s">
        <v>149</v>
      </c>
      <c r="C4612" s="81" t="s">
        <v>203</v>
      </c>
      <c r="D4612" s="81" t="s">
        <v>219</v>
      </c>
      <c r="E4612" s="81" t="s">
        <v>72</v>
      </c>
      <c r="F4612" s="81" t="s">
        <v>28</v>
      </c>
    </row>
    <row r="4613" spans="1:6" x14ac:dyDescent="0.25">
      <c r="A4613" s="14">
        <v>46152.056944444441</v>
      </c>
      <c r="B4613" s="81" t="s">
        <v>149</v>
      </c>
      <c r="C4613" s="81" t="s">
        <v>181</v>
      </c>
      <c r="D4613" s="81" t="s">
        <v>268</v>
      </c>
      <c r="E4613" s="81" t="s">
        <v>50</v>
      </c>
      <c r="F4613" s="81" t="s">
        <v>1</v>
      </c>
    </row>
    <row r="4614" spans="1:6" x14ac:dyDescent="0.25">
      <c r="A4614" s="14">
        <v>46152.056944444441</v>
      </c>
      <c r="B4614" s="81" t="s">
        <v>149</v>
      </c>
      <c r="C4614" s="81" t="s">
        <v>173</v>
      </c>
      <c r="D4614" s="81" t="s">
        <v>268</v>
      </c>
      <c r="E4614" s="81" t="s">
        <v>50</v>
      </c>
      <c r="F4614" s="81" t="s">
        <v>1</v>
      </c>
    </row>
    <row r="4615" spans="1:6" x14ac:dyDescent="0.25">
      <c r="A4615" s="14">
        <v>46152.056944444441</v>
      </c>
      <c r="B4615" s="81" t="s">
        <v>149</v>
      </c>
      <c r="C4615" s="81" t="s">
        <v>177</v>
      </c>
      <c r="D4615" s="81" t="s">
        <v>268</v>
      </c>
      <c r="E4615" s="81" t="s">
        <v>49</v>
      </c>
      <c r="F4615" s="81" t="s">
        <v>2</v>
      </c>
    </row>
    <row r="4616" spans="1:6" x14ac:dyDescent="0.25">
      <c r="A4616" s="14">
        <v>46152.056944444441</v>
      </c>
      <c r="B4616" s="81" t="s">
        <v>149</v>
      </c>
      <c r="C4616" s="81" t="s">
        <v>173</v>
      </c>
      <c r="D4616" s="81" t="s">
        <v>165</v>
      </c>
      <c r="E4616" s="81" t="s">
        <v>50</v>
      </c>
      <c r="F4616" s="81" t="s">
        <v>1</v>
      </c>
    </row>
    <row r="4617" spans="1:6" x14ac:dyDescent="0.25">
      <c r="A4617" s="14">
        <v>46152.056944444441</v>
      </c>
      <c r="B4617" s="81" t="s">
        <v>149</v>
      </c>
      <c r="C4617" s="81" t="s">
        <v>175</v>
      </c>
      <c r="D4617" s="81" t="s">
        <v>165</v>
      </c>
      <c r="E4617" s="81" t="s">
        <v>50</v>
      </c>
      <c r="F4617" s="81" t="s">
        <v>1</v>
      </c>
    </row>
    <row r="4618" spans="1:6" x14ac:dyDescent="0.25">
      <c r="A4618" s="14">
        <v>46152.056944444441</v>
      </c>
      <c r="B4618" s="81" t="s">
        <v>149</v>
      </c>
      <c r="C4618" s="81" t="s">
        <v>174</v>
      </c>
      <c r="D4618" s="81" t="s">
        <v>268</v>
      </c>
      <c r="E4618" s="81" t="s">
        <v>64</v>
      </c>
      <c r="F4618" s="81" t="s">
        <v>98</v>
      </c>
    </row>
    <row r="4619" spans="1:6" x14ac:dyDescent="0.25">
      <c r="A4619" s="14">
        <v>46152.056944444441</v>
      </c>
      <c r="B4619" s="81" t="s">
        <v>149</v>
      </c>
      <c r="C4619" s="81" t="s">
        <v>187</v>
      </c>
      <c r="D4619" s="81" t="s">
        <v>165</v>
      </c>
      <c r="E4619" s="81" t="s">
        <v>75</v>
      </c>
      <c r="F4619" s="81" t="s">
        <v>93</v>
      </c>
    </row>
    <row r="4620" spans="1:6" x14ac:dyDescent="0.25">
      <c r="A4620" s="14">
        <v>46152.056944444441</v>
      </c>
      <c r="B4620" s="81" t="s">
        <v>149</v>
      </c>
      <c r="C4620" s="81" t="s">
        <v>177</v>
      </c>
      <c r="D4620" s="81" t="s">
        <v>268</v>
      </c>
      <c r="E4620" s="81" t="s">
        <v>52</v>
      </c>
      <c r="F4620" s="81" t="s">
        <v>0</v>
      </c>
    </row>
    <row r="4621" spans="1:6" x14ac:dyDescent="0.25">
      <c r="A4621" s="14">
        <v>46152.056944444441</v>
      </c>
      <c r="B4621" s="81" t="s">
        <v>149</v>
      </c>
      <c r="C4621" s="81" t="s">
        <v>181</v>
      </c>
      <c r="D4621" s="81" t="s">
        <v>165</v>
      </c>
      <c r="E4621" s="81" t="s">
        <v>50</v>
      </c>
      <c r="F4621" s="81" t="s">
        <v>1</v>
      </c>
    </row>
    <row r="4622" spans="1:6" x14ac:dyDescent="0.25">
      <c r="A4622" s="14">
        <v>46152.056944444441</v>
      </c>
      <c r="B4622" s="81" t="s">
        <v>149</v>
      </c>
      <c r="C4622" s="81" t="s">
        <v>151</v>
      </c>
      <c r="D4622" s="81" t="s">
        <v>165</v>
      </c>
      <c r="E4622" s="81" t="s">
        <v>50</v>
      </c>
      <c r="F4622" s="81" t="s">
        <v>1</v>
      </c>
    </row>
    <row r="4623" spans="1:6" x14ac:dyDescent="0.25">
      <c r="A4623" s="14">
        <v>46152.056944444441</v>
      </c>
      <c r="B4623" s="81" t="s">
        <v>149</v>
      </c>
      <c r="C4623" s="81" t="s">
        <v>176</v>
      </c>
      <c r="D4623" s="81" t="s">
        <v>268</v>
      </c>
      <c r="E4623" s="81" t="s">
        <v>70</v>
      </c>
      <c r="F4623" s="81" t="s">
        <v>15</v>
      </c>
    </row>
    <row r="4624" spans="1:6" x14ac:dyDescent="0.25">
      <c r="A4624" s="14">
        <v>46152.056944444441</v>
      </c>
      <c r="B4624" s="81" t="s">
        <v>149</v>
      </c>
      <c r="C4624" s="81" t="s">
        <v>175</v>
      </c>
      <c r="D4624" s="81" t="s">
        <v>163</v>
      </c>
      <c r="E4624" s="81" t="s">
        <v>52</v>
      </c>
      <c r="F4624" s="81" t="s">
        <v>0</v>
      </c>
    </row>
    <row r="4625" spans="1:6" x14ac:dyDescent="0.25">
      <c r="A4625" s="14">
        <v>46152.056944444441</v>
      </c>
      <c r="B4625" s="81" t="s">
        <v>149</v>
      </c>
      <c r="C4625" s="81" t="s">
        <v>190</v>
      </c>
      <c r="D4625" s="81" t="s">
        <v>163</v>
      </c>
      <c r="E4625" s="81" t="s">
        <v>50</v>
      </c>
      <c r="F4625" s="81" t="s">
        <v>1</v>
      </c>
    </row>
    <row r="4626" spans="1:6" x14ac:dyDescent="0.25">
      <c r="A4626" s="14">
        <v>46152.056944444441</v>
      </c>
      <c r="B4626" s="81" t="s">
        <v>149</v>
      </c>
      <c r="C4626" s="81" t="s">
        <v>182</v>
      </c>
      <c r="D4626" s="81" t="s">
        <v>261</v>
      </c>
      <c r="E4626" s="81" t="s">
        <v>52</v>
      </c>
      <c r="F4626" s="81" t="s">
        <v>0</v>
      </c>
    </row>
    <row r="4627" spans="1:6" x14ac:dyDescent="0.25">
      <c r="A4627" s="14">
        <v>46152.056944444441</v>
      </c>
      <c r="B4627" s="81" t="s">
        <v>149</v>
      </c>
      <c r="C4627" s="81" t="s">
        <v>187</v>
      </c>
      <c r="D4627" s="81" t="s">
        <v>261</v>
      </c>
      <c r="E4627" s="81" t="s">
        <v>75</v>
      </c>
      <c r="F4627" s="81" t="s">
        <v>93</v>
      </c>
    </row>
    <row r="4628" spans="1:6" x14ac:dyDescent="0.25">
      <c r="A4628" s="14">
        <v>46152.056944444441</v>
      </c>
      <c r="B4628" s="81" t="s">
        <v>149</v>
      </c>
      <c r="C4628" s="81" t="s">
        <v>192</v>
      </c>
      <c r="D4628" s="81" t="s">
        <v>164</v>
      </c>
      <c r="E4628" s="81" t="s">
        <v>60</v>
      </c>
      <c r="F4628" s="81" t="s">
        <v>28</v>
      </c>
    </row>
    <row r="4629" spans="1:6" x14ac:dyDescent="0.25">
      <c r="A4629" s="14">
        <v>46152.495138888888</v>
      </c>
      <c r="B4629" s="81" t="s">
        <v>149</v>
      </c>
      <c r="C4629" s="81" t="s">
        <v>192</v>
      </c>
      <c r="D4629" s="81" t="s">
        <v>266</v>
      </c>
      <c r="E4629" s="81" t="s">
        <v>60</v>
      </c>
      <c r="F4629" s="81" t="s">
        <v>28</v>
      </c>
    </row>
    <row r="4630" spans="1:6" x14ac:dyDescent="0.25">
      <c r="A4630" s="14">
        <v>46152.495138888888</v>
      </c>
      <c r="B4630" s="81" t="s">
        <v>149</v>
      </c>
      <c r="C4630" s="81" t="s">
        <v>183</v>
      </c>
      <c r="D4630" s="81" t="s">
        <v>266</v>
      </c>
      <c r="E4630" s="81" t="s">
        <v>52</v>
      </c>
      <c r="F4630" s="81" t="s">
        <v>0</v>
      </c>
    </row>
    <row r="4631" spans="1:6" x14ac:dyDescent="0.25">
      <c r="A4631" s="14">
        <v>46152.495138888888</v>
      </c>
      <c r="B4631" s="81" t="s">
        <v>149</v>
      </c>
      <c r="C4631" s="81" t="s">
        <v>184</v>
      </c>
      <c r="D4631" s="81" t="s">
        <v>266</v>
      </c>
      <c r="E4631" s="81" t="s">
        <v>52</v>
      </c>
      <c r="F4631" s="81" t="s">
        <v>0</v>
      </c>
    </row>
    <row r="4632" spans="1:6" x14ac:dyDescent="0.25">
      <c r="A4632" s="14">
        <v>46152.495138888888</v>
      </c>
      <c r="B4632" s="81" t="s">
        <v>149</v>
      </c>
      <c r="C4632" s="81" t="s">
        <v>175</v>
      </c>
      <c r="D4632" s="81" t="s">
        <v>842</v>
      </c>
      <c r="E4632" s="81" t="s">
        <v>52</v>
      </c>
      <c r="F4632" s="81" t="s">
        <v>0</v>
      </c>
    </row>
    <row r="4633" spans="1:6" x14ac:dyDescent="0.25">
      <c r="A4633" s="14">
        <v>46152.495138888888</v>
      </c>
      <c r="B4633" s="81" t="s">
        <v>149</v>
      </c>
      <c r="C4633" s="81" t="s">
        <v>182</v>
      </c>
      <c r="D4633" s="81" t="s">
        <v>163</v>
      </c>
      <c r="E4633" s="81" t="s">
        <v>50</v>
      </c>
      <c r="F4633" s="81" t="s">
        <v>1</v>
      </c>
    </row>
    <row r="4634" spans="1:6" x14ac:dyDescent="0.25">
      <c r="A4634" s="14">
        <v>46152.495138888888</v>
      </c>
      <c r="B4634" s="81" t="s">
        <v>149</v>
      </c>
      <c r="C4634" s="81" t="s">
        <v>171</v>
      </c>
      <c r="D4634" s="81" t="s">
        <v>842</v>
      </c>
      <c r="E4634" s="81" t="s">
        <v>50</v>
      </c>
      <c r="F4634" s="81" t="s">
        <v>1</v>
      </c>
    </row>
    <row r="4635" spans="1:6" x14ac:dyDescent="0.25">
      <c r="A4635" s="14">
        <v>46152.495138888888</v>
      </c>
      <c r="B4635" s="81" t="s">
        <v>149</v>
      </c>
      <c r="C4635" s="81" t="s">
        <v>190</v>
      </c>
      <c r="D4635" s="81" t="s">
        <v>253</v>
      </c>
      <c r="E4635" s="81" t="s">
        <v>52</v>
      </c>
      <c r="F4635" s="81" t="s">
        <v>0</v>
      </c>
    </row>
    <row r="4636" spans="1:6" x14ac:dyDescent="0.25">
      <c r="A4636" s="14">
        <v>46152.495138888888</v>
      </c>
      <c r="B4636" s="81" t="s">
        <v>149</v>
      </c>
      <c r="C4636" s="81" t="s">
        <v>181</v>
      </c>
      <c r="D4636" s="81" t="s">
        <v>240</v>
      </c>
      <c r="E4636" s="81" t="s">
        <v>52</v>
      </c>
      <c r="F4636" s="81" t="s">
        <v>0</v>
      </c>
    </row>
    <row r="4637" spans="1:6" x14ac:dyDescent="0.25">
      <c r="A4637" s="14">
        <v>46152.495138888888</v>
      </c>
      <c r="B4637" s="81" t="s">
        <v>149</v>
      </c>
      <c r="C4637" s="81" t="s">
        <v>182</v>
      </c>
      <c r="D4637" s="81" t="s">
        <v>150</v>
      </c>
      <c r="E4637" s="81" t="s">
        <v>50</v>
      </c>
      <c r="F4637" s="81" t="s">
        <v>1</v>
      </c>
    </row>
    <row r="4638" spans="1:6" x14ac:dyDescent="0.25">
      <c r="A4638" s="14">
        <v>46152.495138888888</v>
      </c>
      <c r="B4638" s="81" t="s">
        <v>149</v>
      </c>
      <c r="C4638" s="81" t="s">
        <v>184</v>
      </c>
      <c r="D4638" s="81" t="s">
        <v>150</v>
      </c>
      <c r="E4638" s="81" t="s">
        <v>50</v>
      </c>
      <c r="F4638" s="81" t="s">
        <v>1</v>
      </c>
    </row>
    <row r="4639" spans="1:6" x14ac:dyDescent="0.25">
      <c r="A4639" s="14">
        <v>46152.495138888888</v>
      </c>
      <c r="B4639" s="81" t="s">
        <v>149</v>
      </c>
      <c r="C4639" s="81" t="s">
        <v>192</v>
      </c>
      <c r="D4639" s="81" t="s">
        <v>266</v>
      </c>
      <c r="E4639" s="81" t="s">
        <v>60</v>
      </c>
      <c r="F4639" s="81" t="s">
        <v>28</v>
      </c>
    </row>
    <row r="4640" spans="1:6" x14ac:dyDescent="0.25">
      <c r="A4640" s="14">
        <v>46152.495138888888</v>
      </c>
      <c r="B4640" s="81" t="s">
        <v>149</v>
      </c>
      <c r="C4640" s="81" t="s">
        <v>158</v>
      </c>
      <c r="D4640" s="81" t="s">
        <v>150</v>
      </c>
      <c r="E4640" s="81" t="s">
        <v>50</v>
      </c>
      <c r="F4640" s="81" t="s">
        <v>1</v>
      </c>
    </row>
    <row r="4641" spans="1:6" x14ac:dyDescent="0.25">
      <c r="A4641" s="14">
        <v>46152.495138888888</v>
      </c>
      <c r="B4641" s="81" t="s">
        <v>149</v>
      </c>
      <c r="C4641" s="81" t="s">
        <v>158</v>
      </c>
      <c r="D4641" s="81" t="s">
        <v>150</v>
      </c>
      <c r="E4641" s="81" t="s">
        <v>50</v>
      </c>
      <c r="F4641" s="81" t="s">
        <v>1</v>
      </c>
    </row>
    <row r="4642" spans="1:6" x14ac:dyDescent="0.25">
      <c r="A4642" s="14">
        <v>46152.495138888888</v>
      </c>
      <c r="B4642" s="81" t="s">
        <v>149</v>
      </c>
      <c r="C4642" s="81" t="s">
        <v>187</v>
      </c>
      <c r="D4642" s="81" t="s">
        <v>150</v>
      </c>
      <c r="E4642" s="81" t="s">
        <v>75</v>
      </c>
      <c r="F4642" s="81" t="s">
        <v>93</v>
      </c>
    </row>
    <row r="4643" spans="1:6" x14ac:dyDescent="0.25">
      <c r="A4643" s="14">
        <v>46152.495138888888</v>
      </c>
      <c r="B4643" s="81" t="s">
        <v>149</v>
      </c>
      <c r="C4643" s="81" t="s">
        <v>187</v>
      </c>
      <c r="D4643" s="81" t="s">
        <v>150</v>
      </c>
      <c r="E4643" s="81" t="s">
        <v>75</v>
      </c>
      <c r="F4643" s="81" t="s">
        <v>93</v>
      </c>
    </row>
    <row r="4644" spans="1:6" x14ac:dyDescent="0.25">
      <c r="A4644" s="14">
        <v>46152.495138888888</v>
      </c>
      <c r="B4644" s="81" t="s">
        <v>149</v>
      </c>
      <c r="C4644" s="81" t="s">
        <v>187</v>
      </c>
      <c r="D4644" s="81" t="s">
        <v>150</v>
      </c>
      <c r="E4644" s="81" t="s">
        <v>75</v>
      </c>
      <c r="F4644" s="81" t="s">
        <v>93</v>
      </c>
    </row>
    <row r="4645" spans="1:6" x14ac:dyDescent="0.25">
      <c r="A4645" s="14">
        <v>46152.495138888888</v>
      </c>
      <c r="B4645" s="81" t="s">
        <v>149</v>
      </c>
      <c r="C4645" s="81" t="s">
        <v>158</v>
      </c>
      <c r="D4645" s="81" t="s">
        <v>266</v>
      </c>
      <c r="E4645" s="81" t="s">
        <v>52</v>
      </c>
      <c r="F4645" s="81" t="s">
        <v>0</v>
      </c>
    </row>
    <row r="4646" spans="1:6" x14ac:dyDescent="0.25">
      <c r="A4646" s="14">
        <v>46152.495138888888</v>
      </c>
      <c r="B4646" s="81" t="s">
        <v>149</v>
      </c>
      <c r="C4646" s="81" t="s">
        <v>187</v>
      </c>
      <c r="D4646" s="81" t="s">
        <v>150</v>
      </c>
      <c r="E4646" s="81" t="s">
        <v>75</v>
      </c>
      <c r="F4646" s="81" t="s">
        <v>93</v>
      </c>
    </row>
    <row r="4647" spans="1:6" x14ac:dyDescent="0.25">
      <c r="A4647" s="14">
        <v>46152.495138888888</v>
      </c>
      <c r="B4647" s="81" t="s">
        <v>149</v>
      </c>
      <c r="C4647" s="81" t="s">
        <v>187</v>
      </c>
      <c r="D4647" s="81" t="s">
        <v>150</v>
      </c>
      <c r="E4647" s="81" t="s">
        <v>75</v>
      </c>
      <c r="F4647" s="81" t="s">
        <v>93</v>
      </c>
    </row>
    <row r="4648" spans="1:6" x14ac:dyDescent="0.25">
      <c r="A4648" s="14">
        <v>46152.495138888888</v>
      </c>
      <c r="B4648" s="81" t="s">
        <v>149</v>
      </c>
      <c r="C4648" s="81" t="s">
        <v>187</v>
      </c>
      <c r="D4648" s="81" t="s">
        <v>150</v>
      </c>
      <c r="E4648" s="81" t="s">
        <v>75</v>
      </c>
      <c r="F4648" s="81" t="s">
        <v>93</v>
      </c>
    </row>
    <row r="4649" spans="1:6" x14ac:dyDescent="0.25">
      <c r="A4649" s="14">
        <v>46152.495138888888</v>
      </c>
      <c r="B4649" s="81" t="s">
        <v>149</v>
      </c>
      <c r="C4649" s="81" t="s">
        <v>187</v>
      </c>
      <c r="D4649" s="81" t="s">
        <v>150</v>
      </c>
      <c r="E4649" s="81" t="s">
        <v>75</v>
      </c>
      <c r="F4649" s="81" t="s">
        <v>93</v>
      </c>
    </row>
    <row r="4650" spans="1:6" x14ac:dyDescent="0.25">
      <c r="A4650" s="14">
        <v>46152.495138888888</v>
      </c>
      <c r="B4650" s="81" t="s">
        <v>149</v>
      </c>
      <c r="C4650" s="81" t="s">
        <v>187</v>
      </c>
      <c r="D4650" s="81" t="s">
        <v>150</v>
      </c>
      <c r="E4650" s="81" t="s">
        <v>75</v>
      </c>
      <c r="F4650" s="81" t="s">
        <v>93</v>
      </c>
    </row>
    <row r="4651" spans="1:6" x14ac:dyDescent="0.25">
      <c r="A4651" s="14">
        <v>46152.495138888888</v>
      </c>
      <c r="B4651" s="81" t="s">
        <v>149</v>
      </c>
      <c r="C4651" s="81" t="s">
        <v>187</v>
      </c>
      <c r="D4651" s="81" t="s">
        <v>150</v>
      </c>
      <c r="E4651" s="81" t="s">
        <v>75</v>
      </c>
      <c r="F4651" s="81" t="s">
        <v>93</v>
      </c>
    </row>
    <row r="4652" spans="1:6" x14ac:dyDescent="0.25">
      <c r="A4652" s="14">
        <v>46152.495138888888</v>
      </c>
      <c r="B4652" s="81" t="s">
        <v>149</v>
      </c>
      <c r="C4652" s="81" t="s">
        <v>172</v>
      </c>
      <c r="D4652" s="81" t="s">
        <v>150</v>
      </c>
      <c r="E4652" s="81" t="s">
        <v>64</v>
      </c>
      <c r="F4652" s="81" t="s">
        <v>98</v>
      </c>
    </row>
    <row r="4653" spans="1:6" x14ac:dyDescent="0.25">
      <c r="A4653" s="14">
        <v>46152.495138888888</v>
      </c>
      <c r="B4653" s="81" t="s">
        <v>149</v>
      </c>
      <c r="C4653" s="81" t="s">
        <v>223</v>
      </c>
      <c r="D4653" s="81" t="s">
        <v>150</v>
      </c>
      <c r="E4653" s="81" t="s">
        <v>64</v>
      </c>
      <c r="F4653" s="81" t="s">
        <v>98</v>
      </c>
    </row>
    <row r="4654" spans="1:6" x14ac:dyDescent="0.25">
      <c r="A4654" s="14">
        <v>46152.495138888888</v>
      </c>
      <c r="B4654" s="81" t="s">
        <v>149</v>
      </c>
      <c r="C4654" s="81" t="s">
        <v>172</v>
      </c>
      <c r="D4654" s="81" t="s">
        <v>150</v>
      </c>
      <c r="E4654" s="81" t="s">
        <v>64</v>
      </c>
      <c r="F4654" s="81" t="s">
        <v>98</v>
      </c>
    </row>
    <row r="4655" spans="1:6" x14ac:dyDescent="0.25">
      <c r="A4655" s="14">
        <v>46152.495138888888</v>
      </c>
      <c r="B4655" s="81" t="s">
        <v>149</v>
      </c>
      <c r="C4655" s="81" t="s">
        <v>151</v>
      </c>
      <c r="D4655" s="81" t="s">
        <v>150</v>
      </c>
      <c r="E4655" s="81" t="s">
        <v>50</v>
      </c>
      <c r="F4655" s="81" t="s">
        <v>1</v>
      </c>
    </row>
    <row r="4656" spans="1:6" x14ac:dyDescent="0.25">
      <c r="A4656" s="14">
        <v>46152.495138888888</v>
      </c>
      <c r="B4656" s="81" t="s">
        <v>149</v>
      </c>
      <c r="C4656" s="81" t="s">
        <v>840</v>
      </c>
      <c r="D4656" s="81" t="s">
        <v>150</v>
      </c>
      <c r="E4656" s="81" t="s">
        <v>64</v>
      </c>
      <c r="F4656" s="81" t="s">
        <v>98</v>
      </c>
    </row>
    <row r="4657" spans="1:6" x14ac:dyDescent="0.25">
      <c r="A4657" s="14">
        <v>46152.495138888888</v>
      </c>
      <c r="B4657" s="81" t="s">
        <v>149</v>
      </c>
      <c r="C4657" s="81" t="s">
        <v>218</v>
      </c>
      <c r="D4657" s="81" t="s">
        <v>150</v>
      </c>
      <c r="E4657" s="81" t="s">
        <v>64</v>
      </c>
      <c r="F4657" s="81" t="s">
        <v>98</v>
      </c>
    </row>
    <row r="4658" spans="1:6" x14ac:dyDescent="0.25">
      <c r="A4658" s="14">
        <v>46152.495138888888</v>
      </c>
      <c r="B4658" s="81" t="s">
        <v>149</v>
      </c>
      <c r="C4658" s="81" t="s">
        <v>187</v>
      </c>
      <c r="D4658" s="81" t="s">
        <v>150</v>
      </c>
      <c r="E4658" s="81" t="s">
        <v>75</v>
      </c>
      <c r="F4658" s="81" t="s">
        <v>93</v>
      </c>
    </row>
    <row r="4659" spans="1:6" x14ac:dyDescent="0.25">
      <c r="A4659" s="14">
        <v>46152.495138888888</v>
      </c>
      <c r="B4659" s="81" t="s">
        <v>149</v>
      </c>
      <c r="C4659" s="81" t="s">
        <v>190</v>
      </c>
      <c r="D4659" s="81" t="s">
        <v>150</v>
      </c>
      <c r="E4659" s="81" t="s">
        <v>50</v>
      </c>
      <c r="F4659" s="81" t="s">
        <v>1</v>
      </c>
    </row>
    <row r="4660" spans="1:6" x14ac:dyDescent="0.25">
      <c r="A4660" s="14">
        <v>46152.495138888888</v>
      </c>
      <c r="B4660" s="81" t="s">
        <v>149</v>
      </c>
      <c r="C4660" s="81" t="s">
        <v>158</v>
      </c>
      <c r="D4660" s="81" t="s">
        <v>179</v>
      </c>
      <c r="E4660" s="81" t="s">
        <v>50</v>
      </c>
      <c r="F4660" s="81" t="s">
        <v>1</v>
      </c>
    </row>
    <row r="4661" spans="1:6" x14ac:dyDescent="0.25">
      <c r="A4661" s="14">
        <v>46152.495138888888</v>
      </c>
      <c r="B4661" s="81" t="s">
        <v>149</v>
      </c>
      <c r="C4661" s="81" t="s">
        <v>158</v>
      </c>
      <c r="D4661" s="81" t="s">
        <v>179</v>
      </c>
      <c r="E4661" s="81" t="s">
        <v>50</v>
      </c>
      <c r="F4661" s="81" t="s">
        <v>1</v>
      </c>
    </row>
    <row r="4662" spans="1:6" x14ac:dyDescent="0.25">
      <c r="A4662" s="14">
        <v>46152.495138888888</v>
      </c>
      <c r="B4662" s="81" t="s">
        <v>149</v>
      </c>
      <c r="C4662" s="81" t="s">
        <v>192</v>
      </c>
      <c r="D4662" s="81" t="s">
        <v>266</v>
      </c>
      <c r="E4662" s="81" t="s">
        <v>60</v>
      </c>
      <c r="F4662" s="81" t="s">
        <v>28</v>
      </c>
    </row>
    <row r="4663" spans="1:6" x14ac:dyDescent="0.25">
      <c r="A4663" s="14">
        <v>46152.495138888888</v>
      </c>
      <c r="B4663" s="81" t="s">
        <v>149</v>
      </c>
      <c r="C4663" s="81" t="s">
        <v>171</v>
      </c>
      <c r="D4663" s="81" t="s">
        <v>150</v>
      </c>
      <c r="E4663" s="81" t="s">
        <v>50</v>
      </c>
      <c r="F4663" s="81" t="s">
        <v>1</v>
      </c>
    </row>
    <row r="4664" spans="1:6" x14ac:dyDescent="0.25">
      <c r="A4664" s="14">
        <v>46152.495138888888</v>
      </c>
      <c r="B4664" s="81" t="s">
        <v>149</v>
      </c>
      <c r="C4664" s="81" t="s">
        <v>151</v>
      </c>
      <c r="D4664" s="81" t="s">
        <v>266</v>
      </c>
      <c r="E4664" s="81" t="s">
        <v>52</v>
      </c>
      <c r="F4664" s="81" t="s">
        <v>0</v>
      </c>
    </row>
    <row r="4665" spans="1:6" x14ac:dyDescent="0.25">
      <c r="A4665" s="14">
        <v>46152.495138888888</v>
      </c>
      <c r="B4665" s="81" t="s">
        <v>149</v>
      </c>
      <c r="C4665" s="81" t="s">
        <v>185</v>
      </c>
      <c r="D4665" s="81" t="s">
        <v>263</v>
      </c>
      <c r="E4665" s="81" t="s">
        <v>50</v>
      </c>
      <c r="F4665" s="81" t="s">
        <v>1</v>
      </c>
    </row>
    <row r="4666" spans="1:6" x14ac:dyDescent="0.25">
      <c r="A4666" s="14">
        <v>46152.495138888888</v>
      </c>
      <c r="B4666" s="81" t="s">
        <v>149</v>
      </c>
      <c r="C4666" s="81" t="s">
        <v>177</v>
      </c>
      <c r="D4666" s="81" t="s">
        <v>258</v>
      </c>
      <c r="E4666" s="81" t="s">
        <v>50</v>
      </c>
      <c r="F4666" s="81" t="s">
        <v>1</v>
      </c>
    </row>
    <row r="4667" spans="1:6" x14ac:dyDescent="0.25">
      <c r="A4667" s="14">
        <v>46152.495138888888</v>
      </c>
      <c r="B4667" s="81" t="s">
        <v>149</v>
      </c>
      <c r="C4667" s="81" t="s">
        <v>173</v>
      </c>
      <c r="D4667" s="81" t="s">
        <v>257</v>
      </c>
      <c r="E4667" s="81" t="s">
        <v>52</v>
      </c>
      <c r="F4667" s="81" t="s">
        <v>0</v>
      </c>
    </row>
    <row r="4668" spans="1:6" x14ac:dyDescent="0.25">
      <c r="A4668" s="14">
        <v>46152.495138888888</v>
      </c>
      <c r="B4668" s="81" t="s">
        <v>149</v>
      </c>
      <c r="C4668" s="81" t="s">
        <v>173</v>
      </c>
      <c r="D4668" s="81" t="s">
        <v>257</v>
      </c>
      <c r="E4668" s="81" t="s">
        <v>52</v>
      </c>
      <c r="F4668" s="81" t="s">
        <v>0</v>
      </c>
    </row>
    <row r="4669" spans="1:6" x14ac:dyDescent="0.25">
      <c r="A4669" s="14">
        <v>46152.495138888888</v>
      </c>
      <c r="B4669" s="81" t="s">
        <v>149</v>
      </c>
      <c r="C4669" s="81" t="s">
        <v>183</v>
      </c>
      <c r="D4669" s="81" t="s">
        <v>266</v>
      </c>
      <c r="E4669" s="81" t="s">
        <v>52</v>
      </c>
      <c r="F4669" s="81" t="s">
        <v>0</v>
      </c>
    </row>
    <row r="4670" spans="1:6" x14ac:dyDescent="0.25">
      <c r="A4670" s="14">
        <v>46152.495138888888</v>
      </c>
      <c r="B4670" s="81" t="s">
        <v>149</v>
      </c>
      <c r="C4670" s="81" t="s">
        <v>181</v>
      </c>
      <c r="D4670" s="81" t="s">
        <v>236</v>
      </c>
      <c r="E4670" s="81" t="s">
        <v>50</v>
      </c>
      <c r="F4670" s="81" t="s">
        <v>1</v>
      </c>
    </row>
    <row r="4671" spans="1:6" x14ac:dyDescent="0.25">
      <c r="A4671" s="14">
        <v>46152.495138888888</v>
      </c>
      <c r="B4671" s="81" t="s">
        <v>149</v>
      </c>
      <c r="C4671" s="81" t="s">
        <v>192</v>
      </c>
      <c r="D4671" s="81" t="s">
        <v>180</v>
      </c>
      <c r="E4671" s="81" t="s">
        <v>60</v>
      </c>
      <c r="F4671" s="81" t="s">
        <v>28</v>
      </c>
    </row>
    <row r="4672" spans="1:6" x14ac:dyDescent="0.25">
      <c r="A4672" s="14">
        <v>46152.495138888888</v>
      </c>
      <c r="B4672" s="81" t="s">
        <v>149</v>
      </c>
      <c r="C4672" s="81" t="s">
        <v>187</v>
      </c>
      <c r="D4672" s="81" t="s">
        <v>163</v>
      </c>
      <c r="E4672" s="81" t="s">
        <v>75</v>
      </c>
      <c r="F4672" s="81" t="s">
        <v>93</v>
      </c>
    </row>
    <row r="4673" spans="1:6" x14ac:dyDescent="0.25">
      <c r="A4673" s="14">
        <v>46152.495138888888</v>
      </c>
      <c r="B4673" s="81" t="s">
        <v>149</v>
      </c>
      <c r="C4673" s="81" t="s">
        <v>171</v>
      </c>
      <c r="D4673" s="81" t="s">
        <v>180</v>
      </c>
      <c r="E4673" s="81" t="s">
        <v>49</v>
      </c>
      <c r="F4673" s="81" t="s">
        <v>2</v>
      </c>
    </row>
    <row r="4674" spans="1:6" x14ac:dyDescent="0.25">
      <c r="A4674" s="14">
        <v>46152.495138888888</v>
      </c>
      <c r="B4674" s="81" t="s">
        <v>149</v>
      </c>
      <c r="C4674" s="81" t="s">
        <v>171</v>
      </c>
      <c r="D4674" s="81" t="s">
        <v>180</v>
      </c>
      <c r="E4674" s="81" t="s">
        <v>50</v>
      </c>
      <c r="F4674" s="81" t="s">
        <v>1</v>
      </c>
    </row>
    <row r="4675" spans="1:6" x14ac:dyDescent="0.25">
      <c r="A4675" s="14">
        <v>46152.495138888888</v>
      </c>
      <c r="B4675" s="81" t="s">
        <v>149</v>
      </c>
      <c r="C4675" s="81" t="s">
        <v>158</v>
      </c>
      <c r="D4675" s="81" t="s">
        <v>180</v>
      </c>
      <c r="E4675" s="81" t="s">
        <v>52</v>
      </c>
      <c r="F4675" s="81" t="s">
        <v>0</v>
      </c>
    </row>
    <row r="4676" spans="1:6" x14ac:dyDescent="0.25">
      <c r="A4676" s="14">
        <v>46152.495138888888</v>
      </c>
      <c r="B4676" s="81" t="s">
        <v>149</v>
      </c>
      <c r="C4676" s="81" t="s">
        <v>158</v>
      </c>
      <c r="D4676" s="81" t="s">
        <v>180</v>
      </c>
      <c r="E4676" s="81" t="s">
        <v>52</v>
      </c>
      <c r="F4676" s="81" t="s">
        <v>0</v>
      </c>
    </row>
    <row r="4677" spans="1:6" x14ac:dyDescent="0.25">
      <c r="A4677" s="14">
        <v>46152.495138888888</v>
      </c>
      <c r="B4677" s="81" t="s">
        <v>149</v>
      </c>
      <c r="C4677" s="81" t="s">
        <v>158</v>
      </c>
      <c r="D4677" s="81" t="s">
        <v>180</v>
      </c>
      <c r="E4677" s="81" t="s">
        <v>52</v>
      </c>
      <c r="F4677" s="81" t="s">
        <v>0</v>
      </c>
    </row>
    <row r="4678" spans="1:6" x14ac:dyDescent="0.25">
      <c r="A4678" s="14">
        <v>46152.495138888888</v>
      </c>
      <c r="B4678" s="81" t="s">
        <v>149</v>
      </c>
      <c r="C4678" s="81" t="s">
        <v>177</v>
      </c>
      <c r="D4678" s="81" t="s">
        <v>180</v>
      </c>
      <c r="E4678" s="81" t="s">
        <v>50</v>
      </c>
      <c r="F4678" s="81" t="s">
        <v>1</v>
      </c>
    </row>
    <row r="4679" spans="1:6" x14ac:dyDescent="0.25">
      <c r="A4679" s="14">
        <v>46152.495138888888</v>
      </c>
      <c r="B4679" s="81" t="s">
        <v>149</v>
      </c>
      <c r="C4679" s="81" t="s">
        <v>171</v>
      </c>
      <c r="D4679" s="81" t="s">
        <v>180</v>
      </c>
      <c r="E4679" s="81" t="s">
        <v>50</v>
      </c>
      <c r="F4679" s="81" t="s">
        <v>1</v>
      </c>
    </row>
    <row r="4680" spans="1:6" x14ac:dyDescent="0.25">
      <c r="A4680" s="14">
        <v>46152.495138888888</v>
      </c>
      <c r="B4680" s="81" t="s">
        <v>149</v>
      </c>
      <c r="C4680" s="81" t="s">
        <v>177</v>
      </c>
      <c r="D4680" s="81" t="s">
        <v>193</v>
      </c>
      <c r="E4680" s="81" t="s">
        <v>50</v>
      </c>
      <c r="F4680" s="81" t="s">
        <v>1</v>
      </c>
    </row>
    <row r="4681" spans="1:6" x14ac:dyDescent="0.25">
      <c r="A4681" s="14">
        <v>46152.495138888888</v>
      </c>
      <c r="B4681" s="81" t="s">
        <v>149</v>
      </c>
      <c r="C4681" s="81" t="s">
        <v>175</v>
      </c>
      <c r="D4681" s="81" t="s">
        <v>179</v>
      </c>
      <c r="E4681" s="81" t="s">
        <v>50</v>
      </c>
      <c r="F4681" s="81" t="s">
        <v>1</v>
      </c>
    </row>
    <row r="4682" spans="1:6" x14ac:dyDescent="0.25">
      <c r="A4682" s="14">
        <v>46152.495138888888</v>
      </c>
      <c r="B4682" s="81" t="s">
        <v>149</v>
      </c>
      <c r="C4682" s="81" t="s">
        <v>182</v>
      </c>
      <c r="D4682" s="81" t="s">
        <v>179</v>
      </c>
      <c r="E4682" s="81" t="s">
        <v>50</v>
      </c>
      <c r="F4682" s="81" t="s">
        <v>1</v>
      </c>
    </row>
    <row r="4683" spans="1:6" x14ac:dyDescent="0.25">
      <c r="A4683" s="14">
        <v>46152.495138888888</v>
      </c>
      <c r="B4683" s="81" t="s">
        <v>149</v>
      </c>
      <c r="C4683" s="81" t="s">
        <v>185</v>
      </c>
      <c r="D4683" s="81" t="s">
        <v>240</v>
      </c>
      <c r="E4683" s="81" t="s">
        <v>50</v>
      </c>
      <c r="F4683" s="81" t="s">
        <v>1</v>
      </c>
    </row>
    <row r="4684" spans="1:6" x14ac:dyDescent="0.25">
      <c r="A4684" s="14">
        <v>46152.495138888888</v>
      </c>
      <c r="B4684" s="81" t="s">
        <v>149</v>
      </c>
      <c r="C4684" s="81" t="s">
        <v>185</v>
      </c>
      <c r="D4684" s="81" t="s">
        <v>204</v>
      </c>
      <c r="E4684" s="81" t="s">
        <v>50</v>
      </c>
      <c r="F4684" s="81" t="s">
        <v>1</v>
      </c>
    </row>
    <row r="4685" spans="1:6" x14ac:dyDescent="0.25">
      <c r="A4685" s="14">
        <v>46152.495138888888</v>
      </c>
      <c r="B4685" s="81" t="s">
        <v>149</v>
      </c>
      <c r="C4685" s="81" t="s">
        <v>185</v>
      </c>
      <c r="D4685" s="81" t="s">
        <v>204</v>
      </c>
      <c r="E4685" s="81" t="s">
        <v>50</v>
      </c>
      <c r="F4685" s="81" t="s">
        <v>1</v>
      </c>
    </row>
    <row r="4686" spans="1:6" x14ac:dyDescent="0.25">
      <c r="A4686" s="14">
        <v>46152.495138888888</v>
      </c>
      <c r="B4686" s="81" t="s">
        <v>149</v>
      </c>
      <c r="C4686" s="81" t="s">
        <v>183</v>
      </c>
      <c r="D4686" s="81" t="s">
        <v>204</v>
      </c>
      <c r="E4686" s="81" t="s">
        <v>49</v>
      </c>
      <c r="F4686" s="81" t="s">
        <v>2</v>
      </c>
    </row>
    <row r="4687" spans="1:6" x14ac:dyDescent="0.25">
      <c r="A4687" s="14">
        <v>46152.495138888888</v>
      </c>
      <c r="B4687" s="81" t="s">
        <v>149</v>
      </c>
      <c r="C4687" s="81" t="s">
        <v>176</v>
      </c>
      <c r="D4687" s="81" t="s">
        <v>254</v>
      </c>
      <c r="E4687" s="81" t="s">
        <v>237</v>
      </c>
      <c r="F4687" s="81" t="s">
        <v>28</v>
      </c>
    </row>
    <row r="4688" spans="1:6" x14ac:dyDescent="0.25">
      <c r="A4688" s="14">
        <v>46152.495138888888</v>
      </c>
      <c r="B4688" s="81" t="s">
        <v>149</v>
      </c>
      <c r="C4688" s="81" t="s">
        <v>190</v>
      </c>
      <c r="D4688" s="81" t="s">
        <v>204</v>
      </c>
      <c r="E4688" s="81" t="s">
        <v>50</v>
      </c>
      <c r="F4688" s="81" t="s">
        <v>1</v>
      </c>
    </row>
    <row r="4689" spans="1:6" x14ac:dyDescent="0.25">
      <c r="A4689" s="14">
        <v>46152.495138888888</v>
      </c>
      <c r="B4689" s="81" t="s">
        <v>149</v>
      </c>
      <c r="C4689" s="81" t="s">
        <v>173</v>
      </c>
      <c r="D4689" s="81" t="s">
        <v>257</v>
      </c>
      <c r="E4689" s="81" t="s">
        <v>52</v>
      </c>
      <c r="F4689" s="81" t="s">
        <v>0</v>
      </c>
    </row>
    <row r="4690" spans="1:6" x14ac:dyDescent="0.25">
      <c r="A4690" s="14">
        <v>46152.495138888888</v>
      </c>
      <c r="B4690" s="81" t="s">
        <v>149</v>
      </c>
      <c r="C4690" s="81" t="s">
        <v>192</v>
      </c>
      <c r="D4690" s="81" t="s">
        <v>267</v>
      </c>
      <c r="E4690" s="81" t="s">
        <v>60</v>
      </c>
      <c r="F4690" s="81" t="s">
        <v>28</v>
      </c>
    </row>
    <row r="4691" spans="1:6" x14ac:dyDescent="0.25">
      <c r="A4691" s="14">
        <v>46152.495138888888</v>
      </c>
      <c r="B4691" s="81" t="s">
        <v>149</v>
      </c>
      <c r="C4691" s="81" t="s">
        <v>190</v>
      </c>
      <c r="D4691" s="81" t="s">
        <v>266</v>
      </c>
      <c r="E4691" s="81" t="s">
        <v>52</v>
      </c>
      <c r="F4691" s="81" t="s">
        <v>0</v>
      </c>
    </row>
    <row r="4692" spans="1:6" x14ac:dyDescent="0.25">
      <c r="A4692" s="14">
        <v>46152.495138888888</v>
      </c>
      <c r="B4692" s="81" t="s">
        <v>149</v>
      </c>
      <c r="C4692" s="81" t="s">
        <v>173</v>
      </c>
      <c r="D4692" s="81" t="s">
        <v>266</v>
      </c>
      <c r="E4692" s="81" t="s">
        <v>52</v>
      </c>
      <c r="F4692" s="81" t="s">
        <v>0</v>
      </c>
    </row>
    <row r="4693" spans="1:6" x14ac:dyDescent="0.25">
      <c r="A4693" s="14">
        <v>46152.495138888888</v>
      </c>
      <c r="B4693" s="81" t="s">
        <v>149</v>
      </c>
      <c r="C4693" s="81" t="s">
        <v>184</v>
      </c>
      <c r="D4693" s="81" t="s">
        <v>150</v>
      </c>
      <c r="E4693" s="81" t="s">
        <v>50</v>
      </c>
      <c r="F4693" s="81" t="s">
        <v>1</v>
      </c>
    </row>
    <row r="4694" spans="1:6" x14ac:dyDescent="0.25">
      <c r="A4694" s="14">
        <v>46152.495138888888</v>
      </c>
      <c r="B4694" s="81" t="s">
        <v>149</v>
      </c>
      <c r="C4694" s="81" t="s">
        <v>185</v>
      </c>
      <c r="D4694" s="81" t="s">
        <v>150</v>
      </c>
      <c r="E4694" s="81" t="s">
        <v>50</v>
      </c>
      <c r="F4694" s="81" t="s">
        <v>1</v>
      </c>
    </row>
    <row r="4695" spans="1:6" x14ac:dyDescent="0.25">
      <c r="A4695" s="14">
        <v>46152.495138888888</v>
      </c>
      <c r="B4695" s="81" t="s">
        <v>149</v>
      </c>
      <c r="C4695" s="81" t="s">
        <v>192</v>
      </c>
      <c r="D4695" s="81" t="s">
        <v>267</v>
      </c>
      <c r="E4695" s="81" t="s">
        <v>60</v>
      </c>
      <c r="F4695" s="81" t="s">
        <v>28</v>
      </c>
    </row>
    <row r="4696" spans="1:6" x14ac:dyDescent="0.25">
      <c r="A4696" s="14">
        <v>46152.495138888888</v>
      </c>
      <c r="B4696" s="81" t="s">
        <v>149</v>
      </c>
      <c r="C4696" s="81" t="s">
        <v>182</v>
      </c>
      <c r="D4696" s="81" t="s">
        <v>150</v>
      </c>
      <c r="E4696" s="81" t="s">
        <v>50</v>
      </c>
      <c r="F4696" s="81" t="s">
        <v>1</v>
      </c>
    </row>
    <row r="4697" spans="1:6" x14ac:dyDescent="0.25">
      <c r="A4697" s="14">
        <v>46152.495138888888</v>
      </c>
      <c r="B4697" s="81" t="s">
        <v>149</v>
      </c>
      <c r="C4697" s="81" t="s">
        <v>175</v>
      </c>
      <c r="D4697" s="81" t="s">
        <v>150</v>
      </c>
      <c r="E4697" s="81" t="s">
        <v>50</v>
      </c>
      <c r="F4697" s="81" t="s">
        <v>1</v>
      </c>
    </row>
    <row r="4698" spans="1:6" x14ac:dyDescent="0.25">
      <c r="A4698" s="14">
        <v>46152.495138888888</v>
      </c>
      <c r="B4698" s="81" t="s">
        <v>149</v>
      </c>
      <c r="C4698" s="81" t="s">
        <v>181</v>
      </c>
      <c r="D4698" s="81" t="s">
        <v>268</v>
      </c>
      <c r="E4698" s="81" t="s">
        <v>52</v>
      </c>
      <c r="F4698" s="81" t="s">
        <v>0</v>
      </c>
    </row>
    <row r="4699" spans="1:6" x14ac:dyDescent="0.25">
      <c r="A4699" s="14">
        <v>46152.495138888888</v>
      </c>
      <c r="B4699" s="81" t="s">
        <v>149</v>
      </c>
      <c r="C4699" s="81" t="s">
        <v>227</v>
      </c>
      <c r="D4699" s="81" t="s">
        <v>268</v>
      </c>
      <c r="E4699" s="81" t="s">
        <v>64</v>
      </c>
      <c r="F4699" s="81" t="s">
        <v>98</v>
      </c>
    </row>
    <row r="4700" spans="1:6" x14ac:dyDescent="0.25">
      <c r="A4700" s="14">
        <v>46152.495138888888</v>
      </c>
      <c r="B4700" s="81" t="s">
        <v>149</v>
      </c>
      <c r="C4700" s="81" t="s">
        <v>158</v>
      </c>
      <c r="D4700" s="81" t="s">
        <v>555</v>
      </c>
      <c r="E4700" s="81" t="s">
        <v>52</v>
      </c>
      <c r="F4700" s="81" t="s">
        <v>0</v>
      </c>
    </row>
    <row r="4701" spans="1:6" x14ac:dyDescent="0.25">
      <c r="A4701" s="14">
        <v>46152.495138888888</v>
      </c>
      <c r="B4701" s="81" t="s">
        <v>149</v>
      </c>
      <c r="C4701" s="81" t="s">
        <v>190</v>
      </c>
      <c r="D4701" s="81" t="s">
        <v>267</v>
      </c>
      <c r="E4701" s="81" t="s">
        <v>52</v>
      </c>
      <c r="F4701" s="81" t="s">
        <v>0</v>
      </c>
    </row>
    <row r="4702" spans="1:6" x14ac:dyDescent="0.25">
      <c r="A4702" s="14">
        <v>46152.495138888888</v>
      </c>
      <c r="B4702" s="81" t="s">
        <v>149</v>
      </c>
      <c r="C4702" s="81" t="s">
        <v>175</v>
      </c>
      <c r="D4702" s="81" t="s">
        <v>261</v>
      </c>
      <c r="E4702" s="81" t="s">
        <v>50</v>
      </c>
      <c r="F4702" s="81" t="s">
        <v>1</v>
      </c>
    </row>
    <row r="4703" spans="1:6" x14ac:dyDescent="0.25">
      <c r="A4703" s="14">
        <v>46152.495138888888</v>
      </c>
      <c r="B4703" s="81" t="s">
        <v>149</v>
      </c>
      <c r="C4703" s="81" t="s">
        <v>182</v>
      </c>
      <c r="D4703" s="81" t="s">
        <v>193</v>
      </c>
      <c r="E4703" s="81" t="s">
        <v>50</v>
      </c>
      <c r="F4703" s="81" t="s">
        <v>1</v>
      </c>
    </row>
    <row r="4704" spans="1:6" x14ac:dyDescent="0.25">
      <c r="A4704" s="14">
        <v>46152.495138888888</v>
      </c>
      <c r="B4704" s="81" t="s">
        <v>149</v>
      </c>
      <c r="C4704" s="81" t="s">
        <v>181</v>
      </c>
      <c r="D4704" s="81" t="s">
        <v>261</v>
      </c>
      <c r="E4704" s="81" t="s">
        <v>52</v>
      </c>
      <c r="F4704" s="81" t="s">
        <v>0</v>
      </c>
    </row>
    <row r="4705" spans="1:6" x14ac:dyDescent="0.25">
      <c r="A4705" s="14">
        <v>46152.495138888888</v>
      </c>
      <c r="B4705" s="81" t="s">
        <v>149</v>
      </c>
      <c r="C4705" s="81" t="s">
        <v>181</v>
      </c>
      <c r="D4705" s="81" t="s">
        <v>150</v>
      </c>
      <c r="E4705" s="81" t="s">
        <v>50</v>
      </c>
      <c r="F4705" s="81" t="s">
        <v>1</v>
      </c>
    </row>
    <row r="4706" spans="1:6" x14ac:dyDescent="0.25">
      <c r="A4706" s="14">
        <v>46152.495138888888</v>
      </c>
      <c r="B4706" s="81" t="s">
        <v>149</v>
      </c>
      <c r="C4706" s="81" t="s">
        <v>151</v>
      </c>
      <c r="D4706" s="81" t="s">
        <v>150</v>
      </c>
      <c r="E4706" s="81" t="s">
        <v>50</v>
      </c>
      <c r="F4706" s="81" t="s">
        <v>1</v>
      </c>
    </row>
    <row r="4707" spans="1:6" x14ac:dyDescent="0.25">
      <c r="A4707" s="14">
        <v>46152.495138888888</v>
      </c>
      <c r="B4707" s="81" t="s">
        <v>149</v>
      </c>
      <c r="C4707" s="81" t="s">
        <v>185</v>
      </c>
      <c r="D4707" s="81" t="s">
        <v>150</v>
      </c>
      <c r="E4707" s="81" t="s">
        <v>50</v>
      </c>
      <c r="F4707" s="81" t="s">
        <v>1</v>
      </c>
    </row>
    <row r="4708" spans="1:6" x14ac:dyDescent="0.25">
      <c r="A4708" s="14">
        <v>46152.495138888888</v>
      </c>
      <c r="B4708" s="81" t="s">
        <v>149</v>
      </c>
      <c r="C4708" s="81" t="s">
        <v>158</v>
      </c>
      <c r="D4708" s="81" t="s">
        <v>150</v>
      </c>
      <c r="E4708" s="81" t="s">
        <v>50</v>
      </c>
      <c r="F4708" s="81" t="s">
        <v>1</v>
      </c>
    </row>
    <row r="4709" spans="1:6" x14ac:dyDescent="0.25">
      <c r="A4709" s="14">
        <v>46152.495138888888</v>
      </c>
      <c r="B4709" s="81" t="s">
        <v>149</v>
      </c>
      <c r="C4709" s="81" t="s">
        <v>178</v>
      </c>
      <c r="D4709" s="81" t="s">
        <v>191</v>
      </c>
      <c r="E4709" s="81" t="s">
        <v>137</v>
      </c>
      <c r="F4709" s="81" t="s">
        <v>28</v>
      </c>
    </row>
    <row r="4710" spans="1:6" x14ac:dyDescent="0.25">
      <c r="A4710" s="14">
        <v>46152.495138888888</v>
      </c>
      <c r="B4710" s="81" t="s">
        <v>149</v>
      </c>
      <c r="C4710" s="81" t="s">
        <v>184</v>
      </c>
      <c r="D4710" s="81" t="s">
        <v>150</v>
      </c>
      <c r="E4710" s="81" t="s">
        <v>50</v>
      </c>
      <c r="F4710" s="81" t="s">
        <v>1</v>
      </c>
    </row>
    <row r="4711" spans="1:6" x14ac:dyDescent="0.25">
      <c r="A4711" s="14">
        <v>46152.495138888888</v>
      </c>
      <c r="B4711" s="81" t="s">
        <v>149</v>
      </c>
      <c r="C4711" s="81" t="s">
        <v>158</v>
      </c>
      <c r="D4711" s="81" t="s">
        <v>150</v>
      </c>
      <c r="E4711" s="81" t="s">
        <v>50</v>
      </c>
      <c r="F4711" s="81" t="s">
        <v>1</v>
      </c>
    </row>
    <row r="4712" spans="1:6" x14ac:dyDescent="0.25">
      <c r="A4712" s="14">
        <v>46152.495138888888</v>
      </c>
      <c r="B4712" s="81" t="s">
        <v>149</v>
      </c>
      <c r="C4712" s="81" t="s">
        <v>177</v>
      </c>
      <c r="D4712" s="81" t="s">
        <v>193</v>
      </c>
      <c r="E4712" s="81" t="s">
        <v>50</v>
      </c>
      <c r="F4712" s="81" t="s">
        <v>1</v>
      </c>
    </row>
    <row r="4713" spans="1:6" x14ac:dyDescent="0.25">
      <c r="A4713" s="14">
        <v>46152.495138888888</v>
      </c>
      <c r="B4713" s="81" t="s">
        <v>149</v>
      </c>
      <c r="C4713" s="81" t="s">
        <v>158</v>
      </c>
      <c r="D4713" s="81" t="s">
        <v>150</v>
      </c>
      <c r="E4713" s="81" t="s">
        <v>50</v>
      </c>
      <c r="F4713" s="81" t="s">
        <v>1</v>
      </c>
    </row>
    <row r="4714" spans="1:6" x14ac:dyDescent="0.25">
      <c r="A4714" s="14">
        <v>46152.495138888888</v>
      </c>
      <c r="B4714" s="81" t="s">
        <v>149</v>
      </c>
      <c r="C4714" s="81" t="s">
        <v>177</v>
      </c>
      <c r="D4714" s="81" t="s">
        <v>204</v>
      </c>
      <c r="E4714" s="81" t="s">
        <v>49</v>
      </c>
      <c r="F4714" s="81" t="s">
        <v>2</v>
      </c>
    </row>
    <row r="4715" spans="1:6" x14ac:dyDescent="0.25">
      <c r="A4715" s="14">
        <v>46152.495138888888</v>
      </c>
      <c r="B4715" s="81" t="s">
        <v>149</v>
      </c>
      <c r="C4715" s="81" t="s">
        <v>177</v>
      </c>
      <c r="D4715" s="81" t="s">
        <v>150</v>
      </c>
      <c r="E4715" s="81" t="s">
        <v>50</v>
      </c>
      <c r="F4715" s="81" t="s">
        <v>1</v>
      </c>
    </row>
    <row r="4716" spans="1:6" x14ac:dyDescent="0.25">
      <c r="A4716" s="14">
        <v>46152.495138888888</v>
      </c>
      <c r="B4716" s="81" t="s">
        <v>149</v>
      </c>
      <c r="C4716" s="81" t="s">
        <v>181</v>
      </c>
      <c r="D4716" s="81" t="s">
        <v>193</v>
      </c>
      <c r="E4716" s="81" t="s">
        <v>50</v>
      </c>
      <c r="F4716" s="81" t="s">
        <v>1</v>
      </c>
    </row>
    <row r="4717" spans="1:6" x14ac:dyDescent="0.25">
      <c r="A4717" s="14">
        <v>46152.495138888888</v>
      </c>
      <c r="B4717" s="81" t="s">
        <v>149</v>
      </c>
      <c r="C4717" s="81" t="s">
        <v>192</v>
      </c>
      <c r="D4717" s="81" t="s">
        <v>267</v>
      </c>
      <c r="E4717" s="81" t="s">
        <v>60</v>
      </c>
      <c r="F4717" s="81" t="s">
        <v>28</v>
      </c>
    </row>
    <row r="4718" spans="1:6" x14ac:dyDescent="0.25">
      <c r="A4718" s="14">
        <v>46152.495138888888</v>
      </c>
      <c r="B4718" s="81" t="s">
        <v>149</v>
      </c>
      <c r="C4718" s="81" t="s">
        <v>181</v>
      </c>
      <c r="D4718" s="81" t="s">
        <v>204</v>
      </c>
      <c r="E4718" s="81" t="s">
        <v>49</v>
      </c>
      <c r="F4718" s="81" t="s">
        <v>2</v>
      </c>
    </row>
    <row r="4719" spans="1:6" x14ac:dyDescent="0.25">
      <c r="A4719" s="14">
        <v>46152.495138888888</v>
      </c>
      <c r="B4719" s="81" t="s">
        <v>149</v>
      </c>
      <c r="C4719" s="81" t="s">
        <v>151</v>
      </c>
      <c r="D4719" s="81" t="s">
        <v>150</v>
      </c>
      <c r="E4719" s="81" t="s">
        <v>50</v>
      </c>
      <c r="F4719" s="81" t="s">
        <v>1</v>
      </c>
    </row>
    <row r="4720" spans="1:6" x14ac:dyDescent="0.25">
      <c r="A4720" s="14">
        <v>46152.495138888888</v>
      </c>
      <c r="B4720" s="81" t="s">
        <v>149</v>
      </c>
      <c r="C4720" s="81" t="s">
        <v>175</v>
      </c>
      <c r="D4720" s="81" t="s">
        <v>193</v>
      </c>
      <c r="E4720" s="81" t="s">
        <v>52</v>
      </c>
      <c r="F4720" s="81" t="s">
        <v>0</v>
      </c>
    </row>
    <row r="4721" spans="1:6" x14ac:dyDescent="0.25">
      <c r="A4721" s="14">
        <v>46152.495138888888</v>
      </c>
      <c r="B4721" s="81" t="s">
        <v>149</v>
      </c>
      <c r="C4721" s="81" t="s">
        <v>182</v>
      </c>
      <c r="D4721" s="81" t="s">
        <v>150</v>
      </c>
      <c r="E4721" s="81" t="s">
        <v>50</v>
      </c>
      <c r="F4721" s="81" t="s">
        <v>1</v>
      </c>
    </row>
    <row r="4722" spans="1:6" x14ac:dyDescent="0.25">
      <c r="A4722" s="14">
        <v>46152.495138888888</v>
      </c>
      <c r="B4722" s="81" t="s">
        <v>149</v>
      </c>
      <c r="C4722" s="81" t="s">
        <v>158</v>
      </c>
      <c r="D4722" s="81" t="s">
        <v>204</v>
      </c>
      <c r="E4722" s="81" t="s">
        <v>49</v>
      </c>
      <c r="F4722" s="81" t="s">
        <v>2</v>
      </c>
    </row>
    <row r="4723" spans="1:6" x14ac:dyDescent="0.25">
      <c r="A4723" s="14">
        <v>46152.495138888888</v>
      </c>
      <c r="B4723" s="81" t="s">
        <v>149</v>
      </c>
      <c r="C4723" s="81" t="s">
        <v>185</v>
      </c>
      <c r="D4723" s="81" t="s">
        <v>204</v>
      </c>
      <c r="E4723" s="81" t="s">
        <v>49</v>
      </c>
      <c r="F4723" s="81" t="s">
        <v>2</v>
      </c>
    </row>
    <row r="4724" spans="1:6" x14ac:dyDescent="0.25">
      <c r="A4724" s="14">
        <v>46152.495138888888</v>
      </c>
      <c r="B4724" s="81" t="s">
        <v>149</v>
      </c>
      <c r="C4724" s="81" t="s">
        <v>183</v>
      </c>
      <c r="D4724" s="81" t="s">
        <v>850</v>
      </c>
      <c r="E4724" s="81" t="s">
        <v>50</v>
      </c>
      <c r="F4724" s="81" t="s">
        <v>1</v>
      </c>
    </row>
    <row r="4725" spans="1:6" x14ac:dyDescent="0.25">
      <c r="A4725" s="14">
        <v>46152.495138888888</v>
      </c>
      <c r="B4725" s="81" t="s">
        <v>149</v>
      </c>
      <c r="C4725" s="81" t="s">
        <v>188</v>
      </c>
      <c r="D4725" s="81" t="s">
        <v>179</v>
      </c>
      <c r="E4725" s="81" t="s">
        <v>45</v>
      </c>
      <c r="F4725" s="81" t="s">
        <v>28</v>
      </c>
    </row>
    <row r="4726" spans="1:6" x14ac:dyDescent="0.25">
      <c r="A4726" s="14">
        <v>46152.495138888888</v>
      </c>
      <c r="B4726" s="81" t="s">
        <v>149</v>
      </c>
      <c r="C4726" s="81" t="s">
        <v>189</v>
      </c>
      <c r="D4726" s="81" t="s">
        <v>179</v>
      </c>
      <c r="E4726" s="81" t="s">
        <v>45</v>
      </c>
      <c r="F4726" s="81" t="s">
        <v>28</v>
      </c>
    </row>
    <row r="4727" spans="1:6" x14ac:dyDescent="0.25">
      <c r="A4727" s="14">
        <v>46152.495138888888</v>
      </c>
      <c r="B4727" s="81" t="s">
        <v>149</v>
      </c>
      <c r="C4727" s="81" t="s">
        <v>239</v>
      </c>
      <c r="D4727" s="81" t="s">
        <v>179</v>
      </c>
      <c r="E4727" s="81" t="s">
        <v>45</v>
      </c>
      <c r="F4727" s="81" t="s">
        <v>28</v>
      </c>
    </row>
    <row r="4728" spans="1:6" x14ac:dyDescent="0.25">
      <c r="A4728" s="14">
        <v>46152.495138888888</v>
      </c>
      <c r="B4728" s="81" t="s">
        <v>149</v>
      </c>
      <c r="C4728" s="81" t="s">
        <v>185</v>
      </c>
      <c r="D4728" s="81" t="s">
        <v>266</v>
      </c>
      <c r="E4728" s="81" t="s">
        <v>52</v>
      </c>
      <c r="F4728" s="81" t="s">
        <v>0</v>
      </c>
    </row>
    <row r="4729" spans="1:6" x14ac:dyDescent="0.25">
      <c r="A4729" s="14">
        <v>46152.495138888888</v>
      </c>
      <c r="B4729" s="81" t="s">
        <v>149</v>
      </c>
      <c r="C4729" s="81" t="s">
        <v>183</v>
      </c>
      <c r="D4729" s="81" t="s">
        <v>240</v>
      </c>
      <c r="E4729" s="81" t="s">
        <v>50</v>
      </c>
      <c r="F4729" s="81" t="s">
        <v>1</v>
      </c>
    </row>
    <row r="4730" spans="1:6" x14ac:dyDescent="0.25">
      <c r="A4730" s="14">
        <v>46152.495138888888</v>
      </c>
      <c r="B4730" s="81" t="s">
        <v>149</v>
      </c>
      <c r="C4730" s="81" t="s">
        <v>183</v>
      </c>
      <c r="D4730" s="81" t="s">
        <v>193</v>
      </c>
      <c r="E4730" s="81" t="s">
        <v>50</v>
      </c>
      <c r="F4730" s="81" t="s">
        <v>1</v>
      </c>
    </row>
    <row r="4731" spans="1:6" x14ac:dyDescent="0.25">
      <c r="A4731" s="14">
        <v>46152.495138888888</v>
      </c>
      <c r="B4731" s="81" t="s">
        <v>149</v>
      </c>
      <c r="C4731" s="81" t="s">
        <v>190</v>
      </c>
      <c r="D4731" s="81" t="s">
        <v>202</v>
      </c>
      <c r="E4731" s="81" t="s">
        <v>49</v>
      </c>
      <c r="F4731" s="81" t="s">
        <v>2</v>
      </c>
    </row>
    <row r="4732" spans="1:6" x14ac:dyDescent="0.25">
      <c r="A4732" s="14">
        <v>46152.495138888888</v>
      </c>
      <c r="B4732" s="81" t="s">
        <v>149</v>
      </c>
      <c r="C4732" s="81" t="s">
        <v>183</v>
      </c>
      <c r="D4732" s="81" t="s">
        <v>165</v>
      </c>
      <c r="E4732" s="81" t="s">
        <v>50</v>
      </c>
      <c r="F4732" s="81" t="s">
        <v>1</v>
      </c>
    </row>
    <row r="4733" spans="1:6" x14ac:dyDescent="0.25">
      <c r="A4733" s="14">
        <v>46152.495138888888</v>
      </c>
      <c r="B4733" s="81" t="s">
        <v>149</v>
      </c>
      <c r="C4733" s="81" t="s">
        <v>175</v>
      </c>
      <c r="D4733" s="81" t="s">
        <v>165</v>
      </c>
      <c r="E4733" s="81" t="s">
        <v>50</v>
      </c>
      <c r="F4733" s="81" t="s">
        <v>1</v>
      </c>
    </row>
    <row r="4734" spans="1:6" x14ac:dyDescent="0.25">
      <c r="A4734" s="14">
        <v>46152.495138888888</v>
      </c>
      <c r="B4734" s="81" t="s">
        <v>149</v>
      </c>
      <c r="C4734" s="81" t="s">
        <v>182</v>
      </c>
      <c r="D4734" s="81" t="s">
        <v>165</v>
      </c>
      <c r="E4734" s="81" t="s">
        <v>50</v>
      </c>
      <c r="F4734" s="81" t="s">
        <v>1</v>
      </c>
    </row>
    <row r="4735" spans="1:6" x14ac:dyDescent="0.25">
      <c r="A4735" s="14">
        <v>46152.495138888888</v>
      </c>
      <c r="B4735" s="81" t="s">
        <v>149</v>
      </c>
      <c r="C4735" s="81" t="s">
        <v>183</v>
      </c>
      <c r="D4735" s="81" t="s">
        <v>165</v>
      </c>
      <c r="E4735" s="81" t="s">
        <v>50</v>
      </c>
      <c r="F4735" s="81" t="s">
        <v>1</v>
      </c>
    </row>
    <row r="4736" spans="1:6" x14ac:dyDescent="0.25">
      <c r="A4736" s="14">
        <v>46152.495138888888</v>
      </c>
      <c r="B4736" s="81" t="s">
        <v>149</v>
      </c>
      <c r="C4736" s="81" t="s">
        <v>173</v>
      </c>
      <c r="D4736" s="81" t="s">
        <v>257</v>
      </c>
      <c r="E4736" s="81" t="s">
        <v>52</v>
      </c>
      <c r="F4736" s="81" t="s">
        <v>0</v>
      </c>
    </row>
    <row r="4737" spans="1:6" x14ac:dyDescent="0.25">
      <c r="A4737" s="14">
        <v>46152.495138888888</v>
      </c>
      <c r="B4737" s="81" t="s">
        <v>149</v>
      </c>
      <c r="C4737" s="81" t="s">
        <v>176</v>
      </c>
      <c r="D4737" s="81" t="s">
        <v>254</v>
      </c>
      <c r="E4737" s="81" t="s">
        <v>237</v>
      </c>
      <c r="F4737" s="81" t="s">
        <v>28</v>
      </c>
    </row>
    <row r="4738" spans="1:6" x14ac:dyDescent="0.25">
      <c r="A4738" s="14">
        <v>46152.495138888888</v>
      </c>
      <c r="B4738" s="81" t="s">
        <v>149</v>
      </c>
      <c r="C4738" s="81" t="s">
        <v>175</v>
      </c>
      <c r="D4738" s="81" t="s">
        <v>266</v>
      </c>
      <c r="E4738" s="81" t="s">
        <v>52</v>
      </c>
      <c r="F4738" s="81" t="s">
        <v>0</v>
      </c>
    </row>
    <row r="4739" spans="1:6" x14ac:dyDescent="0.25">
      <c r="A4739" s="14">
        <v>46152.495138888888</v>
      </c>
      <c r="B4739" s="81" t="s">
        <v>195</v>
      </c>
      <c r="C4739" s="81" t="s">
        <v>198</v>
      </c>
      <c r="D4739" s="81" t="s">
        <v>254</v>
      </c>
      <c r="E4739" s="81" t="s">
        <v>24</v>
      </c>
      <c r="F4739" s="81" t="s">
        <v>24</v>
      </c>
    </row>
    <row r="4740" spans="1:6" x14ac:dyDescent="0.25">
      <c r="A4740" s="14">
        <v>46152.495138888888</v>
      </c>
      <c r="B4740" s="81" t="s">
        <v>195</v>
      </c>
      <c r="C4740" s="81" t="s">
        <v>198</v>
      </c>
      <c r="D4740" s="81" t="s">
        <v>254</v>
      </c>
      <c r="E4740" s="81" t="s">
        <v>24</v>
      </c>
      <c r="F4740" s="81" t="s">
        <v>24</v>
      </c>
    </row>
    <row r="4741" spans="1:6" x14ac:dyDescent="0.25">
      <c r="A4741" s="14">
        <v>46152.495138888888</v>
      </c>
      <c r="B4741" s="81" t="s">
        <v>195</v>
      </c>
      <c r="C4741" s="81" t="s">
        <v>198</v>
      </c>
      <c r="D4741" s="81" t="s">
        <v>254</v>
      </c>
      <c r="E4741" s="81" t="s">
        <v>24</v>
      </c>
      <c r="F4741" s="81" t="s">
        <v>24</v>
      </c>
    </row>
    <row r="4742" spans="1:6" x14ac:dyDescent="0.25">
      <c r="A4742" s="14">
        <v>46152.495138888888</v>
      </c>
      <c r="B4742" s="81" t="s">
        <v>195</v>
      </c>
      <c r="C4742" s="81" t="s">
        <v>198</v>
      </c>
      <c r="D4742" s="81" t="s">
        <v>254</v>
      </c>
      <c r="E4742" s="81" t="s">
        <v>24</v>
      </c>
      <c r="F4742" s="81" t="s">
        <v>24</v>
      </c>
    </row>
    <row r="4743" spans="1:6" x14ac:dyDescent="0.25">
      <c r="A4743" s="14">
        <v>46152.495138888888</v>
      </c>
      <c r="B4743" s="81" t="s">
        <v>195</v>
      </c>
      <c r="C4743" s="81" t="s">
        <v>198</v>
      </c>
      <c r="D4743" s="81" t="s">
        <v>254</v>
      </c>
      <c r="E4743" s="81" t="s">
        <v>24</v>
      </c>
      <c r="F4743" s="81" t="s">
        <v>24</v>
      </c>
    </row>
    <row r="4744" spans="1:6" x14ac:dyDescent="0.25">
      <c r="A4744" s="14">
        <v>46152.495138888888</v>
      </c>
      <c r="B4744" s="81" t="s">
        <v>195</v>
      </c>
      <c r="C4744" s="81" t="s">
        <v>198</v>
      </c>
      <c r="D4744" s="81" t="s">
        <v>254</v>
      </c>
      <c r="E4744" s="81" t="s">
        <v>24</v>
      </c>
      <c r="F4744" s="81" t="s">
        <v>24</v>
      </c>
    </row>
    <row r="4745" spans="1:6" x14ac:dyDescent="0.25">
      <c r="A4745" s="14">
        <v>46152.495138888888</v>
      </c>
      <c r="B4745" s="81" t="s">
        <v>195</v>
      </c>
      <c r="C4745" s="81" t="s">
        <v>198</v>
      </c>
      <c r="D4745" s="81" t="s">
        <v>254</v>
      </c>
      <c r="E4745" s="81" t="s">
        <v>24</v>
      </c>
      <c r="F4745" s="81" t="s">
        <v>24</v>
      </c>
    </row>
    <row r="4746" spans="1:6" x14ac:dyDescent="0.25">
      <c r="A4746" s="14">
        <v>46152.495138888888</v>
      </c>
      <c r="B4746" s="81" t="s">
        <v>195</v>
      </c>
      <c r="C4746" s="81" t="s">
        <v>198</v>
      </c>
      <c r="D4746" s="81" t="s">
        <v>254</v>
      </c>
      <c r="E4746" s="81" t="s">
        <v>24</v>
      </c>
      <c r="F4746" s="81" t="s">
        <v>24</v>
      </c>
    </row>
    <row r="4747" spans="1:6" x14ac:dyDescent="0.25">
      <c r="A4747" s="14">
        <v>46152.495138888888</v>
      </c>
      <c r="B4747" s="81" t="s">
        <v>195</v>
      </c>
      <c r="C4747" s="81" t="s">
        <v>198</v>
      </c>
      <c r="D4747" s="81" t="s">
        <v>254</v>
      </c>
      <c r="E4747" s="81" t="s">
        <v>24</v>
      </c>
      <c r="F4747" s="81" t="s">
        <v>24</v>
      </c>
    </row>
    <row r="4748" spans="1:6" x14ac:dyDescent="0.25">
      <c r="A4748" s="14">
        <v>46152.495138888888</v>
      </c>
      <c r="B4748" s="81" t="s">
        <v>195</v>
      </c>
      <c r="C4748" s="81" t="s">
        <v>198</v>
      </c>
      <c r="D4748" s="81" t="s">
        <v>254</v>
      </c>
      <c r="E4748" s="81" t="s">
        <v>24</v>
      </c>
      <c r="F4748" s="81" t="s">
        <v>24</v>
      </c>
    </row>
    <row r="4749" spans="1:6" x14ac:dyDescent="0.25">
      <c r="A4749" s="14">
        <v>46152.495138888888</v>
      </c>
      <c r="B4749" s="81" t="s">
        <v>195</v>
      </c>
      <c r="C4749" s="81" t="s">
        <v>198</v>
      </c>
      <c r="D4749" s="81" t="s">
        <v>254</v>
      </c>
      <c r="E4749" s="81" t="s">
        <v>24</v>
      </c>
      <c r="F4749" s="81" t="s">
        <v>24</v>
      </c>
    </row>
    <row r="4750" spans="1:6" x14ac:dyDescent="0.25">
      <c r="A4750" s="14">
        <v>46152.495138888888</v>
      </c>
      <c r="B4750" s="81" t="s">
        <v>195</v>
      </c>
      <c r="C4750" s="81" t="s">
        <v>198</v>
      </c>
      <c r="D4750" s="81" t="s">
        <v>254</v>
      </c>
      <c r="E4750" s="81" t="s">
        <v>24</v>
      </c>
      <c r="F4750" s="81" t="s">
        <v>24</v>
      </c>
    </row>
    <row r="4751" spans="1:6" x14ac:dyDescent="0.25">
      <c r="A4751" s="14">
        <v>46152.495138888888</v>
      </c>
      <c r="B4751" s="81" t="s">
        <v>195</v>
      </c>
      <c r="C4751" s="81" t="s">
        <v>198</v>
      </c>
      <c r="D4751" s="81" t="s">
        <v>254</v>
      </c>
      <c r="E4751" s="81" t="s">
        <v>24</v>
      </c>
      <c r="F4751" s="81" t="s">
        <v>24</v>
      </c>
    </row>
    <row r="4752" spans="1:6" x14ac:dyDescent="0.25">
      <c r="A4752" s="14">
        <v>46152.495138888888</v>
      </c>
      <c r="B4752" s="81" t="s">
        <v>195</v>
      </c>
      <c r="C4752" s="81" t="s">
        <v>198</v>
      </c>
      <c r="D4752" s="81" t="s">
        <v>254</v>
      </c>
      <c r="E4752" s="81" t="s">
        <v>24</v>
      </c>
      <c r="F4752" s="81" t="s">
        <v>24</v>
      </c>
    </row>
    <row r="4753" spans="1:6" x14ac:dyDescent="0.25">
      <c r="A4753" s="14">
        <v>46152.495138888888</v>
      </c>
      <c r="B4753" s="81" t="s">
        <v>195</v>
      </c>
      <c r="C4753" s="81" t="s">
        <v>198</v>
      </c>
      <c r="D4753" s="81" t="s">
        <v>254</v>
      </c>
      <c r="E4753" s="81" t="s">
        <v>24</v>
      </c>
      <c r="F4753" s="81" t="s">
        <v>24</v>
      </c>
    </row>
    <row r="4754" spans="1:6" x14ac:dyDescent="0.25">
      <c r="A4754" s="14">
        <v>46152.495138888888</v>
      </c>
      <c r="B4754" s="81" t="s">
        <v>195</v>
      </c>
      <c r="C4754" s="81" t="s">
        <v>198</v>
      </c>
      <c r="D4754" s="81" t="s">
        <v>254</v>
      </c>
      <c r="E4754" s="81" t="s">
        <v>24</v>
      </c>
      <c r="F4754" s="81" t="s">
        <v>24</v>
      </c>
    </row>
    <row r="4755" spans="1:6" x14ac:dyDescent="0.25">
      <c r="A4755" s="14">
        <v>46152.495138888888</v>
      </c>
      <c r="B4755" s="81" t="s">
        <v>195</v>
      </c>
      <c r="C4755" s="81" t="s">
        <v>198</v>
      </c>
      <c r="D4755" s="81" t="s">
        <v>254</v>
      </c>
      <c r="E4755" s="81" t="s">
        <v>24</v>
      </c>
      <c r="F4755" s="81" t="s">
        <v>24</v>
      </c>
    </row>
    <row r="4756" spans="1:6" x14ac:dyDescent="0.25">
      <c r="A4756" s="14">
        <v>46152.495138888888</v>
      </c>
      <c r="B4756" s="81" t="s">
        <v>195</v>
      </c>
      <c r="C4756" s="81" t="s">
        <v>198</v>
      </c>
      <c r="D4756" s="81" t="s">
        <v>254</v>
      </c>
      <c r="E4756" s="81" t="s">
        <v>24</v>
      </c>
      <c r="F4756" s="81" t="s">
        <v>24</v>
      </c>
    </row>
    <row r="4757" spans="1:6" x14ac:dyDescent="0.25">
      <c r="A4757" s="14">
        <v>46152.495138888888</v>
      </c>
      <c r="B4757" s="81" t="s">
        <v>195</v>
      </c>
      <c r="C4757" s="81" t="s">
        <v>198</v>
      </c>
      <c r="D4757" s="81" t="s">
        <v>841</v>
      </c>
      <c r="E4757" s="81" t="s">
        <v>24</v>
      </c>
      <c r="F4757" s="81" t="s">
        <v>24</v>
      </c>
    </row>
    <row r="4758" spans="1:6" x14ac:dyDescent="0.25">
      <c r="A4758" s="14">
        <v>46152.495138888888</v>
      </c>
      <c r="B4758" s="81" t="s">
        <v>195</v>
      </c>
      <c r="C4758" s="81" t="s">
        <v>198</v>
      </c>
      <c r="D4758" s="81" t="s">
        <v>841</v>
      </c>
      <c r="E4758" s="81" t="s">
        <v>24</v>
      </c>
      <c r="F4758" s="81" t="s">
        <v>24</v>
      </c>
    </row>
    <row r="4759" spans="1:6" x14ac:dyDescent="0.25">
      <c r="A4759" s="14">
        <v>46152.495138888888</v>
      </c>
      <c r="B4759" s="81" t="s">
        <v>195</v>
      </c>
      <c r="C4759" s="81" t="s">
        <v>198</v>
      </c>
      <c r="D4759" s="81" t="s">
        <v>841</v>
      </c>
      <c r="E4759" s="81" t="s">
        <v>24</v>
      </c>
      <c r="F4759" s="81" t="s">
        <v>24</v>
      </c>
    </row>
    <row r="4760" spans="1:6" x14ac:dyDescent="0.25">
      <c r="A4760" s="14">
        <v>46152.543749999997</v>
      </c>
      <c r="B4760" s="81" t="s">
        <v>149</v>
      </c>
      <c r="C4760" s="81" t="s">
        <v>151</v>
      </c>
      <c r="D4760" s="81" t="s">
        <v>163</v>
      </c>
      <c r="E4760" s="81" t="s">
        <v>52</v>
      </c>
      <c r="F4760" s="81" t="s">
        <v>0</v>
      </c>
    </row>
    <row r="4761" spans="1:6" x14ac:dyDescent="0.25">
      <c r="A4761" s="14">
        <v>46152.543749999997</v>
      </c>
      <c r="B4761" s="81" t="s">
        <v>149</v>
      </c>
      <c r="C4761" s="81" t="s">
        <v>183</v>
      </c>
      <c r="D4761" s="81" t="s">
        <v>841</v>
      </c>
      <c r="E4761" s="81" t="s">
        <v>52</v>
      </c>
      <c r="F4761" s="81" t="s">
        <v>0</v>
      </c>
    </row>
    <row r="4762" spans="1:6" x14ac:dyDescent="0.25">
      <c r="A4762" s="14">
        <v>46152.543749999997</v>
      </c>
      <c r="B4762" s="81" t="s">
        <v>149</v>
      </c>
      <c r="C4762" s="81" t="s">
        <v>183</v>
      </c>
      <c r="D4762" s="81" t="s">
        <v>165</v>
      </c>
      <c r="E4762" s="81" t="s">
        <v>50</v>
      </c>
      <c r="F4762" s="81" t="s">
        <v>1</v>
      </c>
    </row>
    <row r="4763" spans="1:6" x14ac:dyDescent="0.25">
      <c r="A4763" s="14">
        <v>46152.543749999997</v>
      </c>
      <c r="B4763" s="81" t="s">
        <v>149</v>
      </c>
      <c r="C4763" s="81" t="s">
        <v>187</v>
      </c>
      <c r="D4763" s="81" t="s">
        <v>254</v>
      </c>
      <c r="E4763" s="81" t="s">
        <v>71</v>
      </c>
      <c r="F4763" s="81" t="s">
        <v>94</v>
      </c>
    </row>
    <row r="4764" spans="1:6" x14ac:dyDescent="0.25">
      <c r="A4764" s="14">
        <v>46152.543749999997</v>
      </c>
      <c r="B4764" s="81" t="s">
        <v>149</v>
      </c>
      <c r="C4764" s="81" t="s">
        <v>158</v>
      </c>
      <c r="D4764" s="81" t="s">
        <v>201</v>
      </c>
      <c r="E4764" s="81" t="s">
        <v>49</v>
      </c>
      <c r="F4764" s="81" t="s">
        <v>2</v>
      </c>
    </row>
    <row r="4765" spans="1:6" x14ac:dyDescent="0.25">
      <c r="A4765" s="14">
        <v>46152.543749999997</v>
      </c>
      <c r="B4765" s="81" t="s">
        <v>149</v>
      </c>
      <c r="C4765" s="81" t="s">
        <v>183</v>
      </c>
      <c r="D4765" s="81" t="s">
        <v>165</v>
      </c>
      <c r="E4765" s="81" t="s">
        <v>50</v>
      </c>
      <c r="F4765" s="81" t="s">
        <v>1</v>
      </c>
    </row>
    <row r="4766" spans="1:6" x14ac:dyDescent="0.25">
      <c r="A4766" s="14">
        <v>46152.543749999997</v>
      </c>
      <c r="B4766" s="81" t="s">
        <v>149</v>
      </c>
      <c r="C4766" s="81" t="s">
        <v>184</v>
      </c>
      <c r="D4766" s="81" t="s">
        <v>165</v>
      </c>
      <c r="E4766" s="81" t="s">
        <v>50</v>
      </c>
      <c r="F4766" s="81" t="s">
        <v>1</v>
      </c>
    </row>
    <row r="4767" spans="1:6" x14ac:dyDescent="0.25">
      <c r="A4767" s="14">
        <v>46152.543749999997</v>
      </c>
      <c r="B4767" s="81" t="s">
        <v>149</v>
      </c>
      <c r="C4767" s="81" t="s">
        <v>175</v>
      </c>
      <c r="D4767" s="81" t="s">
        <v>201</v>
      </c>
      <c r="E4767" s="81" t="s">
        <v>50</v>
      </c>
      <c r="F4767" s="81" t="s">
        <v>1</v>
      </c>
    </row>
    <row r="4768" spans="1:6" x14ac:dyDescent="0.25">
      <c r="A4768" s="14">
        <v>46152.543749999997</v>
      </c>
      <c r="B4768" s="81" t="s">
        <v>149</v>
      </c>
      <c r="C4768" s="81" t="s">
        <v>190</v>
      </c>
      <c r="D4768" s="81" t="s">
        <v>841</v>
      </c>
      <c r="E4768" s="81" t="s">
        <v>50</v>
      </c>
      <c r="F4768" s="81" t="s">
        <v>1</v>
      </c>
    </row>
    <row r="4769" spans="1:6" x14ac:dyDescent="0.25">
      <c r="A4769" s="14">
        <v>46152.543749999997</v>
      </c>
      <c r="B4769" s="81" t="s">
        <v>149</v>
      </c>
      <c r="C4769" s="81" t="s">
        <v>187</v>
      </c>
      <c r="D4769" s="81" t="s">
        <v>254</v>
      </c>
      <c r="E4769" s="81" t="s">
        <v>71</v>
      </c>
      <c r="F4769" s="81" t="s">
        <v>94</v>
      </c>
    </row>
    <row r="4770" spans="1:6" x14ac:dyDescent="0.25">
      <c r="A4770" s="14">
        <v>46152.543749999997</v>
      </c>
      <c r="B4770" s="81" t="s">
        <v>149</v>
      </c>
      <c r="C4770" s="81" t="s">
        <v>182</v>
      </c>
      <c r="D4770" s="81" t="s">
        <v>841</v>
      </c>
      <c r="E4770" s="81" t="s">
        <v>52</v>
      </c>
      <c r="F4770" s="81" t="s">
        <v>0</v>
      </c>
    </row>
    <row r="4771" spans="1:6" x14ac:dyDescent="0.25">
      <c r="A4771" s="14">
        <v>46152.543749999997</v>
      </c>
      <c r="B4771" s="81" t="s">
        <v>149</v>
      </c>
      <c r="C4771" s="81" t="s">
        <v>171</v>
      </c>
      <c r="D4771" s="81" t="s">
        <v>841</v>
      </c>
      <c r="E4771" s="81" t="s">
        <v>50</v>
      </c>
      <c r="F4771" s="81" t="s">
        <v>1</v>
      </c>
    </row>
    <row r="4772" spans="1:6" x14ac:dyDescent="0.25">
      <c r="A4772" s="14">
        <v>46152.543749999997</v>
      </c>
      <c r="B4772" s="81" t="s">
        <v>149</v>
      </c>
      <c r="C4772" s="81" t="s">
        <v>187</v>
      </c>
      <c r="D4772" s="81" t="s">
        <v>165</v>
      </c>
      <c r="E4772" s="81" t="s">
        <v>75</v>
      </c>
      <c r="F4772" s="81" t="s">
        <v>93</v>
      </c>
    </row>
    <row r="4773" spans="1:6" x14ac:dyDescent="0.25">
      <c r="A4773" s="14">
        <v>46152.543749999997</v>
      </c>
      <c r="B4773" s="81" t="s">
        <v>149</v>
      </c>
      <c r="C4773" s="81" t="s">
        <v>185</v>
      </c>
      <c r="D4773" s="81" t="s">
        <v>193</v>
      </c>
      <c r="E4773" s="81" t="s">
        <v>50</v>
      </c>
      <c r="F4773" s="81" t="s">
        <v>1</v>
      </c>
    </row>
    <row r="4774" spans="1:6" x14ac:dyDescent="0.25">
      <c r="A4774" s="14">
        <v>46152.543749999997</v>
      </c>
      <c r="B4774" s="81" t="s">
        <v>149</v>
      </c>
      <c r="C4774" s="81" t="s">
        <v>177</v>
      </c>
      <c r="D4774" s="81" t="s">
        <v>254</v>
      </c>
      <c r="E4774" s="81" t="s">
        <v>49</v>
      </c>
      <c r="F4774" s="81" t="s">
        <v>2</v>
      </c>
    </row>
    <row r="4775" spans="1:6" x14ac:dyDescent="0.25">
      <c r="A4775" s="14">
        <v>46152.543749999997</v>
      </c>
      <c r="B4775" s="81" t="s">
        <v>149</v>
      </c>
      <c r="C4775" s="81" t="s">
        <v>185</v>
      </c>
      <c r="D4775" s="81" t="s">
        <v>165</v>
      </c>
      <c r="E4775" s="81" t="s">
        <v>50</v>
      </c>
      <c r="F4775" s="81" t="s">
        <v>1</v>
      </c>
    </row>
    <row r="4776" spans="1:6" x14ac:dyDescent="0.25">
      <c r="A4776" s="14">
        <v>46152.543749999997</v>
      </c>
      <c r="B4776" s="81" t="s">
        <v>149</v>
      </c>
      <c r="C4776" s="81" t="s">
        <v>173</v>
      </c>
      <c r="D4776" s="81" t="s">
        <v>193</v>
      </c>
      <c r="E4776" s="81" t="s">
        <v>50</v>
      </c>
      <c r="F4776" s="81" t="s">
        <v>1</v>
      </c>
    </row>
    <row r="4777" spans="1:6" x14ac:dyDescent="0.25">
      <c r="A4777" s="14">
        <v>46152.543749999997</v>
      </c>
      <c r="B4777" s="81" t="s">
        <v>149</v>
      </c>
      <c r="C4777" s="81" t="s">
        <v>187</v>
      </c>
      <c r="D4777" s="81" t="s">
        <v>201</v>
      </c>
      <c r="E4777" s="81" t="s">
        <v>71</v>
      </c>
      <c r="F4777" s="81" t="s">
        <v>94</v>
      </c>
    </row>
    <row r="4778" spans="1:6" x14ac:dyDescent="0.25">
      <c r="A4778" s="14">
        <v>46152.543749999997</v>
      </c>
      <c r="B4778" s="81" t="s">
        <v>149</v>
      </c>
      <c r="C4778" s="81" t="s">
        <v>217</v>
      </c>
      <c r="D4778" s="81" t="s">
        <v>165</v>
      </c>
      <c r="E4778" s="81" t="s">
        <v>64</v>
      </c>
      <c r="F4778" s="81" t="s">
        <v>98</v>
      </c>
    </row>
    <row r="4779" spans="1:6" x14ac:dyDescent="0.25">
      <c r="A4779" s="14">
        <v>46152.543749999997</v>
      </c>
      <c r="B4779" s="81" t="s">
        <v>149</v>
      </c>
      <c r="C4779" s="81" t="s">
        <v>177</v>
      </c>
      <c r="D4779" s="81" t="s">
        <v>202</v>
      </c>
      <c r="E4779" s="81" t="s">
        <v>50</v>
      </c>
      <c r="F4779" s="81" t="s">
        <v>1</v>
      </c>
    </row>
    <row r="4780" spans="1:6" x14ac:dyDescent="0.25">
      <c r="A4780" s="14">
        <v>46152.543749999997</v>
      </c>
      <c r="B4780" s="81" t="s">
        <v>149</v>
      </c>
      <c r="C4780" s="81" t="s">
        <v>158</v>
      </c>
      <c r="D4780" s="81" t="s">
        <v>841</v>
      </c>
      <c r="E4780" s="81" t="s">
        <v>49</v>
      </c>
      <c r="F4780" s="81" t="s">
        <v>2</v>
      </c>
    </row>
    <row r="4781" spans="1:6" x14ac:dyDescent="0.25">
      <c r="A4781" s="14">
        <v>46152.543749999997</v>
      </c>
      <c r="B4781" s="81" t="s">
        <v>149</v>
      </c>
      <c r="C4781" s="81" t="s">
        <v>158</v>
      </c>
      <c r="D4781" s="81" t="s">
        <v>193</v>
      </c>
      <c r="E4781" s="81" t="s">
        <v>50</v>
      </c>
      <c r="F4781" s="81" t="s">
        <v>1</v>
      </c>
    </row>
    <row r="4782" spans="1:6" x14ac:dyDescent="0.25">
      <c r="A4782" s="14">
        <v>46152.543749999997</v>
      </c>
      <c r="B4782" s="81" t="s">
        <v>149</v>
      </c>
      <c r="C4782" s="81" t="s">
        <v>220</v>
      </c>
      <c r="D4782" s="81" t="s">
        <v>165</v>
      </c>
      <c r="E4782" s="81" t="s">
        <v>64</v>
      </c>
      <c r="F4782" s="81" t="s">
        <v>98</v>
      </c>
    </row>
    <row r="4783" spans="1:6" x14ac:dyDescent="0.25">
      <c r="A4783" s="14">
        <v>46152.543749999997</v>
      </c>
      <c r="B4783" s="81" t="s">
        <v>149</v>
      </c>
      <c r="C4783" s="81" t="s">
        <v>158</v>
      </c>
      <c r="D4783" s="81" t="s">
        <v>165</v>
      </c>
      <c r="E4783" s="81" t="s">
        <v>52</v>
      </c>
      <c r="F4783" s="81" t="s">
        <v>0</v>
      </c>
    </row>
    <row r="4784" spans="1:6" x14ac:dyDescent="0.25">
      <c r="A4784" s="14">
        <v>46152.543749999997</v>
      </c>
      <c r="B4784" s="81" t="s">
        <v>149</v>
      </c>
      <c r="C4784" s="81" t="s">
        <v>171</v>
      </c>
      <c r="D4784" s="81" t="s">
        <v>841</v>
      </c>
      <c r="E4784" s="81" t="s">
        <v>49</v>
      </c>
      <c r="F4784" s="81" t="s">
        <v>2</v>
      </c>
    </row>
    <row r="4785" spans="1:6" x14ac:dyDescent="0.25">
      <c r="A4785" s="14">
        <v>46152.543749999997</v>
      </c>
      <c r="B4785" s="81" t="s">
        <v>149</v>
      </c>
      <c r="C4785" s="81" t="s">
        <v>214</v>
      </c>
      <c r="D4785" s="81" t="s">
        <v>165</v>
      </c>
      <c r="E4785" s="81" t="s">
        <v>64</v>
      </c>
      <c r="F4785" s="81" t="s">
        <v>98</v>
      </c>
    </row>
    <row r="4786" spans="1:6" x14ac:dyDescent="0.25">
      <c r="A4786" s="14">
        <v>46152.543749999997</v>
      </c>
      <c r="B4786" s="81" t="s">
        <v>149</v>
      </c>
      <c r="C4786" s="81" t="s">
        <v>213</v>
      </c>
      <c r="D4786" s="81" t="s">
        <v>165</v>
      </c>
      <c r="E4786" s="81" t="s">
        <v>64</v>
      </c>
      <c r="F4786" s="81" t="s">
        <v>98</v>
      </c>
    </row>
    <row r="4787" spans="1:6" x14ac:dyDescent="0.25">
      <c r="A4787" s="14">
        <v>46152.543749999997</v>
      </c>
      <c r="B4787" s="81" t="s">
        <v>149</v>
      </c>
      <c r="C4787" s="81" t="s">
        <v>173</v>
      </c>
      <c r="D4787" s="81" t="s">
        <v>165</v>
      </c>
      <c r="E4787" s="81" t="s">
        <v>49</v>
      </c>
      <c r="F4787" s="81" t="s">
        <v>2</v>
      </c>
    </row>
    <row r="4788" spans="1:6" x14ac:dyDescent="0.25">
      <c r="A4788" s="14">
        <v>46152.543749999997</v>
      </c>
      <c r="B4788" s="81" t="s">
        <v>149</v>
      </c>
      <c r="C4788" s="81" t="s">
        <v>184</v>
      </c>
      <c r="D4788" s="81" t="s">
        <v>841</v>
      </c>
      <c r="E4788" s="81" t="s">
        <v>50</v>
      </c>
      <c r="F4788" s="81" t="s">
        <v>1</v>
      </c>
    </row>
    <row r="4789" spans="1:6" x14ac:dyDescent="0.25">
      <c r="A4789" s="14">
        <v>46152.543749999997</v>
      </c>
      <c r="B4789" s="81" t="s">
        <v>149</v>
      </c>
      <c r="C4789" s="81" t="s">
        <v>174</v>
      </c>
      <c r="D4789" s="81" t="s">
        <v>165</v>
      </c>
      <c r="E4789" s="81" t="s">
        <v>64</v>
      </c>
      <c r="F4789" s="81" t="s">
        <v>98</v>
      </c>
    </row>
    <row r="4790" spans="1:6" x14ac:dyDescent="0.25">
      <c r="A4790" s="14">
        <v>46152.543749999997</v>
      </c>
      <c r="B4790" s="81" t="s">
        <v>149</v>
      </c>
      <c r="C4790" s="81" t="s">
        <v>175</v>
      </c>
      <c r="D4790" s="81" t="s">
        <v>841</v>
      </c>
      <c r="E4790" s="81" t="s">
        <v>49</v>
      </c>
      <c r="F4790" s="81" t="s">
        <v>2</v>
      </c>
    </row>
    <row r="4791" spans="1:6" x14ac:dyDescent="0.25">
      <c r="A4791" s="14">
        <v>46152.543749999997</v>
      </c>
      <c r="B4791" s="81" t="s">
        <v>149</v>
      </c>
      <c r="C4791" s="81" t="s">
        <v>173</v>
      </c>
      <c r="D4791" s="81" t="s">
        <v>841</v>
      </c>
      <c r="E4791" s="81" t="s">
        <v>49</v>
      </c>
      <c r="F4791" s="81" t="s">
        <v>2</v>
      </c>
    </row>
    <row r="4792" spans="1:6" x14ac:dyDescent="0.25">
      <c r="A4792" s="14">
        <v>46152.543749999997</v>
      </c>
      <c r="B4792" s="81" t="s">
        <v>149</v>
      </c>
      <c r="C4792" s="81" t="s">
        <v>175</v>
      </c>
      <c r="D4792" s="81" t="s">
        <v>254</v>
      </c>
      <c r="E4792" s="81" t="s">
        <v>49</v>
      </c>
      <c r="F4792" s="81" t="s">
        <v>2</v>
      </c>
    </row>
    <row r="4793" spans="1:6" x14ac:dyDescent="0.25">
      <c r="A4793" s="14">
        <v>46152.543749999997</v>
      </c>
      <c r="B4793" s="81" t="s">
        <v>149</v>
      </c>
      <c r="C4793" s="81" t="s">
        <v>181</v>
      </c>
      <c r="D4793" s="81" t="s">
        <v>165</v>
      </c>
      <c r="E4793" s="81" t="s">
        <v>50</v>
      </c>
      <c r="F4793" s="81" t="s">
        <v>1</v>
      </c>
    </row>
    <row r="4794" spans="1:6" x14ac:dyDescent="0.25">
      <c r="A4794" s="14">
        <v>46152.543749999997</v>
      </c>
      <c r="B4794" s="81" t="s">
        <v>149</v>
      </c>
      <c r="C4794" s="81" t="s">
        <v>181</v>
      </c>
      <c r="D4794" s="81" t="s">
        <v>254</v>
      </c>
      <c r="E4794" s="81" t="s">
        <v>49</v>
      </c>
      <c r="F4794" s="81" t="s">
        <v>2</v>
      </c>
    </row>
    <row r="4795" spans="1:6" x14ac:dyDescent="0.25">
      <c r="A4795" s="14">
        <v>46152.788888888892</v>
      </c>
      <c r="B4795" s="81" t="s">
        <v>149</v>
      </c>
      <c r="C4795" s="81" t="s">
        <v>184</v>
      </c>
      <c r="D4795" s="81" t="s">
        <v>841</v>
      </c>
      <c r="E4795" s="81" t="s">
        <v>49</v>
      </c>
      <c r="F4795" s="81" t="s">
        <v>2</v>
      </c>
    </row>
    <row r="4796" spans="1:6" x14ac:dyDescent="0.25">
      <c r="A4796" s="14">
        <v>46152.788888888892</v>
      </c>
      <c r="B4796" s="81" t="s">
        <v>149</v>
      </c>
      <c r="C4796" s="81" t="s">
        <v>190</v>
      </c>
      <c r="D4796" s="81" t="s">
        <v>841</v>
      </c>
      <c r="E4796" s="81" t="s">
        <v>50</v>
      </c>
      <c r="F4796" s="81" t="s">
        <v>1</v>
      </c>
    </row>
    <row r="4797" spans="1:6" x14ac:dyDescent="0.25">
      <c r="A4797" s="14">
        <v>46152.788888888892</v>
      </c>
      <c r="B4797" s="81" t="s">
        <v>149</v>
      </c>
      <c r="C4797" s="81" t="s">
        <v>192</v>
      </c>
      <c r="D4797" s="81" t="s">
        <v>254</v>
      </c>
      <c r="E4797" s="81" t="s">
        <v>60</v>
      </c>
      <c r="F4797" s="81" t="s">
        <v>28</v>
      </c>
    </row>
    <row r="4798" spans="1:6" x14ac:dyDescent="0.25">
      <c r="A4798" s="14">
        <v>46152.788888888892</v>
      </c>
      <c r="B4798" s="81" t="s">
        <v>149</v>
      </c>
      <c r="C4798" s="81" t="s">
        <v>190</v>
      </c>
      <c r="D4798" s="81" t="s">
        <v>165</v>
      </c>
      <c r="E4798" s="81" t="s">
        <v>49</v>
      </c>
      <c r="F4798" s="81" t="s">
        <v>2</v>
      </c>
    </row>
    <row r="4799" spans="1:6" x14ac:dyDescent="0.25">
      <c r="A4799" s="14">
        <v>46152.788888888892</v>
      </c>
      <c r="B4799" s="81" t="s">
        <v>149</v>
      </c>
      <c r="C4799" s="81" t="s">
        <v>173</v>
      </c>
      <c r="D4799" s="81" t="s">
        <v>841</v>
      </c>
      <c r="E4799" s="81" t="s">
        <v>50</v>
      </c>
      <c r="F4799" s="81" t="s">
        <v>1</v>
      </c>
    </row>
    <row r="4800" spans="1:6" x14ac:dyDescent="0.25">
      <c r="A4800" s="14">
        <v>46152.788888888892</v>
      </c>
      <c r="B4800" s="81" t="s">
        <v>149</v>
      </c>
      <c r="C4800" s="81" t="s">
        <v>181</v>
      </c>
      <c r="D4800" s="81" t="s">
        <v>165</v>
      </c>
      <c r="E4800" s="81" t="s">
        <v>49</v>
      </c>
      <c r="F4800" s="81" t="s">
        <v>2</v>
      </c>
    </row>
    <row r="4801" spans="1:6" x14ac:dyDescent="0.25">
      <c r="A4801" s="14">
        <v>46152.788888888892</v>
      </c>
      <c r="B4801" s="81" t="s">
        <v>149</v>
      </c>
      <c r="C4801" s="81" t="s">
        <v>181</v>
      </c>
      <c r="D4801" s="81" t="s">
        <v>169</v>
      </c>
      <c r="E4801" s="81" t="s">
        <v>52</v>
      </c>
      <c r="F4801" s="81" t="s">
        <v>0</v>
      </c>
    </row>
    <row r="4802" spans="1:6" x14ac:dyDescent="0.25">
      <c r="A4802" s="14">
        <v>46152.788888888892</v>
      </c>
      <c r="B4802" s="81" t="s">
        <v>149</v>
      </c>
      <c r="C4802" s="81" t="s">
        <v>173</v>
      </c>
      <c r="D4802" s="81" t="s">
        <v>167</v>
      </c>
      <c r="E4802" s="81" t="s">
        <v>49</v>
      </c>
      <c r="F4802" s="81" t="s">
        <v>2</v>
      </c>
    </row>
    <row r="4803" spans="1:6" x14ac:dyDescent="0.25">
      <c r="A4803" s="14">
        <v>46152.788888888892</v>
      </c>
      <c r="B4803" s="81" t="s">
        <v>149</v>
      </c>
      <c r="C4803" s="81" t="s">
        <v>198</v>
      </c>
      <c r="D4803" s="81" t="s">
        <v>157</v>
      </c>
      <c r="E4803" s="81" t="s">
        <v>136</v>
      </c>
      <c r="F4803" s="81" t="s">
        <v>28</v>
      </c>
    </row>
    <row r="4804" spans="1:6" x14ac:dyDescent="0.25">
      <c r="A4804" s="14">
        <v>46152.788888888892</v>
      </c>
      <c r="B4804" s="81" t="s">
        <v>149</v>
      </c>
      <c r="C4804" s="81" t="s">
        <v>198</v>
      </c>
      <c r="D4804" s="81" t="s">
        <v>162</v>
      </c>
      <c r="E4804" s="81" t="s">
        <v>136</v>
      </c>
      <c r="F4804" s="81" t="s">
        <v>28</v>
      </c>
    </row>
    <row r="4805" spans="1:6" x14ac:dyDescent="0.25">
      <c r="A4805" s="14">
        <v>46152.788888888892</v>
      </c>
      <c r="B4805" s="81" t="s">
        <v>149</v>
      </c>
      <c r="C4805" s="81" t="s">
        <v>177</v>
      </c>
      <c r="D4805" s="81" t="s">
        <v>841</v>
      </c>
      <c r="E4805" s="81" t="s">
        <v>50</v>
      </c>
      <c r="F4805" s="81" t="s">
        <v>1</v>
      </c>
    </row>
    <row r="4806" spans="1:6" x14ac:dyDescent="0.25">
      <c r="A4806" s="14">
        <v>46152.788888888892</v>
      </c>
      <c r="B4806" s="81" t="s">
        <v>149</v>
      </c>
      <c r="C4806" s="81" t="s">
        <v>185</v>
      </c>
      <c r="D4806" s="81" t="s">
        <v>842</v>
      </c>
      <c r="E4806" s="81" t="s">
        <v>52</v>
      </c>
      <c r="F4806" s="81" t="s">
        <v>0</v>
      </c>
    </row>
    <row r="4807" spans="1:6" x14ac:dyDescent="0.25">
      <c r="A4807" s="14">
        <v>46152.788888888892</v>
      </c>
      <c r="B4807" s="81" t="s">
        <v>149</v>
      </c>
      <c r="C4807" s="81" t="s">
        <v>198</v>
      </c>
      <c r="D4807" s="81" t="s">
        <v>168</v>
      </c>
      <c r="E4807" s="81" t="s">
        <v>136</v>
      </c>
      <c r="F4807" s="81" t="s">
        <v>28</v>
      </c>
    </row>
    <row r="4808" spans="1:6" x14ac:dyDescent="0.25">
      <c r="A4808" s="14">
        <v>46152.788888888892</v>
      </c>
      <c r="B4808" s="81" t="s">
        <v>149</v>
      </c>
      <c r="C4808" s="81" t="s">
        <v>198</v>
      </c>
      <c r="D4808" s="81" t="s">
        <v>153</v>
      </c>
      <c r="E4808" s="81" t="s">
        <v>136</v>
      </c>
      <c r="F4808" s="81" t="s">
        <v>28</v>
      </c>
    </row>
    <row r="4809" spans="1:6" x14ac:dyDescent="0.25">
      <c r="A4809" s="14">
        <v>46152.788888888892</v>
      </c>
      <c r="B4809" s="81" t="s">
        <v>149</v>
      </c>
      <c r="C4809" s="81" t="s">
        <v>183</v>
      </c>
      <c r="D4809" s="81" t="s">
        <v>258</v>
      </c>
      <c r="E4809" s="81" t="s">
        <v>50</v>
      </c>
      <c r="F4809" s="81" t="s">
        <v>1</v>
      </c>
    </row>
    <row r="4810" spans="1:6" x14ac:dyDescent="0.25">
      <c r="A4810" s="14">
        <v>46152.788888888892</v>
      </c>
      <c r="B4810" s="81" t="s">
        <v>149</v>
      </c>
      <c r="C4810" s="81" t="s">
        <v>184</v>
      </c>
      <c r="D4810" s="81" t="s">
        <v>157</v>
      </c>
      <c r="E4810" s="81" t="s">
        <v>50</v>
      </c>
      <c r="F4810" s="81" t="s">
        <v>1</v>
      </c>
    </row>
    <row r="4811" spans="1:6" x14ac:dyDescent="0.25">
      <c r="A4811" s="14">
        <v>46152.788888888892</v>
      </c>
      <c r="B4811" s="81" t="s">
        <v>149</v>
      </c>
      <c r="C4811" s="81" t="s">
        <v>173</v>
      </c>
      <c r="D4811" s="81" t="s">
        <v>167</v>
      </c>
      <c r="E4811" s="81" t="s">
        <v>50</v>
      </c>
      <c r="F4811" s="81" t="s">
        <v>1</v>
      </c>
    </row>
    <row r="4812" spans="1:6" x14ac:dyDescent="0.25">
      <c r="A4812" s="14">
        <v>46152.788888888892</v>
      </c>
      <c r="B4812" s="81" t="s">
        <v>149</v>
      </c>
      <c r="C4812" s="81" t="s">
        <v>175</v>
      </c>
      <c r="D4812" s="81" t="s">
        <v>157</v>
      </c>
      <c r="E4812" s="81" t="s">
        <v>50</v>
      </c>
      <c r="F4812" s="81" t="s">
        <v>1</v>
      </c>
    </row>
    <row r="4813" spans="1:6" x14ac:dyDescent="0.25">
      <c r="A4813" s="14">
        <v>46152.788888888892</v>
      </c>
      <c r="B4813" s="81" t="s">
        <v>149</v>
      </c>
      <c r="C4813" s="81" t="s">
        <v>182</v>
      </c>
      <c r="D4813" s="81" t="s">
        <v>153</v>
      </c>
      <c r="E4813" s="81" t="s">
        <v>52</v>
      </c>
      <c r="F4813" s="81" t="s">
        <v>0</v>
      </c>
    </row>
    <row r="4814" spans="1:6" x14ac:dyDescent="0.25">
      <c r="A4814" s="14">
        <v>46152.788888888892</v>
      </c>
      <c r="B4814" s="81" t="s">
        <v>149</v>
      </c>
      <c r="C4814" s="81" t="s">
        <v>177</v>
      </c>
      <c r="D4814" s="81" t="s">
        <v>153</v>
      </c>
      <c r="E4814" s="81" t="s">
        <v>52</v>
      </c>
      <c r="F4814" s="81" t="s">
        <v>0</v>
      </c>
    </row>
    <row r="4815" spans="1:6" x14ac:dyDescent="0.25">
      <c r="A4815" s="14">
        <v>46152.788888888892</v>
      </c>
      <c r="B4815" s="81" t="s">
        <v>149</v>
      </c>
      <c r="C4815" s="81" t="s">
        <v>190</v>
      </c>
      <c r="D4815" s="81" t="s">
        <v>153</v>
      </c>
      <c r="E4815" s="81" t="s">
        <v>52</v>
      </c>
      <c r="F4815" s="81" t="s">
        <v>0</v>
      </c>
    </row>
    <row r="4816" spans="1:6" x14ac:dyDescent="0.25">
      <c r="A4816" s="14">
        <v>46152.788888888892</v>
      </c>
      <c r="B4816" s="81" t="s">
        <v>149</v>
      </c>
      <c r="C4816" s="81" t="s">
        <v>181</v>
      </c>
      <c r="D4816" s="81" t="s">
        <v>153</v>
      </c>
      <c r="E4816" s="81" t="s">
        <v>52</v>
      </c>
      <c r="F4816" s="81" t="s">
        <v>0</v>
      </c>
    </row>
    <row r="4817" spans="1:6" x14ac:dyDescent="0.25">
      <c r="A4817" s="14">
        <v>46152.788888888892</v>
      </c>
      <c r="B4817" s="81" t="s">
        <v>149</v>
      </c>
      <c r="C4817" s="81" t="s">
        <v>185</v>
      </c>
      <c r="D4817" s="81" t="s">
        <v>153</v>
      </c>
      <c r="E4817" s="81" t="s">
        <v>50</v>
      </c>
      <c r="F4817" s="81" t="s">
        <v>1</v>
      </c>
    </row>
    <row r="4818" spans="1:6" x14ac:dyDescent="0.25">
      <c r="A4818" s="14">
        <v>46152.788888888892</v>
      </c>
      <c r="B4818" s="81" t="s">
        <v>149</v>
      </c>
      <c r="C4818" s="81" t="s">
        <v>173</v>
      </c>
      <c r="D4818" s="81" t="s">
        <v>167</v>
      </c>
      <c r="E4818" s="81" t="s">
        <v>50</v>
      </c>
      <c r="F4818" s="81" t="s">
        <v>1</v>
      </c>
    </row>
    <row r="4819" spans="1:6" x14ac:dyDescent="0.25">
      <c r="A4819" s="14">
        <v>46152.788888888892</v>
      </c>
      <c r="B4819" s="81" t="s">
        <v>149</v>
      </c>
      <c r="C4819" s="81" t="s">
        <v>158</v>
      </c>
      <c r="D4819" s="81" t="s">
        <v>157</v>
      </c>
      <c r="E4819" s="81" t="s">
        <v>49</v>
      </c>
      <c r="F4819" s="81" t="s">
        <v>2</v>
      </c>
    </row>
    <row r="4820" spans="1:6" x14ac:dyDescent="0.25">
      <c r="A4820" s="14">
        <v>46152.788888888892</v>
      </c>
      <c r="B4820" s="81" t="s">
        <v>149</v>
      </c>
      <c r="C4820" s="81" t="s">
        <v>171</v>
      </c>
      <c r="D4820" s="81" t="s">
        <v>157</v>
      </c>
      <c r="E4820" s="81" t="s">
        <v>50</v>
      </c>
      <c r="F4820" s="81" t="s">
        <v>1</v>
      </c>
    </row>
    <row r="4821" spans="1:6" x14ac:dyDescent="0.25">
      <c r="A4821" s="14">
        <v>46152.788888888892</v>
      </c>
      <c r="B4821" s="81" t="s">
        <v>149</v>
      </c>
      <c r="C4821" s="81" t="s">
        <v>173</v>
      </c>
      <c r="D4821" s="81" t="s">
        <v>167</v>
      </c>
      <c r="E4821" s="81" t="s">
        <v>50</v>
      </c>
      <c r="F4821" s="81" t="s">
        <v>1</v>
      </c>
    </row>
    <row r="4822" spans="1:6" x14ac:dyDescent="0.25">
      <c r="A4822" s="14">
        <v>46152.788888888892</v>
      </c>
      <c r="B4822" s="81" t="s">
        <v>149</v>
      </c>
      <c r="C4822" s="81" t="s">
        <v>181</v>
      </c>
      <c r="D4822" s="81" t="s">
        <v>157</v>
      </c>
      <c r="E4822" s="81" t="s">
        <v>50</v>
      </c>
      <c r="F4822" s="81" t="s">
        <v>1</v>
      </c>
    </row>
    <row r="4823" spans="1:6" x14ac:dyDescent="0.25">
      <c r="A4823" s="14">
        <v>46152.788888888892</v>
      </c>
      <c r="B4823" s="81" t="s">
        <v>149</v>
      </c>
      <c r="C4823" s="81" t="s">
        <v>192</v>
      </c>
      <c r="D4823" s="81" t="s">
        <v>257</v>
      </c>
      <c r="E4823" s="81" t="s">
        <v>60</v>
      </c>
      <c r="F4823" s="81" t="s">
        <v>28</v>
      </c>
    </row>
    <row r="4824" spans="1:6" x14ac:dyDescent="0.25">
      <c r="A4824" s="14">
        <v>46152.788888888892</v>
      </c>
      <c r="B4824" s="81" t="s">
        <v>149</v>
      </c>
      <c r="C4824" s="81" t="s">
        <v>151</v>
      </c>
      <c r="D4824" s="81" t="s">
        <v>157</v>
      </c>
      <c r="E4824" s="81" t="s">
        <v>49</v>
      </c>
      <c r="F4824" s="81" t="s">
        <v>2</v>
      </c>
    </row>
    <row r="4825" spans="1:6" x14ac:dyDescent="0.25">
      <c r="A4825" s="14">
        <v>46152.788888888892</v>
      </c>
      <c r="B4825" s="81" t="s">
        <v>149</v>
      </c>
      <c r="C4825" s="81" t="s">
        <v>198</v>
      </c>
      <c r="D4825" s="81" t="s">
        <v>152</v>
      </c>
      <c r="E4825" s="81" t="s">
        <v>136</v>
      </c>
      <c r="F4825" s="81" t="s">
        <v>28</v>
      </c>
    </row>
    <row r="4826" spans="1:6" x14ac:dyDescent="0.25">
      <c r="A4826" s="14">
        <v>46152.788888888892</v>
      </c>
      <c r="B4826" s="81" t="s">
        <v>149</v>
      </c>
      <c r="C4826" s="81" t="s">
        <v>187</v>
      </c>
      <c r="D4826" s="81" t="s">
        <v>157</v>
      </c>
      <c r="E4826" s="81" t="s">
        <v>71</v>
      </c>
      <c r="F4826" s="81" t="s">
        <v>94</v>
      </c>
    </row>
    <row r="4827" spans="1:6" x14ac:dyDescent="0.25">
      <c r="A4827" s="14">
        <v>46152.788888888892</v>
      </c>
      <c r="B4827" s="81" t="s">
        <v>149</v>
      </c>
      <c r="C4827" s="81" t="s">
        <v>190</v>
      </c>
      <c r="D4827" s="81" t="s">
        <v>841</v>
      </c>
      <c r="E4827" s="81" t="s">
        <v>50</v>
      </c>
      <c r="F4827" s="81" t="s">
        <v>1</v>
      </c>
    </row>
    <row r="4828" spans="1:6" x14ac:dyDescent="0.25">
      <c r="A4828" s="14">
        <v>46152.788888888892</v>
      </c>
      <c r="B4828" s="81" t="s">
        <v>149</v>
      </c>
      <c r="C4828" s="81" t="s">
        <v>187</v>
      </c>
      <c r="D4828" s="81" t="s">
        <v>157</v>
      </c>
      <c r="E4828" s="81" t="s">
        <v>75</v>
      </c>
      <c r="F4828" s="81" t="s">
        <v>93</v>
      </c>
    </row>
    <row r="4829" spans="1:6" x14ac:dyDescent="0.25">
      <c r="A4829" s="14">
        <v>46152.788888888892</v>
      </c>
      <c r="B4829" s="81" t="s">
        <v>149</v>
      </c>
      <c r="C4829" s="81" t="s">
        <v>223</v>
      </c>
      <c r="D4829" s="81" t="s">
        <v>841</v>
      </c>
      <c r="E4829" s="81" t="s">
        <v>64</v>
      </c>
      <c r="F4829" s="81" t="s">
        <v>98</v>
      </c>
    </row>
    <row r="4830" spans="1:6" x14ac:dyDescent="0.25">
      <c r="A4830" s="14">
        <v>46152.788888888892</v>
      </c>
      <c r="B4830" s="81" t="s">
        <v>149</v>
      </c>
      <c r="C4830" s="81" t="s">
        <v>173</v>
      </c>
      <c r="D4830" s="81" t="s">
        <v>157</v>
      </c>
      <c r="E4830" s="81" t="s">
        <v>50</v>
      </c>
      <c r="F4830" s="81" t="s">
        <v>1</v>
      </c>
    </row>
    <row r="4831" spans="1:6" x14ac:dyDescent="0.25">
      <c r="A4831" s="14">
        <v>46152.788888888892</v>
      </c>
      <c r="B4831" s="81" t="s">
        <v>149</v>
      </c>
      <c r="C4831" s="81" t="s">
        <v>190</v>
      </c>
      <c r="D4831" s="81" t="s">
        <v>202</v>
      </c>
      <c r="E4831" s="81" t="s">
        <v>50</v>
      </c>
      <c r="F4831" s="81" t="s">
        <v>1</v>
      </c>
    </row>
    <row r="4832" spans="1:6" x14ac:dyDescent="0.25">
      <c r="A4832" s="14">
        <v>46152.788888888892</v>
      </c>
      <c r="B4832" s="81" t="s">
        <v>149</v>
      </c>
      <c r="C4832" s="81" t="s">
        <v>171</v>
      </c>
      <c r="D4832" s="81" t="s">
        <v>202</v>
      </c>
      <c r="E4832" s="81" t="s">
        <v>52</v>
      </c>
      <c r="F4832" s="81" t="s">
        <v>0</v>
      </c>
    </row>
    <row r="4833" spans="1:6" x14ac:dyDescent="0.25">
      <c r="A4833" s="14">
        <v>46152.788888888892</v>
      </c>
      <c r="B4833" s="81" t="s">
        <v>149</v>
      </c>
      <c r="C4833" s="81" t="s">
        <v>185</v>
      </c>
      <c r="D4833" s="81" t="s">
        <v>250</v>
      </c>
      <c r="E4833" s="81" t="s">
        <v>52</v>
      </c>
      <c r="F4833" s="81" t="s">
        <v>0</v>
      </c>
    </row>
    <row r="4834" spans="1:6" x14ac:dyDescent="0.25">
      <c r="A4834" s="14">
        <v>46152.788888888892</v>
      </c>
      <c r="B4834" s="81" t="s">
        <v>149</v>
      </c>
      <c r="C4834" s="81" t="s">
        <v>181</v>
      </c>
      <c r="D4834" s="81" t="s">
        <v>231</v>
      </c>
      <c r="E4834" s="81" t="s">
        <v>49</v>
      </c>
      <c r="F4834" s="81" t="s">
        <v>2</v>
      </c>
    </row>
    <row r="4835" spans="1:6" x14ac:dyDescent="0.25">
      <c r="A4835" s="14">
        <v>46152.788888888892</v>
      </c>
      <c r="B4835" s="81" t="s">
        <v>149</v>
      </c>
      <c r="C4835" s="81" t="s">
        <v>182</v>
      </c>
      <c r="D4835" s="81" t="s">
        <v>231</v>
      </c>
      <c r="E4835" s="81" t="s">
        <v>50</v>
      </c>
      <c r="F4835" s="81" t="s">
        <v>1</v>
      </c>
    </row>
    <row r="4836" spans="1:6" x14ac:dyDescent="0.25">
      <c r="A4836" s="14">
        <v>46152.788888888892</v>
      </c>
      <c r="B4836" s="81" t="s">
        <v>149</v>
      </c>
      <c r="C4836" s="81" t="s">
        <v>173</v>
      </c>
      <c r="D4836" s="81" t="s">
        <v>257</v>
      </c>
      <c r="E4836" s="81" t="s">
        <v>52</v>
      </c>
      <c r="F4836" s="81" t="s">
        <v>0</v>
      </c>
    </row>
    <row r="4837" spans="1:6" x14ac:dyDescent="0.25">
      <c r="A4837" s="14">
        <v>46152.788888888892</v>
      </c>
      <c r="B4837" s="81" t="s">
        <v>149</v>
      </c>
      <c r="C4837" s="81" t="s">
        <v>177</v>
      </c>
      <c r="D4837" s="81" t="s">
        <v>161</v>
      </c>
      <c r="E4837" s="81" t="s">
        <v>50</v>
      </c>
      <c r="F4837" s="81" t="s">
        <v>1</v>
      </c>
    </row>
    <row r="4838" spans="1:6" x14ac:dyDescent="0.25">
      <c r="A4838" s="14">
        <v>46152.788888888892</v>
      </c>
      <c r="B4838" s="81" t="s">
        <v>149</v>
      </c>
      <c r="C4838" s="81" t="s">
        <v>190</v>
      </c>
      <c r="D4838" s="81" t="s">
        <v>268</v>
      </c>
      <c r="E4838" s="81" t="s">
        <v>52</v>
      </c>
      <c r="F4838" s="81" t="s">
        <v>0</v>
      </c>
    </row>
    <row r="4839" spans="1:6" x14ac:dyDescent="0.25">
      <c r="A4839" s="14">
        <v>46152.788888888892</v>
      </c>
      <c r="B4839" s="81" t="s">
        <v>149</v>
      </c>
      <c r="C4839" s="81" t="s">
        <v>171</v>
      </c>
      <c r="D4839" s="81" t="s">
        <v>268</v>
      </c>
      <c r="E4839" s="81" t="s">
        <v>52</v>
      </c>
      <c r="F4839" s="81" t="s">
        <v>0</v>
      </c>
    </row>
    <row r="4840" spans="1:6" x14ac:dyDescent="0.25">
      <c r="A4840" s="14">
        <v>46152.788888888892</v>
      </c>
      <c r="B4840" s="81" t="s">
        <v>149</v>
      </c>
      <c r="C4840" s="81" t="s">
        <v>192</v>
      </c>
      <c r="D4840" s="81" t="s">
        <v>259</v>
      </c>
      <c r="E4840" s="81" t="s">
        <v>60</v>
      </c>
      <c r="F4840" s="81" t="s">
        <v>28</v>
      </c>
    </row>
    <row r="4841" spans="1:6" x14ac:dyDescent="0.25">
      <c r="A4841" s="14">
        <v>46152.788888888892</v>
      </c>
      <c r="B4841" s="81" t="s">
        <v>149</v>
      </c>
      <c r="C4841" s="81" t="s">
        <v>151</v>
      </c>
      <c r="D4841" s="81" t="s">
        <v>268</v>
      </c>
      <c r="E4841" s="81" t="s">
        <v>49</v>
      </c>
      <c r="F4841" s="81" t="s">
        <v>2</v>
      </c>
    </row>
    <row r="4842" spans="1:6" x14ac:dyDescent="0.25">
      <c r="A4842" s="14">
        <v>46152.788888888892</v>
      </c>
      <c r="B4842" s="81" t="s">
        <v>149</v>
      </c>
      <c r="C4842" s="81" t="s">
        <v>182</v>
      </c>
      <c r="D4842" s="81" t="s">
        <v>157</v>
      </c>
      <c r="E4842" s="81" t="s">
        <v>50</v>
      </c>
      <c r="F4842" s="81" t="s">
        <v>1</v>
      </c>
    </row>
    <row r="4843" spans="1:6" x14ac:dyDescent="0.25">
      <c r="A4843" s="14">
        <v>46152.788888888892</v>
      </c>
      <c r="B4843" s="81" t="s">
        <v>149</v>
      </c>
      <c r="C4843" s="81" t="s">
        <v>198</v>
      </c>
      <c r="D4843" s="81" t="s">
        <v>156</v>
      </c>
      <c r="E4843" s="81" t="s">
        <v>136</v>
      </c>
      <c r="F4843" s="81" t="s">
        <v>28</v>
      </c>
    </row>
    <row r="4844" spans="1:6" x14ac:dyDescent="0.25">
      <c r="A4844" s="14">
        <v>46152.788888888892</v>
      </c>
      <c r="B4844" s="81" t="s">
        <v>149</v>
      </c>
      <c r="C4844" s="81" t="s">
        <v>187</v>
      </c>
      <c r="D4844" s="81" t="s">
        <v>231</v>
      </c>
      <c r="E4844" s="81" t="s">
        <v>71</v>
      </c>
      <c r="F4844" s="81" t="s">
        <v>94</v>
      </c>
    </row>
    <row r="4845" spans="1:6" x14ac:dyDescent="0.25">
      <c r="A4845" s="14">
        <v>46152.788888888892</v>
      </c>
      <c r="B4845" s="81" t="s">
        <v>149</v>
      </c>
      <c r="C4845" s="81" t="s">
        <v>211</v>
      </c>
      <c r="D4845" s="81" t="s">
        <v>205</v>
      </c>
      <c r="E4845" s="81" t="s">
        <v>64</v>
      </c>
      <c r="F4845" s="81" t="s">
        <v>98</v>
      </c>
    </row>
    <row r="4846" spans="1:6" x14ac:dyDescent="0.25">
      <c r="A4846" s="14">
        <v>46152.788888888892</v>
      </c>
      <c r="B4846" s="81" t="s">
        <v>149</v>
      </c>
      <c r="C4846" s="81" t="s">
        <v>192</v>
      </c>
      <c r="D4846" s="81" t="s">
        <v>259</v>
      </c>
      <c r="E4846" s="81" t="s">
        <v>60</v>
      </c>
      <c r="F4846" s="81" t="s">
        <v>28</v>
      </c>
    </row>
    <row r="4847" spans="1:6" x14ac:dyDescent="0.25">
      <c r="A4847" s="14">
        <v>46152.788888888892</v>
      </c>
      <c r="B4847" s="81" t="s">
        <v>149</v>
      </c>
      <c r="C4847" s="81" t="s">
        <v>185</v>
      </c>
      <c r="D4847" s="81" t="s">
        <v>841</v>
      </c>
      <c r="E4847" s="81" t="s">
        <v>52</v>
      </c>
      <c r="F4847" s="81" t="s">
        <v>0</v>
      </c>
    </row>
    <row r="4848" spans="1:6" x14ac:dyDescent="0.25">
      <c r="A4848" s="14">
        <v>46152.788888888892</v>
      </c>
      <c r="B4848" s="81" t="s">
        <v>149</v>
      </c>
      <c r="C4848" s="81" t="s">
        <v>187</v>
      </c>
      <c r="D4848" s="81" t="s">
        <v>205</v>
      </c>
      <c r="E4848" s="81" t="s">
        <v>75</v>
      </c>
      <c r="F4848" s="81" t="s">
        <v>93</v>
      </c>
    </row>
    <row r="4849" spans="1:6" x14ac:dyDescent="0.25">
      <c r="A4849" s="14">
        <v>46152.788888888892</v>
      </c>
      <c r="B4849" s="81" t="s">
        <v>149</v>
      </c>
      <c r="C4849" s="81" t="s">
        <v>185</v>
      </c>
      <c r="D4849" s="81" t="s">
        <v>841</v>
      </c>
      <c r="E4849" s="81" t="s">
        <v>49</v>
      </c>
      <c r="F4849" s="81" t="s">
        <v>2</v>
      </c>
    </row>
    <row r="4850" spans="1:6" x14ac:dyDescent="0.25">
      <c r="A4850" s="14">
        <v>46152.788888888892</v>
      </c>
      <c r="B4850" s="81" t="s">
        <v>149</v>
      </c>
      <c r="C4850" s="81" t="s">
        <v>181</v>
      </c>
      <c r="D4850" s="81" t="s">
        <v>157</v>
      </c>
      <c r="E4850" s="81" t="s">
        <v>50</v>
      </c>
      <c r="F4850" s="81" t="s">
        <v>1</v>
      </c>
    </row>
    <row r="4851" spans="1:6" x14ac:dyDescent="0.25">
      <c r="A4851" s="14">
        <v>46152.788888888892</v>
      </c>
      <c r="B4851" s="81" t="s">
        <v>149</v>
      </c>
      <c r="C4851" s="81" t="s">
        <v>158</v>
      </c>
      <c r="D4851" s="81" t="s">
        <v>841</v>
      </c>
      <c r="E4851" s="81" t="s">
        <v>50</v>
      </c>
      <c r="F4851" s="81" t="s">
        <v>1</v>
      </c>
    </row>
    <row r="4852" spans="1:6" x14ac:dyDescent="0.25">
      <c r="A4852" s="14">
        <v>46152.788888888892</v>
      </c>
      <c r="B4852" s="81" t="s">
        <v>149</v>
      </c>
      <c r="C4852" s="81" t="s">
        <v>181</v>
      </c>
      <c r="D4852" s="81" t="s">
        <v>841</v>
      </c>
      <c r="E4852" s="81" t="s">
        <v>49</v>
      </c>
      <c r="F4852" s="81" t="s">
        <v>2</v>
      </c>
    </row>
    <row r="4853" spans="1:6" x14ac:dyDescent="0.25">
      <c r="A4853" s="14">
        <v>46152.788888888892</v>
      </c>
      <c r="B4853" s="81" t="s">
        <v>149</v>
      </c>
      <c r="C4853" s="81" t="s">
        <v>190</v>
      </c>
      <c r="D4853" s="81" t="s">
        <v>157</v>
      </c>
      <c r="E4853" s="81" t="s">
        <v>50</v>
      </c>
      <c r="F4853" s="81" t="s">
        <v>1</v>
      </c>
    </row>
    <row r="4854" spans="1:6" x14ac:dyDescent="0.25">
      <c r="A4854" s="14">
        <v>46152.788888888892</v>
      </c>
      <c r="B4854" s="81" t="s">
        <v>149</v>
      </c>
      <c r="C4854" s="81" t="s">
        <v>181</v>
      </c>
      <c r="D4854" s="81" t="s">
        <v>841</v>
      </c>
      <c r="E4854" s="81" t="s">
        <v>52</v>
      </c>
      <c r="F4854" s="81" t="s">
        <v>0</v>
      </c>
    </row>
    <row r="4855" spans="1:6" x14ac:dyDescent="0.25">
      <c r="A4855" s="14">
        <v>46152.788888888892</v>
      </c>
      <c r="B4855" s="81" t="s">
        <v>149</v>
      </c>
      <c r="C4855" s="81" t="s">
        <v>158</v>
      </c>
      <c r="D4855" s="81" t="s">
        <v>267</v>
      </c>
      <c r="E4855" s="81" t="s">
        <v>52</v>
      </c>
      <c r="F4855" s="81" t="s">
        <v>0</v>
      </c>
    </row>
    <row r="4856" spans="1:6" x14ac:dyDescent="0.25">
      <c r="A4856" s="14">
        <v>46152.788888888892</v>
      </c>
      <c r="B4856" s="81" t="s">
        <v>149</v>
      </c>
      <c r="C4856" s="81" t="s">
        <v>151</v>
      </c>
      <c r="D4856" s="81" t="s">
        <v>841</v>
      </c>
      <c r="E4856" s="81" t="s">
        <v>50</v>
      </c>
      <c r="F4856" s="81" t="s">
        <v>1</v>
      </c>
    </row>
    <row r="4857" spans="1:6" x14ac:dyDescent="0.25">
      <c r="A4857" s="14">
        <v>46152.788888888892</v>
      </c>
      <c r="B4857" s="81" t="s">
        <v>149</v>
      </c>
      <c r="C4857" s="81" t="s">
        <v>177</v>
      </c>
      <c r="D4857" s="81" t="s">
        <v>841</v>
      </c>
      <c r="E4857" s="81" t="s">
        <v>49</v>
      </c>
      <c r="F4857" s="81" t="s">
        <v>2</v>
      </c>
    </row>
    <row r="4858" spans="1:6" x14ac:dyDescent="0.25">
      <c r="A4858" s="14">
        <v>46152.788888888892</v>
      </c>
      <c r="B4858" s="81" t="s">
        <v>149</v>
      </c>
      <c r="C4858" s="81" t="s">
        <v>185</v>
      </c>
      <c r="D4858" s="81" t="s">
        <v>841</v>
      </c>
      <c r="E4858" s="81" t="s">
        <v>52</v>
      </c>
      <c r="F4858" s="81" t="s">
        <v>0</v>
      </c>
    </row>
    <row r="4859" spans="1:6" x14ac:dyDescent="0.25">
      <c r="A4859" s="14">
        <v>46152.788888888892</v>
      </c>
      <c r="B4859" s="81" t="s">
        <v>149</v>
      </c>
      <c r="C4859" s="81" t="s">
        <v>173</v>
      </c>
      <c r="D4859" s="81" t="s">
        <v>257</v>
      </c>
      <c r="E4859" s="81" t="s">
        <v>52</v>
      </c>
      <c r="F4859" s="81" t="s">
        <v>0</v>
      </c>
    </row>
    <row r="4860" spans="1:6" x14ac:dyDescent="0.25">
      <c r="A4860" s="14">
        <v>46152.788888888892</v>
      </c>
      <c r="B4860" s="81" t="s">
        <v>149</v>
      </c>
      <c r="C4860" s="81" t="s">
        <v>181</v>
      </c>
      <c r="D4860" s="81" t="s">
        <v>841</v>
      </c>
      <c r="E4860" s="81" t="s">
        <v>49</v>
      </c>
      <c r="F4860" s="81" t="s">
        <v>2</v>
      </c>
    </row>
    <row r="4861" spans="1:6" x14ac:dyDescent="0.25">
      <c r="A4861" s="14">
        <v>46152.788888888892</v>
      </c>
      <c r="B4861" s="81" t="s">
        <v>149</v>
      </c>
      <c r="C4861" s="81" t="s">
        <v>183</v>
      </c>
      <c r="D4861" s="81" t="s">
        <v>168</v>
      </c>
      <c r="E4861" s="81" t="s">
        <v>49</v>
      </c>
      <c r="F4861" s="81" t="s">
        <v>2</v>
      </c>
    </row>
    <row r="4862" spans="1:6" x14ac:dyDescent="0.25">
      <c r="A4862" s="14">
        <v>46152.788888888892</v>
      </c>
      <c r="B4862" s="81" t="s">
        <v>149</v>
      </c>
      <c r="C4862" s="81" t="s">
        <v>158</v>
      </c>
      <c r="D4862" s="81" t="s">
        <v>168</v>
      </c>
      <c r="E4862" s="81" t="s">
        <v>49</v>
      </c>
      <c r="F4862" s="81" t="s">
        <v>2</v>
      </c>
    </row>
    <row r="4863" spans="1:6" x14ac:dyDescent="0.25">
      <c r="A4863" s="14">
        <v>46152.788888888892</v>
      </c>
      <c r="B4863" s="81" t="s">
        <v>149</v>
      </c>
      <c r="C4863" s="81" t="s">
        <v>171</v>
      </c>
      <c r="D4863" s="81" t="s">
        <v>841</v>
      </c>
      <c r="E4863" s="81" t="s">
        <v>50</v>
      </c>
      <c r="F4863" s="81" t="s">
        <v>1</v>
      </c>
    </row>
    <row r="4864" spans="1:6" x14ac:dyDescent="0.25">
      <c r="A4864" s="14">
        <v>46152.788888888892</v>
      </c>
      <c r="B4864" s="81" t="s">
        <v>149</v>
      </c>
      <c r="C4864" s="81" t="s">
        <v>151</v>
      </c>
      <c r="D4864" s="81" t="s">
        <v>841</v>
      </c>
      <c r="E4864" s="81" t="s">
        <v>49</v>
      </c>
      <c r="F4864" s="81" t="s">
        <v>2</v>
      </c>
    </row>
    <row r="4865" spans="1:6" x14ac:dyDescent="0.25">
      <c r="A4865" s="14">
        <v>46152.788888888892</v>
      </c>
      <c r="B4865" s="81" t="s">
        <v>149</v>
      </c>
      <c r="C4865" s="81" t="s">
        <v>213</v>
      </c>
      <c r="D4865" s="81" t="s">
        <v>157</v>
      </c>
      <c r="E4865" s="81" t="s">
        <v>64</v>
      </c>
      <c r="F4865" s="81" t="s">
        <v>98</v>
      </c>
    </row>
    <row r="4866" spans="1:6" x14ac:dyDescent="0.25">
      <c r="A4866" s="14">
        <v>46152.788888888892</v>
      </c>
      <c r="B4866" s="81" t="s">
        <v>149</v>
      </c>
      <c r="C4866" s="81" t="s">
        <v>183</v>
      </c>
      <c r="D4866" s="81" t="s">
        <v>168</v>
      </c>
      <c r="E4866" s="81" t="s">
        <v>50</v>
      </c>
      <c r="F4866" s="81" t="s">
        <v>1</v>
      </c>
    </row>
    <row r="4867" spans="1:6" x14ac:dyDescent="0.25">
      <c r="A4867" s="14">
        <v>46152.788888888892</v>
      </c>
      <c r="B4867" s="81" t="s">
        <v>149</v>
      </c>
      <c r="C4867" s="81" t="s">
        <v>190</v>
      </c>
      <c r="D4867" s="81" t="s">
        <v>265</v>
      </c>
      <c r="E4867" s="81" t="s">
        <v>49</v>
      </c>
      <c r="F4867" s="81" t="s">
        <v>2</v>
      </c>
    </row>
    <row r="4868" spans="1:6" x14ac:dyDescent="0.25">
      <c r="A4868" s="14">
        <v>46152.788888888892</v>
      </c>
      <c r="B4868" s="81" t="s">
        <v>149</v>
      </c>
      <c r="C4868" s="81" t="s">
        <v>171</v>
      </c>
      <c r="D4868" s="81" t="s">
        <v>841</v>
      </c>
      <c r="E4868" s="81" t="s">
        <v>49</v>
      </c>
      <c r="F4868" s="81" t="s">
        <v>2</v>
      </c>
    </row>
    <row r="4869" spans="1:6" x14ac:dyDescent="0.25">
      <c r="A4869" s="14">
        <v>46152.788888888892</v>
      </c>
      <c r="B4869" s="81" t="s">
        <v>149</v>
      </c>
      <c r="C4869" s="81" t="s">
        <v>151</v>
      </c>
      <c r="D4869" s="81" t="s">
        <v>156</v>
      </c>
      <c r="E4869" s="81" t="s">
        <v>49</v>
      </c>
      <c r="F4869" s="81" t="s">
        <v>2</v>
      </c>
    </row>
    <row r="4870" spans="1:6" x14ac:dyDescent="0.25">
      <c r="A4870" s="14">
        <v>46152.788888888892</v>
      </c>
      <c r="B4870" s="81" t="s">
        <v>149</v>
      </c>
      <c r="C4870" s="81" t="s">
        <v>190</v>
      </c>
      <c r="D4870" s="81" t="s">
        <v>168</v>
      </c>
      <c r="E4870" s="81" t="s">
        <v>50</v>
      </c>
      <c r="F4870" s="81" t="s">
        <v>1</v>
      </c>
    </row>
    <row r="4871" spans="1:6" x14ac:dyDescent="0.25">
      <c r="A4871" s="14">
        <v>46152.788888888892</v>
      </c>
      <c r="B4871" s="81" t="s">
        <v>149</v>
      </c>
      <c r="C4871" s="81" t="s">
        <v>220</v>
      </c>
      <c r="D4871" s="81" t="s">
        <v>157</v>
      </c>
      <c r="E4871" s="81" t="s">
        <v>64</v>
      </c>
      <c r="F4871" s="81" t="s">
        <v>98</v>
      </c>
    </row>
    <row r="4872" spans="1:6" x14ac:dyDescent="0.25">
      <c r="A4872" s="14">
        <v>46152.788888888892</v>
      </c>
      <c r="B4872" s="81" t="s">
        <v>149</v>
      </c>
      <c r="C4872" s="81" t="s">
        <v>182</v>
      </c>
      <c r="D4872" s="81" t="s">
        <v>168</v>
      </c>
      <c r="E4872" s="81" t="s">
        <v>50</v>
      </c>
      <c r="F4872" s="81" t="s">
        <v>1</v>
      </c>
    </row>
    <row r="4873" spans="1:6" x14ac:dyDescent="0.25">
      <c r="A4873" s="14">
        <v>46152.788888888892</v>
      </c>
      <c r="B4873" s="81" t="s">
        <v>149</v>
      </c>
      <c r="C4873" s="81" t="s">
        <v>190</v>
      </c>
      <c r="D4873" s="81" t="s">
        <v>156</v>
      </c>
      <c r="E4873" s="81" t="s">
        <v>49</v>
      </c>
      <c r="F4873" s="81" t="s">
        <v>2</v>
      </c>
    </row>
    <row r="4874" spans="1:6" x14ac:dyDescent="0.25">
      <c r="A4874" s="14">
        <v>46152.788888888892</v>
      </c>
      <c r="B4874" s="81" t="s">
        <v>149</v>
      </c>
      <c r="C4874" s="81" t="s">
        <v>184</v>
      </c>
      <c r="D4874" s="81" t="s">
        <v>156</v>
      </c>
      <c r="E4874" s="81" t="s">
        <v>49</v>
      </c>
      <c r="F4874" s="81" t="s">
        <v>2</v>
      </c>
    </row>
    <row r="4875" spans="1:6" x14ac:dyDescent="0.25">
      <c r="A4875" s="14">
        <v>46152.788888888892</v>
      </c>
      <c r="B4875" s="81" t="s">
        <v>149</v>
      </c>
      <c r="C4875" s="81" t="s">
        <v>151</v>
      </c>
      <c r="D4875" s="81" t="s">
        <v>156</v>
      </c>
      <c r="E4875" s="81" t="s">
        <v>49</v>
      </c>
      <c r="F4875" s="81" t="s">
        <v>2</v>
      </c>
    </row>
    <row r="4876" spans="1:6" x14ac:dyDescent="0.25">
      <c r="A4876" s="14">
        <v>46152.788888888892</v>
      </c>
      <c r="B4876" s="81" t="s">
        <v>149</v>
      </c>
      <c r="C4876" s="81" t="s">
        <v>184</v>
      </c>
      <c r="D4876" s="81" t="s">
        <v>156</v>
      </c>
      <c r="E4876" s="81" t="s">
        <v>49</v>
      </c>
      <c r="F4876" s="81" t="s">
        <v>2</v>
      </c>
    </row>
    <row r="4877" spans="1:6" x14ac:dyDescent="0.25">
      <c r="A4877" s="14">
        <v>46152.788888888892</v>
      </c>
      <c r="B4877" s="81" t="s">
        <v>149</v>
      </c>
      <c r="C4877" s="81" t="s">
        <v>158</v>
      </c>
      <c r="D4877" s="81" t="s">
        <v>168</v>
      </c>
      <c r="E4877" s="81" t="s">
        <v>50</v>
      </c>
      <c r="F4877" s="81" t="s">
        <v>1</v>
      </c>
    </row>
    <row r="4878" spans="1:6" x14ac:dyDescent="0.25">
      <c r="A4878" s="14">
        <v>46152.788888888892</v>
      </c>
      <c r="B4878" s="81" t="s">
        <v>149</v>
      </c>
      <c r="C4878" s="81" t="s">
        <v>190</v>
      </c>
      <c r="D4878" s="81" t="s">
        <v>156</v>
      </c>
      <c r="E4878" s="81" t="s">
        <v>49</v>
      </c>
      <c r="F4878" s="81" t="s">
        <v>2</v>
      </c>
    </row>
    <row r="4879" spans="1:6" x14ac:dyDescent="0.25">
      <c r="A4879" s="14">
        <v>46152.788888888892</v>
      </c>
      <c r="B4879" s="81" t="s">
        <v>149</v>
      </c>
      <c r="C4879" s="81" t="s">
        <v>151</v>
      </c>
      <c r="D4879" s="81" t="s">
        <v>156</v>
      </c>
      <c r="E4879" s="81" t="s">
        <v>49</v>
      </c>
      <c r="F4879" s="81" t="s">
        <v>2</v>
      </c>
    </row>
    <row r="4880" spans="1:6" x14ac:dyDescent="0.25">
      <c r="A4880" s="14">
        <v>46152.788888888892</v>
      </c>
      <c r="B4880" s="81" t="s">
        <v>149</v>
      </c>
      <c r="C4880" s="81" t="s">
        <v>185</v>
      </c>
      <c r="D4880" s="81" t="s">
        <v>266</v>
      </c>
      <c r="E4880" s="81" t="s">
        <v>52</v>
      </c>
      <c r="F4880" s="81" t="s">
        <v>0</v>
      </c>
    </row>
    <row r="4881" spans="1:6" x14ac:dyDescent="0.25">
      <c r="A4881" s="14">
        <v>46152.788888888892</v>
      </c>
      <c r="B4881" s="81" t="s">
        <v>149</v>
      </c>
      <c r="C4881" s="81" t="s">
        <v>158</v>
      </c>
      <c r="D4881" s="81" t="s">
        <v>156</v>
      </c>
      <c r="E4881" s="81" t="s">
        <v>49</v>
      </c>
      <c r="F4881" s="81" t="s">
        <v>2</v>
      </c>
    </row>
    <row r="4882" spans="1:6" x14ac:dyDescent="0.25">
      <c r="A4882" s="14">
        <v>46152.788888888892</v>
      </c>
      <c r="B4882" s="81" t="s">
        <v>149</v>
      </c>
      <c r="C4882" s="81" t="s">
        <v>181</v>
      </c>
      <c r="D4882" s="81" t="s">
        <v>156</v>
      </c>
      <c r="E4882" s="81" t="s">
        <v>49</v>
      </c>
      <c r="F4882" s="81" t="s">
        <v>2</v>
      </c>
    </row>
    <row r="4883" spans="1:6" x14ac:dyDescent="0.25">
      <c r="A4883" s="14">
        <v>46152.788888888892</v>
      </c>
      <c r="B4883" s="81" t="s">
        <v>149</v>
      </c>
      <c r="C4883" s="81" t="s">
        <v>185</v>
      </c>
      <c r="D4883" s="81" t="s">
        <v>168</v>
      </c>
      <c r="E4883" s="81" t="s">
        <v>50</v>
      </c>
      <c r="F4883" s="81" t="s">
        <v>1</v>
      </c>
    </row>
    <row r="4884" spans="1:6" x14ac:dyDescent="0.25">
      <c r="A4884" s="14">
        <v>46152.788888888892</v>
      </c>
      <c r="B4884" s="81" t="s">
        <v>149</v>
      </c>
      <c r="C4884" s="81" t="s">
        <v>182</v>
      </c>
      <c r="D4884" s="81" t="s">
        <v>168</v>
      </c>
      <c r="E4884" s="81" t="s">
        <v>50</v>
      </c>
      <c r="F4884" s="81" t="s">
        <v>1</v>
      </c>
    </row>
    <row r="4885" spans="1:6" x14ac:dyDescent="0.25">
      <c r="A4885" s="14">
        <v>46152.788888888892</v>
      </c>
      <c r="B4885" s="81" t="s">
        <v>149</v>
      </c>
      <c r="C4885" s="81" t="s">
        <v>190</v>
      </c>
      <c r="D4885" s="81" t="s">
        <v>168</v>
      </c>
      <c r="E4885" s="81" t="s">
        <v>49</v>
      </c>
      <c r="F4885" s="81" t="s">
        <v>2</v>
      </c>
    </row>
    <row r="4886" spans="1:6" x14ac:dyDescent="0.25">
      <c r="A4886" s="14">
        <v>46152.788888888892</v>
      </c>
      <c r="B4886" s="81" t="s">
        <v>149</v>
      </c>
      <c r="C4886" s="81" t="s">
        <v>182</v>
      </c>
      <c r="D4886" s="81" t="s">
        <v>156</v>
      </c>
      <c r="E4886" s="81" t="s">
        <v>49</v>
      </c>
      <c r="F4886" s="81" t="s">
        <v>2</v>
      </c>
    </row>
    <row r="4887" spans="1:6" x14ac:dyDescent="0.25">
      <c r="A4887" s="14">
        <v>46152.788888888892</v>
      </c>
      <c r="B4887" s="81" t="s">
        <v>149</v>
      </c>
      <c r="C4887" s="81" t="s">
        <v>183</v>
      </c>
      <c r="D4887" s="81" t="s">
        <v>157</v>
      </c>
      <c r="E4887" s="81" t="s">
        <v>49</v>
      </c>
      <c r="F4887" s="81" t="s">
        <v>2</v>
      </c>
    </row>
    <row r="4888" spans="1:6" x14ac:dyDescent="0.25">
      <c r="A4888" s="14">
        <v>46152.788888888892</v>
      </c>
      <c r="B4888" s="81" t="s">
        <v>149</v>
      </c>
      <c r="C4888" s="81" t="s">
        <v>151</v>
      </c>
      <c r="D4888" s="81" t="s">
        <v>156</v>
      </c>
      <c r="E4888" s="81" t="s">
        <v>49</v>
      </c>
      <c r="F4888" s="81" t="s">
        <v>2</v>
      </c>
    </row>
    <row r="4889" spans="1:6" x14ac:dyDescent="0.25">
      <c r="A4889" s="14">
        <v>46152.788888888892</v>
      </c>
      <c r="B4889" s="81" t="s">
        <v>149</v>
      </c>
      <c r="C4889" s="81" t="s">
        <v>151</v>
      </c>
      <c r="D4889" s="81" t="s">
        <v>156</v>
      </c>
      <c r="E4889" s="81" t="s">
        <v>49</v>
      </c>
      <c r="F4889" s="81" t="s">
        <v>2</v>
      </c>
    </row>
    <row r="4890" spans="1:6" x14ac:dyDescent="0.25">
      <c r="A4890" s="14">
        <v>46152.788888888892</v>
      </c>
      <c r="B4890" s="81" t="s">
        <v>149</v>
      </c>
      <c r="C4890" s="81" t="s">
        <v>184</v>
      </c>
      <c r="D4890" s="81" t="s">
        <v>156</v>
      </c>
      <c r="E4890" s="81" t="s">
        <v>49</v>
      </c>
      <c r="F4890" s="81" t="s">
        <v>2</v>
      </c>
    </row>
    <row r="4891" spans="1:6" x14ac:dyDescent="0.25">
      <c r="A4891" s="14">
        <v>46152.788888888892</v>
      </c>
      <c r="B4891" s="81" t="s">
        <v>149</v>
      </c>
      <c r="C4891" s="81" t="s">
        <v>158</v>
      </c>
      <c r="D4891" s="81" t="s">
        <v>168</v>
      </c>
      <c r="E4891" s="81" t="s">
        <v>49</v>
      </c>
      <c r="F4891" s="81" t="s">
        <v>2</v>
      </c>
    </row>
    <row r="4892" spans="1:6" x14ac:dyDescent="0.25">
      <c r="A4892" s="14">
        <v>46152.788888888892</v>
      </c>
      <c r="B4892" s="81" t="s">
        <v>149</v>
      </c>
      <c r="C4892" s="81" t="s">
        <v>182</v>
      </c>
      <c r="D4892" s="81" t="s">
        <v>156</v>
      </c>
      <c r="E4892" s="81" t="s">
        <v>49</v>
      </c>
      <c r="F4892" s="81" t="s">
        <v>2</v>
      </c>
    </row>
    <row r="4893" spans="1:6" x14ac:dyDescent="0.25">
      <c r="A4893" s="14">
        <v>46152.788888888892</v>
      </c>
      <c r="B4893" s="81" t="s">
        <v>149</v>
      </c>
      <c r="C4893" s="81" t="s">
        <v>183</v>
      </c>
      <c r="D4893" s="81" t="s">
        <v>156</v>
      </c>
      <c r="E4893" s="81" t="s">
        <v>49</v>
      </c>
      <c r="F4893" s="81" t="s">
        <v>2</v>
      </c>
    </row>
    <row r="4894" spans="1:6" x14ac:dyDescent="0.25">
      <c r="A4894" s="14">
        <v>46152.788888888892</v>
      </c>
      <c r="B4894" s="81" t="s">
        <v>149</v>
      </c>
      <c r="C4894" s="81" t="s">
        <v>184</v>
      </c>
      <c r="D4894" s="81" t="s">
        <v>157</v>
      </c>
      <c r="E4894" s="81" t="s">
        <v>50</v>
      </c>
      <c r="F4894" s="81" t="s">
        <v>1</v>
      </c>
    </row>
    <row r="4895" spans="1:6" x14ac:dyDescent="0.25">
      <c r="A4895" s="14">
        <v>46152.788888888892</v>
      </c>
      <c r="B4895" s="81" t="s">
        <v>149</v>
      </c>
      <c r="C4895" s="81" t="s">
        <v>184</v>
      </c>
      <c r="D4895" s="81" t="s">
        <v>168</v>
      </c>
      <c r="E4895" s="81" t="s">
        <v>49</v>
      </c>
      <c r="F4895" s="81" t="s">
        <v>2</v>
      </c>
    </row>
    <row r="4896" spans="1:6" x14ac:dyDescent="0.25">
      <c r="A4896" s="14">
        <v>46152.788888888892</v>
      </c>
      <c r="B4896" s="81" t="s">
        <v>149</v>
      </c>
      <c r="C4896" s="81" t="s">
        <v>175</v>
      </c>
      <c r="D4896" s="81" t="s">
        <v>168</v>
      </c>
      <c r="E4896" s="81" t="s">
        <v>49</v>
      </c>
      <c r="F4896" s="81" t="s">
        <v>2</v>
      </c>
    </row>
    <row r="4897" spans="1:6" x14ac:dyDescent="0.25">
      <c r="A4897" s="14">
        <v>46152.788888888892</v>
      </c>
      <c r="B4897" s="81" t="s">
        <v>149</v>
      </c>
      <c r="C4897" s="81" t="s">
        <v>188</v>
      </c>
      <c r="D4897" s="81" t="s">
        <v>179</v>
      </c>
      <c r="E4897" s="81" t="s">
        <v>45</v>
      </c>
      <c r="F4897" s="81" t="s">
        <v>28</v>
      </c>
    </row>
    <row r="4898" spans="1:6" x14ac:dyDescent="0.25">
      <c r="A4898" s="14">
        <v>46152.788888888892</v>
      </c>
      <c r="B4898" s="81" t="s">
        <v>149</v>
      </c>
      <c r="C4898" s="81" t="s">
        <v>189</v>
      </c>
      <c r="D4898" s="81" t="s">
        <v>179</v>
      </c>
      <c r="E4898" s="81" t="s">
        <v>45</v>
      </c>
      <c r="F4898" s="81" t="s">
        <v>28</v>
      </c>
    </row>
    <row r="4899" spans="1:6" x14ac:dyDescent="0.25">
      <c r="A4899" s="14">
        <v>46152.788888888892</v>
      </c>
      <c r="B4899" s="81" t="s">
        <v>149</v>
      </c>
      <c r="C4899" s="81" t="s">
        <v>239</v>
      </c>
      <c r="D4899" s="81" t="s">
        <v>179</v>
      </c>
      <c r="E4899" s="81" t="s">
        <v>45</v>
      </c>
      <c r="F4899" s="81" t="s">
        <v>28</v>
      </c>
    </row>
    <row r="4900" spans="1:6" x14ac:dyDescent="0.25">
      <c r="A4900" s="14">
        <v>46152.788888888892</v>
      </c>
      <c r="B4900" s="81" t="s">
        <v>149</v>
      </c>
      <c r="C4900" s="81" t="s">
        <v>175</v>
      </c>
      <c r="D4900" s="81" t="s">
        <v>168</v>
      </c>
      <c r="E4900" s="81" t="s">
        <v>49</v>
      </c>
      <c r="F4900" s="81" t="s">
        <v>2</v>
      </c>
    </row>
    <row r="4901" spans="1:6" x14ac:dyDescent="0.25">
      <c r="A4901" s="14">
        <v>46152.788888888892</v>
      </c>
      <c r="B4901" s="81" t="s">
        <v>149</v>
      </c>
      <c r="C4901" s="81" t="s">
        <v>173</v>
      </c>
      <c r="D4901" s="81" t="s">
        <v>168</v>
      </c>
      <c r="E4901" s="81" t="s">
        <v>49</v>
      </c>
      <c r="F4901" s="81" t="s">
        <v>2</v>
      </c>
    </row>
    <row r="4902" spans="1:6" x14ac:dyDescent="0.25">
      <c r="A4902" s="14">
        <v>46152.788888888892</v>
      </c>
      <c r="B4902" s="81" t="s">
        <v>149</v>
      </c>
      <c r="C4902" s="81" t="s">
        <v>177</v>
      </c>
      <c r="D4902" s="81" t="s">
        <v>221</v>
      </c>
      <c r="E4902" s="81" t="s">
        <v>52</v>
      </c>
      <c r="F4902" s="81" t="s">
        <v>0</v>
      </c>
    </row>
    <row r="4903" spans="1:6" x14ac:dyDescent="0.25">
      <c r="A4903" s="14">
        <v>46152.788888888892</v>
      </c>
      <c r="B4903" s="81" t="s">
        <v>149</v>
      </c>
      <c r="C4903" s="81" t="s">
        <v>181</v>
      </c>
      <c r="D4903" s="81" t="s">
        <v>156</v>
      </c>
      <c r="E4903" s="81" t="s">
        <v>49</v>
      </c>
      <c r="F4903" s="81" t="s">
        <v>2</v>
      </c>
    </row>
    <row r="4904" spans="1:6" x14ac:dyDescent="0.25">
      <c r="A4904" s="14">
        <v>46152.788888888892</v>
      </c>
      <c r="B4904" s="81" t="s">
        <v>149</v>
      </c>
      <c r="C4904" s="81" t="s">
        <v>177</v>
      </c>
      <c r="D4904" s="81" t="s">
        <v>156</v>
      </c>
      <c r="E4904" s="81" t="s">
        <v>49</v>
      </c>
      <c r="F4904" s="81" t="s">
        <v>2</v>
      </c>
    </row>
    <row r="4905" spans="1:6" x14ac:dyDescent="0.25">
      <c r="A4905" s="14">
        <v>46152.788888888892</v>
      </c>
      <c r="B4905" s="81" t="s">
        <v>149</v>
      </c>
      <c r="C4905" s="81" t="s">
        <v>181</v>
      </c>
      <c r="D4905" s="81" t="s">
        <v>156</v>
      </c>
      <c r="E4905" s="81" t="s">
        <v>49</v>
      </c>
      <c r="F4905" s="81" t="s">
        <v>2</v>
      </c>
    </row>
    <row r="4906" spans="1:6" x14ac:dyDescent="0.25">
      <c r="A4906" s="14">
        <v>46152.788888888892</v>
      </c>
      <c r="B4906" s="81" t="s">
        <v>149</v>
      </c>
      <c r="C4906" s="81" t="s">
        <v>171</v>
      </c>
      <c r="D4906" s="81" t="s">
        <v>156</v>
      </c>
      <c r="E4906" s="81" t="s">
        <v>49</v>
      </c>
      <c r="F4906" s="81" t="s">
        <v>2</v>
      </c>
    </row>
    <row r="4907" spans="1:6" x14ac:dyDescent="0.25">
      <c r="A4907" s="14">
        <v>46152.788888888892</v>
      </c>
      <c r="B4907" s="81" t="s">
        <v>149</v>
      </c>
      <c r="C4907" s="81" t="s">
        <v>175</v>
      </c>
      <c r="D4907" s="81" t="s">
        <v>156</v>
      </c>
      <c r="E4907" s="81" t="s">
        <v>49</v>
      </c>
      <c r="F4907" s="81" t="s">
        <v>2</v>
      </c>
    </row>
    <row r="4908" spans="1:6" x14ac:dyDescent="0.25">
      <c r="A4908" s="14">
        <v>46152.788888888892</v>
      </c>
      <c r="B4908" s="81" t="s">
        <v>149</v>
      </c>
      <c r="C4908" s="81" t="s">
        <v>183</v>
      </c>
      <c r="D4908" s="81" t="s">
        <v>156</v>
      </c>
      <c r="E4908" s="81" t="s">
        <v>49</v>
      </c>
      <c r="F4908" s="81" t="s">
        <v>2</v>
      </c>
    </row>
    <row r="4909" spans="1:6" x14ac:dyDescent="0.25">
      <c r="A4909" s="14">
        <v>46152.788888888892</v>
      </c>
      <c r="B4909" s="81" t="s">
        <v>149</v>
      </c>
      <c r="C4909" s="81" t="s">
        <v>182</v>
      </c>
      <c r="D4909" s="81" t="s">
        <v>165</v>
      </c>
      <c r="E4909" s="81" t="s">
        <v>49</v>
      </c>
      <c r="F4909" s="81" t="s">
        <v>2</v>
      </c>
    </row>
    <row r="4910" spans="1:6" x14ac:dyDescent="0.25">
      <c r="A4910" s="14">
        <v>46152.788888888892</v>
      </c>
      <c r="B4910" s="81" t="s">
        <v>149</v>
      </c>
      <c r="C4910" s="81" t="s">
        <v>175</v>
      </c>
      <c r="D4910" s="81" t="s">
        <v>156</v>
      </c>
      <c r="E4910" s="81" t="s">
        <v>49</v>
      </c>
      <c r="F4910" s="81" t="s">
        <v>2</v>
      </c>
    </row>
    <row r="4911" spans="1:6" x14ac:dyDescent="0.25">
      <c r="A4911" s="14">
        <v>46152.788888888892</v>
      </c>
      <c r="B4911" s="81" t="s">
        <v>149</v>
      </c>
      <c r="C4911" s="81" t="s">
        <v>151</v>
      </c>
      <c r="D4911" s="81" t="s">
        <v>156</v>
      </c>
      <c r="E4911" s="81" t="s">
        <v>49</v>
      </c>
      <c r="F4911" s="81" t="s">
        <v>2</v>
      </c>
    </row>
    <row r="4912" spans="1:6" x14ac:dyDescent="0.25">
      <c r="A4912" s="14">
        <v>46152.788888888892</v>
      </c>
      <c r="B4912" s="81" t="s">
        <v>149</v>
      </c>
      <c r="C4912" s="81" t="s">
        <v>158</v>
      </c>
      <c r="D4912" s="81" t="s">
        <v>156</v>
      </c>
      <c r="E4912" s="81" t="s">
        <v>49</v>
      </c>
      <c r="F4912" s="81" t="s">
        <v>2</v>
      </c>
    </row>
    <row r="4913" spans="1:6" x14ac:dyDescent="0.25">
      <c r="A4913" s="14">
        <v>46152.788888888892</v>
      </c>
      <c r="B4913" s="81" t="s">
        <v>149</v>
      </c>
      <c r="C4913" s="81" t="s">
        <v>171</v>
      </c>
      <c r="D4913" s="81" t="s">
        <v>266</v>
      </c>
      <c r="E4913" s="81" t="s">
        <v>52</v>
      </c>
      <c r="F4913" s="81" t="s">
        <v>0</v>
      </c>
    </row>
    <row r="4914" spans="1:6" x14ac:dyDescent="0.25">
      <c r="A4914" s="14">
        <v>46152.788888888892</v>
      </c>
      <c r="B4914" s="81" t="s">
        <v>149</v>
      </c>
      <c r="C4914" s="81" t="s">
        <v>181</v>
      </c>
      <c r="D4914" s="81" t="s">
        <v>156</v>
      </c>
      <c r="E4914" s="81" t="s">
        <v>49</v>
      </c>
      <c r="F4914" s="81" t="s">
        <v>2</v>
      </c>
    </row>
    <row r="4915" spans="1:6" x14ac:dyDescent="0.25">
      <c r="A4915" s="14">
        <v>46152.788888888892</v>
      </c>
      <c r="B4915" s="81" t="s">
        <v>149</v>
      </c>
      <c r="C4915" s="81" t="s">
        <v>151</v>
      </c>
      <c r="D4915" s="81" t="s">
        <v>266</v>
      </c>
      <c r="E4915" s="81" t="s">
        <v>52</v>
      </c>
      <c r="F4915" s="81" t="s">
        <v>0</v>
      </c>
    </row>
    <row r="4916" spans="1:6" x14ac:dyDescent="0.25">
      <c r="A4916" s="14">
        <v>46152.788888888892</v>
      </c>
      <c r="B4916" s="81" t="s">
        <v>149</v>
      </c>
      <c r="C4916" s="81" t="s">
        <v>181</v>
      </c>
      <c r="D4916" s="81" t="s">
        <v>266</v>
      </c>
      <c r="E4916" s="81" t="s">
        <v>52</v>
      </c>
      <c r="F4916" s="81" t="s">
        <v>0</v>
      </c>
    </row>
    <row r="4917" spans="1:6" x14ac:dyDescent="0.25">
      <c r="A4917" s="14">
        <v>46152.788888888892</v>
      </c>
      <c r="B4917" s="81" t="s">
        <v>149</v>
      </c>
      <c r="C4917" s="81" t="s">
        <v>190</v>
      </c>
      <c r="D4917" s="81" t="s">
        <v>164</v>
      </c>
      <c r="E4917" s="81" t="s">
        <v>50</v>
      </c>
      <c r="F4917" s="81" t="s">
        <v>1</v>
      </c>
    </row>
    <row r="4918" spans="1:6" x14ac:dyDescent="0.25">
      <c r="A4918" s="14">
        <v>46152.788888888892</v>
      </c>
      <c r="B4918" s="81" t="s">
        <v>149</v>
      </c>
      <c r="C4918" s="81" t="s">
        <v>151</v>
      </c>
      <c r="D4918" s="81" t="s">
        <v>156</v>
      </c>
      <c r="E4918" s="81" t="s">
        <v>49</v>
      </c>
      <c r="F4918" s="81" t="s">
        <v>2</v>
      </c>
    </row>
    <row r="4919" spans="1:6" x14ac:dyDescent="0.25">
      <c r="A4919" s="14">
        <v>46152.788888888892</v>
      </c>
      <c r="B4919" s="81" t="s">
        <v>149</v>
      </c>
      <c r="C4919" s="81" t="s">
        <v>190</v>
      </c>
      <c r="D4919" s="81" t="s">
        <v>156</v>
      </c>
      <c r="E4919" s="81" t="s">
        <v>49</v>
      </c>
      <c r="F4919" s="81" t="s">
        <v>2</v>
      </c>
    </row>
    <row r="4920" spans="1:6" x14ac:dyDescent="0.25">
      <c r="A4920" s="14">
        <v>46152.788888888892</v>
      </c>
      <c r="B4920" s="81" t="s">
        <v>149</v>
      </c>
      <c r="C4920" s="81" t="s">
        <v>182</v>
      </c>
      <c r="D4920" s="81" t="s">
        <v>156</v>
      </c>
      <c r="E4920" s="81" t="s">
        <v>49</v>
      </c>
      <c r="F4920" s="81" t="s">
        <v>2</v>
      </c>
    </row>
    <row r="4921" spans="1:6" x14ac:dyDescent="0.25">
      <c r="A4921" s="14">
        <v>46152.788888888892</v>
      </c>
      <c r="B4921" s="81" t="s">
        <v>149</v>
      </c>
      <c r="C4921" s="81" t="s">
        <v>182</v>
      </c>
      <c r="D4921" s="81" t="s">
        <v>156</v>
      </c>
      <c r="E4921" s="81" t="s">
        <v>49</v>
      </c>
      <c r="F4921" s="81" t="s">
        <v>2</v>
      </c>
    </row>
    <row r="4922" spans="1:6" x14ac:dyDescent="0.25">
      <c r="A4922" s="14">
        <v>46152.788888888892</v>
      </c>
      <c r="B4922" s="81" t="s">
        <v>149</v>
      </c>
      <c r="C4922" s="81" t="s">
        <v>158</v>
      </c>
      <c r="D4922" s="81" t="s">
        <v>156</v>
      </c>
      <c r="E4922" s="81" t="s">
        <v>49</v>
      </c>
      <c r="F4922" s="81" t="s">
        <v>2</v>
      </c>
    </row>
    <row r="4923" spans="1:6" x14ac:dyDescent="0.25">
      <c r="A4923" s="14">
        <v>46152.788888888892</v>
      </c>
      <c r="B4923" s="81" t="s">
        <v>149</v>
      </c>
      <c r="C4923" s="81" t="s">
        <v>151</v>
      </c>
      <c r="D4923" s="81" t="s">
        <v>156</v>
      </c>
      <c r="E4923" s="81" t="s">
        <v>49</v>
      </c>
      <c r="F4923" s="81" t="s">
        <v>2</v>
      </c>
    </row>
    <row r="4924" spans="1:6" x14ac:dyDescent="0.25">
      <c r="A4924" s="14">
        <v>46152.788888888892</v>
      </c>
      <c r="B4924" s="81" t="s">
        <v>149</v>
      </c>
      <c r="C4924" s="81" t="s">
        <v>848</v>
      </c>
      <c r="D4924" s="81" t="s">
        <v>156</v>
      </c>
      <c r="E4924" s="81" t="s">
        <v>64</v>
      </c>
      <c r="F4924" s="81" t="s">
        <v>98</v>
      </c>
    </row>
    <row r="4925" spans="1:6" x14ac:dyDescent="0.25">
      <c r="A4925" s="14">
        <v>46152.788888888892</v>
      </c>
      <c r="B4925" s="81" t="s">
        <v>149</v>
      </c>
      <c r="C4925" s="81" t="s">
        <v>215</v>
      </c>
      <c r="D4925" s="81" t="s">
        <v>156</v>
      </c>
      <c r="E4925" s="81" t="s">
        <v>64</v>
      </c>
      <c r="F4925" s="81" t="s">
        <v>98</v>
      </c>
    </row>
    <row r="4926" spans="1:6" x14ac:dyDescent="0.25">
      <c r="A4926" s="14">
        <v>46152.788888888892</v>
      </c>
      <c r="B4926" s="81" t="s">
        <v>149</v>
      </c>
      <c r="C4926" s="81" t="s">
        <v>848</v>
      </c>
      <c r="D4926" s="81" t="s">
        <v>156</v>
      </c>
      <c r="E4926" s="81" t="s">
        <v>64</v>
      </c>
      <c r="F4926" s="81" t="s">
        <v>98</v>
      </c>
    </row>
    <row r="4927" spans="1:6" x14ac:dyDescent="0.25">
      <c r="A4927" s="14">
        <v>46152.788888888892</v>
      </c>
      <c r="B4927" s="81" t="s">
        <v>149</v>
      </c>
      <c r="C4927" s="81" t="s">
        <v>220</v>
      </c>
      <c r="D4927" s="81" t="s">
        <v>156</v>
      </c>
      <c r="E4927" s="81" t="s">
        <v>64</v>
      </c>
      <c r="F4927" s="81" t="s">
        <v>98</v>
      </c>
    </row>
    <row r="4928" spans="1:6" x14ac:dyDescent="0.25">
      <c r="A4928" s="14">
        <v>46152.788888888892</v>
      </c>
      <c r="B4928" s="81" t="s">
        <v>149</v>
      </c>
      <c r="C4928" s="81" t="s">
        <v>214</v>
      </c>
      <c r="D4928" s="81" t="s">
        <v>156</v>
      </c>
      <c r="E4928" s="81" t="s">
        <v>64</v>
      </c>
      <c r="F4928" s="81" t="s">
        <v>98</v>
      </c>
    </row>
    <row r="4929" spans="1:6" x14ac:dyDescent="0.25">
      <c r="A4929" s="14">
        <v>46152.788888888892</v>
      </c>
      <c r="B4929" s="81" t="s">
        <v>149</v>
      </c>
      <c r="C4929" s="81" t="s">
        <v>213</v>
      </c>
      <c r="D4929" s="81" t="s">
        <v>156</v>
      </c>
      <c r="E4929" s="81" t="s">
        <v>64</v>
      </c>
      <c r="F4929" s="81" t="s">
        <v>98</v>
      </c>
    </row>
    <row r="4930" spans="1:6" x14ac:dyDescent="0.25">
      <c r="A4930" s="14">
        <v>46152.788888888892</v>
      </c>
      <c r="B4930" s="81" t="s">
        <v>149</v>
      </c>
      <c r="C4930" s="81" t="s">
        <v>184</v>
      </c>
      <c r="D4930" s="81" t="s">
        <v>157</v>
      </c>
      <c r="E4930" s="81" t="s">
        <v>49</v>
      </c>
      <c r="F4930" s="81" t="s">
        <v>2</v>
      </c>
    </row>
    <row r="4931" spans="1:6" x14ac:dyDescent="0.25">
      <c r="A4931" s="14">
        <v>46152.788888888892</v>
      </c>
      <c r="B4931" s="81" t="s">
        <v>149</v>
      </c>
      <c r="C4931" s="81" t="s">
        <v>217</v>
      </c>
      <c r="D4931" s="81" t="s">
        <v>156</v>
      </c>
      <c r="E4931" s="81" t="s">
        <v>64</v>
      </c>
      <c r="F4931" s="81" t="s">
        <v>98</v>
      </c>
    </row>
    <row r="4932" spans="1:6" x14ac:dyDescent="0.25">
      <c r="A4932" s="14">
        <v>46152.788888888892</v>
      </c>
      <c r="B4932" s="81" t="s">
        <v>149</v>
      </c>
      <c r="C4932" s="81" t="s">
        <v>230</v>
      </c>
      <c r="D4932" s="81" t="s">
        <v>156</v>
      </c>
      <c r="E4932" s="81" t="s">
        <v>64</v>
      </c>
      <c r="F4932" s="81" t="s">
        <v>98</v>
      </c>
    </row>
    <row r="4933" spans="1:6" x14ac:dyDescent="0.25">
      <c r="A4933" s="14">
        <v>46152.788888888892</v>
      </c>
      <c r="B4933" s="81" t="s">
        <v>149</v>
      </c>
      <c r="C4933" s="81" t="s">
        <v>848</v>
      </c>
      <c r="D4933" s="81" t="s">
        <v>156</v>
      </c>
      <c r="E4933" s="81" t="s">
        <v>64</v>
      </c>
      <c r="F4933" s="81" t="s">
        <v>98</v>
      </c>
    </row>
    <row r="4934" spans="1:6" x14ac:dyDescent="0.25">
      <c r="A4934" s="14">
        <v>46152.788888888892</v>
      </c>
      <c r="B4934" s="81" t="s">
        <v>149</v>
      </c>
      <c r="C4934" s="81" t="s">
        <v>220</v>
      </c>
      <c r="D4934" s="81" t="s">
        <v>156</v>
      </c>
      <c r="E4934" s="81" t="s">
        <v>64</v>
      </c>
      <c r="F4934" s="81" t="s">
        <v>98</v>
      </c>
    </row>
    <row r="4935" spans="1:6" x14ac:dyDescent="0.25">
      <c r="A4935" s="14">
        <v>46152.788888888892</v>
      </c>
      <c r="B4935" s="81" t="s">
        <v>149</v>
      </c>
      <c r="C4935" s="81" t="s">
        <v>184</v>
      </c>
      <c r="D4935" s="81" t="s">
        <v>156</v>
      </c>
      <c r="E4935" s="81" t="s">
        <v>64</v>
      </c>
      <c r="F4935" s="81" t="s">
        <v>98</v>
      </c>
    </row>
    <row r="4936" spans="1:6" x14ac:dyDescent="0.25">
      <c r="A4936" s="14">
        <v>46152.788888888892</v>
      </c>
      <c r="B4936" s="81" t="s">
        <v>149</v>
      </c>
      <c r="C4936" s="81" t="s">
        <v>171</v>
      </c>
      <c r="D4936" s="81" t="s">
        <v>204</v>
      </c>
      <c r="E4936" s="81" t="s">
        <v>50</v>
      </c>
      <c r="F4936" s="81" t="s">
        <v>1</v>
      </c>
    </row>
    <row r="4937" spans="1:6" x14ac:dyDescent="0.25">
      <c r="A4937" s="14">
        <v>46152.788888888892</v>
      </c>
      <c r="B4937" s="81" t="s">
        <v>149</v>
      </c>
      <c r="C4937" s="81" t="s">
        <v>173</v>
      </c>
      <c r="D4937" s="81" t="s">
        <v>204</v>
      </c>
      <c r="E4937" s="81" t="s">
        <v>50</v>
      </c>
      <c r="F4937" s="81" t="s">
        <v>1</v>
      </c>
    </row>
    <row r="4938" spans="1:6" x14ac:dyDescent="0.25">
      <c r="A4938" s="14">
        <v>46152.788888888892</v>
      </c>
      <c r="B4938" s="81" t="s">
        <v>149</v>
      </c>
      <c r="C4938" s="81" t="s">
        <v>173</v>
      </c>
      <c r="D4938" s="81" t="s">
        <v>268</v>
      </c>
      <c r="E4938" s="81" t="s">
        <v>50</v>
      </c>
      <c r="F4938" s="81" t="s">
        <v>1</v>
      </c>
    </row>
    <row r="4939" spans="1:6" x14ac:dyDescent="0.25">
      <c r="A4939" s="14">
        <v>46152.788888888892</v>
      </c>
      <c r="B4939" s="81" t="s">
        <v>149</v>
      </c>
      <c r="C4939" s="81" t="s">
        <v>184</v>
      </c>
      <c r="D4939" s="81" t="s">
        <v>204</v>
      </c>
      <c r="E4939" s="81" t="s">
        <v>49</v>
      </c>
      <c r="F4939" s="81" t="s">
        <v>2</v>
      </c>
    </row>
    <row r="4940" spans="1:6" x14ac:dyDescent="0.25">
      <c r="A4940" s="14">
        <v>46152.788888888892</v>
      </c>
      <c r="B4940" s="81" t="s">
        <v>149</v>
      </c>
      <c r="C4940" s="81" t="s">
        <v>192</v>
      </c>
      <c r="D4940" s="81" t="s">
        <v>266</v>
      </c>
      <c r="E4940" s="81" t="s">
        <v>60</v>
      </c>
      <c r="F4940" s="81" t="s">
        <v>28</v>
      </c>
    </row>
    <row r="4941" spans="1:6" x14ac:dyDescent="0.25">
      <c r="A4941" s="14">
        <v>46152.788888888892</v>
      </c>
      <c r="B4941" s="81" t="s">
        <v>149</v>
      </c>
      <c r="C4941" s="81" t="s">
        <v>171</v>
      </c>
      <c r="D4941" s="81" t="s">
        <v>162</v>
      </c>
      <c r="E4941" s="81" t="s">
        <v>49</v>
      </c>
      <c r="F4941" s="81" t="s">
        <v>2</v>
      </c>
    </row>
    <row r="4942" spans="1:6" x14ac:dyDescent="0.25">
      <c r="A4942" s="14">
        <v>46152.788888888892</v>
      </c>
      <c r="B4942" s="81" t="s">
        <v>149</v>
      </c>
      <c r="C4942" s="81" t="s">
        <v>171</v>
      </c>
      <c r="D4942" s="81" t="s">
        <v>162</v>
      </c>
      <c r="E4942" s="81" t="s">
        <v>49</v>
      </c>
      <c r="F4942" s="81" t="s">
        <v>2</v>
      </c>
    </row>
    <row r="4943" spans="1:6" x14ac:dyDescent="0.25">
      <c r="A4943" s="14">
        <v>46152.788888888892</v>
      </c>
      <c r="B4943" s="81" t="s">
        <v>149</v>
      </c>
      <c r="C4943" s="81" t="s">
        <v>171</v>
      </c>
      <c r="D4943" s="81" t="s">
        <v>162</v>
      </c>
      <c r="E4943" s="81" t="s">
        <v>49</v>
      </c>
      <c r="F4943" s="81" t="s">
        <v>2</v>
      </c>
    </row>
    <row r="4944" spans="1:6" x14ac:dyDescent="0.25">
      <c r="A4944" s="14">
        <v>46152.788888888892</v>
      </c>
      <c r="B4944" s="81" t="s">
        <v>149</v>
      </c>
      <c r="C4944" s="81" t="s">
        <v>171</v>
      </c>
      <c r="D4944" s="81" t="s">
        <v>162</v>
      </c>
      <c r="E4944" s="81" t="s">
        <v>49</v>
      </c>
      <c r="F4944" s="81" t="s">
        <v>2</v>
      </c>
    </row>
    <row r="4945" spans="1:6" x14ac:dyDescent="0.25">
      <c r="A4945" s="14">
        <v>46152.788888888892</v>
      </c>
      <c r="B4945" s="81" t="s">
        <v>149</v>
      </c>
      <c r="C4945" s="81" t="s">
        <v>171</v>
      </c>
      <c r="D4945" s="81" t="s">
        <v>162</v>
      </c>
      <c r="E4945" s="81" t="s">
        <v>49</v>
      </c>
      <c r="F4945" s="81" t="s">
        <v>2</v>
      </c>
    </row>
    <row r="4946" spans="1:6" x14ac:dyDescent="0.25">
      <c r="A4946" s="14">
        <v>46152.788888888892</v>
      </c>
      <c r="B4946" s="81" t="s">
        <v>149</v>
      </c>
      <c r="C4946" s="81" t="s">
        <v>171</v>
      </c>
      <c r="D4946" s="81" t="s">
        <v>162</v>
      </c>
      <c r="E4946" s="81" t="s">
        <v>49</v>
      </c>
      <c r="F4946" s="81" t="s">
        <v>2</v>
      </c>
    </row>
    <row r="4947" spans="1:6" x14ac:dyDescent="0.25">
      <c r="A4947" s="14">
        <v>46152.788888888892</v>
      </c>
      <c r="B4947" s="81" t="s">
        <v>149</v>
      </c>
      <c r="C4947" s="81" t="s">
        <v>171</v>
      </c>
      <c r="D4947" s="81" t="s">
        <v>162</v>
      </c>
      <c r="E4947" s="81" t="s">
        <v>49</v>
      </c>
      <c r="F4947" s="81" t="s">
        <v>2</v>
      </c>
    </row>
    <row r="4948" spans="1:6" x14ac:dyDescent="0.25">
      <c r="A4948" s="14">
        <v>46152.788888888892</v>
      </c>
      <c r="B4948" s="81" t="s">
        <v>149</v>
      </c>
      <c r="C4948" s="81" t="s">
        <v>171</v>
      </c>
      <c r="D4948" s="81" t="s">
        <v>162</v>
      </c>
      <c r="E4948" s="81" t="s">
        <v>49</v>
      </c>
      <c r="F4948" s="81" t="s">
        <v>2</v>
      </c>
    </row>
    <row r="4949" spans="1:6" x14ac:dyDescent="0.25">
      <c r="A4949" s="14">
        <v>46152.788888888892</v>
      </c>
      <c r="B4949" s="81" t="s">
        <v>149</v>
      </c>
      <c r="C4949" s="81" t="s">
        <v>171</v>
      </c>
      <c r="D4949" s="81" t="s">
        <v>162</v>
      </c>
      <c r="E4949" s="81" t="s">
        <v>49</v>
      </c>
      <c r="F4949" s="81" t="s">
        <v>2</v>
      </c>
    </row>
    <row r="4950" spans="1:6" x14ac:dyDescent="0.25">
      <c r="A4950" s="14">
        <v>46152.788888888892</v>
      </c>
      <c r="B4950" s="81" t="s">
        <v>149</v>
      </c>
      <c r="C4950" s="81" t="s">
        <v>171</v>
      </c>
      <c r="D4950" s="81" t="s">
        <v>162</v>
      </c>
      <c r="E4950" s="81" t="s">
        <v>49</v>
      </c>
      <c r="F4950" s="81" t="s">
        <v>2</v>
      </c>
    </row>
    <row r="4951" spans="1:6" x14ac:dyDescent="0.25">
      <c r="A4951" s="14">
        <v>46152.788888888892</v>
      </c>
      <c r="B4951" s="81" t="s">
        <v>149</v>
      </c>
      <c r="C4951" s="81" t="s">
        <v>171</v>
      </c>
      <c r="D4951" s="81" t="s">
        <v>162</v>
      </c>
      <c r="E4951" s="81" t="s">
        <v>49</v>
      </c>
      <c r="F4951" s="81" t="s">
        <v>2</v>
      </c>
    </row>
    <row r="4952" spans="1:6" x14ac:dyDescent="0.25">
      <c r="A4952" s="14">
        <v>46152.788888888892</v>
      </c>
      <c r="B4952" s="81" t="s">
        <v>149</v>
      </c>
      <c r="C4952" s="81" t="s">
        <v>171</v>
      </c>
      <c r="D4952" s="81" t="s">
        <v>162</v>
      </c>
      <c r="E4952" s="81" t="s">
        <v>49</v>
      </c>
      <c r="F4952" s="81" t="s">
        <v>2</v>
      </c>
    </row>
    <row r="4953" spans="1:6" x14ac:dyDescent="0.25">
      <c r="A4953" s="14">
        <v>46152.788888888892</v>
      </c>
      <c r="B4953" s="81" t="s">
        <v>149</v>
      </c>
      <c r="C4953" s="81" t="s">
        <v>171</v>
      </c>
      <c r="D4953" s="81" t="s">
        <v>162</v>
      </c>
      <c r="E4953" s="81" t="s">
        <v>49</v>
      </c>
      <c r="F4953" s="81" t="s">
        <v>2</v>
      </c>
    </row>
    <row r="4954" spans="1:6" x14ac:dyDescent="0.25">
      <c r="A4954" s="14">
        <v>46152.788888888892</v>
      </c>
      <c r="B4954" s="81" t="s">
        <v>149</v>
      </c>
      <c r="C4954" s="81" t="s">
        <v>171</v>
      </c>
      <c r="D4954" s="81" t="s">
        <v>162</v>
      </c>
      <c r="E4954" s="81" t="s">
        <v>49</v>
      </c>
      <c r="F4954" s="81" t="s">
        <v>2</v>
      </c>
    </row>
    <row r="4955" spans="1:6" x14ac:dyDescent="0.25">
      <c r="A4955" s="14">
        <v>46152.788888888892</v>
      </c>
      <c r="B4955" s="81" t="s">
        <v>149</v>
      </c>
      <c r="C4955" s="81" t="s">
        <v>171</v>
      </c>
      <c r="D4955" s="81" t="s">
        <v>162</v>
      </c>
      <c r="E4955" s="81" t="s">
        <v>49</v>
      </c>
      <c r="F4955" s="81" t="s">
        <v>2</v>
      </c>
    </row>
    <row r="4956" spans="1:6" x14ac:dyDescent="0.25">
      <c r="A4956" s="14">
        <v>46152.788888888892</v>
      </c>
      <c r="B4956" s="81" t="s">
        <v>149</v>
      </c>
      <c r="C4956" s="81" t="s">
        <v>171</v>
      </c>
      <c r="D4956" s="81" t="s">
        <v>162</v>
      </c>
      <c r="E4956" s="81" t="s">
        <v>49</v>
      </c>
      <c r="F4956" s="81" t="s">
        <v>2</v>
      </c>
    </row>
    <row r="4957" spans="1:6" x14ac:dyDescent="0.25">
      <c r="A4957" s="14">
        <v>46152.788888888892</v>
      </c>
      <c r="B4957" s="81" t="s">
        <v>149</v>
      </c>
      <c r="C4957" s="81" t="s">
        <v>183</v>
      </c>
      <c r="D4957" s="81" t="s">
        <v>169</v>
      </c>
      <c r="E4957" s="81" t="s">
        <v>52</v>
      </c>
      <c r="F4957" s="81" t="s">
        <v>0</v>
      </c>
    </row>
    <row r="4958" spans="1:6" x14ac:dyDescent="0.25">
      <c r="A4958" s="14">
        <v>46152.788888888892</v>
      </c>
      <c r="B4958" s="81" t="s">
        <v>149</v>
      </c>
      <c r="C4958" s="81" t="s">
        <v>181</v>
      </c>
      <c r="D4958" s="81" t="s">
        <v>268</v>
      </c>
      <c r="E4958" s="81" t="s">
        <v>50</v>
      </c>
      <c r="F4958" s="81" t="s">
        <v>1</v>
      </c>
    </row>
    <row r="4959" spans="1:6" x14ac:dyDescent="0.25">
      <c r="A4959" s="14">
        <v>46152.788888888892</v>
      </c>
      <c r="B4959" s="81" t="s">
        <v>149</v>
      </c>
      <c r="C4959" s="81" t="s">
        <v>185</v>
      </c>
      <c r="D4959" s="81" t="s">
        <v>169</v>
      </c>
      <c r="E4959" s="81" t="s">
        <v>50</v>
      </c>
      <c r="F4959" s="81" t="s">
        <v>1</v>
      </c>
    </row>
    <row r="4960" spans="1:6" x14ac:dyDescent="0.25">
      <c r="A4960" s="14">
        <v>46152.788888888892</v>
      </c>
      <c r="B4960" s="81" t="s">
        <v>149</v>
      </c>
      <c r="C4960" s="81" t="s">
        <v>151</v>
      </c>
      <c r="D4960" s="81" t="s">
        <v>242</v>
      </c>
      <c r="E4960" s="81" t="s">
        <v>49</v>
      </c>
      <c r="F4960" s="81" t="s">
        <v>2</v>
      </c>
    </row>
    <row r="4961" spans="1:6" x14ac:dyDescent="0.25">
      <c r="A4961" s="14">
        <v>46152.788888888892</v>
      </c>
      <c r="B4961" s="81" t="s">
        <v>149</v>
      </c>
      <c r="C4961" s="81" t="s">
        <v>187</v>
      </c>
      <c r="D4961" s="81" t="s">
        <v>201</v>
      </c>
      <c r="E4961" s="81" t="s">
        <v>75</v>
      </c>
      <c r="F4961" s="81" t="s">
        <v>93</v>
      </c>
    </row>
    <row r="4962" spans="1:6" x14ac:dyDescent="0.25">
      <c r="A4962" s="14">
        <v>46152.788888888892</v>
      </c>
      <c r="B4962" s="81" t="s">
        <v>149</v>
      </c>
      <c r="C4962" s="81" t="s">
        <v>228</v>
      </c>
      <c r="D4962" s="81" t="s">
        <v>157</v>
      </c>
      <c r="E4962" s="81" t="s">
        <v>64</v>
      </c>
      <c r="F4962" s="81" t="s">
        <v>98</v>
      </c>
    </row>
    <row r="4963" spans="1:6" x14ac:dyDescent="0.25">
      <c r="A4963" s="14">
        <v>46152.788888888892</v>
      </c>
      <c r="B4963" s="81" t="s">
        <v>149</v>
      </c>
      <c r="C4963" s="81" t="s">
        <v>184</v>
      </c>
      <c r="D4963" s="81" t="s">
        <v>246</v>
      </c>
      <c r="E4963" s="81" t="s">
        <v>52</v>
      </c>
      <c r="F4963" s="81" t="s">
        <v>0</v>
      </c>
    </row>
    <row r="4964" spans="1:6" x14ac:dyDescent="0.25">
      <c r="A4964" s="14">
        <v>46152.788888888892</v>
      </c>
      <c r="B4964" s="81" t="s">
        <v>149</v>
      </c>
      <c r="C4964" s="81" t="s">
        <v>177</v>
      </c>
      <c r="D4964" s="81" t="s">
        <v>169</v>
      </c>
      <c r="E4964" s="81" t="s">
        <v>50</v>
      </c>
      <c r="F4964" s="81" t="s">
        <v>1</v>
      </c>
    </row>
    <row r="4965" spans="1:6" x14ac:dyDescent="0.25">
      <c r="A4965" s="14">
        <v>46152.788888888892</v>
      </c>
      <c r="B4965" s="81" t="s">
        <v>149</v>
      </c>
      <c r="C4965" s="81" t="s">
        <v>183</v>
      </c>
      <c r="D4965" s="81" t="s">
        <v>157</v>
      </c>
      <c r="E4965" s="81" t="s">
        <v>50</v>
      </c>
      <c r="F4965" s="81" t="s">
        <v>1</v>
      </c>
    </row>
    <row r="4966" spans="1:6" x14ac:dyDescent="0.25">
      <c r="A4966" s="14">
        <v>46152.788888888892</v>
      </c>
      <c r="B4966" s="81" t="s">
        <v>149</v>
      </c>
      <c r="C4966" s="81" t="s">
        <v>192</v>
      </c>
      <c r="D4966" s="81" t="s">
        <v>246</v>
      </c>
      <c r="E4966" s="81" t="s">
        <v>60</v>
      </c>
      <c r="F4966" s="81" t="s">
        <v>28</v>
      </c>
    </row>
    <row r="4967" spans="1:6" x14ac:dyDescent="0.25">
      <c r="A4967" s="14">
        <v>46152.788888888892</v>
      </c>
      <c r="B4967" s="81" t="s">
        <v>149</v>
      </c>
      <c r="C4967" s="81" t="s">
        <v>175</v>
      </c>
      <c r="D4967" s="81" t="s">
        <v>266</v>
      </c>
      <c r="E4967" s="81" t="s">
        <v>52</v>
      </c>
      <c r="F4967" s="81" t="s">
        <v>0</v>
      </c>
    </row>
    <row r="4968" spans="1:6" x14ac:dyDescent="0.25">
      <c r="A4968" s="14">
        <v>46152.788888888892</v>
      </c>
      <c r="B4968" s="81" t="s">
        <v>149</v>
      </c>
      <c r="C4968" s="81" t="s">
        <v>182</v>
      </c>
      <c r="D4968" s="81" t="s">
        <v>157</v>
      </c>
      <c r="E4968" s="81" t="s">
        <v>50</v>
      </c>
      <c r="F4968" s="81" t="s">
        <v>1</v>
      </c>
    </row>
    <row r="4969" spans="1:6" x14ac:dyDescent="0.25">
      <c r="A4969" s="14">
        <v>46152.788888888892</v>
      </c>
      <c r="B4969" s="81" t="s">
        <v>149</v>
      </c>
      <c r="C4969" s="81" t="s">
        <v>184</v>
      </c>
      <c r="D4969" s="81" t="s">
        <v>246</v>
      </c>
      <c r="E4969" s="81" t="s">
        <v>52</v>
      </c>
      <c r="F4969" s="81" t="s">
        <v>0</v>
      </c>
    </row>
    <row r="4970" spans="1:6" x14ac:dyDescent="0.25">
      <c r="A4970" s="14">
        <v>46152.788888888892</v>
      </c>
      <c r="B4970" s="81" t="s">
        <v>149</v>
      </c>
      <c r="C4970" s="81" t="s">
        <v>215</v>
      </c>
      <c r="D4970" s="81" t="s">
        <v>157</v>
      </c>
      <c r="E4970" s="81" t="s">
        <v>64</v>
      </c>
      <c r="F4970" s="81" t="s">
        <v>98</v>
      </c>
    </row>
    <row r="4971" spans="1:6" x14ac:dyDescent="0.25">
      <c r="A4971" s="14">
        <v>46152.788888888892</v>
      </c>
      <c r="B4971" s="81" t="s">
        <v>149</v>
      </c>
      <c r="C4971" s="81" t="s">
        <v>184</v>
      </c>
      <c r="D4971" s="81" t="s">
        <v>157</v>
      </c>
      <c r="E4971" s="81" t="s">
        <v>49</v>
      </c>
      <c r="F4971" s="81" t="s">
        <v>2</v>
      </c>
    </row>
    <row r="4972" spans="1:6" x14ac:dyDescent="0.25">
      <c r="A4972" s="14">
        <v>46152.788888888892</v>
      </c>
      <c r="B4972" s="81" t="s">
        <v>149</v>
      </c>
      <c r="C4972" s="81" t="s">
        <v>223</v>
      </c>
      <c r="D4972" s="81" t="s">
        <v>157</v>
      </c>
      <c r="E4972" s="81" t="s">
        <v>64</v>
      </c>
      <c r="F4972" s="81" t="s">
        <v>98</v>
      </c>
    </row>
    <row r="4973" spans="1:6" x14ac:dyDescent="0.25">
      <c r="A4973" s="14">
        <v>46152.788888888892</v>
      </c>
      <c r="B4973" s="81" t="s">
        <v>149</v>
      </c>
      <c r="C4973" s="81" t="s">
        <v>175</v>
      </c>
      <c r="D4973" s="81" t="s">
        <v>252</v>
      </c>
      <c r="E4973" s="81" t="s">
        <v>50</v>
      </c>
      <c r="F4973" s="81" t="s">
        <v>1</v>
      </c>
    </row>
    <row r="4974" spans="1:6" x14ac:dyDescent="0.25">
      <c r="A4974" s="14">
        <v>46152.788888888892</v>
      </c>
      <c r="B4974" s="81" t="s">
        <v>195</v>
      </c>
      <c r="C4974" s="81" t="s">
        <v>196</v>
      </c>
      <c r="D4974" s="81" t="s">
        <v>841</v>
      </c>
      <c r="E4974" s="81" t="s">
        <v>24</v>
      </c>
      <c r="F4974" s="81" t="s">
        <v>24</v>
      </c>
    </row>
    <row r="4975" spans="1:6" x14ac:dyDescent="0.25">
      <c r="A4975" s="14">
        <v>46152.788888888892</v>
      </c>
      <c r="B4975" s="81" t="s">
        <v>195</v>
      </c>
      <c r="C4975" s="81" t="s">
        <v>196</v>
      </c>
      <c r="D4975" s="81" t="s">
        <v>841</v>
      </c>
      <c r="E4975" s="81" t="s">
        <v>24</v>
      </c>
      <c r="F4975" s="81" t="s">
        <v>24</v>
      </c>
    </row>
    <row r="4976" spans="1:6" x14ac:dyDescent="0.25">
      <c r="A4976" s="14">
        <v>46152.788888888892</v>
      </c>
      <c r="B4976" s="81" t="s">
        <v>195</v>
      </c>
      <c r="C4976" s="81" t="s">
        <v>196</v>
      </c>
      <c r="D4976" s="81" t="s">
        <v>841</v>
      </c>
      <c r="E4976" s="81" t="s">
        <v>24</v>
      </c>
      <c r="F4976" s="81" t="s">
        <v>24</v>
      </c>
    </row>
    <row r="4977" spans="1:6" x14ac:dyDescent="0.25">
      <c r="A4977" s="14">
        <v>46152.788888888892</v>
      </c>
      <c r="B4977" s="81" t="s">
        <v>195</v>
      </c>
      <c r="C4977" s="81" t="s">
        <v>198</v>
      </c>
      <c r="D4977" s="81" t="s">
        <v>254</v>
      </c>
      <c r="E4977" s="81" t="s">
        <v>24</v>
      </c>
      <c r="F4977" s="81" t="s">
        <v>24</v>
      </c>
    </row>
    <row r="4978" spans="1:6" x14ac:dyDescent="0.25">
      <c r="A4978" s="14">
        <v>46152.788888888892</v>
      </c>
      <c r="B4978" s="81" t="s">
        <v>195</v>
      </c>
      <c r="C4978" s="81" t="s">
        <v>198</v>
      </c>
      <c r="D4978" s="81" t="s">
        <v>254</v>
      </c>
      <c r="E4978" s="81" t="s">
        <v>24</v>
      </c>
      <c r="F4978" s="81" t="s">
        <v>24</v>
      </c>
    </row>
    <row r="4979" spans="1:6" x14ac:dyDescent="0.25">
      <c r="A4979" s="14">
        <v>46152.788888888892</v>
      </c>
      <c r="B4979" s="81" t="s">
        <v>195</v>
      </c>
      <c r="C4979" s="81" t="s">
        <v>198</v>
      </c>
      <c r="D4979" s="81" t="s">
        <v>254</v>
      </c>
      <c r="E4979" s="81" t="s">
        <v>24</v>
      </c>
      <c r="F4979" s="81" t="s">
        <v>24</v>
      </c>
    </row>
    <row r="4980" spans="1:6" x14ac:dyDescent="0.25">
      <c r="A4980" s="14">
        <v>46152.788888888892</v>
      </c>
      <c r="B4980" s="81" t="s">
        <v>195</v>
      </c>
      <c r="C4980" s="81" t="s">
        <v>198</v>
      </c>
      <c r="D4980" s="81" t="s">
        <v>254</v>
      </c>
      <c r="E4980" s="81" t="s">
        <v>24</v>
      </c>
      <c r="F4980" s="81" t="s">
        <v>24</v>
      </c>
    </row>
    <row r="4981" spans="1:6" x14ac:dyDescent="0.25">
      <c r="A4981" s="14">
        <v>46152.788888888892</v>
      </c>
      <c r="B4981" s="81" t="s">
        <v>195</v>
      </c>
      <c r="C4981" s="81" t="s">
        <v>198</v>
      </c>
      <c r="D4981" s="81" t="s">
        <v>254</v>
      </c>
      <c r="E4981" s="81" t="s">
        <v>24</v>
      </c>
      <c r="F4981" s="81" t="s">
        <v>24</v>
      </c>
    </row>
    <row r="4982" spans="1:6" x14ac:dyDescent="0.25">
      <c r="A4982" s="14">
        <v>46152.788888888892</v>
      </c>
      <c r="B4982" s="81" t="s">
        <v>195</v>
      </c>
      <c r="C4982" s="81" t="s">
        <v>198</v>
      </c>
      <c r="D4982" s="81" t="s">
        <v>254</v>
      </c>
      <c r="E4982" s="81" t="s">
        <v>24</v>
      </c>
      <c r="F4982" s="81" t="s">
        <v>24</v>
      </c>
    </row>
    <row r="4983" spans="1:6" x14ac:dyDescent="0.25">
      <c r="A4983" s="14">
        <v>46152.788888888892</v>
      </c>
      <c r="B4983" s="81" t="s">
        <v>195</v>
      </c>
      <c r="C4983" s="81" t="s">
        <v>198</v>
      </c>
      <c r="D4983" s="81" t="s">
        <v>163</v>
      </c>
      <c r="E4983" s="81" t="s">
        <v>24</v>
      </c>
      <c r="F4983" s="81" t="s">
        <v>24</v>
      </c>
    </row>
    <row r="4984" spans="1:6" x14ac:dyDescent="0.25">
      <c r="A4984" s="14">
        <v>46152.788888888892</v>
      </c>
      <c r="B4984" s="81" t="s">
        <v>195</v>
      </c>
      <c r="C4984" s="81" t="s">
        <v>198</v>
      </c>
      <c r="D4984" s="81" t="s">
        <v>163</v>
      </c>
      <c r="E4984" s="81" t="s">
        <v>24</v>
      </c>
      <c r="F4984" s="81" t="s">
        <v>24</v>
      </c>
    </row>
    <row r="4985" spans="1:6" x14ac:dyDescent="0.25">
      <c r="A4985" s="14">
        <v>46152.788888888892</v>
      </c>
      <c r="B4985" s="81" t="s">
        <v>195</v>
      </c>
      <c r="C4985" s="81" t="s">
        <v>198</v>
      </c>
      <c r="D4985" s="81" t="s">
        <v>163</v>
      </c>
      <c r="E4985" s="81" t="s">
        <v>24</v>
      </c>
      <c r="F4985" s="81" t="s">
        <v>24</v>
      </c>
    </row>
    <row r="4986" spans="1:6" x14ac:dyDescent="0.25">
      <c r="A4986" s="14">
        <v>46152.788888888892</v>
      </c>
      <c r="B4986" s="81" t="s">
        <v>195</v>
      </c>
      <c r="C4986" s="81" t="s">
        <v>198</v>
      </c>
      <c r="D4986" s="81" t="s">
        <v>163</v>
      </c>
      <c r="E4986" s="81" t="s">
        <v>24</v>
      </c>
      <c r="F4986" s="81" t="s">
        <v>24</v>
      </c>
    </row>
    <row r="4987" spans="1:6" x14ac:dyDescent="0.25">
      <c r="A4987" s="14">
        <v>46152.788888888892</v>
      </c>
      <c r="B4987" s="81" t="s">
        <v>195</v>
      </c>
      <c r="C4987" s="81" t="s">
        <v>198</v>
      </c>
      <c r="D4987" s="81" t="s">
        <v>163</v>
      </c>
      <c r="E4987" s="81" t="s">
        <v>24</v>
      </c>
      <c r="F4987" s="81" t="s">
        <v>24</v>
      </c>
    </row>
    <row r="4988" spans="1:6" x14ac:dyDescent="0.25">
      <c r="A4988" s="14">
        <v>46152.788888888892</v>
      </c>
      <c r="B4988" s="81" t="s">
        <v>195</v>
      </c>
      <c r="C4988" s="81" t="s">
        <v>198</v>
      </c>
      <c r="D4988" s="81" t="s">
        <v>163</v>
      </c>
      <c r="E4988" s="81" t="s">
        <v>24</v>
      </c>
      <c r="F4988" s="81" t="s">
        <v>24</v>
      </c>
    </row>
    <row r="4989" spans="1:6" x14ac:dyDescent="0.25">
      <c r="A4989" s="14">
        <v>46152.788888888892</v>
      </c>
      <c r="B4989" s="81" t="s">
        <v>195</v>
      </c>
      <c r="C4989" s="81" t="s">
        <v>198</v>
      </c>
      <c r="D4989" s="81" t="s">
        <v>162</v>
      </c>
      <c r="E4989" s="81" t="s">
        <v>24</v>
      </c>
      <c r="F4989" s="81" t="s">
        <v>24</v>
      </c>
    </row>
    <row r="4990" spans="1:6" x14ac:dyDescent="0.25">
      <c r="A4990" s="14">
        <v>46152.788888888892</v>
      </c>
      <c r="B4990" s="81" t="s">
        <v>195</v>
      </c>
      <c r="C4990" s="81" t="s">
        <v>198</v>
      </c>
      <c r="D4990" s="81" t="s">
        <v>162</v>
      </c>
      <c r="E4990" s="81" t="s">
        <v>24</v>
      </c>
      <c r="F4990" s="81" t="s">
        <v>24</v>
      </c>
    </row>
    <row r="4991" spans="1:6" x14ac:dyDescent="0.25">
      <c r="A4991" s="14">
        <v>46152.788888888892</v>
      </c>
      <c r="B4991" s="81" t="s">
        <v>195</v>
      </c>
      <c r="C4991" s="81" t="s">
        <v>198</v>
      </c>
      <c r="D4991" s="81" t="s">
        <v>162</v>
      </c>
      <c r="E4991" s="81" t="s">
        <v>24</v>
      </c>
      <c r="F4991" s="81" t="s">
        <v>24</v>
      </c>
    </row>
    <row r="4992" spans="1:6" x14ac:dyDescent="0.25">
      <c r="A4992" s="14">
        <v>46152.788888888892</v>
      </c>
      <c r="B4992" s="81" t="s">
        <v>195</v>
      </c>
      <c r="C4992" s="81" t="s">
        <v>198</v>
      </c>
      <c r="D4992" s="81" t="s">
        <v>162</v>
      </c>
      <c r="E4992" s="81" t="s">
        <v>24</v>
      </c>
      <c r="F4992" s="81" t="s">
        <v>24</v>
      </c>
    </row>
    <row r="4993" spans="1:6" x14ac:dyDescent="0.25">
      <c r="A4993" s="14">
        <v>46152.788888888892</v>
      </c>
      <c r="B4993" s="81" t="s">
        <v>195</v>
      </c>
      <c r="C4993" s="81" t="s">
        <v>198</v>
      </c>
      <c r="D4993" s="81" t="s">
        <v>162</v>
      </c>
      <c r="E4993" s="81" t="s">
        <v>24</v>
      </c>
      <c r="F4993" s="81" t="s">
        <v>24</v>
      </c>
    </row>
    <row r="4994" spans="1:6" x14ac:dyDescent="0.25">
      <c r="A4994" s="14">
        <v>46152.788888888892</v>
      </c>
      <c r="B4994" s="81" t="s">
        <v>195</v>
      </c>
      <c r="C4994" s="81" t="s">
        <v>198</v>
      </c>
      <c r="D4994" s="81" t="s">
        <v>162</v>
      </c>
      <c r="E4994" s="81" t="s">
        <v>24</v>
      </c>
      <c r="F4994" s="81" t="s">
        <v>24</v>
      </c>
    </row>
    <row r="4995" spans="1:6" x14ac:dyDescent="0.25">
      <c r="A4995" s="14">
        <v>46152.788888888892</v>
      </c>
      <c r="B4995" s="81" t="s">
        <v>195</v>
      </c>
      <c r="C4995" s="81" t="s">
        <v>196</v>
      </c>
      <c r="D4995" s="81" t="s">
        <v>162</v>
      </c>
      <c r="E4995" s="81" t="s">
        <v>24</v>
      </c>
      <c r="F4995" s="81" t="s">
        <v>24</v>
      </c>
    </row>
    <row r="4996" spans="1:6" x14ac:dyDescent="0.25">
      <c r="A4996" s="14">
        <v>46152.788888888892</v>
      </c>
      <c r="B4996" s="81" t="s">
        <v>195</v>
      </c>
      <c r="C4996" s="81" t="s">
        <v>196</v>
      </c>
      <c r="D4996" s="81" t="s">
        <v>162</v>
      </c>
      <c r="E4996" s="81" t="s">
        <v>24</v>
      </c>
      <c r="F4996" s="81" t="s">
        <v>24</v>
      </c>
    </row>
    <row r="4997" spans="1:6" x14ac:dyDescent="0.25">
      <c r="A4997" s="14">
        <v>46152.788888888892</v>
      </c>
      <c r="B4997" s="81" t="s">
        <v>195</v>
      </c>
      <c r="C4997" s="81" t="s">
        <v>196</v>
      </c>
      <c r="D4997" s="81" t="s">
        <v>162</v>
      </c>
      <c r="E4997" s="81" t="s">
        <v>24</v>
      </c>
      <c r="F4997" s="81" t="s">
        <v>24</v>
      </c>
    </row>
    <row r="4998" spans="1:6" x14ac:dyDescent="0.25">
      <c r="A4998" s="14">
        <v>46152.788888888892</v>
      </c>
      <c r="B4998" s="81" t="s">
        <v>195</v>
      </c>
      <c r="C4998" s="81" t="s">
        <v>196</v>
      </c>
      <c r="D4998" s="81" t="s">
        <v>162</v>
      </c>
      <c r="E4998" s="81" t="s">
        <v>24</v>
      </c>
      <c r="F4998" s="81" t="s">
        <v>24</v>
      </c>
    </row>
    <row r="4999" spans="1:6" x14ac:dyDescent="0.25">
      <c r="A4999" s="14">
        <v>46152.788888888892</v>
      </c>
      <c r="B4999" s="81" t="s">
        <v>195</v>
      </c>
      <c r="C4999" s="81" t="s">
        <v>196</v>
      </c>
      <c r="D4999" s="81" t="s">
        <v>162</v>
      </c>
      <c r="E4999" s="81" t="s">
        <v>24</v>
      </c>
      <c r="F4999" s="81" t="s">
        <v>24</v>
      </c>
    </row>
    <row r="5000" spans="1:6" x14ac:dyDescent="0.25">
      <c r="A5000" s="14">
        <v>46152.788888888892</v>
      </c>
      <c r="B5000" s="81" t="s">
        <v>195</v>
      </c>
      <c r="C5000" s="81" t="s">
        <v>196</v>
      </c>
      <c r="D5000" s="81" t="s">
        <v>162</v>
      </c>
      <c r="E5000" s="81" t="s">
        <v>24</v>
      </c>
      <c r="F5000" s="81" t="s">
        <v>24</v>
      </c>
    </row>
    <row r="5001" spans="1:6" x14ac:dyDescent="0.25">
      <c r="A5001" s="14">
        <v>46152.788888888892</v>
      </c>
      <c r="B5001" s="81" t="s">
        <v>195</v>
      </c>
      <c r="C5001" s="81" t="s">
        <v>197</v>
      </c>
      <c r="D5001" s="81" t="s">
        <v>162</v>
      </c>
      <c r="E5001" s="81" t="s">
        <v>24</v>
      </c>
      <c r="F5001" s="81" t="s">
        <v>24</v>
      </c>
    </row>
    <row r="5002" spans="1:6" x14ac:dyDescent="0.25">
      <c r="A5002" s="14">
        <v>46152.788888888892</v>
      </c>
      <c r="B5002" s="81" t="s">
        <v>195</v>
      </c>
      <c r="C5002" s="81" t="s">
        <v>197</v>
      </c>
      <c r="D5002" s="81" t="s">
        <v>162</v>
      </c>
      <c r="E5002" s="81" t="s">
        <v>24</v>
      </c>
      <c r="F5002" s="81" t="s">
        <v>24</v>
      </c>
    </row>
    <row r="5003" spans="1:6" x14ac:dyDescent="0.25">
      <c r="A5003" s="14">
        <v>46152.788888888892</v>
      </c>
      <c r="B5003" s="81" t="s">
        <v>195</v>
      </c>
      <c r="C5003" s="81" t="s">
        <v>197</v>
      </c>
      <c r="D5003" s="81" t="s">
        <v>162</v>
      </c>
      <c r="E5003" s="81" t="s">
        <v>24</v>
      </c>
      <c r="F5003" s="81" t="s">
        <v>24</v>
      </c>
    </row>
    <row r="5004" spans="1:6" x14ac:dyDescent="0.25">
      <c r="A5004" s="14">
        <v>46152.850694444445</v>
      </c>
      <c r="B5004" s="81" t="s">
        <v>149</v>
      </c>
      <c r="C5004" s="81" t="s">
        <v>151</v>
      </c>
      <c r="D5004" s="81" t="s">
        <v>252</v>
      </c>
      <c r="E5004" s="81" t="s">
        <v>50</v>
      </c>
      <c r="F5004" s="81" t="s">
        <v>1</v>
      </c>
    </row>
    <row r="5005" spans="1:6" x14ac:dyDescent="0.25">
      <c r="A5005" s="14">
        <v>46152.850694444445</v>
      </c>
      <c r="B5005" s="81" t="s">
        <v>149</v>
      </c>
      <c r="C5005" s="81" t="s">
        <v>184</v>
      </c>
      <c r="D5005" s="81" t="s">
        <v>157</v>
      </c>
      <c r="E5005" s="81" t="s">
        <v>50</v>
      </c>
      <c r="F5005" s="81" t="s">
        <v>1</v>
      </c>
    </row>
    <row r="5006" spans="1:6" x14ac:dyDescent="0.25">
      <c r="A5006" s="14">
        <v>46152.850694444445</v>
      </c>
      <c r="B5006" s="81" t="s">
        <v>149</v>
      </c>
      <c r="C5006" s="81" t="s">
        <v>173</v>
      </c>
      <c r="D5006" s="81" t="s">
        <v>157</v>
      </c>
      <c r="E5006" s="81" t="s">
        <v>50</v>
      </c>
      <c r="F5006" s="81" t="s">
        <v>1</v>
      </c>
    </row>
    <row r="5007" spans="1:6" x14ac:dyDescent="0.25">
      <c r="A5007" s="14">
        <v>46152.850694444445</v>
      </c>
      <c r="B5007" s="81" t="s">
        <v>149</v>
      </c>
      <c r="C5007" s="81" t="s">
        <v>183</v>
      </c>
      <c r="D5007" s="81" t="s">
        <v>251</v>
      </c>
      <c r="E5007" s="81" t="s">
        <v>49</v>
      </c>
      <c r="F5007" s="81" t="s">
        <v>2</v>
      </c>
    </row>
    <row r="5008" spans="1:6" x14ac:dyDescent="0.25">
      <c r="A5008" s="14">
        <v>46152.850694444445</v>
      </c>
      <c r="B5008" s="81" t="s">
        <v>149</v>
      </c>
      <c r="C5008" s="81" t="s">
        <v>192</v>
      </c>
      <c r="D5008" s="81" t="s">
        <v>252</v>
      </c>
      <c r="E5008" s="81" t="s">
        <v>60</v>
      </c>
      <c r="F5008" s="81" t="s">
        <v>28</v>
      </c>
    </row>
    <row r="5009" spans="1:6" x14ac:dyDescent="0.25">
      <c r="A5009" s="14">
        <v>46152.850694444445</v>
      </c>
      <c r="B5009" s="81" t="s">
        <v>149</v>
      </c>
      <c r="C5009" s="81" t="s">
        <v>184</v>
      </c>
      <c r="D5009" s="81" t="s">
        <v>157</v>
      </c>
      <c r="E5009" s="81" t="s">
        <v>50</v>
      </c>
      <c r="F5009" s="81" t="s">
        <v>1</v>
      </c>
    </row>
    <row r="5010" spans="1:6" x14ac:dyDescent="0.25">
      <c r="A5010" s="14">
        <v>46152.850694444445</v>
      </c>
      <c r="B5010" s="81" t="s">
        <v>149</v>
      </c>
      <c r="C5010" s="81" t="s">
        <v>182</v>
      </c>
      <c r="D5010" s="81" t="s">
        <v>167</v>
      </c>
      <c r="E5010" s="81" t="s">
        <v>49</v>
      </c>
      <c r="F5010" s="81" t="s">
        <v>2</v>
      </c>
    </row>
    <row r="5011" spans="1:6" x14ac:dyDescent="0.25">
      <c r="A5011" s="14">
        <v>46152.850694444445</v>
      </c>
      <c r="B5011" s="81" t="s">
        <v>149</v>
      </c>
      <c r="C5011" s="81" t="s">
        <v>840</v>
      </c>
      <c r="D5011" s="81" t="s">
        <v>157</v>
      </c>
      <c r="E5011" s="81" t="s">
        <v>64</v>
      </c>
      <c r="F5011" s="81" t="s">
        <v>98</v>
      </c>
    </row>
    <row r="5012" spans="1:6" x14ac:dyDescent="0.25">
      <c r="A5012" s="14">
        <v>46152.850694444445</v>
      </c>
      <c r="B5012" s="81" t="s">
        <v>149</v>
      </c>
      <c r="C5012" s="81" t="s">
        <v>158</v>
      </c>
      <c r="D5012" s="81" t="s">
        <v>165</v>
      </c>
      <c r="E5012" s="81" t="s">
        <v>50</v>
      </c>
      <c r="F5012" s="81" t="s">
        <v>1</v>
      </c>
    </row>
    <row r="5013" spans="1:6" x14ac:dyDescent="0.25">
      <c r="A5013" s="14">
        <v>46152.850694444445</v>
      </c>
      <c r="B5013" s="81" t="s">
        <v>195</v>
      </c>
      <c r="C5013" s="81" t="s">
        <v>198</v>
      </c>
      <c r="D5013" s="81" t="s">
        <v>204</v>
      </c>
      <c r="E5013" s="81" t="s">
        <v>24</v>
      </c>
      <c r="F5013" s="81" t="s">
        <v>24</v>
      </c>
    </row>
    <row r="5014" spans="1:6" x14ac:dyDescent="0.25">
      <c r="A5014" s="14">
        <v>46152.850694444445</v>
      </c>
      <c r="B5014" s="81" t="s">
        <v>195</v>
      </c>
      <c r="C5014" s="81" t="s">
        <v>198</v>
      </c>
      <c r="D5014" s="81" t="s">
        <v>204</v>
      </c>
      <c r="E5014" s="81" t="s">
        <v>24</v>
      </c>
      <c r="F5014" s="81" t="s">
        <v>24</v>
      </c>
    </row>
    <row r="5015" spans="1:6" x14ac:dyDescent="0.25">
      <c r="A5015" s="14">
        <v>46152.850694444445</v>
      </c>
      <c r="B5015" s="81" t="s">
        <v>195</v>
      </c>
      <c r="C5015" s="81" t="s">
        <v>198</v>
      </c>
      <c r="D5015" s="81" t="s">
        <v>204</v>
      </c>
      <c r="E5015" s="81" t="s">
        <v>24</v>
      </c>
      <c r="F5015" s="81" t="s">
        <v>24</v>
      </c>
    </row>
    <row r="5016" spans="1:6" x14ac:dyDescent="0.25">
      <c r="A5016" s="14">
        <v>46152.850694444445</v>
      </c>
      <c r="B5016" s="81" t="s">
        <v>195</v>
      </c>
      <c r="C5016" s="81" t="s">
        <v>197</v>
      </c>
      <c r="D5016" s="81" t="s">
        <v>231</v>
      </c>
      <c r="E5016" s="81" t="s">
        <v>24</v>
      </c>
      <c r="F5016" s="81" t="s">
        <v>24</v>
      </c>
    </row>
    <row r="5017" spans="1:6" x14ac:dyDescent="0.25">
      <c r="A5017" s="14">
        <v>46152.850694444445</v>
      </c>
      <c r="B5017" s="81" t="s">
        <v>195</v>
      </c>
      <c r="C5017" s="81" t="s">
        <v>197</v>
      </c>
      <c r="D5017" s="81" t="s">
        <v>231</v>
      </c>
      <c r="E5017" s="81" t="s">
        <v>24</v>
      </c>
      <c r="F5017" s="81" t="s">
        <v>24</v>
      </c>
    </row>
    <row r="5018" spans="1:6" x14ac:dyDescent="0.25">
      <c r="A5018" s="14">
        <v>46152.850694444445</v>
      </c>
      <c r="B5018" s="81" t="s">
        <v>195</v>
      </c>
      <c r="C5018" s="81" t="s">
        <v>197</v>
      </c>
      <c r="D5018" s="81" t="s">
        <v>231</v>
      </c>
      <c r="E5018" s="81" t="s">
        <v>24</v>
      </c>
      <c r="F5018" s="81" t="s">
        <v>24</v>
      </c>
    </row>
    <row r="5019" spans="1:6" x14ac:dyDescent="0.25">
      <c r="A5019" s="14">
        <v>46152.897916666669</v>
      </c>
      <c r="B5019" s="81" t="s">
        <v>149</v>
      </c>
      <c r="C5019" s="81" t="s">
        <v>151</v>
      </c>
      <c r="D5019" s="81" t="s">
        <v>165</v>
      </c>
      <c r="E5019" s="81" t="s">
        <v>50</v>
      </c>
      <c r="F5019" s="81" t="s">
        <v>1</v>
      </c>
    </row>
    <row r="5020" spans="1:6" x14ac:dyDescent="0.25">
      <c r="A5020" s="14">
        <v>46152.897916666669</v>
      </c>
      <c r="B5020" s="81" t="s">
        <v>149</v>
      </c>
      <c r="C5020" s="81" t="s">
        <v>177</v>
      </c>
      <c r="D5020" s="81" t="s">
        <v>165</v>
      </c>
      <c r="E5020" s="81" t="s">
        <v>50</v>
      </c>
      <c r="F5020" s="81" t="s">
        <v>1</v>
      </c>
    </row>
    <row r="5021" spans="1:6" x14ac:dyDescent="0.25">
      <c r="A5021" s="14">
        <v>46152.897916666669</v>
      </c>
      <c r="B5021" s="81" t="s">
        <v>149</v>
      </c>
      <c r="C5021" s="81" t="s">
        <v>220</v>
      </c>
      <c r="D5021" s="81" t="s">
        <v>165</v>
      </c>
      <c r="E5021" s="81" t="s">
        <v>64</v>
      </c>
      <c r="F5021" s="81" t="s">
        <v>98</v>
      </c>
    </row>
    <row r="5022" spans="1:6" x14ac:dyDescent="0.25">
      <c r="A5022" s="14">
        <v>46152.897916666669</v>
      </c>
      <c r="B5022" s="81" t="s">
        <v>149</v>
      </c>
      <c r="C5022" s="81" t="s">
        <v>181</v>
      </c>
      <c r="D5022" s="81" t="s">
        <v>165</v>
      </c>
      <c r="E5022" s="81" t="s">
        <v>49</v>
      </c>
      <c r="F5022" s="81" t="s">
        <v>2</v>
      </c>
    </row>
    <row r="5023" spans="1:6" x14ac:dyDescent="0.25">
      <c r="A5023" s="14">
        <v>46152.897916666669</v>
      </c>
      <c r="B5023" s="81" t="s">
        <v>149</v>
      </c>
      <c r="C5023" s="81" t="s">
        <v>181</v>
      </c>
      <c r="D5023" s="81" t="s">
        <v>855</v>
      </c>
      <c r="E5023" s="81" t="s">
        <v>50</v>
      </c>
      <c r="F5023" s="81" t="s">
        <v>1</v>
      </c>
    </row>
    <row r="5024" spans="1:6" x14ac:dyDescent="0.25">
      <c r="A5024" s="14">
        <v>46152.897916666669</v>
      </c>
      <c r="B5024" s="81" t="s">
        <v>149</v>
      </c>
      <c r="C5024" s="81" t="s">
        <v>185</v>
      </c>
      <c r="D5024" s="81" t="s">
        <v>165</v>
      </c>
      <c r="E5024" s="81" t="s">
        <v>50</v>
      </c>
      <c r="F5024" s="81" t="s">
        <v>1</v>
      </c>
    </row>
    <row r="5025" spans="1:6" x14ac:dyDescent="0.25">
      <c r="A5025" s="14">
        <v>46152.950694444444</v>
      </c>
      <c r="B5025" s="81" t="s">
        <v>149</v>
      </c>
      <c r="C5025" s="81" t="s">
        <v>183</v>
      </c>
      <c r="D5025" s="81" t="s">
        <v>165</v>
      </c>
      <c r="E5025" s="81" t="s">
        <v>50</v>
      </c>
      <c r="F5025" s="81" t="s">
        <v>1</v>
      </c>
    </row>
    <row r="5026" spans="1:6" x14ac:dyDescent="0.25">
      <c r="A5026" s="14">
        <v>46152.950694444444</v>
      </c>
      <c r="B5026" s="81" t="s">
        <v>149</v>
      </c>
      <c r="C5026" s="81" t="s">
        <v>182</v>
      </c>
      <c r="D5026" s="81" t="s">
        <v>152</v>
      </c>
      <c r="E5026" s="81" t="s">
        <v>49</v>
      </c>
      <c r="F5026" s="81" t="s">
        <v>2</v>
      </c>
    </row>
    <row r="5027" spans="1:6" x14ac:dyDescent="0.25">
      <c r="A5027" s="14">
        <v>46152.950694444444</v>
      </c>
      <c r="B5027" s="81" t="s">
        <v>149</v>
      </c>
      <c r="C5027" s="81" t="s">
        <v>181</v>
      </c>
      <c r="D5027" s="81" t="s">
        <v>250</v>
      </c>
      <c r="E5027" s="81" t="s">
        <v>52</v>
      </c>
      <c r="F5027" s="81" t="s">
        <v>0</v>
      </c>
    </row>
    <row r="5028" spans="1:6" x14ac:dyDescent="0.25">
      <c r="A5028" s="14">
        <v>46152.950694444444</v>
      </c>
      <c r="B5028" s="81" t="s">
        <v>149</v>
      </c>
      <c r="C5028" s="81" t="s">
        <v>177</v>
      </c>
      <c r="D5028" s="81" t="s">
        <v>152</v>
      </c>
      <c r="E5028" s="81" t="s">
        <v>49</v>
      </c>
      <c r="F5028" s="81" t="s">
        <v>2</v>
      </c>
    </row>
    <row r="5029" spans="1:6" x14ac:dyDescent="0.25">
      <c r="A5029" s="14">
        <v>46152.950694444444</v>
      </c>
      <c r="B5029" s="81" t="s">
        <v>149</v>
      </c>
      <c r="C5029" s="81" t="s">
        <v>151</v>
      </c>
      <c r="D5029" s="81" t="s">
        <v>233</v>
      </c>
      <c r="E5029" s="81" t="s">
        <v>52</v>
      </c>
      <c r="F5029" s="81" t="s">
        <v>0</v>
      </c>
    </row>
    <row r="5030" spans="1:6" x14ac:dyDescent="0.25">
      <c r="A5030" s="14">
        <v>46152.950694444444</v>
      </c>
      <c r="B5030" s="81" t="s">
        <v>149</v>
      </c>
      <c r="C5030" s="81" t="s">
        <v>151</v>
      </c>
      <c r="D5030" s="81" t="s">
        <v>152</v>
      </c>
      <c r="E5030" s="81" t="s">
        <v>49</v>
      </c>
      <c r="F5030" s="81" t="s">
        <v>2</v>
      </c>
    </row>
    <row r="5031" spans="1:6" x14ac:dyDescent="0.25">
      <c r="A5031" s="14">
        <v>46152.950694444444</v>
      </c>
      <c r="B5031" s="81" t="s">
        <v>149</v>
      </c>
      <c r="C5031" s="81" t="s">
        <v>181</v>
      </c>
      <c r="D5031" s="81" t="s">
        <v>152</v>
      </c>
      <c r="E5031" s="81" t="s">
        <v>49</v>
      </c>
      <c r="F5031" s="81" t="s">
        <v>2</v>
      </c>
    </row>
    <row r="5032" spans="1:6" x14ac:dyDescent="0.25">
      <c r="A5032" s="14">
        <v>46152.950694444444</v>
      </c>
      <c r="B5032" s="81" t="s">
        <v>149</v>
      </c>
      <c r="C5032" s="81" t="s">
        <v>183</v>
      </c>
      <c r="D5032" s="81" t="s">
        <v>152</v>
      </c>
      <c r="E5032" s="81" t="s">
        <v>49</v>
      </c>
      <c r="F5032" s="81" t="s">
        <v>2</v>
      </c>
    </row>
    <row r="5033" spans="1:6" x14ac:dyDescent="0.25">
      <c r="A5033" s="14">
        <v>46152.950694444444</v>
      </c>
      <c r="B5033" s="81" t="s">
        <v>149</v>
      </c>
      <c r="C5033" s="81" t="s">
        <v>171</v>
      </c>
      <c r="D5033" s="81" t="s">
        <v>250</v>
      </c>
      <c r="E5033" s="81" t="s">
        <v>50</v>
      </c>
      <c r="F5033" s="81" t="s">
        <v>1</v>
      </c>
    </row>
    <row r="5034" spans="1:6" x14ac:dyDescent="0.25">
      <c r="A5034" s="14">
        <v>46152.950694444444</v>
      </c>
      <c r="B5034" s="81" t="s">
        <v>149</v>
      </c>
      <c r="C5034" s="81" t="s">
        <v>173</v>
      </c>
      <c r="D5034" s="81" t="s">
        <v>252</v>
      </c>
      <c r="E5034" s="81" t="s">
        <v>50</v>
      </c>
      <c r="F5034" s="81" t="s">
        <v>1</v>
      </c>
    </row>
    <row r="5035" spans="1:6" x14ac:dyDescent="0.25">
      <c r="A5035" s="14">
        <v>46152.950694444444</v>
      </c>
      <c r="B5035" s="81" t="s">
        <v>149</v>
      </c>
      <c r="C5035" s="81" t="s">
        <v>177</v>
      </c>
      <c r="D5035" s="81" t="s">
        <v>152</v>
      </c>
      <c r="E5035" s="81" t="s">
        <v>49</v>
      </c>
      <c r="F5035" s="81" t="s">
        <v>2</v>
      </c>
    </row>
    <row r="5036" spans="1:6" x14ac:dyDescent="0.25">
      <c r="A5036" s="14">
        <v>46152.950694444444</v>
      </c>
      <c r="B5036" s="81" t="s">
        <v>149</v>
      </c>
      <c r="C5036" s="81" t="s">
        <v>182</v>
      </c>
      <c r="D5036" s="81" t="s">
        <v>152</v>
      </c>
      <c r="E5036" s="81" t="s">
        <v>49</v>
      </c>
      <c r="F5036" s="81" t="s">
        <v>2</v>
      </c>
    </row>
    <row r="5037" spans="1:6" x14ac:dyDescent="0.25">
      <c r="A5037" s="14">
        <v>46152.950694444444</v>
      </c>
      <c r="B5037" s="81" t="s">
        <v>149</v>
      </c>
      <c r="C5037" s="81" t="s">
        <v>158</v>
      </c>
      <c r="D5037" s="81" t="s">
        <v>152</v>
      </c>
      <c r="E5037" s="81" t="s">
        <v>49</v>
      </c>
      <c r="F5037" s="81" t="s">
        <v>2</v>
      </c>
    </row>
    <row r="5038" spans="1:6" x14ac:dyDescent="0.25">
      <c r="A5038" s="14">
        <v>46152.950694444444</v>
      </c>
      <c r="B5038" s="81" t="s">
        <v>149</v>
      </c>
      <c r="C5038" s="81" t="s">
        <v>171</v>
      </c>
      <c r="D5038" s="81" t="s">
        <v>250</v>
      </c>
      <c r="E5038" s="81" t="s">
        <v>52</v>
      </c>
      <c r="F5038" s="81" t="s">
        <v>0</v>
      </c>
    </row>
    <row r="5039" spans="1:6" x14ac:dyDescent="0.25">
      <c r="A5039" s="14">
        <v>46152.950694444444</v>
      </c>
      <c r="B5039" s="81" t="s">
        <v>149</v>
      </c>
      <c r="C5039" s="81" t="s">
        <v>184</v>
      </c>
      <c r="D5039" s="81" t="s">
        <v>152</v>
      </c>
      <c r="E5039" s="81" t="s">
        <v>49</v>
      </c>
      <c r="F5039" s="81" t="s">
        <v>2</v>
      </c>
    </row>
    <row r="5040" spans="1:6" x14ac:dyDescent="0.25">
      <c r="A5040" s="14">
        <v>46152.950694444444</v>
      </c>
      <c r="B5040" s="81" t="s">
        <v>149</v>
      </c>
      <c r="C5040" s="81" t="s">
        <v>181</v>
      </c>
      <c r="D5040" s="81" t="s">
        <v>250</v>
      </c>
      <c r="E5040" s="81" t="s">
        <v>52</v>
      </c>
      <c r="F5040" s="81" t="s">
        <v>0</v>
      </c>
    </row>
    <row r="5041" spans="1:6" x14ac:dyDescent="0.25">
      <c r="A5041" s="14">
        <v>46152.950694444444</v>
      </c>
      <c r="B5041" s="81" t="s">
        <v>149</v>
      </c>
      <c r="C5041" s="81" t="s">
        <v>185</v>
      </c>
      <c r="D5041" s="81" t="s">
        <v>152</v>
      </c>
      <c r="E5041" s="81" t="s">
        <v>49</v>
      </c>
      <c r="F5041" s="81" t="s">
        <v>2</v>
      </c>
    </row>
    <row r="5042" spans="1:6" x14ac:dyDescent="0.25">
      <c r="A5042" s="14">
        <v>46152.950694444444</v>
      </c>
      <c r="B5042" s="81" t="s">
        <v>149</v>
      </c>
      <c r="C5042" s="81" t="s">
        <v>171</v>
      </c>
      <c r="D5042" s="81" t="s">
        <v>152</v>
      </c>
      <c r="E5042" s="81" t="s">
        <v>49</v>
      </c>
      <c r="F5042" s="81" t="s">
        <v>2</v>
      </c>
    </row>
    <row r="5043" spans="1:6" x14ac:dyDescent="0.25">
      <c r="A5043" s="14">
        <v>46152.950694444444</v>
      </c>
      <c r="B5043" s="81" t="s">
        <v>149</v>
      </c>
      <c r="C5043" s="81" t="s">
        <v>183</v>
      </c>
      <c r="D5043" s="81" t="s">
        <v>152</v>
      </c>
      <c r="E5043" s="81" t="s">
        <v>49</v>
      </c>
      <c r="F5043" s="81" t="s">
        <v>2</v>
      </c>
    </row>
    <row r="5044" spans="1:6" x14ac:dyDescent="0.25">
      <c r="A5044" s="14">
        <v>46152.950694444444</v>
      </c>
      <c r="B5044" s="81" t="s">
        <v>149</v>
      </c>
      <c r="C5044" s="81" t="s">
        <v>215</v>
      </c>
      <c r="D5044" s="81" t="s">
        <v>152</v>
      </c>
      <c r="E5044" s="81" t="s">
        <v>64</v>
      </c>
      <c r="F5044" s="81" t="s">
        <v>98</v>
      </c>
    </row>
    <row r="5045" spans="1:6" x14ac:dyDescent="0.25">
      <c r="A5045" s="14">
        <v>46152.950694444444</v>
      </c>
      <c r="B5045" s="81" t="s">
        <v>149</v>
      </c>
      <c r="C5045" s="81" t="s">
        <v>174</v>
      </c>
      <c r="D5045" s="81" t="s">
        <v>152</v>
      </c>
      <c r="E5045" s="81" t="s">
        <v>64</v>
      </c>
      <c r="F5045" s="81" t="s">
        <v>98</v>
      </c>
    </row>
    <row r="5046" spans="1:6" x14ac:dyDescent="0.25">
      <c r="A5046" s="14">
        <v>46152.950694444444</v>
      </c>
      <c r="B5046" s="81" t="s">
        <v>149</v>
      </c>
      <c r="C5046" s="81" t="s">
        <v>228</v>
      </c>
      <c r="D5046" s="81" t="s">
        <v>152</v>
      </c>
      <c r="E5046" s="81" t="s">
        <v>64</v>
      </c>
      <c r="F5046" s="81" t="s">
        <v>98</v>
      </c>
    </row>
    <row r="5047" spans="1:6" x14ac:dyDescent="0.25">
      <c r="A5047" s="14">
        <v>46152.963194444441</v>
      </c>
      <c r="B5047" s="81" t="s">
        <v>149</v>
      </c>
      <c r="C5047" s="81" t="s">
        <v>218</v>
      </c>
      <c r="D5047" s="81" t="s">
        <v>152</v>
      </c>
      <c r="E5047" s="81" t="s">
        <v>64</v>
      </c>
      <c r="F5047" s="81" t="s">
        <v>98</v>
      </c>
    </row>
    <row r="5048" spans="1:6" x14ac:dyDescent="0.25">
      <c r="A5048" s="14">
        <v>46152.963194444441</v>
      </c>
      <c r="B5048" s="81" t="s">
        <v>149</v>
      </c>
      <c r="C5048" s="81" t="s">
        <v>218</v>
      </c>
      <c r="D5048" s="81" t="s">
        <v>152</v>
      </c>
      <c r="E5048" s="81" t="s">
        <v>64</v>
      </c>
      <c r="F5048" s="81" t="s">
        <v>98</v>
      </c>
    </row>
    <row r="5049" spans="1:6" x14ac:dyDescent="0.25">
      <c r="A5049" s="14">
        <v>46152.963194444441</v>
      </c>
      <c r="B5049" s="81" t="s">
        <v>149</v>
      </c>
      <c r="C5049" s="81" t="s">
        <v>158</v>
      </c>
      <c r="D5049" s="81" t="s">
        <v>233</v>
      </c>
      <c r="E5049" s="81" t="s">
        <v>52</v>
      </c>
      <c r="F5049" s="81" t="s">
        <v>0</v>
      </c>
    </row>
    <row r="5050" spans="1:6" x14ac:dyDescent="0.25">
      <c r="A5050" s="14">
        <v>46152.963194444441</v>
      </c>
      <c r="B5050" s="81" t="s">
        <v>149</v>
      </c>
      <c r="C5050" s="81" t="s">
        <v>184</v>
      </c>
      <c r="D5050" s="81" t="s">
        <v>165</v>
      </c>
      <c r="E5050" s="81" t="s">
        <v>50</v>
      </c>
      <c r="F5050" s="81" t="s">
        <v>1</v>
      </c>
    </row>
    <row r="5051" spans="1:6" x14ac:dyDescent="0.25">
      <c r="A5051" s="14">
        <v>46152.963194444441</v>
      </c>
      <c r="B5051" s="81" t="s">
        <v>149</v>
      </c>
      <c r="C5051" s="81" t="s">
        <v>174</v>
      </c>
      <c r="D5051" s="81" t="s">
        <v>156</v>
      </c>
      <c r="E5051" s="81" t="s">
        <v>64</v>
      </c>
      <c r="F5051" s="81" t="s">
        <v>98</v>
      </c>
    </row>
    <row r="5052" spans="1:6" x14ac:dyDescent="0.25">
      <c r="A5052" s="14">
        <v>46152.963194444441</v>
      </c>
      <c r="B5052" s="81" t="s">
        <v>149</v>
      </c>
      <c r="C5052" s="81" t="s">
        <v>183</v>
      </c>
      <c r="D5052" s="81" t="s">
        <v>152</v>
      </c>
      <c r="E5052" s="81" t="s">
        <v>49</v>
      </c>
      <c r="F5052" s="81" t="s">
        <v>2</v>
      </c>
    </row>
    <row r="5053" spans="1:6" x14ac:dyDescent="0.25">
      <c r="A5053" s="14">
        <v>46152.963194444441</v>
      </c>
      <c r="B5053" s="81" t="s">
        <v>149</v>
      </c>
      <c r="C5053" s="81" t="s">
        <v>182</v>
      </c>
      <c r="D5053" s="81" t="s">
        <v>165</v>
      </c>
      <c r="E5053" s="81" t="s">
        <v>50</v>
      </c>
      <c r="F5053" s="81" t="s">
        <v>1</v>
      </c>
    </row>
    <row r="5054" spans="1:6" x14ac:dyDescent="0.25">
      <c r="A5054" s="14">
        <v>46152.963194444441</v>
      </c>
      <c r="B5054" s="81" t="s">
        <v>149</v>
      </c>
      <c r="C5054" s="81" t="s">
        <v>188</v>
      </c>
      <c r="D5054" s="81" t="s">
        <v>152</v>
      </c>
      <c r="E5054" s="81" t="s">
        <v>45</v>
      </c>
      <c r="F5054" s="81" t="s">
        <v>28</v>
      </c>
    </row>
    <row r="5055" spans="1:6" x14ac:dyDescent="0.25">
      <c r="A5055" s="14">
        <v>46152.963194444441</v>
      </c>
      <c r="B5055" s="81" t="s">
        <v>149</v>
      </c>
      <c r="C5055" s="81" t="s">
        <v>189</v>
      </c>
      <c r="D5055" s="81" t="s">
        <v>152</v>
      </c>
      <c r="E5055" s="81" t="s">
        <v>45</v>
      </c>
      <c r="F5055" s="81" t="s">
        <v>28</v>
      </c>
    </row>
    <row r="5056" spans="1:6" x14ac:dyDescent="0.25">
      <c r="A5056" s="14">
        <v>46152.963194444441</v>
      </c>
      <c r="B5056" s="81" t="s">
        <v>149</v>
      </c>
      <c r="C5056" s="81" t="s">
        <v>181</v>
      </c>
      <c r="D5056" s="81" t="s">
        <v>169</v>
      </c>
      <c r="E5056" s="81" t="s">
        <v>52</v>
      </c>
      <c r="F5056" s="81" t="s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94"/>
  <sheetViews>
    <sheetView workbookViewId="0">
      <selection activeCell="A100" sqref="A100"/>
    </sheetView>
  </sheetViews>
  <sheetFormatPr defaultColWidth="14.42578125" defaultRowHeight="15" customHeight="1" x14ac:dyDescent="0.25"/>
  <cols>
    <col min="1" max="1" width="32" customWidth="1"/>
    <col min="2" max="2" width="19" customWidth="1"/>
    <col min="3" max="17" width="8.7109375" customWidth="1"/>
    <col min="18" max="18" width="23.85546875" customWidth="1"/>
    <col min="19" max="19" width="28.7109375" customWidth="1"/>
    <col min="20" max="20" width="23.42578125" customWidth="1"/>
    <col min="21" max="21" width="5" customWidth="1"/>
    <col min="22" max="26" width="8.7109375" customWidth="1"/>
  </cols>
  <sheetData>
    <row r="1" spans="1:20" x14ac:dyDescent="0.25">
      <c r="S1" s="7"/>
      <c r="T1" s="7"/>
    </row>
    <row r="2" spans="1:20" x14ac:dyDescent="0.25">
      <c r="T2" s="7"/>
    </row>
    <row r="3" spans="1:20" x14ac:dyDescent="0.25">
      <c r="T3" s="7"/>
    </row>
    <row r="4" spans="1:20" x14ac:dyDescent="0.25">
      <c r="T4" s="7"/>
    </row>
    <row r="5" spans="1:20" x14ac:dyDescent="0.25">
      <c r="A5" s="2" t="s">
        <v>52</v>
      </c>
      <c r="B5" s="1" t="s">
        <v>0</v>
      </c>
      <c r="R5" s="7"/>
      <c r="T5" s="7"/>
    </row>
    <row r="6" spans="1:20" x14ac:dyDescent="0.25">
      <c r="A6" s="2" t="s">
        <v>50</v>
      </c>
      <c r="B6" s="1" t="s">
        <v>1</v>
      </c>
      <c r="R6" s="7"/>
      <c r="T6" s="7"/>
    </row>
    <row r="7" spans="1:20" x14ac:dyDescent="0.25">
      <c r="A7" s="2" t="s">
        <v>49</v>
      </c>
      <c r="B7" s="1" t="s">
        <v>2</v>
      </c>
      <c r="R7" s="7"/>
      <c r="T7" s="7"/>
    </row>
    <row r="8" spans="1:20" x14ac:dyDescent="0.25">
      <c r="A8" s="2" t="s">
        <v>48</v>
      </c>
      <c r="B8" s="1" t="s">
        <v>3</v>
      </c>
      <c r="R8" s="7"/>
      <c r="T8" s="7"/>
    </row>
    <row r="9" spans="1:20" x14ac:dyDescent="0.25">
      <c r="A9" s="2" t="s">
        <v>42</v>
      </c>
      <c r="B9" s="1" t="s">
        <v>4</v>
      </c>
      <c r="R9" s="7"/>
      <c r="T9" s="7"/>
    </row>
    <row r="10" spans="1:20" x14ac:dyDescent="0.25">
      <c r="A10" s="1" t="s">
        <v>75</v>
      </c>
      <c r="B10" s="1" t="s">
        <v>93</v>
      </c>
      <c r="R10" s="7"/>
      <c r="T10" s="7"/>
    </row>
    <row r="11" spans="1:20" x14ac:dyDescent="0.25">
      <c r="A11" s="1" t="s">
        <v>71</v>
      </c>
      <c r="B11" s="1" t="s">
        <v>94</v>
      </c>
      <c r="T11" s="7"/>
    </row>
    <row r="12" spans="1:20" x14ac:dyDescent="0.25">
      <c r="A12" s="1" t="s">
        <v>54</v>
      </c>
      <c r="B12" s="1" t="s">
        <v>95</v>
      </c>
      <c r="T12" s="7"/>
    </row>
    <row r="13" spans="1:20" x14ac:dyDescent="0.25">
      <c r="A13" s="1" t="s">
        <v>51</v>
      </c>
      <c r="B13" s="1" t="s">
        <v>96</v>
      </c>
      <c r="T13" s="7"/>
    </row>
    <row r="14" spans="1:20" x14ac:dyDescent="0.25">
      <c r="A14" s="1" t="s">
        <v>53</v>
      </c>
      <c r="B14" s="1" t="s">
        <v>97</v>
      </c>
      <c r="T14" s="7"/>
    </row>
    <row r="15" spans="1:20" x14ac:dyDescent="0.25">
      <c r="A15" s="1" t="s">
        <v>64</v>
      </c>
      <c r="B15" s="1" t="s">
        <v>98</v>
      </c>
    </row>
    <row r="16" spans="1:20" x14ac:dyDescent="0.25">
      <c r="A16" s="1" t="s">
        <v>65</v>
      </c>
      <c r="B16" s="1" t="s">
        <v>99</v>
      </c>
      <c r="T16" s="7"/>
    </row>
    <row r="17" spans="1:20" x14ac:dyDescent="0.25">
      <c r="A17" s="1" t="s">
        <v>62</v>
      </c>
      <c r="B17" s="1" t="s">
        <v>100</v>
      </c>
      <c r="T17" s="7"/>
    </row>
    <row r="18" spans="1:20" x14ac:dyDescent="0.25">
      <c r="A18" s="1" t="s">
        <v>68</v>
      </c>
      <c r="B18" s="1" t="s">
        <v>101</v>
      </c>
      <c r="T18" s="7"/>
    </row>
    <row r="19" spans="1:20" x14ac:dyDescent="0.25">
      <c r="A19" s="1" t="s">
        <v>69</v>
      </c>
      <c r="B19" s="1" t="s">
        <v>102</v>
      </c>
      <c r="T19" s="7"/>
    </row>
    <row r="20" spans="1:20" x14ac:dyDescent="0.25">
      <c r="A20" s="1" t="s">
        <v>70</v>
      </c>
      <c r="B20" s="1" t="s">
        <v>15</v>
      </c>
      <c r="S20" s="7"/>
      <c r="T20" s="7"/>
    </row>
    <row r="21" spans="1:20" ht="15.75" customHeight="1" x14ac:dyDescent="0.25">
      <c r="A21" s="1" t="s">
        <v>63</v>
      </c>
      <c r="B21" s="1" t="s">
        <v>16</v>
      </c>
      <c r="T21" s="7"/>
    </row>
    <row r="22" spans="1:20" ht="15.75" customHeight="1" x14ac:dyDescent="0.25">
      <c r="A22" s="1" t="s">
        <v>44</v>
      </c>
      <c r="B22" s="1" t="s">
        <v>17</v>
      </c>
      <c r="S22" s="7"/>
    </row>
    <row r="23" spans="1:20" ht="15.75" customHeight="1" x14ac:dyDescent="0.25">
      <c r="A23" s="1" t="s">
        <v>41</v>
      </c>
      <c r="B23" s="1" t="s">
        <v>18</v>
      </c>
    </row>
    <row r="24" spans="1:20" ht="15.75" customHeight="1" x14ac:dyDescent="0.25">
      <c r="A24" s="1" t="s">
        <v>46</v>
      </c>
      <c r="B24" s="1" t="s">
        <v>19</v>
      </c>
    </row>
    <row r="25" spans="1:20" ht="15.75" customHeight="1" x14ac:dyDescent="0.25">
      <c r="A25" s="1" t="s">
        <v>103</v>
      </c>
      <c r="B25" s="1" t="s">
        <v>29</v>
      </c>
      <c r="T25" s="7"/>
    </row>
    <row r="26" spans="1:20" ht="15.75" customHeight="1" x14ac:dyDescent="0.25">
      <c r="A26" s="1" t="s">
        <v>104</v>
      </c>
      <c r="B26" s="1" t="s">
        <v>30</v>
      </c>
    </row>
    <row r="27" spans="1:20" ht="15.75" customHeight="1" x14ac:dyDescent="0.25">
      <c r="A27" s="1" t="s">
        <v>105</v>
      </c>
      <c r="B27" s="1" t="s">
        <v>31</v>
      </c>
    </row>
    <row r="28" spans="1:20" ht="15.75" customHeight="1" x14ac:dyDescent="0.25">
      <c r="A28" s="1" t="s">
        <v>106</v>
      </c>
      <c r="B28" s="1" t="s">
        <v>32</v>
      </c>
    </row>
    <row r="29" spans="1:20" ht="15.75" customHeight="1" x14ac:dyDescent="0.25">
      <c r="A29" s="1" t="s">
        <v>107</v>
      </c>
      <c r="B29" s="1" t="s">
        <v>33</v>
      </c>
      <c r="S29" s="7"/>
    </row>
    <row r="30" spans="1:20" ht="15.75" customHeight="1" x14ac:dyDescent="0.25">
      <c r="A30" s="1" t="s">
        <v>108</v>
      </c>
      <c r="B30" s="1" t="s">
        <v>34</v>
      </c>
    </row>
    <row r="31" spans="1:20" ht="15.75" customHeight="1" x14ac:dyDescent="0.25">
      <c r="A31" s="1" t="s">
        <v>109</v>
      </c>
      <c r="B31" s="1" t="s">
        <v>20</v>
      </c>
    </row>
    <row r="32" spans="1:20" ht="15.75" customHeight="1" x14ac:dyDescent="0.25">
      <c r="A32" s="1" t="s">
        <v>76</v>
      </c>
      <c r="B32" s="1" t="s">
        <v>20</v>
      </c>
    </row>
    <row r="33" spans="1:2" ht="15.75" customHeight="1" x14ac:dyDescent="0.25">
      <c r="A33" s="1" t="s">
        <v>55</v>
      </c>
      <c r="B33" s="1" t="s">
        <v>20</v>
      </c>
    </row>
    <row r="34" spans="1:2" ht="15.75" customHeight="1" x14ac:dyDescent="0.25">
      <c r="A34" s="1" t="s">
        <v>56</v>
      </c>
      <c r="B34" s="1" t="s">
        <v>20</v>
      </c>
    </row>
    <row r="35" spans="1:2" ht="15.75" customHeight="1" x14ac:dyDescent="0.25">
      <c r="A35" s="1" t="s">
        <v>57</v>
      </c>
      <c r="B35" s="1" t="s">
        <v>20</v>
      </c>
    </row>
    <row r="36" spans="1:2" ht="15.75" customHeight="1" x14ac:dyDescent="0.25">
      <c r="A36" s="1" t="s">
        <v>58</v>
      </c>
      <c r="B36" s="1" t="s">
        <v>20</v>
      </c>
    </row>
    <row r="37" spans="1:2" ht="15.75" customHeight="1" x14ac:dyDescent="0.25">
      <c r="A37" s="1" t="s">
        <v>59</v>
      </c>
      <c r="B37" s="1" t="s">
        <v>20</v>
      </c>
    </row>
    <row r="38" spans="1:2" ht="15.75" customHeight="1" x14ac:dyDescent="0.25">
      <c r="A38" s="1" t="s">
        <v>91</v>
      </c>
      <c r="B38" s="1" t="s">
        <v>20</v>
      </c>
    </row>
    <row r="39" spans="1:2" ht="15.75" customHeight="1" x14ac:dyDescent="0.25">
      <c r="A39" s="1" t="s">
        <v>92</v>
      </c>
      <c r="B39" s="1" t="s">
        <v>20</v>
      </c>
    </row>
    <row r="40" spans="1:2" ht="15.75" customHeight="1" x14ac:dyDescent="0.25">
      <c r="A40" s="1" t="s">
        <v>88</v>
      </c>
      <c r="B40" s="1" t="s">
        <v>21</v>
      </c>
    </row>
    <row r="41" spans="1:2" ht="15.75" customHeight="1" x14ac:dyDescent="0.25">
      <c r="A41" s="1" t="s">
        <v>90</v>
      </c>
      <c r="B41" s="1" t="s">
        <v>21</v>
      </c>
    </row>
    <row r="42" spans="1:2" ht="15.75" customHeight="1" x14ac:dyDescent="0.25">
      <c r="A42" s="1" t="s">
        <v>84</v>
      </c>
      <c r="B42" s="1" t="s">
        <v>21</v>
      </c>
    </row>
    <row r="43" spans="1:2" ht="15.75" customHeight="1" x14ac:dyDescent="0.25">
      <c r="A43" s="1" t="s">
        <v>85</v>
      </c>
      <c r="B43" s="1" t="s">
        <v>21</v>
      </c>
    </row>
    <row r="44" spans="1:2" ht="15.75" customHeight="1" x14ac:dyDescent="0.25">
      <c r="A44" s="1" t="s">
        <v>80</v>
      </c>
      <c r="B44" s="1" t="s">
        <v>21</v>
      </c>
    </row>
    <row r="45" spans="1:2" ht="15.75" customHeight="1" x14ac:dyDescent="0.25">
      <c r="A45" s="1" t="s">
        <v>110</v>
      </c>
      <c r="B45" s="1" t="s">
        <v>21</v>
      </c>
    </row>
    <row r="46" spans="1:2" ht="15.75" customHeight="1" x14ac:dyDescent="0.25">
      <c r="A46" s="1" t="s">
        <v>111</v>
      </c>
      <c r="B46" s="1" t="s">
        <v>22</v>
      </c>
    </row>
    <row r="47" spans="1:2" ht="15.75" customHeight="1" x14ac:dyDescent="0.25">
      <c r="A47" s="1" t="s">
        <v>112</v>
      </c>
      <c r="B47" s="1" t="s">
        <v>22</v>
      </c>
    </row>
    <row r="48" spans="1:2" ht="15.75" customHeight="1" x14ac:dyDescent="0.25">
      <c r="A48" s="1" t="s">
        <v>113</v>
      </c>
      <c r="B48" s="1" t="s">
        <v>22</v>
      </c>
    </row>
    <row r="49" spans="1:2" ht="15.75" customHeight="1" x14ac:dyDescent="0.25">
      <c r="A49" s="1" t="s">
        <v>114</v>
      </c>
      <c r="B49" s="1" t="s">
        <v>22</v>
      </c>
    </row>
    <row r="50" spans="1:2" ht="15.75" customHeight="1" x14ac:dyDescent="0.25">
      <c r="A50" s="1" t="s">
        <v>115</v>
      </c>
      <c r="B50" s="1" t="s">
        <v>22</v>
      </c>
    </row>
    <row r="51" spans="1:2" ht="15.75" customHeight="1" x14ac:dyDescent="0.25">
      <c r="A51" s="1" t="s">
        <v>116</v>
      </c>
      <c r="B51" s="1" t="s">
        <v>22</v>
      </c>
    </row>
    <row r="52" spans="1:2" ht="15.75" customHeight="1" x14ac:dyDescent="0.25">
      <c r="A52" s="1" t="s">
        <v>117</v>
      </c>
      <c r="B52" s="1" t="s">
        <v>22</v>
      </c>
    </row>
    <row r="53" spans="1:2" ht="15.75" customHeight="1" x14ac:dyDescent="0.25">
      <c r="A53" s="1" t="s">
        <v>118</v>
      </c>
      <c r="B53" s="1" t="s">
        <v>22</v>
      </c>
    </row>
    <row r="54" spans="1:2" ht="15.75" customHeight="1" x14ac:dyDescent="0.25">
      <c r="A54" s="1" t="s">
        <v>119</v>
      </c>
      <c r="B54" s="1" t="s">
        <v>22</v>
      </c>
    </row>
    <row r="55" spans="1:2" ht="15.75" customHeight="1" x14ac:dyDescent="0.25">
      <c r="A55" s="1" t="s">
        <v>78</v>
      </c>
      <c r="B55" s="1" t="s">
        <v>23</v>
      </c>
    </row>
    <row r="56" spans="1:2" ht="15.75" customHeight="1" x14ac:dyDescent="0.25">
      <c r="A56" s="1" t="s">
        <v>120</v>
      </c>
      <c r="B56" s="1" t="s">
        <v>23</v>
      </c>
    </row>
    <row r="57" spans="1:2" ht="15.75" customHeight="1" x14ac:dyDescent="0.25">
      <c r="A57" s="1" t="s">
        <v>121</v>
      </c>
      <c r="B57" s="1" t="s">
        <v>23</v>
      </c>
    </row>
    <row r="58" spans="1:2" ht="15.75" customHeight="1" x14ac:dyDescent="0.25">
      <c r="A58" s="1" t="s">
        <v>89</v>
      </c>
      <c r="B58" s="1" t="s">
        <v>23</v>
      </c>
    </row>
    <row r="59" spans="1:2" ht="15.75" customHeight="1" x14ac:dyDescent="0.25">
      <c r="A59" s="1" t="s">
        <v>83</v>
      </c>
      <c r="B59" s="1" t="s">
        <v>23</v>
      </c>
    </row>
    <row r="60" spans="1:2" ht="15.75" customHeight="1" x14ac:dyDescent="0.25">
      <c r="A60" s="1" t="s">
        <v>122</v>
      </c>
      <c r="B60" s="1" t="s">
        <v>23</v>
      </c>
    </row>
    <row r="61" spans="1:2" ht="15.75" customHeight="1" x14ac:dyDescent="0.25">
      <c r="A61" s="1" t="s">
        <v>123</v>
      </c>
      <c r="B61" s="1" t="s">
        <v>124</v>
      </c>
    </row>
    <row r="62" spans="1:2" ht="15.75" customHeight="1" x14ac:dyDescent="0.25">
      <c r="A62" s="1" t="s">
        <v>125</v>
      </c>
      <c r="B62" s="1" t="s">
        <v>124</v>
      </c>
    </row>
    <row r="63" spans="1:2" ht="15.75" customHeight="1" x14ac:dyDescent="0.25">
      <c r="A63" s="1" t="s">
        <v>126</v>
      </c>
      <c r="B63" s="1" t="s">
        <v>124</v>
      </c>
    </row>
    <row r="64" spans="1:2" ht="15.75" customHeight="1" x14ac:dyDescent="0.25">
      <c r="A64" s="1" t="s">
        <v>127</v>
      </c>
      <c r="B64" s="1" t="s">
        <v>124</v>
      </c>
    </row>
    <row r="65" spans="1:2" ht="15.75" customHeight="1" x14ac:dyDescent="0.25">
      <c r="A65" s="1" t="s">
        <v>87</v>
      </c>
      <c r="B65" s="1" t="s">
        <v>124</v>
      </c>
    </row>
    <row r="66" spans="1:2" ht="15.75" customHeight="1" x14ac:dyDescent="0.25">
      <c r="A66" s="1" t="s">
        <v>43</v>
      </c>
      <c r="B66" s="1" t="s">
        <v>124</v>
      </c>
    </row>
    <row r="67" spans="1:2" ht="15.75" customHeight="1" x14ac:dyDescent="0.25">
      <c r="A67" s="1" t="s">
        <v>47</v>
      </c>
      <c r="B67" s="1" t="s">
        <v>124</v>
      </c>
    </row>
    <row r="68" spans="1:2" ht="15.75" customHeight="1" x14ac:dyDescent="0.25">
      <c r="A68" s="1" t="s">
        <v>86</v>
      </c>
      <c r="B68" s="1" t="s">
        <v>124</v>
      </c>
    </row>
    <row r="69" spans="1:2" ht="15.75" customHeight="1" x14ac:dyDescent="0.25">
      <c r="A69" s="1" t="s">
        <v>82</v>
      </c>
      <c r="B69" s="1" t="s">
        <v>36</v>
      </c>
    </row>
    <row r="70" spans="1:2" ht="15.75" customHeight="1" x14ac:dyDescent="0.25">
      <c r="A70" s="1" t="s">
        <v>67</v>
      </c>
      <c r="B70" s="1" t="s">
        <v>35</v>
      </c>
    </row>
    <row r="71" spans="1:2" ht="15.75" customHeight="1" x14ac:dyDescent="0.25">
      <c r="A71" s="1" t="s">
        <v>128</v>
      </c>
      <c r="B71" s="1" t="s">
        <v>36</v>
      </c>
    </row>
    <row r="72" spans="1:2" ht="15.75" customHeight="1" x14ac:dyDescent="0.25">
      <c r="A72" s="1" t="s">
        <v>129</v>
      </c>
      <c r="B72" s="1" t="s">
        <v>36</v>
      </c>
    </row>
    <row r="73" spans="1:2" ht="15.75" customHeight="1" x14ac:dyDescent="0.25">
      <c r="A73" s="1" t="s">
        <v>130</v>
      </c>
      <c r="B73" s="1" t="s">
        <v>36</v>
      </c>
    </row>
    <row r="74" spans="1:2" ht="15.75" customHeight="1" x14ac:dyDescent="0.25">
      <c r="A74" s="1" t="s">
        <v>131</v>
      </c>
      <c r="B74" s="1" t="s">
        <v>36</v>
      </c>
    </row>
    <row r="75" spans="1:2" ht="15.75" customHeight="1" x14ac:dyDescent="0.25">
      <c r="A75" s="1" t="s">
        <v>79</v>
      </c>
      <c r="B75" s="1" t="s">
        <v>36</v>
      </c>
    </row>
    <row r="76" spans="1:2" ht="15.75" customHeight="1" x14ac:dyDescent="0.25">
      <c r="A76" s="1" t="s">
        <v>74</v>
      </c>
      <c r="B76" s="1" t="s">
        <v>36</v>
      </c>
    </row>
    <row r="77" spans="1:2" ht="15.75" customHeight="1" x14ac:dyDescent="0.25">
      <c r="A77" s="1" t="s">
        <v>66</v>
      </c>
      <c r="B77" s="1" t="s">
        <v>35</v>
      </c>
    </row>
    <row r="78" spans="1:2" ht="15.75" customHeight="1" x14ac:dyDescent="0.25">
      <c r="A78" s="1" t="s">
        <v>132</v>
      </c>
      <c r="B78" s="1" t="s">
        <v>25</v>
      </c>
    </row>
    <row r="79" spans="1:2" ht="15.75" customHeight="1" x14ac:dyDescent="0.25">
      <c r="A79" s="1" t="s">
        <v>133</v>
      </c>
      <c r="B79" s="1" t="s">
        <v>25</v>
      </c>
    </row>
    <row r="80" spans="1:2" ht="15.75" customHeight="1" x14ac:dyDescent="0.25">
      <c r="A80" s="1" t="s">
        <v>134</v>
      </c>
      <c r="B80" s="1" t="s">
        <v>26</v>
      </c>
    </row>
    <row r="81" spans="1:2" ht="15.75" customHeight="1" x14ac:dyDescent="0.25">
      <c r="A81" s="1" t="s">
        <v>135</v>
      </c>
      <c r="B81" s="1" t="s">
        <v>26</v>
      </c>
    </row>
    <row r="82" spans="1:2" ht="15.75" customHeight="1" x14ac:dyDescent="0.25">
      <c r="A82" s="1" t="s">
        <v>60</v>
      </c>
      <c r="B82" s="1" t="s">
        <v>28</v>
      </c>
    </row>
    <row r="83" spans="1:2" ht="15.75" customHeight="1" x14ac:dyDescent="0.25">
      <c r="A83" s="1" t="s">
        <v>45</v>
      </c>
      <c r="B83" s="1" t="s">
        <v>28</v>
      </c>
    </row>
    <row r="84" spans="1:2" ht="15.75" customHeight="1" x14ac:dyDescent="0.25">
      <c r="A84" s="1" t="s">
        <v>136</v>
      </c>
      <c r="B84" s="1" t="s">
        <v>28</v>
      </c>
    </row>
    <row r="85" spans="1:2" ht="15.75" customHeight="1" x14ac:dyDescent="0.25">
      <c r="A85" s="1" t="s">
        <v>77</v>
      </c>
      <c r="B85" s="1" t="s">
        <v>28</v>
      </c>
    </row>
    <row r="86" spans="1:2" ht="15.75" customHeight="1" x14ac:dyDescent="0.25">
      <c r="A86" s="1" t="s">
        <v>81</v>
      </c>
      <c r="B86" s="1" t="s">
        <v>28</v>
      </c>
    </row>
    <row r="87" spans="1:2" ht="15.75" customHeight="1" x14ac:dyDescent="0.25">
      <c r="A87" s="1" t="s">
        <v>61</v>
      </c>
      <c r="B87" s="1" t="s">
        <v>28</v>
      </c>
    </row>
    <row r="88" spans="1:2" ht="15.75" customHeight="1" x14ac:dyDescent="0.25">
      <c r="A88" s="1" t="s">
        <v>73</v>
      </c>
      <c r="B88" s="1" t="s">
        <v>28</v>
      </c>
    </row>
    <row r="89" spans="1:2" ht="15.75" customHeight="1" x14ac:dyDescent="0.25">
      <c r="A89" s="1" t="s">
        <v>137</v>
      </c>
      <c r="B89" s="1" t="s">
        <v>28</v>
      </c>
    </row>
    <row r="90" spans="1:2" ht="15.75" customHeight="1" x14ac:dyDescent="0.25">
      <c r="A90" s="1" t="s">
        <v>72</v>
      </c>
      <c r="B90" s="1" t="s">
        <v>28</v>
      </c>
    </row>
    <row r="91" spans="1:2" ht="15.75" customHeight="1" x14ac:dyDescent="0.25">
      <c r="A91" s="8" t="s">
        <v>138</v>
      </c>
      <c r="B91" s="8" t="s">
        <v>36</v>
      </c>
    </row>
    <row r="92" spans="1:2" ht="15.75" customHeight="1" x14ac:dyDescent="0.25">
      <c r="A92" s="1" t="s">
        <v>139</v>
      </c>
      <c r="B92" s="1" t="s">
        <v>36</v>
      </c>
    </row>
    <row r="93" spans="1:2" ht="15.75" customHeight="1" x14ac:dyDescent="0.25">
      <c r="A93" s="1" t="s">
        <v>24</v>
      </c>
      <c r="B93" s="1" t="s">
        <v>24</v>
      </c>
    </row>
    <row r="94" spans="1:2" ht="15.75" customHeight="1" x14ac:dyDescent="0.25">
      <c r="A94" s="1" t="s">
        <v>140</v>
      </c>
      <c r="B94" s="1" t="s">
        <v>36</v>
      </c>
    </row>
    <row r="95" spans="1:2" ht="15.75" customHeight="1" x14ac:dyDescent="0.25">
      <c r="A95" s="11" t="s">
        <v>141</v>
      </c>
      <c r="B95" s="11" t="s">
        <v>36</v>
      </c>
    </row>
    <row r="96" spans="1:2" ht="15.75" customHeight="1" x14ac:dyDescent="0.25">
      <c r="A96" s="11" t="s">
        <v>142</v>
      </c>
      <c r="B96" s="11" t="s">
        <v>36</v>
      </c>
    </row>
    <row r="97" spans="1:2" ht="15.75" customHeight="1" x14ac:dyDescent="0.25">
      <c r="A97" s="11" t="s">
        <v>143</v>
      </c>
      <c r="B97" s="12" t="s">
        <v>36</v>
      </c>
    </row>
    <row r="98" spans="1:2" ht="15.75" customHeight="1" x14ac:dyDescent="0.25">
      <c r="A98" t="s">
        <v>144</v>
      </c>
      <c r="B98" s="12" t="s">
        <v>36</v>
      </c>
    </row>
    <row r="99" spans="1:2" ht="15.75" customHeight="1" x14ac:dyDescent="0.25"/>
    <row r="100" spans="1:2" ht="15.75" customHeight="1" x14ac:dyDescent="0.25"/>
    <row r="101" spans="1:2" ht="15.75" customHeight="1" x14ac:dyDescent="0.25"/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EA0C4D-3D1A-43CC-9674-45D0D79F8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Chests_Dashboard</vt:lpstr>
      <vt:lpstr>contributions_2026-05</vt:lpstr>
      <vt:lpstr>chests_counter</vt:lpstr>
      <vt:lpstr>LastWeek</vt:lpstr>
      <vt:lpstr>ChestType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Jensen</cp:lastModifiedBy>
  <dcterms:created xsi:type="dcterms:W3CDTF">2025-03-21T09:29:46Z</dcterms:created>
  <dcterms:modified xsi:type="dcterms:W3CDTF">2026-05-11T19:15:53Z</dcterms:modified>
</cp:coreProperties>
</file>